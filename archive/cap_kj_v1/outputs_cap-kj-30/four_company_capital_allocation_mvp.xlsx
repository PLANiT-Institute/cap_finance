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80de908e2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Results" sheetId="1" r:id="Rb567b1781eaa4db4"/>
    <x:sheet xmlns:r="http://schemas.openxmlformats.org/officeDocument/2006/relationships" name="Facility Results" sheetId="2" r:id="R56ed81cde9cc4f91"/>
    <x:sheet xmlns:r="http://schemas.openxmlformats.org/officeDocument/2006/relationships" name="Route Mapping" sheetId="3" r:id="R64d41b447be84555"/>
    <x:sheet xmlns:r="http://schemas.openxmlformats.org/officeDocument/2006/relationships" name="Sources" sheetId="4" r:id="R9cb9b6ce56554181"/>
    <x:sheet xmlns:r="http://schemas.openxmlformats.org/officeDocument/2006/relationships" name="Company Summary" sheetId="5" r:id="R4f99d1901b974989"/>
    <x:sheet xmlns:r="http://schemas.openxmlformats.org/officeDocument/2006/relationships" name="Checks" sheetId="6" r:id="R33b39e7ccbe1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0"/>
    <x:numFmt numFmtId="201" formatCode="0.0%"/>
    <x:numFmt numFmtId="202" formatCode="0.00####"/>
    <x:numFmt numFmtId="203" formatCode="#,##0.0"/>
    <x:numFmt numFmtId="204" formatCode="#,##0"/>
    <x:numFmt numFmtId="205" formatCode="#,##0.000000"/>
  </x:numFmts>
  <x:fonts count="9">
    <x:font>
      <x:sz val="11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1"/>
      <x:color rgb="FFFFFFFF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9"/>
      <x:name val="Aptos"/>
    </x:font>
    <x:font>
      <x:b/>
      <x:sz val="15"/>
      <x:color rgb="FFFFFFFF"/>
      <x:name val="Aptos Display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3F6F9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0" fontId="2" fillId="0" borderId="7" xfId="0" applyNumberFormat="1" applyFont="1" applyFill="1" applyBorder="1" applyAlignment="1">
      <x:alignment vertical="top"/>
    </x:xf>
    <x:xf numFmtId="201" fontId="2" fillId="0" borderId="2" xfId="0" applyNumberFormat="1" applyFont="1" applyFill="1" applyBorder="1" applyAlignment="1">
      <x:alignment vertical="top"/>
    </x:xf>
    <x:xf numFmtId="201" fontId="2" fillId="0" borderId="3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201" fontId="2" fillId="0" borderId="7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2" fontId="2" fillId="0" borderId="2" xfId="0" applyNumberFormat="1" applyFont="1" applyFill="1" applyBorder="1" applyAlignment="1">
      <x:alignment vertical="top"/>
    </x:xf>
    <x:xf numFmtId="202" fontId="2" fillId="0" borderId="3" xfId="0" applyNumberFormat="1" applyFont="1" applyFill="1" applyBorder="1" applyAlignment="1">
      <x:alignment vertical="top"/>
    </x:xf>
    <x:xf numFmtId="202" fontId="2" fillId="0" borderId="4" xfId="0" applyNumberFormat="1" applyFont="1" applyFill="1" applyBorder="1" applyAlignment="1">
      <x:alignment vertical="top"/>
    </x:xf>
    <x:xf numFmtId="202" fontId="2" fillId="0" borderId="5" xfId="0" applyNumberFormat="1" applyFont="1" applyFill="1" applyBorder="1" applyAlignment="1">
      <x:alignment vertical="top"/>
    </x:xf>
    <x:xf numFmtId="202" fontId="2" fillId="0" borderId="6" xfId="0" applyNumberFormat="1" applyFont="1" applyFill="1" applyBorder="1" applyAlignment="1">
      <x:alignment vertical="top"/>
    </x:xf>
    <x:xf numFmtId="202" fontId="2" fillId="0" borderId="7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3" fontId="2" fillId="0" borderId="7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4" fontId="2" fillId="0" borderId="3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4" fontId="2" fillId="0" borderId="7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5" fontId="2" fillId="0" borderId="2" xfId="0" applyNumberFormat="1" applyFont="1" applyFill="1" applyBorder="1"/>
    <x:xf numFmtId="205" fontId="2" fillId="0" borderId="3" xfId="0" applyNumberFormat="1" applyFont="1" applyFill="1" applyBorder="1"/>
    <x:xf numFmtId="205" fontId="2" fillId="0" borderId="4" xfId="0" applyNumberFormat="1" applyFont="1" applyFill="1" applyBorder="1"/>
    <x:xf numFmtId="205" fontId="2" fillId="0" borderId="5" xfId="0" applyNumberFormat="1" applyFont="1" applyFill="1" applyBorder="1"/>
    <x:xf numFmtId="205" fontId="2" fillId="0" borderId="6" xfId="0" applyNumberFormat="1" applyFont="1" applyFill="1" applyBorder="1"/>
    <x:xf numFmtId="205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0000FF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59ed376284f71" /><Relationship Type="http://schemas.openxmlformats.org/officeDocument/2006/relationships/theme" Target="/xl/theme/theme1.xml" Id="R3aa0eb7f8639486d" /><Relationship Type="http://schemas.openxmlformats.org/officeDocument/2006/relationships/sharedStrings" Target="/xl/sharedStrings.xml" Id="R85b005b9a30e472a" /><Relationship Type="http://schemas.openxmlformats.org/officeDocument/2006/relationships/worksheet" Target="/xl/worksheets/sheet1.xml" Id="Rb567b1781eaa4db4" /><Relationship Type="http://schemas.openxmlformats.org/officeDocument/2006/relationships/worksheet" Target="/xl/worksheets/sheet2.xml" Id="R56ed81cde9cc4f91" /><Relationship Type="http://schemas.openxmlformats.org/officeDocument/2006/relationships/worksheet" Target="/xl/worksheets/sheet3.xml" Id="R64d41b447be84555" /><Relationship Type="http://schemas.openxmlformats.org/officeDocument/2006/relationships/worksheet" Target="/xl/worksheets/sheet4.xml" Id="R9cb9b6ce56554181" /><Relationship Type="http://schemas.openxmlformats.org/officeDocument/2006/relationships/worksheet" Target="/xl/worksheets/sheet5.xml" Id="R4f99d1901b974989" /><Relationship Type="http://schemas.openxmlformats.org/officeDocument/2006/relationships/worksheet" Target="/xl/worksheets/sheet6.xml" Id="R33b39e7ccbe141e7" /></Relationships>
</file>

<file path=xl/tables/table1.xml><?xml version="1.0" encoding="utf-8"?>
<x:table xmlns:x="http://schemas.openxmlformats.org/spreadsheetml/2006/main" id="1" name="CompanyResultsTable" displayName="CompanyResultsTable" ref="A1:AK13" headerRowCount="1" totalsRowCount="0" totalsRowShown="0">
  <x:tableColumns count="37">
    <x:tableColumn id="1" name="company_id"/>
    <x:tableColumn id="2" name="company_name"/>
    <x:tableColumn id="3" name="country"/>
    <x:tableColumn id="4" name="sector"/>
    <x:tableColumn id="5" name="case"/>
    <x:tableColumn id="6" name="official_company_baseline_tco2e"/>
    <x:tableColumn id="7" name="facility_seed_baseline_tco2e"/>
    <x:tableColumn id="8" name="facility_reconciliation_ratio"/>
    <x:tableColumn id="9" name="modelled_facility_count"/>
    <x:tableColumn id="10" name="total_facility_count"/>
    <x:tableColumn id="11" name="emissions_coverage_ratio"/>
    <x:tableColumn id="12" name="production_coverage_ratio"/>
    <x:tableColumn id="13" name="unmodelled_residual_emissions_tco2e"/>
    <x:tableColumn id="14" name="transition_operational_ghg_tco2e"/>
    <x:tableColumn id="15" name="modelled_operational_abatement_tco2e"/>
    <x:tableColumn id="16" name="system_abatement_status"/>
    <x:tableColumn id="17" name="transition_capex_usd_2025"/>
    <x:tableColumn id="18" name="capex_by_2030_usd_2025"/>
    <x:tableColumn id="19" name="capex_2031_2040_usd_2025"/>
    <x:tableColumn id="20" name="capex_2041_2050_usd_2025"/>
    <x:tableColumn id="21" name="cumulative_capex_2030_usd_2025"/>
    <x:tableColumn id="22" name="cumulative_capex_2040_usd_2025"/>
    <x:tableColumn id="23" name="cumulative_capex_2050_usd_2025"/>
    <x:tableColumn id="24" name="annual_operational_abatement_per_usd_million_capex"/>
    <x:tableColumn id="25" name="no_regret_capex_share"/>
    <x:tableColumn id="26" name="price_conditional_capex_share"/>
    <x:tableColumn id="27" name="contract_dependent_capex_share"/>
    <x:tableColumn id="28" name="level_support_dependent_capex_share"/>
    <x:tableColumn id="29" name="largest_capex_facility_id"/>
    <x:tableColumn id="30" name="largest_capex_facility_share"/>
    <x:tableColumn id="31" name="dominant_common_factors"/>
    <x:tableColumn id="32" name="currency"/>
    <x:tableColumn id="33" name="price_year"/>
    <x:tableColumn id="34" name="value_type"/>
    <x:tableColumn id="35" name="quality_flag"/>
    <x:tableColumn id="36" name="source_id"/>
    <x:tableColumn id="37" name="method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ilityResultsTable" displayName="FacilityResultsTable" ref="A1:AL76" headerRowCount="1" totalsRowCount="0" totalsRowShown="0">
  <x:tableColumns count="38">
    <x:tableColumn id="1" name="company_id"/>
    <x:tableColumn id="2" name="company_name"/>
    <x:tableColumn id="3" name="facility_id"/>
    <x:tableColumn id="4" name="facility_name"/>
    <x:tableColumn id="5" name="country"/>
    <x:tableColumn id="6" name="sector"/>
    <x:tableColumn id="7" name="baseline_period"/>
    <x:tableColumn id="8" name="case"/>
    <x:tableColumn id="9" name="primary_scope_status"/>
    <x:tableColumn id="10" name="baseline_emissions_value_type"/>
    <x:tableColumn id="11" name="baseline_operational_ghg_tco2e"/>
    <x:tableColumn id="12" name="selected_route"/>
    <x:tableColumn id="13" name="decision_horizon"/>
    <x:tableColumn id="14" name="readiness_year"/>
    <x:tableColumn id="15" name="facility_status"/>
    <x:tableColumn id="16" name="status_basis"/>
    <x:tableColumn id="17" name="action_view"/>
    <x:tableColumn id="18" name="modelled_flag"/>
    <x:tableColumn id="19" name="capex_driver"/>
    <x:tableColumn id="20" name="capex_intensity"/>
    <x:tableColumn id="21" name="capex_unit"/>
    <x:tableColumn id="22" name="transition_capex_usd_2025"/>
    <x:tableColumn id="23" name="abatement_fraction"/>
    <x:tableColumn id="24" name="transition_operational_ghg_tco2e"/>
    <x:tableColumn id="25" name="modelled_operational_abatement_tco2e"/>
    <x:tableColumn id="26" name="system_abatement_status"/>
    <x:tableColumn id="27" name="capex_by_2030_usd_2025"/>
    <x:tableColumn id="28" name="capex_2031_2040_usd_2025"/>
    <x:tableColumn id="29" name="capex_2041_2050_usd_2025"/>
    <x:tableColumn id="30" name="binding_constraint"/>
    <x:tableColumn id="31" name="dominant_common_factor"/>
    <x:tableColumn id="32" name="currency"/>
    <x:tableColumn id="33" name="price_year"/>
    <x:tableColumn id="34" name="value_type"/>
    <x:tableColumn id="35" name="quality_flag"/>
    <x:tableColumn id="36" name="source_id"/>
    <x:tableColumn id="37" name="formula_or_method"/>
    <x:tableColumn id="38" name="boundary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MappingTable" displayName="RouteMappingTable" ref="A1:Y26" headerRowCount="1" totalsRowCount="0" totalsRowShown="0">
  <x:tableColumns count="25">
    <x:tableColumn id="1" name="facility_id"/>
    <x:tableColumn id="2" name="selected_route"/>
    <x:tableColumn id="3" name="decision_horizon"/>
    <x:tableColumn id="4" name="readiness_year"/>
    <x:tableColumn id="5" name="facility_status"/>
    <x:tableColumn id="6" name="status_basis"/>
    <x:tableColumn id="7" name="action_view"/>
    <x:tableColumn id="8" name="modelled_flag"/>
    <x:tableColumn id="9" name="capex_driver"/>
    <x:tableColumn id="10" name="capex_intensity_low"/>
    <x:tableColumn id="11" name="capex_intensity_base"/>
    <x:tableColumn id="12" name="capex_intensity_high"/>
    <x:tableColumn id="13" name="capex_unit"/>
    <x:tableColumn id="14" name="abatement_fraction_low"/>
    <x:tableColumn id="15" name="abatement_fraction_base"/>
    <x:tableColumn id="16" name="abatement_fraction_high"/>
    <x:tableColumn id="17" name="currency"/>
    <x:tableColumn id="18" name="price_year"/>
    <x:tableColumn id="19" name="value_type"/>
    <x:tableColumn id="20" name="quality_flag"/>
    <x:tableColumn id="21" name="source_id"/>
    <x:tableColumn id="22" name="formula_or_method"/>
    <x:tableColumn id="23" name="binding_constraint"/>
    <x:tableColumn id="24" name="dominant_common_factor"/>
    <x:tableColumn id="2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P14" headerRowCount="1" totalsRowCount="0" totalsRowShown="0">
  <x:tableColumns count="16">
    <x:tableColumn id="1" name="source_id"/>
    <x:tableColumn id="2" name="publisher"/>
    <x:tableColumn id="3" name="title"/>
    <x:tableColumn id="4" name="source_type"/>
    <x:tableColumn id="5" name="url_or_doi"/>
    <x:tableColumn id="6" name="publication_date"/>
    <x:tableColumn id="7" name="retrieved_at"/>
    <x:tableColumn id="8" name="reporting_start"/>
    <x:tableColumn id="9" name="reporting_end"/>
    <x:tableColumn id="10" name="location"/>
    <x:tableColumn id="11" name="licence"/>
    <x:tableColumn id="12" name="redistributable"/>
    <x:tableColumn id="13" name="file_name"/>
    <x:tableColumn id="14" name="sha256"/>
    <x:tableColumn id="15" name="extraction_method"/>
    <x:tableColumn id="16" name="qua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a72ff85af4d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d25bbb2479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0a17e848c846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1bad3907a542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34" hidden="0" customWidth="1"/>
    <x:col min="33" max="33" width="34" hidden="0" customWidth="1"/>
    <x:col min="34" max="34" width="34" hidden="0" customWidth="1"/>
    <x:col min="35" max="35" width="34" hidden="0" customWidth="1"/>
    <x:col min="36" max="36" width="34" hidden="0" customWidth="1"/>
    <x:col min="37" max="37" width="34" hidden="0" customWidth="1"/>
    <x:col min="38" max="38" width="28" hidden="0" customWidth="1"/>
  </x:cols>
  <x:sheetData>
    <x:row r="1">
      <x:c r="A1" s="8" t="str">
        <x:v>company_id</x:v>
      </x:c>
      <x:c r="B1" s="8" t="str">
        <x:v>company_name</x:v>
      </x:c>
      <x:c r="C1" s="8" t="str">
        <x:v>country</x:v>
      </x:c>
      <x:c r="D1" s="8" t="str">
        <x:v>sector</x:v>
      </x:c>
      <x:c r="E1" s="8" t="str">
        <x:v>case</x:v>
      </x:c>
      <x:c r="F1" s="8" t="str">
        <x:v>official_company_baseline_tco2e</x:v>
      </x:c>
      <x:c r="G1" s="8" t="str">
        <x:v>facility_seed_baseline_tco2e</x:v>
      </x:c>
      <x:c r="H1" s="8" t="str">
        <x:v>facility_reconciliation_ratio</x:v>
      </x:c>
      <x:c r="I1" s="8" t="str">
        <x:v>modelled_facility_count</x:v>
      </x:c>
      <x:c r="J1" s="8" t="str">
        <x:v>total_facility_count</x:v>
      </x:c>
      <x:c r="K1" s="8" t="str">
        <x:v>emissions_coverage_ratio</x:v>
      </x:c>
      <x:c r="L1" s="8" t="str">
        <x:v>production_coverage_ratio</x:v>
      </x:c>
      <x:c r="M1" s="8" t="str">
        <x:v>unmodelled_residual_emissions_tco2e</x:v>
      </x:c>
      <x:c r="N1" s="8" t="str">
        <x:v>transition_operational_ghg_tco2e</x:v>
      </x:c>
      <x:c r="O1" s="8" t="str">
        <x:v>modelled_operational_abatement_tco2e</x:v>
      </x:c>
      <x:c r="P1" s="8" t="str">
        <x:v>system_abatement_status</x:v>
      </x:c>
      <x:c r="Q1" s="8" t="str">
        <x:v>transition_capex_usd_2025</x:v>
      </x:c>
      <x:c r="R1" s="8" t="str">
        <x:v>capex_by_2030_usd_2025</x:v>
      </x:c>
      <x:c r="S1" s="8" t="str">
        <x:v>capex_2031_2040_usd_2025</x:v>
      </x:c>
      <x:c r="T1" s="8" t="str">
        <x:v>capex_2041_2050_usd_2025</x:v>
      </x:c>
      <x:c r="U1" s="8" t="str">
        <x:v>cumulative_capex_2030_usd_2025</x:v>
      </x:c>
      <x:c r="V1" s="8" t="str">
        <x:v>cumulative_capex_2040_usd_2025</x:v>
      </x:c>
      <x:c r="W1" s="8" t="str">
        <x:v>cumulative_capex_2050_usd_2025</x:v>
      </x:c>
      <x:c r="X1" s="8" t="str">
        <x:v>annual_operational_abatement_per_usd_million_capex</x:v>
      </x:c>
      <x:c r="Y1" s="8" t="str">
        <x:v>no_regret_capex_share</x:v>
      </x:c>
      <x:c r="Z1" s="8" t="str">
        <x:v>price_conditional_capex_share</x:v>
      </x:c>
      <x:c r="AA1" s="8" t="str">
        <x:v>contract_dependent_capex_share</x:v>
      </x:c>
      <x:c r="AB1" s="8" t="str">
        <x:v>level_support_dependent_capex_share</x:v>
      </x:c>
      <x:c r="AC1" s="8" t="str">
        <x:v>largest_capex_facility_id</x:v>
      </x:c>
      <x:c r="AD1" s="8" t="str">
        <x:v>largest_capex_facility_share</x:v>
      </x:c>
      <x:c r="AE1" s="8" t="str">
        <x:v>dominant_common_factors</x:v>
      </x:c>
      <x:c r="AF1" s="8" t="str">
        <x:v>currency</x:v>
      </x:c>
      <x:c r="AG1" s="8" t="str">
        <x:v>price_year</x:v>
      </x:c>
      <x:c r="AH1" s="8" t="str">
        <x:v>value_type</x:v>
      </x:c>
      <x:c r="AI1" s="8" t="str">
        <x:v>quality_flag</x:v>
      </x:c>
      <x:c r="AJ1" s="8" t="str">
        <x:v>source_id</x:v>
      </x:c>
      <x:c r="AK1" s="8" t="str">
        <x:v>method_note</x:v>
      </x:c>
      <x:c r="AL1" s="42" t="str">
        <x:v>company_case_key</x:v>
      </x:c>
    </x:row>
    <x:row r="2">
      <x:c r="A2" s="18" t="str">
        <x:v>POSCO</x:v>
      </x:c>
      <x:c r="B2" s="18" t="str">
        <x:v>POSCO</x:v>
      </x:c>
      <x:c r="C2" s="18" t="str">
        <x:v>Korea</x:v>
      </x:c>
      <x:c r="D2" s="18" t="str">
        <x:v>steel</x:v>
      </x:c>
      <x:c r="E2" s="18" t="str">
        <x:v>low</x:v>
      </x:c>
      <x:c r="F2" s="24" t="str">
        <x:v>69846050</x:v>
      </x:c>
      <x:c r="G2" s="24" t="str">
        <x:v>62861445</x:v>
      </x:c>
      <x:c r="H2" s="24" t="str">
        <x:v>1</x:v>
      </x:c>
      <x:c r="I2" s="24" t="str">
        <x:v>2</x:v>
      </x:c>
      <x:c r="J2" s="24" t="str">
        <x:v>2</x:v>
      </x:c>
      <x:c r="K2" s="24" t="str">
        <x:v>1</x:v>
      </x:c>
      <x:c r="L2" s="24" t="str">
        <x:v>NA</x:v>
      </x:c>
      <x:c r="M2" s="24" t="str">
        <x:v>0</x:v>
      </x:c>
      <x:c r="N2" s="24" t="str">
        <x:v>27938420</x:v>
      </x:c>
      <x:c r="O2" s="24" t="str">
        <x:v>34923025</x:v>
      </x:c>
      <x:c r="P2" s="24" t="str">
        <x:v>not_modelled; leakage and replacement production pending</x:v>
      </x:c>
      <x:c r="Q2" s="24" t="str">
        <x:v>9508744430.7</x:v>
      </x:c>
      <x:c r="R2" s="24" t="str">
        <x:v>2593293935.7</x:v>
      </x:c>
      <x:c r="S2" s="24" t="str">
        <x:v>6915450495</x:v>
      </x:c>
      <x:c r="T2" s="24" t="str">
        <x:v>0</x:v>
      </x:c>
      <x:c r="U2" s="24" t="str">
        <x:v>2593293935.7</x:v>
      </x:c>
      <x:c r="V2" s="24" t="str">
        <x:v>9508744430.7</x:v>
      </x:c>
      <x:c r="W2" s="24" t="str">
        <x:v>9508744430.7</x:v>
      </x:c>
      <x:c r="X2" s="18" t="str">
        <x:v>3672.727272724595765488754751</x:v>
      </x:c>
      <x:c r="Y2" s="30" t="str">
        <x:v>0</x:v>
      </x:c>
      <x:c r="Z2" s="30" t="str">
        <x:v>0.2727272727330090739526683912</x:v>
      </x:c>
      <x:c r="AA2" s="30" t="str">
        <x:v>0.7272727272669909260473316088</x:v>
      </x:c>
      <x:c r="AB2" s="30" t="str">
        <x:v>0</x:v>
      </x:c>
      <x:c r="AC2" s="18" t="str">
        <x:v>KR_POSCO_POHANG</x:v>
      </x:c>
      <x:c r="AD2" s="30" t="str">
        <x:v>0.7272727272669909260473316088</x:v>
      </x:c>
      <x:c r="AE2" s="36" t="str">
        <x:v>hydrogen and clean electricity|scrap and electricity</x:v>
      </x:c>
      <x:c r="AF2" s="36" t="str">
        <x:v>USD</x:v>
      </x:c>
      <x:c r="AG2" s="36" t="str">
        <x:v>2025 screening proxy</x:v>
      </x:c>
      <x:c r="AH2" s="36" t="str">
        <x:v>Modelled</x:v>
      </x:c>
      <x:c r="AI2" s="36" t="str">
        <x:v>D</x:v>
      </x:c>
      <x:c r="AJ2" s="36" t="str">
        <x:v>IEA_STEEL_BREAKTHROUGH_2025|NEDO_H2_STEEL_2026|POSCO_CLIMATE_2026|POSCO_ESG_2025</x:v>
      </x:c>
      <x:c r="AK2" s="36" t="str">
        <x:v>Facility calculation and company aggregation; screening CAPEX and operational abatement only. Cost gap, verified support, system abatement and production coverage remain pending.</x:v>
      </x:c>
      <x:c r="AL2" t="str">
        <x:f>A2&amp;"|"&amp;E2</x:f>
        <x:v>POSCO|low</x:v>
      </x:c>
    </x:row>
    <x:row r="3">
      <x:c r="A3" s="19" t="str">
        <x:v>POSCO</x:v>
      </x:c>
      <x:c r="B3" s="19" t="str">
        <x:v>POSCO</x:v>
      </x:c>
      <x:c r="C3" s="19" t="str">
        <x:v>Korea</x:v>
      </x:c>
      <x:c r="D3" s="19" t="str">
        <x:v>steel</x:v>
      </x:c>
      <x:c r="E3" s="19" t="str">
        <x:v>base</x:v>
      </x:c>
      <x:c r="F3" s="25" t="str">
        <x:v>69846050</x:v>
      </x:c>
      <x:c r="G3" s="25" t="str">
        <x:v>69846050</x:v>
      </x:c>
      <x:c r="H3" s="25" t="str">
        <x:v>1</x:v>
      </x:c>
      <x:c r="I3" s="25" t="str">
        <x:v>2</x:v>
      </x:c>
      <x:c r="J3" s="25" t="str">
        <x:v>2</x:v>
      </x:c>
      <x:c r="K3" s="25" t="str">
        <x:v>1</x:v>
      </x:c>
      <x:c r="L3" s="25" t="str">
        <x:v>NA</x:v>
      </x:c>
      <x:c r="M3" s="25" t="str">
        <x:v>0</x:v>
      </x:c>
      <x:c r="N3" s="25" t="str">
        <x:v>17461512.5</x:v>
      </x:c>
      <x:c r="O3" s="25" t="str">
        <x:v>52384537.5</x:v>
      </x:c>
      <x:c r="P3" s="25" t="str">
        <x:v>not_modelled; leakage and replacement production pending</x:v>
      </x:c>
      <x:c r="Q3" s="25" t="str">
        <x:v>18153057549.5</x:v>
      </x:c>
      <x:c r="R3" s="25" t="str">
        <x:v>5705246658.3</x:v>
      </x:c>
      <x:c r="S3" s="25" t="str">
        <x:v>12447810891.2</x:v>
      </x:c>
      <x:c r="T3" s="25" t="str">
        <x:v>0</x:v>
      </x:c>
      <x:c r="U3" s="25" t="str">
        <x:v>5705246658.3</x:v>
      </x:c>
      <x:c r="V3" s="25" t="str">
        <x:v>18153057549.5</x:v>
      </x:c>
      <x:c r="W3" s="25" t="str">
        <x:v>18153057549.5</x:v>
      </x:c>
      <x:c r="X3" s="19" t="str">
        <x:v>2885.71428571507267341074101</x:v>
      </x:c>
      <x:c r="Y3" s="31" t="str">
        <x:v>0</x:v>
      </x:c>
      <x:c r="Z3" s="31" t="str">
        <x:v>0.3142857142794186127140719226</x:v>
      </x:c>
      <x:c r="AA3" s="31" t="str">
        <x:v>0.6857142857205813872859280774</x:v>
      </x:c>
      <x:c r="AB3" s="31" t="str">
        <x:v>0</x:v>
      </x:c>
      <x:c r="AC3" s="19" t="str">
        <x:v>KR_POSCO_POHANG</x:v>
      </x:c>
      <x:c r="AD3" s="31" t="str">
        <x:v>0.6857142857205813872859280774</x:v>
      </x:c>
      <x:c r="AE3" s="37" t="str">
        <x:v>hydrogen and clean electricity|scrap and electricity</x:v>
      </x:c>
      <x:c r="AF3" s="37" t="str">
        <x:v>USD</x:v>
      </x:c>
      <x:c r="AG3" s="37" t="str">
        <x:v>2025 screening proxy</x:v>
      </x:c>
      <x:c r="AH3" s="37" t="str">
        <x:v>Modelled</x:v>
      </x:c>
      <x:c r="AI3" s="37" t="str">
        <x:v>D</x:v>
      </x:c>
      <x:c r="AJ3" s="37" t="str">
        <x:v>IEA_STEEL_BREAKTHROUGH_2025|NEDO_H2_STEEL_2026|POSCO_CLIMATE_2026|POSCO_ESG_2025</x:v>
      </x:c>
      <x:c r="AK3" s="37" t="str">
        <x:v>Facility calculation and company aggregation; screening CAPEX and operational abatement only. Cost gap, verified support, system abatement and production coverage remain pending.</x:v>
      </x:c>
      <x:c r="AL3" t="str">
        <x:f>A3&amp;"|"&amp;E3</x:f>
        <x:v>POSCO|base</x:v>
      </x:c>
    </x:row>
    <x:row r="4">
      <x:c r="A4" s="19" t="str">
        <x:v>POSCO</x:v>
      </x:c>
      <x:c r="B4" s="19" t="str">
        <x:v>POSCO</x:v>
      </x:c>
      <x:c r="C4" s="19" t="str">
        <x:v>Korea</x:v>
      </x:c>
      <x:c r="D4" s="19" t="str">
        <x:v>steel</x:v>
      </x:c>
      <x:c r="E4" s="19" t="str">
        <x:v>high</x:v>
      </x:c>
      <x:c r="F4" s="25" t="str">
        <x:v>69846050</x:v>
      </x:c>
      <x:c r="G4" s="25" t="str">
        <x:v>76830655</x:v>
      </x:c>
      <x:c r="H4" s="25" t="str">
        <x:v>1</x:v>
      </x:c>
      <x:c r="I4" s="25" t="str">
        <x:v>2</x:v>
      </x:c>
      <x:c r="J4" s="25" t="str">
        <x:v>2</x:v>
      </x:c>
      <x:c r="K4" s="25" t="str">
        <x:v>1</x:v>
      </x:c>
      <x:c r="L4" s="25" t="str">
        <x:v>NA</x:v>
      </x:c>
      <x:c r="M4" s="25" t="str">
        <x:v>0</x:v>
      </x:c>
      <x:c r="N4" s="25" t="str">
        <x:v>12223058.75</x:v>
      </x:c>
      <x:c r="O4" s="25" t="str">
        <x:v>64607596.25</x:v>
      </x:c>
      <x:c r="P4" s="25" t="str">
        <x:v>not_modelled; leakage and replacement production pending</x:v>
      </x:c>
      <x:c r="Q4" s="25" t="str">
        <x:v>31119527228.1</x:v>
      </x:c>
      <x:c r="R4" s="25" t="str">
        <x:v>10373175742.5</x:v>
      </x:c>
      <x:c r="S4" s="25" t="str">
        <x:v>20746351485.6</x:v>
      </x:c>
      <x:c r="T4" s="25" t="str">
        <x:v>0</x:v>
      </x:c>
      <x:c r="U4" s="25" t="str">
        <x:v>10373175742.5</x:v>
      </x:c>
      <x:c r="V4" s="25" t="str">
        <x:v>31119527228.1</x:v>
      </x:c>
      <x:c r="W4" s="25" t="str">
        <x:v>31119527228.1</x:v>
      </x:c>
      <x:c r="X4" s="19" t="str">
        <x:v>2076.111111085944704792460786</x:v>
      </x:c>
      <x:c r="Y4" s="31" t="str">
        <x:v>0</x:v>
      </x:c>
      <x:c r="Z4" s="31" t="str">
        <x:v>0.3333333333269065004790280791</x:v>
      </x:c>
      <x:c r="AA4" s="31" t="str">
        <x:v>0.6666666666730934995209719209</x:v>
      </x:c>
      <x:c r="AB4" s="31" t="str">
        <x:v>0</x:v>
      </x:c>
      <x:c r="AC4" s="19" t="str">
        <x:v>KR_POSCO_POHANG</x:v>
      </x:c>
      <x:c r="AD4" s="31" t="str">
        <x:v>0.6666666666730934995209719209</x:v>
      </x:c>
      <x:c r="AE4" s="37" t="str">
        <x:v>hydrogen and clean electricity|scrap and electricity</x:v>
      </x:c>
      <x:c r="AF4" s="37" t="str">
        <x:v>USD</x:v>
      </x:c>
      <x:c r="AG4" s="37" t="str">
        <x:v>2025 screening proxy</x:v>
      </x:c>
      <x:c r="AH4" s="37" t="str">
        <x:v>Modelled</x:v>
      </x:c>
      <x:c r="AI4" s="37" t="str">
        <x:v>D</x:v>
      </x:c>
      <x:c r="AJ4" s="37" t="str">
        <x:v>IEA_STEEL_BREAKTHROUGH_2025|NEDO_H2_STEEL_2026|POSCO_CLIMATE_2026|POSCO_ESG_2025</x:v>
      </x:c>
      <x:c r="AK4" s="37" t="str">
        <x:v>Facility calculation and company aggregation; screening CAPEX and operational abatement only. Cost gap, verified support, system abatement and production coverage remain pending.</x:v>
      </x:c>
      <x:c r="AL4" t="str">
        <x:f>A4&amp;"|"&amp;E4</x:f>
        <x:v>POSCO|high</x:v>
      </x:c>
    </x:row>
    <x:row r="5">
      <x:c r="A5" s="19" t="str">
        <x:v>NIPPON_STEEL</x:v>
      </x:c>
      <x:c r="B5" s="19" t="str">
        <x:v>Nippon Steel Corporation</x:v>
      </x:c>
      <x:c r="C5" s="19" t="str">
        <x:v>Japan</x:v>
      </x:c>
      <x:c r="D5" s="19" t="str">
        <x:v>steel</x:v>
      </x:c>
      <x:c r="E5" s="19" t="str">
        <x:v>low</x:v>
      </x:c>
      <x:c r="F5" s="25" t="str">
        <x:v>79013000</x:v>
      </x:c>
      <x:c r="G5" s="25" t="str">
        <x:v>67161050.001</x:v>
      </x:c>
      <x:c r="H5" s="25" t="str">
        <x:v>1.000000000012656145191297635</x:v>
      </x:c>
      <x:c r="I5" s="25" t="str">
        <x:v>11</x:v>
      </x:c>
      <x:c r="J5" s="25" t="str">
        <x:v>11</x:v>
      </x:c>
      <x:c r="K5" s="25" t="str">
        <x:v>1.000000000012656145191297635</x:v>
      </x:c>
      <x:c r="L5" s="25" t="str">
        <x:v>NA</x:v>
      </x:c>
      <x:c r="M5" s="25" t="str">
        <x:v>0</x:v>
      </x:c>
      <x:c r="N5" s="25" t="str">
        <x:v>34663612.4613</x:v>
      </x:c>
      <x:c r="O5" s="25" t="str">
        <x:v>32497437.5397</x:v>
      </x:c>
      <x:c r="P5" s="25" t="str">
        <x:v>not_modelled; leakage and replacement production pending</x:v>
      </x:c>
      <x:c r="Q5" s="25" t="str">
        <x:v>16846250000</x:v>
      </x:c>
      <x:c r="R5" s="25" t="str">
        <x:v>31250000</x:v>
      </x:c>
      <x:c r="S5" s="25" t="str">
        <x:v>16815000000</x:v>
      </x:c>
      <x:c r="T5" s="25" t="str">
        <x:v>0</x:v>
      </x:c>
      <x:c r="U5" s="25" t="str">
        <x:v>31250000</x:v>
      </x:c>
      <x:c r="V5" s="25" t="str">
        <x:v>16846250000</x:v>
      </x:c>
      <x:c r="W5" s="25" t="str">
        <x:v>16846250000</x:v>
      </x:c>
      <x:c r="X5" s="19" t="str">
        <x:v>1929.06062415671143429546635</x:v>
      </x:c>
      <x:c r="Y5" s="31" t="str">
        <x:v>0</x:v>
      </x:c>
      <x:c r="Z5" s="31" t="str">
        <x:v>0.001855012243080804333308599837</x:v>
      </x:c>
      <x:c r="AA5" s="31" t="str">
        <x:v>0.9981449877569191956666914002</x:v>
      </x:c>
      <x:c r="AB5" s="31" t="str">
        <x:v>0</x:v>
      </x:c>
      <x:c r="AC5" s="19" t="str">
        <x:v>JP_NSC_OITA</x:v>
      </x:c>
      <x:c r="AD5" s="31" t="str">
        <x:v>0.2478296356755954589300289382</x:v>
      </x:c>
      <x:c r="AE5" s="37" t="str">
        <x:v>electricity|hydrogen and clean electricity</x:v>
      </x:c>
      <x:c r="AF5" s="37" t="str">
        <x:v>USD</x:v>
      </x:c>
      <x:c r="AG5" s="37" t="str">
        <x:v>2025 screening proxy</x:v>
      </x:c>
      <x:c r="AH5" s="37" t="str">
        <x:v>Modelled</x:v>
      </x:c>
      <x:c r="AI5" s="37" t="str">
        <x:v>D</x:v>
      </x:c>
      <x:c r="AJ5" s="37" t="str">
        <x:v>IEA_STEEL_BREAKTHROUGH_2025|NEDO_H2_STEEL_2026|NSC_DB_2025|POSCO_CLIMATE_2026</x:v>
      </x:c>
      <x:c r="AK5" s="37" t="str">
        <x:v>Facility calculation and company aggregation; screening CAPEX and operational abatement only. Cost gap, verified support, system abatement and production coverage remain pending.</x:v>
      </x:c>
      <x:c r="AL5" t="str">
        <x:f>A5&amp;"|"&amp;E5</x:f>
        <x:v>NIPPON_STEEL|low</x:v>
      </x:c>
    </x:row>
    <x:row r="6">
      <x:c r="A6" s="19" t="str">
        <x:v>NIPPON_STEEL</x:v>
      </x:c>
      <x:c r="B6" s="19" t="str">
        <x:v>Nippon Steel Corporation</x:v>
      </x:c>
      <x:c r="C6" s="19" t="str">
        <x:v>Japan</x:v>
      </x:c>
      <x:c r="D6" s="19" t="str">
        <x:v>steel</x:v>
      </x:c>
      <x:c r="E6" s="19" t="str">
        <x:v>base</x:v>
      </x:c>
      <x:c r="F6" s="25" t="str">
        <x:v>79013000</x:v>
      </x:c>
      <x:c r="G6" s="25" t="str">
        <x:v>79013000.001</x:v>
      </x:c>
      <x:c r="H6" s="25" t="str">
        <x:v>1.000000000012656145191297635</x:v>
      </x:c>
      <x:c r="I6" s="25" t="str">
        <x:v>11</x:v>
      </x:c>
      <x:c r="J6" s="25" t="str">
        <x:v>11</x:v>
      </x:c>
      <x:c r="K6" s="25" t="str">
        <x:v>1.000000000012656145191297635</x:v>
      </x:c>
      <x:c r="L6" s="25" t="str">
        <x:v>NA</x:v>
      </x:c>
      <x:c r="M6" s="25" t="str">
        <x:v>0</x:v>
      </x:c>
      <x:c r="N6" s="25" t="str">
        <x:v>21593790.7835</x:v>
      </x:c>
      <x:c r="O6" s="25" t="str">
        <x:v>57419209.2175</x:v>
      </x:c>
      <x:c r="P6" s="25" t="str">
        <x:v>not_modelled; leakage and replacement production pending</x:v>
      </x:c>
      <x:c r="Q6" s="25" t="str">
        <x:v>26966500000</x:v>
      </x:c>
      <x:c r="R6" s="25" t="str">
        <x:v>62500000</x:v>
      </x:c>
      <x:c r="S6" s="25" t="str">
        <x:v>26904000000</x:v>
      </x:c>
      <x:c r="T6" s="25" t="str">
        <x:v>0</x:v>
      </x:c>
      <x:c r="U6" s="25" t="str">
        <x:v>62500000</x:v>
      </x:c>
      <x:c r="V6" s="25" t="str">
        <x:v>26966500000</x:v>
      </x:c>
      <x:c r="W6" s="25" t="str">
        <x:v>26966500000</x:v>
      </x:c>
      <x:c r="X6" s="19" t="str">
        <x:v>2129.279261954647432926037862</x:v>
      </x:c>
      <x:c r="Y6" s="31" t="str">
        <x:v>0</x:v>
      </x:c>
      <x:c r="Z6" s="31" t="str">
        <x:v>0.002317690467802644021285669256</x:v>
      </x:c>
      <x:c r="AA6" s="31" t="str">
        <x:v>0.9976823095321973559787143307</x:v>
      </x:c>
      <x:c r="AB6" s="31" t="str">
        <x:v>0</x:v>
      </x:c>
      <x:c r="AC6" s="19" t="str">
        <x:v>JP_NSC_OITA</x:v>
      </x:c>
      <x:c r="AD6" s="31" t="str">
        <x:v>0.2477147571987465929950123301</x:v>
      </x:c>
      <x:c r="AE6" s="37" t="str">
        <x:v>electricity|hydrogen and clean electricity</x:v>
      </x:c>
      <x:c r="AF6" s="37" t="str">
        <x:v>USD</x:v>
      </x:c>
      <x:c r="AG6" s="37" t="str">
        <x:v>2025 screening proxy</x:v>
      </x:c>
      <x:c r="AH6" s="37" t="str">
        <x:v>Modelled</x:v>
      </x:c>
      <x:c r="AI6" s="37" t="str">
        <x:v>D</x:v>
      </x:c>
      <x:c r="AJ6" s="37" t="str">
        <x:v>IEA_STEEL_BREAKTHROUGH_2025|NEDO_H2_STEEL_2026|NSC_DB_2025|POSCO_CLIMATE_2026</x:v>
      </x:c>
      <x:c r="AK6" s="37" t="str">
        <x:v>Facility calculation and company aggregation; screening CAPEX and operational abatement only. Cost gap, verified support, system abatement and production coverage remain pending.</x:v>
      </x:c>
      <x:c r="AL6" t="str">
        <x:f>A6&amp;"|"&amp;E6</x:f>
        <x:v>NIPPON_STEEL|base</x:v>
      </x:c>
    </x:row>
    <x:row r="7">
      <x:c r="A7" s="19" t="str">
        <x:v>NIPPON_STEEL</x:v>
      </x:c>
      <x:c r="B7" s="19" t="str">
        <x:v>Nippon Steel Corporation</x:v>
      </x:c>
      <x:c r="C7" s="19" t="str">
        <x:v>Japan</x:v>
      </x:c>
      <x:c r="D7" s="19" t="str">
        <x:v>steel</x:v>
      </x:c>
      <x:c r="E7" s="19" t="str">
        <x:v>high</x:v>
      </x:c>
      <x:c r="F7" s="25" t="str">
        <x:v>79013000</x:v>
      </x:c>
      <x:c r="G7" s="25" t="str">
        <x:v>90864950</x:v>
      </x:c>
      <x:c r="H7" s="25" t="str">
        <x:v>1.000000000012656145191297635</x:v>
      </x:c>
      <x:c r="I7" s="25" t="str">
        <x:v>11</x:v>
      </x:c>
      <x:c r="J7" s="25" t="str">
        <x:v>11</x:v>
      </x:c>
      <x:c r="K7" s="25" t="str">
        <x:v>1.000000000012656145191297635</x:v>
      </x:c>
      <x:c r="L7" s="25" t="str">
        <x:v>NA</x:v>
      </x:c>
      <x:c r="M7" s="25" t="str">
        <x:v>0</x:v>
      </x:c>
      <x:c r="N7" s="25" t="str">
        <x:v>7148320.608</x:v>
      </x:c>
      <x:c r="O7" s="25" t="str">
        <x:v>83716629.392</x:v>
      </x:c>
      <x:c r="P7" s="25" t="str">
        <x:v>not_modelled; leakage and replacement production pending</x:v>
      </x:c>
      <x:c r="Q7" s="25" t="str">
        <x:v>40481000000</x:v>
      </x:c>
      <x:c r="R7" s="25" t="str">
        <x:v>125000000</x:v>
      </x:c>
      <x:c r="S7" s="25" t="str">
        <x:v>40356000000</x:v>
      </x:c>
      <x:c r="T7" s="25" t="str">
        <x:v>0</x:v>
      </x:c>
      <x:c r="U7" s="25" t="str">
        <x:v>125000000</x:v>
      </x:c>
      <x:c r="V7" s="25" t="str">
        <x:v>40481000000</x:v>
      </x:c>
      <x:c r="W7" s="25" t="str">
        <x:v>40481000000</x:v>
      </x:c>
      <x:c r="X7" s="19" t="str">
        <x:v>2068.047464044860551863837356</x:v>
      </x:c>
      <x:c r="Y7" s="31" t="str">
        <x:v>0</x:v>
      </x:c>
      <x:c r="Z7" s="31" t="str">
        <x:v>0.003087868382698055878066253304</x:v>
      </x:c>
      <x:c r="AA7" s="31" t="str">
        <x:v>0.9969121316173019441219337467</x:v>
      </x:c>
      <x:c r="AB7" s="31" t="str">
        <x:v>0</x:v>
      </x:c>
      <x:c r="AC7" s="19" t="str">
        <x:v>JP_NSC_OITA</x:v>
      </x:c>
      <x:c r="AD7" s="31" t="str">
        <x:v>0.2475235295570761591857908649</x:v>
      </x:c>
      <x:c r="AE7" s="37" t="str">
        <x:v>electricity|hydrogen and clean electricity</x:v>
      </x:c>
      <x:c r="AF7" s="37" t="str">
        <x:v>USD</x:v>
      </x:c>
      <x:c r="AG7" s="37" t="str">
        <x:v>2025 screening proxy</x:v>
      </x:c>
      <x:c r="AH7" s="37" t="str">
        <x:v>Modelled</x:v>
      </x:c>
      <x:c r="AI7" s="37" t="str">
        <x:v>D</x:v>
      </x:c>
      <x:c r="AJ7" s="37" t="str">
        <x:v>IEA_STEEL_BREAKTHROUGH_2025|NEDO_H2_STEEL_2026|NSC_DB_2025|POSCO_CLIMATE_2026</x:v>
      </x:c>
      <x:c r="AK7" s="37" t="str">
        <x:v>Facility calculation and company aggregation; screening CAPEX and operational abatement only. Cost gap, verified support, system abatement and production coverage remain pending.</x:v>
      </x:c>
      <x:c r="AL7" t="str">
        <x:f>A7&amp;"|"&amp;E7</x:f>
        <x:v>NIPPON_STEEL|high</x:v>
      </x:c>
    </x:row>
    <x:row r="8">
      <x:c r="A8" s="19" t="str">
        <x:v>LOTTE_CHEMICAL</x:v>
      </x:c>
      <x:c r="B8" s="19" t="str">
        <x:v>LOTTE Chemical Corporation</x:v>
      </x:c>
      <x:c r="C8" s="19" t="str">
        <x:v>Korea</x:v>
      </x:c>
      <x:c r="D8" s="19" t="str">
        <x:v>petrochemicals</x:v>
      </x:c>
      <x:c r="E8" s="19" t="str">
        <x:v>low</x:v>
      </x:c>
      <x:c r="F8" s="25" t="str">
        <x:v>5370773</x:v>
      </x:c>
      <x:c r="G8" s="25" t="str">
        <x:v>5370778</x:v>
      </x:c>
      <x:c r="H8" s="25" t="str">
        <x:v>1.000000930964686088948462354</x:v>
      </x:c>
      <x:c r="I8" s="25" t="str">
        <x:v>3</x:v>
      </x:c>
      <x:c r="J8" s="25" t="str">
        <x:v>5</x:v>
      </x:c>
      <x:c r="K8" s="25" t="str">
        <x:v>0.9267086879300242255630614066</x:v>
      </x:c>
      <x:c r="L8" s="25" t="str">
        <x:v>NA</x:v>
      </x:c>
      <x:c r="M8" s="25" t="str">
        <x:v>393636</x:v>
      </x:c>
      <x:c r="N8" s="25" t="str">
        <x:v>3877635.4</x:v>
      </x:c>
      <x:c r="O8" s="25" t="str">
        <x:v>1493142.6</x:v>
      </x:c>
      <x:c r="P8" s="25" t="str">
        <x:v>not_modelled; leakage and replacement production pending</x:v>
      </x:c>
      <x:c r="Q8" s="25" t="str">
        <x:v>298628520</x:v>
      </x:c>
      <x:c r="R8" s="25" t="str">
        <x:v>0</x:v>
      </x:c>
      <x:c r="S8" s="25" t="str">
        <x:v>298628520</x:v>
      </x:c>
      <x:c r="T8" s="25" t="str">
        <x:v>0</x:v>
      </x:c>
      <x:c r="U8" s="25" t="str">
        <x:v>0</x:v>
      </x:c>
      <x:c r="V8" s="25" t="str">
        <x:v>298628520</x:v>
      </x:c>
      <x:c r="W8" s="25" t="str">
        <x:v>298628520</x:v>
      </x:c>
      <x:c r="X8" s="19" t="str">
        <x:v>5000</x:v>
      </x:c>
      <x:c r="Y8" s="31" t="str">
        <x:v>0</x:v>
      </x:c>
      <x:c r="Z8" s="31" t="str">
        <x:v>0</x:v>
      </x:c>
      <x:c r="AA8" s="31" t="str">
        <x:v>0</x:v>
      </x:c>
      <x:c r="AB8" s="31" t="str">
        <x:v>1</x:v>
      </x:c>
      <x:c r="AC8" s="19" t="str">
        <x:v>KR_LOTTE_YEOSU_BASIC</x:v>
      </x:c>
      <x:c r="AD8" s="31" t="str">
        <x:v>0.5205851068745878658876921735</x:v>
      </x:c>
      <x:c r="AE8" s="37" t="str">
        <x:v>electricity and technology cost|electricity, technology cost and ownership</x:v>
      </x:c>
      <x:c r="AF8" s="37" t="str">
        <x:v>USD</x:v>
      </x:c>
      <x:c r="AG8" s="37" t="str">
        <x:v>2025 screening proxy</x:v>
      </x:c>
      <x:c r="AH8" s="37" t="str">
        <x:v>Modelled</x:v>
      </x:c>
      <x:c r="AI8" s="37" t="str">
        <x:v>D</x:v>
      </x:c>
      <x:c r="AJ8" s="37" t="str">
        <x:v>IEA_CTG_2026|IEA_PETCHEM_COST_2018|LOTTE_ESG_2025|MCI_WEST_JAPAN_2026|NA</x:v>
      </x:c>
      <x:c r="AK8" s="37" t="str">
        <x:v>Facility calculation and company aggregation; screening CAPEX and operational abatement only. Cost gap, verified support, system abatement and production coverage remain pending.</x:v>
      </x:c>
      <x:c r="AL8" t="str">
        <x:f>A8&amp;"|"&amp;E8</x:f>
        <x:v>LOTTE_CHEMICAL|low</x:v>
      </x:c>
    </x:row>
    <x:row r="9">
      <x:c r="A9" s="19" t="str">
        <x:v>LOTTE_CHEMICAL</x:v>
      </x:c>
      <x:c r="B9" s="19" t="str">
        <x:v>LOTTE Chemical Corporation</x:v>
      </x:c>
      <x:c r="C9" s="19" t="str">
        <x:v>Korea</x:v>
      </x:c>
      <x:c r="D9" s="19" t="str">
        <x:v>petrochemicals</x:v>
      </x:c>
      <x:c r="E9" s="19" t="str">
        <x:v>base</x:v>
      </x:c>
      <x:c r="F9" s="25" t="str">
        <x:v>5370773</x:v>
      </x:c>
      <x:c r="G9" s="25" t="str">
        <x:v>5370778</x:v>
      </x:c>
      <x:c r="H9" s="25" t="str">
        <x:v>1.000000930964686088948462354</x:v>
      </x:c>
      <x:c r="I9" s="25" t="str">
        <x:v>3</x:v>
      </x:c>
      <x:c r="J9" s="25" t="str">
        <x:v>5</x:v>
      </x:c>
      <x:c r="K9" s="25" t="str">
        <x:v>0.9267086879300242255630614066</x:v>
      </x:c>
      <x:c r="L9" s="25" t="str">
        <x:v>NA</x:v>
      </x:c>
      <x:c r="M9" s="25" t="str">
        <x:v>393636</x:v>
      </x:c>
      <x:c r="N9" s="25" t="str">
        <x:v>2882207</x:v>
      </x:c>
      <x:c r="O9" s="25" t="str">
        <x:v>2488571</x:v>
      </x:c>
      <x:c r="P9" s="25" t="str">
        <x:v>not_modelled; leakage and replacement production pending</x:v>
      </x:c>
      <x:c r="Q9" s="25" t="str">
        <x:v>746571300</x:v>
      </x:c>
      <x:c r="R9" s="25" t="str">
        <x:v>0</x:v>
      </x:c>
      <x:c r="S9" s="25" t="str">
        <x:v>746571300</x:v>
      </x:c>
      <x:c r="T9" s="25" t="str">
        <x:v>0</x:v>
      </x:c>
      <x:c r="U9" s="25" t="str">
        <x:v>0</x:v>
      </x:c>
      <x:c r="V9" s="25" t="str">
        <x:v>746571300</x:v>
      </x:c>
      <x:c r="W9" s="25" t="str">
        <x:v>746571300</x:v>
      </x:c>
      <x:c r="X9" s="19" t="str">
        <x:v>3333.333333333333333333333333</x:v>
      </x:c>
      <x:c r="Y9" s="31" t="str">
        <x:v>0</x:v>
      </x:c>
      <x:c r="Z9" s="31" t="str">
        <x:v>0</x:v>
      </x:c>
      <x:c r="AA9" s="31" t="str">
        <x:v>0</x:v>
      </x:c>
      <x:c r="AB9" s="31" t="str">
        <x:v>1</x:v>
      </x:c>
      <x:c r="AC9" s="19" t="str">
        <x:v>KR_LOTTE_YEOSU_BASIC</x:v>
      </x:c>
      <x:c r="AD9" s="31" t="str">
        <x:v>0.5205851068745878658876921735</x:v>
      </x:c>
      <x:c r="AE9" s="37" t="str">
        <x:v>electricity and technology cost|electricity, technology cost and ownership</x:v>
      </x:c>
      <x:c r="AF9" s="37" t="str">
        <x:v>USD</x:v>
      </x:c>
      <x:c r="AG9" s="37" t="str">
        <x:v>2025 screening proxy</x:v>
      </x:c>
      <x:c r="AH9" s="37" t="str">
        <x:v>Modelled</x:v>
      </x:c>
      <x:c r="AI9" s="37" t="str">
        <x:v>D</x:v>
      </x:c>
      <x:c r="AJ9" s="37" t="str">
        <x:v>IEA_CTG_2026|IEA_PETCHEM_COST_2018|LOTTE_ESG_2025|MCI_WEST_JAPAN_2026|NA</x:v>
      </x:c>
      <x:c r="AK9" s="37" t="str">
        <x:v>Facility calculation and company aggregation; screening CAPEX and operational abatement only. Cost gap, verified support, system abatement and production coverage remain pending.</x:v>
      </x:c>
      <x:c r="AL9" t="str">
        <x:f>A9&amp;"|"&amp;E9</x:f>
        <x:v>LOTTE_CHEMICAL|base</x:v>
      </x:c>
    </x:row>
    <x:row r="10">
      <x:c r="A10" s="19" t="str">
        <x:v>LOTTE_CHEMICAL</x:v>
      </x:c>
      <x:c r="B10" s="19" t="str">
        <x:v>LOTTE Chemical Corporation</x:v>
      </x:c>
      <x:c r="C10" s="19" t="str">
        <x:v>Korea</x:v>
      </x:c>
      <x:c r="D10" s="19" t="str">
        <x:v>petrochemicals</x:v>
      </x:c>
      <x:c r="E10" s="19" t="str">
        <x:v>high</x:v>
      </x:c>
      <x:c r="F10" s="25" t="str">
        <x:v>5370773</x:v>
      </x:c>
      <x:c r="G10" s="25" t="str">
        <x:v>5370778</x:v>
      </x:c>
      <x:c r="H10" s="25" t="str">
        <x:v>1.000000930964686088948462354</x:v>
      </x:c>
      <x:c r="I10" s="25" t="str">
        <x:v>3</x:v>
      </x:c>
      <x:c r="J10" s="25" t="str">
        <x:v>5</x:v>
      </x:c>
      <x:c r="K10" s="25" t="str">
        <x:v>0.9267086879300242255630614066</x:v>
      </x:c>
      <x:c r="L10" s="25" t="str">
        <x:v>NA</x:v>
      </x:c>
      <x:c r="M10" s="25" t="str">
        <x:v>393636</x:v>
      </x:c>
      <x:c r="N10" s="25" t="str">
        <x:v>1886778.6</x:v>
      </x:c>
      <x:c r="O10" s="25" t="str">
        <x:v>3483999.4</x:v>
      </x:c>
      <x:c r="P10" s="25" t="str">
        <x:v>not_modelled; leakage and replacement production pending</x:v>
      </x:c>
      <x:c r="Q10" s="25" t="str">
        <x:v>1741999700</x:v>
      </x:c>
      <x:c r="R10" s="25" t="str">
        <x:v>0</x:v>
      </x:c>
      <x:c r="S10" s="25" t="str">
        <x:v>1741999700</x:v>
      </x:c>
      <x:c r="T10" s="25" t="str">
        <x:v>0</x:v>
      </x:c>
      <x:c r="U10" s="25" t="str">
        <x:v>0</x:v>
      </x:c>
      <x:c r="V10" s="25" t="str">
        <x:v>1741999700</x:v>
      </x:c>
      <x:c r="W10" s="25" t="str">
        <x:v>1741999700</x:v>
      </x:c>
      <x:c r="X10" s="19" t="str">
        <x:v>2000</x:v>
      </x:c>
      <x:c r="Y10" s="31" t="str">
        <x:v>0</x:v>
      </x:c>
      <x:c r="Z10" s="31" t="str">
        <x:v>0</x:v>
      </x:c>
      <x:c r="AA10" s="31" t="str">
        <x:v>0</x:v>
      </x:c>
      <x:c r="AB10" s="31" t="str">
        <x:v>1</x:v>
      </x:c>
      <x:c r="AC10" s="19" t="str">
        <x:v>KR_LOTTE_YEOSU_BASIC</x:v>
      </x:c>
      <x:c r="AD10" s="31" t="str">
        <x:v>0.5205851068745878658876921735</x:v>
      </x:c>
      <x:c r="AE10" s="37" t="str">
        <x:v>electricity and technology cost|electricity, technology cost and ownership</x:v>
      </x:c>
      <x:c r="AF10" s="37" t="str">
        <x:v>USD</x:v>
      </x:c>
      <x:c r="AG10" s="37" t="str">
        <x:v>2025 screening proxy</x:v>
      </x:c>
      <x:c r="AH10" s="37" t="str">
        <x:v>Modelled</x:v>
      </x:c>
      <x:c r="AI10" s="37" t="str">
        <x:v>D</x:v>
      </x:c>
      <x:c r="AJ10" s="37" t="str">
        <x:v>IEA_CTG_2026|IEA_PETCHEM_COST_2018|LOTTE_ESG_2025|MCI_WEST_JAPAN_2026|NA</x:v>
      </x:c>
      <x:c r="AK10" s="37" t="str">
        <x:v>Facility calculation and company aggregation; screening CAPEX and operational abatement only. Cost gap, verified support, system abatement and production coverage remain pending.</x:v>
      </x:c>
      <x:c r="AL10" t="str">
        <x:f>A10&amp;"|"&amp;E10</x:f>
        <x:v>LOTTE_CHEMICAL|high</x:v>
      </x:c>
    </x:row>
    <x:row r="11">
      <x:c r="A11" s="19" t="str">
        <x:v>MITSUI_CHEMICALS</x:v>
      </x:c>
      <x:c r="B11" s="19" t="str">
        <x:v>Mitsui Chemicals, Inc.</x:v>
      </x:c>
      <x:c r="C11" s="19" t="str">
        <x:v>Japan</x:v>
      </x:c>
      <x:c r="D11" s="19" t="str">
        <x:v>petrochemicals</x:v>
      </x:c>
      <x:c r="E11" s="19" t="str">
        <x:v>low</x:v>
      </x:c>
      <x:c r="F11" s="25" t="str">
        <x:v>3869000</x:v>
      </x:c>
      <x:c r="G11" s="25" t="str">
        <x:v>2708300</x:v>
      </x:c>
      <x:c r="H11" s="25" t="str">
        <x:v>1</x:v>
      </x:c>
      <x:c r="I11" s="25" t="str">
        <x:v>4</x:v>
      </x:c>
      <x:c r="J11" s="25" t="str">
        <x:v>7</x:v>
      </x:c>
      <x:c r="K11" s="25" t="str">
        <x:v>0.85</x:v>
      </x:c>
      <x:c r="L11" s="25" t="str">
        <x:v>NA</x:v>
      </x:c>
      <x:c r="M11" s="25" t="str">
        <x:v>232140</x:v>
      </x:c>
      <x:c r="N11" s="25" t="str">
        <x:v>1965452</x:v>
      </x:c>
      <x:c r="O11" s="25" t="str">
        <x:v>742848</x:v>
      </x:c>
      <x:c r="P11" s="25" t="str">
        <x:v>not_modelled; leakage and replacement production pending</x:v>
      </x:c>
      <x:c r="Q11" s="25" t="str">
        <x:v>148569600</x:v>
      </x:c>
      <x:c r="R11" s="25" t="str">
        <x:v>0</x:v>
      </x:c>
      <x:c r="S11" s="25" t="str">
        <x:v>148569600</x:v>
      </x:c>
      <x:c r="T11" s="25" t="str">
        <x:v>0</x:v>
      </x:c>
      <x:c r="U11" s="25" t="str">
        <x:v>0</x:v>
      </x:c>
      <x:c r="V11" s="25" t="str">
        <x:v>148569600</x:v>
      </x:c>
      <x:c r="W11" s="25" t="str">
        <x:v>148569600</x:v>
      </x:c>
      <x:c r="X11" s="19" t="str">
        <x:v>5000</x:v>
      </x:c>
      <x:c r="Y11" s="31" t="str">
        <x:v>0</x:v>
      </x:c>
      <x:c r="Z11" s="31" t="str">
        <x:v>0</x:v>
      </x:c>
      <x:c r="AA11" s="31" t="str">
        <x:v>0</x:v>
      </x:c>
      <x:c r="AB11" s="31" t="str">
        <x:v>1</x:v>
      </x:c>
      <x:c r="AC11" s="19" t="str">
        <x:v>JP_MCI_ICHIHARA</x:v>
      </x:c>
      <x:c r="AD11" s="31" t="str">
        <x:v>0.390625</x:v>
      </x:c>
      <x:c r="AE11" s="37" t="str">
        <x:v>electricity and technology cost|electricity, technology cost and JV rights</x:v>
      </x:c>
      <x:c r="AF11" s="37" t="str">
        <x:v>USD</x:v>
      </x:c>
      <x:c r="AG11" s="37" t="str">
        <x:v>2025 screening proxy</x:v>
      </x:c>
      <x:c r="AH11" s="37" t="str">
        <x:v>Modelled</x:v>
      </x:c>
      <x:c r="AI11" s="37" t="str">
        <x:v>D</x:v>
      </x:c>
      <x:c r="AJ11" s="37" t="str">
        <x:v>IEA_CTG_2026|IEA_PETCHEM_COST_2018|MCI_ESG_2025|MCI_WEST_JAPAN_2026|MCI_WORKS_2026|NA</x:v>
      </x:c>
      <x:c r="AK11" s="37" t="str">
        <x:v>Facility calculation and company aggregation; screening CAPEX and operational abatement only. Cost gap, verified support, system abatement and production coverage remain pending.</x:v>
      </x:c>
      <x:c r="AL11" t="str">
        <x:f>A11&amp;"|"&amp;E11</x:f>
        <x:v>MITSUI_CHEMICALS|low</x:v>
      </x:c>
    </x:row>
    <x:row r="12">
      <x:c r="A12" s="19" t="str">
        <x:v>MITSUI_CHEMICALS</x:v>
      </x:c>
      <x:c r="B12" s="19" t="str">
        <x:v>Mitsui Chemicals, Inc.</x:v>
      </x:c>
      <x:c r="C12" s="19" t="str">
        <x:v>Japan</x:v>
      </x:c>
      <x:c r="D12" s="19" t="str">
        <x:v>petrochemicals</x:v>
      </x:c>
      <x:c r="E12" s="19" t="str">
        <x:v>base</x:v>
      </x:c>
      <x:c r="F12" s="25" t="str">
        <x:v>3869000</x:v>
      </x:c>
      <x:c r="G12" s="25" t="str">
        <x:v>3869000</x:v>
      </x:c>
      <x:c r="H12" s="25" t="str">
        <x:v>1</x:v>
      </x:c>
      <x:c r="I12" s="25" t="str">
        <x:v>4</x:v>
      </x:c>
      <x:c r="J12" s="25" t="str">
        <x:v>7</x:v>
      </x:c>
      <x:c r="K12" s="25" t="str">
        <x:v>0.85</x:v>
      </x:c>
      <x:c r="L12" s="25" t="str">
        <x:v>NA</x:v>
      </x:c>
      <x:c r="M12" s="25" t="str">
        <x:v>580350</x:v>
      </x:c>
      <x:c r="N12" s="25" t="str">
        <x:v>2224675</x:v>
      </x:c>
      <x:c r="O12" s="25" t="str">
        <x:v>1644325</x:v>
      </x:c>
      <x:c r="P12" s="25" t="str">
        <x:v>not_modelled; leakage and replacement production pending</x:v>
      </x:c>
      <x:c r="Q12" s="25" t="str">
        <x:v>493297500</x:v>
      </x:c>
      <x:c r="R12" s="25" t="str">
        <x:v>0</x:v>
      </x:c>
      <x:c r="S12" s="25" t="str">
        <x:v>493297500</x:v>
      </x:c>
      <x:c r="T12" s="25" t="str">
        <x:v>0</x:v>
      </x:c>
      <x:c r="U12" s="25" t="str">
        <x:v>0</x:v>
      </x:c>
      <x:c r="V12" s="25" t="str">
        <x:v>493297500</x:v>
      </x:c>
      <x:c r="W12" s="25" t="str">
        <x:v>493297500</x:v>
      </x:c>
      <x:c r="X12" s="19" t="str">
        <x:v>3333.333333333333333333333333</x:v>
      </x:c>
      <x:c r="Y12" s="31" t="str">
        <x:v>0</x:v>
      </x:c>
      <x:c r="Z12" s="31" t="str">
        <x:v>0</x:v>
      </x:c>
      <x:c r="AA12" s="31" t="str">
        <x:v>0</x:v>
      </x:c>
      <x:c r="AB12" s="31" t="str">
        <x:v>1</x:v>
      </x:c>
      <x:c r="AC12" s="19" t="str">
        <x:v>JP_MCI_ICHIHARA</x:v>
      </x:c>
      <x:c r="AD12" s="31" t="str">
        <x:v>0.3764705882352941176470588235</x:v>
      </x:c>
      <x:c r="AE12" s="37" t="str">
        <x:v>electricity and technology cost|electricity, technology cost and JV rights</x:v>
      </x:c>
      <x:c r="AF12" s="37" t="str">
        <x:v>USD</x:v>
      </x:c>
      <x:c r="AG12" s="37" t="str">
        <x:v>2025 screening proxy</x:v>
      </x:c>
      <x:c r="AH12" s="37" t="str">
        <x:v>Modelled</x:v>
      </x:c>
      <x:c r="AI12" s="37" t="str">
        <x:v>D</x:v>
      </x:c>
      <x:c r="AJ12" s="37" t="str">
        <x:v>IEA_CTG_2026|IEA_PETCHEM_COST_2018|MCI_ESG_2025|MCI_WEST_JAPAN_2026|MCI_WORKS_2026|NA</x:v>
      </x:c>
      <x:c r="AK12" s="37" t="str">
        <x:v>Facility calculation and company aggregation; screening CAPEX and operational abatement only. Cost gap, verified support, system abatement and production coverage remain pending.</x:v>
      </x:c>
      <x:c r="AL12" t="str">
        <x:f>A12&amp;"|"&amp;E12</x:f>
        <x:v>MITSUI_CHEMICALS|base</x:v>
      </x:c>
    </x:row>
    <x:row r="13">
      <x:c r="A13" s="20" t="str">
        <x:v>MITSUI_CHEMICALS</x:v>
      </x:c>
      <x:c r="B13" s="20" t="str">
        <x:v>Mitsui Chemicals, Inc.</x:v>
      </x:c>
      <x:c r="C13" s="20" t="str">
        <x:v>Japan</x:v>
      </x:c>
      <x:c r="D13" s="20" t="str">
        <x:v>petrochemicals</x:v>
      </x:c>
      <x:c r="E13" s="20" t="str">
        <x:v>high</x:v>
      </x:c>
      <x:c r="F13" s="26" t="str">
        <x:v>3869000</x:v>
      </x:c>
      <x:c r="G13" s="26" t="str">
        <x:v>5300530</x:v>
      </x:c>
      <x:c r="H13" s="26" t="str">
        <x:v>1</x:v>
      </x:c>
      <x:c r="I13" s="26" t="str">
        <x:v>4</x:v>
      </x:c>
      <x:c r="J13" s="26" t="str">
        <x:v>7</x:v>
      </x:c>
      <x:c r="K13" s="26" t="str">
        <x:v>0.85</x:v>
      </x:c>
      <x:c r="L13" s="26" t="str">
        <x:v>NA</x:v>
      </x:c>
      <x:c r="M13" s="26" t="str">
        <x:v>967250</x:v>
      </x:c>
      <x:c r="N13" s="26" t="str">
        <x:v>2267234</x:v>
      </x:c>
      <x:c r="O13" s="26" t="str">
        <x:v>3033296</x:v>
      </x:c>
      <x:c r="P13" s="26" t="str">
        <x:v>not_modelled; leakage and replacement production pending</x:v>
      </x:c>
      <x:c r="Q13" s="26" t="str">
        <x:v>1516648000</x:v>
      </x:c>
      <x:c r="R13" s="26" t="str">
        <x:v>0</x:v>
      </x:c>
      <x:c r="S13" s="26" t="str">
        <x:v>1516648000</x:v>
      </x:c>
      <x:c r="T13" s="26" t="str">
        <x:v>0</x:v>
      </x:c>
      <x:c r="U13" s="26" t="str">
        <x:v>0</x:v>
      </x:c>
      <x:c r="V13" s="26" t="str">
        <x:v>1516648000</x:v>
      </x:c>
      <x:c r="W13" s="26" t="str">
        <x:v>1516648000</x:v>
      </x:c>
      <x:c r="X13" s="20" t="str">
        <x:v>2000</x:v>
      </x:c>
      <x:c r="Y13" s="32" t="str">
        <x:v>0</x:v>
      </x:c>
      <x:c r="Z13" s="32" t="str">
        <x:v>0</x:v>
      </x:c>
      <x:c r="AA13" s="32" t="str">
        <x:v>0</x:v>
      </x:c>
      <x:c r="AB13" s="32" t="str">
        <x:v>1</x:v>
      </x:c>
      <x:c r="AC13" s="20" t="str">
        <x:v>JP_MCI_ICHIHARA</x:v>
      </x:c>
      <x:c r="AD13" s="32" t="str">
        <x:v>0.3571428571428571428571428571</x:v>
      </x:c>
      <x:c r="AE13" s="38" t="str">
        <x:v>electricity and technology cost|electricity, technology cost and JV rights</x:v>
      </x:c>
      <x:c r="AF13" s="38" t="str">
        <x:v>USD</x:v>
      </x:c>
      <x:c r="AG13" s="38" t="str">
        <x:v>2025 screening proxy</x:v>
      </x:c>
      <x:c r="AH13" s="38" t="str">
        <x:v>Modelled</x:v>
      </x:c>
      <x:c r="AI13" s="38" t="str">
        <x:v>D</x:v>
      </x:c>
      <x:c r="AJ13" s="38" t="str">
        <x:v>IEA_CTG_2026|IEA_PETCHEM_COST_2018|MCI_ESG_2025|MCI_WEST_JAPAN_2026|MCI_WORKS_2026|NA</x:v>
      </x:c>
      <x:c r="AK13" s="38" t="str">
        <x:v>Facility calculation and company aggregation; screening CAPEX and operational abatement only. Cost gap, verified support, system abatement and production coverage remain pending.</x:v>
      </x:c>
      <x:c r="AL13" t="str">
        <x:f>A13&amp;"|"&amp;E13</x:f>
        <x:v>MITSUI_CHEMICALS|high</x:v>
      </x:c>
    </x:row>
  </x:sheetData>
  <x:pageMargins left="0.7" right="0.7" top="0.75" bottom="0.75" header="0.3" footer="0.3"/>
  <x:tableParts count="1">
    <x:tablePart xmlns:r="http://schemas.openxmlformats.org/officeDocument/2006/relationships" r:id="R173a72ff85af4d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36" hidden="0" customWidth="1"/>
    <x:col min="31" max="31" width="36" hidden="0" customWidth="1"/>
    <x:col min="32" max="32" width="36" hidden="0" customWidth="1"/>
    <x:col min="33" max="33" width="36" hidden="0" customWidth="1"/>
    <x:col min="34" max="34" width="36" hidden="0" customWidth="1"/>
    <x:col min="35" max="35" width="36" hidden="0" customWidth="1"/>
    <x:col min="36" max="36" width="36" hidden="0" customWidth="1"/>
    <x:col min="37" max="37" width="36" hidden="0" customWidth="1"/>
    <x:col min="38" max="38" width="36" hidden="0" customWidth="1"/>
  </x:cols>
  <x:sheetData>
    <x:row r="1">
      <x:c r="A1" s="8" t="str">
        <x:v>company_id</x:v>
      </x:c>
      <x:c r="B1" s="8" t="str">
        <x:v>company_name</x:v>
      </x:c>
      <x:c r="C1" s="8" t="str">
        <x:v>facility_id</x:v>
      </x:c>
      <x:c r="D1" s="8" t="str">
        <x:v>facility_name</x:v>
      </x:c>
      <x:c r="E1" s="8" t="str">
        <x:v>country</x:v>
      </x:c>
      <x:c r="F1" s="8" t="str">
        <x:v>sector</x:v>
      </x:c>
      <x:c r="G1" s="8" t="str">
        <x:v>baseline_period</x:v>
      </x:c>
      <x:c r="H1" s="8" t="str">
        <x:v>case</x:v>
      </x:c>
      <x:c r="I1" s="8" t="str">
        <x:v>primary_scope_status</x:v>
      </x:c>
      <x:c r="J1" s="8" t="str">
        <x:v>baseline_emissions_value_type</x:v>
      </x:c>
      <x:c r="K1" s="8" t="str">
        <x:v>baseline_operational_ghg_tco2e</x:v>
      </x:c>
      <x:c r="L1" s="8" t="str">
        <x:v>selected_route</x:v>
      </x:c>
      <x:c r="M1" s="8" t="str">
        <x:v>decision_horizon</x:v>
      </x:c>
      <x:c r="N1" s="8" t="str">
        <x:v>readiness_year</x:v>
      </x:c>
      <x:c r="O1" s="8" t="str">
        <x:v>facility_status</x:v>
      </x:c>
      <x:c r="P1" s="8" t="str">
        <x:v>status_basis</x:v>
      </x:c>
      <x:c r="Q1" s="8" t="str">
        <x:v>action_view</x:v>
      </x:c>
      <x:c r="R1" s="8" t="str">
        <x:v>modelled_flag</x:v>
      </x:c>
      <x:c r="S1" s="8" t="str">
        <x:v>capex_driver</x:v>
      </x:c>
      <x:c r="T1" s="8" t="str">
        <x:v>capex_intensity</x:v>
      </x:c>
      <x:c r="U1" s="8" t="str">
        <x:v>capex_unit</x:v>
      </x:c>
      <x:c r="V1" s="8" t="str">
        <x:v>transition_capex_usd_2025</x:v>
      </x:c>
      <x:c r="W1" s="8" t="str">
        <x:v>abatement_fraction</x:v>
      </x:c>
      <x:c r="X1" s="8" t="str">
        <x:v>transition_operational_ghg_tco2e</x:v>
      </x:c>
      <x:c r="Y1" s="8" t="str">
        <x:v>modelled_operational_abatement_tco2e</x:v>
      </x:c>
      <x:c r="Z1" s="8" t="str">
        <x:v>system_abatement_status</x:v>
      </x:c>
      <x:c r="AA1" s="8" t="str">
        <x:v>capex_by_2030_usd_2025</x:v>
      </x:c>
      <x:c r="AB1" s="8" t="str">
        <x:v>capex_2031_2040_usd_2025</x:v>
      </x:c>
      <x:c r="AC1" s="8" t="str">
        <x:v>capex_2041_2050_usd_2025</x:v>
      </x:c>
      <x:c r="AD1" s="8" t="str">
        <x:v>binding_constraint</x:v>
      </x:c>
      <x:c r="AE1" s="8" t="str">
        <x:v>dominant_common_factor</x:v>
      </x:c>
      <x:c r="AF1" s="8" t="str">
        <x:v>currency</x:v>
      </x:c>
      <x:c r="AG1" s="8" t="str">
        <x:v>price_year</x:v>
      </x:c>
      <x:c r="AH1" s="8" t="str">
        <x:v>value_type</x:v>
      </x:c>
      <x:c r="AI1" s="8" t="str">
        <x:v>quality_flag</x:v>
      </x:c>
      <x:c r="AJ1" s="8" t="str">
        <x:v>source_id</x:v>
      </x:c>
      <x:c r="AK1" s="8" t="str">
        <x:v>formula_or_method</x:v>
      </x:c>
      <x:c r="AL1" s="8" t="str">
        <x:v>boundary_note</x:v>
      </x:c>
    </x:row>
    <x:row r="2">
      <x:c r="A2" s="18" t="str">
        <x:v>POSCO</x:v>
      </x:c>
      <x:c r="B2" s="18" t="str">
        <x:v>POSCO</x:v>
      </x:c>
      <x:c r="C2" s="18" t="str">
        <x:v>KR_POSCO_POHANG</x:v>
      </x:c>
      <x:c r="D2" s="18" t="str">
        <x:v>Pohang Steelworks</x:v>
      </x:c>
      <x:c r="E2" s="18" t="str">
        <x:v>Korea</x:v>
      </x:c>
      <x:c r="F2" s="18" t="str">
        <x:v>steel</x:v>
      </x:c>
      <x:c r="G2" s="18" t="str">
        <x:v>CY2025</x:v>
      </x:c>
      <x:c r="H2" s="18" t="str">
        <x:v>low</x:v>
      </x:c>
      <x:c r="I2" s="18" t="str">
        <x:v>in</x:v>
      </x:c>
      <x:c r="J2" s="18" t="str">
        <x:v>Allocated</x:v>
      </x:c>
      <x:c r="K2" s="24" t="str">
        <x:v>27938420</x:v>
      </x:c>
      <x:c r="L2" s="24" t="str">
        <x:v>steel_h2_dri_eaf</x:v>
      </x:c>
      <x:c r="M2" s="24" t="str">
        <x:v>2040</x:v>
      </x:c>
      <x:c r="N2" s="24" t="str">
        <x:v>2035</x:v>
      </x:c>
      <x:c r="O2" s="44" t="str">
        <x:v>contract-dependent</x:v>
      </x:c>
      <x:c r="P2" s="44" t="str">
        <x:v>screening placeholder; full cost-gap and robustness test pending</x:v>
      </x:c>
      <x:c r="Q2" s="44" t="str">
        <x:v>contract before commitment</x:v>
      </x:c>
      <x:c r="R2" s="44" t="str">
        <x:v>yes</x:v>
      </x:c>
      <x:c r="S2" s="24" t="str">
        <x:v>activity</x:v>
      </x:c>
      <x:c r="T2" s="24" t="str">
        <x:v>500</x:v>
      </x:c>
      <x:c r="U2" s="24" t="str">
        <x:v>USD_2025/t annual output</x:v>
      </x:c>
      <x:c r="V2" s="24" t="str">
        <x:v>6915450495</x:v>
      </x:c>
      <x:c r="W2" s="24" t="str">
        <x:v>0.5</x:v>
      </x:c>
      <x:c r="X2" s="24" t="str">
        <x:v>13969210</x:v>
      </x:c>
      <x:c r="Y2" s="24" t="str">
        <x:v>13969210</x:v>
      </x:c>
      <x:c r="Z2" s="24" t="str">
        <x:v>not_modelled; leakage and replacement production pending</x:v>
      </x:c>
      <x:c r="AA2" s="24" t="str">
        <x:v>0</x:v>
      </x:c>
      <x:c r="AB2" s="24" t="str">
        <x:v>6915450495</x:v>
      </x:c>
      <x:c r="AC2" s="24" t="str">
        <x:v>0</x:v>
      </x:c>
      <x:c r="AD2" s="36" t="str">
        <x:v>commercial HyREX scale; clean hydrogen and power infrastructure</x:v>
      </x:c>
      <x:c r="AE2" s="36" t="str">
        <x:v>hydrogen and clean electricity</x:v>
      </x:c>
      <x:c r="AF2" s="36" t="str">
        <x:v>USD</x:v>
      </x:c>
      <x:c r="AG2" s="36" t="str">
        <x:v>2025</x:v>
      </x:c>
      <x:c r="AH2" s="36" t="str">
        <x:v>Modelled</x:v>
      </x:c>
      <x:c r="AI2" s="36" t="str">
        <x:v>D</x:v>
      </x:c>
      <x:c r="AJ2" s="36" t="str">
        <x:v>IEA_STEEL_BREAKTHROUGH_2025|NEDO_H2_STEEL_2026|POSCO_CLIMATE_2026|POSCO_ESG_2025</x:v>
      </x:c>
      <x:c r="AK2" s="36" t="str">
        <x:v>Case CAPEX equals case facility activity times analyst route intensity; operational abatement equals case baseline GHG times case reduction fraction</x:v>
      </x:c>
      <x:c r="AL2" s="36" t="str">
        <x:v>CAPEX intensity is an output-first screening proxy, not a published POSCO or IEA project cost.</x:v>
      </x:c>
    </x:row>
    <x:row r="3">
      <x:c r="A3" s="19" t="str">
        <x:v>POSCO</x:v>
      </x:c>
      <x:c r="B3" s="19" t="str">
        <x:v>POSCO</x:v>
      </x:c>
      <x:c r="C3" s="19" t="str">
        <x:v>KR_POSCO_POHANG</x:v>
      </x:c>
      <x:c r="D3" s="19" t="str">
        <x:v>Pohang Steelworks</x:v>
      </x:c>
      <x:c r="E3" s="19" t="str">
        <x:v>Korea</x:v>
      </x:c>
      <x:c r="F3" s="19" t="str">
        <x:v>steel</x:v>
      </x:c>
      <x:c r="G3" s="19" t="str">
        <x:v>CY2025</x:v>
      </x:c>
      <x:c r="H3" s="19" t="str">
        <x:v>base</x:v>
      </x:c>
      <x:c r="I3" s="19" t="str">
        <x:v>in</x:v>
      </x:c>
      <x:c r="J3" s="19" t="str">
        <x:v>Allocated</x:v>
      </x:c>
      <x:c r="K3" s="25" t="str">
        <x:v>31430722.5</x:v>
      </x:c>
      <x:c r="L3" s="25" t="str">
        <x:v>steel_h2_dri_eaf</x:v>
      </x:c>
      <x:c r="M3" s="25" t="str">
        <x:v>2040</x:v>
      </x:c>
      <x:c r="N3" s="25" t="str">
        <x:v>2035</x:v>
      </x:c>
      <x:c r="O3" s="45" t="str">
        <x:v>contract-dependent</x:v>
      </x:c>
      <x:c r="P3" s="45" t="str">
        <x:v>screening placeholder; full cost-gap and robustness test pending</x:v>
      </x:c>
      <x:c r="Q3" s="45" t="str">
        <x:v>contract before commitment</x:v>
      </x:c>
      <x:c r="R3" s="45" t="str">
        <x:v>yes</x:v>
      </x:c>
      <x:c r="S3" s="25" t="str">
        <x:v>activity</x:v>
      </x:c>
      <x:c r="T3" s="25" t="str">
        <x:v>800</x:v>
      </x:c>
      <x:c r="U3" s="25" t="str">
        <x:v>USD_2025/t annual output</x:v>
      </x:c>
      <x:c r="V3" s="25" t="str">
        <x:v>12447810891.2</x:v>
      </x:c>
      <x:c r="W3" s="25" t="str">
        <x:v>0.75</x:v>
      </x:c>
      <x:c r="X3" s="25" t="str">
        <x:v>7857680.625</x:v>
      </x:c>
      <x:c r="Y3" s="25" t="str">
        <x:v>23573041.875</x:v>
      </x:c>
      <x:c r="Z3" s="25" t="str">
        <x:v>not_modelled; leakage and replacement production pending</x:v>
      </x:c>
      <x:c r="AA3" s="25" t="str">
        <x:v>0</x:v>
      </x:c>
      <x:c r="AB3" s="25" t="str">
        <x:v>12447810891.2</x:v>
      </x:c>
      <x:c r="AC3" s="25" t="str">
        <x:v>0</x:v>
      </x:c>
      <x:c r="AD3" s="37" t="str">
        <x:v>commercial HyREX scale; clean hydrogen and power infrastructure</x:v>
      </x:c>
      <x:c r="AE3" s="37" t="str">
        <x:v>hydrogen and clean electricity</x:v>
      </x:c>
      <x:c r="AF3" s="37" t="str">
        <x:v>USD</x:v>
      </x:c>
      <x:c r="AG3" s="37" t="str">
        <x:v>2025</x:v>
      </x:c>
      <x:c r="AH3" s="37" t="str">
        <x:v>Modelled</x:v>
      </x:c>
      <x:c r="AI3" s="37" t="str">
        <x:v>D</x:v>
      </x:c>
      <x:c r="AJ3" s="37" t="str">
        <x:v>IEA_STEEL_BREAKTHROUGH_2025|NEDO_H2_STEEL_2026|POSCO_CLIMATE_2026|POSCO_ESG_2025</x:v>
      </x:c>
      <x:c r="AK3" s="37" t="str">
        <x:v>Case CAPEX equals case facility activity times analyst route intensity; operational abatement equals case baseline GHG times case reduction fraction</x:v>
      </x:c>
      <x:c r="AL3" s="37" t="str">
        <x:v>CAPEX intensity is an output-first screening proxy, not a published POSCO or IEA project cost.</x:v>
      </x:c>
    </x:row>
    <x:row r="4">
      <x:c r="A4" s="19" t="str">
        <x:v>POSCO</x:v>
      </x:c>
      <x:c r="B4" s="19" t="str">
        <x:v>POSCO</x:v>
      </x:c>
      <x:c r="C4" s="19" t="str">
        <x:v>KR_POSCO_POHANG</x:v>
      </x:c>
      <x:c r="D4" s="19" t="str">
        <x:v>Pohang Steelworks</x:v>
      </x:c>
      <x:c r="E4" s="19" t="str">
        <x:v>Korea</x:v>
      </x:c>
      <x:c r="F4" s="19" t="str">
        <x:v>steel</x:v>
      </x:c>
      <x:c r="G4" s="19" t="str">
        <x:v>CY2025</x:v>
      </x:c>
      <x:c r="H4" s="19" t="str">
        <x:v>high</x:v>
      </x:c>
      <x:c r="I4" s="19" t="str">
        <x:v>in</x:v>
      </x:c>
      <x:c r="J4" s="19" t="str">
        <x:v>Allocated</x:v>
      </x:c>
      <x:c r="K4" s="25" t="str">
        <x:v>34923025</x:v>
      </x:c>
      <x:c r="L4" s="25" t="str">
        <x:v>steel_h2_dri_eaf</x:v>
      </x:c>
      <x:c r="M4" s="25" t="str">
        <x:v>2040</x:v>
      </x:c>
      <x:c r="N4" s="25" t="str">
        <x:v>2035</x:v>
      </x:c>
      <x:c r="O4" s="45" t="str">
        <x:v>contract-dependent</x:v>
      </x:c>
      <x:c r="P4" s="45" t="str">
        <x:v>screening placeholder; full cost-gap and robustness test pending</x:v>
      </x:c>
      <x:c r="Q4" s="45" t="str">
        <x:v>contract before commitment</x:v>
      </x:c>
      <x:c r="R4" s="45" t="str">
        <x:v>yes</x:v>
      </x:c>
      <x:c r="S4" s="25" t="str">
        <x:v>activity</x:v>
      </x:c>
      <x:c r="T4" s="25" t="str">
        <x:v>1200</x:v>
      </x:c>
      <x:c r="U4" s="25" t="str">
        <x:v>USD_2025/t annual output</x:v>
      </x:c>
      <x:c r="V4" s="25" t="str">
        <x:v>20746351485.6</x:v>
      </x:c>
      <x:c r="W4" s="25" t="str">
        <x:v>0.95</x:v>
      </x:c>
      <x:c r="X4" s="25" t="str">
        <x:v>1746151.25</x:v>
      </x:c>
      <x:c r="Y4" s="25" t="str">
        <x:v>33176873.75</x:v>
      </x:c>
      <x:c r="Z4" s="25" t="str">
        <x:v>not_modelled; leakage and replacement production pending</x:v>
      </x:c>
      <x:c r="AA4" s="25" t="str">
        <x:v>0</x:v>
      </x:c>
      <x:c r="AB4" s="25" t="str">
        <x:v>20746351485.6</x:v>
      </x:c>
      <x:c r="AC4" s="25" t="str">
        <x:v>0</x:v>
      </x:c>
      <x:c r="AD4" s="37" t="str">
        <x:v>commercial HyREX scale; clean hydrogen and power infrastructure</x:v>
      </x:c>
      <x:c r="AE4" s="37" t="str">
        <x:v>hydrogen and clean electricity</x:v>
      </x:c>
      <x:c r="AF4" s="37" t="str">
        <x:v>USD</x:v>
      </x:c>
      <x:c r="AG4" s="37" t="str">
        <x:v>2025</x:v>
      </x:c>
      <x:c r="AH4" s="37" t="str">
        <x:v>Modelled</x:v>
      </x:c>
      <x:c r="AI4" s="37" t="str">
        <x:v>D</x:v>
      </x:c>
      <x:c r="AJ4" s="37" t="str">
        <x:v>IEA_STEEL_BREAKTHROUGH_2025|NEDO_H2_STEEL_2026|POSCO_CLIMATE_2026|POSCO_ESG_2025</x:v>
      </x:c>
      <x:c r="AK4" s="37" t="str">
        <x:v>Case CAPEX equals case facility activity times analyst route intensity; operational abatement equals case baseline GHG times case reduction fraction</x:v>
      </x:c>
      <x:c r="AL4" s="37" t="str">
        <x:v>CAPEX intensity is an output-first screening proxy, not a published POSCO or IEA project cost.</x:v>
      </x:c>
    </x:row>
    <x:row r="5">
      <x:c r="A5" s="19" t="str">
        <x:v>POSCO</x:v>
      </x:c>
      <x:c r="B5" s="19" t="str">
        <x:v>POSCO</x:v>
      </x:c>
      <x:c r="C5" s="19" t="str">
        <x:v>KR_POSCO_GWANGYANG</x:v>
      </x:c>
      <x:c r="D5" s="19" t="str">
        <x:v>Gwangyang Steelworks</x:v>
      </x:c>
      <x:c r="E5" s="19" t="str">
        <x:v>Korea</x:v>
      </x:c>
      <x:c r="F5" s="19" t="str">
        <x:v>steel</x:v>
      </x:c>
      <x:c r="G5" s="19" t="str">
        <x:v>CY2025</x:v>
      </x:c>
      <x:c r="H5" s="19" t="str">
        <x:v>low</x:v>
      </x:c>
      <x:c r="I5" s="19" t="str">
        <x:v>in</x:v>
      </x:c>
      <x:c r="J5" s="19" t="str">
        <x:v>Allocated</x:v>
      </x:c>
      <x:c r="K5" s="25" t="str">
        <x:v>34923025</x:v>
      </x:c>
      <x:c r="L5" s="25" t="str">
        <x:v>steel_scrap_eaf</x:v>
      </x:c>
      <x:c r="M5" s="25" t="str">
        <x:v>2030</x:v>
      </x:c>
      <x:c r="N5" s="25" t="str">
        <x:v>2026</x:v>
      </x:c>
      <x:c r="O5" s="45" t="str">
        <x:v>price-conditional</x:v>
      </x:c>
      <x:c r="P5" s="45" t="str">
        <x:v>screening placeholder; full cost-gap and robustness test pending</x:v>
      </x:c>
      <x:c r="Q5" s="45" t="str">
        <x:v>allocate/prepare now subject to power and scrap price</x:v>
      </x:c>
      <x:c r="R5" s="45" t="str">
        <x:v>yes</x:v>
      </x:c>
      <x:c r="S5" s="25" t="str">
        <x:v>activity</x:v>
      </x:c>
      <x:c r="T5" s="25" t="str">
        <x:v>150</x:v>
      </x:c>
      <x:c r="U5" s="25" t="str">
        <x:v>USD_2025/t annual output</x:v>
      </x:c>
      <x:c r="V5" s="25" t="str">
        <x:v>2593293935.7</x:v>
      </x:c>
      <x:c r="W5" s="25" t="str">
        <x:v>0.6</x:v>
      </x:c>
      <x:c r="X5" s="25" t="str">
        <x:v>13969210</x:v>
      </x:c>
      <x:c r="Y5" s="25" t="str">
        <x:v>20953815</x:v>
      </x:c>
      <x:c r="Z5" s="25" t="str">
        <x:v>not_modelled; leakage and replacement production pending</x:v>
      </x:c>
      <x:c r="AA5" s="25" t="str">
        <x:v>2593293935.7</x:v>
      </x:c>
      <x:c r="AB5" s="25" t="str">
        <x:v>0</x:v>
      </x:c>
      <x:c r="AC5" s="25" t="str">
        <x:v>0</x:v>
      </x:c>
      <x:c r="AD5" s="37" t="str">
        <x:v>scrap quantity/quality and clean-power connection</x:v>
      </x:c>
      <x:c r="AE5" s="37" t="str">
        <x:v>scrap and electricity</x:v>
      </x:c>
      <x:c r="AF5" s="37" t="str">
        <x:v>USD</x:v>
      </x:c>
      <x:c r="AG5" s="37" t="str">
        <x:v>2025</x:v>
      </x:c>
      <x:c r="AH5" s="37" t="str">
        <x:v>Modelled</x:v>
      </x:c>
      <x:c r="AI5" s="37" t="str">
        <x:v>D</x:v>
      </x:c>
      <x:c r="AJ5" s="37" t="str">
        <x:v>POSCO_CLIMATE_2026|POSCO_ESG_2025</x:v>
      </x:c>
      <x:c r="AK5" s="37" t="str">
        <x:v>Case CAPEX equals case facility activity times analyst EAF retrofit/new-build intensity; operational abatement equals case baseline GHG times case reduction fraction</x:v>
      </x:c>
      <x:c r="AL5" s="37" t="str">
        <x:v>2026 timing and up-to-75% reduction are official POSCO markers; CAPEX and downside range are analyst estimates.</x:v>
      </x:c>
    </x:row>
    <x:row r="6">
      <x:c r="A6" s="19" t="str">
        <x:v>POSCO</x:v>
      </x:c>
      <x:c r="B6" s="19" t="str">
        <x:v>POSCO</x:v>
      </x:c>
      <x:c r="C6" s="19" t="str">
        <x:v>KR_POSCO_GWANGYANG</x:v>
      </x:c>
      <x:c r="D6" s="19" t="str">
        <x:v>Gwangyang Steelworks</x:v>
      </x:c>
      <x:c r="E6" s="19" t="str">
        <x:v>Korea</x:v>
      </x:c>
      <x:c r="F6" s="19" t="str">
        <x:v>steel</x:v>
      </x:c>
      <x:c r="G6" s="19" t="str">
        <x:v>CY2025</x:v>
      </x:c>
      <x:c r="H6" s="19" t="str">
        <x:v>base</x:v>
      </x:c>
      <x:c r="I6" s="19" t="str">
        <x:v>in</x:v>
      </x:c>
      <x:c r="J6" s="19" t="str">
        <x:v>Allocated</x:v>
      </x:c>
      <x:c r="K6" s="25" t="str">
        <x:v>38415327.5</x:v>
      </x:c>
      <x:c r="L6" s="25" t="str">
        <x:v>steel_scrap_eaf</x:v>
      </x:c>
      <x:c r="M6" s="25" t="str">
        <x:v>2030</x:v>
      </x:c>
      <x:c r="N6" s="25" t="str">
        <x:v>2026</x:v>
      </x:c>
      <x:c r="O6" s="45" t="str">
        <x:v>price-conditional</x:v>
      </x:c>
      <x:c r="P6" s="45" t="str">
        <x:v>screening placeholder; full cost-gap and robustness test pending</x:v>
      </x:c>
      <x:c r="Q6" s="45" t="str">
        <x:v>allocate/prepare now subject to power and scrap price</x:v>
      </x:c>
      <x:c r="R6" s="45" t="str">
        <x:v>yes</x:v>
      </x:c>
      <x:c r="S6" s="25" t="str">
        <x:v>activity</x:v>
      </x:c>
      <x:c r="T6" s="25" t="str">
        <x:v>300</x:v>
      </x:c>
      <x:c r="U6" s="25" t="str">
        <x:v>USD_2025/t annual output</x:v>
      </x:c>
      <x:c r="V6" s="25" t="str">
        <x:v>5705246658.3</x:v>
      </x:c>
      <x:c r="W6" s="25" t="str">
        <x:v>0.75</x:v>
      </x:c>
      <x:c r="X6" s="25" t="str">
        <x:v>9603831.875</x:v>
      </x:c>
      <x:c r="Y6" s="25" t="str">
        <x:v>28811495.625</x:v>
      </x:c>
      <x:c r="Z6" s="25" t="str">
        <x:v>not_modelled; leakage and replacement production pending</x:v>
      </x:c>
      <x:c r="AA6" s="25" t="str">
        <x:v>5705246658.3</x:v>
      </x:c>
      <x:c r="AB6" s="25" t="str">
        <x:v>0</x:v>
      </x:c>
      <x:c r="AC6" s="25" t="str">
        <x:v>0</x:v>
      </x:c>
      <x:c r="AD6" s="37" t="str">
        <x:v>scrap quantity/quality and clean-power connection</x:v>
      </x:c>
      <x:c r="AE6" s="37" t="str">
        <x:v>scrap and electricity</x:v>
      </x:c>
      <x:c r="AF6" s="37" t="str">
        <x:v>USD</x:v>
      </x:c>
      <x:c r="AG6" s="37" t="str">
        <x:v>2025</x:v>
      </x:c>
      <x:c r="AH6" s="37" t="str">
        <x:v>Modelled</x:v>
      </x:c>
      <x:c r="AI6" s="37" t="str">
        <x:v>D</x:v>
      </x:c>
      <x:c r="AJ6" s="37" t="str">
        <x:v>POSCO_CLIMATE_2026|POSCO_ESG_2025</x:v>
      </x:c>
      <x:c r="AK6" s="37" t="str">
        <x:v>Case CAPEX equals case facility activity times analyst EAF retrofit/new-build intensity; operational abatement equals case baseline GHG times case reduction fraction</x:v>
      </x:c>
      <x:c r="AL6" s="37" t="str">
        <x:v>2026 timing and up-to-75% reduction are official POSCO markers; CAPEX and downside range are analyst estimates.</x:v>
      </x:c>
    </x:row>
    <x:row r="7">
      <x:c r="A7" s="19" t="str">
        <x:v>POSCO</x:v>
      </x:c>
      <x:c r="B7" s="19" t="str">
        <x:v>POSCO</x:v>
      </x:c>
      <x:c r="C7" s="19" t="str">
        <x:v>KR_POSCO_GWANGYANG</x:v>
      </x:c>
      <x:c r="D7" s="19" t="str">
        <x:v>Gwangyang Steelworks</x:v>
      </x:c>
      <x:c r="E7" s="19" t="str">
        <x:v>Korea</x:v>
      </x:c>
      <x:c r="F7" s="19" t="str">
        <x:v>steel</x:v>
      </x:c>
      <x:c r="G7" s="19" t="str">
        <x:v>CY2025</x:v>
      </x:c>
      <x:c r="H7" s="19" t="str">
        <x:v>high</x:v>
      </x:c>
      <x:c r="I7" s="19" t="str">
        <x:v>in</x:v>
      </x:c>
      <x:c r="J7" s="19" t="str">
        <x:v>Allocated</x:v>
      </x:c>
      <x:c r="K7" s="25" t="str">
        <x:v>41907630</x:v>
      </x:c>
      <x:c r="L7" s="25" t="str">
        <x:v>steel_scrap_eaf</x:v>
      </x:c>
      <x:c r="M7" s="25" t="str">
        <x:v>2030</x:v>
      </x:c>
      <x:c r="N7" s="25" t="str">
        <x:v>2026</x:v>
      </x:c>
      <x:c r="O7" s="45" t="str">
        <x:v>price-conditional</x:v>
      </x:c>
      <x:c r="P7" s="45" t="str">
        <x:v>screening placeholder; full cost-gap and robustness test pending</x:v>
      </x:c>
      <x:c r="Q7" s="45" t="str">
        <x:v>allocate/prepare now subject to power and scrap price</x:v>
      </x:c>
      <x:c r="R7" s="45" t="str">
        <x:v>yes</x:v>
      </x:c>
      <x:c r="S7" s="25" t="str">
        <x:v>activity</x:v>
      </x:c>
      <x:c r="T7" s="25" t="str">
        <x:v>500</x:v>
      </x:c>
      <x:c r="U7" s="25" t="str">
        <x:v>USD_2025/t annual output</x:v>
      </x:c>
      <x:c r="V7" s="25" t="str">
        <x:v>10373175742.5</x:v>
      </x:c>
      <x:c r="W7" s="25" t="str">
        <x:v>0.75</x:v>
      </x:c>
      <x:c r="X7" s="25" t="str">
        <x:v>10476907.5</x:v>
      </x:c>
      <x:c r="Y7" s="25" t="str">
        <x:v>31430722.5</x:v>
      </x:c>
      <x:c r="Z7" s="25" t="str">
        <x:v>not_modelled; leakage and replacement production pending</x:v>
      </x:c>
      <x:c r="AA7" s="25" t="str">
        <x:v>10373175742.5</x:v>
      </x:c>
      <x:c r="AB7" s="25" t="str">
        <x:v>0</x:v>
      </x:c>
      <x:c r="AC7" s="25" t="str">
        <x:v>0</x:v>
      </x:c>
      <x:c r="AD7" s="37" t="str">
        <x:v>scrap quantity/quality and clean-power connection</x:v>
      </x:c>
      <x:c r="AE7" s="37" t="str">
        <x:v>scrap and electricity</x:v>
      </x:c>
      <x:c r="AF7" s="37" t="str">
        <x:v>USD</x:v>
      </x:c>
      <x:c r="AG7" s="37" t="str">
        <x:v>2025</x:v>
      </x:c>
      <x:c r="AH7" s="37" t="str">
        <x:v>Modelled</x:v>
      </x:c>
      <x:c r="AI7" s="37" t="str">
        <x:v>D</x:v>
      </x:c>
      <x:c r="AJ7" s="37" t="str">
        <x:v>POSCO_CLIMATE_2026|POSCO_ESG_2025</x:v>
      </x:c>
      <x:c r="AK7" s="37" t="str">
        <x:v>Case CAPEX equals case facility activity times analyst EAF retrofit/new-build intensity; operational abatement equals case baseline GHG times case reduction fraction</x:v>
      </x:c>
      <x:c r="AL7" s="37" t="str">
        <x:v>2026 timing and up-to-75% reduction are official POSCO markers; CAPEX and downside range are analyst estimates.</x:v>
      </x:c>
    </x:row>
    <x:row r="8">
      <x:c r="A8" s="19" t="str">
        <x:v>NIPPON_STEEL</x:v>
      </x:c>
      <x:c r="B8" s="19" t="str">
        <x:v>Nippon Steel Corporation</x:v>
      </x:c>
      <x:c r="C8" s="19" t="str">
        <x:v>JP_NSC_MURORAN</x:v>
      </x:c>
      <x:c r="D8" s="19" t="str">
        <x:v>North Nippon Works Muroran Area</x:v>
      </x:c>
      <x:c r="E8" s="19" t="str">
        <x:v>Japan</x:v>
      </x:c>
      <x:c r="F8" s="19" t="str">
        <x:v>steel</x:v>
      </x:c>
      <x:c r="G8" s="19" t="str">
        <x:v>FY2024</x:v>
      </x:c>
      <x:c r="H8" s="19" t="str">
        <x:v>low</x:v>
      </x:c>
      <x:c r="I8" s="19" t="str">
        <x:v>in</x:v>
      </x:c>
      <x:c r="J8" s="19" t="str">
        <x:v>Allocated</x:v>
      </x:c>
      <x:c r="K8" s="25" t="str">
        <x:v>2387606.135</x:v>
      </x:c>
      <x:c r="L8" s="25" t="str">
        <x:v>steel_h2_dri_eaf</x:v>
      </x:c>
      <x:c r="M8" s="25" t="str">
        <x:v>2040</x:v>
      </x:c>
      <x:c r="N8" s="25" t="str">
        <x:v>2035</x:v>
      </x:c>
      <x:c r="O8" s="45" t="str">
        <x:v>contract-dependent</x:v>
      </x:c>
      <x:c r="P8" s="45" t="str">
        <x:v>screening placeholder; full cost-gap and robustness test pending</x:v>
      </x:c>
      <x:c r="Q8" s="45" t="str">
        <x:v>contract before commitment</x:v>
      </x:c>
      <x:c r="R8" s="45" t="str">
        <x:v>yes</x:v>
      </x:c>
      <x:c r="S8" s="25" t="str">
        <x:v>activity</x:v>
      </x:c>
      <x:c r="T8" s="25" t="str">
        <x:v>500</x:v>
      </x:c>
      <x:c r="U8" s="25" t="str">
        <x:v>USD_2025/t annual output</x:v>
      </x:c>
      <x:c r="V8" s="25" t="str">
        <x:v>620000000</x:v>
      </x:c>
      <x:c r="W8" s="25" t="str">
        <x:v>0.5</x:v>
      </x:c>
      <x:c r="X8" s="25" t="str">
        <x:v>1193803.0675</x:v>
      </x:c>
      <x:c r="Y8" s="25" t="str">
        <x:v>1193803.0675</x:v>
      </x:c>
      <x:c r="Z8" s="25" t="str">
        <x:v>not_modelled; leakage and replacement production pending</x:v>
      </x:c>
      <x:c r="AA8" s="25" t="str">
        <x:v>0</x:v>
      </x:c>
      <x:c r="AB8" s="25" t="str">
        <x:v>620000000</x:v>
      </x:c>
      <x:c r="AC8" s="25" t="str">
        <x:v>0</x:v>
      </x:c>
      <x:c r="AD8" s="37" t="str">
        <x:v>hydrogen, DRI-grade ore and clean-power infrastructure</x:v>
      </x:c>
      <x:c r="AE8" s="37" t="str">
        <x:v>hydrogen and clean electricity</x:v>
      </x:c>
      <x:c r="AF8" s="37" t="str">
        <x:v>USD</x:v>
      </x:c>
      <x:c r="AG8" s="37" t="str">
        <x:v>2025</x:v>
      </x:c>
      <x:c r="AH8" s="37" t="str">
        <x:v>Modelled</x:v>
      </x:c>
      <x:c r="AI8" s="37" t="str">
        <x:v>D</x:v>
      </x:c>
      <x:c r="AJ8" s="37" t="str">
        <x:v>IEA_STEEL_BREAKTHROUGH_2025|NEDO_H2_STEEL_2026|NSC_DB_2025</x:v>
      </x:c>
      <x:c r="AK8" s="37" t="str">
        <x:v>Case CAPEX equals reported case activity times analyst H2-DRI-EAF intensity; operational abatement equals allocated case GHG times case reduction fraction</x:v>
      </x:c>
      <x:c r="AL8" s="37" t="str">
        <x:v>Screening route; blast-furnace timing and product-quality constraints remain unresolved.</x:v>
      </x:c>
    </x:row>
    <x:row r="9">
      <x:c r="A9" s="19" t="str">
        <x:v>NIPPON_STEEL</x:v>
      </x:c>
      <x:c r="B9" s="19" t="str">
        <x:v>Nippon Steel Corporation</x:v>
      </x:c>
      <x:c r="C9" s="19" t="str">
        <x:v>JP_NSC_MURORAN</x:v>
      </x:c>
      <x:c r="D9" s="19" t="str">
        <x:v>North Nippon Works Muroran Area</x:v>
      </x:c>
      <x:c r="E9" s="19" t="str">
        <x:v>Japan</x:v>
      </x:c>
      <x:c r="F9" s="19" t="str">
        <x:v>steel</x:v>
      </x:c>
      <x:c r="G9" s="19" t="str">
        <x:v>FY2024</x:v>
      </x:c>
      <x:c r="H9" s="19" t="str">
        <x:v>base</x:v>
      </x:c>
      <x:c r="I9" s="19" t="str">
        <x:v>in</x:v>
      </x:c>
      <x:c r="J9" s="19" t="str">
        <x:v>Allocated</x:v>
      </x:c>
      <x:c r="K9" s="25" t="str">
        <x:v>2808948.394</x:v>
      </x:c>
      <x:c r="L9" s="25" t="str">
        <x:v>steel_h2_dri_eaf</x:v>
      </x:c>
      <x:c r="M9" s="25" t="str">
        <x:v>2040</x:v>
      </x:c>
      <x:c r="N9" s="25" t="str">
        <x:v>2035</x:v>
      </x:c>
      <x:c r="O9" s="45" t="str">
        <x:v>contract-dependent</x:v>
      </x:c>
      <x:c r="P9" s="45" t="str">
        <x:v>screening placeholder; full cost-gap and robustness test pending</x:v>
      </x:c>
      <x:c r="Q9" s="45" t="str">
        <x:v>contract before commitment</x:v>
      </x:c>
      <x:c r="R9" s="45" t="str">
        <x:v>yes</x:v>
      </x:c>
      <x:c r="S9" s="25" t="str">
        <x:v>activity</x:v>
      </x:c>
      <x:c r="T9" s="25" t="str">
        <x:v>800</x:v>
      </x:c>
      <x:c r="U9" s="25" t="str">
        <x:v>USD_2025/t annual output</x:v>
      </x:c>
      <x:c r="V9" s="25" t="str">
        <x:v>992000000</x:v>
      </x:c>
      <x:c r="W9" s="25" t="str">
        <x:v>0.75</x:v>
      </x:c>
      <x:c r="X9" s="25" t="str">
        <x:v>702237.0985</x:v>
      </x:c>
      <x:c r="Y9" s="25" t="str">
        <x:v>2106711.2955</x:v>
      </x:c>
      <x:c r="Z9" s="25" t="str">
        <x:v>not_modelled; leakage and replacement production pending</x:v>
      </x:c>
      <x:c r="AA9" s="25" t="str">
        <x:v>0</x:v>
      </x:c>
      <x:c r="AB9" s="25" t="str">
        <x:v>992000000</x:v>
      </x:c>
      <x:c r="AC9" s="25" t="str">
        <x:v>0</x:v>
      </x:c>
      <x:c r="AD9" s="37" t="str">
        <x:v>hydrogen, DRI-grade ore and clean-power infrastructure</x:v>
      </x:c>
      <x:c r="AE9" s="37" t="str">
        <x:v>hydrogen and clean electricity</x:v>
      </x:c>
      <x:c r="AF9" s="37" t="str">
        <x:v>USD</x:v>
      </x:c>
      <x:c r="AG9" s="37" t="str">
        <x:v>2025</x:v>
      </x:c>
      <x:c r="AH9" s="37" t="str">
        <x:v>Modelled</x:v>
      </x:c>
      <x:c r="AI9" s="37" t="str">
        <x:v>D</x:v>
      </x:c>
      <x:c r="AJ9" s="37" t="str">
        <x:v>IEA_STEEL_BREAKTHROUGH_2025|NEDO_H2_STEEL_2026|NSC_DB_2025</x:v>
      </x:c>
      <x:c r="AK9" s="37" t="str">
        <x:v>Case CAPEX equals reported case activity times analyst H2-DRI-EAF intensity; operational abatement equals allocated case GHG times case reduction fraction</x:v>
      </x:c>
      <x:c r="AL9" s="37" t="str">
        <x:v>Screening route; blast-furnace timing and product-quality constraints remain unresolved.</x:v>
      </x:c>
    </x:row>
    <x:row r="10">
      <x:c r="A10" s="19" t="str">
        <x:v>NIPPON_STEEL</x:v>
      </x:c>
      <x:c r="B10" s="19" t="str">
        <x:v>Nippon Steel Corporation</x:v>
      </x:c>
      <x:c r="C10" s="19" t="str">
        <x:v>JP_NSC_MURORAN</x:v>
      </x:c>
      <x:c r="D10" s="19" t="str">
        <x:v>North Nippon Works Muroran Area</x:v>
      </x:c>
      <x:c r="E10" s="19" t="str">
        <x:v>Japan</x:v>
      </x:c>
      <x:c r="F10" s="19" t="str">
        <x:v>steel</x:v>
      </x:c>
      <x:c r="G10" s="19" t="str">
        <x:v>FY2024</x:v>
      </x:c>
      <x:c r="H10" s="19" t="str">
        <x:v>high</x:v>
      </x:c>
      <x:c r="I10" s="19" t="str">
        <x:v>in</x:v>
      </x:c>
      <x:c r="J10" s="19" t="str">
        <x:v>Allocated</x:v>
      </x:c>
      <x:c r="K10" s="25" t="str">
        <x:v>3230290.654</x:v>
      </x:c>
      <x:c r="L10" s="25" t="str">
        <x:v>steel_h2_dri_eaf</x:v>
      </x:c>
      <x:c r="M10" s="25" t="str">
        <x:v>2040</x:v>
      </x:c>
      <x:c r="N10" s="25" t="str">
        <x:v>2035</x:v>
      </x:c>
      <x:c r="O10" s="45" t="str">
        <x:v>contract-dependent</x:v>
      </x:c>
      <x:c r="P10" s="45" t="str">
        <x:v>screening placeholder; full cost-gap and robustness test pending</x:v>
      </x:c>
      <x:c r="Q10" s="45" t="str">
        <x:v>contract before commitment</x:v>
      </x:c>
      <x:c r="R10" s="45" t="str">
        <x:v>yes</x:v>
      </x:c>
      <x:c r="S10" s="25" t="str">
        <x:v>activity</x:v>
      </x:c>
      <x:c r="T10" s="25" t="str">
        <x:v>1200</x:v>
      </x:c>
      <x:c r="U10" s="25" t="str">
        <x:v>USD_2025/t annual output</x:v>
      </x:c>
      <x:c r="V10" s="25" t="str">
        <x:v>1488000000</x:v>
      </x:c>
      <x:c r="W10" s="25" t="str">
        <x:v>0.95</x:v>
      </x:c>
      <x:c r="X10" s="25" t="str">
        <x:v>161514.5327</x:v>
      </x:c>
      <x:c r="Y10" s="25" t="str">
        <x:v>3068776.1213</x:v>
      </x:c>
      <x:c r="Z10" s="25" t="str">
        <x:v>not_modelled; leakage and replacement production pending</x:v>
      </x:c>
      <x:c r="AA10" s="25" t="str">
        <x:v>0</x:v>
      </x:c>
      <x:c r="AB10" s="25" t="str">
        <x:v>1488000000</x:v>
      </x:c>
      <x:c r="AC10" s="25" t="str">
        <x:v>0</x:v>
      </x:c>
      <x:c r="AD10" s="37" t="str">
        <x:v>hydrogen, DRI-grade ore and clean-power infrastructure</x:v>
      </x:c>
      <x:c r="AE10" s="37" t="str">
        <x:v>hydrogen and clean electricity</x:v>
      </x:c>
      <x:c r="AF10" s="37" t="str">
        <x:v>USD</x:v>
      </x:c>
      <x:c r="AG10" s="37" t="str">
        <x:v>2025</x:v>
      </x:c>
      <x:c r="AH10" s="37" t="str">
        <x:v>Modelled</x:v>
      </x:c>
      <x:c r="AI10" s="37" t="str">
        <x:v>D</x:v>
      </x:c>
      <x:c r="AJ10" s="37" t="str">
        <x:v>IEA_STEEL_BREAKTHROUGH_2025|NEDO_H2_STEEL_2026|NSC_DB_2025</x:v>
      </x:c>
      <x:c r="AK10" s="37" t="str">
        <x:v>Case CAPEX equals reported case activity times analyst H2-DRI-EAF intensity; operational abatement equals allocated case GHG times case reduction fraction</x:v>
      </x:c>
      <x:c r="AL10" s="37" t="str">
        <x:v>Screening route; blast-furnace timing and product-quality constraints remain unresolved.</x:v>
      </x:c>
    </x:row>
    <x:row r="11">
      <x:c r="A11" s="19" t="str">
        <x:v>NIPPON_STEEL</x:v>
      </x:c>
      <x:c r="B11" s="19" t="str">
        <x:v>Nippon Steel Corporation</x:v>
      </x:c>
      <x:c r="C11" s="19" t="str">
        <x:v>JP_NSC_KASHIMA</x:v>
      </x:c>
      <x:c r="D11" s="19" t="str">
        <x:v>East Nippon Works Kashima Area</x:v>
      </x:c>
      <x:c r="E11" s="19" t="str">
        <x:v>Japan</x:v>
      </x:c>
      <x:c r="F11" s="19" t="str">
        <x:v>steel</x:v>
      </x:c>
      <x:c r="G11" s="19" t="str">
        <x:v>FY2024</x:v>
      </x:c>
      <x:c r="H11" s="19" t="str">
        <x:v>low</x:v>
      </x:c>
      <x:c r="I11" s="19" t="str">
        <x:v>in</x:v>
      </x:c>
      <x:c r="J11" s="19" t="str">
        <x:v>Allocated</x:v>
      </x:c>
      <x:c r="K11" s="25" t="str">
        <x:v>11726226.907</x:v>
      </x:c>
      <x:c r="L11" s="25" t="str">
        <x:v>steel_h2_dri_eaf</x:v>
      </x:c>
      <x:c r="M11" s="25" t="str">
        <x:v>2040</x:v>
      </x:c>
      <x:c r="N11" s="25" t="str">
        <x:v>2035</x:v>
      </x:c>
      <x:c r="O11" s="45" t="str">
        <x:v>contract-dependent</x:v>
      </x:c>
      <x:c r="P11" s="45" t="str">
        <x:v>screening placeholder; full cost-gap and robustness test pending</x:v>
      </x:c>
      <x:c r="Q11" s="45" t="str">
        <x:v>contract before commitment</x:v>
      </x:c>
      <x:c r="R11" s="45" t="str">
        <x:v>yes</x:v>
      </x:c>
      <x:c r="S11" s="25" t="str">
        <x:v>activity</x:v>
      </x:c>
      <x:c r="T11" s="25" t="str">
        <x:v>500</x:v>
      </x:c>
      <x:c r="U11" s="25" t="str">
        <x:v>USD_2025/t annual output</x:v>
      </x:c>
      <x:c r="V11" s="25" t="str">
        <x:v>3045000000</x:v>
      </x:c>
      <x:c r="W11" s="25" t="str">
        <x:v>0.5</x:v>
      </x:c>
      <x:c r="X11" s="25" t="str">
        <x:v>5863113.4535</x:v>
      </x:c>
      <x:c r="Y11" s="25" t="str">
        <x:v>5863113.4535</x:v>
      </x:c>
      <x:c r="Z11" s="25" t="str">
        <x:v>not_modelled; leakage and replacement production pending</x:v>
      </x:c>
      <x:c r="AA11" s="25" t="str">
        <x:v>0</x:v>
      </x:c>
      <x:c r="AB11" s="25" t="str">
        <x:v>3045000000</x:v>
      </x:c>
      <x:c r="AC11" s="25" t="str">
        <x:v>0</x:v>
      </x:c>
      <x:c r="AD11" s="37" t="str">
        <x:v>hydrogen, DRI-grade ore and clean-power infrastructure</x:v>
      </x:c>
      <x:c r="AE11" s="37" t="str">
        <x:v>hydrogen and clean electricity</x:v>
      </x:c>
      <x:c r="AF11" s="37" t="str">
        <x:v>USD</x:v>
      </x:c>
      <x:c r="AG11" s="37" t="str">
        <x:v>2025</x:v>
      </x:c>
      <x:c r="AH11" s="37" t="str">
        <x:v>Modelled</x:v>
      </x:c>
      <x:c r="AI11" s="37" t="str">
        <x:v>D</x:v>
      </x:c>
      <x:c r="AJ11" s="37" t="str">
        <x:v>IEA_STEEL_BREAKTHROUGH_2025|NEDO_H2_STEEL_2026|NSC_DB_2025</x:v>
      </x:c>
      <x:c r="AK11" s="37" t="str">
        <x:v>Case CAPEX equals reported case activity times analyst H2-DRI-EAF intensity; operational abatement equals allocated case GHG times case reduction fraction</x:v>
      </x:c>
      <x:c r="AL11" s="37" t="str">
        <x:v>Screening route; blast-furnace timing and product-quality constraints remain unresolved.</x:v>
      </x:c>
    </x:row>
    <x:row r="12">
      <x:c r="A12" s="19" t="str">
        <x:v>NIPPON_STEEL</x:v>
      </x:c>
      <x:c r="B12" s="19" t="str">
        <x:v>Nippon Steel Corporation</x:v>
      </x:c>
      <x:c r="C12" s="19" t="str">
        <x:v>JP_NSC_KASHIMA</x:v>
      </x:c>
      <x:c r="D12" s="19" t="str">
        <x:v>East Nippon Works Kashima Area</x:v>
      </x:c>
      <x:c r="E12" s="19" t="str">
        <x:v>Japan</x:v>
      </x:c>
      <x:c r="F12" s="19" t="str">
        <x:v>steel</x:v>
      </x:c>
      <x:c r="G12" s="19" t="str">
        <x:v>FY2024</x:v>
      </x:c>
      <x:c r="H12" s="19" t="str">
        <x:v>base</x:v>
      </x:c>
      <x:c r="I12" s="19" t="str">
        <x:v>in</x:v>
      </x:c>
      <x:c r="J12" s="19" t="str">
        <x:v>Allocated</x:v>
      </x:c>
      <x:c r="K12" s="25" t="str">
        <x:v>13795561.067</x:v>
      </x:c>
      <x:c r="L12" s="25" t="str">
        <x:v>steel_h2_dri_eaf</x:v>
      </x:c>
      <x:c r="M12" s="25" t="str">
        <x:v>2040</x:v>
      </x:c>
      <x:c r="N12" s="25" t="str">
        <x:v>2035</x:v>
      </x:c>
      <x:c r="O12" s="45" t="str">
        <x:v>contract-dependent</x:v>
      </x:c>
      <x:c r="P12" s="45" t="str">
        <x:v>screening placeholder; full cost-gap and robustness test pending</x:v>
      </x:c>
      <x:c r="Q12" s="45" t="str">
        <x:v>contract before commitment</x:v>
      </x:c>
      <x:c r="R12" s="45" t="str">
        <x:v>yes</x:v>
      </x:c>
      <x:c r="S12" s="25" t="str">
        <x:v>activity</x:v>
      </x:c>
      <x:c r="T12" s="25" t="str">
        <x:v>800</x:v>
      </x:c>
      <x:c r="U12" s="25" t="str">
        <x:v>USD_2025/t annual output</x:v>
      </x:c>
      <x:c r="V12" s="25" t="str">
        <x:v>4872000000</x:v>
      </x:c>
      <x:c r="W12" s="25" t="str">
        <x:v>0.75</x:v>
      </x:c>
      <x:c r="X12" s="25" t="str">
        <x:v>3448890.26675</x:v>
      </x:c>
      <x:c r="Y12" s="25" t="str">
        <x:v>10346670.80025</x:v>
      </x:c>
      <x:c r="Z12" s="25" t="str">
        <x:v>not_modelled; leakage and replacement production pending</x:v>
      </x:c>
      <x:c r="AA12" s="25" t="str">
        <x:v>0</x:v>
      </x:c>
      <x:c r="AB12" s="25" t="str">
        <x:v>4872000000</x:v>
      </x:c>
      <x:c r="AC12" s="25" t="str">
        <x:v>0</x:v>
      </x:c>
      <x:c r="AD12" s="37" t="str">
        <x:v>hydrogen, DRI-grade ore and clean-power infrastructure</x:v>
      </x:c>
      <x:c r="AE12" s="37" t="str">
        <x:v>hydrogen and clean electricity</x:v>
      </x:c>
      <x:c r="AF12" s="37" t="str">
        <x:v>USD</x:v>
      </x:c>
      <x:c r="AG12" s="37" t="str">
        <x:v>2025</x:v>
      </x:c>
      <x:c r="AH12" s="37" t="str">
        <x:v>Modelled</x:v>
      </x:c>
      <x:c r="AI12" s="37" t="str">
        <x:v>D</x:v>
      </x:c>
      <x:c r="AJ12" s="37" t="str">
        <x:v>IEA_STEEL_BREAKTHROUGH_2025|NEDO_H2_STEEL_2026|NSC_DB_2025</x:v>
      </x:c>
      <x:c r="AK12" s="37" t="str">
        <x:v>Case CAPEX equals reported case activity times analyst H2-DRI-EAF intensity; operational abatement equals allocated case GHG times case reduction fraction</x:v>
      </x:c>
      <x:c r="AL12" s="37" t="str">
        <x:v>Screening route; blast-furnace timing and product-quality constraints remain unresolved.</x:v>
      </x:c>
    </x:row>
    <x:row r="13">
      <x:c r="A13" s="19" t="str">
        <x:v>NIPPON_STEEL</x:v>
      </x:c>
      <x:c r="B13" s="19" t="str">
        <x:v>Nippon Steel Corporation</x:v>
      </x:c>
      <x:c r="C13" s="19" t="str">
        <x:v>JP_NSC_KASHIMA</x:v>
      </x:c>
      <x:c r="D13" s="19" t="str">
        <x:v>East Nippon Works Kashima Area</x:v>
      </x:c>
      <x:c r="E13" s="19" t="str">
        <x:v>Japan</x:v>
      </x:c>
      <x:c r="F13" s="19" t="str">
        <x:v>steel</x:v>
      </x:c>
      <x:c r="G13" s="19" t="str">
        <x:v>FY2024</x:v>
      </x:c>
      <x:c r="H13" s="19" t="str">
        <x:v>high</x:v>
      </x:c>
      <x:c r="I13" s="19" t="str">
        <x:v>in</x:v>
      </x:c>
      <x:c r="J13" s="19" t="str">
        <x:v>Allocated</x:v>
      </x:c>
      <x:c r="K13" s="25" t="str">
        <x:v>15864895.226</x:v>
      </x:c>
      <x:c r="L13" s="25" t="str">
        <x:v>steel_h2_dri_eaf</x:v>
      </x:c>
      <x:c r="M13" s="25" t="str">
        <x:v>2040</x:v>
      </x:c>
      <x:c r="N13" s="25" t="str">
        <x:v>2035</x:v>
      </x:c>
      <x:c r="O13" s="45" t="str">
        <x:v>contract-dependent</x:v>
      </x:c>
      <x:c r="P13" s="45" t="str">
        <x:v>screening placeholder; full cost-gap and robustness test pending</x:v>
      </x:c>
      <x:c r="Q13" s="45" t="str">
        <x:v>contract before commitment</x:v>
      </x:c>
      <x:c r="R13" s="45" t="str">
        <x:v>yes</x:v>
      </x:c>
      <x:c r="S13" s="25" t="str">
        <x:v>activity</x:v>
      </x:c>
      <x:c r="T13" s="25" t="str">
        <x:v>1200</x:v>
      </x:c>
      <x:c r="U13" s="25" t="str">
        <x:v>USD_2025/t annual output</x:v>
      </x:c>
      <x:c r="V13" s="25" t="str">
        <x:v>7308000000</x:v>
      </x:c>
      <x:c r="W13" s="25" t="str">
        <x:v>0.95</x:v>
      </x:c>
      <x:c r="X13" s="25" t="str">
        <x:v>793244.7613</x:v>
      </x:c>
      <x:c r="Y13" s="25" t="str">
        <x:v>15071650.4647</x:v>
      </x:c>
      <x:c r="Z13" s="25" t="str">
        <x:v>not_modelled; leakage and replacement production pending</x:v>
      </x:c>
      <x:c r="AA13" s="25" t="str">
        <x:v>0</x:v>
      </x:c>
      <x:c r="AB13" s="25" t="str">
        <x:v>7308000000</x:v>
      </x:c>
      <x:c r="AC13" s="25" t="str">
        <x:v>0</x:v>
      </x:c>
      <x:c r="AD13" s="37" t="str">
        <x:v>hydrogen, DRI-grade ore and clean-power infrastructure</x:v>
      </x:c>
      <x:c r="AE13" s="37" t="str">
        <x:v>hydrogen and clean electricity</x:v>
      </x:c>
      <x:c r="AF13" s="37" t="str">
        <x:v>USD</x:v>
      </x:c>
      <x:c r="AG13" s="37" t="str">
        <x:v>2025</x:v>
      </x:c>
      <x:c r="AH13" s="37" t="str">
        <x:v>Modelled</x:v>
      </x:c>
      <x:c r="AI13" s="37" t="str">
        <x:v>D</x:v>
      </x:c>
      <x:c r="AJ13" s="37" t="str">
        <x:v>IEA_STEEL_BREAKTHROUGH_2025|NEDO_H2_STEEL_2026|NSC_DB_2025</x:v>
      </x:c>
      <x:c r="AK13" s="37" t="str">
        <x:v>Case CAPEX equals reported case activity times analyst H2-DRI-EAF intensity; operational abatement equals allocated case GHG times case reduction fraction</x:v>
      </x:c>
      <x:c r="AL13" s="37" t="str">
        <x:v>Screening route; blast-furnace timing and product-quality constraints remain unresolved.</x:v>
      </x:c>
    </x:row>
    <x:row r="14">
      <x:c r="A14" s="19" t="str">
        <x:v>NIPPON_STEEL</x:v>
      </x:c>
      <x:c r="B14" s="19" t="str">
        <x:v>Nippon Steel Corporation</x:v>
      </x:c>
      <x:c r="C14" s="19" t="str">
        <x:v>JP_NSC_KIMITSU</x:v>
      </x:c>
      <x:c r="D14" s="19" t="str">
        <x:v>East Nippon Works Kimitsu Area</x:v>
      </x:c>
      <x:c r="E14" s="19" t="str">
        <x:v>Japan</x:v>
      </x:c>
      <x:c r="F14" s="19" t="str">
        <x:v>steel</x:v>
      </x:c>
      <x:c r="G14" s="19" t="str">
        <x:v>FY2024</x:v>
      </x:c>
      <x:c r="H14" s="19" t="str">
        <x:v>low</x:v>
      </x:c>
      <x:c r="I14" s="19" t="str">
        <x:v>in</x:v>
      </x:c>
      <x:c r="J14" s="19" t="str">
        <x:v>Allocated</x:v>
      </x:c>
      <x:c r="K14" s="25" t="str">
        <x:v>12708226.204</x:v>
      </x:c>
      <x:c r="L14" s="25" t="str">
        <x:v>steel_h2_dri_eaf</x:v>
      </x:c>
      <x:c r="M14" s="25" t="str">
        <x:v>2040</x:v>
      </x:c>
      <x:c r="N14" s="25" t="str">
        <x:v>2035</x:v>
      </x:c>
      <x:c r="O14" s="45" t="str">
        <x:v>contract-dependent</x:v>
      </x:c>
      <x:c r="P14" s="45" t="str">
        <x:v>screening placeholder; full cost-gap and robustness test pending</x:v>
      </x:c>
      <x:c r="Q14" s="45" t="str">
        <x:v>contract before commitment</x:v>
      </x:c>
      <x:c r="R14" s="45" t="str">
        <x:v>yes</x:v>
      </x:c>
      <x:c r="S14" s="25" t="str">
        <x:v>activity</x:v>
      </x:c>
      <x:c r="T14" s="25" t="str">
        <x:v>500</x:v>
      </x:c>
      <x:c r="U14" s="25" t="str">
        <x:v>USD_2025/t annual output</x:v>
      </x:c>
      <x:c r="V14" s="25" t="str">
        <x:v>3300000000</x:v>
      </x:c>
      <x:c r="W14" s="25" t="str">
        <x:v>0.5</x:v>
      </x:c>
      <x:c r="X14" s="25" t="str">
        <x:v>6354113.102</x:v>
      </x:c>
      <x:c r="Y14" s="25" t="str">
        <x:v>6354113.102</x:v>
      </x:c>
      <x:c r="Z14" s="25" t="str">
        <x:v>not_modelled; leakage and replacement production pending</x:v>
      </x:c>
      <x:c r="AA14" s="25" t="str">
        <x:v>0</x:v>
      </x:c>
      <x:c r="AB14" s="25" t="str">
        <x:v>3300000000</x:v>
      </x:c>
      <x:c r="AC14" s="25" t="str">
        <x:v>0</x:v>
      </x:c>
      <x:c r="AD14" s="37" t="str">
        <x:v>hydrogen, DRI-grade ore and clean-power infrastructure</x:v>
      </x:c>
      <x:c r="AE14" s="37" t="str">
        <x:v>hydrogen and clean electricity</x:v>
      </x:c>
      <x:c r="AF14" s="37" t="str">
        <x:v>USD</x:v>
      </x:c>
      <x:c r="AG14" s="37" t="str">
        <x:v>2025</x:v>
      </x:c>
      <x:c r="AH14" s="37" t="str">
        <x:v>Modelled</x:v>
      </x:c>
      <x:c r="AI14" s="37" t="str">
        <x:v>D</x:v>
      </x:c>
      <x:c r="AJ14" s="37" t="str">
        <x:v>IEA_STEEL_BREAKTHROUGH_2025|NEDO_H2_STEEL_2026|NSC_DB_2025</x:v>
      </x:c>
      <x:c r="AK14" s="37" t="str">
        <x:v>Case CAPEX equals reported case activity times analyst H2-DRI-EAF intensity; operational abatement equals allocated case GHG times case reduction fraction</x:v>
      </x:c>
      <x:c r="AL14" s="37" t="str">
        <x:v>Screening route; blast-furnace timing and product-quality constraints remain unresolved.</x:v>
      </x:c>
    </x:row>
    <x:row r="15">
      <x:c r="A15" s="19" t="str">
        <x:v>NIPPON_STEEL</x:v>
      </x:c>
      <x:c r="B15" s="19" t="str">
        <x:v>Nippon Steel Corporation</x:v>
      </x:c>
      <x:c r="C15" s="19" t="str">
        <x:v>JP_NSC_KIMITSU</x:v>
      </x:c>
      <x:c r="D15" s="19" t="str">
        <x:v>East Nippon Works Kimitsu Area</x:v>
      </x:c>
      <x:c r="E15" s="19" t="str">
        <x:v>Japan</x:v>
      </x:c>
      <x:c r="F15" s="19" t="str">
        <x:v>steel</x:v>
      </x:c>
      <x:c r="G15" s="19" t="str">
        <x:v>FY2024</x:v>
      </x:c>
      <x:c r="H15" s="19" t="str">
        <x:v>base</x:v>
      </x:c>
      <x:c r="I15" s="19" t="str">
        <x:v>in</x:v>
      </x:c>
      <x:c r="J15" s="19" t="str">
        <x:v>Allocated</x:v>
      </x:c>
      <x:c r="K15" s="25" t="str">
        <x:v>14950854.358</x:v>
      </x:c>
      <x:c r="L15" s="25" t="str">
        <x:v>steel_h2_dri_eaf</x:v>
      </x:c>
      <x:c r="M15" s="25" t="str">
        <x:v>2040</x:v>
      </x:c>
      <x:c r="N15" s="25" t="str">
        <x:v>2035</x:v>
      </x:c>
      <x:c r="O15" s="45" t="str">
        <x:v>contract-dependent</x:v>
      </x:c>
      <x:c r="P15" s="45" t="str">
        <x:v>screening placeholder; full cost-gap and robustness test pending</x:v>
      </x:c>
      <x:c r="Q15" s="45" t="str">
        <x:v>contract before commitment</x:v>
      </x:c>
      <x:c r="R15" s="45" t="str">
        <x:v>yes</x:v>
      </x:c>
      <x:c r="S15" s="25" t="str">
        <x:v>activity</x:v>
      </x:c>
      <x:c r="T15" s="25" t="str">
        <x:v>800</x:v>
      </x:c>
      <x:c r="U15" s="25" t="str">
        <x:v>USD_2025/t annual output</x:v>
      </x:c>
      <x:c r="V15" s="25" t="str">
        <x:v>5280000000</x:v>
      </x:c>
      <x:c r="W15" s="25" t="str">
        <x:v>0.75</x:v>
      </x:c>
      <x:c r="X15" s="25" t="str">
        <x:v>3737713.5895</x:v>
      </x:c>
      <x:c r="Y15" s="25" t="str">
        <x:v>11213140.7685</x:v>
      </x:c>
      <x:c r="Z15" s="25" t="str">
        <x:v>not_modelled; leakage and replacement production pending</x:v>
      </x:c>
      <x:c r="AA15" s="25" t="str">
        <x:v>0</x:v>
      </x:c>
      <x:c r="AB15" s="25" t="str">
        <x:v>5280000000</x:v>
      </x:c>
      <x:c r="AC15" s="25" t="str">
        <x:v>0</x:v>
      </x:c>
      <x:c r="AD15" s="37" t="str">
        <x:v>hydrogen, DRI-grade ore and clean-power infrastructure</x:v>
      </x:c>
      <x:c r="AE15" s="37" t="str">
        <x:v>hydrogen and clean electricity</x:v>
      </x:c>
      <x:c r="AF15" s="37" t="str">
        <x:v>USD</x:v>
      </x:c>
      <x:c r="AG15" s="37" t="str">
        <x:v>2025</x:v>
      </x:c>
      <x:c r="AH15" s="37" t="str">
        <x:v>Modelled</x:v>
      </x:c>
      <x:c r="AI15" s="37" t="str">
        <x:v>D</x:v>
      </x:c>
      <x:c r="AJ15" s="37" t="str">
        <x:v>IEA_STEEL_BREAKTHROUGH_2025|NEDO_H2_STEEL_2026|NSC_DB_2025</x:v>
      </x:c>
      <x:c r="AK15" s="37" t="str">
        <x:v>Case CAPEX equals reported case activity times analyst H2-DRI-EAF intensity; operational abatement equals allocated case GHG times case reduction fraction</x:v>
      </x:c>
      <x:c r="AL15" s="37" t="str">
        <x:v>Screening route; blast-furnace timing and product-quality constraints remain unresolved.</x:v>
      </x:c>
    </x:row>
    <x:row r="16">
      <x:c r="A16" s="19" t="str">
        <x:v>NIPPON_STEEL</x:v>
      </x:c>
      <x:c r="B16" s="19" t="str">
        <x:v>Nippon Steel Corporation</x:v>
      </x:c>
      <x:c r="C16" s="19" t="str">
        <x:v>JP_NSC_KIMITSU</x:v>
      </x:c>
      <x:c r="D16" s="19" t="str">
        <x:v>East Nippon Works Kimitsu Area</x:v>
      </x:c>
      <x:c r="E16" s="19" t="str">
        <x:v>Japan</x:v>
      </x:c>
      <x:c r="F16" s="19" t="str">
        <x:v>steel</x:v>
      </x:c>
      <x:c r="G16" s="19" t="str">
        <x:v>FY2024</x:v>
      </x:c>
      <x:c r="H16" s="19" t="str">
        <x:v>high</x:v>
      </x:c>
      <x:c r="I16" s="19" t="str">
        <x:v>in</x:v>
      </x:c>
      <x:c r="J16" s="19" t="str">
        <x:v>Allocated</x:v>
      </x:c>
      <x:c r="K16" s="25" t="str">
        <x:v>17193482.511</x:v>
      </x:c>
      <x:c r="L16" s="25" t="str">
        <x:v>steel_h2_dri_eaf</x:v>
      </x:c>
      <x:c r="M16" s="25" t="str">
        <x:v>2040</x:v>
      </x:c>
      <x:c r="N16" s="25" t="str">
        <x:v>2035</x:v>
      </x:c>
      <x:c r="O16" s="45" t="str">
        <x:v>contract-dependent</x:v>
      </x:c>
      <x:c r="P16" s="45" t="str">
        <x:v>screening placeholder; full cost-gap and robustness test pending</x:v>
      </x:c>
      <x:c r="Q16" s="45" t="str">
        <x:v>contract before commitment</x:v>
      </x:c>
      <x:c r="R16" s="45" t="str">
        <x:v>yes</x:v>
      </x:c>
      <x:c r="S16" s="25" t="str">
        <x:v>activity</x:v>
      </x:c>
      <x:c r="T16" s="25" t="str">
        <x:v>1200</x:v>
      </x:c>
      <x:c r="U16" s="25" t="str">
        <x:v>USD_2025/t annual output</x:v>
      </x:c>
      <x:c r="V16" s="25" t="str">
        <x:v>7920000000</x:v>
      </x:c>
      <x:c r="W16" s="25" t="str">
        <x:v>0.95</x:v>
      </x:c>
      <x:c r="X16" s="25" t="str">
        <x:v>859674.12555</x:v>
      </x:c>
      <x:c r="Y16" s="25" t="str">
        <x:v>16333808.38545</x:v>
      </x:c>
      <x:c r="Z16" s="25" t="str">
        <x:v>not_modelled; leakage and replacement production pending</x:v>
      </x:c>
      <x:c r="AA16" s="25" t="str">
        <x:v>0</x:v>
      </x:c>
      <x:c r="AB16" s="25" t="str">
        <x:v>7920000000</x:v>
      </x:c>
      <x:c r="AC16" s="25" t="str">
        <x:v>0</x:v>
      </x:c>
      <x:c r="AD16" s="37" t="str">
        <x:v>hydrogen, DRI-grade ore and clean-power infrastructure</x:v>
      </x:c>
      <x:c r="AE16" s="37" t="str">
        <x:v>hydrogen and clean electricity</x:v>
      </x:c>
      <x:c r="AF16" s="37" t="str">
        <x:v>USD</x:v>
      </x:c>
      <x:c r="AG16" s="37" t="str">
        <x:v>2025</x:v>
      </x:c>
      <x:c r="AH16" s="37" t="str">
        <x:v>Modelled</x:v>
      </x:c>
      <x:c r="AI16" s="37" t="str">
        <x:v>D</x:v>
      </x:c>
      <x:c r="AJ16" s="37" t="str">
        <x:v>IEA_STEEL_BREAKTHROUGH_2025|NEDO_H2_STEEL_2026|NSC_DB_2025</x:v>
      </x:c>
      <x:c r="AK16" s="37" t="str">
        <x:v>Case CAPEX equals reported case activity times analyst H2-DRI-EAF intensity; operational abatement equals allocated case GHG times case reduction fraction</x:v>
      </x:c>
      <x:c r="AL16" s="37" t="str">
        <x:v>Screening route; blast-furnace timing and product-quality constraints remain unresolved.</x:v>
      </x:c>
    </x:row>
    <x:row r="17">
      <x:c r="A17" s="19" t="str">
        <x:v>NIPPON_STEEL</x:v>
      </x:c>
      <x:c r="B17" s="19" t="str">
        <x:v>Nippon Steel Corporation</x:v>
      </x:c>
      <x:c r="C17" s="19" t="str">
        <x:v>JP_NSC_NAGOYA</x:v>
      </x:c>
      <x:c r="D17" s="19" t="str">
        <x:v>Nagoya Works</x:v>
      </x:c>
      <x:c r="E17" s="19" t="str">
        <x:v>Japan</x:v>
      </x:c>
      <x:c r="F17" s="19" t="str">
        <x:v>steel</x:v>
      </x:c>
      <x:c r="G17" s="19" t="str">
        <x:v>FY2024</x:v>
      </x:c>
      <x:c r="H17" s="19" t="str">
        <x:v>low</x:v>
      </x:c>
      <x:c r="I17" s="19" t="str">
        <x:v>in</x:v>
      </x:c>
      <x:c r="J17" s="19" t="str">
        <x:v>Allocated</x:v>
      </x:c>
      <x:c r="K17" s="25" t="str">
        <x:v>10532423.839</x:v>
      </x:c>
      <x:c r="L17" s="25" t="str">
        <x:v>steel_h2_dri_eaf</x:v>
      </x:c>
      <x:c r="M17" s="25" t="str">
        <x:v>2040</x:v>
      </x:c>
      <x:c r="N17" s="25" t="str">
        <x:v>2035</x:v>
      </x:c>
      <x:c r="O17" s="45" t="str">
        <x:v>contract-dependent</x:v>
      </x:c>
      <x:c r="P17" s="45" t="str">
        <x:v>screening placeholder; full cost-gap and robustness test pending</x:v>
      </x:c>
      <x:c r="Q17" s="45" t="str">
        <x:v>contract before commitment</x:v>
      </x:c>
      <x:c r="R17" s="45" t="str">
        <x:v>yes</x:v>
      </x:c>
      <x:c r="S17" s="25" t="str">
        <x:v>activity</x:v>
      </x:c>
      <x:c r="T17" s="25" t="str">
        <x:v>500</x:v>
      </x:c>
      <x:c r="U17" s="25" t="str">
        <x:v>USD_2025/t annual output</x:v>
      </x:c>
      <x:c r="V17" s="25" t="str">
        <x:v>2735000000</x:v>
      </x:c>
      <x:c r="W17" s="25" t="str">
        <x:v>0.5</x:v>
      </x:c>
      <x:c r="X17" s="25" t="str">
        <x:v>5266211.9195</x:v>
      </x:c>
      <x:c r="Y17" s="25" t="str">
        <x:v>5266211.9195</x:v>
      </x:c>
      <x:c r="Z17" s="25" t="str">
        <x:v>not_modelled; leakage and replacement production pending</x:v>
      </x:c>
      <x:c r="AA17" s="25" t="str">
        <x:v>0</x:v>
      </x:c>
      <x:c r="AB17" s="25" t="str">
        <x:v>2735000000</x:v>
      </x:c>
      <x:c r="AC17" s="25" t="str">
        <x:v>0</x:v>
      </x:c>
      <x:c r="AD17" s="37" t="str">
        <x:v>hydrogen, DRI-grade ore and clean-power infrastructure</x:v>
      </x:c>
      <x:c r="AE17" s="37" t="str">
        <x:v>hydrogen and clean electricity</x:v>
      </x:c>
      <x:c r="AF17" s="37" t="str">
        <x:v>USD</x:v>
      </x:c>
      <x:c r="AG17" s="37" t="str">
        <x:v>2025</x:v>
      </x:c>
      <x:c r="AH17" s="37" t="str">
        <x:v>Modelled</x:v>
      </x:c>
      <x:c r="AI17" s="37" t="str">
        <x:v>D</x:v>
      </x:c>
      <x:c r="AJ17" s="37" t="str">
        <x:v>IEA_STEEL_BREAKTHROUGH_2025|NEDO_H2_STEEL_2026|NSC_DB_2025</x:v>
      </x:c>
      <x:c r="AK17" s="37" t="str">
        <x:v>Case CAPEX equals reported case activity times analyst H2-DRI-EAF intensity; operational abatement equals allocated case GHG times case reduction fraction</x:v>
      </x:c>
      <x:c r="AL17" s="37" t="str">
        <x:v>Screening route; blast-furnace timing and product-quality constraints remain unresolved.</x:v>
      </x:c>
    </x:row>
    <x:row r="18">
      <x:c r="A18" s="19" t="str">
        <x:v>NIPPON_STEEL</x:v>
      </x:c>
      <x:c r="B18" s="19" t="str">
        <x:v>Nippon Steel Corporation</x:v>
      </x:c>
      <x:c r="C18" s="19" t="str">
        <x:v>JP_NSC_NAGOYA</x:v>
      </x:c>
      <x:c r="D18" s="19" t="str">
        <x:v>Nagoya Works</x:v>
      </x:c>
      <x:c r="E18" s="19" t="str">
        <x:v>Japan</x:v>
      </x:c>
      <x:c r="F18" s="19" t="str">
        <x:v>steel</x:v>
      </x:c>
      <x:c r="G18" s="19" t="str">
        <x:v>FY2024</x:v>
      </x:c>
      <x:c r="H18" s="19" t="str">
        <x:v>base</x:v>
      </x:c>
      <x:c r="I18" s="19" t="str">
        <x:v>in</x:v>
      </x:c>
      <x:c r="J18" s="19" t="str">
        <x:v>Allocated</x:v>
      </x:c>
      <x:c r="K18" s="25" t="str">
        <x:v>12391086.869</x:v>
      </x:c>
      <x:c r="L18" s="25" t="str">
        <x:v>steel_h2_dri_eaf</x:v>
      </x:c>
      <x:c r="M18" s="25" t="str">
        <x:v>2040</x:v>
      </x:c>
      <x:c r="N18" s="25" t="str">
        <x:v>2035</x:v>
      </x:c>
      <x:c r="O18" s="45" t="str">
        <x:v>contract-dependent</x:v>
      </x:c>
      <x:c r="P18" s="45" t="str">
        <x:v>screening placeholder; full cost-gap and robustness test pending</x:v>
      </x:c>
      <x:c r="Q18" s="45" t="str">
        <x:v>contract before commitment</x:v>
      </x:c>
      <x:c r="R18" s="45" t="str">
        <x:v>yes</x:v>
      </x:c>
      <x:c r="S18" s="25" t="str">
        <x:v>activity</x:v>
      </x:c>
      <x:c r="T18" s="25" t="str">
        <x:v>800</x:v>
      </x:c>
      <x:c r="U18" s="25" t="str">
        <x:v>USD_2025/t annual output</x:v>
      </x:c>
      <x:c r="V18" s="25" t="str">
        <x:v>4376000000</x:v>
      </x:c>
      <x:c r="W18" s="25" t="str">
        <x:v>0.75</x:v>
      </x:c>
      <x:c r="X18" s="25" t="str">
        <x:v>3097771.71725</x:v>
      </x:c>
      <x:c r="Y18" s="25" t="str">
        <x:v>9293315.15175</x:v>
      </x:c>
      <x:c r="Z18" s="25" t="str">
        <x:v>not_modelled; leakage and replacement production pending</x:v>
      </x:c>
      <x:c r="AA18" s="25" t="str">
        <x:v>0</x:v>
      </x:c>
      <x:c r="AB18" s="25" t="str">
        <x:v>4376000000</x:v>
      </x:c>
      <x:c r="AC18" s="25" t="str">
        <x:v>0</x:v>
      </x:c>
      <x:c r="AD18" s="37" t="str">
        <x:v>hydrogen, DRI-grade ore and clean-power infrastructure</x:v>
      </x:c>
      <x:c r="AE18" s="37" t="str">
        <x:v>hydrogen and clean electricity</x:v>
      </x:c>
      <x:c r="AF18" s="37" t="str">
        <x:v>USD</x:v>
      </x:c>
      <x:c r="AG18" s="37" t="str">
        <x:v>2025</x:v>
      </x:c>
      <x:c r="AH18" s="37" t="str">
        <x:v>Modelled</x:v>
      </x:c>
      <x:c r="AI18" s="37" t="str">
        <x:v>D</x:v>
      </x:c>
      <x:c r="AJ18" s="37" t="str">
        <x:v>IEA_STEEL_BREAKTHROUGH_2025|NEDO_H2_STEEL_2026|NSC_DB_2025</x:v>
      </x:c>
      <x:c r="AK18" s="37" t="str">
        <x:v>Case CAPEX equals reported case activity times analyst H2-DRI-EAF intensity; operational abatement equals allocated case GHG times case reduction fraction</x:v>
      </x:c>
      <x:c r="AL18" s="37" t="str">
        <x:v>Screening route; blast-furnace timing and product-quality constraints remain unresolved.</x:v>
      </x:c>
    </x:row>
    <x:row r="19">
      <x:c r="A19" s="19" t="str">
        <x:v>NIPPON_STEEL</x:v>
      </x:c>
      <x:c r="B19" s="19" t="str">
        <x:v>Nippon Steel Corporation</x:v>
      </x:c>
      <x:c r="C19" s="19" t="str">
        <x:v>JP_NSC_NAGOYA</x:v>
      </x:c>
      <x:c r="D19" s="19" t="str">
        <x:v>Nagoya Works</x:v>
      </x:c>
      <x:c r="E19" s="19" t="str">
        <x:v>Japan</x:v>
      </x:c>
      <x:c r="F19" s="19" t="str">
        <x:v>steel</x:v>
      </x:c>
      <x:c r="G19" s="19" t="str">
        <x:v>FY2024</x:v>
      </x:c>
      <x:c r="H19" s="19" t="str">
        <x:v>high</x:v>
      </x:c>
      <x:c r="I19" s="19" t="str">
        <x:v>in</x:v>
      </x:c>
      <x:c r="J19" s="19" t="str">
        <x:v>Allocated</x:v>
      </x:c>
      <x:c r="K19" s="25" t="str">
        <x:v>14249749.9</x:v>
      </x:c>
      <x:c r="L19" s="25" t="str">
        <x:v>steel_h2_dri_eaf</x:v>
      </x:c>
      <x:c r="M19" s="25" t="str">
        <x:v>2040</x:v>
      </x:c>
      <x:c r="N19" s="25" t="str">
        <x:v>2035</x:v>
      </x:c>
      <x:c r="O19" s="45" t="str">
        <x:v>contract-dependent</x:v>
      </x:c>
      <x:c r="P19" s="45" t="str">
        <x:v>screening placeholder; full cost-gap and robustness test pending</x:v>
      </x:c>
      <x:c r="Q19" s="45" t="str">
        <x:v>contract before commitment</x:v>
      </x:c>
      <x:c r="R19" s="45" t="str">
        <x:v>yes</x:v>
      </x:c>
      <x:c r="S19" s="25" t="str">
        <x:v>activity</x:v>
      </x:c>
      <x:c r="T19" s="25" t="str">
        <x:v>1200</x:v>
      </x:c>
      <x:c r="U19" s="25" t="str">
        <x:v>USD_2025/t annual output</x:v>
      </x:c>
      <x:c r="V19" s="25" t="str">
        <x:v>6564000000</x:v>
      </x:c>
      <x:c r="W19" s="25" t="str">
        <x:v>0.95</x:v>
      </x:c>
      <x:c r="X19" s="25" t="str">
        <x:v>712487.495</x:v>
      </x:c>
      <x:c r="Y19" s="25" t="str">
        <x:v>13537262.405</x:v>
      </x:c>
      <x:c r="Z19" s="25" t="str">
        <x:v>not_modelled; leakage and replacement production pending</x:v>
      </x:c>
      <x:c r="AA19" s="25" t="str">
        <x:v>0</x:v>
      </x:c>
      <x:c r="AB19" s="25" t="str">
        <x:v>6564000000</x:v>
      </x:c>
      <x:c r="AC19" s="25" t="str">
        <x:v>0</x:v>
      </x:c>
      <x:c r="AD19" s="37" t="str">
        <x:v>hydrogen, DRI-grade ore and clean-power infrastructure</x:v>
      </x:c>
      <x:c r="AE19" s="37" t="str">
        <x:v>hydrogen and clean electricity</x:v>
      </x:c>
      <x:c r="AF19" s="37" t="str">
        <x:v>USD</x:v>
      </x:c>
      <x:c r="AG19" s="37" t="str">
        <x:v>2025</x:v>
      </x:c>
      <x:c r="AH19" s="37" t="str">
        <x:v>Modelled</x:v>
      </x:c>
      <x:c r="AI19" s="37" t="str">
        <x:v>D</x:v>
      </x:c>
      <x:c r="AJ19" s="37" t="str">
        <x:v>IEA_STEEL_BREAKTHROUGH_2025|NEDO_H2_STEEL_2026|NSC_DB_2025</x:v>
      </x:c>
      <x:c r="AK19" s="37" t="str">
        <x:v>Case CAPEX equals reported case activity times analyst H2-DRI-EAF intensity; operational abatement equals allocated case GHG times case reduction fraction</x:v>
      </x:c>
      <x:c r="AL19" s="37" t="str">
        <x:v>Screening route; blast-furnace timing and product-quality constraints remain unresolved.</x:v>
      </x:c>
    </x:row>
    <x:row r="20">
      <x:c r="A20" s="19" t="str">
        <x:v>NIPPON_STEEL</x:v>
      </x:c>
      <x:c r="B20" s="19" t="str">
        <x:v>Nippon Steel Corporation</x:v>
      </x:c>
      <x:c r="C20" s="19" t="str">
        <x:v>JP_NSC_WAKAYAMA</x:v>
      </x:c>
      <x:c r="D20" s="19" t="str">
        <x:v>Kansai Works Wakayama Area</x:v>
      </x:c>
      <x:c r="E20" s="19" t="str">
        <x:v>Japan</x:v>
      </x:c>
      <x:c r="F20" s="19" t="str">
        <x:v>steel</x:v>
      </x:c>
      <x:c r="G20" s="19" t="str">
        <x:v>FY2024</x:v>
      </x:c>
      <x:c r="H20" s="19" t="str">
        <x:v>low</x:v>
      </x:c>
      <x:c r="I20" s="19" t="str">
        <x:v>in</x:v>
      </x:c>
      <x:c r="J20" s="19" t="str">
        <x:v>Allocated</x:v>
      </x:c>
      <x:c r="K20" s="25" t="str">
        <x:v>4197565.625</x:v>
      </x:c>
      <x:c r="L20" s="25" t="str">
        <x:v>steel_h2_dri_eaf</x:v>
      </x:c>
      <x:c r="M20" s="25" t="str">
        <x:v>2040</x:v>
      </x:c>
      <x:c r="N20" s="25" t="str">
        <x:v>2035</x:v>
      </x:c>
      <x:c r="O20" s="45" t="str">
        <x:v>contract-dependent</x:v>
      </x:c>
      <x:c r="P20" s="45" t="str">
        <x:v>screening placeholder; full cost-gap and robustness test pending</x:v>
      </x:c>
      <x:c r="Q20" s="45" t="str">
        <x:v>contract before commitment</x:v>
      </x:c>
      <x:c r="R20" s="45" t="str">
        <x:v>yes</x:v>
      </x:c>
      <x:c r="S20" s="25" t="str">
        <x:v>activity</x:v>
      </x:c>
      <x:c r="T20" s="25" t="str">
        <x:v>500</x:v>
      </x:c>
      <x:c r="U20" s="25" t="str">
        <x:v>USD_2025/t annual output</x:v>
      </x:c>
      <x:c r="V20" s="25" t="str">
        <x:v>1090000000</x:v>
      </x:c>
      <x:c r="W20" s="25" t="str">
        <x:v>0.5</x:v>
      </x:c>
      <x:c r="X20" s="25" t="str">
        <x:v>2098782.8125</x:v>
      </x:c>
      <x:c r="Y20" s="25" t="str">
        <x:v>2098782.8125</x:v>
      </x:c>
      <x:c r="Z20" s="25" t="str">
        <x:v>not_modelled; leakage and replacement production pending</x:v>
      </x:c>
      <x:c r="AA20" s="25" t="str">
        <x:v>0</x:v>
      </x:c>
      <x:c r="AB20" s="25" t="str">
        <x:v>1090000000</x:v>
      </x:c>
      <x:c r="AC20" s="25" t="str">
        <x:v>0</x:v>
      </x:c>
      <x:c r="AD20" s="37" t="str">
        <x:v>hydrogen, DRI-grade ore and clean-power infrastructure</x:v>
      </x:c>
      <x:c r="AE20" s="37" t="str">
        <x:v>hydrogen and clean electricity</x:v>
      </x:c>
      <x:c r="AF20" s="37" t="str">
        <x:v>USD</x:v>
      </x:c>
      <x:c r="AG20" s="37" t="str">
        <x:v>2025</x:v>
      </x:c>
      <x:c r="AH20" s="37" t="str">
        <x:v>Modelled</x:v>
      </x:c>
      <x:c r="AI20" s="37" t="str">
        <x:v>D</x:v>
      </x:c>
      <x:c r="AJ20" s="37" t="str">
        <x:v>IEA_STEEL_BREAKTHROUGH_2025|NEDO_H2_STEEL_2026|NSC_DB_2025</x:v>
      </x:c>
      <x:c r="AK20" s="37" t="str">
        <x:v>Case CAPEX equals reported case activity times analyst H2-DRI-EAF intensity; operational abatement equals allocated case GHG times case reduction fraction</x:v>
      </x:c>
      <x:c r="AL20" s="37" t="str">
        <x:v>Screening route; blast-furnace timing and product-quality constraints remain unresolved.</x:v>
      </x:c>
    </x:row>
    <x:row r="21">
      <x:c r="A21" s="19" t="str">
        <x:v>NIPPON_STEEL</x:v>
      </x:c>
      <x:c r="B21" s="19" t="str">
        <x:v>Nippon Steel Corporation</x:v>
      </x:c>
      <x:c r="C21" s="19" t="str">
        <x:v>JP_NSC_WAKAYAMA</x:v>
      </x:c>
      <x:c r="D21" s="19" t="str">
        <x:v>Kansai Works Wakayama Area</x:v>
      </x:c>
      <x:c r="E21" s="19" t="str">
        <x:v>Japan</x:v>
      </x:c>
      <x:c r="F21" s="19" t="str">
        <x:v>steel</x:v>
      </x:c>
      <x:c r="G21" s="19" t="str">
        <x:v>FY2024</x:v>
      </x:c>
      <x:c r="H21" s="19" t="str">
        <x:v>base</x:v>
      </x:c>
      <x:c r="I21" s="19" t="str">
        <x:v>in</x:v>
      </x:c>
      <x:c r="J21" s="19" t="str">
        <x:v>Allocated</x:v>
      </x:c>
      <x:c r="K21" s="25" t="str">
        <x:v>4938312.5</x:v>
      </x:c>
      <x:c r="L21" s="25" t="str">
        <x:v>steel_h2_dri_eaf</x:v>
      </x:c>
      <x:c r="M21" s="25" t="str">
        <x:v>2040</x:v>
      </x:c>
      <x:c r="N21" s="25" t="str">
        <x:v>2035</x:v>
      </x:c>
      <x:c r="O21" s="45" t="str">
        <x:v>contract-dependent</x:v>
      </x:c>
      <x:c r="P21" s="45" t="str">
        <x:v>screening placeholder; full cost-gap and robustness test pending</x:v>
      </x:c>
      <x:c r="Q21" s="45" t="str">
        <x:v>contract before commitment</x:v>
      </x:c>
      <x:c r="R21" s="45" t="str">
        <x:v>yes</x:v>
      </x:c>
      <x:c r="S21" s="25" t="str">
        <x:v>activity</x:v>
      </x:c>
      <x:c r="T21" s="25" t="str">
        <x:v>800</x:v>
      </x:c>
      <x:c r="U21" s="25" t="str">
        <x:v>USD_2025/t annual output</x:v>
      </x:c>
      <x:c r="V21" s="25" t="str">
        <x:v>1744000000</x:v>
      </x:c>
      <x:c r="W21" s="25" t="str">
        <x:v>0.75</x:v>
      </x:c>
      <x:c r="X21" s="25" t="str">
        <x:v>1234578.125</x:v>
      </x:c>
      <x:c r="Y21" s="25" t="str">
        <x:v>3703734.375</x:v>
      </x:c>
      <x:c r="Z21" s="25" t="str">
        <x:v>not_modelled; leakage and replacement production pending</x:v>
      </x:c>
      <x:c r="AA21" s="25" t="str">
        <x:v>0</x:v>
      </x:c>
      <x:c r="AB21" s="25" t="str">
        <x:v>1744000000</x:v>
      </x:c>
      <x:c r="AC21" s="25" t="str">
        <x:v>0</x:v>
      </x:c>
      <x:c r="AD21" s="37" t="str">
        <x:v>hydrogen, DRI-grade ore and clean-power infrastructure</x:v>
      </x:c>
      <x:c r="AE21" s="37" t="str">
        <x:v>hydrogen and clean electricity</x:v>
      </x:c>
      <x:c r="AF21" s="37" t="str">
        <x:v>USD</x:v>
      </x:c>
      <x:c r="AG21" s="37" t="str">
        <x:v>2025</x:v>
      </x:c>
      <x:c r="AH21" s="37" t="str">
        <x:v>Modelled</x:v>
      </x:c>
      <x:c r="AI21" s="37" t="str">
        <x:v>D</x:v>
      </x:c>
      <x:c r="AJ21" s="37" t="str">
        <x:v>IEA_STEEL_BREAKTHROUGH_2025|NEDO_H2_STEEL_2026|NSC_DB_2025</x:v>
      </x:c>
      <x:c r="AK21" s="37" t="str">
        <x:v>Case CAPEX equals reported case activity times analyst H2-DRI-EAF intensity; operational abatement equals allocated case GHG times case reduction fraction</x:v>
      </x:c>
      <x:c r="AL21" s="37" t="str">
        <x:v>Screening route; blast-furnace timing and product-quality constraints remain unresolved.</x:v>
      </x:c>
    </x:row>
    <x:row r="22">
      <x:c r="A22" s="19" t="str">
        <x:v>NIPPON_STEEL</x:v>
      </x:c>
      <x:c r="B22" s="19" t="str">
        <x:v>Nippon Steel Corporation</x:v>
      </x:c>
      <x:c r="C22" s="19" t="str">
        <x:v>JP_NSC_WAKAYAMA</x:v>
      </x:c>
      <x:c r="D22" s="19" t="str">
        <x:v>Kansai Works Wakayama Area</x:v>
      </x:c>
      <x:c r="E22" s="19" t="str">
        <x:v>Japan</x:v>
      </x:c>
      <x:c r="F22" s="19" t="str">
        <x:v>steel</x:v>
      </x:c>
      <x:c r="G22" s="19" t="str">
        <x:v>FY2024</x:v>
      </x:c>
      <x:c r="H22" s="19" t="str">
        <x:v>high</x:v>
      </x:c>
      <x:c r="I22" s="19" t="str">
        <x:v>in</x:v>
      </x:c>
      <x:c r="J22" s="19" t="str">
        <x:v>Allocated</x:v>
      </x:c>
      <x:c r="K22" s="25" t="str">
        <x:v>5679059.375</x:v>
      </x:c>
      <x:c r="L22" s="25" t="str">
        <x:v>steel_h2_dri_eaf</x:v>
      </x:c>
      <x:c r="M22" s="25" t="str">
        <x:v>2040</x:v>
      </x:c>
      <x:c r="N22" s="25" t="str">
        <x:v>2035</x:v>
      </x:c>
      <x:c r="O22" s="45" t="str">
        <x:v>contract-dependent</x:v>
      </x:c>
      <x:c r="P22" s="45" t="str">
        <x:v>screening placeholder; full cost-gap and robustness test pending</x:v>
      </x:c>
      <x:c r="Q22" s="45" t="str">
        <x:v>contract before commitment</x:v>
      </x:c>
      <x:c r="R22" s="45" t="str">
        <x:v>yes</x:v>
      </x:c>
      <x:c r="S22" s="25" t="str">
        <x:v>activity</x:v>
      </x:c>
      <x:c r="T22" s="25" t="str">
        <x:v>1200</x:v>
      </x:c>
      <x:c r="U22" s="25" t="str">
        <x:v>USD_2025/t annual output</x:v>
      </x:c>
      <x:c r="V22" s="25" t="str">
        <x:v>2616000000</x:v>
      </x:c>
      <x:c r="W22" s="25" t="str">
        <x:v>0.95</x:v>
      </x:c>
      <x:c r="X22" s="25" t="str">
        <x:v>283952.96875</x:v>
      </x:c>
      <x:c r="Y22" s="25" t="str">
        <x:v>5395106.40625</x:v>
      </x:c>
      <x:c r="Z22" s="25" t="str">
        <x:v>not_modelled; leakage and replacement production pending</x:v>
      </x:c>
      <x:c r="AA22" s="25" t="str">
        <x:v>0</x:v>
      </x:c>
      <x:c r="AB22" s="25" t="str">
        <x:v>2616000000</x:v>
      </x:c>
      <x:c r="AC22" s="25" t="str">
        <x:v>0</x:v>
      </x:c>
      <x:c r="AD22" s="37" t="str">
        <x:v>hydrogen, DRI-grade ore and clean-power infrastructure</x:v>
      </x:c>
      <x:c r="AE22" s="37" t="str">
        <x:v>hydrogen and clean electricity</x:v>
      </x:c>
      <x:c r="AF22" s="37" t="str">
        <x:v>USD</x:v>
      </x:c>
      <x:c r="AG22" s="37" t="str">
        <x:v>2025</x:v>
      </x:c>
      <x:c r="AH22" s="37" t="str">
        <x:v>Modelled</x:v>
      </x:c>
      <x:c r="AI22" s="37" t="str">
        <x:v>D</x:v>
      </x:c>
      <x:c r="AJ22" s="37" t="str">
        <x:v>IEA_STEEL_BREAKTHROUGH_2025|NEDO_H2_STEEL_2026|NSC_DB_2025</x:v>
      </x:c>
      <x:c r="AK22" s="37" t="str">
        <x:v>Case CAPEX equals reported case activity times analyst H2-DRI-EAF intensity; operational abatement equals allocated case GHG times case reduction fraction</x:v>
      </x:c>
      <x:c r="AL22" s="37" t="str">
        <x:v>Screening route; blast-furnace timing and product-quality constraints remain unresolved.</x:v>
      </x:c>
    </x:row>
    <x:row r="23">
      <x:c r="A23" s="19" t="str">
        <x:v>NIPPON_STEEL</x:v>
      </x:c>
      <x:c r="B23" s="19" t="str">
        <x:v>Nippon Steel Corporation</x:v>
      </x:c>
      <x:c r="C23" s="19" t="str">
        <x:v>JP_NSC_OSAKA</x:v>
      </x:c>
      <x:c r="D23" s="19" t="str">
        <x:v>Kansai Works Osaka Area</x:v>
      </x:c>
      <x:c r="E23" s="19" t="str">
        <x:v>Japan</x:v>
      </x:c>
      <x:c r="F23" s="19" t="str">
        <x:v>steel</x:v>
      </x:c>
      <x:c r="G23" s="19" t="str">
        <x:v>FY2024</x:v>
      </x:c>
      <x:c r="H23" s="19" t="str">
        <x:v>low</x:v>
      </x:c>
      <x:c r="I23" s="19" t="str">
        <x:v>conditional</x:v>
      </x:c>
      <x:c r="J23" s="19" t="str">
        <x:v>Allocated</x:v>
      </x:c>
      <x:c r="K23" s="25" t="str">
        <x:v>57764.665</x:v>
      </x:c>
      <x:c r="L23" s="25" t="str">
        <x:v>steel_eaf_efficiency</x:v>
      </x:c>
      <x:c r="M23" s="25" t="str">
        <x:v>2030</x:v>
      </x:c>
      <x:c r="N23" s="25" t="str">
        <x:v>2030</x:v>
      </x:c>
      <x:c r="O23" s="45" t="str">
        <x:v>price-conditional</x:v>
      </x:c>
      <x:c r="P23" s="45" t="str">
        <x:v>screening placeholder; route boundary and full cost-gap test pending</x:v>
      </x:c>
      <x:c r="Q23" s="45" t="str">
        <x:v>allocate/prepare now subject to electricity price</x:v>
      </x:c>
      <x:c r="R23" s="45" t="str">
        <x:v>yes</x:v>
      </x:c>
      <x:c r="S23" s="25" t="str">
        <x:v>activity</x:v>
      </x:c>
      <x:c r="T23" s="25" t="str">
        <x:v>25</x:v>
      </x:c>
      <x:c r="U23" s="25" t="str">
        <x:v>USD_2025/t annual output</x:v>
      </x:c>
      <x:c r="V23" s="25" t="str">
        <x:v>750000</x:v>
      </x:c>
      <x:c r="W23" s="25" t="str">
        <x:v>0.05</x:v>
      </x:c>
      <x:c r="X23" s="25" t="str">
        <x:v>54876.43175</x:v>
      </x:c>
      <x:c r="Y23" s="25" t="str">
        <x:v>2888.23325</x:v>
      </x:c>
      <x:c r="Z23" s="25" t="str">
        <x:v>not_modelled; leakage and replacement production pending</x:v>
      </x:c>
      <x:c r="AA23" s="25" t="str">
        <x:v>750000</x:v>
      </x:c>
      <x:c r="AB23" s="25" t="str">
        <x:v>0</x:v>
      </x:c>
      <x:c r="AC23" s="25" t="str">
        <x:v>0</x:v>
      </x:c>
      <x:c r="AD23" s="37" t="str">
        <x:v>route/equipment definition and electricity sourcing</x:v>
      </x:c>
      <x:c r="AE23" s="37" t="str">
        <x:v>electricity</x:v>
      </x:c>
      <x:c r="AF23" s="37" t="str">
        <x:v>USD</x:v>
      </x:c>
      <x:c r="AG23" s="37" t="str">
        <x:v>2025</x:v>
      </x:c>
      <x:c r="AH23" s="37" t="str">
        <x:v>Modelled</x:v>
      </x:c>
      <x:c r="AI23" s="37" t="str">
        <x:v>D</x:v>
      </x:c>
      <x:c r="AJ23" s="37" t="str">
        <x:v>NSC_DB_2025|POSCO_CLIMATE_2026</x:v>
      </x:c>
      <x:c r="AK23" s="37" t="str">
        <x:v>Case CAPEX equals reported activity times analyst efficiency intensity; operational abatement equals allocated case GHG times analyst range around the 10% POSCO scrap-use marker</x:v>
      </x:c>
      <x:c r="AL23" s="37" t="str">
        <x:v>Cross-company proxy used only for an output-first specialty/electric-route screen.</x:v>
      </x:c>
    </x:row>
    <x:row r="24">
      <x:c r="A24" s="19" t="str">
        <x:v>NIPPON_STEEL</x:v>
      </x:c>
      <x:c r="B24" s="19" t="str">
        <x:v>Nippon Steel Corporation</x:v>
      </x:c>
      <x:c r="C24" s="19" t="str">
        <x:v>JP_NSC_OSAKA</x:v>
      </x:c>
      <x:c r="D24" s="19" t="str">
        <x:v>Kansai Works Osaka Area</x:v>
      </x:c>
      <x:c r="E24" s="19" t="str">
        <x:v>Japan</x:v>
      </x:c>
      <x:c r="F24" s="19" t="str">
        <x:v>steel</x:v>
      </x:c>
      <x:c r="G24" s="19" t="str">
        <x:v>FY2024</x:v>
      </x:c>
      <x:c r="H24" s="19" t="str">
        <x:v>base</x:v>
      </x:c>
      <x:c r="I24" s="19" t="str">
        <x:v>conditional</x:v>
      </x:c>
      <x:c r="J24" s="19" t="str">
        <x:v>Allocated</x:v>
      </x:c>
      <x:c r="K24" s="25" t="str">
        <x:v>67958.429</x:v>
      </x:c>
      <x:c r="L24" s="25" t="str">
        <x:v>steel_eaf_efficiency</x:v>
      </x:c>
      <x:c r="M24" s="25" t="str">
        <x:v>2030</x:v>
      </x:c>
      <x:c r="N24" s="25" t="str">
        <x:v>2030</x:v>
      </x:c>
      <x:c r="O24" s="45" t="str">
        <x:v>price-conditional</x:v>
      </x:c>
      <x:c r="P24" s="45" t="str">
        <x:v>screening placeholder; route boundary and full cost-gap test pending</x:v>
      </x:c>
      <x:c r="Q24" s="45" t="str">
        <x:v>allocate/prepare now subject to electricity price</x:v>
      </x:c>
      <x:c r="R24" s="45" t="str">
        <x:v>yes</x:v>
      </x:c>
      <x:c r="S24" s="25" t="str">
        <x:v>activity</x:v>
      </x:c>
      <x:c r="T24" s="25" t="str">
        <x:v>50</x:v>
      </x:c>
      <x:c r="U24" s="25" t="str">
        <x:v>USD_2025/t annual output</x:v>
      </x:c>
      <x:c r="V24" s="25" t="str">
        <x:v>1500000</x:v>
      </x:c>
      <x:c r="W24" s="25" t="str">
        <x:v>0.1</x:v>
      </x:c>
      <x:c r="X24" s="25" t="str">
        <x:v>61162.5861</x:v>
      </x:c>
      <x:c r="Y24" s="25" t="str">
        <x:v>6795.8429</x:v>
      </x:c>
      <x:c r="Z24" s="25" t="str">
        <x:v>not_modelled; leakage and replacement production pending</x:v>
      </x:c>
      <x:c r="AA24" s="25" t="str">
        <x:v>1500000</x:v>
      </x:c>
      <x:c r="AB24" s="25" t="str">
        <x:v>0</x:v>
      </x:c>
      <x:c r="AC24" s="25" t="str">
        <x:v>0</x:v>
      </x:c>
      <x:c r="AD24" s="37" t="str">
        <x:v>route/equipment definition and electricity sourcing</x:v>
      </x:c>
      <x:c r="AE24" s="37" t="str">
        <x:v>electricity</x:v>
      </x:c>
      <x:c r="AF24" s="37" t="str">
        <x:v>USD</x:v>
      </x:c>
      <x:c r="AG24" s="37" t="str">
        <x:v>2025</x:v>
      </x:c>
      <x:c r="AH24" s="37" t="str">
        <x:v>Modelled</x:v>
      </x:c>
      <x:c r="AI24" s="37" t="str">
        <x:v>D</x:v>
      </x:c>
      <x:c r="AJ24" s="37" t="str">
        <x:v>NSC_DB_2025|POSCO_CLIMATE_2026</x:v>
      </x:c>
      <x:c r="AK24" s="37" t="str">
        <x:v>Case CAPEX equals reported activity times analyst efficiency intensity; operational abatement equals allocated case GHG times analyst range around the 10% POSCO scrap-use marker</x:v>
      </x:c>
      <x:c r="AL24" s="37" t="str">
        <x:v>Cross-company proxy used only for an output-first specialty/electric-route screen.</x:v>
      </x:c>
    </x:row>
    <x:row r="25">
      <x:c r="A25" s="19" t="str">
        <x:v>NIPPON_STEEL</x:v>
      </x:c>
      <x:c r="B25" s="19" t="str">
        <x:v>Nippon Steel Corporation</x:v>
      </x:c>
      <x:c r="C25" s="19" t="str">
        <x:v>JP_NSC_OSAKA</x:v>
      </x:c>
      <x:c r="D25" s="19" t="str">
        <x:v>Kansai Works Osaka Area</x:v>
      </x:c>
      <x:c r="E25" s="19" t="str">
        <x:v>Japan</x:v>
      </x:c>
      <x:c r="F25" s="19" t="str">
        <x:v>steel</x:v>
      </x:c>
      <x:c r="G25" s="19" t="str">
        <x:v>FY2024</x:v>
      </x:c>
      <x:c r="H25" s="19" t="str">
        <x:v>high</x:v>
      </x:c>
      <x:c r="I25" s="19" t="str">
        <x:v>conditional</x:v>
      </x:c>
      <x:c r="J25" s="19" t="str">
        <x:v>Allocated</x:v>
      </x:c>
      <x:c r="K25" s="25" t="str">
        <x:v>78152.193</x:v>
      </x:c>
      <x:c r="L25" s="25" t="str">
        <x:v>steel_eaf_efficiency</x:v>
      </x:c>
      <x:c r="M25" s="25" t="str">
        <x:v>2030</x:v>
      </x:c>
      <x:c r="N25" s="25" t="str">
        <x:v>2030</x:v>
      </x:c>
      <x:c r="O25" s="45" t="str">
        <x:v>price-conditional</x:v>
      </x:c>
      <x:c r="P25" s="45" t="str">
        <x:v>screening placeholder; route boundary and full cost-gap test pending</x:v>
      </x:c>
      <x:c r="Q25" s="45" t="str">
        <x:v>allocate/prepare now subject to electricity price</x:v>
      </x:c>
      <x:c r="R25" s="45" t="str">
        <x:v>yes</x:v>
      </x:c>
      <x:c r="S25" s="25" t="str">
        <x:v>activity</x:v>
      </x:c>
      <x:c r="T25" s="25" t="str">
        <x:v>100</x:v>
      </x:c>
      <x:c r="U25" s="25" t="str">
        <x:v>USD_2025/t annual output</x:v>
      </x:c>
      <x:c r="V25" s="25" t="str">
        <x:v>3000000</x:v>
      </x:c>
      <x:c r="W25" s="25" t="str">
        <x:v>0.15</x:v>
      </x:c>
      <x:c r="X25" s="25" t="str">
        <x:v>66429.36405</x:v>
      </x:c>
      <x:c r="Y25" s="25" t="str">
        <x:v>11722.82895</x:v>
      </x:c>
      <x:c r="Z25" s="25" t="str">
        <x:v>not_modelled; leakage and replacement production pending</x:v>
      </x:c>
      <x:c r="AA25" s="25" t="str">
        <x:v>3000000</x:v>
      </x:c>
      <x:c r="AB25" s="25" t="str">
        <x:v>0</x:v>
      </x:c>
      <x:c r="AC25" s="25" t="str">
        <x:v>0</x:v>
      </x:c>
      <x:c r="AD25" s="37" t="str">
        <x:v>route/equipment definition and electricity sourcing</x:v>
      </x:c>
      <x:c r="AE25" s="37" t="str">
        <x:v>electricity</x:v>
      </x:c>
      <x:c r="AF25" s="37" t="str">
        <x:v>USD</x:v>
      </x:c>
      <x:c r="AG25" s="37" t="str">
        <x:v>2025</x:v>
      </x:c>
      <x:c r="AH25" s="37" t="str">
        <x:v>Modelled</x:v>
      </x:c>
      <x:c r="AI25" s="37" t="str">
        <x:v>D</x:v>
      </x:c>
      <x:c r="AJ25" s="37" t="str">
        <x:v>NSC_DB_2025|POSCO_CLIMATE_2026</x:v>
      </x:c>
      <x:c r="AK25" s="37" t="str">
        <x:v>Case CAPEX equals reported activity times analyst efficiency intensity; operational abatement equals allocated case GHG times analyst range around the 10% POSCO scrap-use marker</x:v>
      </x:c>
      <x:c r="AL25" s="37" t="str">
        <x:v>Cross-company proxy used only for an output-first specialty/electric-route screen.</x:v>
      </x:c>
    </x:row>
    <x:row r="26">
      <x:c r="A26" s="19" t="str">
        <x:v>NIPPON_STEEL</x:v>
      </x:c>
      <x:c r="B26" s="19" t="str">
        <x:v>Nippon Steel Corporation</x:v>
      </x:c>
      <x:c r="C26" s="19" t="str">
        <x:v>JP_NSC_HIROHATA</x:v>
      </x:c>
      <x:c r="D26" s="19" t="str">
        <x:v>Setouchi Works Hirohata Area</x:v>
      </x:c>
      <x:c r="E26" s="19" t="str">
        <x:v>Japan</x:v>
      </x:c>
      <x:c r="F26" s="19" t="str">
        <x:v>steel</x:v>
      </x:c>
      <x:c r="G26" s="19" t="str">
        <x:v>FY2024</x:v>
      </x:c>
      <x:c r="H26" s="19" t="str">
        <x:v>low</x:v>
      </x:c>
      <x:c r="I26" s="19" t="str">
        <x:v>conditional</x:v>
      </x:c>
      <x:c r="J26" s="19" t="str">
        <x:v>Allocated</x:v>
      </x:c>
      <x:c r="K26" s="25" t="str">
        <x:v>1174548.179</x:v>
      </x:c>
      <x:c r="L26" s="25" t="str">
        <x:v>steel_eaf_efficiency</x:v>
      </x:c>
      <x:c r="M26" s="25" t="str">
        <x:v>2030</x:v>
      </x:c>
      <x:c r="N26" s="25" t="str">
        <x:v>2030</x:v>
      </x:c>
      <x:c r="O26" s="45" t="str">
        <x:v>price-conditional</x:v>
      </x:c>
      <x:c r="P26" s="45" t="str">
        <x:v>screening placeholder; route boundary and full cost-gap test pending</x:v>
      </x:c>
      <x:c r="Q26" s="45" t="str">
        <x:v>allocate/prepare now subject to electricity price</x:v>
      </x:c>
      <x:c r="R26" s="45" t="str">
        <x:v>yes</x:v>
      </x:c>
      <x:c r="S26" s="25" t="str">
        <x:v>activity</x:v>
      </x:c>
      <x:c r="T26" s="25" t="str">
        <x:v>25</x:v>
      </x:c>
      <x:c r="U26" s="25" t="str">
        <x:v>USD_2025/t annual output</x:v>
      </x:c>
      <x:c r="V26" s="25" t="str">
        <x:v>15250000</x:v>
      </x:c>
      <x:c r="W26" s="25" t="str">
        <x:v>0.05</x:v>
      </x:c>
      <x:c r="X26" s="25" t="str">
        <x:v>1115820.77005</x:v>
      </x:c>
      <x:c r="Y26" s="25" t="str">
        <x:v>58727.40895</x:v>
      </x:c>
      <x:c r="Z26" s="25" t="str">
        <x:v>not_modelled; leakage and replacement production pending</x:v>
      </x:c>
      <x:c r="AA26" s="25" t="str">
        <x:v>15250000</x:v>
      </x:c>
      <x:c r="AB26" s="25" t="str">
        <x:v>0</x:v>
      </x:c>
      <x:c r="AC26" s="25" t="str">
        <x:v>0</x:v>
      </x:c>
      <x:c r="AD26" s="37" t="str">
        <x:v>route/equipment definition and electricity sourcing</x:v>
      </x:c>
      <x:c r="AE26" s="37" t="str">
        <x:v>electricity</x:v>
      </x:c>
      <x:c r="AF26" s="37" t="str">
        <x:v>USD</x:v>
      </x:c>
      <x:c r="AG26" s="37" t="str">
        <x:v>2025</x:v>
      </x:c>
      <x:c r="AH26" s="37" t="str">
        <x:v>Modelled</x:v>
      </x:c>
      <x:c r="AI26" s="37" t="str">
        <x:v>D</x:v>
      </x:c>
      <x:c r="AJ26" s="37" t="str">
        <x:v>NSC_DB_2025|POSCO_CLIMATE_2026</x:v>
      </x:c>
      <x:c r="AK26" s="37" t="str">
        <x:v>Case CAPEX equals reported activity times analyst efficiency intensity; operational abatement equals allocated case GHG times analyst range around the 10% POSCO scrap-use marker</x:v>
      </x:c>
      <x:c r="AL26" s="37" t="str">
        <x:v>Cross-company proxy used only for an output-first specialty/electric-route screen.</x:v>
      </x:c>
    </x:row>
    <x:row r="27">
      <x:c r="A27" s="19" t="str">
        <x:v>NIPPON_STEEL</x:v>
      </x:c>
      <x:c r="B27" s="19" t="str">
        <x:v>Nippon Steel Corporation</x:v>
      </x:c>
      <x:c r="C27" s="19" t="str">
        <x:v>JP_NSC_HIROHATA</x:v>
      </x:c>
      <x:c r="D27" s="19" t="str">
        <x:v>Setouchi Works Hirohata Area</x:v>
      </x:c>
      <x:c r="E27" s="19" t="str">
        <x:v>Japan</x:v>
      </x:c>
      <x:c r="F27" s="19" t="str">
        <x:v>steel</x:v>
      </x:c>
      <x:c r="G27" s="19" t="str">
        <x:v>FY2024</x:v>
      </x:c>
      <x:c r="H27" s="19" t="str">
        <x:v>base</x:v>
      </x:c>
      <x:c r="I27" s="19" t="str">
        <x:v>conditional</x:v>
      </x:c>
      <x:c r="J27" s="19" t="str">
        <x:v>Allocated</x:v>
      </x:c>
      <x:c r="K27" s="25" t="str">
        <x:v>1381821.388</x:v>
      </x:c>
      <x:c r="L27" s="25" t="str">
        <x:v>steel_eaf_efficiency</x:v>
      </x:c>
      <x:c r="M27" s="25" t="str">
        <x:v>2030</x:v>
      </x:c>
      <x:c r="N27" s="25" t="str">
        <x:v>2030</x:v>
      </x:c>
      <x:c r="O27" s="45" t="str">
        <x:v>price-conditional</x:v>
      </x:c>
      <x:c r="P27" s="45" t="str">
        <x:v>screening placeholder; route boundary and full cost-gap test pending</x:v>
      </x:c>
      <x:c r="Q27" s="45" t="str">
        <x:v>allocate/prepare now subject to electricity price</x:v>
      </x:c>
      <x:c r="R27" s="45" t="str">
        <x:v>yes</x:v>
      </x:c>
      <x:c r="S27" s="25" t="str">
        <x:v>activity</x:v>
      </x:c>
      <x:c r="T27" s="25" t="str">
        <x:v>50</x:v>
      </x:c>
      <x:c r="U27" s="25" t="str">
        <x:v>USD_2025/t annual output</x:v>
      </x:c>
      <x:c r="V27" s="25" t="str">
        <x:v>30500000</x:v>
      </x:c>
      <x:c r="W27" s="25" t="str">
        <x:v>0.1</x:v>
      </x:c>
      <x:c r="X27" s="25" t="str">
        <x:v>1243639.2492</x:v>
      </x:c>
      <x:c r="Y27" s="25" t="str">
        <x:v>138182.1388</x:v>
      </x:c>
      <x:c r="Z27" s="25" t="str">
        <x:v>not_modelled; leakage and replacement production pending</x:v>
      </x:c>
      <x:c r="AA27" s="25" t="str">
        <x:v>30500000</x:v>
      </x:c>
      <x:c r="AB27" s="25" t="str">
        <x:v>0</x:v>
      </x:c>
      <x:c r="AC27" s="25" t="str">
        <x:v>0</x:v>
      </x:c>
      <x:c r="AD27" s="37" t="str">
        <x:v>route/equipment definition and electricity sourcing</x:v>
      </x:c>
      <x:c r="AE27" s="37" t="str">
        <x:v>electricity</x:v>
      </x:c>
      <x:c r="AF27" s="37" t="str">
        <x:v>USD</x:v>
      </x:c>
      <x:c r="AG27" s="37" t="str">
        <x:v>2025</x:v>
      </x:c>
      <x:c r="AH27" s="37" t="str">
        <x:v>Modelled</x:v>
      </x:c>
      <x:c r="AI27" s="37" t="str">
        <x:v>D</x:v>
      </x:c>
      <x:c r="AJ27" s="37" t="str">
        <x:v>NSC_DB_2025|POSCO_CLIMATE_2026</x:v>
      </x:c>
      <x:c r="AK27" s="37" t="str">
        <x:v>Case CAPEX equals reported activity times analyst efficiency intensity; operational abatement equals allocated case GHG times analyst range around the 10% POSCO scrap-use marker</x:v>
      </x:c>
      <x:c r="AL27" s="37" t="str">
        <x:v>Cross-company proxy used only for an output-first specialty/electric-route screen.</x:v>
      </x:c>
    </x:row>
    <x:row r="28">
      <x:c r="A28" s="19" t="str">
        <x:v>NIPPON_STEEL</x:v>
      </x:c>
      <x:c r="B28" s="19" t="str">
        <x:v>Nippon Steel Corporation</x:v>
      </x:c>
      <x:c r="C28" s="19" t="str">
        <x:v>JP_NSC_HIROHATA</x:v>
      </x:c>
      <x:c r="D28" s="19" t="str">
        <x:v>Setouchi Works Hirohata Area</x:v>
      </x:c>
      <x:c r="E28" s="19" t="str">
        <x:v>Japan</x:v>
      </x:c>
      <x:c r="F28" s="19" t="str">
        <x:v>steel</x:v>
      </x:c>
      <x:c r="G28" s="19" t="str">
        <x:v>FY2024</x:v>
      </x:c>
      <x:c r="H28" s="19" t="str">
        <x:v>high</x:v>
      </x:c>
      <x:c r="I28" s="19" t="str">
        <x:v>conditional</x:v>
      </x:c>
      <x:c r="J28" s="19" t="str">
        <x:v>Allocated</x:v>
      </x:c>
      <x:c r="K28" s="25" t="str">
        <x:v>1589094.596</x:v>
      </x:c>
      <x:c r="L28" s="25" t="str">
        <x:v>steel_eaf_efficiency</x:v>
      </x:c>
      <x:c r="M28" s="25" t="str">
        <x:v>2030</x:v>
      </x:c>
      <x:c r="N28" s="25" t="str">
        <x:v>2030</x:v>
      </x:c>
      <x:c r="O28" s="45" t="str">
        <x:v>price-conditional</x:v>
      </x:c>
      <x:c r="P28" s="45" t="str">
        <x:v>screening placeholder; route boundary and full cost-gap test pending</x:v>
      </x:c>
      <x:c r="Q28" s="45" t="str">
        <x:v>allocate/prepare now subject to electricity price</x:v>
      </x:c>
      <x:c r="R28" s="45" t="str">
        <x:v>yes</x:v>
      </x:c>
      <x:c r="S28" s="25" t="str">
        <x:v>activity</x:v>
      </x:c>
      <x:c r="T28" s="25" t="str">
        <x:v>100</x:v>
      </x:c>
      <x:c r="U28" s="25" t="str">
        <x:v>USD_2025/t annual output</x:v>
      </x:c>
      <x:c r="V28" s="25" t="str">
        <x:v>61000000</x:v>
      </x:c>
      <x:c r="W28" s="25" t="str">
        <x:v>0.15</x:v>
      </x:c>
      <x:c r="X28" s="25" t="str">
        <x:v>1350730.4066</x:v>
      </x:c>
      <x:c r="Y28" s="25" t="str">
        <x:v>238364.1894</x:v>
      </x:c>
      <x:c r="Z28" s="25" t="str">
        <x:v>not_modelled; leakage and replacement production pending</x:v>
      </x:c>
      <x:c r="AA28" s="25" t="str">
        <x:v>61000000</x:v>
      </x:c>
      <x:c r="AB28" s="25" t="str">
        <x:v>0</x:v>
      </x:c>
      <x:c r="AC28" s="25" t="str">
        <x:v>0</x:v>
      </x:c>
      <x:c r="AD28" s="37" t="str">
        <x:v>route/equipment definition and electricity sourcing</x:v>
      </x:c>
      <x:c r="AE28" s="37" t="str">
        <x:v>electricity</x:v>
      </x:c>
      <x:c r="AF28" s="37" t="str">
        <x:v>USD</x:v>
      </x:c>
      <x:c r="AG28" s="37" t="str">
        <x:v>2025</x:v>
      </x:c>
      <x:c r="AH28" s="37" t="str">
        <x:v>Modelled</x:v>
      </x:c>
      <x:c r="AI28" s="37" t="str">
        <x:v>D</x:v>
      </x:c>
      <x:c r="AJ28" s="37" t="str">
        <x:v>NSC_DB_2025|POSCO_CLIMATE_2026</x:v>
      </x:c>
      <x:c r="AK28" s="37" t="str">
        <x:v>Case CAPEX equals reported activity times analyst efficiency intensity; operational abatement equals allocated case GHG times analyst range around the 10% POSCO scrap-use marker</x:v>
      </x:c>
      <x:c r="AL28" s="37" t="str">
        <x:v>Cross-company proxy used only for an output-first specialty/electric-route screen.</x:v>
      </x:c>
    </x:row>
    <x:row r="29">
      <x:c r="A29" s="19" t="str">
        <x:v>NIPPON_STEEL</x:v>
      </x:c>
      <x:c r="B29" s="19" t="str">
        <x:v>Nippon Steel Corporation</x:v>
      </x:c>
      <x:c r="C29" s="19" t="str">
        <x:v>JP_NSC_HIKARI</x:v>
      </x:c>
      <x:c r="D29" s="19" t="str">
        <x:v>Setouchi Works Yamaguchi Hikari Area</x:v>
      </x:c>
      <x:c r="E29" s="19" t="str">
        <x:v>Japan</x:v>
      </x:c>
      <x:c r="F29" s="19" t="str">
        <x:v>steel</x:v>
      </x:c>
      <x:c r="G29" s="19" t="str">
        <x:v>FY2024</x:v>
      </x:c>
      <x:c r="H29" s="19" t="str">
        <x:v>low</x:v>
      </x:c>
      <x:c r="I29" s="19" t="str">
        <x:v>conditional</x:v>
      </x:c>
      <x:c r="J29" s="19" t="str">
        <x:v>Allocated</x:v>
      </x:c>
      <x:c r="K29" s="25" t="str">
        <x:v>789450.416</x:v>
      </x:c>
      <x:c r="L29" s="25" t="str">
        <x:v>steel_eaf_efficiency</x:v>
      </x:c>
      <x:c r="M29" s="25" t="str">
        <x:v>2030</x:v>
      </x:c>
      <x:c r="N29" s="25" t="str">
        <x:v>2030</x:v>
      </x:c>
      <x:c r="O29" s="45" t="str">
        <x:v>price-conditional</x:v>
      </x:c>
      <x:c r="P29" s="45" t="str">
        <x:v>screening placeholder; route boundary and full cost-gap test pending</x:v>
      </x:c>
      <x:c r="Q29" s="45" t="str">
        <x:v>allocate/prepare now subject to electricity price</x:v>
      </x:c>
      <x:c r="R29" s="45" t="str">
        <x:v>yes</x:v>
      </x:c>
      <x:c r="S29" s="25" t="str">
        <x:v>activity</x:v>
      </x:c>
      <x:c r="T29" s="25" t="str">
        <x:v>25</x:v>
      </x:c>
      <x:c r="U29" s="25" t="str">
        <x:v>USD_2025/t annual output</x:v>
      </x:c>
      <x:c r="V29" s="25" t="str">
        <x:v>10250000</x:v>
      </x:c>
      <x:c r="W29" s="25" t="str">
        <x:v>0.05</x:v>
      </x:c>
      <x:c r="X29" s="25" t="str">
        <x:v>749977.8952</x:v>
      </x:c>
      <x:c r="Y29" s="25" t="str">
        <x:v>39472.5208</x:v>
      </x:c>
      <x:c r="Z29" s="25" t="str">
        <x:v>not_modelled; leakage and replacement production pending</x:v>
      </x:c>
      <x:c r="AA29" s="25" t="str">
        <x:v>10250000</x:v>
      </x:c>
      <x:c r="AB29" s="25" t="str">
        <x:v>0</x:v>
      </x:c>
      <x:c r="AC29" s="25" t="str">
        <x:v>0</x:v>
      </x:c>
      <x:c r="AD29" s="37" t="str">
        <x:v>route/equipment definition and electricity sourcing</x:v>
      </x:c>
      <x:c r="AE29" s="37" t="str">
        <x:v>electricity</x:v>
      </x:c>
      <x:c r="AF29" s="37" t="str">
        <x:v>USD</x:v>
      </x:c>
      <x:c r="AG29" s="37" t="str">
        <x:v>2025</x:v>
      </x:c>
      <x:c r="AH29" s="37" t="str">
        <x:v>Modelled</x:v>
      </x:c>
      <x:c r="AI29" s="37" t="str">
        <x:v>D</x:v>
      </x:c>
      <x:c r="AJ29" s="37" t="str">
        <x:v>NSC_DB_2025|POSCO_CLIMATE_2026</x:v>
      </x:c>
      <x:c r="AK29" s="37" t="str">
        <x:v>Case CAPEX equals reported activity times analyst efficiency intensity; operational abatement equals allocated case GHG times analyst range around the 10% POSCO scrap-use marker</x:v>
      </x:c>
      <x:c r="AL29" s="37" t="str">
        <x:v>Cross-company proxy used only for an output-first specialty/electric-route screen.</x:v>
      </x:c>
    </x:row>
    <x:row r="30">
      <x:c r="A30" s="19" t="str">
        <x:v>NIPPON_STEEL</x:v>
      </x:c>
      <x:c r="B30" s="19" t="str">
        <x:v>Nippon Steel Corporation</x:v>
      </x:c>
      <x:c r="C30" s="19" t="str">
        <x:v>JP_NSC_HIKARI</x:v>
      </x:c>
      <x:c r="D30" s="19" t="str">
        <x:v>Setouchi Works Yamaguchi Hikari Area</x:v>
      </x:c>
      <x:c r="E30" s="19" t="str">
        <x:v>Japan</x:v>
      </x:c>
      <x:c r="F30" s="19" t="str">
        <x:v>steel</x:v>
      </x:c>
      <x:c r="G30" s="19" t="str">
        <x:v>FY2024</x:v>
      </x:c>
      <x:c r="H30" s="19" t="str">
        <x:v>base</x:v>
      </x:c>
      <x:c r="I30" s="19" t="str">
        <x:v>conditional</x:v>
      </x:c>
      <x:c r="J30" s="19" t="str">
        <x:v>Allocated</x:v>
      </x:c>
      <x:c r="K30" s="25" t="str">
        <x:v>928765.195</x:v>
      </x:c>
      <x:c r="L30" s="25" t="str">
        <x:v>steel_eaf_efficiency</x:v>
      </x:c>
      <x:c r="M30" s="25" t="str">
        <x:v>2030</x:v>
      </x:c>
      <x:c r="N30" s="25" t="str">
        <x:v>2030</x:v>
      </x:c>
      <x:c r="O30" s="45" t="str">
        <x:v>price-conditional</x:v>
      </x:c>
      <x:c r="P30" s="45" t="str">
        <x:v>screening placeholder; route boundary and full cost-gap test pending</x:v>
      </x:c>
      <x:c r="Q30" s="45" t="str">
        <x:v>allocate/prepare now subject to electricity price</x:v>
      </x:c>
      <x:c r="R30" s="45" t="str">
        <x:v>yes</x:v>
      </x:c>
      <x:c r="S30" s="25" t="str">
        <x:v>activity</x:v>
      </x:c>
      <x:c r="T30" s="25" t="str">
        <x:v>50</x:v>
      </x:c>
      <x:c r="U30" s="25" t="str">
        <x:v>USD_2025/t annual output</x:v>
      </x:c>
      <x:c r="V30" s="25" t="str">
        <x:v>20500000</x:v>
      </x:c>
      <x:c r="W30" s="25" t="str">
        <x:v>0.1</x:v>
      </x:c>
      <x:c r="X30" s="25" t="str">
        <x:v>835888.6755</x:v>
      </x:c>
      <x:c r="Y30" s="25" t="str">
        <x:v>92876.5195</x:v>
      </x:c>
      <x:c r="Z30" s="25" t="str">
        <x:v>not_modelled; leakage and replacement production pending</x:v>
      </x:c>
      <x:c r="AA30" s="25" t="str">
        <x:v>20500000</x:v>
      </x:c>
      <x:c r="AB30" s="25" t="str">
        <x:v>0</x:v>
      </x:c>
      <x:c r="AC30" s="25" t="str">
        <x:v>0</x:v>
      </x:c>
      <x:c r="AD30" s="37" t="str">
        <x:v>route/equipment definition and electricity sourcing</x:v>
      </x:c>
      <x:c r="AE30" s="37" t="str">
        <x:v>electricity</x:v>
      </x:c>
      <x:c r="AF30" s="37" t="str">
        <x:v>USD</x:v>
      </x:c>
      <x:c r="AG30" s="37" t="str">
        <x:v>2025</x:v>
      </x:c>
      <x:c r="AH30" s="37" t="str">
        <x:v>Modelled</x:v>
      </x:c>
      <x:c r="AI30" s="37" t="str">
        <x:v>D</x:v>
      </x:c>
      <x:c r="AJ30" s="37" t="str">
        <x:v>NSC_DB_2025|POSCO_CLIMATE_2026</x:v>
      </x:c>
      <x:c r="AK30" s="37" t="str">
        <x:v>Case CAPEX equals reported activity times analyst efficiency intensity; operational abatement equals allocated case GHG times analyst range around the 10% POSCO scrap-use marker</x:v>
      </x:c>
      <x:c r="AL30" s="37" t="str">
        <x:v>Cross-company proxy used only for an output-first specialty/electric-route screen.</x:v>
      </x:c>
    </x:row>
    <x:row r="31">
      <x:c r="A31" s="19" t="str">
        <x:v>NIPPON_STEEL</x:v>
      </x:c>
      <x:c r="B31" s="19" t="str">
        <x:v>Nippon Steel Corporation</x:v>
      </x:c>
      <x:c r="C31" s="19" t="str">
        <x:v>JP_NSC_HIKARI</x:v>
      </x:c>
      <x:c r="D31" s="19" t="str">
        <x:v>Setouchi Works Yamaguchi Hikari Area</x:v>
      </x:c>
      <x:c r="E31" s="19" t="str">
        <x:v>Japan</x:v>
      </x:c>
      <x:c r="F31" s="19" t="str">
        <x:v>steel</x:v>
      </x:c>
      <x:c r="G31" s="19" t="str">
        <x:v>FY2024</x:v>
      </x:c>
      <x:c r="H31" s="19" t="str">
        <x:v>high</x:v>
      </x:c>
      <x:c r="I31" s="19" t="str">
        <x:v>conditional</x:v>
      </x:c>
      <x:c r="J31" s="19" t="str">
        <x:v>Allocated</x:v>
      </x:c>
      <x:c r="K31" s="25" t="str">
        <x:v>1068079.974</x:v>
      </x:c>
      <x:c r="L31" s="25" t="str">
        <x:v>steel_eaf_efficiency</x:v>
      </x:c>
      <x:c r="M31" s="25" t="str">
        <x:v>2030</x:v>
      </x:c>
      <x:c r="N31" s="25" t="str">
        <x:v>2030</x:v>
      </x:c>
      <x:c r="O31" s="45" t="str">
        <x:v>price-conditional</x:v>
      </x:c>
      <x:c r="P31" s="45" t="str">
        <x:v>screening placeholder; route boundary and full cost-gap test pending</x:v>
      </x:c>
      <x:c r="Q31" s="45" t="str">
        <x:v>allocate/prepare now subject to electricity price</x:v>
      </x:c>
      <x:c r="R31" s="45" t="str">
        <x:v>yes</x:v>
      </x:c>
      <x:c r="S31" s="25" t="str">
        <x:v>activity</x:v>
      </x:c>
      <x:c r="T31" s="25" t="str">
        <x:v>100</x:v>
      </x:c>
      <x:c r="U31" s="25" t="str">
        <x:v>USD_2025/t annual output</x:v>
      </x:c>
      <x:c r="V31" s="25" t="str">
        <x:v>41000000</x:v>
      </x:c>
      <x:c r="W31" s="25" t="str">
        <x:v>0.15</x:v>
      </x:c>
      <x:c r="X31" s="25" t="str">
        <x:v>907867.9779</x:v>
      </x:c>
      <x:c r="Y31" s="25" t="str">
        <x:v>160211.9961</x:v>
      </x:c>
      <x:c r="Z31" s="25" t="str">
        <x:v>not_modelled; leakage and replacement production pending</x:v>
      </x:c>
      <x:c r="AA31" s="25" t="str">
        <x:v>41000000</x:v>
      </x:c>
      <x:c r="AB31" s="25" t="str">
        <x:v>0</x:v>
      </x:c>
      <x:c r="AC31" s="25" t="str">
        <x:v>0</x:v>
      </x:c>
      <x:c r="AD31" s="37" t="str">
        <x:v>route/equipment definition and electricity sourcing</x:v>
      </x:c>
      <x:c r="AE31" s="37" t="str">
        <x:v>electricity</x:v>
      </x:c>
      <x:c r="AF31" s="37" t="str">
        <x:v>USD</x:v>
      </x:c>
      <x:c r="AG31" s="37" t="str">
        <x:v>2025</x:v>
      </x:c>
      <x:c r="AH31" s="37" t="str">
        <x:v>Modelled</x:v>
      </x:c>
      <x:c r="AI31" s="37" t="str">
        <x:v>D</x:v>
      </x:c>
      <x:c r="AJ31" s="37" t="str">
        <x:v>NSC_DB_2025|POSCO_CLIMATE_2026</x:v>
      </x:c>
      <x:c r="AK31" s="37" t="str">
        <x:v>Case CAPEX equals reported activity times analyst efficiency intensity; operational abatement equals allocated case GHG times analyst range around the 10% POSCO scrap-use marker</x:v>
      </x:c>
      <x:c r="AL31" s="37" t="str">
        <x:v>Cross-company proxy used only for an output-first specialty/electric-route screen.</x:v>
      </x:c>
    </x:row>
    <x:row r="32">
      <x:c r="A32" s="19" t="str">
        <x:v>NIPPON_STEEL</x:v>
      </x:c>
      <x:c r="B32" s="19" t="str">
        <x:v>Nippon Steel Corporation</x:v>
      </x:c>
      <x:c r="C32" s="19" t="str">
        <x:v>JP_NSC_SHUNAN</x:v>
      </x:c>
      <x:c r="D32" s="19" t="str">
        <x:v>Setouchi Works Yamaguchi Shunan Area</x:v>
      </x:c>
      <x:c r="E32" s="19" t="str">
        <x:v>Japan</x:v>
      </x:c>
      <x:c r="F32" s="19" t="str">
        <x:v>steel</x:v>
      </x:c>
      <x:c r="G32" s="19" t="str">
        <x:v>FY2024</x:v>
      </x:c>
      <x:c r="H32" s="19" t="str">
        <x:v>low</x:v>
      </x:c>
      <x:c r="I32" s="19" t="str">
        <x:v>conditional</x:v>
      </x:c>
      <x:c r="J32" s="19" t="str">
        <x:v>Allocated</x:v>
      </x:c>
      <x:c r="K32" s="25" t="str">
        <x:v>385097.764</x:v>
      </x:c>
      <x:c r="L32" s="25" t="str">
        <x:v>steel_eaf_efficiency</x:v>
      </x:c>
      <x:c r="M32" s="25" t="str">
        <x:v>2030</x:v>
      </x:c>
      <x:c r="N32" s="25" t="str">
        <x:v>2030</x:v>
      </x:c>
      <x:c r="O32" s="45" t="str">
        <x:v>price-conditional</x:v>
      </x:c>
      <x:c r="P32" s="45" t="str">
        <x:v>screening placeholder; route boundary and full cost-gap test pending</x:v>
      </x:c>
      <x:c r="Q32" s="45" t="str">
        <x:v>allocate/prepare now subject to electricity price</x:v>
      </x:c>
      <x:c r="R32" s="45" t="str">
        <x:v>yes</x:v>
      </x:c>
      <x:c r="S32" s="25" t="str">
        <x:v>activity</x:v>
      </x:c>
      <x:c r="T32" s="25" t="str">
        <x:v>25</x:v>
      </x:c>
      <x:c r="U32" s="25" t="str">
        <x:v>USD_2025/t annual output</x:v>
      </x:c>
      <x:c r="V32" s="25" t="str">
        <x:v>5000000</x:v>
      </x:c>
      <x:c r="W32" s="25" t="str">
        <x:v>0.05</x:v>
      </x:c>
      <x:c r="X32" s="25" t="str">
        <x:v>365842.8758</x:v>
      </x:c>
      <x:c r="Y32" s="25" t="str">
        <x:v>19254.8882</x:v>
      </x:c>
      <x:c r="Z32" s="25" t="str">
        <x:v>not_modelled; leakage and replacement production pending</x:v>
      </x:c>
      <x:c r="AA32" s="25" t="str">
        <x:v>5000000</x:v>
      </x:c>
      <x:c r="AB32" s="25" t="str">
        <x:v>0</x:v>
      </x:c>
      <x:c r="AC32" s="25" t="str">
        <x:v>0</x:v>
      </x:c>
      <x:c r="AD32" s="37" t="str">
        <x:v>route/equipment definition and electricity sourcing</x:v>
      </x:c>
      <x:c r="AE32" s="37" t="str">
        <x:v>electricity</x:v>
      </x:c>
      <x:c r="AF32" s="37" t="str">
        <x:v>USD</x:v>
      </x:c>
      <x:c r="AG32" s="37" t="str">
        <x:v>2025</x:v>
      </x:c>
      <x:c r="AH32" s="37" t="str">
        <x:v>Modelled</x:v>
      </x:c>
      <x:c r="AI32" s="37" t="str">
        <x:v>D</x:v>
      </x:c>
      <x:c r="AJ32" s="37" t="str">
        <x:v>NSC_DB_2025|POSCO_CLIMATE_2026</x:v>
      </x:c>
      <x:c r="AK32" s="37" t="str">
        <x:v>Case CAPEX equals reported activity times analyst efficiency intensity; operational abatement equals allocated case GHG times analyst range around the 10% POSCO scrap-use marker</x:v>
      </x:c>
      <x:c r="AL32" s="37" t="str">
        <x:v>Cross-company proxy used only for an output-first specialty/electric-route screen.</x:v>
      </x:c>
    </x:row>
    <x:row r="33">
      <x:c r="A33" s="19" t="str">
        <x:v>NIPPON_STEEL</x:v>
      </x:c>
      <x:c r="B33" s="19" t="str">
        <x:v>Nippon Steel Corporation</x:v>
      </x:c>
      <x:c r="C33" s="19" t="str">
        <x:v>JP_NSC_SHUNAN</x:v>
      </x:c>
      <x:c r="D33" s="19" t="str">
        <x:v>Setouchi Works Yamaguchi Shunan Area</x:v>
      </x:c>
      <x:c r="E33" s="19" t="str">
        <x:v>Japan</x:v>
      </x:c>
      <x:c r="F33" s="19" t="str">
        <x:v>steel</x:v>
      </x:c>
      <x:c r="G33" s="19" t="str">
        <x:v>FY2024</x:v>
      </x:c>
      <x:c r="H33" s="19" t="str">
        <x:v>base</x:v>
      </x:c>
      <x:c r="I33" s="19" t="str">
        <x:v>conditional</x:v>
      </x:c>
      <x:c r="J33" s="19" t="str">
        <x:v>Allocated</x:v>
      </x:c>
      <x:c r="K33" s="25" t="str">
        <x:v>453056.193</x:v>
      </x:c>
      <x:c r="L33" s="25" t="str">
        <x:v>steel_eaf_efficiency</x:v>
      </x:c>
      <x:c r="M33" s="25" t="str">
        <x:v>2030</x:v>
      </x:c>
      <x:c r="N33" s="25" t="str">
        <x:v>2030</x:v>
      </x:c>
      <x:c r="O33" s="45" t="str">
        <x:v>price-conditional</x:v>
      </x:c>
      <x:c r="P33" s="45" t="str">
        <x:v>screening placeholder; route boundary and full cost-gap test pending</x:v>
      </x:c>
      <x:c r="Q33" s="45" t="str">
        <x:v>allocate/prepare now subject to electricity price</x:v>
      </x:c>
      <x:c r="R33" s="45" t="str">
        <x:v>yes</x:v>
      </x:c>
      <x:c r="S33" s="25" t="str">
        <x:v>activity</x:v>
      </x:c>
      <x:c r="T33" s="25" t="str">
        <x:v>50</x:v>
      </x:c>
      <x:c r="U33" s="25" t="str">
        <x:v>USD_2025/t annual output</x:v>
      </x:c>
      <x:c r="V33" s="25" t="str">
        <x:v>10000000</x:v>
      </x:c>
      <x:c r="W33" s="25" t="str">
        <x:v>0.1</x:v>
      </x:c>
      <x:c r="X33" s="25" t="str">
        <x:v>407750.5737</x:v>
      </x:c>
      <x:c r="Y33" s="25" t="str">
        <x:v>45305.6193</x:v>
      </x:c>
      <x:c r="Z33" s="25" t="str">
        <x:v>not_modelled; leakage and replacement production pending</x:v>
      </x:c>
      <x:c r="AA33" s="25" t="str">
        <x:v>10000000</x:v>
      </x:c>
      <x:c r="AB33" s="25" t="str">
        <x:v>0</x:v>
      </x:c>
      <x:c r="AC33" s="25" t="str">
        <x:v>0</x:v>
      </x:c>
      <x:c r="AD33" s="37" t="str">
        <x:v>route/equipment definition and electricity sourcing</x:v>
      </x:c>
      <x:c r="AE33" s="37" t="str">
        <x:v>electricity</x:v>
      </x:c>
      <x:c r="AF33" s="37" t="str">
        <x:v>USD</x:v>
      </x:c>
      <x:c r="AG33" s="37" t="str">
        <x:v>2025</x:v>
      </x:c>
      <x:c r="AH33" s="37" t="str">
        <x:v>Modelled</x:v>
      </x:c>
      <x:c r="AI33" s="37" t="str">
        <x:v>D</x:v>
      </x:c>
      <x:c r="AJ33" s="37" t="str">
        <x:v>NSC_DB_2025|POSCO_CLIMATE_2026</x:v>
      </x:c>
      <x:c r="AK33" s="37" t="str">
        <x:v>Case CAPEX equals reported activity times analyst efficiency intensity; operational abatement equals allocated case GHG times analyst range around the 10% POSCO scrap-use marker</x:v>
      </x:c>
      <x:c r="AL33" s="37" t="str">
        <x:v>Cross-company proxy used only for an output-first specialty/electric-route screen.</x:v>
      </x:c>
    </x:row>
    <x:row r="34">
      <x:c r="A34" s="19" t="str">
        <x:v>NIPPON_STEEL</x:v>
      </x:c>
      <x:c r="B34" s="19" t="str">
        <x:v>Nippon Steel Corporation</x:v>
      </x:c>
      <x:c r="C34" s="19" t="str">
        <x:v>JP_NSC_SHUNAN</x:v>
      </x:c>
      <x:c r="D34" s="19" t="str">
        <x:v>Setouchi Works Yamaguchi Shunan Area</x:v>
      </x:c>
      <x:c r="E34" s="19" t="str">
        <x:v>Japan</x:v>
      </x:c>
      <x:c r="F34" s="19" t="str">
        <x:v>steel</x:v>
      </x:c>
      <x:c r="G34" s="19" t="str">
        <x:v>FY2024</x:v>
      </x:c>
      <x:c r="H34" s="19" t="str">
        <x:v>high</x:v>
      </x:c>
      <x:c r="I34" s="19" t="str">
        <x:v>conditional</x:v>
      </x:c>
      <x:c r="J34" s="19" t="str">
        <x:v>Allocated</x:v>
      </x:c>
      <x:c r="K34" s="25" t="str">
        <x:v>521014.622</x:v>
      </x:c>
      <x:c r="L34" s="25" t="str">
        <x:v>steel_eaf_efficiency</x:v>
      </x:c>
      <x:c r="M34" s="25" t="str">
        <x:v>2030</x:v>
      </x:c>
      <x:c r="N34" s="25" t="str">
        <x:v>2030</x:v>
      </x:c>
      <x:c r="O34" s="45" t="str">
        <x:v>price-conditional</x:v>
      </x:c>
      <x:c r="P34" s="45" t="str">
        <x:v>screening placeholder; route boundary and full cost-gap test pending</x:v>
      </x:c>
      <x:c r="Q34" s="45" t="str">
        <x:v>allocate/prepare now subject to electricity price</x:v>
      </x:c>
      <x:c r="R34" s="45" t="str">
        <x:v>yes</x:v>
      </x:c>
      <x:c r="S34" s="25" t="str">
        <x:v>activity</x:v>
      </x:c>
      <x:c r="T34" s="25" t="str">
        <x:v>100</x:v>
      </x:c>
      <x:c r="U34" s="25" t="str">
        <x:v>USD_2025/t annual output</x:v>
      </x:c>
      <x:c r="V34" s="25" t="str">
        <x:v>20000000</x:v>
      </x:c>
      <x:c r="W34" s="25" t="str">
        <x:v>0.15</x:v>
      </x:c>
      <x:c r="X34" s="25" t="str">
        <x:v>442862.4287</x:v>
      </x:c>
      <x:c r="Y34" s="25" t="str">
        <x:v>78152.1933</x:v>
      </x:c>
      <x:c r="Z34" s="25" t="str">
        <x:v>not_modelled; leakage and replacement production pending</x:v>
      </x:c>
      <x:c r="AA34" s="25" t="str">
        <x:v>20000000</x:v>
      </x:c>
      <x:c r="AB34" s="25" t="str">
        <x:v>0</x:v>
      </x:c>
      <x:c r="AC34" s="25" t="str">
        <x:v>0</x:v>
      </x:c>
      <x:c r="AD34" s="37" t="str">
        <x:v>route/equipment definition and electricity sourcing</x:v>
      </x:c>
      <x:c r="AE34" s="37" t="str">
        <x:v>electricity</x:v>
      </x:c>
      <x:c r="AF34" s="37" t="str">
        <x:v>USD</x:v>
      </x:c>
      <x:c r="AG34" s="37" t="str">
        <x:v>2025</x:v>
      </x:c>
      <x:c r="AH34" s="37" t="str">
        <x:v>Modelled</x:v>
      </x:c>
      <x:c r="AI34" s="37" t="str">
        <x:v>D</x:v>
      </x:c>
      <x:c r="AJ34" s="37" t="str">
        <x:v>NSC_DB_2025|POSCO_CLIMATE_2026</x:v>
      </x:c>
      <x:c r="AK34" s="37" t="str">
        <x:v>Case CAPEX equals reported activity times analyst efficiency intensity; operational abatement equals allocated case GHG times analyst range around the 10% POSCO scrap-use marker</x:v>
      </x:c>
      <x:c r="AL34" s="37" t="str">
        <x:v>Cross-company proxy used only for an output-first specialty/electric-route screen.</x:v>
      </x:c>
    </x:row>
    <x:row r="35">
      <x:c r="A35" s="19" t="str">
        <x:v>NIPPON_STEEL</x:v>
      </x:c>
      <x:c r="B35" s="19" t="str">
        <x:v>Nippon Steel Corporation</x:v>
      </x:c>
      <x:c r="C35" s="19" t="str">
        <x:v>JP_NSC_YAWATA</x:v>
      </x:c>
      <x:c r="D35" s="19" t="str">
        <x:v>Kyushu Works Yawata Area</x:v>
      </x:c>
      <x:c r="E35" s="19" t="str">
        <x:v>Japan</x:v>
      </x:c>
      <x:c r="F35" s="19" t="str">
        <x:v>steel</x:v>
      </x:c>
      <x:c r="G35" s="19" t="str">
        <x:v>FY2024</x:v>
      </x:c>
      <x:c r="H35" s="19" t="str">
        <x:v>low</x:v>
      </x:c>
      <x:c r="I35" s="19" t="str">
        <x:v>in</x:v>
      </x:c>
      <x:c r="J35" s="19" t="str">
        <x:v>Allocated</x:v>
      </x:c>
      <x:c r="K35" s="25" t="str">
        <x:v>7124308.63</x:v>
      </x:c>
      <x:c r="L35" s="25" t="str">
        <x:v>steel_h2_dri_eaf</x:v>
      </x:c>
      <x:c r="M35" s="25" t="str">
        <x:v>2040</x:v>
      </x:c>
      <x:c r="N35" s="25" t="str">
        <x:v>2035</x:v>
      </x:c>
      <x:c r="O35" s="45" t="str">
        <x:v>contract-dependent</x:v>
      </x:c>
      <x:c r="P35" s="45" t="str">
        <x:v>screening placeholder; full cost-gap and robustness test pending</x:v>
      </x:c>
      <x:c r="Q35" s="45" t="str">
        <x:v>contract before commitment</x:v>
      </x:c>
      <x:c r="R35" s="45" t="str">
        <x:v>yes</x:v>
      </x:c>
      <x:c r="S35" s="25" t="str">
        <x:v>activity</x:v>
      </x:c>
      <x:c r="T35" s="25" t="str">
        <x:v>500</x:v>
      </x:c>
      <x:c r="U35" s="25" t="str">
        <x:v>USD_2025/t annual output</x:v>
      </x:c>
      <x:c r="V35" s="25" t="str">
        <x:v>1850000000</x:v>
      </x:c>
      <x:c r="W35" s="25" t="str">
        <x:v>0.5</x:v>
      </x:c>
      <x:c r="X35" s="25" t="str">
        <x:v>3562154.315</x:v>
      </x:c>
      <x:c r="Y35" s="25" t="str">
        <x:v>3562154.315</x:v>
      </x:c>
      <x:c r="Z35" s="25" t="str">
        <x:v>not_modelled; leakage and replacement production pending</x:v>
      </x:c>
      <x:c r="AA35" s="25" t="str">
        <x:v>0</x:v>
      </x:c>
      <x:c r="AB35" s="25" t="str">
        <x:v>1850000000</x:v>
      </x:c>
      <x:c r="AC35" s="25" t="str">
        <x:v>0</x:v>
      </x:c>
      <x:c r="AD35" s="37" t="str">
        <x:v>hydrogen, DRI-grade ore and clean-power infrastructure</x:v>
      </x:c>
      <x:c r="AE35" s="37" t="str">
        <x:v>hydrogen and clean electricity</x:v>
      </x:c>
      <x:c r="AF35" s="37" t="str">
        <x:v>USD</x:v>
      </x:c>
      <x:c r="AG35" s="37" t="str">
        <x:v>2025</x:v>
      </x:c>
      <x:c r="AH35" s="37" t="str">
        <x:v>Modelled</x:v>
      </x:c>
      <x:c r="AI35" s="37" t="str">
        <x:v>D</x:v>
      </x:c>
      <x:c r="AJ35" s="37" t="str">
        <x:v>IEA_STEEL_BREAKTHROUGH_2025|NEDO_H2_STEEL_2026|NSC_DB_2025</x:v>
      </x:c>
      <x:c r="AK35" s="37" t="str">
        <x:v>Case CAPEX equals reported case activity times analyst H2-DRI-EAF intensity; operational abatement equals allocated case GHG times case reduction fraction</x:v>
      </x:c>
      <x:c r="AL35" s="37" t="str">
        <x:v>Screening route; blast-furnace timing and product-quality constraints remain unresolved.</x:v>
      </x:c>
    </x:row>
    <x:row r="36">
      <x:c r="A36" s="19" t="str">
        <x:v>NIPPON_STEEL</x:v>
      </x:c>
      <x:c r="B36" s="19" t="str">
        <x:v>Nippon Steel Corporation</x:v>
      </x:c>
      <x:c r="C36" s="19" t="str">
        <x:v>JP_NSC_YAWATA</x:v>
      </x:c>
      <x:c r="D36" s="19" t="str">
        <x:v>Kyushu Works Yawata Area</x:v>
      </x:c>
      <x:c r="E36" s="19" t="str">
        <x:v>Japan</x:v>
      </x:c>
      <x:c r="F36" s="19" t="str">
        <x:v>steel</x:v>
      </x:c>
      <x:c r="G36" s="19" t="str">
        <x:v>FY2024</x:v>
      </x:c>
      <x:c r="H36" s="19" t="str">
        <x:v>base</x:v>
      </x:c>
      <x:c r="I36" s="19" t="str">
        <x:v>in</x:v>
      </x:c>
      <x:c r="J36" s="19" t="str">
        <x:v>Allocated</x:v>
      </x:c>
      <x:c r="K36" s="25" t="str">
        <x:v>8381539.564</x:v>
      </x:c>
      <x:c r="L36" s="25" t="str">
        <x:v>steel_h2_dri_eaf</x:v>
      </x:c>
      <x:c r="M36" s="25" t="str">
        <x:v>2040</x:v>
      </x:c>
      <x:c r="N36" s="25" t="str">
        <x:v>2035</x:v>
      </x:c>
      <x:c r="O36" s="45" t="str">
        <x:v>contract-dependent</x:v>
      </x:c>
      <x:c r="P36" s="45" t="str">
        <x:v>screening placeholder; full cost-gap and robustness test pending</x:v>
      </x:c>
      <x:c r="Q36" s="45" t="str">
        <x:v>contract before commitment</x:v>
      </x:c>
      <x:c r="R36" s="45" t="str">
        <x:v>yes</x:v>
      </x:c>
      <x:c r="S36" s="25" t="str">
        <x:v>activity</x:v>
      </x:c>
      <x:c r="T36" s="25" t="str">
        <x:v>800</x:v>
      </x:c>
      <x:c r="U36" s="25" t="str">
        <x:v>USD_2025/t annual output</x:v>
      </x:c>
      <x:c r="V36" s="25" t="str">
        <x:v>2960000000</x:v>
      </x:c>
      <x:c r="W36" s="25" t="str">
        <x:v>0.75</x:v>
      </x:c>
      <x:c r="X36" s="25" t="str">
        <x:v>2095384.891</x:v>
      </x:c>
      <x:c r="Y36" s="25" t="str">
        <x:v>6286154.673</x:v>
      </x:c>
      <x:c r="Z36" s="25" t="str">
        <x:v>not_modelled; leakage and replacement production pending</x:v>
      </x:c>
      <x:c r="AA36" s="25" t="str">
        <x:v>0</x:v>
      </x:c>
      <x:c r="AB36" s="25" t="str">
        <x:v>2960000000</x:v>
      </x:c>
      <x:c r="AC36" s="25" t="str">
        <x:v>0</x:v>
      </x:c>
      <x:c r="AD36" s="37" t="str">
        <x:v>hydrogen, DRI-grade ore and clean-power infrastructure</x:v>
      </x:c>
      <x:c r="AE36" s="37" t="str">
        <x:v>hydrogen and clean electricity</x:v>
      </x:c>
      <x:c r="AF36" s="37" t="str">
        <x:v>USD</x:v>
      </x:c>
      <x:c r="AG36" s="37" t="str">
        <x:v>2025</x:v>
      </x:c>
      <x:c r="AH36" s="37" t="str">
        <x:v>Modelled</x:v>
      </x:c>
      <x:c r="AI36" s="37" t="str">
        <x:v>D</x:v>
      </x:c>
      <x:c r="AJ36" s="37" t="str">
        <x:v>IEA_STEEL_BREAKTHROUGH_2025|NEDO_H2_STEEL_2026|NSC_DB_2025</x:v>
      </x:c>
      <x:c r="AK36" s="37" t="str">
        <x:v>Case CAPEX equals reported case activity times analyst H2-DRI-EAF intensity; operational abatement equals allocated case GHG times case reduction fraction</x:v>
      </x:c>
      <x:c r="AL36" s="37" t="str">
        <x:v>Screening route; blast-furnace timing and product-quality constraints remain unresolved.</x:v>
      </x:c>
    </x:row>
    <x:row r="37">
      <x:c r="A37" s="19" t="str">
        <x:v>NIPPON_STEEL</x:v>
      </x:c>
      <x:c r="B37" s="19" t="str">
        <x:v>Nippon Steel Corporation</x:v>
      </x:c>
      <x:c r="C37" s="19" t="str">
        <x:v>JP_NSC_YAWATA</x:v>
      </x:c>
      <x:c r="D37" s="19" t="str">
        <x:v>Kyushu Works Yawata Area</x:v>
      </x:c>
      <x:c r="E37" s="19" t="str">
        <x:v>Japan</x:v>
      </x:c>
      <x:c r="F37" s="19" t="str">
        <x:v>steel</x:v>
      </x:c>
      <x:c r="G37" s="19" t="str">
        <x:v>FY2024</x:v>
      </x:c>
      <x:c r="H37" s="19" t="str">
        <x:v>high</x:v>
      </x:c>
      <x:c r="I37" s="19" t="str">
        <x:v>in</x:v>
      </x:c>
      <x:c r="J37" s="19" t="str">
        <x:v>Allocated</x:v>
      </x:c>
      <x:c r="K37" s="25" t="str">
        <x:v>9638770.499</x:v>
      </x:c>
      <x:c r="L37" s="25" t="str">
        <x:v>steel_h2_dri_eaf</x:v>
      </x:c>
      <x:c r="M37" s="25" t="str">
        <x:v>2040</x:v>
      </x:c>
      <x:c r="N37" s="25" t="str">
        <x:v>2035</x:v>
      </x:c>
      <x:c r="O37" s="45" t="str">
        <x:v>contract-dependent</x:v>
      </x:c>
      <x:c r="P37" s="45" t="str">
        <x:v>screening placeholder; full cost-gap and robustness test pending</x:v>
      </x:c>
      <x:c r="Q37" s="45" t="str">
        <x:v>contract before commitment</x:v>
      </x:c>
      <x:c r="R37" s="45" t="str">
        <x:v>yes</x:v>
      </x:c>
      <x:c r="S37" s="25" t="str">
        <x:v>activity</x:v>
      </x:c>
      <x:c r="T37" s="25" t="str">
        <x:v>1200</x:v>
      </x:c>
      <x:c r="U37" s="25" t="str">
        <x:v>USD_2025/t annual output</x:v>
      </x:c>
      <x:c r="V37" s="25" t="str">
        <x:v>4440000000</x:v>
      </x:c>
      <x:c r="W37" s="25" t="str">
        <x:v>0.95</x:v>
      </x:c>
      <x:c r="X37" s="25" t="str">
        <x:v>481938.52495</x:v>
      </x:c>
      <x:c r="Y37" s="25" t="str">
        <x:v>9156831.97405</x:v>
      </x:c>
      <x:c r="Z37" s="25" t="str">
        <x:v>not_modelled; leakage and replacement production pending</x:v>
      </x:c>
      <x:c r="AA37" s="25" t="str">
        <x:v>0</x:v>
      </x:c>
      <x:c r="AB37" s="25" t="str">
        <x:v>4440000000</x:v>
      </x:c>
      <x:c r="AC37" s="25" t="str">
        <x:v>0</x:v>
      </x:c>
      <x:c r="AD37" s="37" t="str">
        <x:v>hydrogen, DRI-grade ore and clean-power infrastructure</x:v>
      </x:c>
      <x:c r="AE37" s="37" t="str">
        <x:v>hydrogen and clean electricity</x:v>
      </x:c>
      <x:c r="AF37" s="37" t="str">
        <x:v>USD</x:v>
      </x:c>
      <x:c r="AG37" s="37" t="str">
        <x:v>2025</x:v>
      </x:c>
      <x:c r="AH37" s="37" t="str">
        <x:v>Modelled</x:v>
      </x:c>
      <x:c r="AI37" s="37" t="str">
        <x:v>D</x:v>
      </x:c>
      <x:c r="AJ37" s="37" t="str">
        <x:v>IEA_STEEL_BREAKTHROUGH_2025|NEDO_H2_STEEL_2026|NSC_DB_2025</x:v>
      </x:c>
      <x:c r="AK37" s="37" t="str">
        <x:v>Case CAPEX equals reported case activity times analyst H2-DRI-EAF intensity; operational abatement equals allocated case GHG times case reduction fraction</x:v>
      </x:c>
      <x:c r="AL37" s="37" t="str">
        <x:v>Screening route; blast-furnace timing and product-quality constraints remain unresolved.</x:v>
      </x:c>
    </x:row>
    <x:row r="38">
      <x:c r="A38" s="19" t="str">
        <x:v>NIPPON_STEEL</x:v>
      </x:c>
      <x:c r="B38" s="19" t="str">
        <x:v>Nippon Steel Corporation</x:v>
      </x:c>
      <x:c r="C38" s="19" t="str">
        <x:v>JP_NSC_OITA</x:v>
      </x:c>
      <x:c r="D38" s="19" t="str">
        <x:v>Kyushu Works Oita Area</x:v>
      </x:c>
      <x:c r="E38" s="19" t="str">
        <x:v>Japan</x:v>
      </x:c>
      <x:c r="F38" s="19" t="str">
        <x:v>steel</x:v>
      </x:c>
      <x:c r="G38" s="19" t="str">
        <x:v>FY2024</x:v>
      </x:c>
      <x:c r="H38" s="19" t="str">
        <x:v>low</x:v>
      </x:c>
      <x:c r="I38" s="19" t="str">
        <x:v>in</x:v>
      </x:c>
      <x:c r="J38" s="19" t="str">
        <x:v>Allocated</x:v>
      </x:c>
      <x:c r="K38" s="25" t="str">
        <x:v>16077831.637</x:v>
      </x:c>
      <x:c r="L38" s="25" t="str">
        <x:v>steel_h2_dri_eaf</x:v>
      </x:c>
      <x:c r="M38" s="25" t="str">
        <x:v>2040</x:v>
      </x:c>
      <x:c r="N38" s="25" t="str">
        <x:v>2035</x:v>
      </x:c>
      <x:c r="O38" s="45" t="str">
        <x:v>contract-dependent</x:v>
      </x:c>
      <x:c r="P38" s="45" t="str">
        <x:v>screening placeholder; full cost-gap and robustness test pending</x:v>
      </x:c>
      <x:c r="Q38" s="45" t="str">
        <x:v>contract before commitment</x:v>
      </x:c>
      <x:c r="R38" s="45" t="str">
        <x:v>yes</x:v>
      </x:c>
      <x:c r="S38" s="25" t="str">
        <x:v>activity</x:v>
      </x:c>
      <x:c r="T38" s="25" t="str">
        <x:v>500</x:v>
      </x:c>
      <x:c r="U38" s="25" t="str">
        <x:v>USD_2025/t annual output</x:v>
      </x:c>
      <x:c r="V38" s="25" t="str">
        <x:v>4175000000</x:v>
      </x:c>
      <x:c r="W38" s="25" t="str">
        <x:v>0.5</x:v>
      </x:c>
      <x:c r="X38" s="25" t="str">
        <x:v>8038915.8185</x:v>
      </x:c>
      <x:c r="Y38" s="25" t="str">
        <x:v>8038915.8185</x:v>
      </x:c>
      <x:c r="Z38" s="25" t="str">
        <x:v>not_modelled; leakage and replacement production pending</x:v>
      </x:c>
      <x:c r="AA38" s="25" t="str">
        <x:v>0</x:v>
      </x:c>
      <x:c r="AB38" s="25" t="str">
        <x:v>4175000000</x:v>
      </x:c>
      <x:c r="AC38" s="25" t="str">
        <x:v>0</x:v>
      </x:c>
      <x:c r="AD38" s="37" t="str">
        <x:v>hydrogen, DRI-grade ore and clean-power infrastructure</x:v>
      </x:c>
      <x:c r="AE38" s="37" t="str">
        <x:v>hydrogen and clean electricity</x:v>
      </x:c>
      <x:c r="AF38" s="37" t="str">
        <x:v>USD</x:v>
      </x:c>
      <x:c r="AG38" s="37" t="str">
        <x:v>2025</x:v>
      </x:c>
      <x:c r="AH38" s="37" t="str">
        <x:v>Modelled</x:v>
      </x:c>
      <x:c r="AI38" s="37" t="str">
        <x:v>D</x:v>
      </x:c>
      <x:c r="AJ38" s="37" t="str">
        <x:v>IEA_STEEL_BREAKTHROUGH_2025|NEDO_H2_STEEL_2026|NSC_DB_2025</x:v>
      </x:c>
      <x:c r="AK38" s="37" t="str">
        <x:v>Case CAPEX equals reported case activity times analyst H2-DRI-EAF intensity; operational abatement equals allocated case GHG times case reduction fraction</x:v>
      </x:c>
      <x:c r="AL38" s="37" t="str">
        <x:v>Screening route; blast-furnace timing and product-quality constraints remain unresolved.</x:v>
      </x:c>
    </x:row>
    <x:row r="39">
      <x:c r="A39" s="19" t="str">
        <x:v>NIPPON_STEEL</x:v>
      </x:c>
      <x:c r="B39" s="19" t="str">
        <x:v>Nippon Steel Corporation</x:v>
      </x:c>
      <x:c r="C39" s="19" t="str">
        <x:v>JP_NSC_OITA</x:v>
      </x:c>
      <x:c r="D39" s="19" t="str">
        <x:v>Kyushu Works Oita Area</x:v>
      </x:c>
      <x:c r="E39" s="19" t="str">
        <x:v>Japan</x:v>
      </x:c>
      <x:c r="F39" s="19" t="str">
        <x:v>steel</x:v>
      </x:c>
      <x:c r="G39" s="19" t="str">
        <x:v>FY2024</x:v>
      </x:c>
      <x:c r="H39" s="19" t="str">
        <x:v>base</x:v>
      </x:c>
      <x:c r="I39" s="19" t="str">
        <x:v>in</x:v>
      </x:c>
      <x:c r="J39" s="19" t="str">
        <x:v>Allocated</x:v>
      </x:c>
      <x:c r="K39" s="25" t="str">
        <x:v>18915096.044</x:v>
      </x:c>
      <x:c r="L39" s="25" t="str">
        <x:v>steel_h2_dri_eaf</x:v>
      </x:c>
      <x:c r="M39" s="25" t="str">
        <x:v>2040</x:v>
      </x:c>
      <x:c r="N39" s="25" t="str">
        <x:v>2035</x:v>
      </x:c>
      <x:c r="O39" s="45" t="str">
        <x:v>contract-dependent</x:v>
      </x:c>
      <x:c r="P39" s="45" t="str">
        <x:v>screening placeholder; full cost-gap and robustness test pending</x:v>
      </x:c>
      <x:c r="Q39" s="45" t="str">
        <x:v>contract before commitment</x:v>
      </x:c>
      <x:c r="R39" s="45" t="str">
        <x:v>yes</x:v>
      </x:c>
      <x:c r="S39" s="25" t="str">
        <x:v>activity</x:v>
      </x:c>
      <x:c r="T39" s="25" t="str">
        <x:v>800</x:v>
      </x:c>
      <x:c r="U39" s="25" t="str">
        <x:v>USD_2025/t annual output</x:v>
      </x:c>
      <x:c r="V39" s="25" t="str">
        <x:v>6680000000</x:v>
      </x:c>
      <x:c r="W39" s="25" t="str">
        <x:v>0.75</x:v>
      </x:c>
      <x:c r="X39" s="25" t="str">
        <x:v>4728774.011</x:v>
      </x:c>
      <x:c r="Y39" s="25" t="str">
        <x:v>14186322.033</x:v>
      </x:c>
      <x:c r="Z39" s="25" t="str">
        <x:v>not_modelled; leakage and replacement production pending</x:v>
      </x:c>
      <x:c r="AA39" s="25" t="str">
        <x:v>0</x:v>
      </x:c>
      <x:c r="AB39" s="25" t="str">
        <x:v>6680000000</x:v>
      </x:c>
      <x:c r="AC39" s="25" t="str">
        <x:v>0</x:v>
      </x:c>
      <x:c r="AD39" s="37" t="str">
        <x:v>hydrogen, DRI-grade ore and clean-power infrastructure</x:v>
      </x:c>
      <x:c r="AE39" s="37" t="str">
        <x:v>hydrogen and clean electricity</x:v>
      </x:c>
      <x:c r="AF39" s="37" t="str">
        <x:v>USD</x:v>
      </x:c>
      <x:c r="AG39" s="37" t="str">
        <x:v>2025</x:v>
      </x:c>
      <x:c r="AH39" s="37" t="str">
        <x:v>Modelled</x:v>
      </x:c>
      <x:c r="AI39" s="37" t="str">
        <x:v>D</x:v>
      </x:c>
      <x:c r="AJ39" s="37" t="str">
        <x:v>IEA_STEEL_BREAKTHROUGH_2025|NEDO_H2_STEEL_2026|NSC_DB_2025</x:v>
      </x:c>
      <x:c r="AK39" s="37" t="str">
        <x:v>Case CAPEX equals reported case activity times analyst H2-DRI-EAF intensity; operational abatement equals allocated case GHG times case reduction fraction</x:v>
      </x:c>
      <x:c r="AL39" s="37" t="str">
        <x:v>Screening route; blast-furnace timing and product-quality constraints remain unresolved.</x:v>
      </x:c>
    </x:row>
    <x:row r="40">
      <x:c r="A40" s="19" t="str">
        <x:v>NIPPON_STEEL</x:v>
      </x:c>
      <x:c r="B40" s="19" t="str">
        <x:v>Nippon Steel Corporation</x:v>
      </x:c>
      <x:c r="C40" s="19" t="str">
        <x:v>JP_NSC_OITA</x:v>
      </x:c>
      <x:c r="D40" s="19" t="str">
        <x:v>Kyushu Works Oita Area</x:v>
      </x:c>
      <x:c r="E40" s="19" t="str">
        <x:v>Japan</x:v>
      </x:c>
      <x:c r="F40" s="19" t="str">
        <x:v>steel</x:v>
      </x:c>
      <x:c r="G40" s="19" t="str">
        <x:v>FY2024</x:v>
      </x:c>
      <x:c r="H40" s="19" t="str">
        <x:v>high</x:v>
      </x:c>
      <x:c r="I40" s="19" t="str">
        <x:v>in</x:v>
      </x:c>
      <x:c r="J40" s="19" t="str">
        <x:v>Allocated</x:v>
      </x:c>
      <x:c r="K40" s="25" t="str">
        <x:v>21752360.45</x:v>
      </x:c>
      <x:c r="L40" s="25" t="str">
        <x:v>steel_h2_dri_eaf</x:v>
      </x:c>
      <x:c r="M40" s="25" t="str">
        <x:v>2040</x:v>
      </x:c>
      <x:c r="N40" s="25" t="str">
        <x:v>2035</x:v>
      </x:c>
      <x:c r="O40" s="45" t="str">
        <x:v>contract-dependent</x:v>
      </x:c>
      <x:c r="P40" s="45" t="str">
        <x:v>screening placeholder; full cost-gap and robustness test pending</x:v>
      </x:c>
      <x:c r="Q40" s="45" t="str">
        <x:v>contract before commitment</x:v>
      </x:c>
      <x:c r="R40" s="45" t="str">
        <x:v>yes</x:v>
      </x:c>
      <x:c r="S40" s="25" t="str">
        <x:v>activity</x:v>
      </x:c>
      <x:c r="T40" s="25" t="str">
        <x:v>1200</x:v>
      </x:c>
      <x:c r="U40" s="25" t="str">
        <x:v>USD_2025/t annual output</x:v>
      </x:c>
      <x:c r="V40" s="25" t="str">
        <x:v>10020000000</x:v>
      </x:c>
      <x:c r="W40" s="25" t="str">
        <x:v>0.95</x:v>
      </x:c>
      <x:c r="X40" s="25" t="str">
        <x:v>1087618.0225</x:v>
      </x:c>
      <x:c r="Y40" s="25" t="str">
        <x:v>20664742.4275</x:v>
      </x:c>
      <x:c r="Z40" s="25" t="str">
        <x:v>not_modelled; leakage and replacement production pending</x:v>
      </x:c>
      <x:c r="AA40" s="25" t="str">
        <x:v>0</x:v>
      </x:c>
      <x:c r="AB40" s="25" t="str">
        <x:v>10020000000</x:v>
      </x:c>
      <x:c r="AC40" s="25" t="str">
        <x:v>0</x:v>
      </x:c>
      <x:c r="AD40" s="37" t="str">
        <x:v>hydrogen, DRI-grade ore and clean-power infrastructure</x:v>
      </x:c>
      <x:c r="AE40" s="37" t="str">
        <x:v>hydrogen and clean electricity</x:v>
      </x:c>
      <x:c r="AF40" s="37" t="str">
        <x:v>USD</x:v>
      </x:c>
      <x:c r="AG40" s="37" t="str">
        <x:v>2025</x:v>
      </x:c>
      <x:c r="AH40" s="37" t="str">
        <x:v>Modelled</x:v>
      </x:c>
      <x:c r="AI40" s="37" t="str">
        <x:v>D</x:v>
      </x:c>
      <x:c r="AJ40" s="37" t="str">
        <x:v>IEA_STEEL_BREAKTHROUGH_2025|NEDO_H2_STEEL_2026|NSC_DB_2025</x:v>
      </x:c>
      <x:c r="AK40" s="37" t="str">
        <x:v>Case CAPEX equals reported case activity times analyst H2-DRI-EAF intensity; operational abatement equals allocated case GHG times case reduction fraction</x:v>
      </x:c>
      <x:c r="AL40" s="37" t="str">
        <x:v>Screening route; blast-furnace timing and product-quality constraints remain unresolved.</x:v>
      </x:c>
    </x:row>
    <x:row r="41">
      <x:c r="A41" s="19" t="str">
        <x:v>LOTTE_CHEMICAL</x:v>
      </x:c>
      <x:c r="B41" s="19" t="str">
        <x:v>LOTTE Chemical Corporation</x:v>
      </x:c>
      <x:c r="C41" s="19" t="str">
        <x:v>KR_LOTTE_YEOSU_BASIC</x:v>
      </x:c>
      <x:c r="D41" s="19" t="str">
        <x:v>Yeosu Basic Materials Plant</x:v>
      </x:c>
      <x:c r="E41" s="19" t="str">
        <x:v>Korea</x:v>
      </x:c>
      <x:c r="F41" s="19" t="str">
        <x:v>petrochemicals</x:v>
      </x:c>
      <x:c r="G41" s="19" t="str">
        <x:v>CY2025</x:v>
      </x:c>
      <x:c r="H41" s="19" t="str">
        <x:v>low</x:v>
      </x:c>
      <x:c r="I41" s="19" t="str">
        <x:v>in</x:v>
      </x:c>
      <x:c r="J41" s="19" t="str">
        <x:v>Reported</x:v>
      </x:c>
      <x:c r="K41" s="25" t="str">
        <x:v>2591026</x:v>
      </x:c>
      <x:c r="L41" s="25" t="str">
        <x:v>petchem_electrified_cracker</x:v>
      </x:c>
      <x:c r="M41" s="25" t="str">
        <x:v>2040</x:v>
      </x:c>
      <x:c r="N41" s="25" t="str">
        <x:v>2035</x:v>
      </x:c>
      <x:c r="O41" s="45" t="str">
        <x:v>level-support-dependent</x:v>
      </x:c>
      <x:c r="P41" s="45" t="str">
        <x:v>screening placeholder; no full levelised-cost or support test</x:v>
      </x:c>
      <x:c r="Q41" s="45" t="str">
        <x:v>secure level support before commitment</x:v>
      </x:c>
      <x:c r="R41" s="45" t="str">
        <x:v>yes</x:v>
      </x:c>
      <x:c r="S41" s="25" t="str">
        <x:v>abatement</x:v>
      </x:c>
      <x:c r="T41" s="25" t="str">
        <x:v>200</x:v>
      </x:c>
      <x:c r="U41" s="25" t="str">
        <x:v>USD_2025/(tCO2 annual abatement)</x:v>
      </x:c>
      <x:c r="V41" s="25" t="str">
        <x:v>155461560</x:v>
      </x:c>
      <x:c r="W41" s="25" t="str">
        <x:v>0.3</x:v>
      </x:c>
      <x:c r="X41" s="25" t="str">
        <x:v>1813718.2</x:v>
      </x:c>
      <x:c r="Y41" s="25" t="str">
        <x:v>777307.8</x:v>
      </x:c>
      <x:c r="Z41" s="25" t="str">
        <x:v>not_modelled; leakage and replacement production pending</x:v>
      </x:c>
      <x:c r="AA41" s="25" t="str">
        <x:v>0</x:v>
      </x:c>
      <x:c r="AB41" s="25" t="str">
        <x:v>155461560</x:v>
      </x:c>
      <x:c r="AC41" s="25" t="str">
        <x:v>0</x:v>
      </x:c>
      <x:c r="AD41" s="37" t="str">
        <x:v>furnace coverage, clean-power connection and product allocation</x:v>
      </x:c>
      <x:c r="AE41" s="37" t="str">
        <x:v>electricity and technology cost</x:v>
      </x:c>
      <x:c r="AF41" s="37" t="str">
        <x:v>USD</x:v>
      </x:c>
      <x:c r="AG41" s="37" t="str">
        <x:v>2025</x:v>
      </x:c>
      <x:c r="AH41" s="37" t="str">
        <x:v>Modelled</x:v>
      </x:c>
      <x:c r="AI41" s="37" t="str">
        <x:v>D</x:v>
      </x:c>
      <x:c r="AJ41" s="37" t="str">
        <x:v>IEA_CTG_2026|IEA_PETCHEM_COST_2018|LOTTE_ESG_2025|MCI_WEST_JAPAN_2026|NA</x:v>
      </x:c>
      <x:c r="AK41" s="37" t="str">
        <x:v>Operational abatement equals reported case GHG times case reduction fraction; CAPEX equals operational abatement times analyst capital-per-annual-abatement proxy</x:v>
      </x:c>
      <x:c r="AL41" s="37" t="str">
        <x:v>Capital intensity is an analyst 2025 USD screening range informed by the multi-company western-Japan project ratio; not a LOTTE quote.</x:v>
      </x:c>
    </x:row>
    <x:row r="42">
      <x:c r="A42" s="19" t="str">
        <x:v>LOTTE_CHEMICAL</x:v>
      </x:c>
      <x:c r="B42" s="19" t="str">
        <x:v>LOTTE Chemical Corporation</x:v>
      </x:c>
      <x:c r="C42" s="19" t="str">
        <x:v>KR_LOTTE_YEOSU_BASIC</x:v>
      </x:c>
      <x:c r="D42" s="19" t="str">
        <x:v>Yeosu Basic Materials Plant</x:v>
      </x:c>
      <x:c r="E42" s="19" t="str">
        <x:v>Korea</x:v>
      </x:c>
      <x:c r="F42" s="19" t="str">
        <x:v>petrochemicals</x:v>
      </x:c>
      <x:c r="G42" s="19" t="str">
        <x:v>CY2025</x:v>
      </x:c>
      <x:c r="H42" s="19" t="str">
        <x:v>base</x:v>
      </x:c>
      <x:c r="I42" s="19" t="str">
        <x:v>in</x:v>
      </x:c>
      <x:c r="J42" s="19" t="str">
        <x:v>Reported</x:v>
      </x:c>
      <x:c r="K42" s="25" t="str">
        <x:v>2591026</x:v>
      </x:c>
      <x:c r="L42" s="25" t="str">
        <x:v>petchem_electrified_cracker</x:v>
      </x:c>
      <x:c r="M42" s="25" t="str">
        <x:v>2040</x:v>
      </x:c>
      <x:c r="N42" s="25" t="str">
        <x:v>2035</x:v>
      </x:c>
      <x:c r="O42" s="45" t="str">
        <x:v>level-support-dependent</x:v>
      </x:c>
      <x:c r="P42" s="45" t="str">
        <x:v>screening placeholder; no full levelised-cost or support test</x:v>
      </x:c>
      <x:c r="Q42" s="45" t="str">
        <x:v>secure level support before commitment</x:v>
      </x:c>
      <x:c r="R42" s="45" t="str">
        <x:v>yes</x:v>
      </x:c>
      <x:c r="S42" s="25" t="str">
        <x:v>abatement</x:v>
      </x:c>
      <x:c r="T42" s="25" t="str">
        <x:v>300</x:v>
      </x:c>
      <x:c r="U42" s="25" t="str">
        <x:v>USD_2025/(tCO2 annual abatement)</x:v>
      </x:c>
      <x:c r="V42" s="25" t="str">
        <x:v>388653900</x:v>
      </x:c>
      <x:c r="W42" s="25" t="str">
        <x:v>0.5</x:v>
      </x:c>
      <x:c r="X42" s="25" t="str">
        <x:v>1295513</x:v>
      </x:c>
      <x:c r="Y42" s="25" t="str">
        <x:v>1295513</x:v>
      </x:c>
      <x:c r="Z42" s="25" t="str">
        <x:v>not_modelled; leakage and replacement production pending</x:v>
      </x:c>
      <x:c r="AA42" s="25" t="str">
        <x:v>0</x:v>
      </x:c>
      <x:c r="AB42" s="25" t="str">
        <x:v>388653900</x:v>
      </x:c>
      <x:c r="AC42" s="25" t="str">
        <x:v>0</x:v>
      </x:c>
      <x:c r="AD42" s="37" t="str">
        <x:v>furnace coverage, clean-power connection and product allocation</x:v>
      </x:c>
      <x:c r="AE42" s="37" t="str">
        <x:v>electricity and technology cost</x:v>
      </x:c>
      <x:c r="AF42" s="37" t="str">
        <x:v>USD</x:v>
      </x:c>
      <x:c r="AG42" s="37" t="str">
        <x:v>2025</x:v>
      </x:c>
      <x:c r="AH42" s="37" t="str">
        <x:v>Modelled</x:v>
      </x:c>
      <x:c r="AI42" s="37" t="str">
        <x:v>D</x:v>
      </x:c>
      <x:c r="AJ42" s="37" t="str">
        <x:v>IEA_CTG_2026|IEA_PETCHEM_COST_2018|LOTTE_ESG_2025|MCI_WEST_JAPAN_2026|NA</x:v>
      </x:c>
      <x:c r="AK42" s="37" t="str">
        <x:v>Operational abatement equals reported case GHG times case reduction fraction; CAPEX equals operational abatement times analyst capital-per-annual-abatement proxy</x:v>
      </x:c>
      <x:c r="AL42" s="37" t="str">
        <x:v>Capital intensity is an analyst 2025 USD screening range informed by the multi-company western-Japan project ratio; not a LOTTE quote.</x:v>
      </x:c>
    </x:row>
    <x:row r="43">
      <x:c r="A43" s="19" t="str">
        <x:v>LOTTE_CHEMICAL</x:v>
      </x:c>
      <x:c r="B43" s="19" t="str">
        <x:v>LOTTE Chemical Corporation</x:v>
      </x:c>
      <x:c r="C43" s="19" t="str">
        <x:v>KR_LOTTE_YEOSU_BASIC</x:v>
      </x:c>
      <x:c r="D43" s="19" t="str">
        <x:v>Yeosu Basic Materials Plant</x:v>
      </x:c>
      <x:c r="E43" s="19" t="str">
        <x:v>Korea</x:v>
      </x:c>
      <x:c r="F43" s="19" t="str">
        <x:v>petrochemicals</x:v>
      </x:c>
      <x:c r="G43" s="19" t="str">
        <x:v>CY2025</x:v>
      </x:c>
      <x:c r="H43" s="19" t="str">
        <x:v>high</x:v>
      </x:c>
      <x:c r="I43" s="19" t="str">
        <x:v>in</x:v>
      </x:c>
      <x:c r="J43" s="19" t="str">
        <x:v>Reported</x:v>
      </x:c>
      <x:c r="K43" s="25" t="str">
        <x:v>2591026</x:v>
      </x:c>
      <x:c r="L43" s="25" t="str">
        <x:v>petchem_electrified_cracker</x:v>
      </x:c>
      <x:c r="M43" s="25" t="str">
        <x:v>2040</x:v>
      </x:c>
      <x:c r="N43" s="25" t="str">
        <x:v>2035</x:v>
      </x:c>
      <x:c r="O43" s="45" t="str">
        <x:v>level-support-dependent</x:v>
      </x:c>
      <x:c r="P43" s="45" t="str">
        <x:v>screening placeholder; no full levelised-cost or support test</x:v>
      </x:c>
      <x:c r="Q43" s="45" t="str">
        <x:v>secure level support before commitment</x:v>
      </x:c>
      <x:c r="R43" s="45" t="str">
        <x:v>yes</x:v>
      </x:c>
      <x:c r="S43" s="25" t="str">
        <x:v>abatement</x:v>
      </x:c>
      <x:c r="T43" s="25" t="str">
        <x:v>500</x:v>
      </x:c>
      <x:c r="U43" s="25" t="str">
        <x:v>USD_2025/(tCO2 annual abatement)</x:v>
      </x:c>
      <x:c r="V43" s="25" t="str">
        <x:v>906859100</x:v>
      </x:c>
      <x:c r="W43" s="25" t="str">
        <x:v>0.7</x:v>
      </x:c>
      <x:c r="X43" s="25" t="str">
        <x:v>777307.8</x:v>
      </x:c>
      <x:c r="Y43" s="25" t="str">
        <x:v>1813718.2</x:v>
      </x:c>
      <x:c r="Z43" s="25" t="str">
        <x:v>not_modelled; leakage and replacement production pending</x:v>
      </x:c>
      <x:c r="AA43" s="25" t="str">
        <x:v>0</x:v>
      </x:c>
      <x:c r="AB43" s="25" t="str">
        <x:v>906859100</x:v>
      </x:c>
      <x:c r="AC43" s="25" t="str">
        <x:v>0</x:v>
      </x:c>
      <x:c r="AD43" s="37" t="str">
        <x:v>furnace coverage, clean-power connection and product allocation</x:v>
      </x:c>
      <x:c r="AE43" s="37" t="str">
        <x:v>electricity and technology cost</x:v>
      </x:c>
      <x:c r="AF43" s="37" t="str">
        <x:v>USD</x:v>
      </x:c>
      <x:c r="AG43" s="37" t="str">
        <x:v>2025</x:v>
      </x:c>
      <x:c r="AH43" s="37" t="str">
        <x:v>Modelled</x:v>
      </x:c>
      <x:c r="AI43" s="37" t="str">
        <x:v>D</x:v>
      </x:c>
      <x:c r="AJ43" s="37" t="str">
        <x:v>IEA_CTG_2026|IEA_PETCHEM_COST_2018|LOTTE_ESG_2025|MCI_WEST_JAPAN_2026|NA</x:v>
      </x:c>
      <x:c r="AK43" s="37" t="str">
        <x:v>Operational abatement equals reported case GHG times case reduction fraction; CAPEX equals operational abatement times analyst capital-per-annual-abatement proxy</x:v>
      </x:c>
      <x:c r="AL43" s="37" t="str">
        <x:v>Capital intensity is an analyst 2025 USD screening range informed by the multi-company western-Japan project ratio; not a LOTTE quote.</x:v>
      </x:c>
    </x:row>
    <x:row r="44">
      <x:c r="A44" s="19" t="str">
        <x:v>LOTTE_CHEMICAL</x:v>
      </x:c>
      <x:c r="B44" s="19" t="str">
        <x:v>LOTTE Chemical Corporation</x:v>
      </x:c>
      <x:c r="C44" s="19" t="str">
        <x:v>KR_LOTTE_YEOSU_ADVANCED</x:v>
      </x:c>
      <x:c r="D44" s="19" t="str">
        <x:v>Yeosu Advanced Materials Plant</x:v>
      </x:c>
      <x:c r="E44" s="19" t="str">
        <x:v>Korea</x:v>
      </x:c>
      <x:c r="F44" s="19" t="str">
        <x:v>petrochemicals</x:v>
      </x:c>
      <x:c r="G44" s="19" t="str">
        <x:v>CY2025</x:v>
      </x:c>
      <x:c r="H44" s="19" t="str">
        <x:v>low</x:v>
      </x:c>
      <x:c r="I44" s="19" t="str">
        <x:v>out</x:v>
      </x:c>
      <x:c r="J44" s="19" t="str">
        <x:v>Reported</x:v>
      </x:c>
      <x:c r="K44" s="25" t="str">
        <x:v>383825</x:v>
      </x:c>
      <x:c r="L44" s="25" t="str">
        <x:v>not_modelled_data_gap</x:v>
      </x:c>
      <x:c r="M44" s="25" t="str">
        <x:v>NA</x:v>
      </x:c>
      <x:c r="N44" s="25" t="str">
        <x:v>NA</x:v>
      </x:c>
      <x:c r="O44" s="45" t="str">
        <x:v>not_modelled</x:v>
      </x:c>
      <x:c r="P44" s="45" t="str">
        <x:v>Outside primary cracker scope in seed inventory</x:v>
      </x:c>
      <x:c r="Q44" s="45" t="str">
        <x:v>uncovered residual</x:v>
      </x:c>
      <x:c r="R44" s="45" t="str">
        <x:v>no</x:v>
      </x:c>
      <x:c r="S44" s="25" t="str">
        <x:v>none</x:v>
      </x:c>
      <x:c r="T44" s="25" t="str">
        <x:v>0</x:v>
      </x:c>
      <x:c r="U44" s="25" t="str">
        <x:v>not_applicable</x:v>
      </x:c>
      <x:c r="V44" s="25" t="str">
        <x:v>0</x:v>
      </x:c>
      <x:c r="W44" s="25" t="str">
        <x:v>0</x:v>
      </x:c>
      <x:c r="X44" s="25" t="str">
        <x:v>383825</x:v>
      </x:c>
      <x:c r="Y44" s="25" t="str">
        <x:v>0</x:v>
      </x:c>
      <x:c r="Z44" s="25" t="str">
        <x:v>not_modelled; leakage and replacement production pending</x:v>
      </x:c>
      <x:c r="AA44" s="25" t="str">
        <x:v>0</x:v>
      </x:c>
      <x:c r="AB44" s="25" t="str">
        <x:v>0</x:v>
      </x:c>
      <x:c r="AC44" s="25" t="str">
        <x:v>0</x:v>
      </x:c>
      <x:c r="AD44" s="37" t="str">
        <x:v>primary-route scope not established</x:v>
      </x:c>
      <x:c r="AE44" s="37" t="str">
        <x:v>not_assessed</x:v>
      </x:c>
      <x:c r="AF44" s="37" t="str">
        <x:v>not_applicable</x:v>
      </x:c>
      <x:c r="AG44" s="37" t="str">
        <x:v>not_applicable</x:v>
      </x:c>
      <x:c r="AH44" s="37" t="str">
        <x:v>Not_modelled</x:v>
      </x:c>
      <x:c r="AI44" s="37" t="str">
        <x:v>D</x:v>
      </x:c>
      <x:c r="AJ44" s="37" t="str">
        <x:v>LOTTE_ESG_2025|NA</x:v>
      </x:c>
      <x:c r="AK44" s="37" t="str">
        <x:v>Zero modelled capital and abatement; emissions retained in uncovered residual</x:v>
      </x:c>
      <x:c r="AL44" s="37" t="str">
        <x:v>Reported emissions retained; no transition result inferred.</x:v>
      </x:c>
    </x:row>
    <x:row r="45">
      <x:c r="A45" s="19" t="str">
        <x:v>LOTTE_CHEMICAL</x:v>
      </x:c>
      <x:c r="B45" s="19" t="str">
        <x:v>LOTTE Chemical Corporation</x:v>
      </x:c>
      <x:c r="C45" s="19" t="str">
        <x:v>KR_LOTTE_YEOSU_ADVANCED</x:v>
      </x:c>
      <x:c r="D45" s="19" t="str">
        <x:v>Yeosu Advanced Materials Plant</x:v>
      </x:c>
      <x:c r="E45" s="19" t="str">
        <x:v>Korea</x:v>
      </x:c>
      <x:c r="F45" s="19" t="str">
        <x:v>petrochemicals</x:v>
      </x:c>
      <x:c r="G45" s="19" t="str">
        <x:v>CY2025</x:v>
      </x:c>
      <x:c r="H45" s="19" t="str">
        <x:v>base</x:v>
      </x:c>
      <x:c r="I45" s="19" t="str">
        <x:v>out</x:v>
      </x:c>
      <x:c r="J45" s="19" t="str">
        <x:v>Reported</x:v>
      </x:c>
      <x:c r="K45" s="25" t="str">
        <x:v>383825</x:v>
      </x:c>
      <x:c r="L45" s="25" t="str">
        <x:v>not_modelled_data_gap</x:v>
      </x:c>
      <x:c r="M45" s="25" t="str">
        <x:v>NA</x:v>
      </x:c>
      <x:c r="N45" s="25" t="str">
        <x:v>NA</x:v>
      </x:c>
      <x:c r="O45" s="45" t="str">
        <x:v>not_modelled</x:v>
      </x:c>
      <x:c r="P45" s="45" t="str">
        <x:v>Outside primary cracker scope in seed inventory</x:v>
      </x:c>
      <x:c r="Q45" s="45" t="str">
        <x:v>uncovered residual</x:v>
      </x:c>
      <x:c r="R45" s="45" t="str">
        <x:v>no</x:v>
      </x:c>
      <x:c r="S45" s="25" t="str">
        <x:v>none</x:v>
      </x:c>
      <x:c r="T45" s="25" t="str">
        <x:v>0</x:v>
      </x:c>
      <x:c r="U45" s="25" t="str">
        <x:v>not_applicable</x:v>
      </x:c>
      <x:c r="V45" s="25" t="str">
        <x:v>0</x:v>
      </x:c>
      <x:c r="W45" s="25" t="str">
        <x:v>0</x:v>
      </x:c>
      <x:c r="X45" s="25" t="str">
        <x:v>383825</x:v>
      </x:c>
      <x:c r="Y45" s="25" t="str">
        <x:v>0</x:v>
      </x:c>
      <x:c r="Z45" s="25" t="str">
        <x:v>not_modelled; leakage and replacement production pending</x:v>
      </x:c>
      <x:c r="AA45" s="25" t="str">
        <x:v>0</x:v>
      </x:c>
      <x:c r="AB45" s="25" t="str">
        <x:v>0</x:v>
      </x:c>
      <x:c r="AC45" s="25" t="str">
        <x:v>0</x:v>
      </x:c>
      <x:c r="AD45" s="37" t="str">
        <x:v>primary-route scope not established</x:v>
      </x:c>
      <x:c r="AE45" s="37" t="str">
        <x:v>not_assessed</x:v>
      </x:c>
      <x:c r="AF45" s="37" t="str">
        <x:v>not_applicable</x:v>
      </x:c>
      <x:c r="AG45" s="37" t="str">
        <x:v>not_applicable</x:v>
      </x:c>
      <x:c r="AH45" s="37" t="str">
        <x:v>Not_modelled</x:v>
      </x:c>
      <x:c r="AI45" s="37" t="str">
        <x:v>D</x:v>
      </x:c>
      <x:c r="AJ45" s="37" t="str">
        <x:v>LOTTE_ESG_2025|NA</x:v>
      </x:c>
      <x:c r="AK45" s="37" t="str">
        <x:v>Zero modelled capital and abatement; emissions retained in uncovered residual</x:v>
      </x:c>
      <x:c r="AL45" s="37" t="str">
        <x:v>Reported emissions retained; no transition result inferred.</x:v>
      </x:c>
    </x:row>
    <x:row r="46">
      <x:c r="A46" s="19" t="str">
        <x:v>LOTTE_CHEMICAL</x:v>
      </x:c>
      <x:c r="B46" s="19" t="str">
        <x:v>LOTTE Chemical Corporation</x:v>
      </x:c>
      <x:c r="C46" s="19" t="str">
        <x:v>KR_LOTTE_YEOSU_ADVANCED</x:v>
      </x:c>
      <x:c r="D46" s="19" t="str">
        <x:v>Yeosu Advanced Materials Plant</x:v>
      </x:c>
      <x:c r="E46" s="19" t="str">
        <x:v>Korea</x:v>
      </x:c>
      <x:c r="F46" s="19" t="str">
        <x:v>petrochemicals</x:v>
      </x:c>
      <x:c r="G46" s="19" t="str">
        <x:v>CY2025</x:v>
      </x:c>
      <x:c r="H46" s="19" t="str">
        <x:v>high</x:v>
      </x:c>
      <x:c r="I46" s="19" t="str">
        <x:v>out</x:v>
      </x:c>
      <x:c r="J46" s="19" t="str">
        <x:v>Reported</x:v>
      </x:c>
      <x:c r="K46" s="25" t="str">
        <x:v>383825</x:v>
      </x:c>
      <x:c r="L46" s="25" t="str">
        <x:v>not_modelled_data_gap</x:v>
      </x:c>
      <x:c r="M46" s="25" t="str">
        <x:v>NA</x:v>
      </x:c>
      <x:c r="N46" s="25" t="str">
        <x:v>NA</x:v>
      </x:c>
      <x:c r="O46" s="45" t="str">
        <x:v>not_modelled</x:v>
      </x:c>
      <x:c r="P46" s="45" t="str">
        <x:v>Outside primary cracker scope in seed inventory</x:v>
      </x:c>
      <x:c r="Q46" s="45" t="str">
        <x:v>uncovered residual</x:v>
      </x:c>
      <x:c r="R46" s="45" t="str">
        <x:v>no</x:v>
      </x:c>
      <x:c r="S46" s="25" t="str">
        <x:v>none</x:v>
      </x:c>
      <x:c r="T46" s="25" t="str">
        <x:v>0</x:v>
      </x:c>
      <x:c r="U46" s="25" t="str">
        <x:v>not_applicable</x:v>
      </x:c>
      <x:c r="V46" s="25" t="str">
        <x:v>0</x:v>
      </x:c>
      <x:c r="W46" s="25" t="str">
        <x:v>0</x:v>
      </x:c>
      <x:c r="X46" s="25" t="str">
        <x:v>383825</x:v>
      </x:c>
      <x:c r="Y46" s="25" t="str">
        <x:v>0</x:v>
      </x:c>
      <x:c r="Z46" s="25" t="str">
        <x:v>not_modelled; leakage and replacement production pending</x:v>
      </x:c>
      <x:c r="AA46" s="25" t="str">
        <x:v>0</x:v>
      </x:c>
      <x:c r="AB46" s="25" t="str">
        <x:v>0</x:v>
      </x:c>
      <x:c r="AC46" s="25" t="str">
        <x:v>0</x:v>
      </x:c>
      <x:c r="AD46" s="37" t="str">
        <x:v>primary-route scope not established</x:v>
      </x:c>
      <x:c r="AE46" s="37" t="str">
        <x:v>not_assessed</x:v>
      </x:c>
      <x:c r="AF46" s="37" t="str">
        <x:v>not_applicable</x:v>
      </x:c>
      <x:c r="AG46" s="37" t="str">
        <x:v>not_applicable</x:v>
      </x:c>
      <x:c r="AH46" s="37" t="str">
        <x:v>Not_modelled</x:v>
      </x:c>
      <x:c r="AI46" s="37" t="str">
        <x:v>D</x:v>
      </x:c>
      <x:c r="AJ46" s="37" t="str">
        <x:v>LOTTE_ESG_2025|NA</x:v>
      </x:c>
      <x:c r="AK46" s="37" t="str">
        <x:v>Zero modelled capital and abatement; emissions retained in uncovered residual</x:v>
      </x:c>
      <x:c r="AL46" s="37" t="str">
        <x:v>Reported emissions retained; no transition result inferred.</x:v>
      </x:c>
    </x:row>
    <x:row r="47">
      <x:c r="A47" s="19" t="str">
        <x:v>LOTTE_CHEMICAL</x:v>
      </x:c>
      <x:c r="B47" s="19" t="str">
        <x:v>LOTTE Chemical Corporation</x:v>
      </x:c>
      <x:c r="C47" s="19" t="str">
        <x:v>KR_LOTTE_DAESAN</x:v>
      </x:c>
      <x:c r="D47" s="19" t="str">
        <x:v>Daesan Plant</x:v>
      </x:c>
      <x:c r="E47" s="19" t="str">
        <x:v>Korea</x:v>
      </x:c>
      <x:c r="F47" s="19" t="str">
        <x:v>petrochemicals</x:v>
      </x:c>
      <x:c r="G47" s="19" t="str">
        <x:v>CY2025</x:v>
      </x:c>
      <x:c r="H47" s="19" t="str">
        <x:v>low</x:v>
      </x:c>
      <x:c r="I47" s="19" t="str">
        <x:v>in</x:v>
      </x:c>
      <x:c r="J47" s="19" t="str">
        <x:v>Reported</x:v>
      </x:c>
      <x:c r="K47" s="25" t="str">
        <x:v>1888682</x:v>
      </x:c>
      <x:c r="L47" s="25" t="str">
        <x:v>petchem_electrified_cracker</x:v>
      </x:c>
      <x:c r="M47" s="25" t="str">
        <x:v>2040</x:v>
      </x:c>
      <x:c r="N47" s="25" t="str">
        <x:v>2035</x:v>
      </x:c>
      <x:c r="O47" s="45" t="str">
        <x:v>level-support-dependent</x:v>
      </x:c>
      <x:c r="P47" s="45" t="str">
        <x:v>screening placeholder; no full levelised-cost or support test</x:v>
      </x:c>
      <x:c r="Q47" s="45" t="str">
        <x:v>secure level support before commitment</x:v>
      </x:c>
      <x:c r="R47" s="45" t="str">
        <x:v>yes</x:v>
      </x:c>
      <x:c r="S47" s="25" t="str">
        <x:v>abatement</x:v>
      </x:c>
      <x:c r="T47" s="25" t="str">
        <x:v>200</x:v>
      </x:c>
      <x:c r="U47" s="25" t="str">
        <x:v>USD_2025/(tCO2 annual abatement)</x:v>
      </x:c>
      <x:c r="V47" s="25" t="str">
        <x:v>113320920</x:v>
      </x:c>
      <x:c r="W47" s="25" t="str">
        <x:v>0.3</x:v>
      </x:c>
      <x:c r="X47" s="25" t="str">
        <x:v>1322077.4</x:v>
      </x:c>
      <x:c r="Y47" s="25" t="str">
        <x:v>566604.6</x:v>
      </x:c>
      <x:c r="Z47" s="25" t="str">
        <x:v>not_modelled; leakage and replacement production pending</x:v>
      </x:c>
      <x:c r="AA47" s="25" t="str">
        <x:v>0</x:v>
      </x:c>
      <x:c r="AB47" s="25" t="str">
        <x:v>113320920</x:v>
      </x:c>
      <x:c r="AC47" s="25" t="str">
        <x:v>0</x:v>
      </x:c>
      <x:c r="AD47" s="37" t="str">
        <x:v>furnace coverage, clean-power connection and post-transaction ownership</x:v>
      </x:c>
      <x:c r="AE47" s="37" t="str">
        <x:v>electricity, technology cost and ownership</x:v>
      </x:c>
      <x:c r="AF47" s="37" t="str">
        <x:v>USD</x:v>
      </x:c>
      <x:c r="AG47" s="37" t="str">
        <x:v>2025</x:v>
      </x:c>
      <x:c r="AH47" s="37" t="str">
        <x:v>Modelled</x:v>
      </x:c>
      <x:c r="AI47" s="37" t="str">
        <x:v>D</x:v>
      </x:c>
      <x:c r="AJ47" s="37" t="str">
        <x:v>IEA_CTG_2026|IEA_PETCHEM_COST_2018|LOTTE_ESG_2025|MCI_WEST_JAPAN_2026|NA</x:v>
      </x:c>
      <x:c r="AK47" s="37" t="str">
        <x:v>Operational abatement equals reported case GHG times case reduction fraction; CAPEX equals operational abatement times analyst capital-per-annual-abatement proxy</x:v>
      </x:c>
      <x:c r="AL47" s="37" t="str">
        <x:v>Pre-2026 ownership baseline; ownership restructuring requires a separate scenario.</x:v>
      </x:c>
    </x:row>
    <x:row r="48">
      <x:c r="A48" s="19" t="str">
        <x:v>LOTTE_CHEMICAL</x:v>
      </x:c>
      <x:c r="B48" s="19" t="str">
        <x:v>LOTTE Chemical Corporation</x:v>
      </x:c>
      <x:c r="C48" s="19" t="str">
        <x:v>KR_LOTTE_DAESAN</x:v>
      </x:c>
      <x:c r="D48" s="19" t="str">
        <x:v>Daesan Plant</x:v>
      </x:c>
      <x:c r="E48" s="19" t="str">
        <x:v>Korea</x:v>
      </x:c>
      <x:c r="F48" s="19" t="str">
        <x:v>petrochemicals</x:v>
      </x:c>
      <x:c r="G48" s="19" t="str">
        <x:v>CY2025</x:v>
      </x:c>
      <x:c r="H48" s="19" t="str">
        <x:v>base</x:v>
      </x:c>
      <x:c r="I48" s="19" t="str">
        <x:v>in</x:v>
      </x:c>
      <x:c r="J48" s="19" t="str">
        <x:v>Reported</x:v>
      </x:c>
      <x:c r="K48" s="25" t="str">
        <x:v>1888682</x:v>
      </x:c>
      <x:c r="L48" s="25" t="str">
        <x:v>petchem_electrified_cracker</x:v>
      </x:c>
      <x:c r="M48" s="25" t="str">
        <x:v>2040</x:v>
      </x:c>
      <x:c r="N48" s="25" t="str">
        <x:v>2035</x:v>
      </x:c>
      <x:c r="O48" s="45" t="str">
        <x:v>level-support-dependent</x:v>
      </x:c>
      <x:c r="P48" s="45" t="str">
        <x:v>screening placeholder; no full levelised-cost or support test</x:v>
      </x:c>
      <x:c r="Q48" s="45" t="str">
        <x:v>secure level support before commitment</x:v>
      </x:c>
      <x:c r="R48" s="45" t="str">
        <x:v>yes</x:v>
      </x:c>
      <x:c r="S48" s="25" t="str">
        <x:v>abatement</x:v>
      </x:c>
      <x:c r="T48" s="25" t="str">
        <x:v>300</x:v>
      </x:c>
      <x:c r="U48" s="25" t="str">
        <x:v>USD_2025/(tCO2 annual abatement)</x:v>
      </x:c>
      <x:c r="V48" s="25" t="str">
        <x:v>283302300</x:v>
      </x:c>
      <x:c r="W48" s="25" t="str">
        <x:v>0.5</x:v>
      </x:c>
      <x:c r="X48" s="25" t="str">
        <x:v>944341</x:v>
      </x:c>
      <x:c r="Y48" s="25" t="str">
        <x:v>944341</x:v>
      </x:c>
      <x:c r="Z48" s="25" t="str">
        <x:v>not_modelled; leakage and replacement production pending</x:v>
      </x:c>
      <x:c r="AA48" s="25" t="str">
        <x:v>0</x:v>
      </x:c>
      <x:c r="AB48" s="25" t="str">
        <x:v>283302300</x:v>
      </x:c>
      <x:c r="AC48" s="25" t="str">
        <x:v>0</x:v>
      </x:c>
      <x:c r="AD48" s="37" t="str">
        <x:v>furnace coverage, clean-power connection and post-transaction ownership</x:v>
      </x:c>
      <x:c r="AE48" s="37" t="str">
        <x:v>electricity, technology cost and ownership</x:v>
      </x:c>
      <x:c r="AF48" s="37" t="str">
        <x:v>USD</x:v>
      </x:c>
      <x:c r="AG48" s="37" t="str">
        <x:v>2025</x:v>
      </x:c>
      <x:c r="AH48" s="37" t="str">
        <x:v>Modelled</x:v>
      </x:c>
      <x:c r="AI48" s="37" t="str">
        <x:v>D</x:v>
      </x:c>
      <x:c r="AJ48" s="37" t="str">
        <x:v>IEA_CTG_2026|IEA_PETCHEM_COST_2018|LOTTE_ESG_2025|MCI_WEST_JAPAN_2026|NA</x:v>
      </x:c>
      <x:c r="AK48" s="37" t="str">
        <x:v>Operational abatement equals reported case GHG times case reduction fraction; CAPEX equals operational abatement times analyst capital-per-annual-abatement proxy</x:v>
      </x:c>
      <x:c r="AL48" s="37" t="str">
        <x:v>Pre-2026 ownership baseline; ownership restructuring requires a separate scenario.</x:v>
      </x:c>
    </x:row>
    <x:row r="49">
      <x:c r="A49" s="19" t="str">
        <x:v>LOTTE_CHEMICAL</x:v>
      </x:c>
      <x:c r="B49" s="19" t="str">
        <x:v>LOTTE Chemical Corporation</x:v>
      </x:c>
      <x:c r="C49" s="19" t="str">
        <x:v>KR_LOTTE_DAESAN</x:v>
      </x:c>
      <x:c r="D49" s="19" t="str">
        <x:v>Daesan Plant</x:v>
      </x:c>
      <x:c r="E49" s="19" t="str">
        <x:v>Korea</x:v>
      </x:c>
      <x:c r="F49" s="19" t="str">
        <x:v>petrochemicals</x:v>
      </x:c>
      <x:c r="G49" s="19" t="str">
        <x:v>CY2025</x:v>
      </x:c>
      <x:c r="H49" s="19" t="str">
        <x:v>high</x:v>
      </x:c>
      <x:c r="I49" s="19" t="str">
        <x:v>in</x:v>
      </x:c>
      <x:c r="J49" s="19" t="str">
        <x:v>Reported</x:v>
      </x:c>
      <x:c r="K49" s="25" t="str">
        <x:v>1888682</x:v>
      </x:c>
      <x:c r="L49" s="25" t="str">
        <x:v>petchem_electrified_cracker</x:v>
      </x:c>
      <x:c r="M49" s="25" t="str">
        <x:v>2040</x:v>
      </x:c>
      <x:c r="N49" s="25" t="str">
        <x:v>2035</x:v>
      </x:c>
      <x:c r="O49" s="45" t="str">
        <x:v>level-support-dependent</x:v>
      </x:c>
      <x:c r="P49" s="45" t="str">
        <x:v>screening placeholder; no full levelised-cost or support test</x:v>
      </x:c>
      <x:c r="Q49" s="45" t="str">
        <x:v>secure level support before commitment</x:v>
      </x:c>
      <x:c r="R49" s="45" t="str">
        <x:v>yes</x:v>
      </x:c>
      <x:c r="S49" s="25" t="str">
        <x:v>abatement</x:v>
      </x:c>
      <x:c r="T49" s="25" t="str">
        <x:v>500</x:v>
      </x:c>
      <x:c r="U49" s="25" t="str">
        <x:v>USD_2025/(tCO2 annual abatement)</x:v>
      </x:c>
      <x:c r="V49" s="25" t="str">
        <x:v>661038700</x:v>
      </x:c>
      <x:c r="W49" s="25" t="str">
        <x:v>0.7</x:v>
      </x:c>
      <x:c r="X49" s="25" t="str">
        <x:v>566604.6</x:v>
      </x:c>
      <x:c r="Y49" s="25" t="str">
        <x:v>1322077.4</x:v>
      </x:c>
      <x:c r="Z49" s="25" t="str">
        <x:v>not_modelled; leakage and replacement production pending</x:v>
      </x:c>
      <x:c r="AA49" s="25" t="str">
        <x:v>0</x:v>
      </x:c>
      <x:c r="AB49" s="25" t="str">
        <x:v>661038700</x:v>
      </x:c>
      <x:c r="AC49" s="25" t="str">
        <x:v>0</x:v>
      </x:c>
      <x:c r="AD49" s="37" t="str">
        <x:v>furnace coverage, clean-power connection and post-transaction ownership</x:v>
      </x:c>
      <x:c r="AE49" s="37" t="str">
        <x:v>electricity, technology cost and ownership</x:v>
      </x:c>
      <x:c r="AF49" s="37" t="str">
        <x:v>USD</x:v>
      </x:c>
      <x:c r="AG49" s="37" t="str">
        <x:v>2025</x:v>
      </x:c>
      <x:c r="AH49" s="37" t="str">
        <x:v>Modelled</x:v>
      </x:c>
      <x:c r="AI49" s="37" t="str">
        <x:v>D</x:v>
      </x:c>
      <x:c r="AJ49" s="37" t="str">
        <x:v>IEA_CTG_2026|IEA_PETCHEM_COST_2018|LOTTE_ESG_2025|MCI_WEST_JAPAN_2026|NA</x:v>
      </x:c>
      <x:c r="AK49" s="37" t="str">
        <x:v>Operational abatement equals reported case GHG times case reduction fraction; CAPEX equals operational abatement times analyst capital-per-annual-abatement proxy</x:v>
      </x:c>
      <x:c r="AL49" s="37" t="str">
        <x:v>Pre-2026 ownership baseline; ownership restructuring requires a separate scenario.</x:v>
      </x:c>
    </x:row>
    <x:row r="50">
      <x:c r="A50" s="19" t="str">
        <x:v>LOTTE_CHEMICAL</x:v>
      </x:c>
      <x:c r="B50" s="19" t="str">
        <x:v>LOTTE Chemical Corporation</x:v>
      </x:c>
      <x:c r="C50" s="19" t="str">
        <x:v>KR_LOTTE_ULSAN</x:v>
      </x:c>
      <x:c r="D50" s="19" t="str">
        <x:v>Ulsan Plant</x:v>
      </x:c>
      <x:c r="E50" s="19" t="str">
        <x:v>Korea</x:v>
      </x:c>
      <x:c r="F50" s="19" t="str">
        <x:v>petrochemicals</x:v>
      </x:c>
      <x:c r="G50" s="19" t="str">
        <x:v>CY2025</x:v>
      </x:c>
      <x:c r="H50" s="19" t="str">
        <x:v>low</x:v>
      </x:c>
      <x:c r="I50" s="19" t="str">
        <x:v>in</x:v>
      </x:c>
      <x:c r="J50" s="19" t="str">
        <x:v>Reported</x:v>
      </x:c>
      <x:c r="K50" s="25" t="str">
        <x:v>497434</x:v>
      </x:c>
      <x:c r="L50" s="25" t="str">
        <x:v>petchem_electrified_cracker</x:v>
      </x:c>
      <x:c r="M50" s="25" t="str">
        <x:v>2040</x:v>
      </x:c>
      <x:c r="N50" s="25" t="str">
        <x:v>2035</x:v>
      </x:c>
      <x:c r="O50" s="45" t="str">
        <x:v>level-support-dependent</x:v>
      </x:c>
      <x:c r="P50" s="45" t="str">
        <x:v>screening placeholder; no full levelised-cost or support test</x:v>
      </x:c>
      <x:c r="Q50" s="45" t="str">
        <x:v>secure level support before commitment</x:v>
      </x:c>
      <x:c r="R50" s="45" t="str">
        <x:v>yes</x:v>
      </x:c>
      <x:c r="S50" s="25" t="str">
        <x:v>abatement</x:v>
      </x:c>
      <x:c r="T50" s="25" t="str">
        <x:v>200</x:v>
      </x:c>
      <x:c r="U50" s="25" t="str">
        <x:v>USD_2025/(tCO2 annual abatement)</x:v>
      </x:c>
      <x:c r="V50" s="25" t="str">
        <x:v>29846040</x:v>
      </x:c>
      <x:c r="W50" s="25" t="str">
        <x:v>0.3</x:v>
      </x:c>
      <x:c r="X50" s="25" t="str">
        <x:v>348203.8</x:v>
      </x:c>
      <x:c r="Y50" s="25" t="str">
        <x:v>149230.2</x:v>
      </x:c>
      <x:c r="Z50" s="25" t="str">
        <x:v>not_modelled; leakage and replacement production pending</x:v>
      </x:c>
      <x:c r="AA50" s="25" t="str">
        <x:v>0</x:v>
      </x:c>
      <x:c r="AB50" s="25" t="str">
        <x:v>29846040</x:v>
      </x:c>
      <x:c r="AC50" s="25" t="str">
        <x:v>0</x:v>
      </x:c>
      <x:c r="AD50" s="37" t="str">
        <x:v>process boundary and clean-power connection</x:v>
      </x:c>
      <x:c r="AE50" s="37" t="str">
        <x:v>electricity and technology cost</x:v>
      </x:c>
      <x:c r="AF50" s="37" t="str">
        <x:v>USD</x:v>
      </x:c>
      <x:c r="AG50" s="37" t="str">
        <x:v>2025</x:v>
      </x:c>
      <x:c r="AH50" s="37" t="str">
        <x:v>Modelled</x:v>
      </x:c>
      <x:c r="AI50" s="37" t="str">
        <x:v>D</x:v>
      </x:c>
      <x:c r="AJ50" s="37" t="str">
        <x:v>IEA_CTG_2026|IEA_PETCHEM_COST_2018|LOTTE_ESG_2025|MCI_WEST_JAPAN_2026|NA</x:v>
      </x:c>
      <x:c r="AK50" s="37" t="str">
        <x:v>Operational abatement equals reported case GHG times case reduction fraction; CAPEX equals operational abatement times analyst capital-per-annual-abatement proxy</x:v>
      </x:c>
      <x:c r="AL50" s="37" t="str">
        <x:v>Aromatics/downstream route fit is provisional.</x:v>
      </x:c>
    </x:row>
    <x:row r="51">
      <x:c r="A51" s="19" t="str">
        <x:v>LOTTE_CHEMICAL</x:v>
      </x:c>
      <x:c r="B51" s="19" t="str">
        <x:v>LOTTE Chemical Corporation</x:v>
      </x:c>
      <x:c r="C51" s="19" t="str">
        <x:v>KR_LOTTE_ULSAN</x:v>
      </x:c>
      <x:c r="D51" s="19" t="str">
        <x:v>Ulsan Plant</x:v>
      </x:c>
      <x:c r="E51" s="19" t="str">
        <x:v>Korea</x:v>
      </x:c>
      <x:c r="F51" s="19" t="str">
        <x:v>petrochemicals</x:v>
      </x:c>
      <x:c r="G51" s="19" t="str">
        <x:v>CY2025</x:v>
      </x:c>
      <x:c r="H51" s="19" t="str">
        <x:v>base</x:v>
      </x:c>
      <x:c r="I51" s="19" t="str">
        <x:v>in</x:v>
      </x:c>
      <x:c r="J51" s="19" t="str">
        <x:v>Reported</x:v>
      </x:c>
      <x:c r="K51" s="25" t="str">
        <x:v>497434</x:v>
      </x:c>
      <x:c r="L51" s="25" t="str">
        <x:v>petchem_electrified_cracker</x:v>
      </x:c>
      <x:c r="M51" s="25" t="str">
        <x:v>2040</x:v>
      </x:c>
      <x:c r="N51" s="25" t="str">
        <x:v>2035</x:v>
      </x:c>
      <x:c r="O51" s="45" t="str">
        <x:v>level-support-dependent</x:v>
      </x:c>
      <x:c r="P51" s="45" t="str">
        <x:v>screening placeholder; no full levelised-cost or support test</x:v>
      </x:c>
      <x:c r="Q51" s="45" t="str">
        <x:v>secure level support before commitment</x:v>
      </x:c>
      <x:c r="R51" s="45" t="str">
        <x:v>yes</x:v>
      </x:c>
      <x:c r="S51" s="25" t="str">
        <x:v>abatement</x:v>
      </x:c>
      <x:c r="T51" s="25" t="str">
        <x:v>300</x:v>
      </x:c>
      <x:c r="U51" s="25" t="str">
        <x:v>USD_2025/(tCO2 annual abatement)</x:v>
      </x:c>
      <x:c r="V51" s="25" t="str">
        <x:v>74615100</x:v>
      </x:c>
      <x:c r="W51" s="25" t="str">
        <x:v>0.5</x:v>
      </x:c>
      <x:c r="X51" s="25" t="str">
        <x:v>248717</x:v>
      </x:c>
      <x:c r="Y51" s="25" t="str">
        <x:v>248717</x:v>
      </x:c>
      <x:c r="Z51" s="25" t="str">
        <x:v>not_modelled; leakage and replacement production pending</x:v>
      </x:c>
      <x:c r="AA51" s="25" t="str">
        <x:v>0</x:v>
      </x:c>
      <x:c r="AB51" s="25" t="str">
        <x:v>74615100</x:v>
      </x:c>
      <x:c r="AC51" s="25" t="str">
        <x:v>0</x:v>
      </x:c>
      <x:c r="AD51" s="37" t="str">
        <x:v>process boundary and clean-power connection</x:v>
      </x:c>
      <x:c r="AE51" s="37" t="str">
        <x:v>electricity and technology cost</x:v>
      </x:c>
      <x:c r="AF51" s="37" t="str">
        <x:v>USD</x:v>
      </x:c>
      <x:c r="AG51" s="37" t="str">
        <x:v>2025</x:v>
      </x:c>
      <x:c r="AH51" s="37" t="str">
        <x:v>Modelled</x:v>
      </x:c>
      <x:c r="AI51" s="37" t="str">
        <x:v>D</x:v>
      </x:c>
      <x:c r="AJ51" s="37" t="str">
        <x:v>IEA_CTG_2026|IEA_PETCHEM_COST_2018|LOTTE_ESG_2025|MCI_WEST_JAPAN_2026|NA</x:v>
      </x:c>
      <x:c r="AK51" s="37" t="str">
        <x:v>Operational abatement equals reported case GHG times case reduction fraction; CAPEX equals operational abatement times analyst capital-per-annual-abatement proxy</x:v>
      </x:c>
      <x:c r="AL51" s="37" t="str">
        <x:v>Aromatics/downstream route fit is provisional.</x:v>
      </x:c>
    </x:row>
    <x:row r="52">
      <x:c r="A52" s="19" t="str">
        <x:v>LOTTE_CHEMICAL</x:v>
      </x:c>
      <x:c r="B52" s="19" t="str">
        <x:v>LOTTE Chemical Corporation</x:v>
      </x:c>
      <x:c r="C52" s="19" t="str">
        <x:v>KR_LOTTE_ULSAN</x:v>
      </x:c>
      <x:c r="D52" s="19" t="str">
        <x:v>Ulsan Plant</x:v>
      </x:c>
      <x:c r="E52" s="19" t="str">
        <x:v>Korea</x:v>
      </x:c>
      <x:c r="F52" s="19" t="str">
        <x:v>petrochemicals</x:v>
      </x:c>
      <x:c r="G52" s="19" t="str">
        <x:v>CY2025</x:v>
      </x:c>
      <x:c r="H52" s="19" t="str">
        <x:v>high</x:v>
      </x:c>
      <x:c r="I52" s="19" t="str">
        <x:v>in</x:v>
      </x:c>
      <x:c r="J52" s="19" t="str">
        <x:v>Reported</x:v>
      </x:c>
      <x:c r="K52" s="25" t="str">
        <x:v>497434</x:v>
      </x:c>
      <x:c r="L52" s="25" t="str">
        <x:v>petchem_electrified_cracker</x:v>
      </x:c>
      <x:c r="M52" s="25" t="str">
        <x:v>2040</x:v>
      </x:c>
      <x:c r="N52" s="25" t="str">
        <x:v>2035</x:v>
      </x:c>
      <x:c r="O52" s="45" t="str">
        <x:v>level-support-dependent</x:v>
      </x:c>
      <x:c r="P52" s="45" t="str">
        <x:v>screening placeholder; no full levelised-cost or support test</x:v>
      </x:c>
      <x:c r="Q52" s="45" t="str">
        <x:v>secure level support before commitment</x:v>
      </x:c>
      <x:c r="R52" s="45" t="str">
        <x:v>yes</x:v>
      </x:c>
      <x:c r="S52" s="25" t="str">
        <x:v>abatement</x:v>
      </x:c>
      <x:c r="T52" s="25" t="str">
        <x:v>500</x:v>
      </x:c>
      <x:c r="U52" s="25" t="str">
        <x:v>USD_2025/(tCO2 annual abatement)</x:v>
      </x:c>
      <x:c r="V52" s="25" t="str">
        <x:v>174101900</x:v>
      </x:c>
      <x:c r="W52" s="25" t="str">
        <x:v>0.7</x:v>
      </x:c>
      <x:c r="X52" s="25" t="str">
        <x:v>149230.2</x:v>
      </x:c>
      <x:c r="Y52" s="25" t="str">
        <x:v>348203.8</x:v>
      </x:c>
      <x:c r="Z52" s="25" t="str">
        <x:v>not_modelled; leakage and replacement production pending</x:v>
      </x:c>
      <x:c r="AA52" s="25" t="str">
        <x:v>0</x:v>
      </x:c>
      <x:c r="AB52" s="25" t="str">
        <x:v>174101900</x:v>
      </x:c>
      <x:c r="AC52" s="25" t="str">
        <x:v>0</x:v>
      </x:c>
      <x:c r="AD52" s="37" t="str">
        <x:v>process boundary and clean-power connection</x:v>
      </x:c>
      <x:c r="AE52" s="37" t="str">
        <x:v>electricity and technology cost</x:v>
      </x:c>
      <x:c r="AF52" s="37" t="str">
        <x:v>USD</x:v>
      </x:c>
      <x:c r="AG52" s="37" t="str">
        <x:v>2025</x:v>
      </x:c>
      <x:c r="AH52" s="37" t="str">
        <x:v>Modelled</x:v>
      </x:c>
      <x:c r="AI52" s="37" t="str">
        <x:v>D</x:v>
      </x:c>
      <x:c r="AJ52" s="37" t="str">
        <x:v>IEA_CTG_2026|IEA_PETCHEM_COST_2018|LOTTE_ESG_2025|MCI_WEST_JAPAN_2026|NA</x:v>
      </x:c>
      <x:c r="AK52" s="37" t="str">
        <x:v>Operational abatement equals reported case GHG times case reduction fraction; CAPEX equals operational abatement times analyst capital-per-annual-abatement proxy</x:v>
      </x:c>
      <x:c r="AL52" s="37" t="str">
        <x:v>Aromatics/downstream route fit is provisional.</x:v>
      </x:c>
    </x:row>
    <x:row r="53">
      <x:c r="A53" s="19" t="str">
        <x:v>LOTTE_CHEMICAL</x:v>
      </x:c>
      <x:c r="B53" s="19" t="str">
        <x:v>LOTTE Chemical Corporation</x:v>
      </x:c>
      <x:c r="C53" s="19" t="str">
        <x:v>KR_LOTTE_OTHER</x:v>
      </x:c>
      <x:c r="D53" s="19" t="str">
        <x:v>Other parent-company sites</x:v>
      </x:c>
      <x:c r="E53" s="19" t="str">
        <x:v>Korea</x:v>
      </x:c>
      <x:c r="F53" s="19" t="str">
        <x:v>petrochemicals</x:v>
      </x:c>
      <x:c r="G53" s="19" t="str">
        <x:v>CY2025</x:v>
      </x:c>
      <x:c r="H53" s="19" t="str">
        <x:v>low</x:v>
      </x:c>
      <x:c r="I53" s="19" t="str">
        <x:v>out</x:v>
      </x:c>
      <x:c r="J53" s="19" t="str">
        <x:v>Reported</x:v>
      </x:c>
      <x:c r="K53" s="25" t="str">
        <x:v>9811</x:v>
      </x:c>
      <x:c r="L53" s="25" t="str">
        <x:v>not_modelled_data_gap</x:v>
      </x:c>
      <x:c r="M53" s="25" t="str">
        <x:v>NA</x:v>
      </x:c>
      <x:c r="N53" s="25" t="str">
        <x:v>NA</x:v>
      </x:c>
      <x:c r="O53" s="45" t="str">
        <x:v>not_modelled</x:v>
      </x:c>
      <x:c r="P53" s="45" t="str">
        <x:v>Outside primary route scope in seed inventory</x:v>
      </x:c>
      <x:c r="Q53" s="45" t="str">
        <x:v>uncovered residual</x:v>
      </x:c>
      <x:c r="R53" s="45" t="str">
        <x:v>no</x:v>
      </x:c>
      <x:c r="S53" s="25" t="str">
        <x:v>none</x:v>
      </x:c>
      <x:c r="T53" s="25" t="str">
        <x:v>0</x:v>
      </x:c>
      <x:c r="U53" s="25" t="str">
        <x:v>not_applicable</x:v>
      </x:c>
      <x:c r="V53" s="25" t="str">
        <x:v>0</x:v>
      </x:c>
      <x:c r="W53" s="25" t="str">
        <x:v>0</x:v>
      </x:c>
      <x:c r="X53" s="25" t="str">
        <x:v>9811</x:v>
      </x:c>
      <x:c r="Y53" s="25" t="str">
        <x:v>0</x:v>
      </x:c>
      <x:c r="Z53" s="25" t="str">
        <x:v>not_modelled; leakage and replacement production pending</x:v>
      </x:c>
      <x:c r="AA53" s="25" t="str">
        <x:v>0</x:v>
      </x:c>
      <x:c r="AB53" s="25" t="str">
        <x:v>0</x:v>
      </x:c>
      <x:c r="AC53" s="25" t="str">
        <x:v>0</x:v>
      </x:c>
      <x:c r="AD53" s="37" t="str">
        <x:v>facility identity and route not resolved</x:v>
      </x:c>
      <x:c r="AE53" s="37" t="str">
        <x:v>not_assessed</x:v>
      </x:c>
      <x:c r="AF53" s="37" t="str">
        <x:v>not_applicable</x:v>
      </x:c>
      <x:c r="AG53" s="37" t="str">
        <x:v>not_applicable</x:v>
      </x:c>
      <x:c r="AH53" s="37" t="str">
        <x:v>Not_modelled</x:v>
      </x:c>
      <x:c r="AI53" s="37" t="str">
        <x:v>D</x:v>
      </x:c>
      <x:c r="AJ53" s="37" t="str">
        <x:v>LOTTE_ESG_2025|NA</x:v>
      </x:c>
      <x:c r="AK53" s="37" t="str">
        <x:v>Zero modelled capital and abatement; emissions retained in uncovered residual</x:v>
      </x:c>
      <x:c r="AL53" s="37" t="str">
        <x:v>Reported emissions retained; no transition result inferred.</x:v>
      </x:c>
    </x:row>
    <x:row r="54">
      <x:c r="A54" s="19" t="str">
        <x:v>LOTTE_CHEMICAL</x:v>
      </x:c>
      <x:c r="B54" s="19" t="str">
        <x:v>LOTTE Chemical Corporation</x:v>
      </x:c>
      <x:c r="C54" s="19" t="str">
        <x:v>KR_LOTTE_OTHER</x:v>
      </x:c>
      <x:c r="D54" s="19" t="str">
        <x:v>Other parent-company sites</x:v>
      </x:c>
      <x:c r="E54" s="19" t="str">
        <x:v>Korea</x:v>
      </x:c>
      <x:c r="F54" s="19" t="str">
        <x:v>petrochemicals</x:v>
      </x:c>
      <x:c r="G54" s="19" t="str">
        <x:v>CY2025</x:v>
      </x:c>
      <x:c r="H54" s="19" t="str">
        <x:v>base</x:v>
      </x:c>
      <x:c r="I54" s="19" t="str">
        <x:v>out</x:v>
      </x:c>
      <x:c r="J54" s="19" t="str">
        <x:v>Reported</x:v>
      </x:c>
      <x:c r="K54" s="25" t="str">
        <x:v>9811</x:v>
      </x:c>
      <x:c r="L54" s="25" t="str">
        <x:v>not_modelled_data_gap</x:v>
      </x:c>
      <x:c r="M54" s="25" t="str">
        <x:v>NA</x:v>
      </x:c>
      <x:c r="N54" s="25" t="str">
        <x:v>NA</x:v>
      </x:c>
      <x:c r="O54" s="45" t="str">
        <x:v>not_modelled</x:v>
      </x:c>
      <x:c r="P54" s="45" t="str">
        <x:v>Outside primary route scope in seed inventory</x:v>
      </x:c>
      <x:c r="Q54" s="45" t="str">
        <x:v>uncovered residual</x:v>
      </x:c>
      <x:c r="R54" s="45" t="str">
        <x:v>no</x:v>
      </x:c>
      <x:c r="S54" s="25" t="str">
        <x:v>none</x:v>
      </x:c>
      <x:c r="T54" s="25" t="str">
        <x:v>0</x:v>
      </x:c>
      <x:c r="U54" s="25" t="str">
        <x:v>not_applicable</x:v>
      </x:c>
      <x:c r="V54" s="25" t="str">
        <x:v>0</x:v>
      </x:c>
      <x:c r="W54" s="25" t="str">
        <x:v>0</x:v>
      </x:c>
      <x:c r="X54" s="25" t="str">
        <x:v>9811</x:v>
      </x:c>
      <x:c r="Y54" s="25" t="str">
        <x:v>0</x:v>
      </x:c>
      <x:c r="Z54" s="25" t="str">
        <x:v>not_modelled; leakage and replacement production pending</x:v>
      </x:c>
      <x:c r="AA54" s="25" t="str">
        <x:v>0</x:v>
      </x:c>
      <x:c r="AB54" s="25" t="str">
        <x:v>0</x:v>
      </x:c>
      <x:c r="AC54" s="25" t="str">
        <x:v>0</x:v>
      </x:c>
      <x:c r="AD54" s="37" t="str">
        <x:v>facility identity and route not resolved</x:v>
      </x:c>
      <x:c r="AE54" s="37" t="str">
        <x:v>not_assessed</x:v>
      </x:c>
      <x:c r="AF54" s="37" t="str">
        <x:v>not_applicable</x:v>
      </x:c>
      <x:c r="AG54" s="37" t="str">
        <x:v>not_applicable</x:v>
      </x:c>
      <x:c r="AH54" s="37" t="str">
        <x:v>Not_modelled</x:v>
      </x:c>
      <x:c r="AI54" s="37" t="str">
        <x:v>D</x:v>
      </x:c>
      <x:c r="AJ54" s="37" t="str">
        <x:v>LOTTE_ESG_2025|NA</x:v>
      </x:c>
      <x:c r="AK54" s="37" t="str">
        <x:v>Zero modelled capital and abatement; emissions retained in uncovered residual</x:v>
      </x:c>
      <x:c r="AL54" s="37" t="str">
        <x:v>Reported emissions retained; no transition result inferred.</x:v>
      </x:c>
    </x:row>
    <x:row r="55">
      <x:c r="A55" s="19" t="str">
        <x:v>LOTTE_CHEMICAL</x:v>
      </x:c>
      <x:c r="B55" s="19" t="str">
        <x:v>LOTTE Chemical Corporation</x:v>
      </x:c>
      <x:c r="C55" s="19" t="str">
        <x:v>KR_LOTTE_OTHER</x:v>
      </x:c>
      <x:c r="D55" s="19" t="str">
        <x:v>Other parent-company sites</x:v>
      </x:c>
      <x:c r="E55" s="19" t="str">
        <x:v>Korea</x:v>
      </x:c>
      <x:c r="F55" s="19" t="str">
        <x:v>petrochemicals</x:v>
      </x:c>
      <x:c r="G55" s="19" t="str">
        <x:v>CY2025</x:v>
      </x:c>
      <x:c r="H55" s="19" t="str">
        <x:v>high</x:v>
      </x:c>
      <x:c r="I55" s="19" t="str">
        <x:v>out</x:v>
      </x:c>
      <x:c r="J55" s="19" t="str">
        <x:v>Reported</x:v>
      </x:c>
      <x:c r="K55" s="25" t="str">
        <x:v>9811</x:v>
      </x:c>
      <x:c r="L55" s="25" t="str">
        <x:v>not_modelled_data_gap</x:v>
      </x:c>
      <x:c r="M55" s="25" t="str">
        <x:v>NA</x:v>
      </x:c>
      <x:c r="N55" s="25" t="str">
        <x:v>NA</x:v>
      </x:c>
      <x:c r="O55" s="45" t="str">
        <x:v>not_modelled</x:v>
      </x:c>
      <x:c r="P55" s="45" t="str">
        <x:v>Outside primary route scope in seed inventory</x:v>
      </x:c>
      <x:c r="Q55" s="45" t="str">
        <x:v>uncovered residual</x:v>
      </x:c>
      <x:c r="R55" s="45" t="str">
        <x:v>no</x:v>
      </x:c>
      <x:c r="S55" s="25" t="str">
        <x:v>none</x:v>
      </x:c>
      <x:c r="T55" s="25" t="str">
        <x:v>0</x:v>
      </x:c>
      <x:c r="U55" s="25" t="str">
        <x:v>not_applicable</x:v>
      </x:c>
      <x:c r="V55" s="25" t="str">
        <x:v>0</x:v>
      </x:c>
      <x:c r="W55" s="25" t="str">
        <x:v>0</x:v>
      </x:c>
      <x:c r="X55" s="25" t="str">
        <x:v>9811</x:v>
      </x:c>
      <x:c r="Y55" s="25" t="str">
        <x:v>0</x:v>
      </x:c>
      <x:c r="Z55" s="25" t="str">
        <x:v>not_modelled; leakage and replacement production pending</x:v>
      </x:c>
      <x:c r="AA55" s="25" t="str">
        <x:v>0</x:v>
      </x:c>
      <x:c r="AB55" s="25" t="str">
        <x:v>0</x:v>
      </x:c>
      <x:c r="AC55" s="25" t="str">
        <x:v>0</x:v>
      </x:c>
      <x:c r="AD55" s="37" t="str">
        <x:v>facility identity and route not resolved</x:v>
      </x:c>
      <x:c r="AE55" s="37" t="str">
        <x:v>not_assessed</x:v>
      </x:c>
      <x:c r="AF55" s="37" t="str">
        <x:v>not_applicable</x:v>
      </x:c>
      <x:c r="AG55" s="37" t="str">
        <x:v>not_applicable</x:v>
      </x:c>
      <x:c r="AH55" s="37" t="str">
        <x:v>Not_modelled</x:v>
      </x:c>
      <x:c r="AI55" s="37" t="str">
        <x:v>D</x:v>
      </x:c>
      <x:c r="AJ55" s="37" t="str">
        <x:v>LOTTE_ESG_2025|NA</x:v>
      </x:c>
      <x:c r="AK55" s="37" t="str">
        <x:v>Zero modelled capital and abatement; emissions retained in uncovered residual</x:v>
      </x:c>
      <x:c r="AL55" s="37" t="str">
        <x:v>Reported emissions retained; no transition result inferred.</x:v>
      </x:c>
    </x:row>
    <x:row r="56">
      <x:c r="A56" s="19" t="str">
        <x:v>MITSUI_CHEMICALS</x:v>
      </x:c>
      <x:c r="B56" s="19" t="str">
        <x:v>Mitsui Chemicals, Inc.</x:v>
      </x:c>
      <x:c r="C56" s="19" t="str">
        <x:v>JP_MCI_ICHIHARA</x:v>
      </x:c>
      <x:c r="D56" s="19" t="str">
        <x:v>Ichihara Works</x:v>
      </x:c>
      <x:c r="E56" s="19" t="str">
        <x:v>Japan</x:v>
      </x:c>
      <x:c r="F56" s="19" t="str">
        <x:v>petrochemicals</x:v>
      </x:c>
      <x:c r="G56" s="19" t="str">
        <x:v>FY2024</x:v>
      </x:c>
      <x:c r="H56" s="19" t="str">
        <x:v>low</x:v>
      </x:c>
      <x:c r="I56" s="19" t="str">
        <x:v>in</x:v>
      </x:c>
      <x:c r="J56" s="19" t="str">
        <x:v>Allocated</x:v>
      </x:c>
      <x:c r="K56" s="25" t="str">
        <x:v>967250</x:v>
      </x:c>
      <x:c r="L56" s="25" t="str">
        <x:v>petchem_electrified_cracker</x:v>
      </x:c>
      <x:c r="M56" s="25" t="str">
        <x:v>2040</x:v>
      </x:c>
      <x:c r="N56" s="25" t="str">
        <x:v>2035</x:v>
      </x:c>
      <x:c r="O56" s="45" t="str">
        <x:v>level-support-dependent</x:v>
      </x:c>
      <x:c r="P56" s="45" t="str">
        <x:v>screening placeholder; no full levelised-cost or support test</x:v>
      </x:c>
      <x:c r="Q56" s="45" t="str">
        <x:v>secure level support before commitment</x:v>
      </x:c>
      <x:c r="R56" s="45" t="str">
        <x:v>yes</x:v>
      </x:c>
      <x:c r="S56" s="25" t="str">
        <x:v>abatement</x:v>
      </x:c>
      <x:c r="T56" s="25" t="str">
        <x:v>200</x:v>
      </x:c>
      <x:c r="U56" s="25" t="str">
        <x:v>USD_2025/(tCO2 annual abatement)</x:v>
      </x:c>
      <x:c r="V56" s="25" t="str">
        <x:v>58035000</x:v>
      </x:c>
      <x:c r="W56" s="25" t="str">
        <x:v>0.3</x:v>
      </x:c>
      <x:c r="X56" s="25" t="str">
        <x:v>677075</x:v>
      </x:c>
      <x:c r="Y56" s="25" t="str">
        <x:v>290175</x:v>
      </x:c>
      <x:c r="Z56" s="25" t="str">
        <x:v>not_modelled; leakage and replacement production pending</x:v>
      </x:c>
      <x:c r="AA56" s="25" t="str">
        <x:v>0</x:v>
      </x:c>
      <x:c r="AB56" s="25" t="str">
        <x:v>58035000</x:v>
      </x:c>
      <x:c r="AC56" s="25" t="str">
        <x:v>0</x:v>
      </x:c>
      <x:c r="AD56" s="37" t="str">
        <x:v>cracker attribution, furnace coverage and clean-power connection</x:v>
      </x:c>
      <x:c r="AE56" s="37" t="str">
        <x:v>electricity and technology cost</x:v>
      </x:c>
      <x:c r="AF56" s="37" t="str">
        <x:v>USD</x:v>
      </x:c>
      <x:c r="AG56" s="37" t="str">
        <x:v>2025</x:v>
      </x:c>
      <x:c r="AH56" s="37" t="str">
        <x:v>Modelled</x:v>
      </x:c>
      <x:c r="AI56" s="37" t="str">
        <x:v>D</x:v>
      </x:c>
      <x:c r="AJ56" s="37" t="str">
        <x:v>IEA_CTG_2026|IEA_PETCHEM_COST_2018|MCI_ESG_2025|MCI_WEST_JAPAN_2026|MCI_WORKS_2026|NA</x:v>
      </x:c>
      <x:c r="AK56" s="37" t="str">
        <x:v>Operational abatement equals allocated case GHG times case reduction fraction; CAPEX equals operational abatement times analyst capital-per-annual-abatement proxy</x:v>
      </x:c>
      <x:c r="AL56" s="37" t="str">
        <x:v>Facility emissions are allocated from parent total; result is screening-only.</x:v>
      </x:c>
    </x:row>
    <x:row r="57">
      <x:c r="A57" s="19" t="str">
        <x:v>MITSUI_CHEMICALS</x:v>
      </x:c>
      <x:c r="B57" s="19" t="str">
        <x:v>Mitsui Chemicals, Inc.</x:v>
      </x:c>
      <x:c r="C57" s="19" t="str">
        <x:v>JP_MCI_ICHIHARA</x:v>
      </x:c>
      <x:c r="D57" s="19" t="str">
        <x:v>Ichihara Works</x:v>
      </x:c>
      <x:c r="E57" s="19" t="str">
        <x:v>Japan</x:v>
      </x:c>
      <x:c r="F57" s="19" t="str">
        <x:v>petrochemicals</x:v>
      </x:c>
      <x:c r="G57" s="19" t="str">
        <x:v>FY2024</x:v>
      </x:c>
      <x:c r="H57" s="19" t="str">
        <x:v>base</x:v>
      </x:c>
      <x:c r="I57" s="19" t="str">
        <x:v>in</x:v>
      </x:c>
      <x:c r="J57" s="19" t="str">
        <x:v>Allocated</x:v>
      </x:c>
      <x:c r="K57" s="25" t="str">
        <x:v>1238080</x:v>
      </x:c>
      <x:c r="L57" s="25" t="str">
        <x:v>petchem_electrified_cracker</x:v>
      </x:c>
      <x:c r="M57" s="25" t="str">
        <x:v>2040</x:v>
      </x:c>
      <x:c r="N57" s="25" t="str">
        <x:v>2035</x:v>
      </x:c>
      <x:c r="O57" s="45" t="str">
        <x:v>level-support-dependent</x:v>
      </x:c>
      <x:c r="P57" s="45" t="str">
        <x:v>screening placeholder; no full levelised-cost or support test</x:v>
      </x:c>
      <x:c r="Q57" s="45" t="str">
        <x:v>secure level support before commitment</x:v>
      </x:c>
      <x:c r="R57" s="45" t="str">
        <x:v>yes</x:v>
      </x:c>
      <x:c r="S57" s="25" t="str">
        <x:v>abatement</x:v>
      </x:c>
      <x:c r="T57" s="25" t="str">
        <x:v>300</x:v>
      </x:c>
      <x:c r="U57" s="25" t="str">
        <x:v>USD_2025/(tCO2 annual abatement)</x:v>
      </x:c>
      <x:c r="V57" s="25" t="str">
        <x:v>185712000</x:v>
      </x:c>
      <x:c r="W57" s="25" t="str">
        <x:v>0.5</x:v>
      </x:c>
      <x:c r="X57" s="25" t="str">
        <x:v>619040</x:v>
      </x:c>
      <x:c r="Y57" s="25" t="str">
        <x:v>619040</x:v>
      </x:c>
      <x:c r="Z57" s="25" t="str">
        <x:v>not_modelled; leakage and replacement production pending</x:v>
      </x:c>
      <x:c r="AA57" s="25" t="str">
        <x:v>0</x:v>
      </x:c>
      <x:c r="AB57" s="25" t="str">
        <x:v>185712000</x:v>
      </x:c>
      <x:c r="AC57" s="25" t="str">
        <x:v>0</x:v>
      </x:c>
      <x:c r="AD57" s="37" t="str">
        <x:v>cracker attribution, furnace coverage and clean-power connection</x:v>
      </x:c>
      <x:c r="AE57" s="37" t="str">
        <x:v>electricity and technology cost</x:v>
      </x:c>
      <x:c r="AF57" s="37" t="str">
        <x:v>USD</x:v>
      </x:c>
      <x:c r="AG57" s="37" t="str">
        <x:v>2025</x:v>
      </x:c>
      <x:c r="AH57" s="37" t="str">
        <x:v>Modelled</x:v>
      </x:c>
      <x:c r="AI57" s="37" t="str">
        <x:v>D</x:v>
      </x:c>
      <x:c r="AJ57" s="37" t="str">
        <x:v>IEA_CTG_2026|IEA_PETCHEM_COST_2018|MCI_ESG_2025|MCI_WEST_JAPAN_2026|MCI_WORKS_2026|NA</x:v>
      </x:c>
      <x:c r="AK57" s="37" t="str">
        <x:v>Operational abatement equals allocated case GHG times case reduction fraction; CAPEX equals operational abatement times analyst capital-per-annual-abatement proxy</x:v>
      </x:c>
      <x:c r="AL57" s="37" t="str">
        <x:v>Facility emissions are allocated from parent total; result is screening-only.</x:v>
      </x:c>
    </x:row>
    <x:row r="58">
      <x:c r="A58" s="19" t="str">
        <x:v>MITSUI_CHEMICALS</x:v>
      </x:c>
      <x:c r="B58" s="19" t="str">
        <x:v>Mitsui Chemicals, Inc.</x:v>
      </x:c>
      <x:c r="C58" s="19" t="str">
        <x:v>JP_MCI_ICHIHARA</x:v>
      </x:c>
      <x:c r="D58" s="19" t="str">
        <x:v>Ichihara Works</x:v>
      </x:c>
      <x:c r="E58" s="19" t="str">
        <x:v>Japan</x:v>
      </x:c>
      <x:c r="F58" s="19" t="str">
        <x:v>petrochemicals</x:v>
      </x:c>
      <x:c r="G58" s="19" t="str">
        <x:v>FY2024</x:v>
      </x:c>
      <x:c r="H58" s="19" t="str">
        <x:v>high</x:v>
      </x:c>
      <x:c r="I58" s="19" t="str">
        <x:v>in</x:v>
      </x:c>
      <x:c r="J58" s="19" t="str">
        <x:v>Allocated</x:v>
      </x:c>
      <x:c r="K58" s="25" t="str">
        <x:v>1547600</x:v>
      </x:c>
      <x:c r="L58" s="25" t="str">
        <x:v>petchem_electrified_cracker</x:v>
      </x:c>
      <x:c r="M58" s="25" t="str">
        <x:v>2040</x:v>
      </x:c>
      <x:c r="N58" s="25" t="str">
        <x:v>2035</x:v>
      </x:c>
      <x:c r="O58" s="45" t="str">
        <x:v>level-support-dependent</x:v>
      </x:c>
      <x:c r="P58" s="45" t="str">
        <x:v>screening placeholder; no full levelised-cost or support test</x:v>
      </x:c>
      <x:c r="Q58" s="45" t="str">
        <x:v>secure level support before commitment</x:v>
      </x:c>
      <x:c r="R58" s="45" t="str">
        <x:v>yes</x:v>
      </x:c>
      <x:c r="S58" s="25" t="str">
        <x:v>abatement</x:v>
      </x:c>
      <x:c r="T58" s="25" t="str">
        <x:v>500</x:v>
      </x:c>
      <x:c r="U58" s="25" t="str">
        <x:v>USD_2025/(tCO2 annual abatement)</x:v>
      </x:c>
      <x:c r="V58" s="25" t="str">
        <x:v>541660000</x:v>
      </x:c>
      <x:c r="W58" s="25" t="str">
        <x:v>0.7</x:v>
      </x:c>
      <x:c r="X58" s="25" t="str">
        <x:v>464280</x:v>
      </x:c>
      <x:c r="Y58" s="25" t="str">
        <x:v>1083320</x:v>
      </x:c>
      <x:c r="Z58" s="25" t="str">
        <x:v>not_modelled; leakage and replacement production pending</x:v>
      </x:c>
      <x:c r="AA58" s="25" t="str">
        <x:v>0</x:v>
      </x:c>
      <x:c r="AB58" s="25" t="str">
        <x:v>541660000</x:v>
      </x:c>
      <x:c r="AC58" s="25" t="str">
        <x:v>0</x:v>
      </x:c>
      <x:c r="AD58" s="37" t="str">
        <x:v>cracker attribution, furnace coverage and clean-power connection</x:v>
      </x:c>
      <x:c r="AE58" s="37" t="str">
        <x:v>electricity and technology cost</x:v>
      </x:c>
      <x:c r="AF58" s="37" t="str">
        <x:v>USD</x:v>
      </x:c>
      <x:c r="AG58" s="37" t="str">
        <x:v>2025</x:v>
      </x:c>
      <x:c r="AH58" s="37" t="str">
        <x:v>Modelled</x:v>
      </x:c>
      <x:c r="AI58" s="37" t="str">
        <x:v>D</x:v>
      </x:c>
      <x:c r="AJ58" s="37" t="str">
        <x:v>IEA_CTG_2026|IEA_PETCHEM_COST_2018|MCI_ESG_2025|MCI_WEST_JAPAN_2026|MCI_WORKS_2026|NA</x:v>
      </x:c>
      <x:c r="AK58" s="37" t="str">
        <x:v>Operational abatement equals allocated case GHG times case reduction fraction; CAPEX equals operational abatement times analyst capital-per-annual-abatement proxy</x:v>
      </x:c>
      <x:c r="AL58" s="37" t="str">
        <x:v>Facility emissions are allocated from parent total; result is screening-only.</x:v>
      </x:c>
    </x:row>
    <x:row r="59">
      <x:c r="A59" s="19" t="str">
        <x:v>MITSUI_CHEMICALS</x:v>
      </x:c>
      <x:c r="B59" s="19" t="str">
        <x:v>Mitsui Chemicals, Inc.</x:v>
      </x:c>
      <x:c r="C59" s="19" t="str">
        <x:v>JP_MCI_OSAKA</x:v>
      </x:c>
      <x:c r="D59" s="19" t="str">
        <x:v>Osaka Works</x:v>
      </x:c>
      <x:c r="E59" s="19" t="str">
        <x:v>Japan</x:v>
      </x:c>
      <x:c r="F59" s="19" t="str">
        <x:v>petrochemicals</x:v>
      </x:c>
      <x:c r="G59" s="19" t="str">
        <x:v>FY2024</x:v>
      </x:c>
      <x:c r="H59" s="19" t="str">
        <x:v>low</x:v>
      </x:c>
      <x:c r="I59" s="19" t="str">
        <x:v>in</x:v>
      </x:c>
      <x:c r="J59" s="19" t="str">
        <x:v>Allocated</x:v>
      </x:c>
      <x:c r="K59" s="25" t="str">
        <x:v>967250</x:v>
      </x:c>
      <x:c r="L59" s="25" t="str">
        <x:v>petchem_electrified_cracker</x:v>
      </x:c>
      <x:c r="M59" s="25" t="str">
        <x:v>2040</x:v>
      </x:c>
      <x:c r="N59" s="25" t="str">
        <x:v>2035</x:v>
      </x:c>
      <x:c r="O59" s="45" t="str">
        <x:v>level-support-dependent</x:v>
      </x:c>
      <x:c r="P59" s="45" t="str">
        <x:v>screening placeholder; no full levelised-cost or support test</x:v>
      </x:c>
      <x:c r="Q59" s="45" t="str">
        <x:v>secure level support before commitment</x:v>
      </x:c>
      <x:c r="R59" s="45" t="str">
        <x:v>yes</x:v>
      </x:c>
      <x:c r="S59" s="25" t="str">
        <x:v>abatement</x:v>
      </x:c>
      <x:c r="T59" s="25" t="str">
        <x:v>200</x:v>
      </x:c>
      <x:c r="U59" s="25" t="str">
        <x:v>USD_2025/(tCO2 annual abatement)</x:v>
      </x:c>
      <x:c r="V59" s="25" t="str">
        <x:v>58035000</x:v>
      </x:c>
      <x:c r="W59" s="25" t="str">
        <x:v>0.3</x:v>
      </x:c>
      <x:c r="X59" s="25" t="str">
        <x:v>677075</x:v>
      </x:c>
      <x:c r="Y59" s="25" t="str">
        <x:v>290175</x:v>
      </x:c>
      <x:c r="Z59" s="25" t="str">
        <x:v>not_modelled; leakage and replacement production pending</x:v>
      </x:c>
      <x:c r="AA59" s="25" t="str">
        <x:v>0</x:v>
      </x:c>
      <x:c r="AB59" s="25" t="str">
        <x:v>58035000</x:v>
      </x:c>
      <x:c r="AC59" s="25" t="str">
        <x:v>0</x:v>
      </x:c>
      <x:c r="AD59" s="37" t="str">
        <x:v>JV attribution, consolidation boundary and clean-power connection</x:v>
      </x:c>
      <x:c r="AE59" s="37" t="str">
        <x:v>electricity, technology cost and JV rights</x:v>
      </x:c>
      <x:c r="AF59" s="37" t="str">
        <x:v>USD</x:v>
      </x:c>
      <x:c r="AG59" s="37" t="str">
        <x:v>2025</x:v>
      </x:c>
      <x:c r="AH59" s="37" t="str">
        <x:v>Modelled</x:v>
      </x:c>
      <x:c r="AI59" s="37" t="str">
        <x:v>D</x:v>
      </x:c>
      <x:c r="AJ59" s="37" t="str">
        <x:v>IEA_CTG_2026|IEA_PETCHEM_COST_2018|MCI_ESG_2025|MCI_WEST_JAPAN_2026|MCI_WORKS_2026|NA</x:v>
      </x:c>
      <x:c r="AK59" s="37" t="str">
        <x:v>Operational abatement equals allocated case GHG times case reduction fraction; CAPEX equals operational abatement times analyst capital-per-annual-abatement proxy</x:v>
      </x:c>
      <x:c r="AL59" s="37" t="str">
        <x:v>Western-Japan project is retained as a validation benchmark; its full JPY 21.2bn is not assigned to Mitsui Osaka.</x:v>
      </x:c>
    </x:row>
    <x:row r="60">
      <x:c r="A60" s="19" t="str">
        <x:v>MITSUI_CHEMICALS</x:v>
      </x:c>
      <x:c r="B60" s="19" t="str">
        <x:v>Mitsui Chemicals, Inc.</x:v>
      </x:c>
      <x:c r="C60" s="19" t="str">
        <x:v>JP_MCI_OSAKA</x:v>
      </x:c>
      <x:c r="D60" s="19" t="str">
        <x:v>Osaka Works</x:v>
      </x:c>
      <x:c r="E60" s="19" t="str">
        <x:v>Japan</x:v>
      </x:c>
      <x:c r="F60" s="19" t="str">
        <x:v>petrochemicals</x:v>
      </x:c>
      <x:c r="G60" s="19" t="str">
        <x:v>FY2024</x:v>
      </x:c>
      <x:c r="H60" s="19" t="str">
        <x:v>base</x:v>
      </x:c>
      <x:c r="I60" s="19" t="str">
        <x:v>in</x:v>
      </x:c>
      <x:c r="J60" s="19" t="str">
        <x:v>Allocated</x:v>
      </x:c>
      <x:c r="K60" s="25" t="str">
        <x:v>1238080</x:v>
      </x:c>
      <x:c r="L60" s="25" t="str">
        <x:v>petchem_electrified_cracker</x:v>
      </x:c>
      <x:c r="M60" s="25" t="str">
        <x:v>2040</x:v>
      </x:c>
      <x:c r="N60" s="25" t="str">
        <x:v>2035</x:v>
      </x:c>
      <x:c r="O60" s="45" t="str">
        <x:v>level-support-dependent</x:v>
      </x:c>
      <x:c r="P60" s="45" t="str">
        <x:v>screening placeholder; no full levelised-cost or support test</x:v>
      </x:c>
      <x:c r="Q60" s="45" t="str">
        <x:v>secure level support before commitment</x:v>
      </x:c>
      <x:c r="R60" s="45" t="str">
        <x:v>yes</x:v>
      </x:c>
      <x:c r="S60" s="25" t="str">
        <x:v>abatement</x:v>
      </x:c>
      <x:c r="T60" s="25" t="str">
        <x:v>300</x:v>
      </x:c>
      <x:c r="U60" s="25" t="str">
        <x:v>USD_2025/(tCO2 annual abatement)</x:v>
      </x:c>
      <x:c r="V60" s="25" t="str">
        <x:v>185712000</x:v>
      </x:c>
      <x:c r="W60" s="25" t="str">
        <x:v>0.5</x:v>
      </x:c>
      <x:c r="X60" s="25" t="str">
        <x:v>619040</x:v>
      </x:c>
      <x:c r="Y60" s="25" t="str">
        <x:v>619040</x:v>
      </x:c>
      <x:c r="Z60" s="25" t="str">
        <x:v>not_modelled; leakage and replacement production pending</x:v>
      </x:c>
      <x:c r="AA60" s="25" t="str">
        <x:v>0</x:v>
      </x:c>
      <x:c r="AB60" s="25" t="str">
        <x:v>185712000</x:v>
      </x:c>
      <x:c r="AC60" s="25" t="str">
        <x:v>0</x:v>
      </x:c>
      <x:c r="AD60" s="37" t="str">
        <x:v>JV attribution, consolidation boundary and clean-power connection</x:v>
      </x:c>
      <x:c r="AE60" s="37" t="str">
        <x:v>electricity, technology cost and JV rights</x:v>
      </x:c>
      <x:c r="AF60" s="37" t="str">
        <x:v>USD</x:v>
      </x:c>
      <x:c r="AG60" s="37" t="str">
        <x:v>2025</x:v>
      </x:c>
      <x:c r="AH60" s="37" t="str">
        <x:v>Modelled</x:v>
      </x:c>
      <x:c r="AI60" s="37" t="str">
        <x:v>D</x:v>
      </x:c>
      <x:c r="AJ60" s="37" t="str">
        <x:v>IEA_CTG_2026|IEA_PETCHEM_COST_2018|MCI_ESG_2025|MCI_WEST_JAPAN_2026|MCI_WORKS_2026|NA</x:v>
      </x:c>
      <x:c r="AK60" s="37" t="str">
        <x:v>Operational abatement equals allocated case GHG times case reduction fraction; CAPEX equals operational abatement times analyst capital-per-annual-abatement proxy</x:v>
      </x:c>
      <x:c r="AL60" s="37" t="str">
        <x:v>Western-Japan project is retained as a validation benchmark; its full JPY 21.2bn is not assigned to Mitsui Osaka.</x:v>
      </x:c>
    </x:row>
    <x:row r="61">
      <x:c r="A61" s="19" t="str">
        <x:v>MITSUI_CHEMICALS</x:v>
      </x:c>
      <x:c r="B61" s="19" t="str">
        <x:v>Mitsui Chemicals, Inc.</x:v>
      </x:c>
      <x:c r="C61" s="19" t="str">
        <x:v>JP_MCI_OSAKA</x:v>
      </x:c>
      <x:c r="D61" s="19" t="str">
        <x:v>Osaka Works</x:v>
      </x:c>
      <x:c r="E61" s="19" t="str">
        <x:v>Japan</x:v>
      </x:c>
      <x:c r="F61" s="19" t="str">
        <x:v>petrochemicals</x:v>
      </x:c>
      <x:c r="G61" s="19" t="str">
        <x:v>FY2024</x:v>
      </x:c>
      <x:c r="H61" s="19" t="str">
        <x:v>high</x:v>
      </x:c>
      <x:c r="I61" s="19" t="str">
        <x:v>in</x:v>
      </x:c>
      <x:c r="J61" s="19" t="str">
        <x:v>Allocated</x:v>
      </x:c>
      <x:c r="K61" s="25" t="str">
        <x:v>1547600</x:v>
      </x:c>
      <x:c r="L61" s="25" t="str">
        <x:v>petchem_electrified_cracker</x:v>
      </x:c>
      <x:c r="M61" s="25" t="str">
        <x:v>2040</x:v>
      </x:c>
      <x:c r="N61" s="25" t="str">
        <x:v>2035</x:v>
      </x:c>
      <x:c r="O61" s="45" t="str">
        <x:v>level-support-dependent</x:v>
      </x:c>
      <x:c r="P61" s="45" t="str">
        <x:v>screening placeholder; no full levelised-cost or support test</x:v>
      </x:c>
      <x:c r="Q61" s="45" t="str">
        <x:v>secure level support before commitment</x:v>
      </x:c>
      <x:c r="R61" s="45" t="str">
        <x:v>yes</x:v>
      </x:c>
      <x:c r="S61" s="25" t="str">
        <x:v>abatement</x:v>
      </x:c>
      <x:c r="T61" s="25" t="str">
        <x:v>500</x:v>
      </x:c>
      <x:c r="U61" s="25" t="str">
        <x:v>USD_2025/(tCO2 annual abatement)</x:v>
      </x:c>
      <x:c r="V61" s="25" t="str">
        <x:v>541660000</x:v>
      </x:c>
      <x:c r="W61" s="25" t="str">
        <x:v>0.7</x:v>
      </x:c>
      <x:c r="X61" s="25" t="str">
        <x:v>464280</x:v>
      </x:c>
      <x:c r="Y61" s="25" t="str">
        <x:v>1083320</x:v>
      </x:c>
      <x:c r="Z61" s="25" t="str">
        <x:v>not_modelled; leakage and replacement production pending</x:v>
      </x:c>
      <x:c r="AA61" s="25" t="str">
        <x:v>0</x:v>
      </x:c>
      <x:c r="AB61" s="25" t="str">
        <x:v>541660000</x:v>
      </x:c>
      <x:c r="AC61" s="25" t="str">
        <x:v>0</x:v>
      </x:c>
      <x:c r="AD61" s="37" t="str">
        <x:v>JV attribution, consolidation boundary and clean-power connection</x:v>
      </x:c>
      <x:c r="AE61" s="37" t="str">
        <x:v>electricity, technology cost and JV rights</x:v>
      </x:c>
      <x:c r="AF61" s="37" t="str">
        <x:v>USD</x:v>
      </x:c>
      <x:c r="AG61" s="37" t="str">
        <x:v>2025</x:v>
      </x:c>
      <x:c r="AH61" s="37" t="str">
        <x:v>Modelled</x:v>
      </x:c>
      <x:c r="AI61" s="37" t="str">
        <x:v>D</x:v>
      </x:c>
      <x:c r="AJ61" s="37" t="str">
        <x:v>IEA_CTG_2026|IEA_PETCHEM_COST_2018|MCI_ESG_2025|MCI_WEST_JAPAN_2026|MCI_WORKS_2026|NA</x:v>
      </x:c>
      <x:c r="AK61" s="37" t="str">
        <x:v>Operational abatement equals allocated case GHG times case reduction fraction; CAPEX equals operational abatement times analyst capital-per-annual-abatement proxy</x:v>
      </x:c>
      <x:c r="AL61" s="37" t="str">
        <x:v>Western-Japan project is retained as a validation benchmark; its full JPY 21.2bn is not assigned to Mitsui Osaka.</x:v>
      </x:c>
    </x:row>
    <x:row r="62">
      <x:c r="A62" s="19" t="str">
        <x:v>MITSUI_CHEMICALS</x:v>
      </x:c>
      <x:c r="B62" s="19" t="str">
        <x:v>Mitsui Chemicals, Inc.</x:v>
      </x:c>
      <x:c r="C62" s="19" t="str">
        <x:v>JP_MCI_IWAKUNI</x:v>
      </x:c>
      <x:c r="D62" s="19" t="str">
        <x:v>Iwakuni-Ohtake Works</x:v>
      </x:c>
      <x:c r="E62" s="19" t="str">
        <x:v>Japan</x:v>
      </x:c>
      <x:c r="F62" s="19" t="str">
        <x:v>petrochemicals</x:v>
      </x:c>
      <x:c r="G62" s="19" t="str">
        <x:v>FY2024</x:v>
      </x:c>
      <x:c r="H62" s="19" t="str">
        <x:v>low</x:v>
      </x:c>
      <x:c r="I62" s="19" t="str">
        <x:v>conditional</x:v>
      </x:c>
      <x:c r="J62" s="19" t="str">
        <x:v>Allocated</x:v>
      </x:c>
      <x:c r="K62" s="25" t="str">
        <x:v>386900</x:v>
      </x:c>
      <x:c r="L62" s="25" t="str">
        <x:v>petchem_electrified_cracker</x:v>
      </x:c>
      <x:c r="M62" s="25" t="str">
        <x:v>2040</x:v>
      </x:c>
      <x:c r="N62" s="25" t="str">
        <x:v>2035</x:v>
      </x:c>
      <x:c r="O62" s="45" t="str">
        <x:v>level-support-dependent</x:v>
      </x:c>
      <x:c r="P62" s="45" t="str">
        <x:v>screening placeholder; route materiality and support test pending</x:v>
      </x:c>
      <x:c r="Q62" s="45" t="str">
        <x:v>secure level support before commitment</x:v>
      </x:c>
      <x:c r="R62" s="45" t="str">
        <x:v>yes</x:v>
      </x:c>
      <x:c r="S62" s="25" t="str">
        <x:v>abatement</x:v>
      </x:c>
      <x:c r="T62" s="25" t="str">
        <x:v>200</x:v>
      </x:c>
      <x:c r="U62" s="25" t="str">
        <x:v>USD_2025/(tCO2 annual abatement)</x:v>
      </x:c>
      <x:c r="V62" s="25" t="str">
        <x:v>23214000</x:v>
      </x:c>
      <x:c r="W62" s="25" t="str">
        <x:v>0.3</x:v>
      </x:c>
      <x:c r="X62" s="25" t="str">
        <x:v>270830</x:v>
      </x:c>
      <x:c r="Y62" s="25" t="str">
        <x:v>116070</x:v>
      </x:c>
      <x:c r="Z62" s="25" t="str">
        <x:v>not_modelled; leakage and replacement production pending</x:v>
      </x:c>
      <x:c r="AA62" s="25" t="str">
        <x:v>0</x:v>
      </x:c>
      <x:c r="AB62" s="25" t="str">
        <x:v>23214000</x:v>
      </x:c>
      <x:c r="AC62" s="25" t="str">
        <x:v>0</x:v>
      </x:c>
      <x:c r="AD62" s="37" t="str">
        <x:v>process-route materiality and clean-power connection</x:v>
      </x:c>
      <x:c r="AE62" s="37" t="str">
        <x:v>electricity and technology cost</x:v>
      </x:c>
      <x:c r="AF62" s="37" t="str">
        <x:v>USD</x:v>
      </x:c>
      <x:c r="AG62" s="37" t="str">
        <x:v>2025</x:v>
      </x:c>
      <x:c r="AH62" s="37" t="str">
        <x:v>Modelled</x:v>
      </x:c>
      <x:c r="AI62" s="37" t="str">
        <x:v>D</x:v>
      </x:c>
      <x:c r="AJ62" s="37" t="str">
        <x:v>IEA_CTG_2026|IEA_PETCHEM_COST_2018|MCI_ESG_2025|MCI_WEST_JAPAN_2026|MCI_WORKS_2026|NA</x:v>
      </x:c>
      <x:c r="AK62" s="37" t="str">
        <x:v>Operational abatement equals allocated case GHG times case reduction fraction; CAPEX equals operational abatement times analyst capital-per-annual-abatement proxy</x:v>
      </x:c>
      <x:c r="AL62" s="37" t="str">
        <x:v>Facility emissions and route fit are allocated/estimated.</x:v>
      </x:c>
    </x:row>
    <x:row r="63">
      <x:c r="A63" s="19" t="str">
        <x:v>MITSUI_CHEMICALS</x:v>
      </x:c>
      <x:c r="B63" s="19" t="str">
        <x:v>Mitsui Chemicals, Inc.</x:v>
      </x:c>
      <x:c r="C63" s="19" t="str">
        <x:v>JP_MCI_IWAKUNI</x:v>
      </x:c>
      <x:c r="D63" s="19" t="str">
        <x:v>Iwakuni-Ohtake Works</x:v>
      </x:c>
      <x:c r="E63" s="19" t="str">
        <x:v>Japan</x:v>
      </x:c>
      <x:c r="F63" s="19" t="str">
        <x:v>petrochemicals</x:v>
      </x:c>
      <x:c r="G63" s="19" t="str">
        <x:v>FY2024</x:v>
      </x:c>
      <x:c r="H63" s="19" t="str">
        <x:v>base</x:v>
      </x:c>
      <x:c r="I63" s="19" t="str">
        <x:v>conditional</x:v>
      </x:c>
      <x:c r="J63" s="19" t="str">
        <x:v>Allocated</x:v>
      </x:c>
      <x:c r="K63" s="25" t="str">
        <x:v>541660</x:v>
      </x:c>
      <x:c r="L63" s="25" t="str">
        <x:v>petchem_electrified_cracker</x:v>
      </x:c>
      <x:c r="M63" s="25" t="str">
        <x:v>2040</x:v>
      </x:c>
      <x:c r="N63" s="25" t="str">
        <x:v>2035</x:v>
      </x:c>
      <x:c r="O63" s="45" t="str">
        <x:v>level-support-dependent</x:v>
      </x:c>
      <x:c r="P63" s="45" t="str">
        <x:v>screening placeholder; route materiality and support test pending</x:v>
      </x:c>
      <x:c r="Q63" s="45" t="str">
        <x:v>secure level support before commitment</x:v>
      </x:c>
      <x:c r="R63" s="45" t="str">
        <x:v>yes</x:v>
      </x:c>
      <x:c r="S63" s="25" t="str">
        <x:v>abatement</x:v>
      </x:c>
      <x:c r="T63" s="25" t="str">
        <x:v>300</x:v>
      </x:c>
      <x:c r="U63" s="25" t="str">
        <x:v>USD_2025/(tCO2 annual abatement)</x:v>
      </x:c>
      <x:c r="V63" s="25" t="str">
        <x:v>81249000</x:v>
      </x:c>
      <x:c r="W63" s="25" t="str">
        <x:v>0.5</x:v>
      </x:c>
      <x:c r="X63" s="25" t="str">
        <x:v>270830</x:v>
      </x:c>
      <x:c r="Y63" s="25" t="str">
        <x:v>270830</x:v>
      </x:c>
      <x:c r="Z63" s="25" t="str">
        <x:v>not_modelled; leakage and replacement production pending</x:v>
      </x:c>
      <x:c r="AA63" s="25" t="str">
        <x:v>0</x:v>
      </x:c>
      <x:c r="AB63" s="25" t="str">
        <x:v>81249000</x:v>
      </x:c>
      <x:c r="AC63" s="25" t="str">
        <x:v>0</x:v>
      </x:c>
      <x:c r="AD63" s="37" t="str">
        <x:v>process-route materiality and clean-power connection</x:v>
      </x:c>
      <x:c r="AE63" s="37" t="str">
        <x:v>electricity and technology cost</x:v>
      </x:c>
      <x:c r="AF63" s="37" t="str">
        <x:v>USD</x:v>
      </x:c>
      <x:c r="AG63" s="37" t="str">
        <x:v>2025</x:v>
      </x:c>
      <x:c r="AH63" s="37" t="str">
        <x:v>Modelled</x:v>
      </x:c>
      <x:c r="AI63" s="37" t="str">
        <x:v>D</x:v>
      </x:c>
      <x:c r="AJ63" s="37" t="str">
        <x:v>IEA_CTG_2026|IEA_PETCHEM_COST_2018|MCI_ESG_2025|MCI_WEST_JAPAN_2026|MCI_WORKS_2026|NA</x:v>
      </x:c>
      <x:c r="AK63" s="37" t="str">
        <x:v>Operational abatement equals allocated case GHG times case reduction fraction; CAPEX equals operational abatement times analyst capital-per-annual-abatement proxy</x:v>
      </x:c>
      <x:c r="AL63" s="37" t="str">
        <x:v>Facility emissions and route fit are allocated/estimated.</x:v>
      </x:c>
    </x:row>
    <x:row r="64">
      <x:c r="A64" s="19" t="str">
        <x:v>MITSUI_CHEMICALS</x:v>
      </x:c>
      <x:c r="B64" s="19" t="str">
        <x:v>Mitsui Chemicals, Inc.</x:v>
      </x:c>
      <x:c r="C64" s="19" t="str">
        <x:v>JP_MCI_IWAKUNI</x:v>
      </x:c>
      <x:c r="D64" s="19" t="str">
        <x:v>Iwakuni-Ohtake Works</x:v>
      </x:c>
      <x:c r="E64" s="19" t="str">
        <x:v>Japan</x:v>
      </x:c>
      <x:c r="F64" s="19" t="str">
        <x:v>petrochemicals</x:v>
      </x:c>
      <x:c r="G64" s="19" t="str">
        <x:v>FY2024</x:v>
      </x:c>
      <x:c r="H64" s="19" t="str">
        <x:v>high</x:v>
      </x:c>
      <x:c r="I64" s="19" t="str">
        <x:v>conditional</x:v>
      </x:c>
      <x:c r="J64" s="19" t="str">
        <x:v>Allocated</x:v>
      </x:c>
      <x:c r="K64" s="25" t="str">
        <x:v>773800</x:v>
      </x:c>
      <x:c r="L64" s="25" t="str">
        <x:v>petchem_electrified_cracker</x:v>
      </x:c>
      <x:c r="M64" s="25" t="str">
        <x:v>2040</x:v>
      </x:c>
      <x:c r="N64" s="25" t="str">
        <x:v>2035</x:v>
      </x:c>
      <x:c r="O64" s="45" t="str">
        <x:v>level-support-dependent</x:v>
      </x:c>
      <x:c r="P64" s="45" t="str">
        <x:v>screening placeholder; route materiality and support test pending</x:v>
      </x:c>
      <x:c r="Q64" s="45" t="str">
        <x:v>secure level support before commitment</x:v>
      </x:c>
      <x:c r="R64" s="45" t="str">
        <x:v>yes</x:v>
      </x:c>
      <x:c r="S64" s="25" t="str">
        <x:v>abatement</x:v>
      </x:c>
      <x:c r="T64" s="25" t="str">
        <x:v>500</x:v>
      </x:c>
      <x:c r="U64" s="25" t="str">
        <x:v>USD_2025/(tCO2 annual abatement)</x:v>
      </x:c>
      <x:c r="V64" s="25" t="str">
        <x:v>270830000</x:v>
      </x:c>
      <x:c r="W64" s="25" t="str">
        <x:v>0.7</x:v>
      </x:c>
      <x:c r="X64" s="25" t="str">
        <x:v>232140</x:v>
      </x:c>
      <x:c r="Y64" s="25" t="str">
        <x:v>541660</x:v>
      </x:c>
      <x:c r="Z64" s="25" t="str">
        <x:v>not_modelled; leakage and replacement production pending</x:v>
      </x:c>
      <x:c r="AA64" s="25" t="str">
        <x:v>0</x:v>
      </x:c>
      <x:c r="AB64" s="25" t="str">
        <x:v>270830000</x:v>
      </x:c>
      <x:c r="AC64" s="25" t="str">
        <x:v>0</x:v>
      </x:c>
      <x:c r="AD64" s="37" t="str">
        <x:v>process-route materiality and clean-power connection</x:v>
      </x:c>
      <x:c r="AE64" s="37" t="str">
        <x:v>electricity and technology cost</x:v>
      </x:c>
      <x:c r="AF64" s="37" t="str">
        <x:v>USD</x:v>
      </x:c>
      <x:c r="AG64" s="37" t="str">
        <x:v>2025</x:v>
      </x:c>
      <x:c r="AH64" s="37" t="str">
        <x:v>Modelled</x:v>
      </x:c>
      <x:c r="AI64" s="37" t="str">
        <x:v>D</x:v>
      </x:c>
      <x:c r="AJ64" s="37" t="str">
        <x:v>IEA_CTG_2026|IEA_PETCHEM_COST_2018|MCI_ESG_2025|MCI_WEST_JAPAN_2026|MCI_WORKS_2026|NA</x:v>
      </x:c>
      <x:c r="AK64" s="37" t="str">
        <x:v>Operational abatement equals allocated case GHG times case reduction fraction; CAPEX equals operational abatement times analyst capital-per-annual-abatement proxy</x:v>
      </x:c>
      <x:c r="AL64" s="37" t="str">
        <x:v>Facility emissions and route fit are allocated/estimated.</x:v>
      </x:c>
    </x:row>
    <x:row r="65">
      <x:c r="A65" s="19" t="str">
        <x:v>MITSUI_CHEMICALS</x:v>
      </x:c>
      <x:c r="B65" s="19" t="str">
        <x:v>Mitsui Chemicals, Inc.</x:v>
      </x:c>
      <x:c r="C65" s="19" t="str">
        <x:v>JP_MCI_OMUTA</x:v>
      </x:c>
      <x:c r="D65" s="19" t="str">
        <x:v>Omuta Works</x:v>
      </x:c>
      <x:c r="E65" s="19" t="str">
        <x:v>Japan</x:v>
      </x:c>
      <x:c r="F65" s="19" t="str">
        <x:v>petrochemicals</x:v>
      </x:c>
      <x:c r="G65" s="19" t="str">
        <x:v>FY2024</x:v>
      </x:c>
      <x:c r="H65" s="19" t="str">
        <x:v>low</x:v>
      </x:c>
      <x:c r="I65" s="19" t="str">
        <x:v>conditional</x:v>
      </x:c>
      <x:c r="J65" s="19" t="str">
        <x:v>Allocated</x:v>
      </x:c>
      <x:c r="K65" s="25" t="str">
        <x:v>154760</x:v>
      </x:c>
      <x:c r="L65" s="25" t="str">
        <x:v>petchem_electrified_cracker</x:v>
      </x:c>
      <x:c r="M65" s="25" t="str">
        <x:v>2040</x:v>
      </x:c>
      <x:c r="N65" s="25" t="str">
        <x:v>2035</x:v>
      </x:c>
      <x:c r="O65" s="45" t="str">
        <x:v>level-support-dependent</x:v>
      </x:c>
      <x:c r="P65" s="45" t="str">
        <x:v>screening placeholder; route materiality and support test pending</x:v>
      </x:c>
      <x:c r="Q65" s="45" t="str">
        <x:v>secure level support before commitment</x:v>
      </x:c>
      <x:c r="R65" s="45" t="str">
        <x:v>yes</x:v>
      </x:c>
      <x:c r="S65" s="25" t="str">
        <x:v>abatement</x:v>
      </x:c>
      <x:c r="T65" s="25" t="str">
        <x:v>200</x:v>
      </x:c>
      <x:c r="U65" s="25" t="str">
        <x:v>USD_2025/(tCO2 annual abatement)</x:v>
      </x:c>
      <x:c r="V65" s="25" t="str">
        <x:v>9285600</x:v>
      </x:c>
      <x:c r="W65" s="25" t="str">
        <x:v>0.3</x:v>
      </x:c>
      <x:c r="X65" s="25" t="str">
        <x:v>108332</x:v>
      </x:c>
      <x:c r="Y65" s="25" t="str">
        <x:v>46428</x:v>
      </x:c>
      <x:c r="Z65" s="25" t="str">
        <x:v>not_modelled; leakage and replacement production pending</x:v>
      </x:c>
      <x:c r="AA65" s="25" t="str">
        <x:v>0</x:v>
      </x:c>
      <x:c r="AB65" s="25" t="str">
        <x:v>9285600</x:v>
      </x:c>
      <x:c r="AC65" s="25" t="str">
        <x:v>0</x:v>
      </x:c>
      <x:c r="AD65" s="37" t="str">
        <x:v>process-route materiality and clean-power connection</x:v>
      </x:c>
      <x:c r="AE65" s="37" t="str">
        <x:v>electricity and technology cost</x:v>
      </x:c>
      <x:c r="AF65" s="37" t="str">
        <x:v>USD</x:v>
      </x:c>
      <x:c r="AG65" s="37" t="str">
        <x:v>2025</x:v>
      </x:c>
      <x:c r="AH65" s="37" t="str">
        <x:v>Modelled</x:v>
      </x:c>
      <x:c r="AI65" s="37" t="str">
        <x:v>D</x:v>
      </x:c>
      <x:c r="AJ65" s="37" t="str">
        <x:v>IEA_CTG_2026|IEA_PETCHEM_COST_2018|MCI_ESG_2025|MCI_WEST_JAPAN_2026|MCI_WORKS_2026|NA</x:v>
      </x:c>
      <x:c r="AK65" s="37" t="str">
        <x:v>Operational abatement equals allocated case GHG times case reduction fraction; CAPEX equals operational abatement times analyst capital-per-annual-abatement proxy</x:v>
      </x:c>
      <x:c r="AL65" s="37" t="str">
        <x:v>Facility emissions and route fit are allocated/estimated.</x:v>
      </x:c>
    </x:row>
    <x:row r="66">
      <x:c r="A66" s="19" t="str">
        <x:v>MITSUI_CHEMICALS</x:v>
      </x:c>
      <x:c r="B66" s="19" t="str">
        <x:v>Mitsui Chemicals, Inc.</x:v>
      </x:c>
      <x:c r="C66" s="19" t="str">
        <x:v>JP_MCI_OMUTA</x:v>
      </x:c>
      <x:c r="D66" s="19" t="str">
        <x:v>Omuta Works</x:v>
      </x:c>
      <x:c r="E66" s="19" t="str">
        <x:v>Japan</x:v>
      </x:c>
      <x:c r="F66" s="19" t="str">
        <x:v>petrochemicals</x:v>
      </x:c>
      <x:c r="G66" s="19" t="str">
        <x:v>FY2024</x:v>
      </x:c>
      <x:c r="H66" s="19" t="str">
        <x:v>base</x:v>
      </x:c>
      <x:c r="I66" s="19" t="str">
        <x:v>conditional</x:v>
      </x:c>
      <x:c r="J66" s="19" t="str">
        <x:v>Allocated</x:v>
      </x:c>
      <x:c r="K66" s="25" t="str">
        <x:v>270830</x:v>
      </x:c>
      <x:c r="L66" s="25" t="str">
        <x:v>petchem_electrified_cracker</x:v>
      </x:c>
      <x:c r="M66" s="25" t="str">
        <x:v>2040</x:v>
      </x:c>
      <x:c r="N66" s="25" t="str">
        <x:v>2035</x:v>
      </x:c>
      <x:c r="O66" s="45" t="str">
        <x:v>level-support-dependent</x:v>
      </x:c>
      <x:c r="P66" s="45" t="str">
        <x:v>screening placeholder; route materiality and support test pending</x:v>
      </x:c>
      <x:c r="Q66" s="45" t="str">
        <x:v>secure level support before commitment</x:v>
      </x:c>
      <x:c r="R66" s="45" t="str">
        <x:v>yes</x:v>
      </x:c>
      <x:c r="S66" s="25" t="str">
        <x:v>abatement</x:v>
      </x:c>
      <x:c r="T66" s="25" t="str">
        <x:v>300</x:v>
      </x:c>
      <x:c r="U66" s="25" t="str">
        <x:v>USD_2025/(tCO2 annual abatement)</x:v>
      </x:c>
      <x:c r="V66" s="25" t="str">
        <x:v>40624500</x:v>
      </x:c>
      <x:c r="W66" s="25" t="str">
        <x:v>0.5</x:v>
      </x:c>
      <x:c r="X66" s="25" t="str">
        <x:v>135415</x:v>
      </x:c>
      <x:c r="Y66" s="25" t="str">
        <x:v>135415</x:v>
      </x:c>
      <x:c r="Z66" s="25" t="str">
        <x:v>not_modelled; leakage and replacement production pending</x:v>
      </x:c>
      <x:c r="AA66" s="25" t="str">
        <x:v>0</x:v>
      </x:c>
      <x:c r="AB66" s="25" t="str">
        <x:v>40624500</x:v>
      </x:c>
      <x:c r="AC66" s="25" t="str">
        <x:v>0</x:v>
      </x:c>
      <x:c r="AD66" s="37" t="str">
        <x:v>process-route materiality and clean-power connection</x:v>
      </x:c>
      <x:c r="AE66" s="37" t="str">
        <x:v>electricity and technology cost</x:v>
      </x:c>
      <x:c r="AF66" s="37" t="str">
        <x:v>USD</x:v>
      </x:c>
      <x:c r="AG66" s="37" t="str">
        <x:v>2025</x:v>
      </x:c>
      <x:c r="AH66" s="37" t="str">
        <x:v>Modelled</x:v>
      </x:c>
      <x:c r="AI66" s="37" t="str">
        <x:v>D</x:v>
      </x:c>
      <x:c r="AJ66" s="37" t="str">
        <x:v>IEA_CTG_2026|IEA_PETCHEM_COST_2018|MCI_ESG_2025|MCI_WEST_JAPAN_2026|MCI_WORKS_2026|NA</x:v>
      </x:c>
      <x:c r="AK66" s="37" t="str">
        <x:v>Operational abatement equals allocated case GHG times case reduction fraction; CAPEX equals operational abatement times analyst capital-per-annual-abatement proxy</x:v>
      </x:c>
      <x:c r="AL66" s="37" t="str">
        <x:v>Facility emissions and route fit are allocated/estimated.</x:v>
      </x:c>
    </x:row>
    <x:row r="67">
      <x:c r="A67" s="19" t="str">
        <x:v>MITSUI_CHEMICALS</x:v>
      </x:c>
      <x:c r="B67" s="19" t="str">
        <x:v>Mitsui Chemicals, Inc.</x:v>
      </x:c>
      <x:c r="C67" s="19" t="str">
        <x:v>JP_MCI_OMUTA</x:v>
      </x:c>
      <x:c r="D67" s="19" t="str">
        <x:v>Omuta Works</x:v>
      </x:c>
      <x:c r="E67" s="19" t="str">
        <x:v>Japan</x:v>
      </x:c>
      <x:c r="F67" s="19" t="str">
        <x:v>petrochemicals</x:v>
      </x:c>
      <x:c r="G67" s="19" t="str">
        <x:v>FY2024</x:v>
      </x:c>
      <x:c r="H67" s="19" t="str">
        <x:v>high</x:v>
      </x:c>
      <x:c r="I67" s="19" t="str">
        <x:v>conditional</x:v>
      </x:c>
      <x:c r="J67" s="19" t="str">
        <x:v>Allocated</x:v>
      </x:c>
      <x:c r="K67" s="25" t="str">
        <x:v>464280</x:v>
      </x:c>
      <x:c r="L67" s="25" t="str">
        <x:v>petchem_electrified_cracker</x:v>
      </x:c>
      <x:c r="M67" s="25" t="str">
        <x:v>2040</x:v>
      </x:c>
      <x:c r="N67" s="25" t="str">
        <x:v>2035</x:v>
      </x:c>
      <x:c r="O67" s="45" t="str">
        <x:v>level-support-dependent</x:v>
      </x:c>
      <x:c r="P67" s="45" t="str">
        <x:v>screening placeholder; route materiality and support test pending</x:v>
      </x:c>
      <x:c r="Q67" s="45" t="str">
        <x:v>secure level support before commitment</x:v>
      </x:c>
      <x:c r="R67" s="45" t="str">
        <x:v>yes</x:v>
      </x:c>
      <x:c r="S67" s="25" t="str">
        <x:v>abatement</x:v>
      </x:c>
      <x:c r="T67" s="25" t="str">
        <x:v>500</x:v>
      </x:c>
      <x:c r="U67" s="25" t="str">
        <x:v>USD_2025/(tCO2 annual abatement)</x:v>
      </x:c>
      <x:c r="V67" s="25" t="str">
        <x:v>162498000</x:v>
      </x:c>
      <x:c r="W67" s="25" t="str">
        <x:v>0.7</x:v>
      </x:c>
      <x:c r="X67" s="25" t="str">
        <x:v>139284</x:v>
      </x:c>
      <x:c r="Y67" s="25" t="str">
        <x:v>324996</x:v>
      </x:c>
      <x:c r="Z67" s="25" t="str">
        <x:v>not_modelled; leakage and replacement production pending</x:v>
      </x:c>
      <x:c r="AA67" s="25" t="str">
        <x:v>0</x:v>
      </x:c>
      <x:c r="AB67" s="25" t="str">
        <x:v>162498000</x:v>
      </x:c>
      <x:c r="AC67" s="25" t="str">
        <x:v>0</x:v>
      </x:c>
      <x:c r="AD67" s="37" t="str">
        <x:v>process-route materiality and clean-power connection</x:v>
      </x:c>
      <x:c r="AE67" s="37" t="str">
        <x:v>electricity and technology cost</x:v>
      </x:c>
      <x:c r="AF67" s="37" t="str">
        <x:v>USD</x:v>
      </x:c>
      <x:c r="AG67" s="37" t="str">
        <x:v>2025</x:v>
      </x:c>
      <x:c r="AH67" s="37" t="str">
        <x:v>Modelled</x:v>
      </x:c>
      <x:c r="AI67" s="37" t="str">
        <x:v>D</x:v>
      </x:c>
      <x:c r="AJ67" s="37" t="str">
        <x:v>IEA_CTG_2026|IEA_PETCHEM_COST_2018|MCI_ESG_2025|MCI_WEST_JAPAN_2026|MCI_WORKS_2026|NA</x:v>
      </x:c>
      <x:c r="AK67" s="37" t="str">
        <x:v>Operational abatement equals allocated case GHG times case reduction fraction; CAPEX equals operational abatement times analyst capital-per-annual-abatement proxy</x:v>
      </x:c>
      <x:c r="AL67" s="37" t="str">
        <x:v>Facility emissions and route fit are allocated/estimated.</x:v>
      </x:c>
    </x:row>
    <x:row r="68">
      <x:c r="A68" s="19" t="str">
        <x:v>MITSUI_CHEMICALS</x:v>
      </x:c>
      <x:c r="B68" s="19" t="str">
        <x:v>Mitsui Chemicals, Inc.</x:v>
      </x:c>
      <x:c r="C68" s="19" t="str">
        <x:v>JP_MCI_NAGOYA</x:v>
      </x:c>
      <x:c r="D68" s="19" t="str">
        <x:v>Nagoya Works</x:v>
      </x:c>
      <x:c r="E68" s="19" t="str">
        <x:v>Japan</x:v>
      </x:c>
      <x:c r="F68" s="19" t="str">
        <x:v>petrochemicals</x:v>
      </x:c>
      <x:c r="G68" s="19" t="str">
        <x:v>FY2024</x:v>
      </x:c>
      <x:c r="H68" s="19" t="str">
        <x:v>low</x:v>
      </x:c>
      <x:c r="I68" s="19" t="str">
        <x:v>out</x:v>
      </x:c>
      <x:c r="J68" s="19" t="str">
        <x:v>Allocated</x:v>
      </x:c>
      <x:c r="K68" s="25" t="str">
        <x:v>116070</x:v>
      </x:c>
      <x:c r="L68" s="25" t="str">
        <x:v>not_modelled_data_gap</x:v>
      </x:c>
      <x:c r="M68" s="25" t="str">
        <x:v>NA</x:v>
      </x:c>
      <x:c r="N68" s="25" t="str">
        <x:v>NA</x:v>
      </x:c>
      <x:c r="O68" s="45" t="str">
        <x:v>not_modelled</x:v>
      </x:c>
      <x:c r="P68" s="45" t="str">
        <x:v>Outside primary route scope in seed inventory</x:v>
      </x:c>
      <x:c r="Q68" s="45" t="str">
        <x:v>uncovered residual</x:v>
      </x:c>
      <x:c r="R68" s="45" t="str">
        <x:v>no</x:v>
      </x:c>
      <x:c r="S68" s="25" t="str">
        <x:v>none</x:v>
      </x:c>
      <x:c r="T68" s="25" t="str">
        <x:v>0</x:v>
      </x:c>
      <x:c r="U68" s="25" t="str">
        <x:v>not_applicable</x:v>
      </x:c>
      <x:c r="V68" s="25" t="str">
        <x:v>0</x:v>
      </x:c>
      <x:c r="W68" s="25" t="str">
        <x:v>0</x:v>
      </x:c>
      <x:c r="X68" s="25" t="str">
        <x:v>116070</x:v>
      </x:c>
      <x:c r="Y68" s="25" t="str">
        <x:v>0</x:v>
      </x:c>
      <x:c r="Z68" s="25" t="str">
        <x:v>not_modelled; leakage and replacement production pending</x:v>
      </x:c>
      <x:c r="AA68" s="25" t="str">
        <x:v>0</x:v>
      </x:c>
      <x:c r="AB68" s="25" t="str">
        <x:v>0</x:v>
      </x:c>
      <x:c r="AC68" s="25" t="str">
        <x:v>0</x:v>
      </x:c>
      <x:c r="AD68" s="37" t="str">
        <x:v>primary-route scope and site emissions not resolved</x:v>
      </x:c>
      <x:c r="AE68" s="37" t="str">
        <x:v>not_assessed</x:v>
      </x:c>
      <x:c r="AF68" s="37" t="str">
        <x:v>not_applicable</x:v>
      </x:c>
      <x:c r="AG68" s="37" t="str">
        <x:v>not_applicable</x:v>
      </x:c>
      <x:c r="AH68" s="37" t="str">
        <x:v>Not_modelled</x:v>
      </x:c>
      <x:c r="AI68" s="37" t="str">
        <x:v>D</x:v>
      </x:c>
      <x:c r="AJ68" s="37" t="str">
        <x:v>MCI_ESG_2025|MCI_WORKS_2026|NA</x:v>
      </x:c>
      <x:c r="AK68" s="37" t="str">
        <x:v>Zero modelled capital and abatement; emissions retained in uncovered residual</x:v>
      </x:c>
      <x:c r="AL68" s="37" t="str">
        <x:v>Allocated emissions retained; no transition result inferred.</x:v>
      </x:c>
    </x:row>
    <x:row r="69">
      <x:c r="A69" s="19" t="str">
        <x:v>MITSUI_CHEMICALS</x:v>
      </x:c>
      <x:c r="B69" s="19" t="str">
        <x:v>Mitsui Chemicals, Inc.</x:v>
      </x:c>
      <x:c r="C69" s="19" t="str">
        <x:v>JP_MCI_NAGOYA</x:v>
      </x:c>
      <x:c r="D69" s="19" t="str">
        <x:v>Nagoya Works</x:v>
      </x:c>
      <x:c r="E69" s="19" t="str">
        <x:v>Japan</x:v>
      </x:c>
      <x:c r="F69" s="19" t="str">
        <x:v>petrochemicals</x:v>
      </x:c>
      <x:c r="G69" s="19" t="str">
        <x:v>FY2024</x:v>
      </x:c>
      <x:c r="H69" s="19" t="str">
        <x:v>base</x:v>
      </x:c>
      <x:c r="I69" s="19" t="str">
        <x:v>out</x:v>
      </x:c>
      <x:c r="J69" s="19" t="str">
        <x:v>Allocated</x:v>
      </x:c>
      <x:c r="K69" s="25" t="str">
        <x:v>232140</x:v>
      </x:c>
      <x:c r="L69" s="25" t="str">
        <x:v>not_modelled_data_gap</x:v>
      </x:c>
      <x:c r="M69" s="25" t="str">
        <x:v>NA</x:v>
      </x:c>
      <x:c r="N69" s="25" t="str">
        <x:v>NA</x:v>
      </x:c>
      <x:c r="O69" s="45" t="str">
        <x:v>not_modelled</x:v>
      </x:c>
      <x:c r="P69" s="45" t="str">
        <x:v>Outside primary route scope in seed inventory</x:v>
      </x:c>
      <x:c r="Q69" s="45" t="str">
        <x:v>uncovered residual</x:v>
      </x:c>
      <x:c r="R69" s="45" t="str">
        <x:v>no</x:v>
      </x:c>
      <x:c r="S69" s="25" t="str">
        <x:v>none</x:v>
      </x:c>
      <x:c r="T69" s="25" t="str">
        <x:v>0</x:v>
      </x:c>
      <x:c r="U69" s="25" t="str">
        <x:v>not_applicable</x:v>
      </x:c>
      <x:c r="V69" s="25" t="str">
        <x:v>0</x:v>
      </x:c>
      <x:c r="W69" s="25" t="str">
        <x:v>0</x:v>
      </x:c>
      <x:c r="X69" s="25" t="str">
        <x:v>232140</x:v>
      </x:c>
      <x:c r="Y69" s="25" t="str">
        <x:v>0</x:v>
      </x:c>
      <x:c r="Z69" s="25" t="str">
        <x:v>not_modelled; leakage and replacement production pending</x:v>
      </x:c>
      <x:c r="AA69" s="25" t="str">
        <x:v>0</x:v>
      </x:c>
      <x:c r="AB69" s="25" t="str">
        <x:v>0</x:v>
      </x:c>
      <x:c r="AC69" s="25" t="str">
        <x:v>0</x:v>
      </x:c>
      <x:c r="AD69" s="37" t="str">
        <x:v>primary-route scope and site emissions not resolved</x:v>
      </x:c>
      <x:c r="AE69" s="37" t="str">
        <x:v>not_assessed</x:v>
      </x:c>
      <x:c r="AF69" s="37" t="str">
        <x:v>not_applicable</x:v>
      </x:c>
      <x:c r="AG69" s="37" t="str">
        <x:v>not_applicable</x:v>
      </x:c>
      <x:c r="AH69" s="37" t="str">
        <x:v>Not_modelled</x:v>
      </x:c>
      <x:c r="AI69" s="37" t="str">
        <x:v>D</x:v>
      </x:c>
      <x:c r="AJ69" s="37" t="str">
        <x:v>MCI_ESG_2025|MCI_WORKS_2026|NA</x:v>
      </x:c>
      <x:c r="AK69" s="37" t="str">
        <x:v>Zero modelled capital and abatement; emissions retained in uncovered residual</x:v>
      </x:c>
      <x:c r="AL69" s="37" t="str">
        <x:v>Allocated emissions retained; no transition result inferred.</x:v>
      </x:c>
    </x:row>
    <x:row r="70">
      <x:c r="A70" s="19" t="str">
        <x:v>MITSUI_CHEMICALS</x:v>
      </x:c>
      <x:c r="B70" s="19" t="str">
        <x:v>Mitsui Chemicals, Inc.</x:v>
      </x:c>
      <x:c r="C70" s="19" t="str">
        <x:v>JP_MCI_NAGOYA</x:v>
      </x:c>
      <x:c r="D70" s="19" t="str">
        <x:v>Nagoya Works</x:v>
      </x:c>
      <x:c r="E70" s="19" t="str">
        <x:v>Japan</x:v>
      </x:c>
      <x:c r="F70" s="19" t="str">
        <x:v>petrochemicals</x:v>
      </x:c>
      <x:c r="G70" s="19" t="str">
        <x:v>FY2024</x:v>
      </x:c>
      <x:c r="H70" s="19" t="str">
        <x:v>high</x:v>
      </x:c>
      <x:c r="I70" s="19" t="str">
        <x:v>out</x:v>
      </x:c>
      <x:c r="J70" s="19" t="str">
        <x:v>Allocated</x:v>
      </x:c>
      <x:c r="K70" s="25" t="str">
        <x:v>386900</x:v>
      </x:c>
      <x:c r="L70" s="25" t="str">
        <x:v>not_modelled_data_gap</x:v>
      </x:c>
      <x:c r="M70" s="25" t="str">
        <x:v>NA</x:v>
      </x:c>
      <x:c r="N70" s="25" t="str">
        <x:v>NA</x:v>
      </x:c>
      <x:c r="O70" s="45" t="str">
        <x:v>not_modelled</x:v>
      </x:c>
      <x:c r="P70" s="45" t="str">
        <x:v>Outside primary route scope in seed inventory</x:v>
      </x:c>
      <x:c r="Q70" s="45" t="str">
        <x:v>uncovered residual</x:v>
      </x:c>
      <x:c r="R70" s="45" t="str">
        <x:v>no</x:v>
      </x:c>
      <x:c r="S70" s="25" t="str">
        <x:v>none</x:v>
      </x:c>
      <x:c r="T70" s="25" t="str">
        <x:v>0</x:v>
      </x:c>
      <x:c r="U70" s="25" t="str">
        <x:v>not_applicable</x:v>
      </x:c>
      <x:c r="V70" s="25" t="str">
        <x:v>0</x:v>
      </x:c>
      <x:c r="W70" s="25" t="str">
        <x:v>0</x:v>
      </x:c>
      <x:c r="X70" s="25" t="str">
        <x:v>386900</x:v>
      </x:c>
      <x:c r="Y70" s="25" t="str">
        <x:v>0</x:v>
      </x:c>
      <x:c r="Z70" s="25" t="str">
        <x:v>not_modelled; leakage and replacement production pending</x:v>
      </x:c>
      <x:c r="AA70" s="25" t="str">
        <x:v>0</x:v>
      </x:c>
      <x:c r="AB70" s="25" t="str">
        <x:v>0</x:v>
      </x:c>
      <x:c r="AC70" s="25" t="str">
        <x:v>0</x:v>
      </x:c>
      <x:c r="AD70" s="37" t="str">
        <x:v>primary-route scope and site emissions not resolved</x:v>
      </x:c>
      <x:c r="AE70" s="37" t="str">
        <x:v>not_assessed</x:v>
      </x:c>
      <x:c r="AF70" s="37" t="str">
        <x:v>not_applicable</x:v>
      </x:c>
      <x:c r="AG70" s="37" t="str">
        <x:v>not_applicable</x:v>
      </x:c>
      <x:c r="AH70" s="37" t="str">
        <x:v>Not_modelled</x:v>
      </x:c>
      <x:c r="AI70" s="37" t="str">
        <x:v>D</x:v>
      </x:c>
      <x:c r="AJ70" s="37" t="str">
        <x:v>MCI_ESG_2025|MCI_WORKS_2026|NA</x:v>
      </x:c>
      <x:c r="AK70" s="37" t="str">
        <x:v>Zero modelled capital and abatement; emissions retained in uncovered residual</x:v>
      </x:c>
      <x:c r="AL70" s="37" t="str">
        <x:v>Allocated emissions retained; no transition result inferred.</x:v>
      </x:c>
    </x:row>
    <x:row r="71">
      <x:c r="A71" s="19" t="str">
        <x:v>MITSUI_CHEMICALS</x:v>
      </x:c>
      <x:c r="B71" s="19" t="str">
        <x:v>Mitsui Chemicals, Inc.</x:v>
      </x:c>
      <x:c r="C71" s="19" t="str">
        <x:v>JP_MCI_MOBARA</x:v>
      </x:c>
      <x:c r="D71" s="19" t="str">
        <x:v>Mobara Branch Factory</x:v>
      </x:c>
      <x:c r="E71" s="19" t="str">
        <x:v>Japan</x:v>
      </x:c>
      <x:c r="F71" s="19" t="str">
        <x:v>petrochemicals</x:v>
      </x:c>
      <x:c r="G71" s="19" t="str">
        <x:v>FY2024</x:v>
      </x:c>
      <x:c r="H71" s="19" t="str">
        <x:v>low</x:v>
      </x:c>
      <x:c r="I71" s="19" t="str">
        <x:v>out</x:v>
      </x:c>
      <x:c r="J71" s="19" t="str">
        <x:v>Allocated</x:v>
      </x:c>
      <x:c r="K71" s="25" t="str">
        <x:v>77380</x:v>
      </x:c>
      <x:c r="L71" s="25" t="str">
        <x:v>not_modelled_data_gap</x:v>
      </x:c>
      <x:c r="M71" s="25" t="str">
        <x:v>NA</x:v>
      </x:c>
      <x:c r="N71" s="25" t="str">
        <x:v>NA</x:v>
      </x:c>
      <x:c r="O71" s="45" t="str">
        <x:v>not_modelled</x:v>
      </x:c>
      <x:c r="P71" s="45" t="str">
        <x:v>Outside primary route scope in seed inventory</x:v>
      </x:c>
      <x:c r="Q71" s="45" t="str">
        <x:v>uncovered residual</x:v>
      </x:c>
      <x:c r="R71" s="45" t="str">
        <x:v>no</x:v>
      </x:c>
      <x:c r="S71" s="25" t="str">
        <x:v>none</x:v>
      </x:c>
      <x:c r="T71" s="25" t="str">
        <x:v>0</x:v>
      </x:c>
      <x:c r="U71" s="25" t="str">
        <x:v>not_applicable</x:v>
      </x:c>
      <x:c r="V71" s="25" t="str">
        <x:v>0</x:v>
      </x:c>
      <x:c r="W71" s="25" t="str">
        <x:v>0</x:v>
      </x:c>
      <x:c r="X71" s="25" t="str">
        <x:v>77380</x:v>
      </x:c>
      <x:c r="Y71" s="25" t="str">
        <x:v>0</x:v>
      </x:c>
      <x:c r="Z71" s="25" t="str">
        <x:v>not_modelled; leakage and replacement production pending</x:v>
      </x:c>
      <x:c r="AA71" s="25" t="str">
        <x:v>0</x:v>
      </x:c>
      <x:c r="AB71" s="25" t="str">
        <x:v>0</x:v>
      </x:c>
      <x:c r="AC71" s="25" t="str">
        <x:v>0</x:v>
      </x:c>
      <x:c r="AD71" s="37" t="str">
        <x:v>primary-route scope and site emissions not resolved</x:v>
      </x:c>
      <x:c r="AE71" s="37" t="str">
        <x:v>not_assessed</x:v>
      </x:c>
      <x:c r="AF71" s="37" t="str">
        <x:v>not_applicable</x:v>
      </x:c>
      <x:c r="AG71" s="37" t="str">
        <x:v>not_applicable</x:v>
      </x:c>
      <x:c r="AH71" s="37" t="str">
        <x:v>Not_modelled</x:v>
      </x:c>
      <x:c r="AI71" s="37" t="str">
        <x:v>D</x:v>
      </x:c>
      <x:c r="AJ71" s="37" t="str">
        <x:v>MCI_ESG_2025|MCI_WORKS_2026|NA</x:v>
      </x:c>
      <x:c r="AK71" s="37" t="str">
        <x:v>Zero modelled capital and abatement; emissions retained in uncovered residual</x:v>
      </x:c>
      <x:c r="AL71" s="37" t="str">
        <x:v>Allocated emissions retained; no transition result inferred.</x:v>
      </x:c>
    </x:row>
    <x:row r="72">
      <x:c r="A72" s="19" t="str">
        <x:v>MITSUI_CHEMICALS</x:v>
      </x:c>
      <x:c r="B72" s="19" t="str">
        <x:v>Mitsui Chemicals, Inc.</x:v>
      </x:c>
      <x:c r="C72" s="19" t="str">
        <x:v>JP_MCI_MOBARA</x:v>
      </x:c>
      <x:c r="D72" s="19" t="str">
        <x:v>Mobara Branch Factory</x:v>
      </x:c>
      <x:c r="E72" s="19" t="str">
        <x:v>Japan</x:v>
      </x:c>
      <x:c r="F72" s="19" t="str">
        <x:v>petrochemicals</x:v>
      </x:c>
      <x:c r="G72" s="19" t="str">
        <x:v>FY2024</x:v>
      </x:c>
      <x:c r="H72" s="19" t="str">
        <x:v>base</x:v>
      </x:c>
      <x:c r="I72" s="19" t="str">
        <x:v>out</x:v>
      </x:c>
      <x:c r="J72" s="19" t="str">
        <x:v>Allocated</x:v>
      </x:c>
      <x:c r="K72" s="25" t="str">
        <x:v>193450</x:v>
      </x:c>
      <x:c r="L72" s="25" t="str">
        <x:v>not_modelled_data_gap</x:v>
      </x:c>
      <x:c r="M72" s="25" t="str">
        <x:v>NA</x:v>
      </x:c>
      <x:c r="N72" s="25" t="str">
        <x:v>NA</x:v>
      </x:c>
      <x:c r="O72" s="45" t="str">
        <x:v>not_modelled</x:v>
      </x:c>
      <x:c r="P72" s="45" t="str">
        <x:v>Outside primary route scope in seed inventory</x:v>
      </x:c>
      <x:c r="Q72" s="45" t="str">
        <x:v>uncovered residual</x:v>
      </x:c>
      <x:c r="R72" s="45" t="str">
        <x:v>no</x:v>
      </x:c>
      <x:c r="S72" s="25" t="str">
        <x:v>none</x:v>
      </x:c>
      <x:c r="T72" s="25" t="str">
        <x:v>0</x:v>
      </x:c>
      <x:c r="U72" s="25" t="str">
        <x:v>not_applicable</x:v>
      </x:c>
      <x:c r="V72" s="25" t="str">
        <x:v>0</x:v>
      </x:c>
      <x:c r="W72" s="25" t="str">
        <x:v>0</x:v>
      </x:c>
      <x:c r="X72" s="25" t="str">
        <x:v>193450</x:v>
      </x:c>
      <x:c r="Y72" s="25" t="str">
        <x:v>0</x:v>
      </x:c>
      <x:c r="Z72" s="25" t="str">
        <x:v>not_modelled; leakage and replacement production pending</x:v>
      </x:c>
      <x:c r="AA72" s="25" t="str">
        <x:v>0</x:v>
      </x:c>
      <x:c r="AB72" s="25" t="str">
        <x:v>0</x:v>
      </x:c>
      <x:c r="AC72" s="25" t="str">
        <x:v>0</x:v>
      </x:c>
      <x:c r="AD72" s="37" t="str">
        <x:v>primary-route scope and site emissions not resolved</x:v>
      </x:c>
      <x:c r="AE72" s="37" t="str">
        <x:v>not_assessed</x:v>
      </x:c>
      <x:c r="AF72" s="37" t="str">
        <x:v>not_applicable</x:v>
      </x:c>
      <x:c r="AG72" s="37" t="str">
        <x:v>not_applicable</x:v>
      </x:c>
      <x:c r="AH72" s="37" t="str">
        <x:v>Not_modelled</x:v>
      </x:c>
      <x:c r="AI72" s="37" t="str">
        <x:v>D</x:v>
      </x:c>
      <x:c r="AJ72" s="37" t="str">
        <x:v>MCI_ESG_2025|MCI_WORKS_2026|NA</x:v>
      </x:c>
      <x:c r="AK72" s="37" t="str">
        <x:v>Zero modelled capital and abatement; emissions retained in uncovered residual</x:v>
      </x:c>
      <x:c r="AL72" s="37" t="str">
        <x:v>Allocated emissions retained; no transition result inferred.</x:v>
      </x:c>
    </x:row>
    <x:row r="73">
      <x:c r="A73" s="19" t="str">
        <x:v>MITSUI_CHEMICALS</x:v>
      </x:c>
      <x:c r="B73" s="19" t="str">
        <x:v>Mitsui Chemicals, Inc.</x:v>
      </x:c>
      <x:c r="C73" s="19" t="str">
        <x:v>JP_MCI_MOBARA</x:v>
      </x:c>
      <x:c r="D73" s="19" t="str">
        <x:v>Mobara Branch Factory</x:v>
      </x:c>
      <x:c r="E73" s="19" t="str">
        <x:v>Japan</x:v>
      </x:c>
      <x:c r="F73" s="19" t="str">
        <x:v>petrochemicals</x:v>
      </x:c>
      <x:c r="G73" s="19" t="str">
        <x:v>FY2024</x:v>
      </x:c>
      <x:c r="H73" s="19" t="str">
        <x:v>high</x:v>
      </x:c>
      <x:c r="I73" s="19" t="str">
        <x:v>out</x:v>
      </x:c>
      <x:c r="J73" s="19" t="str">
        <x:v>Allocated</x:v>
      </x:c>
      <x:c r="K73" s="25" t="str">
        <x:v>309520</x:v>
      </x:c>
      <x:c r="L73" s="25" t="str">
        <x:v>not_modelled_data_gap</x:v>
      </x:c>
      <x:c r="M73" s="25" t="str">
        <x:v>NA</x:v>
      </x:c>
      <x:c r="N73" s="25" t="str">
        <x:v>NA</x:v>
      </x:c>
      <x:c r="O73" s="45" t="str">
        <x:v>not_modelled</x:v>
      </x:c>
      <x:c r="P73" s="45" t="str">
        <x:v>Outside primary route scope in seed inventory</x:v>
      </x:c>
      <x:c r="Q73" s="45" t="str">
        <x:v>uncovered residual</x:v>
      </x:c>
      <x:c r="R73" s="45" t="str">
        <x:v>no</x:v>
      </x:c>
      <x:c r="S73" s="25" t="str">
        <x:v>none</x:v>
      </x:c>
      <x:c r="T73" s="25" t="str">
        <x:v>0</x:v>
      </x:c>
      <x:c r="U73" s="25" t="str">
        <x:v>not_applicable</x:v>
      </x:c>
      <x:c r="V73" s="25" t="str">
        <x:v>0</x:v>
      </x:c>
      <x:c r="W73" s="25" t="str">
        <x:v>0</x:v>
      </x:c>
      <x:c r="X73" s="25" t="str">
        <x:v>309520</x:v>
      </x:c>
      <x:c r="Y73" s="25" t="str">
        <x:v>0</x:v>
      </x:c>
      <x:c r="Z73" s="25" t="str">
        <x:v>not_modelled; leakage and replacement production pending</x:v>
      </x:c>
      <x:c r="AA73" s="25" t="str">
        <x:v>0</x:v>
      </x:c>
      <x:c r="AB73" s="25" t="str">
        <x:v>0</x:v>
      </x:c>
      <x:c r="AC73" s="25" t="str">
        <x:v>0</x:v>
      </x:c>
      <x:c r="AD73" s="37" t="str">
        <x:v>primary-route scope and site emissions not resolved</x:v>
      </x:c>
      <x:c r="AE73" s="37" t="str">
        <x:v>not_assessed</x:v>
      </x:c>
      <x:c r="AF73" s="37" t="str">
        <x:v>not_applicable</x:v>
      </x:c>
      <x:c r="AG73" s="37" t="str">
        <x:v>not_applicable</x:v>
      </x:c>
      <x:c r="AH73" s="37" t="str">
        <x:v>Not_modelled</x:v>
      </x:c>
      <x:c r="AI73" s="37" t="str">
        <x:v>D</x:v>
      </x:c>
      <x:c r="AJ73" s="37" t="str">
        <x:v>MCI_ESG_2025|MCI_WORKS_2026|NA</x:v>
      </x:c>
      <x:c r="AK73" s="37" t="str">
        <x:v>Zero modelled capital and abatement; emissions retained in uncovered residual</x:v>
      </x:c>
      <x:c r="AL73" s="37" t="str">
        <x:v>Allocated emissions retained; no transition result inferred.</x:v>
      </x:c>
    </x:row>
    <x:row r="74">
      <x:c r="A74" s="19" t="str">
        <x:v>MITSUI_CHEMICALS</x:v>
      </x:c>
      <x:c r="B74" s="19" t="str">
        <x:v>Mitsui Chemicals, Inc.</x:v>
      </x:c>
      <x:c r="C74" s="19" t="str">
        <x:v>JP_MCI_TOKUYAMA</x:v>
      </x:c>
      <x:c r="D74" s="19" t="str">
        <x:v>Tokuyama Branch Factory</x:v>
      </x:c>
      <x:c r="E74" s="19" t="str">
        <x:v>Japan</x:v>
      </x:c>
      <x:c r="F74" s="19" t="str">
        <x:v>petrochemicals</x:v>
      </x:c>
      <x:c r="G74" s="19" t="str">
        <x:v>FY2024</x:v>
      </x:c>
      <x:c r="H74" s="19" t="str">
        <x:v>low</x:v>
      </x:c>
      <x:c r="I74" s="19" t="str">
        <x:v>out</x:v>
      </x:c>
      <x:c r="J74" s="19" t="str">
        <x:v>Allocated</x:v>
      </x:c>
      <x:c r="K74" s="25" t="str">
        <x:v>38690</x:v>
      </x:c>
      <x:c r="L74" s="25" t="str">
        <x:v>not_modelled_data_gap</x:v>
      </x:c>
      <x:c r="M74" s="25" t="str">
        <x:v>NA</x:v>
      </x:c>
      <x:c r="N74" s="25" t="str">
        <x:v>NA</x:v>
      </x:c>
      <x:c r="O74" s="45" t="str">
        <x:v>not_modelled</x:v>
      </x:c>
      <x:c r="P74" s="45" t="str">
        <x:v>Outside primary route scope in seed inventory</x:v>
      </x:c>
      <x:c r="Q74" s="45" t="str">
        <x:v>uncovered residual</x:v>
      </x:c>
      <x:c r="R74" s="45" t="str">
        <x:v>no</x:v>
      </x:c>
      <x:c r="S74" s="25" t="str">
        <x:v>none</x:v>
      </x:c>
      <x:c r="T74" s="25" t="str">
        <x:v>0</x:v>
      </x:c>
      <x:c r="U74" s="25" t="str">
        <x:v>not_applicable</x:v>
      </x:c>
      <x:c r="V74" s="25" t="str">
        <x:v>0</x:v>
      </x:c>
      <x:c r="W74" s="25" t="str">
        <x:v>0</x:v>
      </x:c>
      <x:c r="X74" s="25" t="str">
        <x:v>38690</x:v>
      </x:c>
      <x:c r="Y74" s="25" t="str">
        <x:v>0</x:v>
      </x:c>
      <x:c r="Z74" s="25" t="str">
        <x:v>not_modelled; leakage and replacement production pending</x:v>
      </x:c>
      <x:c r="AA74" s="25" t="str">
        <x:v>0</x:v>
      </x:c>
      <x:c r="AB74" s="25" t="str">
        <x:v>0</x:v>
      </x:c>
      <x:c r="AC74" s="25" t="str">
        <x:v>0</x:v>
      </x:c>
      <x:c r="AD74" s="37" t="str">
        <x:v>primary-route scope and site emissions not resolved</x:v>
      </x:c>
      <x:c r="AE74" s="37" t="str">
        <x:v>not_assessed</x:v>
      </x:c>
      <x:c r="AF74" s="37" t="str">
        <x:v>not_applicable</x:v>
      </x:c>
      <x:c r="AG74" s="37" t="str">
        <x:v>not_applicable</x:v>
      </x:c>
      <x:c r="AH74" s="37" t="str">
        <x:v>Not_modelled</x:v>
      </x:c>
      <x:c r="AI74" s="37" t="str">
        <x:v>D</x:v>
      </x:c>
      <x:c r="AJ74" s="37" t="str">
        <x:v>MCI_ESG_2025|MCI_WORKS_2026|NA</x:v>
      </x:c>
      <x:c r="AK74" s="37" t="str">
        <x:v>Zero modelled capital and abatement; emissions retained in uncovered residual</x:v>
      </x:c>
      <x:c r="AL74" s="37" t="str">
        <x:v>Allocated emissions retained; no transition result inferred.</x:v>
      </x:c>
    </x:row>
    <x:row r="75">
      <x:c r="A75" s="19" t="str">
        <x:v>MITSUI_CHEMICALS</x:v>
      </x:c>
      <x:c r="B75" s="19" t="str">
        <x:v>Mitsui Chemicals, Inc.</x:v>
      </x:c>
      <x:c r="C75" s="19" t="str">
        <x:v>JP_MCI_TOKUYAMA</x:v>
      </x:c>
      <x:c r="D75" s="19" t="str">
        <x:v>Tokuyama Branch Factory</x:v>
      </x:c>
      <x:c r="E75" s="19" t="str">
        <x:v>Japan</x:v>
      </x:c>
      <x:c r="F75" s="19" t="str">
        <x:v>petrochemicals</x:v>
      </x:c>
      <x:c r="G75" s="19" t="str">
        <x:v>FY2024</x:v>
      </x:c>
      <x:c r="H75" s="19" t="str">
        <x:v>base</x:v>
      </x:c>
      <x:c r="I75" s="19" t="str">
        <x:v>out</x:v>
      </x:c>
      <x:c r="J75" s="19" t="str">
        <x:v>Allocated</x:v>
      </x:c>
      <x:c r="K75" s="25" t="str">
        <x:v>154760</x:v>
      </x:c>
      <x:c r="L75" s="25" t="str">
        <x:v>not_modelled_data_gap</x:v>
      </x:c>
      <x:c r="M75" s="25" t="str">
        <x:v>NA</x:v>
      </x:c>
      <x:c r="N75" s="25" t="str">
        <x:v>NA</x:v>
      </x:c>
      <x:c r="O75" s="45" t="str">
        <x:v>not_modelled</x:v>
      </x:c>
      <x:c r="P75" s="45" t="str">
        <x:v>Outside primary route scope in seed inventory</x:v>
      </x:c>
      <x:c r="Q75" s="45" t="str">
        <x:v>uncovered residual</x:v>
      </x:c>
      <x:c r="R75" s="45" t="str">
        <x:v>no</x:v>
      </x:c>
      <x:c r="S75" s="25" t="str">
        <x:v>none</x:v>
      </x:c>
      <x:c r="T75" s="25" t="str">
        <x:v>0</x:v>
      </x:c>
      <x:c r="U75" s="25" t="str">
        <x:v>not_applicable</x:v>
      </x:c>
      <x:c r="V75" s="25" t="str">
        <x:v>0</x:v>
      </x:c>
      <x:c r="W75" s="25" t="str">
        <x:v>0</x:v>
      </x:c>
      <x:c r="X75" s="25" t="str">
        <x:v>154760</x:v>
      </x:c>
      <x:c r="Y75" s="25" t="str">
        <x:v>0</x:v>
      </x:c>
      <x:c r="Z75" s="25" t="str">
        <x:v>not_modelled; leakage and replacement production pending</x:v>
      </x:c>
      <x:c r="AA75" s="25" t="str">
        <x:v>0</x:v>
      </x:c>
      <x:c r="AB75" s="25" t="str">
        <x:v>0</x:v>
      </x:c>
      <x:c r="AC75" s="25" t="str">
        <x:v>0</x:v>
      </x:c>
      <x:c r="AD75" s="37" t="str">
        <x:v>primary-route scope and site emissions not resolved</x:v>
      </x:c>
      <x:c r="AE75" s="37" t="str">
        <x:v>not_assessed</x:v>
      </x:c>
      <x:c r="AF75" s="37" t="str">
        <x:v>not_applicable</x:v>
      </x:c>
      <x:c r="AG75" s="37" t="str">
        <x:v>not_applicable</x:v>
      </x:c>
      <x:c r="AH75" s="37" t="str">
        <x:v>Not_modelled</x:v>
      </x:c>
      <x:c r="AI75" s="37" t="str">
        <x:v>D</x:v>
      </x:c>
      <x:c r="AJ75" s="37" t="str">
        <x:v>MCI_ESG_2025|MCI_WORKS_2026|NA</x:v>
      </x:c>
      <x:c r="AK75" s="37" t="str">
        <x:v>Zero modelled capital and abatement; emissions retained in uncovered residual</x:v>
      </x:c>
      <x:c r="AL75" s="37" t="str">
        <x:v>Allocated emissions retained; no transition result inferred.</x:v>
      </x:c>
    </x:row>
    <x:row r="76">
      <x:c r="A76" s="20" t="str">
        <x:v>MITSUI_CHEMICALS</x:v>
      </x:c>
      <x:c r="B76" s="20" t="str">
        <x:v>Mitsui Chemicals, Inc.</x:v>
      </x:c>
      <x:c r="C76" s="20" t="str">
        <x:v>JP_MCI_TOKUYAMA</x:v>
      </x:c>
      <x:c r="D76" s="20" t="str">
        <x:v>Tokuyama Branch Factory</x:v>
      </x:c>
      <x:c r="E76" s="20" t="str">
        <x:v>Japan</x:v>
      </x:c>
      <x:c r="F76" s="20" t="str">
        <x:v>petrochemicals</x:v>
      </x:c>
      <x:c r="G76" s="20" t="str">
        <x:v>FY2024</x:v>
      </x:c>
      <x:c r="H76" s="20" t="str">
        <x:v>high</x:v>
      </x:c>
      <x:c r="I76" s="20" t="str">
        <x:v>out</x:v>
      </x:c>
      <x:c r="J76" s="20" t="str">
        <x:v>Allocated</x:v>
      </x:c>
      <x:c r="K76" s="26" t="str">
        <x:v>270830</x:v>
      </x:c>
      <x:c r="L76" s="26" t="str">
        <x:v>not_modelled_data_gap</x:v>
      </x:c>
      <x:c r="M76" s="26" t="str">
        <x:v>NA</x:v>
      </x:c>
      <x:c r="N76" s="26" t="str">
        <x:v>NA</x:v>
      </x:c>
      <x:c r="O76" s="46" t="str">
        <x:v>not_modelled</x:v>
      </x:c>
      <x:c r="P76" s="46" t="str">
        <x:v>Outside primary route scope in seed inventory</x:v>
      </x:c>
      <x:c r="Q76" s="46" t="str">
        <x:v>uncovered residual</x:v>
      </x:c>
      <x:c r="R76" s="46" t="str">
        <x:v>no</x:v>
      </x:c>
      <x:c r="S76" s="26" t="str">
        <x:v>none</x:v>
      </x:c>
      <x:c r="T76" s="26" t="str">
        <x:v>0</x:v>
      </x:c>
      <x:c r="U76" s="26" t="str">
        <x:v>not_applicable</x:v>
      </x:c>
      <x:c r="V76" s="26" t="str">
        <x:v>0</x:v>
      </x:c>
      <x:c r="W76" s="26" t="str">
        <x:v>0</x:v>
      </x:c>
      <x:c r="X76" s="26" t="str">
        <x:v>270830</x:v>
      </x:c>
      <x:c r="Y76" s="26" t="str">
        <x:v>0</x:v>
      </x:c>
      <x:c r="Z76" s="26" t="str">
        <x:v>not_modelled; leakage and replacement production pending</x:v>
      </x:c>
      <x:c r="AA76" s="26" t="str">
        <x:v>0</x:v>
      </x:c>
      <x:c r="AB76" s="26" t="str">
        <x:v>0</x:v>
      </x:c>
      <x:c r="AC76" s="26" t="str">
        <x:v>0</x:v>
      </x:c>
      <x:c r="AD76" s="38" t="str">
        <x:v>primary-route scope and site emissions not resolved</x:v>
      </x:c>
      <x:c r="AE76" s="38" t="str">
        <x:v>not_assessed</x:v>
      </x:c>
      <x:c r="AF76" s="38" t="str">
        <x:v>not_applicable</x:v>
      </x:c>
      <x:c r="AG76" s="38" t="str">
        <x:v>not_applicable</x:v>
      </x:c>
      <x:c r="AH76" s="38" t="str">
        <x:v>Not_modelled</x:v>
      </x:c>
      <x:c r="AI76" s="38" t="str">
        <x:v>D</x:v>
      </x:c>
      <x:c r="AJ76" s="38" t="str">
        <x:v>MCI_ESG_2025|MCI_WORKS_2026|NA</x:v>
      </x:c>
      <x:c r="AK76" s="38" t="str">
        <x:v>Zero modelled capital and abatement; emissions retained in uncovered residual</x:v>
      </x:c>
      <x:c r="AL76" s="38" t="str">
        <x:v>Allocated emissions retained; no transition result inferred.</x:v>
      </x:c>
    </x:row>
  </x:sheetData>
  <x:pageMargins left="0.7" right="0.7" top="0.75" bottom="0.75" header="0.3" footer="0.3"/>
  <x:tableParts count="1">
    <x:tablePart xmlns:r="http://schemas.openxmlformats.org/officeDocument/2006/relationships" r:id="Racd25bbb247942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</x:cols>
  <x:sheetData>
    <x:row r="1">
      <x:c r="A1" s="8" t="str">
        <x:v>facility_id</x:v>
      </x:c>
      <x:c r="B1" s="8" t="str">
        <x:v>selected_route</x:v>
      </x:c>
      <x:c r="C1" s="8" t="str">
        <x:v>decision_horizon</x:v>
      </x:c>
      <x:c r="D1" s="8" t="str">
        <x:v>readiness_year</x:v>
      </x:c>
      <x:c r="E1" s="8" t="str">
        <x:v>facility_status</x:v>
      </x:c>
      <x:c r="F1" s="8" t="str">
        <x:v>status_basis</x:v>
      </x:c>
      <x:c r="G1" s="8" t="str">
        <x:v>action_view</x:v>
      </x:c>
      <x:c r="H1" s="8" t="str">
        <x:v>modelled_flag</x:v>
      </x:c>
      <x:c r="I1" s="8" t="str">
        <x:v>capex_driver</x:v>
      </x:c>
      <x:c r="J1" s="8" t="str">
        <x:v>capex_intensity_low</x:v>
      </x:c>
      <x:c r="K1" s="8" t="str">
        <x:v>capex_intensity_base</x:v>
      </x:c>
      <x:c r="L1" s="8" t="str">
        <x:v>capex_intensity_high</x:v>
      </x:c>
      <x:c r="M1" s="8" t="str">
        <x:v>capex_unit</x:v>
      </x:c>
      <x:c r="N1" s="8" t="str">
        <x:v>abatement_fraction_low</x:v>
      </x:c>
      <x:c r="O1" s="8" t="str">
        <x:v>abatement_fraction_base</x:v>
      </x:c>
      <x:c r="P1" s="8" t="str">
        <x:v>abatement_fraction_high</x:v>
      </x:c>
      <x:c r="Q1" s="8" t="str">
        <x:v>currency</x:v>
      </x:c>
      <x:c r="R1" s="8" t="str">
        <x:v>price_year</x:v>
      </x:c>
      <x:c r="S1" s="8" t="str">
        <x:v>value_type</x:v>
      </x:c>
      <x:c r="T1" s="8" t="str">
        <x:v>quality_flag</x:v>
      </x:c>
      <x:c r="U1" s="8" t="str">
        <x:v>source_id</x:v>
      </x:c>
      <x:c r="V1" s="8" t="str">
        <x:v>formula_or_method</x:v>
      </x:c>
      <x:c r="W1" s="8" t="str">
        <x:v>binding_constraint</x:v>
      </x:c>
      <x:c r="X1" s="8" t="str">
        <x:v>dominant_common_factor</x:v>
      </x:c>
      <x:c r="Y1" s="8" t="str">
        <x:v>notes</x:v>
      </x:c>
    </x:row>
    <x:row r="2">
      <x:c r="A2" s="18" t="str">
        <x:v>KR_POSCO_POHANG</x:v>
      </x:c>
      <x:c r="B2" s="18" t="str">
        <x:v>steel_h2_dri_eaf</x:v>
      </x:c>
      <x:c r="C2" s="18" t="str">
        <x:v>2040</x:v>
      </x:c>
      <x:c r="D2" s="18" t="str">
        <x:v>2035</x:v>
      </x:c>
      <x:c r="E2" s="18" t="str">
        <x:v>contract-dependent</x:v>
      </x:c>
      <x:c r="F2" s="36" t="str">
        <x:v>screening placeholder; full cost-gap and robustness test pending</x:v>
      </x:c>
      <x:c r="G2" s="36" t="str">
        <x:v>contract before commitment</x:v>
      </x:c>
      <x:c r="H2" s="36" t="str">
        <x:v>yes</x:v>
      </x:c>
      <x:c r="I2" s="18" t="str">
        <x:v>activity</x:v>
      </x:c>
      <x:c r="J2" s="50" t="str">
        <x:v>500</x:v>
      </x:c>
      <x:c r="K2" s="50" t="str">
        <x:v>800</x:v>
      </x:c>
      <x:c r="L2" s="50" t="str">
        <x:v>1200</x:v>
      </x:c>
      <x:c r="M2" s="50" t="str">
        <x:v>USD_2025/t annual output</x:v>
      </x:c>
      <x:c r="N2" s="50" t="str">
        <x:v>0.50</x:v>
      </x:c>
      <x:c r="O2" s="50" t="str">
        <x:v>0.75</x:v>
      </x:c>
      <x:c r="P2" s="50" t="str">
        <x:v>0.95</x:v>
      </x:c>
      <x:c r="Q2" s="18" t="str">
        <x:v>USD</x:v>
      </x:c>
      <x:c r="R2" s="18" t="str">
        <x:v>2025</x:v>
      </x:c>
      <x:c r="S2" s="18" t="str">
        <x:v>Estimated</x:v>
      </x:c>
      <x:c r="T2" s="18" t="str">
        <x:v>D</x:v>
      </x:c>
      <x:c r="U2" s="18" t="str">
        <x:v>POSCO_ESG_2025|POSCO_CLIMATE_2026|NEDO_H2_STEEL_2026|IEA_STEEL_BREAKTHROUGH_2025</x:v>
      </x:c>
      <x:c r="V2" s="36" t="str">
        <x:v>Case CAPEX equals case facility activity times analyst route intensity; operational abatement equals case baseline GHG times case reduction fraction</x:v>
      </x:c>
      <x:c r="W2" s="36" t="str">
        <x:v>commercial HyREX scale; clean hydrogen and power infrastructure</x:v>
      </x:c>
      <x:c r="X2" s="36" t="str">
        <x:v>hydrogen and clean electricity</x:v>
      </x:c>
      <x:c r="Y2" s="36" t="str">
        <x:v>CAPEX intensity is an output-first screening proxy, not a published POSCO or IEA project cost.</x:v>
      </x:c>
    </x:row>
    <x:row r="3">
      <x:c r="A3" s="19" t="str">
        <x:v>KR_POSCO_GWANGYANG</x:v>
      </x:c>
      <x:c r="B3" s="19" t="str">
        <x:v>steel_scrap_eaf</x:v>
      </x:c>
      <x:c r="C3" s="19" t="str">
        <x:v>2030</x:v>
      </x:c>
      <x:c r="D3" s="19" t="str">
        <x:v>2026</x:v>
      </x:c>
      <x:c r="E3" s="19" t="str">
        <x:v>price-conditional</x:v>
      </x:c>
      <x:c r="F3" s="37" t="str">
        <x:v>screening placeholder; full cost-gap and robustness test pending</x:v>
      </x:c>
      <x:c r="G3" s="37" t="str">
        <x:v>allocate/prepare now subject to power and scrap price</x:v>
      </x:c>
      <x:c r="H3" s="37" t="str">
        <x:v>yes</x:v>
      </x:c>
      <x:c r="I3" s="19" t="str">
        <x:v>activity</x:v>
      </x:c>
      <x:c r="J3" s="51" t="str">
        <x:v>150</x:v>
      </x:c>
      <x:c r="K3" s="51" t="str">
        <x:v>300</x:v>
      </x:c>
      <x:c r="L3" s="51" t="str">
        <x:v>500</x:v>
      </x:c>
      <x:c r="M3" s="51" t="str">
        <x:v>USD_2025/t annual output</x:v>
      </x:c>
      <x:c r="N3" s="51" t="str">
        <x:v>0.60</x:v>
      </x:c>
      <x:c r="O3" s="51" t="str">
        <x:v>0.75</x:v>
      </x:c>
      <x:c r="P3" s="51" t="str">
        <x:v>0.75</x:v>
      </x:c>
      <x:c r="Q3" s="19" t="str">
        <x:v>USD</x:v>
      </x:c>
      <x:c r="R3" s="19" t="str">
        <x:v>2025</x:v>
      </x:c>
      <x:c r="S3" s="19" t="str">
        <x:v>Estimated</x:v>
      </x:c>
      <x:c r="T3" s="19" t="str">
        <x:v>D</x:v>
      </x:c>
      <x:c r="U3" s="19" t="str">
        <x:v>POSCO_ESG_2025|POSCO_CLIMATE_2026</x:v>
      </x:c>
      <x:c r="V3" s="37" t="str">
        <x:v>Case CAPEX equals case facility activity times analyst EAF retrofit/new-build intensity; operational abatement equals case baseline GHG times case reduction fraction</x:v>
      </x:c>
      <x:c r="W3" s="37" t="str">
        <x:v>scrap quantity/quality and clean-power connection</x:v>
      </x:c>
      <x:c r="X3" s="37" t="str">
        <x:v>scrap and electricity</x:v>
      </x:c>
      <x:c r="Y3" s="37" t="str">
        <x:v>2026 timing and up-to-75% reduction are official POSCO markers; CAPEX and downside range are analyst estimates.</x:v>
      </x:c>
    </x:row>
    <x:row r="4">
      <x:c r="A4" s="19" t="str">
        <x:v>JP_NSC_MURORAN</x:v>
      </x:c>
      <x:c r="B4" s="19" t="str">
        <x:v>steel_h2_dri_eaf</x:v>
      </x:c>
      <x:c r="C4" s="19" t="str">
        <x:v>2040</x:v>
      </x:c>
      <x:c r="D4" s="19" t="str">
        <x:v>2035</x:v>
      </x:c>
      <x:c r="E4" s="19" t="str">
        <x:v>contract-dependent</x:v>
      </x:c>
      <x:c r="F4" s="37" t="str">
        <x:v>screening placeholder; full cost-gap and robustness test pending</x:v>
      </x:c>
      <x:c r="G4" s="37" t="str">
        <x:v>contract before commitment</x:v>
      </x:c>
      <x:c r="H4" s="37" t="str">
        <x:v>yes</x:v>
      </x:c>
      <x:c r="I4" s="19" t="str">
        <x:v>activity</x:v>
      </x:c>
      <x:c r="J4" s="51" t="str">
        <x:v>500</x:v>
      </x:c>
      <x:c r="K4" s="51" t="str">
        <x:v>800</x:v>
      </x:c>
      <x:c r="L4" s="51" t="str">
        <x:v>1200</x:v>
      </x:c>
      <x:c r="M4" s="51" t="str">
        <x:v>USD_2025/t annual output</x:v>
      </x:c>
      <x:c r="N4" s="51" t="str">
        <x:v>0.50</x:v>
      </x:c>
      <x:c r="O4" s="51" t="str">
        <x:v>0.75</x:v>
      </x:c>
      <x:c r="P4" s="51" t="str">
        <x:v>0.95</x:v>
      </x:c>
      <x:c r="Q4" s="19" t="str">
        <x:v>USD</x:v>
      </x:c>
      <x:c r="R4" s="19" t="str">
        <x:v>2025</x:v>
      </x:c>
      <x:c r="S4" s="19" t="str">
        <x:v>Estimated</x:v>
      </x:c>
      <x:c r="T4" s="19" t="str">
        <x:v>D</x:v>
      </x:c>
      <x:c r="U4" s="19" t="str">
        <x:v>NSC_DB_2025|NEDO_H2_STEEL_2026|IEA_STEEL_BREAKTHROUGH_2025</x:v>
      </x:c>
      <x:c r="V4" s="37" t="str">
        <x:v>Case CAPEX equals reported case activity times analyst H2-DRI-EAF intensity; operational abatement equals allocated case GHG times case reduction fraction</x:v>
      </x:c>
      <x:c r="W4" s="37" t="str">
        <x:v>hydrogen, DRI-grade ore and clean-power infrastructure</x:v>
      </x:c>
      <x:c r="X4" s="37" t="str">
        <x:v>hydrogen and clean electricity</x:v>
      </x:c>
      <x:c r="Y4" s="37" t="str">
        <x:v>Screening route; blast-furnace timing and product-quality constraints remain unresolved.</x:v>
      </x:c>
    </x:row>
    <x:row r="5">
      <x:c r="A5" s="19" t="str">
        <x:v>JP_NSC_KASHIMA</x:v>
      </x:c>
      <x:c r="B5" s="19" t="str">
        <x:v>steel_h2_dri_eaf</x:v>
      </x:c>
      <x:c r="C5" s="19" t="str">
        <x:v>2040</x:v>
      </x:c>
      <x:c r="D5" s="19" t="str">
        <x:v>2035</x:v>
      </x:c>
      <x:c r="E5" s="19" t="str">
        <x:v>contract-dependent</x:v>
      </x:c>
      <x:c r="F5" s="37" t="str">
        <x:v>screening placeholder; full cost-gap and robustness test pending</x:v>
      </x:c>
      <x:c r="G5" s="37" t="str">
        <x:v>contract before commitment</x:v>
      </x:c>
      <x:c r="H5" s="37" t="str">
        <x:v>yes</x:v>
      </x:c>
      <x:c r="I5" s="19" t="str">
        <x:v>activity</x:v>
      </x:c>
      <x:c r="J5" s="51" t="str">
        <x:v>500</x:v>
      </x:c>
      <x:c r="K5" s="51" t="str">
        <x:v>800</x:v>
      </x:c>
      <x:c r="L5" s="51" t="str">
        <x:v>1200</x:v>
      </x:c>
      <x:c r="M5" s="51" t="str">
        <x:v>USD_2025/t annual output</x:v>
      </x:c>
      <x:c r="N5" s="51" t="str">
        <x:v>0.50</x:v>
      </x:c>
      <x:c r="O5" s="51" t="str">
        <x:v>0.75</x:v>
      </x:c>
      <x:c r="P5" s="51" t="str">
        <x:v>0.95</x:v>
      </x:c>
      <x:c r="Q5" s="19" t="str">
        <x:v>USD</x:v>
      </x:c>
      <x:c r="R5" s="19" t="str">
        <x:v>2025</x:v>
      </x:c>
      <x:c r="S5" s="19" t="str">
        <x:v>Estimated</x:v>
      </x:c>
      <x:c r="T5" s="19" t="str">
        <x:v>D</x:v>
      </x:c>
      <x:c r="U5" s="19" t="str">
        <x:v>NSC_DB_2025|NEDO_H2_STEEL_2026|IEA_STEEL_BREAKTHROUGH_2025</x:v>
      </x:c>
      <x:c r="V5" s="37" t="str">
        <x:v>Case CAPEX equals reported case activity times analyst H2-DRI-EAF intensity; operational abatement equals allocated case GHG times case reduction fraction</x:v>
      </x:c>
      <x:c r="W5" s="37" t="str">
        <x:v>hydrogen, DRI-grade ore and clean-power infrastructure</x:v>
      </x:c>
      <x:c r="X5" s="37" t="str">
        <x:v>hydrogen and clean electricity</x:v>
      </x:c>
      <x:c r="Y5" s="37" t="str">
        <x:v>Screening route; blast-furnace timing and product-quality constraints remain unresolved.</x:v>
      </x:c>
    </x:row>
    <x:row r="6">
      <x:c r="A6" s="19" t="str">
        <x:v>JP_NSC_KIMITSU</x:v>
      </x:c>
      <x:c r="B6" s="19" t="str">
        <x:v>steel_h2_dri_eaf</x:v>
      </x:c>
      <x:c r="C6" s="19" t="str">
        <x:v>2040</x:v>
      </x:c>
      <x:c r="D6" s="19" t="str">
        <x:v>2035</x:v>
      </x:c>
      <x:c r="E6" s="19" t="str">
        <x:v>contract-dependent</x:v>
      </x:c>
      <x:c r="F6" s="37" t="str">
        <x:v>screening placeholder; full cost-gap and robustness test pending</x:v>
      </x:c>
      <x:c r="G6" s="37" t="str">
        <x:v>contract before commitment</x:v>
      </x:c>
      <x:c r="H6" s="37" t="str">
        <x:v>yes</x:v>
      </x:c>
      <x:c r="I6" s="19" t="str">
        <x:v>activity</x:v>
      </x:c>
      <x:c r="J6" s="51" t="str">
        <x:v>500</x:v>
      </x:c>
      <x:c r="K6" s="51" t="str">
        <x:v>800</x:v>
      </x:c>
      <x:c r="L6" s="51" t="str">
        <x:v>1200</x:v>
      </x:c>
      <x:c r="M6" s="51" t="str">
        <x:v>USD_2025/t annual output</x:v>
      </x:c>
      <x:c r="N6" s="51" t="str">
        <x:v>0.50</x:v>
      </x:c>
      <x:c r="O6" s="51" t="str">
        <x:v>0.75</x:v>
      </x:c>
      <x:c r="P6" s="51" t="str">
        <x:v>0.95</x:v>
      </x:c>
      <x:c r="Q6" s="19" t="str">
        <x:v>USD</x:v>
      </x:c>
      <x:c r="R6" s="19" t="str">
        <x:v>2025</x:v>
      </x:c>
      <x:c r="S6" s="19" t="str">
        <x:v>Estimated</x:v>
      </x:c>
      <x:c r="T6" s="19" t="str">
        <x:v>D</x:v>
      </x:c>
      <x:c r="U6" s="19" t="str">
        <x:v>NSC_DB_2025|NEDO_H2_STEEL_2026|IEA_STEEL_BREAKTHROUGH_2025</x:v>
      </x:c>
      <x:c r="V6" s="37" t="str">
        <x:v>Case CAPEX equals reported case activity times analyst H2-DRI-EAF intensity; operational abatement equals allocated case GHG times case reduction fraction</x:v>
      </x:c>
      <x:c r="W6" s="37" t="str">
        <x:v>hydrogen, DRI-grade ore and clean-power infrastructure</x:v>
      </x:c>
      <x:c r="X6" s="37" t="str">
        <x:v>hydrogen and clean electricity</x:v>
      </x:c>
      <x:c r="Y6" s="37" t="str">
        <x:v>Screening route; blast-furnace timing and product-quality constraints remain unresolved.</x:v>
      </x:c>
    </x:row>
    <x:row r="7">
      <x:c r="A7" s="19" t="str">
        <x:v>JP_NSC_NAGOYA</x:v>
      </x:c>
      <x:c r="B7" s="19" t="str">
        <x:v>steel_h2_dri_eaf</x:v>
      </x:c>
      <x:c r="C7" s="19" t="str">
        <x:v>2040</x:v>
      </x:c>
      <x:c r="D7" s="19" t="str">
        <x:v>2035</x:v>
      </x:c>
      <x:c r="E7" s="19" t="str">
        <x:v>contract-dependent</x:v>
      </x:c>
      <x:c r="F7" s="37" t="str">
        <x:v>screening placeholder; full cost-gap and robustness test pending</x:v>
      </x:c>
      <x:c r="G7" s="37" t="str">
        <x:v>contract before commitment</x:v>
      </x:c>
      <x:c r="H7" s="37" t="str">
        <x:v>yes</x:v>
      </x:c>
      <x:c r="I7" s="19" t="str">
        <x:v>activity</x:v>
      </x:c>
      <x:c r="J7" s="51" t="str">
        <x:v>500</x:v>
      </x:c>
      <x:c r="K7" s="51" t="str">
        <x:v>800</x:v>
      </x:c>
      <x:c r="L7" s="51" t="str">
        <x:v>1200</x:v>
      </x:c>
      <x:c r="M7" s="51" t="str">
        <x:v>USD_2025/t annual output</x:v>
      </x:c>
      <x:c r="N7" s="51" t="str">
        <x:v>0.50</x:v>
      </x:c>
      <x:c r="O7" s="51" t="str">
        <x:v>0.75</x:v>
      </x:c>
      <x:c r="P7" s="51" t="str">
        <x:v>0.95</x:v>
      </x:c>
      <x:c r="Q7" s="19" t="str">
        <x:v>USD</x:v>
      </x:c>
      <x:c r="R7" s="19" t="str">
        <x:v>2025</x:v>
      </x:c>
      <x:c r="S7" s="19" t="str">
        <x:v>Estimated</x:v>
      </x:c>
      <x:c r="T7" s="19" t="str">
        <x:v>D</x:v>
      </x:c>
      <x:c r="U7" s="19" t="str">
        <x:v>NSC_DB_2025|NEDO_H2_STEEL_2026|IEA_STEEL_BREAKTHROUGH_2025</x:v>
      </x:c>
      <x:c r="V7" s="37" t="str">
        <x:v>Case CAPEX equals reported case activity times analyst H2-DRI-EAF intensity; operational abatement equals allocated case GHG times case reduction fraction</x:v>
      </x:c>
      <x:c r="W7" s="37" t="str">
        <x:v>hydrogen, DRI-grade ore and clean-power infrastructure</x:v>
      </x:c>
      <x:c r="X7" s="37" t="str">
        <x:v>hydrogen and clean electricity</x:v>
      </x:c>
      <x:c r="Y7" s="37" t="str">
        <x:v>Screening route; blast-furnace timing and product-quality constraints remain unresolved.</x:v>
      </x:c>
    </x:row>
    <x:row r="8">
      <x:c r="A8" s="19" t="str">
        <x:v>JP_NSC_WAKAYAMA</x:v>
      </x:c>
      <x:c r="B8" s="19" t="str">
        <x:v>steel_h2_dri_eaf</x:v>
      </x:c>
      <x:c r="C8" s="19" t="str">
        <x:v>2040</x:v>
      </x:c>
      <x:c r="D8" s="19" t="str">
        <x:v>2035</x:v>
      </x:c>
      <x:c r="E8" s="19" t="str">
        <x:v>contract-dependent</x:v>
      </x:c>
      <x:c r="F8" s="37" t="str">
        <x:v>screening placeholder; full cost-gap and robustness test pending</x:v>
      </x:c>
      <x:c r="G8" s="37" t="str">
        <x:v>contract before commitment</x:v>
      </x:c>
      <x:c r="H8" s="37" t="str">
        <x:v>yes</x:v>
      </x:c>
      <x:c r="I8" s="19" t="str">
        <x:v>activity</x:v>
      </x:c>
      <x:c r="J8" s="51" t="str">
        <x:v>500</x:v>
      </x:c>
      <x:c r="K8" s="51" t="str">
        <x:v>800</x:v>
      </x:c>
      <x:c r="L8" s="51" t="str">
        <x:v>1200</x:v>
      </x:c>
      <x:c r="M8" s="51" t="str">
        <x:v>USD_2025/t annual output</x:v>
      </x:c>
      <x:c r="N8" s="51" t="str">
        <x:v>0.50</x:v>
      </x:c>
      <x:c r="O8" s="51" t="str">
        <x:v>0.75</x:v>
      </x:c>
      <x:c r="P8" s="51" t="str">
        <x:v>0.95</x:v>
      </x:c>
      <x:c r="Q8" s="19" t="str">
        <x:v>USD</x:v>
      </x:c>
      <x:c r="R8" s="19" t="str">
        <x:v>2025</x:v>
      </x:c>
      <x:c r="S8" s="19" t="str">
        <x:v>Estimated</x:v>
      </x:c>
      <x:c r="T8" s="19" t="str">
        <x:v>D</x:v>
      </x:c>
      <x:c r="U8" s="19" t="str">
        <x:v>NSC_DB_2025|NEDO_H2_STEEL_2026|IEA_STEEL_BREAKTHROUGH_2025</x:v>
      </x:c>
      <x:c r="V8" s="37" t="str">
        <x:v>Case CAPEX equals reported case activity times analyst H2-DRI-EAF intensity; operational abatement equals allocated case GHG times case reduction fraction</x:v>
      </x:c>
      <x:c r="W8" s="37" t="str">
        <x:v>hydrogen, DRI-grade ore and clean-power infrastructure</x:v>
      </x:c>
      <x:c r="X8" s="37" t="str">
        <x:v>hydrogen and clean electricity</x:v>
      </x:c>
      <x:c r="Y8" s="37" t="str">
        <x:v>Screening route; blast-furnace timing and product-quality constraints remain unresolved.</x:v>
      </x:c>
    </x:row>
    <x:row r="9">
      <x:c r="A9" s="19" t="str">
        <x:v>JP_NSC_OSAKA</x:v>
      </x:c>
      <x:c r="B9" s="19" t="str">
        <x:v>steel_eaf_efficiency</x:v>
      </x:c>
      <x:c r="C9" s="19" t="str">
        <x:v>2030</x:v>
      </x:c>
      <x:c r="D9" s="19" t="str">
        <x:v>2030</x:v>
      </x:c>
      <x:c r="E9" s="19" t="str">
        <x:v>price-conditional</x:v>
      </x:c>
      <x:c r="F9" s="37" t="str">
        <x:v>screening placeholder; route boundary and full cost-gap test pending</x:v>
      </x:c>
      <x:c r="G9" s="37" t="str">
        <x:v>allocate/prepare now subject to electricity price</x:v>
      </x:c>
      <x:c r="H9" s="37" t="str">
        <x:v>yes</x:v>
      </x:c>
      <x:c r="I9" s="19" t="str">
        <x:v>activity</x:v>
      </x:c>
      <x:c r="J9" s="51" t="str">
        <x:v>25</x:v>
      </x:c>
      <x:c r="K9" s="51" t="str">
        <x:v>50</x:v>
      </x:c>
      <x:c r="L9" s="51" t="str">
        <x:v>100</x:v>
      </x:c>
      <x:c r="M9" s="51" t="str">
        <x:v>USD_2025/t annual output</x:v>
      </x:c>
      <x:c r="N9" s="51" t="str">
        <x:v>0.05</x:v>
      </x:c>
      <x:c r="O9" s="51" t="str">
        <x:v>0.10</x:v>
      </x:c>
      <x:c r="P9" s="51" t="str">
        <x:v>0.15</x:v>
      </x:c>
      <x:c r="Q9" s="19" t="str">
        <x:v>USD</x:v>
      </x:c>
      <x:c r="R9" s="19" t="str">
        <x:v>2025</x:v>
      </x:c>
      <x:c r="S9" s="19" t="str">
        <x:v>Estimated</x:v>
      </x:c>
      <x:c r="T9" s="19" t="str">
        <x:v>D</x:v>
      </x:c>
      <x:c r="U9" s="19" t="str">
        <x:v>NSC_DB_2025|POSCO_CLIMATE_2026</x:v>
      </x:c>
      <x:c r="V9" s="37" t="str">
        <x:v>Case CAPEX equals reported activity times analyst efficiency intensity; operational abatement equals allocated case GHG times analyst range around the 10% POSCO scrap-use marker</x:v>
      </x:c>
      <x:c r="W9" s="37" t="str">
        <x:v>route/equipment definition and electricity sourcing</x:v>
      </x:c>
      <x:c r="X9" s="37" t="str">
        <x:v>electricity</x:v>
      </x:c>
      <x:c r="Y9" s="37" t="str">
        <x:v>Cross-company proxy used only for an output-first specialty/electric-route screen.</x:v>
      </x:c>
    </x:row>
    <x:row r="10">
      <x:c r="A10" s="19" t="str">
        <x:v>JP_NSC_HIROHATA</x:v>
      </x:c>
      <x:c r="B10" s="19" t="str">
        <x:v>steel_eaf_efficiency</x:v>
      </x:c>
      <x:c r="C10" s="19" t="str">
        <x:v>2030</x:v>
      </x:c>
      <x:c r="D10" s="19" t="str">
        <x:v>2030</x:v>
      </x:c>
      <x:c r="E10" s="19" t="str">
        <x:v>price-conditional</x:v>
      </x:c>
      <x:c r="F10" s="37" t="str">
        <x:v>screening placeholder; route boundary and full cost-gap test pending</x:v>
      </x:c>
      <x:c r="G10" s="37" t="str">
        <x:v>allocate/prepare now subject to electricity price</x:v>
      </x:c>
      <x:c r="H10" s="37" t="str">
        <x:v>yes</x:v>
      </x:c>
      <x:c r="I10" s="19" t="str">
        <x:v>activity</x:v>
      </x:c>
      <x:c r="J10" s="51" t="str">
        <x:v>25</x:v>
      </x:c>
      <x:c r="K10" s="51" t="str">
        <x:v>50</x:v>
      </x:c>
      <x:c r="L10" s="51" t="str">
        <x:v>100</x:v>
      </x:c>
      <x:c r="M10" s="51" t="str">
        <x:v>USD_2025/t annual output</x:v>
      </x:c>
      <x:c r="N10" s="51" t="str">
        <x:v>0.05</x:v>
      </x:c>
      <x:c r="O10" s="51" t="str">
        <x:v>0.10</x:v>
      </x:c>
      <x:c r="P10" s="51" t="str">
        <x:v>0.15</x:v>
      </x:c>
      <x:c r="Q10" s="19" t="str">
        <x:v>USD</x:v>
      </x:c>
      <x:c r="R10" s="19" t="str">
        <x:v>2025</x:v>
      </x:c>
      <x:c r="S10" s="19" t="str">
        <x:v>Estimated</x:v>
      </x:c>
      <x:c r="T10" s="19" t="str">
        <x:v>D</x:v>
      </x:c>
      <x:c r="U10" s="19" t="str">
        <x:v>NSC_DB_2025|POSCO_CLIMATE_2026</x:v>
      </x:c>
      <x:c r="V10" s="37" t="str">
        <x:v>Case CAPEX equals reported activity times analyst efficiency intensity; operational abatement equals allocated case GHG times analyst range around the 10% POSCO scrap-use marker</x:v>
      </x:c>
      <x:c r="W10" s="37" t="str">
        <x:v>route/equipment definition and electricity sourcing</x:v>
      </x:c>
      <x:c r="X10" s="37" t="str">
        <x:v>electricity</x:v>
      </x:c>
      <x:c r="Y10" s="37" t="str">
        <x:v>Cross-company proxy used only for an output-first specialty/electric-route screen.</x:v>
      </x:c>
    </x:row>
    <x:row r="11">
      <x:c r="A11" s="19" t="str">
        <x:v>JP_NSC_HIKARI</x:v>
      </x:c>
      <x:c r="B11" s="19" t="str">
        <x:v>steel_eaf_efficiency</x:v>
      </x:c>
      <x:c r="C11" s="19" t="str">
        <x:v>2030</x:v>
      </x:c>
      <x:c r="D11" s="19" t="str">
        <x:v>2030</x:v>
      </x:c>
      <x:c r="E11" s="19" t="str">
        <x:v>price-conditional</x:v>
      </x:c>
      <x:c r="F11" s="37" t="str">
        <x:v>screening placeholder; route boundary and full cost-gap test pending</x:v>
      </x:c>
      <x:c r="G11" s="37" t="str">
        <x:v>allocate/prepare now subject to electricity price</x:v>
      </x:c>
      <x:c r="H11" s="37" t="str">
        <x:v>yes</x:v>
      </x:c>
      <x:c r="I11" s="19" t="str">
        <x:v>activity</x:v>
      </x:c>
      <x:c r="J11" s="51" t="str">
        <x:v>25</x:v>
      </x:c>
      <x:c r="K11" s="51" t="str">
        <x:v>50</x:v>
      </x:c>
      <x:c r="L11" s="51" t="str">
        <x:v>100</x:v>
      </x:c>
      <x:c r="M11" s="51" t="str">
        <x:v>USD_2025/t annual output</x:v>
      </x:c>
      <x:c r="N11" s="51" t="str">
        <x:v>0.05</x:v>
      </x:c>
      <x:c r="O11" s="51" t="str">
        <x:v>0.10</x:v>
      </x:c>
      <x:c r="P11" s="51" t="str">
        <x:v>0.15</x:v>
      </x:c>
      <x:c r="Q11" s="19" t="str">
        <x:v>USD</x:v>
      </x:c>
      <x:c r="R11" s="19" t="str">
        <x:v>2025</x:v>
      </x:c>
      <x:c r="S11" s="19" t="str">
        <x:v>Estimated</x:v>
      </x:c>
      <x:c r="T11" s="19" t="str">
        <x:v>D</x:v>
      </x:c>
      <x:c r="U11" s="19" t="str">
        <x:v>NSC_DB_2025|POSCO_CLIMATE_2026</x:v>
      </x:c>
      <x:c r="V11" s="37" t="str">
        <x:v>Case CAPEX equals reported activity times analyst efficiency intensity; operational abatement equals allocated case GHG times analyst range around the 10% POSCO scrap-use marker</x:v>
      </x:c>
      <x:c r="W11" s="37" t="str">
        <x:v>route/equipment definition and electricity sourcing</x:v>
      </x:c>
      <x:c r="X11" s="37" t="str">
        <x:v>electricity</x:v>
      </x:c>
      <x:c r="Y11" s="37" t="str">
        <x:v>Cross-company proxy used only for an output-first specialty/electric-route screen.</x:v>
      </x:c>
    </x:row>
    <x:row r="12">
      <x:c r="A12" s="19" t="str">
        <x:v>JP_NSC_SHUNAN</x:v>
      </x:c>
      <x:c r="B12" s="19" t="str">
        <x:v>steel_eaf_efficiency</x:v>
      </x:c>
      <x:c r="C12" s="19" t="str">
        <x:v>2030</x:v>
      </x:c>
      <x:c r="D12" s="19" t="str">
        <x:v>2030</x:v>
      </x:c>
      <x:c r="E12" s="19" t="str">
        <x:v>price-conditional</x:v>
      </x:c>
      <x:c r="F12" s="37" t="str">
        <x:v>screening placeholder; route boundary and full cost-gap test pending</x:v>
      </x:c>
      <x:c r="G12" s="37" t="str">
        <x:v>allocate/prepare now subject to electricity price</x:v>
      </x:c>
      <x:c r="H12" s="37" t="str">
        <x:v>yes</x:v>
      </x:c>
      <x:c r="I12" s="19" t="str">
        <x:v>activity</x:v>
      </x:c>
      <x:c r="J12" s="51" t="str">
        <x:v>25</x:v>
      </x:c>
      <x:c r="K12" s="51" t="str">
        <x:v>50</x:v>
      </x:c>
      <x:c r="L12" s="51" t="str">
        <x:v>100</x:v>
      </x:c>
      <x:c r="M12" s="51" t="str">
        <x:v>USD_2025/t annual output</x:v>
      </x:c>
      <x:c r="N12" s="51" t="str">
        <x:v>0.05</x:v>
      </x:c>
      <x:c r="O12" s="51" t="str">
        <x:v>0.10</x:v>
      </x:c>
      <x:c r="P12" s="51" t="str">
        <x:v>0.15</x:v>
      </x:c>
      <x:c r="Q12" s="19" t="str">
        <x:v>USD</x:v>
      </x:c>
      <x:c r="R12" s="19" t="str">
        <x:v>2025</x:v>
      </x:c>
      <x:c r="S12" s="19" t="str">
        <x:v>Estimated</x:v>
      </x:c>
      <x:c r="T12" s="19" t="str">
        <x:v>D</x:v>
      </x:c>
      <x:c r="U12" s="19" t="str">
        <x:v>NSC_DB_2025|POSCO_CLIMATE_2026</x:v>
      </x:c>
      <x:c r="V12" s="37" t="str">
        <x:v>Case CAPEX equals reported activity times analyst efficiency intensity; operational abatement equals allocated case GHG times analyst range around the 10% POSCO scrap-use marker</x:v>
      </x:c>
      <x:c r="W12" s="37" t="str">
        <x:v>route/equipment definition and electricity sourcing</x:v>
      </x:c>
      <x:c r="X12" s="37" t="str">
        <x:v>electricity</x:v>
      </x:c>
      <x:c r="Y12" s="37" t="str">
        <x:v>Cross-company proxy used only for an output-first specialty/electric-route screen.</x:v>
      </x:c>
    </x:row>
    <x:row r="13">
      <x:c r="A13" s="19" t="str">
        <x:v>JP_NSC_YAWATA</x:v>
      </x:c>
      <x:c r="B13" s="19" t="str">
        <x:v>steel_h2_dri_eaf</x:v>
      </x:c>
      <x:c r="C13" s="19" t="str">
        <x:v>2040</x:v>
      </x:c>
      <x:c r="D13" s="19" t="str">
        <x:v>2035</x:v>
      </x:c>
      <x:c r="E13" s="19" t="str">
        <x:v>contract-dependent</x:v>
      </x:c>
      <x:c r="F13" s="37" t="str">
        <x:v>screening placeholder; full cost-gap and robustness test pending</x:v>
      </x:c>
      <x:c r="G13" s="37" t="str">
        <x:v>contract before commitment</x:v>
      </x:c>
      <x:c r="H13" s="37" t="str">
        <x:v>yes</x:v>
      </x:c>
      <x:c r="I13" s="19" t="str">
        <x:v>activity</x:v>
      </x:c>
      <x:c r="J13" s="51" t="str">
        <x:v>500</x:v>
      </x:c>
      <x:c r="K13" s="51" t="str">
        <x:v>800</x:v>
      </x:c>
      <x:c r="L13" s="51" t="str">
        <x:v>1200</x:v>
      </x:c>
      <x:c r="M13" s="51" t="str">
        <x:v>USD_2025/t annual output</x:v>
      </x:c>
      <x:c r="N13" s="51" t="str">
        <x:v>0.50</x:v>
      </x:c>
      <x:c r="O13" s="51" t="str">
        <x:v>0.75</x:v>
      </x:c>
      <x:c r="P13" s="51" t="str">
        <x:v>0.95</x:v>
      </x:c>
      <x:c r="Q13" s="19" t="str">
        <x:v>USD</x:v>
      </x:c>
      <x:c r="R13" s="19" t="str">
        <x:v>2025</x:v>
      </x:c>
      <x:c r="S13" s="19" t="str">
        <x:v>Estimated</x:v>
      </x:c>
      <x:c r="T13" s="19" t="str">
        <x:v>D</x:v>
      </x:c>
      <x:c r="U13" s="19" t="str">
        <x:v>NSC_DB_2025|NEDO_H2_STEEL_2026|IEA_STEEL_BREAKTHROUGH_2025</x:v>
      </x:c>
      <x:c r="V13" s="37" t="str">
        <x:v>Case CAPEX equals reported case activity times analyst H2-DRI-EAF intensity; operational abatement equals allocated case GHG times case reduction fraction</x:v>
      </x:c>
      <x:c r="W13" s="37" t="str">
        <x:v>hydrogen, DRI-grade ore and clean-power infrastructure</x:v>
      </x:c>
      <x:c r="X13" s="37" t="str">
        <x:v>hydrogen and clean electricity</x:v>
      </x:c>
      <x:c r="Y13" s="37" t="str">
        <x:v>Screening route; blast-furnace timing and product-quality constraints remain unresolved.</x:v>
      </x:c>
    </x:row>
    <x:row r="14">
      <x:c r="A14" s="19" t="str">
        <x:v>JP_NSC_OITA</x:v>
      </x:c>
      <x:c r="B14" s="19" t="str">
        <x:v>steel_h2_dri_eaf</x:v>
      </x:c>
      <x:c r="C14" s="19" t="str">
        <x:v>2040</x:v>
      </x:c>
      <x:c r="D14" s="19" t="str">
        <x:v>2035</x:v>
      </x:c>
      <x:c r="E14" s="19" t="str">
        <x:v>contract-dependent</x:v>
      </x:c>
      <x:c r="F14" s="37" t="str">
        <x:v>screening placeholder; full cost-gap and robustness test pending</x:v>
      </x:c>
      <x:c r="G14" s="37" t="str">
        <x:v>contract before commitment</x:v>
      </x:c>
      <x:c r="H14" s="37" t="str">
        <x:v>yes</x:v>
      </x:c>
      <x:c r="I14" s="19" t="str">
        <x:v>activity</x:v>
      </x:c>
      <x:c r="J14" s="51" t="str">
        <x:v>500</x:v>
      </x:c>
      <x:c r="K14" s="51" t="str">
        <x:v>800</x:v>
      </x:c>
      <x:c r="L14" s="51" t="str">
        <x:v>1200</x:v>
      </x:c>
      <x:c r="M14" s="51" t="str">
        <x:v>USD_2025/t annual output</x:v>
      </x:c>
      <x:c r="N14" s="51" t="str">
        <x:v>0.50</x:v>
      </x:c>
      <x:c r="O14" s="51" t="str">
        <x:v>0.75</x:v>
      </x:c>
      <x:c r="P14" s="51" t="str">
        <x:v>0.95</x:v>
      </x:c>
      <x:c r="Q14" s="19" t="str">
        <x:v>USD</x:v>
      </x:c>
      <x:c r="R14" s="19" t="str">
        <x:v>2025</x:v>
      </x:c>
      <x:c r="S14" s="19" t="str">
        <x:v>Estimated</x:v>
      </x:c>
      <x:c r="T14" s="19" t="str">
        <x:v>D</x:v>
      </x:c>
      <x:c r="U14" s="19" t="str">
        <x:v>NSC_DB_2025|NEDO_H2_STEEL_2026|IEA_STEEL_BREAKTHROUGH_2025</x:v>
      </x:c>
      <x:c r="V14" s="37" t="str">
        <x:v>Case CAPEX equals reported case activity times analyst H2-DRI-EAF intensity; operational abatement equals allocated case GHG times case reduction fraction</x:v>
      </x:c>
      <x:c r="W14" s="37" t="str">
        <x:v>hydrogen, DRI-grade ore and clean-power infrastructure</x:v>
      </x:c>
      <x:c r="X14" s="37" t="str">
        <x:v>hydrogen and clean electricity</x:v>
      </x:c>
      <x:c r="Y14" s="37" t="str">
        <x:v>Screening route; blast-furnace timing and product-quality constraints remain unresolved.</x:v>
      </x:c>
    </x:row>
    <x:row r="15">
      <x:c r="A15" s="19" t="str">
        <x:v>KR_LOTTE_YEOSU_BASIC</x:v>
      </x:c>
      <x:c r="B15" s="19" t="str">
        <x:v>petchem_electrified_cracker</x:v>
      </x:c>
      <x:c r="C15" s="19" t="str">
        <x:v>2040</x:v>
      </x:c>
      <x:c r="D15" s="19" t="str">
        <x:v>2035</x:v>
      </x:c>
      <x:c r="E15" s="19" t="str">
        <x:v>level-support-dependent</x:v>
      </x:c>
      <x:c r="F15" s="37" t="str">
        <x:v>screening placeholder; no full levelised-cost or support test</x:v>
      </x:c>
      <x:c r="G15" s="37" t="str">
        <x:v>secure level support before commitment</x:v>
      </x:c>
      <x:c r="H15" s="37" t="str">
        <x:v>yes</x:v>
      </x:c>
      <x:c r="I15" s="19" t="str">
        <x:v>abatement</x:v>
      </x:c>
      <x:c r="J15" s="51" t="str">
        <x:v>200</x:v>
      </x:c>
      <x:c r="K15" s="51" t="str">
        <x:v>300</x:v>
      </x:c>
      <x:c r="L15" s="51" t="str">
        <x:v>500</x:v>
      </x:c>
      <x:c r="M15" s="51" t="str">
        <x:v>USD_2025/(tCO2 annual abatement)</x:v>
      </x:c>
      <x:c r="N15" s="51" t="str">
        <x:v>0.30</x:v>
      </x:c>
      <x:c r="O15" s="51" t="str">
        <x:v>0.50</x:v>
      </x:c>
      <x:c r="P15" s="51" t="str">
        <x:v>0.70</x:v>
      </x:c>
      <x:c r="Q15" s="19" t="str">
        <x:v>USD</x:v>
      </x:c>
      <x:c r="R15" s="19" t="str">
        <x:v>2025</x:v>
      </x:c>
      <x:c r="S15" s="19" t="str">
        <x:v>Estimated</x:v>
      </x:c>
      <x:c r="T15" s="19" t="str">
        <x:v>D</x:v>
      </x:c>
      <x:c r="U15" s="19" t="str">
        <x:v>LOTTE_ESG_2025|IEA_CTG_2026|IEA_PETCHEM_COST_2018|MCI_WEST_JAPAN_2026</x:v>
      </x:c>
      <x:c r="V15" s="37" t="str">
        <x:v>Operational abatement equals reported case GHG times case reduction fraction; CAPEX equals operational abatement times analyst capital-per-annual-abatement proxy</x:v>
      </x:c>
      <x:c r="W15" s="37" t="str">
        <x:v>furnace coverage, clean-power connection and product allocation</x:v>
      </x:c>
      <x:c r="X15" s="37" t="str">
        <x:v>electricity and technology cost</x:v>
      </x:c>
      <x:c r="Y15" s="37" t="str">
        <x:v>Capital intensity is an analyst 2025 USD screening range informed by the multi-company western-Japan project ratio; not a LOTTE quote.</x:v>
      </x:c>
    </x:row>
    <x:row r="16">
      <x:c r="A16" s="19" t="str">
        <x:v>KR_LOTTE_YEOSU_ADVANCED</x:v>
      </x:c>
      <x:c r="B16" s="19" t="str">
        <x:v>not_modelled_data_gap</x:v>
      </x:c>
      <x:c r="C16" s="19" t="str">
        <x:v>NA</x:v>
      </x:c>
      <x:c r="D16" s="19" t="str">
        <x:v>NA</x:v>
      </x:c>
      <x:c r="E16" s="19" t="str">
        <x:v>not_modelled</x:v>
      </x:c>
      <x:c r="F16" s="37" t="str">
        <x:v>Outside primary cracker scope in seed inventory</x:v>
      </x:c>
      <x:c r="G16" s="37" t="str">
        <x:v>uncovered residual</x:v>
      </x:c>
      <x:c r="H16" s="37" t="str">
        <x:v>no</x:v>
      </x:c>
      <x:c r="I16" s="19" t="str">
        <x:v>none</x:v>
      </x:c>
      <x:c r="J16" s="51" t="str">
        <x:v>0</x:v>
      </x:c>
      <x:c r="K16" s="51" t="str">
        <x:v>0</x:v>
      </x:c>
      <x:c r="L16" s="51" t="str">
        <x:v>0</x:v>
      </x:c>
      <x:c r="M16" s="51" t="str">
        <x:v>not_applicable</x:v>
      </x:c>
      <x:c r="N16" s="51" t="str">
        <x:v>0</x:v>
      </x:c>
      <x:c r="O16" s="51" t="str">
        <x:v>0</x:v>
      </x:c>
      <x:c r="P16" s="51" t="str">
        <x:v>0</x:v>
      </x:c>
      <x:c r="Q16" s="19" t="str">
        <x:v>not_applicable</x:v>
      </x:c>
      <x:c r="R16" s="19" t="str">
        <x:v>not_applicable</x:v>
      </x:c>
      <x:c r="S16" s="19" t="str">
        <x:v>NA</x:v>
      </x:c>
      <x:c r="T16" s="19" t="str">
        <x:v>D</x:v>
      </x:c>
      <x:c r="U16" s="19" t="str">
        <x:v>LOTTE_ESG_2025</x:v>
      </x:c>
      <x:c r="V16" s="37" t="str">
        <x:v>Zero modelled capital and abatement; emissions retained in uncovered residual</x:v>
      </x:c>
      <x:c r="W16" s="37" t="str">
        <x:v>primary-route scope not established</x:v>
      </x:c>
      <x:c r="X16" s="37" t="str">
        <x:v>not_assessed</x:v>
      </x:c>
      <x:c r="Y16" s="37" t="str">
        <x:v>Reported emissions retained; no transition result inferred.</x:v>
      </x:c>
    </x:row>
    <x:row r="17">
      <x:c r="A17" s="19" t="str">
        <x:v>KR_LOTTE_DAESAN</x:v>
      </x:c>
      <x:c r="B17" s="19" t="str">
        <x:v>petchem_electrified_cracker</x:v>
      </x:c>
      <x:c r="C17" s="19" t="str">
        <x:v>2040</x:v>
      </x:c>
      <x:c r="D17" s="19" t="str">
        <x:v>2035</x:v>
      </x:c>
      <x:c r="E17" s="19" t="str">
        <x:v>level-support-dependent</x:v>
      </x:c>
      <x:c r="F17" s="37" t="str">
        <x:v>screening placeholder; no full levelised-cost or support test</x:v>
      </x:c>
      <x:c r="G17" s="37" t="str">
        <x:v>secure level support before commitment</x:v>
      </x:c>
      <x:c r="H17" s="37" t="str">
        <x:v>yes</x:v>
      </x:c>
      <x:c r="I17" s="19" t="str">
        <x:v>abatement</x:v>
      </x:c>
      <x:c r="J17" s="51" t="str">
        <x:v>200</x:v>
      </x:c>
      <x:c r="K17" s="51" t="str">
        <x:v>300</x:v>
      </x:c>
      <x:c r="L17" s="51" t="str">
        <x:v>500</x:v>
      </x:c>
      <x:c r="M17" s="51" t="str">
        <x:v>USD_2025/(tCO2 annual abatement)</x:v>
      </x:c>
      <x:c r="N17" s="51" t="str">
        <x:v>0.30</x:v>
      </x:c>
      <x:c r="O17" s="51" t="str">
        <x:v>0.50</x:v>
      </x:c>
      <x:c r="P17" s="51" t="str">
        <x:v>0.70</x:v>
      </x:c>
      <x:c r="Q17" s="19" t="str">
        <x:v>USD</x:v>
      </x:c>
      <x:c r="R17" s="19" t="str">
        <x:v>2025</x:v>
      </x:c>
      <x:c r="S17" s="19" t="str">
        <x:v>Estimated</x:v>
      </x:c>
      <x:c r="T17" s="19" t="str">
        <x:v>D</x:v>
      </x:c>
      <x:c r="U17" s="19" t="str">
        <x:v>LOTTE_ESG_2025|IEA_CTG_2026|IEA_PETCHEM_COST_2018|MCI_WEST_JAPAN_2026</x:v>
      </x:c>
      <x:c r="V17" s="37" t="str">
        <x:v>Operational abatement equals reported case GHG times case reduction fraction; CAPEX equals operational abatement times analyst capital-per-annual-abatement proxy</x:v>
      </x:c>
      <x:c r="W17" s="37" t="str">
        <x:v>furnace coverage, clean-power connection and post-transaction ownership</x:v>
      </x:c>
      <x:c r="X17" s="37" t="str">
        <x:v>electricity, technology cost and ownership</x:v>
      </x:c>
      <x:c r="Y17" s="37" t="str">
        <x:v>Pre-2026 ownership baseline; ownership restructuring requires a separate scenario.</x:v>
      </x:c>
    </x:row>
    <x:row r="18">
      <x:c r="A18" s="19" t="str">
        <x:v>KR_LOTTE_ULSAN</x:v>
      </x:c>
      <x:c r="B18" s="19" t="str">
        <x:v>petchem_electrified_cracker</x:v>
      </x:c>
      <x:c r="C18" s="19" t="str">
        <x:v>2040</x:v>
      </x:c>
      <x:c r="D18" s="19" t="str">
        <x:v>2035</x:v>
      </x:c>
      <x:c r="E18" s="19" t="str">
        <x:v>level-support-dependent</x:v>
      </x:c>
      <x:c r="F18" s="37" t="str">
        <x:v>screening placeholder; no full levelised-cost or support test</x:v>
      </x:c>
      <x:c r="G18" s="37" t="str">
        <x:v>secure level support before commitment</x:v>
      </x:c>
      <x:c r="H18" s="37" t="str">
        <x:v>yes</x:v>
      </x:c>
      <x:c r="I18" s="19" t="str">
        <x:v>abatement</x:v>
      </x:c>
      <x:c r="J18" s="51" t="str">
        <x:v>200</x:v>
      </x:c>
      <x:c r="K18" s="51" t="str">
        <x:v>300</x:v>
      </x:c>
      <x:c r="L18" s="51" t="str">
        <x:v>500</x:v>
      </x:c>
      <x:c r="M18" s="51" t="str">
        <x:v>USD_2025/(tCO2 annual abatement)</x:v>
      </x:c>
      <x:c r="N18" s="51" t="str">
        <x:v>0.30</x:v>
      </x:c>
      <x:c r="O18" s="51" t="str">
        <x:v>0.50</x:v>
      </x:c>
      <x:c r="P18" s="51" t="str">
        <x:v>0.70</x:v>
      </x:c>
      <x:c r="Q18" s="19" t="str">
        <x:v>USD</x:v>
      </x:c>
      <x:c r="R18" s="19" t="str">
        <x:v>2025</x:v>
      </x:c>
      <x:c r="S18" s="19" t="str">
        <x:v>Estimated</x:v>
      </x:c>
      <x:c r="T18" s="19" t="str">
        <x:v>D</x:v>
      </x:c>
      <x:c r="U18" s="19" t="str">
        <x:v>LOTTE_ESG_2025|IEA_CTG_2026|IEA_PETCHEM_COST_2018|MCI_WEST_JAPAN_2026</x:v>
      </x:c>
      <x:c r="V18" s="37" t="str">
        <x:v>Operational abatement equals reported case GHG times case reduction fraction; CAPEX equals operational abatement times analyst capital-per-annual-abatement proxy</x:v>
      </x:c>
      <x:c r="W18" s="37" t="str">
        <x:v>process boundary and clean-power connection</x:v>
      </x:c>
      <x:c r="X18" s="37" t="str">
        <x:v>electricity and technology cost</x:v>
      </x:c>
      <x:c r="Y18" s="37" t="str">
        <x:v>Aromatics/downstream route fit is provisional.</x:v>
      </x:c>
    </x:row>
    <x:row r="19">
      <x:c r="A19" s="19" t="str">
        <x:v>KR_LOTTE_OTHER</x:v>
      </x:c>
      <x:c r="B19" s="19" t="str">
        <x:v>not_modelled_data_gap</x:v>
      </x:c>
      <x:c r="C19" s="19" t="str">
        <x:v>NA</x:v>
      </x:c>
      <x:c r="D19" s="19" t="str">
        <x:v>NA</x:v>
      </x:c>
      <x:c r="E19" s="19" t="str">
        <x:v>not_modelled</x:v>
      </x:c>
      <x:c r="F19" s="37" t="str">
        <x:v>Outside primary route scope in seed inventory</x:v>
      </x:c>
      <x:c r="G19" s="37" t="str">
        <x:v>uncovered residual</x:v>
      </x:c>
      <x:c r="H19" s="37" t="str">
        <x:v>no</x:v>
      </x:c>
      <x:c r="I19" s="19" t="str">
        <x:v>none</x:v>
      </x:c>
      <x:c r="J19" s="51" t="str">
        <x:v>0</x:v>
      </x:c>
      <x:c r="K19" s="51" t="str">
        <x:v>0</x:v>
      </x:c>
      <x:c r="L19" s="51" t="str">
        <x:v>0</x:v>
      </x:c>
      <x:c r="M19" s="51" t="str">
        <x:v>not_applicable</x:v>
      </x:c>
      <x:c r="N19" s="51" t="str">
        <x:v>0</x:v>
      </x:c>
      <x:c r="O19" s="51" t="str">
        <x:v>0</x:v>
      </x:c>
      <x:c r="P19" s="51" t="str">
        <x:v>0</x:v>
      </x:c>
      <x:c r="Q19" s="19" t="str">
        <x:v>not_applicable</x:v>
      </x:c>
      <x:c r="R19" s="19" t="str">
        <x:v>not_applicable</x:v>
      </x:c>
      <x:c r="S19" s="19" t="str">
        <x:v>NA</x:v>
      </x:c>
      <x:c r="T19" s="19" t="str">
        <x:v>D</x:v>
      </x:c>
      <x:c r="U19" s="19" t="str">
        <x:v>LOTTE_ESG_2025</x:v>
      </x:c>
      <x:c r="V19" s="37" t="str">
        <x:v>Zero modelled capital and abatement; emissions retained in uncovered residual</x:v>
      </x:c>
      <x:c r="W19" s="37" t="str">
        <x:v>facility identity and route not resolved</x:v>
      </x:c>
      <x:c r="X19" s="37" t="str">
        <x:v>not_assessed</x:v>
      </x:c>
      <x:c r="Y19" s="37" t="str">
        <x:v>Reported emissions retained; no transition result inferred.</x:v>
      </x:c>
    </x:row>
    <x:row r="20">
      <x:c r="A20" s="19" t="str">
        <x:v>JP_MCI_ICHIHARA</x:v>
      </x:c>
      <x:c r="B20" s="19" t="str">
        <x:v>petchem_electrified_cracker</x:v>
      </x:c>
      <x:c r="C20" s="19" t="str">
        <x:v>2040</x:v>
      </x:c>
      <x:c r="D20" s="19" t="str">
        <x:v>2035</x:v>
      </x:c>
      <x:c r="E20" s="19" t="str">
        <x:v>level-support-dependent</x:v>
      </x:c>
      <x:c r="F20" s="37" t="str">
        <x:v>screening placeholder; no full levelised-cost or support test</x:v>
      </x:c>
      <x:c r="G20" s="37" t="str">
        <x:v>secure level support before commitment</x:v>
      </x:c>
      <x:c r="H20" s="37" t="str">
        <x:v>yes</x:v>
      </x:c>
      <x:c r="I20" s="19" t="str">
        <x:v>abatement</x:v>
      </x:c>
      <x:c r="J20" s="51" t="str">
        <x:v>200</x:v>
      </x:c>
      <x:c r="K20" s="51" t="str">
        <x:v>300</x:v>
      </x:c>
      <x:c r="L20" s="51" t="str">
        <x:v>500</x:v>
      </x:c>
      <x:c r="M20" s="51" t="str">
        <x:v>USD_2025/(tCO2 annual abatement)</x:v>
      </x:c>
      <x:c r="N20" s="51" t="str">
        <x:v>0.30</x:v>
      </x:c>
      <x:c r="O20" s="51" t="str">
        <x:v>0.50</x:v>
      </x:c>
      <x:c r="P20" s="51" t="str">
        <x:v>0.70</x:v>
      </x:c>
      <x:c r="Q20" s="19" t="str">
        <x:v>USD</x:v>
      </x:c>
      <x:c r="R20" s="19" t="str">
        <x:v>2025</x:v>
      </x:c>
      <x:c r="S20" s="19" t="str">
        <x:v>Estimated</x:v>
      </x:c>
      <x:c r="T20" s="19" t="str">
        <x:v>D</x:v>
      </x:c>
      <x:c r="U20" s="19" t="str">
        <x:v>MCI_ESG_2025|MCI_WORKS_2026|IEA_CTG_2026|IEA_PETCHEM_COST_2018|MCI_WEST_JAPAN_2026</x:v>
      </x:c>
      <x:c r="V20" s="37" t="str">
        <x:v>Operational abatement equals allocated case GHG times case reduction fraction; CAPEX equals operational abatement times analyst capital-per-annual-abatement proxy</x:v>
      </x:c>
      <x:c r="W20" s="37" t="str">
        <x:v>cracker attribution, furnace coverage and clean-power connection</x:v>
      </x:c>
      <x:c r="X20" s="37" t="str">
        <x:v>electricity and technology cost</x:v>
      </x:c>
      <x:c r="Y20" s="37" t="str">
        <x:v>Facility emissions are allocated from parent total; result is screening-only.</x:v>
      </x:c>
    </x:row>
    <x:row r="21">
      <x:c r="A21" s="19" t="str">
        <x:v>JP_MCI_OSAKA</x:v>
      </x:c>
      <x:c r="B21" s="19" t="str">
        <x:v>petchem_electrified_cracker</x:v>
      </x:c>
      <x:c r="C21" s="19" t="str">
        <x:v>2040</x:v>
      </x:c>
      <x:c r="D21" s="19" t="str">
        <x:v>2035</x:v>
      </x:c>
      <x:c r="E21" s="19" t="str">
        <x:v>level-support-dependent</x:v>
      </x:c>
      <x:c r="F21" s="37" t="str">
        <x:v>screening placeholder; no full levelised-cost or support test</x:v>
      </x:c>
      <x:c r="G21" s="37" t="str">
        <x:v>secure level support before commitment</x:v>
      </x:c>
      <x:c r="H21" s="37" t="str">
        <x:v>yes</x:v>
      </x:c>
      <x:c r="I21" s="19" t="str">
        <x:v>abatement</x:v>
      </x:c>
      <x:c r="J21" s="51" t="str">
        <x:v>200</x:v>
      </x:c>
      <x:c r="K21" s="51" t="str">
        <x:v>300</x:v>
      </x:c>
      <x:c r="L21" s="51" t="str">
        <x:v>500</x:v>
      </x:c>
      <x:c r="M21" s="51" t="str">
        <x:v>USD_2025/(tCO2 annual abatement)</x:v>
      </x:c>
      <x:c r="N21" s="51" t="str">
        <x:v>0.30</x:v>
      </x:c>
      <x:c r="O21" s="51" t="str">
        <x:v>0.50</x:v>
      </x:c>
      <x:c r="P21" s="51" t="str">
        <x:v>0.70</x:v>
      </x:c>
      <x:c r="Q21" s="19" t="str">
        <x:v>USD</x:v>
      </x:c>
      <x:c r="R21" s="19" t="str">
        <x:v>2025</x:v>
      </x:c>
      <x:c r="S21" s="19" t="str">
        <x:v>Estimated</x:v>
      </x:c>
      <x:c r="T21" s="19" t="str">
        <x:v>D</x:v>
      </x:c>
      <x:c r="U21" s="19" t="str">
        <x:v>MCI_ESG_2025|MCI_WORKS_2026|IEA_CTG_2026|IEA_PETCHEM_COST_2018|MCI_WEST_JAPAN_2026</x:v>
      </x:c>
      <x:c r="V21" s="37" t="str">
        <x:v>Operational abatement equals allocated case GHG times case reduction fraction; CAPEX equals operational abatement times analyst capital-per-annual-abatement proxy</x:v>
      </x:c>
      <x:c r="W21" s="37" t="str">
        <x:v>JV attribution, consolidation boundary and clean-power connection</x:v>
      </x:c>
      <x:c r="X21" s="37" t="str">
        <x:v>electricity, technology cost and JV rights</x:v>
      </x:c>
      <x:c r="Y21" s="37" t="str">
        <x:v>Western-Japan project is retained as a validation benchmark; its full JPY 21.2bn is not assigned to Mitsui Osaka.</x:v>
      </x:c>
    </x:row>
    <x:row r="22">
      <x:c r="A22" s="19" t="str">
        <x:v>JP_MCI_IWAKUNI</x:v>
      </x:c>
      <x:c r="B22" s="19" t="str">
        <x:v>petchem_electrified_cracker</x:v>
      </x:c>
      <x:c r="C22" s="19" t="str">
        <x:v>2040</x:v>
      </x:c>
      <x:c r="D22" s="19" t="str">
        <x:v>2035</x:v>
      </x:c>
      <x:c r="E22" s="19" t="str">
        <x:v>level-support-dependent</x:v>
      </x:c>
      <x:c r="F22" s="37" t="str">
        <x:v>screening placeholder; route materiality and support test pending</x:v>
      </x:c>
      <x:c r="G22" s="37" t="str">
        <x:v>secure level support before commitment</x:v>
      </x:c>
      <x:c r="H22" s="37" t="str">
        <x:v>yes</x:v>
      </x:c>
      <x:c r="I22" s="19" t="str">
        <x:v>abatement</x:v>
      </x:c>
      <x:c r="J22" s="51" t="str">
        <x:v>200</x:v>
      </x:c>
      <x:c r="K22" s="51" t="str">
        <x:v>300</x:v>
      </x:c>
      <x:c r="L22" s="51" t="str">
        <x:v>500</x:v>
      </x:c>
      <x:c r="M22" s="51" t="str">
        <x:v>USD_2025/(tCO2 annual abatement)</x:v>
      </x:c>
      <x:c r="N22" s="51" t="str">
        <x:v>0.30</x:v>
      </x:c>
      <x:c r="O22" s="51" t="str">
        <x:v>0.50</x:v>
      </x:c>
      <x:c r="P22" s="51" t="str">
        <x:v>0.70</x:v>
      </x:c>
      <x:c r="Q22" s="19" t="str">
        <x:v>USD</x:v>
      </x:c>
      <x:c r="R22" s="19" t="str">
        <x:v>2025</x:v>
      </x:c>
      <x:c r="S22" s="19" t="str">
        <x:v>Estimated</x:v>
      </x:c>
      <x:c r="T22" s="19" t="str">
        <x:v>D</x:v>
      </x:c>
      <x:c r="U22" s="19" t="str">
        <x:v>MCI_ESG_2025|MCI_WORKS_2026|IEA_CTG_2026|IEA_PETCHEM_COST_2018|MCI_WEST_JAPAN_2026</x:v>
      </x:c>
      <x:c r="V22" s="37" t="str">
        <x:v>Operational abatement equals allocated case GHG times case reduction fraction; CAPEX equals operational abatement times analyst capital-per-annual-abatement proxy</x:v>
      </x:c>
      <x:c r="W22" s="37" t="str">
        <x:v>process-route materiality and clean-power connection</x:v>
      </x:c>
      <x:c r="X22" s="37" t="str">
        <x:v>electricity and technology cost</x:v>
      </x:c>
      <x:c r="Y22" s="37" t="str">
        <x:v>Facility emissions and route fit are allocated/estimated.</x:v>
      </x:c>
    </x:row>
    <x:row r="23">
      <x:c r="A23" s="19" t="str">
        <x:v>JP_MCI_OMUTA</x:v>
      </x:c>
      <x:c r="B23" s="19" t="str">
        <x:v>petchem_electrified_cracker</x:v>
      </x:c>
      <x:c r="C23" s="19" t="str">
        <x:v>2040</x:v>
      </x:c>
      <x:c r="D23" s="19" t="str">
        <x:v>2035</x:v>
      </x:c>
      <x:c r="E23" s="19" t="str">
        <x:v>level-support-dependent</x:v>
      </x:c>
      <x:c r="F23" s="37" t="str">
        <x:v>screening placeholder; route materiality and support test pending</x:v>
      </x:c>
      <x:c r="G23" s="37" t="str">
        <x:v>secure level support before commitment</x:v>
      </x:c>
      <x:c r="H23" s="37" t="str">
        <x:v>yes</x:v>
      </x:c>
      <x:c r="I23" s="19" t="str">
        <x:v>abatement</x:v>
      </x:c>
      <x:c r="J23" s="51" t="str">
        <x:v>200</x:v>
      </x:c>
      <x:c r="K23" s="51" t="str">
        <x:v>300</x:v>
      </x:c>
      <x:c r="L23" s="51" t="str">
        <x:v>500</x:v>
      </x:c>
      <x:c r="M23" s="51" t="str">
        <x:v>USD_2025/(tCO2 annual abatement)</x:v>
      </x:c>
      <x:c r="N23" s="51" t="str">
        <x:v>0.30</x:v>
      </x:c>
      <x:c r="O23" s="51" t="str">
        <x:v>0.50</x:v>
      </x:c>
      <x:c r="P23" s="51" t="str">
        <x:v>0.70</x:v>
      </x:c>
      <x:c r="Q23" s="19" t="str">
        <x:v>USD</x:v>
      </x:c>
      <x:c r="R23" s="19" t="str">
        <x:v>2025</x:v>
      </x:c>
      <x:c r="S23" s="19" t="str">
        <x:v>Estimated</x:v>
      </x:c>
      <x:c r="T23" s="19" t="str">
        <x:v>D</x:v>
      </x:c>
      <x:c r="U23" s="19" t="str">
        <x:v>MCI_ESG_2025|MCI_WORKS_2026|IEA_CTG_2026|IEA_PETCHEM_COST_2018|MCI_WEST_JAPAN_2026</x:v>
      </x:c>
      <x:c r="V23" s="37" t="str">
        <x:v>Operational abatement equals allocated case GHG times case reduction fraction; CAPEX equals operational abatement times analyst capital-per-annual-abatement proxy</x:v>
      </x:c>
      <x:c r="W23" s="37" t="str">
        <x:v>process-route materiality and clean-power connection</x:v>
      </x:c>
      <x:c r="X23" s="37" t="str">
        <x:v>electricity and technology cost</x:v>
      </x:c>
      <x:c r="Y23" s="37" t="str">
        <x:v>Facility emissions and route fit are allocated/estimated.</x:v>
      </x:c>
    </x:row>
    <x:row r="24">
      <x:c r="A24" s="19" t="str">
        <x:v>JP_MCI_NAGOYA</x:v>
      </x:c>
      <x:c r="B24" s="19" t="str">
        <x:v>not_modelled_data_gap</x:v>
      </x:c>
      <x:c r="C24" s="19" t="str">
        <x:v>NA</x:v>
      </x:c>
      <x:c r="D24" s="19" t="str">
        <x:v>NA</x:v>
      </x:c>
      <x:c r="E24" s="19" t="str">
        <x:v>not_modelled</x:v>
      </x:c>
      <x:c r="F24" s="37" t="str">
        <x:v>Outside primary route scope in seed inventory</x:v>
      </x:c>
      <x:c r="G24" s="37" t="str">
        <x:v>uncovered residual</x:v>
      </x:c>
      <x:c r="H24" s="37" t="str">
        <x:v>no</x:v>
      </x:c>
      <x:c r="I24" s="19" t="str">
        <x:v>none</x:v>
      </x:c>
      <x:c r="J24" s="51" t="str">
        <x:v>0</x:v>
      </x:c>
      <x:c r="K24" s="51" t="str">
        <x:v>0</x:v>
      </x:c>
      <x:c r="L24" s="51" t="str">
        <x:v>0</x:v>
      </x:c>
      <x:c r="M24" s="51" t="str">
        <x:v>not_applicable</x:v>
      </x:c>
      <x:c r="N24" s="51" t="str">
        <x:v>0</x:v>
      </x:c>
      <x:c r="O24" s="51" t="str">
        <x:v>0</x:v>
      </x:c>
      <x:c r="P24" s="51" t="str">
        <x:v>0</x:v>
      </x:c>
      <x:c r="Q24" s="19" t="str">
        <x:v>not_applicable</x:v>
      </x:c>
      <x:c r="R24" s="19" t="str">
        <x:v>not_applicable</x:v>
      </x:c>
      <x:c r="S24" s="19" t="str">
        <x:v>NA</x:v>
      </x:c>
      <x:c r="T24" s="19" t="str">
        <x:v>D</x:v>
      </x:c>
      <x:c r="U24" s="19" t="str">
        <x:v>MCI_ESG_2025|MCI_WORKS_2026</x:v>
      </x:c>
      <x:c r="V24" s="37" t="str">
        <x:v>Zero modelled capital and abatement; emissions retained in uncovered residual</x:v>
      </x:c>
      <x:c r="W24" s="37" t="str">
        <x:v>primary-route scope and site emissions not resolved</x:v>
      </x:c>
      <x:c r="X24" s="37" t="str">
        <x:v>not_assessed</x:v>
      </x:c>
      <x:c r="Y24" s="37" t="str">
        <x:v>Allocated emissions retained; no transition result inferred.</x:v>
      </x:c>
    </x:row>
    <x:row r="25">
      <x:c r="A25" s="19" t="str">
        <x:v>JP_MCI_MOBARA</x:v>
      </x:c>
      <x:c r="B25" s="19" t="str">
        <x:v>not_modelled_data_gap</x:v>
      </x:c>
      <x:c r="C25" s="19" t="str">
        <x:v>NA</x:v>
      </x:c>
      <x:c r="D25" s="19" t="str">
        <x:v>NA</x:v>
      </x:c>
      <x:c r="E25" s="19" t="str">
        <x:v>not_modelled</x:v>
      </x:c>
      <x:c r="F25" s="37" t="str">
        <x:v>Outside primary route scope in seed inventory</x:v>
      </x:c>
      <x:c r="G25" s="37" t="str">
        <x:v>uncovered residual</x:v>
      </x:c>
      <x:c r="H25" s="37" t="str">
        <x:v>no</x:v>
      </x:c>
      <x:c r="I25" s="19" t="str">
        <x:v>none</x:v>
      </x:c>
      <x:c r="J25" s="51" t="str">
        <x:v>0</x:v>
      </x:c>
      <x:c r="K25" s="51" t="str">
        <x:v>0</x:v>
      </x:c>
      <x:c r="L25" s="51" t="str">
        <x:v>0</x:v>
      </x:c>
      <x:c r="M25" s="51" t="str">
        <x:v>not_applicable</x:v>
      </x:c>
      <x:c r="N25" s="51" t="str">
        <x:v>0</x:v>
      </x:c>
      <x:c r="O25" s="51" t="str">
        <x:v>0</x:v>
      </x:c>
      <x:c r="P25" s="51" t="str">
        <x:v>0</x:v>
      </x:c>
      <x:c r="Q25" s="19" t="str">
        <x:v>not_applicable</x:v>
      </x:c>
      <x:c r="R25" s="19" t="str">
        <x:v>not_applicable</x:v>
      </x:c>
      <x:c r="S25" s="19" t="str">
        <x:v>NA</x:v>
      </x:c>
      <x:c r="T25" s="19" t="str">
        <x:v>D</x:v>
      </x:c>
      <x:c r="U25" s="19" t="str">
        <x:v>MCI_ESG_2025|MCI_WORKS_2026</x:v>
      </x:c>
      <x:c r="V25" s="37" t="str">
        <x:v>Zero modelled capital and abatement; emissions retained in uncovered residual</x:v>
      </x:c>
      <x:c r="W25" s="37" t="str">
        <x:v>primary-route scope and site emissions not resolved</x:v>
      </x:c>
      <x:c r="X25" s="37" t="str">
        <x:v>not_assessed</x:v>
      </x:c>
      <x:c r="Y25" s="37" t="str">
        <x:v>Allocated emissions retained; no transition result inferred.</x:v>
      </x:c>
    </x:row>
    <x:row r="26">
      <x:c r="A26" s="20" t="str">
        <x:v>JP_MCI_TOKUYAMA</x:v>
      </x:c>
      <x:c r="B26" s="20" t="str">
        <x:v>not_modelled_data_gap</x:v>
      </x:c>
      <x:c r="C26" s="20" t="str">
        <x:v>NA</x:v>
      </x:c>
      <x:c r="D26" s="20" t="str">
        <x:v>NA</x:v>
      </x:c>
      <x:c r="E26" s="20" t="str">
        <x:v>not_modelled</x:v>
      </x:c>
      <x:c r="F26" s="38" t="str">
        <x:v>Outside primary route scope in seed inventory</x:v>
      </x:c>
      <x:c r="G26" s="38" t="str">
        <x:v>uncovered residual</x:v>
      </x:c>
      <x:c r="H26" s="38" t="str">
        <x:v>no</x:v>
      </x:c>
      <x:c r="I26" s="20" t="str">
        <x:v>none</x:v>
      </x:c>
      <x:c r="J26" s="52" t="str">
        <x:v>0</x:v>
      </x:c>
      <x:c r="K26" s="52" t="str">
        <x:v>0</x:v>
      </x:c>
      <x:c r="L26" s="52" t="str">
        <x:v>0</x:v>
      </x:c>
      <x:c r="M26" s="52" t="str">
        <x:v>not_applicable</x:v>
      </x:c>
      <x:c r="N26" s="52" t="str">
        <x:v>0</x:v>
      </x:c>
      <x:c r="O26" s="52" t="str">
        <x:v>0</x:v>
      </x:c>
      <x:c r="P26" s="52" t="str">
        <x:v>0</x:v>
      </x:c>
      <x:c r="Q26" s="20" t="str">
        <x:v>not_applicable</x:v>
      </x:c>
      <x:c r="R26" s="20" t="str">
        <x:v>not_applicable</x:v>
      </x:c>
      <x:c r="S26" s="20" t="str">
        <x:v>NA</x:v>
      </x:c>
      <x:c r="T26" s="20" t="str">
        <x:v>D</x:v>
      </x:c>
      <x:c r="U26" s="20" t="str">
        <x:v>MCI_ESG_2025|MCI_WORKS_2026</x:v>
      </x:c>
      <x:c r="V26" s="38" t="str">
        <x:v>Zero modelled capital and abatement; emissions retained in uncovered residual</x:v>
      </x:c>
      <x:c r="W26" s="38" t="str">
        <x:v>primary-route scope and site emissions not resolved</x:v>
      </x:c>
      <x:c r="X26" s="38" t="str">
        <x:v>not_assessed</x:v>
      </x:c>
      <x:c r="Y26" s="38" t="str">
        <x:v>Allocated emissions retained; no transition result inferred.</x:v>
      </x:c>
    </x:row>
  </x:sheetData>
  <x:conditionalFormatting sqref="J2:P26">
    <x:cfRule type="expression" dxfId="0" priority="1">
      <x:formula>AND($S2="Estimated",J2&lt;&gt;"")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0a17e848c846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>
      <x:c r="A1" s="8" t="str">
        <x:v>source_id</x:v>
      </x:c>
      <x:c r="B1" s="8" t="str">
        <x:v>publisher</x:v>
      </x:c>
      <x:c r="C1" s="8" t="str">
        <x:v>title</x:v>
      </x:c>
      <x:c r="D1" s="8" t="str">
        <x:v>source_type</x:v>
      </x:c>
      <x:c r="E1" s="8" t="str">
        <x:v>url_or_doi</x:v>
      </x:c>
      <x:c r="F1" s="8" t="str">
        <x:v>publication_date</x:v>
      </x:c>
      <x:c r="G1" s="8" t="str">
        <x:v>retrieved_at</x:v>
      </x:c>
      <x:c r="H1" s="8" t="str">
        <x:v>reporting_start</x:v>
      </x:c>
      <x:c r="I1" s="8" t="str">
        <x:v>reporting_end</x:v>
      </x:c>
      <x:c r="J1" s="8" t="str">
        <x:v>location</x:v>
      </x:c>
      <x:c r="K1" s="8" t="str">
        <x:v>licence</x:v>
      </x:c>
      <x:c r="L1" s="8" t="str">
        <x:v>redistributable</x:v>
      </x:c>
      <x:c r="M1" s="8" t="str">
        <x:v>file_name</x:v>
      </x:c>
      <x:c r="N1" s="8" t="str">
        <x:v>sha256</x:v>
      </x:c>
      <x:c r="O1" s="8" t="str">
        <x:v>extraction_method</x:v>
      </x:c>
      <x:c r="P1" s="8" t="str">
        <x:v>quality_note</x:v>
      </x:c>
    </x:row>
    <x:row r="2" ht="34" customHeight="1">
      <x:c r="A2" s="36" t="str">
        <x:v>POSCO_ESG_2025</x:v>
      </x:c>
      <x:c r="B2" s="36" t="str">
        <x:v>POSCO</x:v>
      </x:c>
      <x:c r="C2" s="36" t="str">
        <x:v>2025 POSCO Sustainability Report - Environmental Data</x:v>
      </x:c>
      <x:c r="D2" s="36" t="str">
        <x:v>company report</x:v>
      </x:c>
      <x:c r="E2" s="36" t="str">
        <x:v>https://sustainability.posco.com/S91/S91F10/eng/cmspage.do?mmcd=2682093497003371</x:v>
      </x:c>
      <x:c r="F2" s="36" t="str">
        <x:v>2026-06-30</x:v>
      </x:c>
      <x:c r="G2" s="36" t="n">
        <x:v>46238.665289351855</x:v>
      </x:c>
      <x:c r="H2" s="36" t="str">
        <x:v>2025-01-01</x:v>
      </x:c>
      <x:c r="I2" s="36" t="str">
        <x:v>2025-12-31</x:v>
      </x:c>
      <x:c r="J2" s="36" t="str">
        <x:v>Domestic Worksites &gt; GHG Emissions table &gt; 2025 column</x:v>
      </x:c>
      <x:c r="K2" s="36" t="str">
        <x:v>All rights reserved; no source-wide redistribution permission identified</x:v>
      </x:c>
      <x:c r="L2" s="36" t="str">
        <x:v>no</x:v>
      </x:c>
      <x:c r="M2" s="36" t="str">
        <x:v>NA</x:v>
      </x:c>
      <x:c r="N2" s="36" t="str">
        <x:v>NA</x:v>
      </x:c>
      <x:c r="O2" s="36" t="str">
        <x:v>manual transcription from official HTML table</x:v>
      </x:c>
      <x:c r="P2" s="36" t="str">
        <x:v>Official company disclosure for POSCO domestic worksites. The 2025 table covers two integrated steel mills, four re-rolling mills, and four processing centers. This is a corporate reconciliation anchor and is not yet allocated to facilities.</x:v>
      </x:c>
    </x:row>
    <x:row r="3" ht="34" customHeight="1">
      <x:c r="A3" s="37" t="str">
        <x:v>NSC_DB_2025</x:v>
      </x:c>
      <x:c r="B3" s="37" t="str">
        <x:v>Nippon Steel Corporation</x:v>
      </x:c>
      <x:c r="C3" s="37" t="str">
        <x:v>Nippon Steel Data Book 2025</x:v>
      </x:c>
      <x:c r="D3" s="37" t="str">
        <x:v>company report</x:v>
      </x:c>
      <x:c r="E3" s="37" t="str">
        <x:v>https://www-zam.nipponsteel.com/en/ir/library/pdf/nsc_en_ir_2025_databook.pdf</x:v>
      </x:c>
      <x:c r="F3" s="37" t="str">
        <x:v>NA</x:v>
      </x:c>
      <x:c r="G3" s="37" t="n">
        <x:v>46238.665289351855</x:v>
      </x:c>
      <x:c r="H3" s="37" t="str">
        <x:v>2024-04-01</x:v>
      </x:c>
      <x:c r="I3" s="37" t="str">
        <x:v>2025-03-31</x:v>
      </x:c>
      <x:c r="J3" s="37" t="str">
        <x:v>p. 22, Breakdown of Nippon Steel's GHG emissions, FY2024 column</x:v>
      </x:c>
      <x:c r="K3" s="37" t="str">
        <x:v>All rights reserved; no source-wide redistribution permission identified</x:v>
      </x:c>
      <x:c r="L3" s="37" t="str">
        <x:v>no</x:v>
      </x:c>
      <x:c r="M3" s="37" t="str">
        <x:v>NA</x:v>
      </x:c>
      <x:c r="N3" s="37" t="str">
        <x:v>NA</x:v>
      </x:c>
      <x:c r="O3" s="37" t="str">
        <x:v>manual transcription from official PDF table</x:v>
      </x:c>
      <x:c r="P3" s="37" t="str">
        <x:v>Official non-consolidated company disclosure. Purchased-coke and purchased-oxygen production emissions are included under the source's stated boundary; steelworks IPP operations are excluded. FY2024 purchased-electricity CO2 uses the FY2023 factor as a preliminary assumption. Not yet reconciled to works.</x:v>
      </x:c>
    </x:row>
    <x:row r="4" ht="34" customHeight="1">
      <x:c r="A4" s="37" t="str">
        <x:v>LOTTE_ESG_2025</x:v>
      </x:c>
      <x:c r="B4" s="37" t="str">
        <x:v>LOTTE Chemical Corporation</x:v>
      </x:c>
      <x:c r="C4" s="37" t="str">
        <x:v>2025 LOTTE Chemical ESG Report</x:v>
      </x:c>
      <x:c r="D4" s="37" t="str">
        <x:v>company report</x:v>
      </x:c>
      <x:c r="E4" s="37" t="str">
        <x:v>https://www.lottechem.com/pdfRead.do?fileId=FILE_260804085927106&amp;voNm=esgVo&amp;category=en</x:v>
      </x:c>
      <x:c r="F4" s="37" t="str">
        <x:v>2026-06-26</x:v>
      </x:c>
      <x:c r="G4" s="37" t="n">
        <x:v>46238.665289351855</x:v>
      </x:c>
      <x:c r="H4" s="37" t="str">
        <x:v>2025-01-01</x:v>
      </x:c>
      <x:c r="I4" s="37" t="str">
        <x:v>2025-12-31</x:v>
      </x:c>
      <x:c r="J4" s="37" t="str">
        <x:v>p. 50, Climate-related Metrics (A) Total GHG Emissions; p. 117, ESG Data_Environment, Direct and Indirect GHG Emissions; p. 148, GHG Assurance Statement</x:v>
      </x:c>
      <x:c r="K4" s="37" t="str">
        <x:v>All rights reserved; no source-wide redistribution permission identified</x:v>
      </x:c>
      <x:c r="L4" s="37" t="str">
        <x:v>no</x:v>
      </x:c>
      <x:c r="M4" s="37" t="str">
        <x:v>NA</x:v>
      </x:c>
      <x:c r="N4" s="37" t="str">
        <x:v>NA</x:v>
      </x:c>
      <x:c r="O4" s="37" t="str">
        <x:v>manual transcription from official PDF tables</x:v>
      </x:c>
      <x:c r="P4" s="37" t="str">
        <x:v>Official parent and selected-consolidated-company disclosure. The consolidated Scope 1+2 boundary is limited to LOTTE Chemical, LOTTE Fine Chemical, and LOTTE Energy Materials. The report notes small total-versus-component differences from facility-level truncation. Parent assurance is reasonable assurance under Korea ETS verification rules. Not yet reconciled to complexes.</x:v>
      </x:c>
    </x:row>
    <x:row r="5" ht="34" customHeight="1">
      <x:c r="A5" s="37" t="str">
        <x:v>MCI_ESG_2025</x:v>
      </x:c>
      <x:c r="B5" s="37" t="str">
        <x:v>Mitsui Chemicals, Inc.</x:v>
      </x:c>
      <x:c r="C5" s="37" t="str">
        <x:v>Mitsui Chemicals Group ESG Report 2025 - Part 6: ESG Performance Data, Others</x:v>
      </x:c>
      <x:c r="D5" s="37" t="str">
        <x:v>company report</x:v>
      </x:c>
      <x:c r="E5" s="37" t="str">
        <x:v>https://jp.mitsuichemicals.com/content/dam/mitsuichemicals/sites/mci/documents/sustainability/report/esg2025web_e_part06.pdf.coredownload.pdf</x:v>
      </x:c>
      <x:c r="F5" s="37" t="str">
        <x:v>NA</x:v>
      </x:c>
      <x:c r="G5" s="37" t="n">
        <x:v>46238.665289351855</x:v>
      </x:c>
      <x:c r="H5" s="37" t="str">
        <x:v>2024-04-01</x:v>
      </x:c>
      <x:c r="I5" s="37" t="str">
        <x:v>2025-03-31</x:v>
      </x:c>
      <x:c r="J5" s="37" t="str">
        <x:v>p. 2, ESG Performance Data &gt; Environment &gt; GHG; p. 6, Input to Output Data (FY2024)</x:v>
      </x:c>
      <x:c r="K5" s="37" t="str">
        <x:v>All rights reserved; no source-wide redistribution permission identified</x:v>
      </x:c>
      <x:c r="L5" s="37" t="str">
        <x:v>no</x:v>
      </x:c>
      <x:c r="M5" s="37" t="str">
        <x:v>NA</x:v>
      </x:c>
      <x:c r="N5" s="37" t="str">
        <x:v>NA</x:v>
      </x:c>
      <x:c r="O5" s="37" t="str">
        <x:v>manual transcription from official PDF tables</x:v>
      </x:c>
      <x:c r="P5" s="37" t="str">
        <x:v>Official FY2024 disclosure. Parent Scope 1 and Scope 2 values are marked as third-party assured. Group total covers Mitsui Chemicals, Inc. plus listed domestic and overseas subsidiaries and affiliates; rounded component values do not exactly reproduce the reported group total. Not yet reconciled to works.</x:v>
      </x:c>
    </x:row>
    <x:row r="6" ht="34" customHeight="1">
      <x:c r="A6" s="37" t="str">
        <x:v>POSCO_WORKS_2026</x:v>
      </x:c>
      <x:c r="B6" s="37" t="str">
        <x:v>POSCO</x:v>
      </x:c>
      <x:c r="C6" s="37" t="str">
        <x:v>Pohang and Gwangyang Steelworks official location pages</x:v>
      </x:c>
      <x:c r="D6" s="37" t="str">
        <x:v>company webpage</x:v>
      </x:c>
      <x:c r="E6" s="37" t="str">
        <x:v>https://www.posco.co.kr/homepage/docs/eng7/jsp/common/posco/s91a1000010c.jsp</x:v>
      </x:c>
      <x:c r="F6" s="37" t="str">
        <x:v>NA</x:v>
      </x:c>
      <x:c r="G6" s="37" t="n">
        <x:v>46238.68283564815</x:v>
      </x:c>
      <x:c r="H6" s="37" t="str">
        <x:v>NA</x:v>
      </x:c>
      <x:c r="I6" s="37" t="str">
        <x:v>NA</x:v>
      </x:c>
      <x:c r="J6" s="37" t="str">
        <x:v>Pohang Steelworks page and linked Gwangyang Steelworks page</x:v>
      </x:c>
      <x:c r="K6" s="37" t="str">
        <x:v>All rights reserved; no source-wide redistribution permission identified</x:v>
      </x:c>
      <x:c r="L6" s="37" t="str">
        <x:v>no</x:v>
      </x:c>
      <x:c r="M6" s="37" t="str">
        <x:v>NA</x:v>
      </x:c>
      <x:c r="N6" s="37" t="str">
        <x:v>NA</x:v>
      </x:c>
      <x:c r="O6" s="37" t="str">
        <x:v>manual transcription from official webpages</x:v>
      </x:c>
      <x:c r="P6" s="37" t="str">
        <x:v>Official facility identities and addresses only. The pages do not provide a facility emissions split or a common-period production reconciliation.</x:v>
      </x:c>
    </x:row>
    <x:row r="7" ht="34" customHeight="1">
      <x:c r="A7" s="37" t="str">
        <x:v>POSCO_POHANG_BF4_2024</x:v>
      </x:c>
      <x:c r="B7" s="37" t="str">
        <x:v>POSCO</x:v>
      </x:c>
      <x:c r="C7" s="37" t="str">
        <x:v>Pohang No. 4 blast furnace relining and restart</x:v>
      </x:c>
      <x:c r="D7" s="37" t="str">
        <x:v>company release</x:v>
      </x:c>
      <x:c r="E7" s="37" t="str">
        <x:v>https://www.posco.co.kr/homepage/docs/kor7/jsp/prcenter/press/s91c600110v.jsp?idx=254</x:v>
      </x:c>
      <x:c r="F7" s="37" t="str">
        <x:v>2024-04-29</x:v>
      </x:c>
      <x:c r="G7" s="37" t="n">
        <x:v>46238.68283564815</x:v>
      </x:c>
      <x:c r="H7" s="37" t="str">
        <x:v>2024-02-23</x:v>
      </x:c>
      <x:c r="I7" s="37" t="str">
        <x:v>2024-06-30</x:v>
      </x:c>
      <x:c r="J7" s="37" t="str">
        <x:v>official press release</x:v>
      </x:c>
      <x:c r="K7" s="37" t="str">
        <x:v>All rights reserved; no source-wide redistribution permission identified</x:v>
      </x:c>
      <x:c r="L7" s="37" t="str">
        <x:v>no</x:v>
      </x:c>
      <x:c r="M7" s="37" t="str">
        <x:v>NA</x:v>
      </x:c>
      <x:c r="N7" s="37" t="str">
        <x:v>NA</x:v>
      </x:c>
      <x:c r="O7" s="37" t="str">
        <x:v>manual extraction from official release</x:v>
      </x:c>
      <x:c r="P7" s="37" t="str">
        <x:v>Reports KRW 530 billion investment, 5,600 m3 furnace volume, and the 2024 relining/restart schedule. This is an asset-timing fact, not a site-wide transition commitment.</x:v>
      </x:c>
    </x:row>
    <x:row r="8" ht="34" customHeight="1">
      <x:c r="A8" s="37" t="str">
        <x:v>MCI_WORKS_2026</x:v>
      </x:c>
      <x:c r="B8" s="37" t="str">
        <x:v>Mitsui Chemicals, Inc.</x:v>
      </x:c>
      <x:c r="C8" s="37" t="str">
        <x:v>Domestic Sites - Works</x:v>
      </x:c>
      <x:c r="D8" s="37" t="str">
        <x:v>company webpage</x:v>
      </x:c>
      <x:c r="E8" s="37" t="str">
        <x:v>https://jp.mitsuichemicals.com/en/corporate/ds/works/index.htm</x:v>
      </x:c>
      <x:c r="F8" s="37" t="str">
        <x:v>NA</x:v>
      </x:c>
      <x:c r="G8" s="37" t="n">
        <x:v>46238.68283564815</x:v>
      </x:c>
      <x:c r="H8" s="37" t="str">
        <x:v>NA</x:v>
      </x:c>
      <x:c r="I8" s="37" t="str">
        <x:v>NA</x:v>
      </x:c>
      <x:c r="J8" s="37" t="str">
        <x:v>seven official works and branch entries with indicative product lists</x:v>
      </x:c>
      <x:c r="K8" s="37" t="str">
        <x:v>All rights reserved; no source-wide redistribution permission identified</x:v>
      </x:c>
      <x:c r="L8" s="37" t="str">
        <x:v>no</x:v>
      </x:c>
      <x:c r="M8" s="37" t="str">
        <x:v>NA</x:v>
      </x:c>
      <x:c r="N8" s="37" t="str">
        <x:v>NA</x:v>
      </x:c>
      <x:c r="O8" s="37" t="str">
        <x:v>manual transcription from official webpage</x:v>
      </x:c>
      <x:c r="P8" s="37" t="str">
        <x:v>Official facility identities and indicative product mix. No work-level emissions or common-period production capacity is disclosed on the page.</x:v>
      </x:c>
    </x:row>
    <x:row r="9" ht="34" customHeight="1">
      <x:c r="A9" s="37" t="str">
        <x:v>IEA_CTG_2026</x:v>
      </x:c>
      <x:c r="B9" s="37" t="str">
        <x:v>International Energy Agency</x:v>
      </x:c>
      <x:c r="C9" s="37" t="str">
        <x:v>ETP Clean Energy Technology Guide</x:v>
      </x:c>
      <x:c r="D9" s="37" t="str">
        <x:v>official technology database</x:v>
      </x:c>
      <x:c r="E9" s="37" t="str">
        <x:v>https://www.iea.org/data-and-statistics/data-tools/etp-clean-energy-technology-guide</x:v>
      </x:c>
      <x:c r="F9" s="37" t="str">
        <x:v>2026-02-17</x:v>
      </x:c>
      <x:c r="G9" s="37" t="n">
        <x:v>46238.703668981485</x:v>
      </x:c>
      <x:c r="H9" s="37" t="str">
        <x:v>NA</x:v>
      </x:c>
      <x:c r="I9" s="37" t="str">
        <x:v>NA</x:v>
      </x:c>
      <x:c r="J9" s="37" t="str">
        <x:v>interactive technology database; iron and steel and chemicals filters</x:v>
      </x:c>
      <x:c r="K9" s="37" t="str">
        <x:v>CC BY 4.0</x:v>
      </x:c>
      <x:c r="L9" s="37" t="str">
        <x:v>yes</x:v>
      </x:c>
      <x:c r="M9" s="37" t="str">
        <x:v>NA</x:v>
      </x:c>
      <x:c r="N9" s="37" t="str">
        <x:v>NA</x:v>
      </x:c>
      <x:c r="O9" s="37" t="str">
        <x:v>manual review of official data tool</x:v>
      </x:c>
      <x:c r="P9" s="37" t="str">
        <x:v>Technology identity, maturity, development and deployment context. Used as a route-screening source, not as a stand-alone local cost observation.</x:v>
      </x:c>
    </x:row>
    <x:row r="10" ht="34" customHeight="1">
      <x:c r="A10" s="37" t="str">
        <x:v>IEA_STEEL_BREAKTHROUGH_2025</x:v>
      </x:c>
      <x:c r="B10" s="37" t="str">
        <x:v>International Energy Agency</x:v>
      </x:c>
      <x:c r="C10" s="37" t="str">
        <x:v>Breakthrough Agenda Report 2025 - Steel</x:v>
      </x:c>
      <x:c r="D10" s="37" t="str">
        <x:v>official report webpage</x:v>
      </x:c>
      <x:c r="E10" s="37" t="str">
        <x:v>https://www.iea.org/reports/breakthrough-agenda-report-2025/steel</x:v>
      </x:c>
      <x:c r="F10" s="37" t="str">
        <x:v>NA</x:v>
      </x:c>
      <x:c r="G10" s="37" t="n">
        <x:v>46238.703668981485</x:v>
      </x:c>
      <x:c r="H10" s="37" t="str">
        <x:v>2024-01-01</x:v>
      </x:c>
      <x:c r="I10" s="37" t="str">
        <x:v>2024-12-31</x:v>
      </x:c>
      <x:c r="J10" s="37" t="str">
        <x:v>State of the transition &gt; Cost</x:v>
      </x:c>
      <x:c r="K10" s="37" t="str">
        <x:v>CC BY 4.0</x:v>
      </x:c>
      <x:c r="L10" s="37" t="str">
        <x:v>yes</x:v>
      </x:c>
      <x:c r="M10" s="37" t="str">
        <x:v>NA</x:v>
      </x:c>
      <x:c r="N10" s="37" t="str">
        <x:v>NA</x:v>
      </x:c>
      <x:c r="O10" s="37" t="str">
        <x:v>manual transcription from official webpage</x:v>
      </x:c>
      <x:c r="P10" s="37" t="str">
        <x:v>Reports a 50-140% production-cost premium for early commercial 100% H2 DRI-EAF relative to BF-BOF, varying by region. This is not a Korea/Japan facility CAPEX range.</x:v>
      </x:c>
    </x:row>
    <x:row r="11" ht="34" customHeight="1">
      <x:c r="A11" s="37" t="str">
        <x:v>NEDO_H2_STEEL_2026</x:v>
      </x:c>
      <x:c r="B11" s="37" t="str">
        <x:v>New Energy and Industrial Technology Development Organization</x:v>
      </x:c>
      <x:c r="C11" s="37" t="str">
        <x:v>Hydrogen Utilization in Iron and Steelmaking Processes</x:v>
      </x:c>
      <x:c r="D11" s="37" t="str">
        <x:v>official programme webpage</x:v>
      </x:c>
      <x:c r="E11" s="37" t="str">
        <x:v>https://green-innovation.nedo.go.jp/project/utilization-hydrogen-steelmaking/summary/</x:v>
      </x:c>
      <x:c r="F11" s="37" t="str">
        <x:v>2026-03-10</x:v>
      </x:c>
      <x:c r="G11" s="37" t="n">
        <x:v>46238.703668981485</x:v>
      </x:c>
      <x:c r="H11" s="37" t="str">
        <x:v>NA</x:v>
      </x:c>
      <x:c r="I11" s="37" t="str">
        <x:v>NA</x:v>
      </x:c>
      <x:c r="J11" s="37" t="str">
        <x:v>programme summary, R&amp;D targets and impact assumptions</x:v>
      </x:c>
      <x:c r="K11" s="37" t="str">
        <x:v>Official government programme information</x:v>
      </x:c>
      <x:c r="L11" s="37" t="str">
        <x:v>yes</x:v>
      </x:c>
      <x:c r="M11" s="37" t="str">
        <x:v>NA</x:v>
      </x:c>
      <x:c r="N11" s="37" t="str">
        <x:v>NA</x:v>
      </x:c>
      <x:c r="O11" s="37" t="str">
        <x:v>manual transcription from official webpage</x:v>
      </x:c>
      <x:c r="P11" s="37" t="str">
        <x:v>Budget ceiling JPY 439.16bn; domestic 2030 effect target about 2 MtCO2/year; BF and direct-hydrogen-reduction R&amp;D targets exceed 50% CO2 reduction. Programme figures are not treated as facility CAPEX.</x:v>
      </x:c>
    </x:row>
    <x:row r="12" ht="34" customHeight="1">
      <x:c r="A12" s="37" t="str">
        <x:v>POSCO_CLIMATE_2026</x:v>
      </x:c>
      <x:c r="B12" s="37" t="str">
        <x:v>POSCO</x:v>
      </x:c>
      <x:c r="C12" s="37" t="str">
        <x:v>Climate Change - technology and investment activities</x:v>
      </x:c>
      <x:c r="D12" s="37" t="str">
        <x:v>company webpage</x:v>
      </x:c>
      <x:c r="E12" s="37" t="str">
        <x:v>https://sustainability.posco.co.kr/S91/S91F10/eng/cmspage.do?mmcd=2648825310001953</x:v>
      </x:c>
      <x:c r="F12" s="37" t="str">
        <x:v>NA</x:v>
      </x:c>
      <x:c r="G12" s="37" t="n">
        <x:v>46238.703668981485</x:v>
      </x:c>
      <x:c r="H12" s="37" t="str">
        <x:v>NA</x:v>
      </x:c>
      <x:c r="I12" s="37" t="str">
        <x:v>NA</x:v>
      </x:c>
      <x:c r="J12" s="37" t="str">
        <x:v>Investment Activities and Development of Carbon-Reduced Steel Products and Services</x:v>
      </x:c>
      <x:c r="K12" s="37" t="str">
        <x:v>All rights reserved; no source-wide redistribution permission identified</x:v>
      </x:c>
      <x:c r="L12" s="37" t="str">
        <x:v>no</x:v>
      </x:c>
      <x:c r="M12" s="37" t="str">
        <x:v>NA</x:v>
      </x:c>
      <x:c r="N12" s="37" t="str">
        <x:v>NA</x:v>
      </x:c>
      <x:c r="O12" s="37" t="str">
        <x:v>manual transcription from official webpage</x:v>
      </x:c>
      <x:c r="P12" s="37" t="str">
        <x:v>POSCO-specific milestones: 300,000 t/year HyREX demonstration plant targeted for 2028 completion; Gwangyang EAF starting in 2026 with up to 75% lower CO2; double-scrap charging targets about 10% lower CO2.</x:v>
      </x:c>
    </x:row>
    <x:row r="13" ht="34" customHeight="1">
      <x:c r="A13" s="37" t="str">
        <x:v>IEA_PETCHEM_COST_2018</x:v>
      </x:c>
      <x:c r="B13" s="37" t="str">
        <x:v>International Energy Agency</x:v>
      </x:c>
      <x:c r="C13" s="37" t="str">
        <x:v>Simplified levelised cost of petrochemicals for selected feedstocks and regions, 2017</x:v>
      </x:c>
      <x:c r="D13" s="37" t="str">
        <x:v>official chart and notes</x:v>
      </x:c>
      <x:c r="E13" s="37" t="str">
        <x:v>https://www.iea.org/data-and-statistics/charts/simplified-levelised-cost-of-petrochemicals-for-selected-feedstocks-and-regions-2017</x:v>
      </x:c>
      <x:c r="F13" s="37" t="str">
        <x:v>2018-10-05</x:v>
      </x:c>
      <x:c r="G13" s="37" t="n">
        <x:v>46238.703668981485</x:v>
      </x:c>
      <x:c r="H13" s="37" t="str">
        <x:v>2017-01-01</x:v>
      </x:c>
      <x:c r="I13" s="37" t="str">
        <x:v>2017-12-31</x:v>
      </x:c>
      <x:c r="J13" s="37" t="str">
        <x:v>chart notes</x:v>
      </x:c>
      <x:c r="K13" s="37" t="str">
        <x:v>CC BY 4.0</x:v>
      </x:c>
      <x:c r="L13" s="37" t="str">
        <x:v>yes</x:v>
      </x:c>
      <x:c r="M13" s="37" t="str">
        <x:v>NA</x:v>
      </x:c>
      <x:c r="N13" s="37" t="str">
        <x:v>NA</x:v>
      </x:c>
      <x:c r="O13" s="37" t="str">
        <x:v>manual transcription from official chart notes</x:v>
      </x:c>
      <x:c r="P13" s="37" t="str">
        <x:v>Naphtha steam-cracker benchmark: CAPEX USD 2,050/tHVC annual capacity, fixed OPEX 2.5-5.0% of CAPEX, 25-year life, and 12-19 GJ/tHVC process energy range. Global historical benchmark; local and price-year adjustment remains required.</x:v>
      </x:c>
    </x:row>
    <x:row r="14" ht="34" customHeight="1">
      <x:c r="A14" s="38" t="str">
        <x:v>MCI_WEST_JAPAN_2026</x:v>
      </x:c>
      <x:c r="B14" s="38" t="str">
        <x:v>Mitsui Chemicals, Inc.; Asahi Kasei Corp.; Mitsubishi Chemical Corp.</x:v>
      </x:c>
      <x:c r="C14" s="38" t="str">
        <x:v>Basic agreement to promote decarbonization of ethylene production in western Japan</x:v>
      </x:c>
      <x:c r="D14" s="38" t="str">
        <x:v>joint company release</x:v>
      </x:c>
      <x:c r="E14" s="38" t="str">
        <x:v>https://jp.mitsuichemicals.com/en/release/2026/2026_0127_2/index.htm</x:v>
      </x:c>
      <x:c r="F14" s="38" t="str">
        <x:v>2026-01-27</x:v>
      </x:c>
      <x:c r="G14" s="38" t="n">
        <x:v>46238.703668981485</x:v>
      </x:c>
      <x:c r="H14" s="38" t="str">
        <x:v>2023-04-01</x:v>
      </x:c>
      <x:c r="I14" s="38" t="str">
        <x:v>2025-03-31</x:v>
      </x:c>
      <x:c r="J14" s="38" t="str">
        <x:v>Outline of HtA Support Program and integration of ethylene production facilities</x:v>
      </x:c>
      <x:c r="K14" s="38" t="str">
        <x:v>All rights reserved; no source-wide redistribution permission identified</x:v>
      </x:c>
      <x:c r="L14" s="38" t="str">
        <x:v>no</x:v>
      </x:c>
      <x:c r="M14" s="38" t="str">
        <x:v>NA</x:v>
      </x:c>
      <x:c r="N14" s="38" t="str">
        <x:v>NA</x:v>
      </x:c>
      <x:c r="O14" s="38" t="str">
        <x:v>manual transcription and deterministic calculation from official release</x:v>
      </x:c>
      <x:c r="P14" s="38" t="str">
        <x:v>Project-specific observation: JPY 21.2bn investment including maximum JPY 10.4bn subsidy application; 506,000 tCO2/year expected Scope 1+2 reduction; ethylene capacity 951,000 to 455,000 t/year; completion by FY2029 and optimisation target FY2030. Not wholly attributable to Mitsui.</x:v>
      </x:c>
    </x:row>
  </x:sheetData>
  <x:pageMargins left="0.7" right="0.7" top="0.75" bottom="0.75" header="0.3" footer="0.3"/>
  <x:tableParts count="1">
    <x:tablePart xmlns:r="http://schemas.openxmlformats.org/officeDocument/2006/relationships" r:id="Rd21bad3907a542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8" hidden="0" customWidth="1"/>
  </x:cols>
  <x:sheetData>
    <x:row r="1">
      <x:c r="A1" s="58" t="str">
        <x:v>CAP-KJ — First Four-Company Capital-Allocation Screening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</x:row>
    <x:row r="2">
      <x:c r="A2" s="64" t="str">
        <x:v>Decision use: capital magnitude, timing, operational abatement, dependency and concentration. Screening estimates only; cost gaps, realised support, production coverage and system abatement remain pending.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</x:row>
    <x:row r="4" ht="34" customHeight="1">
      <x:c r="A4" s="74" t="str">
        <x:v>Company</x:v>
      </x:c>
      <x:c r="B4" s="74" t="str">
        <x:v>Emissions coverage</x:v>
      </x:c>
      <x:c r="C4" s="74" t="str">
        <x:v>CAPEX low ($bn)</x:v>
      </x:c>
      <x:c r="D4" s="74" t="str">
        <x:v>CAPEX base ($bn)</x:v>
      </x:c>
      <x:c r="E4" s="74" t="str">
        <x:v>CAPEX high ($bn)</x:v>
      </x:c>
      <x:c r="F4" s="74" t="str">
        <x:v>Cumulative 2030 ($bn)</x:v>
      </x:c>
      <x:c r="G4" s="74" t="str">
        <x:v>Cumulative 2040 ($bn)</x:v>
      </x:c>
      <x:c r="H4" s="74" t="str">
        <x:v>Operational abatement (Mt/yr)</x:v>
      </x:c>
      <x:c r="I4" s="74" t="str">
        <x:v>Abatement / $m CAPEX</x:v>
      </x:c>
      <x:c r="J4" s="74" t="str">
        <x:v>Price-conditional</x:v>
      </x:c>
      <x:c r="K4" s="74" t="str">
        <x:v>Contract-dependent</x:v>
      </x:c>
      <x:c r="L4" s="74" t="str">
        <x:v>Level-support-dependent</x:v>
      </x:c>
      <x:c r="M4" s="74" t="str">
        <x:v>Largest facility</x:v>
      </x:c>
      <x:c r="N4" s="74" t="str">
        <x:v>Largest CAPEX share</x:v>
      </x:c>
      <x:c r="O4" s="74" t="str">
        <x:v>Unmodelled GHG (Mt/yr)</x:v>
      </x:c>
    </x:row>
    <x:row r="5" ht="34" customHeight="1">
      <x:c r="A5" s="82" t="str">
        <x:v>POSCO</x:v>
      </x:c>
      <x:c r="B5" s="88" t="n">
        <x:f>SUMIFS('Company Results'!$K$2:$K$13,'Company Results'!$A$2:$A$13,$A5,'Company Results'!$E$2:$E$13,"base")</x:f>
        <x:v>1</x:v>
      </x:c>
      <x:c r="C5" s="94" t="n">
        <x:f>SUMIFS('Company Results'!$Q$2:$Q$13,'Company Results'!$A$2:$A$13,$A5,'Company Results'!$E$2:$E$13,"low")/1000000000</x:f>
        <x:v>9.5087444307</x:v>
      </x:c>
      <x:c r="D5" s="94" t="n">
        <x:f>SUMIFS('Company Results'!$Q$2:$Q$13,'Company Results'!$A$2:$A$13,$A5,'Company Results'!$E$2:$E$13,"base")/1000000000</x:f>
        <x:v>18.1530575495</x:v>
      </x:c>
      <x:c r="E5" s="94" t="n">
        <x:f>SUMIFS('Company Results'!$Q$2:$Q$13,'Company Results'!$A$2:$A$13,$A5,'Company Results'!$E$2:$E$13,"high")/1000000000</x:f>
        <x:v>31.119527228099997</x:v>
      </x:c>
      <x:c r="F5" s="94" t="n">
        <x:f>SUMIFS('Company Results'!$U$2:$U$13,'Company Results'!$A$2:$A$13,$A5,'Company Results'!$E$2:$E$13,"base")/1000000000</x:f>
        <x:v>5.7052466583</x:v>
      </x:c>
      <x:c r="G5" s="94" t="n">
        <x:f>SUMIFS('Company Results'!$V$2:$V$13,'Company Results'!$A$2:$A$13,$A5,'Company Results'!$E$2:$E$13,"base")/1000000000</x:f>
        <x:v>18.1530575495</x:v>
      </x:c>
      <x:c r="H5" s="94" t="n">
        <x:f>SUMIFS('Company Results'!$O$2:$O$13,'Company Results'!$A$2:$A$13,$A5,'Company Results'!$E$2:$E$13,"base")/1000000</x:f>
        <x:v>52.3845375</x:v>
      </x:c>
      <x:c r="I5" s="100" t="n">
        <x:f>SUMIFS('Company Results'!$X$2:$X$13,'Company Results'!$A$2:$A$13,$A5,'Company Results'!$E$2:$E$13,"base")</x:f>
        <x:v>2885.7142857150725</x:v>
      </x:c>
      <x:c r="J5" s="88" t="n">
        <x:f>SUMIFS('Company Results'!$Z$2:$Z$13,'Company Results'!$A$2:$A$13,$A5,'Company Results'!$E$2:$E$13,"base")</x:f>
        <x:v>0.3142857142794186</x:v>
      </x:c>
      <x:c r="K5" s="88" t="n">
        <x:f>SUMIFS('Company Results'!$AA$2:$AA$13,'Company Results'!$A$2:$A$13,$A5,'Company Results'!$E$2:$E$13,"base")</x:f>
        <x:v>0.6857142857205814</x:v>
      </x:c>
      <x:c r="L5" s="88" t="n">
        <x:f>SUMIFS('Company Results'!$AB$2:$AB$13,'Company Results'!$A$2:$A$13,$A5,'Company Results'!$E$2:$E$13,"base")</x:f>
        <x:v>0</x:v>
      </x:c>
      <x:c r="M5" s="106" t="str">
        <x:f>INDEX('Company Results'!$AC$2:$AC$13,MATCH($A5,'Company Results'!$A$2:$A$13,0)+1)</x:f>
        <x:v>KR_POSCO_POHANG</x:v>
      </x:c>
      <x:c r="N5" s="88" t="n">
        <x:f>INDEX('Company Results'!$AD$2:$AD$13,MATCH($A5,'Company Results'!$A$2:$A$13,0)+1)</x:f>
        <x:v>0.6857142857205814</x:v>
      </x:c>
      <x:c r="O5" s="94" t="n">
        <x:f>SUMIFS('Company Results'!$M$2:$M$13,'Company Results'!$A$2:$A$13,$A5,'Company Results'!$E$2:$E$13,"base")/1000000</x:f>
        <x:v>0</x:v>
      </x:c>
    </x:row>
    <x:row r="6" ht="34" customHeight="1">
      <x:c r="A6" s="83" t="str">
        <x:v>NIPPON_STEEL</x:v>
      </x:c>
      <x:c r="B6" s="89" t="n">
        <x:f>SUMIFS('Company Results'!$K$2:$K$13,'Company Results'!$A$2:$A$13,$A6,'Company Results'!$E$2:$E$13,"base")</x:f>
        <x:v>1.000000000012656</x:v>
      </x:c>
      <x:c r="C6" s="95" t="n">
        <x:f>SUMIFS('Company Results'!$Q$2:$Q$13,'Company Results'!$A$2:$A$13,$A6,'Company Results'!$E$2:$E$13,"low")/1000000000</x:f>
        <x:v>16.84625</x:v>
      </x:c>
      <x:c r="D6" s="95" t="n">
        <x:f>SUMIFS('Company Results'!$Q$2:$Q$13,'Company Results'!$A$2:$A$13,$A6,'Company Results'!$E$2:$E$13,"base")/1000000000</x:f>
        <x:v>26.9665</x:v>
      </x:c>
      <x:c r="E6" s="95" t="n">
        <x:f>SUMIFS('Company Results'!$Q$2:$Q$13,'Company Results'!$A$2:$A$13,$A6,'Company Results'!$E$2:$E$13,"high")/1000000000</x:f>
        <x:v>40.481</x:v>
      </x:c>
      <x:c r="F6" s="95" t="n">
        <x:f>SUMIFS('Company Results'!$U$2:$U$13,'Company Results'!$A$2:$A$13,$A6,'Company Results'!$E$2:$E$13,"base")/1000000000</x:f>
        <x:v>0.0625</x:v>
      </x:c>
      <x:c r="G6" s="95" t="n">
        <x:f>SUMIFS('Company Results'!$V$2:$V$13,'Company Results'!$A$2:$A$13,$A6,'Company Results'!$E$2:$E$13,"base")/1000000000</x:f>
        <x:v>26.9665</x:v>
      </x:c>
      <x:c r="H6" s="95" t="n">
        <x:f>SUMIFS('Company Results'!$O$2:$O$13,'Company Results'!$A$2:$A$13,$A6,'Company Results'!$E$2:$E$13,"base")/1000000</x:f>
        <x:v>57.419209217500004</x:v>
      </x:c>
      <x:c r="I6" s="101" t="n">
        <x:f>SUMIFS('Company Results'!$X$2:$X$13,'Company Results'!$A$2:$A$13,$A6,'Company Results'!$E$2:$E$13,"base")</x:f>
        <x:v>2129.2792619546476</x:v>
      </x:c>
      <x:c r="J6" s="89" t="n">
        <x:f>SUMIFS('Company Results'!$Z$2:$Z$13,'Company Results'!$A$2:$A$13,$A6,'Company Results'!$E$2:$E$13,"base")</x:f>
        <x:v>0.002317690467802644</x:v>
      </x:c>
      <x:c r="K6" s="89" t="n">
        <x:f>SUMIFS('Company Results'!$AA$2:$AA$13,'Company Results'!$A$2:$A$13,$A6,'Company Results'!$E$2:$E$13,"base")</x:f>
        <x:v>0.9976823095321974</x:v>
      </x:c>
      <x:c r="L6" s="89" t="n">
        <x:f>SUMIFS('Company Results'!$AB$2:$AB$13,'Company Results'!$A$2:$A$13,$A6,'Company Results'!$E$2:$E$13,"base")</x:f>
        <x:v>0</x:v>
      </x:c>
      <x:c r="M6" s="107" t="str">
        <x:f>INDEX('Company Results'!$AC$2:$AC$13,MATCH($A6,'Company Results'!$A$2:$A$13,0)+1)</x:f>
        <x:v>JP_NSC_OITA</x:v>
      </x:c>
      <x:c r="N6" s="89" t="n">
        <x:f>INDEX('Company Results'!$AD$2:$AD$13,MATCH($A6,'Company Results'!$A$2:$A$13,0)+1)</x:f>
        <x:v>0.24771475719874658</x:v>
      </x:c>
      <x:c r="O6" s="95" t="n">
        <x:f>SUMIFS('Company Results'!$M$2:$M$13,'Company Results'!$A$2:$A$13,$A6,'Company Results'!$E$2:$E$13,"base")/1000000</x:f>
        <x:v>0</x:v>
      </x:c>
    </x:row>
    <x:row r="7" ht="34" customHeight="1">
      <x:c r="A7" s="83" t="str">
        <x:v>LOTTE_CHEMICAL</x:v>
      </x:c>
      <x:c r="B7" s="89" t="n">
        <x:f>SUMIFS('Company Results'!$K$2:$K$13,'Company Results'!$A$2:$A$13,$A7,'Company Results'!$E$2:$E$13,"base")</x:f>
        <x:v>0.9267086879300243</x:v>
      </x:c>
      <x:c r="C7" s="95" t="n">
        <x:f>SUMIFS('Company Results'!$Q$2:$Q$13,'Company Results'!$A$2:$A$13,$A7,'Company Results'!$E$2:$E$13,"low")/1000000000</x:f>
        <x:v>0.29862852</x:v>
      </x:c>
      <x:c r="D7" s="95" t="n">
        <x:f>SUMIFS('Company Results'!$Q$2:$Q$13,'Company Results'!$A$2:$A$13,$A7,'Company Results'!$E$2:$E$13,"base")/1000000000</x:f>
        <x:v>0.7465713</x:v>
      </x:c>
      <x:c r="E7" s="95" t="n">
        <x:f>SUMIFS('Company Results'!$Q$2:$Q$13,'Company Results'!$A$2:$A$13,$A7,'Company Results'!$E$2:$E$13,"high")/1000000000</x:f>
        <x:v>1.7419997</x:v>
      </x:c>
      <x:c r="F7" s="95" t="n">
        <x:f>SUMIFS('Company Results'!$U$2:$U$13,'Company Results'!$A$2:$A$13,$A7,'Company Results'!$E$2:$E$13,"base")/1000000000</x:f>
        <x:v>0</x:v>
      </x:c>
      <x:c r="G7" s="95" t="n">
        <x:f>SUMIFS('Company Results'!$V$2:$V$13,'Company Results'!$A$2:$A$13,$A7,'Company Results'!$E$2:$E$13,"base")/1000000000</x:f>
        <x:v>0.7465713</x:v>
      </x:c>
      <x:c r="H7" s="95" t="n">
        <x:f>SUMIFS('Company Results'!$O$2:$O$13,'Company Results'!$A$2:$A$13,$A7,'Company Results'!$E$2:$E$13,"base")/1000000</x:f>
        <x:v>2.488571</x:v>
      </x:c>
      <x:c r="I7" s="101" t="n">
        <x:f>SUMIFS('Company Results'!$X$2:$X$13,'Company Results'!$A$2:$A$13,$A7,'Company Results'!$E$2:$E$13,"base")</x:f>
        <x:v>3333.3333333333335</x:v>
      </x:c>
      <x:c r="J7" s="89" t="n">
        <x:f>SUMIFS('Company Results'!$Z$2:$Z$13,'Company Results'!$A$2:$A$13,$A7,'Company Results'!$E$2:$E$13,"base")</x:f>
        <x:v>0</x:v>
      </x:c>
      <x:c r="K7" s="89" t="n">
        <x:f>SUMIFS('Company Results'!$AA$2:$AA$13,'Company Results'!$A$2:$A$13,$A7,'Company Results'!$E$2:$E$13,"base")</x:f>
        <x:v>0</x:v>
      </x:c>
      <x:c r="L7" s="89" t="n">
        <x:f>SUMIFS('Company Results'!$AB$2:$AB$13,'Company Results'!$A$2:$A$13,$A7,'Company Results'!$E$2:$E$13,"base")</x:f>
        <x:v>1</x:v>
      </x:c>
      <x:c r="M7" s="107" t="str">
        <x:f>INDEX('Company Results'!$AC$2:$AC$13,MATCH($A7,'Company Results'!$A$2:$A$13,0)+1)</x:f>
        <x:v>KR_LOTTE_YEOSU_BASIC</x:v>
      </x:c>
      <x:c r="N7" s="89" t="n">
        <x:f>INDEX('Company Results'!$AD$2:$AD$13,MATCH($A7,'Company Results'!$A$2:$A$13,0)+1)</x:f>
        <x:v>0.5205851068745878</x:v>
      </x:c>
      <x:c r="O7" s="95" t="n">
        <x:f>SUMIFS('Company Results'!$M$2:$M$13,'Company Results'!$A$2:$A$13,$A7,'Company Results'!$E$2:$E$13,"base")/1000000</x:f>
        <x:v>0.393636</x:v>
      </x:c>
    </x:row>
    <x:row r="8" ht="34" customHeight="1">
      <x:c r="A8" s="84" t="str">
        <x:v>MITSUI_CHEMICALS</x:v>
      </x:c>
      <x:c r="B8" s="90" t="n">
        <x:f>SUMIFS('Company Results'!$K$2:$K$13,'Company Results'!$A$2:$A$13,$A8,'Company Results'!$E$2:$E$13,"base")</x:f>
        <x:v>0.85</x:v>
      </x:c>
      <x:c r="C8" s="96" t="n">
        <x:f>SUMIFS('Company Results'!$Q$2:$Q$13,'Company Results'!$A$2:$A$13,$A8,'Company Results'!$E$2:$E$13,"low")/1000000000</x:f>
        <x:v>0.1485696</x:v>
      </x:c>
      <x:c r="D8" s="96" t="n">
        <x:f>SUMIFS('Company Results'!$Q$2:$Q$13,'Company Results'!$A$2:$A$13,$A8,'Company Results'!$E$2:$E$13,"base")/1000000000</x:f>
        <x:v>0.4932975</x:v>
      </x:c>
      <x:c r="E8" s="96" t="n">
        <x:f>SUMIFS('Company Results'!$Q$2:$Q$13,'Company Results'!$A$2:$A$13,$A8,'Company Results'!$E$2:$E$13,"high")/1000000000</x:f>
        <x:v>1.516648</x:v>
      </x:c>
      <x:c r="F8" s="96" t="n">
        <x:f>SUMIFS('Company Results'!$U$2:$U$13,'Company Results'!$A$2:$A$13,$A8,'Company Results'!$E$2:$E$13,"base")/1000000000</x:f>
        <x:v>0</x:v>
      </x:c>
      <x:c r="G8" s="96" t="n">
        <x:f>SUMIFS('Company Results'!$V$2:$V$13,'Company Results'!$A$2:$A$13,$A8,'Company Results'!$E$2:$E$13,"base")/1000000000</x:f>
        <x:v>0.4932975</x:v>
      </x:c>
      <x:c r="H8" s="96" t="n">
        <x:f>SUMIFS('Company Results'!$O$2:$O$13,'Company Results'!$A$2:$A$13,$A8,'Company Results'!$E$2:$E$13,"base")/1000000</x:f>
        <x:v>1.644325</x:v>
      </x:c>
      <x:c r="I8" s="102" t="n">
        <x:f>SUMIFS('Company Results'!$X$2:$X$13,'Company Results'!$A$2:$A$13,$A8,'Company Results'!$E$2:$E$13,"base")</x:f>
        <x:v>3333.3333333333335</x:v>
      </x:c>
      <x:c r="J8" s="90" t="n">
        <x:f>SUMIFS('Company Results'!$Z$2:$Z$13,'Company Results'!$A$2:$A$13,$A8,'Company Results'!$E$2:$E$13,"base")</x:f>
        <x:v>0</x:v>
      </x:c>
      <x:c r="K8" s="90" t="n">
        <x:f>SUMIFS('Company Results'!$AA$2:$AA$13,'Company Results'!$A$2:$A$13,$A8,'Company Results'!$E$2:$E$13,"base")</x:f>
        <x:v>0</x:v>
      </x:c>
      <x:c r="L8" s="90" t="n">
        <x:f>SUMIFS('Company Results'!$AB$2:$AB$13,'Company Results'!$A$2:$A$13,$A8,'Company Results'!$E$2:$E$13,"base")</x:f>
        <x:v>1</x:v>
      </x:c>
      <x:c r="M8" s="108" t="str">
        <x:f>INDEX('Company Results'!$AC$2:$AC$13,MATCH($A8,'Company Results'!$A$2:$A$13,0)+1)</x:f>
        <x:v>JP_MCI_ICHIHARA</x:v>
      </x:c>
      <x:c r="N8" s="90" t="n">
        <x:f>INDEX('Company Results'!$AD$2:$AD$13,MATCH($A8,'Company Results'!$A$2:$A$13,0)+1)</x:f>
        <x:v>0.3764705882352941</x:v>
      </x:c>
      <x:c r="O8" s="96" t="n">
        <x:f>SUMIFS('Company Results'!$M$2:$M$13,'Company Results'!$A$2:$A$13,$A8,'Company Results'!$E$2:$E$13,"base")/1000000</x:f>
        <x:v>0.58035</x:v>
      </x:c>
    </x:row>
    <x:row r="10">
      <x:c r="A10" s="42" t="str">
        <x:v>Interpretation guardrails</x:v>
      </x:c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</x:row>
    <x:row r="11" ht="26" customHeight="1">
      <x:c r="A11" s="116" t="str">
        <x:v>1. CAPEX values are quality-D screening estimates in modelled 2025 USD; they are not company guidance or committed investment.</x:v>
      </x:c>
      <x:c r="B11" s="116"/>
      <x:c r="C11" s="116"/>
      <x:c r="D11" s="116"/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16"/>
    </x:row>
    <x:row r="12" ht="26" customHeight="1">
      <x:c r="A12" s="116" t="str">
        <x:v>2. POSCO and Nippon Steel facility emissions are allocated; LOTTE rows are reported; Mitsui rows are allocated. Production coverage is NA for every company.</x:v>
      </x:c>
      <x:c r="B12" s="116"/>
      <x:c r="C12" s="116"/>
      <x:c r="D12" s="116"/>
      <x:c r="E12" s="116"/>
      <x:c r="F12" s="116"/>
      <x:c r="G12" s="116"/>
      <x:c r="H12" s="116"/>
      <x:c r="I12" s="116"/>
      <x:c r="J12" s="116"/>
      <x:c r="K12" s="116"/>
      <x:c r="L12" s="116"/>
      <x:c r="M12" s="116"/>
      <x:c r="N12" s="116"/>
      <x:c r="O12" s="116"/>
    </x:row>
    <x:row r="13" ht="26" customHeight="1">
      <x:c r="A13" s="116" t="str">
        <x:v>3. Abatement is annual operational Scope 1+2 reduction only. System abatement is not modelled until replacement production and leakage are included.</x:v>
      </x:c>
      <x:c r="B13" s="116"/>
      <x:c r="C13" s="116"/>
      <x:c r="D13" s="116"/>
      <x:c r="E13" s="116"/>
      <x:c r="F13" s="116"/>
      <x:c r="G13" s="116"/>
      <x:c r="H13" s="116"/>
      <x:c r="I13" s="116"/>
      <x:c r="J13" s="116"/>
      <x:c r="K13" s="116"/>
      <x:c r="L13" s="116"/>
      <x:c r="M13" s="116"/>
      <x:c r="N13" s="116"/>
      <x:c r="O13" s="116"/>
    </x:row>
    <x:row r="14" ht="26" customHeight="1">
      <x:c r="A14" s="116" t="str">
        <x:v>4. Dependency labels are screening placeholders. A full resource/net cost-gap and B0/BH/BL/BHL test is required before calling capital investable.</x:v>
      </x:c>
      <x:c r="B14" s="116"/>
      <x:c r="C14" s="116"/>
      <x:c r="D14" s="116"/>
      <x:c r="E14" s="116"/>
      <x:c r="F14" s="116"/>
      <x:c r="G14" s="116"/>
      <x:c r="H14" s="116"/>
      <x:c r="I14" s="116"/>
      <x:c r="J14" s="116"/>
      <x:c r="K14" s="116"/>
      <x:c r="L14" s="116"/>
      <x:c r="M14" s="116"/>
      <x:c r="N14" s="116"/>
      <x:c r="O14" s="116"/>
    </x:row>
  </x:sheetData>
  <x:mergeCells>
    <x:mergeCell ref="A1:O1"/>
    <x:mergeCell ref="A2:O2"/>
    <x:mergeCell ref="A10:O10"/>
    <x:mergeCell ref="A11:O11"/>
    <x:mergeCell ref="A12:O12"/>
    <x:mergeCell ref="A13:O13"/>
    <x:mergeCell ref="A14:O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52" hidden="0" customWidth="1"/>
  </x:cols>
  <x:sheetData>
    <x:row r="1">
      <x:c r="A1" s="118" t="str">
        <x:v>Capital-Allocation Screening Audit Checks</x:v>
      </x:c>
      <x:c r="B1" s="118"/>
      <x:c r="C1" s="118"/>
      <x:c r="D1" s="118"/>
      <x:c r="E1" s="118"/>
      <x:c r="F1" s="118"/>
      <x:c r="G1" s="118"/>
    </x:row>
    <x:row r="2">
      <x:c r="A2" s="120" t="str">
        <x:v>Model status</x:v>
      </x:c>
      <x:c r="B2" s="120" t="str">
        <x:f>IF(COUNTIF(F5:F15,"FAIL")=0,"OK","FAIL")</x:f>
        <x:v>OK</x:v>
      </x:c>
    </x:row>
    <x:row r="4" ht="27" customHeight="1">
      <x:c r="A4" s="124" t="str">
        <x:v>Check</x:v>
      </x:c>
      <x:c r="B4" s="124" t="str">
        <x:v>Actual</x:v>
      </x:c>
      <x:c r="C4" s="124" t="str">
        <x:v>Expected</x:v>
      </x:c>
      <x:c r="D4" s="124" t="str">
        <x:v>Difference</x:v>
      </x:c>
      <x:c r="E4" s="124" t="str">
        <x:v>Tolerance</x:v>
      </x:c>
      <x:c r="F4" s="124" t="str">
        <x:v>Status</x:v>
      </x:c>
      <x:c r="G4" s="124" t="str">
        <x:v>Notes</x:v>
      </x:c>
    </x:row>
    <x:row r="5" ht="27" customHeight="1">
      <x:c r="A5" s="12" t="str">
        <x:v>Company-case row count</x:v>
      </x:c>
      <x:c r="B5" s="126" t="n">
        <x:f>COUNTA('Company Results'!$A$2:$A$13)</x:f>
        <x:v>12</x:v>
      </x:c>
      <x:c r="C5" s="126" t="n">
        <x:v>12</x:v>
      </x:c>
      <x:c r="D5" s="126" t="n">
        <x:f>B5-C5</x:f>
        <x:v>0</x:v>
      </x:c>
      <x:c r="E5" s="126" t="n">
        <x:v>0</x:v>
      </x:c>
      <x:c r="F5" s="12" t="str">
        <x:f>IF(ABS(D5)&lt;=E5,"OK","FAIL")</x:f>
        <x:v>OK</x:v>
      </x:c>
      <x:c r="G5" s="132" t="str">
        <x:v>Four companies × three cases</x:v>
      </x:c>
    </x:row>
    <x:row r="6" ht="27" customHeight="1">
      <x:c r="A6" s="13" t="str">
        <x:v>Facility-case row count</x:v>
      </x:c>
      <x:c r="B6" s="127" t="n">
        <x:f>COUNTA('Facility Results'!$A$2:$A$76)</x:f>
        <x:v>75</x:v>
      </x:c>
      <x:c r="C6" s="127" t="n">
        <x:v>75</x:v>
      </x:c>
      <x:c r="D6" s="127" t="n">
        <x:f>B6-C6</x:f>
        <x:v>0</x:v>
      </x:c>
      <x:c r="E6" s="127" t="n">
        <x:v>0</x:v>
      </x:c>
      <x:c r="F6" s="13" t="str">
        <x:f>IF(ABS(D6)&lt;=E6,"OK","FAIL")</x:f>
        <x:v>OK</x:v>
      </x:c>
      <x:c r="G6" s="133" t="str">
        <x:v>25 facilities × three cases</x:v>
      </x:c>
    </x:row>
    <x:row r="7" ht="27" customHeight="1">
      <x:c r="A7" s="13" t="str">
        <x:v>Route mapping row count</x:v>
      </x:c>
      <x:c r="B7" s="127" t="n">
        <x:f>COUNTA('Route Mapping'!$A$2:$A$26)</x:f>
        <x:v>25</x:v>
      </x:c>
      <x:c r="C7" s="127" t="n">
        <x:v>25</x:v>
      </x:c>
      <x:c r="D7" s="127" t="n">
        <x:f>B7-C7</x:f>
        <x:v>0</x:v>
      </x:c>
      <x:c r="E7" s="127" t="n">
        <x:v>0</x:v>
      </x:c>
      <x:c r="F7" s="13" t="str">
        <x:f>IF(ABS(D7)&lt;=E7,"OK","FAIL")</x:f>
        <x:v>OK</x:v>
      </x:c>
      <x:c r="G7" s="133" t="str">
        <x:v>One mapping row per facility</x:v>
      </x:c>
    </x:row>
    <x:row r="8" ht="27" customHeight="1">
      <x:c r="A8" s="13" t="str">
        <x:v>Base CAPEX company/facility tie</x:v>
      </x:c>
      <x:c r="B8" s="127" t="n">
        <x:f>SUMIFS('Company Results'!$Q$2:$Q$13,'Company Results'!$E$2:$E$13,"base")</x:f>
        <x:v>46359426349.5</x:v>
      </x:c>
      <x:c r="C8" s="127" t="n">
        <x:f>SUMIFS('Facility Results'!$V$2:$V$76,'Facility Results'!$H$2:$H$76,"base")</x:f>
        <x:v>46359426349.5</x:v>
      </x:c>
      <x:c r="D8" s="127" t="n">
        <x:f>B8-C8</x:f>
        <x:v>0</x:v>
      </x:c>
      <x:c r="E8" s="127" t="n">
        <x:v>0.01</x:v>
      </x:c>
      <x:c r="F8" s="13" t="str">
        <x:f>IF(ABS(D8)&lt;=E8,"OK","FAIL")</x:f>
        <x:v>OK</x:v>
      </x:c>
      <x:c r="G8" s="133" t="str">
        <x:v>Company base CAPEX equals facility base CAPEX</x:v>
      </x:c>
    </x:row>
    <x:row r="9" ht="27" customHeight="1">
      <x:c r="A9" s="13" t="str">
        <x:v>Base abatement company/facility tie</x:v>
      </x:c>
      <x:c r="B9" s="127" t="n">
        <x:f>SUMIFS('Company Results'!$O$2:$O$13,'Company Results'!$E$2:$E$13,"base")</x:f>
        <x:v>113936642.7175</x:v>
      </x:c>
      <x:c r="C9" s="127" t="n">
        <x:f>SUMIFS('Facility Results'!$Y$2:$Y$76,'Facility Results'!$H$2:$H$76,"base")</x:f>
        <x:v>113936642.71749997</x:v>
      </x:c>
      <x:c r="D9" s="127" t="n">
        <x:f>B9-C9</x:f>
        <x:v>2.9802322387695312e-8</x:v>
      </x:c>
      <x:c r="E9" s="127" t="n">
        <x:v>0.01</x:v>
      </x:c>
      <x:c r="F9" s="13" t="str">
        <x:f>IF(ABS(D9)&lt;=E9,"OK","FAIL")</x:f>
        <x:v>OK</x:v>
      </x:c>
      <x:c r="G9" s="133" t="str">
        <x:v>Company base operational abatement equals facility sum</x:v>
      </x:c>
    </x:row>
    <x:row r="10" ht="27" customHeight="1">
      <x:c r="A10" s="13" t="str">
        <x:v>Base CAPEX time-bucket tie</x:v>
      </x:c>
      <x:c r="B10" s="127" t="n">
        <x:f>SUMIFS('Company Results'!$Q$2:$Q$13,'Company Results'!$E$2:$E$13,"base")</x:f>
        <x:v>46359426349.5</x:v>
      </x:c>
      <x:c r="C10" s="127" t="n">
        <x:f>SUMIFS('Company Results'!$R$2:$R$13,'Company Results'!$E$2:$E$13,"base")+SUMIFS('Company Results'!$S$2:$S$13,'Company Results'!$E$2:$E$13,"base")+SUMIFS('Company Results'!$T$2:$T$13,'Company Results'!$E$2:$E$13,"base")</x:f>
        <x:v>46359426349.5</x:v>
      </x:c>
      <x:c r="D10" s="127" t="n">
        <x:f>B10-C10</x:f>
        <x:v>0</x:v>
      </x:c>
      <x:c r="E10" s="127" t="n">
        <x:v>0.01</x:v>
      </x:c>
      <x:c r="F10" s="13" t="str">
        <x:f>IF(ABS(D10)&lt;=E10,"OK","FAIL")</x:f>
        <x:v>OK</x:v>
      </x:c>
      <x:c r="G10" s="133" t="str">
        <x:v>2030 + 2031-2040 + 2041-2050 equals total</x:v>
      </x:c>
    </x:row>
    <x:row r="11" ht="27" customHeight="1">
      <x:c r="A11" s="13" t="str">
        <x:v>POSCO emissions coverage</x:v>
      </x:c>
      <x:c r="B11" s="127" t="n">
        <x:f>SUMIFS('Company Results'!$K$2:$K$13,'Company Results'!$A$2:$A$13,"POSCO",'Company Results'!$E$2:$E$13,"base")</x:f>
        <x:v>1</x:v>
      </x:c>
      <x:c r="C11" s="127" t="n">
        <x:v>1</x:v>
      </x:c>
      <x:c r="D11" s="127" t="n">
        <x:f>B11-C11</x:f>
        <x:v>0</x:v>
      </x:c>
      <x:c r="E11" s="127" t="n">
        <x:v>1e-8</x:v>
      </x:c>
      <x:c r="F11" s="13" t="str">
        <x:f>IF(ABS(D11)&lt;=E11,"OK","FAIL")</x:f>
        <x:v>OK</x:v>
      </x:c>
      <x:c r="G11" s="133" t="str">
        <x:v>Both POSCO seed facilities modelled</x:v>
      </x:c>
    </x:row>
    <x:row r="12" ht="27" customHeight="1">
      <x:c r="A12" s="13" t="str">
        <x:v>Nippon emissions coverage</x:v>
      </x:c>
      <x:c r="B12" s="127" t="n">
        <x:f>SUMIFS('Company Results'!$K$2:$K$13,'Company Results'!$A$2:$A$13,"NIPPON_STEEL",'Company Results'!$E$2:$E$13,"base")</x:f>
        <x:v>1.000000000012656</x:v>
      </x:c>
      <x:c r="C12" s="127" t="n">
        <x:v>1</x:v>
      </x:c>
      <x:c r="D12" s="127" t="n">
        <x:f>B12-C12</x:f>
        <x:v>1.2656098391516934e-11</x:v>
      </x:c>
      <x:c r="E12" s="127" t="n">
        <x:v>1e-8</x:v>
      </x:c>
      <x:c r="F12" s="13" t="str">
        <x:f>IF(ABS(D12)&lt;=E12,"OK","FAIL")</x:f>
        <x:v>OK</x:v>
      </x:c>
      <x:c r="G12" s="133" t="str">
        <x:v>All 11 Nippon areas modelled; tiny source-allocation rounding allowed</x:v>
      </x:c>
    </x:row>
    <x:row r="13" ht="27" customHeight="1">
      <x:c r="A13" s="13" t="str">
        <x:v>LOTTE emissions coverage</x:v>
      </x:c>
      <x:c r="B13" s="127" t="n">
        <x:f>SUMIFS('Company Results'!$K$2:$K$13,'Company Results'!$A$2:$A$13,"LOTTE_CHEMICAL",'Company Results'!$E$2:$E$13,"base")</x:f>
        <x:v>0.9267086879300243</x:v>
      </x:c>
      <x:c r="C13" s="127" t="n">
        <x:v>0.9267086879300243</x:v>
      </x:c>
      <x:c r="D13" s="127" t="n">
        <x:f>B13-C13</x:f>
        <x:v>0</x:v>
      </x:c>
      <x:c r="E13" s="127" t="n">
        <x:v>1e-8</x:v>
      </x:c>
      <x:c r="F13" s="13" t="str">
        <x:f>IF(ABS(D13)&lt;=E13,"OK","FAIL")</x:f>
        <x:v>OK</x:v>
      </x:c>
      <x:c r="G13" s="133" t="str">
        <x:v>Three primary LOTTE rows modelled</x:v>
      </x:c>
    </x:row>
    <x:row r="14" ht="27" customHeight="1">
      <x:c r="A14" s="13" t="str">
        <x:v>Mitsui emissions coverage</x:v>
      </x:c>
      <x:c r="B14" s="127" t="n">
        <x:f>SUMIFS('Company Results'!$K$2:$K$13,'Company Results'!$A$2:$A$13,"MITSUI_CHEMICALS",'Company Results'!$E$2:$E$13,"base")</x:f>
        <x:v>0.85</x:v>
      </x:c>
      <x:c r="C14" s="127" t="n">
        <x:v>0.85</x:v>
      </x:c>
      <x:c r="D14" s="127" t="n">
        <x:f>B14-C14</x:f>
        <x:v>0</x:v>
      </x:c>
      <x:c r="E14" s="127" t="n">
        <x:v>1e-8</x:v>
      </x:c>
      <x:c r="F14" s="13" t="str">
        <x:f>IF(ABS(D14)&lt;=E14,"OK","FAIL")</x:f>
        <x:v>OK</x:v>
      </x:c>
      <x:c r="G14" s="133" t="str">
        <x:v>Four Mitsui rows modelled</x:v>
      </x:c>
    </x:row>
    <x:row r="15" ht="27" customHeight="1">
      <x:c r="A15" s="14" t="str">
        <x:v>Rows labelled system abatement pending</x:v>
      </x:c>
      <x:c r="B15" s="128" t="n">
        <x:f>COUNTIF('Facility Results'!$Z$2:$Z$76,"not_modelled; leakage and replacement production pending")</x:f>
        <x:v>75</x:v>
      </x:c>
      <x:c r="C15" s="128" t="n">
        <x:v>75</x:v>
      </x:c>
      <x:c r="D15" s="128" t="n">
        <x:f>B15-C15</x:f>
        <x:v>0</x:v>
      </x:c>
      <x:c r="E15" s="128" t="n">
        <x:v>0</x:v>
      </x:c>
      <x:c r="F15" s="14" t="str">
        <x:f>IF(ABS(D15)&lt;=E15,"OK","FAIL")</x:f>
        <x:v>OK</x:v>
      </x:c>
      <x:c r="G15" s="134" t="str">
        <x:v>No operational reduction is mislabelled as system abatement</x:v>
      </x:c>
    </x:row>
  </x:sheetData>
  <x:mergeCells>
    <x:mergeCell ref="A1:G1"/>
  </x:mergeCells>
  <x:conditionalFormatting sqref="B2:B2">
    <x:cfRule type="containsText" dxfId="1" priority="1" operator="containsText" text="OK"/>
    <x:cfRule type="containsText" dxfId="2" priority="2" operator="containsText" text="FAIL"/>
  </x:conditionalFormatting>
  <x:conditionalFormatting sqref="F5:F15">
    <x:cfRule type="containsText" dxfId="3" priority="3" operator="containsText" text="OK"/>
    <x:cfRule type="containsText" dxfId="4" priority="4" operator="containsText" text="FAIL"/>
  </x:conditionalFormatting>
  <x:pageMargins left="0.7" right="0.7" top="0.75" bottom="0.75" header="0.3" footer="0.3"/>
</x:worksheet>
</file>