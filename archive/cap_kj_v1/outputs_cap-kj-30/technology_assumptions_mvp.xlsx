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0770f3198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cf571ea42416424a"/>
    <x:sheet xmlns:r="http://schemas.openxmlformats.org/officeDocument/2006/relationships" name="Sources" sheetId="2" r:id="R74a21c9d4b814edf"/>
    <x:sheet xmlns:r="http://schemas.openxmlformats.org/officeDocument/2006/relationships" name="Route Summary" sheetId="3" r:id="Rd70020c24b6e4ea7"/>
    <x:sheet xmlns:r="http://schemas.openxmlformats.org/officeDocument/2006/relationships" name="Checks" sheetId="4" r:id="Rd43f5577ea0b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####"/>
    <x:numFmt numFmtId="201" formatCode="#,##0"/>
    <x:numFmt numFmtId="202" formatCode="#,##0.0"/>
    <x:numFmt numFmtId="203" formatCode="0.0%"/>
    <x:numFmt numFmtId="204" formatCode="#,##0.0000"/>
  </x:numFmts>
  <x:fonts count="11">
    <x:font>
      <x:sz val="11"/>
      <x:name val="Carlito"/>
    </x:font>
    <x:font>
      <x:sz val="9"/>
      <x:color rgb="FF000000"/>
      <x:name val="Aptos"/>
    </x:font>
    <x:font>
      <x:b/>
      <x:sz val="9"/>
      <x:color rgb="FFFFFFFF"/>
      <x:name val="Aptos"/>
    </x:font>
    <x:font>
      <x:sz val="9"/>
      <x:name val="Aptos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  <x:font>
      <x:b/>
      <x:sz val="10"/>
      <x:name val="Aptos"/>
    </x:font>
    <x:font>
      <x:b/>
      <x:sz val="15"/>
      <x:color rgb="FFFFFFFF"/>
      <x:name val="Aptos Display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0F766E"/>
      </x:patternFill>
    </x:fill>
    <x:fill>
      <x:patternFill patternType="solid">
        <x:fgColor rgb="FFD9EDE8"/>
      </x:patternFill>
    </x:fill>
    <x:fill>
      <x:patternFill patternType="solid">
        <x:fgColor rgb="FFF3F6F9"/>
      </x:patternFill>
    </x:fill>
  </x:fills>
  <x:borders count="14">
    <x:border/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7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horizontal="right" vertical="top"/>
    </x:xf>
    <x:xf numFmtId="200" fontId="1" fillId="0" borderId="1" xfId="0" applyNumberFormat="1" applyFont="1" applyFill="1" applyBorder="1" applyAlignment="1">
      <x:alignment horizontal="right" vertical="top"/>
    </x:xf>
    <x:xf numFmtId="0" fontId="1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/>
    </x:xf>
    <x:xf numFmtId="200" fontId="1" fillId="0" borderId="8" xfId="0" applyNumberFormat="1" applyFont="1" applyFill="1" applyBorder="1" applyAlignment="1">
      <x:alignment horizontal="right" vertical="top"/>
    </x:xf>
    <x:xf numFmtId="200" fontId="1" fillId="0" borderId="9" xfId="0" applyNumberFormat="1" applyFont="1" applyFill="1" applyBorder="1" applyAlignment="1">
      <x:alignment horizontal="right" vertical="top"/>
    </x:xf>
    <x:xf numFmtId="200" fontId="1" fillId="0" borderId="10" xfId="0" applyNumberFormat="1" applyFont="1" applyFill="1" applyBorder="1" applyAlignment="1">
      <x:alignment horizontal="right" vertical="top"/>
    </x:xf>
    <x:xf numFmtId="200" fontId="1" fillId="0" borderId="11" xfId="0" applyNumberFormat="1" applyFont="1" applyFill="1" applyBorder="1" applyAlignment="1">
      <x:alignment horizontal="right" vertical="top"/>
    </x:xf>
    <x:xf numFmtId="200" fontId="1" fillId="0" borderId="12" xfId="0" applyNumberFormat="1" applyFont="1" applyFill="1" applyBorder="1" applyAlignment="1">
      <x:alignment horizontal="right" vertical="top"/>
    </x:xf>
    <x:xf numFmtId="200" fontId="1" fillId="0" borderId="13" xfId="0" applyNumberFormat="1" applyFont="1" applyFill="1" applyBorder="1" applyAlignment="1">
      <x:alignment horizontal="right" vertical="top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8" xfId="0" applyNumberFormat="1" applyFont="1" applyFill="1" applyBorder="1" applyAlignment="1">
      <x:alignment vertical="top"/>
    </x:xf>
    <x:xf numFmtId="0" fontId="5" fillId="0" borderId="9" xfId="0" applyNumberFormat="1" applyFont="1" applyFill="1" applyBorder="1" applyAlignment="1">
      <x:alignment vertical="top"/>
    </x:xf>
    <x:xf numFmtId="0" fontId="5" fillId="0" borderId="10" xfId="0" applyNumberFormat="1" applyFont="1" applyFill="1" applyBorder="1" applyAlignment="1">
      <x:alignment vertical="top"/>
    </x:xf>
    <x:xf numFmtId="0" fontId="5" fillId="0" borderId="11" xfId="0" applyNumberFormat="1" applyFont="1" applyFill="1" applyBorder="1" applyAlignment="1">
      <x:alignment vertical="top"/>
    </x:xf>
    <x:xf numFmtId="0" fontId="5" fillId="0" borderId="12" xfId="0" applyNumberFormat="1" applyFont="1" applyFill="1" applyBorder="1" applyAlignment="1">
      <x:alignment vertical="top"/>
    </x:xf>
    <x:xf numFmtId="0" fontId="5" fillId="0" borderId="13" xfId="0" applyNumberFormat="1" applyFont="1" applyFill="1" applyBorder="1" applyAlignment="1">
      <x:alignment vertical="top"/>
    </x:xf>
    <x:xf numFmtId="201" fontId="5" fillId="0" borderId="8" xfId="0" applyNumberFormat="1" applyFont="1" applyFill="1" applyBorder="1" applyAlignment="1">
      <x:alignment vertical="top"/>
    </x:xf>
    <x:xf numFmtId="201" fontId="5" fillId="0" borderId="9" xfId="0" applyNumberFormat="1" applyFont="1" applyFill="1" applyBorder="1" applyAlignment="1">
      <x:alignment vertical="top"/>
    </x:xf>
    <x:xf numFmtId="201" fontId="5" fillId="0" borderId="10" xfId="0" applyNumberFormat="1" applyFont="1" applyFill="1" applyBorder="1" applyAlignment="1">
      <x:alignment vertical="top"/>
    </x:xf>
    <x:xf numFmtId="201" fontId="5" fillId="0" borderId="11" xfId="0" applyNumberFormat="1" applyFont="1" applyFill="1" applyBorder="1" applyAlignment="1">
      <x:alignment vertical="top"/>
    </x:xf>
    <x:xf numFmtId="201" fontId="5" fillId="0" borderId="12" xfId="0" applyNumberFormat="1" applyFont="1" applyFill="1" applyBorder="1" applyAlignment="1">
      <x:alignment vertical="top"/>
    </x:xf>
    <x:xf numFmtId="201" fontId="5" fillId="0" borderId="13" xfId="0" applyNumberFormat="1" applyFont="1" applyFill="1" applyBorder="1" applyAlignment="1">
      <x:alignment vertical="top"/>
    </x:xf>
    <x:xf numFmtId="201" fontId="5" fillId="0" borderId="8" xfId="0" applyNumberFormat="1" applyFont="1" applyFill="1" applyBorder="1" applyAlignment="1">
      <x:alignment horizontal="right" vertical="top"/>
    </x:xf>
    <x:xf numFmtId="201" fontId="5" fillId="0" borderId="9" xfId="0" applyNumberFormat="1" applyFont="1" applyFill="1" applyBorder="1" applyAlignment="1">
      <x:alignment horizontal="right" vertical="top"/>
    </x:xf>
    <x:xf numFmtId="201" fontId="5" fillId="0" borderId="10" xfId="0" applyNumberFormat="1" applyFont="1" applyFill="1" applyBorder="1" applyAlignment="1">
      <x:alignment horizontal="right" vertical="top"/>
    </x:xf>
    <x:xf numFmtId="201" fontId="5" fillId="0" borderId="11" xfId="0" applyNumberFormat="1" applyFont="1" applyFill="1" applyBorder="1" applyAlignment="1">
      <x:alignment horizontal="right" vertical="top"/>
    </x:xf>
    <x:xf numFmtId="201" fontId="5" fillId="0" borderId="12" xfId="0" applyNumberFormat="1" applyFont="1" applyFill="1" applyBorder="1" applyAlignment="1">
      <x:alignment horizontal="right" vertical="top"/>
    </x:xf>
    <x:xf numFmtId="201" fontId="5" fillId="0" borderId="13" xfId="0" applyNumberFormat="1" applyFont="1" applyFill="1" applyBorder="1" applyAlignment="1">
      <x:alignment horizontal="right" vertical="top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13" xfId="0" applyNumberFormat="1" applyFont="1" applyFill="1" applyBorder="1"/>
    <x:xf numFmtId="0" fontId="8" fillId="5" borderId="8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wrapText="1"/>
    </x:xf>
    <x:xf numFmtId="0" fontId="8" fillId="5" borderId="10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wrapText="1"/>
    </x:xf>
    <x:xf numFmtId="0" fontId="8" fillId="5" borderId="13" xfId="0" applyNumberFormat="1" applyFont="1" applyFill="1" applyBorder="1" applyAlignment="1">
      <x:alignment wrapText="1"/>
    </x:xf>
    <x:xf numFmtId="202" fontId="5" fillId="0" borderId="8" xfId="0" applyNumberFormat="1" applyFont="1" applyFill="1" applyBorder="1"/>
    <x:xf numFmtId="202" fontId="5" fillId="0" borderId="9" xfId="0" applyNumberFormat="1" applyFont="1" applyFill="1" applyBorder="1"/>
    <x:xf numFmtId="202" fontId="5" fillId="0" borderId="11" xfId="0" applyNumberFormat="1" applyFont="1" applyFill="1" applyBorder="1"/>
    <x:xf numFmtId="202" fontId="5" fillId="0" borderId="12" xfId="0" applyNumberFormat="1" applyFont="1" applyFill="1" applyBorder="1"/>
    <x:xf numFmtId="201" fontId="5" fillId="0" borderId="9" xfId="0" applyNumberFormat="1" applyFont="1" applyFill="1" applyBorder="1"/>
    <x:xf numFmtId="201" fontId="5" fillId="0" borderId="12" xfId="0" applyNumberFormat="1" applyFont="1" applyFill="1" applyBorder="1"/>
    <x:xf numFmtId="203" fontId="5" fillId="0" borderId="10" xfId="0" applyNumberFormat="1" applyFont="1" applyFill="1" applyBorder="1"/>
    <x:xf numFmtId="203" fontId="5" fillId="0" borderId="13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10" fillId="3" borderId="0" xfId="0" applyNumberFormat="1" applyFont="1" applyFill="1" applyBorder="1"/>
    <x:xf numFmtId="0" fontId="10" fillId="3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/>
    </x:xf>
    <x:xf numFmtId="204" fontId="5" fillId="0" borderId="8" xfId="0" applyNumberFormat="1" applyFont="1" applyFill="1" applyBorder="1"/>
    <x:xf numFmtId="204" fontId="5" fillId="0" borderId="9" xfId="0" applyNumberFormat="1" applyFont="1" applyFill="1" applyBorder="1"/>
    <x:xf numFmtId="204" fontId="5" fillId="0" borderId="10" xfId="0" applyNumberFormat="1" applyFont="1" applyFill="1" applyBorder="1"/>
    <x:xf numFmtId="204" fontId="5" fillId="0" borderId="11" xfId="0" applyNumberFormat="1" applyFont="1" applyFill="1" applyBorder="1"/>
    <x:xf numFmtId="204" fontId="5" fillId="0" borderId="12" xfId="0" applyNumberFormat="1" applyFont="1" applyFill="1" applyBorder="1"/>
    <x:xf numFmtId="204" fontId="5" fillId="0" borderId="13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0000FF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9ae5074214454" /><Relationship Type="http://schemas.openxmlformats.org/officeDocument/2006/relationships/theme" Target="/xl/theme/theme1.xml" Id="R6e9d38cd8f064dc7" /><Relationship Type="http://schemas.openxmlformats.org/officeDocument/2006/relationships/sharedStrings" Target="/xl/sharedStrings.xml" Id="R734b5436bf914af2" /><Relationship Type="http://schemas.openxmlformats.org/officeDocument/2006/relationships/worksheet" Target="/xl/worksheets/sheet1.xml" Id="Rcf571ea42416424a" /><Relationship Type="http://schemas.openxmlformats.org/officeDocument/2006/relationships/worksheet" Target="/xl/worksheets/sheet2.xml" Id="R74a21c9d4b814edf" /><Relationship Type="http://schemas.openxmlformats.org/officeDocument/2006/relationships/worksheet" Target="/xl/worksheets/sheet3.xml" Id="Rd70020c24b6e4ea7" /><Relationship Type="http://schemas.openxmlformats.org/officeDocument/2006/relationships/worksheet" Target="/xl/worksheets/sheet4.xml" Id="Rd43f5577ea0b4da9" /></Relationships>
</file>

<file path=xl/tables/table1.xml><?xml version="1.0" encoding="utf-8"?>
<x:table xmlns:x="http://schemas.openxmlformats.org/spreadsheetml/2006/main" id="1" name="TechnologyAssumptions" displayName="TechnologyAssumptions" ref="A1:W28" headerRowCount="1" totalsRowCount="0" totalsRowShown="0">
  <x:tableColumns count="23">
    <x:tableColumn id="1" name="assumption_id"/>
    <x:tableColumn id="2" name="sector"/>
    <x:tableColumn id="3" name="route_id"/>
    <x:tableColumn id="4" name="route_name"/>
    <x:tableColumn id="5" name="geography"/>
    <x:tableColumn id="6" name="applicability"/>
    <x:tableColumn id="7" name="parameter_name"/>
    <x:tableColumn id="8" name="model_input_role"/>
    <x:tableColumn id="9" name="unit"/>
    <x:tableColumn id="10" name="low"/>
    <x:tableColumn id="11" name="base"/>
    <x:tableColumn id="12" name="high"/>
    <x:tableColumn id="13" name="value_type"/>
    <x:tableColumn id="14" name="case_type"/>
    <x:tableColumn id="15" name="base_year"/>
    <x:tableColumn id="16" name="price_year"/>
    <x:tableColumn id="17" name="currency"/>
    <x:tableColumn id="18" name="formula_or_method"/>
    <x:tableColumn id="19" name="source_id"/>
    <x:tableColumn id="20" name="source_url"/>
    <x:tableColumn id="21" name="source_location"/>
    <x:tableColumn id="22" name="quality_flag"/>
    <x:tableColumn id="23" name="boundary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Register" displayName="SourceRegister" ref="A1:P14" headerRowCount="1" totalsRowCount="0" totalsRowShown="0">
  <x:tableColumns count="16">
    <x:tableColumn id="1" name="source_id"/>
    <x:tableColumn id="2" name="publisher"/>
    <x:tableColumn id="3" name="title"/>
    <x:tableColumn id="4" name="source_type"/>
    <x:tableColumn id="5" name="url_or_doi"/>
    <x:tableColumn id="6" name="publication_date"/>
    <x:tableColumn id="7" name="retrieved_at"/>
    <x:tableColumn id="8" name="reporting_start"/>
    <x:tableColumn id="9" name="reporting_end"/>
    <x:tableColumn id="10" name="location"/>
    <x:tableColumn id="11" name="licence"/>
    <x:tableColumn id="12" name="redistributable"/>
    <x:tableColumn id="13" name="file_name"/>
    <x:tableColumn id="14" name="sha256"/>
    <x:tableColumn id="15" name="extraction_method"/>
    <x:tableColumn id="16" name="quality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a561a4a1604a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a381d4988245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1" hidden="0" customWidth="1"/>
    <x:col min="4" max="4" width="32" hidden="0" customWidth="1"/>
    <x:col min="5" max="5" width="24" hidden="0" customWidth="1"/>
    <x:col min="6" max="6" width="24" hidden="0" customWidth="1"/>
    <x:col min="7" max="7" width="34" hidden="0" customWidth="1"/>
    <x:col min="8" max="8" width="34" hidden="0" customWidth="1"/>
    <x:col min="9" max="9" width="20" hidden="0" customWidth="1"/>
    <x:col min="10" max="10" width="13" hidden="0" customWidth="1"/>
    <x:col min="11" max="11" width="13" hidden="0" customWidth="1"/>
    <x:col min="12" max="12" width="13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54" hidden="0" customWidth="1"/>
    <x:col min="19" max="19" width="28" hidden="0" customWidth="1"/>
    <x:col min="20" max="20" width="55" hidden="0" customWidth="1"/>
    <x:col min="21" max="21" width="38" hidden="0" customWidth="1"/>
    <x:col min="22" max="22" width="38" hidden="0" customWidth="1"/>
    <x:col min="23" max="23" width="38" hidden="0" customWidth="1"/>
  </x:cols>
  <x:sheetData>
    <x:row r="1">
      <x:c r="A1" s="22" t="str">
        <x:v>assumption_id</x:v>
      </x:c>
      <x:c r="B1" s="23" t="str">
        <x:v>sector</x:v>
      </x:c>
      <x:c r="C1" s="23" t="str">
        <x:v>route_id</x:v>
      </x:c>
      <x:c r="D1" s="23" t="str">
        <x:v>route_name</x:v>
      </x:c>
      <x:c r="E1" s="23" t="str">
        <x:v>geography</x:v>
      </x:c>
      <x:c r="F1" s="23" t="str">
        <x:v>applicability</x:v>
      </x:c>
      <x:c r="G1" s="23" t="str">
        <x:v>parameter_name</x:v>
      </x:c>
      <x:c r="H1" s="23" t="str">
        <x:v>model_input_role</x:v>
      </x:c>
      <x:c r="I1" s="23" t="str">
        <x:v>unit</x:v>
      </x:c>
      <x:c r="J1" s="23" t="str">
        <x:v>low</x:v>
      </x:c>
      <x:c r="K1" s="23" t="str">
        <x:v>base</x:v>
      </x:c>
      <x:c r="L1" s="23" t="str">
        <x:v>high</x:v>
      </x:c>
      <x:c r="M1" s="23" t="str">
        <x:v>value_type</x:v>
      </x:c>
      <x:c r="N1" s="23" t="str">
        <x:v>case_type</x:v>
      </x:c>
      <x:c r="O1" s="23" t="str">
        <x:v>base_year</x:v>
      </x:c>
      <x:c r="P1" s="23" t="str">
        <x:v>price_year</x:v>
      </x:c>
      <x:c r="Q1" s="23" t="str">
        <x:v>currency</x:v>
      </x:c>
      <x:c r="R1" s="23" t="str">
        <x:v>formula_or_method</x:v>
      </x:c>
      <x:c r="S1" s="23" t="str">
        <x:v>source_id</x:v>
      </x:c>
      <x:c r="T1" s="23" t="str">
        <x:v>source_url</x:v>
      </x:c>
      <x:c r="U1" s="23" t="str">
        <x:v>source_location</x:v>
      </x:c>
      <x:c r="V1" s="23" t="str">
        <x:v>quality_flag</x:v>
      </x:c>
      <x:c r="W1" s="24" t="str">
        <x:v>boundary_note</x:v>
      </x:c>
    </x:row>
    <x:row r="2" ht="30" customHeight="1">
      <x:c r="A2" s="32" t="str">
        <x:v>ST_H2DRI_COST_PREMIUM</x:v>
      </x:c>
      <x:c r="B2" s="32" t="str">
        <x:v>steel</x:v>
      </x:c>
      <x:c r="C2" s="32" t="str">
        <x:v>steel_h2_dri_eaf</x:v>
      </x:c>
      <x:c r="D2" s="44" t="str">
        <x:v>Hydrogen DRI plus EAF</x:v>
      </x:c>
      <x:c r="E2" s="44" t="str">
        <x:v>Korea and Japan screening</x:v>
      </x:c>
      <x:c r="F2" s="44" t="str">
        <x:v>Integrated works; route screening only</x:v>
      </x:c>
      <x:c r="G2" s="44" t="str">
        <x:v>production_cost_premium_fraction_vs_bf_bof</x:v>
      </x:c>
      <x:c r="H2" s="44" t="str">
        <x:v>screening_only</x:v>
      </x:c>
      <x:c r="I2" s="32" t="str">
        <x:v>fraction</x:v>
      </x:c>
      <x:c r="J2" s="38" t="str">
        <x:v>0.50</x:v>
      </x:c>
      <x:c r="K2" s="38" t="str">
        <x:v>0.95</x:v>
      </x:c>
      <x:c r="L2" s="38" t="str">
        <x:v>1.40</x:v>
      </x:c>
      <x:c r="M2" s="32" t="str">
        <x:v>Derived</x:v>
      </x:c>
      <x:c r="N2" s="32" t="str">
        <x:v>published range plus midpoint</x:v>
      </x:c>
      <x:c r="O2" s="32" t="str">
        <x:v>2024</x:v>
      </x:c>
      <x:c r="P2" s="32" t="str">
        <x:v>not_applicable</x:v>
      </x:c>
      <x:c r="Q2" s="32" t="str">
        <x:v>not_applicable</x:v>
      </x:c>
      <x:c r="R2" s="44" t="str">
        <x:v>Low/high are the IEA published 50-140% range; base is arithmetic midpoint (0.50+1.40)/2</x:v>
      </x:c>
      <x:c r="S2" s="44" t="str">
        <x:v>IEA_STEEL_BREAKTHROUGH_2025</x:v>
      </x:c>
      <x:c r="T2" s="44" t="str">
        <x:v>https://www.iea.org/reports/breakthrough-agenda-report-2025/steel</x:v>
      </x:c>
      <x:c r="U2" s="44" t="str">
        <x:v>State of the transition &gt; Cost</x:v>
      </x:c>
      <x:c r="V2" s="44" t="str">
        <x:v>B</x:v>
      </x:c>
      <x:c r="W2" s="44" t="str">
        <x:v>Regional production-cost premium, not facility CAPEX and not a Korea/Japan forecast.</x:v>
      </x:c>
    </x:row>
    <x:row r="3" ht="30" customHeight="1">
      <x:c r="A3" s="33" t="str">
        <x:v>ST_H2DRI_POWER_ADVANTAGE</x:v>
      </x:c>
      <x:c r="B3" s="33" t="str">
        <x:v>steel</x:v>
      </x:c>
      <x:c r="C3" s="33" t="str">
        <x:v>steel_h2_dri_eaf</x:v>
      </x:c>
      <x:c r="D3" s="45" t="str">
        <x:v>Hydrogen DRI plus EAF</x:v>
      </x:c>
      <x:c r="E3" s="45" t="str">
        <x:v>Global screening</x:v>
      </x:c>
      <x:c r="F3" s="45" t="str">
        <x:v>Integrated works; clean-power constraint</x:v>
      </x:c>
      <x:c r="G3" s="45" t="str">
        <x:v>renewable_power_price_advantage_threshold</x:v>
      </x:c>
      <x:c r="H3" s="45" t="str">
        <x:v>screening_only</x:v>
      </x:c>
      <x:c r="I3" s="33" t="str">
        <x:v>USD/MWh</x:v>
      </x:c>
      <x:c r="J3" s="39" t="str">
        <x:v>20</x:v>
      </x:c>
      <x:c r="K3" s="39" t="str">
        <x:v>25</x:v>
      </x:c>
      <x:c r="L3" s="39" t="str">
        <x:v>30</x:v>
      </x:c>
      <x:c r="M3" s="33" t="str">
        <x:v>Derived</x:v>
      </x:c>
      <x:c r="N3" s="33" t="str">
        <x:v>published range plus midpoint</x:v>
      </x:c>
      <x:c r="O3" s="33" t="str">
        <x:v>2020</x:v>
      </x:c>
      <x:c r="P3" s="33" t="str">
        <x:v>2020</x:v>
      </x:c>
      <x:c r="Q3" s="33" t="str">
        <x:v>USD</x:v>
      </x:c>
      <x:c r="R3" s="45" t="str">
        <x:v>Low/high are the IEA stated USD 20-30/MWh competitive-advantage range; base is midpoint</x:v>
      </x:c>
      <x:c r="S3" s="45" t="str">
        <x:v>IEA_STEEL_BREAKTHROUGH_2025</x:v>
      </x:c>
      <x:c r="T3" s="45" t="str">
        <x:v>https://www.iea.org/reports/iron-and-steel-technology-roadmap</x:v>
      </x:c>
      <x:c r="U3" s="45" t="str">
        <x:v>Executive summary &gt; technology portfolio</x:v>
      </x:c>
      <x:c r="V3" s="45" t="str">
        <x:v>B</x:v>
      </x:c>
      <x:c r="W3" s="45" t="str">
        <x:v>Directional global threshold; delivered clean-power cost in Korea/Japan may differ materially.</x:v>
      </x:c>
    </x:row>
    <x:row r="4" ht="30" customHeight="1">
      <x:c r="A4" s="33" t="str">
        <x:v>ST_H2DRI_ABATEMENT</x:v>
      </x:c>
      <x:c r="B4" s="33" t="str">
        <x:v>steel</x:v>
      </x:c>
      <x:c r="C4" s="33" t="str">
        <x:v>steel_h2_dri_eaf</x:v>
      </x:c>
      <x:c r="D4" s="45" t="str">
        <x:v>Hydrogen DRI plus EAF</x:v>
      </x:c>
      <x:c r="E4" s="45" t="str">
        <x:v>Korea and Japan screening</x:v>
      </x:c>
      <x:c r="F4" s="45" t="str">
        <x:v>Integrated works</x:v>
      </x:c>
      <x:c r="G4" s="45" t="str">
        <x:v>scope1_2_emissions_reduction_fraction</x:v>
      </x:c>
      <x:c r="H4" s="45" t="str">
        <x:v>transition_emissions_proxy</x:v>
      </x:c>
      <x:c r="I4" s="33" t="str">
        <x:v>fraction</x:v>
      </x:c>
      <x:c r="J4" s="39" t="str">
        <x:v>0.50</x:v>
      </x:c>
      <x:c r="K4" s="39" t="str">
        <x:v>0.75</x:v>
      </x:c>
      <x:c r="L4" s="39" t="str">
        <x:v>0.95</x:v>
      </x:c>
      <x:c r="M4" s="33" t="str">
        <x:v>Estimated</x:v>
      </x:c>
      <x:c r="N4" s="33" t="str">
        <x:v>engineering stress range</x:v>
      </x:c>
      <x:c r="O4" s="33" t="str">
        <x:v>2026</x:v>
      </x:c>
      <x:c r="P4" s="33" t="str">
        <x:v>not_applicable</x:v>
      </x:c>
      <x:c r="Q4" s="33" t="str">
        <x:v>not_applicable</x:v>
      </x:c>
      <x:c r="R4" s="45" t="str">
        <x:v>Low anchors NEDO direct-hydrogen-reduction target of at least 50%; base/high are analyst stress cases for clean power and residual emissions</x:v>
      </x:c>
      <x:c r="S4" s="45" t="str">
        <x:v>NEDO_H2_STEEL_2026</x:v>
      </x:c>
      <x:c r="T4" s="45" t="str">
        <x:v>https://green-innovation.nedo.go.jp/project/utilization-hydrogen-steelmaking/summary/</x:v>
      </x:c>
      <x:c r="U4" s="45" t="str">
        <x:v>R&amp;D target 2-1 and 2-2</x:v>
      </x:c>
      <x:c r="V4" s="45" t="str">
        <x:v>C</x:v>
      </x:c>
      <x:c r="W4" s="45" t="str">
        <x:v>Must be multiplied by a boundary-matched facility baseline; does not include ore, hydrogen, or grid upstream emissions.</x:v>
      </x:c>
    </x:row>
    <x:row r="5" ht="30" customHeight="1">
      <x:c r="A5" s="33" t="str">
        <x:v>ST_H2DRI_AVAILABILITY</x:v>
      </x:c>
      <x:c r="B5" s="33" t="str">
        <x:v>steel</x:v>
      </x:c>
      <x:c r="C5" s="33" t="str">
        <x:v>steel_h2_dri_eaf</x:v>
      </x:c>
      <x:c r="D5" s="45" t="str">
        <x:v>Hydrogen DRI plus EAF</x:v>
      </x:c>
      <x:c r="E5" s="45" t="str">
        <x:v>Korea and Japan screening</x:v>
      </x:c>
      <x:c r="F5" s="45" t="str">
        <x:v>Integrated works</x:v>
      </x:c>
      <x:c r="G5" s="45" t="str">
        <x:v>earliest_commercial_availability_year</x:v>
      </x:c>
      <x:c r="H5" s="45" t="str">
        <x:v>physical_constraint</x:v>
      </x:c>
      <x:c r="I5" s="33" t="str">
        <x:v>year</x:v>
      </x:c>
      <x:c r="J5" s="39" t="str">
        <x:v>2028</x:v>
      </x:c>
      <x:c r="K5" s="39" t="str">
        <x:v>2035</x:v>
      </x:c>
      <x:c r="L5" s="39" t="str">
        <x:v>2040</x:v>
      </x:c>
      <x:c r="M5" s="33" t="str">
        <x:v>Estimated</x:v>
      </x:c>
      <x:c r="N5" s="33" t="str">
        <x:v>timing stress range</x:v>
      </x:c>
      <x:c r="O5" s="33" t="str">
        <x:v>2026</x:v>
      </x:c>
      <x:c r="P5" s="33" t="str">
        <x:v>not_applicable</x:v>
      </x:c>
      <x:c r="Q5" s="33" t="str">
        <x:v>not_applicable</x:v>
      </x:c>
      <x:c r="R5" s="45" t="str">
        <x:v>Low uses POSCO 2028 demonstration completion; base/high add commercial scale-up allowance</x:v>
      </x:c>
      <x:c r="S5" s="45" t="str">
        <x:v>POSCO_CLIMATE_2026</x:v>
      </x:c>
      <x:c r="T5" s="45" t="str">
        <x:v>https://sustainability.posco.co.kr/S91/S91F10/eng/cmspage.do?mmcd=2648825310001953</x:v>
      </x:c>
      <x:c r="U5" s="45" t="str">
        <x:v>HyREX demonstration plant</x:v>
      </x:c>
      <x:c r="V5" s="45" t="str">
        <x:v>D</x:v>
      </x:c>
      <x:c r="W5" s="45" t="str">
        <x:v>A 300 kt/year demonstration milestone is not commercial fleet availability.</x:v>
      </x:c>
    </x:row>
    <x:row r="6" ht="30" customHeight="1">
      <x:c r="A6" s="33" t="str">
        <x:v>ST_BFH2CCUS_ABATEMENT</x:v>
      </x:c>
      <x:c r="B6" s="33" t="str">
        <x:v>steel</x:v>
      </x:c>
      <x:c r="C6" s="33" t="str">
        <x:v>steel_bf_h2_ccus</x:v>
      </x:c>
      <x:c r="D6" s="45" t="str">
        <x:v>BF hydrogen reduction plus CO2 capture</x:v>
      </x:c>
      <x:c r="E6" s="45" t="str">
        <x:v>Japan screening</x:v>
      </x:c>
      <x:c r="F6" s="45" t="str">
        <x:v>Integrated BF-BOF works</x:v>
      </x:c>
      <x:c r="G6" s="45" t="str">
        <x:v>scope1_2_emissions_reduction_fraction</x:v>
      </x:c>
      <x:c r="H6" s="45" t="str">
        <x:v>transition_emissions_proxy</x:v>
      </x:c>
      <x:c r="I6" s="33" t="str">
        <x:v>fraction</x:v>
      </x:c>
      <x:c r="J6" s="39" t="str">
        <x:v>0.30</x:v>
      </x:c>
      <x:c r="K6" s="39" t="str">
        <x:v>0.50</x:v>
      </x:c>
      <x:c r="L6" s="39" t="str">
        <x:v>0.60</x:v>
      </x:c>
      <x:c r="M6" s="33" t="str">
        <x:v>Estimated</x:v>
      </x:c>
      <x:c r="N6" s="33" t="str">
        <x:v>programme-target stress range</x:v>
      </x:c>
      <x:c r="O6" s="33" t="str">
        <x:v>2026</x:v>
      </x:c>
      <x:c r="P6" s="33" t="str">
        <x:v>not_applicable</x:v>
      </x:c>
      <x:c r="Q6" s="33" t="str">
        <x:v>not_applicable</x:v>
      </x:c>
      <x:c r="R6" s="45" t="str">
        <x:v>Low reflects legacy COURSE50 combined reduction objective; base reflects NEDO current at-least-50% R&amp;D target; high is analyst upside sensitivity</x:v>
      </x:c>
      <x:c r="S6" s="45" t="str">
        <x:v>NEDO_H2_STEEL_2026</x:v>
      </x:c>
      <x:c r="T6" s="45" t="str">
        <x:v>https://green-innovation.nedo.go.jp/project/utilization-hydrogen-steelmaking/summary/</x:v>
      </x:c>
      <x:c r="U6" s="45" t="str">
        <x:v>R&amp;D target 1</x:v>
      </x:c>
      <x:c r="V6" s="45" t="str">
        <x:v>C</x:v>
      </x:c>
      <x:c r="W6" s="45" t="str">
        <x:v>Capture, transport, storage, hydrogen supply and residual electricity emissions must pass separately.</x:v>
      </x:c>
    </x:row>
    <x:row r="7" ht="30" customHeight="1">
      <x:c r="A7" s="33" t="str">
        <x:v>ST_BFH2CCUS_AVAILABILITY</x:v>
      </x:c>
      <x:c r="B7" s="33" t="str">
        <x:v>steel</x:v>
      </x:c>
      <x:c r="C7" s="33" t="str">
        <x:v>steel_bf_h2_ccus</x:v>
      </x:c>
      <x:c r="D7" s="45" t="str">
        <x:v>BF hydrogen reduction plus CO2 capture</x:v>
      </x:c>
      <x:c r="E7" s="45" t="str">
        <x:v>Japan screening</x:v>
      </x:c>
      <x:c r="F7" s="45" t="str">
        <x:v>Integrated BF-BOF works</x:v>
      </x:c>
      <x:c r="G7" s="45" t="str">
        <x:v>earliest_commercial_availability_year</x:v>
      </x:c>
      <x:c r="H7" s="45" t="str">
        <x:v>physical_constraint</x:v>
      </x:c>
      <x:c r="I7" s="33" t="str">
        <x:v>year</x:v>
      </x:c>
      <x:c r="J7" s="39" t="str">
        <x:v>2030</x:v>
      </x:c>
      <x:c r="K7" s="39" t="str">
        <x:v>2032</x:v>
      </x:c>
      <x:c r="L7" s="39" t="str">
        <x:v>2035</x:v>
      </x:c>
      <x:c r="M7" s="33" t="str">
        <x:v>Estimated</x:v>
      </x:c>
      <x:c r="N7" s="33" t="str">
        <x:v>timing stress range</x:v>
      </x:c>
      <x:c r="O7" s="33" t="str">
        <x:v>2026</x:v>
      </x:c>
      <x:c r="P7" s="33" t="str">
        <x:v>not_applicable</x:v>
      </x:c>
      <x:c r="Q7" s="33" t="str">
        <x:v>not_applicable</x:v>
      </x:c>
      <x:c r="R7" s="45" t="str">
        <x:v>Low is NEDO's COURSE50 domestic introduction assumption by 2030; base/high allow deployment delay</x:v>
      </x:c>
      <x:c r="S7" s="45" t="str">
        <x:v>NEDO_H2_STEEL_2026</x:v>
      </x:c>
      <x:c r="T7" s="45" t="str">
        <x:v>https://green-innovation.nedo.go.jp/project/utilization-hydrogen-steelmaking/summary/</x:v>
      </x:c>
      <x:c r="U7" s="45" t="str">
        <x:v>2030 impact assumptions</x:v>
      </x:c>
      <x:c r="V7" s="45" t="str">
        <x:v>C</x:v>
      </x:c>
      <x:c r="W7" s="45" t="str">
        <x:v>Programme target is conditional and does not establish site-specific readiness.</x:v>
      </x:c>
    </x:row>
    <x:row r="8" ht="30" customHeight="1">
      <x:c r="A8" s="33" t="str">
        <x:v>ST_EAF_ABATEMENT_POSCO</x:v>
      </x:c>
      <x:c r="B8" s="33" t="str">
        <x:v>steel</x:v>
      </x:c>
      <x:c r="C8" s="33" t="str">
        <x:v>steel_scrap_eaf</x:v>
      </x:c>
      <x:c r="D8" s="45" t="str">
        <x:v>Scrap-based EAF</x:v>
      </x:c>
      <x:c r="E8" s="45" t="str">
        <x:v>POSCO Gwangyang</x:v>
      </x:c>
      <x:c r="F8" s="45" t="str">
        <x:v>POSCO-specific project marker</x:v>
      </x:c>
      <x:c r="G8" s="45" t="str">
        <x:v>scope1_2_emissions_reduction_fraction</x:v>
      </x:c>
      <x:c r="H8" s="45" t="str">
        <x:v>transition_emissions_proxy</x:v>
      </x:c>
      <x:c r="I8" s="33" t="str">
        <x:v>fraction</x:v>
      </x:c>
      <x:c r="J8" s="39" t="str">
        <x:v>0.60</x:v>
      </x:c>
      <x:c r="K8" s="39" t="str">
        <x:v>0.75</x:v>
      </x:c>
      <x:c r="L8" s="39" t="str">
        <x:v>0.75</x:v>
      </x:c>
      <x:c r="M8" s="33" t="str">
        <x:v>Estimated</x:v>
      </x:c>
      <x:c r="N8" s="33" t="str">
        <x:v>company point plus downside range</x:v>
      </x:c>
      <x:c r="O8" s="33" t="str">
        <x:v>2026</x:v>
      </x:c>
      <x:c r="P8" s="33" t="str">
        <x:v>not_applicable</x:v>
      </x:c>
      <x:c r="Q8" s="33" t="str">
        <x:v>not_applicable</x:v>
      </x:c>
      <x:c r="R8" s="45" t="str">
        <x:v>Base/high retain POSCO's up-to-75% statement; low is analyst downside for power mix, utilisation and charge mix</x:v>
      </x:c>
      <x:c r="S8" s="45" t="str">
        <x:v>POSCO_CLIMATE_2026</x:v>
      </x:c>
      <x:c r="T8" s="45" t="str">
        <x:v>https://sustainability.posco.co.kr/S91/S91F10/eng/cmspage.do?mmcd=2648825310001953</x:v>
      </x:c>
      <x:c r="U8" s="45" t="str">
        <x:v>New Electric Arc Furnace</x:v>
      </x:c>
      <x:c r="V8" s="45" t="str">
        <x:v>C</x:v>
      </x:c>
      <x:c r="W8" s="45" t="str">
        <x:v>POSCO-specific claim versus existing blast-furnace operation; not portable to every work.</x:v>
      </x:c>
    </x:row>
    <x:row r="9" ht="30" customHeight="1">
      <x:c r="A9" s="33" t="str">
        <x:v>ST_EAF_START_POSCO</x:v>
      </x:c>
      <x:c r="B9" s="33" t="str">
        <x:v>steel</x:v>
      </x:c>
      <x:c r="C9" s="33" t="str">
        <x:v>steel_scrap_eaf</x:v>
      </x:c>
      <x:c r="D9" s="45" t="str">
        <x:v>Scrap-based EAF</x:v>
      </x:c>
      <x:c r="E9" s="45" t="str">
        <x:v>POSCO Gwangyang</x:v>
      </x:c>
      <x:c r="F9" s="45" t="str">
        <x:v>POSCO-specific project marker</x:v>
      </x:c>
      <x:c r="G9" s="45" t="str">
        <x:v>operating_start_year</x:v>
      </x:c>
      <x:c r="H9" s="45" t="str">
        <x:v>decision_timing</x:v>
      </x:c>
      <x:c r="I9" s="33" t="str">
        <x:v>year</x:v>
      </x:c>
      <x:c r="J9" s="39" t="str">
        <x:v>2026</x:v>
      </x:c>
      <x:c r="K9" s="39" t="str">
        <x:v>2026</x:v>
      </x:c>
      <x:c r="L9" s="39" t="str">
        <x:v>2026</x:v>
      </x:c>
      <x:c r="M9" s="33" t="str">
        <x:v>Reported</x:v>
      </x:c>
      <x:c r="N9" s="33" t="str">
        <x:v>company milestone</x:v>
      </x:c>
      <x:c r="O9" s="33" t="str">
        <x:v>2026</x:v>
      </x:c>
      <x:c r="P9" s="33" t="str">
        <x:v>not_applicable</x:v>
      </x:c>
      <x:c r="Q9" s="33" t="str">
        <x:v>not_applicable</x:v>
      </x:c>
      <x:c r="R9" s="45" t="str">
        <x:v>Official company page states operation starting in 2026</x:v>
      </x:c>
      <x:c r="S9" s="45" t="str">
        <x:v>POSCO_CLIMATE_2026</x:v>
      </x:c>
      <x:c r="T9" s="45" t="str">
        <x:v>https://sustainability.posco.co.kr/S91/S91F10/eng/cmspage.do?mmcd=2648825310001953</x:v>
      </x:c>
      <x:c r="U9" s="45" t="str">
        <x:v>New Electric Arc Furnace</x:v>
      </x:c>
      <x:c r="V9" s="45" t="str">
        <x:v>A</x:v>
      </x:c>
      <x:c r="W9" s="45" t="str">
        <x:v>Project milestone only; completion and achieved operating performance require later verification.</x:v>
      </x:c>
    </x:row>
    <x:row r="10" ht="30" customHeight="1">
      <x:c r="A10" s="33" t="str">
        <x:v>ST_BF_SCRAP_ABATEMENT_POSCO</x:v>
      </x:c>
      <x:c r="B10" s="33" t="str">
        <x:v>steel</x:v>
      </x:c>
      <x:c r="C10" s="33" t="str">
        <x:v>steel_bf_increased_scrap</x:v>
      </x:c>
      <x:c r="D10" s="45" t="str">
        <x:v>Double scrap charging in steelmaking</x:v>
      </x:c>
      <x:c r="E10" s="45" t="str">
        <x:v>POSCO domestic steelmaking</x:v>
      </x:c>
      <x:c r="F10" s="45" t="str">
        <x:v>POSCO-specific commercial measure</x:v>
      </x:c>
      <x:c r="G10" s="45" t="str">
        <x:v>scope1_2_emissions_reduction_fraction</x:v>
      </x:c>
      <x:c r="H10" s="45" t="str">
        <x:v>transition_emissions_proxy</x:v>
      </x:c>
      <x:c r="I10" s="33" t="str">
        <x:v>fraction</x:v>
      </x:c>
      <x:c r="J10" s="39" t="str">
        <x:v>0.10</x:v>
      </x:c>
      <x:c r="K10" s="39" t="str">
        <x:v>0.10</x:v>
      </x:c>
      <x:c r="L10" s="39" t="str">
        <x:v>0.10</x:v>
      </x:c>
      <x:c r="M10" s="33" t="str">
        <x:v>Reported</x:v>
      </x:c>
      <x:c r="N10" s="33" t="str">
        <x:v>company target</x:v>
      </x:c>
      <x:c r="O10" s="33" t="str">
        <x:v>2025</x:v>
      </x:c>
      <x:c r="P10" s="33" t="str">
        <x:v>not_applicable</x:v>
      </x:c>
      <x:c r="Q10" s="33" t="str">
        <x:v>not_applicable</x:v>
      </x:c>
      <x:c r="R10" s="45" t="str">
        <x:v>Official company page states approximately 10% reduction per tonne crude steel versus existing BF production</x:v>
      </x:c>
      <x:c r="S10" s="45" t="str">
        <x:v>POSCO_CLIMATE_2026</x:v>
      </x:c>
      <x:c r="T10" s="45" t="str">
        <x:v>https://sustainability.posco.co.kr/S91/S91F10/eng/cmspage.do?mmcd=2648825310001953</x:v>
      </x:c>
      <x:c r="U10" s="45" t="str">
        <x:v>Development of Carbon-Reduced Steel Products and Services</x:v>
      </x:c>
      <x:c r="V10" s="45" t="str">
        <x:v>B</x:v>
      </x:c>
      <x:c r="W10" s="45" t="str">
        <x:v>Company target/comparison basis; achieved facility result is not independently observed here.</x:v>
      </x:c>
    </x:row>
    <x:row r="11" ht="30" customHeight="1">
      <x:c r="A11" s="33" t="str">
        <x:v>PC_NAPHTHA_CAPEX</x:v>
      </x:c>
      <x:c r="B11" s="33" t="str">
        <x:v>petrochemicals</x:v>
      </x:c>
      <x:c r="C11" s="33" t="str">
        <x:v>petchem_naphtha_cracker_incumbent</x:v>
      </x:c>
      <x:c r="D11" s="45" t="str">
        <x:v>Naphtha steam cracker incumbent</x:v>
      </x:c>
      <x:c r="E11" s="45" t="str">
        <x:v>Global benchmark</x:v>
      </x:c>
      <x:c r="F11" s="45" t="str">
        <x:v>High-value chemicals benchmark</x:v>
      </x:c>
      <x:c r="G11" s="45" t="str">
        <x:v>overnight_capex_per_annual_capacity</x:v>
      </x:c>
      <x:c r="H11" s="45" t="str">
        <x:v>incumbent_capex_proxy</x:v>
      </x:c>
      <x:c r="I11" s="33" t="str">
        <x:v>USD/tHVC-year</x:v>
      </x:c>
      <x:c r="J11" s="39" t="str">
        <x:v>2050</x:v>
      </x:c>
      <x:c r="K11" s="39" t="str">
        <x:v>2050</x:v>
      </x:c>
      <x:c r="L11" s="39" t="str">
        <x:v>2050</x:v>
      </x:c>
      <x:c r="M11" s="33" t="str">
        <x:v>Reported</x:v>
      </x:c>
      <x:c r="N11" s="33" t="str">
        <x:v>published point</x:v>
      </x:c>
      <x:c r="O11" s="33" t="str">
        <x:v>2017</x:v>
      </x:c>
      <x:c r="P11" s="33" t="str">
        <x:v>2017</x:v>
      </x:c>
      <x:c r="Q11" s="33" t="str">
        <x:v>USD</x:v>
      </x:c>
      <x:c r="R11" s="45" t="str">
        <x:v>IEA chart note reports USD 2,050 per tonne HVC annual capacity</x:v>
      </x:c>
      <x:c r="S11" s="45" t="str">
        <x:v>IEA_PETCHEM_COST_2018</x:v>
      </x:c>
      <x:c r="T11" s="45" t="str">
        <x:v>https://www.iea.org/data-and-statistics/charts/simplified-levelised-cost-of-petrochemicals-for-selected-feedstocks-and-regions-2017</x:v>
      </x:c>
      <x:c r="U11" s="45" t="str">
        <x:v>chart notes</x:v>
      </x:c>
      <x:c r="V11" s="45" t="str">
        <x:v>B</x:v>
      </x:c>
      <x:c r="W11" s="45" t="str">
        <x:v>Historical global benchmark; requires inflation, location, integration and brownfield adjustments before facility use.</x:v>
      </x:c>
    </x:row>
    <x:row r="12" ht="30" customHeight="1">
      <x:c r="A12" s="33" t="str">
        <x:v>PC_NAPHTHA_FOPEX</x:v>
      </x:c>
      <x:c r="B12" s="33" t="str">
        <x:v>petrochemicals</x:v>
      </x:c>
      <x:c r="C12" s="33" t="str">
        <x:v>petchem_naphtha_cracker_incumbent</x:v>
      </x:c>
      <x:c r="D12" s="45" t="str">
        <x:v>Naphtha steam cracker incumbent</x:v>
      </x:c>
      <x:c r="E12" s="45" t="str">
        <x:v>Global benchmark</x:v>
      </x:c>
      <x:c r="F12" s="45" t="str">
        <x:v>High-value chemicals benchmark</x:v>
      </x:c>
      <x:c r="G12" s="45" t="str">
        <x:v>fixed_opex_fraction_of_capex</x:v>
      </x:c>
      <x:c r="H12" s="45" t="str">
        <x:v>incumbent_om_proxy</x:v>
      </x:c>
      <x:c r="I12" s="33" t="str">
        <x:v>fraction</x:v>
      </x:c>
      <x:c r="J12" s="39" t="str">
        <x:v>0.025</x:v>
      </x:c>
      <x:c r="K12" s="39" t="str">
        <x:v>0.0375</x:v>
      </x:c>
      <x:c r="L12" s="39" t="str">
        <x:v>0.050</x:v>
      </x:c>
      <x:c r="M12" s="33" t="str">
        <x:v>Derived</x:v>
      </x:c>
      <x:c r="N12" s="33" t="str">
        <x:v>published range plus midpoint</x:v>
      </x:c>
      <x:c r="O12" s="33" t="str">
        <x:v>2017</x:v>
      </x:c>
      <x:c r="P12" s="33" t="str">
        <x:v>2017</x:v>
      </x:c>
      <x:c r="Q12" s="33" t="str">
        <x:v>USD</x:v>
      </x:c>
      <x:c r="R12" s="45" t="str">
        <x:v>Low/high are IEA published 2.5-5.0%; base is arithmetic midpoint</x:v>
      </x:c>
      <x:c r="S12" s="45" t="str">
        <x:v>IEA_PETCHEM_COST_2018</x:v>
      </x:c>
      <x:c r="T12" s="45" t="str">
        <x:v>https://www.iea.org/data-and-statistics/charts/simplified-levelised-cost-of-petrochemicals-for-selected-feedstocks-and-regions-2017</x:v>
      </x:c>
      <x:c r="U12" s="45" t="str">
        <x:v>chart notes</x:v>
      </x:c>
      <x:c r="V12" s="45" t="str">
        <x:v>B</x:v>
      </x:c>
      <x:c r="W12" s="45" t="str">
        <x:v>Fixed OPEX excludes feedstock and fuel.</x:v>
      </x:c>
    </x:row>
    <x:row r="13" ht="30" customHeight="1">
      <x:c r="A13" s="33" t="str">
        <x:v>PC_NAPHTHA_LIFE</x:v>
      </x:c>
      <x:c r="B13" s="33" t="str">
        <x:v>petrochemicals</x:v>
      </x:c>
      <x:c r="C13" s="33" t="str">
        <x:v>petchem_naphtha_cracker_incumbent</x:v>
      </x:c>
      <x:c r="D13" s="45" t="str">
        <x:v>Naphtha steam cracker incumbent</x:v>
      </x:c>
      <x:c r="E13" s="45" t="str">
        <x:v>Global benchmark</x:v>
      </x:c>
      <x:c r="F13" s="45" t="str">
        <x:v>High-value chemicals benchmark</x:v>
      </x:c>
      <x:c r="G13" s="45" t="str">
        <x:v>technical_lifetime_years</x:v>
      </x:c>
      <x:c r="H13" s="45" t="str">
        <x:v>incumbent_lifetime_years</x:v>
      </x:c>
      <x:c r="I13" s="33" t="str">
        <x:v>year</x:v>
      </x:c>
      <x:c r="J13" s="39" t="str">
        <x:v>25</x:v>
      </x:c>
      <x:c r="K13" s="39" t="str">
        <x:v>25</x:v>
      </x:c>
      <x:c r="L13" s="39" t="str">
        <x:v>25</x:v>
      </x:c>
      <x:c r="M13" s="33" t="str">
        <x:v>Reported</x:v>
      </x:c>
      <x:c r="N13" s="33" t="str">
        <x:v>published point</x:v>
      </x:c>
      <x:c r="O13" s="33" t="str">
        <x:v>2017</x:v>
      </x:c>
      <x:c r="P13" s="33" t="str">
        <x:v>not_applicable</x:v>
      </x:c>
      <x:c r="Q13" s="33" t="str">
        <x:v>not_applicable</x:v>
      </x:c>
      <x:c r="R13" s="45" t="str">
        <x:v>IEA assumes a 25-year design life</x:v>
      </x:c>
      <x:c r="S13" s="45" t="str">
        <x:v>IEA_PETCHEM_COST_2018</x:v>
      </x:c>
      <x:c r="T13" s="45" t="str">
        <x:v>https://www.iea.org/data-and-statistics/charts/simplified-levelised-cost-of-petrochemicals-for-selected-feedstocks-and-regions-2017</x:v>
      </x:c>
      <x:c r="U13" s="45" t="str">
        <x:v>chart notes</x:v>
      </x:c>
      <x:c r="V13" s="45" t="str">
        <x:v>B</x:v>
      </x:c>
      <x:c r="W13" s="45" t="str">
        <x:v>Model lifetime assumption, not the observed age of any sample cracker.</x:v>
      </x:c>
    </x:row>
    <x:row r="14" ht="30" customHeight="1">
      <x:c r="A14" s="33" t="str">
        <x:v>PC_NAPHTHA_ENERGY</x:v>
      </x:c>
      <x:c r="B14" s="33" t="str">
        <x:v>petrochemicals</x:v>
      </x:c>
      <x:c r="C14" s="33" t="str">
        <x:v>petchem_naphtha_cracker_incumbent</x:v>
      </x:c>
      <x:c r="D14" s="45" t="str">
        <x:v>Naphtha steam cracker incumbent</x:v>
      </x:c>
      <x:c r="E14" s="45" t="str">
        <x:v>Global benchmark</x:v>
      </x:c>
      <x:c r="F14" s="45" t="str">
        <x:v>High-value chemicals benchmark</x:v>
      </x:c>
      <x:c r="G14" s="45" t="str">
        <x:v>process_energy_intensity</x:v>
      </x:c>
      <x:c r="H14" s="45" t="str">
        <x:v>incumbent_energy_quantity_proxy</x:v>
      </x:c>
      <x:c r="I14" s="33" t="str">
        <x:v>GJ/tHVC</x:v>
      </x:c>
      <x:c r="J14" s="39" t="str">
        <x:v>12</x:v>
      </x:c>
      <x:c r="K14" s="39" t="str">
        <x:v>15.5</x:v>
      </x:c>
      <x:c r="L14" s="39" t="str">
        <x:v>19</x:v>
      </x:c>
      <x:c r="M14" s="33" t="str">
        <x:v>Derived</x:v>
      </x:c>
      <x:c r="N14" s="33" t="str">
        <x:v>published range plus midpoint</x:v>
      </x:c>
      <x:c r="O14" s="33" t="str">
        <x:v>2017</x:v>
      </x:c>
      <x:c r="P14" s="33" t="str">
        <x:v>not_applicable</x:v>
      </x:c>
      <x:c r="Q14" s="33" t="str">
        <x:v>not_applicable</x:v>
      </x:c>
      <x:c r="R14" s="45" t="str">
        <x:v>Low/high are IEA published 12-19 GJ/tHVC; base is arithmetic midpoint</x:v>
      </x:c>
      <x:c r="S14" s="45" t="str">
        <x:v>IEA_PETCHEM_COST_2018</x:v>
      </x:c>
      <x:c r="T14" s="45" t="str">
        <x:v>https://www.iea.org/data-and-statistics/charts/simplified-levelised-cost-of-petrochemicals-for-selected-feedstocks-and-regions-2017</x:v>
      </x:c>
      <x:c r="U14" s="45" t="str">
        <x:v>chart notes</x:v>
      </x:c>
      <x:c r="V14" s="45" t="str">
        <x:v>B</x:v>
      </x:c>
      <x:c r="W14" s="45" t="str">
        <x:v>Net process energy using available product fuel gas as described by the source.</x:v>
      </x:c>
    </x:row>
    <x:row r="15" ht="30" customHeight="1">
      <x:c r="A15" s="33" t="str">
        <x:v>PC_ECRACKER_CAPEX_FRACTION</x:v>
      </x:c>
      <x:c r="B15" s="33" t="str">
        <x:v>petrochemicals</x:v>
      </x:c>
      <x:c r="C15" s="33" t="str">
        <x:v>petchem_electrified_cracker</x:v>
      </x:c>
      <x:c r="D15" s="45" t="str">
        <x:v>Electrified steam cracking retrofit</x:v>
      </x:c>
      <x:c r="E15" s="45" t="str">
        <x:v>Korea and Japan screening</x:v>
      </x:c>
      <x:c r="F15" s="45" t="str">
        <x:v>Existing integrated crackers</x:v>
      </x:c>
      <x:c r="G15" s="45" t="str">
        <x:v>incremental_capex_fraction_of_new_naphtha_cracker</x:v>
      </x:c>
      <x:c r="H15" s="45" t="str">
        <x:v>transition_capex_proxy</x:v>
      </x:c>
      <x:c r="I15" s="33" t="str">
        <x:v>fraction</x:v>
      </x:c>
      <x:c r="J15" s="39" t="str">
        <x:v>0.15</x:v>
      </x:c>
      <x:c r="K15" s="39" t="str">
        <x:v>0.30</x:v>
      </x:c>
      <x:c r="L15" s="39" t="str">
        <x:v>0.50</x:v>
      </x:c>
      <x:c r="M15" s="33" t="str">
        <x:v>Estimated</x:v>
      </x:c>
      <x:c r="N15" s="33" t="str">
        <x:v>analyst engineering stress range</x:v>
      </x:c>
      <x:c r="O15" s="33" t="str">
        <x:v>2026</x:v>
      </x:c>
      <x:c r="P15" s="33" t="str">
        <x:v>not_applicable</x:v>
      </x:c>
      <x:c r="Q15" s="33" t="str">
        <x:v>not_applicable</x:v>
      </x:c>
      <x:c r="R15" s="45" t="str">
        <x:v>Analyst retrofit fraction applied to the IEA new-cracker CAPEX benchmark; replace with project data</x:v>
      </x:c>
      <x:c r="S15" s="45" t="str">
        <x:v>IEA_CTG_2026</x:v>
      </x:c>
      <x:c r="T15" s="45" t="str">
        <x:v>https://www.iea.org/data-and-statistics/data-tools/etp-clean-energy-technology-guide</x:v>
      </x:c>
      <x:c r="U15" s="45" t="str">
        <x:v>Chemicals technology screening</x:v>
      </x:c>
      <x:c r="V15" s="45" t="str">
        <x:v>D</x:v>
      </x:c>
      <x:c r="W15" s="45" t="str">
        <x:v>Placeholder for output-first modelling; does not represent a published IEA cost range.</x:v>
      </x:c>
    </x:row>
    <x:row r="16" ht="30" customHeight="1">
      <x:c r="A16" s="33" t="str">
        <x:v>PC_ECRACKER_CAPEX</x:v>
      </x:c>
      <x:c r="B16" s="33" t="str">
        <x:v>petrochemicals</x:v>
      </x:c>
      <x:c r="C16" s="33" t="str">
        <x:v>petchem_electrified_cracker</x:v>
      </x:c>
      <x:c r="D16" s="45" t="str">
        <x:v>Electrified steam cracking retrofit</x:v>
      </x:c>
      <x:c r="E16" s="45" t="str">
        <x:v>Korea and Japan screening</x:v>
      </x:c>
      <x:c r="F16" s="45" t="str">
        <x:v>Existing integrated crackers</x:v>
      </x:c>
      <x:c r="G16" s="45" t="str">
        <x:v>incremental_capex_per_annual_capacity</x:v>
      </x:c>
      <x:c r="H16" s="45" t="str">
        <x:v>transition_capex_proxy</x:v>
      </x:c>
      <x:c r="I16" s="33" t="str">
        <x:v>USD/tHVC-year</x:v>
      </x:c>
      <x:c r="J16" s="39" t="str">
        <x:v>307.5</x:v>
      </x:c>
      <x:c r="K16" s="39" t="str">
        <x:v>615</x:v>
      </x:c>
      <x:c r="L16" s="39" t="str">
        <x:v>1025</x:v>
      </x:c>
      <x:c r="M16" s="33" t="str">
        <x:v>Estimated</x:v>
      </x:c>
      <x:c r="N16" s="33" t="str">
        <x:v>formula-derived from estimated fraction</x:v>
      </x:c>
      <x:c r="O16" s="33" t="str">
        <x:v>2026</x:v>
      </x:c>
      <x:c r="P16" s="33" t="str">
        <x:v>2017</x:v>
      </x:c>
      <x:c r="Q16" s="33" t="str">
        <x:v>USD</x:v>
      </x:c>
      <x:c r="R16" s="45" t="str">
        <x:v>Case-wise PC_NAPHTHA_CAPEX base (2050) multiplied by PC_ECRACKER_CAPEX_FRACTION low/base/high</x:v>
      </x:c>
      <x:c r="S16" s="45" t="str">
        <x:v>IEA_PETCHEM_COST_2018|IEA_CTG_2026</x:v>
      </x:c>
      <x:c r="T16" s="45" t="str">
        <x:v>https://www.iea.org/data-and-statistics/charts/simplified-levelised-cost-of-petrochemicals-for-selected-feedstocks-and-regions-2017</x:v>
      </x:c>
      <x:c r="U16" s="45" t="str">
        <x:v>analyst transformation</x:v>
      </x:c>
      <x:c r="V16" s="45" t="str">
        <x:v>D</x:v>
      </x:c>
      <x:c r="W16" s="45" t="str">
        <x:v>Still in 2017 USD; inflate and localise before monetary aggregation.</x:v>
      </x:c>
    </x:row>
    <x:row r="17" ht="30" customHeight="1">
      <x:c r="A17" s="33" t="str">
        <x:v>PC_ECRACKER_ABATEMENT</x:v>
      </x:c>
      <x:c r="B17" s="33" t="str">
        <x:v>petrochemicals</x:v>
      </x:c>
      <x:c r="C17" s="33" t="str">
        <x:v>petchem_electrified_cracker</x:v>
      </x:c>
      <x:c r="D17" s="45" t="str">
        <x:v>Electrified steam cracking retrofit</x:v>
      </x:c>
      <x:c r="E17" s="45" t="str">
        <x:v>Korea and Japan screening</x:v>
      </x:c>
      <x:c r="F17" s="45" t="str">
        <x:v>Existing integrated crackers</x:v>
      </x:c>
      <x:c r="G17" s="45" t="str">
        <x:v>scope1_2_emissions_reduction_fraction</x:v>
      </x:c>
      <x:c r="H17" s="45" t="str">
        <x:v>transition_emissions_proxy</x:v>
      </x:c>
      <x:c r="I17" s="33" t="str">
        <x:v>fraction</x:v>
      </x:c>
      <x:c r="J17" s="39" t="str">
        <x:v>0.30</x:v>
      </x:c>
      <x:c r="K17" s="39" t="str">
        <x:v>0.50</x:v>
      </x:c>
      <x:c r="L17" s="39" t="str">
        <x:v>0.70</x:v>
      </x:c>
      <x:c r="M17" s="33" t="str">
        <x:v>Estimated</x:v>
      </x:c>
      <x:c r="N17" s="33" t="str">
        <x:v>analyst engineering stress range</x:v>
      </x:c>
      <x:c r="O17" s="33" t="str">
        <x:v>2026</x:v>
      </x:c>
      <x:c r="P17" s="33" t="str">
        <x:v>not_applicable</x:v>
      </x:c>
      <x:c r="Q17" s="33" t="str">
        <x:v>not_applicable</x:v>
      </x:c>
      <x:c r="R17" s="45" t="str">
        <x:v>Analyst range for electrified process heat; achieved Scope 1+2 depends on furnace coverage and power carbon intensity</x:v>
      </x:c>
      <x:c r="S17" s="45" t="str">
        <x:v>IEA_CTG_2026</x:v>
      </x:c>
      <x:c r="T17" s="45" t="str">
        <x:v>https://www.iea.org/data-and-statistics/data-tools/etp-clean-energy-technology-guide</x:v>
      </x:c>
      <x:c r="U17" s="45" t="str">
        <x:v>Chemicals technology screening</x:v>
      </x:c>
      <x:c r="V17" s="45" t="str">
        <x:v>D</x:v>
      </x:c>
      <x:c r="W17" s="45" t="str">
        <x:v>Does not include feedstock carbon, downstream use or end-of-life emissions.</x:v>
      </x:c>
    </x:row>
    <x:row r="18" ht="30" customHeight="1">
      <x:c r="A18" s="33" t="str">
        <x:v>PC_ECRACKER_AVAILABILITY</x:v>
      </x:c>
      <x:c r="B18" s="33" t="str">
        <x:v>petrochemicals</x:v>
      </x:c>
      <x:c r="C18" s="33" t="str">
        <x:v>petchem_electrified_cracker</x:v>
      </x:c>
      <x:c r="D18" s="45" t="str">
        <x:v>Electrified steam cracking retrofit</x:v>
      </x:c>
      <x:c r="E18" s="45" t="str">
        <x:v>Korea and Japan screening</x:v>
      </x:c>
      <x:c r="F18" s="45" t="str">
        <x:v>Existing integrated crackers</x:v>
      </x:c>
      <x:c r="G18" s="45" t="str">
        <x:v>earliest_commercial_availability_year</x:v>
      </x:c>
      <x:c r="H18" s="45" t="str">
        <x:v>physical_constraint</x:v>
      </x:c>
      <x:c r="I18" s="33" t="str">
        <x:v>year</x:v>
      </x:c>
      <x:c r="J18" s="39" t="str">
        <x:v>2030</x:v>
      </x:c>
      <x:c r="K18" s="39" t="str">
        <x:v>2035</x:v>
      </x:c>
      <x:c r="L18" s="39" t="str">
        <x:v>2040</x:v>
      </x:c>
      <x:c r="M18" s="33" t="str">
        <x:v>Estimated</x:v>
      </x:c>
      <x:c r="N18" s="33" t="str">
        <x:v>timing stress range</x:v>
      </x:c>
      <x:c r="O18" s="33" t="str">
        <x:v>2026</x:v>
      </x:c>
      <x:c r="P18" s="33" t="str">
        <x:v>not_applicable</x:v>
      </x:c>
      <x:c r="Q18" s="33" t="str">
        <x:v>not_applicable</x:v>
      </x:c>
      <x:c r="R18" s="45" t="str">
        <x:v>Analyst timing range anchored to IEA technology-development screening; project-specific readiness required</x:v>
      </x:c>
      <x:c r="S18" s="45" t="str">
        <x:v>IEA_CTG_2026</x:v>
      </x:c>
      <x:c r="T18" s="45" t="str">
        <x:v>https://www.iea.org/data-and-statistics/data-tools/etp-clean-energy-technology-guide</x:v>
      </x:c>
      <x:c r="U18" s="45" t="str">
        <x:v>Chemicals technology screening</x:v>
      </x:c>
      <x:c r="V18" s="45" t="str">
        <x:v>D</x:v>
      </x:c>
      <x:c r="W18" s="45" t="str">
        <x:v>Route identity is source-backed; dates are analyst assumptions.</x:v>
      </x:c>
    </x:row>
    <x:row r="19" ht="30" customHeight="1">
      <x:c r="A19" s="33" t="str">
        <x:v>PC_MCI_WJ_INVESTMENT</x:v>
      </x:c>
      <x:c r="B19" s="33" t="str">
        <x:v>petrochemicals</x:v>
      </x:c>
      <x:c r="C19" s="33" t="str">
        <x:v>petchem_west_japan_consolidation</x:v>
      </x:c>
      <x:c r="D19" s="45" t="str">
        <x:v>Western Japan cracker consolidation and process transition</x:v>
      </x:c>
      <x:c r="E19" s="45" t="str">
        <x:v>Japan</x:v>
      </x:c>
      <x:c r="F19" s="45" t="str">
        <x:v>Named multi-company western Japan project</x:v>
      </x:c>
      <x:c r="G19" s="45" t="str">
        <x:v>total_project_investment</x:v>
      </x:c>
      <x:c r="H19" s="45" t="str">
        <x:v>project_specific_capex</x:v>
      </x:c>
      <x:c r="I19" s="33" t="str">
        <x:v>JPY</x:v>
      </x:c>
      <x:c r="J19" s="39" t="str">
        <x:v>21200000000</x:v>
      </x:c>
      <x:c r="K19" s="39" t="str">
        <x:v>21200000000</x:v>
      </x:c>
      <x:c r="L19" s="39" t="str">
        <x:v>21200000000</x:v>
      </x:c>
      <x:c r="M19" s="33" t="str">
        <x:v>Reported</x:v>
      </x:c>
      <x:c r="N19" s="33" t="str">
        <x:v>project point</x:v>
      </x:c>
      <x:c r="O19" s="33" t="str">
        <x:v>2026</x:v>
      </x:c>
      <x:c r="P19" s="33" t="str">
        <x:v>2026_nominal_announcement</x:v>
      </x:c>
      <x:c r="Q19" s="33" t="str">
        <x:v>JPY</x:v>
      </x:c>
      <x:c r="R19" s="45" t="str">
        <x:v>Official joint release project scale</x:v>
      </x:c>
      <x:c r="S19" s="45" t="str">
        <x:v>MCI_WEST_JAPAN_2026</x:v>
      </x:c>
      <x:c r="T19" s="45" t="str">
        <x:v>https://jp.mitsuichemicals.com/en/release/2026/2026_0127_2/index.htm</x:v>
      </x:c>
      <x:c r="U19" s="45" t="str">
        <x:v>Outline of HtA Support Program</x:v>
      </x:c>
      <x:c r="V19" s="45" t="str">
        <x:v>A</x:v>
      </x:c>
      <x:c r="W19" s="45" t="str">
        <x:v>Multi-company project amount; never attribute 100% to Mitsui without JV/offtake allocation.</x:v>
      </x:c>
    </x:row>
    <x:row r="20" ht="30" customHeight="1">
      <x:c r="A20" s="33" t="str">
        <x:v>PC_MCI_WJ_SUBSIDY</x:v>
      </x:c>
      <x:c r="B20" s="33" t="str">
        <x:v>petrochemicals</x:v>
      </x:c>
      <x:c r="C20" s="33" t="str">
        <x:v>petchem_west_japan_consolidation</x:v>
      </x:c>
      <x:c r="D20" s="45" t="str">
        <x:v>Western Japan cracker consolidation and process transition</x:v>
      </x:c>
      <x:c r="E20" s="45" t="str">
        <x:v>Japan</x:v>
      </x:c>
      <x:c r="F20" s="45" t="str">
        <x:v>Named multi-company western Japan project</x:v>
      </x:c>
      <x:c r="G20" s="45" t="str">
        <x:v>maximum_subsidy_application</x:v>
      </x:c>
      <x:c r="H20" s="45" t="str">
        <x:v>verified_support_ceiling</x:v>
      </x:c>
      <x:c r="I20" s="33" t="str">
        <x:v>JPY</x:v>
      </x:c>
      <x:c r="J20" s="39" t="str">
        <x:v>10400000000</x:v>
      </x:c>
      <x:c r="K20" s="39" t="str">
        <x:v>10400000000</x:v>
      </x:c>
      <x:c r="L20" s="39" t="str">
        <x:v>10400000000</x:v>
      </x:c>
      <x:c r="M20" s="33" t="str">
        <x:v>Reported</x:v>
      </x:c>
      <x:c r="N20" s="33" t="str">
        <x:v>application ceiling</x:v>
      </x:c>
      <x:c r="O20" s="33" t="str">
        <x:v>2026</x:v>
      </x:c>
      <x:c r="P20" s="33" t="str">
        <x:v>2026_nominal_announcement</x:v>
      </x:c>
      <x:c r="Q20" s="33" t="str">
        <x:v>JPY</x:v>
      </x:c>
      <x:c r="R20" s="45" t="str">
        <x:v>Official maximum subsidy application amount</x:v>
      </x:c>
      <x:c r="S20" s="45" t="str">
        <x:v>MCI_WEST_JAPAN_2026</x:v>
      </x:c>
      <x:c r="T20" s="45" t="str">
        <x:v>https://jp.mitsuichemicals.com/en/release/2026/2026_0127_2/index.htm</x:v>
      </x:c>
      <x:c r="U20" s="45" t="str">
        <x:v>Outline of HtA Support Program</x:v>
      </x:c>
      <x:c r="V20" s="45" t="str">
        <x:v>A</x:v>
      </x:c>
      <x:c r="W20" s="45" t="str">
        <x:v>Application maximum is not realised cash support; model as ceiling until award/payment evidence is available.</x:v>
      </x:c>
    </x:row>
    <x:row r="21" ht="30" customHeight="1">
      <x:c r="A21" s="33" t="str">
        <x:v>PC_MCI_WJ_ABATEMENT</x:v>
      </x:c>
      <x:c r="B21" s="33" t="str">
        <x:v>petrochemicals</x:v>
      </x:c>
      <x:c r="C21" s="33" t="str">
        <x:v>petchem_west_japan_consolidation</x:v>
      </x:c>
      <x:c r="D21" s="45" t="str">
        <x:v>Western Japan cracker consolidation and process transition</x:v>
      </x:c>
      <x:c r="E21" s="45" t="str">
        <x:v>Japan</x:v>
      </x:c>
      <x:c r="F21" s="45" t="str">
        <x:v>Named multi-company western Japan project</x:v>
      </x:c>
      <x:c r="G21" s="45" t="str">
        <x:v>expected_scope1_2_abatement</x:v>
      </x:c>
      <x:c r="H21" s="45" t="str">
        <x:v>project_specific_abatement</x:v>
      </x:c>
      <x:c r="I21" s="33" t="str">
        <x:v>tCO2/year</x:v>
      </x:c>
      <x:c r="J21" s="39" t="str">
        <x:v>506000</x:v>
      </x:c>
      <x:c r="K21" s="39" t="str">
        <x:v>506000</x:v>
      </x:c>
      <x:c r="L21" s="39" t="str">
        <x:v>506000</x:v>
      </x:c>
      <x:c r="M21" s="33" t="str">
        <x:v>Reported</x:v>
      </x:c>
      <x:c r="N21" s="33" t="str">
        <x:v>project expectation</x:v>
      </x:c>
      <x:c r="O21" s="33" t="str">
        <x:v>2026</x:v>
      </x:c>
      <x:c r="P21" s="33" t="str">
        <x:v>not_applicable</x:v>
      </x:c>
      <x:c r="Q21" s="33" t="str">
        <x:v>not_applicable</x:v>
      </x:c>
      <x:c r="R21" s="45" t="str">
        <x:v>Official expected structural-transition Scope 1+2 reduction</x:v>
      </x:c>
      <x:c r="S21" s="45" t="str">
        <x:v>MCI_WEST_JAPAN_2026</x:v>
      </x:c>
      <x:c r="T21" s="45" t="str">
        <x:v>https://jp.mitsuichemicals.com/en/release/2026/2026_0127_2/index.htm</x:v>
      </x:c>
      <x:c r="U21" s="45" t="str">
        <x:v>Outline of HtA Support Program</x:v>
      </x:c>
      <x:c r="V21" s="45" t="str">
        <x:v>A</x:v>
      </x:c>
      <x:c r="W21" s="45" t="str">
        <x:v>Compared with FY2023 Osaka and FY2024 Mizushima; not yet achieved or third-party verified.</x:v>
      </x:c>
    </x:row>
    <x:row r="22" ht="30" customHeight="1">
      <x:c r="A22" s="33" t="str">
        <x:v>PC_MCI_WJ_CAPACITY_BEFORE</x:v>
      </x:c>
      <x:c r="B22" s="33" t="str">
        <x:v>petrochemicals</x:v>
      </x:c>
      <x:c r="C22" s="33" t="str">
        <x:v>petchem_west_japan_consolidation</x:v>
      </x:c>
      <x:c r="D22" s="45" t="str">
        <x:v>Western Japan cracker consolidation and process transition</x:v>
      </x:c>
      <x:c r="E22" s="45" t="str">
        <x:v>Japan</x:v>
      </x:c>
      <x:c r="F22" s="45" t="str">
        <x:v>Named multi-company western Japan project</x:v>
      </x:c>
      <x:c r="G22" s="45" t="str">
        <x:v>ethylene_capacity_before</x:v>
      </x:c>
      <x:c r="H22" s="45" t="str">
        <x:v>project_specific_capacity</x:v>
      </x:c>
      <x:c r="I22" s="33" t="str">
        <x:v>t ethylene/year</x:v>
      </x:c>
      <x:c r="J22" s="39" t="str">
        <x:v>951000</x:v>
      </x:c>
      <x:c r="K22" s="39" t="str">
        <x:v>951000</x:v>
      </x:c>
      <x:c r="L22" s="39" t="str">
        <x:v>951000</x:v>
      </x:c>
      <x:c r="M22" s="33" t="str">
        <x:v>Reported</x:v>
      </x:c>
      <x:c r="N22" s="33" t="str">
        <x:v>project point</x:v>
      </x:c>
      <x:c r="O22" s="33" t="str">
        <x:v>2026</x:v>
      </x:c>
      <x:c r="P22" s="33" t="str">
        <x:v>not_applicable</x:v>
      </x:c>
      <x:c r="Q22" s="33" t="str">
        <x:v>not_applicable</x:v>
      </x:c>
      <x:c r="R22" s="45" t="str">
        <x:v>Official pre-consolidation capacity with maintenance turnaround</x:v>
      </x:c>
      <x:c r="S22" s="45" t="str">
        <x:v>MCI_WEST_JAPAN_2026</x:v>
      </x:c>
      <x:c r="T22" s="45" t="str">
        <x:v>https://jp.mitsuichemicals.com/en/release/2026/2026_0127_2/index.htm</x:v>
      </x:c>
      <x:c r="U22" s="45" t="str">
        <x:v>Integration of ethylene production facilities</x:v>
      </x:c>
      <x:c r="V22" s="45" t="str">
        <x:v>A</x:v>
      </x:c>
      <x:c r="W22" s="45" t="str">
        <x:v>Combined AMEC and OPC capacity; not Mitsui-owned capacity alone.</x:v>
      </x:c>
    </x:row>
    <x:row r="23" ht="30" customHeight="1">
      <x:c r="A23" s="33" t="str">
        <x:v>PC_MCI_WJ_CAPACITY_AFTER</x:v>
      </x:c>
      <x:c r="B23" s="33" t="str">
        <x:v>petrochemicals</x:v>
      </x:c>
      <x:c r="C23" s="33" t="str">
        <x:v>petchem_west_japan_consolidation</x:v>
      </x:c>
      <x:c r="D23" s="45" t="str">
        <x:v>Western Japan cracker consolidation and process transition</x:v>
      </x:c>
      <x:c r="E23" s="45" t="str">
        <x:v>Japan</x:v>
      </x:c>
      <x:c r="F23" s="45" t="str">
        <x:v>Named multi-company western Japan project</x:v>
      </x:c>
      <x:c r="G23" s="45" t="str">
        <x:v>ethylene_capacity_after</x:v>
      </x:c>
      <x:c r="H23" s="45" t="str">
        <x:v>project_specific_capacity</x:v>
      </x:c>
      <x:c r="I23" s="33" t="str">
        <x:v>t ethylene/year</x:v>
      </x:c>
      <x:c r="J23" s="39" t="str">
        <x:v>455000</x:v>
      </x:c>
      <x:c r="K23" s="39" t="str">
        <x:v>455000</x:v>
      </x:c>
      <x:c r="L23" s="39" t="str">
        <x:v>455000</x:v>
      </x:c>
      <x:c r="M23" s="33" t="str">
        <x:v>Reported</x:v>
      </x:c>
      <x:c r="N23" s="33" t="str">
        <x:v>project point</x:v>
      </x:c>
      <x:c r="O23" s="33" t="str">
        <x:v>2026</x:v>
      </x:c>
      <x:c r="P23" s="33" t="str">
        <x:v>not_applicable</x:v>
      </x:c>
      <x:c r="Q23" s="33" t="str">
        <x:v>not_applicable</x:v>
      </x:c>
      <x:c r="R23" s="45" t="str">
        <x:v>Official post-consolidation capacity with maintenance turnaround</x:v>
      </x:c>
      <x:c r="S23" s="45" t="str">
        <x:v>MCI_WEST_JAPAN_2026</x:v>
      </x:c>
      <x:c r="T23" s="45" t="str">
        <x:v>https://jp.mitsuichemicals.com/en/release/2026/2026_0127_2/index.htm</x:v>
      </x:c>
      <x:c r="U23" s="45" t="str">
        <x:v>Integration of ethylene production facilities</x:v>
      </x:c>
      <x:c r="V23" s="45" t="str">
        <x:v>A</x:v>
      </x:c>
      <x:c r="W23" s="45" t="str">
        <x:v>Combined operating framework; ownership ratio to follow offtake volumes.</x:v>
      </x:c>
    </x:row>
    <x:row r="24" ht="30" customHeight="1">
      <x:c r="A24" s="33" t="str">
        <x:v>PC_MCI_WJ_CAPACITY_REDUCTION</x:v>
      </x:c>
      <x:c r="B24" s="33" t="str">
        <x:v>petrochemicals</x:v>
      </x:c>
      <x:c r="C24" s="33" t="str">
        <x:v>petchem_west_japan_consolidation</x:v>
      </x:c>
      <x:c r="D24" s="45" t="str">
        <x:v>Western Japan cracker consolidation and process transition</x:v>
      </x:c>
      <x:c r="E24" s="45" t="str">
        <x:v>Japan</x:v>
      </x:c>
      <x:c r="F24" s="45" t="str">
        <x:v>Named multi-company western Japan project</x:v>
      </x:c>
      <x:c r="G24" s="45" t="str">
        <x:v>ethylene_capacity_reduction</x:v>
      </x:c>
      <x:c r="H24" s="45" t="str">
        <x:v>project_specific_capacity</x:v>
      </x:c>
      <x:c r="I24" s="33" t="str">
        <x:v>t ethylene/year</x:v>
      </x:c>
      <x:c r="J24" s="39" t="str">
        <x:v>496000</x:v>
      </x:c>
      <x:c r="K24" s="39" t="str">
        <x:v>496000</x:v>
      </x:c>
      <x:c r="L24" s="39" t="str">
        <x:v>496000</x:v>
      </x:c>
      <x:c r="M24" s="33" t="str">
        <x:v>Derived</x:v>
      </x:c>
      <x:c r="N24" s="33" t="str">
        <x:v>deterministic difference</x:v>
      </x:c>
      <x:c r="O24" s="33" t="str">
        <x:v>2026</x:v>
      </x:c>
      <x:c r="P24" s="33" t="str">
        <x:v>not_applicable</x:v>
      </x:c>
      <x:c r="Q24" s="33" t="str">
        <x:v>not_applicable</x:v>
      </x:c>
      <x:c r="R24" s="45" t="str">
        <x:v>951000 minus 455000</x:v>
      </x:c>
      <x:c r="S24" s="45" t="str">
        <x:v>MCI_WEST_JAPAN_2026</x:v>
      </x:c>
      <x:c r="T24" s="45" t="str">
        <x:v>https://jp.mitsuichemicals.com/en/release/2026/2026_0127_2/index.htm</x:v>
      </x:c>
      <x:c r="U24" s="45" t="str">
        <x:v>derived from official capacities</x:v>
      </x:c>
      <x:c r="V24" s="45" t="str">
        <x:v>A</x:v>
      </x:c>
      <x:c r="W24" s="45" t="str">
        <x:v>Capacity reduction is not system abatement; displaced production and imports must be modelled.</x:v>
      </x:c>
    </x:row>
    <x:row r="25" ht="30" customHeight="1">
      <x:c r="A25" s="33" t="str">
        <x:v>PC_MCI_WJ_CAPEX_ABATEMENT</x:v>
      </x:c>
      <x:c r="B25" s="33" t="str">
        <x:v>petrochemicals</x:v>
      </x:c>
      <x:c r="C25" s="33" t="str">
        <x:v>petchem_west_japan_consolidation</x:v>
      </x:c>
      <x:c r="D25" s="45" t="str">
        <x:v>Western Japan cracker consolidation and process transition</x:v>
      </x:c>
      <x:c r="E25" s="45" t="str">
        <x:v>Japan</x:v>
      </x:c>
      <x:c r="F25" s="45" t="str">
        <x:v>Named multi-company western Japan project</x:v>
      </x:c>
      <x:c r="G25" s="45" t="str">
        <x:v>capex_per_annual_tco2_expected_abatement</x:v>
      </x:c>
      <x:c r="H25" s="45" t="str">
        <x:v>validation_metric</x:v>
      </x:c>
      <x:c r="I25" s="33" t="str">
        <x:v>JPY/(tCO2/year)</x:v>
      </x:c>
      <x:c r="J25" s="39" t="str">
        <x:v>41897.233201581</x:v>
      </x:c>
      <x:c r="K25" s="39" t="str">
        <x:v>41897.233201581</x:v>
      </x:c>
      <x:c r="L25" s="39" t="str">
        <x:v>41897.233201581</x:v>
      </x:c>
      <x:c r="M25" s="33" t="str">
        <x:v>Derived</x:v>
      </x:c>
      <x:c r="N25" s="33" t="str">
        <x:v>deterministic ratio</x:v>
      </x:c>
      <x:c r="O25" s="33" t="str">
        <x:v>2026</x:v>
      </x:c>
      <x:c r="P25" s="33" t="str">
        <x:v>2026_nominal_announcement</x:v>
      </x:c>
      <x:c r="Q25" s="33" t="str">
        <x:v>JPY</x:v>
      </x:c>
      <x:c r="R25" s="45" t="str">
        <x:v>21200000000 divided by 506000</x:v>
      </x:c>
      <x:c r="S25" s="45" t="str">
        <x:v>MCI_WEST_JAPAN_2026</x:v>
      </x:c>
      <x:c r="T25" s="45" t="str">
        <x:v>https://jp.mitsuichemicals.com/en/release/2026/2026_0127_2/index.htm</x:v>
      </x:c>
      <x:c r="U25" s="45" t="str">
        <x:v>derived from official project values</x:v>
      </x:c>
      <x:c r="V25" s="45" t="str">
        <x:v>A</x:v>
      </x:c>
      <x:c r="W25" s="45" t="str">
        <x:v>Validation ratio only; combines structural and process-transition investment and expected reduction.</x:v>
      </x:c>
    </x:row>
    <x:row r="26" ht="30" customHeight="1">
      <x:c r="A26" s="33" t="str">
        <x:v>PC_MCI_WJ_SUPPORT_SHARE</x:v>
      </x:c>
      <x:c r="B26" s="33" t="str">
        <x:v>petrochemicals</x:v>
      </x:c>
      <x:c r="C26" s="33" t="str">
        <x:v>petchem_west_japan_consolidation</x:v>
      </x:c>
      <x:c r="D26" s="45" t="str">
        <x:v>Western Japan cracker consolidation and process transition</x:v>
      </x:c>
      <x:c r="E26" s="45" t="str">
        <x:v>Japan</x:v>
      </x:c>
      <x:c r="F26" s="45" t="str">
        <x:v>Named multi-company western Japan project</x:v>
      </x:c>
      <x:c r="G26" s="45" t="str">
        <x:v>maximum_subsidy_share_of_project_investment</x:v>
      </x:c>
      <x:c r="H26" s="45" t="str">
        <x:v>support_dependency_ceiling</x:v>
      </x:c>
      <x:c r="I26" s="33" t="str">
        <x:v>fraction</x:v>
      </x:c>
      <x:c r="J26" s="39" t="str">
        <x:v>0.490566</x:v>
      </x:c>
      <x:c r="K26" s="39" t="str">
        <x:v>0.490566</x:v>
      </x:c>
      <x:c r="L26" s="39" t="str">
        <x:v>0.490566</x:v>
      </x:c>
      <x:c r="M26" s="33" t="str">
        <x:v>Derived</x:v>
      </x:c>
      <x:c r="N26" s="33" t="str">
        <x:v>deterministic ratio</x:v>
      </x:c>
      <x:c r="O26" s="33" t="str">
        <x:v>2026</x:v>
      </x:c>
      <x:c r="P26" s="33" t="str">
        <x:v>not_applicable</x:v>
      </x:c>
      <x:c r="Q26" s="33" t="str">
        <x:v>not_applicable</x:v>
      </x:c>
      <x:c r="R26" s="45" t="str">
        <x:v>10400000000 divided by 21200000000</x:v>
      </x:c>
      <x:c r="S26" s="45" t="str">
        <x:v>MCI_WEST_JAPAN_2026</x:v>
      </x:c>
      <x:c r="T26" s="45" t="str">
        <x:v>https://jp.mitsuichemicals.com/en/release/2026/2026_0127_2/index.htm</x:v>
      </x:c>
      <x:c r="U26" s="45" t="str">
        <x:v>derived from official project values</x:v>
      </x:c>
      <x:c r="V26" s="45" t="str">
        <x:v>A</x:v>
      </x:c>
      <x:c r="W26" s="45" t="str">
        <x:v>Maximum application share, not realised support or public-cost attribution.</x:v>
      </x:c>
    </x:row>
    <x:row r="27" ht="30" customHeight="1">
      <x:c r="A27" s="33" t="str">
        <x:v>PC_MCI_WJ_COMPLETION</x:v>
      </x:c>
      <x:c r="B27" s="33" t="str">
        <x:v>petrochemicals</x:v>
      </x:c>
      <x:c r="C27" s="33" t="str">
        <x:v>petchem_west_japan_consolidation</x:v>
      </x:c>
      <x:c r="D27" s="45" t="str">
        <x:v>Western Japan cracker consolidation and process transition</x:v>
      </x:c>
      <x:c r="E27" s="45" t="str">
        <x:v>Japan</x:v>
      </x:c>
      <x:c r="F27" s="45" t="str">
        <x:v>Named multi-company western Japan project</x:v>
      </x:c>
      <x:c r="G27" s="45" t="str">
        <x:v>scheduled_completion_year</x:v>
      </x:c>
      <x:c r="H27" s="45" t="str">
        <x:v>decision_timing</x:v>
      </x:c>
      <x:c r="I27" s="33" t="str">
        <x:v>year</x:v>
      </x:c>
      <x:c r="J27" s="39" t="str">
        <x:v>2029</x:v>
      </x:c>
      <x:c r="K27" s="39" t="str">
        <x:v>2029</x:v>
      </x:c>
      <x:c r="L27" s="39" t="str">
        <x:v>2029</x:v>
      </x:c>
      <x:c r="M27" s="33" t="str">
        <x:v>Reported</x:v>
      </x:c>
      <x:c r="N27" s="33" t="str">
        <x:v>project schedule</x:v>
      </x:c>
      <x:c r="O27" s="33" t="str">
        <x:v>2026</x:v>
      </x:c>
      <x:c r="P27" s="33" t="str">
        <x:v>not_applicable</x:v>
      </x:c>
      <x:c r="Q27" s="33" t="str">
        <x:v>not_applicable</x:v>
      </x:c>
      <x:c r="R27" s="45" t="str">
        <x:v>Official schedule states completion by end FY2029</x:v>
      </x:c>
      <x:c r="S27" s="45" t="str">
        <x:v>MCI_WEST_JAPAN_2026</x:v>
      </x:c>
      <x:c r="T27" s="45" t="str">
        <x:v>https://jp.mitsuichemicals.com/en/release/2026/2026_0127_2/index.htm</x:v>
      </x:c>
      <x:c r="U27" s="45" t="str">
        <x:v>Outline of HtA Support Program</x:v>
      </x:c>
      <x:c r="V27" s="45" t="str">
        <x:v>A</x:v>
      </x:c>
      <x:c r="W27" s="45" t="str">
        <x:v>Schedule target, not actual completion.</x:v>
      </x:c>
    </x:row>
    <x:row r="28" ht="30" customHeight="1">
      <x:c r="A28" s="34" t="str">
        <x:v>PC_MCI_WJ_OPTIMISATION</x:v>
      </x:c>
      <x:c r="B28" s="34" t="str">
        <x:v>petrochemicals</x:v>
      </x:c>
      <x:c r="C28" s="34" t="str">
        <x:v>petchem_west_japan_consolidation</x:v>
      </x:c>
      <x:c r="D28" s="46" t="str">
        <x:v>Western Japan cracker consolidation and process transition</x:v>
      </x:c>
      <x:c r="E28" s="46" t="str">
        <x:v>Japan</x:v>
      </x:c>
      <x:c r="F28" s="46" t="str">
        <x:v>Named multi-company western Japan project</x:v>
      </x:c>
      <x:c r="G28" s="46" t="str">
        <x:v>production_optimisation_target_year</x:v>
      </x:c>
      <x:c r="H28" s="46" t="str">
        <x:v>decision_timing</x:v>
      </x:c>
      <x:c r="I28" s="34" t="str">
        <x:v>year</x:v>
      </x:c>
      <x:c r="J28" s="40" t="str">
        <x:v>2030</x:v>
      </x:c>
      <x:c r="K28" s="40" t="str">
        <x:v>2030</x:v>
      </x:c>
      <x:c r="L28" s="40" t="str">
        <x:v>2030</x:v>
      </x:c>
      <x:c r="M28" s="34" t="str">
        <x:v>Reported</x:v>
      </x:c>
      <x:c r="N28" s="34" t="str">
        <x:v>project schedule</x:v>
      </x:c>
      <x:c r="O28" s="34" t="str">
        <x:v>2026</x:v>
      </x:c>
      <x:c r="P28" s="34" t="str">
        <x:v>not_applicable</x:v>
      </x:c>
      <x:c r="Q28" s="34" t="str">
        <x:v>not_applicable</x:v>
      </x:c>
      <x:c r="R28" s="46" t="str">
        <x:v>Official release targets FY2030 production optimisation</x:v>
      </x:c>
      <x:c r="S28" s="46" t="str">
        <x:v>MCI_WEST_JAPAN_2026</x:v>
      </x:c>
      <x:c r="T28" s="46" t="str">
        <x:v>https://jp.mitsuichemicals.com/en/release/2026/2026_0127_2/index.htm</x:v>
      </x:c>
      <x:c r="U28" s="46" t="str">
        <x:v>Integration of ethylene production facilities</x:v>
      </x:c>
      <x:c r="V28" s="46" t="str">
        <x:v>A</x:v>
      </x:c>
      <x:c r="W28" s="46" t="str">
        <x:v>Target timing; operational outcome requires later verification.</x:v>
      </x:c>
    </x:row>
  </x:sheetData>
  <x:conditionalFormatting sqref="J2:L28">
    <x:cfRule type="expression" dxfId="0" priority="1">
      <x:formula>AND($M2="Estimated",J2&lt;&gt;"")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a561a4a1604aa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5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</x:cols>
  <x:sheetData>
    <x:row r="1">
      <x:c r="A1" s="56" t="str">
        <x:v>source_id</x:v>
      </x:c>
      <x:c r="B1" s="56" t="str">
        <x:v>publisher</x:v>
      </x:c>
      <x:c r="C1" s="56" t="str">
        <x:v>title</x:v>
      </x:c>
      <x:c r="D1" s="56" t="str">
        <x:v>source_type</x:v>
      </x:c>
      <x:c r="E1" s="56" t="str">
        <x:v>url_or_doi</x:v>
      </x:c>
      <x:c r="F1" s="56" t="str">
        <x:v>publication_date</x:v>
      </x:c>
      <x:c r="G1" s="56" t="str">
        <x:v>retrieved_at</x:v>
      </x:c>
      <x:c r="H1" s="56" t="str">
        <x:v>reporting_start</x:v>
      </x:c>
      <x:c r="I1" s="56" t="str">
        <x:v>reporting_end</x:v>
      </x:c>
      <x:c r="J1" s="56" t="str">
        <x:v>location</x:v>
      </x:c>
      <x:c r="K1" s="56" t="str">
        <x:v>licence</x:v>
      </x:c>
      <x:c r="L1" s="56" t="str">
        <x:v>redistributable</x:v>
      </x:c>
      <x:c r="M1" s="56" t="str">
        <x:v>file_name</x:v>
      </x:c>
      <x:c r="N1" s="56" t="str">
        <x:v>sha256</x:v>
      </x:c>
      <x:c r="O1" s="56" t="str">
        <x:v>extraction_method</x:v>
      </x:c>
      <x:c r="P1" s="56" t="str">
        <x:v>quality_note</x:v>
      </x:c>
    </x:row>
    <x:row r="2" ht="34" customHeight="1">
      <x:c r="A2" s="60" t="str">
        <x:v>POSCO_ESG_2025</x:v>
      </x:c>
      <x:c r="B2" s="60" t="str">
        <x:v>POSCO</x:v>
      </x:c>
      <x:c r="C2" s="60" t="str">
        <x:v>2025 POSCO Sustainability Report - Environmental Data</x:v>
      </x:c>
      <x:c r="D2" s="60" t="str">
        <x:v>company report</x:v>
      </x:c>
      <x:c r="E2" s="60" t="str">
        <x:v>https://sustainability.posco.com/S91/S91F10/eng/cmspage.do?mmcd=2682093497003371</x:v>
      </x:c>
      <x:c r="F2" s="60" t="str">
        <x:v>2026-06-30</x:v>
      </x:c>
      <x:c r="G2" s="60" t="n">
        <x:v>46238.665289351855</x:v>
      </x:c>
      <x:c r="H2" s="60" t="str">
        <x:v>2025-01-01</x:v>
      </x:c>
      <x:c r="I2" s="60" t="str">
        <x:v>2025-12-31</x:v>
      </x:c>
      <x:c r="J2" s="60" t="str">
        <x:v>Domestic Worksites &gt; GHG Emissions table &gt; 2025 column</x:v>
      </x:c>
      <x:c r="K2" s="60" t="str">
        <x:v>All rights reserved; no source-wide redistribution permission identified</x:v>
      </x:c>
      <x:c r="L2" s="60" t="str">
        <x:v>no</x:v>
      </x:c>
      <x:c r="M2" s="60" t="str">
        <x:v>NA</x:v>
      </x:c>
      <x:c r="N2" s="60" t="str">
        <x:v>NA</x:v>
      </x:c>
      <x:c r="O2" s="60" t="str">
        <x:v>manual transcription from official HTML table</x:v>
      </x:c>
      <x:c r="P2" s="60" t="str">
        <x:v>Official company disclosure for POSCO domestic worksites. The 2025 table covers two integrated steel mills, four re-rolling mills, and four processing centers. This is a corporate reconciliation anchor and is not yet allocated to facilities.</x:v>
      </x:c>
    </x:row>
    <x:row r="3" ht="34" customHeight="1">
      <x:c r="A3" s="60" t="str">
        <x:v>NSC_DB_2025</x:v>
      </x:c>
      <x:c r="B3" s="60" t="str">
        <x:v>Nippon Steel Corporation</x:v>
      </x:c>
      <x:c r="C3" s="60" t="str">
        <x:v>Nippon Steel Data Book 2025</x:v>
      </x:c>
      <x:c r="D3" s="60" t="str">
        <x:v>company report</x:v>
      </x:c>
      <x:c r="E3" s="60" t="str">
        <x:v>https://www-zam.nipponsteel.com/en/ir/library/pdf/nsc_en_ir_2025_databook.pdf</x:v>
      </x:c>
      <x:c r="F3" s="60" t="str">
        <x:v>NA</x:v>
      </x:c>
      <x:c r="G3" s="60" t="n">
        <x:v>46238.665289351855</x:v>
      </x:c>
      <x:c r="H3" s="60" t="str">
        <x:v>2024-04-01</x:v>
      </x:c>
      <x:c r="I3" s="60" t="str">
        <x:v>2025-03-31</x:v>
      </x:c>
      <x:c r="J3" s="60" t="str">
        <x:v>p. 22, Breakdown of Nippon Steel's GHG emissions, FY2024 column</x:v>
      </x:c>
      <x:c r="K3" s="60" t="str">
        <x:v>All rights reserved; no source-wide redistribution permission identified</x:v>
      </x:c>
      <x:c r="L3" s="60" t="str">
        <x:v>no</x:v>
      </x:c>
      <x:c r="M3" s="60" t="str">
        <x:v>NA</x:v>
      </x:c>
      <x:c r="N3" s="60" t="str">
        <x:v>NA</x:v>
      </x:c>
      <x:c r="O3" s="60" t="str">
        <x:v>manual transcription from official PDF table</x:v>
      </x:c>
      <x:c r="P3" s="60" t="str">
        <x:v>Official non-consolidated company disclosure. Purchased-coke and purchased-oxygen production emissions are included under the source's stated boundary; steelworks IPP operations are excluded. FY2024 purchased-electricity CO2 uses the FY2023 factor as a preliminary assumption. Not yet reconciled to works.</x:v>
      </x:c>
    </x:row>
    <x:row r="4" ht="34" customHeight="1">
      <x:c r="A4" s="60" t="str">
        <x:v>LOTTE_ESG_2025</x:v>
      </x:c>
      <x:c r="B4" s="60" t="str">
        <x:v>LOTTE Chemical Corporation</x:v>
      </x:c>
      <x:c r="C4" s="60" t="str">
        <x:v>2025 LOTTE Chemical ESG Report</x:v>
      </x:c>
      <x:c r="D4" s="60" t="str">
        <x:v>company report</x:v>
      </x:c>
      <x:c r="E4" s="60" t="str">
        <x:v>https://www.lottechem.com/pdfRead.do?fileId=FILE_260804085927106&amp;voNm=esgVo&amp;category=en</x:v>
      </x:c>
      <x:c r="F4" s="60" t="str">
        <x:v>2026-06-26</x:v>
      </x:c>
      <x:c r="G4" s="60" t="n">
        <x:v>46238.665289351855</x:v>
      </x:c>
      <x:c r="H4" s="60" t="str">
        <x:v>2025-01-01</x:v>
      </x:c>
      <x:c r="I4" s="60" t="str">
        <x:v>2025-12-31</x:v>
      </x:c>
      <x:c r="J4" s="60" t="str">
        <x:v>p. 50, Climate-related Metrics (A) Total GHG Emissions; p. 117, ESG Data_Environment, Direct and Indirect GHG Emissions; p. 148, GHG Assurance Statement</x:v>
      </x:c>
      <x:c r="K4" s="60" t="str">
        <x:v>All rights reserved; no source-wide redistribution permission identified</x:v>
      </x:c>
      <x:c r="L4" s="60" t="str">
        <x:v>no</x:v>
      </x:c>
      <x:c r="M4" s="60" t="str">
        <x:v>NA</x:v>
      </x:c>
      <x:c r="N4" s="60" t="str">
        <x:v>NA</x:v>
      </x:c>
      <x:c r="O4" s="60" t="str">
        <x:v>manual transcription from official PDF tables</x:v>
      </x:c>
      <x:c r="P4" s="60" t="str">
        <x:v>Official parent and selected-consolidated-company disclosure. The consolidated Scope 1+2 boundary is limited to LOTTE Chemical, LOTTE Fine Chemical, and LOTTE Energy Materials. The report notes small total-versus-component differences from facility-level truncation. Parent assurance is reasonable assurance under Korea ETS verification rules. Not yet reconciled to complexes.</x:v>
      </x:c>
    </x:row>
    <x:row r="5" ht="34" customHeight="1">
      <x:c r="A5" s="60" t="str">
        <x:v>MCI_ESG_2025</x:v>
      </x:c>
      <x:c r="B5" s="60" t="str">
        <x:v>Mitsui Chemicals, Inc.</x:v>
      </x:c>
      <x:c r="C5" s="60" t="str">
        <x:v>Mitsui Chemicals Group ESG Report 2025 - Part 6: ESG Performance Data, Others</x:v>
      </x:c>
      <x:c r="D5" s="60" t="str">
        <x:v>company report</x:v>
      </x:c>
      <x:c r="E5" s="60" t="str">
        <x:v>https://jp.mitsuichemicals.com/content/dam/mitsuichemicals/sites/mci/documents/sustainability/report/esg2025web_e_part06.pdf.coredownload.pdf</x:v>
      </x:c>
      <x:c r="F5" s="60" t="str">
        <x:v>NA</x:v>
      </x:c>
      <x:c r="G5" s="60" t="n">
        <x:v>46238.665289351855</x:v>
      </x:c>
      <x:c r="H5" s="60" t="str">
        <x:v>2024-04-01</x:v>
      </x:c>
      <x:c r="I5" s="60" t="str">
        <x:v>2025-03-31</x:v>
      </x:c>
      <x:c r="J5" s="60" t="str">
        <x:v>p. 2, ESG Performance Data &gt; Environment &gt; GHG; p. 6, Input to Output Data (FY2024)</x:v>
      </x:c>
      <x:c r="K5" s="60" t="str">
        <x:v>All rights reserved; no source-wide redistribution permission identified</x:v>
      </x:c>
      <x:c r="L5" s="60" t="str">
        <x:v>no</x:v>
      </x:c>
      <x:c r="M5" s="60" t="str">
        <x:v>NA</x:v>
      </x:c>
      <x:c r="N5" s="60" t="str">
        <x:v>NA</x:v>
      </x:c>
      <x:c r="O5" s="60" t="str">
        <x:v>manual transcription from official PDF tables</x:v>
      </x:c>
      <x:c r="P5" s="60" t="str">
        <x:v>Official FY2024 disclosure. Parent Scope 1 and Scope 2 values are marked as third-party assured. Group total covers Mitsui Chemicals, Inc. plus listed domestic and overseas subsidiaries and affiliates; rounded component values do not exactly reproduce the reported group total. Not yet reconciled to works.</x:v>
      </x:c>
    </x:row>
    <x:row r="6" ht="34" customHeight="1">
      <x:c r="A6" s="60" t="str">
        <x:v>POSCO_WORKS_2026</x:v>
      </x:c>
      <x:c r="B6" s="60" t="str">
        <x:v>POSCO</x:v>
      </x:c>
      <x:c r="C6" s="60" t="str">
        <x:v>Pohang and Gwangyang Steelworks official location pages</x:v>
      </x:c>
      <x:c r="D6" s="60" t="str">
        <x:v>company webpage</x:v>
      </x:c>
      <x:c r="E6" s="60" t="str">
        <x:v>https://www.posco.co.kr/homepage/docs/eng7/jsp/common/posco/s91a1000010c.jsp</x:v>
      </x:c>
      <x:c r="F6" s="60" t="str">
        <x:v>NA</x:v>
      </x:c>
      <x:c r="G6" s="60" t="n">
        <x:v>46238.68283564815</x:v>
      </x:c>
      <x:c r="H6" s="60" t="str">
        <x:v>NA</x:v>
      </x:c>
      <x:c r="I6" s="60" t="str">
        <x:v>NA</x:v>
      </x:c>
      <x:c r="J6" s="60" t="str">
        <x:v>Pohang Steelworks page and linked Gwangyang Steelworks page</x:v>
      </x:c>
      <x:c r="K6" s="60" t="str">
        <x:v>All rights reserved; no source-wide redistribution permission identified</x:v>
      </x:c>
      <x:c r="L6" s="60" t="str">
        <x:v>no</x:v>
      </x:c>
      <x:c r="M6" s="60" t="str">
        <x:v>NA</x:v>
      </x:c>
      <x:c r="N6" s="60" t="str">
        <x:v>NA</x:v>
      </x:c>
      <x:c r="O6" s="60" t="str">
        <x:v>manual transcription from official webpages</x:v>
      </x:c>
      <x:c r="P6" s="60" t="str">
        <x:v>Official facility identities and addresses only. The pages do not provide a facility emissions split or a common-period production reconciliation.</x:v>
      </x:c>
    </x:row>
    <x:row r="7" ht="34" customHeight="1">
      <x:c r="A7" s="60" t="str">
        <x:v>POSCO_POHANG_BF4_2024</x:v>
      </x:c>
      <x:c r="B7" s="60" t="str">
        <x:v>POSCO</x:v>
      </x:c>
      <x:c r="C7" s="60" t="str">
        <x:v>Pohang No. 4 blast furnace relining and restart</x:v>
      </x:c>
      <x:c r="D7" s="60" t="str">
        <x:v>company release</x:v>
      </x:c>
      <x:c r="E7" s="60" t="str">
        <x:v>https://www.posco.co.kr/homepage/docs/kor7/jsp/prcenter/press/s91c600110v.jsp?idx=254</x:v>
      </x:c>
      <x:c r="F7" s="60" t="str">
        <x:v>2024-04-29</x:v>
      </x:c>
      <x:c r="G7" s="60" t="n">
        <x:v>46238.68283564815</x:v>
      </x:c>
      <x:c r="H7" s="60" t="str">
        <x:v>2024-02-23</x:v>
      </x:c>
      <x:c r="I7" s="60" t="str">
        <x:v>2024-06-30</x:v>
      </x:c>
      <x:c r="J7" s="60" t="str">
        <x:v>official press release</x:v>
      </x:c>
      <x:c r="K7" s="60" t="str">
        <x:v>All rights reserved; no source-wide redistribution permission identified</x:v>
      </x:c>
      <x:c r="L7" s="60" t="str">
        <x:v>no</x:v>
      </x:c>
      <x:c r="M7" s="60" t="str">
        <x:v>NA</x:v>
      </x:c>
      <x:c r="N7" s="60" t="str">
        <x:v>NA</x:v>
      </x:c>
      <x:c r="O7" s="60" t="str">
        <x:v>manual extraction from official release</x:v>
      </x:c>
      <x:c r="P7" s="60" t="str">
        <x:v>Reports KRW 530 billion investment, 5,600 m3 furnace volume, and the 2024 relining/restart schedule. This is an asset-timing fact, not a site-wide transition commitment.</x:v>
      </x:c>
    </x:row>
    <x:row r="8" ht="34" customHeight="1">
      <x:c r="A8" s="60" t="str">
        <x:v>MCI_WORKS_2026</x:v>
      </x:c>
      <x:c r="B8" s="60" t="str">
        <x:v>Mitsui Chemicals, Inc.</x:v>
      </x:c>
      <x:c r="C8" s="60" t="str">
        <x:v>Domestic Sites - Works</x:v>
      </x:c>
      <x:c r="D8" s="60" t="str">
        <x:v>company webpage</x:v>
      </x:c>
      <x:c r="E8" s="60" t="str">
        <x:v>https://jp.mitsuichemicals.com/en/corporate/ds/works/index.htm</x:v>
      </x:c>
      <x:c r="F8" s="60" t="str">
        <x:v>NA</x:v>
      </x:c>
      <x:c r="G8" s="60" t="n">
        <x:v>46238.68283564815</x:v>
      </x:c>
      <x:c r="H8" s="60" t="str">
        <x:v>NA</x:v>
      </x:c>
      <x:c r="I8" s="60" t="str">
        <x:v>NA</x:v>
      </x:c>
      <x:c r="J8" s="60" t="str">
        <x:v>seven official works and branch entries with indicative product lists</x:v>
      </x:c>
      <x:c r="K8" s="60" t="str">
        <x:v>All rights reserved; no source-wide redistribution permission identified</x:v>
      </x:c>
      <x:c r="L8" s="60" t="str">
        <x:v>no</x:v>
      </x:c>
      <x:c r="M8" s="60" t="str">
        <x:v>NA</x:v>
      </x:c>
      <x:c r="N8" s="60" t="str">
        <x:v>NA</x:v>
      </x:c>
      <x:c r="O8" s="60" t="str">
        <x:v>manual transcription from official webpage</x:v>
      </x:c>
      <x:c r="P8" s="60" t="str">
        <x:v>Official facility identities and indicative product mix. No work-level emissions or common-period production capacity is disclosed on the page.</x:v>
      </x:c>
    </x:row>
    <x:row r="9" ht="34" customHeight="1">
      <x:c r="A9" s="60" t="str">
        <x:v>IEA_CTG_2026</x:v>
      </x:c>
      <x:c r="B9" s="60" t="str">
        <x:v>International Energy Agency</x:v>
      </x:c>
      <x:c r="C9" s="60" t="str">
        <x:v>ETP Clean Energy Technology Guide</x:v>
      </x:c>
      <x:c r="D9" s="60" t="str">
        <x:v>official technology database</x:v>
      </x:c>
      <x:c r="E9" s="60" t="str">
        <x:v>https://www.iea.org/data-and-statistics/data-tools/etp-clean-energy-technology-guide</x:v>
      </x:c>
      <x:c r="F9" s="60" t="str">
        <x:v>2026-02-17</x:v>
      </x:c>
      <x:c r="G9" s="60" t="n">
        <x:v>46238.703668981485</x:v>
      </x:c>
      <x:c r="H9" s="60" t="str">
        <x:v>NA</x:v>
      </x:c>
      <x:c r="I9" s="60" t="str">
        <x:v>NA</x:v>
      </x:c>
      <x:c r="J9" s="60" t="str">
        <x:v>interactive technology database; iron and steel and chemicals filters</x:v>
      </x:c>
      <x:c r="K9" s="60" t="str">
        <x:v>CC BY 4.0</x:v>
      </x:c>
      <x:c r="L9" s="60" t="str">
        <x:v>yes</x:v>
      </x:c>
      <x:c r="M9" s="60" t="str">
        <x:v>NA</x:v>
      </x:c>
      <x:c r="N9" s="60" t="str">
        <x:v>NA</x:v>
      </x:c>
      <x:c r="O9" s="60" t="str">
        <x:v>manual review of official data tool</x:v>
      </x:c>
      <x:c r="P9" s="60" t="str">
        <x:v>Technology identity, maturity, development and deployment context. Used as a route-screening source, not as a stand-alone local cost observation.</x:v>
      </x:c>
    </x:row>
    <x:row r="10" ht="34" customHeight="1">
      <x:c r="A10" s="60" t="str">
        <x:v>IEA_STEEL_BREAKTHROUGH_2025</x:v>
      </x:c>
      <x:c r="B10" s="60" t="str">
        <x:v>International Energy Agency</x:v>
      </x:c>
      <x:c r="C10" s="60" t="str">
        <x:v>Breakthrough Agenda Report 2025 - Steel</x:v>
      </x:c>
      <x:c r="D10" s="60" t="str">
        <x:v>official report webpage</x:v>
      </x:c>
      <x:c r="E10" s="60" t="str">
        <x:v>https://www.iea.org/reports/breakthrough-agenda-report-2025/steel</x:v>
      </x:c>
      <x:c r="F10" s="60" t="str">
        <x:v>NA</x:v>
      </x:c>
      <x:c r="G10" s="60" t="n">
        <x:v>46238.703668981485</x:v>
      </x:c>
      <x:c r="H10" s="60" t="str">
        <x:v>2024-01-01</x:v>
      </x:c>
      <x:c r="I10" s="60" t="str">
        <x:v>2024-12-31</x:v>
      </x:c>
      <x:c r="J10" s="60" t="str">
        <x:v>State of the transition &gt; Cost</x:v>
      </x:c>
      <x:c r="K10" s="60" t="str">
        <x:v>CC BY 4.0</x:v>
      </x:c>
      <x:c r="L10" s="60" t="str">
        <x:v>yes</x:v>
      </x:c>
      <x:c r="M10" s="60" t="str">
        <x:v>NA</x:v>
      </x:c>
      <x:c r="N10" s="60" t="str">
        <x:v>NA</x:v>
      </x:c>
      <x:c r="O10" s="60" t="str">
        <x:v>manual transcription from official webpage</x:v>
      </x:c>
      <x:c r="P10" s="60" t="str">
        <x:v>Reports a 50-140% production-cost premium for early commercial 100% H2 DRI-EAF relative to BF-BOF, varying by region. This is not a Korea/Japan facility CAPEX range.</x:v>
      </x:c>
    </x:row>
    <x:row r="11" ht="34" customHeight="1">
      <x:c r="A11" s="60" t="str">
        <x:v>NEDO_H2_STEEL_2026</x:v>
      </x:c>
      <x:c r="B11" s="60" t="str">
        <x:v>New Energy and Industrial Technology Development Organization</x:v>
      </x:c>
      <x:c r="C11" s="60" t="str">
        <x:v>Hydrogen Utilization in Iron and Steelmaking Processes</x:v>
      </x:c>
      <x:c r="D11" s="60" t="str">
        <x:v>official programme webpage</x:v>
      </x:c>
      <x:c r="E11" s="60" t="str">
        <x:v>https://green-innovation.nedo.go.jp/project/utilization-hydrogen-steelmaking/summary/</x:v>
      </x:c>
      <x:c r="F11" s="60" t="str">
        <x:v>2026-03-10</x:v>
      </x:c>
      <x:c r="G11" s="60" t="n">
        <x:v>46238.703668981485</x:v>
      </x:c>
      <x:c r="H11" s="60" t="str">
        <x:v>NA</x:v>
      </x:c>
      <x:c r="I11" s="60" t="str">
        <x:v>NA</x:v>
      </x:c>
      <x:c r="J11" s="60" t="str">
        <x:v>programme summary, R&amp;D targets and impact assumptions</x:v>
      </x:c>
      <x:c r="K11" s="60" t="str">
        <x:v>Official government programme information</x:v>
      </x:c>
      <x:c r="L11" s="60" t="str">
        <x:v>yes</x:v>
      </x:c>
      <x:c r="M11" s="60" t="str">
        <x:v>NA</x:v>
      </x:c>
      <x:c r="N11" s="60" t="str">
        <x:v>NA</x:v>
      </x:c>
      <x:c r="O11" s="60" t="str">
        <x:v>manual transcription from official webpage</x:v>
      </x:c>
      <x:c r="P11" s="60" t="str">
        <x:v>Budget ceiling JPY 439.16bn; domestic 2030 effect target about 2 MtCO2/year; BF and direct-hydrogen-reduction R&amp;D targets exceed 50% CO2 reduction. Programme figures are not treated as facility CAPEX.</x:v>
      </x:c>
    </x:row>
    <x:row r="12" ht="34" customHeight="1">
      <x:c r="A12" s="60" t="str">
        <x:v>POSCO_CLIMATE_2026</x:v>
      </x:c>
      <x:c r="B12" s="60" t="str">
        <x:v>POSCO</x:v>
      </x:c>
      <x:c r="C12" s="60" t="str">
        <x:v>Climate Change - technology and investment activities</x:v>
      </x:c>
      <x:c r="D12" s="60" t="str">
        <x:v>company webpage</x:v>
      </x:c>
      <x:c r="E12" s="60" t="str">
        <x:v>https://sustainability.posco.co.kr/S91/S91F10/eng/cmspage.do?mmcd=2648825310001953</x:v>
      </x:c>
      <x:c r="F12" s="60" t="str">
        <x:v>NA</x:v>
      </x:c>
      <x:c r="G12" s="60" t="n">
        <x:v>46238.703668981485</x:v>
      </x:c>
      <x:c r="H12" s="60" t="str">
        <x:v>NA</x:v>
      </x:c>
      <x:c r="I12" s="60" t="str">
        <x:v>NA</x:v>
      </x:c>
      <x:c r="J12" s="60" t="str">
        <x:v>Investment Activities and Development of Carbon-Reduced Steel Products and Services</x:v>
      </x:c>
      <x:c r="K12" s="60" t="str">
        <x:v>All rights reserved; no source-wide redistribution permission identified</x:v>
      </x:c>
      <x:c r="L12" s="60" t="str">
        <x:v>no</x:v>
      </x:c>
      <x:c r="M12" s="60" t="str">
        <x:v>NA</x:v>
      </x:c>
      <x:c r="N12" s="60" t="str">
        <x:v>NA</x:v>
      </x:c>
      <x:c r="O12" s="60" t="str">
        <x:v>manual transcription from official webpage</x:v>
      </x:c>
      <x:c r="P12" s="60" t="str">
        <x:v>POSCO-specific milestones: 300,000 t/year HyREX demonstration plant targeted for 2028 completion; Gwangyang EAF starting in 2026 with up to 75% lower CO2; double-scrap charging targets about 10% lower CO2.</x:v>
      </x:c>
    </x:row>
    <x:row r="13" ht="34" customHeight="1">
      <x:c r="A13" s="60" t="str">
        <x:v>IEA_PETCHEM_COST_2018</x:v>
      </x:c>
      <x:c r="B13" s="60" t="str">
        <x:v>International Energy Agency</x:v>
      </x:c>
      <x:c r="C13" s="60" t="str">
        <x:v>Simplified levelised cost of petrochemicals for selected feedstocks and regions, 2017</x:v>
      </x:c>
      <x:c r="D13" s="60" t="str">
        <x:v>official chart and notes</x:v>
      </x:c>
      <x:c r="E13" s="60" t="str">
        <x:v>https://www.iea.org/data-and-statistics/charts/simplified-levelised-cost-of-petrochemicals-for-selected-feedstocks-and-regions-2017</x:v>
      </x:c>
      <x:c r="F13" s="60" t="str">
        <x:v>2018-10-05</x:v>
      </x:c>
      <x:c r="G13" s="60" t="n">
        <x:v>46238.703668981485</x:v>
      </x:c>
      <x:c r="H13" s="60" t="str">
        <x:v>2017-01-01</x:v>
      </x:c>
      <x:c r="I13" s="60" t="str">
        <x:v>2017-12-31</x:v>
      </x:c>
      <x:c r="J13" s="60" t="str">
        <x:v>chart notes</x:v>
      </x:c>
      <x:c r="K13" s="60" t="str">
        <x:v>CC BY 4.0</x:v>
      </x:c>
      <x:c r="L13" s="60" t="str">
        <x:v>yes</x:v>
      </x:c>
      <x:c r="M13" s="60" t="str">
        <x:v>NA</x:v>
      </x:c>
      <x:c r="N13" s="60" t="str">
        <x:v>NA</x:v>
      </x:c>
      <x:c r="O13" s="60" t="str">
        <x:v>manual transcription from official chart notes</x:v>
      </x:c>
      <x:c r="P13" s="60" t="str">
        <x:v>Naphtha steam-cracker benchmark: CAPEX USD 2,050/tHVC annual capacity, fixed OPEX 2.5-5.0% of CAPEX, 25-year life, and 12-19 GJ/tHVC process energy range. Global historical benchmark; local and price-year adjustment remains required.</x:v>
      </x:c>
    </x:row>
    <x:row r="14" ht="34" customHeight="1">
      <x:c r="A14" s="60" t="str">
        <x:v>MCI_WEST_JAPAN_2026</x:v>
      </x:c>
      <x:c r="B14" s="60" t="str">
        <x:v>Mitsui Chemicals, Inc.; Asahi Kasei Corp.; Mitsubishi Chemical Corp.</x:v>
      </x:c>
      <x:c r="C14" s="60" t="str">
        <x:v>Basic agreement to promote decarbonization of ethylene production in western Japan</x:v>
      </x:c>
      <x:c r="D14" s="60" t="str">
        <x:v>joint company release</x:v>
      </x:c>
      <x:c r="E14" s="60" t="str">
        <x:v>https://jp.mitsuichemicals.com/en/release/2026/2026_0127_2/index.htm</x:v>
      </x:c>
      <x:c r="F14" s="60" t="str">
        <x:v>2026-01-27</x:v>
      </x:c>
      <x:c r="G14" s="60" t="n">
        <x:v>46238.703668981485</x:v>
      </x:c>
      <x:c r="H14" s="60" t="str">
        <x:v>2023-04-01</x:v>
      </x:c>
      <x:c r="I14" s="60" t="str">
        <x:v>2025-03-31</x:v>
      </x:c>
      <x:c r="J14" s="60" t="str">
        <x:v>Outline of HtA Support Program and integration of ethylene production facilities</x:v>
      </x:c>
      <x:c r="K14" s="60" t="str">
        <x:v>All rights reserved; no source-wide redistribution permission identified</x:v>
      </x:c>
      <x:c r="L14" s="60" t="str">
        <x:v>no</x:v>
      </x:c>
      <x:c r="M14" s="60" t="str">
        <x:v>NA</x:v>
      </x:c>
      <x:c r="N14" s="60" t="str">
        <x:v>NA</x:v>
      </x:c>
      <x:c r="O14" s="60" t="str">
        <x:v>manual transcription and deterministic calculation from official release</x:v>
      </x:c>
      <x:c r="P14" s="60" t="str">
        <x:v>Project-specific observation: JPY 21.2bn investment including maximum JPY 10.4bn subsidy application; 506,000 tCO2/year expected Scope 1+2 reduction; ethylene capacity 951,000 to 455,000 t/year; completion by FY2029 and optimisation target FY2030. Not wholly attributable to Mitsui.</x:v>
      </x:c>
    </x:row>
  </x:sheetData>
  <x:pageMargins left="0.7" right="0.7" top="0.75" bottom="0.75" header="0.3" footer="0.3"/>
  <x:tableParts count="1">
    <x:tablePart xmlns:r="http://schemas.openxmlformats.org/officeDocument/2006/relationships" r:id="Rcfa381d4988245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48" hidden="0" customWidth="1"/>
  </x:cols>
  <x:sheetData>
    <x:row r="1" ht="30" customHeight="1">
      <x:c r="A1" s="66" t="str">
        <x:v>CAP-KJ Technology Assumptions — MVP Route Library</x:v>
      </x:c>
      <x:c r="B1" s="66"/>
      <x:c r="C1" s="66"/>
      <x:c r="D1" s="66"/>
      <x:c r="E1" s="66"/>
      <x:c r="F1" s="66"/>
      <x:c r="G1" s="66"/>
    </x:row>
    <x:row r="2">
      <x:c r="A2" s="72" t="str">
        <x:v>Official project observations remain project-specific; yellow/blue cells are editable analyst estimates. Monetary assumptions retain source price years.</x:v>
      </x:c>
      <x:c r="B2" s="72"/>
      <x:c r="C2" s="72"/>
      <x:c r="D2" s="72"/>
      <x:c r="E2" s="72"/>
      <x:c r="F2" s="72"/>
      <x:c r="G2" s="72"/>
    </x:row>
    <x:row r="4">
      <x:c r="A4" s="80" t="str">
        <x:v>Route ID</x:v>
      </x:c>
      <x:c r="B4" s="80" t="str">
        <x:v>Sector</x:v>
      </x:c>
      <x:c r="C4" s="80" t="str">
        <x:v>Assumptions</x:v>
      </x:c>
      <x:c r="D4" s="80" t="str">
        <x:v>Reported/Derived</x:v>
      </x:c>
      <x:c r="E4" s="80" t="str">
        <x:v>Estimated</x:v>
      </x:c>
      <x:c r="F4" s="80" t="str">
        <x:v>Quality D</x:v>
      </x:c>
      <x:c r="G4" s="80" t="str">
        <x:v>Current use</x:v>
      </x:c>
    </x:row>
    <x:row r="5" ht="28" customHeight="1">
      <x:c r="A5" s="90" t="str">
        <x:v>steel_h2_dri_eaf</x:v>
      </x:c>
      <x:c r="B5" s="90" t="str">
        <x:v>steel</x:v>
      </x:c>
      <x:c r="C5" s="102" t="n">
        <x:f>COUNTIF('Assumptions'!$C$2:$C$28,A5)</x:f>
        <x:v>4</x:v>
      </x:c>
      <x:c r="D5" s="102" t="n">
        <x:f>COUNTIFS('Assumptions'!$C$2:$C$28,A5,'Assumptions'!$M$2:$M$28,"&lt;&gt;Estimated")</x:f>
        <x:v>2</x:v>
      </x:c>
      <x:c r="E5" s="102" t="n">
        <x:f>COUNTIFS('Assumptions'!$C$2:$C$28,A5,'Assumptions'!$M$2:$M$28,"Estimated")</x:f>
        <x:v>2</x:v>
      </x:c>
      <x:c r="F5" s="102" t="n">
        <x:f>COUNTIFS('Assumptions'!$C$2:$C$28,A5,'Assumptions'!$V$2:$V$28,"D")</x:f>
        <x:v>1</x:v>
      </x:c>
      <x:c r="G5" s="108" t="str">
        <x:v>Screening: cost premium, clean-power threshold, timing and abatement</x:v>
      </x:c>
    </x:row>
    <x:row r="6" ht="28" customHeight="1">
      <x:c r="A6" s="91" t="str">
        <x:v>steel_bf_h2_ccus</x:v>
      </x:c>
      <x:c r="B6" s="91" t="str">
        <x:v>steel</x:v>
      </x:c>
      <x:c r="C6" s="103" t="n">
        <x:f>COUNTIF('Assumptions'!$C$2:$C$28,A6)</x:f>
        <x:v>2</x:v>
      </x:c>
      <x:c r="D6" s="103" t="n">
        <x:f>COUNTIFS('Assumptions'!$C$2:$C$28,A6,'Assumptions'!$M$2:$M$28,"&lt;&gt;Estimated")</x:f>
        <x:v>0</x:v>
      </x:c>
      <x:c r="E6" s="103" t="n">
        <x:f>COUNTIFS('Assumptions'!$C$2:$C$28,A6,'Assumptions'!$M$2:$M$28,"Estimated")</x:f>
        <x:v>2</x:v>
      </x:c>
      <x:c r="F6" s="103" t="n">
        <x:f>COUNTIFS('Assumptions'!$C$2:$C$28,A6,'Assumptions'!$V$2:$V$28,"D")</x:f>
        <x:v>0</x:v>
      </x:c>
      <x:c r="G6" s="109" t="str">
        <x:v>Screening: emissions and timing; cost build still required</x:v>
      </x:c>
    </x:row>
    <x:row r="7" ht="28" customHeight="1">
      <x:c r="A7" s="91" t="str">
        <x:v>steel_scrap_eaf</x:v>
      </x:c>
      <x:c r="B7" s="91" t="str">
        <x:v>steel</x:v>
      </x:c>
      <x:c r="C7" s="103" t="n">
        <x:f>COUNTIF('Assumptions'!$C$2:$C$28,A7)</x:f>
        <x:v>2</x:v>
      </x:c>
      <x:c r="D7" s="103" t="n">
        <x:f>COUNTIFS('Assumptions'!$C$2:$C$28,A7,'Assumptions'!$M$2:$M$28,"&lt;&gt;Estimated")</x:f>
        <x:v>1</x:v>
      </x:c>
      <x:c r="E7" s="103" t="n">
        <x:f>COUNTIFS('Assumptions'!$C$2:$C$28,A7,'Assumptions'!$M$2:$M$28,"Estimated")</x:f>
        <x:v>1</x:v>
      </x:c>
      <x:c r="F7" s="103" t="n">
        <x:f>COUNTIFS('Assumptions'!$C$2:$C$28,A7,'Assumptions'!$V$2:$V$28,"D")</x:f>
        <x:v>0</x:v>
      </x:c>
      <x:c r="G7" s="109" t="str">
        <x:v>POSCO-specific EAF marker</x:v>
      </x:c>
    </x:row>
    <x:row r="8" ht="28" customHeight="1">
      <x:c r="A8" s="91" t="str">
        <x:v>steel_bf_increased_scrap</x:v>
      </x:c>
      <x:c r="B8" s="91" t="str">
        <x:v>steel</x:v>
      </x:c>
      <x:c r="C8" s="103" t="n">
        <x:f>COUNTIF('Assumptions'!$C$2:$C$28,A8)</x:f>
        <x:v>1</x:v>
      </x:c>
      <x:c r="D8" s="103" t="n">
        <x:f>COUNTIFS('Assumptions'!$C$2:$C$28,A8,'Assumptions'!$M$2:$M$28,"&lt;&gt;Estimated")</x:f>
        <x:v>1</x:v>
      </x:c>
      <x:c r="E8" s="103" t="n">
        <x:f>COUNTIFS('Assumptions'!$C$2:$C$28,A8,'Assumptions'!$M$2:$M$28,"Estimated")</x:f>
        <x:v>0</x:v>
      </x:c>
      <x:c r="F8" s="103" t="n">
        <x:f>COUNTIFS('Assumptions'!$C$2:$C$28,A8,'Assumptions'!$V$2:$V$28,"D")</x:f>
        <x:v>0</x:v>
      </x:c>
      <x:c r="G8" s="109" t="str">
        <x:v>POSCO-specific near-term measure</x:v>
      </x:c>
    </x:row>
    <x:row r="9" ht="28" customHeight="1">
      <x:c r="A9" s="91" t="str">
        <x:v>petchem_naphtha_cracker_incumbent</x:v>
      </x:c>
      <x:c r="B9" s="91" t="str">
        <x:v>petrochemicals</x:v>
      </x:c>
      <x:c r="C9" s="103" t="n">
        <x:f>COUNTIF('Assumptions'!$C$2:$C$28,A9)</x:f>
        <x:v>4</x:v>
      </x:c>
      <x:c r="D9" s="103" t="n">
        <x:f>COUNTIFS('Assumptions'!$C$2:$C$28,A9,'Assumptions'!$M$2:$M$28,"&lt;&gt;Estimated")</x:f>
        <x:v>4</x:v>
      </x:c>
      <x:c r="E9" s="103" t="n">
        <x:f>COUNTIFS('Assumptions'!$C$2:$C$28,A9,'Assumptions'!$M$2:$M$28,"Estimated")</x:f>
        <x:v>0</x:v>
      </x:c>
      <x:c r="F9" s="103" t="n">
        <x:f>COUNTIFS('Assumptions'!$C$2:$C$28,A9,'Assumptions'!$V$2:$V$28,"D")</x:f>
        <x:v>0</x:v>
      </x:c>
      <x:c r="G9" s="109" t="str">
        <x:v>Incumbent cost/energy benchmark</x:v>
      </x:c>
    </x:row>
    <x:row r="10" ht="28" customHeight="1">
      <x:c r="A10" s="91" t="str">
        <x:v>petchem_electrified_cracker</x:v>
      </x:c>
      <x:c r="B10" s="91" t="str">
        <x:v>petrochemicals</x:v>
      </x:c>
      <x:c r="C10" s="103" t="n">
        <x:f>COUNTIF('Assumptions'!$C$2:$C$28,A10)</x:f>
        <x:v>4</x:v>
      </x:c>
      <x:c r="D10" s="103" t="n">
        <x:f>COUNTIFS('Assumptions'!$C$2:$C$28,A10,'Assumptions'!$M$2:$M$28,"&lt;&gt;Estimated")</x:f>
        <x:v>0</x:v>
      </x:c>
      <x:c r="E10" s="103" t="n">
        <x:f>COUNTIFS('Assumptions'!$C$2:$C$28,A10,'Assumptions'!$M$2:$M$28,"Estimated")</x:f>
        <x:v>4</x:v>
      </x:c>
      <x:c r="F10" s="103" t="n">
        <x:f>COUNTIFS('Assumptions'!$C$2:$C$28,A10,'Assumptions'!$V$2:$V$28,"D")</x:f>
        <x:v>4</x:v>
      </x:c>
      <x:c r="G10" s="109" t="str">
        <x:v>Estimated retrofit proxy pending project data</x:v>
      </x:c>
    </x:row>
    <x:row r="11" ht="28" customHeight="1">
      <x:c r="A11" s="92" t="str">
        <x:v>petchem_west_japan_consolidation</x:v>
      </x:c>
      <x:c r="B11" s="92" t="str">
        <x:v>petrochemicals</x:v>
      </x:c>
      <x:c r="C11" s="104" t="n">
        <x:f>COUNTIF('Assumptions'!$C$2:$C$28,A11)</x:f>
        <x:v>10</x:v>
      </x:c>
      <x:c r="D11" s="104" t="n">
        <x:f>COUNTIFS('Assumptions'!$C$2:$C$28,A11,'Assumptions'!$M$2:$M$28,"&lt;&gt;Estimated")</x:f>
        <x:v>10</x:v>
      </x:c>
      <x:c r="E11" s="104" t="n">
        <x:f>COUNTIFS('Assumptions'!$C$2:$C$28,A11,'Assumptions'!$M$2:$M$28,"Estimated")</x:f>
        <x:v>0</x:v>
      </x:c>
      <x:c r="F11" s="104" t="n">
        <x:f>COUNTIFS('Assumptions'!$C$2:$C$28,A11,'Assumptions'!$V$2:$V$28,"D")</x:f>
        <x:v>0</x:v>
      </x:c>
      <x:c r="G11" s="110" t="str">
        <x:v>Actual project validation case; multi-company attribution unresolved</x:v>
      </x:c>
    </x:row>
    <x:row r="12" ht="28" customHeight="1"/>
    <x:row r="13" ht="28" customHeight="1">
      <x:c r="A13" s="114" t="str">
        <x:v>Observed capital-allocation validation case — Western Japan ethylene restructuring</x:v>
      </x:c>
      <x:c r="B13" s="114"/>
      <x:c r="C13" s="114"/>
      <x:c r="D13" s="114"/>
      <x:c r="E13" s="114"/>
      <x:c r="F13" s="114"/>
      <x:c r="G13" s="114"/>
    </x:row>
    <x:row r="14" ht="28" customHeight="1">
      <x:c r="A14" s="128" t="str">
        <x:v>Project investment (JPY bn)</x:v>
      </x:c>
      <x:c r="B14" s="134" t="n">
        <x:f>INDEX('Assumptions'!$K$2:$K$28,MATCH("PC_MCI_WJ_INVESTMENT",'Assumptions'!$A$2:$A$28,0))/1000000000</x:f>
        <x:v>21.2</x:v>
      </x:c>
      <x:c r="D14" s="152" t="str">
        <x:v>Decision use</x:v>
      </x:c>
      <x:c r="E14" s="152"/>
      <x:c r="F14" s="152"/>
      <x:c r="G14" s="152"/>
    </x:row>
    <x:row r="15" ht="28" customHeight="1">
      <x:c r="A15" s="129" t="str">
        <x:v>Maximum subsidy application (JPY bn)</x:v>
      </x:c>
      <x:c r="B15" s="135" t="n">
        <x:f>INDEX('Assumptions'!$K$2:$K$28,MATCH("PC_MCI_WJ_SUBSIDY",'Assumptions'!$A$2:$A$28,0))/1000000000</x:f>
        <x:v>10.4</x:v>
      </x:c>
      <x:c r="D15" s="148" t="str">
        <x:v>Actual disclosed project scale and expected abatement provide a calibration point for capital efficiency.</x:v>
      </x:c>
      <x:c r="E15" s="148"/>
      <x:c r="F15" s="148"/>
      <x:c r="G15" s="148"/>
    </x:row>
    <x:row r="16" ht="28" customHeight="1">
      <x:c r="A16" s="129" t="str">
        <x:v>Expected Scope 1+2 reduction (ktCO2/year)</x:v>
      </x:c>
      <x:c r="B16" s="135" t="n">
        <x:f>INDEX('Assumptions'!$K$2:$K$28,MATCH("PC_MCI_WJ_ABATEMENT",'Assumptions'!$A$2:$A$28,0))/1000</x:f>
        <x:v>506</x:v>
      </x:c>
      <x:c r="D16" s="148" t="str">
        <x:v>The subsidy figure is an application ceiling, not realised support.</x:v>
      </x:c>
      <x:c r="E16" s="148"/>
      <x:c r="F16" s="148"/>
      <x:c r="G16" s="148"/>
    </x:row>
    <x:row r="17" ht="28" customHeight="1">
      <x:c r="A17" s="129" t="str">
        <x:v>Derived capex / annual abatement (JPY per tCO2/year)</x:v>
      </x:c>
      <x:c r="B17" s="138" t="n">
        <x:f>INDEX('Assumptions'!$K$2:$K$28,MATCH("PC_MCI_WJ_CAPEX_ABATEMENT",'Assumptions'!$A$2:$A$28,0))</x:f>
        <x:v>41897.233201581</x:v>
      </x:c>
      <x:c r="D17" s="148" t="str">
        <x:v>The project spans three companies and two crackers; 100% cannot be assigned to Mitsui.</x:v>
      </x:c>
      <x:c r="E17" s="148"/>
      <x:c r="F17" s="148"/>
      <x:c r="G17" s="148"/>
    </x:row>
    <x:row r="18" ht="28" customHeight="1">
      <x:c r="A18" s="130" t="str">
        <x:v>Maximum subsidy share</x:v>
      </x:c>
      <x:c r="B18" s="140" t="n">
        <x:f>INDEX('Assumptions'!$K$2:$K$28,MATCH("PC_MCI_WJ_SUPPORT_SHARE",'Assumptions'!$A$2:$A$28,0))</x:f>
        <x:v>0.490566</x:v>
      </x:c>
      <x:c r="D18" s="148" t="str">
        <x:v>Capacity closure is not system abatement until displaced production and imports are included.</x:v>
      </x:c>
      <x:c r="E18" s="148"/>
      <x:c r="F18" s="148"/>
      <x:c r="G18" s="148"/>
    </x:row>
  </x:sheetData>
  <x:mergeCells>
    <x:mergeCell ref="A1:G1"/>
    <x:mergeCell ref="A2:G2"/>
    <x:mergeCell ref="A13:G13"/>
    <x:mergeCell ref="D14:G14"/>
    <x:mergeCell ref="D15:G15"/>
    <x:mergeCell ref="D16:G16"/>
    <x:mergeCell ref="D17:G17"/>
    <x:mergeCell ref="D18:G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2" hidden="0" customWidth="1"/>
    <x:col min="7" max="7" width="46" hidden="0" customWidth="1"/>
  </x:cols>
  <x:sheetData>
    <x:row r="1">
      <x:c r="A1" s="154" t="str">
        <x:v>Technology Assumption Audit Checks</x:v>
      </x:c>
      <x:c r="B1" s="154"/>
      <x:c r="C1" s="154"/>
      <x:c r="D1" s="154"/>
      <x:c r="E1" s="154"/>
      <x:c r="F1" s="154"/>
      <x:c r="G1" s="154"/>
    </x:row>
    <x:row r="2">
      <x:c r="A2" s="156" t="str">
        <x:v>Model status</x:v>
      </x:c>
      <x:c r="B2" s="156" t="str">
        <x:f>IF(COUNTIF(F5:F11,"FAIL")=0,"OK","FAIL")</x:f>
        <x:v>OK</x:v>
      </x:c>
    </x:row>
    <x:row r="4" ht="27" customHeight="1">
      <x:c r="A4" s="160" t="str">
        <x:v>Check</x:v>
      </x:c>
      <x:c r="B4" s="160" t="str">
        <x:v>Actual</x:v>
      </x:c>
      <x:c r="C4" s="160" t="str">
        <x:v>Expected</x:v>
      </x:c>
      <x:c r="D4" s="160" t="str">
        <x:v>Difference</x:v>
      </x:c>
      <x:c r="E4" s="160" t="str">
        <x:v>Tolerance</x:v>
      </x:c>
      <x:c r="F4" s="160" t="str">
        <x:v>Status</x:v>
      </x:c>
      <x:c r="G4" s="160" t="str">
        <x:v>Notes</x:v>
      </x:c>
    </x:row>
    <x:row r="5" ht="27" customHeight="1">
      <x:c r="A5" s="84" t="str">
        <x:v>Assumption row count</x:v>
      </x:c>
      <x:c r="B5" s="162" t="n">
        <x:f>COUNTA('Assumptions'!$A$2:$A$28)</x:f>
        <x:v>27</x:v>
      </x:c>
      <x:c r="C5" s="162" t="n">
        <x:v>27</x:v>
      </x:c>
      <x:c r="D5" s="162" t="n">
        <x:f>B5-C5</x:f>
        <x:v>0</x:v>
      </x:c>
      <x:c r="E5" s="162" t="n">
        <x:v>0</x:v>
      </x:c>
      <x:c r="F5" s="84" t="str">
        <x:f>IF(ABS(D5)&lt;=E5,"OK","FAIL")</x:f>
        <x:v>OK</x:v>
      </x:c>
      <x:c r="G5" s="168" t="str">
        <x:v>Expected fixed MVP row count</x:v>
      </x:c>
    </x:row>
    <x:row r="6" ht="27" customHeight="1">
      <x:c r="A6" s="85" t="str">
        <x:v>Ordered low/base/high rows</x:v>
      </x:c>
      <x:c r="B6" s="163" t="n">
        <x:f>SUMPRODUCT(--('Assumptions'!$J$2:$J$28&lt;='Assumptions'!$K$2:$K$28),--('Assumptions'!$K$2:$K$28&lt;='Assumptions'!$L$2:$L$28))</x:f>
        <x:v>27</x:v>
      </x:c>
      <x:c r="C6" s="163" t="n">
        <x:v>27</x:v>
      </x:c>
      <x:c r="D6" s="163" t="n">
        <x:f>B6-C6</x:f>
        <x:v>0</x:v>
      </x:c>
      <x:c r="E6" s="163" t="n">
        <x:v>0</x:v>
      </x:c>
      <x:c r="F6" s="85" t="str">
        <x:f>IF(ABS(D6)&lt;=E6,"OK","FAIL")</x:f>
        <x:v>OK</x:v>
      </x:c>
      <x:c r="G6" s="169" t="str">
        <x:v>Every row must satisfy low &lt;= base &lt;= high</x:v>
      </x:c>
    </x:row>
    <x:row r="7" ht="27" customHeight="1">
      <x:c r="A7" s="85" t="str">
        <x:v>MCI capacity reduction tie</x:v>
      </x:c>
      <x:c r="B7" s="163" t="n">
        <x:f>INDEX('Assumptions'!$K$2:$K$28,MATCH("PC_MCI_WJ_CAPACITY_REDUCTION",'Assumptions'!$A$2:$A$28,0))</x:f>
        <x:v>496000</x:v>
      </x:c>
      <x:c r="C7" s="163" t="n">
        <x:f>INDEX('Assumptions'!$K$2:$K$28,MATCH("PC_MCI_WJ_CAPACITY_BEFORE",'Assumptions'!$A$2:$A$28,0))-INDEX('Assumptions'!$K$2:$K$28,MATCH("PC_MCI_WJ_CAPACITY_AFTER",'Assumptions'!$A$2:$A$28,0))</x:f>
        <x:v>496000</x:v>
      </x:c>
      <x:c r="D7" s="163" t="n">
        <x:f>B7-C7</x:f>
        <x:v>0</x:v>
      </x:c>
      <x:c r="E7" s="163" t="n">
        <x:v>0</x:v>
      </x:c>
      <x:c r="F7" s="85" t="str">
        <x:f>IF(ABS(D7)&lt;=E7,"OK","FAIL")</x:f>
        <x:v>OK</x:v>
      </x:c>
      <x:c r="G7" s="169" t="str">
        <x:v>951 kt/year less 455 kt/year</x:v>
      </x:c>
    </x:row>
    <x:row r="8" ht="27" customHeight="1">
      <x:c r="A8" s="85" t="str">
        <x:v>MCI capex/abatement tie</x:v>
      </x:c>
      <x:c r="B8" s="163" t="n">
        <x:f>INDEX('Assumptions'!$K$2:$K$28,MATCH("PC_MCI_WJ_CAPEX_ABATEMENT",'Assumptions'!$A$2:$A$28,0))</x:f>
        <x:v>41897.233201581</x:v>
      </x:c>
      <x:c r="C8" s="163" t="n">
        <x:f>INDEX('Assumptions'!$K$2:$K$28,MATCH("PC_MCI_WJ_INVESTMENT",'Assumptions'!$A$2:$A$28,0))/INDEX('Assumptions'!$K$2:$K$28,MATCH("PC_MCI_WJ_ABATEMENT",'Assumptions'!$A$2:$A$28,0))</x:f>
        <x:v>41897.233201581024</x:v>
      </x:c>
      <x:c r="D8" s="163" t="n">
        <x:f>B8-C8</x:f>
        <x:v>-2.1827872842550278e-11</x:v>
      </x:c>
      <x:c r="E8" s="163" t="n">
        <x:v>0.000001</x:v>
      </x:c>
      <x:c r="F8" s="85" t="str">
        <x:f>IF(ABS(D8)&lt;=E8,"OK","FAIL")</x:f>
        <x:v>OK</x:v>
      </x:c>
      <x:c r="G8" s="169" t="str">
        <x:v>JPY 21.2bn divided by 506 ktCO2/year</x:v>
      </x:c>
    </x:row>
    <x:row r="9" ht="27" customHeight="1">
      <x:c r="A9" s="85" t="str">
        <x:v>MCI maximum subsidy share tie</x:v>
      </x:c>
      <x:c r="B9" s="163" t="n">
        <x:f>INDEX('Assumptions'!$K$2:$K$28,MATCH("PC_MCI_WJ_SUPPORT_SHARE",'Assumptions'!$A$2:$A$28,0))</x:f>
        <x:v>0.490566</x:v>
      </x:c>
      <x:c r="C9" s="163" t="n">
        <x:f>INDEX('Assumptions'!$K$2:$K$28,MATCH("PC_MCI_WJ_SUBSIDY",'Assumptions'!$A$2:$A$28,0))/INDEX('Assumptions'!$K$2:$K$28,MATCH("PC_MCI_WJ_INVESTMENT",'Assumptions'!$A$2:$A$28,0))</x:f>
        <x:v>0.49056603773584906</x:v>
      </x:c>
      <x:c r="D9" s="163" t="n">
        <x:f>B9-C9</x:f>
        <x:v>-3.773584905664151e-8</x:v>
      </x:c>
      <x:c r="E9" s="163" t="n">
        <x:v>0.000001</x:v>
      </x:c>
      <x:c r="F9" s="85" t="str">
        <x:f>IF(ABS(D9)&lt;=E9,"OK","FAIL")</x:f>
        <x:v>OK</x:v>
      </x:c>
      <x:c r="G9" s="169" t="str">
        <x:v>JPY 10.4bn divided by JPY 21.2bn</x:v>
      </x:c>
    </x:row>
    <x:row r="10" ht="27" customHeight="1">
      <x:c r="A10" s="85" t="str">
        <x:v>Electrified-cracker base capex tie</x:v>
      </x:c>
      <x:c r="B10" s="163" t="n">
        <x:f>INDEX('Assumptions'!$K$2:$K$28,MATCH("PC_ECRACKER_CAPEX",'Assumptions'!$A$2:$A$28,0))</x:f>
        <x:v>615</x:v>
      </x:c>
      <x:c r="C10" s="163" t="n">
        <x:f>INDEX('Assumptions'!$K$2:$K$28,MATCH("PC_NAPHTHA_CAPEX",'Assumptions'!$A$2:$A$28,0))*INDEX('Assumptions'!$K$2:$K$28,MATCH("PC_ECRACKER_CAPEX_FRACTION",'Assumptions'!$A$2:$A$28,0))</x:f>
        <x:v>615</x:v>
      </x:c>
      <x:c r="D10" s="163" t="n">
        <x:f>B10-C10</x:f>
        <x:v>0</x:v>
      </x:c>
      <x:c r="E10" s="163" t="n">
        <x:v>0.000001</x:v>
      </x:c>
      <x:c r="F10" s="85" t="str">
        <x:f>IF(ABS(D10)&lt;=E10,"OK","FAIL")</x:f>
        <x:v>OK</x:v>
      </x:c>
      <x:c r="G10" s="169" t="str">
        <x:v>USD 2,050/tHVC-year multiplied by 30%</x:v>
      </x:c>
    </x:row>
    <x:row r="11" ht="27" customHeight="1">
      <x:c r="A11" s="86" t="str">
        <x:v>Rows with source IDs</x:v>
      </x:c>
      <x:c r="B11" s="164" t="n">
        <x:f>COUNTA('Assumptions'!$S$2:$S$28)</x:f>
        <x:v>27</x:v>
      </x:c>
      <x:c r="C11" s="164" t="n">
        <x:v>27</x:v>
      </x:c>
      <x:c r="D11" s="164" t="n">
        <x:f>B11-C11</x:f>
        <x:v>0</x:v>
      </x:c>
      <x:c r="E11" s="164" t="n">
        <x:v>0</x:v>
      </x:c>
      <x:c r="F11" s="86" t="str">
        <x:f>IF(ABS(D11)&lt;=E11,"OK","FAIL")</x:f>
        <x:v>OK</x:v>
      </x:c>
      <x:c r="G11" s="170" t="str">
        <x:v>All rows carry one or more registered source IDs</x:v>
      </x:c>
    </x:row>
  </x:sheetData>
  <x:mergeCells>
    <x:mergeCell ref="A1:G1"/>
  </x:mergeCells>
  <x:conditionalFormatting sqref="B2:B2">
    <x:cfRule type="containsText" dxfId="1" priority="1" operator="containsText" text="OK"/>
    <x:cfRule type="containsText" dxfId="2" priority="2" operator="containsText" text="FAIL"/>
  </x:conditionalFormatting>
  <x:conditionalFormatting sqref="F5:F11">
    <x:cfRule type="containsText" dxfId="3" priority="3" operator="containsText" text="OK"/>
    <x:cfRule type="containsText" dxfId="4" priority="4" operator="containsText" text="FAIL"/>
  </x:conditionalFormatting>
  <x:pageMargins left="0.7" right="0.7" top="0.75" bottom="0.75" header="0.3" footer="0.3"/>
</x:worksheet>
</file>