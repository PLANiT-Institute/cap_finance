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3.xml" ContentType="application/vnd.openxmlformats-officedocument.spreadsheetml.worksheet+xml"/>
  <Override PartName="/xl/worksheets/sheet4.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omments3.xml" ContentType="application/vnd.openxmlformats-officedocument.spreadsheetml.comments+xml"/>
  <Override PartName="/xl/threadedcomments/threadedcomment3.xml" ContentType="application/vnd.ms-excel.threadedcomments+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eebec2f050c8452d" /></Relationships>
</file>

<file path=xl/workbook.xml><?xml version="1.0" encoding="utf-8"?>
<x:workbook xmlns:x="http://schemas.openxmlformats.org/spreadsheetml/2006/main">
  <x:sheets>
    <x:sheet xmlns:r="http://schemas.openxmlformats.org/officeDocument/2006/relationships" name="Cover" sheetId="1" r:id="R2e736000ec8f40b6"/>
    <x:sheet xmlns:r="http://schemas.openxmlformats.org/officeDocument/2006/relationships" name="Companies" sheetId="2" r:id="R9cb39cfd9d914232"/>
    <x:sheet xmlns:r="http://schemas.openxmlformats.org/officeDocument/2006/relationships" name="Facilities" sheetId="3" r:id="Rbfabd857fd75441a"/>
    <x:sheet xmlns:r="http://schemas.openxmlformats.org/officeDocument/2006/relationships" name="Financials" sheetId="4" r:id="R129b3668b0e24e76"/>
    <x:sheet xmlns:r="http://schemas.openxmlformats.org/officeDocument/2006/relationships" name="Technologies" sheetId="5" r:id="R513178b459d74af2"/>
    <x:sheet xmlns:r="http://schemas.openxmlformats.org/officeDocument/2006/relationships" name="Scenarios" sheetId="6" r:id="Redcf5bcceb124681"/>
    <x:sheet xmlns:r="http://schemas.openxmlformats.org/officeDocument/2006/relationships" name="Scenario_Definitions" sheetId="7" r:id="Re9edfb5c709748e2"/>
    <x:sheet xmlns:r="http://schemas.openxmlformats.org/officeDocument/2006/relationships" name="Plans" sheetId="8" r:id="Raae33a0e63fb4c9e"/>
    <x:sheet xmlns:r="http://schemas.openxmlformats.org/officeDocument/2006/relationships" name="Policy" sheetId="9" r:id="Re33dc1ceceba4e6c"/>
    <x:sheet xmlns:r="http://schemas.openxmlformats.org/officeDocument/2006/relationships" name="Company_Constraints" sheetId="10" r:id="R8b0c79ee91424c35"/>
    <x:sheet xmlns:r="http://schemas.openxmlformats.org/officeDocument/2006/relationships" name="Tech_Constraints" sheetId="11" r:id="Ra6922285a90349e0"/>
    <x:sheet xmlns:r="http://schemas.openxmlformats.org/officeDocument/2006/relationships" name="Resource_Constraints" sheetId="12" r:id="R1fba5af7ef06452c"/>
    <x:sheet xmlns:r="http://schemas.openxmlformats.org/officeDocument/2006/relationships" name="Resource_Benchmarks" sheetId="13" r:id="R20324739baa74205"/>
    <x:sheet xmlns:r="http://schemas.openxmlformats.org/officeDocument/2006/relationships" name="Transition_Projects" sheetId="14" r:id="R92cf23e845f040bf"/>
    <x:sheet xmlns:r="http://schemas.openxmlformats.org/officeDocument/2006/relationships" name="Technology_Cost_Evidence" sheetId="15" r:id="R9f70195758e74c4d"/>
    <x:sheet xmlns:r="http://schemas.openxmlformats.org/officeDocument/2006/relationships" name="Data_Gaps" sheetId="16" r:id="R35d5ae208f744d52"/>
    <x:sheet xmlns:r="http://schemas.openxmlformats.org/officeDocument/2006/relationships" name="GCAM_Run_Manifest" sheetId="17" r:id="R1e92ce034eb44d5b"/>
    <x:sheet xmlns:r="http://schemas.openxmlformats.org/officeDocument/2006/relationships" name="GCAM_Query_Manifest" sheetId="18" r:id="Ra5164f3a68d84cbe"/>
    <x:sheet xmlns:r="http://schemas.openxmlformats.org/officeDocument/2006/relationships" name="Price_Process" sheetId="19" r:id="R9c17372f889d4780"/>
    <x:sheet xmlns:r="http://schemas.openxmlformats.org/officeDocument/2006/relationships" name="Reconciliation" sheetId="20" r:id="R47f94523eba24640"/>
    <x:sheet xmlns:r="http://schemas.openxmlformats.org/officeDocument/2006/relationships" name="Reasonableness" sheetId="21" r:id="Ra1eb28cbebf14974"/>
    <x:sheet xmlns:r="http://schemas.openxmlformats.org/officeDocument/2006/relationships" name="Current_Results" sheetId="22" r:id="R7f59788c4b9443ae"/>
    <x:sheet xmlns:r="http://schemas.openxmlformats.org/officeDocument/2006/relationships" name="Scenario_Comparison" sheetId="23" r:id="Rf13a9c3e7bdf4c66"/>
    <x:sheet xmlns:r="http://schemas.openxmlformats.org/officeDocument/2006/relationships" name="Candidate_Catalog" sheetId="24" r:id="R3a21bbddbe544a9c"/>
    <x:sheet xmlns:r="http://schemas.openxmlformats.org/officeDocument/2006/relationships" name="Robust_Candidates" sheetId="25" r:id="Rdf37100b005042ee"/>
    <x:sheet xmlns:r="http://schemas.openxmlformats.org/officeDocument/2006/relationships" name="Candidate_Comparison" sheetId="26" r:id="Re5d4f390763c4803"/>
    <x:sheet xmlns:r="http://schemas.openxmlformats.org/officeDocument/2006/relationships" name="Refined_Decision" sheetId="27" r:id="R9bff539c532a4e83"/>
    <x:sheet xmlns:r="http://schemas.openxmlformats.org/officeDocument/2006/relationships" name="Refined_Metrics" sheetId="28" r:id="R52f020629d514d32"/>
    <x:sheet xmlns:r="http://schemas.openxmlformats.org/officeDocument/2006/relationships" name="Refined_Robust" sheetId="29" r:id="R3bbefd8f8f7749e5"/>
    <x:sheet xmlns:r="http://schemas.openxmlformats.org/officeDocument/2006/relationships" name="Refined_Comparison" sheetId="30" r:id="R12479d37ee3449a6"/>
    <x:sheet xmlns:r="http://schemas.openxmlformats.org/officeDocument/2006/relationships" name="Refined_Facilities" sheetId="31" r:id="R76fdff20bbd64116"/>
    <x:sheet xmlns:r="http://schemas.openxmlformats.org/officeDocument/2006/relationships" name="Refined_Resources" sheetId="32" r:id="Rea59ae39682b4262"/>
    <x:sheet xmlns:r="http://schemas.openxmlformats.org/officeDocument/2006/relationships" name="Sources" sheetId="33" r:id="R90f4b73dfcad4717"/>
    <x:sheet xmlns:r="http://schemas.openxmlformats.org/officeDocument/2006/relationships" name="CSV_Manifest" sheetId="34" r:id="R2871070f4d7e4d58"/>
  </x:sheets>
</x:workbook>
</file>

<file path=xl/comments1.xml><?xml version="1.0" encoding="utf-8"?>
<x:comments xmlns:x="http://schemas.openxmlformats.org/spreadsheetml/2006/main">
  <x:authors>
    <x:author>tc={EB7E9620-2A7C-20C6-B5F5-A6D912EB2942}</x:author>
    <x:author>tc={61BF566B-45A8-78AB-B397-0AD6667E074E}</x:author>
    <x:author>tc={854F121D-59D1-1860-F24B-970BE9CA2864}</x:author>
    <x:author>tc={506234E4-0B1E-FE0A-16C5-694D1BDA0695}</x:author>
    <x:author>tc={D7BA33B2-E86D-EC7C-F9B0-509D36456175}</x:author>
    <x:author>tc={4CF52921-ECC4-60CC-87F5-3C4513CF74B3}</x:author>
    <x:author>tc={EAAF4A0A-21A6-6AC5-1354-47E3048C0236}</x:author>
    <x:author>tc={3240CDAA-643B-17B3-DE9E-5EF895FB11CB}</x:author>
  </x:authors>
  <x:commentList>
    <x:comment ref="G2" authorId="0">
      <x:text>
        <x:r>
          <x:t>[Threaded comment]
Your version of Excel allows you to read this threaded comment; however, any edits to it will get removed if the file is opened in a newer version of Excel. Learn more: https://go.microsoft.com/fwlink/?linkid=870924
Comment:
    생산·배출 기준값 출처: https://sustainability.posco.com/S91/S91F10/eng/cmspage.do?mmcd=2682093497003371</x:t>
        </x:r>
      </x:text>
    </x:comment>
    <x:comment ref="H2" authorId="1">
      <x:text>
        <x:r>
          <x:t>[Threaded comment]
Your version of Excel allows you to read this threaded comment; however, any edits to it will get removed if the file is opened in a newer version of Excel. Learn more: https://go.microsoft.com/fwlink/?linkid=870924
Comment:
    Scope 1+2 기준값 출처: https://sustainability.posco.com/S91/S91F10/eng/cmspage.do?mmcd=2682093497003371</x:t>
        </x:r>
      </x:text>
    </x:comment>
    <x:comment ref="G3" authorId="2">
      <x:text>
        <x:r>
          <x:t>[Threaded comment]
Your version of Excel allows you to read this threaded comment; however, any edits to it will get removed if the file is opened in a newer version of Excel. Learn more: https://go.microsoft.com/fwlink/?linkid=870924
Comment:
    생산·배출 기준값 출처: https://www.nipponsteel.com/en/ir/library/pdf/nsc_en_ir_2025_all.pdf</x:t>
        </x:r>
      </x:text>
    </x:comment>
    <x:comment ref="H3" authorId="3">
      <x:text>
        <x:r>
          <x:t>[Threaded comment]
Your version of Excel allows you to read this threaded comment; however, any edits to it will get removed if the file is opened in a newer version of Excel. Learn more: https://go.microsoft.com/fwlink/?linkid=870924
Comment:
    Scope 1+2 기준값 출처: https://www.nipponsteel.com/en/ir/library/pdf/nsc_en_ir_2025_all.pdf</x:t>
        </x:r>
      </x:text>
    </x:comment>
    <x:comment ref="G4" authorId="4">
      <x:text>
        <x:r>
          <x:t>[Threaded comment]
Your version of Excel allows you to read this threaded comment; however, any edits to it will get removed if the file is opened in a newer version of Excel. Learn more: https://go.microsoft.com/fwlink/?linkid=870924
Comment:
    생산·배출 기준값 출처: https://www.jfe-holdings.co.jp/en/common/pdf/investor/library/group-report/2025/all.pdf</x:t>
        </x:r>
      </x:text>
    </x:comment>
    <x:comment ref="H4" authorId="5">
      <x:text>
        <x:r>
          <x:t>[Threaded comment]
Your version of Excel allows you to read this threaded comment; however, any edits to it will get removed if the file is opened in a newer version of Excel. Learn more: https://go.microsoft.com/fwlink/?linkid=870924
Comment:
    Scope 1+2 기준값 출처: https://www.jfe-holdings.co.jp/en/common/pdf/investor/library/group-report/2025/all.pdf</x:t>
        </x:r>
      </x:text>
    </x:comment>
    <x:comment ref="G5" authorId="6">
      <x:text>
        <x:r>
          <x:t>[Threaded comment]
Your version of Excel allows you to read this threaded comment; however, any edits to it will get removed if the file is opened in a newer version of Excel. Learn more: https://go.microsoft.com/fwlink/?linkid=870924
Comment:
    생산·배출 기준값 출처: https://www.kobelco.co.jp/english/ir/integrated-reports/pdf/integrated-reports2025_e.pdf</x:t>
        </x:r>
      </x:text>
    </x:comment>
    <x:comment ref="H5" authorId="7">
      <x:text>
        <x:r>
          <x:t>[Threaded comment]
Your version of Excel allows you to read this threaded comment; however, any edits to it will get removed if the file is opened in a newer version of Excel. Learn more: https://go.microsoft.com/fwlink/?linkid=870924
Comment:
    Scope 1+2 기준값 출처: https://www.kobelco.co.jp/english/ir/integrated-reports/pdf/integrated-reports2025_e.pdf</x:t>
        </x:r>
      </x:text>
    </x:comment>
  </x:commentList>
</x:comments>
</file>

<file path=xl/comments2.xml><?xml version="1.0" encoding="utf-8"?>
<x:comments xmlns:x="http://schemas.openxmlformats.org/spreadsheetml/2006/main">
  <x:authors>
    <x:author>tc={0991F790-2CBA-2AED-3B6E-EAA97A87B7B6}</x:author>
    <x:author>tc={FF7003D4-61CB-C969-E2BB-D1550006E030}</x:author>
    <x:author>tc={EEC51A02-3BF1-2EB3-376F-80D064944166}</x:author>
    <x:author>tc={92E2B15A-4E88-BD7F-A4A5-AB6EFC3C8CBB}</x:author>
    <x:author>tc={428100A6-D66F-865A-58B8-0B719751D7B0}</x:author>
    <x:author>tc={FA475736-946A-E3BC-98F0-4BA8D4C1E950}</x:author>
    <x:author>tc={8E847B60-0C67-397A-A006-5F6C56D42BFF}</x:author>
    <x:author>tc={28D9001A-1920-B996-3B97-C93128BA001B}</x:author>
  </x:authors>
  <x:commentList>
    <x:comment ref="C2" authorId="0">
      <x:text>
        <x:r>
          <x:t>[Threaded comment]
Your version of Excel allows you to read this threaded comment; however, any edits to it will get removed if the file is opened in a newer version of Excel. Learn more: https://go.microsoft.com/fwlink/?linkid=870924
Comment:
    재무 입력 출처: https://www.posco.co.kr/homepage/docs/eng7/jsp/ir/s91b6000050l.jsp</x:t>
        </x:r>
      </x:text>
    </x:comment>
    <x:comment ref="D2" authorId="1">
      <x:text>
        <x:r>
          <x:t>[Threaded comment]
Your version of Excel allows you to read this threaded comment; however, any edits to it will get removed if the file is opened in a newer version of Excel. Learn more: https://go.microsoft.com/fwlink/?linkid=870924
Comment:
    EBITDA 또는 EBITDA proxy 출처: https://www.posco.co.kr/homepage/docs/eng7/jsp/ir/s91b6000050l.jsp</x:t>
        </x:r>
      </x:text>
    </x:comment>
    <x:comment ref="C3" authorId="2">
      <x:text>
        <x:r>
          <x:t>[Threaded comment]
Your version of Excel allows you to read this threaded comment; however, any edits to it will get removed if the file is opened in a newer version of Excel. Learn more: https://go.microsoft.com/fwlink/?linkid=870924
Comment:
    재무 입력 출처: https://www.nipponsteel.com/en/ir/library/pdf/nsc_en_ir_2025_all.pdf</x:t>
        </x:r>
      </x:text>
    </x:comment>
    <x:comment ref="D3" authorId="3">
      <x:text>
        <x:r>
          <x:t>[Threaded comment]
Your version of Excel allows you to read this threaded comment; however, any edits to it will get removed if the file is opened in a newer version of Excel. Learn more: https://go.microsoft.com/fwlink/?linkid=870924
Comment:
    EBITDA 또는 EBITDA proxy 출처: https://www.nipponsteel.com/en/ir/library/pdf/nsc_en_ir_2025_all.pdf</x:t>
        </x:r>
      </x:text>
    </x:comment>
    <x:comment ref="C4" authorId="4">
      <x:text>
        <x:r>
          <x:t>[Threaded comment]
Your version of Excel allows you to read this threaded comment; however, any edits to it will get removed if the file is opened in a newer version of Excel. Learn more: https://go.microsoft.com/fwlink/?linkid=870924
Comment:
    재무 입력 출처: https://www.jfe-holdings.co.jp/en/common/pdf/investor/library/group-report/2025/all.pdf</x:t>
        </x:r>
      </x:text>
    </x:comment>
    <x:comment ref="D4" authorId="5">
      <x:text>
        <x:r>
          <x:t>[Threaded comment]
Your version of Excel allows you to read this threaded comment; however, any edits to it will get removed if the file is opened in a newer version of Excel. Learn more: https://go.microsoft.com/fwlink/?linkid=870924
Comment:
    EBITDA 또는 EBITDA proxy 출처: https://www.jfe-holdings.co.jp/en/common/pdf/investor/library/group-report/2025/all.pdf</x:t>
        </x:r>
      </x:text>
    </x:comment>
    <x:comment ref="C5" authorId="6">
      <x:text>
        <x:r>
          <x:t>[Threaded comment]
Your version of Excel allows you to read this threaded comment; however, any edits to it will get removed if the file is opened in a newer version of Excel. Learn more: https://go.microsoft.com/fwlink/?linkid=870924
Comment:
    재무 입력 출처: https://www.kobelco.co.jp/english/ir/integrated-reports/pdf/integrated-reports2025_e.pdf</x:t>
        </x:r>
      </x:text>
    </x:comment>
    <x:comment ref="D5" authorId="7">
      <x:text>
        <x:r>
          <x:t>[Threaded comment]
Your version of Excel allows you to read this threaded comment; however, any edits to it will get removed if the file is opened in a newer version of Excel. Learn more: https://go.microsoft.com/fwlink/?linkid=870924
Comment:
    EBITDA 또는 EBITDA proxy 출처: https://www.kobelco.co.jp/english/ir/integrated-reports/pdf/integrated-reports2025_e.pdf</x:t>
        </x:r>
      </x:text>
    </x:comment>
  </x:commentList>
</x:comments>
</file>

<file path=xl/comments3.xml><?xml version="1.0" encoding="utf-8"?>
<x:comments xmlns:x="http://schemas.openxmlformats.org/spreadsheetml/2006/main">
  <x:authors>
    <x:author>tc={0CBC2E5A-64BB-69F1-A640-D6D4C8C87C73}</x:author>
    <x:author>tc={6640733C-27F7-0D2B-F468-84CD509D5E4E}</x:author>
  </x:authors>
  <x:commentList>
    <x:comment ref="C19" authorId="0">
      <x:text>
        <x:r>
          <x:t>[Threaded comment]
Your version of Excel allows you to read this threaded comment; however, any edits to it will get removed if the file is opened in a newer version of Excel. Learn more: https://go.microsoft.com/fwlink/?linkid=870924
Comment:
    JFE official release: https://www.jfe-steel.co.jp/en/release/2025/04/250410.html</x:t>
        </x:r>
      </x:text>
    </x:comment>
    <x:comment ref="C20" authorId="1">
      <x:text>
        <x:r>
          <x:t>[Threaded comment]
Your version of Excel allows you to read this threaded comment; however, any edits to it will get removed if the file is opened in a newer version of Excel. Learn more: https://go.microsoft.com/fwlink/?linkid=870924
Comment:
    Nippon Steel official release: https://www.nipponsteel.com/common/secure/en/news/20250530_200.pdf</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9">
    <x:numFmt numFmtId="200" formatCode="0.0"/>
    <x:numFmt numFmtId="201" formatCode="0.000"/>
    <x:numFmt numFmtId="202" formatCode="#,##0.0"/>
    <x:numFmt numFmtId="203" formatCode="0.0%"/>
    <x:numFmt numFmtId="204" formatCode="0.00x"/>
    <x:numFmt numFmtId="205" formatCode="#,##0"/>
    <x:numFmt numFmtId="206" formatCode="#,##0.0;[Red](#,##0.0);-"/>
    <x:numFmt numFmtId="207" formatCode="0%"/>
    <x:numFmt numFmtId="208" formatCode="#,##0.000"/>
  </x:numFmts>
  <x:fonts count="15">
    <x:font>
      <x:sz val="11"/>
      <x:name val="Carlito"/>
    </x:font>
    <x:font>
      <x:b/>
      <x:sz val="20"/>
      <x:color rgb="FFFFFFFF"/>
      <x:name val="Carlito"/>
    </x:font>
    <x:font>
      <x:i/>
      <x:sz val="10"/>
      <x:color rgb="FFFFFFFF"/>
      <x:name val="Carlito"/>
    </x:font>
    <x:font>
      <x:b/>
      <x:sz val="11"/>
      <x:color rgb="FF0B1F33"/>
      <x:name val="Carlito"/>
    </x:font>
    <x:font>
      <x:b/>
      <x:sz val="11"/>
      <x:color rgb="FFB45309"/>
      <x:name val="Carlito"/>
    </x:font>
    <x:font>
      <x:b/>
      <x:sz val="11"/>
      <x:color rgb="FFFFFFFF"/>
      <x:name val="Carlito"/>
    </x:font>
    <x:font>
      <x:sz val="11"/>
      <x:color rgb="FF1F2937"/>
      <x:name val="Carlito"/>
    </x:font>
    <x:font>
      <x:sz val="11"/>
      <x:color rgb="FFB45309"/>
      <x:name val="Carlito"/>
    </x:font>
    <x:font>
      <x:i/>
      <x:sz val="9"/>
      <x:color rgb="FF64748B"/>
      <x:name val="Carlito"/>
    </x:font>
    <x:font>
      <x:b/>
      <x:sz val="10"/>
      <x:color rgb="FFFFFFFF"/>
      <x:name val="Carlito"/>
    </x:font>
    <x:font>
      <x:sz val="9"/>
      <x:color rgb="FF1F2937"/>
      <x:name val="Carlito"/>
    </x:font>
    <x:font>
      <x:b/>
      <x:sz val="17"/>
      <x:color rgb="FFFFFFFF"/>
      <x:name val="Carlito"/>
    </x:font>
    <x:font>
      <x:i/>
      <x:sz val="11"/>
      <x:color rgb="FFB45309"/>
      <x:name val="Carlito"/>
    </x:font>
    <x:font>
      <x:sz val="10"/>
      <x:color rgb="FFB45309"/>
      <x:name val="Carlito"/>
    </x:font>
    <x:font>
      <x:b/>
      <x:sz val="16"/>
      <x:color rgb="FFFFFFFF"/>
      <x:name val="Carlito"/>
    </x:font>
  </x:fonts>
  <x:fills count="8">
    <x:fill>
      <x:patternFill patternType="none"/>
    </x:fill>
    <x:fill>
      <x:patternFill patternType="gray125"/>
    </x:fill>
    <x:fill>
      <x:patternFill patternType="solid">
        <x:fgColor rgb="FF0B1F33"/>
      </x:patternFill>
    </x:fill>
    <x:fill>
      <x:patternFill patternType="solid">
        <x:fgColor rgb="FF0C7C86"/>
      </x:patternFill>
    </x:fill>
    <x:fill>
      <x:patternFill patternType="solid">
        <x:fgColor rgb="FFDDEBF7"/>
      </x:patternFill>
    </x:fill>
    <x:fill>
      <x:patternFill patternType="solid">
        <x:fgColor rgb="FFFEF3C7"/>
      </x:patternFill>
    </x:fill>
    <x:fill>
      <x:patternFill patternType="solid">
        <x:fgColor rgb="FFF3F7FA"/>
      </x:patternFill>
    </x:fill>
    <x:fill>
      <x:patternFill patternType="solid">
        <x:fgColor rgb="FF173A5E"/>
      </x:patternFill>
    </x:fill>
  </x:fills>
  <x:borders count="4">
    <x:border/>
    <x:border>
      <x:top/>
      <x:bottom/>
    </x:border>
    <x:border>
      <x:bottom/>
    </x:border>
    <x:border>
      <x:bottom/>
    </x:border>
  </x:borders>
  <x:cellStyleXfs count="1">
    <x:xf numFmtId="0" fontId="0" fillId="0" borderId="0"/>
  </x:cellStyleXfs>
  <x:cellXfs count="74">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0" fillId="6" borderId="0" xfId="0" applyNumberFormat="1" applyFont="1" applyFill="1" applyBorder="1"/>
    <x:xf numFmtId="0" fontId="3" fillId="6" borderId="0"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5" fillId="7" borderId="0" xfId="0" applyNumberFormat="1" applyFont="1" applyFill="1" applyBorder="1"/>
    <x:xf numFmtId="200" fontId="0" fillId="0" borderId="0" xfId="0" applyNumberFormat="1" applyFont="1" applyFill="1" applyBorder="1"/>
    <x:xf numFmtId="0" fontId="6" fillId="0" borderId="0" xfId="0" applyNumberFormat="1" applyFont="1" applyFill="1" applyBorder="1"/>
    <x:xf numFmtId="200" fontId="6" fillId="0" borderId="0" xfId="0" applyNumberFormat="1" applyFont="1" applyFill="1" applyBorder="1"/>
    <x:xf numFmtId="0" fontId="6" fillId="0" borderId="2" xfId="0" applyNumberFormat="1" applyFont="1" applyFill="1" applyBorder="1"/>
    <x:xf numFmtId="0" fontId="7" fillId="5" borderId="0" xfId="0" applyNumberFormat="1" applyFont="1" applyFill="1" applyBorder="1"/>
    <x:xf numFmtId="0" fontId="7" fillId="5" borderId="0" xfId="0" applyNumberFormat="1" applyFont="1" applyFill="1" applyBorder="1" applyAlignment="1">
      <x:alignment wrapText="1"/>
    </x:xf>
    <x:xf numFmtId="0" fontId="7" fillId="5" borderId="0" xfId="0" applyNumberFormat="1" applyFont="1" applyFill="1" applyBorder="1" applyAlignment="1">
      <x:alignment vertical="center" wrapText="1"/>
    </x:xf>
    <x:xf numFmtId="0" fontId="8" fillId="0" borderId="0" xfId="0" applyNumberFormat="1" applyFont="1" applyFill="1" applyBorder="1"/>
    <x:xf numFmtId="0" fontId="9" fillId="7" borderId="0" xfId="0" applyNumberFormat="1" applyFont="1" applyFill="1" applyBorder="1"/>
    <x:xf numFmtId="0" fontId="9" fillId="7" borderId="3" xfId="0" applyNumberFormat="1" applyFont="1" applyFill="1" applyBorder="1"/>
    <x:xf numFmtId="0" fontId="9" fillId="7" borderId="3" xfId="0" applyNumberFormat="1" applyFont="1" applyFill="1" applyBorder="1" applyAlignment="1">
      <x:alignment wrapText="1"/>
    </x:xf>
    <x:xf numFmtId="0" fontId="9" fillId="7" borderId="3" xfId="0" applyNumberFormat="1" applyFont="1" applyFill="1" applyBorder="1" applyAlignment="1">
      <x:alignment vertical="center" wrapText="1"/>
    </x:xf>
    <x:xf numFmtId="0" fontId="10" fillId="0" borderId="0" xfId="0" applyNumberFormat="1" applyFont="1" applyFill="1" applyBorder="1"/>
    <x:xf numFmtId="0" fontId="10" fillId="0" borderId="2" xfId="0" applyNumberFormat="1" applyFont="1" applyFill="1" applyBorder="1"/>
    <x:xf numFmtId="0" fontId="10" fillId="0" borderId="0" xfId="0" applyNumberFormat="1" applyFont="1" applyFill="1" applyBorder="1" applyAlignment="1">
      <x:alignment wrapText="1"/>
    </x:xf>
    <x:xf numFmtId="0" fontId="10" fillId="0" borderId="2" xfId="0" applyNumberFormat="1" applyFont="1" applyFill="1" applyBorder="1" applyAlignment="1">
      <x:alignment wrapText="1"/>
    </x:xf>
    <x:xf numFmtId="0" fontId="10" fillId="0" borderId="0" xfId="0" applyNumberFormat="1" applyFont="1" applyFill="1" applyBorder="1" applyAlignment="1">
      <x:alignment vertical="top" wrapText="1"/>
    </x:xf>
    <x:xf numFmtId="0" fontId="10" fillId="0" borderId="2" xfId="0" applyNumberFormat="1" applyFont="1" applyFill="1" applyBorder="1" applyAlignment="1">
      <x:alignment vertical="top" wrapText="1"/>
    </x:xf>
    <x:xf numFmtId="0" fontId="10" fillId="0" borderId="0" xfId="0" applyNumberFormat="1" applyFont="1" applyFill="1" applyBorder="1">
      <x:extLst>
        <x:ext uri="{C7286773-470A-42A8-94C5-96B5CB345126}">
          <xfpb:xfComplement xmlns:xfpb="http://schemas.microsoft.com/office/spreadsheetml/2022/featurepropertybag" i="0"/>
        </x:ext>
      </x:extLst>
    </x:xf>
    <x:xf numFmtId="0" fontId="10" fillId="0" borderId="2" xfId="0" applyNumberFormat="1" applyFont="1" applyFill="1" applyBorder="1">
      <x:extLst>
        <x:ext uri="{C7286773-470A-42A8-94C5-96B5CB345126}">
          <xfpb:xfComplement xmlns:xfpb="http://schemas.microsoft.com/office/spreadsheetml/2022/featurepropertybag" i="0"/>
        </x:ext>
      </x:extLst>
    </x:xf>
    <x:xf numFmtId="0" fontId="1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0" fillId="0" borderId="2" xfId="0" applyNumberFormat="1" applyFont="1" applyFill="1" applyBorder="1" applyAlignment="1">
      <x:alignment wrapText="1"/>
      <x:extLst>
        <x:ext uri="{C7286773-470A-42A8-94C5-96B5CB345126}">
          <xfpb:xfComplement xmlns:xfpb="http://schemas.microsoft.com/office/spreadsheetml/2022/featurepropertybag" i="0"/>
        </x:ext>
      </x:extLst>
    </x:xf>
    <x:xf numFmtId="0" fontId="1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1" fontId="0" fillId="0" borderId="0" xfId="0" applyNumberFormat="1" applyFont="1" applyFill="1" applyBorder="1"/>
    <x:xf numFmtId="201" fontId="0" fillId="6" borderId="0" xfId="0" applyNumberFormat="1" applyFont="1" applyFill="1" applyBorder="1"/>
    <x:xf numFmtId="202" fontId="10" fillId="0" borderId="0" xfId="0" applyNumberFormat="1" applyFont="1" applyFill="1" applyBorder="1" applyAlignment="1">
      <x:alignment vertical="top" wrapText="1"/>
    </x:xf>
    <x:xf numFmtId="202" fontId="10" fillId="0" borderId="2" xfId="0" applyNumberFormat="1" applyFont="1" applyFill="1" applyBorder="1" applyAlignment="1">
      <x:alignment vertical="top" wrapText="1"/>
    </x:xf>
    <x:xf numFmtId="201" fontId="10" fillId="0" borderId="0" xfId="0" applyNumberFormat="1" applyFont="1" applyFill="1" applyBorder="1" applyAlignment="1">
      <x:alignment vertical="top" wrapText="1"/>
    </x:xf>
    <x:xf numFmtId="201" fontId="10" fillId="0" borderId="2" xfId="0" applyNumberFormat="1" applyFont="1" applyFill="1" applyBorder="1" applyAlignment="1">
      <x:alignment vertical="top" wrapText="1"/>
    </x:xf>
    <x:xf numFmtId="0" fontId="11" fillId="2" borderId="0" xfId="0" applyNumberFormat="1" applyFont="1" applyFill="1" applyBorder="1"/>
    <x:xf numFmtId="0" fontId="11" fillId="2" borderId="0" xfId="0" applyNumberFormat="1" applyFont="1" applyFill="1" applyBorder="1" applyAlignment="1">
      <x:alignment vertical="center"/>
    </x:xf>
    <x:xf numFmtId="0" fontId="12" fillId="5" borderId="0" xfId="0" applyNumberFormat="1" applyFont="1" applyFill="1" applyBorder="1"/>
    <x:xf numFmtId="0" fontId="12" fillId="5" borderId="0" xfId="0" applyNumberFormat="1" applyFont="1" applyFill="1" applyBorder="1" applyAlignment="1">
      <x:alignment wrapText="1"/>
    </x:xf>
    <x:xf numFmtId="200" fontId="10" fillId="0" borderId="0" xfId="0" applyNumberFormat="1" applyFont="1" applyFill="1" applyBorder="1" applyAlignment="1">
      <x:alignment vertical="top" wrapText="1"/>
    </x:xf>
    <x:xf numFmtId="200" fontId="10" fillId="0" borderId="2" xfId="0" applyNumberFormat="1" applyFont="1" applyFill="1" applyBorder="1" applyAlignment="1">
      <x:alignment vertical="top" wrapText="1"/>
    </x:xf>
    <x:xf numFmtId="200" fontId="0" fillId="6" borderId="0" xfId="0" applyNumberFormat="1" applyFont="1" applyFill="1" applyBorder="1"/>
    <x:xf numFmtId="200" fontId="3" fillId="6" borderId="0" xfId="0" applyNumberFormat="1" applyFont="1" applyFill="1" applyBorder="1"/>
    <x:xf numFmtId="203" fontId="10" fillId="0" borderId="0" xfId="0" applyNumberFormat="1" applyFont="1" applyFill="1" applyBorder="1" applyAlignment="1">
      <x:alignment vertical="top" wrapText="1"/>
    </x:xf>
    <x:xf numFmtId="203" fontId="10" fillId="0" borderId="2" xfId="0" applyNumberFormat="1" applyFont="1" applyFill="1" applyBorder="1" applyAlignment="1">
      <x:alignment vertical="top" wrapText="1"/>
    </x:xf>
    <x:xf numFmtId="204" fontId="10" fillId="0" borderId="0" xfId="0" applyNumberFormat="1" applyFont="1" applyFill="1" applyBorder="1" applyAlignment="1">
      <x:alignment vertical="top" wrapText="1"/>
    </x:xf>
    <x:xf numFmtId="204" fontId="10" fillId="0" borderId="2" xfId="0" applyNumberFormat="1" applyFont="1" applyFill="1" applyBorder="1" applyAlignment="1">
      <x:alignment vertical="top" wrapText="1"/>
    </x:xf>
    <x:xf numFmtId="0" fontId="13" fillId="5" borderId="0" xfId="0" applyNumberFormat="1" applyFont="1" applyFill="1" applyBorder="1"/>
    <x:xf numFmtId="0" fontId="13" fillId="5" borderId="0" xfId="0" applyNumberFormat="1" applyFont="1" applyFill="1" applyBorder="1" applyAlignment="1">
      <x:alignment wrapText="1"/>
    </x:xf>
    <x:xf numFmtId="0" fontId="13" fillId="5" borderId="0" xfId="0" applyNumberFormat="1" applyFont="1" applyFill="1" applyBorder="1" applyAlignment="1">
      <x:alignment vertical="center" wrapText="1"/>
    </x:xf>
    <x:xf numFmtId="0" fontId="14" fillId="2" borderId="0" xfId="0" applyNumberFormat="1" applyFont="1" applyFill="1" applyBorder="1"/>
    <x:xf numFmtId="0" fontId="14" fillId="2" borderId="0" xfId="0" applyNumberFormat="1" applyFont="1" applyFill="1" applyBorder="1" applyAlignment="1">
      <x:alignment vertical="center"/>
    </x:xf>
    <x:xf numFmtId="205" fontId="10" fillId="0" borderId="0" xfId="0" applyNumberFormat="1" applyFont="1" applyFill="1" applyBorder="1" applyAlignment="1">
      <x:alignment vertical="top" wrapText="1"/>
    </x:xf>
    <x:xf numFmtId="205" fontId="10" fillId="0" borderId="2" xfId="0" applyNumberFormat="1" applyFont="1" applyFill="1" applyBorder="1" applyAlignment="1">
      <x:alignment vertical="top" wrapText="1"/>
    </x:xf>
    <x:xf numFmtId="0" fontId="3" fillId="6" borderId="0" xfId="0" applyNumberFormat="1" applyFont="1" applyFill="1" applyBorder="1" applyAlignment="1">
      <x:alignment horizontal="center"/>
    </x:xf>
    <x:xf numFmtId="206" fontId="10" fillId="0" borderId="0" xfId="0" applyNumberFormat="1" applyFont="1" applyFill="1" applyBorder="1" applyAlignment="1">
      <x:alignment vertical="top" wrapText="1"/>
    </x:xf>
    <x:xf numFmtId="206" fontId="10" fillId="0" borderId="2" xfId="0" applyNumberFormat="1" applyFont="1" applyFill="1" applyBorder="1" applyAlignment="1">
      <x:alignment vertical="top" wrapText="1"/>
    </x:xf>
    <x:xf numFmtId="207" fontId="10" fillId="0" borderId="0" xfId="0" applyNumberFormat="1" applyFont="1" applyFill="1" applyBorder="1" applyAlignment="1">
      <x:alignment vertical="top" wrapText="1"/>
    </x:xf>
    <x:xf numFmtId="207" fontId="10" fillId="0" borderId="2" xfId="0" applyNumberFormat="1" applyFont="1" applyFill="1" applyBorder="1" applyAlignment="1">
      <x:alignment vertical="top" wrapText="1"/>
    </x:xf>
    <x:xf numFmtId="208" fontId="10" fillId="0" borderId="0" xfId="0" applyNumberFormat="1" applyFont="1" applyFill="1" applyBorder="1" applyAlignment="1">
      <x:alignment vertical="top" wrapText="1"/>
    </x:xf>
    <x:xf numFmtId="208" fontId="10"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27a6ac78c95468f" /><Relationship Type="http://schemas.openxmlformats.org/officeDocument/2006/relationships/theme" Target="/xl/theme/theme1.xml" Id="R3199a12a0e374356" /><Relationship Type="http://schemas.microsoft.com/office/2022/11/relationships/FeaturePropertyBag" Target="/xl/featurePropertyBag/featurePropertyBag.xml" Id="R861915b76f2e49db" /><Relationship Type="http://schemas.openxmlformats.org/officeDocument/2006/relationships/sharedStrings" Target="/xl/sharedStrings.xml" Id="R705f0271f8d5467b" /><Relationship Type="http://schemas.openxmlformats.org/officeDocument/2006/relationships/worksheet" Target="/xl/worksheets/sheet1.xml" Id="R2e736000ec8f40b6" /><Relationship Type="http://schemas.openxmlformats.org/officeDocument/2006/relationships/worksheet" Target="/xl/worksheets/sheet2.xml" Id="R9cb39cfd9d914232" /><Relationship Type="http://schemas.openxmlformats.org/officeDocument/2006/relationships/worksheet" Target="/xl/worksheets/sheet3.xml" Id="Rbfabd857fd75441a" /><Relationship Type="http://schemas.openxmlformats.org/officeDocument/2006/relationships/worksheet" Target="/xl/worksheets/sheet4.xml" Id="R129b3668b0e24e76" /><Relationship Type="http://schemas.openxmlformats.org/officeDocument/2006/relationships/worksheet" Target="/xl/worksheets/sheet5.xml" Id="R513178b459d74af2" /><Relationship Type="http://schemas.openxmlformats.org/officeDocument/2006/relationships/worksheet" Target="/xl/worksheets/sheet6.xml" Id="Redcf5bcceb124681" /><Relationship Type="http://schemas.openxmlformats.org/officeDocument/2006/relationships/worksheet" Target="/xl/worksheets/sheet7.xml" Id="Re9edfb5c709748e2" /><Relationship Type="http://schemas.openxmlformats.org/officeDocument/2006/relationships/worksheet" Target="/xl/worksheets/sheet8.xml" Id="Raae33a0e63fb4c9e" /><Relationship Type="http://schemas.openxmlformats.org/officeDocument/2006/relationships/worksheet" Target="/xl/worksheets/sheet9.xml" Id="Re33dc1ceceba4e6c" /><Relationship Type="http://schemas.openxmlformats.org/officeDocument/2006/relationships/worksheet" Target="/xl/worksheets/sheet10.xml" Id="R8b0c79ee91424c35" /><Relationship Type="http://schemas.openxmlformats.org/officeDocument/2006/relationships/worksheet" Target="/xl/worksheets/sheet11.xml" Id="Ra6922285a90349e0" /><Relationship Type="http://schemas.openxmlformats.org/officeDocument/2006/relationships/worksheet" Target="/xl/worksheets/sheet12.xml" Id="R1fba5af7ef06452c" /><Relationship Type="http://schemas.openxmlformats.org/officeDocument/2006/relationships/worksheet" Target="/xl/worksheets/sheet13.xml" Id="R20324739baa74205" /><Relationship Type="http://schemas.openxmlformats.org/officeDocument/2006/relationships/worksheet" Target="/xl/worksheets/sheet14.xml" Id="R92cf23e845f040bf" /><Relationship Type="http://schemas.openxmlformats.org/officeDocument/2006/relationships/worksheet" Target="/xl/worksheets/sheet15.xml" Id="R9f70195758e74c4d" /><Relationship Type="http://schemas.openxmlformats.org/officeDocument/2006/relationships/worksheet" Target="/xl/worksheets/sheet16.xml" Id="R35d5ae208f744d52" /><Relationship Type="http://schemas.openxmlformats.org/officeDocument/2006/relationships/worksheet" Target="/xl/worksheets/sheet17.xml" Id="R1e92ce034eb44d5b" /><Relationship Type="http://schemas.openxmlformats.org/officeDocument/2006/relationships/worksheet" Target="/xl/worksheets/sheet18.xml" Id="Ra5164f3a68d84cbe" /><Relationship Type="http://schemas.openxmlformats.org/officeDocument/2006/relationships/worksheet" Target="/xl/worksheets/sheet19.xml" Id="R9c17372f889d4780" /><Relationship Type="http://schemas.openxmlformats.org/officeDocument/2006/relationships/worksheet" Target="/xl/worksheets/sheet20.xml" Id="R47f94523eba24640" /><Relationship Type="http://schemas.openxmlformats.org/officeDocument/2006/relationships/worksheet" Target="/xl/worksheets/sheet21.xml" Id="Ra1eb28cbebf14974" /><Relationship Type="http://schemas.openxmlformats.org/officeDocument/2006/relationships/worksheet" Target="/xl/worksheets/sheet22.xml" Id="R7f59788c4b9443ae" /><Relationship Type="http://schemas.openxmlformats.org/officeDocument/2006/relationships/worksheet" Target="/xl/worksheets/sheet23.xml" Id="Rf13a9c3e7bdf4c66" /><Relationship Type="http://schemas.openxmlformats.org/officeDocument/2006/relationships/worksheet" Target="/xl/worksheets/sheet24.xml" Id="R3a21bbddbe544a9c" /><Relationship Type="http://schemas.openxmlformats.org/officeDocument/2006/relationships/worksheet" Target="/xl/worksheets/sheet25.xml" Id="Rdf37100b005042ee" /><Relationship Type="http://schemas.openxmlformats.org/officeDocument/2006/relationships/worksheet" Target="/xl/worksheets/sheet26.xml" Id="Re5d4f390763c4803" /><Relationship Type="http://schemas.openxmlformats.org/officeDocument/2006/relationships/worksheet" Target="/xl/worksheets/sheet27.xml" Id="R9bff539c532a4e83" /><Relationship Type="http://schemas.openxmlformats.org/officeDocument/2006/relationships/worksheet" Target="/xl/worksheets/sheet28.xml" Id="R52f020629d514d32" /><Relationship Type="http://schemas.openxmlformats.org/officeDocument/2006/relationships/worksheet" Target="/xl/worksheets/sheet29.xml" Id="R3bbefd8f8f7749e5" /><Relationship Type="http://schemas.openxmlformats.org/officeDocument/2006/relationships/worksheet" Target="/xl/worksheets/sheet30.xml" Id="R12479d37ee3449a6" /><Relationship Type="http://schemas.openxmlformats.org/officeDocument/2006/relationships/worksheet" Target="/xl/worksheets/sheet31.xml" Id="R76fdff20bbd64116" /><Relationship Type="http://schemas.openxmlformats.org/officeDocument/2006/relationships/worksheet" Target="/xl/worksheets/sheet32.xml" Id="Rea59ae39682b4262" /><Relationship Type="http://schemas.openxmlformats.org/officeDocument/2006/relationships/worksheet" Target="/xl/worksheets/sheet33.xml" Id="R90f4b73dfcad4717" /><Relationship Type="http://schemas.openxmlformats.org/officeDocument/2006/relationships/worksheet" Target="/xl/worksheets/sheet34.xml" Id="R2871070f4d7e4d58" /><Relationship Type="http://schemas.microsoft.com/office/2017/10/relationships/person" Target="/xl/persons/person.xml" Id="R139904e69a44402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persons/person.xml><?xml version="1.0" encoding="utf-8"?>
<xltc:personList xmlns:xltc="http://schemas.microsoft.com/office/spreadsheetml/2018/threadedcomments">
  <xltc:person displayName="Codex Data Audit" id="{DF82F666-FEFA-450C-B27B-BF9D7A6BFD4A}"/>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G2" dT="2026-08-07T15:48:30.604" personId="{DF82F666-FEFA-450C-B27B-BF9D7A6BFD4A}" id="{EB7E9620-2A7C-20C6-B5F5-A6D912EB2942}">
    <xltc:text>생산·배출 기준값 출처: https://sustainability.posco.com/S91/S91F10/eng/cmspage.do?mmcd=2682093497003371</xltc:text>
  </xltc:threadedComment>
  <xltc:threadedComment ref="H2" dT="2026-08-07T15:48:30.605" personId="{DF82F666-FEFA-450C-B27B-BF9D7A6BFD4A}" id="{61BF566B-45A8-78AB-B397-0AD6667E074E}">
    <xltc:text>Scope 1+2 기준값 출처: https://sustainability.posco.com/S91/S91F10/eng/cmspage.do?mmcd=2682093497003371</xltc:text>
  </xltc:threadedComment>
  <xltc:threadedComment ref="G3" dT="2026-08-07T15:48:30.606" personId="{DF82F666-FEFA-450C-B27B-BF9D7A6BFD4A}" id="{854F121D-59D1-1860-F24B-970BE9CA2864}">
    <xltc:text>생산·배출 기준값 출처: https://www.nipponsteel.com/en/ir/library/pdf/nsc_en_ir_2025_all.pdf</xltc:text>
  </xltc:threadedComment>
  <xltc:threadedComment ref="H3" dT="2026-08-07T15:48:30.606" personId="{DF82F666-FEFA-450C-B27B-BF9D7A6BFD4A}" id="{506234E4-0B1E-FE0A-16C5-694D1BDA0695}">
    <xltc:text>Scope 1+2 기준값 출처: https://www.nipponsteel.com/en/ir/library/pdf/nsc_en_ir_2025_all.pdf</xltc:text>
  </xltc:threadedComment>
  <xltc:threadedComment ref="G4" dT="2026-08-07T15:48:30.606" personId="{DF82F666-FEFA-450C-B27B-BF9D7A6BFD4A}" id="{D7BA33B2-E86D-EC7C-F9B0-509D36456175}">
    <xltc:text>생산·배출 기준값 출처: https://www.jfe-holdings.co.jp/en/common/pdf/investor/library/group-report/2025/all.pdf</xltc:text>
  </xltc:threadedComment>
  <xltc:threadedComment ref="H4" dT="2026-08-07T15:48:30.606" personId="{DF82F666-FEFA-450C-B27B-BF9D7A6BFD4A}" id="{4CF52921-ECC4-60CC-87F5-3C4513CF74B3}">
    <xltc:text>Scope 1+2 기준값 출처: https://www.jfe-holdings.co.jp/en/common/pdf/investor/library/group-report/2025/all.pdf</xltc:text>
  </xltc:threadedComment>
  <xltc:threadedComment ref="G5" dT="2026-08-07T15:48:30.606" personId="{DF82F666-FEFA-450C-B27B-BF9D7A6BFD4A}" id="{EAAF4A0A-21A6-6AC5-1354-47E3048C0236}">
    <xltc:text>생산·배출 기준값 출처: https://www.kobelco.co.jp/english/ir/integrated-reports/pdf/integrated-reports2025_e.pdf</xltc:text>
  </xltc:threadedComment>
  <xltc:threadedComment ref="H5" dT="2026-08-07T15:48:30.606" personId="{DF82F666-FEFA-450C-B27B-BF9D7A6BFD4A}" id="{3240CDAA-643B-17B3-DE9E-5EF895FB11CB}">
    <xltc:text>Scope 1+2 기준값 출처: https://www.kobelco.co.jp/english/ir/integrated-reports/pdf/integrated-reports2025_e.pdf</xltc:text>
  </xltc:threadedComment>
</xltc:ThreadedComments>
</file>

<file path=xl/threadedcomments/threadedcomment2.xml><?xml version="1.0" encoding="utf-8"?>
<xltc:ThreadedComments xmlns:xltc="http://schemas.microsoft.com/office/spreadsheetml/2018/threadedcomments">
  <xltc:threadedComment ref="C2" dT="2026-08-07T15:48:30.608" personId="{DF82F666-FEFA-450C-B27B-BF9D7A6BFD4A}" id="{0991F790-2CBA-2AED-3B6E-EAA97A87B7B6}">
    <xltc:text>재무 입력 출처: https://www.posco.co.kr/homepage/docs/eng7/jsp/ir/s91b6000050l.jsp</xltc:text>
  </xltc:threadedComment>
  <xltc:threadedComment ref="D2" dT="2026-08-07T15:48:30.609" personId="{DF82F666-FEFA-450C-B27B-BF9D7A6BFD4A}" id="{FF7003D4-61CB-C969-E2BB-D1550006E030}">
    <xltc:text>EBITDA 또는 EBITDA proxy 출처: https://www.posco.co.kr/homepage/docs/eng7/jsp/ir/s91b6000050l.jsp</xltc:text>
  </xltc:threadedComment>
  <xltc:threadedComment ref="C3" dT="2026-08-07T15:48:30.609" personId="{DF82F666-FEFA-450C-B27B-BF9D7A6BFD4A}" id="{EEC51A02-3BF1-2EB3-376F-80D064944166}">
    <xltc:text>재무 입력 출처: https://www.nipponsteel.com/en/ir/library/pdf/nsc_en_ir_2025_all.pdf</xltc:text>
  </xltc:threadedComment>
  <xltc:threadedComment ref="D3" dT="2026-08-07T15:48:30.609" personId="{DF82F666-FEFA-450C-B27B-BF9D7A6BFD4A}" id="{92E2B15A-4E88-BD7F-A4A5-AB6EFC3C8CBB}">
    <xltc:text>EBITDA 또는 EBITDA proxy 출처: https://www.nipponsteel.com/en/ir/library/pdf/nsc_en_ir_2025_all.pdf</xltc:text>
  </xltc:threadedComment>
  <xltc:threadedComment ref="C4" dT="2026-08-07T15:48:30.609" personId="{DF82F666-FEFA-450C-B27B-BF9D7A6BFD4A}" id="{428100A6-D66F-865A-58B8-0B719751D7B0}">
    <xltc:text>재무 입력 출처: https://www.jfe-holdings.co.jp/en/common/pdf/investor/library/group-report/2025/all.pdf</xltc:text>
  </xltc:threadedComment>
  <xltc:threadedComment ref="D4" dT="2026-08-07T15:48:30.609" personId="{DF82F666-FEFA-450C-B27B-BF9D7A6BFD4A}" id="{FA475736-946A-E3BC-98F0-4BA8D4C1E950}">
    <xltc:text>EBITDA 또는 EBITDA proxy 출처: https://www.jfe-holdings.co.jp/en/common/pdf/investor/library/group-report/2025/all.pdf</xltc:text>
  </xltc:threadedComment>
  <xltc:threadedComment ref="C5" dT="2026-08-07T15:48:30.609" personId="{DF82F666-FEFA-450C-B27B-BF9D7A6BFD4A}" id="{8E847B60-0C67-397A-A006-5F6C56D42BFF}">
    <xltc:text>재무 입력 출처: https://www.kobelco.co.jp/english/ir/integrated-reports/pdf/integrated-reports2025_e.pdf</xltc:text>
  </xltc:threadedComment>
  <xltc:threadedComment ref="D5" dT="2026-08-07T15:48:30.609" personId="{DF82F666-FEFA-450C-B27B-BF9D7A6BFD4A}" id="{28D9001A-1920-B996-3B97-C93128BA001B}">
    <xltc:text>EBITDA 또는 EBITDA proxy 출처: https://www.kobelco.co.jp/english/ir/integrated-reports/pdf/integrated-reports2025_e.pdf</xltc:text>
  </xltc:threadedComment>
</xltc:ThreadedComments>
</file>

<file path=xl/threadedcomments/threadedcomment3.xml><?xml version="1.0" encoding="utf-8"?>
<xltc:ThreadedComments xmlns:xltc="http://schemas.microsoft.com/office/spreadsheetml/2018/threadedcomments">
  <xltc:threadedComment ref="C19" dT="2026-08-07T15:48:30.615" personId="{DF82F666-FEFA-450C-B27B-BF9D7A6BFD4A}" id="{0CBC2E5A-64BB-69F1-A640-D6D4C8C87C73}">
    <xltc:text>JFE official release: https://www.jfe-steel.co.jp/en/release/2025/04/250410.html</xltc:text>
  </xltc:threadedComment>
  <xltc:threadedComment ref="C20" dT="2026-08-07T15:48:30.615" personId="{DF82F666-FEFA-450C-B27B-BF9D7A6BFD4A}" id="{6640733C-27F7-0D2B-F468-84CD509D5E4E}">
    <xltc:text>Nippon Steel official release: https://www.nipponsteel.com/common/secure/en/news/20250530_200.pdf</xltc:text>
  </xltc:threadedComment>
</xltc:ThreadedComments>
</file>

<file path=xl/worksheets/_rels/sheet2.xml.rels>&#65279;<?xml version="1.0" encoding="utf-8"?><Relationships xmlns="http://schemas.openxmlformats.org/package/2006/relationships"><Relationship Type="http://schemas.openxmlformats.org/officeDocument/2006/relationships/comments" Target="/xl/comments1.xml" Id="Rfc483a0be2cf4f6b" /><Relationship Type="http://schemas.openxmlformats.org/officeDocument/2006/relationships/vmlDrawing" Target="/xl/drawings/vmldrawing.vml" Id="Re7c448031a95445a" /><Relationship Type="http://schemas.microsoft.com/office/2017/10/relationships/threadedComment" Target="/xl/threadedcomments/threadedcomment.xml" Id="R07cc62139c264051" /></Relationships>
</file>

<file path=xl/worksheets/_rels/sheet4.xml.rels>&#65279;<?xml version="1.0" encoding="utf-8"?><Relationships xmlns="http://schemas.openxmlformats.org/package/2006/relationships"><Relationship Type="http://schemas.openxmlformats.org/officeDocument/2006/relationships/comments" Target="/xl/comments2.xml" Id="R19b8d11f2e44487a" /><Relationship Type="http://schemas.openxmlformats.org/officeDocument/2006/relationships/vmlDrawing" Target="/xl/drawings/vmldrawing2.vml" Id="R1ac1289e0b014e24" /><Relationship Type="http://schemas.microsoft.com/office/2017/10/relationships/threadedComment" Target="/xl/threadedcomments/threadedcomment2.xml" Id="Rdda74923da5b42a2" /></Relationships>
</file>

<file path=xl/worksheets/_rels/sheet21.xml.rels>&#65279;<?xml version="1.0" encoding="utf-8"?><Relationships xmlns="http://schemas.openxmlformats.org/package/2006/relationships"><Relationship Type="http://schemas.openxmlformats.org/officeDocument/2006/relationships/comments" Target="/xl/comments3.xml" Id="Rd7fb892a73804a51" /><Relationship Type="http://schemas.openxmlformats.org/officeDocument/2006/relationships/vmlDrawing" Target="/xl/drawings/vmldrawing3.vml" Id="R130828dc24e5431e" /><Relationship Type="http://schemas.microsoft.com/office/2017/10/relationships/threadedComment" Target="/xl/threadedcomments/threadedcomment3.xml" Id="Rc3bd6cdb4b9f4c93"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3" hidden="0" customWidth="1"/>
    <x:col min="3" max="3" width="18" hidden="0" customWidth="1"/>
    <x:col min="4" max="4" width="10" hidden="0" customWidth="1"/>
    <x:col min="5" max="5" width="22" hidden="0" customWidth="1"/>
    <x:col min="6" max="6" width="16" hidden="0" customWidth="1"/>
    <x:col min="7" max="7" width="24" hidden="0" customWidth="1"/>
    <x:col min="8" max="8" width="18" hidden="0" customWidth="1"/>
  </x:cols>
  <x:sheetData>
    <x:row r="1">
      <x:c r="A1" s="4" t="str">
        <x:v>한·일 철강 Capital Allocation — 기준데이터 감사본</x:v>
      </x:c>
      <x:c r="B1" s="4"/>
      <x:c r="C1" s="4"/>
      <x:c r="D1" s="4"/>
      <x:c r="E1" s="4"/>
      <x:c r="F1" s="4"/>
      <x:c r="G1" s="4"/>
      <x:c r="H1" s="4"/>
    </x:row>
    <x:row r="2">
      <x:c r="A2" s="4"/>
      <x:c r="B2" s="4"/>
      <x:c r="C2" s="4"/>
      <x:c r="D2" s="4"/>
      <x:c r="E2" s="4"/>
      <x:c r="F2" s="4"/>
      <x:c r="G2" s="4"/>
      <x:c r="H2" s="4"/>
    </x:row>
    <x:row r="3">
      <x:c r="A3" s="6" t="str">
        <x:v>CSV 원천 → Excel 검증 → CSV 재생성 → 모델 재실행 | 2026-08-08</x:v>
      </x:c>
      <x:c r="B3" s="6"/>
      <x:c r="C3" s="6"/>
      <x:c r="D3" s="6"/>
      <x:c r="E3" s="6"/>
      <x:c r="F3" s="6"/>
      <x:c r="G3" s="6"/>
      <x:c r="H3" s="6"/>
    </x:row>
    <x:row r="5">
      <x:c r="A5" s="8" t="str">
        <x:v>검증 결론</x:v>
      </x:c>
      <x:c r="B5" s="8"/>
      <x:c r="C5" s="11" t="str">
        <x:f>Reasonableness!B14</x:f>
        <x:v>CONDITIONAL — 구조 검증용 적합 / 투자 의사결정용 부적합</x:v>
      </x:c>
      <x:c r="D5" s="11"/>
      <x:c r="E5" s="11"/>
      <x:c r="F5" s="11"/>
      <x:c r="G5" s="11"/>
      <x:c r="H5" s="11"/>
    </x:row>
    <x:row r="7">
      <x:c r="A7" s="15" t="str">
        <x:v>원천 CSV</x:v>
      </x:c>
      <x:c r="B7" s="15" t="str">
        <x:v>→</x:v>
      </x:c>
      <x:c r="C7" s="15" t="str">
        <x:v>검증 Excel</x:v>
      </x:c>
      <x:c r="D7" s="15" t="str">
        <x:v>→</x:v>
      </x:c>
      <x:c r="E7" s="15" t="str">
        <x:v>재생성 CSV</x:v>
      </x:c>
      <x:c r="F7" s="15" t="str">
        <x:v>→</x:v>
      </x:c>
      <x:c r="G7" s="15" t="str">
        <x:v>동일성·실행 확인</x:v>
      </x:c>
      <x:c r="H7" s="15" t="str">
        <x:v>→ 보고서</x:v>
      </x:c>
    </x:row>
    <x:row r="9">
      <x:c r="A9" s="17" t="str">
        <x:v>정량 검증</x:v>
      </x:c>
      <x:c r="B9" s="17"/>
      <x:c r="C9" s="17"/>
      <x:c r="D9" s="17"/>
      <x:c r="E9" s="17" t="str">
        <x:v>의사결정 적합성</x:v>
      </x:c>
      <x:c r="F9" s="17"/>
      <x:c r="G9" s="17"/>
      <x:c r="H9" s="17"/>
    </x:row>
    <x:row r="10">
      <x:c r="A10" s="19" t="str">
        <x:v>회사 수</x:v>
      </x:c>
      <x:c r="B10" s="19" t="n">
        <x:f>COUNTA(Companies!A2:A5)</x:f>
        <x:v>4</x:v>
      </x:c>
      <x:c r="C10" s="19"/>
      <x:c r="D10" s="19"/>
      <x:c r="E10" s="19" t="str">
        <x:v>종합 점수 / 5</x:v>
      </x:c>
      <x:c r="F10" s="20" t="n">
        <x:f>Reasonableness!B15</x:f>
        <x:v>3</x:v>
      </x:c>
    </x:row>
    <x:row r="11">
      <x:c r="A11" s="19" t="str">
        <x:v>시설 블록 수</x:v>
      </x:c>
      <x:c r="B11" s="19" t="n">
        <x:f>COUNTA(Facilities!A2:A18)</x:f>
        <x:v>17</x:v>
      </x:c>
      <x:c r="C11" s="19"/>
      <x:c r="D11" s="19"/>
      <x:c r="E11" s="19" t="str">
        <x:v>경계 비교가능성</x:v>
      </x:c>
      <x:c r="F11" s="19" t="str">
        <x:v>2 / 5</x:v>
      </x:c>
    </x:row>
    <x:row r="12">
      <x:c r="A12" s="19" t="str">
        <x:v>총량 조정 PASS</x:v>
      </x:c>
      <x:c r="B12" s="19" t="n">
        <x:f>COUNTIF(Reconciliation!H5:I8,"PASS")</x:f>
        <x:v>8</x:v>
      </x:c>
      <x:c r="C12" s="19"/>
      <x:c r="D12" s="19"/>
      <x:c r="E12" s="19" t="str">
        <x:v>시설 현실성</x:v>
      </x:c>
      <x:c r="F12" s="19" t="str">
        <x:v>2 / 5</x:v>
      </x:c>
    </x:row>
    <x:row r="13">
      <x:c r="A13" s="21" t="str">
        <x:v>CSV 파일 수</x:v>
      </x:c>
      <x:c r="B13" s="21" t="n">
        <x:f>COUNTA(CSV_Manifest!A5:A24)</x:f>
        <x:v>20</x:v>
      </x:c>
      <x:c r="C13" s="21"/>
      <x:c r="D13" s="21"/>
      <x:c r="E13" s="21" t="str">
        <x:v>CAPEX 보정</x:v>
      </x:c>
      <x:c r="F13" s="21" t="str">
        <x:v>2 / 5</x:v>
      </x:c>
    </x:row>
    <x:row r="15">
      <x:c r="A15" s="17" t="str">
        <x:v>해석 원칙</x:v>
      </x:c>
      <x:c r="B15" s="17"/>
      <x:c r="C15" s="17"/>
      <x:c r="D15" s="17"/>
      <x:c r="E15" s="17"/>
      <x:c r="F15" s="17"/>
      <x:c r="G15" s="17"/>
      <x:c r="H15" s="17"/>
    </x:row>
    <x:row r="16">
      <x:c r="A16" s="24" t="str">
        <x:v>회사 총량과 계산 재현성은 검증 가능하다. 다만 시설별 값은 공식 총량을 맞추기 위한 모델 블록이며, 일본 3사의 환경·재무 경계가 다르다. 현재 결과는 상대 민감도와 데이터 구조 검증에는 사용 가능하지만 투자 승인·기업 순위·기업가치 판단에는 사용하지 않는다.</x:v>
      </x:c>
      <x:c r="B16" s="24"/>
      <x:c r="C16" s="24"/>
      <x:c r="D16" s="24"/>
      <x:c r="E16" s="24"/>
      <x:c r="F16" s="24"/>
      <x:c r="G16" s="24"/>
      <x:c r="H16" s="24"/>
    </x:row>
    <x:row r="17">
      <x:c r="A17" s="24"/>
      <x:c r="B17" s="24"/>
      <x:c r="C17" s="24"/>
      <x:c r="D17" s="24"/>
      <x:c r="E17" s="24"/>
      <x:c r="F17" s="24"/>
      <x:c r="G17" s="24"/>
      <x:c r="H17" s="24"/>
    </x:row>
    <x:row r="18">
      <x:c r="A18" s="24"/>
      <x:c r="B18" s="24"/>
      <x:c r="C18" s="24"/>
      <x:c r="D18" s="24"/>
      <x:c r="E18" s="24"/>
      <x:c r="F18" s="24"/>
      <x:c r="G18" s="24"/>
      <x:c r="H18" s="24"/>
    </x:row>
    <x:row r="20">
      <x:c r="A20" s="25" t="str">
        <x:v>사용법: 노란 입력·추정치와 Sources를 검토 → Reconciliation/Reasonableness 확인 → export_verified_csv.py 실행 → 모델 재실행</x:v>
      </x:c>
      <x:c r="B20" s="25"/>
      <x:c r="C20" s="25"/>
      <x:c r="D20" s="25"/>
      <x:c r="E20" s="25"/>
      <x:c r="F20" s="25"/>
      <x:c r="G20" s="25"/>
      <x:c r="H20" s="25"/>
    </x:row>
  </x:sheetData>
  <x:mergeCells>
    <x:mergeCell ref="A1:H2"/>
    <x:mergeCell ref="A3:H3"/>
    <x:mergeCell ref="A5:B5"/>
    <x:mergeCell ref="C5:H5"/>
    <x:mergeCell ref="A9:D9"/>
    <x:mergeCell ref="E9:H9"/>
    <x:mergeCell ref="A15:H15"/>
    <x:mergeCell ref="A16:H18"/>
    <x:mergeCell ref="A20:H2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1" hidden="0" customWidth="1"/>
    <x:col min="2" max="2" width="22" hidden="0" customWidth="1"/>
    <x:col min="3" max="3" width="11" hidden="0" customWidth="1"/>
    <x:col min="4" max="4" width="12" hidden="0" customWidth="1"/>
    <x:col min="5" max="5" width="11" hidden="0" customWidth="1"/>
    <x:col min="6" max="6" width="34" hidden="0" customWidth="1"/>
    <x:col min="7" max="7" width="14" hidden="0" customWidth="1"/>
    <x:col min="8" max="8" width="18" hidden="0" customWidth="1"/>
    <x:col min="9" max="9" width="18" hidden="0" customWidth="1"/>
    <x:col min="10" max="10" width="13" hidden="0" customWidth="1"/>
    <x:col min="11" max="11" width="17" hidden="0" customWidth="1"/>
    <x:col min="12" max="12" width="17" hidden="0" customWidth="1"/>
    <x:col min="13" max="13" width="14" hidden="0" customWidth="1"/>
    <x:col min="14" max="14" width="11" hidden="0" customWidth="1"/>
    <x:col min="15" max="15" width="13" hidden="0" customWidth="1"/>
    <x:col min="16" max="16" width="18" hidden="0" customWidth="1"/>
    <x:col min="17" max="17" width="26" hidden="0" customWidth="1"/>
    <x:col min="18" max="18" width="38" hidden="0" customWidth="1"/>
    <x:col min="19" max="19" width="48" hidden="0" customWidth="1"/>
    <x:col min="20" max="20" width="16" hidden="0" customWidth="1"/>
    <x:col min="21" max="21" width="16" hidden="0" customWidth="1"/>
    <x:col min="22" max="22" width="16" hidden="0" customWidth="1"/>
    <x:col min="23" max="23" width="18" hidden="0" customWidth="1"/>
    <x:col min="24" max="24" width="16" hidden="0" customWidth="1"/>
  </x:cols>
  <x:sheetData>
    <x:row r="1" ht="28" customHeight="1">
      <x:c r="A1" s="29" t="str">
        <x:v>company_id</x:v>
      </x:c>
      <x:c r="B1" s="29" t="str">
        <x:v>company_name</x:v>
      </x:c>
      <x:c r="C1" s="29" t="str">
        <x:v>country_code</x:v>
      </x:c>
      <x:c r="D1" s="29" t="str">
        <x:v>country_name</x:v>
      </x:c>
      <x:c r="E1" s="29" t="str">
        <x:v>base_year</x:v>
      </x:c>
      <x:c r="F1" s="29" t="str">
        <x:v>reporting_boundary</x:v>
      </x:c>
      <x:c r="G1" s="29" t="str">
        <x:v>production_mt</x:v>
      </x:c>
      <x:c r="H1" s="29" t="str">
        <x:v>scope12_emissions_mtco2</x:v>
      </x:c>
      <x:c r="I1" s="29" t="str">
        <x:v>reported_intensity_tco2_per_t</x:v>
      </x:c>
      <x:c r="J1" s="29" t="str">
        <x:v>capacity_mtpa</x:v>
      </x:c>
      <x:c r="K1" s="29" t="str">
        <x:v>target_2030_mtco2</x:v>
      </x:c>
      <x:c r="L1" s="29" t="str">
        <x:v>target_2040_mtco2</x:v>
      </x:c>
      <x:c r="M1" s="29" t="str">
        <x:v>reporting_currency</x:v>
      </x:c>
      <x:c r="N1" s="29" t="str">
        <x:v>fx_to_krw</x:v>
      </x:c>
      <x:c r="O1" s="29" t="str">
        <x:v>capex_cost_index</x:v>
      </x:c>
      <x:c r="P1" s="29" t="str">
        <x:v>data_status</x:v>
      </x:c>
      <x:c r="Q1" s="29" t="str">
        <x:v>source_name</x:v>
      </x:c>
      <x:c r="R1" s="29" t="str">
        <x:v>source_url</x:v>
      </x:c>
      <x:c r="S1" s="29" t="str">
        <x:v>source_note</x:v>
      </x:c>
      <x:c r="T1" s="29" t="str">
        <x:v>calc_intensity</x:v>
      </x:c>
      <x:c r="U1" s="29" t="str">
        <x:v>intensity_diff</x:v>
      </x:c>
      <x:c r="V1" s="29" t="str">
        <x:v>2030_slack_mt</x:v>
      </x:c>
      <x:c r="W1" s="29" t="str">
        <x:v>boundary_grade</x:v>
      </x:c>
      <x:c r="X1" s="29" t="str">
        <x:v>audit_status</x:v>
      </x:c>
    </x:row>
    <x:row r="2">
      <x:c r="A2" s="34" t="str">
        <x:v>POSCO_KR</x:v>
      </x:c>
      <x:c r="B2" s="34" t="str">
        <x:v>POSCO</x:v>
      </x:c>
      <x:c r="C2" s="34" t="str">
        <x:v>KR</x:v>
      </x:c>
      <x:c r="D2" s="34" t="str">
        <x:v>한국</x:v>
      </x:c>
      <x:c r="E2" s="34" t="n">
        <x:v>2025</x:v>
      </x:c>
      <x:c r="F2" s="34" t="str">
        <x:v>POSCO 국내 사업장(포항·광양 중심)</x:v>
      </x:c>
      <x:c r="G2" s="46" t="n">
        <x:v>34.537</x:v>
      </x:c>
      <x:c r="H2" s="46" t="n">
        <x:v>69.84605</x:v>
      </x:c>
      <x:c r="I2" s="46" t="n">
        <x:v>2.02</x:v>
      </x:c>
      <x:c r="J2" s="46" t="n">
        <x:v>37.4</x:v>
      </x:c>
      <x:c r="K2" s="46" t="n">
        <x:v>70.92</x:v>
      </x:c>
      <x:c r="L2" s="46" t="n">
        <x:v>39.4</x:v>
      </x:c>
      <x:c r="M2" s="46" t="str">
        <x:v>KRW</x:v>
      </x:c>
      <x:c r="N2" s="46" t="n">
        <x:v>1</x:v>
      </x:c>
      <x:c r="O2" s="46" t="n">
        <x:v>1</x:v>
      </x:c>
      <x:c r="P2" s="34" t="str">
        <x:v>official_company_totals_with_model_capacity</x:v>
      </x:c>
      <x:c r="Q2" s="34" t="str">
        <x:v>POSCO 2025 ESG Factbook</x:v>
      </x:c>
      <x:c r="R2" s="34" t="str">
        <x:v>https://sustainability.posco.com/S91/S91F10/eng/cmspage.do?mmcd=2682093497003371</x:v>
      </x:c>
      <x:c r="S2" s="34" t="str">
        <x:v>생산 34.537Mt·Scope 1+2 69.846MtCO2e는 공식값. 용량 37.4Mtpa는 모델 블록 합계. 2030/2040은 2017~2019 기준 78.8Mt의 10%/50% 감축 목표를 절대량으로 환산</x:v>
      </x:c>
      <x:c r="T2" s="43" t="n">
        <x:f>H2/G2</x:f>
        <x:v>2.02235428670701</x:v>
      </x:c>
      <x:c r="U2" s="43" t="n">
        <x:f>T2-I2</x:f>
        <x:v>0.0023542867070101003</x:v>
      </x:c>
      <x:c r="V2" s="43" t="n">
        <x:f>K2-H2</x:f>
        <x:v>1.0739499999999964</x:v>
      </x:c>
      <x:c r="W2" s="12" t="str">
        <x:v>HIGH</x:v>
      </x:c>
      <x:c r="X2" s="12" t="str">
        <x:f>IF(ABS(U2)&lt;=0.01,"PASS","REVIEW")</x:f>
        <x:v>PASS</x:v>
      </x:c>
    </x:row>
    <x:row r="3">
      <x:c r="A3" s="34" t="str">
        <x:v>NIPPON_STEEL_JP</x:v>
      </x:c>
      <x:c r="B3" s="34" t="str">
        <x:v>Nippon Steel</x:v>
      </x:c>
      <x:c r="C3" s="34" t="str">
        <x:v>JP</x:v>
      </x:c>
      <x:c r="D3" s="34" t="str">
        <x:v>日本</x:v>
      </x:c>
      <x:c r="E3" s="34" t="n">
        <x:v>2024</x:v>
      </x:c>
      <x:c r="F3" s="34" t="str">
        <x:v>Nippon Steel 일본 모회사 상공정</x:v>
      </x:c>
      <x:c r="G3" s="46" t="n">
        <x:v>34.3</x:v>
      </x:c>
      <x:c r="H3" s="46" t="n">
        <x:v>72.6</x:v>
      </x:c>
      <x:c r="I3" s="46" t="n">
        <x:v>2.116618</x:v>
      </x:c>
      <x:c r="J3" s="46" t="n">
        <x:v>38.9</x:v>
      </x:c>
      <x:c r="K3" s="46" t="n">
        <x:v>70</x:v>
      </x:c>
      <x:c r="L3" s="46" t="n">
        <x:v>35</x:v>
      </x:c>
      <x:c r="M3" s="46" t="str">
        <x:v>JPY</x:v>
      </x:c>
      <x:c r="N3" s="46" t="n">
        <x:v>9.2</x:v>
      </x:c>
      <x:c r="O3" s="46" t="n">
        <x:v>1.1</x:v>
      </x:c>
      <x:c r="P3" s="34" t="str">
        <x:v>official_totals_with_derived_intensity</x:v>
      </x:c>
      <x:c r="Q3" s="34" t="str">
        <x:v>Nippon Steel Integrated Report 2025</x:v>
      </x:c>
      <x:c r="R3" s="34" t="str">
        <x:v>https://www.nipponsteel.com/en/ir/library/pdf/nsc_en_ir_2025_all.pdf</x:v>
      </x:c>
      <x:c r="S3" s="34" t="str">
        <x:v>생산 34.30Mt·용량 38.9Mtpa·배출 72.6MtCO2는 공식값. 집약도 2.1166은 배출/생산으로 계산. 2030 절대량과 2040 중간점은 30% 감축·2050 탄소중립 공시를 반영한 모델 앵커</x:v>
      </x:c>
      <x:c r="T3" s="43" t="n">
        <x:f>H3/G3</x:f>
        <x:v>2.116618075801749</x:v>
      </x:c>
      <x:c r="U3" s="43" t="n">
        <x:f>T3-I3</x:f>
        <x:v>7.580174932186878e-8</x:v>
      </x:c>
      <x:c r="V3" s="43" t="n">
        <x:f>K3-H3</x:f>
        <x:v>-2.5999999999999943</x:v>
      </x:c>
      <x:c r="W3" s="12" t="str">
        <x:v>LOW</x:v>
      </x:c>
      <x:c r="X3" s="12" t="str">
        <x:f>IF(ABS(U3)&lt;=0.01,"PASS","REVIEW")</x:f>
        <x:v>PASS</x:v>
      </x:c>
    </x:row>
    <x:row r="4">
      <x:c r="A4" s="34" t="str">
        <x:v>JFE_STEEL_JP</x:v>
      </x:c>
      <x:c r="B4" s="34" t="str">
        <x:v>JFE Steel</x:v>
      </x:c>
      <x:c r="C4" s="34" t="str">
        <x:v>JP</x:v>
      </x:c>
      <x:c r="D4" s="34" t="str">
        <x:v>日本</x:v>
      </x:c>
      <x:c r="E4" s="34" t="n">
        <x:v>2024</x:v>
      </x:c>
      <x:c r="F4" s="34" t="str">
        <x:v>JFE Steel 비연결 국내 철강사업</x:v>
      </x:c>
      <x:c r="G4" s="46" t="n">
        <x:v>21.95</x:v>
      </x:c>
      <x:c r="H4" s="46" t="n">
        <x:v>45.3</x:v>
      </x:c>
      <x:c r="I4" s="46" t="n">
        <x:v>2.06</x:v>
      </x:c>
      <x:c r="J4" s="46" t="n">
        <x:v>24</x:v>
      </x:c>
      <x:c r="K4" s="46" t="n">
        <x:v>40.67</x:v>
      </x:c>
      <x:c r="L4" s="46" t="n">
        <x:v>20.34</x:v>
      </x:c>
      <x:c r="M4" s="46" t="str">
        <x:v>JPY</x:v>
      </x:c>
      <x:c r="N4" s="46" t="n">
        <x:v>9.2</x:v>
      </x:c>
      <x:c r="O4" s="46" t="n">
        <x:v>1.1</x:v>
      </x:c>
      <x:c r="P4" s="34" t="str">
        <x:v>official_totals_with_model_capacity</x:v>
      </x:c>
      <x:c r="Q4" s="34" t="str">
        <x:v>JFE Group Report 2025</x:v>
      </x:c>
      <x:c r="R4" s="34" t="str">
        <x:v>https://www.jfe-holdings.co.jp/en/common/pdf/investor/library/group-report/2025/all.pdf</x:v>
      </x:c>
      <x:c r="S4" s="34" t="str">
        <x:v>생산 21.95Mt·Scope 1+2 45.3MtCO2·집약도 2.06은 공식값. 용량은 게이힌 중단 후 제철소 블록의 모델 합계. 목표는 2013년 58.1Mt 대비 2030년 30% 감축과 2050 탄소중립을 환산</x:v>
      </x:c>
      <x:c r="T4" s="43" t="n">
        <x:f>H4/G4</x:f>
        <x:v>2.06378132118451</x:v>
      </x:c>
      <x:c r="U4" s="43" t="n">
        <x:f>T4-I4</x:f>
        <x:v>0.0037813211845101335</x:v>
      </x:c>
      <x:c r="V4" s="43" t="n">
        <x:f>K4-H4</x:f>
        <x:v>-4.6299999999999955</x:v>
      </x:c>
      <x:c r="W4" s="12" t="str">
        <x:v>LOW</x:v>
      </x:c>
      <x:c r="X4" s="12" t="str">
        <x:f>IF(ABS(U4)&lt;=0.01,"PASS","REVIEW")</x:f>
        <x:v>PASS</x:v>
      </x:c>
    </x:row>
    <x:row r="5">
      <x:c r="A5" s="35" t="str">
        <x:v>KOBE_STEEL_JP</x:v>
      </x:c>
      <x:c r="B5" s="35" t="str">
        <x:v>Kobe Steel</x:v>
      </x:c>
      <x:c r="C5" s="35" t="str">
        <x:v>JP</x:v>
      </x:c>
      <x:c r="D5" s="35" t="str">
        <x:v>日本</x:v>
      </x:c>
      <x:c r="E5" s="35" t="n">
        <x:v>2024</x:v>
      </x:c>
      <x:c r="F5" s="35" t="str">
        <x:v>Kobe Steel 및 주요 자회사 감축목표 경계</x:v>
      </x:c>
      <x:c r="G5" s="47" t="n">
        <x:v>5.96</x:v>
      </x:c>
      <x:c r="H5" s="47" t="n">
        <x:v>14.3</x:v>
      </x:c>
      <x:c r="I5" s="47" t="n">
        <x:v>2.399329</x:v>
      </x:c>
      <x:c r="J5" s="47" t="n">
        <x:v>6.34</x:v>
      </x:c>
      <x:c r="K5" s="47" t="n">
        <x:v>11.96</x:v>
      </x:c>
      <x:c r="L5" s="47" t="n">
        <x:v>5.98</x:v>
      </x:c>
      <x:c r="M5" s="47" t="str">
        <x:v>JPY</x:v>
      </x:c>
      <x:c r="N5" s="47" t="n">
        <x:v>9.2</x:v>
      </x:c>
      <x:c r="O5" s="47" t="n">
        <x:v>1.1</x:v>
      </x:c>
      <x:c r="P5" s="35" t="str">
        <x:v>official_boundary_totals_with_derived_intensity</x:v>
      </x:c>
      <x:c r="Q5" s="35" t="str">
        <x:v>Kobelco Integrated Report 2025</x:v>
      </x:c>
      <x:c r="R5" s="35" t="str">
        <x:v>https://www.kobelco.co.jp/english/ir/integrated-reports/pdf/integrated-reports2025_e.pdf</x:v>
      </x:c>
      <x:c r="S5" s="35" t="str">
        <x:v>생산 5.96Mt는 Kobe Steel 조강(다카사고 포함), 14.3MtCO2는 감축목표 경계. 집약도는 경계가 완전히 일치하지 않아 모델 보정값. 2030은 30~40% 범위의 중간값(35%)</x:v>
      </x:c>
      <x:c r="T5" s="43" t="n">
        <x:f>H5/G5</x:f>
        <x:v>2.399328859060403</x:v>
      </x:c>
      <x:c r="U5" s="43" t="n">
        <x:f>T5-I5</x:f>
        <x:v>-1.409395968821059e-7</x:v>
      </x:c>
      <x:c r="V5" s="43" t="n">
        <x:f>K5-H5</x:f>
        <x:v>-2.34</x:v>
      </x:c>
      <x:c r="W5" s="12" t="str">
        <x:v>LOW</x:v>
      </x:c>
      <x:c r="X5" s="12" t="str">
        <x:f>IF(ABS(U5)&lt;=0.01,"PASS","REVIEW")</x:f>
        <x:v>PASS</x:v>
      </x:c>
    </x:row>
  </x:sheetData>
  <x:pageMargins left="0.7" right="0.7" top="0.75" bottom="0.75" header="0.3" footer="0.3"/>
  <x:legacyDrawing xmlns:r="http://schemas.openxmlformats.org/officeDocument/2006/relationships" r:id="Re7c448031a95445a"/>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21" hidden="0" customWidth="1"/>
    <x:col min="3" max="3" width="29" hidden="0" customWidth="1"/>
    <x:col min="4" max="4" width="15" hidden="0" customWidth="1"/>
    <x:col min="5" max="5" width="13" hidden="0" customWidth="1"/>
    <x:col min="6" max="6" width="14" hidden="0" customWidth="1"/>
    <x:col min="7" max="7" width="21" hidden="0" customWidth="1"/>
    <x:col min="8" max="8" width="17" hidden="0" customWidth="1"/>
    <x:col min="9" max="9" width="17" hidden="0" customWidth="1"/>
    <x:col min="10" max="10" width="18" hidden="0" customWidth="1"/>
    <x:col min="11" max="11" width="13" hidden="0" customWidth="1"/>
    <x:col min="12" max="12" width="16" hidden="0" customWidth="1"/>
    <x:col min="13" max="13" width="18" hidden="0" customWidth="1"/>
    <x:col min="14" max="14" width="42" hidden="0" customWidth="1"/>
    <x:col min="15" max="15" width="15" hidden="0" customWidth="1"/>
    <x:col min="16" max="16" width="17" hidden="0" customWidth="1"/>
    <x:col min="17" max="17" width="25" hidden="0" customWidth="1"/>
  </x:cols>
  <x:sheetData>
    <x:row r="1" ht="28" customHeight="1">
      <x:c r="A1" s="29" t="str">
        <x:v>facility_id</x:v>
      </x:c>
      <x:c r="B1" s="29" t="str">
        <x:v>company_id</x:v>
      </x:c>
      <x:c r="C1" s="29" t="str">
        <x:v>facility_name</x:v>
      </x:c>
      <x:c r="D1" s="29" t="str">
        <x:v>region</x:v>
      </x:c>
      <x:c r="E1" s="29" t="str">
        <x:v>capacity_mtpa</x:v>
      </x:c>
      <x:c r="F1" s="29" t="str">
        <x:v>utilization_rate</x:v>
      </x:c>
      <x:c r="G1" s="29" t="str">
        <x:v>baseline_technology_id</x:v>
      </x:c>
      <x:c r="H1" s="29" t="str">
        <x:v>baseline_emissions_tco2_per_t</x:v>
      </x:c>
      <x:c r="I1" s="29" t="str">
        <x:v>baseline_electricity_mwh_per_t</x:v>
      </x:c>
      <x:c r="J1" s="29" t="str">
        <x:v>baseline_fixed_opex_kkrw_per_t</x:v>
      </x:c>
      <x:c r="K1" s="29" t="str">
        <x:v>commission_year</x:v>
      </x:c>
      <x:c r="L1" s="29" t="str">
        <x:v>reinvestment_year</x:v>
      </x:c>
      <x:c r="M1" s="29" t="str">
        <x:v>data_status</x:v>
      </x:c>
      <x:c r="N1" s="29" t="str">
        <x:v>source_note</x:v>
      </x:c>
      <x:c r="O1" s="29" t="str">
        <x:v>calc_output_mt</x:v>
      </x:c>
      <x:c r="P1" s="29" t="str">
        <x:v>calc_emissions_mt</x:v>
      </x:c>
      <x:c r="Q1" s="29" t="str">
        <x:v>audit_class</x:v>
      </x:c>
    </x:row>
    <x:row r="2">
      <x:c r="A2" s="34" t="str">
        <x:v>POS-POH-N</x:v>
      </x:c>
      <x:c r="B2" s="34" t="str">
        <x:v>POSCO_KR</x:v>
      </x:c>
      <x:c r="C2" s="34" t="str">
        <x:v>포항제철소 BF 블록 A</x:v>
      </x:c>
      <x:c r="D2" s="34" t="str">
        <x:v>포항</x:v>
      </x:c>
      <x:c r="E2" s="46" t="n">
        <x:v>8.2</x:v>
      </x:c>
      <x:c r="F2" s="46" t="n">
        <x:v>0.926829</x:v>
      </x:c>
      <x:c r="G2" s="46" t="str">
        <x:v>BF_BOF</x:v>
      </x:c>
      <x:c r="H2" s="46" t="n">
        <x:v>2.075734</x:v>
      </x:c>
      <x:c r="I2" s="46" t="n">
        <x:v>0.12</x:v>
      </x:c>
      <x:c r="J2" s="46" t="n">
        <x:v>29</x:v>
      </x:c>
      <x:c r="K2" s="34" t="n">
        <x:v>1981</x:v>
      </x:c>
      <x:c r="L2" s="34" t="n">
        <x:v>2028</x:v>
      </x:c>
      <x:c r="M2" s="34" t="str">
        <x:v>model_estimate</x:v>
      </x:c>
      <x:c r="N2" s="34" t="str">
        <x:v>POSCO 공식 국내 생산·배출 총량에 맞춘 설비 블록 배분; 개별 생산량·재투자연도는 추정</x:v>
      </x:c>
      <x:c r="O2" s="43" t="n">
        <x:f>E2*F2</x:f>
        <x:v>7.5999978</x:v>
      </x:c>
      <x:c r="P2" s="43" t="n">
        <x:f>O2*H2</x:f>
        <x:v>15.7755738333852</x:v>
      </x:c>
      <x:c r="Q2" s="12" t="str">
        <x:v>RECONCILED MODEL BLOCK</x:v>
      </x:c>
    </x:row>
    <x:row r="3">
      <x:c r="A3" s="34" t="str">
        <x:v>POS-POH-S</x:v>
      </x:c>
      <x:c r="B3" s="34" t="str">
        <x:v>POSCO_KR</x:v>
      </x:c>
      <x:c r="C3" s="34" t="str">
        <x:v>포항제철소 BF 블록 B</x:v>
      </x:c>
      <x:c r="D3" s="34" t="str">
        <x:v>포항</x:v>
      </x:c>
      <x:c r="E3" s="46" t="n">
        <x:v>7.4</x:v>
      </x:c>
      <x:c r="F3" s="46" t="n">
        <x:v>0.918919</x:v>
      </x:c>
      <x:c r="G3" s="46" t="str">
        <x:v>BF_BOF</x:v>
      </x:c>
      <x:c r="H3" s="46" t="n">
        <x:v>2.075734</x:v>
      </x:c>
      <x:c r="I3" s="46" t="n">
        <x:v>0.12</x:v>
      </x:c>
      <x:c r="J3" s="46" t="n">
        <x:v>29</x:v>
      </x:c>
      <x:c r="K3" s="34" t="n">
        <x:v>1983</x:v>
      </x:c>
      <x:c r="L3" s="34" t="n">
        <x:v>2031</x:v>
      </x:c>
      <x:c r="M3" s="34" t="str">
        <x:v>model_estimate</x:v>
      </x:c>
      <x:c r="N3" s="34" t="str">
        <x:v>POSCO 공식 국내 생산·배출 총량에 맞춘 설비 블록 배분; 개별 생산량·재투자연도는 추정</x:v>
      </x:c>
      <x:c r="O3" s="43" t="n">
        <x:f>E3*F3</x:f>
        <x:v>6.800000600000001</x:v>
      </x:c>
      <x:c r="P3" s="43" t="n">
        <x:f>O3*H3</x:f>
        <x:v>14.114992445440402</x:v>
      </x:c>
      <x:c r="Q3" s="12" t="str">
        <x:v>RECONCILED MODEL BLOCK</x:v>
      </x:c>
    </x:row>
    <x:row r="4">
      <x:c r="A4" s="34" t="str">
        <x:v>POS-GWY-W</x:v>
      </x:c>
      <x:c r="B4" s="34" t="str">
        <x:v>POSCO_KR</x:v>
      </x:c>
      <x:c r="C4" s="34" t="str">
        <x:v>광양제철소 BF 블록 A</x:v>
      </x:c>
      <x:c r="D4" s="34" t="str">
        <x:v>광양</x:v>
      </x:c>
      <x:c r="E4" s="46" t="n">
        <x:v>10.3</x:v>
      </x:c>
      <x:c r="F4" s="46" t="n">
        <x:v>0.92233</x:v>
      </x:c>
      <x:c r="G4" s="46" t="str">
        <x:v>BF_BOF</x:v>
      </x:c>
      <x:c r="H4" s="46" t="n">
        <x:v>2.075734</x:v>
      </x:c>
      <x:c r="I4" s="46" t="n">
        <x:v>0.11</x:v>
      </x:c>
      <x:c r="J4" s="46" t="n">
        <x:v>28</x:v>
      </x:c>
      <x:c r="K4" s="34" t="n">
        <x:v>1990</x:v>
      </x:c>
      <x:c r="L4" s="34" t="n">
        <x:v>2034</x:v>
      </x:c>
      <x:c r="M4" s="34" t="str">
        <x:v>model_estimate</x:v>
      </x:c>
      <x:c r="N4" s="34" t="str">
        <x:v>POSCO 공식 국내 생산·배출 총량에 맞춘 설비 블록 배분; 개별 생산량·재투자연도는 추정</x:v>
      </x:c>
      <x:c r="O4" s="43" t="n">
        <x:f>E4*F4</x:f>
        <x:v>9.499999</x:v>
      </x:c>
      <x:c r="P4" s="43" t="n">
        <x:f>O4*H4</x:f>
        <x:v>19.719470924266002</x:v>
      </x:c>
      <x:c r="Q4" s="12" t="str">
        <x:v>RECONCILED MODEL BLOCK</x:v>
      </x:c>
    </x:row>
    <x:row r="5">
      <x:c r="A5" s="34" t="str">
        <x:v>POS-GWY-E</x:v>
      </x:c>
      <x:c r="B5" s="34" t="str">
        <x:v>POSCO_KR</x:v>
      </x:c>
      <x:c r="C5" s="34" t="str">
        <x:v>광양제철소 BF 블록 B</x:v>
      </x:c>
      <x:c r="D5" s="34" t="str">
        <x:v>광양</x:v>
      </x:c>
      <x:c r="E5" s="46" t="n">
        <x:v>10.3</x:v>
      </x:c>
      <x:c r="F5" s="46" t="n">
        <x:v>0.922621</x:v>
      </x:c>
      <x:c r="G5" s="46" t="str">
        <x:v>BF_BOF</x:v>
      </x:c>
      <x:c r="H5" s="46" t="n">
        <x:v>2.075734</x:v>
      </x:c>
      <x:c r="I5" s="46" t="n">
        <x:v>0.11</x:v>
      </x:c>
      <x:c r="J5" s="46" t="n">
        <x:v>28</x:v>
      </x:c>
      <x:c r="K5" s="34" t="n">
        <x:v>1992</x:v>
      </x:c>
      <x:c r="L5" s="34" t="n">
        <x:v>2036</x:v>
      </x:c>
      <x:c r="M5" s="34" t="str">
        <x:v>model_estimate</x:v>
      </x:c>
      <x:c r="N5" s="34" t="str">
        <x:v>POSCO 공식 국내 생산·배출 총량에 맞춘 설비 블록 배분; 개별 생산량·재투자연도는 추정</x:v>
      </x:c>
      <x:c r="O5" s="43" t="n">
        <x:f>E5*F5</x:f>
        <x:v>9.502996300000001</x:v>
      </x:c>
      <x:c r="P5" s="43" t="n">
        <x:f>O5*H5</x:f>
        <x:v>19.725692521784204</x:v>
      </x:c>
      <x:c r="Q5" s="12" t="str">
        <x:v>RECONCILED MODEL BLOCK</x:v>
      </x:c>
    </x:row>
    <x:row r="6">
      <x:c r="A6" s="34" t="str">
        <x:v>POS-GWY-EAF</x:v>
      </x:c>
      <x:c r="B6" s="34" t="str">
        <x:v>POSCO_KR</x:v>
      </x:c>
      <x:c r="C6" s="34" t="str">
        <x:v>광양 기존 EAF 블록</x:v>
      </x:c>
      <x:c r="D6" s="34" t="str">
        <x:v>광양</x:v>
      </x:c>
      <x:c r="E6" s="46" t="n">
        <x:v>1.2</x:v>
      </x:c>
      <x:c r="F6" s="46" t="n">
        <x:v>0.945</x:v>
      </x:c>
      <x:c r="G6" s="46" t="str">
        <x:v>EAF_BASELINE</x:v>
      </x:c>
      <x:c r="H6" s="46" t="n">
        <x:v>0.45</x:v>
      </x:c>
      <x:c r="I6" s="46" t="n">
        <x:v>0.62</x:v>
      </x:c>
      <x:c r="J6" s="46" t="n">
        <x:v>33</x:v>
      </x:c>
      <x:c r="K6" s="34" t="n">
        <x:v>2007</x:v>
      </x:c>
      <x:c r="L6" s="34" t="n">
        <x:v>2032</x:v>
      </x:c>
      <x:c r="M6" s="34" t="str">
        <x:v>model_estimate</x:v>
      </x:c>
      <x:c r="N6" s="34" t="str">
        <x:v>2025 공식 EAF 생산 1.135Mt에 맞춘 모델 블록; 집약도·재투자연도 추정</x:v>
      </x:c>
      <x:c r="O6" s="43" t="n">
        <x:f>E6*F6</x:f>
        <x:v>1.134</x:v>
      </x:c>
      <x:c r="P6" s="43" t="n">
        <x:f>O6*H6</x:f>
        <x:v>0.5103</x:v>
      </x:c>
      <x:c r="Q6" s="12" t="str">
        <x:v>RECONCILED MODEL BLOCK</x:v>
      </x:c>
    </x:row>
    <x:row r="7">
      <x:c r="A7" s="34" t="str">
        <x:v>NS-EAST</x:v>
      </x:c>
      <x:c r="B7" s="34" t="str">
        <x:v>NIPPON_STEEL_JP</x:v>
      </x:c>
      <x:c r="C7" s="34" t="str">
        <x:v>East Nippon Works 블록</x:v>
      </x:c>
      <x:c r="D7" s="34" t="str">
        <x:v>동일본</x:v>
      </x:c>
      <x:c r="E7" s="46" t="n">
        <x:v>8.1</x:v>
      </x:c>
      <x:c r="F7" s="46" t="n">
        <x:v>0.888889</x:v>
      </x:c>
      <x:c r="G7" s="46" t="str">
        <x:v>BF_BOF</x:v>
      </x:c>
      <x:c r="H7" s="46" t="n">
        <x:v>2.116618</x:v>
      </x:c>
      <x:c r="I7" s="46" t="n">
        <x:v>0.12</x:v>
      </x:c>
      <x:c r="J7" s="46" t="n">
        <x:v>31</x:v>
      </x:c>
      <x:c r="K7" s="34" t="n">
        <x:v>1979</x:v>
      </x:c>
      <x:c r="L7" s="34" t="n">
        <x:v>2033</x:v>
      </x:c>
      <x:c r="M7" s="34" t="str">
        <x:v>model_estimate</x:v>
      </x:c>
      <x:c r="N7" s="34" t="str">
        <x:v>Nippon Steel 공식 생산·배출·용량 총량에 맞춘 지역 블록 배분</x:v>
      </x:c>
      <x:c r="O7" s="43" t="n">
        <x:f>E7*F7</x:f>
        <x:v>7.2000009</x:v>
      </x:c>
      <x:c r="P7" s="43" t="n">
        <x:f>O7*H7</x:f>
        <x:v>15.2396515049562</x:v>
      </x:c>
      <x:c r="Q7" s="12" t="str">
        <x:v>RECONCILED MODEL BLOCK</x:v>
      </x:c>
    </x:row>
    <x:row r="8">
      <x:c r="A8" s="34" t="str">
        <x:v>NS-NAGOYA</x:v>
      </x:c>
      <x:c r="B8" s="34" t="str">
        <x:v>NIPPON_STEEL_JP</x:v>
      </x:c>
      <x:c r="C8" s="34" t="str">
        <x:v>Nagoya Works 블록</x:v>
      </x:c>
      <x:c r="D8" s="34" t="str">
        <x:v>나고야</x:v>
      </x:c>
      <x:c r="E8" s="46" t="n">
        <x:v>7</x:v>
      </x:c>
      <x:c r="F8" s="46" t="n">
        <x:v>0.885714</x:v>
      </x:c>
      <x:c r="G8" s="46" t="str">
        <x:v>BF_BOF</x:v>
      </x:c>
      <x:c r="H8" s="46" t="n">
        <x:v>2.116618</x:v>
      </x:c>
      <x:c r="I8" s="46" t="n">
        <x:v>0.12</x:v>
      </x:c>
      <x:c r="J8" s="46" t="n">
        <x:v>31</x:v>
      </x:c>
      <x:c r="K8" s="34" t="n">
        <x:v>1969</x:v>
      </x:c>
      <x:c r="L8" s="34" t="n">
        <x:v>2031</x:v>
      </x:c>
      <x:c r="M8" s="34" t="str">
        <x:v>model_estimate</x:v>
      </x:c>
      <x:c r="N8" s="34" t="str">
        <x:v>Nippon Steel 공식 생산·배출·용량 총량에 맞춘 지역 블록 배분</x:v>
      </x:c>
      <x:c r="O8" s="43" t="n">
        <x:f>E8*F8</x:f>
        <x:v>6.199998</x:v>
      </x:c>
      <x:c r="P8" s="43" t="n">
        <x:f>O8*H8</x:f>
        <x:v>13.123027366764</x:v>
      </x:c>
      <x:c r="Q8" s="12" t="str">
        <x:v>RECONCILED MODEL BLOCK</x:v>
      </x:c>
    </x:row>
    <x:row r="9">
      <x:c r="A9" s="34" t="str">
        <x:v>NS-KANSAI</x:v>
      </x:c>
      <x:c r="B9" s="34" t="str">
        <x:v>NIPPON_STEEL_JP</x:v>
      </x:c>
      <x:c r="C9" s="34" t="str">
        <x:v>Kansai Works 블록</x:v>
      </x:c>
      <x:c r="D9" s="34" t="str">
        <x:v>간사이</x:v>
      </x:c>
      <x:c r="E9" s="46" t="n">
        <x:v>6.3</x:v>
      </x:c>
      <x:c r="F9" s="46" t="n">
        <x:v>0.888889</x:v>
      </x:c>
      <x:c r="G9" s="46" t="str">
        <x:v>BF_BOF</x:v>
      </x:c>
      <x:c r="H9" s="46" t="n">
        <x:v>2.116618</x:v>
      </x:c>
      <x:c r="I9" s="46" t="n">
        <x:v>0.12</x:v>
      </x:c>
      <x:c r="J9" s="46" t="n">
        <x:v>31</x:v>
      </x:c>
      <x:c r="K9" s="34" t="n">
        <x:v>1965</x:v>
      </x:c>
      <x:c r="L9" s="34" t="n">
        <x:v>2035</x:v>
      </x:c>
      <x:c r="M9" s="34" t="str">
        <x:v>model_estimate</x:v>
      </x:c>
      <x:c r="N9" s="34" t="str">
        <x:v>Nippon Steel 공식 생산·배출·용량 총량에 맞춘 지역 블록 배분</x:v>
      </x:c>
      <x:c r="O9" s="43" t="n">
        <x:f>E9*F9</x:f>
        <x:v>5.6000007</x:v>
      </x:c>
      <x:c r="P9" s="43" t="n">
        <x:f>O9*H9</x:f>
        <x:v>11.8530622816326</x:v>
      </x:c>
      <x:c r="Q9" s="12" t="str">
        <x:v>RECONCILED MODEL BLOCK</x:v>
      </x:c>
    </x:row>
    <x:row r="10">
      <x:c r="A10" s="34" t="str">
        <x:v>NS-KYUSHU</x:v>
      </x:c>
      <x:c r="B10" s="34" t="str">
        <x:v>NIPPON_STEEL_JP</x:v>
      </x:c>
      <x:c r="C10" s="34" t="str">
        <x:v>Kyushu Works Yawata 블록</x:v>
      </x:c>
      <x:c r="D10" s="34" t="str">
        <x:v>규슈</x:v>
      </x:c>
      <x:c r="E10" s="46" t="n">
        <x:v>10</x:v>
      </x:c>
      <x:c r="F10" s="46" t="n">
        <x:v>0.9</x:v>
      </x:c>
      <x:c r="G10" s="46" t="str">
        <x:v>BF_BOF</x:v>
      </x:c>
      <x:c r="H10" s="46" t="n">
        <x:v>2.116618</x:v>
      </x:c>
      <x:c r="I10" s="46" t="n">
        <x:v>0.12</x:v>
      </x:c>
      <x:c r="J10" s="46" t="n">
        <x:v>30</x:v>
      </x:c>
      <x:c r="K10" s="34" t="n">
        <x:v>1972</x:v>
      </x:c>
      <x:c r="L10" s="34" t="n">
        <x:v>2028</x:v>
      </x:c>
      <x:c r="M10" s="34" t="str">
        <x:v>model_estimate</x:v>
      </x:c>
      <x:c r="N10" s="34" t="str">
        <x:v>Yawata BF→EAF 공시 방향을 반영해 조기 재투자 창을 설정; 블록 생산량 추정</x:v>
      </x:c>
      <x:c r="O10" s="43" t="n">
        <x:f>E10*F10</x:f>
        <x:v>9</x:v>
      </x:c>
      <x:c r="P10" s="43" t="n">
        <x:f>O10*H10</x:f>
        <x:v>19.049561999999998</x:v>
      </x:c>
      <x:c r="Q10" s="12" t="str">
        <x:v>RECONCILED MODEL BLOCK</x:v>
      </x:c>
    </x:row>
    <x:row r="11">
      <x:c r="A11" s="34" t="str">
        <x:v>NS-SETOUCHI</x:v>
      </x:c>
      <x:c r="B11" s="34" t="str">
        <x:v>NIPPON_STEEL_JP</x:v>
      </x:c>
      <x:c r="C11" s="34" t="str">
        <x:v>Setouchi Works Hirohata 블록</x:v>
      </x:c>
      <x:c r="D11" s="34" t="str">
        <x:v>세토우치</x:v>
      </x:c>
      <x:c r="E11" s="46" t="n">
        <x:v>7.5</x:v>
      </x:c>
      <x:c r="F11" s="46" t="n">
        <x:v>0.84</x:v>
      </x:c>
      <x:c r="G11" s="46" t="str">
        <x:v>BF_BOF</x:v>
      </x:c>
      <x:c r="H11" s="46" t="n">
        <x:v>2.116618</x:v>
      </x:c>
      <x:c r="I11" s="46" t="n">
        <x:v>0.12</x:v>
      </x:c>
      <x:c r="J11" s="46" t="n">
        <x:v>31</x:v>
      </x:c>
      <x:c r="K11" s="34" t="n">
        <x:v>1970</x:v>
      </x:c>
      <x:c r="L11" s="34" t="n">
        <x:v>2037</x:v>
      </x:c>
      <x:c r="M11" s="34" t="str">
        <x:v>model_estimate</x:v>
      </x:c>
      <x:c r="N11" s="34" t="str">
        <x:v>Hirohata EAF 투자 방향을 반영한 복합 블록; 생산량·재투자연도 추정</x:v>
      </x:c>
      <x:c r="O11" s="43" t="n">
        <x:f>E11*F11</x:f>
        <x:v>6.3</x:v>
      </x:c>
      <x:c r="P11" s="43" t="n">
        <x:f>O11*H11</x:f>
        <x:v>13.334693399999999</x:v>
      </x:c>
      <x:c r="Q11" s="12" t="str">
        <x:v>RECONCILED MODEL BLOCK</x:v>
      </x:c>
    </x:row>
    <x:row r="12">
      <x:c r="A12" s="34" t="str">
        <x:v>JFE-KURA</x:v>
      </x:c>
      <x:c r="B12" s="34" t="str">
        <x:v>JFE_STEEL_JP</x:v>
      </x:c>
      <x:c r="C12" s="34" t="str">
        <x:v>West Japan Works Kurashiki</x:v>
      </x:c>
      <x:c r="D12" s="34" t="str">
        <x:v>구라시키</x:v>
      </x:c>
      <x:c r="E12" s="46" t="n">
        <x:v>7.4</x:v>
      </x:c>
      <x:c r="F12" s="46" t="n">
        <x:v>0.918919</x:v>
      </x:c>
      <x:c r="G12" s="46" t="str">
        <x:v>BF_BOF</x:v>
      </x:c>
      <x:c r="H12" s="46" t="n">
        <x:v>2.115294</x:v>
      </x:c>
      <x:c r="I12" s="46" t="n">
        <x:v>0.12</x:v>
      </x:c>
      <x:c r="J12" s="46" t="n">
        <x:v>31</x:v>
      </x:c>
      <x:c r="K12" s="34" t="n">
        <x:v>1973</x:v>
      </x:c>
      <x:c r="L12" s="34" t="n">
        <x:v>2028</x:v>
      </x:c>
      <x:c r="M12" s="34" t="str">
        <x:v>model_estimate</x:v>
      </x:c>
      <x:c r="N12" s="34" t="str">
        <x:v>2028 혁신 EAF 공시를 반영한 조기 재투자 창; 생산량은 공식 총량에 맞춘 추정</x:v>
      </x:c>
      <x:c r="O12" s="43" t="n">
        <x:f>E12*F12</x:f>
        <x:v>6.800000600000001</x:v>
      </x:c>
      <x:c r="P12" s="43" t="n">
        <x:f>O12*H12</x:f>
        <x:v>14.384000469176401</x:v>
      </x:c>
      <x:c r="Q12" s="12" t="str">
        <x:v>RECONCILED MODEL BLOCK</x:v>
      </x:c>
    </x:row>
    <x:row r="13">
      <x:c r="A13" s="34" t="str">
        <x:v>JFE-FUKU</x:v>
      </x:c>
      <x:c r="B13" s="34" t="str">
        <x:v>JFE_STEEL_JP</x:v>
      </x:c>
      <x:c r="C13" s="34" t="str">
        <x:v>West Japan Works Fukuyama</x:v>
      </x:c>
      <x:c r="D13" s="34" t="str">
        <x:v>후쿠야마</x:v>
      </x:c>
      <x:c r="E13" s="46" t="n">
        <x:v>9.8</x:v>
      </x:c>
      <x:c r="F13" s="46" t="n">
        <x:v>0.918367</x:v>
      </x:c>
      <x:c r="G13" s="46" t="str">
        <x:v>BF_BOF</x:v>
      </x:c>
      <x:c r="H13" s="46" t="n">
        <x:v>2.115294</x:v>
      </x:c>
      <x:c r="I13" s="46" t="n">
        <x:v>0.12</x:v>
      </x:c>
      <x:c r="J13" s="46" t="n">
        <x:v>31</x:v>
      </x:c>
      <x:c r="K13" s="34" t="n">
        <x:v>1973</x:v>
      </x:c>
      <x:c r="L13" s="34" t="n">
        <x:v>2032</x:v>
      </x:c>
      <x:c r="M13" s="34" t="str">
        <x:v>model_estimate</x:v>
      </x:c>
      <x:c r="N13" s="34" t="str">
        <x:v>JFE 공식 생산·배출 총량에 맞춘 설비 블록 배분</x:v>
      </x:c>
      <x:c r="O13" s="43" t="n">
        <x:f>E13*F13</x:f>
        <x:v>8.999996600000001</x:v>
      </x:c>
      <x:c r="P13" s="43" t="n">
        <x:f>O13*H13</x:f>
        <x:v>19.037638808000402</x:v>
      </x:c>
      <x:c r="Q13" s="12" t="str">
        <x:v>RECONCILED MODEL BLOCK</x:v>
      </x:c>
    </x:row>
    <x:row r="14">
      <x:c r="A14" s="34" t="str">
        <x:v>JFE-CHIBA</x:v>
      </x:c>
      <x:c r="B14" s="34" t="str">
        <x:v>JFE_STEEL_JP</x:v>
      </x:c>
      <x:c r="C14" s="34" t="str">
        <x:v>East Japan Works Chiba</x:v>
      </x:c>
      <x:c r="D14" s="34" t="str">
        <x:v>치바</x:v>
      </x:c>
      <x:c r="E14" s="46" t="n">
        <x:v>6</x:v>
      </x:c>
      <x:c r="F14" s="46" t="n">
        <x:v>0.908333</x:v>
      </x:c>
      <x:c r="G14" s="46" t="str">
        <x:v>BF_BOF</x:v>
      </x:c>
      <x:c r="H14" s="46" t="n">
        <x:v>2.115294</x:v>
      </x:c>
      <x:c r="I14" s="46" t="n">
        <x:v>0.12</x:v>
      </x:c>
      <x:c r="J14" s="46" t="n">
        <x:v>32</x:v>
      </x:c>
      <x:c r="K14" s="34" t="n">
        <x:v>1977</x:v>
      </x:c>
      <x:c r="L14" s="34" t="n">
        <x:v>2035</x:v>
      </x:c>
      <x:c r="M14" s="34" t="str">
        <x:v>model_estimate</x:v>
      </x:c>
      <x:c r="N14" s="34" t="str">
        <x:v>JFE 공식 생산·배출 총량에 맞춘 설비 블록 배분</x:v>
      </x:c>
      <x:c r="O14" s="43" t="n">
        <x:f>E14*F14</x:f>
        <x:v>5.449998</x:v>
      </x:c>
      <x:c r="P14" s="43" t="n">
        <x:f>O14*H14</x:f>
        <x:v>11.528348069411999</x:v>
      </x:c>
      <x:c r="Q14" s="12" t="str">
        <x:v>RECONCILED MODEL BLOCK</x:v>
      </x:c>
    </x:row>
    <x:row r="15">
      <x:c r="A15" s="34" t="str">
        <x:v>JFE-SENDAI</x:v>
      </x:c>
      <x:c r="B15" s="34" t="str">
        <x:v>JFE_STEEL_JP</x:v>
      </x:c>
      <x:c r="C15" s="34" t="str">
        <x:v>Sendai Works EAF</x:v>
      </x:c>
      <x:c r="D15" s="34" t="str">
        <x:v>센다이</x:v>
      </x:c>
      <x:c r="E15" s="46" t="n">
        <x:v>0.8</x:v>
      </x:c>
      <x:c r="F15" s="46" t="n">
        <x:v>0.875</x:v>
      </x:c>
      <x:c r="G15" s="46" t="str">
        <x:v>EAF_BASELINE</x:v>
      </x:c>
      <x:c r="H15" s="46" t="n">
        <x:v>0.5</x:v>
      </x:c>
      <x:c r="I15" s="46" t="n">
        <x:v>0.66</x:v>
      </x:c>
      <x:c r="J15" s="46" t="n">
        <x:v>35</x:v>
      </x:c>
      <x:c r="K15" s="34" t="n">
        <x:v>2000</x:v>
      </x:c>
      <x:c r="L15" s="34" t="n">
        <x:v>2032</x:v>
      </x:c>
      <x:c r="M15" s="34" t="str">
        <x:v>model_estimate</x:v>
      </x:c>
      <x:c r="N15" s="34" t="str">
        <x:v>공식 EAF 사업장 존재를 반영; 생산량·집약도·재투자연도 추정</x:v>
      </x:c>
      <x:c r="O15" s="43" t="n">
        <x:f>E15*F15</x:f>
        <x:v>0.7000000000000001</x:v>
      </x:c>
      <x:c r="P15" s="43" t="n">
        <x:f>O15*H15</x:f>
        <x:v>0.35000000000000003</x:v>
      </x:c>
      <x:c r="Q15" s="12" t="str">
        <x:v>RECONCILED MODEL BLOCK</x:v>
      </x:c>
    </x:row>
    <x:row r="16">
      <x:c r="A16" s="34" t="str">
        <x:v>KOB-BF1</x:v>
      </x:c>
      <x:c r="B16" s="34" t="str">
        <x:v>KOBE_STEEL_JP</x:v>
      </x:c>
      <x:c r="C16" s="34" t="str">
        <x:v>Kakogawa Works BF 블록 1</x:v>
      </x:c>
      <x:c r="D16" s="34" t="str">
        <x:v>가코가와</x:v>
      </x:c>
      <x:c r="E16" s="46" t="n">
        <x:v>3.15</x:v>
      </x:c>
      <x:c r="F16" s="46" t="n">
        <x:v>0.936508</x:v>
      </x:c>
      <x:c r="G16" s="46" t="str">
        <x:v>BF_BOF</x:v>
      </x:c>
      <x:c r="H16" s="46" t="n">
        <x:v>2.431741</x:v>
      </x:c>
      <x:c r="I16" s="46" t="n">
        <x:v>0.12</x:v>
      </x:c>
      <x:c r="J16" s="46" t="n">
        <x:v>33</x:v>
      </x:c>
      <x:c r="K16" s="34" t="n">
        <x:v>1983</x:v>
      </x:c>
      <x:c r="L16" s="34" t="n">
        <x:v>2028</x:v>
      </x:c>
      <x:c r="M16" s="34" t="str">
        <x:v>model_estimate</x:v>
      </x:c>
      <x:c r="N16" s="34" t="str">
        <x:v>Kobe Steel 공식 조강·목표경계 배출 총량에 맞춘 블록 배분</x:v>
      </x:c>
      <x:c r="O16" s="43" t="n">
        <x:f>E16*F16</x:f>
        <x:v>2.9500002</x:v>
      </x:c>
      <x:c r="P16" s="43" t="n">
        <x:f>O16*H16</x:f>
        <x:v>7.1736364363482</x:v>
      </x:c>
      <x:c r="Q16" s="12" t="str">
        <x:v>RECONCILED MODEL BLOCK</x:v>
      </x:c>
    </x:row>
    <x:row r="17">
      <x:c r="A17" s="34" t="str">
        <x:v>KOB-BF3</x:v>
      </x:c>
      <x:c r="B17" s="34" t="str">
        <x:v>KOBE_STEEL_JP</x:v>
      </x:c>
      <x:c r="C17" s="34" t="str">
        <x:v>Kakogawa Works BF 블록 3</x:v>
      </x:c>
      <x:c r="D17" s="34" t="str">
        <x:v>가코가와</x:v>
      </x:c>
      <x:c r="E17" s="46" t="n">
        <x:v>3.05</x:v>
      </x:c>
      <x:c r="F17" s="46" t="n">
        <x:v>0.954098</x:v>
      </x:c>
      <x:c r="G17" s="46" t="str">
        <x:v>BF_BOF</x:v>
      </x:c>
      <x:c r="H17" s="46" t="n">
        <x:v>2.431741</x:v>
      </x:c>
      <x:c r="I17" s="46" t="n">
        <x:v>0.12</x:v>
      </x:c>
      <x:c r="J17" s="46" t="n">
        <x:v>33</x:v>
      </x:c>
      <x:c r="K17" s="34" t="n">
        <x:v>2016</x:v>
      </x:c>
      <x:c r="L17" s="34" t="n">
        <x:v>2036</x:v>
      </x:c>
      <x:c r="M17" s="34" t="str">
        <x:v>model_estimate</x:v>
      </x:c>
      <x:c r="N17" s="34" t="str">
        <x:v>2016년 BF3 개수와 장기 수명주기를 반영한 재투자연도 추정</x:v>
      </x:c>
      <x:c r="O17" s="43" t="n">
        <x:f>E17*F17</x:f>
        <x:v>2.9099988999999997</x:v>
      </x:c>
      <x:c r="P17" s="43" t="n">
        <x:f>O17*H17</x:f>
        <x:v>7.0763636350849</x:v>
      </x:c>
      <x:c r="Q17" s="12" t="str">
        <x:v>RECONCILED MODEL BLOCK</x:v>
      </x:c>
    </x:row>
    <x:row r="18">
      <x:c r="A18" s="35" t="str">
        <x:v>KOB-TAKA</x:v>
      </x:c>
      <x:c r="B18" s="35" t="str">
        <x:v>KOBE_STEEL_JP</x:v>
      </x:c>
      <x:c r="C18" s="35" t="str">
        <x:v>Takasago Works EAF block</x:v>
      </x:c>
      <x:c r="D18" s="35" t="str">
        <x:v>다카사고</x:v>
      </x:c>
      <x:c r="E18" s="47" t="n">
        <x:v>0.14</x:v>
      </x:c>
      <x:c r="F18" s="47" t="n">
        <x:v>0.714286</x:v>
      </x:c>
      <x:c r="G18" s="47" t="str">
        <x:v>EAF_BASELINE</x:v>
      </x:c>
      <x:c r="H18" s="47" t="n">
        <x:v>0.5</x:v>
      </x:c>
      <x:c r="I18" s="47" t="n">
        <x:v>0.66</x:v>
      </x:c>
      <x:c r="J18" s="47" t="n">
        <x:v>36</x:v>
      </x:c>
      <x:c r="K18" s="35" t="n">
        <x:v>1998</x:v>
      </x:c>
      <x:c r="L18" s="35" t="n">
        <x:v>2032</x:v>
      </x:c>
      <x:c r="M18" s="35" t="str">
        <x:v>model_estimate</x:v>
      </x:c>
      <x:c r="N18" s="35" t="str">
        <x:v>다카사고 포함 공식 조강 총량에 맞춘 소규모 EAF 블록 추정</x:v>
      </x:c>
      <x:c r="O18" s="43" t="n">
        <x:f>E18*F18</x:f>
        <x:v>0.10000004000000001</x:v>
      </x:c>
      <x:c r="P18" s="43" t="n">
        <x:f>O18*H18</x:f>
        <x:v>0.050000020000000006</x:v>
      </x:c>
      <x:c r="Q18" s="12" t="str">
        <x:v>RECONCILED MODEL BLOCK</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1" hidden="0" customWidth="1"/>
    <x:col min="2" max="2" width="13" hidden="0" customWidth="1"/>
    <x:col min="3" max="3" width="18" hidden="0" customWidth="1"/>
    <x:col min="4" max="4" width="18" hidden="0" customWidth="1"/>
    <x:col min="5" max="5" width="19" hidden="0" customWidth="1"/>
    <x:col min="6" max="6" width="15" hidden="0" customWidth="1"/>
    <x:col min="7" max="7" width="12" hidden="0" customWidth="1"/>
    <x:col min="8" max="8" width="20" hidden="0" customWidth="1"/>
    <x:col min="9" max="9" width="62" hidden="0" customWidth="1"/>
    <x:col min="10" max="10" width="26" hidden="0" customWidth="1"/>
    <x:col min="11" max="11" width="16" hidden="0" customWidth="1"/>
  </x:cols>
  <x:sheetData>
    <x:row r="1" ht="28" customHeight="1">
      <x:c r="A1" s="29" t="str">
        <x:v>company_id</x:v>
      </x:c>
      <x:c r="B1" s="29" t="str">
        <x:v>fiscal_year</x:v>
      </x:c>
      <x:c r="C1" s="29" t="str">
        <x:v>revenue_bn_krw</x:v>
      </x:c>
      <x:c r="D1" s="29" t="str">
        <x:v>ebitda_bn_krw</x:v>
      </x:c>
      <x:c r="E1" s="29" t="str">
        <x:v>annual_capex_bn_krw</x:v>
      </x:c>
      <x:c r="F1" s="29" t="str">
        <x:v>reporting_currency</x:v>
      </x:c>
      <x:c r="G1" s="29" t="str">
        <x:v>fx_to_krw</x:v>
      </x:c>
      <x:c r="H1" s="29" t="str">
        <x:v>data_status</x:v>
      </x:c>
      <x:c r="I1" s="29" t="str">
        <x:v>source_note</x:v>
      </x:c>
      <x:c r="J1" s="29" t="str">
        <x:v>financial_boundary</x:v>
      </x:c>
      <x:c r="K1" s="29" t="str">
        <x:v>comparison_flag</x:v>
      </x:c>
    </x:row>
    <x:row r="2">
      <x:c r="A2" s="34" t="str">
        <x:v>POSCO_KR</x:v>
      </x:c>
      <x:c r="B2" s="34" t="n">
        <x:v>2025</x:v>
      </x:c>
      <x:c r="C2" s="72" t="n">
        <x:v>35011</x:v>
      </x:c>
      <x:c r="D2" s="72" t="n">
        <x:v>4230</x:v>
      </x:c>
      <x:c r="E2" s="72" t="n">
        <x:v>2363.918</x:v>
      </x:c>
      <x:c r="F2" s="34" t="str">
        <x:v>KRW</x:v>
      </x:c>
      <x:c r="G2" s="34" t="n">
        <x:v>1</x:v>
      </x:c>
      <x:c r="H2" s="34" t="str">
        <x:v>official</x:v>
      </x:c>
      <x:c r="I2" s="34" t="str">
        <x:v>POSCO 별도 매출·EBITDA 공식 IR; CAPEX는 2025 별도 현금흐름표 유형자산 취득</x:v>
      </x:c>
      <x:c r="J2" s="12" t="str">
        <x:v>POSCO standalone</x:v>
      </x:c>
      <x:c r="K2" s="12" t="str">
        <x:v>ALIGNED</x:v>
      </x:c>
    </x:row>
    <x:row r="3">
      <x:c r="A3" s="34" t="str">
        <x:v>NIPPON_STEEL_JP</x:v>
      </x:c>
      <x:c r="B3" s="34" t="n">
        <x:v>2024</x:v>
      </x:c>
      <x:c r="C3" s="72" t="n">
        <x:v>79998.839</x:v>
      </x:c>
      <x:c r="D3" s="72" t="n">
        <x:v>9829.62</x:v>
      </x:c>
      <x:c r="E3" s="72" t="n">
        <x:v>5367.28</x:v>
      </x:c>
      <x:c r="F3" s="34" t="str">
        <x:v>JPY</x:v>
      </x:c>
      <x:c r="G3" s="34" t="n">
        <x:v>9.2</x:v>
      </x:c>
      <x:c r="H3" s="34" t="str">
        <x:v>official_converted</x:v>
      </x:c>
      <x:c r="I3" s="34" t="str">
        <x:v>Nippon Steel 연결 매출 8,695.526bn JPY; EBITDA 프록시는 사업이익 683.237 + 감가상각 385.2; CAPEX 583.4. KRW 환산은 모델 FX 9.2</x:v>
      </x:c>
      <x:c r="J3" s="12" t="str">
        <x:v>Nippon consolidated</x:v>
      </x:c>
      <x:c r="K3" s="12" t="str">
        <x:v>MISMATCH</x:v>
      </x:c>
    </x:row>
    <x:row r="4">
      <x:c r="A4" s="34" t="str">
        <x:v>JFE_STEEL_JP</x:v>
      </x:c>
      <x:c r="B4" s="34" t="n">
        <x:v>2024</x:v>
      </x:c>
      <x:c r="C4" s="72" t="n">
        <x:v>44708.752</x:v>
      </x:c>
      <x:c r="D4" s="72" t="n">
        <x:v>3606.4</x:v>
      </x:c>
      <x:c r="E4" s="72" t="n">
        <x:v>2888.8</x:v>
      </x:c>
      <x:c r="F4" s="34" t="str">
        <x:v>JPY</x:v>
      </x:c>
      <x:c r="G4" s="34" t="n">
        <x:v>9.2</x:v>
      </x:c>
      <x:c r="H4" s="34" t="str">
        <x:v>official_converted</x:v>
      </x:c>
      <x:c r="I4" s="34" t="str">
        <x:v>JFE Group 연결 매출 4,859.647bn JPY·EBITDA 392bn·CAPEX 314bn. KRW 환산은 모델 FX 9.2</x:v>
      </x:c>
      <x:c r="J4" s="12" t="str">
        <x:v>JFE Holdings consolidated</x:v>
      </x:c>
      <x:c r="K4" s="12" t="str">
        <x:v>MISMATCH</x:v>
      </x:c>
    </x:row>
    <x:row r="5">
      <x:c r="A5" s="35" t="str">
        <x:v>KOBE_STEEL_JP</x:v>
      </x:c>
      <x:c r="B5" s="35" t="n">
        <x:v>2024</x:v>
      </x:c>
      <x:c r="C5" s="73" t="n">
        <x:v>23506.285</x:v>
      </x:c>
      <x:c r="D5" s="73" t="n">
        <x:v>2586.672</x:v>
      </x:c>
      <x:c r="E5" s="73" t="n">
        <x:v>1066.216</x:v>
      </x:c>
      <x:c r="F5" s="35" t="str">
        <x:v>JPY</x:v>
      </x:c>
      <x:c r="G5" s="35" t="n">
        <x:v>9.2</x:v>
      </x:c>
      <x:c r="H5" s="35" t="str">
        <x:v>official_converted</x:v>
      </x:c>
      <x:c r="I5" s="35" t="str">
        <x:v>Kobelco 연결 매출 2,555.031bn JPY; EBITDA 프록시는 영업이익 158.721 + 감가상각 122.439; CAPEX 115.893. KRW 환산은 모델 FX 9.2</x:v>
      </x:c>
      <x:c r="J5" s="12" t="str">
        <x:v>Kobelco consolidated</x:v>
      </x:c>
      <x:c r="K5" s="12" t="str">
        <x:v>MISMATCH</x:v>
      </x:c>
    </x:row>
  </x:sheetData>
  <x:pageMargins left="0.7" right="0.7" top="0.75" bottom="0.75" header="0.3" footer="0.3"/>
  <x:legacyDrawing xmlns:r="http://schemas.openxmlformats.org/officeDocument/2006/relationships" r:id="R1ac1289e0b014e24"/>
</x:worksheet>
</file>

<file path=xl/worksheets/sheet5.xml><?xml version="1.0" encoding="utf-8"?>
<x:worksheet xmlns:x="http://schemas.openxmlformats.org/spreadsheetml/2006/main">
  <x:sheetViews>
    <x:sheetView showGridLines="0" workbookViewId="0"/>
  </x:sheetViews>
  <x:sheetFormatPr defaultRowHeight="15"/>
  <x:cols>
    <x:col min="1" max="1" width="21" hidden="0" customWidth="1"/>
    <x:col min="2" max="2" width="24"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34" hidden="0" customWidth="1"/>
  </x:cols>
  <x:sheetData>
    <x:row r="1" ht="28" customHeight="1">
      <x:c r="A1" s="29" t="str">
        <x:v>technology_id</x:v>
      </x:c>
      <x:c r="B1" s="29" t="str">
        <x:v>technology_name</x:v>
      </x:c>
      <x:c r="C1" s="29" t="str">
        <x:v>capex_bn_krw_per_mtpa</x:v>
      </x:c>
      <x:c r="D1" s="29" t="str">
        <x:v>fixed_opex_kkrw_per_t</x:v>
      </x:c>
      <x:c r="E1" s="29" t="str">
        <x:v>electricity_mwh_per_t</x:v>
      </x:c>
      <x:c r="F1" s="29" t="str">
        <x:v>hydrogen_t_per_t</x:v>
      </x:c>
      <x:c r="G1" s="29" t="str">
        <x:v>emissions_tco2_per_t</x:v>
      </x:c>
      <x:c r="H1" s="29" t="str">
        <x:v>available_year</x:v>
      </x:c>
      <x:c r="I1" s="29" t="str">
        <x:v>construction_years</x:v>
      </x:c>
      <x:c r="J1" s="29" t="str">
        <x:v>lifetime_years</x:v>
      </x:c>
      <x:c r="K1" s="29" t="str">
        <x:v>data_status</x:v>
      </x:c>
      <x:c r="L1" s="29" t="str">
        <x:v>source_note</x:v>
      </x:c>
    </x:row>
    <x:row r="2">
      <x:c r="A2" s="34" t="str">
        <x:v>BF_BOF</x:v>
      </x:c>
      <x:c r="B2" s="34" t="str">
        <x:v>기준 BF-BOF 복합 블록</x:v>
      </x:c>
      <x:c r="C2" s="46" t="n">
        <x:v>200</x:v>
      </x:c>
      <x:c r="D2" s="46" t="n">
        <x:v>30</x:v>
      </x:c>
      <x:c r="E2" s="46" t="n">
        <x:v>0.12</x:v>
      </x:c>
      <x:c r="F2" s="46" t="n">
        <x:v>0</x:v>
      </x:c>
      <x:c r="G2" s="46" t="n">
        <x:v>2.12</x:v>
      </x:c>
      <x:c r="H2" s="46" t="n">
        <x:v>2026</x:v>
      </x:c>
      <x:c r="I2" s="46" t="n">
        <x:v>3</x:v>
      </x:c>
      <x:c r="J2" s="46" t="n">
        <x:v>20</x:v>
      </x:c>
      <x:c r="K2" s="34" t="str">
        <x:v>model_estimate</x:v>
      </x:c>
      <x:c r="L2" s="34" t="str">
        <x:v>기업별 실제 집약도는 facilities.csv에서 보정</x:v>
      </x:c>
    </x:row>
    <x:row r="3">
      <x:c r="A3" s="34" t="str">
        <x:v>EAF_BASELINE</x:v>
      </x:c>
      <x:c r="B3" s="34" t="str">
        <x:v>기존 전기로 기준 블록</x:v>
      </x:c>
      <x:c r="C3" s="46" t="n">
        <x:v>180</x:v>
      </x:c>
      <x:c r="D3" s="46" t="n">
        <x:v>34</x:v>
      </x:c>
      <x:c r="E3" s="46" t="n">
        <x:v>0.62</x:v>
      </x:c>
      <x:c r="F3" s="46" t="n">
        <x:v>0</x:v>
      </x:c>
      <x:c r="G3" s="46" t="n">
        <x:v>0.5</x:v>
      </x:c>
      <x:c r="H3" s="46" t="n">
        <x:v>2026</x:v>
      </x:c>
      <x:c r="I3" s="46" t="n">
        <x:v>2</x:v>
      </x:c>
      <x:c r="J3" s="46" t="n">
        <x:v>20</x:v>
      </x:c>
      <x:c r="K3" s="34" t="str">
        <x:v>model_estimate</x:v>
      </x:c>
      <x:c r="L3" s="34" t="str">
        <x:v>기존 EAF 운영 프록시</x:v>
      </x:c>
    </x:row>
    <x:row r="4">
      <x:c r="A4" s="34" t="str">
        <x:v>BF_RELINE</x:v>
      </x:c>
      <x:c r="B4" s="34" t="str">
        <x:v>BF 개수·효율 패키지</x:v>
      </x:c>
      <x:c r="C4" s="46" t="n">
        <x:v>250</x:v>
      </x:c>
      <x:c r="D4" s="46" t="n">
        <x:v>32</x:v>
      </x:c>
      <x:c r="E4" s="46" t="n">
        <x:v>0.13</x:v>
      </x:c>
      <x:c r="F4" s="46" t="n">
        <x:v>0</x:v>
      </x:c>
      <x:c r="G4" s="46" t="n">
        <x:v>1.9</x:v>
      </x:c>
      <x:c r="H4" s="46" t="n">
        <x:v>2026</x:v>
      </x:c>
      <x:c r="I4" s="46" t="n">
        <x:v>2</x:v>
      </x:c>
      <x:c r="J4" s="46" t="n">
        <x:v>20</x:v>
      </x:c>
      <x:c r="K4" s="34" t="str">
        <x:v>model_estimate</x:v>
      </x:c>
      <x:c r="L4" s="34" t="str">
        <x:v>수명연장과 에너지효율 개선의 공통 비용 프록시</x:v>
      </x:c>
    </x:row>
    <x:row r="5">
      <x:c r="A5" s="34" t="str">
        <x:v>SCRAP_EAF</x:v>
      </x:c>
      <x:c r="B5" s="34" t="str">
        <x:v>스크랩 기반 대형 EAF</x:v>
      </x:c>
      <x:c r="C5" s="46" t="n">
        <x:v>560</x:v>
      </x:c>
      <x:c r="D5" s="46" t="n">
        <x:v>37</x:v>
      </x:c>
      <x:c r="E5" s="46" t="n">
        <x:v>0.68</x:v>
      </x:c>
      <x:c r="F5" s="46" t="n">
        <x:v>0</x:v>
      </x:c>
      <x:c r="G5" s="46" t="n">
        <x:v>0.45</x:v>
      </x:c>
      <x:c r="H5" s="46" t="n">
        <x:v>2026</x:v>
      </x:c>
      <x:c r="I5" s="46" t="n">
        <x:v>3</x:v>
      </x:c>
      <x:c r="J5" s="46" t="n">
        <x:v>25</x:v>
      </x:c>
      <x:c r="K5" s="34" t="str">
        <x:v>model_estimate</x:v>
      </x:c>
      <x:c r="L5" s="34" t="str">
        <x:v>용해설비·전력계통·부대설비 포함 표준화 비용 가정</x:v>
      </x:c>
    </x:row>
    <x:row r="6">
      <x:c r="A6" s="34" t="str">
        <x:v>H2_DRI_EAF</x:v>
      </x:c>
      <x:c r="B6" s="34" t="str">
        <x:v>수소 DRI + EAF</x:v>
      </x:c>
      <x:c r="C6" s="46" t="n">
        <x:v>900</x:v>
      </x:c>
      <x:c r="D6" s="46" t="n">
        <x:v>44</x:v>
      </x:c>
      <x:c r="E6" s="46" t="n">
        <x:v>0.58</x:v>
      </x:c>
      <x:c r="F6" s="46" t="n">
        <x:v>0.055</x:v>
      </x:c>
      <x:c r="G6" s="46" t="n">
        <x:v>0.2</x:v>
      </x:c>
      <x:c r="H6" s="46" t="n">
        <x:v>2028</x:v>
      </x:c>
      <x:c r="I6" s="46" t="n">
        <x:v>4</x:v>
      </x:c>
      <x:c r="J6" s="46" t="n">
        <x:v>25</x:v>
      </x:c>
      <x:c r="K6" s="34" t="str">
        <x:v>model_estimate</x:v>
      </x:c>
      <x:c r="L6" s="34" t="str">
        <x:v>DRI 모듈·EAF·저장·BOP 포함 표준화 비용 가정</x:v>
      </x:c>
    </x:row>
    <x:row r="7">
      <x:c r="A7" s="35" t="str">
        <x:v>EAF_RENEWABLE</x:v>
      </x:c>
      <x:c r="B7" s="35" t="str">
        <x:v>기존 EAF 재생전력 업그레이드</x:v>
      </x:c>
      <x:c r="C7" s="47" t="n">
        <x:v>260</x:v>
      </x:c>
      <x:c r="D7" s="47" t="n">
        <x:v>36</x:v>
      </x:c>
      <x:c r="E7" s="47" t="n">
        <x:v>0.68</x:v>
      </x:c>
      <x:c r="F7" s="47" t="n">
        <x:v>0</x:v>
      </x:c>
      <x:c r="G7" s="47" t="n">
        <x:v>0.1</x:v>
      </x:c>
      <x:c r="H7" s="47" t="n">
        <x:v>2026</x:v>
      </x:c>
      <x:c r="I7" s="47" t="n">
        <x:v>2</x:v>
      </x:c>
      <x:c r="J7" s="47" t="n">
        <x:v>20</x:v>
      </x:c>
      <x:c r="K7" s="35" t="str">
        <x:v>model_estimate</x:v>
      </x:c>
      <x:c r="L7" s="35" t="str">
        <x:v>PPA·전력계통·효율개선 패키지 프록시</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1" hidden="0" customWidth="1"/>
    <x:col min="2" max="2" width="21"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34" hidden="0" customWidth="1"/>
  </x:cols>
  <x:sheetData>
    <x:row r="1" ht="28" customHeight="1">
      <x:c r="A1" s="29" t="str">
        <x:v>company_id</x:v>
      </x:c>
      <x:c r="B1" s="29" t="str">
        <x:v>scenario_id</x:v>
      </x:c>
      <x:c r="C1" s="29" t="str">
        <x:v>temperature_label</x:v>
      </x:c>
      <x:c r="D1" s="29" t="str">
        <x:v>year</x:v>
      </x:c>
      <x:c r="E1" s="29" t="str">
        <x:v>company_carbon_budget_mtco2</x:v>
      </x:c>
      <x:c r="F1" s="29" t="str">
        <x:v>electricity_price_krw_per_kwh</x:v>
      </x:c>
      <x:c r="G1" s="29" t="str">
        <x:v>carbon_price_krw_per_tco2</x:v>
      </x:c>
      <x:c r="H1" s="29" t="str">
        <x:v>electrolyzer_capex_index</x:v>
      </x:c>
      <x:c r="I1" s="29" t="str">
        <x:v>data_status</x:v>
      </x:c>
      <x:c r="J1" s="29" t="str">
        <x:v>source_note</x:v>
      </x:c>
    </x:row>
    <x:row r="2">
      <x:c r="A2" s="34" t="str">
        <x:v>POSCO_KR</x:v>
      </x:c>
      <x:c r="B2" s="34" t="str">
        <x:v>DISCLOSED_PATH</x:v>
      </x:c>
      <x:c r="C2" s="34" t="str">
        <x:v>기업 공시경로</x:v>
      </x:c>
      <x:c r="D2" s="72" t="n">
        <x:v>2026</x:v>
      </x:c>
      <x:c r="E2" s="72" t="n">
        <x:v>69.84605</x:v>
      </x:c>
      <x:c r="F2" s="72" t="n">
        <x:v>112</x:v>
      </x:c>
      <x:c r="G2" s="72" t="n">
        <x:v>75000</x:v>
      </x:c>
      <x:c r="H2" s="72" t="n">
        <x:v>1</x:v>
      </x:c>
      <x:c r="I2" s="34" t="str">
        <x:v>official_anchor</x:v>
      </x:c>
      <x:c r="J2" s="34" t="str">
        <x:v>2025 실적에서 시작</x:v>
      </x:c>
    </x:row>
    <x:row r="3">
      <x:c r="A3" s="34" t="str">
        <x:v>POSCO_KR</x:v>
      </x:c>
      <x:c r="B3" s="34" t="str">
        <x:v>DISCLOSED_PATH</x:v>
      </x:c>
      <x:c r="C3" s="34" t="str">
        <x:v>기업 공시경로</x:v>
      </x:c>
      <x:c r="D3" s="72" t="n">
        <x:v>2030</x:v>
      </x:c>
      <x:c r="E3" s="72" t="n">
        <x:v>70.92</x:v>
      </x:c>
      <x:c r="F3" s="72" t="n">
        <x:v>120</x:v>
      </x:c>
      <x:c r="G3" s="72" t="n">
        <x:v>105000</x:v>
      </x:c>
      <x:c r="H3" s="72" t="n">
        <x:v>0.84</x:v>
      </x:c>
      <x:c r="I3" s="34" t="str">
        <x:v>official_target</x:v>
      </x:c>
      <x:c r="J3" s="34" t="str">
        <x:v>2017~2019 기준 10% 감축 목표 환산</x:v>
      </x:c>
    </x:row>
    <x:row r="4">
      <x:c r="A4" s="34" t="str">
        <x:v>POSCO_KR</x:v>
      </x:c>
      <x:c r="B4" s="34" t="str">
        <x:v>DISCLOSED_PATH</x:v>
      </x:c>
      <x:c r="C4" s="34" t="str">
        <x:v>기업 공시경로</x:v>
      </x:c>
      <x:c r="D4" s="72" t="n">
        <x:v>2035</x:v>
      </x:c>
      <x:c r="E4" s="72" t="n">
        <x:v>55.16</x:v>
      </x:c>
      <x:c r="F4" s="72" t="n">
        <x:v>128</x:v>
      </x:c>
      <x:c r="G4" s="72" t="n">
        <x:v>140000</x:v>
      </x:c>
      <x:c r="H4" s="72" t="n">
        <x:v>0.7</x:v>
      </x:c>
      <x:c r="I4" s="34" t="str">
        <x:v>model_anchor</x:v>
      </x:c>
      <x:c r="J4" s="34" t="str">
        <x:v>2035 30% 감축 공시를 반영</x:v>
      </x:c>
    </x:row>
    <x:row r="5">
      <x:c r="A5" s="34" t="str">
        <x:v>POSCO_KR</x:v>
      </x:c>
      <x:c r="B5" s="34" t="str">
        <x:v>DISCLOSED_PATH</x:v>
      </x:c>
      <x:c r="C5" s="34" t="str">
        <x:v>기업 공시경로</x:v>
      </x:c>
      <x:c r="D5" s="72" t="n">
        <x:v>2040</x:v>
      </x:c>
      <x:c r="E5" s="72" t="n">
        <x:v>39.4</x:v>
      </x:c>
      <x:c r="F5" s="72" t="n">
        <x:v>135</x:v>
      </x:c>
      <x:c r="G5" s="72" t="n">
        <x:v>175000</x:v>
      </x:c>
      <x:c r="H5" s="72" t="n">
        <x:v>0.6</x:v>
      </x:c>
      <x:c r="I5" s="34" t="str">
        <x:v>official_target</x:v>
      </x:c>
      <x:c r="J5" s="34" t="str">
        <x:v>2017~2019 기준 50% 감축 목표 환산</x:v>
      </x:c>
    </x:row>
    <x:row r="6">
      <x:c r="A6" s="34" t="str">
        <x:v>POSCO_KR</x:v>
      </x:c>
      <x:c r="B6" s="34" t="str">
        <x:v>ACCELERATED_15C</x:v>
      </x:c>
      <x:c r="C6" s="34" t="str">
        <x:v>내부 1.5°C 스트레스 (비-GCAM)</x:v>
      </x:c>
      <x:c r="D6" s="72" t="n">
        <x:v>2026</x:v>
      </x:c>
      <x:c r="E6" s="72" t="n">
        <x:v>69.84605</x:v>
      </x:c>
      <x:c r="F6" s="72" t="n">
        <x:v>116</x:v>
      </x:c>
      <x:c r="G6" s="72" t="n">
        <x:v>90000</x:v>
      </x:c>
      <x:c r="H6" s="72" t="n">
        <x:v>1</x:v>
      </x:c>
      <x:c r="I6" s="34" t="str">
        <x:v>official_anchor</x:v>
      </x:c>
      <x:c r="J6" s="34" t="str">
        <x:v>2025 실적에서 시작</x:v>
      </x:c>
    </x:row>
    <x:row r="7">
      <x:c r="A7" s="34" t="str">
        <x:v>POSCO_KR</x:v>
      </x:c>
      <x:c r="B7" s="34" t="str">
        <x:v>ACCELERATED_15C</x:v>
      </x:c>
      <x:c r="C7" s="34" t="str">
        <x:v>내부 1.5°C 스트레스 (비-GCAM)</x:v>
      </x:c>
      <x:c r="D7" s="72" t="n">
        <x:v>2030</x:v>
      </x:c>
      <x:c r="E7" s="72" t="n">
        <x:v>63.04</x:v>
      </x:c>
      <x:c r="F7" s="72" t="n">
        <x:v>128</x:v>
      </x:c>
      <x:c r="G7" s="72" t="n">
        <x:v>145000</x:v>
      </x:c>
      <x:c r="H7" s="72" t="n">
        <x:v>0.8</x:v>
      </x:c>
      <x:c r="I7" s="34" t="str">
        <x:v>model_anchor</x:v>
      </x:c>
      <x:c r="J7" s="34" t="str">
        <x:v>과거 20% 감축 지향점과 가속 전환 가정</x:v>
      </x:c>
    </x:row>
    <x:row r="8">
      <x:c r="A8" s="34" t="str">
        <x:v>POSCO_KR</x:v>
      </x:c>
      <x:c r="B8" s="34" t="str">
        <x:v>ACCELERATED_15C</x:v>
      </x:c>
      <x:c r="C8" s="34" t="str">
        <x:v>내부 1.5°C 스트레스 (비-GCAM)</x:v>
      </x:c>
      <x:c r="D8" s="72" t="n">
        <x:v>2035</x:v>
      </x:c>
      <x:c r="E8" s="72" t="n">
        <x:v>39.4</x:v>
      </x:c>
      <x:c r="F8" s="72" t="n">
        <x:v>142</x:v>
      </x:c>
      <x:c r="G8" s="72" t="n">
        <x:v>205000</x:v>
      </x:c>
      <x:c r="H8" s="72" t="n">
        <x:v>0.64</x:v>
      </x:c>
      <x:c r="I8" s="34" t="str">
        <x:v>model_anchor</x:v>
      </x:c>
      <x:c r="J8" s="34" t="str">
        <x:v>공시 2040 목표를 5년 앞당긴 스트레스</x:v>
      </x:c>
    </x:row>
    <x:row r="9">
      <x:c r="A9" s="34" t="str">
        <x:v>POSCO_KR</x:v>
      </x:c>
      <x:c r="B9" s="34" t="str">
        <x:v>ACCELERATED_15C</x:v>
      </x:c>
      <x:c r="C9" s="34" t="str">
        <x:v>내부 1.5°C 스트레스 (비-GCAM)</x:v>
      </x:c>
      <x:c r="D9" s="72" t="n">
        <x:v>2040</x:v>
      </x:c>
      <x:c r="E9" s="72" t="n">
        <x:v>19.7</x:v>
      </x:c>
      <x:c r="F9" s="72" t="n">
        <x:v>155</x:v>
      </x:c>
      <x:c r="G9" s="72" t="n">
        <x:v>260000</x:v>
      </x:c>
      <x:c r="H9" s="72" t="n">
        <x:v>0.53</x:v>
      </x:c>
      <x:c r="I9" s="34" t="str">
        <x:v>model_anchor</x:v>
      </x:c>
      <x:c r="J9" s="34" t="str">
        <x:v>기준 대비 75% 감축 스트레스</x:v>
      </x:c>
    </x:row>
    <x:row r="10">
      <x:c r="A10" s="34" t="str">
        <x:v>NIPPON_STEEL_JP</x:v>
      </x:c>
      <x:c r="B10" s="34" t="str">
        <x:v>DISCLOSED_PATH</x:v>
      </x:c>
      <x:c r="C10" s="34" t="str">
        <x:v>기업 공시경로</x:v>
      </x:c>
      <x:c r="D10" s="72" t="n">
        <x:v>2026</x:v>
      </x:c>
      <x:c r="E10" s="72" t="n">
        <x:v>72.6</x:v>
      </x:c>
      <x:c r="F10" s="72" t="n">
        <x:v>185</x:v>
      </x:c>
      <x:c r="G10" s="72" t="n">
        <x:v>70000</x:v>
      </x:c>
      <x:c r="H10" s="72" t="n">
        <x:v>1</x:v>
      </x:c>
      <x:c r="I10" s="34" t="str">
        <x:v>official_anchor</x:v>
      </x:c>
      <x:c r="J10" s="34" t="str">
        <x:v>FY2024 실적에서 시작</x:v>
      </x:c>
    </x:row>
    <x:row r="11">
      <x:c r="A11" s="34" t="str">
        <x:v>NIPPON_STEEL_JP</x:v>
      </x:c>
      <x:c r="B11" s="34" t="str">
        <x:v>DISCLOSED_PATH</x:v>
      </x:c>
      <x:c r="C11" s="34" t="str">
        <x:v>기업 공시경로</x:v>
      </x:c>
      <x:c r="D11" s="72" t="n">
        <x:v>2030</x:v>
      </x:c>
      <x:c r="E11" s="72" t="n">
        <x:v>70</x:v>
      </x:c>
      <x:c r="F11" s="72" t="n">
        <x:v>193</x:v>
      </x:c>
      <x:c r="G11" s="72" t="n">
        <x:v>100000</x:v>
      </x:c>
      <x:c r="H11" s="72" t="n">
        <x:v>0.84</x:v>
      </x:c>
      <x:c r="I11" s="34" t="str">
        <x:v>model_anchor</x:v>
      </x:c>
      <x:c r="J11" s="34" t="str">
        <x:v>2013 대비 30% 감축 공시의 절대량 프록시</x:v>
      </x:c>
    </x:row>
    <x:row r="12">
      <x:c r="A12" s="34" t="str">
        <x:v>NIPPON_STEEL_JP</x:v>
      </x:c>
      <x:c r="B12" s="34" t="str">
        <x:v>DISCLOSED_PATH</x:v>
      </x:c>
      <x:c r="C12" s="34" t="str">
        <x:v>기업 공시경로</x:v>
      </x:c>
      <x:c r="D12" s="72" t="n">
        <x:v>2035</x:v>
      </x:c>
      <x:c r="E12" s="72" t="n">
        <x:v>52.5</x:v>
      </x:c>
      <x:c r="F12" s="72" t="n">
        <x:v>200</x:v>
      </x:c>
      <x:c r="G12" s="72" t="n">
        <x:v>135000</x:v>
      </x:c>
      <x:c r="H12" s="72" t="n">
        <x:v>0.7</x:v>
      </x:c>
      <x:c r="I12" s="34" t="str">
        <x:v>model_anchor</x:v>
      </x:c>
      <x:c r="J12" s="34" t="str">
        <x:v>2050 탄소중립 선형 중간점</x:v>
      </x:c>
    </x:row>
    <x:row r="13">
      <x:c r="A13" s="34" t="str">
        <x:v>NIPPON_STEEL_JP</x:v>
      </x:c>
      <x:c r="B13" s="34" t="str">
        <x:v>DISCLOSED_PATH</x:v>
      </x:c>
      <x:c r="C13" s="34" t="str">
        <x:v>기업 공시경로</x:v>
      </x:c>
      <x:c r="D13" s="72" t="n">
        <x:v>2040</x:v>
      </x:c>
      <x:c r="E13" s="72" t="n">
        <x:v>35</x:v>
      </x:c>
      <x:c r="F13" s="72" t="n">
        <x:v>207</x:v>
      </x:c>
      <x:c r="G13" s="72" t="n">
        <x:v>170000</x:v>
      </x:c>
      <x:c r="H13" s="72" t="n">
        <x:v>0.6</x:v>
      </x:c>
      <x:c r="I13" s="34" t="str">
        <x:v>model_anchor</x:v>
      </x:c>
      <x:c r="J13" s="34" t="str">
        <x:v>2050 탄소중립 선형 중간점</x:v>
      </x:c>
    </x:row>
    <x:row r="14">
      <x:c r="A14" s="34" t="str">
        <x:v>NIPPON_STEEL_JP</x:v>
      </x:c>
      <x:c r="B14" s="34" t="str">
        <x:v>ACCELERATED_15C</x:v>
      </x:c>
      <x:c r="C14" s="34" t="str">
        <x:v>내부 1.5°C 스트레스 (비-GCAM)</x:v>
      </x:c>
      <x:c r="D14" s="72" t="n">
        <x:v>2026</x:v>
      </x:c>
      <x:c r="E14" s="72" t="n">
        <x:v>72.6</x:v>
      </x:c>
      <x:c r="F14" s="72" t="n">
        <x:v>190</x:v>
      </x:c>
      <x:c r="G14" s="72" t="n">
        <x:v>85000</x:v>
      </x:c>
      <x:c r="H14" s="72" t="n">
        <x:v>1</x:v>
      </x:c>
      <x:c r="I14" s="34" t="str">
        <x:v>official_anchor</x:v>
      </x:c>
      <x:c r="J14" s="34" t="str">
        <x:v>FY2024 실적에서 시작</x:v>
      </x:c>
    </x:row>
    <x:row r="15">
      <x:c r="A15" s="34" t="str">
        <x:v>NIPPON_STEEL_JP</x:v>
      </x:c>
      <x:c r="B15" s="34" t="str">
        <x:v>ACCELERATED_15C</x:v>
      </x:c>
      <x:c r="C15" s="34" t="str">
        <x:v>내부 1.5°C 스트레스 (비-GCAM)</x:v>
      </x:c>
      <x:c r="D15" s="72" t="n">
        <x:v>2030</x:v>
      </x:c>
      <x:c r="E15" s="72" t="n">
        <x:v>60</x:v>
      </x:c>
      <x:c r="F15" s="72" t="n">
        <x:v>205</x:v>
      </x:c>
      <x:c r="G15" s="72" t="n">
        <x:v>140000</x:v>
      </x:c>
      <x:c r="H15" s="72" t="n">
        <x:v>0.8</x:v>
      </x:c>
      <x:c r="I15" s="34" t="str">
        <x:v>model_anchor</x:v>
      </x:c>
      <x:c r="J15" s="34" t="str">
        <x:v>1.5°C 가속 감축 스트레스</x:v>
      </x:c>
    </x:row>
    <x:row r="16">
      <x:c r="A16" s="34" t="str">
        <x:v>NIPPON_STEEL_JP</x:v>
      </x:c>
      <x:c r="B16" s="34" t="str">
        <x:v>ACCELERATED_15C</x:v>
      </x:c>
      <x:c r="C16" s="34" t="str">
        <x:v>내부 1.5°C 스트레스 (비-GCAM)</x:v>
      </x:c>
      <x:c r="D16" s="72" t="n">
        <x:v>2035</x:v>
      </x:c>
      <x:c r="E16" s="72" t="n">
        <x:v>36</x:v>
      </x:c>
      <x:c r="F16" s="72" t="n">
        <x:v>220</x:v>
      </x:c>
      <x:c r="G16" s="72" t="n">
        <x:v>200000</x:v>
      </x:c>
      <x:c r="H16" s="72" t="n">
        <x:v>0.64</x:v>
      </x:c>
      <x:c r="I16" s="34" t="str">
        <x:v>model_anchor</x:v>
      </x:c>
      <x:c r="J16" s="34" t="str">
        <x:v>1.5°C 가속 감축 스트레스</x:v>
      </x:c>
    </x:row>
    <x:row r="17">
      <x:c r="A17" s="34" t="str">
        <x:v>NIPPON_STEEL_JP</x:v>
      </x:c>
      <x:c r="B17" s="34" t="str">
        <x:v>ACCELERATED_15C</x:v>
      </x:c>
      <x:c r="C17" s="34" t="str">
        <x:v>내부 1.5°C 스트레스 (비-GCAM)</x:v>
      </x:c>
      <x:c r="D17" s="72" t="n">
        <x:v>2040</x:v>
      </x:c>
      <x:c r="E17" s="72" t="n">
        <x:v>18</x:v>
      </x:c>
      <x:c r="F17" s="72" t="n">
        <x:v>235</x:v>
      </x:c>
      <x:c r="G17" s="72" t="n">
        <x:v>255000</x:v>
      </x:c>
      <x:c r="H17" s="72" t="n">
        <x:v>0.53</x:v>
      </x:c>
      <x:c r="I17" s="34" t="str">
        <x:v>model_anchor</x:v>
      </x:c>
      <x:c r="J17" s="34" t="str">
        <x:v>1.5°C 가속 감축 스트레스</x:v>
      </x:c>
    </x:row>
    <x:row r="18">
      <x:c r="A18" s="34" t="str">
        <x:v>JFE_STEEL_JP</x:v>
      </x:c>
      <x:c r="B18" s="34" t="str">
        <x:v>DISCLOSED_PATH</x:v>
      </x:c>
      <x:c r="C18" s="34" t="str">
        <x:v>기업 공시경로</x:v>
      </x:c>
      <x:c r="D18" s="72" t="n">
        <x:v>2026</x:v>
      </x:c>
      <x:c r="E18" s="72" t="n">
        <x:v>45.3</x:v>
      </x:c>
      <x:c r="F18" s="72" t="n">
        <x:v>185</x:v>
      </x:c>
      <x:c r="G18" s="72" t="n">
        <x:v>70000</x:v>
      </x:c>
      <x:c r="H18" s="72" t="n">
        <x:v>1</x:v>
      </x:c>
      <x:c r="I18" s="34" t="str">
        <x:v>official_anchor</x:v>
      </x:c>
      <x:c r="J18" s="34" t="str">
        <x:v>FY2024 실적에서 시작</x:v>
      </x:c>
    </x:row>
    <x:row r="19">
      <x:c r="A19" s="34" t="str">
        <x:v>JFE_STEEL_JP</x:v>
      </x:c>
      <x:c r="B19" s="34" t="str">
        <x:v>DISCLOSED_PATH</x:v>
      </x:c>
      <x:c r="C19" s="34" t="str">
        <x:v>기업 공시경로</x:v>
      </x:c>
      <x:c r="D19" s="72" t="n">
        <x:v>2030</x:v>
      </x:c>
      <x:c r="E19" s="72" t="n">
        <x:v>40.67</x:v>
      </x:c>
      <x:c r="F19" s="72" t="n">
        <x:v>193</x:v>
      </x:c>
      <x:c r="G19" s="72" t="n">
        <x:v>100000</x:v>
      </x:c>
      <x:c r="H19" s="72" t="n">
        <x:v>0.84</x:v>
      </x:c>
      <x:c r="I19" s="34" t="str">
        <x:v>official_target</x:v>
      </x:c>
      <x:c r="J19" s="34" t="str">
        <x:v>2013년 58.1Mt 대비 30% 감축 환산</x:v>
      </x:c>
    </x:row>
    <x:row r="20">
      <x:c r="A20" s="34" t="str">
        <x:v>JFE_STEEL_JP</x:v>
      </x:c>
      <x:c r="B20" s="34" t="str">
        <x:v>DISCLOSED_PATH</x:v>
      </x:c>
      <x:c r="C20" s="34" t="str">
        <x:v>기업 공시경로</x:v>
      </x:c>
      <x:c r="D20" s="72" t="n">
        <x:v>2035</x:v>
      </x:c>
      <x:c r="E20" s="72" t="n">
        <x:v>30.5</x:v>
      </x:c>
      <x:c r="F20" s="72" t="n">
        <x:v>200</x:v>
      </x:c>
      <x:c r="G20" s="72" t="n">
        <x:v>135000</x:v>
      </x:c>
      <x:c r="H20" s="72" t="n">
        <x:v>0.7</x:v>
      </x:c>
      <x:c r="I20" s="34" t="str">
        <x:v>model_anchor</x:v>
      </x:c>
      <x:c r="J20" s="34" t="str">
        <x:v>2050 탄소중립 중간점</x:v>
      </x:c>
    </x:row>
    <x:row r="21">
      <x:c r="A21" s="34" t="str">
        <x:v>JFE_STEEL_JP</x:v>
      </x:c>
      <x:c r="B21" s="34" t="str">
        <x:v>DISCLOSED_PATH</x:v>
      </x:c>
      <x:c r="C21" s="34" t="str">
        <x:v>기업 공시경로</x:v>
      </x:c>
      <x:c r="D21" s="72" t="n">
        <x:v>2040</x:v>
      </x:c>
      <x:c r="E21" s="72" t="n">
        <x:v>20.34</x:v>
      </x:c>
      <x:c r="F21" s="72" t="n">
        <x:v>207</x:v>
      </x:c>
      <x:c r="G21" s="72" t="n">
        <x:v>170000</x:v>
      </x:c>
      <x:c r="H21" s="72" t="n">
        <x:v>0.6</x:v>
      </x:c>
      <x:c r="I21" s="34" t="str">
        <x:v>model_anchor</x:v>
      </x:c>
      <x:c r="J21" s="34" t="str">
        <x:v>2050 탄소중립 중간점</x:v>
      </x:c>
    </x:row>
    <x:row r="22">
      <x:c r="A22" s="34" t="str">
        <x:v>JFE_STEEL_JP</x:v>
      </x:c>
      <x:c r="B22" s="34" t="str">
        <x:v>ACCELERATED_15C</x:v>
      </x:c>
      <x:c r="C22" s="34" t="str">
        <x:v>내부 1.5°C 스트레스 (비-GCAM)</x:v>
      </x:c>
      <x:c r="D22" s="72" t="n">
        <x:v>2026</x:v>
      </x:c>
      <x:c r="E22" s="72" t="n">
        <x:v>45.3</x:v>
      </x:c>
      <x:c r="F22" s="72" t="n">
        <x:v>190</x:v>
      </x:c>
      <x:c r="G22" s="72" t="n">
        <x:v>85000</x:v>
      </x:c>
      <x:c r="H22" s="72" t="n">
        <x:v>1</x:v>
      </x:c>
      <x:c r="I22" s="34" t="str">
        <x:v>official_anchor</x:v>
      </x:c>
      <x:c r="J22" s="34" t="str">
        <x:v>FY2024 실적에서 시작</x:v>
      </x:c>
    </x:row>
    <x:row r="23">
      <x:c r="A23" s="34" t="str">
        <x:v>JFE_STEEL_JP</x:v>
      </x:c>
      <x:c r="B23" s="34" t="str">
        <x:v>ACCELERATED_15C</x:v>
      </x:c>
      <x:c r="C23" s="34" t="str">
        <x:v>내부 1.5°C 스트레스 (비-GCAM)</x:v>
      </x:c>
      <x:c r="D23" s="72" t="n">
        <x:v>2030</x:v>
      </x:c>
      <x:c r="E23" s="72" t="n">
        <x:v>34.86</x:v>
      </x:c>
      <x:c r="F23" s="72" t="n">
        <x:v>205</x:v>
      </x:c>
      <x:c r="G23" s="72" t="n">
        <x:v>140000</x:v>
      </x:c>
      <x:c r="H23" s="72" t="n">
        <x:v>0.8</x:v>
      </x:c>
      <x:c r="I23" s="34" t="str">
        <x:v>model_anchor</x:v>
      </x:c>
      <x:c r="J23" s="34" t="str">
        <x:v>2013 대비 40% 감축 스트레스</x:v>
      </x:c>
    </x:row>
    <x:row r="24">
      <x:c r="A24" s="34" t="str">
        <x:v>JFE_STEEL_JP</x:v>
      </x:c>
      <x:c r="B24" s="34" t="str">
        <x:v>ACCELERATED_15C</x:v>
      </x:c>
      <x:c r="C24" s="34" t="str">
        <x:v>내부 1.5°C 스트레스 (비-GCAM)</x:v>
      </x:c>
      <x:c r="D24" s="72" t="n">
        <x:v>2035</x:v>
      </x:c>
      <x:c r="E24" s="72" t="n">
        <x:v>20</x:v>
      </x:c>
      <x:c r="F24" s="72" t="n">
        <x:v>220</x:v>
      </x:c>
      <x:c r="G24" s="72" t="n">
        <x:v>200000</x:v>
      </x:c>
      <x:c r="H24" s="72" t="n">
        <x:v>0.64</x:v>
      </x:c>
      <x:c r="I24" s="34" t="str">
        <x:v>model_anchor</x:v>
      </x:c>
      <x:c r="J24" s="34" t="str">
        <x:v>1.5°C 가속 감축 스트레스</x:v>
      </x:c>
    </x:row>
    <x:row r="25">
      <x:c r="A25" s="34" t="str">
        <x:v>JFE_STEEL_JP</x:v>
      </x:c>
      <x:c r="B25" s="34" t="str">
        <x:v>ACCELERATED_15C</x:v>
      </x:c>
      <x:c r="C25" s="34" t="str">
        <x:v>내부 1.5°C 스트레스 (비-GCAM)</x:v>
      </x:c>
      <x:c r="D25" s="72" t="n">
        <x:v>2040</x:v>
      </x:c>
      <x:c r="E25" s="72" t="n">
        <x:v>10</x:v>
      </x:c>
      <x:c r="F25" s="72" t="n">
        <x:v>235</x:v>
      </x:c>
      <x:c r="G25" s="72" t="n">
        <x:v>255000</x:v>
      </x:c>
      <x:c r="H25" s="72" t="n">
        <x:v>0.53</x:v>
      </x:c>
      <x:c r="I25" s="34" t="str">
        <x:v>model_anchor</x:v>
      </x:c>
      <x:c r="J25" s="34" t="str">
        <x:v>1.5°C 가속 감축 스트레스</x:v>
      </x:c>
    </x:row>
    <x:row r="26">
      <x:c r="A26" s="34" t="str">
        <x:v>KOBE_STEEL_JP</x:v>
      </x:c>
      <x:c r="B26" s="34" t="str">
        <x:v>DISCLOSED_PATH</x:v>
      </x:c>
      <x:c r="C26" s="34" t="str">
        <x:v>기업 공시경로</x:v>
      </x:c>
      <x:c r="D26" s="72" t="n">
        <x:v>2026</x:v>
      </x:c>
      <x:c r="E26" s="72" t="n">
        <x:v>14.3001</x:v>
      </x:c>
      <x:c r="F26" s="72" t="n">
        <x:v>185</x:v>
      </x:c>
      <x:c r="G26" s="72" t="n">
        <x:v>70000</x:v>
      </x:c>
      <x:c r="H26" s="72" t="n">
        <x:v>1</x:v>
      </x:c>
      <x:c r="I26" s="34" t="str">
        <x:v>official_anchor</x:v>
      </x:c>
      <x:c r="J26" s="34" t="str">
        <x:v>FY2024 목표경계 실적에서 시작</x:v>
      </x:c>
    </x:row>
    <x:row r="27">
      <x:c r="A27" s="34" t="str">
        <x:v>KOBE_STEEL_JP</x:v>
      </x:c>
      <x:c r="B27" s="34" t="str">
        <x:v>DISCLOSED_PATH</x:v>
      </x:c>
      <x:c r="C27" s="34" t="str">
        <x:v>기업 공시경로</x:v>
      </x:c>
      <x:c r="D27" s="72" t="n">
        <x:v>2030</x:v>
      </x:c>
      <x:c r="E27" s="72" t="n">
        <x:v>11.96</x:v>
      </x:c>
      <x:c r="F27" s="72" t="n">
        <x:v>193</x:v>
      </x:c>
      <x:c r="G27" s="72" t="n">
        <x:v>100000</x:v>
      </x:c>
      <x:c r="H27" s="72" t="n">
        <x:v>0.84</x:v>
      </x:c>
      <x:c r="I27" s="34" t="str">
        <x:v>model_anchor</x:v>
      </x:c>
      <x:c r="J27" s="34" t="str">
        <x:v>공시 30~40% 범위의 중간 35% 감축 환산</x:v>
      </x:c>
    </x:row>
    <x:row r="28">
      <x:c r="A28" s="34" t="str">
        <x:v>KOBE_STEEL_JP</x:v>
      </x:c>
      <x:c r="B28" s="34" t="str">
        <x:v>DISCLOSED_PATH</x:v>
      </x:c>
      <x:c r="C28" s="34" t="str">
        <x:v>기업 공시경로</x:v>
      </x:c>
      <x:c r="D28" s="72" t="n">
        <x:v>2035</x:v>
      </x:c>
      <x:c r="E28" s="72" t="n">
        <x:v>8.97</x:v>
      </x:c>
      <x:c r="F28" s="72" t="n">
        <x:v>200</x:v>
      </x:c>
      <x:c r="G28" s="72" t="n">
        <x:v>135000</x:v>
      </x:c>
      <x:c r="H28" s="72" t="n">
        <x:v>0.7</x:v>
      </x:c>
      <x:c r="I28" s="34" t="str">
        <x:v>model_anchor</x:v>
      </x:c>
      <x:c r="J28" s="34" t="str">
        <x:v>2050 탄소중립 중간점</x:v>
      </x:c>
    </x:row>
    <x:row r="29">
      <x:c r="A29" s="34" t="str">
        <x:v>KOBE_STEEL_JP</x:v>
      </x:c>
      <x:c r="B29" s="34" t="str">
        <x:v>DISCLOSED_PATH</x:v>
      </x:c>
      <x:c r="C29" s="34" t="str">
        <x:v>기업 공시경로</x:v>
      </x:c>
      <x:c r="D29" s="72" t="n">
        <x:v>2040</x:v>
      </x:c>
      <x:c r="E29" s="72" t="n">
        <x:v>5.98</x:v>
      </x:c>
      <x:c r="F29" s="72" t="n">
        <x:v>207</x:v>
      </x:c>
      <x:c r="G29" s="72" t="n">
        <x:v>170000</x:v>
      </x:c>
      <x:c r="H29" s="72" t="n">
        <x:v>0.6</x:v>
      </x:c>
      <x:c r="I29" s="34" t="str">
        <x:v>model_anchor</x:v>
      </x:c>
      <x:c r="J29" s="34" t="str">
        <x:v>2050 탄소중립 중간점</x:v>
      </x:c>
    </x:row>
    <x:row r="30">
      <x:c r="A30" s="34" t="str">
        <x:v>KOBE_STEEL_JP</x:v>
      </x:c>
      <x:c r="B30" s="34" t="str">
        <x:v>ACCELERATED_15C</x:v>
      </x:c>
      <x:c r="C30" s="34" t="str">
        <x:v>내부 1.5°C 스트레스 (비-GCAM)</x:v>
      </x:c>
      <x:c r="D30" s="72" t="n">
        <x:v>2026</x:v>
      </x:c>
      <x:c r="E30" s="72" t="n">
        <x:v>14.3001</x:v>
      </x:c>
      <x:c r="F30" s="72" t="n">
        <x:v>190</x:v>
      </x:c>
      <x:c r="G30" s="72" t="n">
        <x:v>85000</x:v>
      </x:c>
      <x:c r="H30" s="72" t="n">
        <x:v>1</x:v>
      </x:c>
      <x:c r="I30" s="34" t="str">
        <x:v>official_anchor</x:v>
      </x:c>
      <x:c r="J30" s="34" t="str">
        <x:v>FY2024 목표경계 실적에서 시작</x:v>
      </x:c>
    </x:row>
    <x:row r="31">
      <x:c r="A31" s="34" t="str">
        <x:v>KOBE_STEEL_JP</x:v>
      </x:c>
      <x:c r="B31" s="34" t="str">
        <x:v>ACCELERATED_15C</x:v>
      </x:c>
      <x:c r="C31" s="34" t="str">
        <x:v>내부 1.5°C 스트레스 (비-GCAM)</x:v>
      </x:c>
      <x:c r="D31" s="72" t="n">
        <x:v>2030</x:v>
      </x:c>
      <x:c r="E31" s="72" t="n">
        <x:v>10.1</x:v>
      </x:c>
      <x:c r="F31" s="72" t="n">
        <x:v>205</x:v>
      </x:c>
      <x:c r="G31" s="72" t="n">
        <x:v>140000</x:v>
      </x:c>
      <x:c r="H31" s="72" t="n">
        <x:v>0.8</x:v>
      </x:c>
      <x:c r="I31" s="34" t="str">
        <x:v>model_anchor</x:v>
      </x:c>
      <x:c r="J31" s="34" t="str">
        <x:v>2013 대비 45% 감축 스트레스</x:v>
      </x:c>
    </x:row>
    <x:row r="32">
      <x:c r="A32" s="34" t="str">
        <x:v>KOBE_STEEL_JP</x:v>
      </x:c>
      <x:c r="B32" s="34" t="str">
        <x:v>ACCELERATED_15C</x:v>
      </x:c>
      <x:c r="C32" s="34" t="str">
        <x:v>내부 1.5°C 스트레스 (비-GCAM)</x:v>
      </x:c>
      <x:c r="D32" s="72" t="n">
        <x:v>2035</x:v>
      </x:c>
      <x:c r="E32" s="72" t="n">
        <x:v>7.8</x:v>
      </x:c>
      <x:c r="F32" s="72" t="n">
        <x:v>220</x:v>
      </x:c>
      <x:c r="G32" s="72" t="n">
        <x:v>200000</x:v>
      </x:c>
      <x:c r="H32" s="72" t="n">
        <x:v>0.64</x:v>
      </x:c>
      <x:c r="I32" s="34" t="str">
        <x:v>model_anchor</x:v>
      </x:c>
      <x:c r="J32" s="34" t="str">
        <x:v>1.5°C 가속 감축 스트레스</x:v>
      </x:c>
    </x:row>
    <x:row r="33">
      <x:c r="A33" s="35" t="str">
        <x:v>KOBE_STEEL_JP</x:v>
      </x:c>
      <x:c r="B33" s="35" t="str">
        <x:v>ACCELERATED_15C</x:v>
      </x:c>
      <x:c r="C33" s="35" t="str">
        <x:v>내부 1.5°C 스트레스 (비-GCAM)</x:v>
      </x:c>
      <x:c r="D33" s="73" t="n">
        <x:v>2040</x:v>
      </x:c>
      <x:c r="E33" s="73" t="n">
        <x:v>3</x:v>
      </x:c>
      <x:c r="F33" s="73" t="n">
        <x:v>235</x:v>
      </x:c>
      <x:c r="G33" s="73" t="n">
        <x:v>255000</x:v>
      </x:c>
      <x:c r="H33" s="73" t="n">
        <x:v>0.53</x:v>
      </x:c>
      <x:c r="I33" s="35" t="str">
        <x:v>model_anchor</x:v>
      </x:c>
      <x:c r="J33" s="35" t="str">
        <x:v>1.5°C 가속 감축 스트레스</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2" hidden="0" customWidth="1"/>
    <x:col min="2" max="2" width="33" hidden="0" customWidth="1"/>
    <x:col min="3" max="3" width="23" hidden="0" customWidth="1"/>
    <x:col min="4" max="4" width="16" hidden="0" customWidth="1"/>
    <x:col min="5" max="5" width="12" hidden="0" customWidth="1"/>
    <x:col min="6" max="6" width="25" hidden="0" customWidth="1"/>
    <x:col min="7" max="7" width="17" hidden="0" customWidth="1"/>
    <x:col min="8" max="8" width="48" hidden="0" customWidth="1"/>
    <x:col min="9" max="9" width="24" hidden="0" customWidth="1"/>
    <x:col min="10" max="10" width="18" hidden="0" customWidth="1"/>
    <x:col min="11" max="11" width="25" hidden="0" customWidth="1"/>
    <x:col min="12" max="12" width="28" hidden="0" customWidth="1"/>
    <x:col min="13" max="13" width="30" hidden="0" customWidth="1"/>
    <x:col min="14" max="14" width="58" hidden="0" customWidth="1"/>
  </x:cols>
  <x:sheetData>
    <x:row r="1" ht="28" customHeight="1">
      <x:c r="A1" s="29" t="str">
        <x:v>scenario_id</x:v>
      </x:c>
      <x:c r="B1" s="29" t="str">
        <x:v>scenario_name</x:v>
      </x:c>
      <x:c r="C1" s="29" t="str">
        <x:v>scenario_family</x:v>
      </x:c>
      <x:c r="D1" s="29" t="str">
        <x:v>climate_target_c</x:v>
      </x:c>
      <x:c r="E1" s="29" t="str">
        <x:v>is_active</x:v>
      </x:c>
      <x:c r="F1" s="29" t="str">
        <x:v>model_name</x:v>
      </x:c>
      <x:c r="G1" s="29" t="str">
        <x:v>model_version</x:v>
      </x:c>
      <x:c r="H1" s="29" t="str">
        <x:v>source_url</x:v>
      </x:c>
      <x:c r="I1" s="29" t="str">
        <x:v>source_version</x:v>
      </x:c>
      <x:c r="J1" s="29" t="str">
        <x:v>extraction_date</x:v>
      </x:c>
      <x:c r="K1" s="29" t="str">
        <x:v>geography</x:v>
      </x:c>
      <x:c r="L1" s="29" t="str">
        <x:v>integration_status</x:v>
      </x:c>
      <x:c r="M1" s="29" t="str">
        <x:v>data_status</x:v>
      </x:c>
      <x:c r="N1" s="29" t="str">
        <x:v>source_note</x:v>
      </x:c>
    </x:row>
    <x:row r="2" ht="42" customHeight="1">
      <x:c r="A2" s="34" t="str">
        <x:v>DISCLOSED_PATH</x:v>
      </x:c>
      <x:c r="B2" s="34" t="str">
        <x:v>기업 공시경로</x:v>
      </x:c>
      <x:c r="C2" s="34" t="str">
        <x:v>corporate_disclosed</x:v>
      </x:c>
      <x:c r="D2" s="52" t="str"/>
      <x:c r="E2" s="40" t="b">
        <x:v>1</x:v>
      </x:c>
      <x:c r="F2" s="34" t="str">
        <x:v>기업 공시와 내부 보간</x:v>
      </x:c>
      <x:c r="G2" s="34" t="str">
        <x:v>0.8.0</x:v>
      </x:c>
      <x:c r="H2" s="34" t="str"/>
      <x:c r="I2" s="34" t="str">
        <x:v>2025 disclosures</x:v>
      </x:c>
      <x:c r="J2" s="34" t="str">
        <x:v>2026-08-07</x:v>
      </x:c>
      <x:c r="K2" s="34" t="str">
        <x:v>회사별 공시 경계</x:v>
      </x:c>
      <x:c r="L2" s="34" t="str">
        <x:v>active</x:v>
      </x:c>
      <x:c r="M2" s="34" t="str">
        <x:v>official_anchor_plus_model_interpolation</x:v>
      </x:c>
      <x:c r="N2" s="34" t="str">
        <x:v>기업별 원문은 companies.csv에 기록; 공시 목표를 절대배출 앵커로 환산한 경로이며 GCAM 경로가 아님</x:v>
      </x:c>
    </x:row>
    <x:row r="3" ht="42" customHeight="1">
      <x:c r="A3" s="34" t="str">
        <x:v>ACCELERATED_15C</x:v>
      </x:c>
      <x:c r="B3" s="34" t="str">
        <x:v>내부 1.5°C 스트레스 (비-GCAM)</x:v>
      </x:c>
      <x:c r="C3" s="34" t="str">
        <x:v>internal_stress</x:v>
      </x:c>
      <x:c r="D3" s="52" t="n">
        <x:v>1.5</x:v>
      </x:c>
      <x:c r="E3" s="40" t="b">
        <x:v>1</x:v>
      </x:c>
      <x:c r="F3" s="34" t="str">
        <x:v>내부 스트레스 테스트</x:v>
      </x:c>
      <x:c r="G3" s="34" t="str">
        <x:v>0.8.0</x:v>
      </x:c>
      <x:c r="H3" s="34" t="str"/>
      <x:c r="I3" s="34" t="str">
        <x:v>internal-v0.8.0</x:v>
      </x:c>
      <x:c r="J3" s="34" t="str">
        <x:v>2026-08-07</x:v>
      </x:c>
      <x:c r="K3" s="34" t="str">
        <x:v>회사별 공시 경계</x:v>
      </x:c>
      <x:c r="L3" s="34" t="str">
        <x:v>active</x:v>
      </x:c>
      <x:c r="M3" s="34" t="str">
        <x:v>model_estimate</x:v>
      </x:c>
      <x:c r="N3" s="34" t="str">
        <x:v>내부 가정은 METHODOLOGY.md에 기록; 1.5°C는 가속 스트레스의 방향을 뜻하며 공식 GCAM 결과가 아님</x:v>
      </x:c>
    </x:row>
    <x:row r="4" ht="42" customHeight="1">
      <x:c r="A4" s="34" t="str">
        <x:v>GCAM_15C</x:v>
      </x:c>
      <x:c r="B4" s="34" t="str">
        <x:v>GCAM 1.5°C 공식 추출 대기</x:v>
      </x:c>
      <x:c r="C4" s="34" t="str">
        <x:v>gcam_climate</x:v>
      </x:c>
      <x:c r="D4" s="52" t="n">
        <x:v>1.5</x:v>
      </x:c>
      <x:c r="E4" s="40" t="b">
        <x:v>0</x:v>
      </x:c>
      <x:c r="F4" s="34" t="str">
        <x:v>GCAM + Hector</x:v>
      </x:c>
      <x:c r="G4" s="34" t="str">
        <x:v>pending</x:v>
      </x:c>
      <x:c r="H4" s="34" t="str">
        <x:v>https://jgcri.github.io/gcam-doc/hector.html</x:v>
      </x:c>
      <x:c r="I4" s="34" t="str">
        <x:v>pending</x:v>
      </x:c>
      <x:c r="J4" s="34" t="str"/>
      <x:c r="K4" s="34" t="str">
        <x:v>한국·일본 GCAM 지역</x:v>
      </x:c>
      <x:c r="L4" s="34" t="str">
        <x:v>pending_database_export</x:v>
      </x:c>
      <x:c r="M4" s="34" t="str">
        <x:v>pending_official_extract</x:v>
      </x:c>
      <x:c r="N4" s="34" t="str">
        <x:v>GCAM DB 버전·구성명·query XML·추출 CSV·SHA256이 확보되기 전에는 숫자 앵커와 정책값을 활성화하지 않음</x:v>
      </x:c>
    </x:row>
    <x:row r="5" ht="42" customHeight="1">
      <x:c r="A5" s="35" t="str">
        <x:v>GCAM_2C</x:v>
      </x:c>
      <x:c r="B5" s="35" t="str">
        <x:v>GCAM 2.0°C 공식 추출 대기</x:v>
      </x:c>
      <x:c r="C5" s="35" t="str">
        <x:v>gcam_climate</x:v>
      </x:c>
      <x:c r="D5" s="53" t="n">
        <x:v>2</x:v>
      </x:c>
      <x:c r="E5" s="41" t="b">
        <x:v>0</x:v>
      </x:c>
      <x:c r="F5" s="35" t="str">
        <x:v>GCAM + Hector</x:v>
      </x:c>
      <x:c r="G5" s="35" t="str">
        <x:v>pending</x:v>
      </x:c>
      <x:c r="H5" s="35" t="str">
        <x:v>https://jgcri.github.io/gcam-doc/hector.html</x:v>
      </x:c>
      <x:c r="I5" s="35" t="str">
        <x:v>pending</x:v>
      </x:c>
      <x:c r="J5" s="35" t="str"/>
      <x:c r="K5" s="35" t="str">
        <x:v>한국·일본 GCAM 지역</x:v>
      </x:c>
      <x:c r="L5" s="35" t="str">
        <x:v>pending_database_export</x:v>
      </x:c>
      <x:c r="M5" s="35" t="str">
        <x:v>pending_official_extract</x:v>
      </x:c>
      <x:c r="N5" s="35" t="str">
        <x:v>GCAM DB 버전·구성명·query XML·추출 CSV·SHA256이 확보되기 전에는 숫자 앵커와 정책값을 활성화하지 않음</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1" hidden="0" customWidth="1"/>
    <x:col min="2" max="2" width="21" hidden="0" customWidth="1"/>
    <x:col min="3" max="3" width="24"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34" hidden="0" customWidth="1"/>
  </x:cols>
  <x:sheetData>
    <x:row r="1" ht="28" customHeight="1">
      <x:c r="A1" s="29" t="str">
        <x:v>company_id</x:v>
      </x:c>
      <x:c r="B1" s="29" t="str">
        <x:v>plan_id</x:v>
      </x:c>
      <x:c r="C1" s="29" t="str">
        <x:v>plan_name</x:v>
      </x:c>
      <x:c r="D1" s="29" t="str">
        <x:v>schedule_shift_years</x:v>
      </x:c>
      <x:c r="E1" s="29" t="str">
        <x:v>min_h2_capacity_share</x:v>
      </x:c>
      <x:c r="F1" s="29" t="str">
        <x:v>ppa_share</x:v>
      </x:c>
      <x:c r="G1" s="29" t="str">
        <x:v>hydrogen_contract_share</x:v>
      </x:c>
      <x:c r="H1" s="29" t="str">
        <x:v>fixed_epc_share</x:v>
      </x:c>
      <x:c r="I1" s="29" t="str">
        <x:v>ccfd_share</x:v>
      </x:c>
      <x:c r="J1" s="29" t="str">
        <x:v>contract_premium_pct</x:v>
      </x:c>
      <x:c r="K1" s="29" t="str">
        <x:v>is_disclosed_plan</x:v>
      </x:c>
      <x:c r="L1" s="29" t="str">
        <x:v>data_status</x:v>
      </x:c>
      <x:c r="M1" s="29" t="str">
        <x:v>source_note</x:v>
      </x:c>
    </x:row>
    <x:row r="2">
      <x:c r="A2" s="34" t="str">
        <x:v>ALL</x:v>
      </x:c>
      <x:c r="B2" s="34" t="str">
        <x:v>P1</x:v>
      </x:c>
      <x:c r="C2" s="34" t="str">
        <x:v>지연·현물조달</x:v>
      </x:c>
      <x:c r="D2" s="46" t="n">
        <x:v>1</x:v>
      </x:c>
      <x:c r="E2" s="46" t="n">
        <x:v>0</x:v>
      </x:c>
      <x:c r="F2" s="46" t="n">
        <x:v>0</x:v>
      </x:c>
      <x:c r="G2" s="46" t="n">
        <x:v>0</x:v>
      </x:c>
      <x:c r="H2" s="46" t="n">
        <x:v>0.1</x:v>
      </x:c>
      <x:c r="I2" s="46" t="n">
        <x:v>0</x:v>
      </x:c>
      <x:c r="J2" s="46" t="n">
        <x:v>0</x:v>
      </x:c>
      <x:c r="K2" s="40" t="b">
        <x:v>0</x:v>
      </x:c>
      <x:c r="L2" s="34" t="str">
        <x:v>model_estimate</x:v>
      </x:c>
      <x:c r="M2" s="34" t="str">
        <x:v>저비용·고노출 대안</x:v>
      </x:c>
    </x:row>
    <x:row r="3">
      <x:c r="A3" s="34" t="str">
        <x:v>ALL</x:v>
      </x:c>
      <x:c r="B3" s="34" t="str">
        <x:v>P2</x:v>
      </x:c>
      <x:c r="C3" s="34" t="str">
        <x:v>지연·부분헤지</x:v>
      </x:c>
      <x:c r="D3" s="46" t="n">
        <x:v>1</x:v>
      </x:c>
      <x:c r="E3" s="46" t="n">
        <x:v>0.2</x:v>
      </x:c>
      <x:c r="F3" s="46" t="n">
        <x:v>0.15</x:v>
      </x:c>
      <x:c r="G3" s="46" t="n">
        <x:v>0.1</x:v>
      </x:c>
      <x:c r="H3" s="46" t="n">
        <x:v>0.2</x:v>
      </x:c>
      <x:c r="I3" s="46" t="n">
        <x:v>0.1</x:v>
      </x:c>
      <x:c r="J3" s="46" t="n">
        <x:v>0.01</x:v>
      </x:c>
      <x:c r="K3" s="40" t="b">
        <x:v>0</x:v>
      </x:c>
      <x:c r="L3" s="34" t="str">
        <x:v>model_estimate</x:v>
      </x:c>
      <x:c r="M3" s="34" t="str">
        <x:v>초기 계약 전환 대안</x:v>
      </x:c>
    </x:row>
    <x:row r="4">
      <x:c r="A4" s="34" t="str">
        <x:v>ALL</x:v>
      </x:c>
      <x:c r="B4" s="34" t="str">
        <x:v>P3</x:v>
      </x:c>
      <x:c r="C4" s="34" t="str">
        <x:v>균형형 라이트헤지</x:v>
      </x:c>
      <x:c r="D4" s="46" t="n">
        <x:v>1</x:v>
      </x:c>
      <x:c r="E4" s="46" t="n">
        <x:v>0.35</x:v>
      </x:c>
      <x:c r="F4" s="46" t="n">
        <x:v>0.3</x:v>
      </x:c>
      <x:c r="G4" s="46" t="n">
        <x:v>0.25</x:v>
      </x:c>
      <x:c r="H4" s="46" t="n">
        <x:v>0.35</x:v>
      </x:c>
      <x:c r="I4" s="46" t="n">
        <x:v>0.25</x:v>
      </x:c>
      <x:c r="J4" s="46" t="n">
        <x:v>0.015</x:v>
      </x:c>
      <x:c r="K4" s="40" t="b">
        <x:v>0</x:v>
      </x:c>
      <x:c r="L4" s="34" t="str">
        <x:v>model_estimate</x:v>
      </x:c>
      <x:c r="M4" s="34" t="str">
        <x:v>중간 기술·계약 확약</x:v>
      </x:c>
    </x:row>
    <x:row r="5">
      <x:c r="A5" s="34" t="str">
        <x:v>ALL</x:v>
      </x:c>
      <x:c r="B5" s="34" t="str">
        <x:v>P4</x:v>
      </x:c>
      <x:c r="C5" s="34" t="str">
        <x:v>균형형 전환</x:v>
      </x:c>
      <x:c r="D5" s="46" t="n">
        <x:v>0</x:v>
      </x:c>
      <x:c r="E5" s="46" t="n">
        <x:v>0.5</x:v>
      </x:c>
      <x:c r="F5" s="46" t="n">
        <x:v>0.5</x:v>
      </x:c>
      <x:c r="G5" s="46" t="n">
        <x:v>0.45</x:v>
      </x:c>
      <x:c r="H5" s="46" t="n">
        <x:v>0.5</x:v>
      </x:c>
      <x:c r="I5" s="46" t="n">
        <x:v>0.4</x:v>
      </x:c>
      <x:c r="J5" s="46" t="n">
        <x:v>0.02</x:v>
      </x:c>
      <x:c r="K5" s="40" t="b">
        <x:v>0</x:v>
      </x:c>
      <x:c r="L5" s="34" t="str">
        <x:v>model_estimate</x:v>
      </x:c>
      <x:c r="M5" s="34" t="str">
        <x:v>중앙 대안</x:v>
      </x:c>
    </x:row>
    <x:row r="6">
      <x:c r="A6" s="34" t="str">
        <x:v>ALL</x:v>
      </x:c>
      <x:c r="B6" s="34" t="str">
        <x:v>P5</x:v>
      </x:c>
      <x:c r="C6" s="34" t="str">
        <x:v>조기 계약형 전환</x:v>
      </x:c>
      <x:c r="D6" s="46" t="n">
        <x:v>0</x:v>
      </x:c>
      <x:c r="E6" s="46" t="n">
        <x:v>0.65</x:v>
      </x:c>
      <x:c r="F6" s="46" t="n">
        <x:v>0.7</x:v>
      </x:c>
      <x:c r="G6" s="46" t="n">
        <x:v>0.65</x:v>
      </x:c>
      <x:c r="H6" s="46" t="n">
        <x:v>0.65</x:v>
      </x:c>
      <x:c r="I6" s="46" t="n">
        <x:v>0.6</x:v>
      </x:c>
      <x:c r="J6" s="46" t="n">
        <x:v>0.025</x:v>
      </x:c>
      <x:c r="K6" s="40" t="b">
        <x:v>0</x:v>
      </x:c>
      <x:c r="L6" s="34" t="str">
        <x:v>model_estimate</x:v>
      </x:c>
      <x:c r="M6" s="34" t="str">
        <x:v>확실성 강화 대안</x:v>
      </x:c>
    </x:row>
    <x:row r="7">
      <x:c r="A7" s="34" t="str">
        <x:v>ALL</x:v>
      </x:c>
      <x:c r="B7" s="34" t="str">
        <x:v>P6</x:v>
      </x:c>
      <x:c r="C7" s="34" t="str">
        <x:v>조기 고헤지</x:v>
      </x:c>
      <x:c r="D7" s="46" t="n">
        <x:v>-1</x:v>
      </x:c>
      <x:c r="E7" s="46" t="n">
        <x:v>0.8</x:v>
      </x:c>
      <x:c r="F7" s="46" t="n">
        <x:v>0.9</x:v>
      </x:c>
      <x:c r="G7" s="46" t="n">
        <x:v>0.85</x:v>
      </x:c>
      <x:c r="H7" s="46" t="n">
        <x:v>0.85</x:v>
      </x:c>
      <x:c r="I7" s="46" t="n">
        <x:v>0.8</x:v>
      </x:c>
      <x:c r="J7" s="46" t="n">
        <x:v>0.035</x:v>
      </x:c>
      <x:c r="K7" s="40" t="b">
        <x:v>0</x:v>
      </x:c>
      <x:c r="L7" s="34" t="str">
        <x:v>model_estimate</x:v>
      </x:c>
      <x:c r="M7" s="34" t="str">
        <x:v>시장위험 대부분 이전</x:v>
      </x:c>
    </x:row>
    <x:row r="8">
      <x:c r="A8" s="34" t="str">
        <x:v>ALL</x:v>
      </x:c>
      <x:c r="B8" s="34" t="str">
        <x:v>P7</x:v>
      </x:c>
      <x:c r="C8" s="34" t="str">
        <x:v>완전 수소·계약형</x:v>
      </x:c>
      <x:c r="D8" s="46" t="n">
        <x:v>-2</x:v>
      </x:c>
      <x:c r="E8" s="46" t="n">
        <x:v>1</x:v>
      </x:c>
      <x:c r="F8" s="46" t="n">
        <x:v>1</x:v>
      </x:c>
      <x:c r="G8" s="46" t="n">
        <x:v>0.95</x:v>
      </x:c>
      <x:c r="H8" s="46" t="n">
        <x:v>0.95</x:v>
      </x:c>
      <x:c r="I8" s="46" t="n">
        <x:v>0.9</x:v>
      </x:c>
      <x:c r="J8" s="46" t="n">
        <x:v>0.045</x:v>
      </x:c>
      <x:c r="K8" s="40" t="b">
        <x:v>0</x:v>
      </x:c>
      <x:c r="L8" s="34" t="str">
        <x:v>model_estimate</x:v>
      </x:c>
      <x:c r="M8" s="34" t="str">
        <x:v>최대 기술·계약 확약</x:v>
      </x:c>
    </x:row>
    <x:row r="9">
      <x:c r="A9" s="34" t="str">
        <x:v>POSCO_KR</x:v>
      </x:c>
      <x:c r="B9" s="34" t="str">
        <x:v>CURRENT</x:v>
      </x:c>
      <x:c r="C9" s="34" t="str">
        <x:v>POSCO 공시전략 프록시</x:v>
      </x:c>
      <x:c r="D9" s="46" t="n">
        <x:v>-1</x:v>
      </x:c>
      <x:c r="E9" s="46" t="n">
        <x:v>0.45</x:v>
      </x:c>
      <x:c r="F9" s="46" t="n">
        <x:v>0.2</x:v>
      </x:c>
      <x:c r="G9" s="46" t="n">
        <x:v>0.1</x:v>
      </x:c>
      <x:c r="H9" s="46" t="n">
        <x:v>0.2</x:v>
      </x:c>
      <x:c r="I9" s="46" t="n">
        <x:v>0.15</x:v>
      </x:c>
      <x:c r="J9" s="46" t="n">
        <x:v>0.02</x:v>
      </x:c>
      <x:c r="K9" s="40" t="b">
        <x:v>1</x:v>
      </x:c>
      <x:c r="L9" s="34" t="str">
        <x:v>model_estimate</x:v>
      </x:c>
      <x:c r="M9" s="34" t="str">
        <x:v>광양 2.5Mt EAF·HyREX 실증 방향 반영; 계약비율은 공개부족으로 추정</x:v>
      </x:c>
    </x:row>
    <x:row r="10">
      <x:c r="A10" s="34" t="str">
        <x:v>NIPPON_STEEL_JP</x:v>
      </x:c>
      <x:c r="B10" s="34" t="str">
        <x:v>CURRENT</x:v>
      </x:c>
      <x:c r="C10" s="34" t="str">
        <x:v>Nippon Steel 공시전략 프록시</x:v>
      </x:c>
      <x:c r="D10" s="46" t="n">
        <x:v>0</x:v>
      </x:c>
      <x:c r="E10" s="46" t="n">
        <x:v>0.3</x:v>
      </x:c>
      <x:c r="F10" s="46" t="n">
        <x:v>0.35</x:v>
      </x:c>
      <x:c r="G10" s="46" t="n">
        <x:v>0.15</x:v>
      </x:c>
      <x:c r="H10" s="46" t="n">
        <x:v>0.35</x:v>
      </x:c>
      <x:c r="I10" s="46" t="n">
        <x:v>0.25</x:v>
      </x:c>
      <x:c r="J10" s="46" t="n">
        <x:v>0.025</x:v>
      </x:c>
      <x:c r="K10" s="40" t="b">
        <x:v>1</x:v>
      </x:c>
      <x:c r="L10" s="34" t="str">
        <x:v>model_estimate</x:v>
      </x:c>
      <x:c r="M10" s="34" t="str">
        <x:v>Yawata/Hirohata/Shunan EAF·다경로 기술개발 반영; 계약비율 추정</x:v>
      </x:c>
    </x:row>
    <x:row r="11">
      <x:c r="A11" s="34" t="str">
        <x:v>JFE_STEEL_JP</x:v>
      </x:c>
      <x:c r="B11" s="34" t="str">
        <x:v>CURRENT</x:v>
      </x:c>
      <x:c r="C11" s="34" t="str">
        <x:v>JFE Steel 공시전략 프록시</x:v>
      </x:c>
      <x:c r="D11" s="46" t="n">
        <x:v>-1</x:v>
      </x:c>
      <x:c r="E11" s="46" t="n">
        <x:v>0.25</x:v>
      </x:c>
      <x:c r="F11" s="46" t="n">
        <x:v>0.3</x:v>
      </x:c>
      <x:c r="G11" s="46" t="n">
        <x:v>0.15</x:v>
      </x:c>
      <x:c r="H11" s="46" t="n">
        <x:v>0.25</x:v>
      </x:c>
      <x:c r="I11" s="46" t="n">
        <x:v>0.35</x:v>
      </x:c>
      <x:c r="J11" s="46" t="n">
        <x:v>0.025</x:v>
      </x:c>
      <x:c r="K11" s="40" t="b">
        <x:v>1</x:v>
      </x:c>
      <x:c r="L11" s="34" t="str">
        <x:v>model_estimate</x:v>
      </x:c>
      <x:c r="M11" s="34" t="str">
        <x:v>Kurashiki 혁신 EAF·Chiba DRI 방향과 확정 보조금 사례 반영; 계약비율 추정</x:v>
      </x:c>
    </x:row>
    <x:row r="12">
      <x:c r="A12" s="35" t="str">
        <x:v>KOBE_STEEL_JP</x:v>
      </x:c>
      <x:c r="B12" s="35" t="str">
        <x:v>CURRENT</x:v>
      </x:c>
      <x:c r="C12" s="35" t="str">
        <x:v>Kobe Steel 공시전략 프록시</x:v>
      </x:c>
      <x:c r="D12" s="47" t="n">
        <x:v>0</x:v>
      </x:c>
      <x:c r="E12" s="47" t="n">
        <x:v>0.15</x:v>
      </x:c>
      <x:c r="F12" s="47" t="n">
        <x:v>0.2</x:v>
      </x:c>
      <x:c r="G12" s="47" t="n">
        <x:v>0.1</x:v>
      </x:c>
      <x:c r="H12" s="47" t="n">
        <x:v>0.2</x:v>
      </x:c>
      <x:c r="I12" s="47" t="n">
        <x:v>0.2</x:v>
      </x:c>
      <x:c r="J12" s="47" t="n">
        <x:v>0.02</x:v>
      </x:c>
      <x:c r="K12" s="41" t="b">
        <x:v>1</x:v>
      </x:c>
      <x:c r="L12" s="35" t="str">
        <x:v>model_estimate</x:v>
      </x:c>
      <x:c r="M12" s="35" t="str">
        <x:v>HBI 다량장입·BF 중심 브리지 전략 반영; 장기 EAF 비중과 계약비율 추정</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5" hidden="0" customWidth="1"/>
    <x:col min="2" max="2" width="21" hidden="0" customWidth="1"/>
    <x:col min="3" max="3" width="21" hidden="0" customWidth="1"/>
    <x:col min="4" max="4" width="21" hidden="0" customWidth="1"/>
    <x:col min="5" max="5" width="15" hidden="0" customWidth="1"/>
    <x:col min="6" max="6" width="15" hidden="0" customWidth="1"/>
    <x:col min="7" max="7" width="34" hidden="0" customWidth="1"/>
  </x:cols>
  <x:sheetData>
    <x:row r="1" ht="28" customHeight="1">
      <x:c r="A1" s="29" t="str">
        <x:v>country_code</x:v>
      </x:c>
      <x:c r="B1" s="29" t="str">
        <x:v>scenario_id</x:v>
      </x:c>
      <x:c r="C1" s="29" t="str">
        <x:v>technology_id</x:v>
      </x:c>
      <x:c r="D1" s="29" t="str">
        <x:v>capex_subsidy_pct</x:v>
      </x:c>
      <x:c r="E1" s="29" t="str">
        <x:v>ccfd_opex_support_pct</x:v>
      </x:c>
      <x:c r="F1" s="29" t="str">
        <x:v>data_status</x:v>
      </x:c>
      <x:c r="G1" s="29" t="str">
        <x:v>source_note</x:v>
      </x:c>
    </x:row>
    <x:row r="2">
      <x:c r="A2" s="34" t="str">
        <x:v>KR</x:v>
      </x:c>
      <x:c r="B2" s="34" t="str">
        <x:v>DISCLOSED_PATH</x:v>
      </x:c>
      <x:c r="C2" s="34" t="str">
        <x:v>BF_RELINE</x:v>
      </x:c>
      <x:c r="D2" s="56" t="n">
        <x:v>0</x:v>
      </x:c>
      <x:c r="E2" s="56" t="n">
        <x:v>0</x:v>
      </x:c>
      <x:c r="F2" s="34" t="str">
        <x:v>model_estimate</x:v>
      </x:c>
      <x:c r="G2" s="34" t="str">
        <x:v>공시경로 정책지원 가정</x:v>
      </x:c>
    </x:row>
    <x:row r="3">
      <x:c r="A3" s="34" t="str">
        <x:v>KR</x:v>
      </x:c>
      <x:c r="B3" s="34" t="str">
        <x:v>DISCLOSED_PATH</x:v>
      </x:c>
      <x:c r="C3" s="34" t="str">
        <x:v>SCRAP_EAF</x:v>
      </x:c>
      <x:c r="D3" s="56" t="n">
        <x:v>0.15</x:v>
      </x:c>
      <x:c r="E3" s="56" t="n">
        <x:v>0.12</x:v>
      </x:c>
      <x:c r="F3" s="34" t="str">
        <x:v>model_estimate</x:v>
      </x:c>
      <x:c r="G3" s="34" t="str">
        <x:v>한국 저탄소 설비지원 프록시</x:v>
      </x:c>
    </x:row>
    <x:row r="4">
      <x:c r="A4" s="34" t="str">
        <x:v>KR</x:v>
      </x:c>
      <x:c r="B4" s="34" t="str">
        <x:v>DISCLOSED_PATH</x:v>
      </x:c>
      <x:c r="C4" s="34" t="str">
        <x:v>H2_DRI_EAF</x:v>
      </x:c>
      <x:c r="D4" s="56" t="n">
        <x:v>0.22</x:v>
      </x:c>
      <x:c r="E4" s="56" t="n">
        <x:v>0.28</x:v>
      </x:c>
      <x:c r="F4" s="34" t="str">
        <x:v>model_estimate</x:v>
      </x:c>
      <x:c r="G4" s="34" t="str">
        <x:v>한국 수소환원제철 지원 프록시</x:v>
      </x:c>
    </x:row>
    <x:row r="5">
      <x:c r="A5" s="34" t="str">
        <x:v>KR</x:v>
      </x:c>
      <x:c r="B5" s="34" t="str">
        <x:v>DISCLOSED_PATH</x:v>
      </x:c>
      <x:c r="C5" s="34" t="str">
        <x:v>EAF_RENEWABLE</x:v>
      </x:c>
      <x:c r="D5" s="56" t="n">
        <x:v>0.1</x:v>
      </x:c>
      <x:c r="E5" s="56" t="n">
        <x:v>0.1</x:v>
      </x:c>
      <x:c r="F5" s="34" t="str">
        <x:v>model_estimate</x:v>
      </x:c>
      <x:c r="G5" s="34" t="str">
        <x:v>한국 전력계통·PPA 지원 프록시</x:v>
      </x:c>
    </x:row>
    <x:row r="6">
      <x:c r="A6" s="34" t="str">
        <x:v>KR</x:v>
      </x:c>
      <x:c r="B6" s="34" t="str">
        <x:v>ACCELERATED_15C</x:v>
      </x:c>
      <x:c r="C6" s="34" t="str">
        <x:v>BF_RELINE</x:v>
      </x:c>
      <x:c r="D6" s="56" t="n">
        <x:v>0</x:v>
      </x:c>
      <x:c r="E6" s="56" t="n">
        <x:v>0</x:v>
      </x:c>
      <x:c r="F6" s="34" t="str">
        <x:v>model_estimate</x:v>
      </x:c>
      <x:c r="G6" s="34" t="str">
        <x:v>가속경로 정책지원 가정</x:v>
      </x:c>
    </x:row>
    <x:row r="7">
      <x:c r="A7" s="34" t="str">
        <x:v>KR</x:v>
      </x:c>
      <x:c r="B7" s="34" t="str">
        <x:v>ACCELERATED_15C</x:v>
      </x:c>
      <x:c r="C7" s="34" t="str">
        <x:v>SCRAP_EAF</x:v>
      </x:c>
      <x:c r="D7" s="56" t="n">
        <x:v>0.2</x:v>
      </x:c>
      <x:c r="E7" s="56" t="n">
        <x:v>0.2</x:v>
      </x:c>
      <x:c r="F7" s="34" t="str">
        <x:v>model_estimate</x:v>
      </x:c>
      <x:c r="G7" s="34" t="str">
        <x:v>가속경로 산업정책 프록시</x:v>
      </x:c>
    </x:row>
    <x:row r="8">
      <x:c r="A8" s="34" t="str">
        <x:v>KR</x:v>
      </x:c>
      <x:c r="B8" s="34" t="str">
        <x:v>ACCELERATED_15C</x:v>
      </x:c>
      <x:c r="C8" s="34" t="str">
        <x:v>H2_DRI_EAF</x:v>
      </x:c>
      <x:c r="D8" s="56" t="n">
        <x:v>0.3</x:v>
      </x:c>
      <x:c r="E8" s="56" t="n">
        <x:v>0.42</x:v>
      </x:c>
      <x:c r="F8" s="34" t="str">
        <x:v>model_estimate</x:v>
      </x:c>
      <x:c r="G8" s="34" t="str">
        <x:v>가속경로 산업정책 프록시</x:v>
      </x:c>
    </x:row>
    <x:row r="9">
      <x:c r="A9" s="34" t="str">
        <x:v>KR</x:v>
      </x:c>
      <x:c r="B9" s="34" t="str">
        <x:v>ACCELERATED_15C</x:v>
      </x:c>
      <x:c r="C9" s="34" t="str">
        <x:v>EAF_RENEWABLE</x:v>
      </x:c>
      <x:c r="D9" s="56" t="n">
        <x:v>0.15</x:v>
      </x:c>
      <x:c r="E9" s="56" t="n">
        <x:v>0.18</x:v>
      </x:c>
      <x:c r="F9" s="34" t="str">
        <x:v>model_estimate</x:v>
      </x:c>
      <x:c r="G9" s="34" t="str">
        <x:v>가속경로 산업정책 프록시</x:v>
      </x:c>
    </x:row>
    <x:row r="10">
      <x:c r="A10" s="34" t="str">
        <x:v>JP</x:v>
      </x:c>
      <x:c r="B10" s="34" t="str">
        <x:v>DISCLOSED_PATH</x:v>
      </x:c>
      <x:c r="C10" s="34" t="str">
        <x:v>BF_RELINE</x:v>
      </x:c>
      <x:c r="D10" s="56" t="n">
        <x:v>0</x:v>
      </x:c>
      <x:c r="E10" s="56" t="n">
        <x:v>0</x:v>
      </x:c>
      <x:c r="F10" s="34" t="str">
        <x:v>model_estimate</x:v>
      </x:c>
      <x:c r="G10" s="34" t="str">
        <x:v>일본 GX 지원 보수 가정</x:v>
      </x:c>
    </x:row>
    <x:row r="11">
      <x:c r="A11" s="34" t="str">
        <x:v>JP</x:v>
      </x:c>
      <x:c r="B11" s="34" t="str">
        <x:v>DISCLOSED_PATH</x:v>
      </x:c>
      <x:c r="C11" s="34" t="str">
        <x:v>SCRAP_EAF</x:v>
      </x:c>
      <x:c r="D11" s="56" t="n">
        <x:v>0.25</x:v>
      </x:c>
      <x:c r="E11" s="56" t="n">
        <x:v>0.18</x:v>
      </x:c>
      <x:c r="F11" s="34" t="str">
        <x:v>model_estimate</x:v>
      </x:c>
      <x:c r="G11" s="34" t="str">
        <x:v>JFE 구라시키 EAF 최대 104.5/324.9bn JPY 지원사례보다 보수적 적용</x:v>
      </x:c>
    </x:row>
    <x:row r="12">
      <x:c r="A12" s="34" t="str">
        <x:v>JP</x:v>
      </x:c>
      <x:c r="B12" s="34" t="str">
        <x:v>DISCLOSED_PATH</x:v>
      </x:c>
      <x:c r="C12" s="34" t="str">
        <x:v>H2_DRI_EAF</x:v>
      </x:c>
      <x:c r="D12" s="56" t="n">
        <x:v>0.28</x:v>
      </x:c>
      <x:c r="E12" s="56" t="n">
        <x:v>0.3</x:v>
      </x:c>
      <x:c r="F12" s="34" t="str">
        <x:v>model_estimate</x:v>
      </x:c>
      <x:c r="G12" s="34" t="str">
        <x:v>GI Fund·GX 지원 공통 프록시</x:v>
      </x:c>
    </x:row>
    <x:row r="13">
      <x:c r="A13" s="34" t="str">
        <x:v>JP</x:v>
      </x:c>
      <x:c r="B13" s="34" t="str">
        <x:v>DISCLOSED_PATH</x:v>
      </x:c>
      <x:c r="C13" s="34" t="str">
        <x:v>EAF_RENEWABLE</x:v>
      </x:c>
      <x:c r="D13" s="56" t="n">
        <x:v>0.15</x:v>
      </x:c>
      <x:c r="E13" s="56" t="n">
        <x:v>0.12</x:v>
      </x:c>
      <x:c r="F13" s="34" t="str">
        <x:v>model_estimate</x:v>
      </x:c>
      <x:c r="G13" s="34" t="str">
        <x:v>일본 비화석전력 지원 프록시</x:v>
      </x:c>
    </x:row>
    <x:row r="14">
      <x:c r="A14" s="34" t="str">
        <x:v>JP</x:v>
      </x:c>
      <x:c r="B14" s="34" t="str">
        <x:v>ACCELERATED_15C</x:v>
      </x:c>
      <x:c r="C14" s="34" t="str">
        <x:v>BF_RELINE</x:v>
      </x:c>
      <x:c r="D14" s="56" t="n">
        <x:v>0</x:v>
      </x:c>
      <x:c r="E14" s="56" t="n">
        <x:v>0</x:v>
      </x:c>
      <x:c r="F14" s="34" t="str">
        <x:v>model_estimate</x:v>
      </x:c>
      <x:c r="G14" s="34" t="str">
        <x:v>가속경로 정책지원 가정</x:v>
      </x:c>
    </x:row>
    <x:row r="15">
      <x:c r="A15" s="34" t="str">
        <x:v>JP</x:v>
      </x:c>
      <x:c r="B15" s="34" t="str">
        <x:v>ACCELERATED_15C</x:v>
      </x:c>
      <x:c r="C15" s="34" t="str">
        <x:v>SCRAP_EAF</x:v>
      </x:c>
      <x:c r="D15" s="56" t="n">
        <x:v>0.3</x:v>
      </x:c>
      <x:c r="E15" s="56" t="n">
        <x:v>0.25</x:v>
      </x:c>
      <x:c r="F15" s="34" t="str">
        <x:v>model_estimate</x:v>
      </x:c>
      <x:c r="G15" s="34" t="str">
        <x:v>가속경로 GX 지원 프록시</x:v>
      </x:c>
    </x:row>
    <x:row r="16">
      <x:c r="A16" s="34" t="str">
        <x:v>JP</x:v>
      </x:c>
      <x:c r="B16" s="34" t="str">
        <x:v>ACCELERATED_15C</x:v>
      </x:c>
      <x:c r="C16" s="34" t="str">
        <x:v>H2_DRI_EAF</x:v>
      </x:c>
      <x:c r="D16" s="56" t="n">
        <x:v>0.35</x:v>
      </x:c>
      <x:c r="E16" s="56" t="n">
        <x:v>0.45</x:v>
      </x:c>
      <x:c r="F16" s="34" t="str">
        <x:v>model_estimate</x:v>
      </x:c>
      <x:c r="G16" s="34" t="str">
        <x:v>가속경로 GI Fund·GX 지원 프록시</x:v>
      </x:c>
    </x:row>
    <x:row r="17">
      <x:c r="A17" s="35" t="str">
        <x:v>JP</x:v>
      </x:c>
      <x:c r="B17" s="35" t="str">
        <x:v>ACCELERATED_15C</x:v>
      </x:c>
      <x:c r="C17" s="35" t="str">
        <x:v>EAF_RENEWABLE</x:v>
      </x:c>
      <x:c r="D17" s="57" t="n">
        <x:v>0.2</x:v>
      </x:c>
      <x:c r="E17" s="57" t="n">
        <x:v>0.2</x:v>
      </x:c>
      <x:c r="F17" s="35" t="str">
        <x:v>model_estimate</x:v>
      </x:c>
      <x:c r="G17" s="35" t="str">
        <x:v>가속경로 비화석전력 지원 프록시</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22" hidden="0" customWidth="1"/>
    <x:col min="4" max="4" width="17" hidden="0" customWidth="1"/>
    <x:col min="5" max="5" width="38" hidden="0" customWidth="1"/>
    <x:col min="6" max="6" width="55" hidden="0" customWidth="1"/>
  </x:cols>
  <x:sheetData>
    <x:row r="1" ht="28" customHeight="1">
      <x:c r="A1" s="29" t="str">
        <x:v>company_id</x:v>
      </x:c>
      <x:c r="B1" s="29" t="str">
        <x:v>max_concurrent_construction_projects</x:v>
      </x:c>
      <x:c r="C1" s="29" t="str">
        <x:v>max_portfolio_failure_probability</x:v>
      </x:c>
      <x:c r="D1" s="29" t="str">
        <x:v>data_status</x:v>
      </x:c>
      <x:c r="E1" s="29" t="str">
        <x:v>source_url</x:v>
      </x:c>
      <x:c r="F1" s="29" t="str">
        <x:v>source_note</x:v>
      </x:c>
    </x:row>
    <x:row r="2">
      <x:c r="A2" s="34" t="str">
        <x:v>POSCO_KR</x:v>
      </x:c>
      <x:c r="B2" s="34" t="n">
        <x:v>3</x:v>
      </x:c>
      <x:c r="C2" s="34" t="n">
        <x:v>0.65</x:v>
      </x:c>
      <x:c r="D2" s="34" t="str">
        <x:v>model_estimate</x:v>
      </x:c>
      <x:c r="E2" s="34" t="str"/>
      <x:c r="F2" s="34" t="str">
        <x:v>Screening assumption pending disclosed engineering pipeline and contractor-capacity validation</x:v>
      </x:c>
    </x:row>
    <x:row r="3">
      <x:c r="A3" s="34" t="str">
        <x:v>NIPPON_STEEL_JP</x:v>
      </x:c>
      <x:c r="B3" s="34" t="n">
        <x:v>2</x:v>
      </x:c>
      <x:c r="C3" s="34" t="n">
        <x:v>0.65</x:v>
      </x:c>
      <x:c r="D3" s="34" t="str">
        <x:v>model_estimate</x:v>
      </x:c>
      <x:c r="E3" s="34" t="str"/>
      <x:c r="F3" s="34" t="str">
        <x:v>Screening assumption pending disclosed engineering pipeline and contractor-capacity validation</x:v>
      </x:c>
    </x:row>
    <x:row r="4">
      <x:c r="A4" s="34" t="str">
        <x:v>JFE_STEEL_JP</x:v>
      </x:c>
      <x:c r="B4" s="34" t="n">
        <x:v>3</x:v>
      </x:c>
      <x:c r="C4" s="34" t="n">
        <x:v>0.65</x:v>
      </x:c>
      <x:c r="D4" s="34" t="str">
        <x:v>model_estimate</x:v>
      </x:c>
      <x:c r="E4" s="34" t="str"/>
      <x:c r="F4" s="34" t="str">
        <x:v>Screening assumption pending disclosed engineering pipeline and contractor-capacity validation</x:v>
      </x:c>
    </x:row>
    <x:row r="5">
      <x:c r="A5" s="35" t="str">
        <x:v>KOBE_STEEL_JP</x:v>
      </x:c>
      <x:c r="B5" s="35" t="n">
        <x:v>1</x:v>
      </x:c>
      <x:c r="C5" s="35" t="n">
        <x:v>0.6</x:v>
      </x:c>
      <x:c r="D5" s="35" t="str">
        <x:v>model_estimate</x:v>
      </x:c>
      <x:c r="E5" s="35" t="str"/>
      <x:c r="F5" s="35" t="str">
        <x:v>Smaller portfolio screening assumption pending disclosed engineering pipeline validation</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22" hidden="0" customWidth="1"/>
    <x:col min="2" max="2" width="20" hidden="0" customWidth="1"/>
    <x:col min="3" max="3" width="20" hidden="0" customWidth="1"/>
    <x:col min="4" max="4" width="19" hidden="0" customWidth="1"/>
    <x:col min="5" max="5" width="17" hidden="0" customWidth="1"/>
    <x:col min="6" max="6" width="38" hidden="0" customWidth="1"/>
    <x:col min="7" max="7" width="55" hidden="0" customWidth="1"/>
  </x:cols>
  <x:sheetData>
    <x:row r="1" ht="28" customHeight="1">
      <x:c r="A1" s="29" t="str">
        <x:v>technology_id</x:v>
      </x:c>
      <x:c r="B1" s="29" t="str">
        <x:v>scrap_input_t_per_t</x:v>
      </x:c>
      <x:c r="C1" s="29" t="str">
        <x:v>failure_probability</x:v>
      </x:c>
      <x:c r="D1" s="29" t="str">
        <x:v>max_failure_delay_years</x:v>
      </x:c>
      <x:c r="E1" s="29" t="str">
        <x:v>data_status</x:v>
      </x:c>
      <x:c r="F1" s="29" t="str">
        <x:v>source_url</x:v>
      </x:c>
      <x:c r="G1" s="29" t="str">
        <x:v>source_note</x:v>
      </x:c>
    </x:row>
    <x:row r="2">
      <x:c r="A2" s="34" t="str">
        <x:v>BF_BOF</x:v>
      </x:c>
      <x:c r="B2" s="34" t="n">
        <x:v>0.15</x:v>
      </x:c>
      <x:c r="C2" s="34" t="n">
        <x:v>0.02</x:v>
      </x:c>
      <x:c r="D2" s="34" t="n">
        <x:v>1</x:v>
      </x:c>
      <x:c r="E2" s="34" t="str">
        <x:v>model_estimate</x:v>
      </x:c>
      <x:c r="F2" s="34" t="str"/>
      <x:c r="G2" s="34" t="str">
        <x:v>Existing route screening proxy; not used as a transition action</x:v>
      </x:c>
    </x:row>
    <x:row r="3">
      <x:c r="A3" s="34" t="str">
        <x:v>EAF_BASELINE</x:v>
      </x:c>
      <x:c r="B3" s="34" t="n">
        <x:v>0.9</x:v>
      </x:c>
      <x:c r="C3" s="34" t="n">
        <x:v>0.03</x:v>
      </x:c>
      <x:c r="D3" s="34" t="n">
        <x:v>1</x:v>
      </x:c>
      <x:c r="E3" s="34" t="str">
        <x:v>model_estimate</x:v>
      </x:c>
      <x:c r="F3" s="34" t="str"/>
      <x:c r="G3" s="34" t="str">
        <x:v>Existing EAF route screening proxy</x:v>
      </x:c>
    </x:row>
    <x:row r="4">
      <x:c r="A4" s="34" t="str">
        <x:v>BF_RELINE</x:v>
      </x:c>
      <x:c r="B4" s="34" t="n">
        <x:v>0.15</x:v>
      </x:c>
      <x:c r="C4" s="34" t="n">
        <x:v>0.04</x:v>
      </x:c>
      <x:c r="D4" s="34" t="n">
        <x:v>2</x:v>
      </x:c>
      <x:c r="E4" s="34" t="str">
        <x:v>model_estimate</x:v>
      </x:c>
      <x:c r="F4" s="34" t="str"/>
      <x:c r="G4" s="34" t="str">
        <x:v>Execution-risk proxy pending company project evidence</x:v>
      </x:c>
    </x:row>
    <x:row r="5">
      <x:c r="A5" s="34" t="str">
        <x:v>SCRAP_EAF</x:v>
      </x:c>
      <x:c r="B5" s="34" t="n">
        <x:v>0.9</x:v>
      </x:c>
      <x:c r="C5" s="34" t="n">
        <x:v>0.08</x:v>
      </x:c>
      <x:c r="D5" s="34" t="n">
        <x:v>3</x:v>
      </x:c>
      <x:c r="E5" s="34" t="str">
        <x:v>model_estimate</x:v>
      </x:c>
      <x:c r="F5" s="34" t="str"/>
      <x:c r="G5" s="34" t="str">
        <x:v>Scrap charge and execution-risk proxy pending grade-specific engineering evidence</x:v>
      </x:c>
    </x:row>
    <x:row r="6">
      <x:c r="A6" s="34" t="str">
        <x:v>H2_DRI_EAF</x:v>
      </x:c>
      <x:c r="B6" s="34" t="n">
        <x:v>0.15</x:v>
      </x:c>
      <x:c r="C6" s="34" t="n">
        <x:v>0.18</x:v>
      </x:c>
      <x:c r="D6" s="34" t="n">
        <x:v>4</x:v>
      </x:c>
      <x:c r="E6" s="34" t="str">
        <x:v>model_estimate</x:v>
      </x:c>
      <x:c r="F6" s="34" t="str"/>
      <x:c r="G6" s="34" t="str">
        <x:v>First-of-a-kind execution-risk proxy; hydrogen and DRI constraints treated separately</x:v>
      </x:c>
    </x:row>
    <x:row r="7">
      <x:c r="A7" s="35" t="str">
        <x:v>EAF_RENEWABLE</x:v>
      </x:c>
      <x:c r="B7" s="35" t="n">
        <x:v>0.9</x:v>
      </x:c>
      <x:c r="C7" s="35" t="n">
        <x:v>0.05</x:v>
      </x:c>
      <x:c r="D7" s="35" t="n">
        <x:v>2</x:v>
      </x:c>
      <x:c r="E7" s="35" t="str">
        <x:v>model_estimate</x:v>
      </x:c>
      <x:c r="F7" s="35" t="str"/>
      <x:c r="G7" s="35" t="str">
        <x:v>Upgrade execution-risk proxy pending site-specific grid and PPA evidence</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22" hidden="0" customWidth="1"/>
    <x:col min="2" max="2" width="23" hidden="0" customWidth="1"/>
    <x:col min="3" max="3" width="12" hidden="0" customWidth="1"/>
    <x:col min="4" max="4" width="22" hidden="0" customWidth="1"/>
    <x:col min="5" max="5" width="24" hidden="0" customWidth="1"/>
    <x:col min="6" max="6" width="25" hidden="0" customWidth="1"/>
    <x:col min="7" max="7" width="17" hidden="0" customWidth="1"/>
    <x:col min="8" max="8" width="38" hidden="0" customWidth="1"/>
    <x:col min="9" max="9" width="58" hidden="0" customWidth="1"/>
  </x:cols>
  <x:sheetData>
    <x:row r="1" ht="28" customHeight="1">
      <x:c r="A1" s="29" t="str">
        <x:v>company_id</x:v>
      </x:c>
      <x:c r="B1" s="29" t="str">
        <x:v>scenario_id</x:v>
      </x:c>
      <x:c r="C1" s="29" t="str">
        <x:v>year</x:v>
      </x:c>
      <x:c r="D1" s="29" t="str">
        <x:v>max_scrap_supply_mt</x:v>
      </x:c>
      <x:c r="E1" s="29" t="str">
        <x:v>max_hydrogen_supply_mt</x:v>
      </x:c>
      <x:c r="F1" s="29" t="str">
        <x:v>max_incremental_grid_twh</x:v>
      </x:c>
      <x:c r="G1" s="29" t="str">
        <x:v>data_status</x:v>
      </x:c>
      <x:c r="H1" s="29" t="str">
        <x:v>source_url</x:v>
      </x:c>
      <x:c r="I1" s="29" t="str">
        <x:v>source_note</x:v>
      </x:c>
    </x:row>
    <x:row r="2">
      <x:c r="A2" s="34" t="str">
        <x:v>POSCO_KR</x:v>
      </x:c>
      <x:c r="B2" s="34" t="str">
        <x:v>DISCLOSED_PATH</x:v>
      </x:c>
      <x:c r="C2" s="34" t="n">
        <x:v>2026</x:v>
      </x:c>
      <x:c r="D2" s="34" t="n">
        <x:v>8</x:v>
      </x:c>
      <x:c r="E2" s="34" t="n">
        <x:v>0</x:v>
      </x:c>
      <x:c r="F2" s="34" t="n">
        <x:v>2</x:v>
      </x:c>
      <x:c r="G2" s="34" t="str">
        <x:v>model_estimate</x:v>
      </x:c>
      <x:c r="H2" s="34" t="str"/>
      <x:c r="I2" s="34" t="str">
        <x:v>Illustrative screening envelope; not an official supply forecast</x:v>
      </x:c>
    </x:row>
    <x:row r="3">
      <x:c r="A3" s="34" t="str">
        <x:v>POSCO_KR</x:v>
      </x:c>
      <x:c r="B3" s="34" t="str">
        <x:v>DISCLOSED_PATH</x:v>
      </x:c>
      <x:c r="C3" s="34" t="n">
        <x:v>2030</x:v>
      </x:c>
      <x:c r="D3" s="34" t="n">
        <x:v>12</x:v>
      </x:c>
      <x:c r="E3" s="34" t="n">
        <x:v>0.5</x:v>
      </x:c>
      <x:c r="F3" s="34" t="n">
        <x:v>7</x:v>
      </x:c>
      <x:c r="G3" s="34" t="str">
        <x:v>model_estimate</x:v>
      </x:c>
      <x:c r="H3" s="34" t="str"/>
      <x:c r="I3" s="34" t="str">
        <x:v>Illustrative screening envelope; not an official supply forecast</x:v>
      </x:c>
    </x:row>
    <x:row r="4">
      <x:c r="A4" s="34" t="str">
        <x:v>POSCO_KR</x:v>
      </x:c>
      <x:c r="B4" s="34" t="str">
        <x:v>DISCLOSED_PATH</x:v>
      </x:c>
      <x:c r="C4" s="34" t="n">
        <x:v>2035</x:v>
      </x:c>
      <x:c r="D4" s="34" t="n">
        <x:v>18</x:v>
      </x:c>
      <x:c r="E4" s="34" t="n">
        <x:v>1.5</x:v>
      </x:c>
      <x:c r="F4" s="34" t="n">
        <x:v>15</x:v>
      </x:c>
      <x:c r="G4" s="34" t="str">
        <x:v>model_estimate</x:v>
      </x:c>
      <x:c r="H4" s="34" t="str"/>
      <x:c r="I4" s="34" t="str">
        <x:v>Illustrative screening envelope; not an official supply forecast</x:v>
      </x:c>
    </x:row>
    <x:row r="5">
      <x:c r="A5" s="34" t="str">
        <x:v>POSCO_KR</x:v>
      </x:c>
      <x:c r="B5" s="34" t="str">
        <x:v>DISCLOSED_PATH</x:v>
      </x:c>
      <x:c r="C5" s="34" t="n">
        <x:v>2040</x:v>
      </x:c>
      <x:c r="D5" s="34" t="n">
        <x:v>25</x:v>
      </x:c>
      <x:c r="E5" s="34" t="n">
        <x:v>3</x:v>
      </x:c>
      <x:c r="F5" s="34" t="n">
        <x:v>25</x:v>
      </x:c>
      <x:c r="G5" s="34" t="str">
        <x:v>model_estimate</x:v>
      </x:c>
      <x:c r="H5" s="34" t="str"/>
      <x:c r="I5" s="34" t="str">
        <x:v>Illustrative screening envelope; not an official supply forecast</x:v>
      </x:c>
    </x:row>
    <x:row r="6">
      <x:c r="A6" s="34" t="str">
        <x:v>POSCO_KR</x:v>
      </x:c>
      <x:c r="B6" s="34" t="str">
        <x:v>ACCELERATED_15C</x:v>
      </x:c>
      <x:c r="C6" s="34" t="n">
        <x:v>2026</x:v>
      </x:c>
      <x:c r="D6" s="34" t="n">
        <x:v>8</x:v>
      </x:c>
      <x:c r="E6" s="34" t="n">
        <x:v>0.1</x:v>
      </x:c>
      <x:c r="F6" s="34" t="n">
        <x:v>2</x:v>
      </x:c>
      <x:c r="G6" s="34" t="str">
        <x:v>model_estimate</x:v>
      </x:c>
      <x:c r="H6" s="34" t="str"/>
      <x:c r="I6" s="34" t="str">
        <x:v>Illustrative accelerated envelope; not GCAM or an official supply forecast</x:v>
      </x:c>
    </x:row>
    <x:row r="7">
      <x:c r="A7" s="34" t="str">
        <x:v>POSCO_KR</x:v>
      </x:c>
      <x:c r="B7" s="34" t="str">
        <x:v>ACCELERATED_15C</x:v>
      </x:c>
      <x:c r="C7" s="34" t="n">
        <x:v>2030</x:v>
      </x:c>
      <x:c r="D7" s="34" t="n">
        <x:v>15</x:v>
      </x:c>
      <x:c r="E7" s="34" t="n">
        <x:v>0.8</x:v>
      </x:c>
      <x:c r="F7" s="34" t="n">
        <x:v>10</x:v>
      </x:c>
      <x:c r="G7" s="34" t="str">
        <x:v>model_estimate</x:v>
      </x:c>
      <x:c r="H7" s="34" t="str"/>
      <x:c r="I7" s="34" t="str">
        <x:v>Illustrative accelerated envelope; not GCAM or an official supply forecast</x:v>
      </x:c>
    </x:row>
    <x:row r="8">
      <x:c r="A8" s="34" t="str">
        <x:v>POSCO_KR</x:v>
      </x:c>
      <x:c r="B8" s="34" t="str">
        <x:v>ACCELERATED_15C</x:v>
      </x:c>
      <x:c r="C8" s="34" t="n">
        <x:v>2035</x:v>
      </x:c>
      <x:c r="D8" s="34" t="n">
        <x:v>23</x:v>
      </x:c>
      <x:c r="E8" s="34" t="n">
        <x:v>2.2</x:v>
      </x:c>
      <x:c r="F8" s="34" t="n">
        <x:v>20</x:v>
      </x:c>
      <x:c r="G8" s="34" t="str">
        <x:v>model_estimate</x:v>
      </x:c>
      <x:c r="H8" s="34" t="str"/>
      <x:c r="I8" s="34" t="str">
        <x:v>Illustrative accelerated envelope; not GCAM or an official supply forecast</x:v>
      </x:c>
    </x:row>
    <x:row r="9">
      <x:c r="A9" s="34" t="str">
        <x:v>POSCO_KR</x:v>
      </x:c>
      <x:c r="B9" s="34" t="str">
        <x:v>ACCELERATED_15C</x:v>
      </x:c>
      <x:c r="C9" s="34" t="n">
        <x:v>2040</x:v>
      </x:c>
      <x:c r="D9" s="34" t="n">
        <x:v>30</x:v>
      </x:c>
      <x:c r="E9" s="34" t="n">
        <x:v>4</x:v>
      </x:c>
      <x:c r="F9" s="34" t="n">
        <x:v>32</x:v>
      </x:c>
      <x:c r="G9" s="34" t="str">
        <x:v>model_estimate</x:v>
      </x:c>
      <x:c r="H9" s="34" t="str"/>
      <x:c r="I9" s="34" t="str">
        <x:v>Illustrative accelerated envelope; not GCAM or an official supply forecast</x:v>
      </x:c>
    </x:row>
    <x:row r="10">
      <x:c r="A10" s="34" t="str">
        <x:v>NIPPON_STEEL_JP</x:v>
      </x:c>
      <x:c r="B10" s="34" t="str">
        <x:v>DISCLOSED_PATH</x:v>
      </x:c>
      <x:c r="C10" s="34" t="n">
        <x:v>2026</x:v>
      </x:c>
      <x:c r="D10" s="34" t="n">
        <x:v>8</x:v>
      </x:c>
      <x:c r="E10" s="34" t="n">
        <x:v>0</x:v>
      </x:c>
      <x:c r="F10" s="34" t="n">
        <x:v>2</x:v>
      </x:c>
      <x:c r="G10" s="34" t="str">
        <x:v>model_estimate</x:v>
      </x:c>
      <x:c r="H10" s="34" t="str"/>
      <x:c r="I10" s="34" t="str">
        <x:v>Illustrative screening envelope; not an official supply forecast</x:v>
      </x:c>
    </x:row>
    <x:row r="11">
      <x:c r="A11" s="34" t="str">
        <x:v>NIPPON_STEEL_JP</x:v>
      </x:c>
      <x:c r="B11" s="34" t="str">
        <x:v>DISCLOSED_PATH</x:v>
      </x:c>
      <x:c r="C11" s="34" t="n">
        <x:v>2030</x:v>
      </x:c>
      <x:c r="D11" s="34" t="n">
        <x:v>12</x:v>
      </x:c>
      <x:c r="E11" s="34" t="n">
        <x:v>0.6</x:v>
      </x:c>
      <x:c r="F11" s="34" t="n">
        <x:v>7</x:v>
      </x:c>
      <x:c r="G11" s="34" t="str">
        <x:v>model_estimate</x:v>
      </x:c>
      <x:c r="H11" s="34" t="str"/>
      <x:c r="I11" s="34" t="str">
        <x:v>Illustrative screening envelope; not an official supply forecast</x:v>
      </x:c>
    </x:row>
    <x:row r="12">
      <x:c r="A12" s="34" t="str">
        <x:v>NIPPON_STEEL_JP</x:v>
      </x:c>
      <x:c r="B12" s="34" t="str">
        <x:v>DISCLOSED_PATH</x:v>
      </x:c>
      <x:c r="C12" s="34" t="n">
        <x:v>2035</x:v>
      </x:c>
      <x:c r="D12" s="34" t="n">
        <x:v>18</x:v>
      </x:c>
      <x:c r="E12" s="34" t="n">
        <x:v>1.8</x:v>
      </x:c>
      <x:c r="F12" s="34" t="n">
        <x:v>15</x:v>
      </x:c>
      <x:c r="G12" s="34" t="str">
        <x:v>model_estimate</x:v>
      </x:c>
      <x:c r="H12" s="34" t="str"/>
      <x:c r="I12" s="34" t="str">
        <x:v>Illustrative screening envelope; not an official supply forecast</x:v>
      </x:c>
    </x:row>
    <x:row r="13">
      <x:c r="A13" s="34" t="str">
        <x:v>NIPPON_STEEL_JP</x:v>
      </x:c>
      <x:c r="B13" s="34" t="str">
        <x:v>DISCLOSED_PATH</x:v>
      </x:c>
      <x:c r="C13" s="34" t="n">
        <x:v>2040</x:v>
      </x:c>
      <x:c r="D13" s="34" t="n">
        <x:v>25</x:v>
      </x:c>
      <x:c r="E13" s="34" t="n">
        <x:v>3.2</x:v>
      </x:c>
      <x:c r="F13" s="34" t="n">
        <x:v>25</x:v>
      </x:c>
      <x:c r="G13" s="34" t="str">
        <x:v>model_estimate</x:v>
      </x:c>
      <x:c r="H13" s="34" t="str"/>
      <x:c r="I13" s="34" t="str">
        <x:v>Illustrative screening envelope; not an official supply forecast</x:v>
      </x:c>
    </x:row>
    <x:row r="14">
      <x:c r="A14" s="34" t="str">
        <x:v>NIPPON_STEEL_JP</x:v>
      </x:c>
      <x:c r="B14" s="34" t="str">
        <x:v>ACCELERATED_15C</x:v>
      </x:c>
      <x:c r="C14" s="34" t="n">
        <x:v>2026</x:v>
      </x:c>
      <x:c r="D14" s="34" t="n">
        <x:v>8</x:v>
      </x:c>
      <x:c r="E14" s="34" t="n">
        <x:v>0.1</x:v>
      </x:c>
      <x:c r="F14" s="34" t="n">
        <x:v>2</x:v>
      </x:c>
      <x:c r="G14" s="34" t="str">
        <x:v>model_estimate</x:v>
      </x:c>
      <x:c r="H14" s="34" t="str"/>
      <x:c r="I14" s="34" t="str">
        <x:v>Illustrative accelerated envelope; not GCAM or an official supply forecast</x:v>
      </x:c>
    </x:row>
    <x:row r="15">
      <x:c r="A15" s="34" t="str">
        <x:v>NIPPON_STEEL_JP</x:v>
      </x:c>
      <x:c r="B15" s="34" t="str">
        <x:v>ACCELERATED_15C</x:v>
      </x:c>
      <x:c r="C15" s="34" t="n">
        <x:v>2030</x:v>
      </x:c>
      <x:c r="D15" s="34" t="n">
        <x:v>15</x:v>
      </x:c>
      <x:c r="E15" s="34" t="n">
        <x:v>0.9</x:v>
      </x:c>
      <x:c r="F15" s="34" t="n">
        <x:v>10</x:v>
      </x:c>
      <x:c r="G15" s="34" t="str">
        <x:v>model_estimate</x:v>
      </x:c>
      <x:c r="H15" s="34" t="str"/>
      <x:c r="I15" s="34" t="str">
        <x:v>Illustrative accelerated envelope; not GCAM or an official supply forecast</x:v>
      </x:c>
    </x:row>
    <x:row r="16">
      <x:c r="A16" s="34" t="str">
        <x:v>NIPPON_STEEL_JP</x:v>
      </x:c>
      <x:c r="B16" s="34" t="str">
        <x:v>ACCELERATED_15C</x:v>
      </x:c>
      <x:c r="C16" s="34" t="n">
        <x:v>2035</x:v>
      </x:c>
      <x:c r="D16" s="34" t="n">
        <x:v>23</x:v>
      </x:c>
      <x:c r="E16" s="34" t="n">
        <x:v>2.5</x:v>
      </x:c>
      <x:c r="F16" s="34" t="n">
        <x:v>20</x:v>
      </x:c>
      <x:c r="G16" s="34" t="str">
        <x:v>model_estimate</x:v>
      </x:c>
      <x:c r="H16" s="34" t="str"/>
      <x:c r="I16" s="34" t="str">
        <x:v>Illustrative accelerated envelope; not GCAM or an official supply forecast</x:v>
      </x:c>
    </x:row>
    <x:row r="17">
      <x:c r="A17" s="34" t="str">
        <x:v>NIPPON_STEEL_JP</x:v>
      </x:c>
      <x:c r="B17" s="34" t="str">
        <x:v>ACCELERATED_15C</x:v>
      </x:c>
      <x:c r="C17" s="34" t="n">
        <x:v>2040</x:v>
      </x:c>
      <x:c r="D17" s="34" t="n">
        <x:v>30</x:v>
      </x:c>
      <x:c r="E17" s="34" t="n">
        <x:v>4.5</x:v>
      </x:c>
      <x:c r="F17" s="34" t="n">
        <x:v>32</x:v>
      </x:c>
      <x:c r="G17" s="34" t="str">
        <x:v>model_estimate</x:v>
      </x:c>
      <x:c r="H17" s="34" t="str"/>
      <x:c r="I17" s="34" t="str">
        <x:v>Illustrative accelerated envelope; not GCAM or an official supply forecast</x:v>
      </x:c>
    </x:row>
    <x:row r="18">
      <x:c r="A18" s="34" t="str">
        <x:v>JFE_STEEL_JP</x:v>
      </x:c>
      <x:c r="B18" s="34" t="str">
        <x:v>DISCLOSED_PATH</x:v>
      </x:c>
      <x:c r="C18" s="34" t="n">
        <x:v>2026</x:v>
      </x:c>
      <x:c r="D18" s="34" t="n">
        <x:v>5</x:v>
      </x:c>
      <x:c r="E18" s="34" t="n">
        <x:v>0</x:v>
      </x:c>
      <x:c r="F18" s="34" t="n">
        <x:v>1.5</x:v>
      </x:c>
      <x:c r="G18" s="34" t="str">
        <x:v>model_estimate</x:v>
      </x:c>
      <x:c r="H18" s="34" t="str"/>
      <x:c r="I18" s="34" t="str">
        <x:v>Illustrative screening envelope; not an official supply forecast</x:v>
      </x:c>
    </x:row>
    <x:row r="19">
      <x:c r="A19" s="34" t="str">
        <x:v>JFE_STEEL_JP</x:v>
      </x:c>
      <x:c r="B19" s="34" t="str">
        <x:v>DISCLOSED_PATH</x:v>
      </x:c>
      <x:c r="C19" s="34" t="n">
        <x:v>2030</x:v>
      </x:c>
      <x:c r="D19" s="34" t="n">
        <x:v>8</x:v>
      </x:c>
      <x:c r="E19" s="34" t="n">
        <x:v>0.4</x:v>
      </x:c>
      <x:c r="F19" s="34" t="n">
        <x:v>5</x:v>
      </x:c>
      <x:c r="G19" s="34" t="str">
        <x:v>model_estimate</x:v>
      </x:c>
      <x:c r="H19" s="34" t="str"/>
      <x:c r="I19" s="34" t="str">
        <x:v>Illustrative screening envelope; not an official supply forecast</x:v>
      </x:c>
    </x:row>
    <x:row r="20">
      <x:c r="A20" s="34" t="str">
        <x:v>JFE_STEEL_JP</x:v>
      </x:c>
      <x:c r="B20" s="34" t="str">
        <x:v>DISCLOSED_PATH</x:v>
      </x:c>
      <x:c r="C20" s="34" t="n">
        <x:v>2035</x:v>
      </x:c>
      <x:c r="D20" s="34" t="n">
        <x:v>12</x:v>
      </x:c>
      <x:c r="E20" s="34" t="n">
        <x:v>1.2</x:v>
      </x:c>
      <x:c r="F20" s="34" t="n">
        <x:v>10</x:v>
      </x:c>
      <x:c r="G20" s="34" t="str">
        <x:v>model_estimate</x:v>
      </x:c>
      <x:c r="H20" s="34" t="str"/>
      <x:c r="I20" s="34" t="str">
        <x:v>Illustrative screening envelope; not an official supply forecast</x:v>
      </x:c>
    </x:row>
    <x:row r="21">
      <x:c r="A21" s="34" t="str">
        <x:v>JFE_STEEL_JP</x:v>
      </x:c>
      <x:c r="B21" s="34" t="str">
        <x:v>DISCLOSED_PATH</x:v>
      </x:c>
      <x:c r="C21" s="34" t="n">
        <x:v>2040</x:v>
      </x:c>
      <x:c r="D21" s="34" t="n">
        <x:v>17</x:v>
      </x:c>
      <x:c r="E21" s="34" t="n">
        <x:v>2.2</x:v>
      </x:c>
      <x:c r="F21" s="34" t="n">
        <x:v>17</x:v>
      </x:c>
      <x:c r="G21" s="34" t="str">
        <x:v>model_estimate</x:v>
      </x:c>
      <x:c r="H21" s="34" t="str"/>
      <x:c r="I21" s="34" t="str">
        <x:v>Illustrative screening envelope; not an official supply forecast</x:v>
      </x:c>
    </x:row>
    <x:row r="22">
      <x:c r="A22" s="34" t="str">
        <x:v>JFE_STEEL_JP</x:v>
      </x:c>
      <x:c r="B22" s="34" t="str">
        <x:v>ACCELERATED_15C</x:v>
      </x:c>
      <x:c r="C22" s="34" t="n">
        <x:v>2026</x:v>
      </x:c>
      <x:c r="D22" s="34" t="n">
        <x:v>5</x:v>
      </x:c>
      <x:c r="E22" s="34" t="n">
        <x:v>0.1</x:v>
      </x:c>
      <x:c r="F22" s="34" t="n">
        <x:v>1.5</x:v>
      </x:c>
      <x:c r="G22" s="34" t="str">
        <x:v>model_estimate</x:v>
      </x:c>
      <x:c r="H22" s="34" t="str"/>
      <x:c r="I22" s="34" t="str">
        <x:v>Illustrative accelerated envelope; not GCAM or an official supply forecast</x:v>
      </x:c>
    </x:row>
    <x:row r="23">
      <x:c r="A23" s="34" t="str">
        <x:v>JFE_STEEL_JP</x:v>
      </x:c>
      <x:c r="B23" s="34" t="str">
        <x:v>ACCELERATED_15C</x:v>
      </x:c>
      <x:c r="C23" s="34" t="n">
        <x:v>2030</x:v>
      </x:c>
      <x:c r="D23" s="34" t="n">
        <x:v>10</x:v>
      </x:c>
      <x:c r="E23" s="34" t="n">
        <x:v>0.6</x:v>
      </x:c>
      <x:c r="F23" s="34" t="n">
        <x:v>7</x:v>
      </x:c>
      <x:c r="G23" s="34" t="str">
        <x:v>model_estimate</x:v>
      </x:c>
      <x:c r="H23" s="34" t="str"/>
      <x:c r="I23" s="34" t="str">
        <x:v>Illustrative accelerated envelope; not GCAM or an official supply forecast</x:v>
      </x:c>
    </x:row>
    <x:row r="24">
      <x:c r="A24" s="34" t="str">
        <x:v>JFE_STEEL_JP</x:v>
      </x:c>
      <x:c r="B24" s="34" t="str">
        <x:v>ACCELERATED_15C</x:v>
      </x:c>
      <x:c r="C24" s="34" t="n">
        <x:v>2035</x:v>
      </x:c>
      <x:c r="D24" s="34" t="n">
        <x:v>16</x:v>
      </x:c>
      <x:c r="E24" s="34" t="n">
        <x:v>1.8</x:v>
      </x:c>
      <x:c r="F24" s="34" t="n">
        <x:v>14</x:v>
      </x:c>
      <x:c r="G24" s="34" t="str">
        <x:v>model_estimate</x:v>
      </x:c>
      <x:c r="H24" s="34" t="str"/>
      <x:c r="I24" s="34" t="str">
        <x:v>Illustrative accelerated envelope; not GCAM or an official supply forecast</x:v>
      </x:c>
    </x:row>
    <x:row r="25">
      <x:c r="A25" s="34" t="str">
        <x:v>JFE_STEEL_JP</x:v>
      </x:c>
      <x:c r="B25" s="34" t="str">
        <x:v>ACCELERATED_15C</x:v>
      </x:c>
      <x:c r="C25" s="34" t="n">
        <x:v>2040</x:v>
      </x:c>
      <x:c r="D25" s="34" t="n">
        <x:v>21</x:v>
      </x:c>
      <x:c r="E25" s="34" t="n">
        <x:v>3</x:v>
      </x:c>
      <x:c r="F25" s="34" t="n">
        <x:v>22</x:v>
      </x:c>
      <x:c r="G25" s="34" t="str">
        <x:v>model_estimate</x:v>
      </x:c>
      <x:c r="H25" s="34" t="str"/>
      <x:c r="I25" s="34" t="str">
        <x:v>Illustrative accelerated envelope; not GCAM or an official supply forecast</x:v>
      </x:c>
    </x:row>
    <x:row r="26">
      <x:c r="A26" s="34" t="str">
        <x:v>KOBE_STEEL_JP</x:v>
      </x:c>
      <x:c r="B26" s="34" t="str">
        <x:v>DISCLOSED_PATH</x:v>
      </x:c>
      <x:c r="C26" s="34" t="n">
        <x:v>2026</x:v>
      </x:c>
      <x:c r="D26" s="34" t="n">
        <x:v>2</x:v>
      </x:c>
      <x:c r="E26" s="34" t="n">
        <x:v>0</x:v>
      </x:c>
      <x:c r="F26" s="34" t="n">
        <x:v>0.8</x:v>
      </x:c>
      <x:c r="G26" s="34" t="str">
        <x:v>model_estimate</x:v>
      </x:c>
      <x:c r="H26" s="34" t="str"/>
      <x:c r="I26" s="34" t="str">
        <x:v>Illustrative screening envelope; not an official supply forecast</x:v>
      </x:c>
    </x:row>
    <x:row r="27">
      <x:c r="A27" s="34" t="str">
        <x:v>KOBE_STEEL_JP</x:v>
      </x:c>
      <x:c r="B27" s="34" t="str">
        <x:v>DISCLOSED_PATH</x:v>
      </x:c>
      <x:c r="C27" s="34" t="n">
        <x:v>2030</x:v>
      </x:c>
      <x:c r="D27" s="34" t="n">
        <x:v>4</x:v>
      </x:c>
      <x:c r="E27" s="34" t="n">
        <x:v>0.3</x:v>
      </x:c>
      <x:c r="F27" s="34" t="n">
        <x:v>3</x:v>
      </x:c>
      <x:c r="G27" s="34" t="str">
        <x:v>model_estimate</x:v>
      </x:c>
      <x:c r="H27" s="34" t="str"/>
      <x:c r="I27" s="34" t="str">
        <x:v>Illustrative screening envelope; not an official supply forecast</x:v>
      </x:c>
    </x:row>
    <x:row r="28">
      <x:c r="A28" s="34" t="str">
        <x:v>KOBE_STEEL_JP</x:v>
      </x:c>
      <x:c r="B28" s="34" t="str">
        <x:v>DISCLOSED_PATH</x:v>
      </x:c>
      <x:c r="C28" s="34" t="n">
        <x:v>2035</x:v>
      </x:c>
      <x:c r="D28" s="34" t="n">
        <x:v>4</x:v>
      </x:c>
      <x:c r="E28" s="34" t="n">
        <x:v>0.4</x:v>
      </x:c>
      <x:c r="F28" s="34" t="n">
        <x:v>3</x:v>
      </x:c>
      <x:c r="G28" s="34" t="str">
        <x:v>model_estimate</x:v>
      </x:c>
      <x:c r="H28" s="34" t="str"/>
      <x:c r="I28" s="34" t="str">
        <x:v>Illustrative screening envelope; not an official supply forecast</x:v>
      </x:c>
    </x:row>
    <x:row r="29">
      <x:c r="A29" s="34" t="str">
        <x:v>KOBE_STEEL_JP</x:v>
      </x:c>
      <x:c r="B29" s="34" t="str">
        <x:v>DISCLOSED_PATH</x:v>
      </x:c>
      <x:c r="C29" s="34" t="n">
        <x:v>2040</x:v>
      </x:c>
      <x:c r="D29" s="34" t="n">
        <x:v>5</x:v>
      </x:c>
      <x:c r="E29" s="34" t="n">
        <x:v>0.8</x:v>
      </x:c>
      <x:c r="F29" s="34" t="n">
        <x:v>5</x:v>
      </x:c>
      <x:c r="G29" s="34" t="str">
        <x:v>model_estimate</x:v>
      </x:c>
      <x:c r="H29" s="34" t="str"/>
      <x:c r="I29" s="34" t="str">
        <x:v>Illustrative screening envelope; not an official supply forecast</x:v>
      </x:c>
    </x:row>
    <x:row r="30">
      <x:c r="A30" s="34" t="str">
        <x:v>KOBE_STEEL_JP</x:v>
      </x:c>
      <x:c r="B30" s="34" t="str">
        <x:v>ACCELERATED_15C</x:v>
      </x:c>
      <x:c r="C30" s="34" t="n">
        <x:v>2026</x:v>
      </x:c>
      <x:c r="D30" s="34" t="n">
        <x:v>2</x:v>
      </x:c>
      <x:c r="E30" s="34" t="n">
        <x:v>0.2</x:v>
      </x:c>
      <x:c r="F30" s="34" t="n">
        <x:v>1</x:v>
      </x:c>
      <x:c r="G30" s="34" t="str">
        <x:v>model_estimate</x:v>
      </x:c>
      <x:c r="H30" s="34" t="str"/>
      <x:c r="I30" s="34" t="str">
        <x:v>Illustrative accelerated envelope; not GCAM or an official supply forecast</x:v>
      </x:c>
    </x:row>
    <x:row r="31">
      <x:c r="A31" s="34" t="str">
        <x:v>KOBE_STEEL_JP</x:v>
      </x:c>
      <x:c r="B31" s="34" t="str">
        <x:v>ACCELERATED_15C</x:v>
      </x:c>
      <x:c r="C31" s="34" t="n">
        <x:v>2030</x:v>
      </x:c>
      <x:c r="D31" s="34" t="n">
        <x:v>3</x:v>
      </x:c>
      <x:c r="E31" s="34" t="n">
        <x:v>0.4</x:v>
      </x:c>
      <x:c r="F31" s="34" t="n">
        <x:v>2.5</x:v>
      </x:c>
      <x:c r="G31" s="34" t="str">
        <x:v>model_estimate</x:v>
      </x:c>
      <x:c r="H31" s="34" t="str"/>
      <x:c r="I31" s="34" t="str">
        <x:v>Illustrative accelerated envelope; not GCAM or an official supply forecast</x:v>
      </x:c>
    </x:row>
    <x:row r="32">
      <x:c r="A32" s="34" t="str">
        <x:v>KOBE_STEEL_JP</x:v>
      </x:c>
      <x:c r="B32" s="34" t="str">
        <x:v>ACCELERATED_15C</x:v>
      </x:c>
      <x:c r="C32" s="34" t="n">
        <x:v>2035</x:v>
      </x:c>
      <x:c r="D32" s="34" t="n">
        <x:v>5</x:v>
      </x:c>
      <x:c r="E32" s="34" t="n">
        <x:v>0.6</x:v>
      </x:c>
      <x:c r="F32" s="34" t="n">
        <x:v>4</x:v>
      </x:c>
      <x:c r="G32" s="34" t="str">
        <x:v>model_estimate</x:v>
      </x:c>
      <x:c r="H32" s="34" t="str"/>
      <x:c r="I32" s="34" t="str">
        <x:v>Illustrative accelerated envelope; not GCAM or an official supply forecast</x:v>
      </x:c>
    </x:row>
    <x:row r="33">
      <x:c r="A33" s="35" t="str">
        <x:v>KOBE_STEEL_JP</x:v>
      </x:c>
      <x:c r="B33" s="35" t="str">
        <x:v>ACCELERATED_15C</x:v>
      </x:c>
      <x:c r="C33" s="35" t="n">
        <x:v>2040</x:v>
      </x:c>
      <x:c r="D33" s="35" t="n">
        <x:v>6</x:v>
      </x:c>
      <x:c r="E33" s="35" t="n">
        <x:v>1</x:v>
      </x:c>
      <x:c r="F33" s="35" t="n">
        <x:v>6.5</x:v>
      </x:c>
      <x:c r="G33" s="35" t="str">
        <x:v>model_estimate</x:v>
      </x:c>
      <x:c r="H33" s="35" t="str"/>
      <x:c r="I33" s="35" t="str">
        <x:v>Illustrative accelerated envelope; not GCAM or an official supply forecast</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5" hidden="0" customWidth="1"/>
    <x:col min="4" max="4" width="14" hidden="0" customWidth="1"/>
    <x:col min="5" max="5" width="18" hidden="0" customWidth="1"/>
    <x:col min="6" max="6" width="18" hidden="0" customWidth="1"/>
    <x:col min="7" max="7" width="22" hidden="0" customWidth="1"/>
    <x:col min="8" max="8" width="42" hidden="0" customWidth="1"/>
    <x:col min="9" max="9" width="28" hidden="0" customWidth="1"/>
    <x:col min="10" max="10" width="42" hidden="0" customWidth="1"/>
    <x:col min="11" max="11" width="58" hidden="0" customWidth="1"/>
    <x:col min="12" max="12" width="20" hidden="0" customWidth="1"/>
    <x:col min="13" max="13" width="17" hidden="0" customWidth="1"/>
    <x:col min="14" max="14" width="28" hidden="0" customWidth="1"/>
    <x:col min="15" max="15" width="42" hidden="0" customWidth="1"/>
    <x:col min="16" max="16" width="62" hidden="0" customWidth="1"/>
  </x:cols>
  <x:sheetData>
    <x:row r="1" ht="28" customHeight="1">
      <x:c r="A1" s="29" t="str">
        <x:v>benchmark_id</x:v>
      </x:c>
      <x:c r="B1" s="29" t="str">
        <x:v>country_code</x:v>
      </x:c>
      <x:c r="C1" s="29" t="str">
        <x:v>resource_type</x:v>
      </x:c>
      <x:c r="D1" s="29" t="str">
        <x:v>benchmark_year</x:v>
      </x:c>
      <x:c r="E1" s="29" t="str">
        <x:v>benchmark_value</x:v>
      </x:c>
      <x:c r="F1" s="29" t="str">
        <x:v>unit</x:v>
      </x:c>
      <x:c r="G1" s="29" t="str">
        <x:v>geography</x:v>
      </x:c>
      <x:c r="H1" s="29" t="str">
        <x:v>scope</x:v>
      </x:c>
      <x:c r="I1" s="29" t="str">
        <x:v>source_org</x:v>
      </x:c>
      <x:c r="J1" s="29" t="str">
        <x:v>source_title</x:v>
      </x:c>
      <x:c r="K1" s="29" t="str">
        <x:v>source_url</x:v>
      </x:c>
      <x:c r="L1" s="29" t="str">
        <x:v>source_version</x:v>
      </x:c>
      <x:c r="M1" s="29" t="str">
        <x:v>extraction_date</x:v>
      </x:c>
      <x:c r="N1" s="29" t="str">
        <x:v>data_status</x:v>
      </x:c>
      <x:c r="O1" s="29" t="str">
        <x:v>comparability</x:v>
      </x:c>
      <x:c r="P1" s="29" t="str">
        <x:v>source_note</x:v>
      </x:c>
    </x:row>
    <x:row r="2">
      <x:c r="A2" s="34" t="str">
        <x:v>KR_CLEAN_H2_DOMESTIC_2030</x:v>
      </x:c>
      <x:c r="B2" s="34" t="str">
        <x:v>KR</x:v>
      </x:c>
      <x:c r="C2" s="34" t="str">
        <x:v>hydrogen</x:v>
      </x:c>
      <x:c r="D2" s="34" t="n">
        <x:v>2030</x:v>
      </x:c>
      <x:c r="E2" s="34" t="n">
        <x:v>1</x:v>
      </x:c>
      <x:c r="F2" s="34" t="str">
        <x:v>MtH2/year</x:v>
      </x:c>
      <x:c r="G2" s="34" t="str">
        <x:v>Republic of Korea</x:v>
      </x:c>
      <x:c r="H2" s="34" t="str">
        <x:v>Domestic clean-hydrogen supply policy target</x:v>
      </x:c>
      <x:c r="I2" s="34" t="str">
        <x:v>Presidential Commission on Carbon Neutrality and Green Growth</x:v>
      </x:c>
      <x:c r="J2" s="34" t="str">
        <x:v>Hydrogen Economy Policy Direction</x:v>
      </x:c>
      <x:c r="K2" s="34" t="str">
        <x:v>https://www.pcccr.go.kr/base/board/read?boardManagementNo=10&amp;boardNo=124&amp;menuLevel=2&amp;menuNo=18&amp;page=2</x:v>
      </x:c>
      <x:c r="L2" s="34" t="str">
        <x:v>2022-11-09</x:v>
      </x:c>
      <x:c r="M2" s="34" t="str">
        <x:v>2026-08-07</x:v>
      </x:c>
      <x:c r="N2" s="34" t="str">
        <x:v>official_national_benchmark</x:v>
      </x:c>
      <x:c r="O2" s="34" t="str">
        <x:v>national_context_not_company_supply_limit</x:v>
      </x:c>
      <x:c r="P2" s="34" t="str">
        <x:v>Official target of 1 million tonnes of domestically supplied clean hydrogen by 2030; not allocated to steel or a named company.</x:v>
      </x:c>
    </x:row>
    <x:row r="3">
      <x:c r="A3" s="34" t="str">
        <x:v>KR_GRID_TARGET_DEMAND_2038</x:v>
      </x:c>
      <x:c r="B3" s="34" t="str">
        <x:v>KR</x:v>
      </x:c>
      <x:c r="C3" s="34" t="str">
        <x:v>grid</x:v>
      </x:c>
      <x:c r="D3" s="34" t="n">
        <x:v>2038</x:v>
      </x:c>
      <x:c r="E3" s="34" t="n">
        <x:v>129.3</x:v>
      </x:c>
      <x:c r="F3" s="34" t="str">
        <x:v>GW</x:v>
      </x:c>
      <x:c r="G3" s="34" t="str">
        <x:v>Republic of Korea</x:v>
      </x:c>
      <x:c r="H3" s="34" t="str">
        <x:v>National target electricity demand</x:v>
      </x:c>
      <x:c r="I3" s="34" t="str">
        <x:v>MOTIR</x:v>
      </x:c>
      <x:c r="J3" s="34" t="str">
        <x:v>Finalized 11th Basic Plan for Electricity Supply and Demand</x:v>
      </x:c>
      <x:c r="K3" s="34" t="str">
        <x:v>https://www.motir.go.kr/kor/article/ATCL3f49a5a8c/170183/view</x:v>
      </x:c>
      <x:c r="L3" s="34" t="str">
        <x:v>2025-02-21</x:v>
      </x:c>
      <x:c r="M3" s="34" t="str">
        <x:v>2026-08-07</x:v>
      </x:c>
      <x:c r="N3" s="34" t="str">
        <x:v>official_national_benchmark</x:v>
      </x:c>
      <x:c r="O3" s="34" t="str">
        <x:v>national_context_not_company_grid_limit</x:v>
      </x:c>
      <x:c r="P3" s="34" t="str">
        <x:v>National peak-demand planning metric; it is not energy in TWh and cannot replace facility incremental-grid constraints.</x:v>
      </x:c>
    </x:row>
    <x:row r="4">
      <x:c r="A4" s="34" t="str">
        <x:v>KR_GRID_NEW_CAPACITY_NEED_2038</x:v>
      </x:c>
      <x:c r="B4" s="34" t="str">
        <x:v>KR</x:v>
      </x:c>
      <x:c r="C4" s="34" t="str">
        <x:v>grid</x:v>
      </x:c>
      <x:c r="D4" s="34" t="n">
        <x:v>2038</x:v>
      </x:c>
      <x:c r="E4" s="34" t="n">
        <x:v>10.3</x:v>
      </x:c>
      <x:c r="F4" s="34" t="str">
        <x:v>GW</x:v>
      </x:c>
      <x:c r="G4" s="34" t="str">
        <x:v>Republic of Korea</x:v>
      </x:c>
      <x:c r="H4" s="34" t="str">
        <x:v>Additional national generation capacity requirement</x:v>
      </x:c>
      <x:c r="I4" s="34" t="str">
        <x:v>MOTIR</x:v>
      </x:c>
      <x:c r="J4" s="34" t="str">
        <x:v>Finalized 11th Basic Plan for Electricity Supply and Demand</x:v>
      </x:c>
      <x:c r="K4" s="34" t="str">
        <x:v>https://www.motir.go.kr/kor/article/ATCL3f49a5a8c/170183/view</x:v>
      </x:c>
      <x:c r="L4" s="34" t="str">
        <x:v>2025-02-21</x:v>
      </x:c>
      <x:c r="M4" s="34" t="str">
        <x:v>2026-08-07</x:v>
      </x:c>
      <x:c r="N4" s="34" t="str">
        <x:v>official_national_benchmark</x:v>
      </x:c>
      <x:c r="O4" s="34" t="str">
        <x:v>national_context_not_company_grid_limit</x:v>
      </x:c>
      <x:c r="P4" s="34" t="str">
        <x:v>Additional generation-capacity requirement after confirmed facilities; national planning context only.</x:v>
      </x:c>
    </x:row>
    <x:row r="5">
      <x:c r="A5" s="34" t="str">
        <x:v>KR_SCRAP_STATISTICS_POLICY_2023</x:v>
      </x:c>
      <x:c r="B5" s="34" t="str">
        <x:v>KR</x:v>
      </x:c>
      <x:c r="C5" s="34" t="str">
        <x:v>scrap</x:v>
      </x:c>
      <x:c r="D5" s="34" t="n">
        <x:v>2023</x:v>
      </x:c>
      <x:c r="E5" s="34" t="str"/>
      <x:c r="F5" s="34" t="str">
        <x:v>qualitative</x:v>
      </x:c>
      <x:c r="G5" s="34" t="str">
        <x:v>Republic of Korea</x:v>
      </x:c>
      <x:c r="H5" s="34" t="str">
        <x:v>Policy to recognize steel scrap as a circular resource and improve grade-region-flow statistics</x:v>
      </x:c>
      <x:c r="I5" s="34" t="str">
        <x:v>2050 Carbon Neutrality and Green Growth Commission</x:v>
      </x:c>
      <x:c r="J5" s="34" t="str">
        <x:v>Carbon Neutrality Green Growth National Strategy and Basic Plan</x:v>
      </x:c>
      <x:c r="K5" s="34" t="str">
        <x:v>https://www.2050cnc.go.kr/storage/board/base/2023/02/17/BOARD_ATTACH_1676595021015.pdf</x:v>
      </x:c>
      <x:c r="L5" s="34" t="str">
        <x:v>2023-02</x:v>
      </x:c>
      <x:c r="M5" s="34" t="str">
        <x:v>2026-08-07</x:v>
      </x:c>
      <x:c r="N5" s="34" t="str">
        <x:v>official_qualitative</x:v>
      </x:c>
      <x:c r="O5" s="34" t="str">
        <x:v>national_context_not_company_scrap_limit</x:v>
      </x:c>
      <x:c r="P5" s="34" t="str">
        <x:v>Official policy direction was verified but no quantitative national supply value is asserted in this registry.</x:v>
      </x:c>
    </x:row>
    <x:row r="6">
      <x:c r="A6" s="34" t="str">
        <x:v>JP_H2_TOTAL_2030</x:v>
      </x:c>
      <x:c r="B6" s="34" t="str">
        <x:v>JP</x:v>
      </x:c>
      <x:c r="C6" s="34" t="str">
        <x:v>hydrogen</x:v>
      </x:c>
      <x:c r="D6" s="34" t="n">
        <x:v>2030</x:v>
      </x:c>
      <x:c r="E6" s="34" t="n">
        <x:v>3</x:v>
      </x:c>
      <x:c r="F6" s="34" t="str">
        <x:v>MtH2-eq/year</x:v>
      </x:c>
      <x:c r="G6" s="34" t="str">
        <x:v>Japan</x:v>
      </x:c>
      <x:c r="H6" s="34" t="str">
        <x:v>Hydrogen and ammonia supply target in hydrogen-equivalent terms</x:v>
      </x:c>
      <x:c r="I6" s="34" t="str">
        <x:v>METI</x:v>
      </x:c>
      <x:c r="J6" s="34" t="str">
        <x:v>Basic Hydrogen Strategy</x:v>
      </x:c>
      <x:c r="K6" s="34" t="str">
        <x:v>https://www.meti.go.jp/policy/energy_environment/global_warming/transition/jcr_climate_transition_bond_framework_spo_eng.pdf</x:v>
      </x:c>
      <x:c r="L6" s="34" t="str">
        <x:v>Revised 2023-06</x:v>
      </x:c>
      <x:c r="M6" s="34" t="str">
        <x:v>2026-08-07</x:v>
      </x:c>
      <x:c r="N6" s="34" t="str">
        <x:v>official_national_benchmark</x:v>
      </x:c>
      <x:c r="O6" s="34" t="str">
        <x:v>national_context_not_company_supply_limit</x:v>
      </x:c>
      <x:c r="P6" s="34" t="str">
        <x:v>Target includes ammonia converted to hydrogen equivalent; it is not a steel-sector allocation.</x:v>
      </x:c>
    </x:row>
    <x:row r="7">
      <x:c r="A7" s="34" t="str">
        <x:v>JP_H2_TOTAL_2040</x:v>
      </x:c>
      <x:c r="B7" s="34" t="str">
        <x:v>JP</x:v>
      </x:c>
      <x:c r="C7" s="34" t="str">
        <x:v>hydrogen</x:v>
      </x:c>
      <x:c r="D7" s="34" t="n">
        <x:v>2040</x:v>
      </x:c>
      <x:c r="E7" s="34" t="n">
        <x:v>12</x:v>
      </x:c>
      <x:c r="F7" s="34" t="str">
        <x:v>MtH2-eq/year</x:v>
      </x:c>
      <x:c r="G7" s="34" t="str">
        <x:v>Japan</x:v>
      </x:c>
      <x:c r="H7" s="34" t="str">
        <x:v>Hydrogen and ammonia supply target in hydrogen-equivalent terms</x:v>
      </x:c>
      <x:c r="I7" s="34" t="str">
        <x:v>METI</x:v>
      </x:c>
      <x:c r="J7" s="34" t="str">
        <x:v>Basic Hydrogen Strategy</x:v>
      </x:c>
      <x:c r="K7" s="34" t="str">
        <x:v>https://www.meti.go.jp/policy/energy_environment/global_warming/transition/jcr_climate_transition_bond_framework_spo_eng.pdf</x:v>
      </x:c>
      <x:c r="L7" s="34" t="str">
        <x:v>Revised 2023-06</x:v>
      </x:c>
      <x:c r="M7" s="34" t="str">
        <x:v>2026-08-07</x:v>
      </x:c>
      <x:c r="N7" s="34" t="str">
        <x:v>official_national_benchmark</x:v>
      </x:c>
      <x:c r="O7" s="34" t="str">
        <x:v>national_context_not_company_supply_limit</x:v>
      </x:c>
      <x:c r="P7" s="34" t="str">
        <x:v>Target includes ammonia converted to hydrogen equivalent; it is not a steel-sector allocation.</x:v>
      </x:c>
    </x:row>
    <x:row r="8">
      <x:c r="A8" s="34" t="str">
        <x:v>JP_H2_TOTAL_2050</x:v>
      </x:c>
      <x:c r="B8" s="34" t="str">
        <x:v>JP</x:v>
      </x:c>
      <x:c r="C8" s="34" t="str">
        <x:v>hydrogen</x:v>
      </x:c>
      <x:c r="D8" s="34" t="n">
        <x:v>2050</x:v>
      </x:c>
      <x:c r="E8" s="34" t="n">
        <x:v>20</x:v>
      </x:c>
      <x:c r="F8" s="34" t="str">
        <x:v>MtH2-eq/year</x:v>
      </x:c>
      <x:c r="G8" s="34" t="str">
        <x:v>Japan</x:v>
      </x:c>
      <x:c r="H8" s="34" t="str">
        <x:v>Hydrogen and ammonia supply target in hydrogen-equivalent terms</x:v>
      </x:c>
      <x:c r="I8" s="34" t="str">
        <x:v>METI</x:v>
      </x:c>
      <x:c r="J8" s="34" t="str">
        <x:v>Basic Hydrogen Strategy</x:v>
      </x:c>
      <x:c r="K8" s="34" t="str">
        <x:v>https://www.meti.go.jp/policy/energy_environment/global_warming/transition/jcr_climate_transition_bond_framework_spo_eng.pdf</x:v>
      </x:c>
      <x:c r="L8" s="34" t="str">
        <x:v>Revised 2023-06</x:v>
      </x:c>
      <x:c r="M8" s="34" t="str">
        <x:v>2026-08-07</x:v>
      </x:c>
      <x:c r="N8" s="34" t="str">
        <x:v>official_national_benchmark</x:v>
      </x:c>
      <x:c r="O8" s="34" t="str">
        <x:v>national_context_not_company_supply_limit</x:v>
      </x:c>
      <x:c r="P8" s="34" t="str">
        <x:v>Target includes ammonia converted to hydrogen equivalent; it is not a steel-sector allocation.</x:v>
      </x:c>
    </x:row>
    <x:row r="9">
      <x:c r="A9" s="34" t="str">
        <x:v>JP_GRID_TRANSFORMER_UPGRADE_2032</x:v>
      </x:c>
      <x:c r="B9" s="34" t="str">
        <x:v>JP</x:v>
      </x:c>
      <x:c r="C9" s="34" t="str">
        <x:v>grid</x:v>
      </x:c>
      <x:c r="D9" s="34" t="n">
        <x:v>2032</x:v>
      </x:c>
      <x:c r="E9" s="34" t="n">
        <x:v>30163</x:v>
      </x:c>
      <x:c r="F9" s="34" t="str">
        <x:v>MVA</x:v>
      </x:c>
      <x:c r="G9" s="34" t="str">
        <x:v>Japan</x:v>
      </x:c>
      <x:c r="H9" s="34" t="str">
        <x:v>Ten-year cross-regional transmission development plans through FY2032</x:v>
      </x:c>
      <x:c r="I9" s="34" t="str">
        <x:v>OCCTO</x:v>
      </x:c>
      <x:c r="J9" s="34" t="str">
        <x:v>Annual Report 2023</x:v>
      </x:c>
      <x:c r="K9" s="34" t="str">
        <x:v>https://www.occto.or.jp/assets/en/information_disclosure/annual_report/files/2023_annualreport_240131.pdf</x:v>
      </x:c>
      <x:c r="L9" s="34" t="str">
        <x:v>FY2023</x:v>
      </x:c>
      <x:c r="M9" s="34" t="str">
        <x:v>2026-08-07</x:v>
      </x:c>
      <x:c r="N9" s="34" t="str">
        <x:v>official_national_benchmark</x:v>
      </x:c>
      <x:c r="O9" s="34" t="str">
        <x:v>national_context_not_company_grid_limit</x:v>
      </x:c>
      <x:c r="P9" s="34" t="str">
        <x:v>Transformer uprating total in submitted development plans; not delivered energy or site connection capacity.</x:v>
      </x:c>
    </x:row>
    <x:row r="10">
      <x:c r="A10" s="34" t="str">
        <x:v>JP_GRID_CONVERTER_UPGRADE_2032</x:v>
      </x:c>
      <x:c r="B10" s="34" t="str">
        <x:v>JP</x:v>
      </x:c>
      <x:c r="C10" s="34" t="str">
        <x:v>grid</x:v>
      </x:c>
      <x:c r="D10" s="34" t="n">
        <x:v>2032</x:v>
      </x:c>
      <x:c r="E10" s="34" t="n">
        <x:v>1200</x:v>
      </x:c>
      <x:c r="F10" s="34" t="str">
        <x:v>MW</x:v>
      </x:c>
      <x:c r="G10" s="34" t="str">
        <x:v>Japan</x:v>
      </x:c>
      <x:c r="H10" s="34" t="str">
        <x:v>Ten-year cross-regional transmission development plans through FY2032</x:v>
      </x:c>
      <x:c r="I10" s="34" t="str">
        <x:v>OCCTO</x:v>
      </x:c>
      <x:c r="J10" s="34" t="str">
        <x:v>Annual Report 2023</x:v>
      </x:c>
      <x:c r="K10" s="34" t="str">
        <x:v>https://www.occto.or.jp/assets/en/information_disclosure/annual_report/files/2023_annualreport_240131.pdf</x:v>
      </x:c>
      <x:c r="L10" s="34" t="str">
        <x:v>FY2023</x:v>
      </x:c>
      <x:c r="M10" s="34" t="str">
        <x:v>2026-08-07</x:v>
      </x:c>
      <x:c r="N10" s="34" t="str">
        <x:v>official_national_benchmark</x:v>
      </x:c>
      <x:c r="O10" s="34" t="str">
        <x:v>national_context_not_company_grid_limit</x:v>
      </x:c>
      <x:c r="P10" s="34" t="str">
        <x:v>AC-DC converter capacity in submitted development plans; not a steel-site connection allocation.</x:v>
      </x:c>
    </x:row>
    <x:row r="11">
      <x:c r="A11" s="34" t="str">
        <x:v>JP_SCRAP_GENERATION_2022</x:v>
      </x:c>
      <x:c r="B11" s="34" t="str">
        <x:v>JP</x:v>
      </x:c>
      <x:c r="C11" s="34" t="str">
        <x:v>scrap</x:v>
      </x:c>
      <x:c r="D11" s="34" t="n">
        <x:v>2022</x:v>
      </x:c>
      <x:c r="E11" s="34" t="n">
        <x:v>43.16</x:v>
      </x:c>
      <x:c r="F11" s="34" t="str">
        <x:v>Mt/year</x:v>
      </x:c>
      <x:c r="G11" s="34" t="str">
        <x:v>Japan</x:v>
      </x:c>
      <x:c r="H11" s="34" t="str">
        <x:v>National steel-scrap generation total</x:v>
      </x:c>
      <x:c r="I11" s="34" t="str">
        <x:v>Ministry of the Environment Japan</x:v>
      </x:c>
      <x:c r="J11" s="34" t="str">
        <x:v>Commissioned study on steel recycling and decarbonization</x:v>
      </x:c>
      <x:c r="K11" s="34" t="str">
        <x:v>https://www.env.go.jp/content/000315009.pdf</x:v>
      </x:c>
      <x:c r="L11" s="34" t="str">
        <x:v>FY2024 report</x:v>
      </x:c>
      <x:c r="M11" s="34" t="str">
        <x:v>2026-08-07</x:v>
      </x:c>
      <x:c r="N11" s="34" t="str">
        <x:v>official_national_benchmark</x:v>
      </x:c>
      <x:c r="O11" s="34" t="str">
        <x:v>national_context_not_company_scrap_limit</x:v>
      </x:c>
      <x:c r="P11" s="34" t="str">
        <x:v>Sum of 12.35 Mt home scrap plus 7.03 Mt processing scrap plus 23.78 Mt obsolete scrap; underlying statistics attributed to JISF.</x:v>
      </x:c>
    </x:row>
    <x:row r="12">
      <x:c r="A12" s="35" t="str">
        <x:v>JP_HIGH_GRADE_SCRAP_PROCESSING_2030</x:v>
      </x:c>
      <x:c r="B12" s="35" t="str">
        <x:v>JP</x:v>
      </x:c>
      <x:c r="C12" s="35" t="str">
        <x:v>scrap</x:v>
      </x:c>
      <x:c r="D12" s="35" t="n">
        <x:v>2030</x:v>
      </x:c>
      <x:c r="E12" s="35" t="n">
        <x:v>2</x:v>
      </x:c>
      <x:c r="F12" s="35" t="str">
        <x:v>Mt/year</x:v>
      </x:c>
      <x:c r="G12" s="35" t="str">
        <x:v>Japan</x:v>
      </x:c>
      <x:c r="H12" s="35" t="str">
        <x:v>Additional domestic high-grade steel-scrap processing capacity target</x:v>
      </x:c>
      <x:c r="I12" s="35" t="str">
        <x:v>Ministry of the Environment Japan</x:v>
      </x:c>
      <x:c r="J12" s="35" t="str">
        <x:v>Environment White Paper 2026</x:v>
      </x:c>
      <x:c r="K12" s="35" t="str">
        <x:v>https://www.env.go.jp/policy/hakusyo/r08/html/hj26010401.html</x:v>
      </x:c>
      <x:c r="L12" s="35" t="n">
        <x:v>2026</x:v>
      </x:c>
      <x:c r="M12" s="35" t="str">
        <x:v>2026-08-07</x:v>
      </x:c>
      <x:c r="N12" s="35" t="str">
        <x:v>official_national_benchmark</x:v>
      </x:c>
      <x:c r="O12" s="35" t="str">
        <x:v>national_context_not_company_scrap_limit</x:v>
      </x:c>
      <x:c r="P12" s="35" t="str">
        <x:v>Additional processing capacity target by 2030; it is neither scrap generation nor a company allocation.</x:v>
      </x:c>
    </x:row>
  </x:sheetData>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27" hidden="0" customWidth="1"/>
    <x:col min="2" max="2" width="22" hidden="0" customWidth="1"/>
    <x:col min="3" max="3" width="28" hidden="0" customWidth="1"/>
    <x:col min="4" max="4" width="27" hidden="0" customWidth="1"/>
    <x:col min="5" max="5" width="42" hidden="0" customWidth="1"/>
    <x:col min="6" max="6" width="11" hidden="0" customWidth="1"/>
    <x:col min="7" max="7" width="22" hidden="0" customWidth="1"/>
    <x:col min="8" max="8" width="24" hidden="0" customWidth="1"/>
    <x:col min="9" max="9" width="16" hidden="0" customWidth="1"/>
    <x:col min="10" max="10" width="18" hidden="0" customWidth="1"/>
    <x:col min="11" max="11" width="16" hidden="0" customWidth="1"/>
    <x:col min="12" max="12" width="28" hidden="0" customWidth="1"/>
    <x:col min="13" max="13" width="18" hidden="0" customWidth="1"/>
    <x:col min="14" max="14" width="16" hidden="0" customWidth="1"/>
    <x:col min="15" max="15" width="18" hidden="0" customWidth="1"/>
    <x:col min="16" max="16" width="14" hidden="0" customWidth="1"/>
    <x:col min="17" max="17" width="13" hidden="0" customWidth="1"/>
    <x:col min="18" max="18" width="18" hidden="0" customWidth="1"/>
    <x:col min="19" max="19" width="20" hidden="0" customWidth="1"/>
    <x:col min="20" max="20" width="18" hidden="0" customWidth="1"/>
    <x:col min="21" max="21" width="19" hidden="0" customWidth="1"/>
    <x:col min="22" max="22" width="21" hidden="0" customWidth="1"/>
    <x:col min="23" max="23" width="14" hidden="0" customWidth="1"/>
    <x:col min="24" max="24" width="14" hidden="0" customWidth="1"/>
    <x:col min="25" max="25" width="27" hidden="0" customWidth="1"/>
    <x:col min="26" max="26" width="24" hidden="0" customWidth="1"/>
    <x:col min="27" max="27" width="48" hidden="0" customWidth="1"/>
    <x:col min="28" max="28" width="68" hidden="0" customWidth="1"/>
    <x:col min="29" max="29" width="18" hidden="0" customWidth="1"/>
    <x:col min="30" max="30" width="17" hidden="0" customWidth="1"/>
    <x:col min="31" max="31" width="72" hidden="0" customWidth="1"/>
  </x:cols>
  <x:sheetData>
    <x:row r="1" ht="28" customHeight="1">
      <x:c r="A1" s="29" t="str">
        <x:v>project_id</x:v>
      </x:c>
      <x:c r="B1" s="29" t="str">
        <x:v>company_id</x:v>
      </x:c>
      <x:c r="C1" s="29" t="str">
        <x:v>related_facility_ids</x:v>
      </x:c>
      <x:c r="D1" s="29" t="str">
        <x:v>model_mapping_status</x:v>
      </x:c>
      <x:c r="E1" s="29" t="str">
        <x:v>project_name</x:v>
      </x:c>
      <x:c r="F1" s="29" t="str">
        <x:v>country_code</x:v>
      </x:c>
      <x:c r="G1" s="29" t="str">
        <x:v>project_status</x:v>
      </x:c>
      <x:c r="H1" s="29" t="str">
        <x:v>decision_stage</x:v>
      </x:c>
      <x:c r="I1" s="29" t="str">
        <x:v>announcement_date</x:v>
      </x:c>
      <x:c r="J1" s="29" t="str">
        <x:v>construction_start_date</x:v>
      </x:c>
      <x:c r="K1" s="29" t="str">
        <x:v>operation_start_year</x:v>
      </x:c>
      <x:c r="L1" s="29" t="str">
        <x:v>operation_start_label</x:v>
      </x:c>
      <x:c r="M1" s="29" t="str">
        <x:v>technology_id</x:v>
      </x:c>
      <x:c r="N1" s="29" t="str">
        <x:v>capacity_mtpa</x:v>
      </x:c>
      <x:c r="O1" s="29" t="str">
        <x:v>capex_native_bn</x:v>
      </x:c>
      <x:c r="P1" s="29" t="str">
        <x:v>capex_currency</x:v>
      </x:c>
      <x:c r="Q1" s="29" t="str">
        <x:v>fx_to_krw</x:v>
      </x:c>
      <x:c r="R1" s="29" t="str">
        <x:v>capex_bn_krw</x:v>
      </x:c>
      <x:c r="S1" s="29" t="str">
        <x:v>government_support_native_bn</x:v>
      </x:c>
      <x:c r="T1" s="29" t="str">
        <x:v>government_support_pct</x:v>
      </x:c>
      <x:c r="U1" s="29" t="str">
        <x:v>disclosed_reduction_pct</x:v>
      </x:c>
      <x:c r="V1" s="29" t="str">
        <x:v>avoided_emissions_mtco2_pa</x:v>
      </x:c>
      <x:c r="W1" s="29" t="str">
        <x:v>scrap_share</x:v>
      </x:c>
      <x:c r="X1" s="29" t="str">
        <x:v>hbi_share</x:v>
      </x:c>
      <x:c r="Y1" s="29" t="str">
        <x:v>data_status</x:v>
      </x:c>
      <x:c r="Z1" s="29" t="str">
        <x:v>confidence_grade</x:v>
      </x:c>
      <x:c r="AA1" s="29" t="str">
        <x:v>source_title</x:v>
      </x:c>
      <x:c r="AB1" s="29" t="str">
        <x:v>source_url</x:v>
      </x:c>
      <x:c r="AC1" s="29" t="str">
        <x:v>source_version</x:v>
      </x:c>
      <x:c r="AD1" s="29" t="str">
        <x:v>extraction_date</x:v>
      </x:c>
      <x:c r="AE1" s="29" t="str">
        <x:v>scope_note</x:v>
      </x:c>
    </x:row>
    <x:row r="2">
      <x:c r="A2" s="34" t="str">
        <x:v>POSCO_GWY_EAF_25</x:v>
      </x:c>
      <x:c r="B2" s="34" t="str">
        <x:v>POSCO_KR</x:v>
      </x:c>
      <x:c r="C2" s="34" t="str"/>
      <x:c r="D2" s="34" t="str">
        <x:v>unmapped_new_asset</x:v>
      </x:c>
      <x:c r="E2" s="34" t="str">
        <x:v>Gwangyang 2.5 Mt large-scale EAF</x:v>
      </x:c>
      <x:c r="F2" s="34" t="str">
        <x:v>KR</x:v>
      </x:c>
      <x:c r="G2" s="34" t="str">
        <x:v>operating</x:v>
      </x:c>
      <x:c r="H2" s="34" t="str">
        <x:v>completed</x:v>
      </x:c>
      <x:c r="I2" s="34" t="str">
        <x:v>2026-06-22</x:v>
      </x:c>
      <x:c r="J2" s="34" t="str">
        <x:v>2024-02</x:v>
      </x:c>
      <x:c r="K2" s="34" t="n">
        <x:v>2026</x:v>
      </x:c>
      <x:c r="L2" s="34" t="str">
        <x:v>Production commenced June 2026</x:v>
      </x:c>
      <x:c r="M2" s="34" t="str">
        <x:v>SCRAP_EAF</x:v>
      </x:c>
      <x:c r="N2" s="72" t="n">
        <x:v>2.5</x:v>
      </x:c>
      <x:c r="O2" s="72" t="n">
        <x:v>600</x:v>
      </x:c>
      <x:c r="P2" s="72" t="str">
        <x:v>KRW</x:v>
      </x:c>
      <x:c r="Q2" s="72" t="n">
        <x:v>1</x:v>
      </x:c>
      <x:c r="R2" s="72" t="n">
        <x:v>600</x:v>
      </x:c>
      <x:c r="S2" s="72" t="str"/>
      <x:c r="T2" s="56" t="str"/>
      <x:c r="U2" s="56" t="n">
        <x:v>0.75</x:v>
      </x:c>
      <x:c r="V2" s="72" t="n">
        <x:v>3.5</x:v>
      </x:c>
      <x:c r="W2" s="56" t="n">
        <x:v>0.8</x:v>
      </x:c>
      <x:c r="X2" s="56" t="n">
        <x:v>0.2</x:v>
      </x:c>
      <x:c r="Y2" s="34" t="str">
        <x:v>official_project_disclosure</x:v>
      </x:c>
      <x:c r="Z2" s="34" t="str">
        <x:v>A_primary_quantitative</x:v>
      </x:c>
      <x:c r="AA2" s="34" t="str">
        <x:v>POSCO Accelerates Transition to Decarbonized Production System with Completion of Korea's Largest Electric Arc Furnace</x:v>
      </x:c>
      <x:c r="AB2" s="34" t="str">
        <x:v>https://newsroom.posco.com/en/posco-accelerates-transition-to-decarbonized-production-system-with-completion-of-koreas-largest-electric-arc-furnace/</x:v>
      </x:c>
      <x:c r="AC2" s="34" t="str">
        <x:v>2026-06-22</x:v>
      </x:c>
      <x:c r="AD2" s="34" t="str">
        <x:v>2026-08-08</x:v>
      </x:c>
      <x:c r="AE2" s="34" t="str">
        <x:v>Project includes the EAF; POSCO Green Bond reporting separately identifies scrap unloading/yard and water-supply capacity. The 3.5 MtCO2/year avoided figure and 80% scrap/20% HBI mix are from the Green Bond report, not the June 2026 completion release. This new asset is not the modeled 1.2 Mt existing-EAF block.</x:v>
      </x:c>
    </x:row>
    <x:row r="3">
      <x:c r="A3" s="34" t="str">
        <x:v>POSCO_HYREX_DEMO_03</x:v>
      </x:c>
      <x:c r="B3" s="34" t="str">
        <x:v>POSCO_KR</x:v>
      </x:c>
      <x:c r="C3" s="34" t="str"/>
      <x:c r="D3" s="34" t="str">
        <x:v>unmapped_demo_asset</x:v>
      </x:c>
      <x:c r="E3" s="34" t="str">
        <x:v>Pohang HyREX demonstration plant</x:v>
      </x:c>
      <x:c r="F3" s="34" t="str">
        <x:v>KR</x:v>
      </x:c>
      <x:c r="G3" s="34" t="str">
        <x:v>announced_demo</x:v>
      </x:c>
      <x:c r="H3" s="34" t="str">
        <x:v>technology_development</x:v>
      </x:c>
      <x:c r="I3" s="34" t="str">
        <x:v>2026-06-22</x:v>
      </x:c>
      <x:c r="J3" s="34" t="n">
        <x:v>2026</x:v>
      </x:c>
      <x:c r="K3" s="34" t="str"/>
      <x:c r="L3" s="34" t="str">
        <x:v>Technology development targeted for completion by 2030</x:v>
      </x:c>
      <x:c r="M3" s="34" t="str">
        <x:v>H2_DRI_EAF</x:v>
      </x:c>
      <x:c r="N3" s="72" t="n">
        <x:v>0.3</x:v>
      </x:c>
      <x:c r="O3" s="72" t="str"/>
      <x:c r="P3" s="72" t="str">
        <x:v>KRW</x:v>
      </x:c>
      <x:c r="Q3" s="72" t="n">
        <x:v>1</x:v>
      </x:c>
      <x:c r="R3" s="72" t="str"/>
      <x:c r="S3" s="72" t="str"/>
      <x:c r="T3" s="56" t="str"/>
      <x:c r="U3" s="56" t="str"/>
      <x:c r="V3" s="72" t="str"/>
      <x:c r="W3" s="56" t="str"/>
      <x:c r="X3" s="56" t="str"/>
      <x:c r="Y3" s="34" t="str">
        <x:v>official_project_disclosure</x:v>
      </x:c>
      <x:c r="Z3" s="34" t="str">
        <x:v>B_primary_directional</x:v>
      </x:c>
      <x:c r="AA3" s="34" t="str">
        <x:v>POSCO Accelerates Transition to Decarbonized Production System with Completion of Korea's Largest Electric Arc Furnace</x:v>
      </x:c>
      <x:c r="AB3" s="34" t="str">
        <x:v>https://newsroom.posco.com/en/posco-accelerates-transition-to-decarbonized-production-system-with-completion-of-koreas-largest-electric-arc-furnace/</x:v>
      </x:c>
      <x:c r="AC3" s="34" t="str">
        <x:v>2026-06-22</x:v>
      </x:c>
      <x:c r="AD3" s="34" t="str">
        <x:v>2026-08-08</x:v>
      </x:c>
      <x:c r="AE3" s="34" t="str">
        <x:v>Latest company release states a 0.3 Mt/year demonstration facility and technology-development completion by 2030. No project CAPEX or commercial operating date is asserted.</x:v>
      </x:c>
    </x:row>
    <x:row r="4">
      <x:c r="A4" s="34" t="str">
        <x:v>NS_YAWATA_EAF_20</x:v>
      </x:c>
      <x:c r="B4" s="34" t="str">
        <x:v>NIPPON_STEEL_JP</x:v>
      </x:c>
      <x:c r="C4" s="34" t="str">
        <x:v>NS-KYUSHU</x:v>
      </x:c>
      <x:c r="D4" s="34" t="str">
        <x:v>timing_and_site_anchor</x:v>
      </x:c>
      <x:c r="E4" s="34" t="str">
        <x:v>Yawata new large-scale EAF</x:v>
      </x:c>
      <x:c r="F4" s="34" t="str">
        <x:v>JP</x:v>
      </x:c>
      <x:c r="G4" s="34" t="str">
        <x:v>investment_decided</x:v>
      </x:c>
      <x:c r="H4" s="34" t="str">
        <x:v>final_investment_decision</x:v>
      </x:c>
      <x:c r="I4" s="34" t="str">
        <x:v>2025-05-30</x:v>
      </x:c>
      <x:c r="J4" s="34" t="str"/>
      <x:c r="K4" s="34" t="n">
        <x:v>2029</x:v>
      </x:c>
      <x:c r="L4" s="34" t="str">
        <x:v>FY2029 second half</x:v>
      </x:c>
      <x:c r="M4" s="34" t="str">
        <x:v>SCRAP_EAF</x:v>
      </x:c>
      <x:c r="N4" s="72" t="n">
        <x:v>2</x:v>
      </x:c>
      <x:c r="O4" s="72" t="n">
        <x:v>630.2</x:v>
      </x:c>
      <x:c r="P4" s="72" t="str">
        <x:v>JPY</x:v>
      </x:c>
      <x:c r="Q4" s="72" t="n">
        <x:v>9.2</x:v>
      </x:c>
      <x:c r="R4" s="72" t="n">
        <x:v>5797.84</x:v>
      </x:c>
      <x:c r="S4" s="72" t="n">
        <x:v>179.9</x:v>
      </x:c>
      <x:c r="T4" s="56" t="n">
        <x:v>0.285465</x:v>
      </x:c>
      <x:c r="U4" s="56" t="str"/>
      <x:c r="V4" s="72" t="str"/>
      <x:c r="W4" s="56" t="str"/>
      <x:c r="X4" s="56" t="str"/>
      <x:c r="Y4" s="34" t="str">
        <x:v>official_project_disclosure</x:v>
      </x:c>
      <x:c r="Z4" s="34" t="str">
        <x:v>A_primary_quantitative</x:v>
      </x:c>
      <x:c r="AA4" s="34" t="str">
        <x:v>Decision is Made to Invest in the Conversion from the Blast Furnace Steelmaking Process to the Electric Arc Furnace Steelmaking Process</x:v>
      </x:c>
      <x:c r="AB4" s="34" t="str">
        <x:v>https://www.nipponsteel.com/en/newsroom/news/2025/__icsFiles/afieldfile/2025/09/26/20250530_200.pdf</x:v>
      </x:c>
      <x:c r="AC4" s="34" t="str">
        <x:v>2025-05-30</x:v>
      </x:c>
      <x:c r="AD4" s="34" t="str">
        <x:v>2026-08-08</x:v>
      </x:c>
      <x:c r="AE4" s="34" t="str">
        <x:v>Full project scope includes high-grade steelmaking, logistics, power-supply and downstream energy measures. It is not directly comparable with a bare EAF equipment benchmark.</x:v>
      </x:c>
    </x:row>
    <x:row r="5">
      <x:c r="A5" s="34" t="str">
        <x:v>NS_HIROHATA_EAF_05</x:v>
      </x:c>
      <x:c r="B5" s="34" t="str">
        <x:v>NIPPON_STEEL_JP</x:v>
      </x:c>
      <x:c r="C5" s="34" t="str">
        <x:v>NS-SETOUCHI</x:v>
      </x:c>
      <x:c r="D5" s="34" t="str">
        <x:v>timing_and_site_anchor</x:v>
      </x:c>
      <x:c r="E5" s="34" t="str">
        <x:v>Hirohata EAF expansion</x:v>
      </x:c>
      <x:c r="F5" s="34" t="str">
        <x:v>JP</x:v>
      </x:c>
      <x:c r="G5" s="34" t="str">
        <x:v>investment_decided</x:v>
      </x:c>
      <x:c r="H5" s="34" t="str">
        <x:v>final_investment_decision</x:v>
      </x:c>
      <x:c r="I5" s="34" t="str">
        <x:v>2025-05-30</x:v>
      </x:c>
      <x:c r="J5" s="34" t="str"/>
      <x:c r="K5" s="34" t="n">
        <x:v>2029</x:v>
      </x:c>
      <x:c r="L5" s="34" t="str">
        <x:v>FY2029 second half</x:v>
      </x:c>
      <x:c r="M5" s="34" t="str">
        <x:v>SCRAP_EAF</x:v>
      </x:c>
      <x:c r="N5" s="72" t="n">
        <x:v>0.5</x:v>
      </x:c>
      <x:c r="O5" s="72" t="n">
        <x:v>140</x:v>
      </x:c>
      <x:c r="P5" s="72" t="str">
        <x:v>JPY</x:v>
      </x:c>
      <x:c r="Q5" s="72" t="n">
        <x:v>9.2</x:v>
      </x:c>
      <x:c r="R5" s="72" t="n">
        <x:v>1288</x:v>
      </x:c>
      <x:c r="S5" s="72" t="n">
        <x:v>42.8</x:v>
      </x:c>
      <x:c r="T5" s="56" t="n">
        <x:v>0.305714</x:v>
      </x:c>
      <x:c r="U5" s="56" t="str"/>
      <x:c r="V5" s="72" t="str"/>
      <x:c r="W5" s="56" t="str"/>
      <x:c r="X5" s="56" t="str"/>
      <x:c r="Y5" s="34" t="str">
        <x:v>official_project_disclosure</x:v>
      </x:c>
      <x:c r="Z5" s="34" t="str">
        <x:v>A_primary_quantitative</x:v>
      </x:c>
      <x:c r="AA5" s="34" t="str">
        <x:v>Decision is Made to Invest in the Conversion from the Blast Furnace Steelmaking Process to the Electric Arc Furnace Steelmaking Process</x:v>
      </x:c>
      <x:c r="AB5" s="34" t="str">
        <x:v>https://www.nipponsteel.com/en/newsroom/news/2025/__icsFiles/afieldfile/2025/09/26/20250530_200.pdf</x:v>
      </x:c>
      <x:c r="AC5" s="34" t="str">
        <x:v>2025-05-30</x:v>
      </x:c>
      <x:c r="AD5" s="34" t="str">
        <x:v>2026-08-08</x:v>
      </x:c>
      <x:c r="AE5" s="34" t="str">
        <x:v>Expansion project with ancillary and related measures; site capacity is incremental project capacity and not total modeled works capacity.</x:v>
      </x:c>
    </x:row>
    <x:row r="6">
      <x:c r="A6" s="34" t="str">
        <x:v>NS_SHUNAN_EAF_04</x:v>
      </x:c>
      <x:c r="B6" s="34" t="str">
        <x:v>NIPPON_STEEL_JP</x:v>
      </x:c>
      <x:c r="C6" s="34" t="str"/>
      <x:c r="D6" s="34" t="str">
        <x:v>unmapped_group_asset</x:v>
      </x:c>
      <x:c r="E6" s="34" t="str">
        <x:v>Shunan EAF modification and restart</x:v>
      </x:c>
      <x:c r="F6" s="34" t="str">
        <x:v>JP</x:v>
      </x:c>
      <x:c r="G6" s="34" t="str">
        <x:v>investment_decided</x:v>
      </x:c>
      <x:c r="H6" s="34" t="str">
        <x:v>final_investment_decision</x:v>
      </x:c>
      <x:c r="I6" s="34" t="str">
        <x:v>2025-05-30</x:v>
      </x:c>
      <x:c r="J6" s="34" t="str"/>
      <x:c r="K6" s="34" t="n">
        <x:v>2028</x:v>
      </x:c>
      <x:c r="L6" s="34" t="str">
        <x:v>FY2028 second half</x:v>
      </x:c>
      <x:c r="M6" s="34" t="str">
        <x:v>SCRAP_EAF</x:v>
      </x:c>
      <x:c r="N6" s="72" t="n">
        <x:v>0.4</x:v>
      </x:c>
      <x:c r="O6" s="72" t="n">
        <x:v>98.5</x:v>
      </x:c>
      <x:c r="P6" s="72" t="str">
        <x:v>JPY</x:v>
      </x:c>
      <x:c r="Q6" s="72" t="n">
        <x:v>9.2</x:v>
      </x:c>
      <x:c r="R6" s="72" t="n">
        <x:v>906.2</x:v>
      </x:c>
      <x:c r="S6" s="72" t="n">
        <x:v>28.7</x:v>
      </x:c>
      <x:c r="T6" s="56" t="n">
        <x:v>0.291371</x:v>
      </x:c>
      <x:c r="U6" s="56" t="str"/>
      <x:c r="V6" s="72" t="str"/>
      <x:c r="W6" s="56" t="str"/>
      <x:c r="X6" s="56" t="str"/>
      <x:c r="Y6" s="34" t="str">
        <x:v>official_project_disclosure</x:v>
      </x:c>
      <x:c r="Z6" s="34" t="str">
        <x:v>A_primary_quantitative</x:v>
      </x:c>
      <x:c r="AA6" s="34" t="str">
        <x:v>Decision is Made to Invest in the Conversion from the Blast Furnace Steelmaking Process to the Electric Arc Furnace Steelmaking Process</x:v>
      </x:c>
      <x:c r="AB6" s="34" t="str">
        <x:v>https://www.nipponsteel.com/en/newsroom/news/2025/__icsFiles/afieldfile/2025/09/26/20250530_200.pdf</x:v>
      </x:c>
      <x:c r="AC6" s="34" t="str">
        <x:v>2025-05-30</x:v>
      </x:c>
      <x:c r="AD6" s="34" t="str">
        <x:v>2026-08-08</x:v>
      </x:c>
      <x:c r="AE6" s="34" t="str">
        <x:v>Nippon Steel Stainless Steel group asset; current model has no Shunan facility block, so it remains evidence rather than an optimization asset.</x:v>
      </x:c>
    </x:row>
    <x:row r="7">
      <x:c r="A7" s="34" t="str">
        <x:v>JFE_KURA_EAF_20</x:v>
      </x:c>
      <x:c r="B7" s="34" t="str">
        <x:v>JFE_STEEL_JP</x:v>
      </x:c>
      <x:c r="C7" s="34" t="str">
        <x:v>JFE-KURA</x:v>
      </x:c>
      <x:c r="D7" s="34" t="str">
        <x:v>timing_and_site_anchor</x:v>
      </x:c>
      <x:c r="E7" s="34" t="str">
        <x:v>Kurashiki advanced high-efficiency large-scale EAF</x:v>
      </x:c>
      <x:c r="F7" s="34" t="str">
        <x:v>JP</x:v>
      </x:c>
      <x:c r="G7" s="34" t="str">
        <x:v>investment_decided</x:v>
      </x:c>
      <x:c r="H7" s="34" t="str">
        <x:v>final_investment_decision</x:v>
      </x:c>
      <x:c r="I7" s="34" t="str">
        <x:v>2025-04-10</x:v>
      </x:c>
      <x:c r="J7" s="34" t="str"/>
      <x:c r="K7" s="34" t="n">
        <x:v>2028</x:v>
      </x:c>
      <x:c r="L7" s="34" t="str">
        <x:v>FY2028 first quarter</x:v>
      </x:c>
      <x:c r="M7" s="34" t="str">
        <x:v>SCRAP_EAF</x:v>
      </x:c>
      <x:c r="N7" s="72" t="n">
        <x:v>2</x:v>
      </x:c>
      <x:c r="O7" s="72" t="n">
        <x:v>329.4</x:v>
      </x:c>
      <x:c r="P7" s="72" t="str">
        <x:v>JPY</x:v>
      </x:c>
      <x:c r="Q7" s="72" t="n">
        <x:v>9.2</x:v>
      </x:c>
      <x:c r="R7" s="72" t="n">
        <x:v>3030.48</x:v>
      </x:c>
      <x:c r="S7" s="72" t="n">
        <x:v>104.5</x:v>
      </x:c>
      <x:c r="T7" s="56" t="n">
        <x:v>0.317244</x:v>
      </x:c>
      <x:c r="U7" s="56" t="str"/>
      <x:c r="V7" s="72" t="str"/>
      <x:c r="W7" s="56" t="str"/>
      <x:c r="X7" s="56" t="str"/>
      <x:c r="Y7" s="34" t="str">
        <x:v>official_project_disclosure</x:v>
      </x:c>
      <x:c r="Z7" s="34" t="str">
        <x:v>A_primary_quantitative</x:v>
      </x:c>
      <x:c r="AA7" s="34" t="str">
        <x:v>JFE Steel to introduce advanced high-efficiency large-scale electric arc furnace in Japan</x:v>
      </x:c>
      <x:c r="AB7" s="34" t="str">
        <x:v>https://www.jfe-steel.co.jp/en/release/2025/04/250410.html</x:v>
      </x:c>
      <x:c r="AC7" s="34" t="str">
        <x:v>2025-04-10</x:v>
      </x:c>
      <x:c r="AD7" s="34" t="str">
        <x:v>2026-08-08</x:v>
      </x:c>
      <x:c r="AE7" s="34" t="str">
        <x:v>Scope includes advanced EAF, off-site refining, cold-iron-source distribution facilities and an upgraded quay; therefore the normalized project cost is a full-scope upper comparator, not a direct equipment unit cost.</x:v>
      </x:c>
    </x:row>
    <x:row r="8">
      <x:c r="A8" s="34" t="str">
        <x:v>KOB_KAKO_MELTER_07</x:v>
      </x:c>
      <x:c r="B8" s="34" t="str">
        <x:v>KOBE_STEEL_JP</x:v>
      </x:c>
      <x:c r="C8" s="34" t="str">
        <x:v>KOB-BF1|KOB-BF3</x:v>
      </x:c>
      <x:c r="D8" s="34" t="str">
        <x:v>hybrid_route_evidence</x:v>
      </x:c>
      <x:c r="E8" s="34" t="str">
        <x:v>Kakogawa scrap melting furnace</x:v>
      </x:c>
      <x:c r="F8" s="34" t="str">
        <x:v>JP</x:v>
      </x:c>
      <x:c r="G8" s="34" t="str">
        <x:v>feasibility_study</x:v>
      </x:c>
      <x:c r="H8" s="34" t="str">
        <x:v>pre_fid</x:v>
      </x:c>
      <x:c r="I8" s="34" t="str">
        <x:v>2026-05-18</x:v>
      </x:c>
      <x:c r="J8" s="34" t="str"/>
      <x:c r="K8" s="34" t="str"/>
      <x:c r="L8" s="34" t="str">
        <x:v>Early 2030s indicative</x:v>
      </x:c>
      <x:c r="M8" s="34" t="str">
        <x:v>SCRAP_EAF</x:v>
      </x:c>
      <x:c r="N8" s="72" t="n">
        <x:v>0.7</x:v>
      </x:c>
      <x:c r="O8" s="72" t="n">
        <x:v>100</x:v>
      </x:c>
      <x:c r="P8" s="72" t="str">
        <x:v>JPY</x:v>
      </x:c>
      <x:c r="Q8" s="72" t="n">
        <x:v>9.2</x:v>
      </x:c>
      <x:c r="R8" s="72" t="n">
        <x:v>920</x:v>
      </x:c>
      <x:c r="S8" s="72" t="str"/>
      <x:c r="T8" s="56" t="str"/>
      <x:c r="U8" s="56" t="str"/>
      <x:c r="V8" s="72" t="str"/>
      <x:c r="W8" s="56" t="str"/>
      <x:c r="X8" s="56" t="str"/>
      <x:c r="Y8" s="34" t="str">
        <x:v>official_project_disclosure</x:v>
      </x:c>
      <x:c r="Z8" s="34" t="str">
        <x:v>B_primary_approximate</x:v>
      </x:c>
      <x:c r="AA8" s="34" t="str">
        <x:v>Kobe Steel begins full-scale study of scrap melting furnace for phased decarbonization</x:v>
      </x:c>
      <x:c r="AB8" s="34" t="str">
        <x:v>https://www.kobelco.co.jp/releases/2026/1218906_18738.html</x:v>
      </x:c>
      <x:c r="AC8" s="34" t="str">
        <x:v>2026-05-18</x:v>
      </x:c>
      <x:c r="AD8" s="34" t="str">
        <x:v>2026-08-08</x:v>
      </x:c>
      <x:c r="AE8" s="34" t="str">
        <x:v>Approximate JPY 100 bn-scale investment; intended for mixing EAF molten steel with BF hot metal in the converter. It is a hybrid-route project and not directly equivalent to a stand-alone large EAF.</x:v>
      </x:c>
    </x:row>
    <x:row r="9">
      <x:c r="A9" s="34" t="str">
        <x:v>KOB_BF3_RELINE_2016</x:v>
      </x:c>
      <x:c r="B9" s="34" t="str">
        <x:v>KOBE_STEEL_JP</x:v>
      </x:c>
      <x:c r="C9" s="34" t="str">
        <x:v>KOB-BF3</x:v>
      </x:c>
      <x:c r="D9" s="34" t="str">
        <x:v>direct_historical_anchor</x:v>
      </x:c>
      <x:c r="E9" s="34" t="str">
        <x:v>Kakogawa No.3 BF refurbishment</x:v>
      </x:c>
      <x:c r="F9" s="34" t="str">
        <x:v>JP</x:v>
      </x:c>
      <x:c r="G9" s="34" t="str">
        <x:v>completed</x:v>
      </x:c>
      <x:c r="H9" s="34" t="str">
        <x:v>completed</x:v>
      </x:c>
      <x:c r="I9" s="34" t="str">
        <x:v>2016-12-26</x:v>
      </x:c>
      <x:c r="J9" s="34" t="str">
        <x:v>2016-09</x:v>
      </x:c>
      <x:c r="K9" s="34" t="n">
        <x:v>2016</x:v>
      </x:c>
      <x:c r="L9" s="34" t="str">
        <x:v>Restarted December 2016</x:v>
      </x:c>
      <x:c r="M9" s="34" t="str">
        <x:v>BF_RELINE</x:v>
      </x:c>
      <x:c r="N9" s="72" t="n">
        <x:v>3.9055</x:v>
      </x:c>
      <x:c r="O9" s="72" t="n">
        <x:v>20</x:v>
      </x:c>
      <x:c r="P9" s="72" t="str">
        <x:v>JPY</x:v>
      </x:c>
      <x:c r="Q9" s="72" t="n">
        <x:v>9.2</x:v>
      </x:c>
      <x:c r="R9" s="72" t="n">
        <x:v>184</x:v>
      </x:c>
      <x:c r="S9" s="72" t="str"/>
      <x:c r="T9" s="56" t="str"/>
      <x:c r="U9" s="56" t="str"/>
      <x:c r="V9" s="72" t="str"/>
      <x:c r="W9" s="56" t="str"/>
      <x:c r="X9" s="56" t="str"/>
      <x:c r="Y9" s="34" t="str">
        <x:v>official_project_disclosure</x:v>
      </x:c>
      <x:c r="Z9" s="34" t="str">
        <x:v>A_primary_quantitative</x:v>
      </x:c>
      <x:c r="AA9" s="34" t="str">
        <x:v>Kobe Steel restarts No.3 Blast Furnace at Kakogawa Works</x:v>
      </x:c>
      <x:c r="AB9" s="34" t="str">
        <x:v>https://www.kobelco.co.jp/english/releases/1196084_15581.html</x:v>
      </x:c>
      <x:c r="AC9" s="34" t="str">
        <x:v>2016-12-26</x:v>
      </x:c>
      <x:c r="AD9" s="34" t="str">
        <x:v>2026-08-08</x:v>
      </x:c>
      <x:c r="AE9" s="34" t="str">
        <x:v>Capacity is 10,700 t/day of molten pig iron annualized at 365 days (3.9055 Mt/year), not crude-steel capacity or actual annual output. Investment covered a 90-day refurbishment reusing the outer shell.</x:v>
      </x:c>
    </x:row>
    <x:row r="10">
      <x:c r="A10" s="35" t="str">
        <x:v>KOB_HBI_BF_DEMO_2020</x:v>
      </x:c>
      <x:c r="B10" s="35" t="str">
        <x:v>KOBE_STEEL_JP</x:v>
      </x:c>
      <x:c r="C10" s="35" t="str">
        <x:v>KOB-BF3</x:v>
      </x:c>
      <x:c r="D10" s="35" t="str">
        <x:v>technology_performance_anchor</x:v>
      </x:c>
      <x:c r="E10" s="35" t="str">
        <x:v>Kakogawa high-HBI BF demonstration</x:v>
      </x:c>
      <x:c r="F10" s="35" t="str">
        <x:v>JP</x:v>
      </x:c>
      <x:c r="G10" s="35" t="str">
        <x:v>demonstration_completed</x:v>
      </x:c>
      <x:c r="H10" s="35" t="str">
        <x:v>technology_demonstration</x:v>
      </x:c>
      <x:c r="I10" s="35" t="str">
        <x:v>2021-02-16</x:v>
      </x:c>
      <x:c r="J10" s="35" t="str">
        <x:v>2020-10</x:v>
      </x:c>
      <x:c r="K10" s="35" t="n">
        <x:v>2020</x:v>
      </x:c>
      <x:c r="L10" s="35" t="str">
        <x:v>One-month demonstration in October 2020</x:v>
      </x:c>
      <x:c r="M10" s="35" t="str">
        <x:v>BF_RELINE</x:v>
      </x:c>
      <x:c r="N10" s="73" t="str"/>
      <x:c r="O10" s="73" t="str"/>
      <x:c r="P10" s="73" t="str"/>
      <x:c r="Q10" s="73" t="str"/>
      <x:c r="R10" s="73" t="str"/>
      <x:c r="S10" s="73" t="str"/>
      <x:c r="T10" s="57" t="str"/>
      <x:c r="U10" s="57" t="n">
        <x:v>0.2</x:v>
      </x:c>
      <x:c r="V10" s="73" t="str"/>
      <x:c r="W10" s="57" t="str"/>
      <x:c r="X10" s="57" t="str"/>
      <x:c r="Y10" s="35" t="str">
        <x:v>official_project_disclosure</x:v>
      </x:c>
      <x:c r="Z10" s="35" t="str">
        <x:v>A_primary_quantitative</x:v>
      </x:c>
      <x:c r="AA10" s="35" t="str">
        <x:v>KOBELCO Group's CO2 Reduction Solution</x:v>
      </x:c>
      <x:c r="AB10" s="35" t="str">
        <x:v>https://www.kobelco.co.jp/english/releases/1207624_15581.html</x:v>
      </x:c>
      <x:c r="AC10" s="35" t="str">
        <x:v>2021-02-16</x:v>
      </x:c>
      <x:c r="AD10" s="35" t="str">
        <x:v>2026-08-08</x:v>
      </x:c>
      <x:c r="AE10" s="35" t="str">
        <x:v>Demonstrated RAR reduction from 518 to 415 kg/tHM and approximately 20% BF CO2 reduction at a 4,844 m3 furnace. This is a performance anchor, not a project CAPEX observation.</x:v>
      </x:c>
    </x:row>
  </x:sheetData>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RowHeight="15"/>
  <x:cols>
    <x:col min="1" max="1" width="27" hidden="0" customWidth="1"/>
    <x:col min="2" max="2" width="27" hidden="0" customWidth="1"/>
    <x:col min="3" max="3" width="22" hidden="0" customWidth="1"/>
    <x:col min="4" max="4" width="18" hidden="0" customWidth="1"/>
    <x:col min="5" max="5" width="25" hidden="0" customWidth="1"/>
    <x:col min="6" max="6" width="16" hidden="0" customWidth="1"/>
    <x:col min="7" max="7" width="18" hidden="0" customWidth="1"/>
    <x:col min="8" max="8" width="14" hidden="0" customWidth="1"/>
    <x:col min="9" max="9" width="13" hidden="0" customWidth="1"/>
    <x:col min="10" max="10" width="18" hidden="0" customWidth="1"/>
    <x:col min="11" max="11" width="27" hidden="0" customWidth="1"/>
    <x:col min="12" max="12" width="22" hidden="0" customWidth="1"/>
    <x:col min="13" max="13" width="14" hidden="0" customWidth="1"/>
    <x:col min="14" max="14" width="62" hidden="0" customWidth="1"/>
    <x:col min="15" max="15" width="38" hidden="0" customWidth="1"/>
    <x:col min="16" max="16" width="19" hidden="0" customWidth="1"/>
    <x:col min="17" max="17" width="24" hidden="0" customWidth="1"/>
    <x:col min="18" max="18" width="68" hidden="0" customWidth="1"/>
    <x:col min="19" max="19" width="17" hidden="0" customWidth="1"/>
    <x:col min="20" max="20" width="56" hidden="0" customWidth="1"/>
  </x:cols>
  <x:sheetData>
    <x:row r="1" ht="28" customHeight="1">
      <x:c r="A1" s="29" t="str">
        <x:v>evidence_id</x:v>
      </x:c>
      <x:c r="B1" s="29" t="str">
        <x:v>project_id</x:v>
      </x:c>
      <x:c r="C1" s="29" t="str">
        <x:v>company_id</x:v>
      </x:c>
      <x:c r="D1" s="29" t="str">
        <x:v>technology_id</x:v>
      </x:c>
      <x:c r="E1" s="29" t="str">
        <x:v>evidence_scope</x:v>
      </x:c>
      <x:c r="F1" s="29" t="str">
        <x:v>capacity_mtpa</x:v>
      </x:c>
      <x:c r="G1" s="29" t="str">
        <x:v>capex_native_bn</x:v>
      </x:c>
      <x:c r="H1" s="29" t="str">
        <x:v>capex_currency</x:v>
      </x:c>
      <x:c r="I1" s="29" t="str">
        <x:v>fx_to_krw</x:v>
      </x:c>
      <x:c r="J1" s="29" t="str">
        <x:v>capex_bn_krw</x:v>
      </x:c>
      <x:c r="K1" s="29" t="str">
        <x:v>normalized_capex_bn_krw_per_mtpa</x:v>
      </x:c>
      <x:c r="L1" s="29" t="str">
        <x:v>government_support_bn_krw</x:v>
      </x:c>
      <x:c r="M1" s="29" t="str">
        <x:v>gross_or_net</x:v>
      </x:c>
      <x:c r="N1" s="29" t="str">
        <x:v>included_assets</x:v>
      </x:c>
      <x:c r="O1" s="29" t="str">
        <x:v>comparability</x:v>
      </x:c>
      <x:c r="P1" s="29" t="str">
        <x:v>data_status</x:v>
      </x:c>
      <x:c r="Q1" s="29" t="str">
        <x:v>confidence_grade</x:v>
      </x:c>
      <x:c r="R1" s="29" t="str">
        <x:v>source_url</x:v>
      </x:c>
      <x:c r="S1" s="29" t="str">
        <x:v>extraction_date</x:v>
      </x:c>
      <x:c r="T1" s="29" t="str">
        <x:v>calculation_note</x:v>
      </x:c>
    </x:row>
    <x:row r="2">
      <x:c r="A2" s="34" t="str">
        <x:v>COST_POSCO_GWY_EAF</x:v>
      </x:c>
      <x:c r="B2" s="34" t="str">
        <x:v>POSCO_GWY_EAF_25</x:v>
      </x:c>
      <x:c r="C2" s="34" t="str">
        <x:v>POSCO_KR</x:v>
      </x:c>
      <x:c r="D2" s="34" t="str">
        <x:v>SCRAP_EAF</x:v>
      </x:c>
      <x:c r="E2" s="34" t="str">
        <x:v>full_project</x:v>
      </x:c>
      <x:c r="F2" s="72" t="n">
        <x:v>2.5</x:v>
      </x:c>
      <x:c r="G2" s="72" t="n">
        <x:v>600</x:v>
      </x:c>
      <x:c r="H2" s="72" t="str">
        <x:v>KRW</x:v>
      </x:c>
      <x:c r="I2" s="72" t="n">
        <x:v>1</x:v>
      </x:c>
      <x:c r="J2" s="72" t="n">
        <x:v>600</x:v>
      </x:c>
      <x:c r="K2" s="72" t="n">
        <x:v>240</x:v>
      </x:c>
      <x:c r="L2" s="72" t="str"/>
      <x:c r="M2" s="34" t="str">
        <x:v>gross</x:v>
      </x:c>
      <x:c r="N2" s="34" t="str">
        <x:v>EAF; Green Bond scope also identifies scrap unloading/yard and water-supply capacity</x:v>
      </x:c>
      <x:c r="O2" s="34" t="str">
        <x:v>partial_scope_comparator</x:v>
      </x:c>
      <x:c r="P2" s="34" t="str">
        <x:v>official_derived</x:v>
      </x:c>
      <x:c r="Q2" s="34" t="str">
        <x:v>A_primary_quantitative</x:v>
      </x:c>
      <x:c r="R2" s="34" t="str">
        <x:v>https://newsroom.posco.com/en/posco-accelerates-transition-to-decarbonized-production-system-with-completion-of-koreas-largest-electric-arc-furnace/</x:v>
      </x:c>
      <x:c r="S2" s="34" t="str">
        <x:v>2026-08-08</x:v>
      </x:c>
      <x:c r="T2" s="34" t="str">
        <x:v>600 KRW bn / 2.5 Mtpa</x:v>
      </x:c>
    </x:row>
    <x:row r="3">
      <x:c r="A3" s="34" t="str">
        <x:v>COST_NS_YAWATA_EAF</x:v>
      </x:c>
      <x:c r="B3" s="34" t="str">
        <x:v>NS_YAWATA_EAF_20</x:v>
      </x:c>
      <x:c r="C3" s="34" t="str">
        <x:v>NIPPON_STEEL_JP</x:v>
      </x:c>
      <x:c r="D3" s="34" t="str">
        <x:v>SCRAP_EAF</x:v>
      </x:c>
      <x:c r="E3" s="34" t="str">
        <x:v>full_project</x:v>
      </x:c>
      <x:c r="F3" s="72" t="n">
        <x:v>2</x:v>
      </x:c>
      <x:c r="G3" s="72" t="n">
        <x:v>630.2</x:v>
      </x:c>
      <x:c r="H3" s="72" t="str">
        <x:v>JPY</x:v>
      </x:c>
      <x:c r="I3" s="72" t="n">
        <x:v>9.2</x:v>
      </x:c>
      <x:c r="J3" s="72" t="n">
        <x:v>5797.84</x:v>
      </x:c>
      <x:c r="K3" s="72" t="n">
        <x:v>2898.92</x:v>
      </x:c>
      <x:c r="L3" s="72" t="n">
        <x:v>1655.08</x:v>
      </x:c>
      <x:c r="M3" s="34" t="str">
        <x:v>gross</x:v>
      </x:c>
      <x:c r="N3" s="34" t="str">
        <x:v>New EAF; high-grade steelmaking; logistics; power supply; downstream energy measures</x:v>
      </x:c>
      <x:c r="O3" s="34" t="str">
        <x:v>broad_scope_upper_comparator</x:v>
      </x:c>
      <x:c r="P3" s="34" t="str">
        <x:v>official_derived</x:v>
      </x:c>
      <x:c r="Q3" s="34" t="str">
        <x:v>A_primary_quantitative</x:v>
      </x:c>
      <x:c r="R3" s="34" t="str">
        <x:v>https://www.nipponsteel.com/en/newsroom/news/2025/__icsFiles/afieldfile/2025/09/26/20250530_200.pdf</x:v>
      </x:c>
      <x:c r="S3" s="34" t="str">
        <x:v>2026-08-08</x:v>
      </x:c>
      <x:c r="T3" s="34" t="str">
        <x:v>630.2 JPY bn x 9.2 KRW/JPY / 2.0 Mtpa</x:v>
      </x:c>
    </x:row>
    <x:row r="4">
      <x:c r="A4" s="34" t="str">
        <x:v>COST_NS_HIROHATA_EAF</x:v>
      </x:c>
      <x:c r="B4" s="34" t="str">
        <x:v>NS_HIROHATA_EAF_05</x:v>
      </x:c>
      <x:c r="C4" s="34" t="str">
        <x:v>NIPPON_STEEL_JP</x:v>
      </x:c>
      <x:c r="D4" s="34" t="str">
        <x:v>SCRAP_EAF</x:v>
      </x:c>
      <x:c r="E4" s="34" t="str">
        <x:v>expansion_project</x:v>
      </x:c>
      <x:c r="F4" s="72" t="n">
        <x:v>0.5</x:v>
      </x:c>
      <x:c r="G4" s="72" t="n">
        <x:v>140</x:v>
      </x:c>
      <x:c r="H4" s="72" t="str">
        <x:v>JPY</x:v>
      </x:c>
      <x:c r="I4" s="72" t="n">
        <x:v>9.2</x:v>
      </x:c>
      <x:c r="J4" s="72" t="n">
        <x:v>1288</x:v>
      </x:c>
      <x:c r="K4" s="72" t="n">
        <x:v>2576</x:v>
      </x:c>
      <x:c r="L4" s="72" t="n">
        <x:v>393.76</x:v>
      </x:c>
      <x:c r="M4" s="34" t="str">
        <x:v>gross</x:v>
      </x:c>
      <x:c r="N4" s="34" t="str">
        <x:v>EAF expansion and related measures</x:v>
      </x:c>
      <x:c r="O4" s="34" t="str">
        <x:v>broad_scope_upper_comparator</x:v>
      </x:c>
      <x:c r="P4" s="34" t="str">
        <x:v>official_derived</x:v>
      </x:c>
      <x:c r="Q4" s="34" t="str">
        <x:v>A_primary_quantitative</x:v>
      </x:c>
      <x:c r="R4" s="34" t="str">
        <x:v>https://www.nipponsteel.com/en/newsroom/news/2025/__icsFiles/afieldfile/2025/09/26/20250530_200.pdf</x:v>
      </x:c>
      <x:c r="S4" s="34" t="str">
        <x:v>2026-08-08</x:v>
      </x:c>
      <x:c r="T4" s="34" t="str">
        <x:v>140.0 JPY bn x 9.2 KRW/JPY / 0.5 Mtpa</x:v>
      </x:c>
    </x:row>
    <x:row r="5">
      <x:c r="A5" s="34" t="str">
        <x:v>COST_NS_SHUNAN_EAF</x:v>
      </x:c>
      <x:c r="B5" s="34" t="str">
        <x:v>NS_SHUNAN_EAF_04</x:v>
      </x:c>
      <x:c r="C5" s="34" t="str">
        <x:v>NIPPON_STEEL_JP</x:v>
      </x:c>
      <x:c r="D5" s="34" t="str">
        <x:v>SCRAP_EAF</x:v>
      </x:c>
      <x:c r="E5" s="34" t="str">
        <x:v>restart_and_modification</x:v>
      </x:c>
      <x:c r="F5" s="72" t="n">
        <x:v>0.4</x:v>
      </x:c>
      <x:c r="G5" s="72" t="n">
        <x:v>98.5</x:v>
      </x:c>
      <x:c r="H5" s="72" t="str">
        <x:v>JPY</x:v>
      </x:c>
      <x:c r="I5" s="72" t="n">
        <x:v>9.2</x:v>
      </x:c>
      <x:c r="J5" s="72" t="n">
        <x:v>906.2</x:v>
      </x:c>
      <x:c r="K5" s="72" t="n">
        <x:v>2265.5</x:v>
      </x:c>
      <x:c r="L5" s="72" t="n">
        <x:v>264.04</x:v>
      </x:c>
      <x:c r="M5" s="34" t="str">
        <x:v>gross</x:v>
      </x:c>
      <x:c r="N5" s="34" t="str">
        <x:v>EAF modification and restart plus related measures</x:v>
      </x:c>
      <x:c r="O5" s="34" t="str">
        <x:v>broad_scope_upper_comparator</x:v>
      </x:c>
      <x:c r="P5" s="34" t="str">
        <x:v>official_derived</x:v>
      </x:c>
      <x:c r="Q5" s="34" t="str">
        <x:v>A_primary_quantitative</x:v>
      </x:c>
      <x:c r="R5" s="34" t="str">
        <x:v>https://www.nipponsteel.com/en/newsroom/news/2025/__icsFiles/afieldfile/2025/09/26/20250530_200.pdf</x:v>
      </x:c>
      <x:c r="S5" s="34" t="str">
        <x:v>2026-08-08</x:v>
      </x:c>
      <x:c r="T5" s="34" t="str">
        <x:v>98.5 JPY bn x 9.2 KRW/JPY / 0.4 Mtpa</x:v>
      </x:c>
    </x:row>
    <x:row r="6">
      <x:c r="A6" s="34" t="str">
        <x:v>COST_JFE_KURA_EAF</x:v>
      </x:c>
      <x:c r="B6" s="34" t="str">
        <x:v>JFE_KURA_EAF_20</x:v>
      </x:c>
      <x:c r="C6" s="34" t="str">
        <x:v>JFE_STEEL_JP</x:v>
      </x:c>
      <x:c r="D6" s="34" t="str">
        <x:v>SCRAP_EAF</x:v>
      </x:c>
      <x:c r="E6" s="34" t="str">
        <x:v>full_project</x:v>
      </x:c>
      <x:c r="F6" s="72" t="n">
        <x:v>2</x:v>
      </x:c>
      <x:c r="G6" s="72" t="n">
        <x:v>329.4</x:v>
      </x:c>
      <x:c r="H6" s="72" t="str">
        <x:v>JPY</x:v>
      </x:c>
      <x:c r="I6" s="72" t="n">
        <x:v>9.2</x:v>
      </x:c>
      <x:c r="J6" s="72" t="n">
        <x:v>3030.48</x:v>
      </x:c>
      <x:c r="K6" s="72" t="n">
        <x:v>1515.24</x:v>
      </x:c>
      <x:c r="L6" s="72" t="n">
        <x:v>961.4</x:v>
      </x:c>
      <x:c r="M6" s="34" t="str">
        <x:v>gross</x:v>
      </x:c>
      <x:c r="N6" s="34" t="str">
        <x:v>Advanced EAF; off-site refining; cold-iron-source distribution; upgraded quay</x:v>
      </x:c>
      <x:c r="O6" s="34" t="str">
        <x:v>broad_scope_upper_comparator</x:v>
      </x:c>
      <x:c r="P6" s="34" t="str">
        <x:v>official_derived</x:v>
      </x:c>
      <x:c r="Q6" s="34" t="str">
        <x:v>A_primary_quantitative</x:v>
      </x:c>
      <x:c r="R6" s="34" t="str">
        <x:v>https://www.jfe-steel.co.jp/en/release/2025/04/250410.html</x:v>
      </x:c>
      <x:c r="S6" s="34" t="str">
        <x:v>2026-08-08</x:v>
      </x:c>
      <x:c r="T6" s="34" t="str">
        <x:v>329.4 JPY bn x 9.2 KRW/JPY / 2.0 Mtpa</x:v>
      </x:c>
    </x:row>
    <x:row r="7">
      <x:c r="A7" s="34" t="str">
        <x:v>COST_KOB_MELTER</x:v>
      </x:c>
      <x:c r="B7" s="34" t="str">
        <x:v>KOB_KAKO_MELTER_07</x:v>
      </x:c>
      <x:c r="C7" s="34" t="str">
        <x:v>KOBE_STEEL_JP</x:v>
      </x:c>
      <x:c r="D7" s="34" t="str">
        <x:v>SCRAP_EAF</x:v>
      </x:c>
      <x:c r="E7" s="34" t="str">
        <x:v>indicative_hybrid_project</x:v>
      </x:c>
      <x:c r="F7" s="72" t="n">
        <x:v>0.7</x:v>
      </x:c>
      <x:c r="G7" s="72" t="n">
        <x:v>100</x:v>
      </x:c>
      <x:c r="H7" s="72" t="str">
        <x:v>JPY</x:v>
      </x:c>
      <x:c r="I7" s="72" t="n">
        <x:v>9.2</x:v>
      </x:c>
      <x:c r="J7" s="72" t="n">
        <x:v>920</x:v>
      </x:c>
      <x:c r="K7" s="72" t="n">
        <x:v>1314.285714</x:v>
      </x:c>
      <x:c r="L7" s="72" t="str"/>
      <x:c r="M7" s="34" t="str">
        <x:v>gross</x:v>
      </x:c>
      <x:c r="N7" s="34" t="str">
        <x:v>Scrap melting furnace for molten-steel and BF-hot-metal mixing</x:v>
      </x:c>
      <x:c r="O7" s="34" t="str">
        <x:v>hybrid_route_directional_comparator</x:v>
      </x:c>
      <x:c r="P7" s="34" t="str">
        <x:v>official_derived</x:v>
      </x:c>
      <x:c r="Q7" s="34" t="str">
        <x:v>B_primary_approximate</x:v>
      </x:c>
      <x:c r="R7" s="34" t="str">
        <x:v>https://www.kobelco.co.jp/releases/2026/1218906_18738.html</x:v>
      </x:c>
      <x:c r="S7" s="34" t="str">
        <x:v>2026-08-08</x:v>
      </x:c>
      <x:c r="T7" s="34" t="str">
        <x:v>Approximate 100 JPY bn x 9.2 KRW/JPY / 0.7 Mtpa</x:v>
      </x:c>
    </x:row>
    <x:row r="8">
      <x:c r="A8" s="35" t="str">
        <x:v>COST_KOB_BF3_RELINE</x:v>
      </x:c>
      <x:c r="B8" s="35" t="str">
        <x:v>KOB_BF3_RELINE_2016</x:v>
      </x:c>
      <x:c r="C8" s="35" t="str">
        <x:v>KOBE_STEEL_JP</x:v>
      </x:c>
      <x:c r="D8" s="35" t="str">
        <x:v>BF_RELINE</x:v>
      </x:c>
      <x:c r="E8" s="35" t="str">
        <x:v>historical_reline</x:v>
      </x:c>
      <x:c r="F8" s="73" t="n">
        <x:v>3.9055</x:v>
      </x:c>
      <x:c r="G8" s="73" t="n">
        <x:v>20</x:v>
      </x:c>
      <x:c r="H8" s="73" t="str">
        <x:v>JPY</x:v>
      </x:c>
      <x:c r="I8" s="73" t="n">
        <x:v>9.2</x:v>
      </x:c>
      <x:c r="J8" s="73" t="n">
        <x:v>184</x:v>
      </x:c>
      <x:c r="K8" s="73" t="n">
        <x:v>47.112</x:v>
      </x:c>
      <x:c r="L8" s="73" t="str"/>
      <x:c r="M8" s="35" t="str">
        <x:v>gross</x:v>
      </x:c>
      <x:c r="N8" s="35" t="str">
        <x:v>90-day BF refurbishment reusing outer steel shell</x:v>
      </x:c>
      <x:c r="O8" s="35" t="str">
        <x:v>hot_metal_capacity_directional_comparator</x:v>
      </x:c>
      <x:c r="P8" s="35" t="str">
        <x:v>official_derived</x:v>
      </x:c>
      <x:c r="Q8" s="35" t="str">
        <x:v>A_primary_quantitative</x:v>
      </x:c>
      <x:c r="R8" s="35" t="str">
        <x:v>https://www.kobelco.co.jp/english/releases/1196084_15581.html</x:v>
      </x:c>
      <x:c r="S8" s="35" t="str">
        <x:v>2026-08-08</x:v>
      </x:c>
      <x:c r="T8" s="35" t="str">
        <x:v>20 JPY bn x 9.2 KRW/JPY / (10700 t/day x 365 / 1e6)</x:v>
      </x:c>
    </x:row>
  </x:sheetData>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RowHeight="15"/>
  <x:cols>
    <x:col min="1" max="1" width="24" hidden="0" customWidth="1"/>
    <x:col min="2" max="2" width="28" hidden="0" customWidth="1"/>
    <x:col min="3" max="3" width="54" hidden="0" customWidth="1"/>
    <x:col min="4" max="4" width="62" hidden="0" customWidth="1"/>
    <x:col min="5" max="5" width="62" hidden="0" customWidth="1"/>
    <x:col min="6" max="6" width="12" hidden="0" customWidth="1"/>
    <x:col min="7" max="7" width="54" hidden="0" customWidth="1"/>
    <x:col min="8" max="8" width="48" hidden="0" customWidth="1"/>
    <x:col min="9" max="9" width="58" hidden="0" customWidth="1"/>
    <x:col min="10" max="10" width="24" hidden="0" customWidth="1"/>
    <x:col min="11" max="11" width="68" hidden="0" customWidth="1"/>
  </x:cols>
  <x:sheetData>
    <x:row r="1" ht="28" customHeight="1">
      <x:c r="A1" s="29" t="str">
        <x:v>gap_id</x:v>
      </x:c>
      <x:c r="B1" s="29" t="str">
        <x:v>decision_area</x:v>
      </x:c>
      <x:c r="C1" s="29" t="str">
        <x:v>current_state</x:v>
      </x:c>
      <x:c r="D1" s="29" t="str">
        <x:v>current_evidence</x:v>
      </x:c>
      <x:c r="E1" s="29" t="str">
        <x:v>target_state</x:v>
      </x:c>
      <x:c r="F1" s="29" t="str">
        <x:v>priority</x:v>
      </x:c>
      <x:c r="G1" s="29" t="str">
        <x:v>decision_impact</x:v>
      </x:c>
      <x:c r="H1" s="29" t="str">
        <x:v>next_source_class</x:v>
      </x:c>
      <x:c r="I1" s="29" t="str">
        <x:v>model_action</x:v>
      </x:c>
      <x:c r="J1" s="29" t="str">
        <x:v>data_status</x:v>
      </x:c>
      <x:c r="K1" s="29" t="str">
        <x:v>source_note</x:v>
      </x:c>
    </x:row>
    <x:row r="2">
      <x:c r="A2" s="34" t="str">
        <x:v>GAP_FACILITY_ASSET</x:v>
      </x:c>
      <x:c r="B2" s="34" t="str">
        <x:v>facility_capacity_process</x:v>
      </x:c>
      <x:c r="C2" s="34" t="str">
        <x:v>17 modeled facility blocks; all model_estimate</x:v>
      </x:c>
      <x:c r="D2" s="34" t="str">
        <x:v>Company totals reconcile but block allocation is synthetic</x:v>
      </x:c>
      <x:c r="E2" s="34" t="str">
        <x:v>Named BF/EAF units with furnace count, nominal capacity, process route, operating status and source date</x:v>
      </x:c>
      <x:c r="F2" s="34" t="str">
        <x:v>P0</x:v>
      </x:c>
      <x:c r="G2" s="34" t="str">
        <x:v>Changes feasible transition packages and stranded-asset timing</x:v>
      </x:c>
      <x:c r="H2" s="34" t="str">
        <x:v>Company works profiles and official project releases</x:v>
      </x:c>
      <x:c r="I2" s="34" t="str">
        <x:v>Replace synthetic blocks only after company-total reconciliation</x:v>
      </x:c>
      <x:c r="J2" s="34" t="str">
        <x:v>open_gap</x:v>
      </x:c>
      <x:c r="K2" s="34" t="str">
        <x:v>Do not add disclosed projects as incremental capacity without retirement/substitution mapping.</x:v>
      </x:c>
    </x:row>
    <x:row r="3">
      <x:c r="A3" s="34" t="str">
        <x:v>GAP_FACILITY_EMISSIONS</x:v>
      </x:c>
      <x:c r="B3" s="34" t="str">
        <x:v>facility_emissions</x:v>
      </x:c>
      <x:c r="C3" s="34" t="str">
        <x:v>Company Scope 1+2 allocated to blocks</x:v>
      </x:c>
      <x:c r="D3" s="34" t="str">
        <x:v>No facility-level verified emissions for modeled blocks</x:v>
      </x:c>
      <x:c r="E3" s="34" t="str">
        <x:v>Site-level Scope 1/2 or verified process intensity with boundary map</x:v>
      </x:c>
      <x:c r="F3" s="34" t="str">
        <x:v>P0</x:v>
      </x:c>
      <x:c r="G3" s="34" t="str">
        <x:v>Changes abatement denominator and facility priority</x:v>
      </x:c>
      <x:c r="H3" s="34" t="str">
        <x:v>Company environmental reports and government facility disclosures</x:v>
      </x:c>
      <x:c r="I3" s="34" t="str">
        <x:v>Retain company total as control total and add site reconciliation bridge</x:v>
      </x:c>
      <x:c r="J3" s="34" t="str">
        <x:v>open_gap</x:v>
      </x:c>
      <x:c r="K3" s="34" t="str">
        <x:v>Current block intensities are calibrated estimates.</x:v>
      </x:c>
    </x:row>
    <x:row r="4">
      <x:c r="A4" s="34" t="str">
        <x:v>GAP_REINVESTMENT</x:v>
      </x:c>
      <x:c r="B4" s="34" t="str">
        <x:v>asset_life_reinvestment</x:v>
      </x:c>
      <x:c r="C4" s="34" t="str">
        <x:v>Commission and reinvestment years estimated for most blocks</x:v>
      </x:c>
      <x:c r="D4" s="34" t="str">
        <x:v>Kobe No.3 BF 2016 reline is directly evidenced; project timings now captured separately</x:v>
      </x:c>
      <x:c r="E4" s="34" t="str">
        <x:v>Unit-specific last reline, campaign life, announced shutdown and committed start-up dates</x:v>
      </x:c>
      <x:c r="F4" s="34" t="str">
        <x:v>P0</x:v>
      </x:c>
      <x:c r="G4" s="34" t="str">
        <x:v>Changes transition year and peak concurrent construction</x:v>
      </x:c>
      <x:c r="H4" s="34" t="str">
        <x:v>Official reline/start-stop releases and works histories</x:v>
      </x:c>
      <x:c r="I4" s="34" t="str">
        <x:v>Use committed project timing as hard window and life-cycle evidence as range</x:v>
      </x:c>
      <x:c r="J4" s="34" t="str">
        <x:v>partially_evidenced</x:v>
      </x:c>
      <x:c r="K4" s="34" t="str">
        <x:v>Do not treat a works-level commissioning year as every furnace unit's age.</x:v>
      </x:c>
    </x:row>
    <x:row r="5">
      <x:c r="A5" s="34" t="str">
        <x:v>GAP_TECH_CAPEX</x:v>
      </x:c>
      <x:c r="B5" s="34" t="str">
        <x:v>technology_capex_scope</x:v>
      </x:c>
      <x:c r="C5" s="34" t="str">
        <x:v>6 technology unit costs are model_estimate</x:v>
      </x:c>
      <x:c r="D5" s="34" t="str">
        <x:v>7 official project-cost observations now retained with scope warnings</x:v>
      </x:c>
      <x:c r="E5" s="34" t="str">
        <x:v>Low/base/high equipment and full-project CAPEX with a documented scope bridge</x:v>
      </x:c>
      <x:c r="F5" s="34" t="str">
        <x:v>P0</x:v>
      </x:c>
      <x:c r="G5" s="34" t="str">
        <x:v>Primary driver of absolute NPV and affordability</x:v>
      </x:c>
      <x:c r="H5" s="34" t="str">
        <x:v>Company FID releases and government grant decisions</x:v>
      </x:c>
      <x:c r="I5" s="34" t="str">
        <x:v>Estimate equipment-only bridge before recalibrating technologies.csv</x:v>
      </x:c>
      <x:c r="J5" s="34" t="str">
        <x:v>partially_evidenced</x:v>
      </x:c>
      <x:c r="K5" s="34" t="str">
        <x:v>Observed EAF project costs span different ancillary scopes and cannot be averaged directly.</x:v>
      </x:c>
    </x:row>
    <x:row r="6">
      <x:c r="A6" s="34" t="str">
        <x:v>GAP_TECH_PERFORMANCE</x:v>
      </x:c>
      <x:c r="B6" s="34" t="str">
        <x:v>technology_energy_emissions</x:v>
      </x:c>
      <x:c r="C6" s="34" t="str">
        <x:v>Electricity, hydrogen and residual-emissions intensities are model estimates</x:v>
      </x:c>
      <x:c r="D6" s="34" t="str">
        <x:v>POSCO Gwangyang EAF mix and avoided emissions; Kobe high-HBI BF demonstration</x:v>
      </x:c>
      <x:c r="E6" s="34" t="str">
        <x:v>Company/project-specific energy, raw-material mix, yield and verified emissions ranges</x:v>
      </x:c>
      <x:c r="F6" s="34" t="str">
        <x:v>P0</x:v>
      </x:c>
      <x:c r="G6" s="34" t="str">
        <x:v>Drives cash cost emissions and resource feasibility</x:v>
      </x:c>
      <x:c r="H6" s="34" t="str">
        <x:v>Green bond impact reports and demonstration results</x:v>
      </x:c>
      <x:c r="I6" s="34" t="str">
        <x:v>Create low/base/high performance cases with mass-energy checks</x:v>
      </x:c>
      <x:c r="J6" s="34" t="str">
        <x:v>partially_evidenced</x:v>
      </x:c>
      <x:c r="K6" s="34" t="str">
        <x:v>Published reduction percentages require a defined baseline and system boundary.</x:v>
      </x:c>
    </x:row>
    <x:row r="7">
      <x:c r="A7" s="34" t="str">
        <x:v>GAP_RESOURCE_COMPANY</x:v>
      </x:c>
      <x:c r="B7" s="34" t="str">
        <x:v>company_resource_supply</x:v>
      </x:c>
      <x:c r="C7" s="34" t="str">
        <x:v>32 company-scenario supply limits are model_estimate</x:v>
      </x:c>
      <x:c r="D7" s="34" t="str">
        <x:v>11 official national benchmarks are context only</x:v>
      </x:c>
      <x:c r="E7" s="34" t="str">
        <x:v>Site/company contracted scrap, hydrogen delivery and grid-connection capacity by year</x:v>
      </x:c>
      <x:c r="F7" s="34" t="str">
        <x:v>P0</x:v>
      </x:c>
      <x:c r="G7" s="34" t="str">
        <x:v>Determines whether candidates are executable</x:v>
      </x:c>
      <x:c r="H7" s="34" t="str">
        <x:v>Connection agreements procurement contracts and port/logistics plans</x:v>
      </x:c>
      <x:c r="I7" s="34" t="str">
        <x:v>Keep national context separate and replace company envelopes only with company evidence</x:v>
      </x:c>
      <x:c r="J7" s="34" t="str">
        <x:v>open_gap</x:v>
      </x:c>
      <x:c r="K7" s="34" t="str">
        <x:v>National GW/MVA/Mt targets are not company TWh/Mt allocations.</x:v>
      </x:c>
    </x:row>
    <x:row r="8">
      <x:c r="A8" s="34" t="str">
        <x:v>GAP_PROJECT_MAPPING</x:v>
      </x:c>
      <x:c r="B8" s="34" t="str">
        <x:v>project_to_model_mapping</x:v>
      </x:c>
      <x:c r="C8" s="34" t="str">
        <x:v>Official projects previously embedded only in notes</x:v>
      </x:c>
      <x:c r="D8" s="34" t="str">
        <x:v>9 official projects now registered; 4 directly or partially mapped to modeled facilities</x:v>
      </x:c>
      <x:c r="E8" s="34" t="str">
        <x:v>Explicit substitution, retirement, overlap, double-count and capacity-balance rules</x:v>
      </x:c>
      <x:c r="F8" s="34" t="str">
        <x:v>P0</x:v>
      </x:c>
      <x:c r="G8" s="34" t="str">
        <x:v>Prevents double-counted CAPEX/capacity and false feasibility</x:v>
      </x:c>
      <x:c r="H8" s="34" t="str">
        <x:v>Company project scope and production-reorganization plans</x:v>
      </x:c>
      <x:c r="I8" s="34" t="str">
        <x:v>Create project-to-facility bridge before enforcing projects in optimization</x:v>
      </x:c>
      <x:c r="J8" s="34" t="str">
        <x:v>partially_evidenced</x:v>
      </x:c>
      <x:c r="K8" s="34" t="str">
        <x:v>New EAF capacity may replace BF output rather than add to company production.</x:v>
      </x:c>
    </x:row>
    <x:row r="9">
      <x:c r="A9" s="34" t="str">
        <x:v>GAP_POLICY_SUPPORT</x:v>
      </x:c>
      <x:c r="B9" s="34" t="str">
        <x:v>policy_support</x:v>
      </x:c>
      <x:c r="C9" s="34" t="str">
        <x:v>16 policy support rates are model_estimate</x:v>
      </x:c>
      <x:c r="D9" s="34" t="str">
        <x:v>Project-specific maximum grants now captured for Nippon Steel and JFE</x:v>
      </x:c>
      <x:c r="E9" s="34" t="str">
        <x:v>Project-level eligible cost, award cap, payment timing and conditionality</x:v>
      </x:c>
      <x:c r="F9" s="34" t="str">
        <x:v>P1</x:v>
      </x:c>
      <x:c r="G9" s="34" t="str">
        <x:v>Changes net cash cost but not gross project economics</x:v>
      </x:c>
      <x:c r="H9" s="34" t="str">
        <x:v>GX support award notices and contracts</x:v>
      </x:c>
      <x:c r="I9" s="34" t="str">
        <x:v>Separate awarded support from scenario policy assumptions</x:v>
      </x:c>
      <x:c r="J9" s="34" t="str">
        <x:v>partially_evidenced</x:v>
      </x:c>
      <x:c r="K9" s="34" t="str">
        <x:v>Maximum approved support is not necessarily cash received.</x:v>
      </x:c>
    </x:row>
    <x:row r="10">
      <x:c r="A10" s="34" t="str">
        <x:v>GAP_EXECUTION_RISK</x:v>
      </x:c>
      <x:c r="B10" s="34" t="str">
        <x:v>construction_failure</x:v>
      </x:c>
      <x:c r="C10" s="34" t="str">
        <x:v>Company concurrency and technology failure probabilities are model_estimate</x:v>
      </x:c>
      <x:c r="D10" s="34" t="str">
        <x:v>Historical 90-day Kobe BF reline and disclosed project schedules provide limited anchors</x:v>
      </x:c>
      <x:c r="E10" s="34" t="str">
        <x:v>Reference-class schedule ranges, delay frequency and contractor bottleneck evidence</x:v>
      </x:c>
      <x:c r="F10" s="34" t="str">
        <x:v>P1</x:v>
      </x:c>
      <x:c r="G10" s="34" t="str">
        <x:v>Drives TCaR and candidate eligibility</x:v>
      </x:c>
      <x:c r="H10" s="34" t="str">
        <x:v>Completed project histories EPC disclosures and industry reference classes</x:v>
      </x:c>
      <x:c r="I10" s="34" t="str">
        <x:v>Replace point failure rates with stage-gated conditional distributions</x:v>
      </x:c>
      <x:c r="J10" s="34" t="str">
        <x:v>open_gap</x:v>
      </x:c>
      <x:c r="K10" s="34" t="str">
        <x:v>A feasibility-study project should not carry the same failure process as an operating asset.</x:v>
      </x:c>
    </x:row>
    <x:row r="11">
      <x:c r="A11" s="34" t="str">
        <x:v>GAP_PRICE_CONTRACT</x:v>
      </x:c>
      <x:c r="B11" s="34" t="str">
        <x:v>energy_contract_prices</x:v>
      </x:c>
      <x:c r="C11" s="34" t="str">
        <x:v>Price process and hedge shares are model estimates</x:v>
      </x:c>
      <x:c r="D11" s="34" t="str">
        <x:v>No company-specific PPA/hydrogen/EPC price evidence</x:v>
      </x:c>
      <x:c r="E11" s="34" t="str">
        <x:v>Contract tenor, indexation, volume, floor/cap and counterparty terms</x:v>
      </x:c>
      <x:c r="F11" s="34" t="str">
        <x:v>P1</x:v>
      </x:c>
      <x:c r="G11" s="34" t="str">
        <x:v>Major TCaR driver especially electricity</x:v>
      </x:c>
      <x:c r="H11" s="34" t="str">
        <x:v>Company procurement disclosures and market contract benchmarks</x:v>
      </x:c>
      <x:c r="I11" s="34" t="str">
        <x:v>Model correlated term structures and basis risk</x:v>
      </x:c>
      <x:c r="J11" s="34" t="str">
        <x:v>open_gap</x:v>
      </x:c>
      <x:c r="K11" s="34" t="str">
        <x:v>Current hedge shares are scenario controls rather than disclosed contracts.</x:v>
      </x:c>
    </x:row>
    <x:row r="12">
      <x:c r="A12" s="35" t="str">
        <x:v>GAP_GCAM</x:v>
      </x:c>
      <x:c r="B12" s="35" t="str">
        <x:v>gcam_pathways</x:v>
      </x:c>
      <x:c r="C12" s="35" t="str">
        <x:v>Official GCAM slots exist but remain inactive</x:v>
      </x:c>
      <x:c r="D12" s="35" t="str">
        <x:v>GCAM 9.1 release and project target files verified; query exports pending</x:v>
      </x:c>
      <x:c r="E12" s="35" t="str">
        <x:v>Reproducible 1.5C and 2.0C databases with query files, raw units, transformations and hashes</x:v>
      </x:c>
      <x:c r="F12" s="35" t="str">
        <x:v>P0</x:v>
      </x:c>
      <x:c r="G12" s="35" t="str">
        <x:v>Required for official dual climate frontiers</x:v>
      </x:c>
      <x:c r="H12" s="35" t="str">
        <x:v>Official GCAM configured runs and BaseX exports</x:v>
      </x:c>
      <x:c r="I12" s="35" t="str">
        <x:v>Activate only after manifest passes all query gates</x:v>
      </x:c>
      <x:c r="J12" s="35" t="str">
        <x:v>pending_official_extract</x:v>
      </x:c>
      <x:c r="K12" s="35" t="str">
        <x:v>Corporate disclosure and internal stress pathways remain separate.</x:v>
      </x:c>
    </x:row>
  </x:sheetData>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2" hidden="0" customWidth="1"/>
    <x:col min="4" max="4" width="15" hidden="0" customWidth="1"/>
    <x:col min="5" max="5" width="15" hidden="0" customWidth="1"/>
    <x:col min="6" max="6" width="55" hidden="0" customWidth="1"/>
    <x:col min="7" max="7" width="36" hidden="0" customWidth="1"/>
    <x:col min="8" max="8" width="68" hidden="0" customWidth="1"/>
    <x:col min="9" max="9" width="18" hidden="0" customWidth="1"/>
    <x:col min="10" max="10" width="38" hidden="0" customWidth="1"/>
    <x:col min="11" max="11" width="68" hidden="0" customWidth="1"/>
    <x:col min="12" max="12" width="48" hidden="0" customWidth="1"/>
    <x:col min="13" max="13" width="68" hidden="0" customWidth="1"/>
    <x:col min="14" max="14" width="42" hidden="0" customWidth="1"/>
    <x:col min="15" max="15" width="68" hidden="0" customWidth="1"/>
    <x:col min="16" max="16" width="15" hidden="0" customWidth="1"/>
    <x:col min="17" max="17" width="13" hidden="0" customWidth="1"/>
    <x:col min="18" max="18" width="14" hidden="0" customWidth="1"/>
    <x:col min="19" max="19" width="24" hidden="0" customWidth="1"/>
    <x:col min="20" max="20" width="22" hidden="0" customWidth="1"/>
    <x:col min="21" max="21" width="38" hidden="0" customWidth="1"/>
    <x:col min="22" max="22" width="68" hidden="0" customWidth="1"/>
    <x:col min="23" max="23" width="19" hidden="0" customWidth="1"/>
    <x:col min="24" max="24" width="25" hidden="0" customWidth="1"/>
    <x:col min="25" max="25" width="58" hidden="0" customWidth="1"/>
  </x:cols>
  <x:sheetData>
    <x:row r="1" ht="28" customHeight="1">
      <x:c r="A1" s="29" t="str">
        <x:v>scenario_id</x:v>
      </x:c>
      <x:c r="B1" s="29" t="str">
        <x:v>model_name</x:v>
      </x:c>
      <x:c r="C1" s="29" t="str">
        <x:v>model_version</x:v>
      </x:c>
      <x:c r="D1" s="29" t="str">
        <x:v>release_tag</x:v>
      </x:c>
      <x:c r="E1" s="29" t="str">
        <x:v>release_date</x:v>
      </x:c>
      <x:c r="F1" s="29" t="str">
        <x:v>release_url</x:v>
      </x:c>
      <x:c r="G1" s="29" t="str">
        <x:v>release_asset_name</x:v>
      </x:c>
      <x:c r="H1" s="29" t="str">
        <x:v>release_asset_sha256</x:v>
      </x:c>
      <x:c r="I1" s="29" t="str">
        <x:v>source_commit</x:v>
      </x:c>
      <x:c r="J1" s="29" t="str">
        <x:v>configuration_origin</x:v>
      </x:c>
      <x:c r="K1" s="29" t="str">
        <x:v>configuration_origin_sha256</x:v>
      </x:c>
      <x:c r="L1" s="29" t="str">
        <x:v>policy_target_file</x:v>
      </x:c>
      <x:c r="M1" s="29" t="str">
        <x:v>policy_target_sha256</x:v>
      </x:c>
      <x:c r="N1" s="29" t="str">
        <x:v>query_file</x:v>
      </x:c>
      <x:c r="O1" s="29" t="str">
        <x:v>query_file_sha256</x:v>
      </x:c>
      <x:c r="P1" s="29" t="str">
        <x:v>target_type</x:v>
      </x:c>
      <x:c r="Q1" s="29" t="str">
        <x:v>target_value</x:v>
      </x:c>
      <x:c r="R1" s="29" t="str">
        <x:v>target_unit</x:v>
      </x:c>
      <x:c r="S1" s="29" t="str">
        <x:v>geography</x:v>
      </x:c>
      <x:c r="T1" s="29" t="str">
        <x:v>run_status</x:v>
      </x:c>
      <x:c r="U1" s="29" t="str">
        <x:v>database_file</x:v>
      </x:c>
      <x:c r="V1" s="29" t="str">
        <x:v>database_sha256</x:v>
      </x:c>
      <x:c r="W1" s="29" t="str">
        <x:v>extraction_date</x:v>
      </x:c>
      <x:c r="X1" s="29" t="str">
        <x:v>data_status</x:v>
      </x:c>
      <x:c r="Y1" s="29" t="str">
        <x:v>source_note</x:v>
      </x:c>
    </x:row>
    <x:row r="2">
      <x:c r="A2" s="34" t="str">
        <x:v>GCAM_15C</x:v>
      </x:c>
      <x:c r="B2" s="34" t="str">
        <x:v>GCAM + Hector</x:v>
      </x:c>
      <x:c r="C2" s="34" t="n">
        <x:v>9.1</x:v>
      </x:c>
      <x:c r="D2" s="34" t="str">
        <x:v>gcam-v9.1</x:v>
      </x:c>
      <x:c r="E2" s="34" t="str">
        <x:v>2026-06-02</x:v>
      </x:c>
      <x:c r="F2" s="34" t="str">
        <x:v>https://github.com/JGCRI/gcam-core/releases/tag/gcam-v9.1</x:v>
      </x:c>
      <x:c r="G2" s="34" t="str">
        <x:v>gcam-v9.1-Mac-Release-Package.zip</x:v>
      </x:c>
      <x:c r="H2" s="34" t="str">
        <x:v>b009e58a9eafdf9b77a02440c50904a95e14f1df29ca28874e90ab90e4d0868a</x:v>
      </x:c>
      <x:c r="I2" s="34" t="str">
        <x:v>11e128f</x:v>
      </x:c>
      <x:c r="J2" s="34" t="str">
        <x:v>archive://exe/configuration_policy.xml</x:v>
      </x:c>
      <x:c r="K2" s="34" t="str">
        <x:v>4aa38bf0f229f972a007845940ff2c69215340b144af8c7c2bc3de6ea64a942b</x:v>
      </x:c>
      <x:c r="L2" s="34" t="str">
        <x:v>gcam/policy_target_temperature_1p5.xml</x:v>
      </x:c>
      <x:c r="M2" s="34" t="str">
        <x:v>ff1bb76debbd2524a45f2a143d5065eb6b40f5369458776696a895439e0c5501</x:v>
      </x:c>
      <x:c r="N2" s="34" t="str">
        <x:v>archive://output/queries/Main_queries.xml</x:v>
      </x:c>
      <x:c r="O2" s="34" t="str">
        <x:v>715eacf6dea64e7ac9d9e7a98ea30b7432757b72553a4dc5bb7289a33516fe5d</x:v>
      </x:c>
      <x:c r="P2" s="34" t="str">
        <x:v>temperature</x:v>
      </x:c>
      <x:c r="Q2" s="34" t="n">
        <x:v>1.5</x:v>
      </x:c>
      <x:c r="R2" s="34" t="str">
        <x:v>degC target finder; output baseline must be verified</x:v>
      </x:c>
      <x:c r="S2" s="34" t="str">
        <x:v>Korea and Japan GCAM regions</x:v>
      </x:c>
      <x:c r="T2" s="34" t="str">
        <x:v>planned_not_run</x:v>
      </x:c>
      <x:c r="U2" s="34" t="str"/>
      <x:c r="V2" s="34" t="str"/>
      <x:c r="W2" s="34" t="str"/>
      <x:c r="X2" s="34" t="str">
        <x:v>official_release_verified_project_run_pending</x:v>
      </x:c>
      <x:c r="Y2" s="34" t="str">
        <x:v>Official release asset and internal configuration/query members verified; target XML is project-authored from official target-finder schema and is not a published JGCRI result</x:v>
      </x:c>
    </x:row>
    <x:row r="3">
      <x:c r="A3" s="35" t="str">
        <x:v>GCAM_2C</x:v>
      </x:c>
      <x:c r="B3" s="35" t="str">
        <x:v>GCAM + Hector</x:v>
      </x:c>
      <x:c r="C3" s="35" t="n">
        <x:v>9.1</x:v>
      </x:c>
      <x:c r="D3" s="35" t="str">
        <x:v>gcam-v9.1</x:v>
      </x:c>
      <x:c r="E3" s="35" t="str">
        <x:v>2026-06-02</x:v>
      </x:c>
      <x:c r="F3" s="35" t="str">
        <x:v>https://github.com/JGCRI/gcam-core/releases/tag/gcam-v9.1</x:v>
      </x:c>
      <x:c r="G3" s="35" t="str">
        <x:v>gcam-v9.1-Mac-Release-Package.zip</x:v>
      </x:c>
      <x:c r="H3" s="35" t="str">
        <x:v>b009e58a9eafdf9b77a02440c50904a95e14f1df29ca28874e90ab90e4d0868a</x:v>
      </x:c>
      <x:c r="I3" s="35" t="str">
        <x:v>11e128f</x:v>
      </x:c>
      <x:c r="J3" s="35" t="str">
        <x:v>archive://exe/configuration_policy.xml</x:v>
      </x:c>
      <x:c r="K3" s="35" t="str">
        <x:v>4aa38bf0f229f972a007845940ff2c69215340b144af8c7c2bc3de6ea64a942b</x:v>
      </x:c>
      <x:c r="L3" s="35" t="str">
        <x:v>gcam/policy_target_temperature_2p0.xml</x:v>
      </x:c>
      <x:c r="M3" s="35" t="str">
        <x:v>1b4b6e00352d22ab0e80d8d6153d7a216f35f549e0f87a129624d5e1b51391cc</x:v>
      </x:c>
      <x:c r="N3" s="35" t="str">
        <x:v>archive://output/queries/Main_queries.xml</x:v>
      </x:c>
      <x:c r="O3" s="35" t="str">
        <x:v>715eacf6dea64e7ac9d9e7a98ea30b7432757b72553a4dc5bb7289a33516fe5d</x:v>
      </x:c>
      <x:c r="P3" s="35" t="str">
        <x:v>temperature</x:v>
      </x:c>
      <x:c r="Q3" s="35" t="n">
        <x:v>2</x:v>
      </x:c>
      <x:c r="R3" s="35" t="str">
        <x:v>degC target finder; output baseline must be verified</x:v>
      </x:c>
      <x:c r="S3" s="35" t="str">
        <x:v>Korea and Japan GCAM regions</x:v>
      </x:c>
      <x:c r="T3" s="35" t="str">
        <x:v>planned_not_run</x:v>
      </x:c>
      <x:c r="U3" s="35" t="str"/>
      <x:c r="V3" s="35" t="str"/>
      <x:c r="W3" s="35" t="str"/>
      <x:c r="X3" s="35" t="str">
        <x:v>official_release_verified_project_run_pending</x:v>
      </x:c>
      <x:c r="Y3" s="35" t="str">
        <x:v>Official release asset and internal configuration/query members verified; target XML is project-authored from official target-finder schema and is not a published JGCRI result</x:v>
      </x:c>
    </x:row>
  </x:sheetData>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defaultRowHeight="15"/>
  <x:cols>
    <x:col min="1" max="1" width="18" hidden="0" customWidth="1"/>
    <x:col min="2" max="2" width="28" hidden="0" customWidth="1"/>
    <x:col min="3" max="3" width="38" hidden="0" customWidth="1"/>
    <x:col min="4" max="4" width="22" hidden="0" customWidth="1"/>
    <x:col min="5" max="5" width="20" hidden="0" customWidth="1"/>
    <x:col min="6" max="6" width="24" hidden="0" customWidth="1"/>
    <x:col min="7" max="7" width="55" hidden="0" customWidth="1"/>
    <x:col min="8" max="8" width="38" hidden="0" customWidth="1"/>
    <x:col min="9" max="9" width="68" hidden="0" customWidth="1"/>
    <x:col min="10" max="10" width="22" hidden="0" customWidth="1"/>
    <x:col min="11" max="11" width="24" hidden="0" customWidth="1"/>
    <x:col min="12" max="12" width="58" hidden="0" customWidth="1"/>
    <x:col min="13" max="13" width="55" hidden="0" customWidth="1"/>
  </x:cols>
  <x:sheetData>
    <x:row r="1" ht="28" customHeight="1">
      <x:c r="A1" s="29" t="str">
        <x:v>scenario_id</x:v>
      </x:c>
      <x:c r="B1" s="29" t="str">
        <x:v>required_output_id</x:v>
      </x:c>
      <x:c r="C1" s="29" t="str">
        <x:v>official_query_title</x:v>
      </x:c>
      <x:c r="D1" s="29" t="str">
        <x:v>target_region</x:v>
      </x:c>
      <x:c r="E1" s="29" t="str">
        <x:v>raw_unit</x:v>
      </x:c>
      <x:c r="F1" s="29" t="str">
        <x:v>transformation_status</x:v>
      </x:c>
      <x:c r="G1" s="29" t="str">
        <x:v>transformation_note</x:v>
      </x:c>
      <x:c r="H1" s="29" t="str">
        <x:v>output_file</x:v>
      </x:c>
      <x:c r="I1" s="29" t="str">
        <x:v>output_sha256</x:v>
      </x:c>
      <x:c r="J1" s="29" t="str">
        <x:v>extraction_status</x:v>
      </x:c>
      <x:c r="K1" s="29" t="str">
        <x:v>data_status</x:v>
      </x:c>
      <x:c r="L1" s="29" t="str">
        <x:v>source_url</x:v>
      </x:c>
      <x:c r="M1" s="29" t="str">
        <x:v>source_note</x:v>
      </x:c>
    </x:row>
    <x:row r="2">
      <x:c r="A2" s="34" t="str">
        <x:v>GCAM_15C</x:v>
      </x:c>
      <x:c r="B2" s="34" t="str">
        <x:v>global_mean_temperature</x:v>
      </x:c>
      <x:c r="C2" s="34" t="str">
        <x:v>global mean temperature</x:v>
      </x:c>
      <x:c r="D2" s="34" t="str">
        <x:v>World</x:v>
      </x:c>
      <x:c r="E2" s="34" t="str">
        <x:v>query_export_metadata_required</x:v>
      </x:c>
      <x:c r="F2" s="34" t="str">
        <x:v>direct_pending</x:v>
      </x:c>
      <x:c r="G2" s="34" t="str">
        <x:v>Verify target achievement and temperature baseline from exported metadata</x:v>
      </x:c>
      <x:c r="H2" s="34" t="str"/>
      <x:c r="I2" s="34" t="str"/>
      <x:c r="J2" s="34" t="str">
        <x:v>pending</x:v>
      </x:c>
      <x:c r="K2" s="34" t="str">
        <x:v>query_spec_verified_output_pending</x:v>
      </x:c>
      <x:c r="L2" s="34" t="str">
        <x:v>https://github.com/JGCRI/gcam-core/blob/gcam-v9.1/output/queries/Main_queries.xml</x:v>
      </x:c>
      <x:c r="M2" s="34" t="str">
        <x:v>Official Main_queries.xml title verified</x:v>
      </x:c>
    </x:row>
    <x:row r="3">
      <x:c r="A3" s="34" t="str">
        <x:v>GCAM_15C</x:v>
      </x:c>
      <x:c r="B3" s="34" t="str">
        <x:v>total_climate_forcing</x:v>
      </x:c>
      <x:c r="C3" s="34" t="str">
        <x:v>total climate forcing</x:v>
      </x:c>
      <x:c r="D3" s="34" t="str">
        <x:v>World</x:v>
      </x:c>
      <x:c r="E3" s="34" t="str">
        <x:v>W/m2</x:v>
      </x:c>
      <x:c r="F3" s="34" t="str">
        <x:v>direct_pending</x:v>
      </x:c>
      <x:c r="G3" s="34" t="str">
        <x:v>Retain forcing alongside temperature for target audit</x:v>
      </x:c>
      <x:c r="H3" s="34" t="str"/>
      <x:c r="I3" s="34" t="str"/>
      <x:c r="J3" s="34" t="str">
        <x:v>pending</x:v>
      </x:c>
      <x:c r="K3" s="34" t="str">
        <x:v>query_spec_verified_output_pending</x:v>
      </x:c>
      <x:c r="L3" s="34" t="str">
        <x:v>https://github.com/JGCRI/gcam-core/blob/gcam-v9.1/output/queries/Main_queries.xml</x:v>
      </x:c>
      <x:c r="M3" s="34" t="str">
        <x:v>Official Main_queries.xml title verified</x:v>
      </x:c>
    </x:row>
    <x:row r="4">
      <x:c r="A4" s="34" t="str">
        <x:v>GCAM_15C</x:v>
      </x:c>
      <x:c r="B4" s="34" t="str">
        <x:v>co2_price</x:v>
      </x:c>
      <x:c r="C4" s="34" t="str">
        <x:v>CO2 prices</x:v>
      </x:c>
      <x:c r="D4" s="34" t="str">
        <x:v>Korea;Japan</x:v>
      </x:c>
      <x:c r="E4" s="34" t="str">
        <x:v>query_export_metadata_required</x:v>
      </x:c>
      <x:c r="F4" s="34" t="str">
        <x:v>conversion_pending</x:v>
      </x:c>
      <x:c r="G4" s="34" t="str">
        <x:v>Convert exported GCAM currency and carbon basis to KRW/tCO2 with explicit FX and deflator</x:v>
      </x:c>
      <x:c r="H4" s="34" t="str"/>
      <x:c r="I4" s="34" t="str"/>
      <x:c r="J4" s="34" t="str">
        <x:v>pending</x:v>
      </x:c>
      <x:c r="K4" s="34" t="str">
        <x:v>query_spec_verified_output_pending</x:v>
      </x:c>
      <x:c r="L4" s="34" t="str">
        <x:v>https://github.com/JGCRI/gcam-core/blob/gcam-v9.1/output/queries/Main_queries.xml</x:v>
      </x:c>
      <x:c r="M4" s="34" t="str">
        <x:v>Official Main_queries.xml title verified</x:v>
      </x:c>
    </x:row>
    <x:row r="5">
      <x:c r="A5" s="34" t="str">
        <x:v>GCAM_15C</x:v>
      </x:c>
      <x:c r="B5" s="34" t="str">
        <x:v>iron_steel_production_by_tech</x:v>
      </x:c>
      <x:c r="C5" s="34" t="str">
        <x:v>iron and steel production by tech</x:v>
      </x:c>
      <x:c r="D5" s="34" t="str">
        <x:v>Korea;Japan</x:v>
      </x:c>
      <x:c r="E5" s="34" t="str">
        <x:v>query_export_metadata_required</x:v>
      </x:c>
      <x:c r="F5" s="34" t="str">
        <x:v>aggregation_pending</x:v>
      </x:c>
      <x:c r="G5" s="34" t="str">
        <x:v>Retain GCAM technology detail and aggregate only with a documented mapping</x:v>
      </x:c>
      <x:c r="H5" s="34" t="str"/>
      <x:c r="I5" s="34" t="str"/>
      <x:c r="J5" s="34" t="str">
        <x:v>pending</x:v>
      </x:c>
      <x:c r="K5" s="34" t="str">
        <x:v>query_spec_verified_output_pending</x:v>
      </x:c>
      <x:c r="L5" s="34" t="str">
        <x:v>https://github.com/JGCRI/gcam-core/blob/gcam-v9.1/output/queries/Main_queries.xml</x:v>
      </x:c>
      <x:c r="M5" s="34" t="str">
        <x:v>Official Main_queries.xml title verified</x:v>
      </x:c>
    </x:row>
    <x:row r="6">
      <x:c r="A6" s="34" t="str">
        <x:v>GCAM_15C</x:v>
      </x:c>
      <x:c r="B6" s="34" t="str">
        <x:v>iron_steel_inputs_by_tech</x:v>
      </x:c>
      <x:c r="C6" s="34" t="str">
        <x:v>iron and steel inputs by tech (energy and feedstocks)</x:v>
      </x:c>
      <x:c r="D6" s="34" t="str">
        <x:v>Korea;Japan</x:v>
      </x:c>
      <x:c r="E6" s="34" t="str">
        <x:v>query_export_metadata_required</x:v>
      </x:c>
      <x:c r="F6" s="34" t="str">
        <x:v>aggregation_pending</x:v>
      </x:c>
      <x:c r="G6" s="34" t="str">
        <x:v>Use electricity hydrogen and feedstock inputs for resource constraints after unit audit</x:v>
      </x:c>
      <x:c r="H6" s="34" t="str"/>
      <x:c r="I6" s="34" t="str"/>
      <x:c r="J6" s="34" t="str">
        <x:v>pending</x:v>
      </x:c>
      <x:c r="K6" s="34" t="str">
        <x:v>query_spec_verified_output_pending</x:v>
      </x:c>
      <x:c r="L6" s="34" t="str">
        <x:v>https://github.com/JGCRI/gcam-core/blob/gcam-v9.1/output/queries/Main_queries.xml</x:v>
      </x:c>
      <x:c r="M6" s="34" t="str">
        <x:v>Official Main_queries.xml title verified</x:v>
      </x:c>
    </x:row>
    <x:row r="7">
      <x:c r="A7" s="34" t="str">
        <x:v>GCAM_15C</x:v>
      </x:c>
      <x:c r="B7" s="34" t="str">
        <x:v>iron_steel_co2_emissions</x:v>
      </x:c>
      <x:c r="C7" s="34" t="str">
        <x:v>CO2 emissions by sector (excluding resource production)</x:v>
      </x:c>
      <x:c r="D7" s="34" t="str">
        <x:v>Korea;Japan</x:v>
      </x:c>
      <x:c r="E7" s="34" t="str">
        <x:v>query_export_metadata_required</x:v>
      </x:c>
      <x:c r="F7" s="34" t="str">
        <x:v>filter_pending</x:v>
      </x:c>
      <x:c r="G7" s="34" t="str">
        <x:v>Filter iron and steel sector and preserve regional boundary</x:v>
      </x:c>
      <x:c r="H7" s="34" t="str"/>
      <x:c r="I7" s="34" t="str"/>
      <x:c r="J7" s="34" t="str">
        <x:v>pending</x:v>
      </x:c>
      <x:c r="K7" s="34" t="str">
        <x:v>query_spec_verified_output_pending</x:v>
      </x:c>
      <x:c r="L7" s="34" t="str">
        <x:v>https://github.com/JGCRI/gcam-core/blob/gcam-v9.1/output/queries/Main_queries.xml</x:v>
      </x:c>
      <x:c r="M7" s="34" t="str">
        <x:v>Official Main_queries.xml title verified</x:v>
      </x:c>
    </x:row>
    <x:row r="8">
      <x:c r="A8" s="34" t="str">
        <x:v>GCAM_15C</x:v>
      </x:c>
      <x:c r="B8" s="34" t="str">
        <x:v>electricity_price</x:v>
      </x:c>
      <x:c r="C8" s="34" t="str">
        <x:v>elec prices by sector</x:v>
      </x:c>
      <x:c r="D8" s="34" t="str">
        <x:v>Korea;Japan</x:v>
      </x:c>
      <x:c r="E8" s="34" t="str">
        <x:v>query_export_metadata_required</x:v>
      </x:c>
      <x:c r="F8" s="34" t="str">
        <x:v>conversion_pending</x:v>
      </x:c>
      <x:c r="G8" s="34" t="str">
        <x:v>Convert regional price to KRW/kWh with explicit currency year and energy unit</x:v>
      </x:c>
      <x:c r="H8" s="34" t="str"/>
      <x:c r="I8" s="34" t="str"/>
      <x:c r="J8" s="34" t="str">
        <x:v>pending</x:v>
      </x:c>
      <x:c r="K8" s="34" t="str">
        <x:v>query_spec_verified_output_pending</x:v>
      </x:c>
      <x:c r="L8" s="34" t="str">
        <x:v>https://github.com/JGCRI/gcam-core/blob/gcam-v9.1/output/queries/Main_queries.xml</x:v>
      </x:c>
      <x:c r="M8" s="34" t="str">
        <x:v>Official Main_queries.xml title verified</x:v>
      </x:c>
    </x:row>
    <x:row r="9">
      <x:c r="A9" s="34" t="str">
        <x:v>GCAM_15C</x:v>
      </x:c>
      <x:c r="B9" s="34" t="str">
        <x:v>hydrogen_price</x:v>
      </x:c>
      <x:c r="C9" s="34" t="str">
        <x:v>hydrogen prices by sector</x:v>
      </x:c>
      <x:c r="D9" s="34" t="str">
        <x:v>Korea;Japan</x:v>
      </x:c>
      <x:c r="E9" s="34" t="str">
        <x:v>query_export_metadata_required</x:v>
      </x:c>
      <x:c r="F9" s="34" t="str">
        <x:v>conversion_pending</x:v>
      </x:c>
      <x:c r="G9" s="34" t="str">
        <x:v>Convert relevant industrial hydrogen sector price to KRW/kg</x:v>
      </x:c>
      <x:c r="H9" s="34" t="str"/>
      <x:c r="I9" s="34" t="str"/>
      <x:c r="J9" s="34" t="str">
        <x:v>pending</x:v>
      </x:c>
      <x:c r="K9" s="34" t="str">
        <x:v>query_spec_verified_output_pending</x:v>
      </x:c>
      <x:c r="L9" s="34" t="str">
        <x:v>https://github.com/JGCRI/gcam-core/blob/gcam-v9.1/output/queries/Main_queries.xml</x:v>
      </x:c>
      <x:c r="M9" s="34" t="str">
        <x:v>Official Main_queries.xml title verified</x:v>
      </x:c>
    </x:row>
    <x:row r="10">
      <x:c r="A10" s="34" t="str">
        <x:v>GCAM_15C</x:v>
      </x:c>
      <x:c r="B10" s="34" t="str">
        <x:v>company_carbon_budget</x:v>
      </x:c>
      <x:c r="C10" s="34" t="str">
        <x:v>CO2 emissions by sector (excluding resource production)</x:v>
      </x:c>
      <x:c r="D10" s="34" t="str">
        <x:v>Korea;Japan</x:v>
      </x:c>
      <x:c r="E10" s="34" t="str">
        <x:v>query_export_metadata_required</x:v>
      </x:c>
      <x:c r="F10" s="34" t="str">
        <x:v>model_disaggregation_pending</x:v>
      </x:c>
      <x:c r="G10" s="34" t="str">
        <x:v>Allocate regional iron and steel emissions to companies using disclosed base-year production/emissions shares; never label as raw GCAM</x:v>
      </x:c>
      <x:c r="H10" s="34" t="str"/>
      <x:c r="I10" s="34" t="str"/>
      <x:c r="J10" s="34" t="str">
        <x:v>pending</x:v>
      </x:c>
      <x:c r="K10" s="34" t="str">
        <x:v>query_spec_verified_output_pending</x:v>
      </x:c>
      <x:c r="L10" s="34" t="str">
        <x:v>https://jgcri.github.io/gcam-doc/user-guide.html</x:v>
      </x:c>
      <x:c r="M10" s="34" t="str">
        <x:v>Company values require a transparent model transformation</x:v>
      </x:c>
    </x:row>
    <x:row r="11">
      <x:c r="A11" s="34" t="str">
        <x:v>GCAM_15C</x:v>
      </x:c>
      <x:c r="B11" s="34" t="str">
        <x:v>electrolyzer_capex_index</x:v>
      </x:c>
      <x:c r="C11" s="34" t="str">
        <x:v>not a direct GCAM query</x:v>
      </x:c>
      <x:c r="D11" s="34" t="str">
        <x:v>Korea;Japan</x:v>
      </x:c>
      <x:c r="E11" s="34" t="str">
        <x:v>dimensionless</x:v>
      </x:c>
      <x:c r="F11" s="34" t="str">
        <x:v>separate_assumption_pending</x:v>
      </x:c>
      <x:c r="G11" s="34" t="str">
        <x:v>Use a separately sourced technology-cost index or hold at common assumption; do not infer from GCAM price output</x:v>
      </x:c>
      <x:c r="H11" s="34" t="str"/>
      <x:c r="I11" s="34" t="str"/>
      <x:c r="J11" s="34" t="str">
        <x:v>pending</x:v>
      </x:c>
      <x:c r="K11" s="34" t="str">
        <x:v>external_input_required</x:v>
      </x:c>
      <x:c r="L11" s="34" t="str">
        <x:v>https://jgcri.github.io/gcam-doc/overview.html</x:v>
      </x:c>
      <x:c r="M11" s="34" t="str">
        <x:v>Scenario anchor field is not a direct standard GCAM output</x:v>
      </x:c>
    </x:row>
    <x:row r="12">
      <x:c r="A12" s="34" t="str">
        <x:v>GCAM_2C</x:v>
      </x:c>
      <x:c r="B12" s="34" t="str">
        <x:v>global_mean_temperature</x:v>
      </x:c>
      <x:c r="C12" s="34" t="str">
        <x:v>global mean temperature</x:v>
      </x:c>
      <x:c r="D12" s="34" t="str">
        <x:v>World</x:v>
      </x:c>
      <x:c r="E12" s="34" t="str">
        <x:v>query_export_metadata_required</x:v>
      </x:c>
      <x:c r="F12" s="34" t="str">
        <x:v>direct_pending</x:v>
      </x:c>
      <x:c r="G12" s="34" t="str">
        <x:v>Verify target achievement and temperature baseline from exported metadata</x:v>
      </x:c>
      <x:c r="H12" s="34" t="str"/>
      <x:c r="I12" s="34" t="str"/>
      <x:c r="J12" s="34" t="str">
        <x:v>pending</x:v>
      </x:c>
      <x:c r="K12" s="34" t="str">
        <x:v>query_spec_verified_output_pending</x:v>
      </x:c>
      <x:c r="L12" s="34" t="str">
        <x:v>https://github.com/JGCRI/gcam-core/blob/gcam-v9.1/output/queries/Main_queries.xml</x:v>
      </x:c>
      <x:c r="M12" s="34" t="str">
        <x:v>Official Main_queries.xml title verified</x:v>
      </x:c>
    </x:row>
    <x:row r="13">
      <x:c r="A13" s="34" t="str">
        <x:v>GCAM_2C</x:v>
      </x:c>
      <x:c r="B13" s="34" t="str">
        <x:v>total_climate_forcing</x:v>
      </x:c>
      <x:c r="C13" s="34" t="str">
        <x:v>total climate forcing</x:v>
      </x:c>
      <x:c r="D13" s="34" t="str">
        <x:v>World</x:v>
      </x:c>
      <x:c r="E13" s="34" t="str">
        <x:v>W/m2</x:v>
      </x:c>
      <x:c r="F13" s="34" t="str">
        <x:v>direct_pending</x:v>
      </x:c>
      <x:c r="G13" s="34" t="str">
        <x:v>Retain forcing alongside temperature for target audit</x:v>
      </x:c>
      <x:c r="H13" s="34" t="str"/>
      <x:c r="I13" s="34" t="str"/>
      <x:c r="J13" s="34" t="str">
        <x:v>pending</x:v>
      </x:c>
      <x:c r="K13" s="34" t="str">
        <x:v>query_spec_verified_output_pending</x:v>
      </x:c>
      <x:c r="L13" s="34" t="str">
        <x:v>https://github.com/JGCRI/gcam-core/blob/gcam-v9.1/output/queries/Main_queries.xml</x:v>
      </x:c>
      <x:c r="M13" s="34" t="str">
        <x:v>Official Main_queries.xml title verified</x:v>
      </x:c>
    </x:row>
    <x:row r="14">
      <x:c r="A14" s="34" t="str">
        <x:v>GCAM_2C</x:v>
      </x:c>
      <x:c r="B14" s="34" t="str">
        <x:v>co2_price</x:v>
      </x:c>
      <x:c r="C14" s="34" t="str">
        <x:v>CO2 prices</x:v>
      </x:c>
      <x:c r="D14" s="34" t="str">
        <x:v>Korea;Japan</x:v>
      </x:c>
      <x:c r="E14" s="34" t="str">
        <x:v>query_export_metadata_required</x:v>
      </x:c>
      <x:c r="F14" s="34" t="str">
        <x:v>conversion_pending</x:v>
      </x:c>
      <x:c r="G14" s="34" t="str">
        <x:v>Convert exported GCAM currency and carbon basis to KRW/tCO2 with explicit FX and deflator</x:v>
      </x:c>
      <x:c r="H14" s="34" t="str"/>
      <x:c r="I14" s="34" t="str"/>
      <x:c r="J14" s="34" t="str">
        <x:v>pending</x:v>
      </x:c>
      <x:c r="K14" s="34" t="str">
        <x:v>query_spec_verified_output_pending</x:v>
      </x:c>
      <x:c r="L14" s="34" t="str">
        <x:v>https://github.com/JGCRI/gcam-core/blob/gcam-v9.1/output/queries/Main_queries.xml</x:v>
      </x:c>
      <x:c r="M14" s="34" t="str">
        <x:v>Official Main_queries.xml title verified</x:v>
      </x:c>
    </x:row>
    <x:row r="15">
      <x:c r="A15" s="34" t="str">
        <x:v>GCAM_2C</x:v>
      </x:c>
      <x:c r="B15" s="34" t="str">
        <x:v>iron_steel_production_by_tech</x:v>
      </x:c>
      <x:c r="C15" s="34" t="str">
        <x:v>iron and steel production by tech</x:v>
      </x:c>
      <x:c r="D15" s="34" t="str">
        <x:v>Korea;Japan</x:v>
      </x:c>
      <x:c r="E15" s="34" t="str">
        <x:v>query_export_metadata_required</x:v>
      </x:c>
      <x:c r="F15" s="34" t="str">
        <x:v>aggregation_pending</x:v>
      </x:c>
      <x:c r="G15" s="34" t="str">
        <x:v>Retain GCAM technology detail and aggregate only with a documented mapping</x:v>
      </x:c>
      <x:c r="H15" s="34" t="str"/>
      <x:c r="I15" s="34" t="str"/>
      <x:c r="J15" s="34" t="str">
        <x:v>pending</x:v>
      </x:c>
      <x:c r="K15" s="34" t="str">
        <x:v>query_spec_verified_output_pending</x:v>
      </x:c>
      <x:c r="L15" s="34" t="str">
        <x:v>https://github.com/JGCRI/gcam-core/blob/gcam-v9.1/output/queries/Main_queries.xml</x:v>
      </x:c>
      <x:c r="M15" s="34" t="str">
        <x:v>Official Main_queries.xml title verified</x:v>
      </x:c>
    </x:row>
    <x:row r="16">
      <x:c r="A16" s="34" t="str">
        <x:v>GCAM_2C</x:v>
      </x:c>
      <x:c r="B16" s="34" t="str">
        <x:v>iron_steel_inputs_by_tech</x:v>
      </x:c>
      <x:c r="C16" s="34" t="str">
        <x:v>iron and steel inputs by tech (energy and feedstocks)</x:v>
      </x:c>
      <x:c r="D16" s="34" t="str">
        <x:v>Korea;Japan</x:v>
      </x:c>
      <x:c r="E16" s="34" t="str">
        <x:v>query_export_metadata_required</x:v>
      </x:c>
      <x:c r="F16" s="34" t="str">
        <x:v>aggregation_pending</x:v>
      </x:c>
      <x:c r="G16" s="34" t="str">
        <x:v>Use electricity hydrogen and feedstock inputs for resource constraints after unit audit</x:v>
      </x:c>
      <x:c r="H16" s="34" t="str"/>
      <x:c r="I16" s="34" t="str"/>
      <x:c r="J16" s="34" t="str">
        <x:v>pending</x:v>
      </x:c>
      <x:c r="K16" s="34" t="str">
        <x:v>query_spec_verified_output_pending</x:v>
      </x:c>
      <x:c r="L16" s="34" t="str">
        <x:v>https://github.com/JGCRI/gcam-core/blob/gcam-v9.1/output/queries/Main_queries.xml</x:v>
      </x:c>
      <x:c r="M16" s="34" t="str">
        <x:v>Official Main_queries.xml title verified</x:v>
      </x:c>
    </x:row>
    <x:row r="17">
      <x:c r="A17" s="34" t="str">
        <x:v>GCAM_2C</x:v>
      </x:c>
      <x:c r="B17" s="34" t="str">
        <x:v>iron_steel_co2_emissions</x:v>
      </x:c>
      <x:c r="C17" s="34" t="str">
        <x:v>CO2 emissions by sector (excluding resource production)</x:v>
      </x:c>
      <x:c r="D17" s="34" t="str">
        <x:v>Korea;Japan</x:v>
      </x:c>
      <x:c r="E17" s="34" t="str">
        <x:v>query_export_metadata_required</x:v>
      </x:c>
      <x:c r="F17" s="34" t="str">
        <x:v>filter_pending</x:v>
      </x:c>
      <x:c r="G17" s="34" t="str">
        <x:v>Filter iron and steel sector and preserve regional boundary</x:v>
      </x:c>
      <x:c r="H17" s="34" t="str"/>
      <x:c r="I17" s="34" t="str"/>
      <x:c r="J17" s="34" t="str">
        <x:v>pending</x:v>
      </x:c>
      <x:c r="K17" s="34" t="str">
        <x:v>query_spec_verified_output_pending</x:v>
      </x:c>
      <x:c r="L17" s="34" t="str">
        <x:v>https://github.com/JGCRI/gcam-core/blob/gcam-v9.1/output/queries/Main_queries.xml</x:v>
      </x:c>
      <x:c r="M17" s="34" t="str">
        <x:v>Official Main_queries.xml title verified</x:v>
      </x:c>
    </x:row>
    <x:row r="18">
      <x:c r="A18" s="34" t="str">
        <x:v>GCAM_2C</x:v>
      </x:c>
      <x:c r="B18" s="34" t="str">
        <x:v>electricity_price</x:v>
      </x:c>
      <x:c r="C18" s="34" t="str">
        <x:v>elec prices by sector</x:v>
      </x:c>
      <x:c r="D18" s="34" t="str">
        <x:v>Korea;Japan</x:v>
      </x:c>
      <x:c r="E18" s="34" t="str">
        <x:v>query_export_metadata_required</x:v>
      </x:c>
      <x:c r="F18" s="34" t="str">
        <x:v>conversion_pending</x:v>
      </x:c>
      <x:c r="G18" s="34" t="str">
        <x:v>Convert regional price to KRW/kWh with explicit currency year and energy unit</x:v>
      </x:c>
      <x:c r="H18" s="34" t="str"/>
      <x:c r="I18" s="34" t="str"/>
      <x:c r="J18" s="34" t="str">
        <x:v>pending</x:v>
      </x:c>
      <x:c r="K18" s="34" t="str">
        <x:v>query_spec_verified_output_pending</x:v>
      </x:c>
      <x:c r="L18" s="34" t="str">
        <x:v>https://github.com/JGCRI/gcam-core/blob/gcam-v9.1/output/queries/Main_queries.xml</x:v>
      </x:c>
      <x:c r="M18" s="34" t="str">
        <x:v>Official Main_queries.xml title verified</x:v>
      </x:c>
    </x:row>
    <x:row r="19">
      <x:c r="A19" s="34" t="str">
        <x:v>GCAM_2C</x:v>
      </x:c>
      <x:c r="B19" s="34" t="str">
        <x:v>hydrogen_price</x:v>
      </x:c>
      <x:c r="C19" s="34" t="str">
        <x:v>hydrogen prices by sector</x:v>
      </x:c>
      <x:c r="D19" s="34" t="str">
        <x:v>Korea;Japan</x:v>
      </x:c>
      <x:c r="E19" s="34" t="str">
        <x:v>query_export_metadata_required</x:v>
      </x:c>
      <x:c r="F19" s="34" t="str">
        <x:v>conversion_pending</x:v>
      </x:c>
      <x:c r="G19" s="34" t="str">
        <x:v>Convert relevant industrial hydrogen sector price to KRW/kg</x:v>
      </x:c>
      <x:c r="H19" s="34" t="str"/>
      <x:c r="I19" s="34" t="str"/>
      <x:c r="J19" s="34" t="str">
        <x:v>pending</x:v>
      </x:c>
      <x:c r="K19" s="34" t="str">
        <x:v>query_spec_verified_output_pending</x:v>
      </x:c>
      <x:c r="L19" s="34" t="str">
        <x:v>https://github.com/JGCRI/gcam-core/blob/gcam-v9.1/output/queries/Main_queries.xml</x:v>
      </x:c>
      <x:c r="M19" s="34" t="str">
        <x:v>Official Main_queries.xml title verified</x:v>
      </x:c>
    </x:row>
    <x:row r="20">
      <x:c r="A20" s="34" t="str">
        <x:v>GCAM_2C</x:v>
      </x:c>
      <x:c r="B20" s="34" t="str">
        <x:v>company_carbon_budget</x:v>
      </x:c>
      <x:c r="C20" s="34" t="str">
        <x:v>CO2 emissions by sector (excluding resource production)</x:v>
      </x:c>
      <x:c r="D20" s="34" t="str">
        <x:v>Korea;Japan</x:v>
      </x:c>
      <x:c r="E20" s="34" t="str">
        <x:v>query_export_metadata_required</x:v>
      </x:c>
      <x:c r="F20" s="34" t="str">
        <x:v>model_disaggregation_pending</x:v>
      </x:c>
      <x:c r="G20" s="34" t="str">
        <x:v>Allocate regional iron and steel emissions to companies using disclosed base-year production/emissions shares; never label as raw GCAM</x:v>
      </x:c>
      <x:c r="H20" s="34" t="str"/>
      <x:c r="I20" s="34" t="str"/>
      <x:c r="J20" s="34" t="str">
        <x:v>pending</x:v>
      </x:c>
      <x:c r="K20" s="34" t="str">
        <x:v>query_spec_verified_output_pending</x:v>
      </x:c>
      <x:c r="L20" s="34" t="str">
        <x:v>https://jgcri.github.io/gcam-doc/user-guide.html</x:v>
      </x:c>
      <x:c r="M20" s="34" t="str">
        <x:v>Company values require a transparent model transformation</x:v>
      </x:c>
    </x:row>
    <x:row r="21">
      <x:c r="A21" s="35" t="str">
        <x:v>GCAM_2C</x:v>
      </x:c>
      <x:c r="B21" s="35" t="str">
        <x:v>electrolyzer_capex_index</x:v>
      </x:c>
      <x:c r="C21" s="35" t="str">
        <x:v>not a direct GCAM query</x:v>
      </x:c>
      <x:c r="D21" s="35" t="str">
        <x:v>Korea;Japan</x:v>
      </x:c>
      <x:c r="E21" s="35" t="str">
        <x:v>dimensionless</x:v>
      </x:c>
      <x:c r="F21" s="35" t="str">
        <x:v>separate_assumption_pending</x:v>
      </x:c>
      <x:c r="G21" s="35" t="str">
        <x:v>Use a separately sourced technology-cost index or hold at common assumption; do not infer from GCAM price output</x:v>
      </x:c>
      <x:c r="H21" s="35" t="str"/>
      <x:c r="I21" s="35" t="str"/>
      <x:c r="J21" s="35" t="str">
        <x:v>pending</x:v>
      </x:c>
      <x:c r="K21" s="35" t="str">
        <x:v>external_input_required</x:v>
      </x:c>
      <x:c r="L21" s="35" t="str">
        <x:v>https://jgcri.github.io/gcam-doc/overview.html</x:v>
      </x:c>
      <x:c r="M21" s="35" t="str">
        <x:v>Scenario anchor field is not a direct standard GCAM output</x:v>
      </x:c>
    </x:row>
  </x:sheetData>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defaultRowHeight="15"/>
  <x:cols>
    <x:col min="1" max="1" width="42" hidden="0" customWidth="1"/>
    <x:col min="2" max="2" width="24" hidden="0" customWidth="1"/>
    <x:col min="3" max="3" width="22" hidden="0" customWidth="1"/>
    <x:col min="4" max="4" width="18" hidden="0" customWidth="1"/>
  </x:cols>
  <x:sheetData>
    <x:row r="1" ht="28" customHeight="1">
      <x:c r="A1" s="29" t="str">
        <x:v>parameter</x:v>
      </x:c>
      <x:c r="B1" s="29" t="str">
        <x:v>value</x:v>
      </x:c>
      <x:c r="C1" s="29" t="str">
        <x:v>unit</x:v>
      </x:c>
      <x:c r="D1" s="29" t="str">
        <x:v>audit_status</x:v>
      </x:c>
    </x:row>
    <x:row r="2">
      <x:c r="A2" s="34" t="str">
        <x:v>seed</x:v>
      </x:c>
      <x:c r="B2" s="46" t="n">
        <x:v>42</x:v>
      </x:c>
      <x:c r="C2" s="34" t="str">
        <x:v>model assumption</x:v>
      </x:c>
      <x:c r="D2" s="34" t="str">
        <x:v>ESTIMATE</x:v>
      </x:c>
    </x:row>
    <x:row r="3">
      <x:c r="A3" s="34" t="str">
        <x:v>default_paths</x:v>
      </x:c>
      <x:c r="B3" s="46" t="n">
        <x:v>3000</x:v>
      </x:c>
      <x:c r="C3" s="34" t="str">
        <x:v>model assumption</x:v>
      </x:c>
      <x:c r="D3" s="34" t="str">
        <x:v>ESTIMATE</x:v>
      </x:c>
    </x:row>
    <x:row r="4">
      <x:c r="A4" s="34" t="str">
        <x:v>discount_rate</x:v>
      </x:c>
      <x:c r="B4" s="46" t="n">
        <x:v>0.055</x:v>
      </x:c>
      <x:c r="C4" s="34" t="str">
        <x:v>model assumption</x:v>
      </x:c>
      <x:c r="D4" s="34" t="str">
        <x:v>ESTIMATE</x:v>
      </x:c>
    </x:row>
    <x:row r="5">
      <x:c r="A5" s="34" t="str">
        <x:v>recognized_carbon_cost_share</x:v>
      </x:c>
      <x:c r="B5" s="46" t="n">
        <x:v>0.45</x:v>
      </x:c>
      <x:c r="C5" s="34" t="str">
        <x:v>model assumption</x:v>
      </x:c>
      <x:c r="D5" s="34" t="str">
        <x:v>ESTIMATE</x:v>
      </x:c>
    </x:row>
    <x:row r="6">
      <x:c r="A6" s="34" t="str">
        <x:v>factors</x:v>
      </x:c>
      <x:c r="B6" s="46" t="str">
        <x:v>["electricity","hydrogen_input","construction_capex"]</x:v>
      </x:c>
      <x:c r="C6" s="34" t="str">
        <x:v>model assumption</x:v>
      </x:c>
      <x:c r="D6" s="34" t="str">
        <x:v>ESTIMATE</x:v>
      </x:c>
    </x:row>
    <x:row r="7">
      <x:c r="A7" s="34" t="str">
        <x:v>annual_volatility.electricity</x:v>
      </x:c>
      <x:c r="B7" s="46" t="n">
        <x:v>0.22</x:v>
      </x:c>
      <x:c r="C7" s="34" t="str">
        <x:v>model assumption</x:v>
      </x:c>
      <x:c r="D7" s="34" t="str">
        <x:v>ESTIMATE</x:v>
      </x:c>
    </x:row>
    <x:row r="8">
      <x:c r="A8" s="34" t="str">
        <x:v>annual_volatility.hydrogen_input</x:v>
      </x:c>
      <x:c r="B8" s="46" t="n">
        <x:v>0.18</x:v>
      </x:c>
      <x:c r="C8" s="34" t="str">
        <x:v>model assumption</x:v>
      </x:c>
      <x:c r="D8" s="34" t="str">
        <x:v>ESTIMATE</x:v>
      </x:c>
    </x:row>
    <x:row r="9">
      <x:c r="A9" s="34" t="str">
        <x:v>annual_volatility.construction_capex</x:v>
      </x:c>
      <x:c r="B9" s="46" t="n">
        <x:v>0.14</x:v>
      </x:c>
      <x:c r="C9" s="34" t="str">
        <x:v>model assumption</x:v>
      </x:c>
      <x:c r="D9" s="34" t="str">
        <x:v>ESTIMATE</x:v>
      </x:c>
    </x:row>
    <x:row r="10">
      <x:c r="A10" s="34" t="str">
        <x:v>mean_reversion.electricity</x:v>
      </x:c>
      <x:c r="B10" s="46" t="n">
        <x:v>0.35</x:v>
      </x:c>
      <x:c r="C10" s="34" t="str">
        <x:v>model assumption</x:v>
      </x:c>
      <x:c r="D10" s="34" t="str">
        <x:v>ESTIMATE</x:v>
      </x:c>
    </x:row>
    <x:row r="11">
      <x:c r="A11" s="34" t="str">
        <x:v>mean_reversion.hydrogen_input</x:v>
      </x:c>
      <x:c r="B11" s="46" t="n">
        <x:v>0.28</x:v>
      </x:c>
      <x:c r="C11" s="34" t="str">
        <x:v>model assumption</x:v>
      </x:c>
      <x:c r="D11" s="34" t="str">
        <x:v>ESTIMATE</x:v>
      </x:c>
    </x:row>
    <x:row r="12">
      <x:c r="A12" s="34" t="str">
        <x:v>mean_reversion.construction_capex</x:v>
      </x:c>
      <x:c r="B12" s="46" t="n">
        <x:v>0.22</x:v>
      </x:c>
      <x:c r="C12" s="34" t="str">
        <x:v>model assumption</x:v>
      </x:c>
      <x:c r="D12" s="34" t="str">
        <x:v>ESTIMATE</x:v>
      </x:c>
    </x:row>
    <x:row r="13">
      <x:c r="A13" s="34" t="str">
        <x:v>correlation</x:v>
      </x:c>
      <x:c r="B13" s="46" t="str">
        <x:v>[[1,0.55,0.25],[0.55,1,0.35],[0.25,0.35,1]]</x:v>
      </x:c>
      <x:c r="C13" s="34" t="str">
        <x:v>model assumption</x:v>
      </x:c>
      <x:c r="D13" s="34" t="str">
        <x:v>ESTIMATE</x:v>
      </x:c>
    </x:row>
    <x:row r="14">
      <x:c r="A14" s="34" t="str">
        <x:v>hydrogen.electricity_kwh_per_kg</x:v>
      </x:c>
      <x:c r="B14" s="46" t="n">
        <x:v>52</x:v>
      </x:c>
      <x:c r="C14" s="34" t="str">
        <x:v>model assumption</x:v>
      </x:c>
      <x:c r="D14" s="34" t="str">
        <x:v>ESTIMATE</x:v>
      </x:c>
    </x:row>
    <x:row r="15">
      <x:c r="A15" s="34" t="str">
        <x:v>hydrogen.non_electricity_krw_per_kg</x:v>
      </x:c>
      <x:c r="B15" s="46" t="n">
        <x:v>850</x:v>
      </x:c>
      <x:c r="C15" s="34" t="str">
        <x:v>model assumption</x:v>
      </x:c>
      <x:c r="D15" s="34" t="str">
        <x:v>ESTIMATE</x:v>
      </x:c>
    </x:row>
    <x:row r="16">
      <x:c r="A16" s="34" t="str">
        <x:v>hydrogen.electrolyzer_component_krw_per_kg</x:v>
      </x:c>
      <x:c r="B16" s="46" t="n">
        <x:v>1350</x:v>
      </x:c>
      <x:c r="C16" s="34" t="str">
        <x:v>model assumption</x:v>
      </x:c>
      <x:c r="D16" s="34" t="str">
        <x:v>ESTIMATE</x:v>
      </x:c>
    </x:row>
    <x:row r="17">
      <x:c r="A17" s="34" t="str">
        <x:v>data_status</x:v>
      </x:c>
      <x:c r="B17" s="46" t="str">
        <x:v>illustrative_estimate</x:v>
      </x:c>
      <x:c r="C17" s="34" t="str">
        <x:v>model assumption</x:v>
      </x:c>
      <x:c r="D17" s="34" t="str">
        <x:v>ESTIMATE</x:v>
      </x:c>
    </x:row>
    <x:row r="18">
      <x:c r="A18" s="35" t="str">
        <x:v>source_note</x:v>
      </x:c>
      <x:c r="B18" s="47" t="str">
        <x:v>Stylized mean-reverting log-price process for architecture testing</x:v>
      </x:c>
      <x:c r="C18" s="35" t="str">
        <x:v>model assumption</x:v>
      </x:c>
      <x:c r="D18" s="35" t="str">
        <x:v>ESTIMATE</x:v>
      </x:c>
    </x:row>
  </x:sheetData>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defaultRowHeight="15"/>
  <x:cols>
    <x:col min="1" max="1" width="23" hidden="0" customWidth="1"/>
    <x:col min="2" max="2" width="18" hidden="0" customWidth="1"/>
    <x:col min="3" max="3" width="18" hidden="0" customWidth="1"/>
    <x:col min="4" max="4" width="15" hidden="0" customWidth="1"/>
    <x:col min="5" max="5" width="18" hidden="0" customWidth="1"/>
    <x:col min="6" max="6" width="18" hidden="0" customWidth="1"/>
    <x:col min="7" max="7" width="15" hidden="0" customWidth="1"/>
    <x:col min="8" max="8" width="14" hidden="0" customWidth="1"/>
    <x:col min="9" max="9" width="14" hidden="0" customWidth="1"/>
  </x:cols>
  <x:sheetData>
    <x:row r="1">
      <x:c r="A1" s="49" t="str">
        <x:v>총량 조정 검증 — 공식 회사값과 시설 블록 합계</x:v>
      </x:c>
      <x:c r="B1" s="49"/>
      <x:c r="C1" s="49"/>
      <x:c r="D1" s="49"/>
      <x:c r="E1" s="49"/>
      <x:c r="F1" s="49"/>
      <x:c r="G1" s="49"/>
      <x:c r="H1" s="49"/>
      <x:c r="I1" s="49"/>
    </x:row>
    <x:row r="2">
      <x:c r="A2" s="49"/>
      <x:c r="B2" s="49"/>
      <x:c r="C2" s="49"/>
      <x:c r="D2" s="49"/>
      <x:c r="E2" s="49"/>
      <x:c r="F2" s="49"/>
      <x:c r="G2" s="49"/>
      <x:c r="H2" s="49"/>
      <x:c r="I2" s="49"/>
    </x:row>
    <x:row r="4" ht="28" customHeight="1">
      <x:c r="A4" s="29" t="str">
        <x:v>company_id</x:v>
      </x:c>
      <x:c r="B4" s="29" t="str">
        <x:v>official production</x:v>
      </x:c>
      <x:c r="C4" s="29" t="str">
        <x:v>facility production</x:v>
      </x:c>
      <x:c r="D4" s="29" t="str">
        <x:v>difference</x:v>
      </x:c>
      <x:c r="E4" s="29" t="str">
        <x:v>official emissions</x:v>
      </x:c>
      <x:c r="F4" s="29" t="str">
        <x:v>facility emissions</x:v>
      </x:c>
      <x:c r="G4" s="29" t="str">
        <x:v>difference</x:v>
      </x:c>
      <x:c r="H4" s="29" t="str">
        <x:v>production</x:v>
      </x:c>
      <x:c r="I4" s="29" t="str">
        <x:v>emissions</x:v>
      </x:c>
    </x:row>
    <x:row r="5">
      <x:c r="A5" s="34" t="str">
        <x:v>POSCO_KR</x:v>
      </x:c>
      <x:c r="B5" s="46" t="n">
        <x:f>Companies!G2</x:f>
        <x:v>34.537</x:v>
      </x:c>
      <x:c r="C5" s="46" t="n">
        <x:f>SUMIF(Facilities!$B$2:$B$18,A5,Facilities!$O$2:$O$18)</x:f>
        <x:v>34.536993700000004</x:v>
      </x:c>
      <x:c r="D5" s="46" t="n">
        <x:f>C5-B5</x:f>
        <x:v>-0.000006299999995462713</x:v>
      </x:c>
      <x:c r="E5" s="46" t="n">
        <x:f>Companies!H2</x:f>
        <x:v>69.84605</x:v>
      </x:c>
      <x:c r="F5" s="46" t="n">
        <x:f>SUMIF(Facilities!$B$2:$B$18,A5,Facilities!$P$2:$P$18)</x:f>
        <x:v>69.84602972487582</x:v>
      </x:c>
      <x:c r="G5" s="46" t="n">
        <x:f>F5-E5</x:f>
        <x:v>-0.000020275124185786808</x:v>
      </x:c>
      <x:c r="H5" s="34" t="str">
        <x:f>IF(ABS(D5)&lt;=0.001,"PASS","REVIEW")</x:f>
        <x:v>PASS</x:v>
      </x:c>
      <x:c r="I5" s="34" t="str">
        <x:f>IF(ABS(G5)&lt;=0.001,"PASS","REVIEW")</x:f>
        <x:v>PASS</x:v>
      </x:c>
    </x:row>
    <x:row r="6">
      <x:c r="A6" s="34" t="str">
        <x:v>NIPPON_STEEL_JP</x:v>
      </x:c>
      <x:c r="B6" s="46" t="n">
        <x:f>Companies!G3</x:f>
        <x:v>34.3</x:v>
      </x:c>
      <x:c r="C6" s="46" t="n">
        <x:f>SUMIF(Facilities!$B$2:$B$18,A6,Facilities!$O$2:$O$18)</x:f>
        <x:v>34.2999996</x:v>
      </x:c>
      <x:c r="D6" s="46" t="n">
        <x:f>C6-B6</x:f>
        <x:v>-3.999999975690116e-7</x:v>
      </x:c>
      <x:c r="E6" s="46" t="n">
        <x:f>Companies!H3</x:f>
        <x:v>72.6</x:v>
      </x:c>
      <x:c r="F6" s="46" t="n">
        <x:f>SUMIF(Facilities!$B$2:$B$18,A6,Facilities!$P$2:$P$18)</x:f>
        <x:v>72.59999655335278</x:v>
      </x:c>
      <x:c r="G6" s="46" t="n">
        <x:f>F6-E6</x:f>
        <x:v>-0.000003446647212967946</x:v>
      </x:c>
      <x:c r="H6" s="34" t="str">
        <x:f>IF(ABS(D6)&lt;=0.001,"PASS","REVIEW")</x:f>
        <x:v>PASS</x:v>
      </x:c>
      <x:c r="I6" s="34" t="str">
        <x:f>IF(ABS(G6)&lt;=0.001,"PASS","REVIEW")</x:f>
        <x:v>PASS</x:v>
      </x:c>
    </x:row>
    <x:row r="7">
      <x:c r="A7" s="34" t="str">
        <x:v>JFE_STEEL_JP</x:v>
      </x:c>
      <x:c r="B7" s="46" t="n">
        <x:f>Companies!G4</x:f>
        <x:v>21.95</x:v>
      </x:c>
      <x:c r="C7" s="46" t="n">
        <x:f>SUMIF(Facilities!$B$2:$B$18,A7,Facilities!$O$2:$O$18)</x:f>
        <x:v>21.9499952</x:v>
      </x:c>
      <x:c r="D7" s="46" t="n">
        <x:f>C7-B7</x:f>
        <x:v>-0.000004799999999249849</x:v>
      </x:c>
      <x:c r="E7" s="46" t="n">
        <x:f>Companies!H4</x:f>
        <x:v>45.3</x:v>
      </x:c>
      <x:c r="F7" s="46" t="n">
        <x:f>SUMIF(Facilities!$B$2:$B$18,A7,Facilities!$P$2:$P$18)</x:f>
        <x:v>45.2999873465888</x:v>
      </x:c>
      <x:c r="G7" s="46" t="n">
        <x:f>F7-E7</x:f>
        <x:v>-0.00001265341119704999</x:v>
      </x:c>
      <x:c r="H7" s="34" t="str">
        <x:f>IF(ABS(D7)&lt;=0.001,"PASS","REVIEW")</x:f>
        <x:v>PASS</x:v>
      </x:c>
      <x:c r="I7" s="34" t="str">
        <x:f>IF(ABS(G7)&lt;=0.001,"PASS","REVIEW")</x:f>
        <x:v>PASS</x:v>
      </x:c>
    </x:row>
    <x:row r="8">
      <x:c r="A8" s="35" t="str">
        <x:v>KOBE_STEEL_JP</x:v>
      </x:c>
      <x:c r="B8" s="47" t="n">
        <x:f>Companies!G5</x:f>
        <x:v>5.96</x:v>
      </x:c>
      <x:c r="C8" s="47" t="n">
        <x:f>SUMIF(Facilities!$B$2:$B$18,A8,Facilities!$O$2:$O$18)</x:f>
        <x:v>5.95999914</x:v>
      </x:c>
      <x:c r="D8" s="47" t="n">
        <x:f>C8-B8</x:f>
        <x:v>-8.600000001024455e-7</x:v>
      </x:c>
      <x:c r="E8" s="47" t="n">
        <x:f>Companies!H5</x:f>
        <x:v>14.3</x:v>
      </x:c>
      <x:c r="F8" s="47" t="n">
        <x:f>SUMIF(Facilities!$B$2:$B$18,A8,Facilities!$P$2:$P$18)</x:f>
        <x:v>14.3000000914331</x:v>
      </x:c>
      <x:c r="G8" s="47" t="n">
        <x:f>F8-E8</x:f>
        <x:v>9.14330993140311e-8</x:v>
      </x:c>
      <x:c r="H8" s="35" t="str">
        <x:f>IF(ABS(D8)&lt;=0.001,"PASS","REVIEW")</x:f>
        <x:v>PASS</x:v>
      </x:c>
      <x:c r="I8" s="35" t="str">
        <x:f>IF(ABS(G8)&lt;=0.001,"PASS","REVIEW")</x:f>
        <x:v>PASS</x:v>
      </x:c>
    </x:row>
    <x:row r="10">
      <x:c r="A10" s="51" t="str">
        <x:v>허용오차 ±0.001Mt. PASS는 산술적 일치만 의미하며, 시설별 공개 데이터의 정확성을 의미하지 않는다.</x:v>
      </x:c>
      <x:c r="B10" s="51"/>
      <x:c r="C10" s="51"/>
      <x:c r="D10" s="51"/>
      <x:c r="E10" s="51"/>
      <x:c r="F10" s="51"/>
      <x:c r="G10" s="51"/>
      <x:c r="H10" s="51"/>
      <x:c r="I10" s="51"/>
    </x:row>
  </x:sheetData>
  <x:mergeCells>
    <x:mergeCell ref="A1:I2"/>
    <x:mergeCell ref="A10:I10"/>
  </x:mergeCells>
  <x:pageMargins left="0.7" right="0.7" top="0.75" bottom="0.75" header="0.3" footer="0.3"/>
</x:worksheet>
</file>

<file path=xl/worksheets/sheet21.xml><?xml version="1.0" encoding="utf-8"?>
<x:worksheet xmlns:x="http://schemas.openxmlformats.org/spreadsheetml/2006/main">
  <x:sheetViews>
    <x:sheetView showGridLines="0" workbookViewId="0"/>
  </x:sheetViews>
  <x:sheetFormatPr defaultRowHeight="15"/>
  <x:cols>
    <x:col min="1" max="1" width="24" hidden="0" customWidth="1"/>
    <x:col min="2" max="2" width="16" hidden="0" customWidth="1"/>
    <x:col min="3" max="3" width="20" hidden="0" customWidth="1"/>
    <x:col min="4" max="4" width="18" hidden="0" customWidth="1"/>
    <x:col min="5" max="5" width="15" hidden="0" customWidth="1"/>
    <x:col min="6" max="6" width="22" hidden="0" customWidth="1"/>
    <x:col min="7" max="7" width="15" hidden="0" customWidth="1"/>
    <x:col min="8" max="8" width="18" hidden="0" customWidth="1"/>
  </x:cols>
  <x:sheetData>
    <x:row r="1">
      <x:c r="A1" s="49" t="str">
        <x:v>말이 되는가? — 모델 타당성 판정</x:v>
      </x:c>
      <x:c r="B1" s="49"/>
      <x:c r="C1" s="49"/>
      <x:c r="D1" s="49"/>
      <x:c r="E1" s="49"/>
      <x:c r="F1" s="49"/>
      <x:c r="G1" s="49"/>
      <x:c r="H1" s="49"/>
    </x:row>
    <x:row r="2">
      <x:c r="A2" s="49"/>
      <x:c r="B2" s="49"/>
      <x:c r="C2" s="49"/>
      <x:c r="D2" s="49"/>
      <x:c r="E2" s="49"/>
      <x:c r="F2" s="49"/>
      <x:c r="G2" s="49"/>
      <x:c r="H2" s="49"/>
    </x:row>
    <x:row r="4" ht="28" customHeight="1">
      <x:c r="A4" s="29" t="str">
        <x:v>검증 차원</x:v>
      </x:c>
      <x:c r="B4" s="29" t="str">
        <x:v>점수/5</x:v>
      </x:c>
      <x:c r="C4" s="29" t="str">
        <x:v>판정</x:v>
      </x:c>
      <x:c r="D4" s="29" t="str">
        <x:v>근거</x:v>
      </x:c>
      <x:c r="E4" s="29" t="str">
        <x:v>의미</x:v>
      </x:c>
    </x:row>
    <x:row r="5">
      <x:c r="A5" s="34" t="str">
        <x:v>공식값 추적성</x:v>
      </x:c>
      <x:c r="B5" s="52" t="n">
        <x:v>4</x:v>
      </x:c>
      <x:c r="C5" s="34" t="str">
        <x:v>GOOD</x:v>
      </x:c>
      <x:c r="D5" s="34" t="str">
        <x:v>생산·배출·재무 총량에 공식 URL과 경계 메모 존재</x:v>
      </x:c>
      <x:c r="E5" s="34" t="str">
        <x:v>회사 총량 재검증 가능</x:v>
      </x:c>
    </x:row>
    <x:row r="6">
      <x:c r="A6" s="34" t="str">
        <x:v>산술 조정</x:v>
      </x:c>
      <x:c r="B6" s="52" t="n">
        <x:v>5</x:v>
      </x:c>
      <x:c r="C6" s="34" t="str">
        <x:v>PASS</x:v>
      </x:c>
      <x:c r="D6" s="34" t="str">
        <x:v>시설 블록 합계가 공식 생산·배출 총량과 허용오차 내 일치</x:v>
      </x:c>
      <x:c r="E6" s="34" t="str">
        <x:v>계산 구조는 일관</x:v>
      </x:c>
    </x:row>
    <x:row r="7">
      <x:c r="A7" s="34" t="str">
        <x:v>회사 간 경계</x:v>
      </x:c>
      <x:c r="B7" s="52" t="n">
        <x:v>2</x:v>
      </x:c>
      <x:c r="C7" s="34" t="str">
        <x:v>WEAK</x:v>
      </x:c>
      <x:c r="D7" s="34" t="str">
        <x:v>일본 3사는 환경값과 연결 재무의 경계 불일치</x:v>
      </x:c>
      <x:c r="E7" s="34" t="str">
        <x:v>스트레스 배수 직접 비교 금지</x:v>
      </x:c>
    </x:row>
    <x:row r="8">
      <x:c r="A8" s="34" t="str">
        <x:v>시설 현실성</x:v>
      </x:c>
      <x:c r="B8" s="52" t="n">
        <x:v>2</x:v>
      </x:c>
      <x:c r="C8" s="34" t="str">
        <x:v>CONDITIONAL</x:v>
      </x:c>
      <x:c r="D8" s="34" t="str">
        <x:v>설비 블록에 스크랩·수소·계통·동시공사·실패 제약을 추가했으나 한도값은 추정</x:v>
      </x:c>
      <x:c r="E8" s="34" t="str">
        <x:v>위치·시점 의사결정 전 공식 검증 필요</x:v>
      </x:c>
    </x:row>
    <x:row r="9">
      <x:c r="A9" s="34" t="str">
        <x:v>기술 CAPEX</x:v>
      </x:c>
      <x:c r="B9" s="52" t="n">
        <x:v>2</x:v>
      </x:c>
      <x:c r="C9" s="34" t="str">
        <x:v>WEAK</x:v>
      </x:c>
      <x:c r="D9" s="34" t="str">
        <x:v>일본 대형 EAF 공시 프로젝트 대비 모델 원단위가 낮음</x:v>
      </x:c>
      <x:c r="E9" s="34" t="str">
        <x:v>현재 비용은 하방 편향 가능</x:v>
      </x:c>
    </x:row>
    <x:row r="10">
      <x:c r="A10" s="34" t="str">
        <x:v>시나리오</x:v>
      </x:c>
      <x:c r="B10" s="52" t="n">
        <x:v>3</x:v>
      </x:c>
      <x:c r="C10" s="34" t="str">
        <x:v>CONDITIONAL</x:v>
      </x:c>
      <x:c r="D10" s="34" t="str">
        <x:v>GCAM 9.1 실행·query·hash 매니페스트와 1.5°C/2.0°C 온도 target 입력을 고정; Java 부재로 수치 실행은 pending</x:v>
      </x:c>
      <x:c r="E10" s="34" t="str">
        <x:v>활성화 게이트는 검증되나 공식 실행결과 전 조건부</x:v>
      </x:c>
    </x:row>
    <x:row r="11">
      <x:c r="A11" s="34" t="str">
        <x:v>확률 계산</x:v>
      </x:c>
      <x:c r="B11" s="52" t="n">
        <x:v>4</x:v>
      </x:c>
      <x:c r="C11" s="34" t="str">
        <x:v>GOOD</x:v>
      </x:c>
      <x:c r="D11" s="34" t="str">
        <x:v>seed 반복과 P50/P90·TCaR 집계가 재현 가능</x:v>
      </x:c>
      <x:c r="E11" s="34" t="str">
        <x:v>분포 계산은 검증 가능</x:v>
      </x:c>
    </x:row>
    <x:row r="12">
      <x:c r="A12" s="35" t="str">
        <x:v>투자결정 준비도</x:v>
      </x:c>
      <x:c r="B12" s="53" t="n">
        <x:v>2</x:v>
      </x:c>
      <x:c r="C12" s="35" t="str">
        <x:v>CONDITIONAL</x:v>
      </x:c>
      <x:c r="D12" s="35" t="str">
        <x:v>경계·시설·CAPEX 보정 전</x:v>
      </x:c>
      <x:c r="E12" s="35" t="str">
        <x:v>승인용이 아닌 진단용</x:v>
      </x:c>
    </x:row>
    <x:row r="14">
      <x:c r="A14" s="8" t="str">
        <x:v>종합 판정</x:v>
      </x:c>
      <x:c r="B14" s="11" t="str">
        <x:v>CONDITIONAL — 구조 검증용 적합 / 투자 의사결정용 부적합</x:v>
      </x:c>
      <x:c r="C14" s="11"/>
      <x:c r="D14" s="11"/>
      <x:c r="E14" s="11"/>
    </x:row>
    <x:row r="15">
      <x:c r="A15" s="8" t="str">
        <x:v>평균 점수</x:v>
      </x:c>
      <x:c r="B15" s="55" t="n">
        <x:f>AVERAGE(B5:B12)</x:f>
        <x:v>3</x:v>
      </x:c>
      <x:c r="C15" s="13"/>
      <x:c r="D15" s="13"/>
      <x:c r="E15" s="13"/>
    </x:row>
    <x:row r="18" ht="28" customHeight="1">
      <x:c r="A18" s="29" t="str">
        <x:v>benchmark</x:v>
      </x:c>
      <x:c r="B18" s="29" t="str">
        <x:v>model tech</x:v>
      </x:c>
      <x:c r="C18" s="29" t="str">
        <x:v>project capex (bn JPY)</x:v>
      </x:c>
      <x:c r="D18" s="29" t="str">
        <x:v>capacity (Mtpa)</x:v>
      </x:c>
      <x:c r="E18" s="29" t="str">
        <x:v>FX JPY→KRW</x:v>
      </x:c>
      <x:c r="F18" s="29" t="str">
        <x:v>public full-scope cost</x:v>
      </x:c>
      <x:c r="G18" s="29" t="str">
        <x:v>model/public</x:v>
      </x:c>
      <x:c r="H18" s="29" t="str">
        <x:v>required multiplier</x:v>
      </x:c>
    </x:row>
    <x:row r="19">
      <x:c r="A19" s="34" t="str">
        <x:v>JFE Kurashiki 2025</x:v>
      </x:c>
      <x:c r="B19" s="34" t="str">
        <x:v>SCRAP_EAF</x:v>
      </x:c>
      <x:c r="C19" s="44" t="n">
        <x:v>329.4</x:v>
      </x:c>
      <x:c r="D19" s="44" t="n">
        <x:v>2</x:v>
      </x:c>
      <x:c r="E19" s="44" t="n">
        <x:v>9.2</x:v>
      </x:c>
      <x:c r="F19" s="44" t="n">
        <x:f>C19/D19*E19</x:f>
        <x:v>1515.2399999999998</x:v>
      </x:c>
      <x:c r="G19" s="56" t="n">
        <x:f>(Technologies!C5*Companies!O4)/F19</x:f>
        <x:v>0.4065362582825164</x:v>
      </x:c>
      <x:c r="H19" s="58" t="n">
        <x:f>1/G19</x:f>
        <x:v>2.4598051948051944</x:v>
      </x:c>
    </x:row>
    <x:row r="20">
      <x:c r="A20" s="35" t="str">
        <x:v>Nippon 3 EAFs 2025</x:v>
      </x:c>
      <x:c r="B20" s="35" t="str">
        <x:v>SCRAP_EAF</x:v>
      </x:c>
      <x:c r="C20" s="45" t="n">
        <x:v>868.7</x:v>
      </x:c>
      <x:c r="D20" s="45" t="n">
        <x:v>2.9</x:v>
      </x:c>
      <x:c r="E20" s="45" t="n">
        <x:v>9.2</x:v>
      </x:c>
      <x:c r="F20" s="45" t="n">
        <x:f>C20/D20*E20</x:f>
        <x:v>2755.8758620689655</x:v>
      </x:c>
      <x:c r="G20" s="57" t="n">
        <x:f>(Technologies!C5*Companies!O3)/F20</x:f>
        <x:v>0.2235224047927688</x:v>
      </x:c>
      <x:c r="H20" s="59" t="n">
        <x:f>1/G20</x:f>
        <x:v>4.473824451410659</x:v>
      </x:c>
    </x:row>
    <x:row r="22">
      <x:c r="A22" s="62" t="str">
        <x:v>공시 프로젝트는 전기로 외 전력계통·물류·부대설비를 포함할 수 있어 완전한 동등 비교는 아니다. 그럼에도 모델의 일본 SCRAP_EAF 비용(616bn KRW/Mtpa)은 JFE 공시 환산 원단위의 약 41%, Nippon Steel의 약 22%로, 최소한 low/base/high 범위 재보정이 필요하다.</x:v>
      </x:c>
      <x:c r="B22" s="62"/>
      <x:c r="C22" s="62"/>
      <x:c r="D22" s="62"/>
      <x:c r="E22" s="62"/>
      <x:c r="F22" s="62"/>
      <x:c r="G22" s="62"/>
      <x:c r="H22" s="62"/>
    </x:row>
    <x:row r="23">
      <x:c r="A23" s="62"/>
      <x:c r="B23" s="62"/>
      <x:c r="C23" s="62"/>
      <x:c r="D23" s="62"/>
      <x:c r="E23" s="62"/>
      <x:c r="F23" s="62"/>
      <x:c r="G23" s="62"/>
      <x:c r="H23" s="62"/>
    </x:row>
  </x:sheetData>
  <x:mergeCells>
    <x:mergeCell ref="A1:H2"/>
    <x:mergeCell ref="B14:E14"/>
    <x:mergeCell ref="B15:E15"/>
    <x:mergeCell ref="A22:H23"/>
  </x:mergeCells>
  <x:pageMargins left="0.7" right="0.7" top="0.75" bottom="0.75" header="0.3" footer="0.3"/>
  <x:legacyDrawing xmlns:r="http://schemas.openxmlformats.org/officeDocument/2006/relationships" r:id="R130828dc24e5431e"/>
</x:worksheet>
</file>

<file path=xl/worksheets/sheet22.xml><?xml version="1.0" encoding="utf-8"?>
<x:worksheet xmlns:x="http://schemas.openxmlformats.org/spreadsheetml/2006/main">
  <x:sheetViews>
    <x:sheetView showGridLines="0" workbookViewId="0"/>
  </x:sheetViews>
  <x:sheetFormatPr defaultRowHeight="15"/>
  <x:cols>
    <x:col min="1" max="1" width="20" hidden="0" customWidth="1"/>
    <x:col min="2" max="2" width="17" hidden="0" customWidth="1"/>
    <x:col min="3" max="3" width="14" hidden="0" customWidth="1"/>
    <x:col min="4" max="4" width="18" hidden="0" customWidth="1"/>
    <x:col min="5" max="5" width="20" hidden="0" customWidth="1"/>
    <x:col min="6" max="6" width="20" hidden="0" customWidth="1"/>
    <x:col min="7" max="7" width="16" hidden="0" customWidth="1"/>
    <x:col min="8" max="8" width="36" hidden="0" customWidth="1"/>
  </x:cols>
  <x:sheetData>
    <x:row r="1">
      <x:c r="A1" s="64" t="str">
        <x:v>고정 공시경로 포트폴리오 재평가 — ACCELERATED_15C / 3 seeds × 1,000 paths</x:v>
      </x:c>
      <x:c r="B1" s="64"/>
      <x:c r="C1" s="64"/>
      <x:c r="D1" s="64"/>
      <x:c r="E1" s="64"/>
      <x:c r="F1" s="64"/>
      <x:c r="G1" s="64"/>
      <x:c r="H1" s="64"/>
    </x:row>
    <x:row r="2">
      <x:c r="A2" s="64"/>
      <x:c r="B2" s="64"/>
      <x:c r="C2" s="64"/>
      <x:c r="D2" s="64"/>
      <x:c r="E2" s="64"/>
      <x:c r="F2" s="64"/>
      <x:c r="G2" s="64"/>
      <x:c r="H2" s="64"/>
    </x:row>
    <x:row r="4" ht="28" customHeight="1">
      <x:c r="A4" s="29" t="str">
        <x:v>company</x:v>
      </x:c>
      <x:c r="B4" s="29" t="str">
        <x:v>P50 economic cost (천원/tCO₂)</x:v>
      </x:c>
      <x:c r="C4" s="29" t="str">
        <x:v>TCaR (천원/tCO₂)</x:v>
      </x:c>
      <x:c r="D4" s="29" t="str">
        <x:v>aligned CAPEX (십억원)</x:v>
      </x:c>
      <x:c r="E4" s="29" t="str">
        <x:v>P90 absolute NPV (십억원)</x:v>
      </x:c>
      <x:c r="F4" s="29" t="str">
        <x:v>NPV / annual EBITDA</x:v>
      </x:c>
      <x:c r="G4" s="29" t="str">
        <x:v>P50 seed std</x:v>
      </x:c>
      <x:c r="H4" s="29" t="str">
        <x:v>interpretation</x:v>
      </x:c>
    </x:row>
    <x:row r="5">
      <x:c r="A5" s="34" t="str">
        <x:v>POSCO</x:v>
      </x:c>
      <x:c r="B5" s="52" t="n">
        <x:v>117.601254</x:v>
      </x:c>
      <x:c r="C5" s="52" t="n">
        <x:v>32.199503</x:v>
      </x:c>
      <x:c r="D5" s="65" t="n">
        <x:v>22752</x:v>
      </x:c>
      <x:c r="E5" s="65" t="n">
        <x:v>42740.901</x:v>
      </x:c>
      <x:c r="F5" s="58" t="n">
        <x:v>10.104232</x:v>
      </x:c>
      <x:c r="G5" s="46" t="n">
        <x:v>0.849839</x:v>
      </x:c>
      <x:c r="H5" s="34" t="str">
        <x:v>통합 실행 제약 미충족; 효율경계 제외·기업 순위 금지</x:v>
      </x:c>
    </x:row>
    <x:row r="6">
      <x:c r="A6" s="34" t="str">
        <x:v>Nippon Steel</x:v>
      </x:c>
      <x:c r="B6" s="52" t="n">
        <x:v>69.934291</x:v>
      </x:c>
      <x:c r="C6" s="52" t="n">
        <x:v>19.300286</x:v>
      </x:c>
      <x:c r="D6" s="65" t="n">
        <x:v>23974.5</x:v>
      </x:c>
      <x:c r="E6" s="65" t="n">
        <x:v>29768.562333</x:v>
      </x:c>
      <x:c r="F6" s="58" t="n">
        <x:v>3.028455</x:v>
      </x:c>
      <x:c r="G6" s="46" t="n">
        <x:v>0.416862</x:v>
      </x:c>
      <x:c r="H6" s="34" t="str">
        <x:v>통합 실행 제약 미충족; 효율경계 제외·기업 순위 금지</x:v>
      </x:c>
    </x:row>
    <x:row r="7">
      <x:c r="A7" s="34" t="str">
        <x:v>JFE Steel</x:v>
      </x:c>
      <x:c r="B7" s="52" t="n">
        <x:v>42.699761</x:v>
      </x:c>
      <x:c r="C7" s="52" t="n">
        <x:v>14.032341</x:v>
      </x:c>
      <x:c r="D7" s="65" t="n">
        <x:v>16764</x:v>
      </x:c>
      <x:c r="E7" s="65" t="n">
        <x:v>21801.060333</x:v>
      </x:c>
      <x:c r="F7" s="58" t="n">
        <x:v>6.045103</x:v>
      </x:c>
      <x:c r="G7" s="46" t="n">
        <x:v>0.425823</x:v>
      </x:c>
      <x:c r="H7" s="34" t="str">
        <x:v>통합 실행 제약 미충족; 효율경계 제외·기업 순위 금지</x:v>
      </x:c>
    </x:row>
    <x:row r="8">
      <x:c r="A8" s="35" t="str">
        <x:v>Kobe Steel</x:v>
      </x:c>
      <x:c r="B8" s="53" t="n">
        <x:v>47.125666</x:v>
      </x:c>
      <x:c r="C8" s="53" t="n">
        <x:v>17.937447</x:v>
      </x:c>
      <x:c r="D8" s="66" t="n">
        <x:v>4999.94</x:v>
      </x:c>
      <x:c r="E8" s="66" t="n">
        <x:v>7080.922</x:v>
      </x:c>
      <x:c r="F8" s="59" t="n">
        <x:v>2.737464</x:v>
      </x:c>
      <x:c r="G8" s="47" t="n">
        <x:v>0.334558</x:v>
      </x:c>
      <x:c r="H8" s="35" t="str">
        <x:v>통합 실행 제약 미충족; 효율경계 제외·기업 순위 금지</x:v>
      </x:c>
    </x:row>
    <x:row r="11">
      <x:c r="A11" s="23" t="str">
        <x:v>P90 absolute NPV / annual EBITDA는 15년 누적 순현재비용을 1년 EBITDA로 나눈 스트레스 배수다. 통상적 부채상환·커버리지 비율이 아니며, 환경·재무 경계가 다른 회사 간 직접 비교는 금지한다.</x:v>
      </x:c>
      <x:c r="B11" s="23"/>
      <x:c r="C11" s="23"/>
      <x:c r="D11" s="23"/>
      <x:c r="E11" s="23"/>
      <x:c r="F11" s="23"/>
      <x:c r="G11" s="23"/>
      <x:c r="H11" s="23"/>
    </x:row>
    <x:row r="12">
      <x:c r="A12" s="23"/>
      <x:c r="B12" s="23"/>
      <x:c r="C12" s="23"/>
      <x:c r="D12" s="23"/>
      <x:c r="E12" s="23"/>
      <x:c r="F12" s="23"/>
      <x:c r="G12" s="23"/>
      <x:c r="H12" s="23"/>
    </x:row>
  </x:sheetData>
  <x:mergeCells>
    <x:mergeCell ref="A1:H2"/>
    <x:mergeCell ref="A11:H12"/>
  </x:mergeCells>
  <x:pageMargins left="0.7" right="0.7" top="0.75" bottom="0.75" header="0.3" footer="0.3"/>
</x:worksheet>
</file>

<file path=xl/worksheets/sheet23.xml><?xml version="1.0" encoding="utf-8"?>
<x:worksheet xmlns:x="http://schemas.openxmlformats.org/spreadsheetml/2006/main">
  <x:sheetViews>
    <x:sheetView showGridLines="0" workbookViewId="0"/>
  </x:sheetViews>
  <x:sheetFormatPr defaultRowHeight="15"/>
  <x:cols>
    <x:col min="1" max="1" width="20" hidden="0" customWidth="1"/>
    <x:col min="2" max="2" width="24" hidden="0" customWidth="1"/>
    <x:col min="3" max="3" width="21" hidden="0" customWidth="1"/>
    <x:col min="4" max="4" width="20" hidden="0" customWidth="1"/>
    <x:col min="5" max="5" width="22" hidden="0" customWidth="1"/>
    <x:col min="6" max="6" width="15" hidden="0" customWidth="1"/>
    <x:col min="7" max="7" width="15" hidden="0" customWidth="1"/>
    <x:col min="8" max="8" width="16" hidden="0" customWidth="1"/>
    <x:col min="9" max="9" width="17" hidden="0" customWidth="1"/>
    <x:col min="10" max="10" width="17" hidden="0" customWidth="1"/>
    <x:col min="11" max="11" width="15" hidden="0" customWidth="1"/>
    <x:col min="12" max="12" width="21" hidden="0" customWidth="1"/>
    <x:col min="13" max="13" width="19" hidden="0" customWidth="1"/>
    <x:col min="14" max="14" width="22" hidden="0" customWidth="1"/>
    <x:col min="15" max="15" width="19" hidden="0" customWidth="1"/>
    <x:col min="16" max="16" width="18" hidden="0" customWidth="1"/>
  </x:cols>
  <x:sheetData>
    <x:row r="1">
      <x:c r="A1" s="64" t="str">
        <x:v>동일 물리 포트폴리오 시나리오 비교 — to scenario − from scenario</x:v>
      </x:c>
      <x:c r="B1" s="64"/>
      <x:c r="C1" s="64"/>
      <x:c r="D1" s="64"/>
      <x:c r="E1" s="64"/>
      <x:c r="F1" s="64"/>
      <x:c r="G1" s="64"/>
      <x:c r="H1" s="64"/>
      <x:c r="I1" s="64"/>
      <x:c r="J1" s="64"/>
      <x:c r="K1" s="64"/>
      <x:c r="L1" s="64"/>
      <x:c r="M1" s="64"/>
      <x:c r="N1" s="64"/>
      <x:c r="O1" s="64"/>
      <x:c r="P1" s="64"/>
    </x:row>
    <x:row r="2">
      <x:c r="A2" s="64"/>
      <x:c r="B2" s="64"/>
      <x:c r="C2" s="64"/>
      <x:c r="D2" s="64"/>
      <x:c r="E2" s="64"/>
      <x:c r="F2" s="64"/>
      <x:c r="G2" s="64"/>
      <x:c r="H2" s="64"/>
      <x:c r="I2" s="64"/>
      <x:c r="J2" s="64"/>
      <x:c r="K2" s="64"/>
      <x:c r="L2" s="64"/>
      <x:c r="M2" s="64"/>
      <x:c r="N2" s="64"/>
      <x:c r="O2" s="64"/>
      <x:c r="P2" s="64"/>
    </x:row>
    <x:row r="4">
      <x:c r="A4" s="67" t="str">
        <x:v>비교행</x:v>
      </x:c>
      <x:c r="B4" s="67" t="n">
        <x:f>COUNTA(A10:A41)</x:f>
        <x:v>32</x:v>
      </x:c>
      <x:c r="C4" s="67" t="str">
        <x:v>동일 포트폴리오</x:v>
      </x:c>
      <x:c r="D4" s="67" t="n">
        <x:f>COUNTIF(H10:H41,"PASS")</x:f>
        <x:v>32</x:v>
      </x:c>
      <x:c r="E4" s="67" t="str">
        <x:v>CAPEX 불변</x:v>
      </x:c>
      <x:c r="F4" s="67" t="n">
        <x:f>COUNTIF(P10:P41,0)</x:f>
        <x:v>32</x:v>
      </x:c>
      <x:c r="G4" s="67" t="str">
        <x:v>목표경로 적합</x:v>
      </x:c>
      <x:c r="H4" s="67" t="n">
        <x:f>COUNTIF(G10:G41,"PASS")</x:f>
        <x:v>9</x:v>
      </x:c>
    </x:row>
    <x:row r="6">
      <x:c r="A6" s="24" t="str">
        <x:v>모든 Δ는 signed 값이다. 경제적 비용은 실제 순현금비용에서 회피 탄소비용 가치를 차감한 값이며, 탄소가치와 정책지원은 실제 현금지출과 분리해 읽는다. 목표경로에 부적합한 포트폴리오는 효율경계에서 제외한다.</x:v>
      </x:c>
      <x:c r="B6" s="24"/>
      <x:c r="C6" s="24"/>
      <x:c r="D6" s="24"/>
      <x:c r="E6" s="24"/>
      <x:c r="F6" s="24"/>
      <x:c r="G6" s="24"/>
      <x:c r="H6" s="24"/>
      <x:c r="I6" s="24"/>
      <x:c r="J6" s="24"/>
      <x:c r="K6" s="24"/>
      <x:c r="L6" s="24"/>
      <x:c r="M6" s="24"/>
      <x:c r="N6" s="24"/>
      <x:c r="O6" s="24"/>
      <x:c r="P6" s="24"/>
    </x:row>
    <x:row r="7">
      <x:c r="A7" s="24"/>
      <x:c r="B7" s="24"/>
      <x:c r="C7" s="24"/>
      <x:c r="D7" s="24"/>
      <x:c r="E7" s="24"/>
      <x:c r="F7" s="24"/>
      <x:c r="G7" s="24"/>
      <x:c r="H7" s="24"/>
      <x:c r="I7" s="24"/>
      <x:c r="J7" s="24"/>
      <x:c r="K7" s="24"/>
      <x:c r="L7" s="24"/>
      <x:c r="M7" s="24"/>
      <x:c r="N7" s="24"/>
      <x:c r="O7" s="24"/>
      <x:c r="P7" s="24"/>
    </x:row>
    <x:row r="9" ht="28" customHeight="1">
      <x:c r="A9" s="29" t="str">
        <x:v>company</x:v>
      </x:c>
      <x:c r="B9" s="29" t="str">
        <x:v>plan</x:v>
      </x:c>
      <x:c r="C9" s="29" t="str">
        <x:v>portfolio_id</x:v>
      </x:c>
      <x:c r="D9" s="29" t="str">
        <x:v>from</x:v>
      </x:c>
      <x:c r="E9" s="29" t="str">
        <x:v>to</x:v>
      </x:c>
      <x:c r="F9" s="29" t="str">
        <x:v>from feasible</x:v>
      </x:c>
      <x:c r="G9" s="29" t="str">
        <x:v>to feasible</x:v>
      </x:c>
      <x:c r="H9" s="29" t="str">
        <x:v>same portfolio</x:v>
      </x:c>
      <x:c r="I9" s="29" t="str">
        <x:v>common avoided Mt</x:v>
      </x:c>
      <x:c r="J9" s="29" t="str">
        <x:v>ΔP50 common</x:v>
      </x:c>
      <x:c r="K9" s="29" t="str">
        <x:v>ΔTCaR</x:v>
      </x:c>
      <x:c r="L9" s="29" t="str">
        <x:v>Δabsolute NPV P50</x:v>
      </x:c>
      <x:c r="M9" s="29" t="str">
        <x:v>Δnet cash P50</x:v>
      </x:c>
      <x:c r="N9" s="29" t="str">
        <x:v>Δavoided carbon value</x:v>
      </x:c>
      <x:c r="O9" s="29" t="str">
        <x:v>Δpolicy support</x:v>
      </x:c>
      <x:c r="P9" s="29" t="str">
        <x:v>Δaligned CAPEX</x:v>
      </x:c>
    </x:row>
    <x:row r="10">
      <x:c r="A10" s="34" t="str">
        <x:v>POSCO</x:v>
      </x:c>
      <x:c r="B10" s="34" t="str">
        <x:v>지연·현물조달</x:v>
      </x:c>
      <x:c r="C10" s="34" t="str">
        <x:v>PORT-DE64C6FAC717</x:v>
      </x:c>
      <x:c r="D10" s="34" t="str">
        <x:v>DISCLOSED_PATH</x:v>
      </x:c>
      <x:c r="E10" s="34" t="str">
        <x:v>ACCELERATED_15C</x:v>
      </x:c>
      <x:c r="F10" s="34" t="str">
        <x:v>PASS</x:v>
      </x:c>
      <x:c r="G10" s="34" t="str">
        <x:v>FAIL</x:v>
      </x:c>
      <x:c r="H10" s="34" t="str">
        <x:v>PASS</x:v>
      </x:c>
      <x:c r="I10" s="46" t="n">
        <x:v>184.421263</x:v>
      </x:c>
      <x:c r="J10" s="46" t="n">
        <x:v>-15.494538</x:v>
      </x:c>
      <x:c r="K10" s="46" t="n">
        <x:v>0.422662</x:v>
      </x:c>
      <x:c r="L10" s="68" t="n">
        <x:v>-2857.522333</x:v>
      </x:c>
      <x:c r="M10" s="68" t="n">
        <x:v>293.876667</x:v>
      </x:c>
      <x:c r="N10" s="68" t="n">
        <x:v>3151.399</x:v>
      </x:c>
      <x:c r="O10" s="68" t="n">
        <x:v>210.33</x:v>
      </x:c>
      <x:c r="P10" s="68" t="n">
        <x:v>0</x:v>
      </x:c>
    </x:row>
    <x:row r="11">
      <x:c r="A11" s="34" t="str">
        <x:v>POSCO</x:v>
      </x:c>
      <x:c r="B11" s="34" t="str">
        <x:v>지연·부분헤지</x:v>
      </x:c>
      <x:c r="C11" s="34" t="str">
        <x:v>PORT-39601EAF8865</x:v>
      </x:c>
      <x:c r="D11" s="34" t="str">
        <x:v>DISCLOSED_PATH</x:v>
      </x:c>
      <x:c r="E11" s="34" t="str">
        <x:v>ACCELERATED_15C</x:v>
      </x:c>
      <x:c r="F11" s="34" t="str">
        <x:v>PASS</x:v>
      </x:c>
      <x:c r="G11" s="34" t="str">
        <x:v>FAIL</x:v>
      </x:c>
      <x:c r="H11" s="34" t="str">
        <x:v>PASS</x:v>
      </x:c>
      <x:c r="I11" s="46" t="n">
        <x:v>193.924259</x:v>
      </x:c>
      <x:c r="J11" s="46" t="n">
        <x:v>-12.778614</x:v>
      </x:c>
      <x:c r="K11" s="46" t="n">
        <x:v>1.356662</x:v>
      </x:c>
      <x:c r="L11" s="68" t="n">
        <x:v>-2478.083333</x:v>
      </x:c>
      <x:c r="M11" s="68" t="n">
        <x:v>837.034</x:v>
      </x:c>
      <x:c r="N11" s="68" t="n">
        <x:v>3315.117</x:v>
      </x:c>
      <x:c r="O11" s="68" t="n">
        <x:v>522.464</x:v>
      </x:c>
      <x:c r="P11" s="68" t="n">
        <x:v>0</x:v>
      </x:c>
    </x:row>
    <x:row r="12">
      <x:c r="A12" s="34" t="str">
        <x:v>POSCO</x:v>
      </x:c>
      <x:c r="B12" s="34" t="str">
        <x:v>균형형 라이트헤지</x:v>
      </x:c>
      <x:c r="C12" s="34" t="str">
        <x:v>PORT-AD0B41B0F73F</x:v>
      </x:c>
      <x:c r="D12" s="34" t="str">
        <x:v>DISCLOSED_PATH</x:v>
      </x:c>
      <x:c r="E12" s="34" t="str">
        <x:v>ACCELERATED_15C</x:v>
      </x:c>
      <x:c r="F12" s="34" t="str">
        <x:v>PASS</x:v>
      </x:c>
      <x:c r="G12" s="34" t="str">
        <x:v>FAIL</x:v>
      </x:c>
      <x:c r="H12" s="34" t="str">
        <x:v>PASS</x:v>
      </x:c>
      <x:c r="I12" s="46" t="n">
        <x:v>208.174258</x:v>
      </x:c>
      <x:c r="J12" s="46" t="n">
        <x:v>-10.954351</x:v>
      </x:c>
      <x:c r="K12" s="46" t="n">
        <x:v>1.302507</x:v>
      </x:c>
      <x:c r="L12" s="68" t="n">
        <x:v>-2280.413667</x:v>
      </x:c>
      <x:c r="M12" s="68" t="n">
        <x:v>1279.960333</x:v>
      </x:c>
      <x:c r="N12" s="68" t="n">
        <x:v>3560.374</x:v>
      </x:c>
      <x:c r="O12" s="68" t="n">
        <x:v>1315.363667</x:v>
      </x:c>
      <x:c r="P12" s="68" t="n">
        <x:v>0</x:v>
      </x:c>
    </x:row>
    <x:row r="13">
      <x:c r="A13" s="34" t="str">
        <x:v>POSCO</x:v>
      </x:c>
      <x:c r="B13" s="34" t="str">
        <x:v>균형형 전환</x:v>
      </x:c>
      <x:c r="C13" s="34" t="str">
        <x:v>PORT-DDCBA267CA97</x:v>
      </x:c>
      <x:c r="D13" s="34" t="str">
        <x:v>DISCLOSED_PATH</x:v>
      </x:c>
      <x:c r="E13" s="34" t="str">
        <x:v>ACCELERATED_15C</x:v>
      </x:c>
      <x:c r="F13" s="34" t="str">
        <x:v>PASS</x:v>
      </x:c>
      <x:c r="G13" s="34" t="str">
        <x:v>FAIL</x:v>
      </x:c>
      <x:c r="H13" s="34" t="str">
        <x:v>PASS</x:v>
      </x:c>
      <x:c r="I13" s="46" t="n">
        <x:v>246.746291</x:v>
      </x:c>
      <x:c r="J13" s="46" t="n">
        <x:v>-12.657929</x:v>
      </x:c>
      <x:c r="K13" s="46" t="n">
        <x:v>0.604562</x:v>
      </x:c>
      <x:c r="L13" s="68" t="n">
        <x:v>-3123.296667</x:v>
      </x:c>
      <x:c r="M13" s="68" t="n">
        <x:v>1079.124667</x:v>
      </x:c>
      <x:c r="N13" s="68" t="n">
        <x:v>4202.422</x:v>
      </x:c>
      <x:c r="O13" s="68" t="n">
        <x:v>2005.769</x:v>
      </x:c>
      <x:c r="P13" s="68" t="n">
        <x:v>0</x:v>
      </x:c>
    </x:row>
    <x:row r="14">
      <x:c r="A14" s="34" t="str">
        <x:v>POSCO</x:v>
      </x:c>
      <x:c r="B14" s="34" t="str">
        <x:v>조기 계약형 전환</x:v>
      </x:c>
      <x:c r="C14" s="34" t="str">
        <x:v>PORT-C07B5FF15869</x:v>
      </x:c>
      <x:c r="D14" s="34" t="str">
        <x:v>DISCLOSED_PATH</x:v>
      </x:c>
      <x:c r="E14" s="34" t="str">
        <x:v>ACCELERATED_15C</x:v>
      </x:c>
      <x:c r="F14" s="34" t="str">
        <x:v>PASS</x:v>
      </x:c>
      <x:c r="G14" s="34" t="str">
        <x:v>FAIL</x:v>
      </x:c>
      <x:c r="H14" s="34" t="str">
        <x:v>PASS</x:v>
      </x:c>
      <x:c r="I14" s="46" t="n">
        <x:v>362.346302</x:v>
      </x:c>
      <x:c r="J14" s="46" t="n">
        <x:v>-15.584003</x:v>
      </x:c>
      <x:c r="K14" s="46" t="n">
        <x:v>-0.200103</x:v>
      </x:c>
      <x:c r="L14" s="68" t="n">
        <x:v>-5646.806</x:v>
      </x:c>
      <x:c r="M14" s="68" t="n">
        <x:v>477.149333</x:v>
      </x:c>
      <x:c r="N14" s="68" t="n">
        <x:v>6123.955</x:v>
      </x:c>
      <x:c r="O14" s="68" t="n">
        <x:v>4300.191333</x:v>
      </x:c>
      <x:c r="P14" s="68" t="n">
        <x:v>0</x:v>
      </x:c>
    </x:row>
    <x:row r="15">
      <x:c r="A15" s="34" t="str">
        <x:v>POSCO</x:v>
      </x:c>
      <x:c r="B15" s="34" t="str">
        <x:v>조기 고헤지</x:v>
      </x:c>
      <x:c r="C15" s="34" t="str">
        <x:v>PORT-73B2FF1A66A0</x:v>
      </x:c>
      <x:c r="D15" s="34" t="str">
        <x:v>DISCLOSED_PATH</x:v>
      </x:c>
      <x:c r="E15" s="34" t="str">
        <x:v>ACCELERATED_15C</x:v>
      </x:c>
      <x:c r="F15" s="34" t="str">
        <x:v>FAIL</x:v>
      </x:c>
      <x:c r="G15" s="34" t="str">
        <x:v>PASS</x:v>
      </x:c>
      <x:c r="H15" s="34" t="str">
        <x:v>PASS</x:v>
      </x:c>
      <x:c r="I15" s="46" t="n">
        <x:v>579.10271</x:v>
      </x:c>
      <x:c r="J15" s="46" t="n">
        <x:v>-19.67012</x:v>
      </x:c>
      <x:c r="K15" s="46" t="n">
        <x:v>-0.257221</x:v>
      </x:c>
      <x:c r="L15" s="68" t="n">
        <x:v>-11391.019667</x:v>
      </x:c>
      <x:c r="M15" s="68" t="n">
        <x:v>-1872.868333</x:v>
      </x:c>
      <x:c r="N15" s="68" t="n">
        <x:v>9518.151</x:v>
      </x:c>
      <x:c r="O15" s="68" t="n">
        <x:v>9613.795</x:v>
      </x:c>
      <x:c r="P15" s="68" t="n">
        <x:v>0</x:v>
      </x:c>
    </x:row>
    <x:row r="16">
      <x:c r="A16" s="34" t="str">
        <x:v>POSCO</x:v>
      </x:c>
      <x:c r="B16" s="34" t="str">
        <x:v>완전 수소·계약형</x:v>
      </x:c>
      <x:c r="C16" s="34" t="str">
        <x:v>PORT-47C5D429DB2E</x:v>
      </x:c>
      <x:c r="D16" s="34" t="str">
        <x:v>DISCLOSED_PATH</x:v>
      </x:c>
      <x:c r="E16" s="34" t="str">
        <x:v>ACCELERATED_15C</x:v>
      </x:c>
      <x:c r="F16" s="34" t="str">
        <x:v>FAIL</x:v>
      </x:c>
      <x:c r="G16" s="34" t="str">
        <x:v>FAIL</x:v>
      </x:c>
      <x:c r="H16" s="34" t="str">
        <x:v>PASS</x:v>
      </x:c>
      <x:c r="I16" s="46" t="n">
        <x:v>627.899166</x:v>
      </x:c>
      <x:c r="J16" s="46" t="n">
        <x:v>-21.81112</x:v>
      </x:c>
      <x:c r="K16" s="46" t="n">
        <x:v>-0.116376</x:v>
      </x:c>
      <x:c r="L16" s="68" t="n">
        <x:v>-13695.184333</x:v>
      </x:c>
      <x:c r="M16" s="68" t="n">
        <x:v>-3442.324667</x:v>
      </x:c>
      <x:c r="N16" s="68" t="n">
        <x:v>10252.86</x:v>
      </x:c>
      <x:c r="O16" s="68" t="n">
        <x:v>11823.041667</x:v>
      </x:c>
      <x:c r="P16" s="68" t="n">
        <x:v>0</x:v>
      </x:c>
    </x:row>
    <x:row r="17">
      <x:c r="A17" s="34" t="str">
        <x:v>POSCO</x:v>
      </x:c>
      <x:c r="B17" s="34" t="str">
        <x:v>POSCO 공시전략 프록시</x:v>
      </x:c>
      <x:c r="C17" s="34" t="str">
        <x:v>PORT-69189DCC5A53</x:v>
      </x:c>
      <x:c r="D17" s="34" t="str">
        <x:v>DISCLOSED_PATH</x:v>
      </x:c>
      <x:c r="E17" s="34" t="str">
        <x:v>ACCELERATED_15C</x:v>
      </x:c>
      <x:c r="F17" s="34" t="str">
        <x:v>PASS</x:v>
      </x:c>
      <x:c r="G17" s="34" t="str">
        <x:v>FAIL</x:v>
      </x:c>
      <x:c r="H17" s="34" t="str">
        <x:v>PASS</x:v>
      </x:c>
      <x:c r="I17" s="46" t="n">
        <x:v>285.318325</x:v>
      </x:c>
      <x:c r="J17" s="46" t="n">
        <x:v>-9.22374</x:v>
      </x:c>
      <x:c r="K17" s="46" t="n">
        <x:v>2.295858</x:v>
      </x:c>
      <x:c r="L17" s="68" t="n">
        <x:v>-2631.702333</x:v>
      </x:c>
      <x:c r="M17" s="68" t="n">
        <x:v>2197.091333</x:v>
      </x:c>
      <x:c r="N17" s="68" t="n">
        <x:v>4828.793</x:v>
      </x:c>
      <x:c r="O17" s="68" t="n">
        <x:v>1321.966333</x:v>
      </x:c>
      <x:c r="P17" s="68" t="n">
        <x:v>0</x:v>
      </x:c>
    </x:row>
    <x:row r="18">
      <x:c r="A18" s="34" t="str">
        <x:v>Nippon Steel</x:v>
      </x:c>
      <x:c r="B18" s="34" t="str">
        <x:v>지연·현물조달</x:v>
      </x:c>
      <x:c r="C18" s="34" t="str">
        <x:v>PORT-7DCD4991144C</x:v>
      </x:c>
      <x:c r="D18" s="34" t="str">
        <x:v>DISCLOSED_PATH</x:v>
      </x:c>
      <x:c r="E18" s="34" t="str">
        <x:v>ACCELERATED_15C</x:v>
      </x:c>
      <x:c r="F18" s="34" t="str">
        <x:v>PASS</x:v>
      </x:c>
      <x:c r="G18" s="34" t="str">
        <x:v>FAIL</x:v>
      </x:c>
      <x:c r="H18" s="34" t="str">
        <x:v>PASS</x:v>
      </x:c>
      <x:c r="I18" s="46" t="n">
        <x:v>313.643967</x:v>
      </x:c>
      <x:c r="J18" s="46" t="n">
        <x:v>-13.754287</x:v>
      </x:c>
      <x:c r="K18" s="46" t="n">
        <x:v>0.80926</x:v>
      </x:c>
      <x:c r="L18" s="68" t="n">
        <x:v>-4313.948667</x:v>
      </x:c>
      <x:c r="M18" s="68" t="n">
        <x:v>859.201333</x:v>
      </x:c>
      <x:c r="N18" s="68" t="n">
        <x:v>5173.151</x:v>
      </x:c>
      <x:c r="O18" s="68" t="n">
        <x:v>337.551</x:v>
      </x:c>
      <x:c r="P18" s="68" t="n">
        <x:v>0</x:v>
      </x:c>
    </x:row>
    <x:row r="19">
      <x:c r="A19" s="34" t="str">
        <x:v>Nippon Steel</x:v>
      </x:c>
      <x:c r="B19" s="34" t="str">
        <x:v>지연·부분헤지</x:v>
      </x:c>
      <x:c r="C19" s="34" t="str">
        <x:v>PORT-92BAA222AC4A</x:v>
      </x:c>
      <x:c r="D19" s="34" t="str">
        <x:v>DISCLOSED_PATH</x:v>
      </x:c>
      <x:c r="E19" s="34" t="str">
        <x:v>ACCELERATED_15C</x:v>
      </x:c>
      <x:c r="F19" s="34" t="str">
        <x:v>PASS</x:v>
      </x:c>
      <x:c r="G19" s="34" t="str">
        <x:v>FAIL</x:v>
      </x:c>
      <x:c r="H19" s="34" t="str">
        <x:v>PASS</x:v>
      </x:c>
      <x:c r="I19" s="46" t="n">
        <x:v>365.968973</x:v>
      </x:c>
      <x:c r="J19" s="46" t="n">
        <x:v>-11.087108</x:v>
      </x:c>
      <x:c r="K19" s="46" t="n">
        <x:v>1.590732</x:v>
      </x:c>
      <x:c r="L19" s="68" t="n">
        <x:v>-4057.537333</x:v>
      </x:c>
      <x:c r="M19" s="68" t="n">
        <x:v>2017.009333</x:v>
      </x:c>
      <x:c r="N19" s="68" t="n">
        <x:v>6074.547</x:v>
      </x:c>
      <x:c r="O19" s="68" t="n">
        <x:v>887.826667</x:v>
      </x:c>
      <x:c r="P19" s="68" t="n">
        <x:v>0</x:v>
      </x:c>
    </x:row>
    <x:row r="20">
      <x:c r="A20" s="34" t="str">
        <x:v>Nippon Steel</x:v>
      </x:c>
      <x:c r="B20" s="34" t="str">
        <x:v>균형형 라이트헤지</x:v>
      </x:c>
      <x:c r="C20" s="34" t="str">
        <x:v>PORT-92BAA222AC4A</x:v>
      </x:c>
      <x:c r="D20" s="34" t="str">
        <x:v>DISCLOSED_PATH</x:v>
      </x:c>
      <x:c r="E20" s="34" t="str">
        <x:v>ACCELERATED_15C</x:v>
      </x:c>
      <x:c r="F20" s="34" t="str">
        <x:v>PASS</x:v>
      </x:c>
      <x:c r="G20" s="34" t="str">
        <x:v>FAIL</x:v>
      </x:c>
      <x:c r="H20" s="34" t="str">
        <x:v>PASS</x:v>
      </x:c>
      <x:c r="I20" s="46" t="n">
        <x:v>365.968973</x:v>
      </x:c>
      <x:c r="J20" s="46" t="n">
        <x:v>-11.97545</x:v>
      </x:c>
      <x:c r="K20" s="46" t="n">
        <x:v>1.050811</x:v>
      </x:c>
      <x:c r="L20" s="68" t="n">
        <x:v>-4382.643667</x:v>
      </x:c>
      <x:c r="M20" s="68" t="n">
        <x:v>1691.904333</x:v>
      </x:c>
      <x:c r="N20" s="68" t="n">
        <x:v>6074.547</x:v>
      </x:c>
      <x:c r="O20" s="68" t="n">
        <x:v>1226.222333</x:v>
      </x:c>
      <x:c r="P20" s="68" t="n">
        <x:v>0</x:v>
      </x:c>
    </x:row>
    <x:row r="21">
      <x:c r="A21" s="34" t="str">
        <x:v>Nippon Steel</x:v>
      </x:c>
      <x:c r="B21" s="34" t="str">
        <x:v>균형형 전환</x:v>
      </x:c>
      <x:c r="C21" s="34" t="str">
        <x:v>PORT-DF77606A395F</x:v>
      </x:c>
      <x:c r="D21" s="34" t="str">
        <x:v>DISCLOSED_PATH</x:v>
      </x:c>
      <x:c r="E21" s="34" t="str">
        <x:v>ACCELERATED_15C</x:v>
      </x:c>
      <x:c r="F21" s="34" t="str">
        <x:v>FAIL</x:v>
      </x:c>
      <x:c r="G21" s="34" t="str">
        <x:v>FAIL</x:v>
      </x:c>
      <x:c r="H21" s="34" t="str">
        <x:v>PASS</x:v>
      </x:c>
      <x:c r="I21" s="46" t="n">
        <x:v>431.518975</x:v>
      </x:c>
      <x:c r="J21" s="46" t="n">
        <x:v>-12.155024</x:v>
      </x:c>
      <x:c r="K21" s="46" t="n">
        <x:v>0.561751</x:v>
      </x:c>
      <x:c r="L21" s="68" t="n">
        <x:v>-5245.123667</x:v>
      </x:c>
      <x:c r="M21" s="68" t="n">
        <x:v>1838.090333</x:v>
      </x:c>
      <x:c r="N21" s="68" t="n">
        <x:v>7083.215</x:v>
      </x:c>
      <x:c r="O21" s="68" t="n">
        <x:v>3372.61</x:v>
      </x:c>
      <x:c r="P21" s="68" t="n">
        <x:v>0</x:v>
      </x:c>
    </x:row>
    <x:row r="22">
      <x:c r="A22" s="34" t="str">
        <x:v>Nippon Steel</x:v>
      </x:c>
      <x:c r="B22" s="34" t="str">
        <x:v>조기 계약형 전환</x:v>
      </x:c>
      <x:c r="C22" s="34" t="str">
        <x:v>PORT-C942BD99A66C</x:v>
      </x:c>
      <x:c r="D22" s="34" t="str">
        <x:v>DISCLOSED_PATH</x:v>
      </x:c>
      <x:c r="E22" s="34" t="str">
        <x:v>ACCELERATED_15C</x:v>
      </x:c>
      <x:c r="F22" s="34" t="str">
        <x:v>FAIL</x:v>
      </x:c>
      <x:c r="G22" s="34" t="str">
        <x:v>PASS</x:v>
      </x:c>
      <x:c r="H22" s="34" t="str">
        <x:v>PASS</x:v>
      </x:c>
      <x:c r="I22" s="46" t="n">
        <x:v>536.918941</x:v>
      </x:c>
      <x:c r="J22" s="46" t="n">
        <x:v>-15.835271</x:v>
      </x:c>
      <x:c r="K22" s="46" t="n">
        <x:v>-0.027441</x:v>
      </x:c>
      <x:c r="L22" s="68" t="n">
        <x:v>-8502.257</x:v>
      </x:c>
      <x:c r="M22" s="68" t="n">
        <x:v>332.943667</x:v>
      </x:c>
      <x:c r="N22" s="68" t="n">
        <x:v>8835.201</x:v>
      </x:c>
      <x:c r="O22" s="68" t="n">
        <x:v>7196.35</x:v>
      </x:c>
      <x:c r="P22" s="68" t="n">
        <x:v>0</x:v>
      </x:c>
    </x:row>
    <x:row r="23">
      <x:c r="A23" s="34" t="str">
        <x:v>Nippon Steel</x:v>
      </x:c>
      <x:c r="B23" s="34" t="str">
        <x:v>조기 고헤지</x:v>
      </x:c>
      <x:c r="C23" s="34" t="str">
        <x:v>PORT-7C945F726D00</x:v>
      </x:c>
      <x:c r="D23" s="34" t="str">
        <x:v>DISCLOSED_PATH</x:v>
      </x:c>
      <x:c r="E23" s="34" t="str">
        <x:v>ACCELERATED_15C</x:v>
      </x:c>
      <x:c r="F23" s="34" t="str">
        <x:v>FAIL</x:v>
      </x:c>
      <x:c r="G23" s="34" t="str">
        <x:v>PASS</x:v>
      </x:c>
      <x:c r="H23" s="34" t="str">
        <x:v>PASS</x:v>
      </x:c>
      <x:c r="I23" s="46" t="n">
        <x:v>498.719413</x:v>
      </x:c>
      <x:c r="J23" s="46" t="n">
        <x:v>-25.362647</x:v>
      </x:c>
      <x:c r="K23" s="46" t="n">
        <x:v>-0.495769</x:v>
      </x:c>
      <x:c r="L23" s="68" t="n">
        <x:v>-12648.844333</x:v>
      </x:c>
      <x:c r="M23" s="68" t="n">
        <x:v>-4490.373333</x:v>
      </x:c>
      <x:c r="N23" s="68" t="n">
        <x:v>8158.472</x:v>
      </x:c>
      <x:c r="O23" s="68" t="n">
        <x:v>13798.852333</x:v>
      </x:c>
      <x:c r="P23" s="68" t="n">
        <x:v>0</x:v>
      </x:c>
    </x:row>
    <x:row r="24">
      <x:c r="A24" s="34" t="str">
        <x:v>Nippon Steel</x:v>
      </x:c>
      <x:c r="B24" s="34" t="str">
        <x:v>완전 수소·계약형</x:v>
      </x:c>
      <x:c r="C24" s="34" t="str">
        <x:v>PORT-2ECB61BA4654</x:v>
      </x:c>
      <x:c r="D24" s="34" t="str">
        <x:v>DISCLOSED_PATH</x:v>
      </x:c>
      <x:c r="E24" s="34" t="str">
        <x:v>ACCELERATED_15C</x:v>
      </x:c>
      <x:c r="F24" s="34" t="str">
        <x:v>FAIL</x:v>
      </x:c>
      <x:c r="G24" s="34" t="str">
        <x:v>FAIL</x:v>
      </x:c>
      <x:c r="H24" s="34" t="str">
        <x:v>PASS</x:v>
      </x:c>
      <x:c r="I24" s="46" t="n">
        <x:v>663.14981</x:v>
      </x:c>
      <x:c r="J24" s="46" t="n">
        <x:v>-29.644943</x:v>
      </x:c>
      <x:c r="K24" s="46" t="n">
        <x:v>-0.170672</x:v>
      </x:c>
      <x:c r="L24" s="68" t="n">
        <x:v>-19659.038667</x:v>
      </x:c>
      <x:c r="M24" s="68" t="n">
        <x:v>-8875.215333</x:v>
      </x:c>
      <x:c r="N24" s="68" t="n">
        <x:v>10783.823</x:v>
      </x:c>
      <x:c r="O24" s="68" t="n">
        <x:v>21606.737</x:v>
      </x:c>
      <x:c r="P24" s="68" t="n">
        <x:v>0</x:v>
      </x:c>
    </x:row>
    <x:row r="25">
      <x:c r="A25" s="34" t="str">
        <x:v>Nippon Steel</x:v>
      </x:c>
      <x:c r="B25" s="34" t="str">
        <x:v>Nippon Steel 공시전략 프록시</x:v>
      </x:c>
      <x:c r="C25" s="34" t="str">
        <x:v>PORT-FFBF1A00D2CE</x:v>
      </x:c>
      <x:c r="D25" s="34" t="str">
        <x:v>DISCLOSED_PATH</x:v>
      </x:c>
      <x:c r="E25" s="34" t="str">
        <x:v>ACCELERATED_15C</x:v>
      </x:c>
      <x:c r="F25" s="34" t="str">
        <x:v>FAIL</x:v>
      </x:c>
      <x:c r="G25" s="34" t="str">
        <x:v>FAIL</x:v>
      </x:c>
      <x:c r="H25" s="34" t="str">
        <x:v>PASS</x:v>
      </x:c>
      <x:c r="I25" s="46" t="n">
        <x:v>333.598962</x:v>
      </x:c>
      <x:c r="J25" s="46" t="n">
        <x:v>-11.123026</x:v>
      </x:c>
      <x:c r="K25" s="46" t="n">
        <x:v>1.107129</x:v>
      </x:c>
      <x:c r="L25" s="68" t="n">
        <x:v>-3710.63</x:v>
      </x:c>
      <x:c r="M25" s="68" t="n">
        <x:v>1707.098667</x:v>
      </x:c>
      <x:c r="N25" s="68" t="n">
        <x:v>5417.729</x:v>
      </x:c>
      <x:c r="O25" s="68" t="n">
        <x:v>1336.049333</x:v>
      </x:c>
      <x:c r="P25" s="68" t="n">
        <x:v>0</x:v>
      </x:c>
    </x:row>
    <x:row r="26">
      <x:c r="A26" s="34" t="str">
        <x:v>JFE Steel</x:v>
      </x:c>
      <x:c r="B26" s="34" t="str">
        <x:v>지연·현물조달</x:v>
      </x:c>
      <x:c r="C26" s="34" t="str">
        <x:v>PORT-9D97003767D5</x:v>
      </x:c>
      <x:c r="D26" s="34" t="str">
        <x:v>DISCLOSED_PATH</x:v>
      </x:c>
      <x:c r="E26" s="34" t="str">
        <x:v>ACCELERATED_15C</x:v>
      </x:c>
      <x:c r="F26" s="34" t="str">
        <x:v>FAIL</x:v>
      </x:c>
      <x:c r="G26" s="34" t="str">
        <x:v>FAIL</x:v>
      </x:c>
      <x:c r="H26" s="34" t="str">
        <x:v>PASS</x:v>
      </x:c>
      <x:c r="I26" s="46" t="n">
        <x:v>263.895884</x:v>
      </x:c>
      <x:c r="J26" s="46" t="n">
        <x:v>-13.60811</x:v>
      </x:c>
      <x:c r="K26" s="46" t="n">
        <x:v>0.900968</x:v>
      </x:c>
      <x:c r="L26" s="68" t="n">
        <x:v>-3591.124333</x:v>
      </x:c>
      <x:c r="M26" s="68" t="n">
        <x:v>764.497</x:v>
      </x:c>
      <x:c r="N26" s="68" t="n">
        <x:v>4355.621</x:v>
      </x:c>
      <x:c r="O26" s="68" t="n">
        <x:v>250.16</x:v>
      </x:c>
      <x:c r="P26" s="68" t="n">
        <x:v>0</x:v>
      </x:c>
    </x:row>
    <x:row r="27">
      <x:c r="A27" s="34" t="str">
        <x:v>JFE Steel</x:v>
      </x:c>
      <x:c r="B27" s="34" t="str">
        <x:v>지연·부분헤지</x:v>
      </x:c>
      <x:c r="C27" s="34" t="str">
        <x:v>PORT-25A7E18292F6</x:v>
      </x:c>
      <x:c r="D27" s="34" t="str">
        <x:v>DISCLOSED_PATH</x:v>
      </x:c>
      <x:c r="E27" s="34" t="str">
        <x:v>ACCELERATED_15C</x:v>
      </x:c>
      <x:c r="F27" s="34" t="str">
        <x:v>FAIL</x:v>
      </x:c>
      <x:c r="G27" s="34" t="str">
        <x:v>FAIL</x:v>
      </x:c>
      <x:c r="H27" s="34" t="str">
        <x:v>PASS</x:v>
      </x:c>
      <x:c r="I27" s="46" t="n">
        <x:v>310.220867</x:v>
      </x:c>
      <x:c r="J27" s="46" t="n">
        <x:v>-11.724229</x:v>
      </x:c>
      <x:c r="K27" s="46" t="n">
        <x:v>1.327773</x:v>
      </x:c>
      <x:c r="L27" s="68" t="n">
        <x:v>-3637.100333</x:v>
      </x:c>
      <x:c r="M27" s="68" t="n">
        <x:v>1516.627333</x:v>
      </x:c>
      <x:c r="N27" s="68" t="n">
        <x:v>5153.728</x:v>
      </x:c>
      <x:c r="O27" s="68" t="n">
        <x:v>560.165667</x:v>
      </x:c>
      <x:c r="P27" s="68" t="n">
        <x:v>0</x:v>
      </x:c>
    </x:row>
    <x:row r="28">
      <x:c r="A28" s="34" t="str">
        <x:v>JFE Steel</x:v>
      </x:c>
      <x:c r="B28" s="34" t="str">
        <x:v>균형형 라이트헤지</x:v>
      </x:c>
      <x:c r="C28" s="34" t="str">
        <x:v>PORT-CCD4397FA6D4</x:v>
      </x:c>
      <x:c r="D28" s="34" t="str">
        <x:v>DISCLOSED_PATH</x:v>
      </x:c>
      <x:c r="E28" s="34" t="str">
        <x:v>ACCELERATED_15C</x:v>
      </x:c>
      <x:c r="F28" s="34" t="str">
        <x:v>PASS</x:v>
      </x:c>
      <x:c r="G28" s="34" t="str">
        <x:v>FAIL</x:v>
      </x:c>
      <x:c r="H28" s="34" t="str">
        <x:v>PASS</x:v>
      </x:c>
      <x:c r="I28" s="46" t="n">
        <x:v>281.895878</x:v>
      </x:c>
      <x:c r="J28" s="46" t="n">
        <x:v>-10.28401</x:v>
      </x:c>
      <x:c r="K28" s="46" t="n">
        <x:v>1.244026</x:v>
      </x:c>
      <x:c r="L28" s="68" t="n">
        <x:v>-2899.019667</x:v>
      </x:c>
      <x:c r="M28" s="68" t="n">
        <x:v>1762.757</x:v>
      </x:c>
      <x:c r="N28" s="68" t="n">
        <x:v>4661.776</x:v>
      </x:c>
      <x:c r="O28" s="68" t="n">
        <x:v>1476.395667</x:v>
      </x:c>
      <x:c r="P28" s="68" t="n">
        <x:v>0</x:v>
      </x:c>
    </x:row>
    <x:row r="29">
      <x:c r="A29" s="34" t="str">
        <x:v>JFE Steel</x:v>
      </x:c>
      <x:c r="B29" s="34" t="str">
        <x:v>균형형 전환</x:v>
      </x:c>
      <x:c r="C29" s="34" t="str">
        <x:v>PORT-2883A9539B06</x:v>
      </x:c>
      <x:c r="D29" s="34" t="str">
        <x:v>DISCLOSED_PATH</x:v>
      </x:c>
      <x:c r="E29" s="34" t="str">
        <x:v>ACCELERATED_15C</x:v>
      </x:c>
      <x:c r="F29" s="34" t="str">
        <x:v>FAIL</x:v>
      </x:c>
      <x:c r="G29" s="34" t="str">
        <x:v>PASS</x:v>
      </x:c>
      <x:c r="H29" s="34" t="str">
        <x:v>PASS</x:v>
      </x:c>
      <x:c r="I29" s="46" t="n">
        <x:v>367.500849</x:v>
      </x:c>
      <x:c r="J29" s="46" t="n">
        <x:v>-12.036667</x:v>
      </x:c>
      <x:c r="K29" s="46" t="n">
        <x:v>0.568628</x:v>
      </x:c>
      <x:c r="L29" s="68" t="n">
        <x:v>-4423.485333</x:v>
      </x:c>
      <x:c r="M29" s="68" t="n">
        <x:v>1605.434333</x:v>
      </x:c>
      <x:c r="N29" s="68" t="n">
        <x:v>6028.919</x:v>
      </x:c>
      <x:c r="O29" s="68" t="n">
        <x:v>3258.730667</x:v>
      </x:c>
      <x:c r="P29" s="68" t="n">
        <x:v>0</x:v>
      </x:c>
    </x:row>
    <x:row r="30">
      <x:c r="A30" s="34" t="str">
        <x:v>JFE Steel</x:v>
      </x:c>
      <x:c r="B30" s="34" t="str">
        <x:v>조기 계약형 전환</x:v>
      </x:c>
      <x:c r="C30" s="34" t="str">
        <x:v>PORT-2883A9539B06</x:v>
      </x:c>
      <x:c r="D30" s="34" t="str">
        <x:v>DISCLOSED_PATH</x:v>
      </x:c>
      <x:c r="E30" s="34" t="str">
        <x:v>ACCELERATED_15C</x:v>
      </x:c>
      <x:c r="F30" s="34" t="str">
        <x:v>FAIL</x:v>
      </x:c>
      <x:c r="G30" s="34" t="str">
        <x:v>PASS</x:v>
      </x:c>
      <x:c r="H30" s="34" t="str">
        <x:v>PASS</x:v>
      </x:c>
      <x:c r="I30" s="46" t="n">
        <x:v>367.500849</x:v>
      </x:c>
      <x:c r="J30" s="46" t="n">
        <x:v>-15.56088</x:v>
      </x:c>
      <x:c r="K30" s="46" t="n">
        <x:v>0.044395</x:v>
      </x:c>
      <x:c r="L30" s="68" t="n">
        <x:v>-5718.636667</x:v>
      </x:c>
      <x:c r="M30" s="68" t="n">
        <x:v>310.283</x:v>
      </x:c>
      <x:c r="N30" s="68" t="n">
        <x:v>6028.919</x:v>
      </x:c>
      <x:c r="O30" s="68" t="n">
        <x:v>4564.873667</x:v>
      </x:c>
      <x:c r="P30" s="68" t="n">
        <x:v>0</x:v>
      </x:c>
    </x:row>
    <x:row r="31">
      <x:c r="A31" s="34" t="str">
        <x:v>JFE Steel</x:v>
      </x:c>
      <x:c r="B31" s="34" t="str">
        <x:v>조기 고헤지</x:v>
      </x:c>
      <x:c r="C31" s="34" t="str">
        <x:v>PORT-576B945395C2</x:v>
      </x:c>
      <x:c r="D31" s="34" t="str">
        <x:v>DISCLOSED_PATH</x:v>
      </x:c>
      <x:c r="E31" s="34" t="str">
        <x:v>ACCELERATED_15C</x:v>
      </x:c>
      <x:c r="F31" s="34" t="str">
        <x:v>FAIL</x:v>
      </x:c>
      <x:c r="G31" s="34" t="str">
        <x:v>FAIL</x:v>
      </x:c>
      <x:c r="H31" s="34" t="str">
        <x:v>PASS</x:v>
      </x:c>
      <x:c r="I31" s="46" t="n">
        <x:v>417.556839</x:v>
      </x:c>
      <x:c r="J31" s="46" t="n">
        <x:v>-25.856571</x:v>
      </x:c>
      <x:c r="K31" s="46" t="n">
        <x:v>-0.50488</x:v>
      </x:c>
      <x:c r="L31" s="68" t="n">
        <x:v>-10796.587667</x:v>
      </x:c>
      <x:c r="M31" s="68" t="n">
        <x:v>-3991.582667</x:v>
      </x:c>
      <x:c r="N31" s="68" t="n">
        <x:v>6805.006</x:v>
      </x:c>
      <x:c r="O31" s="68" t="n">
        <x:v>11913.714333</x:v>
      </x:c>
      <x:c r="P31" s="68" t="n">
        <x:v>0</x:v>
      </x:c>
    </x:row>
    <x:row r="32">
      <x:c r="A32" s="34" t="str">
        <x:v>JFE Steel</x:v>
      </x:c>
      <x:c r="B32" s="34" t="str">
        <x:v>완전 수소·계약형</x:v>
      </x:c>
      <x:c r="C32" s="34" t="str">
        <x:v>PORT-B91429E42CEB</x:v>
      </x:c>
      <x:c r="D32" s="34" t="str">
        <x:v>DISCLOSED_PATH</x:v>
      </x:c>
      <x:c r="E32" s="34" t="str">
        <x:v>ACCELERATED_15C</x:v>
      </x:c>
      <x:c r="F32" s="34" t="str">
        <x:v>FAIL</x:v>
      </x:c>
      <x:c r="G32" s="34" t="str">
        <x:v>FAIL</x:v>
      </x:c>
      <x:c r="H32" s="34" t="str">
        <x:v>PASS</x:v>
      </x:c>
      <x:c r="I32" s="46" t="n">
        <x:v>445.512827</x:v>
      </x:c>
      <x:c r="J32" s="46" t="n">
        <x:v>-29.786745</x:v>
      </x:c>
      <x:c r="K32" s="46" t="n">
        <x:v>-0.195594</x:v>
      </x:c>
      <x:c r="L32" s="68" t="n">
        <x:v>-13270.377333</x:v>
      </x:c>
      <x:c r="M32" s="68" t="n">
        <x:v>-6055.770667</x:v>
      </x:c>
      <x:c r="N32" s="68" t="n">
        <x:v>7214.607</x:v>
      </x:c>
      <x:c r="O32" s="68" t="n">
        <x:v>14502.257333</x:v>
      </x:c>
      <x:c r="P32" s="68" t="n">
        <x:v>0</x:v>
      </x:c>
    </x:row>
    <x:row r="33">
      <x:c r="A33" s="34" t="str">
        <x:v>JFE Steel</x:v>
      </x:c>
      <x:c r="B33" s="34" t="str">
        <x:v>JFE Steel 공시전략 프록시</x:v>
      </x:c>
      <x:c r="C33" s="34" t="str">
        <x:v>PORT-D228BC8B7EB8</x:v>
      </x:c>
      <x:c r="D33" s="34" t="str">
        <x:v>DISCLOSED_PATH</x:v>
      </x:c>
      <x:c r="E33" s="34" t="str">
        <x:v>ACCELERATED_15C</x:v>
      </x:c>
      <x:c r="F33" s="34" t="str">
        <x:v>FAIL</x:v>
      </x:c>
      <x:c r="G33" s="34" t="str">
        <x:v>FAIL</x:v>
      </x:c>
      <x:c r="H33" s="34" t="str">
        <x:v>PASS</x:v>
      </x:c>
      <x:c r="I33" s="46" t="n">
        <x:v>384.280845</x:v>
      </x:c>
      <x:c r="J33" s="46" t="n">
        <x:v>-12.184838</x:v>
      </x:c>
      <x:c r="K33" s="46" t="n">
        <x:v>0.731735</x:v>
      </x:c>
      <x:c r="L33" s="68" t="n">
        <x:v>-4682.400333</x:v>
      </x:c>
      <x:c r="M33" s="68" t="n">
        <x:v>1501.146667</x:v>
      </x:c>
      <x:c r="N33" s="68" t="n">
        <x:v>6183.546</x:v>
      </x:c>
      <x:c r="O33" s="68" t="n">
        <x:v>1145.849333</x:v>
      </x:c>
      <x:c r="P33" s="68" t="n">
        <x:v>0</x:v>
      </x:c>
    </x:row>
    <x:row r="34">
      <x:c r="A34" s="34" t="str">
        <x:v>Kobe Steel</x:v>
      </x:c>
      <x:c r="B34" s="34" t="str">
        <x:v>지연·현물조달</x:v>
      </x:c>
      <x:c r="C34" s="34" t="str">
        <x:v>PORT-3DA05887C62D</x:v>
      </x:c>
      <x:c r="D34" s="34" t="str">
        <x:v>DISCLOSED_PATH</x:v>
      </x:c>
      <x:c r="E34" s="34" t="str">
        <x:v>ACCELERATED_15C</x:v>
      </x:c>
      <x:c r="F34" s="34" t="str">
        <x:v>FAIL</x:v>
      </x:c>
      <x:c r="G34" s="34" t="str">
        <x:v>FAIL</x:v>
      </x:c>
      <x:c r="H34" s="34" t="str">
        <x:v>PASS</x:v>
      </x:c>
      <x:c r="I34" s="46" t="n">
        <x:v>93.541093</x:v>
      </x:c>
      <x:c r="J34" s="46" t="n">
        <x:v>-13.934924</x:v>
      </x:c>
      <x:c r="K34" s="46" t="n">
        <x:v>0.655644</x:v>
      </x:c>
      <x:c r="L34" s="68" t="n">
        <x:v>-1303.488333</x:v>
      </x:c>
      <x:c r="M34" s="68" t="n">
        <x:v>223.309</x:v>
      </x:c>
      <x:c r="N34" s="68" t="n">
        <x:v>1526.797</x:v>
      </x:c>
      <x:c r="O34" s="68" t="n">
        <x:v>83.488667</x:v>
      </x:c>
      <x:c r="P34" s="68" t="n">
        <x:v>0</x:v>
      </x:c>
    </x:row>
    <x:row r="35">
      <x:c r="A35" s="34" t="str">
        <x:v>Kobe Steel</x:v>
      </x:c>
      <x:c r="B35" s="34" t="str">
        <x:v>지연·부분헤지</x:v>
      </x:c>
      <x:c r="C35" s="34" t="str">
        <x:v>PORT-8384667F6B8E</x:v>
      </x:c>
      <x:c r="D35" s="34" t="str">
        <x:v>DISCLOSED_PATH</x:v>
      </x:c>
      <x:c r="E35" s="34" t="str">
        <x:v>ACCELERATED_15C</x:v>
      </x:c>
      <x:c r="F35" s="34" t="str">
        <x:v>PASS</x:v>
      </x:c>
      <x:c r="G35" s="34" t="str">
        <x:v>FAIL</x:v>
      </x:c>
      <x:c r="H35" s="34" t="str">
        <x:v>PASS</x:v>
      </x:c>
      <x:c r="I35" s="46" t="n">
        <x:v>96.451092</x:v>
      </x:c>
      <x:c r="J35" s="46" t="n">
        <x:v>-11.291361</x:v>
      </x:c>
      <x:c r="K35" s="46" t="n">
        <x:v>1.500148</x:v>
      </x:c>
      <x:c r="L35" s="68" t="n">
        <x:v>-1089.064333</x:v>
      </x:c>
      <x:c r="M35" s="68" t="n">
        <x:v>487.867</x:v>
      </x:c>
      <x:c r="N35" s="68" t="n">
        <x:v>1576.93</x:v>
      </x:c>
      <x:c r="O35" s="68" t="n">
        <x:v>192.229</x:v>
      </x:c>
      <x:c r="P35" s="68" t="n">
        <x:v>0</x:v>
      </x:c>
    </x:row>
    <x:row r="36">
      <x:c r="A36" s="34" t="str">
        <x:v>Kobe Steel</x:v>
      </x:c>
      <x:c r="B36" s="34" t="str">
        <x:v>균형형 라이트헤지</x:v>
      </x:c>
      <x:c r="C36" s="34" t="str">
        <x:v>PORT-8384667F6B8E</x:v>
      </x:c>
      <x:c r="D36" s="34" t="str">
        <x:v>DISCLOSED_PATH</x:v>
      </x:c>
      <x:c r="E36" s="34" t="str">
        <x:v>ACCELERATED_15C</x:v>
      </x:c>
      <x:c r="F36" s="34" t="str">
        <x:v>PASS</x:v>
      </x:c>
      <x:c r="G36" s="34" t="str">
        <x:v>FAIL</x:v>
      </x:c>
      <x:c r="H36" s="34" t="str">
        <x:v>PASS</x:v>
      </x:c>
      <x:c r="I36" s="46" t="n">
        <x:v>96.451092</x:v>
      </x:c>
      <x:c r="J36" s="46" t="n">
        <x:v>-12.082923</x:v>
      </x:c>
      <x:c r="K36" s="46" t="n">
        <x:v>0.994079</x:v>
      </x:c>
      <x:c r="L36" s="68" t="n">
        <x:v>-1165.411333</x:v>
      </x:c>
      <x:c r="M36" s="68" t="n">
        <x:v>411.52</x:v>
      </x:c>
      <x:c r="N36" s="68" t="n">
        <x:v>1576.93</x:v>
      </x:c>
      <x:c r="O36" s="68" t="n">
        <x:v>269.071</x:v>
      </x:c>
      <x:c r="P36" s="68" t="n">
        <x:v>0</x:v>
      </x:c>
    </x:row>
    <x:row r="37">
      <x:c r="A37" s="34" t="str">
        <x:v>Kobe Steel</x:v>
      </x:c>
      <x:c r="B37" s="34" t="str">
        <x:v>균형형 전환</x:v>
      </x:c>
      <x:c r="C37" s="34" t="str">
        <x:v>PORT-8A59F01B884D</x:v>
      </x:c>
      <x:c r="D37" s="34" t="str">
        <x:v>DISCLOSED_PATH</x:v>
      </x:c>
      <x:c r="E37" s="34" t="str">
        <x:v>ACCELERATED_15C</x:v>
      </x:c>
      <x:c r="F37" s="34" t="str">
        <x:v>FAIL</x:v>
      </x:c>
      <x:c r="G37" s="34" t="str">
        <x:v>PASS</x:v>
      </x:c>
      <x:c r="H37" s="34" t="str">
        <x:v>PASS</x:v>
      </x:c>
      <x:c r="I37" s="46" t="n">
        <x:v>114.781594</x:v>
      </x:c>
      <x:c r="J37" s="46" t="n">
        <x:v>-13.557611</x:v>
      </x:c>
      <x:c r="K37" s="46" t="n">
        <x:v>0.030477</x:v>
      </x:c>
      <x:c r="L37" s="68" t="n">
        <x:v>-1556.164</x:v>
      </x:c>
      <x:c r="M37" s="68" t="n">
        <x:v>281.785</x:v>
      </x:c>
      <x:c r="N37" s="68" t="n">
        <x:v>1837.95</x:v>
      </x:c>
      <x:c r="O37" s="68" t="n">
        <x:v>1139.400667</x:v>
      </x:c>
      <x:c r="P37" s="68" t="n">
        <x:v>0</x:v>
      </x:c>
    </x:row>
    <x:row r="38">
      <x:c r="A38" s="34" t="str">
        <x:v>Kobe Steel</x:v>
      </x:c>
      <x:c r="B38" s="34" t="str">
        <x:v>조기 계약형 전환</x:v>
      </x:c>
      <x:c r="C38" s="34" t="str">
        <x:v>PORT-0095E30DB97C</x:v>
      </x:c>
      <x:c r="D38" s="34" t="str">
        <x:v>DISCLOSED_PATH</x:v>
      </x:c>
      <x:c r="E38" s="34" t="str">
        <x:v>ACCELERATED_15C</x:v>
      </x:c>
      <x:c r="F38" s="34" t="str">
        <x:v>FAIL</x:v>
      </x:c>
      <x:c r="G38" s="34" t="str">
        <x:v>PASS</x:v>
      </x:c>
      <x:c r="H38" s="34" t="str">
        <x:v>PASS</x:v>
      </x:c>
      <x:c r="I38" s="46" t="n">
        <x:v>118.419093</x:v>
      </x:c>
      <x:c r="J38" s="46" t="n">
        <x:v>-17.838805</x:v>
      </x:c>
      <x:c r="K38" s="46" t="n">
        <x:v>-0.473646</x:v>
      </x:c>
      <x:c r="L38" s="68" t="n">
        <x:v>-2112.455667</x:v>
      </x:c>
      <x:c r="M38" s="68" t="n">
        <x:v>-211.836667</x:v>
      </x:c>
      <x:c r="N38" s="68" t="n">
        <x:v>1900.618</x:v>
      </x:c>
      <x:c r="O38" s="68" t="n">
        <x:v>2111.508333</x:v>
      </x:c>
      <x:c r="P38" s="68" t="n">
        <x:v>0</x:v>
      </x:c>
    </x:row>
    <x:row r="39">
      <x:c r="A39" s="34" t="str">
        <x:v>Kobe Steel</x:v>
      </x:c>
      <x:c r="B39" s="34" t="str">
        <x:v>조기 고헤지</x:v>
      </x:c>
      <x:c r="C39" s="34" t="str">
        <x:v>PORT-6AF097B8F6F8</x:v>
      </x:c>
      <x:c r="D39" s="34" t="str">
        <x:v>DISCLOSED_PATH</x:v>
      </x:c>
      <x:c r="E39" s="34" t="str">
        <x:v>ACCELERATED_15C</x:v>
      </x:c>
      <x:c r="F39" s="34" t="str">
        <x:v>FAIL</x:v>
      </x:c>
      <x:c r="G39" s="34" t="str">
        <x:v>PASS</x:v>
      </x:c>
      <x:c r="H39" s="34" t="str">
        <x:v>PASS</x:v>
      </x:c>
      <x:c r="I39" s="46" t="n">
        <x:v>124.953456</x:v>
      </x:c>
      <x:c r="J39" s="46" t="n">
        <x:v>-23.227409</x:v>
      </x:c>
      <x:c r="K39" s="46" t="n">
        <x:v>-0.352784</x:v>
      </x:c>
      <x:c r="L39" s="68" t="n">
        <x:v>-2902.345333</x:v>
      </x:c>
      <x:c r="M39" s="68" t="n">
        <x:v>-889.931</x:v>
      </x:c>
      <x:c r="N39" s="68" t="n">
        <x:v>2012.414</x:v>
      </x:c>
      <x:c r="O39" s="68" t="n">
        <x:v>2908.727667</x:v>
      </x:c>
      <x:c r="P39" s="68" t="n">
        <x:v>0</x:v>
      </x:c>
    </x:row>
    <x:row r="40">
      <x:c r="A40" s="34" t="str">
        <x:v>Kobe Steel</x:v>
      </x:c>
      <x:c r="B40" s="34" t="str">
        <x:v>완전 수소·계약형</x:v>
      </x:c>
      <x:c r="C40" s="34" t="str">
        <x:v>PORT-F194BB679477</x:v>
      </x:c>
      <x:c r="D40" s="34" t="str">
        <x:v>DISCLOSED_PATH</x:v>
      </x:c>
      <x:c r="E40" s="34" t="str">
        <x:v>ACCELERATED_15C</x:v>
      </x:c>
      <x:c r="F40" s="34" t="str">
        <x:v>FAIL</x:v>
      </x:c>
      <x:c r="G40" s="34" t="str">
        <x:v>PASS</x:v>
      </x:c>
      <x:c r="H40" s="34" t="str">
        <x:v>PASS</x:v>
      </x:c>
      <x:c r="I40" s="46" t="n">
        <x:v>131.48782</x:v>
      </x:c>
      <x:c r="J40" s="46" t="n">
        <x:v>-26.08752</x:v>
      </x:c>
      <x:c r="K40" s="46" t="n">
        <x:v>-0.168965</x:v>
      </x:c>
      <x:c r="L40" s="68" t="n">
        <x:v>-3430.191333</x:v>
      </x:c>
      <x:c r="M40" s="68" t="n">
        <x:v>-1308.926333</x:v>
      </x:c>
      <x:c r="N40" s="68" t="n">
        <x:v>2121.265</x:v>
      </x:c>
      <x:c r="O40" s="68" t="n">
        <x:v>3456.476667</x:v>
      </x:c>
      <x:c r="P40" s="68" t="n">
        <x:v>0</x:v>
      </x:c>
    </x:row>
    <x:row r="41">
      <x:c r="A41" s="35" t="str">
        <x:v>Kobe Steel</x:v>
      </x:c>
      <x:c r="B41" s="35" t="str">
        <x:v>Kobe Steel 공시전략 프록시</x:v>
      </x:c>
      <x:c r="C41" s="35" t="str">
        <x:v>PORT-87CB7C6D5202</x:v>
      </x:c>
      <x:c r="D41" s="35" t="str">
        <x:v>DISCLOSED_PATH</x:v>
      </x:c>
      <x:c r="E41" s="35" t="str">
        <x:v>ACCELERATED_15C</x:v>
      </x:c>
      <x:c r="F41" s="35" t="str">
        <x:v>PASS</x:v>
      </x:c>
      <x:c r="G41" s="35" t="str">
        <x:v>FAIL</x:v>
      </x:c>
      <x:c r="H41" s="35" t="str">
        <x:v>PASS</x:v>
      </x:c>
      <x:c r="I41" s="47" t="n">
        <x:v>108.831592</x:v>
      </x:c>
      <x:c r="J41" s="47" t="n">
        <x:v>-11.188503</x:v>
      </x:c>
      <x:c r="K41" s="47" t="n">
        <x:v>1.187994</x:v>
      </x:c>
      <x:c r="L41" s="69" t="n">
        <x:v>-1217.662333</x:v>
      </x:c>
      <x:c r="M41" s="69" t="n">
        <x:v>533.395333</x:v>
      </x:c>
      <x:c r="N41" s="69" t="n">
        <x:v>1751.058</x:v>
      </x:c>
      <x:c r="O41" s="69" t="n">
        <x:v>281.815</x:v>
      </x:c>
      <x:c r="P41" s="69" t="n">
        <x:v>0</x:v>
      </x:c>
    </x:row>
  </x:sheetData>
  <x:mergeCells>
    <x:mergeCell ref="A1:P2"/>
    <x:mergeCell ref="A6:P7"/>
  </x:mergeCells>
  <x:pageMargins left="0.7" right="0.7" top="0.75" bottom="0.75" header="0.3" footer="0.3"/>
</x:worksheet>
</file>

<file path=xl/worksheets/sheet24.xml><?xml version="1.0" encoding="utf-8"?>
<x:worksheet xmlns:x="http://schemas.openxmlformats.org/spreadsheetml/2006/main">
  <x:sheetViews>
    <x:sheetView showGridLines="0" workbookViewId="0"/>
  </x:sheetViews>
  <x:sheetFormatPr defaultRowHeight="15"/>
  <x:cols>
    <x:col min="1" max="1" width="23" hidden="0" customWidth="1"/>
    <x:col min="2" max="2" width="22" hidden="0" customWidth="1"/>
    <x:col min="3" max="3" width="20" hidden="0" customWidth="1"/>
    <x:col min="4" max="4" width="16" hidden="0" customWidth="1"/>
    <x:col min="5" max="5" width="25" hidden="0" customWidth="1"/>
    <x:col min="6" max="6" width="22" hidden="0" customWidth="1"/>
    <x:col min="7" max="7" width="22" hidden="0" customWidth="1"/>
    <x:col min="8" max="8" width="17" hidden="0" customWidth="1"/>
    <x:col min="9" max="9" width="18" hidden="0" customWidth="1"/>
    <x:col min="10" max="10" width="18" hidden="0" customWidth="1"/>
    <x:col min="11" max="11" width="19" hidden="0" customWidth="1"/>
    <x:col min="12" max="12" width="19" hidden="0" customWidth="1"/>
    <x:col min="13" max="13" width="20" hidden="0" customWidth="1"/>
    <x:col min="14" max="14" width="22" hidden="0" customWidth="1"/>
    <x:col min="15" max="15" width="14" hidden="0" customWidth="1"/>
    <x:col min="16" max="16" width="20" hidden="0" customWidth="1"/>
    <x:col min="17" max="17" width="16" hidden="0" customWidth="1"/>
    <x:col min="18" max="18" width="14" hidden="0" customWidth="1"/>
    <x:col min="19" max="19" width="18" hidden="0" customWidth="1"/>
    <x:col min="20" max="20" width="22" hidden="0" customWidth="1"/>
    <x:col min="21" max="21" width="70" hidden="0" customWidth="1"/>
    <x:col min="22" max="22" width="25" hidden="0" customWidth="1"/>
    <x:col min="23" max="23" width="58" hidden="0" customWidth="1"/>
  </x:cols>
  <x:sheetData>
    <x:row r="1" ht="28" customHeight="1">
      <x:c r="A1" s="29" t="str">
        <x:v>candidate_id</x:v>
      </x:c>
      <x:c r="B1" s="29" t="str">
        <x:v>company_id</x:v>
      </x:c>
      <x:c r="C1" s="29" t="str">
        <x:v>company_name</x:v>
      </x:c>
      <x:c r="D1" s="29" t="str">
        <x:v>template_plan_id</x:v>
      </x:c>
      <x:c r="E1" s="29" t="str">
        <x:v>template_plan_name</x:v>
      </x:c>
      <x:c r="F1" s="29" t="str">
        <x:v>physical_portfolio_id</x:v>
      </x:c>
      <x:c r="G1" s="29" t="str">
        <x:v>origin_scenario_id</x:v>
      </x:c>
      <x:c r="H1" s="29" t="str">
        <x:v>facility_action_count</x:v>
      </x:c>
      <x:c r="I1" s="29" t="str">
        <x:v>earliest_transition_year</x:v>
      </x:c>
      <x:c r="J1" s="29" t="str">
        <x:v>latest_transition_year</x:v>
      </x:c>
      <x:c r="K1" s="29" t="str">
        <x:v>bf_reline_capacity_share</x:v>
      </x:c>
      <x:c r="L1" s="29" t="str">
        <x:v>scrap_eaf_capacity_share</x:v>
      </x:c>
      <x:c r="M1" s="29" t="str">
        <x:v>h2_dri_eaf_capacity_share</x:v>
      </x:c>
      <x:c r="N1" s="29" t="str">
        <x:v>renewable_eaf_capacity_share</x:v>
      </x:c>
      <x:c r="O1" s="29" t="str">
        <x:v>ppa_share</x:v>
      </x:c>
      <x:c r="P1" s="29" t="str">
        <x:v>hydrogen_contract_share</x:v>
      </x:c>
      <x:c r="Q1" s="29" t="str">
        <x:v>fixed_epc_share</x:v>
      </x:c>
      <x:c r="R1" s="29" t="str">
        <x:v>ccfd_share</x:v>
      </x:c>
      <x:c r="S1" s="29" t="str">
        <x:v>contract_premium_pct</x:v>
      </x:c>
      <x:c r="T1" s="29" t="str">
        <x:v>common_avoided_emissions_mtco2</x:v>
      </x:c>
      <x:c r="U1" s="29" t="str">
        <x:v>action_signature</x:v>
      </x:c>
      <x:c r="V1" s="29" t="str">
        <x:v>data_status</x:v>
      </x:c>
      <x:c r="W1" s="29" t="str">
        <x:v>source_note</x:v>
      </x:c>
    </x:row>
    <x:row r="2">
      <x:c r="A2" s="34" t="str">
        <x:v>CAND-00B5592B22DA24</x:v>
      </x:c>
      <x:c r="B2" s="34" t="str">
        <x:v>POSCO_KR</x:v>
      </x:c>
      <x:c r="C2" s="34" t="str">
        <x:v>POSCO</x:v>
      </x:c>
      <x:c r="D2" s="34" t="str">
        <x:v>P4</x:v>
      </x:c>
      <x:c r="E2" s="34" t="str">
        <x:v>균형형 전환</x:v>
      </x:c>
      <x:c r="F2" s="34" t="str">
        <x:v>PORT-66E75B54664A</x:v>
      </x:c>
      <x:c r="G2" s="34" t="str">
        <x:v>DISCLOSED_PATH</x:v>
      </x:c>
      <x:c r="H2" s="34" t="n">
        <x:v>5</x:v>
      </x:c>
      <x:c r="I2" s="34" t="n">
        <x:v>2028</x:v>
      </x:c>
      <x:c r="J2" s="34" t="n">
        <x:v>2036</x:v>
      </x:c>
      <x:c r="K2" s="34" t="n">
        <x:v>0</x:v>
      </x:c>
      <x:c r="L2" s="34" t="n">
        <x:v>0.219251</x:v>
      </x:c>
      <x:c r="M2" s="34" t="n">
        <x:v>0.748663</x:v>
      </x:c>
      <x:c r="N2" s="34" t="n">
        <x:v>0.032086</x:v>
      </x:c>
      <x:c r="O2" s="34" t="n">
        <x:v>0.5</x:v>
      </x:c>
      <x:c r="P2" s="34" t="n">
        <x:v>0.45</x:v>
      </x:c>
      <x:c r="Q2" s="34" t="n">
        <x:v>0.5</x:v>
      </x:c>
      <x:c r="R2" s="34" t="n">
        <x:v>0.4</x:v>
      </x:c>
      <x:c r="S2" s="34" t="n">
        <x:v>0.02</x:v>
      </x:c>
      <x:c r="T2" s="34" t="n">
        <x:v>505.60626</x:v>
      </x:c>
      <x:c r="U2" s="34" t="str">
        <x:v>POS-GWY-E:H2_DRI_EAF:2036|POS-GWY-EAF:EAF_RENEWABLE:2032|POS-GWY-W:H2_DRI_EAF:2034|POS-POH-N:SCRAP_EAF:2028|POS-POH-S:H2_DRI_EAF:2031</x:v>
      </x:c>
      <x:c r="V2" s="34" t="str">
        <x:v>model_generated_candidate</x:v>
      </x:c>
      <x:c r="W2" s="34" t="str">
        <x:v>Generated from disclosed-path facility calendar, technology set and template contracting assumptions; not a company-announced project</x:v>
      </x:c>
    </x:row>
    <x:row r="3">
      <x:c r="A3" s="34" t="str">
        <x:v>CAND-014834EFF571CA</x:v>
      </x:c>
      <x:c r="B3" s="34" t="str">
        <x:v>POSCO_KR</x:v>
      </x:c>
      <x:c r="C3" s="34" t="str">
        <x:v>POSCO</x:v>
      </x:c>
      <x:c r="D3" s="34" t="str">
        <x:v>P2</x:v>
      </x:c>
      <x:c r="E3" s="34" t="str">
        <x:v>지연·부분헤지</x:v>
      </x:c>
      <x:c r="F3" s="34" t="str">
        <x:v>PORT-26982033AA0F</x:v>
      </x:c>
      <x:c r="G3" s="34" t="str">
        <x:v>DISCLOSED_PATH</x:v>
      </x:c>
      <x:c r="H3" s="34" t="n">
        <x:v>5</x:v>
      </x:c>
      <x:c r="I3" s="34" t="n">
        <x:v>2029</x:v>
      </x:c>
      <x:c r="J3" s="34" t="n">
        <x:v>2037</x:v>
      </x:c>
      <x:c r="K3" s="34" t="n">
        <x:v>0.770053</x:v>
      </x:c>
      <x:c r="L3" s="34" t="n">
        <x:v>0</x:v>
      </x:c>
      <x:c r="M3" s="34" t="n">
        <x:v>0.197861</x:v>
      </x:c>
      <x:c r="N3" s="34" t="n">
        <x:v>0.032086</x:v>
      </x:c>
      <x:c r="O3" s="34" t="n">
        <x:v>0.15</x:v>
      </x:c>
      <x:c r="P3" s="34" t="n">
        <x:v>0.1</x:v>
      </x:c>
      <x:c r="Q3" s="34" t="n">
        <x:v>0.2</x:v>
      </x:c>
      <x:c r="R3" s="34" t="n">
        <x:v>0.1</x:v>
      </x:c>
      <x:c r="S3" s="34" t="n">
        <x:v>0.01</x:v>
      </x:c>
      <x:c r="T3" s="34" t="n">
        <x:v>150.693902</x:v>
      </x:c>
      <x:c r="U3" s="34" t="str">
        <x:v>POS-GWY-E:BF_RELINE:2037|POS-GWY-EAF:EAF_RENEWABLE:2033|POS-GWY-W:BF_RELINE:2035|POS-POH-N:BF_RELINE:2029|POS-POH-S:H2_DRI_EAF:2032</x:v>
      </x:c>
      <x:c r="V3" s="34" t="str">
        <x:v>model_generated_candidate</x:v>
      </x:c>
      <x:c r="W3" s="34" t="str">
        <x:v>Generated from disclosed-path facility calendar, technology set and template contracting assumptions; not a company-announced project</x:v>
      </x:c>
    </x:row>
    <x:row r="4">
      <x:c r="A4" s="34" t="str">
        <x:v>CAND-022C4C9D65C291</x:v>
      </x:c>
      <x:c r="B4" s="34" t="str">
        <x:v>POSCO_KR</x:v>
      </x:c>
      <x:c r="C4" s="34" t="str">
        <x:v>POSCO</x:v>
      </x:c>
      <x:c r="D4" s="34" t="str">
        <x:v>P2</x:v>
      </x:c>
      <x:c r="E4" s="34" t="str">
        <x:v>지연·부분헤지</x:v>
      </x:c>
      <x:c r="F4" s="34" t="str">
        <x:v>PORT-3D4DF75A91D4</x:v>
      </x:c>
      <x:c r="G4" s="34" t="str">
        <x:v>DISCLOSED_PATH</x:v>
      </x:c>
      <x:c r="H4" s="34" t="n">
        <x:v>5</x:v>
      </x:c>
      <x:c r="I4" s="34" t="n">
        <x:v>2029</x:v>
      </x:c>
      <x:c r="J4" s="34" t="n">
        <x:v>2037</x:v>
      </x:c>
      <x:c r="K4" s="34" t="n">
        <x:v>0.494652</x:v>
      </x:c>
      <x:c r="L4" s="34" t="n">
        <x:v>0</x:v>
      </x:c>
      <x:c r="M4" s="34" t="n">
        <x:v>0.473262</x:v>
      </x:c>
      <x:c r="N4" s="34" t="n">
        <x:v>0.032086</x:v>
      </x:c>
      <x:c r="O4" s="34" t="n">
        <x:v>0.15</x:v>
      </x:c>
      <x:c r="P4" s="34" t="n">
        <x:v>0.1</x:v>
      </x:c>
      <x:c r="Q4" s="34" t="n">
        <x:v>0.2</x:v>
      </x:c>
      <x:c r="R4" s="34" t="n">
        <x:v>0.1</x:v>
      </x:c>
      <x:c r="S4" s="34" t="n">
        <x:v>0.01</x:v>
      </x:c>
      <x:c r="T4" s="34" t="n">
        <x:v>247.593892</x:v>
      </x:c>
      <x:c r="U4" s="34" t="str">
        <x:v>POS-GWY-E:BF_RELINE:2037|POS-GWY-EAF:EAF_RENEWABLE:2033|POS-GWY-W:H2_DRI_EAF:2035|POS-POH-N:BF_RELINE:2029|POS-POH-S:H2_DRI_EAF:2032</x:v>
      </x:c>
      <x:c r="V4" s="34" t="str">
        <x:v>model_generated_candidate</x:v>
      </x:c>
      <x:c r="W4" s="34" t="str">
        <x:v>Generated from disclosed-path facility calendar, technology set and template contracting assumptions; not a company-announced project</x:v>
      </x:c>
    </x:row>
    <x:row r="5">
      <x:c r="A5" s="34" t="str">
        <x:v>CAND-03F5DDC22322D9</x:v>
      </x:c>
      <x:c r="B5" s="34" t="str">
        <x:v>POSCO_KR</x:v>
      </x:c>
      <x:c r="C5" s="34" t="str">
        <x:v>POSCO</x:v>
      </x:c>
      <x:c r="D5" s="34" t="str">
        <x:v>P1</x:v>
      </x:c>
      <x:c r="E5" s="34" t="str">
        <x:v>지연·현물조달</x:v>
      </x:c>
      <x:c r="F5" s="34" t="str">
        <x:v>PORT-2E4122B1D61A</x:v>
      </x:c>
      <x:c r="G5" s="34" t="str">
        <x:v>DISCLOSED_PATH</x:v>
      </x:c>
      <x:c r="H5" s="34" t="n">
        <x:v>5</x:v>
      </x:c>
      <x:c r="I5" s="34" t="n">
        <x:v>2029</x:v>
      </x:c>
      <x:c r="J5" s="34" t="n">
        <x:v>2037</x:v>
      </x:c>
      <x:c r="K5" s="34" t="n">
        <x:v>0.550802</x:v>
      </x:c>
      <x:c r="L5" s="34" t="n">
        <x:v>0</x:v>
      </x:c>
      <x:c r="M5" s="34" t="n">
        <x:v>0.417112</x:v>
      </x:c>
      <x:c r="N5" s="34" t="n">
        <x:v>0.032086</x:v>
      </x:c>
      <x:c r="O5" s="34" t="n">
        <x:v>0</x:v>
      </x:c>
      <x:c r="P5" s="34" t="n">
        <x:v>0</x:v>
      </x:c>
      <x:c r="Q5" s="34" t="n">
        <x:v>0.1</x:v>
      </x:c>
      <x:c r="R5" s="34" t="n">
        <x:v>0</x:v>
      </x:c>
      <x:c r="S5" s="34" t="n">
        <x:v>0</x:v>
      </x:c>
      <x:c r="T5" s="34" t="n">
        <x:v>305.733857</x:v>
      </x:c>
      <x:c r="U5" s="34" t="str">
        <x:v>POS-GWY-E:BF_RELINE:2037|POS-GWY-EAF:EAF_RENEWABLE:2033|POS-GWY-W:BF_RELINE:2035|POS-POH-N:H2_DRI_EAF:2029|POS-POH-S:H2_DRI_EAF:2032</x:v>
      </x:c>
      <x:c r="V5" s="34" t="str">
        <x:v>model_generated_candidate</x:v>
      </x:c>
      <x:c r="W5" s="34" t="str">
        <x:v>Generated from disclosed-path facility calendar, technology set and template contracting assumptions; not a company-announced project</x:v>
      </x:c>
    </x:row>
    <x:row r="6">
      <x:c r="A6" s="34" t="str">
        <x:v>CAND-0792E2DF105A73</x:v>
      </x:c>
      <x:c r="B6" s="34" t="str">
        <x:v>POSCO_KR</x:v>
      </x:c>
      <x:c r="C6" s="34" t="str">
        <x:v>POSCO</x:v>
      </x:c>
      <x:c r="D6" s="34" t="str">
        <x:v>P5</x:v>
      </x:c>
      <x:c r="E6" s="34" t="str">
        <x:v>조기 계약형 전환</x:v>
      </x:c>
      <x:c r="F6" s="34" t="str">
        <x:v>PORT-C07B5FF15869</x:v>
      </x:c>
      <x:c r="G6" s="34" t="str">
        <x:v>DISCLOSED_PATH</x:v>
      </x:c>
      <x:c r="H6" s="34" t="n">
        <x:v>5</x:v>
      </x:c>
      <x:c r="I6" s="34" t="n">
        <x:v>2028</x:v>
      </x:c>
      <x:c r="J6" s="34" t="n">
        <x:v>2036</x:v>
      </x:c>
      <x:c r="K6" s="34" t="n">
        <x:v>0.219251</x:v>
      </x:c>
      <x:c r="L6" s="34" t="n">
        <x:v>0</x:v>
      </x:c>
      <x:c r="M6" s="34" t="n">
        <x:v>0.748663</x:v>
      </x:c>
      <x:c r="N6" s="34" t="n">
        <x:v>0.032086</x:v>
      </x:c>
      <x:c r="O6" s="34" t="n">
        <x:v>0.7</x:v>
      </x:c>
      <x:c r="P6" s="34" t="n">
        <x:v>0.65</x:v>
      </x:c>
      <x:c r="Q6" s="34" t="n">
        <x:v>0.65</x:v>
      </x:c>
      <x:c r="R6" s="34" t="n">
        <x:v>0.6</x:v>
      </x:c>
      <x:c r="S6" s="34" t="n">
        <x:v>0.025</x:v>
      </x:c>
      <x:c r="T6" s="34" t="n">
        <x:v>362.346302</x:v>
      </x:c>
      <x:c r="U6" s="34" t="str">
        <x:v>POS-GWY-E:H2_DRI_EAF:2036|POS-GWY-EAF:EAF_RENEWABLE:2032|POS-GWY-W:H2_DRI_EAF:2034|POS-POH-N:BF_RELINE:2028|POS-POH-S:H2_DRI_EAF:2031</x:v>
      </x:c>
      <x:c r="V6" s="34" t="str">
        <x:v>model_generated_candidate</x:v>
      </x:c>
      <x:c r="W6" s="34" t="str">
        <x:v>Generated from disclosed-path facility calendar, technology set and template contracting assumptions; not a company-announced project</x:v>
      </x:c>
    </x:row>
    <x:row r="7">
      <x:c r="A7" s="34" t="str">
        <x:v>CAND-0A4190A420448F</x:v>
      </x:c>
      <x:c r="B7" s="34" t="str">
        <x:v>POSCO_KR</x:v>
      </x:c>
      <x:c r="C7" s="34" t="str">
        <x:v>POSCO</x:v>
      </x:c>
      <x:c r="D7" s="34" t="str">
        <x:v>P1</x:v>
      </x:c>
      <x:c r="E7" s="34" t="str">
        <x:v>지연·현물조달</x:v>
      </x:c>
      <x:c r="F7" s="34" t="str">
        <x:v>PORT-92AEBEABC7A8</x:v>
      </x:c>
      <x:c r="G7" s="34" t="str">
        <x:v>DISCLOSED_PATH</x:v>
      </x:c>
      <x:c r="H7" s="34" t="n">
        <x:v>5</x:v>
      </x:c>
      <x:c r="I7" s="34" t="n">
        <x:v>2029</x:v>
      </x:c>
      <x:c r="J7" s="34" t="n">
        <x:v>2037</x:v>
      </x:c>
      <x:c r="K7" s="34" t="n">
        <x:v>0.494652</x:v>
      </x:c>
      <x:c r="L7" s="34" t="n">
        <x:v>0.197861</x:v>
      </x:c>
      <x:c r="M7" s="34" t="n">
        <x:v>0.275401</x:v>
      </x:c>
      <x:c r="N7" s="34" t="n">
        <x:v>0.032086</x:v>
      </x:c>
      <x:c r="O7" s="34" t="n">
        <x:v>0</x:v>
      </x:c>
      <x:c r="P7" s="34" t="n">
        <x:v>0</x:v>
      </x:c>
      <x:c r="Q7" s="34" t="n">
        <x:v>0.1</x:v>
      </x:c>
      <x:c r="R7" s="34" t="n">
        <x:v>0</x:v>
      </x:c>
      <x:c r="S7" s="34" t="n">
        <x:v>0</x:v>
      </x:c>
      <x:c r="T7" s="34" t="n">
        <x:v>232.293891</x:v>
      </x:c>
      <x:c r="U7" s="34" t="str">
        <x:v>POS-GWY-E:BF_RELINE:2037|POS-GWY-EAF:EAF_RENEWABLE:2033|POS-GWY-W:H2_DRI_EAF:2035|POS-POH-N:BF_RELINE:2029|POS-POH-S:SCRAP_EAF:2032</x:v>
      </x:c>
      <x:c r="V7" s="34" t="str">
        <x:v>model_generated_candidate</x:v>
      </x:c>
      <x:c r="W7" s="34" t="str">
        <x:v>Generated from disclosed-path facility calendar, technology set and template contracting assumptions; not a company-announced project</x:v>
      </x:c>
    </x:row>
    <x:row r="8">
      <x:c r="A8" s="34" t="str">
        <x:v>CAND-0B0DF7CC24CCF4</x:v>
      </x:c>
      <x:c r="B8" s="34" t="str">
        <x:v>POSCO_KR</x:v>
      </x:c>
      <x:c r="C8" s="34" t="str">
        <x:v>POSCO</x:v>
      </x:c>
      <x:c r="D8" s="34" t="str">
        <x:v>P3</x:v>
      </x:c>
      <x:c r="E8" s="34" t="str">
        <x:v>균형형 라이트헤지</x:v>
      </x:c>
      <x:c r="F8" s="34" t="str">
        <x:v>PORT-7DC46150E6EE</x:v>
      </x:c>
      <x:c r="G8" s="34" t="str">
        <x:v>DISCLOSED_PATH</x:v>
      </x:c>
      <x:c r="H8" s="34" t="n">
        <x:v>5</x:v>
      </x:c>
      <x:c r="I8" s="34" t="n">
        <x:v>2029</x:v>
      </x:c>
      <x:c r="J8" s="34" t="n">
        <x:v>2037</x:v>
      </x:c>
      <x:c r="K8" s="34" t="n">
        <x:v>0.275401</x:v>
      </x:c>
      <x:c r="L8" s="34" t="n">
        <x:v>0.275401</x:v>
      </x:c>
      <x:c r="M8" s="34" t="n">
        <x:v>0.417112</x:v>
      </x:c>
      <x:c r="N8" s="34" t="n">
        <x:v>0.032086</x:v>
      </x:c>
      <x:c r="O8" s="34" t="n">
        <x:v>0.3</x:v>
      </x:c>
      <x:c r="P8" s="34" t="n">
        <x:v>0.25</x:v>
      </x:c>
      <x:c r="Q8" s="34" t="n">
        <x:v>0.35</x:v>
      </x:c>
      <x:c r="R8" s="34" t="n">
        <x:v>0.25</x:v>
      </x:c>
      <x:c r="S8" s="34" t="n">
        <x:v>0.015</x:v>
      </x:c>
      <x:c r="T8" s="34" t="n">
        <x:v>388.383849</x:v>
      </x:c>
      <x:c r="U8" s="34" t="str">
        <x:v>POS-GWY-E:BF_RELINE:2037|POS-GWY-EAF:EAF_RENEWABLE:2033|POS-GWY-W:SCRAP_EAF:2035|POS-POH-N:H2_DRI_EAF:2029|POS-POH-S:H2_DRI_EAF:2032</x:v>
      </x:c>
      <x:c r="V8" s="34" t="str">
        <x:v>model_generated_candidate</x:v>
      </x:c>
      <x:c r="W8" s="34" t="str">
        <x:v>Generated from disclosed-path facility calendar, technology set and template contracting assumptions; not a company-announced project</x:v>
      </x:c>
    </x:row>
    <x:row r="9">
      <x:c r="A9" s="34" t="str">
        <x:v>CAND-0BE357EA5504BE</x:v>
      </x:c>
      <x:c r="B9" s="34" t="str">
        <x:v>POSCO_KR</x:v>
      </x:c>
      <x:c r="C9" s="34" t="str">
        <x:v>POSCO</x:v>
      </x:c>
      <x:c r="D9" s="34" t="str">
        <x:v>P2</x:v>
      </x:c>
      <x:c r="E9" s="34" t="str">
        <x:v>지연·부분헤지</x:v>
      </x:c>
      <x:c r="F9" s="34" t="str">
        <x:v>PORT-4FCB78A64B21</x:v>
      </x:c>
      <x:c r="G9" s="34" t="str">
        <x:v>DISCLOSED_PATH</x:v>
      </x:c>
      <x:c r="H9" s="34" t="n">
        <x:v>5</x:v>
      </x:c>
      <x:c r="I9" s="34" t="n">
        <x:v>2029</x:v>
      </x:c>
      <x:c r="J9" s="34" t="n">
        <x:v>2037</x:v>
      </x:c>
      <x:c r="K9" s="34" t="n">
        <x:v>0.219251</x:v>
      </x:c>
      <x:c r="L9" s="34" t="n">
        <x:v>0.473262</x:v>
      </x:c>
      <x:c r="M9" s="34" t="n">
        <x:v>0.275401</x:v>
      </x:c>
      <x:c r="N9" s="34" t="n">
        <x:v>0.032086</x:v>
      </x:c>
      <x:c r="O9" s="34" t="n">
        <x:v>0.15</x:v>
      </x:c>
      <x:c r="P9" s="34" t="n">
        <x:v>0.1</x:v>
      </x:c>
      <x:c r="Q9" s="34" t="n">
        <x:v>0.2</x:v>
      </x:c>
      <x:c r="R9" s="34" t="n">
        <x:v>0.1</x:v>
      </x:c>
      <x:c r="S9" s="34" t="n">
        <x:v>0.01</x:v>
      </x:c>
      <x:c r="T9" s="34" t="n">
        <x:v>282.664267</x:v>
      </x:c>
      <x:c r="U9" s="34" t="str">
        <x:v>POS-GWY-E:H2_DRI_EAF:2037|POS-GWY-EAF:EAF_RENEWABLE:2033|POS-GWY-W:SCRAP_EAF:2035|POS-POH-N:BF_RELINE:2029|POS-POH-S:SCRAP_EAF:2032</x:v>
      </x:c>
      <x:c r="V9" s="34" t="str">
        <x:v>model_generated_candidate</x:v>
      </x:c>
      <x:c r="W9" s="34" t="str">
        <x:v>Generated from disclosed-path facility calendar, technology set and template contracting assumptions; not a company-announced project</x:v>
      </x:c>
    </x:row>
    <x:row r="10">
      <x:c r="A10" s="34" t="str">
        <x:v>CAND-0CC63FAC54D3C0</x:v>
      </x:c>
      <x:c r="B10" s="34" t="str">
        <x:v>POSCO_KR</x:v>
      </x:c>
      <x:c r="C10" s="34" t="str">
        <x:v>POSCO</x:v>
      </x:c>
      <x:c r="D10" s="34" t="str">
        <x:v>P2</x:v>
      </x:c>
      <x:c r="E10" s="34" t="str">
        <x:v>지연·부분헤지</x:v>
      </x:c>
      <x:c r="F10" s="34" t="str">
        <x:v>PORT-A620DB8F058C</x:v>
      </x:c>
      <x:c r="G10" s="34" t="str">
        <x:v>DISCLOSED_PATH</x:v>
      </x:c>
      <x:c r="H10" s="34" t="n">
        <x:v>5</x:v>
      </x:c>
      <x:c r="I10" s="34" t="n">
        <x:v>2029</x:v>
      </x:c>
      <x:c r="J10" s="34" t="n">
        <x:v>2037</x:v>
      </x:c>
      <x:c r="K10" s="34" t="n">
        <x:v>0</x:v>
      </x:c>
      <x:c r="L10" s="34" t="n">
        <x:v>0.494652</x:v>
      </x:c>
      <x:c r="M10" s="34" t="n">
        <x:v>0.473262</x:v>
      </x:c>
      <x:c r="N10" s="34" t="n">
        <x:v>0.032086</x:v>
      </x:c>
      <x:c r="O10" s="34" t="n">
        <x:v>0.15</x:v>
      </x:c>
      <x:c r="P10" s="34" t="n">
        <x:v>0.1</x:v>
      </x:c>
      <x:c r="Q10" s="34" t="n">
        <x:v>0.2</x:v>
      </x:c>
      <x:c r="R10" s="34" t="n">
        <x:v>0.1</x:v>
      </x:c>
      <x:c r="S10" s="34" t="n">
        <x:v>0.01</x:v>
      </x:c>
      <x:c r="T10" s="34" t="n">
        <x:v>434.951232</x:v>
      </x:c>
      <x:c r="U10" s="34" t="str">
        <x:v>POS-GWY-E:SCRAP_EAF:2037|POS-GWY-EAF:EAF_RENEWABLE:2033|POS-GWY-W:H2_DRI_EAF:2035|POS-POH-N:SCRAP_EAF:2029|POS-POH-S:H2_DRI_EAF:2032</x:v>
      </x:c>
      <x:c r="V10" s="34" t="str">
        <x:v>model_generated_candidate</x:v>
      </x:c>
      <x:c r="W10" s="34" t="str">
        <x:v>Generated from disclosed-path facility calendar, technology set and template contracting assumptions; not a company-announced project</x:v>
      </x:c>
    </x:row>
    <x:row r="11">
      <x:c r="A11" s="34" t="str">
        <x:v>CAND-0CC93D992FF190</x:v>
      </x:c>
      <x:c r="B11" s="34" t="str">
        <x:v>POSCO_KR</x:v>
      </x:c>
      <x:c r="C11" s="34" t="str">
        <x:v>POSCO</x:v>
      </x:c>
      <x:c r="D11" s="34" t="str">
        <x:v>P3</x:v>
      </x:c>
      <x:c r="E11" s="34" t="str">
        <x:v>균형형 라이트헤지</x:v>
      </x:c>
      <x:c r="F11" s="34" t="str">
        <x:v>PORT-531039DEA968</x:v>
      </x:c>
      <x:c r="G11" s="34" t="str">
        <x:v>DISCLOSED_PATH</x:v>
      </x:c>
      <x:c r="H11" s="34" t="n">
        <x:v>5</x:v>
      </x:c>
      <x:c r="I11" s="34" t="n">
        <x:v>2029</x:v>
      </x:c>
      <x:c r="J11" s="34" t="n">
        <x:v>2037</x:v>
      </x:c>
      <x:c r="K11" s="34" t="n">
        <x:v>0.219251</x:v>
      </x:c>
      <x:c r="L11" s="34" t="n">
        <x:v>0.275401</x:v>
      </x:c>
      <x:c r="M11" s="34" t="n">
        <x:v>0.473262</x:v>
      </x:c>
      <x:c r="N11" s="34" t="n">
        <x:v>0.032086</x:v>
      </x:c>
      <x:c r="O11" s="34" t="n">
        <x:v>0.3</x:v>
      </x:c>
      <x:c r="P11" s="34" t="n">
        <x:v>0.25</x:v>
      </x:c>
      <x:c r="Q11" s="34" t="n">
        <x:v>0.35</x:v>
      </x:c>
      <x:c r="R11" s="34" t="n">
        <x:v>0.25</x:v>
      </x:c>
      <x:c r="S11" s="34" t="n">
        <x:v>0.015</x:v>
      </x:c>
      <x:c r="T11" s="34" t="n">
        <x:v>297.964268</x:v>
      </x:c>
      <x:c r="U11" s="34" t="str">
        <x:v>POS-GWY-E:H2_DRI_EAF:2037|POS-GWY-EAF:EAF_RENEWABLE:2033|POS-GWY-W:SCRAP_EAF:2035|POS-POH-N:BF_RELINE:2029|POS-POH-S:H2_DRI_EAF:2032</x:v>
      </x:c>
      <x:c r="V11" s="34" t="str">
        <x:v>model_generated_candidate</x:v>
      </x:c>
      <x:c r="W11" s="34" t="str">
        <x:v>Generated from disclosed-path facility calendar, technology set and template contracting assumptions; not a company-announced project</x:v>
      </x:c>
    </x:row>
    <x:row r="12">
      <x:c r="A12" s="34" t="str">
        <x:v>CAND-0D9DBFAFAC1A93</x:v>
      </x:c>
      <x:c r="B12" s="34" t="str">
        <x:v>POSCO_KR</x:v>
      </x:c>
      <x:c r="C12" s="34" t="str">
        <x:v>POSCO</x:v>
      </x:c>
      <x:c r="D12" s="34" t="str">
        <x:v>P2</x:v>
      </x:c>
      <x:c r="E12" s="34" t="str">
        <x:v>지연·부분헤지</x:v>
      </x:c>
      <x:c r="F12" s="34" t="str">
        <x:v>PORT-1CB3B12B9B60</x:v>
      </x:c>
      <x:c r="G12" s="34" t="str">
        <x:v>DISCLOSED_PATH</x:v>
      </x:c>
      <x:c r="H12" s="34" t="n">
        <x:v>5</x:v>
      </x:c>
      <x:c r="I12" s="34" t="n">
        <x:v>2029</x:v>
      </x:c>
      <x:c r="J12" s="34" t="n">
        <x:v>2037</x:v>
      </x:c>
      <x:c r="K12" s="34" t="n">
        <x:v>0</x:v>
      </x:c>
      <x:c r="L12" s="34" t="n">
        <x:v>0.275401</x:v>
      </x:c>
      <x:c r="M12" s="34" t="n">
        <x:v>0.692513</x:v>
      </x:c>
      <x:c r="N12" s="34" t="n">
        <x:v>0.032086</x:v>
      </x:c>
      <x:c r="O12" s="34" t="n">
        <x:v>0.15</x:v>
      </x:c>
      <x:c r="P12" s="34" t="n">
        <x:v>0.1</x:v>
      </x:c>
      <x:c r="Q12" s="34" t="n">
        <x:v>0.2</x:v>
      </x:c>
      <x:c r="R12" s="34" t="n">
        <x:v>0.1</x:v>
      </x:c>
      <x:c r="S12" s="34" t="n">
        <x:v>0.01</x:v>
      </x:c>
      <x:c r="T12" s="34" t="n">
        <x:v>453.004224</x:v>
      </x:c>
      <x:c r="U12" s="34" t="str">
        <x:v>POS-GWY-E:H2_DRI_EAF:2037|POS-GWY-EAF:EAF_RENEWABLE:2033|POS-GWY-W:SCRAP_EAF:2035|POS-POH-N:H2_DRI_EAF:2029|POS-POH-S:H2_DRI_EAF:2032</x:v>
      </x:c>
      <x:c r="V12" s="34" t="str">
        <x:v>model_generated_candidate</x:v>
      </x:c>
      <x:c r="W12" s="34" t="str">
        <x:v>Generated from disclosed-path facility calendar, technology set and template contracting assumptions; not a company-announced project</x:v>
      </x:c>
    </x:row>
    <x:row r="13">
      <x:c r="A13" s="34" t="str">
        <x:v>CAND-0F7926E25C7DDC</x:v>
      </x:c>
      <x:c r="B13" s="34" t="str">
        <x:v>POSCO_KR</x:v>
      </x:c>
      <x:c r="C13" s="34" t="str">
        <x:v>POSCO</x:v>
      </x:c>
      <x:c r="D13" s="34" t="str">
        <x:v>P2</x:v>
      </x:c>
      <x:c r="E13" s="34" t="str">
        <x:v>지연·부분헤지</x:v>
      </x:c>
      <x:c r="F13" s="34" t="str">
        <x:v>PORT-B0374F687394</x:v>
      </x:c>
      <x:c r="G13" s="34" t="str">
        <x:v>DISCLOSED_PATH</x:v>
      </x:c>
      <x:c r="H13" s="34" t="n">
        <x:v>5</x:v>
      </x:c>
      <x:c r="I13" s="34" t="n">
        <x:v>2029</x:v>
      </x:c>
      <x:c r="J13" s="34" t="n">
        <x:v>2037</x:v>
      </x:c>
      <x:c r="K13" s="34" t="n">
        <x:v>0.275401</x:v>
      </x:c>
      <x:c r="L13" s="34" t="n">
        <x:v>0.494652</x:v>
      </x:c>
      <x:c r="M13" s="34" t="n">
        <x:v>0.197861</x:v>
      </x:c>
      <x:c r="N13" s="34" t="n">
        <x:v>0.032086</x:v>
      </x:c>
      <x:c r="O13" s="34" t="n">
        <x:v>0.15</x:v>
      </x:c>
      <x:c r="P13" s="34" t="n">
        <x:v>0.1</x:v>
      </x:c>
      <x:c r="Q13" s="34" t="n">
        <x:v>0.2</x:v>
      </x:c>
      <x:c r="R13" s="34" t="n">
        <x:v>0.1</x:v>
      </x:c>
      <x:c r="S13" s="34" t="n">
        <x:v>0.01</x:v>
      </x:c>
      <x:c r="T13" s="34" t="n">
        <x:v>338.051243</x:v>
      </x:c>
      <x:c r="U13" s="34" t="str">
        <x:v>POS-GWY-E:SCRAP_EAF:2037|POS-GWY-EAF:EAF_RENEWABLE:2033|POS-GWY-W:BF_RELINE:2035|POS-POH-N:SCRAP_EAF:2029|POS-POH-S:H2_DRI_EAF:2032</x:v>
      </x:c>
      <x:c r="V13" s="34" t="str">
        <x:v>model_generated_candidate</x:v>
      </x:c>
      <x:c r="W13" s="34" t="str">
        <x:v>Generated from disclosed-path facility calendar, technology set and template contracting assumptions; not a company-announced project</x:v>
      </x:c>
    </x:row>
    <x:row r="14">
      <x:c r="A14" s="34" t="str">
        <x:v>CAND-11A200804B1E4C</x:v>
      </x:c>
      <x:c r="B14" s="34" t="str">
        <x:v>POSCO_KR</x:v>
      </x:c>
      <x:c r="C14" s="34" t="str">
        <x:v>POSCO</x:v>
      </x:c>
      <x:c r="D14" s="34" t="str">
        <x:v>P1</x:v>
      </x:c>
      <x:c r="E14" s="34" t="str">
        <x:v>지연·현물조달</x:v>
      </x:c>
      <x:c r="F14" s="34" t="str">
        <x:v>PORT-9341B5E9E1AE</x:v>
      </x:c>
      <x:c r="G14" s="34" t="str">
        <x:v>DISCLOSED_PATH</x:v>
      </x:c>
      <x:c r="H14" s="34" t="n">
        <x:v>5</x:v>
      </x:c>
      <x:c r="I14" s="34" t="n">
        <x:v>2029</x:v>
      </x:c>
      <x:c r="J14" s="34" t="n">
        <x:v>2037</x:v>
      </x:c>
      <x:c r="K14" s="34" t="n">
        <x:v>0.494652</x:v>
      </x:c>
      <x:c r="L14" s="34" t="n">
        <x:v>0.473262</x:v>
      </x:c>
      <x:c r="M14" s="34" t="n">
        <x:v>0</x:v>
      </x:c>
      <x:c r="N14" s="34" t="n">
        <x:v>0.032086</x:v>
      </x:c>
      <x:c r="O14" s="34" t="n">
        <x:v>0</x:v>
      </x:c>
      <x:c r="P14" s="34" t="n">
        <x:v>0</x:v>
      </x:c>
      <x:c r="Q14" s="34" t="n">
        <x:v>0.1</x:v>
      </x:c>
      <x:c r="R14" s="34" t="n">
        <x:v>0</x:v>
      </x:c>
      <x:c r="S14" s="34" t="n">
        <x:v>0</x:v>
      </x:c>
      <x:c r="T14" s="34" t="n">
        <x:v>190.511279</x:v>
      </x:c>
      <x:c r="U14" s="34" t="str">
        <x:v>POS-GWY-E:SCRAP_EAF:2037|POS-GWY-EAF:EAF_RENEWABLE:2033|POS-GWY-W:BF_RELINE:2035|POS-POH-N:BF_RELINE:2029|POS-POH-S:SCRAP_EAF:2032</x:v>
      </x:c>
      <x:c r="V14" s="34" t="str">
        <x:v>model_generated_candidate</x:v>
      </x:c>
      <x:c r="W14" s="34" t="str">
        <x:v>Generated from disclosed-path facility calendar, technology set and template contracting assumptions; not a company-announced project</x:v>
      </x:c>
    </x:row>
    <x:row r="15">
      <x:c r="A15" s="34" t="str">
        <x:v>CAND-1205E8D72A4654</x:v>
      </x:c>
      <x:c r="B15" s="34" t="str">
        <x:v>POSCO_KR</x:v>
      </x:c>
      <x:c r="C15" s="34" t="str">
        <x:v>POSCO</x:v>
      </x:c>
      <x:c r="D15" s="34" t="str">
        <x:v>P3</x:v>
      </x:c>
      <x:c r="E15" s="34" t="str">
        <x:v>균형형 라이트헤지</x:v>
      </x:c>
      <x:c r="F15" s="34" t="str">
        <x:v>PORT-A620DB8F058C</x:v>
      </x:c>
      <x:c r="G15" s="34" t="str">
        <x:v>DISCLOSED_PATH</x:v>
      </x:c>
      <x:c r="H15" s="34" t="n">
        <x:v>5</x:v>
      </x:c>
      <x:c r="I15" s="34" t="n">
        <x:v>2029</x:v>
      </x:c>
      <x:c r="J15" s="34" t="n">
        <x:v>2037</x:v>
      </x:c>
      <x:c r="K15" s="34" t="n">
        <x:v>0</x:v>
      </x:c>
      <x:c r="L15" s="34" t="n">
        <x:v>0.494652</x:v>
      </x:c>
      <x:c r="M15" s="34" t="n">
        <x:v>0.473262</x:v>
      </x:c>
      <x:c r="N15" s="34" t="n">
        <x:v>0.032086</x:v>
      </x:c>
      <x:c r="O15" s="34" t="n">
        <x:v>0.3</x:v>
      </x:c>
      <x:c r="P15" s="34" t="n">
        <x:v>0.25</x:v>
      </x:c>
      <x:c r="Q15" s="34" t="n">
        <x:v>0.35</x:v>
      </x:c>
      <x:c r="R15" s="34" t="n">
        <x:v>0.25</x:v>
      </x:c>
      <x:c r="S15" s="34" t="n">
        <x:v>0.015</x:v>
      </x:c>
      <x:c r="T15" s="34" t="n">
        <x:v>434.951232</x:v>
      </x:c>
      <x:c r="U15" s="34" t="str">
        <x:v>POS-GWY-E:SCRAP_EAF:2037|POS-GWY-EAF:EAF_RENEWABLE:2033|POS-GWY-W:H2_DRI_EAF:2035|POS-POH-N:SCRAP_EAF:2029|POS-POH-S:H2_DRI_EAF:2032</x:v>
      </x:c>
      <x:c r="V15" s="34" t="str">
        <x:v>model_generated_candidate</x:v>
      </x:c>
      <x:c r="W15" s="34" t="str">
        <x:v>Generated from disclosed-path facility calendar, technology set and template contracting assumptions; not a company-announced project</x:v>
      </x:c>
    </x:row>
    <x:row r="16">
      <x:c r="A16" s="34" t="str">
        <x:v>CAND-12C017BA38B922</x:v>
      </x:c>
      <x:c r="B16" s="34" t="str">
        <x:v>POSCO_KR</x:v>
      </x:c>
      <x:c r="C16" s="34" t="str">
        <x:v>POSCO</x:v>
      </x:c>
      <x:c r="D16" s="34" t="str">
        <x:v>P1</x:v>
      </x:c>
      <x:c r="E16" s="34" t="str">
        <x:v>지연·현물조달</x:v>
      </x:c>
      <x:c r="F16" s="34" t="str">
        <x:v>PORT-D42DEB3BDB60</x:v>
      </x:c>
      <x:c r="G16" s="34" t="str">
        <x:v>DISCLOSED_PATH</x:v>
      </x:c>
      <x:c r="H16" s="34" t="n">
        <x:v>5</x:v>
      </x:c>
      <x:c r="I16" s="34" t="n">
        <x:v>2029</x:v>
      </x:c>
      <x:c r="J16" s="34" t="n">
        <x:v>2037</x:v>
      </x:c>
      <x:c r="K16" s="34" t="n">
        <x:v>0.275401</x:v>
      </x:c>
      <x:c r="L16" s="34" t="n">
        <x:v>0.417112</x:v>
      </x:c>
      <x:c r="M16" s="34" t="n">
        <x:v>0.275401</x:v>
      </x:c>
      <x:c r="N16" s="34" t="n">
        <x:v>0.032086</x:v>
      </x:c>
      <x:c r="O16" s="34" t="n">
        <x:v>0</x:v>
      </x:c>
      <x:c r="P16" s="34" t="n">
        <x:v>0</x:v>
      </x:c>
      <x:c r="Q16" s="34" t="n">
        <x:v>0.1</x:v>
      </x:c>
      <x:c r="R16" s="34" t="n">
        <x:v>0</x:v>
      </x:c>
      <x:c r="S16" s="34" t="n">
        <x:v>0</x:v>
      </x:c>
      <x:c r="T16" s="34" t="n">
        <x:v>364.533852</x:v>
      </x:c>
      <x:c r="U16" s="34" t="str">
        <x:v>POS-GWY-E:BF_RELINE:2037|POS-GWY-EAF:EAF_RENEWABLE:2033|POS-GWY-W:H2_DRI_EAF:2035|POS-POH-N:SCRAP_EAF:2029|POS-POH-S:SCRAP_EAF:2032</x:v>
      </x:c>
      <x:c r="V16" s="34" t="str">
        <x:v>model_generated_candidate</x:v>
      </x:c>
      <x:c r="W16" s="34" t="str">
        <x:v>Generated from disclosed-path facility calendar, technology set and template contracting assumptions; not a company-announced project</x:v>
      </x:c>
    </x:row>
    <x:row r="17">
      <x:c r="A17" s="34" t="str">
        <x:v>CAND-13A3A87B46A419</x:v>
      </x:c>
      <x:c r="B17" s="34" t="str">
        <x:v>POSCO_KR</x:v>
      </x:c>
      <x:c r="C17" s="34" t="str">
        <x:v>POSCO</x:v>
      </x:c>
      <x:c r="D17" s="34" t="str">
        <x:v>P4</x:v>
      </x:c>
      <x:c r="E17" s="34" t="str">
        <x:v>균형형 전환</x:v>
      </x:c>
      <x:c r="F17" s="34" t="str">
        <x:v>PORT-C9ABA0ED93B4</x:v>
      </x:c>
      <x:c r="G17" s="34" t="str">
        <x:v>DISCLOSED_PATH</x:v>
      </x:c>
      <x:c r="H17" s="34" t="n">
        <x:v>5</x:v>
      </x:c>
      <x:c r="I17" s="34" t="n">
        <x:v>2028</x:v>
      </x:c>
      <x:c r="J17" s="34" t="n">
        <x:v>2036</x:v>
      </x:c>
      <x:c r="K17" s="34" t="n">
        <x:v>0</x:v>
      </x:c>
      <x:c r="L17" s="34" t="n">
        <x:v>0.473262</x:v>
      </x:c>
      <x:c r="M17" s="34" t="n">
        <x:v>0.494652</x:v>
      </x:c>
      <x:c r="N17" s="34" t="n">
        <x:v>0.032086</x:v>
      </x:c>
      <x:c r="O17" s="34" t="n">
        <x:v>0.5</x:v>
      </x:c>
      <x:c r="P17" s="34" t="n">
        <x:v>0.45</x:v>
      </x:c>
      <x:c r="Q17" s="34" t="n">
        <x:v>0.5</x:v>
      </x:c>
      <x:c r="R17" s="34" t="n">
        <x:v>0.4</x:v>
      </x:c>
      <x:c r="S17" s="34" t="n">
        <x:v>0.02</x:v>
      </x:c>
      <x:c r="T17" s="34" t="n">
        <x:v>496.681253</x:v>
      </x:c>
      <x:c r="U17" s="34" t="str">
        <x:v>POS-GWY-E:H2_DRI_EAF:2036|POS-GWY-EAF:EAF_RENEWABLE:2032|POS-GWY-W:SCRAP_EAF:2034|POS-POH-N:H2_DRI_EAF:2028|POS-POH-S:SCRAP_EAF:2031</x:v>
      </x:c>
      <x:c r="V17" s="34" t="str">
        <x:v>model_generated_candidate</x:v>
      </x:c>
      <x:c r="W17" s="34" t="str">
        <x:v>Generated from disclosed-path facility calendar, technology set and template contracting assumptions; not a company-announced project</x:v>
      </x:c>
    </x:row>
    <x:row r="18">
      <x:c r="A18" s="34" t="str">
        <x:v>CAND-1452ABFC21BA3C</x:v>
      </x:c>
      <x:c r="B18" s="34" t="str">
        <x:v>POSCO_KR</x:v>
      </x:c>
      <x:c r="C18" s="34" t="str">
        <x:v>POSCO</x:v>
      </x:c>
      <x:c r="D18" s="34" t="str">
        <x:v>P3</x:v>
      </x:c>
      <x:c r="E18" s="34" t="str">
        <x:v>균형형 라이트헤지</x:v>
      </x:c>
      <x:c r="F18" s="34" t="str">
        <x:v>PORT-2E4122B1D61A</x:v>
      </x:c>
      <x:c r="G18" s="34" t="str">
        <x:v>DISCLOSED_PATH</x:v>
      </x:c>
      <x:c r="H18" s="34" t="n">
        <x:v>5</x:v>
      </x:c>
      <x:c r="I18" s="34" t="n">
        <x:v>2029</x:v>
      </x:c>
      <x:c r="J18" s="34" t="n">
        <x:v>2037</x:v>
      </x:c>
      <x:c r="K18" s="34" t="n">
        <x:v>0.550802</x:v>
      </x:c>
      <x:c r="L18" s="34" t="n">
        <x:v>0</x:v>
      </x:c>
      <x:c r="M18" s="34" t="n">
        <x:v>0.417112</x:v>
      </x:c>
      <x:c r="N18" s="34" t="n">
        <x:v>0.032086</x:v>
      </x:c>
      <x:c r="O18" s="34" t="n">
        <x:v>0.3</x:v>
      </x:c>
      <x:c r="P18" s="34" t="n">
        <x:v>0.25</x:v>
      </x:c>
      <x:c r="Q18" s="34" t="n">
        <x:v>0.35</x:v>
      </x:c>
      <x:c r="R18" s="34" t="n">
        <x:v>0.25</x:v>
      </x:c>
      <x:c r="S18" s="34" t="n">
        <x:v>0.015</x:v>
      </x:c>
      <x:c r="T18" s="34" t="n">
        <x:v>305.733857</x:v>
      </x:c>
      <x:c r="U18" s="34" t="str">
        <x:v>POS-GWY-E:BF_RELINE:2037|POS-GWY-EAF:EAF_RENEWABLE:2033|POS-GWY-W:BF_RELINE:2035|POS-POH-N:H2_DRI_EAF:2029|POS-POH-S:H2_DRI_EAF:2032</x:v>
      </x:c>
      <x:c r="V18" s="34" t="str">
        <x:v>model_generated_candidate</x:v>
      </x:c>
      <x:c r="W18" s="34" t="str">
        <x:v>Generated from disclosed-path facility calendar, technology set and template contracting assumptions; not a company-announced project</x:v>
      </x:c>
    </x:row>
    <x:row r="19">
      <x:c r="A19" s="34" t="str">
        <x:v>CAND-149176B54DA5B1</x:v>
      </x:c>
      <x:c r="B19" s="34" t="str">
        <x:v>POSCO_KR</x:v>
      </x:c>
      <x:c r="C19" s="34" t="str">
        <x:v>POSCO</x:v>
      </x:c>
      <x:c r="D19" s="34" t="str">
        <x:v>P2</x:v>
      </x:c>
      <x:c r="E19" s="34" t="str">
        <x:v>지연·부분헤지</x:v>
      </x:c>
      <x:c r="F19" s="34" t="str">
        <x:v>PORT-58F96F629E32</x:v>
      </x:c>
      <x:c r="G19" s="34" t="str">
        <x:v>DISCLOSED_PATH</x:v>
      </x:c>
      <x:c r="H19" s="34" t="n">
        <x:v>5</x:v>
      </x:c>
      <x:c r="I19" s="34" t="n">
        <x:v>2029</x:v>
      </x:c>
      <x:c r="J19" s="34" t="n">
        <x:v>2037</x:v>
      </x:c>
      <x:c r="K19" s="34" t="n">
        <x:v>0.473262</x:v>
      </x:c>
      <x:c r="L19" s="34" t="n">
        <x:v>0.219251</x:v>
      </x:c>
      <x:c r="M19" s="34" t="n">
        <x:v>0.275401</x:v>
      </x:c>
      <x:c r="N19" s="34" t="n">
        <x:v>0.032086</x:v>
      </x:c>
      <x:c r="O19" s="34" t="n">
        <x:v>0.15</x:v>
      </x:c>
      <x:c r="P19" s="34" t="n">
        <x:v>0.1</x:v>
      </x:c>
      <x:c r="Q19" s="34" t="n">
        <x:v>0.2</x:v>
      </x:c>
      <x:c r="R19" s="34" t="n">
        <x:v>0.1</x:v>
      </x:c>
      <x:c r="S19" s="34" t="n">
        <x:v>0.01</x:v>
      </x:c>
      <x:c r="T19" s="34" t="n">
        <x:v>243.51423</x:v>
      </x:c>
      <x:c r="U19" s="34" t="str">
        <x:v>POS-GWY-E:H2_DRI_EAF:2037|POS-GWY-EAF:EAF_RENEWABLE:2033|POS-GWY-W:BF_RELINE:2035|POS-POH-N:SCRAP_EAF:2029|POS-POH-S:BF_RELINE:2032</x:v>
      </x:c>
      <x:c r="V19" s="34" t="str">
        <x:v>model_generated_candidate</x:v>
      </x:c>
      <x:c r="W19" s="34" t="str">
        <x:v>Generated from disclosed-path facility calendar, technology set and template contracting assumptions; not a company-announced project</x:v>
      </x:c>
    </x:row>
    <x:row r="20">
      <x:c r="A20" s="34" t="str">
        <x:v>CAND-16671384F832DB</x:v>
      </x:c>
      <x:c r="B20" s="34" t="str">
        <x:v>POSCO_KR</x:v>
      </x:c>
      <x:c r="C20" s="34" t="str">
        <x:v>POSCO</x:v>
      </x:c>
      <x:c r="D20" s="34" t="str">
        <x:v>P4</x:v>
      </x:c>
      <x:c r="E20" s="34" t="str">
        <x:v>균형형 전환</x:v>
      </x:c>
      <x:c r="F20" s="34" t="str">
        <x:v>PORT-A7B7FDCF1108</x:v>
      </x:c>
      <x:c r="G20" s="34" t="str">
        <x:v>DISCLOSED_PATH</x:v>
      </x:c>
      <x:c r="H20" s="34" t="n">
        <x:v>5</x:v>
      </x:c>
      <x:c r="I20" s="34" t="n">
        <x:v>2028</x:v>
      </x:c>
      <x:c r="J20" s="34" t="n">
        <x:v>2036</x:v>
      </x:c>
      <x:c r="K20" s="34" t="n">
        <x:v>0.197861</x:v>
      </x:c>
      <x:c r="L20" s="34" t="n">
        <x:v>0</x:v>
      </x:c>
      <x:c r="M20" s="34" t="n">
        <x:v>0.770053</x:v>
      </x:c>
      <x:c r="N20" s="34" t="n">
        <x:v>0.032086</x:v>
      </x:c>
      <x:c r="O20" s="34" t="n">
        <x:v>0.5</x:v>
      </x:c>
      <x:c r="P20" s="34" t="n">
        <x:v>0.45</x:v>
      </x:c>
      <x:c r="Q20" s="34" t="n">
        <x:v>0.5</x:v>
      </x:c>
      <x:c r="R20" s="34" t="n">
        <x:v>0.4</x:v>
      </x:c>
      <x:c r="S20" s="34" t="n">
        <x:v>0.02</x:v>
      </x:c>
      <x:c r="T20" s="34" t="n">
        <x:v>414.706243</x:v>
      </x:c>
      <x:c r="U20" s="34" t="str">
        <x:v>POS-GWY-E:H2_DRI_EAF:2036|POS-GWY-EAF:EAF_RENEWABLE:2032|POS-GWY-W:H2_DRI_EAF:2034|POS-POH-N:H2_DRI_EAF:2028|POS-POH-S:BF_RELINE:2031</x:v>
      </x:c>
      <x:c r="V20" s="34" t="str">
        <x:v>model_generated_candidate</x:v>
      </x:c>
      <x:c r="W20" s="34" t="str">
        <x:v>Generated from disclosed-path facility calendar, technology set and template contracting assumptions; not a company-announced project</x:v>
      </x:c>
    </x:row>
    <x:row r="21">
      <x:c r="A21" s="34" t="str">
        <x:v>CAND-16DADA55DF87CF</x:v>
      </x:c>
      <x:c r="B21" s="34" t="str">
        <x:v>POSCO_KR</x:v>
      </x:c>
      <x:c r="C21" s="34" t="str">
        <x:v>POSCO</x:v>
      </x:c>
      <x:c r="D21" s="34" t="str">
        <x:v>P2</x:v>
      </x:c>
      <x:c r="E21" s="34" t="str">
        <x:v>지연·부분헤지</x:v>
      </x:c>
      <x:c r="F21" s="34" t="str">
        <x:v>PORT-F7156CC53AF8</x:v>
      </x:c>
      <x:c r="G21" s="34" t="str">
        <x:v>DISCLOSED_PATH</x:v>
      </x:c>
      <x:c r="H21" s="34" t="n">
        <x:v>5</x:v>
      </x:c>
      <x:c r="I21" s="34" t="n">
        <x:v>2029</x:v>
      </x:c>
      <x:c r="J21" s="34" t="n">
        <x:v>2037</x:v>
      </x:c>
      <x:c r="K21" s="34" t="n">
        <x:v>0.197861</x:v>
      </x:c>
      <x:c r="L21" s="34" t="n">
        <x:v>0.275401</x:v>
      </x:c>
      <x:c r="M21" s="34" t="n">
        <x:v>0.494652</x:v>
      </x:c>
      <x:c r="N21" s="34" t="n">
        <x:v>0.032086</x:v>
      </x:c>
      <x:c r="O21" s="34" t="n">
        <x:v>0.15</x:v>
      </x:c>
      <x:c r="P21" s="34" t="n">
        <x:v>0.1</x:v>
      </x:c>
      <x:c r="Q21" s="34" t="n">
        <x:v>0.2</x:v>
      </x:c>
      <x:c r="R21" s="34" t="n">
        <x:v>0.1</x:v>
      </x:c>
      <x:c r="S21" s="34" t="n">
        <x:v>0.01</x:v>
      </x:c>
      <x:c r="T21" s="34" t="n">
        <x:v>353.711217</x:v>
      </x:c>
      <x:c r="U21" s="34" t="str">
        <x:v>POS-GWY-E:SCRAP_EAF:2037|POS-GWY-EAF:EAF_RENEWABLE:2033|POS-GWY-W:H2_DRI_EAF:2035|POS-POH-N:H2_DRI_EAF:2029|POS-POH-S:BF_RELINE:2032</x:v>
      </x:c>
      <x:c r="V21" s="34" t="str">
        <x:v>model_generated_candidate</x:v>
      </x:c>
      <x:c r="W21" s="34" t="str">
        <x:v>Generated from disclosed-path facility calendar, technology set and template contracting assumptions; not a company-announced project</x:v>
      </x:c>
    </x:row>
    <x:row r="22">
      <x:c r="A22" s="34" t="str">
        <x:v>CAND-19A0EC6A18A011</x:v>
      </x:c>
      <x:c r="B22" s="34" t="str">
        <x:v>POSCO_KR</x:v>
      </x:c>
      <x:c r="C22" s="34" t="str">
        <x:v>POSCO</x:v>
      </x:c>
      <x:c r="D22" s="34" t="str">
        <x:v>P1</x:v>
      </x:c>
      <x:c r="E22" s="34" t="str">
        <x:v>지연·현물조달</x:v>
      </x:c>
      <x:c r="F22" s="34" t="str">
        <x:v>PORT-0EE037EBD6C8</x:v>
      </x:c>
      <x:c r="G22" s="34" t="str">
        <x:v>DISCLOSED_PATH</x:v>
      </x:c>
      <x:c r="H22" s="34" t="n">
        <x:v>5</x:v>
      </x:c>
      <x:c r="I22" s="34" t="n">
        <x:v>2029</x:v>
      </x:c>
      <x:c r="J22" s="34" t="n">
        <x:v>2037</x:v>
      </x:c>
      <x:c r="K22" s="34" t="n">
        <x:v>0.275401</x:v>
      </x:c>
      <x:c r="L22" s="34" t="n">
        <x:v>0.197861</x:v>
      </x:c>
      <x:c r="M22" s="34" t="n">
        <x:v>0.494652</x:v>
      </x:c>
      <x:c r="N22" s="34" t="n">
        <x:v>0.032086</x:v>
      </x:c>
      <x:c r="O22" s="34" t="n">
        <x:v>0</x:v>
      </x:c>
      <x:c r="P22" s="34" t="n">
        <x:v>0</x:v>
      </x:c>
      <x:c r="Q22" s="34" t="n">
        <x:v>0.1</x:v>
      </x:c>
      <x:c r="R22" s="34" t="n">
        <x:v>0</x:v>
      </x:c>
      <x:c r="S22" s="34" t="n">
        <x:v>0</x:v>
      </x:c>
      <x:c r="T22" s="34" t="n">
        <x:v>387.333846</x:v>
      </x:c>
      <x:c r="U22" s="34" t="str">
        <x:v>POS-GWY-E:BF_RELINE:2037|POS-GWY-EAF:EAF_RENEWABLE:2033|POS-GWY-W:H2_DRI_EAF:2035|POS-POH-N:H2_DRI_EAF:2029|POS-POH-S:SCRAP_EAF:2032</x:v>
      </x:c>
      <x:c r="V22" s="34" t="str">
        <x:v>model_generated_candidate</x:v>
      </x:c>
      <x:c r="W22" s="34" t="str">
        <x:v>Generated from disclosed-path facility calendar, technology set and template contracting assumptions; not a company-announced project</x:v>
      </x:c>
    </x:row>
    <x:row r="23">
      <x:c r="A23" s="34" t="str">
        <x:v>CAND-19C362AB4D3239</x:v>
      </x:c>
      <x:c r="B23" s="34" t="str">
        <x:v>POSCO_KR</x:v>
      </x:c>
      <x:c r="C23" s="34" t="str">
        <x:v>POSCO</x:v>
      </x:c>
      <x:c r="D23" s="34" t="str">
        <x:v>P1</x:v>
      </x:c>
      <x:c r="E23" s="34" t="str">
        <x:v>지연·현물조달</x:v>
      </x:c>
      <x:c r="F23" s="34" t="str">
        <x:v>PORT-CA761749FFB1</x:v>
      </x:c>
      <x:c r="G23" s="34" t="str">
        <x:v>DISCLOSED_PATH</x:v>
      </x:c>
      <x:c r="H23" s="34" t="n">
        <x:v>5</x:v>
      </x:c>
      <x:c r="I23" s="34" t="n">
        <x:v>2029</x:v>
      </x:c>
      <x:c r="J23" s="34" t="n">
        <x:v>2037</x:v>
      </x:c>
      <x:c r="K23" s="34" t="n">
        <x:v>0.219251</x:v>
      </x:c>
      <x:c r="L23" s="34" t="n">
        <x:v>0.473262</x:v>
      </x:c>
      <x:c r="M23" s="34" t="n">
        <x:v>0.275401</x:v>
      </x:c>
      <x:c r="N23" s="34" t="n">
        <x:v>0.032086</x:v>
      </x:c>
      <x:c r="O23" s="34" t="n">
        <x:v>0</x:v>
      </x:c>
      <x:c r="P23" s="34" t="n">
        <x:v>0</x:v>
      </x:c>
      <x:c r="Q23" s="34" t="n">
        <x:v>0.1</x:v>
      </x:c>
      <x:c r="R23" s="34" t="n">
        <x:v>0</x:v>
      </x:c>
      <x:c r="S23" s="34" t="n">
        <x:v>0</x:v>
      </x:c>
      <x:c r="T23" s="34" t="n">
        <x:v>287.411269</x:v>
      </x:c>
      <x:c r="U23" s="34" t="str">
        <x:v>POS-GWY-E:SCRAP_EAF:2037|POS-GWY-EAF:EAF_RENEWABLE:2033|POS-GWY-W:H2_DRI_EAF:2035|POS-POH-N:BF_RELINE:2029|POS-POH-S:SCRAP_EAF:2032</x:v>
      </x:c>
      <x:c r="V23" s="34" t="str">
        <x:v>model_generated_candidate</x:v>
      </x:c>
      <x:c r="W23" s="34" t="str">
        <x:v>Generated from disclosed-path facility calendar, technology set and template contracting assumptions; not a company-announced project</x:v>
      </x:c>
    </x:row>
    <x:row r="24">
      <x:c r="A24" s="34" t="str">
        <x:v>CAND-1F4761E26DC6B1</x:v>
      </x:c>
      <x:c r="B24" s="34" t="str">
        <x:v>POSCO_KR</x:v>
      </x:c>
      <x:c r="C24" s="34" t="str">
        <x:v>POSCO</x:v>
      </x:c>
      <x:c r="D24" s="34" t="str">
        <x:v>P2</x:v>
      </x:c>
      <x:c r="E24" s="34" t="str">
        <x:v>지연·부분헤지</x:v>
      </x:c>
      <x:c r="F24" s="34" t="str">
        <x:v>PORT-15CB4F8207C5</x:v>
      </x:c>
      <x:c r="G24" s="34" t="str">
        <x:v>DISCLOSED_PATH</x:v>
      </x:c>
      <x:c r="H24" s="34" t="n">
        <x:v>5</x:v>
      </x:c>
      <x:c r="I24" s="34" t="n">
        <x:v>2029</x:v>
      </x:c>
      <x:c r="J24" s="34" t="n">
        <x:v>2037</x:v>
      </x:c>
      <x:c r="K24" s="34" t="n">
        <x:v>0.219251</x:v>
      </x:c>
      <x:c r="L24" s="34" t="n">
        <x:v>0</x:v>
      </x:c>
      <x:c r="M24" s="34" t="n">
        <x:v>0.748663</x:v>
      </x:c>
      <x:c r="N24" s="34" t="n">
        <x:v>0.032086</x:v>
      </x:c>
      <x:c r="O24" s="34" t="n">
        <x:v>0.15</x:v>
      </x:c>
      <x:c r="P24" s="34" t="n">
        <x:v>0.1</x:v>
      </x:c>
      <x:c r="Q24" s="34" t="n">
        <x:v>0.2</x:v>
      </x:c>
      <x:c r="R24" s="34" t="n">
        <x:v>0.1</x:v>
      </x:c>
      <x:c r="S24" s="34" t="n">
        <x:v>0.01</x:v>
      </x:c>
      <x:c r="T24" s="34" t="n">
        <x:v>312.214267</x:v>
      </x:c>
      <x:c r="U24" s="34" t="str">
        <x:v>POS-GWY-E:H2_DRI_EAF:2037|POS-GWY-EAF:EAF_RENEWABLE:2033|POS-GWY-W:H2_DRI_EAF:2035|POS-POH-N:BF_RELINE:2029|POS-POH-S:H2_DRI_EAF:2032</x:v>
      </x:c>
      <x:c r="V24" s="34" t="str">
        <x:v>model_generated_candidate</x:v>
      </x:c>
      <x:c r="W24" s="34" t="str">
        <x:v>Generated from disclosed-path facility calendar, technology set and template contracting assumptions; not a company-announced project</x:v>
      </x:c>
    </x:row>
    <x:row r="25">
      <x:c r="A25" s="34" t="str">
        <x:v>CAND-1FADD59D3B21C5</x:v>
      </x:c>
      <x:c r="B25" s="34" t="str">
        <x:v>POSCO_KR</x:v>
      </x:c>
      <x:c r="C25" s="34" t="str">
        <x:v>POSCO</x:v>
      </x:c>
      <x:c r="D25" s="34" t="str">
        <x:v>P4</x:v>
      </x:c>
      <x:c r="E25" s="34" t="str">
        <x:v>균형형 전환</x:v>
      </x:c>
      <x:c r="F25" s="34" t="str">
        <x:v>PORT-121CD1CE83BA</x:v>
      </x:c>
      <x:c r="G25" s="34" t="str">
        <x:v>DISCLOSED_PATH</x:v>
      </x:c>
      <x:c r="H25" s="34" t="n">
        <x:v>5</x:v>
      </x:c>
      <x:c r="I25" s="34" t="n">
        <x:v>2028</x:v>
      </x:c>
      <x:c r="J25" s="34" t="n">
        <x:v>2036</x:v>
      </x:c>
      <x:c r="K25" s="34" t="n">
        <x:v>0.197861</x:v>
      </x:c>
      <x:c r="L25" s="34" t="n">
        <x:v>0.275401</x:v>
      </x:c>
      <x:c r="M25" s="34" t="n">
        <x:v>0.494652</x:v>
      </x:c>
      <x:c r="N25" s="34" t="n">
        <x:v>0.032086</x:v>
      </x:c>
      <x:c r="O25" s="34" t="n">
        <x:v>0.5</x:v>
      </x:c>
      <x:c r="P25" s="34" t="n">
        <x:v>0.45</x:v>
      </x:c>
      <x:c r="Q25" s="34" t="n">
        <x:v>0.5</x:v>
      </x:c>
      <x:c r="R25" s="34" t="n">
        <x:v>0.4</x:v>
      </x:c>
      <x:c r="S25" s="34" t="n">
        <x:v>0.02</x:v>
      </x:c>
      <x:c r="T25" s="34" t="n">
        <x:v>398.081245</x:v>
      </x:c>
      <x:c r="U25" s="34" t="str">
        <x:v>POS-GWY-E:H2_DRI_EAF:2036|POS-GWY-EAF:EAF_RENEWABLE:2032|POS-GWY-W:SCRAP_EAF:2034|POS-POH-N:H2_DRI_EAF:2028|POS-POH-S:BF_RELINE:2031</x:v>
      </x:c>
      <x:c r="V25" s="34" t="str">
        <x:v>model_generated_candidate</x:v>
      </x:c>
      <x:c r="W25" s="34" t="str">
        <x:v>Generated from disclosed-path facility calendar, technology set and template contracting assumptions; not a company-announced project</x:v>
      </x:c>
    </x:row>
    <x:row r="26">
      <x:c r="A26" s="34" t="str">
        <x:v>CAND-219E2C98DF5995</x:v>
      </x:c>
      <x:c r="B26" s="34" t="str">
        <x:v>POSCO_KR</x:v>
      </x:c>
      <x:c r="C26" s="34" t="str">
        <x:v>POSCO</x:v>
      </x:c>
      <x:c r="D26" s="34" t="str">
        <x:v>P2</x:v>
      </x:c>
      <x:c r="E26" s="34" t="str">
        <x:v>지연·부분헤지</x:v>
      </x:c>
      <x:c r="F26" s="34" t="str">
        <x:v>PORT-7DC46150E6EE</x:v>
      </x:c>
      <x:c r="G26" s="34" t="str">
        <x:v>DISCLOSED_PATH</x:v>
      </x:c>
      <x:c r="H26" s="34" t="n">
        <x:v>5</x:v>
      </x:c>
      <x:c r="I26" s="34" t="n">
        <x:v>2029</x:v>
      </x:c>
      <x:c r="J26" s="34" t="n">
        <x:v>2037</x:v>
      </x:c>
      <x:c r="K26" s="34" t="n">
        <x:v>0.275401</x:v>
      </x:c>
      <x:c r="L26" s="34" t="n">
        <x:v>0.275401</x:v>
      </x:c>
      <x:c r="M26" s="34" t="n">
        <x:v>0.417112</x:v>
      </x:c>
      <x:c r="N26" s="34" t="n">
        <x:v>0.032086</x:v>
      </x:c>
      <x:c r="O26" s="34" t="n">
        <x:v>0.15</x:v>
      </x:c>
      <x:c r="P26" s="34" t="n">
        <x:v>0.1</x:v>
      </x:c>
      <x:c r="Q26" s="34" t="n">
        <x:v>0.2</x:v>
      </x:c>
      <x:c r="R26" s="34" t="n">
        <x:v>0.1</x:v>
      </x:c>
      <x:c r="S26" s="34" t="n">
        <x:v>0.01</x:v>
      </x:c>
      <x:c r="T26" s="34" t="n">
        <x:v>388.383849</x:v>
      </x:c>
      <x:c r="U26" s="34" t="str">
        <x:v>POS-GWY-E:BF_RELINE:2037|POS-GWY-EAF:EAF_RENEWABLE:2033|POS-GWY-W:SCRAP_EAF:2035|POS-POH-N:H2_DRI_EAF:2029|POS-POH-S:H2_DRI_EAF:2032</x:v>
      </x:c>
      <x:c r="V26" s="34" t="str">
        <x:v>model_generated_candidate</x:v>
      </x:c>
      <x:c r="W26" s="34" t="str">
        <x:v>Generated from disclosed-path facility calendar, technology set and template contracting assumptions; not a company-announced project</x:v>
      </x:c>
    </x:row>
    <x:row r="27">
      <x:c r="A27" s="34" t="str">
        <x:v>CAND-22439B2EE07AD0</x:v>
      </x:c>
      <x:c r="B27" s="34" t="str">
        <x:v>POSCO_KR</x:v>
      </x:c>
      <x:c r="C27" s="34" t="str">
        <x:v>POSCO</x:v>
      </x:c>
      <x:c r="D27" s="34" t="str">
        <x:v>P2</x:v>
      </x:c>
      <x:c r="E27" s="34" t="str">
        <x:v>지연·부분헤지</x:v>
      </x:c>
      <x:c r="F27" s="34" t="str">
        <x:v>PORT-0EE037EBD6C8</x:v>
      </x:c>
      <x:c r="G27" s="34" t="str">
        <x:v>DISCLOSED_PATH</x:v>
      </x:c>
      <x:c r="H27" s="34" t="n">
        <x:v>5</x:v>
      </x:c>
      <x:c r="I27" s="34" t="n">
        <x:v>2029</x:v>
      </x:c>
      <x:c r="J27" s="34" t="n">
        <x:v>2037</x:v>
      </x:c>
      <x:c r="K27" s="34" t="n">
        <x:v>0.275401</x:v>
      </x:c>
      <x:c r="L27" s="34" t="n">
        <x:v>0.197861</x:v>
      </x:c>
      <x:c r="M27" s="34" t="n">
        <x:v>0.494652</x:v>
      </x:c>
      <x:c r="N27" s="34" t="n">
        <x:v>0.032086</x:v>
      </x:c>
      <x:c r="O27" s="34" t="n">
        <x:v>0.15</x:v>
      </x:c>
      <x:c r="P27" s="34" t="n">
        <x:v>0.1</x:v>
      </x:c>
      <x:c r="Q27" s="34" t="n">
        <x:v>0.2</x:v>
      </x:c>
      <x:c r="R27" s="34" t="n">
        <x:v>0.1</x:v>
      </x:c>
      <x:c r="S27" s="34" t="n">
        <x:v>0.01</x:v>
      </x:c>
      <x:c r="T27" s="34" t="n">
        <x:v>387.333846</x:v>
      </x:c>
      <x:c r="U27" s="34" t="str">
        <x:v>POS-GWY-E:BF_RELINE:2037|POS-GWY-EAF:EAF_RENEWABLE:2033|POS-GWY-W:H2_DRI_EAF:2035|POS-POH-N:H2_DRI_EAF:2029|POS-POH-S:SCRAP_EAF:2032</x:v>
      </x:c>
      <x:c r="V27" s="34" t="str">
        <x:v>model_generated_candidate</x:v>
      </x:c>
      <x:c r="W27" s="34" t="str">
        <x:v>Generated from disclosed-path facility calendar, technology set and template contracting assumptions; not a company-announced project</x:v>
      </x:c>
    </x:row>
    <x:row r="28">
      <x:c r="A28" s="34" t="str">
        <x:v>CAND-2326AF763A3588</x:v>
      </x:c>
      <x:c r="B28" s="34" t="str">
        <x:v>POSCO_KR</x:v>
      </x:c>
      <x:c r="C28" s="34" t="str">
        <x:v>POSCO</x:v>
      </x:c>
      <x:c r="D28" s="34" t="str">
        <x:v>P2</x:v>
      </x:c>
      <x:c r="E28" s="34" t="str">
        <x:v>지연·부분헤지</x:v>
      </x:c>
      <x:c r="F28" s="34" t="str">
        <x:v>PORT-81FCB4F2E5A2</x:v>
      </x:c>
      <x:c r="G28" s="34" t="str">
        <x:v>DISCLOSED_PATH</x:v>
      </x:c>
      <x:c r="H28" s="34" t="n">
        <x:v>5</x:v>
      </x:c>
      <x:c r="I28" s="34" t="n">
        <x:v>2029</x:v>
      </x:c>
      <x:c r="J28" s="34" t="n">
        <x:v>2037</x:v>
      </x:c>
      <x:c r="K28" s="34" t="n">
        <x:v>0.197861</x:v>
      </x:c>
      <x:c r="L28" s="34" t="n">
        <x:v>0.219251</x:v>
      </x:c>
      <x:c r="M28" s="34" t="n">
        <x:v>0.550802</x:v>
      </x:c>
      <x:c r="N28" s="34" t="n">
        <x:v>0.032086</x:v>
      </x:c>
      <x:c r="O28" s="34" t="n">
        <x:v>0.15</x:v>
      </x:c>
      <x:c r="P28" s="34" t="n">
        <x:v>0.1</x:v>
      </x:c>
      <x:c r="Q28" s="34" t="n">
        <x:v>0.2</x:v>
      </x:c>
      <x:c r="R28" s="34" t="n">
        <x:v>0.1</x:v>
      </x:c>
      <x:c r="S28" s="34" t="n">
        <x:v>0.01</x:v>
      </x:c>
      <x:c r="T28" s="34" t="n">
        <x:v>340.414219</x:v>
      </x:c>
      <x:c r="U28" s="34" t="str">
        <x:v>POS-GWY-E:H2_DRI_EAF:2037|POS-GWY-EAF:EAF_RENEWABLE:2033|POS-GWY-W:H2_DRI_EAF:2035|POS-POH-N:SCRAP_EAF:2029|POS-POH-S:BF_RELINE:2032</x:v>
      </x:c>
      <x:c r="V28" s="34" t="str">
        <x:v>model_generated_candidate</x:v>
      </x:c>
      <x:c r="W28" s="34" t="str">
        <x:v>Generated from disclosed-path facility calendar, technology set and template contracting assumptions; not a company-announced project</x:v>
      </x:c>
    </x:row>
    <x:row r="29">
      <x:c r="A29" s="34" t="str">
        <x:v>CAND-246A81370ACBB0</x:v>
      </x:c>
      <x:c r="B29" s="34" t="str">
        <x:v>POSCO_KR</x:v>
      </x:c>
      <x:c r="C29" s="34" t="str">
        <x:v>POSCO</x:v>
      </x:c>
      <x:c r="D29" s="34" t="str">
        <x:v>P2</x:v>
      </x:c>
      <x:c r="E29" s="34" t="str">
        <x:v>지연·부분헤지</x:v>
      </x:c>
      <x:c r="F29" s="34" t="str">
        <x:v>PORT-CD2F629A3E6E</x:v>
      </x:c>
      <x:c r="G29" s="34" t="str">
        <x:v>DISCLOSED_PATH</x:v>
      </x:c>
      <x:c r="H29" s="34" t="n">
        <x:v>5</x:v>
      </x:c>
      <x:c r="I29" s="34" t="n">
        <x:v>2029</x:v>
      </x:c>
      <x:c r="J29" s="34" t="n">
        <x:v>2037</x:v>
      </x:c>
      <x:c r="K29" s="34" t="n">
        <x:v>0.275401</x:v>
      </x:c>
      <x:c r="L29" s="34" t="n">
        <x:v>0.473262</x:v>
      </x:c>
      <x:c r="M29" s="34" t="n">
        <x:v>0.219251</x:v>
      </x:c>
      <x:c r="N29" s="34" t="n">
        <x:v>0.032086</x:v>
      </x:c>
      <x:c r="O29" s="34" t="n">
        <x:v>0.15</x:v>
      </x:c>
      <x:c r="P29" s="34" t="n">
        <x:v>0.1</x:v>
      </x:c>
      <x:c r="Q29" s="34" t="n">
        <x:v>0.2</x:v>
      </x:c>
      <x:c r="R29" s="34" t="n">
        <x:v>0.1</x:v>
      </x:c>
      <x:c r="S29" s="34" t="n">
        <x:v>0.01</x:v>
      </x:c>
      <x:c r="T29" s="34" t="n">
        <x:v>345.551235</x:v>
      </x:c>
      <x:c r="U29" s="34" t="str">
        <x:v>POS-GWY-E:SCRAP_EAF:2037|POS-GWY-EAF:EAF_RENEWABLE:2033|POS-GWY-W:BF_RELINE:2035|POS-POH-N:H2_DRI_EAF:2029|POS-POH-S:SCRAP_EAF:2032</x:v>
      </x:c>
      <x:c r="V29" s="34" t="str">
        <x:v>model_generated_candidate</x:v>
      </x:c>
      <x:c r="W29" s="34" t="str">
        <x:v>Generated from disclosed-path facility calendar, technology set and template contracting assumptions; not a company-announced project</x:v>
      </x:c>
    </x:row>
    <x:row r="30">
      <x:c r="A30" s="34" t="str">
        <x:v>CAND-2568A716EEF6E8</x:v>
      </x:c>
      <x:c r="B30" s="34" t="str">
        <x:v>POSCO_KR</x:v>
      </x:c>
      <x:c r="C30" s="34" t="str">
        <x:v>POSCO</x:v>
      </x:c>
      <x:c r="D30" s="34" t="str">
        <x:v>P1</x:v>
      </x:c>
      <x:c r="E30" s="34" t="str">
        <x:v>지연·현물조달</x:v>
      </x:c>
      <x:c r="F30" s="34" t="str">
        <x:v>PORT-F833A94324B4</x:v>
      </x:c>
      <x:c r="G30" s="34" t="str">
        <x:v>DISCLOSED_PATH</x:v>
      </x:c>
      <x:c r="H30" s="34" t="n">
        <x:v>5</x:v>
      </x:c>
      <x:c r="I30" s="34" t="n">
        <x:v>2029</x:v>
      </x:c>
      <x:c r="J30" s="34" t="n">
        <x:v>2037</x:v>
      </x:c>
      <x:c r="K30" s="34" t="n">
        <x:v>0.494652</x:v>
      </x:c>
      <x:c r="L30" s="34" t="n">
        <x:v>0.197861</x:v>
      </x:c>
      <x:c r="M30" s="34" t="n">
        <x:v>0.275401</x:v>
      </x:c>
      <x:c r="N30" s="34" t="n">
        <x:v>0.032086</x:v>
      </x:c>
      <x:c r="O30" s="34" t="n">
        <x:v>0</x:v>
      </x:c>
      <x:c r="P30" s="34" t="n">
        <x:v>0</x:v>
      </x:c>
      <x:c r="Q30" s="34" t="n">
        <x:v>0.1</x:v>
      </x:c>
      <x:c r="R30" s="34" t="n">
        <x:v>0</x:v>
      </x:c>
      <x:c r="S30" s="34" t="n">
        <x:v>0</x:v>
      </x:c>
      <x:c r="T30" s="34" t="n">
        <x:v>200.014276</x:v>
      </x:c>
      <x:c r="U30" s="34" t="str">
        <x:v>POS-GWY-E:H2_DRI_EAF:2037|POS-GWY-EAF:EAF_RENEWABLE:2033|POS-GWY-W:BF_RELINE:2035|POS-POH-N:BF_RELINE:2029|POS-POH-S:SCRAP_EAF:2032</x:v>
      </x:c>
      <x:c r="V30" s="34" t="str">
        <x:v>model_generated_candidate</x:v>
      </x:c>
      <x:c r="W30" s="34" t="str">
        <x:v>Generated from disclosed-path facility calendar, technology set and template contracting assumptions; not a company-announced project</x:v>
      </x:c>
    </x:row>
    <x:row r="31">
      <x:c r="A31" s="34" t="str">
        <x:v>CAND-25E596C7BBF514</x:v>
      </x:c>
      <x:c r="B31" s="34" t="str">
        <x:v>POSCO_KR</x:v>
      </x:c>
      <x:c r="C31" s="34" t="str">
        <x:v>POSCO</x:v>
      </x:c>
      <x:c r="D31" s="34" t="str">
        <x:v>P1</x:v>
      </x:c>
      <x:c r="E31" s="34" t="str">
        <x:v>지연·현물조달</x:v>
      </x:c>
      <x:c r="F31" s="34" t="str">
        <x:v>PORT-2038E8D6C481</x:v>
      </x:c>
      <x:c r="G31" s="34" t="str">
        <x:v>DISCLOSED_PATH</x:v>
      </x:c>
      <x:c r="H31" s="34" t="n">
        <x:v>5</x:v>
      </x:c>
      <x:c r="I31" s="34" t="n">
        <x:v>2029</x:v>
      </x:c>
      <x:c r="J31" s="34" t="n">
        <x:v>2037</x:v>
      </x:c>
      <x:c r="K31" s="34" t="n">
        <x:v>0</x:v>
      </x:c>
      <x:c r="L31" s="34" t="n">
        <x:v>0.748663</x:v>
      </x:c>
      <x:c r="M31" s="34" t="n">
        <x:v>0.219251</x:v>
      </x:c>
      <x:c r="N31" s="34" t="n">
        <x:v>0.032086</x:v>
      </x:c>
      <x:c r="O31" s="34" t="n">
        <x:v>0</x:v>
      </x:c>
      <x:c r="P31" s="34" t="n">
        <x:v>0</x:v>
      </x:c>
      <x:c r="Q31" s="34" t="n">
        <x:v>0.1</x:v>
      </x:c>
      <x:c r="R31" s="34" t="n">
        <x:v>0</x:v>
      </x:c>
      <x:c r="S31" s="34" t="n">
        <x:v>0</x:v>
      </x:c>
      <x:c r="T31" s="34" t="n">
        <x:v>428.201226</x:v>
      </x:c>
      <x:c r="U31" s="34" t="str">
        <x:v>POS-GWY-E:SCRAP_EAF:2037|POS-GWY-EAF:EAF_RENEWABLE:2033|POS-GWY-W:SCRAP_EAF:2035|POS-POH-N:H2_DRI_EAF:2029|POS-POH-S:SCRAP_EAF:2032</x:v>
      </x:c>
      <x:c r="V31" s="34" t="str">
        <x:v>model_generated_candidate</x:v>
      </x:c>
      <x:c r="W31" s="34" t="str">
        <x:v>Generated from disclosed-path facility calendar, technology set and template contracting assumptions; not a company-announced project</x:v>
      </x:c>
    </x:row>
    <x:row r="32">
      <x:c r="A32" s="34" t="str">
        <x:v>CAND-26D54185A83CF5</x:v>
      </x:c>
      <x:c r="B32" s="34" t="str">
        <x:v>POSCO_KR</x:v>
      </x:c>
      <x:c r="C32" s="34" t="str">
        <x:v>POSCO</x:v>
      </x:c>
      <x:c r="D32" s="34" t="str">
        <x:v>P3</x:v>
      </x:c>
      <x:c r="E32" s="34" t="str">
        <x:v>균형형 라이트헤지</x:v>
      </x:c>
      <x:c r="F32" s="34" t="str">
        <x:v>PORT-81FCB4F2E5A2</x:v>
      </x:c>
      <x:c r="G32" s="34" t="str">
        <x:v>DISCLOSED_PATH</x:v>
      </x:c>
      <x:c r="H32" s="34" t="n">
        <x:v>5</x:v>
      </x:c>
      <x:c r="I32" s="34" t="n">
        <x:v>2029</x:v>
      </x:c>
      <x:c r="J32" s="34" t="n">
        <x:v>2037</x:v>
      </x:c>
      <x:c r="K32" s="34" t="n">
        <x:v>0.197861</x:v>
      </x:c>
      <x:c r="L32" s="34" t="n">
        <x:v>0.219251</x:v>
      </x:c>
      <x:c r="M32" s="34" t="n">
        <x:v>0.550802</x:v>
      </x:c>
      <x:c r="N32" s="34" t="n">
        <x:v>0.032086</x:v>
      </x:c>
      <x:c r="O32" s="34" t="n">
        <x:v>0.3</x:v>
      </x:c>
      <x:c r="P32" s="34" t="n">
        <x:v>0.25</x:v>
      </x:c>
      <x:c r="Q32" s="34" t="n">
        <x:v>0.35</x:v>
      </x:c>
      <x:c r="R32" s="34" t="n">
        <x:v>0.25</x:v>
      </x:c>
      <x:c r="S32" s="34" t="n">
        <x:v>0.015</x:v>
      </x:c>
      <x:c r="T32" s="34" t="n">
        <x:v>340.414219</x:v>
      </x:c>
      <x:c r="U32" s="34" t="str">
        <x:v>POS-GWY-E:H2_DRI_EAF:2037|POS-GWY-EAF:EAF_RENEWABLE:2033|POS-GWY-W:H2_DRI_EAF:2035|POS-POH-N:SCRAP_EAF:2029|POS-POH-S:BF_RELINE:2032</x:v>
      </x:c>
      <x:c r="V32" s="34" t="str">
        <x:v>model_generated_candidate</x:v>
      </x:c>
      <x:c r="W32" s="34" t="str">
        <x:v>Generated from disclosed-path facility calendar, technology set and template contracting assumptions; not a company-announced project</x:v>
      </x:c>
    </x:row>
    <x:row r="33">
      <x:c r="A33" s="34" t="str">
        <x:v>CAND-2712C702DDAE02</x:v>
      </x:c>
      <x:c r="B33" s="34" t="str">
        <x:v>POSCO_KR</x:v>
      </x:c>
      <x:c r="C33" s="34" t="str">
        <x:v>POSCO</x:v>
      </x:c>
      <x:c r="D33" s="34" t="str">
        <x:v>P1</x:v>
      </x:c>
      <x:c r="E33" s="34" t="str">
        <x:v>지연·현물조달</x:v>
      </x:c>
      <x:c r="F33" s="34" t="str">
        <x:v>PORT-7DC46150E6EE</x:v>
      </x:c>
      <x:c r="G33" s="34" t="str">
        <x:v>DISCLOSED_PATH</x:v>
      </x:c>
      <x:c r="H33" s="34" t="n">
        <x:v>5</x:v>
      </x:c>
      <x:c r="I33" s="34" t="n">
        <x:v>2029</x:v>
      </x:c>
      <x:c r="J33" s="34" t="n">
        <x:v>2037</x:v>
      </x:c>
      <x:c r="K33" s="34" t="n">
        <x:v>0.275401</x:v>
      </x:c>
      <x:c r="L33" s="34" t="n">
        <x:v>0.275401</x:v>
      </x:c>
      <x:c r="M33" s="34" t="n">
        <x:v>0.417112</x:v>
      </x:c>
      <x:c r="N33" s="34" t="n">
        <x:v>0.032086</x:v>
      </x:c>
      <x:c r="O33" s="34" t="n">
        <x:v>0</x:v>
      </x:c>
      <x:c r="P33" s="34" t="n">
        <x:v>0</x:v>
      </x:c>
      <x:c r="Q33" s="34" t="n">
        <x:v>0.1</x:v>
      </x:c>
      <x:c r="R33" s="34" t="n">
        <x:v>0</x:v>
      </x:c>
      <x:c r="S33" s="34" t="n">
        <x:v>0</x:v>
      </x:c>
      <x:c r="T33" s="34" t="n">
        <x:v>388.383849</x:v>
      </x:c>
      <x:c r="U33" s="34" t="str">
        <x:v>POS-GWY-E:BF_RELINE:2037|POS-GWY-EAF:EAF_RENEWABLE:2033|POS-GWY-W:SCRAP_EAF:2035|POS-POH-N:H2_DRI_EAF:2029|POS-POH-S:H2_DRI_EAF:2032</x:v>
      </x:c>
      <x:c r="V33" s="34" t="str">
        <x:v>model_generated_candidate</x:v>
      </x:c>
      <x:c r="W33" s="34" t="str">
        <x:v>Generated from disclosed-path facility calendar, technology set and template contracting assumptions; not a company-announced project</x:v>
      </x:c>
    </x:row>
    <x:row r="34">
      <x:c r="A34" s="34" t="str">
        <x:v>CAND-2775122CBD1438</x:v>
      </x:c>
      <x:c r="B34" s="34" t="str">
        <x:v>POSCO_KR</x:v>
      </x:c>
      <x:c r="C34" s="34" t="str">
        <x:v>POSCO</x:v>
      </x:c>
      <x:c r="D34" s="34" t="str">
        <x:v>P1</x:v>
      </x:c>
      <x:c r="E34" s="34" t="str">
        <x:v>지연·현물조달</x:v>
      </x:c>
      <x:c r="F34" s="34" t="str">
        <x:v>PORT-34425DFA5633</x:v>
      </x:c>
      <x:c r="G34" s="34" t="str">
        <x:v>DISCLOSED_PATH</x:v>
      </x:c>
      <x:c r="H34" s="34" t="n">
        <x:v>5</x:v>
      </x:c>
      <x:c r="I34" s="34" t="n">
        <x:v>2029</x:v>
      </x:c>
      <x:c r="J34" s="34" t="n">
        <x:v>2037</x:v>
      </x:c>
      <x:c r="K34" s="34" t="n">
        <x:v>0.197861</x:v>
      </x:c>
      <x:c r="L34" s="34" t="n">
        <x:v>0.494652</x:v>
      </x:c>
      <x:c r="M34" s="34" t="n">
        <x:v>0.275401</x:v>
      </x:c>
      <x:c r="N34" s="34" t="n">
        <x:v>0.032086</x:v>
      </x:c>
      <x:c r="O34" s="34" t="n">
        <x:v>0</x:v>
      </x:c>
      <x:c r="P34" s="34" t="n">
        <x:v>0</x:v>
      </x:c>
      <x:c r="Q34" s="34" t="n">
        <x:v>0.1</x:v>
      </x:c>
      <x:c r="R34" s="34" t="n">
        <x:v>0</x:v>
      </x:c>
      <x:c r="S34" s="34" t="n">
        <x:v>0</x:v>
      </x:c>
      <x:c r="T34" s="34" t="n">
        <x:v>330.911223</x:v>
      </x:c>
      <x:c r="U34" s="34" t="str">
        <x:v>POS-GWY-E:SCRAP_EAF:2037|POS-GWY-EAF:EAF_RENEWABLE:2033|POS-GWY-W:H2_DRI_EAF:2035|POS-POH-N:SCRAP_EAF:2029|POS-POH-S:BF_RELINE:2032</x:v>
      </x:c>
      <x:c r="V34" s="34" t="str">
        <x:v>model_generated_candidate</x:v>
      </x:c>
      <x:c r="W34" s="34" t="str">
        <x:v>Generated from disclosed-path facility calendar, technology set and template contracting assumptions; not a company-announced project</x:v>
      </x:c>
    </x:row>
    <x:row r="35">
      <x:c r="A35" s="34" t="str">
        <x:v>CAND-27EB06146B7A52</x:v>
      </x:c>
      <x:c r="B35" s="34" t="str">
        <x:v>POSCO_KR</x:v>
      </x:c>
      <x:c r="C35" s="34" t="str">
        <x:v>POSCO</x:v>
      </x:c>
      <x:c r="D35" s="34" t="str">
        <x:v>P3</x:v>
      </x:c>
      <x:c r="E35" s="34" t="str">
        <x:v>균형형 라이트헤지</x:v>
      </x:c>
      <x:c r="F35" s="34" t="str">
        <x:v>PORT-13C60822C05B</x:v>
      </x:c>
      <x:c r="G35" s="34" t="str">
        <x:v>DISCLOSED_PATH</x:v>
      </x:c>
      <x:c r="H35" s="34" t="n">
        <x:v>5</x:v>
      </x:c>
      <x:c r="I35" s="34" t="n">
        <x:v>2029</x:v>
      </x:c>
      <x:c r="J35" s="34" t="n">
        <x:v>2037</x:v>
      </x:c>
      <x:c r="K35" s="34" t="n">
        <x:v>0</x:v>
      </x:c>
      <x:c r="L35" s="34" t="n">
        <x:v>0.473262</x:v>
      </x:c>
      <x:c r="M35" s="34" t="n">
        <x:v>0.494652</x:v>
      </x:c>
      <x:c r="N35" s="34" t="n">
        <x:v>0.032086</x:v>
      </x:c>
      <x:c r="O35" s="34" t="n">
        <x:v>0.3</x:v>
      </x:c>
      <x:c r="P35" s="34" t="n">
        <x:v>0.25</x:v>
      </x:c>
      <x:c r="Q35" s="34" t="n">
        <x:v>0.35</x:v>
      </x:c>
      <x:c r="R35" s="34" t="n">
        <x:v>0.25</x:v>
      </x:c>
      <x:c r="S35" s="34" t="n">
        <x:v>0.015</x:v>
      </x:c>
      <x:c r="T35" s="34" t="n">
        <x:v>437.704222</x:v>
      </x:c>
      <x:c r="U35" s="34" t="str">
        <x:v>POS-GWY-E:H2_DRI_EAF:2037|POS-GWY-EAF:EAF_RENEWABLE:2033|POS-GWY-W:SCRAP_EAF:2035|POS-POH-N:H2_DRI_EAF:2029|POS-POH-S:SCRAP_EAF:2032</x:v>
      </x:c>
      <x:c r="V35" s="34" t="str">
        <x:v>model_generated_candidate</x:v>
      </x:c>
      <x:c r="W35" s="34" t="str">
        <x:v>Generated from disclosed-path facility calendar, technology set and template contracting assumptions; not a company-announced project</x:v>
      </x:c>
    </x:row>
    <x:row r="36">
      <x:c r="A36" s="34" t="str">
        <x:v>CAND-2A6D4478832AD4</x:v>
      </x:c>
      <x:c r="B36" s="34" t="str">
        <x:v>POSCO_KR</x:v>
      </x:c>
      <x:c r="C36" s="34" t="str">
        <x:v>POSCO</x:v>
      </x:c>
      <x:c r="D36" s="34" t="str">
        <x:v>P1</x:v>
      </x:c>
      <x:c r="E36" s="34" t="str">
        <x:v>지연·현물조달</x:v>
      </x:c>
      <x:c r="F36" s="34" t="str">
        <x:v>PORT-92CC472C5A75</x:v>
      </x:c>
      <x:c r="G36" s="34" t="str">
        <x:v>DISCLOSED_PATH</x:v>
      </x:c>
      <x:c r="H36" s="34" t="n">
        <x:v>5</x:v>
      </x:c>
      <x:c r="I36" s="34" t="n">
        <x:v>2029</x:v>
      </x:c>
      <x:c r="J36" s="34" t="n">
        <x:v>2037</x:v>
      </x:c>
      <x:c r="K36" s="34" t="n">
        <x:v>0</x:v>
      </x:c>
      <x:c r="L36" s="34" t="n">
        <x:v>0.770053</x:v>
      </x:c>
      <x:c r="M36" s="34" t="n">
        <x:v>0.197861</x:v>
      </x:c>
      <x:c r="N36" s="34" t="n">
        <x:v>0.032086</x:v>
      </x:c>
      <x:c r="O36" s="34" t="n">
        <x:v>0</x:v>
      </x:c>
      <x:c r="P36" s="34" t="n">
        <x:v>0</x:v>
      </x:c>
      <x:c r="Q36" s="34" t="n">
        <x:v>0.1</x:v>
      </x:c>
      <x:c r="R36" s="34" t="n">
        <x:v>0</x:v>
      </x:c>
      <x:c r="S36" s="34" t="n">
        <x:v>0</x:v>
      </x:c>
      <x:c r="T36" s="34" t="n">
        <x:v>420.701234</x:v>
      </x:c>
      <x:c r="U36" s="34" t="str">
        <x:v>POS-GWY-E:SCRAP_EAF:2037|POS-GWY-EAF:EAF_RENEWABLE:2033|POS-GWY-W:SCRAP_EAF:2035|POS-POH-N:SCRAP_EAF:2029|POS-POH-S:H2_DRI_EAF:2032</x:v>
      </x:c>
      <x:c r="V36" s="34" t="str">
        <x:v>model_generated_candidate</x:v>
      </x:c>
      <x:c r="W36" s="34" t="str">
        <x:v>Generated from disclosed-path facility calendar, technology set and template contracting assumptions; not a company-announced project</x:v>
      </x:c>
    </x:row>
    <x:row r="37">
      <x:c r="A37" s="34" t="str">
        <x:v>CAND-2B083F97838C06</x:v>
      </x:c>
      <x:c r="B37" s="34" t="str">
        <x:v>POSCO_KR</x:v>
      </x:c>
      <x:c r="C37" s="34" t="str">
        <x:v>POSCO</x:v>
      </x:c>
      <x:c r="D37" s="34" t="str">
        <x:v>P2</x:v>
      </x:c>
      <x:c r="E37" s="34" t="str">
        <x:v>지연·부분헤지</x:v>
      </x:c>
      <x:c r="F37" s="34" t="str">
        <x:v>PORT-0442454A7656</x:v>
      </x:c>
      <x:c r="G37" s="34" t="str">
        <x:v>DISCLOSED_PATH</x:v>
      </x:c>
      <x:c r="H37" s="34" t="n">
        <x:v>5</x:v>
      </x:c>
      <x:c r="I37" s="34" t="n">
        <x:v>2029</x:v>
      </x:c>
      <x:c r="J37" s="34" t="n">
        <x:v>2037</x:v>
      </x:c>
      <x:c r="K37" s="34" t="n">
        <x:v>0.473262</x:v>
      </x:c>
      <x:c r="L37" s="34" t="n">
        <x:v>0.275401</x:v>
      </x:c>
      <x:c r="M37" s="34" t="n">
        <x:v>0.219251</x:v>
      </x:c>
      <x:c r="N37" s="34" t="n">
        <x:v>0.032086</x:v>
      </x:c>
      <x:c r="O37" s="34" t="n">
        <x:v>0.15</x:v>
      </x:c>
      <x:c r="P37" s="34" t="n">
        <x:v>0.1</x:v>
      </x:c>
      <x:c r="Q37" s="34" t="n">
        <x:v>0.2</x:v>
      </x:c>
      <x:c r="R37" s="34" t="n">
        <x:v>0.1</x:v>
      </x:c>
      <x:c r="S37" s="34" t="n">
        <x:v>0.01</x:v>
      </x:c>
      <x:c r="T37" s="34" t="n">
        <x:v>256.811227</x:v>
      </x:c>
      <x:c r="U37" s="34" t="str">
        <x:v>POS-GWY-E:SCRAP_EAF:2037|POS-GWY-EAF:EAF_RENEWABLE:2033|POS-GWY-W:BF_RELINE:2035|POS-POH-N:H2_DRI_EAF:2029|POS-POH-S:BF_RELINE:2032</x:v>
      </x:c>
      <x:c r="V37" s="34" t="str">
        <x:v>model_generated_candidate</x:v>
      </x:c>
      <x:c r="W37" s="34" t="str">
        <x:v>Generated from disclosed-path facility calendar, technology set and template contracting assumptions; not a company-announced project</x:v>
      </x:c>
    </x:row>
    <x:row r="38">
      <x:c r="A38" s="34" t="str">
        <x:v>CAND-2B5676B6D45C1A</x:v>
      </x:c>
      <x:c r="B38" s="34" t="str">
        <x:v>POSCO_KR</x:v>
      </x:c>
      <x:c r="C38" s="34" t="str">
        <x:v>POSCO</x:v>
      </x:c>
      <x:c r="D38" s="34" t="str">
        <x:v>P1</x:v>
      </x:c>
      <x:c r="E38" s="34" t="str">
        <x:v>지연·현물조달</x:v>
      </x:c>
      <x:c r="F38" s="34" t="str">
        <x:v>PORT-C84CC20B372A</x:v>
      </x:c>
      <x:c r="G38" s="34" t="str">
        <x:v>DISCLOSED_PATH</x:v>
      </x:c>
      <x:c r="H38" s="34" t="n">
        <x:v>5</x:v>
      </x:c>
      <x:c r="I38" s="34" t="n">
        <x:v>2029</x:v>
      </x:c>
      <x:c r="J38" s="34" t="n">
        <x:v>2037</x:v>
      </x:c>
      <x:c r="K38" s="34" t="n">
        <x:v>0.550802</x:v>
      </x:c>
      <x:c r="L38" s="34" t="n">
        <x:v>0.417112</x:v>
      </x:c>
      <x:c r="M38" s="34" t="n">
        <x:v>0</x:v>
      </x:c>
      <x:c r="N38" s="34" t="n">
        <x:v>0.032086</x:v>
      </x:c>
      <x:c r="O38" s="34" t="n">
        <x:v>0</x:v>
      </x:c>
      <x:c r="P38" s="34" t="n">
        <x:v>0</x:v>
      </x:c>
      <x:c r="Q38" s="34" t="n">
        <x:v>0.1</x:v>
      </x:c>
      <x:c r="R38" s="34" t="n">
        <x:v>0</x:v>
      </x:c>
      <x:c r="S38" s="34" t="n">
        <x:v>0</x:v>
      </x:c>
      <x:c r="T38" s="34" t="n">
        <x:v>267.633863</x:v>
      </x:c>
      <x:c r="U38" s="34" t="str">
        <x:v>POS-GWY-E:BF_RELINE:2037|POS-GWY-EAF:EAF_RENEWABLE:2033|POS-GWY-W:BF_RELINE:2035|POS-POH-N:SCRAP_EAF:2029|POS-POH-S:SCRAP_EAF:2032</x:v>
      </x:c>
      <x:c r="V38" s="34" t="str">
        <x:v>model_generated_candidate</x:v>
      </x:c>
      <x:c r="W38" s="34" t="str">
        <x:v>Generated from disclosed-path facility calendar, technology set and template contracting assumptions; not a company-announced project</x:v>
      </x:c>
    </x:row>
    <x:row r="39">
      <x:c r="A39" s="34" t="str">
        <x:v>CAND-2DFF873B7DBA5A</x:v>
      </x:c>
      <x:c r="B39" s="34" t="str">
        <x:v>POSCO_KR</x:v>
      </x:c>
      <x:c r="C39" s="34" t="str">
        <x:v>POSCO</x:v>
      </x:c>
      <x:c r="D39" s="34" t="str">
        <x:v>P1</x:v>
      </x:c>
      <x:c r="E39" s="34" t="str">
        <x:v>지연·현물조달</x:v>
      </x:c>
      <x:c r="F39" s="34" t="str">
        <x:v>PORT-914DDED0291C</x:v>
      </x:c>
      <x:c r="G39" s="34" t="str">
        <x:v>DISCLOSED_PATH</x:v>
      </x:c>
      <x:c r="H39" s="34" t="n">
        <x:v>5</x:v>
      </x:c>
      <x:c r="I39" s="34" t="n">
        <x:v>2029</x:v>
      </x:c>
      <x:c r="J39" s="34" t="n">
        <x:v>2037</x:v>
      </x:c>
      <x:c r="K39" s="34" t="n">
        <x:v>0</x:v>
      </x:c>
      <x:c r="L39" s="34" t="n">
        <x:v>0.550802</x:v>
      </x:c>
      <x:c r="M39" s="34" t="n">
        <x:v>0.417112</x:v>
      </x:c>
      <x:c r="N39" s="34" t="n">
        <x:v>0.032086</x:v>
      </x:c>
      <x:c r="O39" s="34" t="n">
        <x:v>0</x:v>
      </x:c>
      <x:c r="P39" s="34" t="n">
        <x:v>0</x:v>
      </x:c>
      <x:c r="Q39" s="34" t="n">
        <x:v>0.1</x:v>
      </x:c>
      <x:c r="R39" s="34" t="n">
        <x:v>0</x:v>
      </x:c>
      <x:c r="S39" s="34" t="n">
        <x:v>0</x:v>
      </x:c>
      <x:c r="T39" s="34" t="n">
        <x:v>443.501227</x:v>
      </x:c>
      <x:c r="U39" s="34" t="str">
        <x:v>POS-GWY-E:SCRAP_EAF:2037|POS-GWY-EAF:EAF_RENEWABLE:2033|POS-GWY-W:SCRAP_EAF:2035|POS-POH-N:H2_DRI_EAF:2029|POS-POH-S:H2_DRI_EAF:2032</x:v>
      </x:c>
      <x:c r="V39" s="34" t="str">
        <x:v>model_generated_candidate</x:v>
      </x:c>
      <x:c r="W39" s="34" t="str">
        <x:v>Generated from disclosed-path facility calendar, technology set and template contracting assumptions; not a company-announced project</x:v>
      </x:c>
    </x:row>
    <x:row r="40">
      <x:c r="A40" s="34" t="str">
        <x:v>CAND-2E3979656A2F4C</x:v>
      </x:c>
      <x:c r="B40" s="34" t="str">
        <x:v>POSCO_KR</x:v>
      </x:c>
      <x:c r="C40" s="34" t="str">
        <x:v>POSCO</x:v>
      </x:c>
      <x:c r="D40" s="34" t="str">
        <x:v>P1</x:v>
      </x:c>
      <x:c r="E40" s="34" t="str">
        <x:v>지연·현물조달</x:v>
      </x:c>
      <x:c r="F40" s="34" t="str">
        <x:v>PORT-BC271EDDCEA1</x:v>
      </x:c>
      <x:c r="G40" s="34" t="str">
        <x:v>DISCLOSED_PATH</x:v>
      </x:c>
      <x:c r="H40" s="34" t="n">
        <x:v>5</x:v>
      </x:c>
      <x:c r="I40" s="34" t="n">
        <x:v>2029</x:v>
      </x:c>
      <x:c r="J40" s="34" t="n">
        <x:v>2037</x:v>
      </x:c>
      <x:c r="K40" s="34" t="n">
        <x:v>0.473262</x:v>
      </x:c>
      <x:c r="L40" s="34" t="n">
        <x:v>0.275401</x:v>
      </x:c>
      <x:c r="M40" s="34" t="n">
        <x:v>0.219251</x:v>
      </x:c>
      <x:c r="N40" s="34" t="n">
        <x:v>0.032086</x:v>
      </x:c>
      <x:c r="O40" s="34" t="n">
        <x:v>0</x:v>
      </x:c>
      <x:c r="P40" s="34" t="n">
        <x:v>0</x:v>
      </x:c>
      <x:c r="Q40" s="34" t="n">
        <x:v>0.1</x:v>
      </x:c>
      <x:c r="R40" s="34" t="n">
        <x:v>0</x:v>
      </x:c>
      <x:c r="S40" s="34" t="n">
        <x:v>0</x:v>
      </x:c>
      <x:c r="T40" s="34" t="n">
        <x:v>284.343839</x:v>
      </x:c>
      <x:c r="U40" s="34" t="str">
        <x:v>POS-GWY-E:BF_RELINE:2037|POS-GWY-EAF:EAF_RENEWABLE:2033|POS-GWY-W:SCRAP_EAF:2035|POS-POH-N:H2_DRI_EAF:2029|POS-POH-S:BF_RELINE:2032</x:v>
      </x:c>
      <x:c r="V40" s="34" t="str">
        <x:v>model_generated_candidate</x:v>
      </x:c>
      <x:c r="W40" s="34" t="str">
        <x:v>Generated from disclosed-path facility calendar, technology set and template contracting assumptions; not a company-announced project</x:v>
      </x:c>
    </x:row>
    <x:row r="41">
      <x:c r="A41" s="34" t="str">
        <x:v>CAND-2EAFEFF65EF371</x:v>
      </x:c>
      <x:c r="B41" s="34" t="str">
        <x:v>POSCO_KR</x:v>
      </x:c>
      <x:c r="C41" s="34" t="str">
        <x:v>POSCO</x:v>
      </x:c>
      <x:c r="D41" s="34" t="str">
        <x:v>P1</x:v>
      </x:c>
      <x:c r="E41" s="34" t="str">
        <x:v>지연·현물조달</x:v>
      </x:c>
      <x:c r="F41" s="34" t="str">
        <x:v>PORT-39601EAF8865</x:v>
      </x:c>
      <x:c r="G41" s="34" t="str">
        <x:v>DISCLOSED_PATH</x:v>
      </x:c>
      <x:c r="H41" s="34" t="n">
        <x:v>5</x:v>
      </x:c>
      <x:c r="I41" s="34" t="n">
        <x:v>2029</x:v>
      </x:c>
      <x:c r="J41" s="34" t="n">
        <x:v>2037</x:v>
      </x:c>
      <x:c r="K41" s="34" t="n">
        <x:v>0.417112</x:v>
      </x:c>
      <x:c r="L41" s="34" t="n">
        <x:v>0.275401</x:v>
      </x:c>
      <x:c r="M41" s="34" t="n">
        <x:v>0.275401</x:v>
      </x:c>
      <x:c r="N41" s="34" t="n">
        <x:v>0.032086</x:v>
      </x:c>
      <x:c r="O41" s="34" t="n">
        <x:v>0</x:v>
      </x:c>
      <x:c r="P41" s="34" t="n">
        <x:v>0</x:v>
      </x:c>
      <x:c r="Q41" s="34" t="n">
        <x:v>0.1</x:v>
      </x:c>
      <x:c r="R41" s="34" t="n">
        <x:v>0</x:v>
      </x:c>
      <x:c r="S41" s="34" t="n">
        <x:v>0</x:v>
      </x:c>
      <x:c r="T41" s="34" t="n">
        <x:v>193.924259</x:v>
      </x:c>
      <x:c r="U41" s="34" t="str">
        <x:v>POS-GWY-E:H2_DRI_EAF:2037|POS-GWY-EAF:EAF_RENEWABLE:2033|POS-GWY-W:SCRAP_EAF:2035|POS-POH-N:BF_RELINE:2029|POS-POH-S:BF_RELINE:2032</x:v>
      </x:c>
      <x:c r="V41" s="34" t="str">
        <x:v>model_generated_candidate</x:v>
      </x:c>
      <x:c r="W41" s="34" t="str">
        <x:v>Generated from disclosed-path facility calendar, technology set and template contracting assumptions; not a company-announced project</x:v>
      </x:c>
    </x:row>
    <x:row r="42">
      <x:c r="A42" s="34" t="str">
        <x:v>CAND-2F5D03A613EDBE</x:v>
      </x:c>
      <x:c r="B42" s="34" t="str">
        <x:v>POSCO_KR</x:v>
      </x:c>
      <x:c r="C42" s="34" t="str">
        <x:v>POSCO</x:v>
      </x:c>
      <x:c r="D42" s="34" t="str">
        <x:v>P1</x:v>
      </x:c>
      <x:c r="E42" s="34" t="str">
        <x:v>지연·현물조달</x:v>
      </x:c>
      <x:c r="F42" s="34" t="str">
        <x:v>PORT-0E469489028A</x:v>
      </x:c>
      <x:c r="G42" s="34" t="str">
        <x:v>DISCLOSED_PATH</x:v>
      </x:c>
      <x:c r="H42" s="34" t="n">
        <x:v>5</x:v>
      </x:c>
      <x:c r="I42" s="34" t="n">
        <x:v>2029</x:v>
      </x:c>
      <x:c r="J42" s="34" t="n">
        <x:v>2037</x:v>
      </x:c>
      <x:c r="K42" s="34" t="n">
        <x:v>0.473262</x:v>
      </x:c>
      <x:c r="L42" s="34" t="n">
        <x:v>0.494652</x:v>
      </x:c>
      <x:c r="M42" s="34" t="n">
        <x:v>0</x:v>
      </x:c>
      <x:c r="N42" s="34" t="n">
        <x:v>0.032086</x:v>
      </x:c>
      <x:c r="O42" s="34" t="n">
        <x:v>0</x:v>
      </x:c>
      <x:c r="P42" s="34" t="n">
        <x:v>0</x:v>
      </x:c>
      <x:c r="Q42" s="34" t="n">
        <x:v>0.1</x:v>
      </x:c>
      <x:c r="R42" s="34" t="n">
        <x:v>0</x:v>
      </x:c>
      <x:c r="S42" s="34" t="n">
        <x:v>0</x:v>
      </x:c>
      <x:c r="T42" s="34" t="n">
        <x:v>261.543846</x:v>
      </x:c>
      <x:c r="U42" s="34" t="str">
        <x:v>POS-GWY-E:BF_RELINE:2037|POS-GWY-EAF:EAF_RENEWABLE:2033|POS-GWY-W:SCRAP_EAF:2035|POS-POH-N:SCRAP_EAF:2029|POS-POH-S:BF_RELINE:2032</x:v>
      </x:c>
      <x:c r="V42" s="34" t="str">
        <x:v>model_generated_candidate</x:v>
      </x:c>
      <x:c r="W42" s="34" t="str">
        <x:v>Generated from disclosed-path facility calendar, technology set and template contracting assumptions; not a company-announced project</x:v>
      </x:c>
    </x:row>
    <x:row r="43">
      <x:c r="A43" s="34" t="str">
        <x:v>CAND-2FCEDED2C189C1</x:v>
      </x:c>
      <x:c r="B43" s="34" t="str">
        <x:v>POSCO_KR</x:v>
      </x:c>
      <x:c r="C43" s="34" t="str">
        <x:v>POSCO</x:v>
      </x:c>
      <x:c r="D43" s="34" t="str">
        <x:v>P4</x:v>
      </x:c>
      <x:c r="E43" s="34" t="str">
        <x:v>균형형 전환</x:v>
      </x:c>
      <x:c r="F43" s="34" t="str">
        <x:v>PORT-08632101CCF5</x:v>
      </x:c>
      <x:c r="G43" s="34" t="str">
        <x:v>DISCLOSED_PATH</x:v>
      </x:c>
      <x:c r="H43" s="34" t="n">
        <x:v>5</x:v>
      </x:c>
      <x:c r="I43" s="34" t="n">
        <x:v>2028</x:v>
      </x:c>
      <x:c r="J43" s="34" t="n">
        <x:v>2036</x:v>
      </x:c>
      <x:c r="K43" s="34" t="n">
        <x:v>0</x:v>
      </x:c>
      <x:c r="L43" s="34" t="n">
        <x:v>0.417112</x:v>
      </x:c>
      <x:c r="M43" s="34" t="n">
        <x:v>0.550802</x:v>
      </x:c>
      <x:c r="N43" s="34" t="n">
        <x:v>0.032086</x:v>
      </x:c>
      <x:c r="O43" s="34" t="n">
        <x:v>0.5</x:v>
      </x:c>
      <x:c r="P43" s="34" t="n">
        <x:v>0.45</x:v>
      </x:c>
      <x:c r="Q43" s="34" t="n">
        <x:v>0.5</x:v>
      </x:c>
      <x:c r="R43" s="34" t="n">
        <x:v>0.4</x:v>
      </x:c>
      <x:c r="S43" s="34" t="n">
        <x:v>0.02</x:v>
      </x:c>
      <x:c r="T43" s="34" t="n">
        <x:v>488.606259</x:v>
      </x:c>
      <x:c r="U43" s="34" t="str">
        <x:v>POS-GWY-E:H2_DRI_EAF:2036|POS-GWY-EAF:EAF_RENEWABLE:2032|POS-GWY-W:H2_DRI_EAF:2034|POS-POH-N:SCRAP_EAF:2028|POS-POH-S:SCRAP_EAF:2031</x:v>
      </x:c>
      <x:c r="V43" s="34" t="str">
        <x:v>model_generated_candidate</x:v>
      </x:c>
      <x:c r="W43" s="34" t="str">
        <x:v>Generated from disclosed-path facility calendar, technology set and template contracting assumptions; not a company-announced project</x:v>
      </x:c>
    </x:row>
    <x:row r="44">
      <x:c r="A44" s="34" t="str">
        <x:v>CAND-33464B9BFCF5F1</x:v>
      </x:c>
      <x:c r="B44" s="34" t="str">
        <x:v>POSCO_KR</x:v>
      </x:c>
      <x:c r="C44" s="34" t="str">
        <x:v>POSCO</x:v>
      </x:c>
      <x:c r="D44" s="34" t="str">
        <x:v>P2</x:v>
      </x:c>
      <x:c r="E44" s="34" t="str">
        <x:v>지연·부분헤지</x:v>
      </x:c>
      <x:c r="F44" s="34" t="str">
        <x:v>PORT-88B20AD20AAC</x:v>
      </x:c>
      <x:c r="G44" s="34" t="str">
        <x:v>DISCLOSED_PATH</x:v>
      </x:c>
      <x:c r="H44" s="34" t="n">
        <x:v>5</x:v>
      </x:c>
      <x:c r="I44" s="34" t="n">
        <x:v>2029</x:v>
      </x:c>
      <x:c r="J44" s="34" t="n">
        <x:v>2037</x:v>
      </x:c>
      <x:c r="K44" s="34" t="n">
        <x:v>0.275401</x:v>
      </x:c>
      <x:c r="L44" s="34" t="n">
        <x:v>0</x:v>
      </x:c>
      <x:c r="M44" s="34" t="n">
        <x:v>0.692513</x:v>
      </x:c>
      <x:c r="N44" s="34" t="n">
        <x:v>0.032086</x:v>
      </x:c>
      <x:c r="O44" s="34" t="n">
        <x:v>0.15</x:v>
      </x:c>
      <x:c r="P44" s="34" t="n">
        <x:v>0.1</x:v>
      </x:c>
      <x:c r="Q44" s="34" t="n">
        <x:v>0.2</x:v>
      </x:c>
      <x:c r="R44" s="34" t="n">
        <x:v>0.1</x:v>
      </x:c>
      <x:c r="S44" s="34" t="n">
        <x:v>0.01</x:v>
      </x:c>
      <x:c r="T44" s="34" t="n">
        <x:v>402.633847</x:v>
      </x:c>
      <x:c r="U44" s="34" t="str">
        <x:v>POS-GWY-E:BF_RELINE:2037|POS-GWY-EAF:EAF_RENEWABLE:2033|POS-GWY-W:H2_DRI_EAF:2035|POS-POH-N:H2_DRI_EAF:2029|POS-POH-S:H2_DRI_EAF:2032</x:v>
      </x:c>
      <x:c r="V44" s="34" t="str">
        <x:v>model_generated_candidate</x:v>
      </x:c>
      <x:c r="W44" s="34" t="str">
        <x:v>Generated from disclosed-path facility calendar, technology set and template contracting assumptions; not a company-announced project</x:v>
      </x:c>
    </x:row>
    <x:row r="45">
      <x:c r="A45" s="34" t="str">
        <x:v>CAND-34EC5D94896BC9</x:v>
      </x:c>
      <x:c r="B45" s="34" t="str">
        <x:v>POSCO_KR</x:v>
      </x:c>
      <x:c r="C45" s="34" t="str">
        <x:v>POSCO</x:v>
      </x:c>
      <x:c r="D45" s="34" t="str">
        <x:v>P1</x:v>
      </x:c>
      <x:c r="E45" s="34" t="str">
        <x:v>지연·현물조달</x:v>
      </x:c>
      <x:c r="F45" s="34" t="str">
        <x:v>PORT-560F313069EA</x:v>
      </x:c>
      <x:c r="G45" s="34" t="str">
        <x:v>DISCLOSED_PATH</x:v>
      </x:c>
      <x:c r="H45" s="34" t="n">
        <x:v>5</x:v>
      </x:c>
      <x:c r="I45" s="34" t="n">
        <x:v>2029</x:v>
      </x:c>
      <x:c r="J45" s="34" t="n">
        <x:v>2037</x:v>
      </x:c>
      <x:c r="K45" s="34" t="n">
        <x:v>0</x:v>
      </x:c>
      <x:c r="L45" s="34" t="n">
        <x:v>0.473262</x:v>
      </x:c>
      <x:c r="M45" s="34" t="n">
        <x:v>0.494652</x:v>
      </x:c>
      <x:c r="N45" s="34" t="n">
        <x:v>0.032086</x:v>
      </x:c>
      <x:c r="O45" s="34" t="n">
        <x:v>0</x:v>
      </x:c>
      <x:c r="P45" s="34" t="n">
        <x:v>0</x:v>
      </x:c>
      <x:c r="Q45" s="34" t="n">
        <x:v>0.1</x:v>
      </x:c>
      <x:c r="R45" s="34" t="n">
        <x:v>0</x:v>
      </x:c>
      <x:c r="S45" s="34" t="n">
        <x:v>0</x:v>
      </x:c>
      <x:c r="T45" s="34" t="n">
        <x:v>442.451224</x:v>
      </x:c>
      <x:c r="U45" s="34" t="str">
        <x:v>POS-GWY-E:SCRAP_EAF:2037|POS-GWY-EAF:EAF_RENEWABLE:2033|POS-GWY-W:H2_DRI_EAF:2035|POS-POH-N:H2_DRI_EAF:2029|POS-POH-S:SCRAP_EAF:2032</x:v>
      </x:c>
      <x:c r="V45" s="34" t="str">
        <x:v>model_generated_candidate</x:v>
      </x:c>
      <x:c r="W45" s="34" t="str">
        <x:v>Generated from disclosed-path facility calendar, technology set and template contracting assumptions; not a company-announced project</x:v>
      </x:c>
    </x:row>
    <x:row r="46">
      <x:c r="A46" s="34" t="str">
        <x:v>CAND-3507880EF33BF0</x:v>
      </x:c>
      <x:c r="B46" s="34" t="str">
        <x:v>POSCO_KR</x:v>
      </x:c>
      <x:c r="C46" s="34" t="str">
        <x:v>POSCO</x:v>
      </x:c>
      <x:c r="D46" s="34" t="str">
        <x:v>P1</x:v>
      </x:c>
      <x:c r="E46" s="34" t="str">
        <x:v>지연·현물조달</x:v>
      </x:c>
      <x:c r="F46" s="34" t="str">
        <x:v>PORT-F28B31921945</x:v>
      </x:c>
      <x:c r="G46" s="34" t="str">
        <x:v>DISCLOSED_PATH</x:v>
      </x:c>
      <x:c r="H46" s="34" t="n">
        <x:v>5</x:v>
      </x:c>
      <x:c r="I46" s="34" t="n">
        <x:v>2029</x:v>
      </x:c>
      <x:c r="J46" s="34" t="n">
        <x:v>2037</x:v>
      </x:c>
      <x:c r="K46" s="34" t="n">
        <x:v>0.275401</x:v>
      </x:c>
      <x:c r="L46" s="34" t="n">
        <x:v>0.692513</x:v>
      </x:c>
      <x:c r="M46" s="34" t="n">
        <x:v>0</x:v>
      </x:c>
      <x:c r="N46" s="34" t="n">
        <x:v>0.032086</x:v>
      </x:c>
      <x:c r="O46" s="34" t="n">
        <x:v>0</x:v>
      </x:c>
      <x:c r="P46" s="34" t="n">
        <x:v>0</x:v>
      </x:c>
      <x:c r="Q46" s="34" t="n">
        <x:v>0.1</x:v>
      </x:c>
      <x:c r="R46" s="34" t="n">
        <x:v>0</x:v>
      </x:c>
      <x:c r="S46" s="34" t="n">
        <x:v>0</x:v>
      </x:c>
      <x:c r="T46" s="34" t="n">
        <x:v>322.751241</x:v>
      </x:c>
      <x:c r="U46" s="34" t="str">
        <x:v>POS-GWY-E:SCRAP_EAF:2037|POS-GWY-EAF:EAF_RENEWABLE:2033|POS-GWY-W:BF_RELINE:2035|POS-POH-N:SCRAP_EAF:2029|POS-POH-S:SCRAP_EAF:2032</x:v>
      </x:c>
      <x:c r="V46" s="34" t="str">
        <x:v>model_generated_candidate</x:v>
      </x:c>
      <x:c r="W46" s="34" t="str">
        <x:v>Generated from disclosed-path facility calendar, technology set and template contracting assumptions; not a company-announced project</x:v>
      </x:c>
    </x:row>
    <x:row r="47">
      <x:c r="A47" s="34" t="str">
        <x:v>CAND-3628A7B8A49C9B</x:v>
      </x:c>
      <x:c r="B47" s="34" t="str">
        <x:v>POSCO_KR</x:v>
      </x:c>
      <x:c r="C47" s="34" t="str">
        <x:v>POSCO</x:v>
      </x:c>
      <x:c r="D47" s="34" t="str">
        <x:v>P2</x:v>
      </x:c>
      <x:c r="E47" s="34" t="str">
        <x:v>지연·부분헤지</x:v>
      </x:c>
      <x:c r="F47" s="34" t="str">
        <x:v>PORT-582BD7A8624A</x:v>
      </x:c>
      <x:c r="G47" s="34" t="str">
        <x:v>DISCLOSED_PATH</x:v>
      </x:c>
      <x:c r="H47" s="34" t="n">
        <x:v>5</x:v>
      </x:c>
      <x:c r="I47" s="34" t="n">
        <x:v>2029</x:v>
      </x:c>
      <x:c r="J47" s="34" t="n">
        <x:v>2037</x:v>
      </x:c>
      <x:c r="K47" s="34" t="n">
        <x:v>0.692513</x:v>
      </x:c>
      <x:c r="L47" s="34" t="n">
        <x:v>0</x:v>
      </x:c>
      <x:c r="M47" s="34" t="n">
        <x:v>0.275401</x:v>
      </x:c>
      <x:c r="N47" s="34" t="n">
        <x:v>0.032086</x:v>
      </x:c>
      <x:c r="O47" s="34" t="n">
        <x:v>0.15</x:v>
      </x:c>
      <x:c r="P47" s="34" t="n">
        <x:v>0.1</x:v>
      </x:c>
      <x:c r="Q47" s="34" t="n">
        <x:v>0.2</x:v>
      </x:c>
      <x:c r="R47" s="34" t="n">
        <x:v>0.1</x:v>
      </x:c>
      <x:c r="S47" s="34" t="n">
        <x:v>0.01</x:v>
      </x:c>
      <x:c r="T47" s="34" t="n">
        <x:v>143.553883</x:v>
      </x:c>
      <x:c r="U47" s="34" t="str">
        <x:v>POS-GWY-E:BF_RELINE:2037|POS-GWY-EAF:EAF_RENEWABLE:2033|POS-GWY-W:H2_DRI_EAF:2035|POS-POH-N:BF_RELINE:2029|POS-POH-S:BF_RELINE:2032</x:v>
      </x:c>
      <x:c r="V47" s="34" t="str">
        <x:v>model_generated_candidate</x:v>
      </x:c>
      <x:c r="W47" s="34" t="str">
        <x:v>Generated from disclosed-path facility calendar, technology set and template contracting assumptions; not a company-announced project</x:v>
      </x:c>
    </x:row>
    <x:row r="48">
      <x:c r="A48" s="34" t="str">
        <x:v>CAND-368B9DEAF0CA93</x:v>
      </x:c>
      <x:c r="B48" s="34" t="str">
        <x:v>POSCO_KR</x:v>
      </x:c>
      <x:c r="C48" s="34" t="str">
        <x:v>POSCO</x:v>
      </x:c>
      <x:c r="D48" s="34" t="str">
        <x:v>P5</x:v>
      </x:c>
      <x:c r="E48" s="34" t="str">
        <x:v>조기 계약형 전환</x:v>
      </x:c>
      <x:c r="F48" s="34" t="str">
        <x:v>PORT-1319BCCBA344</x:v>
      </x:c>
      <x:c r="G48" s="34" t="str">
        <x:v>DISCLOSED_PATH</x:v>
      </x:c>
      <x:c r="H48" s="34" t="n">
        <x:v>5</x:v>
      </x:c>
      <x:c r="I48" s="34" t="n">
        <x:v>2028</x:v>
      </x:c>
      <x:c r="J48" s="34" t="n">
        <x:v>2036</x:v>
      </x:c>
      <x:c r="K48" s="34" t="n">
        <x:v>0.275401</x:v>
      </x:c>
      <x:c r="L48" s="34" t="n">
        <x:v>0</x:v>
      </x:c>
      <x:c r="M48" s="34" t="n">
        <x:v>0.692513</x:v>
      </x:c>
      <x:c r="N48" s="34" t="n">
        <x:v>0.032086</x:v>
      </x:c>
      <x:c r="O48" s="34" t="n">
        <x:v>0.7</x:v>
      </x:c>
      <x:c r="P48" s="34" t="n">
        <x:v>0.65</x:v>
      </x:c>
      <x:c r="Q48" s="34" t="n">
        <x:v>0.65</x:v>
      </x:c>
      <x:c r="R48" s="34" t="n">
        <x:v>0.6</x:v>
      </x:c>
      <x:c r="S48" s="34" t="n">
        <x:v>0.025</x:v>
      </x:c>
      <x:c r="T48" s="34" t="n">
        <x:v>449.530784</x:v>
      </x:c>
      <x:c r="U48" s="34" t="str">
        <x:v>POS-GWY-E:BF_RELINE:2036|POS-GWY-EAF:EAF_RENEWABLE:2032|POS-GWY-W:H2_DRI_EAF:2034|POS-POH-N:H2_DRI_EAF:2028|POS-POH-S:H2_DRI_EAF:2031</x:v>
      </x:c>
      <x:c r="V48" s="34" t="str">
        <x:v>model_generated_candidate</x:v>
      </x:c>
      <x:c r="W48" s="34" t="str">
        <x:v>Generated from disclosed-path facility calendar, technology set and template contracting assumptions; not a company-announced project</x:v>
      </x:c>
    </x:row>
    <x:row r="49">
      <x:c r="A49" s="34" t="str">
        <x:v>CAND-3C2E939294CFA6</x:v>
      </x:c>
      <x:c r="B49" s="34" t="str">
        <x:v>POSCO_KR</x:v>
      </x:c>
      <x:c r="C49" s="34" t="str">
        <x:v>POSCO</x:v>
      </x:c>
      <x:c r="D49" s="34" t="str">
        <x:v>P1</x:v>
      </x:c>
      <x:c r="E49" s="34" t="str">
        <x:v>지연·현물조달</x:v>
      </x:c>
      <x:c r="F49" s="34" t="str">
        <x:v>PORT-0DA980ACBA29</x:v>
      </x:c>
      <x:c r="G49" s="34" t="str">
        <x:v>DISCLOSED_PATH</x:v>
      </x:c>
      <x:c r="H49" s="34" t="n">
        <x:v>5</x:v>
      </x:c>
      <x:c r="I49" s="34" t="n">
        <x:v>2029</x:v>
      </x:c>
      <x:c r="J49" s="34" t="n">
        <x:v>2037</x:v>
      </x:c>
      <x:c r="K49" s="34" t="n">
        <x:v>0.275401</x:v>
      </x:c>
      <x:c r="L49" s="34" t="n">
        <x:v>0.494652</x:v>
      </x:c>
      <x:c r="M49" s="34" t="n">
        <x:v>0.197861</x:v>
      </x:c>
      <x:c r="N49" s="34" t="n">
        <x:v>0.032086</x:v>
      </x:c>
      <x:c r="O49" s="34" t="n">
        <x:v>0</x:v>
      </x:c>
      <x:c r="P49" s="34" t="n">
        <x:v>0</x:v>
      </x:c>
      <x:c r="Q49" s="34" t="n">
        <x:v>0.1</x:v>
      </x:c>
      <x:c r="R49" s="34" t="n">
        <x:v>0</x:v>
      </x:c>
      <x:c r="S49" s="34" t="n">
        <x:v>0</x:v>
      </x:c>
      <x:c r="T49" s="34" t="n">
        <x:v>365.583855</x:v>
      </x:c>
      <x:c r="U49" s="34" t="str">
        <x:v>POS-GWY-E:BF_RELINE:2037|POS-GWY-EAF:EAF_RENEWABLE:2033|POS-GWY-W:SCRAP_EAF:2035|POS-POH-N:SCRAP_EAF:2029|POS-POH-S:H2_DRI_EAF:2032</x:v>
      </x:c>
      <x:c r="V49" s="34" t="str">
        <x:v>model_generated_candidate</x:v>
      </x:c>
      <x:c r="W49" s="34" t="str">
        <x:v>Generated from disclosed-path facility calendar, technology set and template contracting assumptions; not a company-announced project</x:v>
      </x:c>
    </x:row>
    <x:row r="50">
      <x:c r="A50" s="34" t="str">
        <x:v>CAND-3C7B4652F1639B</x:v>
      </x:c>
      <x:c r="B50" s="34" t="str">
        <x:v>POSCO_KR</x:v>
      </x:c>
      <x:c r="C50" s="34" t="str">
        <x:v>POSCO</x:v>
      </x:c>
      <x:c r="D50" s="34" t="str">
        <x:v>P2</x:v>
      </x:c>
      <x:c r="E50" s="34" t="str">
        <x:v>지연·부분헤지</x:v>
      </x:c>
      <x:c r="F50" s="34" t="str">
        <x:v>PORT-C86521A83E05</x:v>
      </x:c>
      <x:c r="G50" s="34" t="str">
        <x:v>DISCLOSED_PATH</x:v>
      </x:c>
      <x:c r="H50" s="34" t="n">
        <x:v>5</x:v>
      </x:c>
      <x:c r="I50" s="34" t="n">
        <x:v>2029</x:v>
      </x:c>
      <x:c r="J50" s="34" t="n">
        <x:v>2037</x:v>
      </x:c>
      <x:c r="K50" s="34" t="n">
        <x:v>0.748663</x:v>
      </x:c>
      <x:c r="L50" s="34" t="n">
        <x:v>0</x:v>
      </x:c>
      <x:c r="M50" s="34" t="n">
        <x:v>0.219251</x:v>
      </x:c>
      <x:c r="N50" s="34" t="n">
        <x:v>0.032086</x:v>
      </x:c>
      <x:c r="O50" s="34" t="n">
        <x:v>0.15</x:v>
      </x:c>
      <x:c r="P50" s="34" t="n">
        <x:v>0.1</x:v>
      </x:c>
      <x:c r="Q50" s="34" t="n">
        <x:v>0.2</x:v>
      </x:c>
      <x:c r="R50" s="34" t="n">
        <x:v>0.1</x:v>
      </x:c>
      <x:c r="S50" s="34" t="n">
        <x:v>0.01</x:v>
      </x:c>
      <x:c r="T50" s="34" t="n">
        <x:v>201.693848</x:v>
      </x:c>
      <x:c r="U50" s="34" t="str">
        <x:v>POS-GWY-E:BF_RELINE:2037|POS-GWY-EAF:EAF_RENEWABLE:2033|POS-GWY-W:BF_RELINE:2035|POS-POH-N:H2_DRI_EAF:2029|POS-POH-S:BF_RELINE:2032</x:v>
      </x:c>
      <x:c r="V50" s="34" t="str">
        <x:v>model_generated_candidate</x:v>
      </x:c>
      <x:c r="W50" s="34" t="str">
        <x:v>Generated from disclosed-path facility calendar, technology set and template contracting assumptions; not a company-announced project</x:v>
      </x:c>
    </x:row>
    <x:row r="51">
      <x:c r="A51" s="34" t="str">
        <x:v>CAND-3D473BA95B905B</x:v>
      </x:c>
      <x:c r="B51" s="34" t="str">
        <x:v>POSCO_KR</x:v>
      </x:c>
      <x:c r="C51" s="34" t="str">
        <x:v>POSCO</x:v>
      </x:c>
      <x:c r="D51" s="34" t="str">
        <x:v>P2</x:v>
      </x:c>
      <x:c r="E51" s="34" t="str">
        <x:v>지연·부분헤지</x:v>
      </x:c>
      <x:c r="F51" s="34" t="str">
        <x:v>PORT-5EADC2E7AC5E</x:v>
      </x:c>
      <x:c r="G51" s="34" t="str">
        <x:v>DISCLOSED_PATH</x:v>
      </x:c>
      <x:c r="H51" s="34" t="n">
        <x:v>5</x:v>
      </x:c>
      <x:c r="I51" s="34" t="n">
        <x:v>2029</x:v>
      </x:c>
      <x:c r="J51" s="34" t="n">
        <x:v>2037</x:v>
      </x:c>
      <x:c r="K51" s="34" t="n">
        <x:v>0.550802</x:v>
      </x:c>
      <x:c r="L51" s="34" t="n">
        <x:v>0.197861</x:v>
      </x:c>
      <x:c r="M51" s="34" t="n">
        <x:v>0.219251</x:v>
      </x:c>
      <x:c r="N51" s="34" t="n">
        <x:v>0.032086</x:v>
      </x:c>
      <x:c r="O51" s="34" t="n">
        <x:v>0.15</x:v>
      </x:c>
      <x:c r="P51" s="34" t="n">
        <x:v>0.1</x:v>
      </x:c>
      <x:c r="Q51" s="34" t="n">
        <x:v>0.2</x:v>
      </x:c>
      <x:c r="R51" s="34" t="n">
        <x:v>0.1</x:v>
      </x:c>
      <x:c r="S51" s="34" t="n">
        <x:v>0.01</x:v>
      </x:c>
      <x:c r="T51" s="34" t="n">
        <x:v>290.433856</x:v>
      </x:c>
      <x:c r="U51" s="34" t="str">
        <x:v>POS-GWY-E:BF_RELINE:2037|POS-GWY-EAF:EAF_RENEWABLE:2033|POS-GWY-W:BF_RELINE:2035|POS-POH-N:H2_DRI_EAF:2029|POS-POH-S:SCRAP_EAF:2032</x:v>
      </x:c>
      <x:c r="V51" s="34" t="str">
        <x:v>model_generated_candidate</x:v>
      </x:c>
      <x:c r="W51" s="34" t="str">
        <x:v>Generated from disclosed-path facility calendar, technology set and template contracting assumptions; not a company-announced project</x:v>
      </x:c>
    </x:row>
    <x:row r="52">
      <x:c r="A52" s="34" t="str">
        <x:v>CAND-3E6ECFFBE0F7B4</x:v>
      </x:c>
      <x:c r="B52" s="34" t="str">
        <x:v>POSCO_KR</x:v>
      </x:c>
      <x:c r="C52" s="34" t="str">
        <x:v>POSCO</x:v>
      </x:c>
      <x:c r="D52" s="34" t="str">
        <x:v>P3</x:v>
      </x:c>
      <x:c r="E52" s="34" t="str">
        <x:v>균형형 라이트헤지</x:v>
      </x:c>
      <x:c r="F52" s="34" t="str">
        <x:v>PORT-0EE037EBD6C8</x:v>
      </x:c>
      <x:c r="G52" s="34" t="str">
        <x:v>DISCLOSED_PATH</x:v>
      </x:c>
      <x:c r="H52" s="34" t="n">
        <x:v>5</x:v>
      </x:c>
      <x:c r="I52" s="34" t="n">
        <x:v>2029</x:v>
      </x:c>
      <x:c r="J52" s="34" t="n">
        <x:v>2037</x:v>
      </x:c>
      <x:c r="K52" s="34" t="n">
        <x:v>0.275401</x:v>
      </x:c>
      <x:c r="L52" s="34" t="n">
        <x:v>0.197861</x:v>
      </x:c>
      <x:c r="M52" s="34" t="n">
        <x:v>0.494652</x:v>
      </x:c>
      <x:c r="N52" s="34" t="n">
        <x:v>0.032086</x:v>
      </x:c>
      <x:c r="O52" s="34" t="n">
        <x:v>0.3</x:v>
      </x:c>
      <x:c r="P52" s="34" t="n">
        <x:v>0.25</x:v>
      </x:c>
      <x:c r="Q52" s="34" t="n">
        <x:v>0.35</x:v>
      </x:c>
      <x:c r="R52" s="34" t="n">
        <x:v>0.25</x:v>
      </x:c>
      <x:c r="S52" s="34" t="n">
        <x:v>0.015</x:v>
      </x:c>
      <x:c r="T52" s="34" t="n">
        <x:v>387.333846</x:v>
      </x:c>
      <x:c r="U52" s="34" t="str">
        <x:v>POS-GWY-E:BF_RELINE:2037|POS-GWY-EAF:EAF_RENEWABLE:2033|POS-GWY-W:H2_DRI_EAF:2035|POS-POH-N:H2_DRI_EAF:2029|POS-POH-S:SCRAP_EAF:2032</x:v>
      </x:c>
      <x:c r="V52" s="34" t="str">
        <x:v>model_generated_candidate</x:v>
      </x:c>
      <x:c r="W52" s="34" t="str">
        <x:v>Generated from disclosed-path facility calendar, technology set and template contracting assumptions; not a company-announced project</x:v>
      </x:c>
    </x:row>
    <x:row r="53">
      <x:c r="A53" s="34" t="str">
        <x:v>CAND-3EF3401E681A60</x:v>
      </x:c>
      <x:c r="B53" s="34" t="str">
        <x:v>POSCO_KR</x:v>
      </x:c>
      <x:c r="C53" s="34" t="str">
        <x:v>POSCO</x:v>
      </x:c>
      <x:c r="D53" s="34" t="str">
        <x:v>P2</x:v>
      </x:c>
      <x:c r="E53" s="34" t="str">
        <x:v>지연·부분헤지</x:v>
      </x:c>
      <x:c r="F53" s="34" t="str">
        <x:v>PORT-92CC472C5A75</x:v>
      </x:c>
      <x:c r="G53" s="34" t="str">
        <x:v>DISCLOSED_PATH</x:v>
      </x:c>
      <x:c r="H53" s="34" t="n">
        <x:v>5</x:v>
      </x:c>
      <x:c r="I53" s="34" t="n">
        <x:v>2029</x:v>
      </x:c>
      <x:c r="J53" s="34" t="n">
        <x:v>2037</x:v>
      </x:c>
      <x:c r="K53" s="34" t="n">
        <x:v>0</x:v>
      </x:c>
      <x:c r="L53" s="34" t="n">
        <x:v>0.770053</x:v>
      </x:c>
      <x:c r="M53" s="34" t="n">
        <x:v>0.197861</x:v>
      </x:c>
      <x:c r="N53" s="34" t="n">
        <x:v>0.032086</x:v>
      </x:c>
      <x:c r="O53" s="34" t="n">
        <x:v>0.15</x:v>
      </x:c>
      <x:c r="P53" s="34" t="n">
        <x:v>0.1</x:v>
      </x:c>
      <x:c r="Q53" s="34" t="n">
        <x:v>0.2</x:v>
      </x:c>
      <x:c r="R53" s="34" t="n">
        <x:v>0.1</x:v>
      </x:c>
      <x:c r="S53" s="34" t="n">
        <x:v>0.01</x:v>
      </x:c>
      <x:c r="T53" s="34" t="n">
        <x:v>420.701234</x:v>
      </x:c>
      <x:c r="U53" s="34" t="str">
        <x:v>POS-GWY-E:SCRAP_EAF:2037|POS-GWY-EAF:EAF_RENEWABLE:2033|POS-GWY-W:SCRAP_EAF:2035|POS-POH-N:SCRAP_EAF:2029|POS-POH-S:H2_DRI_EAF:2032</x:v>
      </x:c>
      <x:c r="V53" s="34" t="str">
        <x:v>model_generated_candidate</x:v>
      </x:c>
      <x:c r="W53" s="34" t="str">
        <x:v>Generated from disclosed-path facility calendar, technology set and template contracting assumptions; not a company-announced project</x:v>
      </x:c>
    </x:row>
    <x:row r="54">
      <x:c r="A54" s="34" t="str">
        <x:v>CAND-40BFDB12501E80</x:v>
      </x:c>
      <x:c r="B54" s="34" t="str">
        <x:v>POSCO_KR</x:v>
      </x:c>
      <x:c r="C54" s="34" t="str">
        <x:v>POSCO</x:v>
      </x:c>
      <x:c r="D54" s="34" t="str">
        <x:v>P2</x:v>
      </x:c>
      <x:c r="E54" s="34" t="str">
        <x:v>지연·부분헤지</x:v>
      </x:c>
      <x:c r="F54" s="34" t="str">
        <x:v>PORT-39D02858EAF7</x:v>
      </x:c>
      <x:c r="G54" s="34" t="str">
        <x:v>DISCLOSED_PATH</x:v>
      </x:c>
      <x:c r="H54" s="34" t="n">
        <x:v>5</x:v>
      </x:c>
      <x:c r="I54" s="34" t="n">
        <x:v>2029</x:v>
      </x:c>
      <x:c r="J54" s="34" t="n">
        <x:v>2037</x:v>
      </x:c>
      <x:c r="K54" s="34" t="n">
        <x:v>0.197861</x:v>
      </x:c>
      <x:c r="L54" s="34" t="n">
        <x:v>0.550802</x:v>
      </x:c>
      <x:c r="M54" s="34" t="n">
        <x:v>0.219251</x:v>
      </x:c>
      <x:c r="N54" s="34" t="n">
        <x:v>0.032086</x:v>
      </x:c>
      <x:c r="O54" s="34" t="n">
        <x:v>0.15</x:v>
      </x:c>
      <x:c r="P54" s="34" t="n">
        <x:v>0.1</x:v>
      </x:c>
      <x:c r="Q54" s="34" t="n">
        <x:v>0.2</x:v>
      </x:c>
      <x:c r="R54" s="34" t="n">
        <x:v>0.1</x:v>
      </x:c>
      <x:c r="S54" s="34" t="n">
        <x:v>0.01</x:v>
      </x:c>
      <x:c r="T54" s="34" t="n">
        <x:v>339.461218</x:v>
      </x:c>
      <x:c r="U54" s="34" t="str">
        <x:v>POS-GWY-E:SCRAP_EAF:2037|POS-GWY-EAF:EAF_RENEWABLE:2033|POS-GWY-W:SCRAP_EAF:2035|POS-POH-N:H2_DRI_EAF:2029|POS-POH-S:BF_RELINE:2032</x:v>
      </x:c>
      <x:c r="V54" s="34" t="str">
        <x:v>model_generated_candidate</x:v>
      </x:c>
      <x:c r="W54" s="34" t="str">
        <x:v>Generated from disclosed-path facility calendar, technology set and template contracting assumptions; not a company-announced project</x:v>
      </x:c>
    </x:row>
    <x:row r="55">
      <x:c r="A55" s="34" t="str">
        <x:v>CAND-41EB575A6CCF22</x:v>
      </x:c>
      <x:c r="B55" s="34" t="str">
        <x:v>POSCO_KR</x:v>
      </x:c>
      <x:c r="C55" s="34" t="str">
        <x:v>POSCO</x:v>
      </x:c>
      <x:c r="D55" s="34" t="str">
        <x:v>P3</x:v>
      </x:c>
      <x:c r="E55" s="34" t="str">
        <x:v>균형형 라이트헤지</x:v>
      </x:c>
      <x:c r="F55" s="34" t="str">
        <x:v>PORT-E80F0DA86082</x:v>
      </x:c>
      <x:c r="G55" s="34" t="str">
        <x:v>DISCLOSED_PATH</x:v>
      </x:c>
      <x:c r="H55" s="34" t="n">
        <x:v>5</x:v>
      </x:c>
      <x:c r="I55" s="34" t="n">
        <x:v>2029</x:v>
      </x:c>
      <x:c r="J55" s="34" t="n">
        <x:v>2037</x:v>
      </x:c>
      <x:c r="K55" s="34" t="n">
        <x:v>0.473262</x:v>
      </x:c>
      <x:c r="L55" s="34" t="n">
        <x:v>0</x:v>
      </x:c>
      <x:c r="M55" s="34" t="n">
        <x:v>0.494652</x:v>
      </x:c>
      <x:c r="N55" s="34" t="n">
        <x:v>0.032086</x:v>
      </x:c>
      <x:c r="O55" s="34" t="n">
        <x:v>0.3</x:v>
      </x:c>
      <x:c r="P55" s="34" t="n">
        <x:v>0.25</x:v>
      </x:c>
      <x:c r="Q55" s="34" t="n">
        <x:v>0.35</x:v>
      </x:c>
      <x:c r="R55" s="34" t="n">
        <x:v>0.25</x:v>
      </x:c>
      <x:c r="S55" s="34" t="n">
        <x:v>0.015</x:v>
      </x:c>
      <x:c r="T55" s="34" t="n">
        <x:v>298.593838</x:v>
      </x:c>
      <x:c r="U55" s="34" t="str">
        <x:v>POS-GWY-E:BF_RELINE:2037|POS-GWY-EAF:EAF_RENEWABLE:2033|POS-GWY-W:H2_DRI_EAF:2035|POS-POH-N:H2_DRI_EAF:2029|POS-POH-S:BF_RELINE:2032</x:v>
      </x:c>
      <x:c r="V55" s="34" t="str">
        <x:v>model_generated_candidate</x:v>
      </x:c>
      <x:c r="W55" s="34" t="str">
        <x:v>Generated from disclosed-path facility calendar, technology set and template contracting assumptions; not a company-announced project</x:v>
      </x:c>
    </x:row>
    <x:row r="56">
      <x:c r="A56" s="34" t="str">
        <x:v>CAND-42754835C7B93E</x:v>
      </x:c>
      <x:c r="B56" s="34" t="str">
        <x:v>POSCO_KR</x:v>
      </x:c>
      <x:c r="C56" s="34" t="str">
        <x:v>POSCO</x:v>
      </x:c>
      <x:c r="D56" s="34" t="str">
        <x:v>P2</x:v>
      </x:c>
      <x:c r="E56" s="34" t="str">
        <x:v>지연·부분헤지</x:v>
      </x:c>
      <x:c r="F56" s="34" t="str">
        <x:v>PORT-531039DEA968</x:v>
      </x:c>
      <x:c r="G56" s="34" t="str">
        <x:v>DISCLOSED_PATH</x:v>
      </x:c>
      <x:c r="H56" s="34" t="n">
        <x:v>5</x:v>
      </x:c>
      <x:c r="I56" s="34" t="n">
        <x:v>2029</x:v>
      </x:c>
      <x:c r="J56" s="34" t="n">
        <x:v>2037</x:v>
      </x:c>
      <x:c r="K56" s="34" t="n">
        <x:v>0.219251</x:v>
      </x:c>
      <x:c r="L56" s="34" t="n">
        <x:v>0.275401</x:v>
      </x:c>
      <x:c r="M56" s="34" t="n">
        <x:v>0.473262</x:v>
      </x:c>
      <x:c r="N56" s="34" t="n">
        <x:v>0.032086</x:v>
      </x:c>
      <x:c r="O56" s="34" t="n">
        <x:v>0.15</x:v>
      </x:c>
      <x:c r="P56" s="34" t="n">
        <x:v>0.1</x:v>
      </x:c>
      <x:c r="Q56" s="34" t="n">
        <x:v>0.2</x:v>
      </x:c>
      <x:c r="R56" s="34" t="n">
        <x:v>0.1</x:v>
      </x:c>
      <x:c r="S56" s="34" t="n">
        <x:v>0.01</x:v>
      </x:c>
      <x:c r="T56" s="34" t="n">
        <x:v>297.964268</x:v>
      </x:c>
      <x:c r="U56" s="34" t="str">
        <x:v>POS-GWY-E:H2_DRI_EAF:2037|POS-GWY-EAF:EAF_RENEWABLE:2033|POS-GWY-W:SCRAP_EAF:2035|POS-POH-N:BF_RELINE:2029|POS-POH-S:H2_DRI_EAF:2032</x:v>
      </x:c>
      <x:c r="V56" s="34" t="str">
        <x:v>model_generated_candidate</x:v>
      </x:c>
      <x:c r="W56" s="34" t="str">
        <x:v>Generated from disclosed-path facility calendar, technology set and template contracting assumptions; not a company-announced project</x:v>
      </x:c>
    </x:row>
    <x:row r="57">
      <x:c r="A57" s="34" t="str">
        <x:v>CAND-43D21D2C670699</x:v>
      </x:c>
      <x:c r="B57" s="34" t="str">
        <x:v>POSCO_KR</x:v>
      </x:c>
      <x:c r="C57" s="34" t="str">
        <x:v>POSCO</x:v>
      </x:c>
      <x:c r="D57" s="34" t="str">
        <x:v>P5</x:v>
      </x:c>
      <x:c r="E57" s="34" t="str">
        <x:v>조기 계약형 전환</x:v>
      </x:c>
      <x:c r="F57" s="34" t="str">
        <x:v>PORT-58026D3E7D92</x:v>
      </x:c>
      <x:c r="G57" s="34" t="str">
        <x:v>DISCLOSED_PATH</x:v>
      </x:c>
      <x:c r="H57" s="34" t="n">
        <x:v>5</x:v>
      </x:c>
      <x:c r="I57" s="34" t="n">
        <x:v>2028</x:v>
      </x:c>
      <x:c r="J57" s="34" t="n">
        <x:v>2036</x:v>
      </x:c>
      <x:c r="K57" s="34" t="n">
        <x:v>0</x:v>
      </x:c>
      <x:c r="L57" s="34" t="n">
        <x:v>0</x:v>
      </x:c>
      <x:c r="M57" s="34" t="n">
        <x:v>0.967914</x:v>
      </x:c>
      <x:c r="N57" s="34" t="n">
        <x:v>0.032086</x:v>
      </x:c>
      <x:c r="O57" s="34" t="n">
        <x:v>0.7</x:v>
      </x:c>
      <x:c r="P57" s="34" t="n">
        <x:v>0.65</x:v>
      </x:c>
      <x:c r="Q57" s="34" t="n">
        <x:v>0.65</x:v>
      </x:c>
      <x:c r="R57" s="34" t="n">
        <x:v>0.6</x:v>
      </x:c>
      <x:c r="S57" s="34" t="n">
        <x:v>0.025</x:v>
      </x:c>
      <x:c r="T57" s="34" t="n">
        <x:v>530.306253</x:v>
      </x:c>
      <x:c r="U57" s="34" t="str">
        <x:v>POS-GWY-E:H2_DRI_EAF:2036|POS-GWY-EAF:EAF_RENEWABLE:2032|POS-GWY-W:H2_DRI_EAF:2034|POS-POH-N:H2_DRI_EAF:2028|POS-POH-S:H2_DRI_EAF:2031</x:v>
      </x:c>
      <x:c r="V57" s="34" t="str">
        <x:v>model_generated_candidate</x:v>
      </x:c>
      <x:c r="W57" s="34" t="str">
        <x:v>Generated from disclosed-path facility calendar, technology set and template contracting assumptions; not a company-announced project</x:v>
      </x:c>
    </x:row>
    <x:row r="58">
      <x:c r="A58" s="34" t="str">
        <x:v>CAND-445D4D8D2CDA89</x:v>
      </x:c>
      <x:c r="B58" s="34" t="str">
        <x:v>POSCO_KR</x:v>
      </x:c>
      <x:c r="C58" s="34" t="str">
        <x:v>POSCO</x:v>
      </x:c>
      <x:c r="D58" s="34" t="str">
        <x:v>P1</x:v>
      </x:c>
      <x:c r="E58" s="34" t="str">
        <x:v>지연·현물조달</x:v>
      </x:c>
      <x:c r="F58" s="34" t="str">
        <x:v>PORT-D611F29113B4</x:v>
      </x:c>
      <x:c r="G58" s="34" t="str">
        <x:v>DISCLOSED_PATH</x:v>
      </x:c>
      <x:c r="H58" s="34" t="n">
        <x:v>5</x:v>
      </x:c>
      <x:c r="I58" s="34" t="n">
        <x:v>2029</x:v>
      </x:c>
      <x:c r="J58" s="34" t="n">
        <x:v>2037</x:v>
      </x:c>
      <x:c r="K58" s="34" t="n">
        <x:v>0.197861</x:v>
      </x:c>
      <x:c r="L58" s="34" t="n">
        <x:v>0.275401</x:v>
      </x:c>
      <x:c r="M58" s="34" t="n">
        <x:v>0.494652</x:v>
      </x:c>
      <x:c r="N58" s="34" t="n">
        <x:v>0.032086</x:v>
      </x:c>
      <x:c r="O58" s="34" t="n">
        <x:v>0</x:v>
      </x:c>
      <x:c r="P58" s="34" t="n">
        <x:v>0</x:v>
      </x:c>
      <x:c r="Q58" s="34" t="n">
        <x:v>0.1</x:v>
      </x:c>
      <x:c r="R58" s="34" t="n">
        <x:v>0</x:v>
      </x:c>
      <x:c r="S58" s="34" t="n">
        <x:v>0</x:v>
      </x:c>
      <x:c r="T58" s="34" t="n">
        <x:v>348.964214</x:v>
      </x:c>
      <x:c r="U58" s="34" t="str">
        <x:v>POS-GWY-E:H2_DRI_EAF:2037|POS-GWY-EAF:EAF_RENEWABLE:2033|POS-GWY-W:SCRAP_EAF:2035|POS-POH-N:H2_DRI_EAF:2029|POS-POH-S:BF_RELINE:2032</x:v>
      </x:c>
      <x:c r="V58" s="34" t="str">
        <x:v>model_generated_candidate</x:v>
      </x:c>
      <x:c r="W58" s="34" t="str">
        <x:v>Generated from disclosed-path facility calendar, technology set and template contracting assumptions; not a company-announced project</x:v>
      </x:c>
    </x:row>
    <x:row r="59">
      <x:c r="A59" s="34" t="str">
        <x:v>CAND-44C957BBFA61A4</x:v>
      </x:c>
      <x:c r="B59" s="34" t="str">
        <x:v>POSCO_KR</x:v>
      </x:c>
      <x:c r="C59" s="34" t="str">
        <x:v>POSCO</x:v>
      </x:c>
      <x:c r="D59" s="34" t="str">
        <x:v>P1</x:v>
      </x:c>
      <x:c r="E59" s="34" t="str">
        <x:v>지연·현물조달</x:v>
      </x:c>
      <x:c r="F59" s="34" t="str">
        <x:v>PORT-96133A6427FE</x:v>
      </x:c>
      <x:c r="G59" s="34" t="str">
        <x:v>DISCLOSED_PATH</x:v>
      </x:c>
      <x:c r="H59" s="34" t="n">
        <x:v>5</x:v>
      </x:c>
      <x:c r="I59" s="34" t="n">
        <x:v>2029</x:v>
      </x:c>
      <x:c r="J59" s="34" t="n">
        <x:v>2037</x:v>
      </x:c>
      <x:c r="K59" s="34" t="n">
        <x:v>0</x:v>
      </x:c>
      <x:c r="L59" s="34" t="n">
        <x:v>0.494652</x:v>
      </x:c>
      <x:c r="M59" s="34" t="n">
        <x:v>0.473262</x:v>
      </x:c>
      <x:c r="N59" s="34" t="n">
        <x:v>0.032086</x:v>
      </x:c>
      <x:c r="O59" s="34" t="n">
        <x:v>0</x:v>
      </x:c>
      <x:c r="P59" s="34" t="n">
        <x:v>0</x:v>
      </x:c>
      <x:c r="Q59" s="34" t="n">
        <x:v>0.1</x:v>
      </x:c>
      <x:c r="R59" s="34" t="n">
        <x:v>0</x:v>
      </x:c>
      <x:c r="S59" s="34" t="n">
        <x:v>0</x:v>
      </x:c>
      <x:c r="T59" s="34" t="n">
        <x:v>430.20423</x:v>
      </x:c>
      <x:c r="U59" s="34" t="str">
        <x:v>POS-GWY-E:H2_DRI_EAF:2037|POS-GWY-EAF:EAF_RENEWABLE:2033|POS-GWY-W:SCRAP_EAF:2035|POS-POH-N:SCRAP_EAF:2029|POS-POH-S:H2_DRI_EAF:2032</x:v>
      </x:c>
      <x:c r="V59" s="34" t="str">
        <x:v>model_generated_candidate</x:v>
      </x:c>
      <x:c r="W59" s="34" t="str">
        <x:v>Generated from disclosed-path facility calendar, technology set and template contracting assumptions; not a company-announced project</x:v>
      </x:c>
    </x:row>
    <x:row r="60">
      <x:c r="A60" s="34" t="str">
        <x:v>CAND-455C0CE17360E6</x:v>
      </x:c>
      <x:c r="B60" s="34" t="str">
        <x:v>POSCO_KR</x:v>
      </x:c>
      <x:c r="C60" s="34" t="str">
        <x:v>POSCO</x:v>
      </x:c>
      <x:c r="D60" s="34" t="str">
        <x:v>P1</x:v>
      </x:c>
      <x:c r="E60" s="34" t="str">
        <x:v>지연·현물조달</x:v>
      </x:c>
      <x:c r="F60" s="34" t="str">
        <x:v>PORT-DE64C6FAC717</x:v>
      </x:c>
      <x:c r="G60" s="34" t="str">
        <x:v>DISCLOSED_PATH</x:v>
      </x:c>
      <x:c r="H60" s="34" t="n">
        <x:v>5</x:v>
      </x:c>
      <x:c r="I60" s="34" t="n">
        <x:v>2029</x:v>
      </x:c>
      <x:c r="J60" s="34" t="n">
        <x:v>2037</x:v>
      </x:c>
      <x:c r="K60" s="34" t="n">
        <x:v>0.417112</x:v>
      </x:c>
      <x:c r="L60" s="34" t="n">
        <x:v>0.550802</x:v>
      </x:c>
      <x:c r="M60" s="34" t="n">
        <x:v>0</x:v>
      </x:c>
      <x:c r="N60" s="34" t="n">
        <x:v>0.032086</x:v>
      </x:c>
      <x:c r="O60" s="34" t="n">
        <x:v>0</x:v>
      </x:c>
      <x:c r="P60" s="34" t="n">
        <x:v>0</x:v>
      </x:c>
      <x:c r="Q60" s="34" t="n">
        <x:v>0.1</x:v>
      </x:c>
      <x:c r="R60" s="34" t="n">
        <x:v>0</x:v>
      </x:c>
      <x:c r="S60" s="34" t="n">
        <x:v>0</x:v>
      </x:c>
      <x:c r="T60" s="34" t="n">
        <x:v>184.421263</x:v>
      </x:c>
      <x:c r="U60" s="34" t="str">
        <x:v>POS-GWY-E:SCRAP_EAF:2037|POS-GWY-EAF:EAF_RENEWABLE:2033|POS-GWY-W:SCRAP_EAF:2035|POS-POH-N:BF_RELINE:2029|POS-POH-S:BF_RELINE:2032</x:v>
      </x:c>
      <x:c r="V60" s="34" t="str">
        <x:v>model_generated_candidate</x:v>
      </x:c>
      <x:c r="W60" s="34" t="str">
        <x:v>Generated from disclosed-path facility calendar, technology set and template contracting assumptions; not a company-announced project</x:v>
      </x:c>
    </x:row>
    <x:row r="61">
      <x:c r="A61" s="34" t="str">
        <x:v>CAND-4566ECD06C16F8</x:v>
      </x:c>
      <x:c r="B61" s="34" t="str">
        <x:v>POSCO_KR</x:v>
      </x:c>
      <x:c r="C61" s="34" t="str">
        <x:v>POSCO</x:v>
      </x:c>
      <x:c r="D61" s="34" t="str">
        <x:v>P3</x:v>
      </x:c>
      <x:c r="E61" s="34" t="str">
        <x:v>균형형 라이트헤지</x:v>
      </x:c>
      <x:c r="F61" s="34" t="str">
        <x:v>PORT-83A899345F31</x:v>
      </x:c>
      <x:c r="G61" s="34" t="str">
        <x:v>DISCLOSED_PATH</x:v>
      </x:c>
      <x:c r="H61" s="34" t="n">
        <x:v>5</x:v>
      </x:c>
      <x:c r="I61" s="34" t="n">
        <x:v>2029</x:v>
      </x:c>
      <x:c r="J61" s="34" t="n">
        <x:v>2037</x:v>
      </x:c>
      <x:c r="K61" s="34" t="n">
        <x:v>0.494652</x:v>
      </x:c>
      <x:c r="L61" s="34" t="n">
        <x:v>0</x:v>
      </x:c>
      <x:c r="M61" s="34" t="n">
        <x:v>0.473262</x:v>
      </x:c>
      <x:c r="N61" s="34" t="n">
        <x:v>0.032086</x:v>
      </x:c>
      <x:c r="O61" s="34" t="n">
        <x:v>0.3</x:v>
      </x:c>
      <x:c r="P61" s="34" t="n">
        <x:v>0.25</x:v>
      </x:c>
      <x:c r="Q61" s="34" t="n">
        <x:v>0.35</x:v>
      </x:c>
      <x:c r="R61" s="34" t="n">
        <x:v>0.25</x:v>
      </x:c>
      <x:c r="S61" s="34" t="n">
        <x:v>0.015</x:v>
      </x:c>
      <x:c r="T61" s="34" t="n">
        <x:v>215.314277</x:v>
      </x:c>
      <x:c r="U61" s="34" t="str">
        <x:v>POS-GWY-E:H2_DRI_EAF:2037|POS-GWY-EAF:EAF_RENEWABLE:2033|POS-GWY-W:BF_RELINE:2035|POS-POH-N:BF_RELINE:2029|POS-POH-S:H2_DRI_EAF:2032</x:v>
      </x:c>
      <x:c r="V61" s="34" t="str">
        <x:v>model_generated_candidate</x:v>
      </x:c>
      <x:c r="W61" s="34" t="str">
        <x:v>Generated from disclosed-path facility calendar, technology set and template contracting assumptions; not a company-announced project</x:v>
      </x:c>
    </x:row>
    <x:row r="62">
      <x:c r="A62" s="34" t="str">
        <x:v>CAND-4578ACD5570D76</x:v>
      </x:c>
      <x:c r="B62" s="34" t="str">
        <x:v>POSCO_KR</x:v>
      </x:c>
      <x:c r="C62" s="34" t="str">
        <x:v>POSCO</x:v>
      </x:c>
      <x:c r="D62" s="34" t="str">
        <x:v>P3</x:v>
      </x:c>
      <x:c r="E62" s="34" t="str">
        <x:v>균형형 라이트헤지</x:v>
      </x:c>
      <x:c r="F62" s="34" t="str">
        <x:v>PORT-1CB3B12B9B60</x:v>
      </x:c>
      <x:c r="G62" s="34" t="str">
        <x:v>DISCLOSED_PATH</x:v>
      </x:c>
      <x:c r="H62" s="34" t="n">
        <x:v>5</x:v>
      </x:c>
      <x:c r="I62" s="34" t="n">
        <x:v>2029</x:v>
      </x:c>
      <x:c r="J62" s="34" t="n">
        <x:v>2037</x:v>
      </x:c>
      <x:c r="K62" s="34" t="n">
        <x:v>0</x:v>
      </x:c>
      <x:c r="L62" s="34" t="n">
        <x:v>0.275401</x:v>
      </x:c>
      <x:c r="M62" s="34" t="n">
        <x:v>0.692513</x:v>
      </x:c>
      <x:c r="N62" s="34" t="n">
        <x:v>0.032086</x:v>
      </x:c>
      <x:c r="O62" s="34" t="n">
        <x:v>0.3</x:v>
      </x:c>
      <x:c r="P62" s="34" t="n">
        <x:v>0.25</x:v>
      </x:c>
      <x:c r="Q62" s="34" t="n">
        <x:v>0.35</x:v>
      </x:c>
      <x:c r="R62" s="34" t="n">
        <x:v>0.25</x:v>
      </x:c>
      <x:c r="S62" s="34" t="n">
        <x:v>0.015</x:v>
      </x:c>
      <x:c r="T62" s="34" t="n">
        <x:v>453.004224</x:v>
      </x:c>
      <x:c r="U62" s="34" t="str">
        <x:v>POS-GWY-E:H2_DRI_EAF:2037|POS-GWY-EAF:EAF_RENEWABLE:2033|POS-GWY-W:SCRAP_EAF:2035|POS-POH-N:H2_DRI_EAF:2029|POS-POH-S:H2_DRI_EAF:2032</x:v>
      </x:c>
      <x:c r="V62" s="34" t="str">
        <x:v>model_generated_candidate</x:v>
      </x:c>
      <x:c r="W62" s="34" t="str">
        <x:v>Generated from disclosed-path facility calendar, technology set and template contracting assumptions; not a company-announced project</x:v>
      </x:c>
    </x:row>
    <x:row r="63">
      <x:c r="A63" s="34" t="str">
        <x:v>CAND-466C04961ED513</x:v>
      </x:c>
      <x:c r="B63" s="34" t="str">
        <x:v>POSCO_KR</x:v>
      </x:c>
      <x:c r="C63" s="34" t="str">
        <x:v>POSCO</x:v>
      </x:c>
      <x:c r="D63" s="34" t="str">
        <x:v>P2</x:v>
      </x:c>
      <x:c r="E63" s="34" t="str">
        <x:v>지연·부분헤지</x:v>
      </x:c>
      <x:c r="F63" s="34" t="str">
        <x:v>PORT-7ED23B40E316</x:v>
      </x:c>
      <x:c r="G63" s="34" t="str">
        <x:v>DISCLOSED_PATH</x:v>
      </x:c>
      <x:c r="H63" s="34" t="n">
        <x:v>5</x:v>
      </x:c>
      <x:c r="I63" s="34" t="n">
        <x:v>2029</x:v>
      </x:c>
      <x:c r="J63" s="34" t="n">
        <x:v>2037</x:v>
      </x:c>
      <x:c r="K63" s="34" t="n">
        <x:v>0</x:v>
      </x:c>
      <x:c r="L63" s="34" t="n">
        <x:v>0.692513</x:v>
      </x:c>
      <x:c r="M63" s="34" t="n">
        <x:v>0.275401</x:v>
      </x:c>
      <x:c r="N63" s="34" t="n">
        <x:v>0.032086</x:v>
      </x:c>
      <x:c r="O63" s="34" t="n">
        <x:v>0.15</x:v>
      </x:c>
      <x:c r="P63" s="34" t="n">
        <x:v>0.1</x:v>
      </x:c>
      <x:c r="Q63" s="34" t="n">
        <x:v>0.2</x:v>
      </x:c>
      <x:c r="R63" s="34" t="n">
        <x:v>0.1</x:v>
      </x:c>
      <x:c r="S63" s="34" t="n">
        <x:v>0.01</x:v>
      </x:c>
      <x:c r="T63" s="34" t="n">
        <x:v>414.904229</x:v>
      </x:c>
      <x:c r="U63" s="34" t="str">
        <x:v>POS-GWY-E:H2_DRI_EAF:2037|POS-GWY-EAF:EAF_RENEWABLE:2033|POS-GWY-W:SCRAP_EAF:2035|POS-POH-N:SCRAP_EAF:2029|POS-POH-S:SCRAP_EAF:2032</x:v>
      </x:c>
      <x:c r="V63" s="34" t="str">
        <x:v>model_generated_candidate</x:v>
      </x:c>
      <x:c r="W63" s="34" t="str">
        <x:v>Generated from disclosed-path facility calendar, technology set and template contracting assumptions; not a company-announced project</x:v>
      </x:c>
    </x:row>
    <x:row r="64">
      <x:c r="A64" s="34" t="str">
        <x:v>CAND-47D6E186F11A0E</x:v>
      </x:c>
      <x:c r="B64" s="34" t="str">
        <x:v>POSCO_KR</x:v>
      </x:c>
      <x:c r="C64" s="34" t="str">
        <x:v>POSCO</x:v>
      </x:c>
      <x:c r="D64" s="34" t="str">
        <x:v>P1</x:v>
      </x:c>
      <x:c r="E64" s="34" t="str">
        <x:v>지연·현물조달</x:v>
      </x:c>
      <x:c r="F64" s="34" t="str">
        <x:v>PORT-7DE802DADA23</x:v>
      </x:c>
      <x:c r="G64" s="34" t="str">
        <x:v>DISCLOSED_PATH</x:v>
      </x:c>
      <x:c r="H64" s="34" t="n">
        <x:v>5</x:v>
      </x:c>
      <x:c r="I64" s="34" t="n">
        <x:v>2029</x:v>
      </x:c>
      <x:c r="J64" s="34" t="n">
        <x:v>2037</x:v>
      </x:c>
      <x:c r="K64" s="34" t="n">
        <x:v>0.692513</x:v>
      </x:c>
      <x:c r="L64" s="34" t="n">
        <x:v>0.275401</x:v>
      </x:c>
      <x:c r="M64" s="34" t="n">
        <x:v>0</x:v>
      </x:c>
      <x:c r="N64" s="34" t="n">
        <x:v>0.032086</x:v>
      </x:c>
      <x:c r="O64" s="34" t="n">
        <x:v>0</x:v>
      </x:c>
      <x:c r="P64" s="34" t="n">
        <x:v>0</x:v>
      </x:c>
      <x:c r="Q64" s="34" t="n">
        <x:v>0.1</x:v>
      </x:c>
      <x:c r="R64" s="34" t="n">
        <x:v>0</x:v>
      </x:c>
      <x:c r="S64" s="34" t="n">
        <x:v>0</x:v>
      </x:c>
      <x:c r="T64" s="34" t="n">
        <x:v>129.303884</x:v>
      </x:c>
      <x:c r="U64" s="34" t="str">
        <x:v>POS-GWY-E:BF_RELINE:2037|POS-GWY-EAF:EAF_RENEWABLE:2033|POS-GWY-W:SCRAP_EAF:2035|POS-POH-N:BF_RELINE:2029|POS-POH-S:BF_RELINE:2032</x:v>
      </x:c>
      <x:c r="V64" s="34" t="str">
        <x:v>model_generated_candidate</x:v>
      </x:c>
      <x:c r="W64" s="34" t="str">
        <x:v>Generated from disclosed-path facility calendar, technology set and template contracting assumptions; not a company-announced project</x:v>
      </x:c>
    </x:row>
    <x:row r="65">
      <x:c r="A65" s="34" t="str">
        <x:v>CAND-48164C66BCCAA6</x:v>
      </x:c>
      <x:c r="B65" s="34" t="str">
        <x:v>POSCO_KR</x:v>
      </x:c>
      <x:c r="C65" s="34" t="str">
        <x:v>POSCO</x:v>
      </x:c>
      <x:c r="D65" s="34" t="str">
        <x:v>P1</x:v>
      </x:c>
      <x:c r="E65" s="34" t="str">
        <x:v>지연·현물조달</x:v>
      </x:c>
      <x:c r="F65" s="34" t="str">
        <x:v>PORT-81FCB4F2E5A2</x:v>
      </x:c>
      <x:c r="G65" s="34" t="str">
        <x:v>DISCLOSED_PATH</x:v>
      </x:c>
      <x:c r="H65" s="34" t="n">
        <x:v>5</x:v>
      </x:c>
      <x:c r="I65" s="34" t="n">
        <x:v>2029</x:v>
      </x:c>
      <x:c r="J65" s="34" t="n">
        <x:v>2037</x:v>
      </x:c>
      <x:c r="K65" s="34" t="n">
        <x:v>0.197861</x:v>
      </x:c>
      <x:c r="L65" s="34" t="n">
        <x:v>0.219251</x:v>
      </x:c>
      <x:c r="M65" s="34" t="n">
        <x:v>0.550802</x:v>
      </x:c>
      <x:c r="N65" s="34" t="n">
        <x:v>0.032086</x:v>
      </x:c>
      <x:c r="O65" s="34" t="n">
        <x:v>0</x:v>
      </x:c>
      <x:c r="P65" s="34" t="n">
        <x:v>0</x:v>
      </x:c>
      <x:c r="Q65" s="34" t="n">
        <x:v>0.1</x:v>
      </x:c>
      <x:c r="R65" s="34" t="n">
        <x:v>0</x:v>
      </x:c>
      <x:c r="S65" s="34" t="n">
        <x:v>0</x:v>
      </x:c>
      <x:c r="T65" s="34" t="n">
        <x:v>340.414219</x:v>
      </x:c>
      <x:c r="U65" s="34" t="str">
        <x:v>POS-GWY-E:H2_DRI_EAF:2037|POS-GWY-EAF:EAF_RENEWABLE:2033|POS-GWY-W:H2_DRI_EAF:2035|POS-POH-N:SCRAP_EAF:2029|POS-POH-S:BF_RELINE:2032</x:v>
      </x:c>
      <x:c r="V65" s="34" t="str">
        <x:v>model_generated_candidate</x:v>
      </x:c>
      <x:c r="W65" s="34" t="str">
        <x:v>Generated from disclosed-path facility calendar, technology set and template contracting assumptions; not a company-announced project</x:v>
      </x:c>
    </x:row>
    <x:row r="66">
      <x:c r="A66" s="34" t="str">
        <x:v>CAND-4AB131FFD4690A</x:v>
      </x:c>
      <x:c r="B66" s="34" t="str">
        <x:v>POSCO_KR</x:v>
      </x:c>
      <x:c r="C66" s="34" t="str">
        <x:v>POSCO</x:v>
      </x:c>
      <x:c r="D66" s="34" t="str">
        <x:v>P3</x:v>
      </x:c>
      <x:c r="E66" s="34" t="str">
        <x:v>균형형 라이트헤지</x:v>
      </x:c>
      <x:c r="F66" s="34" t="str">
        <x:v>PORT-2E81D74D4102</x:v>
      </x:c>
      <x:c r="G66" s="34" t="str">
        <x:v>DISCLOSED_PATH</x:v>
      </x:c>
      <x:c r="H66" s="34" t="n">
        <x:v>5</x:v>
      </x:c>
      <x:c r="I66" s="34" t="n">
        <x:v>2029</x:v>
      </x:c>
      <x:c r="J66" s="34" t="n">
        <x:v>2037</x:v>
      </x:c>
      <x:c r="K66" s="34" t="n">
        <x:v>0.197861</x:v>
      </x:c>
      <x:c r="L66" s="34" t="n">
        <x:v>0</x:v>
      </x:c>
      <x:c r="M66" s="34" t="n">
        <x:v>0.770053</x:v>
      </x:c>
      <x:c r="N66" s="34" t="n">
        <x:v>0.032086</x:v>
      </x:c>
      <x:c r="O66" s="34" t="n">
        <x:v>0.3</x:v>
      </x:c>
      <x:c r="P66" s="34" t="n">
        <x:v>0.25</x:v>
      </x:c>
      <x:c r="Q66" s="34" t="n">
        <x:v>0.35</x:v>
      </x:c>
      <x:c r="R66" s="34" t="n">
        <x:v>0.25</x:v>
      </x:c>
      <x:c r="S66" s="34" t="n">
        <x:v>0.015</x:v>
      </x:c>
      <x:c r="T66" s="34" t="n">
        <x:v>363.214213</x:v>
      </x:c>
      <x:c r="U66" s="34" t="str">
        <x:v>POS-GWY-E:H2_DRI_EAF:2037|POS-GWY-EAF:EAF_RENEWABLE:2033|POS-GWY-W:H2_DRI_EAF:2035|POS-POH-N:H2_DRI_EAF:2029|POS-POH-S:BF_RELINE:2032</x:v>
      </x:c>
      <x:c r="V66" s="34" t="str">
        <x:v>model_generated_candidate</x:v>
      </x:c>
      <x:c r="W66" s="34" t="str">
        <x:v>Generated from disclosed-path facility calendar, technology set and template contracting assumptions; not a company-announced project</x:v>
      </x:c>
    </x:row>
    <x:row r="67">
      <x:c r="A67" s="34" t="str">
        <x:v>CAND-4B229E76ADED64</x:v>
      </x:c>
      <x:c r="B67" s="34" t="str">
        <x:v>POSCO_KR</x:v>
      </x:c>
      <x:c r="C67" s="34" t="str">
        <x:v>POSCO</x:v>
      </x:c>
      <x:c r="D67" s="34" t="str">
        <x:v>P5</x:v>
      </x:c>
      <x:c r="E67" s="34" t="str">
        <x:v>조기 계약형 전환</x:v>
      </x:c>
      <x:c r="F67" s="34" t="str">
        <x:v>PORT-A7B7FDCF1108</x:v>
      </x:c>
      <x:c r="G67" s="34" t="str">
        <x:v>DISCLOSED_PATH</x:v>
      </x:c>
      <x:c r="H67" s="34" t="n">
        <x:v>5</x:v>
      </x:c>
      <x:c r="I67" s="34" t="n">
        <x:v>2028</x:v>
      </x:c>
      <x:c r="J67" s="34" t="n">
        <x:v>2036</x:v>
      </x:c>
      <x:c r="K67" s="34" t="n">
        <x:v>0.197861</x:v>
      </x:c>
      <x:c r="L67" s="34" t="n">
        <x:v>0</x:v>
      </x:c>
      <x:c r="M67" s="34" t="n">
        <x:v>0.770053</x:v>
      </x:c>
      <x:c r="N67" s="34" t="n">
        <x:v>0.032086</x:v>
      </x:c>
      <x:c r="O67" s="34" t="n">
        <x:v>0.7</x:v>
      </x:c>
      <x:c r="P67" s="34" t="n">
        <x:v>0.65</x:v>
      </x:c>
      <x:c r="Q67" s="34" t="n">
        <x:v>0.65</x:v>
      </x:c>
      <x:c r="R67" s="34" t="n">
        <x:v>0.6</x:v>
      </x:c>
      <x:c r="S67" s="34" t="n">
        <x:v>0.025</x:v>
      </x:c>
      <x:c r="T67" s="34" t="n">
        <x:v>414.706243</x:v>
      </x:c>
      <x:c r="U67" s="34" t="str">
        <x:v>POS-GWY-E:H2_DRI_EAF:2036|POS-GWY-EAF:EAF_RENEWABLE:2032|POS-GWY-W:H2_DRI_EAF:2034|POS-POH-N:H2_DRI_EAF:2028|POS-POH-S:BF_RELINE:2031</x:v>
      </x:c>
      <x:c r="V67" s="34" t="str">
        <x:v>model_generated_candidate</x:v>
      </x:c>
      <x:c r="W67" s="34" t="str">
        <x:v>Generated from disclosed-path facility calendar, technology set and template contracting assumptions; not a company-announced project</x:v>
      </x:c>
    </x:row>
    <x:row r="68">
      <x:c r="A68" s="34" t="str">
        <x:v>CAND-4EEFF7014AA338</x:v>
      </x:c>
      <x:c r="B68" s="34" t="str">
        <x:v>POSCO_KR</x:v>
      </x:c>
      <x:c r="C68" s="34" t="str">
        <x:v>POSCO</x:v>
      </x:c>
      <x:c r="D68" s="34" t="str">
        <x:v>P1</x:v>
      </x:c>
      <x:c r="E68" s="34" t="str">
        <x:v>지연·현물조달</x:v>
      </x:c>
      <x:c r="F68" s="34" t="str">
        <x:v>PORT-53B67D8C8444</x:v>
      </x:c>
      <x:c r="G68" s="34" t="str">
        <x:v>DISCLOSED_PATH</x:v>
      </x:c>
      <x:c r="H68" s="34" t="n">
        <x:v>5</x:v>
      </x:c>
      <x:c r="I68" s="34" t="n">
        <x:v>2029</x:v>
      </x:c>
      <x:c r="J68" s="34" t="n">
        <x:v>2037</x:v>
      </x:c>
      <x:c r="K68" s="34" t="n">
        <x:v>0.417112</x:v>
      </x:c>
      <x:c r="L68" s="34" t="n">
        <x:v>0.275401</x:v>
      </x:c>
      <x:c r="M68" s="34" t="n">
        <x:v>0.275401</x:v>
      </x:c>
      <x:c r="N68" s="34" t="n">
        <x:v>0.032086</x:v>
      </x:c>
      <x:c r="O68" s="34" t="n">
        <x:v>0</x:v>
      </x:c>
      <x:c r="P68" s="34" t="n">
        <x:v>0</x:v>
      </x:c>
      <x:c r="Q68" s="34" t="n">
        <x:v>0.1</x:v>
      </x:c>
      <x:c r="R68" s="34" t="n">
        <x:v>0</x:v>
      </x:c>
      <x:c r="S68" s="34" t="n">
        <x:v>0</x:v>
      </x:c>
      <x:c r="T68" s="34" t="n">
        <x:v>198.671261</x:v>
      </x:c>
      <x:c r="U68" s="34" t="str">
        <x:v>POS-GWY-E:SCRAP_EAF:2037|POS-GWY-EAF:EAF_RENEWABLE:2033|POS-GWY-W:H2_DRI_EAF:2035|POS-POH-N:BF_RELINE:2029|POS-POH-S:BF_RELINE:2032</x:v>
      </x:c>
      <x:c r="V68" s="34" t="str">
        <x:v>model_generated_candidate</x:v>
      </x:c>
      <x:c r="W68" s="34" t="str">
        <x:v>Generated from disclosed-path facility calendar, technology set and template contracting assumptions; not a company-announced project</x:v>
      </x:c>
    </x:row>
    <x:row r="69">
      <x:c r="A69" s="34" t="str">
        <x:v>CAND-4EF614D30D6D91</x:v>
      </x:c>
      <x:c r="B69" s="34" t="str">
        <x:v>POSCO_KR</x:v>
      </x:c>
      <x:c r="C69" s="34" t="str">
        <x:v>POSCO</x:v>
      </x:c>
      <x:c r="D69" s="34" t="str">
        <x:v>P2</x:v>
      </x:c>
      <x:c r="E69" s="34" t="str">
        <x:v>지연·부분헤지</x:v>
      </x:c>
      <x:c r="F69" s="34" t="str">
        <x:v>PORT-96133A6427FE</x:v>
      </x:c>
      <x:c r="G69" s="34" t="str">
        <x:v>DISCLOSED_PATH</x:v>
      </x:c>
      <x:c r="H69" s="34" t="n">
        <x:v>5</x:v>
      </x:c>
      <x:c r="I69" s="34" t="n">
        <x:v>2029</x:v>
      </x:c>
      <x:c r="J69" s="34" t="n">
        <x:v>2037</x:v>
      </x:c>
      <x:c r="K69" s="34" t="n">
        <x:v>0</x:v>
      </x:c>
      <x:c r="L69" s="34" t="n">
        <x:v>0.494652</x:v>
      </x:c>
      <x:c r="M69" s="34" t="n">
        <x:v>0.473262</x:v>
      </x:c>
      <x:c r="N69" s="34" t="n">
        <x:v>0.032086</x:v>
      </x:c>
      <x:c r="O69" s="34" t="n">
        <x:v>0.15</x:v>
      </x:c>
      <x:c r="P69" s="34" t="n">
        <x:v>0.1</x:v>
      </x:c>
      <x:c r="Q69" s="34" t="n">
        <x:v>0.2</x:v>
      </x:c>
      <x:c r="R69" s="34" t="n">
        <x:v>0.1</x:v>
      </x:c>
      <x:c r="S69" s="34" t="n">
        <x:v>0.01</x:v>
      </x:c>
      <x:c r="T69" s="34" t="n">
        <x:v>430.20423</x:v>
      </x:c>
      <x:c r="U69" s="34" t="str">
        <x:v>POS-GWY-E:H2_DRI_EAF:2037|POS-GWY-EAF:EAF_RENEWABLE:2033|POS-GWY-W:SCRAP_EAF:2035|POS-POH-N:SCRAP_EAF:2029|POS-POH-S:H2_DRI_EAF:2032</x:v>
      </x:c>
      <x:c r="V69" s="34" t="str">
        <x:v>model_generated_candidate</x:v>
      </x:c>
      <x:c r="W69" s="34" t="str">
        <x:v>Generated from disclosed-path facility calendar, technology set and template contracting assumptions; not a company-announced project</x:v>
      </x:c>
    </x:row>
    <x:row r="70">
      <x:c r="A70" s="34" t="str">
        <x:v>CAND-53345843430514</x:v>
      </x:c>
      <x:c r="B70" s="34" t="str">
        <x:v>POSCO_KR</x:v>
      </x:c>
      <x:c r="C70" s="34" t="str">
        <x:v>POSCO</x:v>
      </x:c>
      <x:c r="D70" s="34" t="str">
        <x:v>P3</x:v>
      </x:c>
      <x:c r="E70" s="34" t="str">
        <x:v>균형형 라이트헤지</x:v>
      </x:c>
      <x:c r="F70" s="34" t="str">
        <x:v>PORT-21F188D80A9F</x:v>
      </x:c>
      <x:c r="G70" s="34" t="str">
        <x:v>DISCLOSED_PATH</x:v>
      </x:c>
      <x:c r="H70" s="34" t="n">
        <x:v>5</x:v>
      </x:c>
      <x:c r="I70" s="34" t="n">
        <x:v>2029</x:v>
      </x:c>
      <x:c r="J70" s="34" t="n">
        <x:v>2037</x:v>
      </x:c>
      <x:c r="K70" s="34" t="n">
        <x:v>0.275401</x:v>
      </x:c>
      <x:c r="L70" s="34" t="n">
        <x:v>0.275401</x:v>
      </x:c>
      <x:c r="M70" s="34" t="n">
        <x:v>0.417112</x:v>
      </x:c>
      <x:c r="N70" s="34" t="n">
        <x:v>0.032086</x:v>
      </x:c>
      <x:c r="O70" s="34" t="n">
        <x:v>0.3</x:v>
      </x:c>
      <x:c r="P70" s="34" t="n">
        <x:v>0.25</x:v>
      </x:c>
      <x:c r="Q70" s="34" t="n">
        <x:v>0.35</x:v>
      </x:c>
      <x:c r="R70" s="34" t="n">
        <x:v>0.25</x:v>
      </x:c>
      <x:c r="S70" s="34" t="n">
        <x:v>0.015</x:v>
      </x:c>
      <x:c r="T70" s="34" t="n">
        <x:v>360.851236</x:v>
      </x:c>
      <x:c r="U70" s="34" t="str">
        <x:v>POS-GWY-E:SCRAP_EAF:2037|POS-GWY-EAF:EAF_RENEWABLE:2033|POS-GWY-W:BF_RELINE:2035|POS-POH-N:H2_DRI_EAF:2029|POS-POH-S:H2_DRI_EAF:2032</x:v>
      </x:c>
      <x:c r="V70" s="34" t="str">
        <x:v>model_generated_candidate</x:v>
      </x:c>
      <x:c r="W70" s="34" t="str">
        <x:v>Generated from disclosed-path facility calendar, technology set and template contracting assumptions; not a company-announced project</x:v>
      </x:c>
    </x:row>
    <x:row r="71">
      <x:c r="A71" s="34" t="str">
        <x:v>CAND-59840642E9A31E</x:v>
      </x:c>
      <x:c r="B71" s="34" t="str">
        <x:v>POSCO_KR</x:v>
      </x:c>
      <x:c r="C71" s="34" t="str">
        <x:v>POSCO</x:v>
      </x:c>
      <x:c r="D71" s="34" t="str">
        <x:v>P3</x:v>
      </x:c>
      <x:c r="E71" s="34" t="str">
        <x:v>균형형 라이트헤지</x:v>
      </x:c>
      <x:c r="F71" s="34" t="str">
        <x:v>PORT-4EF0EAC87C10</x:v>
      </x:c>
      <x:c r="G71" s="34" t="str">
        <x:v>DISCLOSED_PATH</x:v>
      </x:c>
      <x:c r="H71" s="34" t="n">
        <x:v>5</x:v>
      </x:c>
      <x:c r="I71" s="34" t="n">
        <x:v>2029</x:v>
      </x:c>
      <x:c r="J71" s="34" t="n">
        <x:v>2037</x:v>
      </x:c>
      <x:c r="K71" s="34" t="n">
        <x:v>0.275401</x:v>
      </x:c>
      <x:c r="L71" s="34" t="n">
        <x:v>0</x:v>
      </x:c>
      <x:c r="M71" s="34" t="n">
        <x:v>0.692513</x:v>
      </x:c>
      <x:c r="N71" s="34" t="n">
        <x:v>0.032086</x:v>
      </x:c>
      <x:c r="O71" s="34" t="n">
        <x:v>0.3</x:v>
      </x:c>
      <x:c r="P71" s="34" t="n">
        <x:v>0.25</x:v>
      </x:c>
      <x:c r="Q71" s="34" t="n">
        <x:v>0.35</x:v>
      </x:c>
      <x:c r="R71" s="34" t="n">
        <x:v>0.25</x:v>
      </x:c>
      <x:c r="S71" s="34" t="n">
        <x:v>0.015</x:v>
      </x:c>
      <x:c r="T71" s="34" t="n">
        <x:v>370.354232</x:v>
      </x:c>
      <x:c r="U71" s="34" t="str">
        <x:v>POS-GWY-E:H2_DRI_EAF:2037|POS-GWY-EAF:EAF_RENEWABLE:2033|POS-GWY-W:BF_RELINE:2035|POS-POH-N:H2_DRI_EAF:2029|POS-POH-S:H2_DRI_EAF:2032</x:v>
      </x:c>
      <x:c r="V71" s="34" t="str">
        <x:v>model_generated_candidate</x:v>
      </x:c>
      <x:c r="W71" s="34" t="str">
        <x:v>Generated from disclosed-path facility calendar, technology set and template contracting assumptions; not a company-announced project</x:v>
      </x:c>
    </x:row>
    <x:row r="72">
      <x:c r="A72" s="34" t="str">
        <x:v>CAND-59922918D7864B</x:v>
      </x:c>
      <x:c r="B72" s="34" t="str">
        <x:v>POSCO_KR</x:v>
      </x:c>
      <x:c r="C72" s="34" t="str">
        <x:v>POSCO</x:v>
      </x:c>
      <x:c r="D72" s="34" t="str">
        <x:v>P1</x:v>
      </x:c>
      <x:c r="E72" s="34" t="str">
        <x:v>지연·현물조달</x:v>
      </x:c>
      <x:c r="F72" s="34" t="str">
        <x:v>PORT-F0FD6CB66057</x:v>
      </x:c>
      <x:c r="G72" s="34" t="str">
        <x:v>DISCLOSED_PATH</x:v>
      </x:c>
      <x:c r="H72" s="34" t="n">
        <x:v>5</x:v>
      </x:c>
      <x:c r="I72" s="34" t="n">
        <x:v>2029</x:v>
      </x:c>
      <x:c r="J72" s="34" t="n">
        <x:v>2037</x:v>
      </x:c>
      <x:c r="K72" s="34" t="n">
        <x:v>0.275401</x:v>
      </x:c>
      <x:c r="L72" s="34" t="n">
        <x:v>0.692513</x:v>
      </x:c>
      <x:c r="M72" s="34" t="n">
        <x:v>0</x:v>
      </x:c>
      <x:c r="N72" s="34" t="n">
        <x:v>0.032086</x:v>
      </x:c>
      <x:c r="O72" s="34" t="n">
        <x:v>0</x:v>
      </x:c>
      <x:c r="P72" s="34" t="n">
        <x:v>0</x:v>
      </x:c>
      <x:c r="Q72" s="34" t="n">
        <x:v>0.1</x:v>
      </x:c>
      <x:c r="R72" s="34" t="n">
        <x:v>0</x:v>
      </x:c>
      <x:c r="S72" s="34" t="n">
        <x:v>0</x:v>
      </x:c>
      <x:c r="T72" s="34" t="n">
        <x:v>350.283854</x:v>
      </x:c>
      <x:c r="U72" s="34" t="str">
        <x:v>POS-GWY-E:BF_RELINE:2037|POS-GWY-EAF:EAF_RENEWABLE:2033|POS-GWY-W:SCRAP_EAF:2035|POS-POH-N:SCRAP_EAF:2029|POS-POH-S:SCRAP_EAF:2032</x:v>
      </x:c>
      <x:c r="V72" s="34" t="str">
        <x:v>model_generated_candidate</x:v>
      </x:c>
      <x:c r="W72" s="34" t="str">
        <x:v>Generated from disclosed-path facility calendar, technology set and template contracting assumptions; not a company-announced project</x:v>
      </x:c>
    </x:row>
    <x:row r="73">
      <x:c r="A73" s="34" t="str">
        <x:v>CAND-59D8E58B43BE95</x:v>
      </x:c>
      <x:c r="B73" s="34" t="str">
        <x:v>POSCO_KR</x:v>
      </x:c>
      <x:c r="C73" s="34" t="str">
        <x:v>POSCO</x:v>
      </x:c>
      <x:c r="D73" s="34" t="str">
        <x:v>P2</x:v>
      </x:c>
      <x:c r="E73" s="34" t="str">
        <x:v>지연·부분헤지</x:v>
      </x:c>
      <x:c r="F73" s="34" t="str">
        <x:v>PORT-F833A94324B4</x:v>
      </x:c>
      <x:c r="G73" s="34" t="str">
        <x:v>DISCLOSED_PATH</x:v>
      </x:c>
      <x:c r="H73" s="34" t="n">
        <x:v>5</x:v>
      </x:c>
      <x:c r="I73" s="34" t="n">
        <x:v>2029</x:v>
      </x:c>
      <x:c r="J73" s="34" t="n">
        <x:v>2037</x:v>
      </x:c>
      <x:c r="K73" s="34" t="n">
        <x:v>0.494652</x:v>
      </x:c>
      <x:c r="L73" s="34" t="n">
        <x:v>0.197861</x:v>
      </x:c>
      <x:c r="M73" s="34" t="n">
        <x:v>0.275401</x:v>
      </x:c>
      <x:c r="N73" s="34" t="n">
        <x:v>0.032086</x:v>
      </x:c>
      <x:c r="O73" s="34" t="n">
        <x:v>0.15</x:v>
      </x:c>
      <x:c r="P73" s="34" t="n">
        <x:v>0.1</x:v>
      </x:c>
      <x:c r="Q73" s="34" t="n">
        <x:v>0.2</x:v>
      </x:c>
      <x:c r="R73" s="34" t="n">
        <x:v>0.1</x:v>
      </x:c>
      <x:c r="S73" s="34" t="n">
        <x:v>0.01</x:v>
      </x:c>
      <x:c r="T73" s="34" t="n">
        <x:v>200.014276</x:v>
      </x:c>
      <x:c r="U73" s="34" t="str">
        <x:v>POS-GWY-E:H2_DRI_EAF:2037|POS-GWY-EAF:EAF_RENEWABLE:2033|POS-GWY-W:BF_RELINE:2035|POS-POH-N:BF_RELINE:2029|POS-POH-S:SCRAP_EAF:2032</x:v>
      </x:c>
      <x:c r="V73" s="34" t="str">
        <x:v>model_generated_candidate</x:v>
      </x:c>
      <x:c r="W73" s="34" t="str">
        <x:v>Generated from disclosed-path facility calendar, technology set and template contracting assumptions; not a company-announced project</x:v>
      </x:c>
    </x:row>
    <x:row r="74">
      <x:c r="A74" s="34" t="str">
        <x:v>CAND-5A38E9B2121618</x:v>
      </x:c>
      <x:c r="B74" s="34" t="str">
        <x:v>POSCO_KR</x:v>
      </x:c>
      <x:c r="C74" s="34" t="str">
        <x:v>POSCO</x:v>
      </x:c>
      <x:c r="D74" s="34" t="str">
        <x:v>P3</x:v>
      </x:c>
      <x:c r="E74" s="34" t="str">
        <x:v>균형형 라이트헤지</x:v>
      </x:c>
      <x:c r="F74" s="34" t="str">
        <x:v>PORT-E6131070E165</x:v>
      </x:c>
      <x:c r="G74" s="34" t="str">
        <x:v>DISCLOSED_PATH</x:v>
      </x:c>
      <x:c r="H74" s="34" t="n">
        <x:v>5</x:v>
      </x:c>
      <x:c r="I74" s="34" t="n">
        <x:v>2029</x:v>
      </x:c>
      <x:c r="J74" s="34" t="n">
        <x:v>2037</x:v>
      </x:c>
      <x:c r="K74" s="34" t="n">
        <x:v>0.219251</x:v>
      </x:c>
      <x:c r="L74" s="34" t="n">
        <x:v>0.275401</x:v>
      </x:c>
      <x:c r="M74" s="34" t="n">
        <x:v>0.473262</x:v>
      </x:c>
      <x:c r="N74" s="34" t="n">
        <x:v>0.032086</x:v>
      </x:c>
      <x:c r="O74" s="34" t="n">
        <x:v>0.3</x:v>
      </x:c>
      <x:c r="P74" s="34" t="n">
        <x:v>0.25</x:v>
      </x:c>
      <x:c r="Q74" s="34" t="n">
        <x:v>0.35</x:v>
      </x:c>
      <x:c r="R74" s="34" t="n">
        <x:v>0.25</x:v>
      </x:c>
      <x:c r="S74" s="34" t="n">
        <x:v>0.015</x:v>
      </x:c>
      <x:c r="T74" s="34" t="n">
        <x:v>302.711271</x:v>
      </x:c>
      <x:c r="U74" s="34" t="str">
        <x:v>POS-GWY-E:SCRAP_EAF:2037|POS-GWY-EAF:EAF_RENEWABLE:2033|POS-GWY-W:H2_DRI_EAF:2035|POS-POH-N:BF_RELINE:2029|POS-POH-S:H2_DRI_EAF:2032</x:v>
      </x:c>
      <x:c r="V74" s="34" t="str">
        <x:v>model_generated_candidate</x:v>
      </x:c>
      <x:c r="W74" s="34" t="str">
        <x:v>Generated from disclosed-path facility calendar, technology set and template contracting assumptions; not a company-announced project</x:v>
      </x:c>
    </x:row>
    <x:row r="75">
      <x:c r="A75" s="34" t="str">
        <x:v>CAND-5BEF4156D87882</x:v>
      </x:c>
      <x:c r="B75" s="34" t="str">
        <x:v>POSCO_KR</x:v>
      </x:c>
      <x:c r="C75" s="34" t="str">
        <x:v>POSCO</x:v>
      </x:c>
      <x:c r="D75" s="34" t="str">
        <x:v>P1</x:v>
      </x:c>
      <x:c r="E75" s="34" t="str">
        <x:v>지연·현물조달</x:v>
      </x:c>
      <x:c r="F75" s="34" t="str">
        <x:v>PORT-14B830249181</x:v>
      </x:c>
      <x:c r="G75" s="34" t="str">
        <x:v>DISCLOSED_PATH</x:v>
      </x:c>
      <x:c r="H75" s="34" t="n">
        <x:v>5</x:v>
      </x:c>
      <x:c r="I75" s="34" t="n">
        <x:v>2029</x:v>
      </x:c>
      <x:c r="J75" s="34" t="n">
        <x:v>2037</x:v>
      </x:c>
      <x:c r="K75" s="34" t="n">
        <x:v>0.550802</x:v>
      </x:c>
      <x:c r="L75" s="34" t="n">
        <x:v>0.219251</x:v>
      </x:c>
      <x:c r="M75" s="34" t="n">
        <x:v>0.197861</x:v>
      </x:c>
      <x:c r="N75" s="34" t="n">
        <x:v>0.032086</x:v>
      </x:c>
      <x:c r="O75" s="34" t="n">
        <x:v>0</x:v>
      </x:c>
      <x:c r="P75" s="34" t="n">
        <x:v>0</x:v>
      </x:c>
      <x:c r="Q75" s="34" t="n">
        <x:v>0.1</x:v>
      </x:c>
      <x:c r="R75" s="34" t="n">
        <x:v>0</x:v>
      </x:c>
      <x:c r="S75" s="34" t="n">
        <x:v>0</x:v>
      </x:c>
      <x:c r="T75" s="34" t="n">
        <x:v>282.933864</x:v>
      </x:c>
      <x:c r="U75" s="34" t="str">
        <x:v>POS-GWY-E:BF_RELINE:2037|POS-GWY-EAF:EAF_RENEWABLE:2033|POS-GWY-W:BF_RELINE:2035|POS-POH-N:SCRAP_EAF:2029|POS-POH-S:H2_DRI_EAF:2032</x:v>
      </x:c>
      <x:c r="V75" s="34" t="str">
        <x:v>model_generated_candidate</x:v>
      </x:c>
      <x:c r="W75" s="34" t="str">
        <x:v>Generated from disclosed-path facility calendar, technology set and template contracting assumptions; not a company-announced project</x:v>
      </x:c>
    </x:row>
    <x:row r="76">
      <x:c r="A76" s="34" t="str">
        <x:v>CAND-5CF529473B6C8A</x:v>
      </x:c>
      <x:c r="B76" s="34" t="str">
        <x:v>POSCO_KR</x:v>
      </x:c>
      <x:c r="C76" s="34" t="str">
        <x:v>POSCO</x:v>
      </x:c>
      <x:c r="D76" s="34" t="str">
        <x:v>P2</x:v>
      </x:c>
      <x:c r="E76" s="34" t="str">
        <x:v>지연·부분헤지</x:v>
      </x:c>
      <x:c r="F76" s="34" t="str">
        <x:v>PORT-53B67D8C8444</x:v>
      </x:c>
      <x:c r="G76" s="34" t="str">
        <x:v>DISCLOSED_PATH</x:v>
      </x:c>
      <x:c r="H76" s="34" t="n">
        <x:v>5</x:v>
      </x:c>
      <x:c r="I76" s="34" t="n">
        <x:v>2029</x:v>
      </x:c>
      <x:c r="J76" s="34" t="n">
        <x:v>2037</x:v>
      </x:c>
      <x:c r="K76" s="34" t="n">
        <x:v>0.417112</x:v>
      </x:c>
      <x:c r="L76" s="34" t="n">
        <x:v>0.275401</x:v>
      </x:c>
      <x:c r="M76" s="34" t="n">
        <x:v>0.275401</x:v>
      </x:c>
      <x:c r="N76" s="34" t="n">
        <x:v>0.032086</x:v>
      </x:c>
      <x:c r="O76" s="34" t="n">
        <x:v>0.15</x:v>
      </x:c>
      <x:c r="P76" s="34" t="n">
        <x:v>0.1</x:v>
      </x:c>
      <x:c r="Q76" s="34" t="n">
        <x:v>0.2</x:v>
      </x:c>
      <x:c r="R76" s="34" t="n">
        <x:v>0.1</x:v>
      </x:c>
      <x:c r="S76" s="34" t="n">
        <x:v>0.01</x:v>
      </x:c>
      <x:c r="T76" s="34" t="n">
        <x:v>198.671261</x:v>
      </x:c>
      <x:c r="U76" s="34" t="str">
        <x:v>POS-GWY-E:SCRAP_EAF:2037|POS-GWY-EAF:EAF_RENEWABLE:2033|POS-GWY-W:H2_DRI_EAF:2035|POS-POH-N:BF_RELINE:2029|POS-POH-S:BF_RELINE:2032</x:v>
      </x:c>
      <x:c r="V76" s="34" t="str">
        <x:v>model_generated_candidate</x:v>
      </x:c>
      <x:c r="W76" s="34" t="str">
        <x:v>Generated from disclosed-path facility calendar, technology set and template contracting assumptions; not a company-announced project</x:v>
      </x:c>
    </x:row>
    <x:row r="77">
      <x:c r="A77" s="34" t="str">
        <x:v>CAND-5CFC64B9F431FB</x:v>
      </x:c>
      <x:c r="B77" s="34" t="str">
        <x:v>POSCO_KR</x:v>
      </x:c>
      <x:c r="C77" s="34" t="str">
        <x:v>POSCO</x:v>
      </x:c>
      <x:c r="D77" s="34" t="str">
        <x:v>P4</x:v>
      </x:c>
      <x:c r="E77" s="34" t="str">
        <x:v>균형형 전환</x:v>
      </x:c>
      <x:c r="F77" s="34" t="str">
        <x:v>PORT-0A659009CEAA</x:v>
      </x:c>
      <x:c r="G77" s="34" t="str">
        <x:v>DISCLOSED_PATH</x:v>
      </x:c>
      <x:c r="H77" s="34" t="n">
        <x:v>5</x:v>
      </x:c>
      <x:c r="I77" s="34" t="n">
        <x:v>2028</x:v>
      </x:c>
      <x:c r="J77" s="34" t="n">
        <x:v>2036</x:v>
      </x:c>
      <x:c r="K77" s="34" t="n">
        <x:v>0</x:v>
      </x:c>
      <x:c r="L77" s="34" t="n">
        <x:v>0.275401</x:v>
      </x:c>
      <x:c r="M77" s="34" t="n">
        <x:v>0.692513</x:v>
      </x:c>
      <x:c r="N77" s="34" t="n">
        <x:v>0.032086</x:v>
      </x:c>
      <x:c r="O77" s="34" t="n">
        <x:v>0.5</x:v>
      </x:c>
      <x:c r="P77" s="34" t="n">
        <x:v>0.45</x:v>
      </x:c>
      <x:c r="Q77" s="34" t="n">
        <x:v>0.5</x:v>
      </x:c>
      <x:c r="R77" s="34" t="n">
        <x:v>0.4</x:v>
      </x:c>
      <x:c r="S77" s="34" t="n">
        <x:v>0.02</x:v>
      </x:c>
      <x:c r="T77" s="34" t="n">
        <x:v>518.427508</x:v>
      </x:c>
      <x:c r="U77" s="34" t="str">
        <x:v>POS-GWY-E:SCRAP_EAF:2036|POS-GWY-EAF:EAF_RENEWABLE:2032|POS-GWY-W:H2_DRI_EAF:2034|POS-POH-N:H2_DRI_EAF:2028|POS-POH-S:H2_DRI_EAF:2031</x:v>
      </x:c>
      <x:c r="V77" s="34" t="str">
        <x:v>model_generated_candidate</x:v>
      </x:c>
      <x:c r="W77" s="34" t="str">
        <x:v>Generated from disclosed-path facility calendar, technology set and template contracting assumptions; not a company-announced project</x:v>
      </x:c>
    </x:row>
    <x:row r="78">
      <x:c r="A78" s="34" t="str">
        <x:v>CAND-5D4BA5AE2C12A1</x:v>
      </x:c>
      <x:c r="B78" s="34" t="str">
        <x:v>POSCO_KR</x:v>
      </x:c>
      <x:c r="C78" s="34" t="str">
        <x:v>POSCO</x:v>
      </x:c>
      <x:c r="D78" s="34" t="str">
        <x:v>P3</x:v>
      </x:c>
      <x:c r="E78" s="34" t="str">
        <x:v>균형형 라이트헤지</x:v>
      </x:c>
      <x:c r="F78" s="34" t="str">
        <x:v>PORT-914DDED0291C</x:v>
      </x:c>
      <x:c r="G78" s="34" t="str">
        <x:v>DISCLOSED_PATH</x:v>
      </x:c>
      <x:c r="H78" s="34" t="n">
        <x:v>5</x:v>
      </x:c>
      <x:c r="I78" s="34" t="n">
        <x:v>2029</x:v>
      </x:c>
      <x:c r="J78" s="34" t="n">
        <x:v>2037</x:v>
      </x:c>
      <x:c r="K78" s="34" t="n">
        <x:v>0</x:v>
      </x:c>
      <x:c r="L78" s="34" t="n">
        <x:v>0.550802</x:v>
      </x:c>
      <x:c r="M78" s="34" t="n">
        <x:v>0.417112</x:v>
      </x:c>
      <x:c r="N78" s="34" t="n">
        <x:v>0.032086</x:v>
      </x:c>
      <x:c r="O78" s="34" t="n">
        <x:v>0.3</x:v>
      </x:c>
      <x:c r="P78" s="34" t="n">
        <x:v>0.25</x:v>
      </x:c>
      <x:c r="Q78" s="34" t="n">
        <x:v>0.35</x:v>
      </x:c>
      <x:c r="R78" s="34" t="n">
        <x:v>0.25</x:v>
      </x:c>
      <x:c r="S78" s="34" t="n">
        <x:v>0.015</x:v>
      </x:c>
      <x:c r="T78" s="34" t="n">
        <x:v>443.501227</x:v>
      </x:c>
      <x:c r="U78" s="34" t="str">
        <x:v>POS-GWY-E:SCRAP_EAF:2037|POS-GWY-EAF:EAF_RENEWABLE:2033|POS-GWY-W:SCRAP_EAF:2035|POS-POH-N:H2_DRI_EAF:2029|POS-POH-S:H2_DRI_EAF:2032</x:v>
      </x:c>
      <x:c r="V78" s="34" t="str">
        <x:v>model_generated_candidate</x:v>
      </x:c>
      <x:c r="W78" s="34" t="str">
        <x:v>Generated from disclosed-path facility calendar, technology set and template contracting assumptions; not a company-announced project</x:v>
      </x:c>
    </x:row>
    <x:row r="79">
      <x:c r="A79" s="34" t="str">
        <x:v>CAND-5EDB484CD5BE5A</x:v>
      </x:c>
      <x:c r="B79" s="34" t="str">
        <x:v>POSCO_KR</x:v>
      </x:c>
      <x:c r="C79" s="34" t="str">
        <x:v>POSCO</x:v>
      </x:c>
      <x:c r="D79" s="34" t="str">
        <x:v>P2</x:v>
      </x:c>
      <x:c r="E79" s="34" t="str">
        <x:v>지연·부분헤지</x:v>
      </x:c>
      <x:c r="F79" s="34" t="str">
        <x:v>PORT-76FA0E81D10C</x:v>
      </x:c>
      <x:c r="G79" s="34" t="str">
        <x:v>DISCLOSED_PATH</x:v>
      </x:c>
      <x:c r="H79" s="34" t="n">
        <x:v>5</x:v>
      </x:c>
      <x:c r="I79" s="34" t="n">
        <x:v>2029</x:v>
      </x:c>
      <x:c r="J79" s="34" t="n">
        <x:v>2037</x:v>
      </x:c>
      <x:c r="K79" s="34" t="n">
        <x:v>0</x:v>
      </x:c>
      <x:c r="L79" s="34" t="n">
        <x:v>0.197861</x:v>
      </x:c>
      <x:c r="M79" s="34" t="n">
        <x:v>0.770053</x:v>
      </x:c>
      <x:c r="N79" s="34" t="n">
        <x:v>0.032086</x:v>
      </x:c>
      <x:c r="O79" s="34" t="n">
        <x:v>0.15</x:v>
      </x:c>
      <x:c r="P79" s="34" t="n">
        <x:v>0.1</x:v>
      </x:c>
      <x:c r="Q79" s="34" t="n">
        <x:v>0.2</x:v>
      </x:c>
      <x:c r="R79" s="34" t="n">
        <x:v>0.1</x:v>
      </x:c>
      <x:c r="S79" s="34" t="n">
        <x:v>0.01</x:v>
      </x:c>
      <x:c r="T79" s="34" t="n">
        <x:v>451.954221</x:v>
      </x:c>
      <x:c r="U79" s="34" t="str">
        <x:v>POS-GWY-E:H2_DRI_EAF:2037|POS-GWY-EAF:EAF_RENEWABLE:2033|POS-GWY-W:H2_DRI_EAF:2035|POS-POH-N:H2_DRI_EAF:2029|POS-POH-S:SCRAP_EAF:2032</x:v>
      </x:c>
      <x:c r="V79" s="34" t="str">
        <x:v>model_generated_candidate</x:v>
      </x:c>
      <x:c r="W79" s="34" t="str">
        <x:v>Generated from disclosed-path facility calendar, technology set and template contracting assumptions; not a company-announced project</x:v>
      </x:c>
    </x:row>
    <x:row r="80">
      <x:c r="A80" s="34" t="str">
        <x:v>CAND-61FF84233D41BD</x:v>
      </x:c>
      <x:c r="B80" s="34" t="str">
        <x:v>POSCO_KR</x:v>
      </x:c>
      <x:c r="C80" s="34" t="str">
        <x:v>POSCO</x:v>
      </x:c>
      <x:c r="D80" s="34" t="str">
        <x:v>P1</x:v>
      </x:c>
      <x:c r="E80" s="34" t="str">
        <x:v>지연·현물조달</x:v>
      </x:c>
      <x:c r="F80" s="34" t="str">
        <x:v>PORT-C4223BE01DD1</x:v>
      </x:c>
      <x:c r="G80" s="34" t="str">
        <x:v>DISCLOSED_PATH</x:v>
      </x:c>
      <x:c r="H80" s="34" t="n">
        <x:v>5</x:v>
      </x:c>
      <x:c r="I80" s="34" t="n">
        <x:v>2029</x:v>
      </x:c>
      <x:c r="J80" s="34" t="n">
        <x:v>2037</x:v>
      </x:c>
      <x:c r="K80" s="34" t="n">
        <x:v>0.692513</x:v>
      </x:c>
      <x:c r="L80" s="34" t="n">
        <x:v>0</x:v>
      </x:c>
      <x:c r="M80" s="34" t="n">
        <x:v>0.275401</x:v>
      </x:c>
      <x:c r="N80" s="34" t="n">
        <x:v>0.032086</x:v>
      </x:c>
      <x:c r="O80" s="34" t="n">
        <x:v>0</x:v>
      </x:c>
      <x:c r="P80" s="34" t="n">
        <x:v>0</x:v>
      </x:c>
      <x:c r="Q80" s="34" t="n">
        <x:v>0.1</x:v>
      </x:c>
      <x:c r="R80" s="34" t="n">
        <x:v>0</x:v>
      </x:c>
      <x:c r="S80" s="34" t="n">
        <x:v>0</x:v>
      </x:c>
      <x:c r="T80" s="34" t="n">
        <x:v>111.274268</x:v>
      </x:c>
      <x:c r="U80" s="34" t="str">
        <x:v>POS-GWY-E:H2_DRI_EAF:2037|POS-GWY-EAF:EAF_RENEWABLE:2033|POS-GWY-W:BF_RELINE:2035|POS-POH-N:BF_RELINE:2029|POS-POH-S:BF_RELINE:2032</x:v>
      </x:c>
      <x:c r="V80" s="34" t="str">
        <x:v>model_generated_candidate</x:v>
      </x:c>
      <x:c r="W80" s="34" t="str">
        <x:v>Generated from disclosed-path facility calendar, technology set and template contracting assumptions; not a company-announced project</x:v>
      </x:c>
    </x:row>
    <x:row r="81">
      <x:c r="A81" s="34" t="str">
        <x:v>CAND-6339E6B83A8408</x:v>
      </x:c>
      <x:c r="B81" s="34" t="str">
        <x:v>POSCO_KR</x:v>
      </x:c>
      <x:c r="C81" s="34" t="str">
        <x:v>POSCO</x:v>
      </x:c>
      <x:c r="D81" s="34" t="str">
        <x:v>P3</x:v>
      </x:c>
      <x:c r="E81" s="34" t="str">
        <x:v>균형형 라이트헤지</x:v>
      </x:c>
      <x:c r="F81" s="34" t="str">
        <x:v>PORT-8826D0B469EE</x:v>
      </x:c>
      <x:c r="G81" s="34" t="str">
        <x:v>DISCLOSED_PATH</x:v>
      </x:c>
      <x:c r="H81" s="34" t="n">
        <x:v>5</x:v>
      </x:c>
      <x:c r="I81" s="34" t="n">
        <x:v>2029</x:v>
      </x:c>
      <x:c r="J81" s="34" t="n">
        <x:v>2037</x:v>
      </x:c>
      <x:c r="K81" s="34" t="n">
        <x:v>0</x:v>
      </x:c>
      <x:c r="L81" s="34" t="n">
        <x:v>0.417112</x:v>
      </x:c>
      <x:c r="M81" s="34" t="n">
        <x:v>0.550802</x:v>
      </x:c>
      <x:c r="N81" s="34" t="n">
        <x:v>0.032086</x:v>
      </x:c>
      <x:c r="O81" s="34" t="n">
        <x:v>0.3</x:v>
      </x:c>
      <x:c r="P81" s="34" t="n">
        <x:v>0.25</x:v>
      </x:c>
      <x:c r="Q81" s="34" t="n">
        <x:v>0.35</x:v>
      </x:c>
      <x:c r="R81" s="34" t="n">
        <x:v>0.25</x:v>
      </x:c>
      <x:c r="S81" s="34" t="n">
        <x:v>0.015</x:v>
      </x:c>
      <x:c r="T81" s="34" t="n">
        <x:v>429.154227</x:v>
      </x:c>
      <x:c r="U81" s="34" t="str">
        <x:v>POS-GWY-E:H2_DRI_EAF:2037|POS-GWY-EAF:EAF_RENEWABLE:2033|POS-GWY-W:H2_DRI_EAF:2035|POS-POH-N:SCRAP_EAF:2029|POS-POH-S:SCRAP_EAF:2032</x:v>
      </x:c>
      <x:c r="V81" s="34" t="str">
        <x:v>model_generated_candidate</x:v>
      </x:c>
      <x:c r="W81" s="34" t="str">
        <x:v>Generated from disclosed-path facility calendar, technology set and template contracting assumptions; not a company-announced project</x:v>
      </x:c>
    </x:row>
    <x:row r="82">
      <x:c r="A82" s="34" t="str">
        <x:v>CAND-63418967481534</x:v>
      </x:c>
      <x:c r="B82" s="34" t="str">
        <x:v>POSCO_KR</x:v>
      </x:c>
      <x:c r="C82" s="34" t="str">
        <x:v>POSCO</x:v>
      </x:c>
      <x:c r="D82" s="34" t="str">
        <x:v>P3</x:v>
      </x:c>
      <x:c r="E82" s="34" t="str">
        <x:v>균형형 라이트헤지</x:v>
      </x:c>
      <x:c r="F82" s="34" t="str">
        <x:v>PORT-88B20AD20AAC</x:v>
      </x:c>
      <x:c r="G82" s="34" t="str">
        <x:v>DISCLOSED_PATH</x:v>
      </x:c>
      <x:c r="H82" s="34" t="n">
        <x:v>5</x:v>
      </x:c>
      <x:c r="I82" s="34" t="n">
        <x:v>2029</x:v>
      </x:c>
      <x:c r="J82" s="34" t="n">
        <x:v>2037</x:v>
      </x:c>
      <x:c r="K82" s="34" t="n">
        <x:v>0.275401</x:v>
      </x:c>
      <x:c r="L82" s="34" t="n">
        <x:v>0</x:v>
      </x:c>
      <x:c r="M82" s="34" t="n">
        <x:v>0.692513</x:v>
      </x:c>
      <x:c r="N82" s="34" t="n">
        <x:v>0.032086</x:v>
      </x:c>
      <x:c r="O82" s="34" t="n">
        <x:v>0.3</x:v>
      </x:c>
      <x:c r="P82" s="34" t="n">
        <x:v>0.25</x:v>
      </x:c>
      <x:c r="Q82" s="34" t="n">
        <x:v>0.35</x:v>
      </x:c>
      <x:c r="R82" s="34" t="n">
        <x:v>0.25</x:v>
      </x:c>
      <x:c r="S82" s="34" t="n">
        <x:v>0.015</x:v>
      </x:c>
      <x:c r="T82" s="34" t="n">
        <x:v>402.633847</x:v>
      </x:c>
      <x:c r="U82" s="34" t="str">
        <x:v>POS-GWY-E:BF_RELINE:2037|POS-GWY-EAF:EAF_RENEWABLE:2033|POS-GWY-W:H2_DRI_EAF:2035|POS-POH-N:H2_DRI_EAF:2029|POS-POH-S:H2_DRI_EAF:2032</x:v>
      </x:c>
      <x:c r="V82" s="34" t="str">
        <x:v>model_generated_candidate</x:v>
      </x:c>
      <x:c r="W82" s="34" t="str">
        <x:v>Generated from disclosed-path facility calendar, technology set and template contracting assumptions; not a company-announced project</x:v>
      </x:c>
    </x:row>
    <x:row r="83">
      <x:c r="A83" s="34" t="str">
        <x:v>CAND-63781C106D5099</x:v>
      </x:c>
      <x:c r="B83" s="34" t="str">
        <x:v>POSCO_KR</x:v>
      </x:c>
      <x:c r="C83" s="34" t="str">
        <x:v>POSCO</x:v>
      </x:c>
      <x:c r="D83" s="34" t="str">
        <x:v>P1</x:v>
      </x:c>
      <x:c r="E83" s="34" t="str">
        <x:v>지연·현물조달</x:v>
      </x:c>
      <x:c r="F83" s="34" t="str">
        <x:v>PORT-41705C04BF44</x:v>
      </x:c>
      <x:c r="G83" s="34" t="str">
        <x:v>DISCLOSED_PATH</x:v>
      </x:c>
      <x:c r="H83" s="34" t="n">
        <x:v>5</x:v>
      </x:c>
      <x:c r="I83" s="34" t="n">
        <x:v>2029</x:v>
      </x:c>
      <x:c r="J83" s="34" t="n">
        <x:v>2037</x:v>
      </x:c>
      <x:c r="K83" s="34" t="n">
        <x:v>0.473262</x:v>
      </x:c>
      <x:c r="L83" s="34" t="n">
        <x:v>0.494652</x:v>
      </x:c>
      <x:c r="M83" s="34" t="n">
        <x:v>0</x:v>
      </x:c>
      <x:c r="N83" s="34" t="n">
        <x:v>0.032086</x:v>
      </x:c>
      <x:c r="O83" s="34" t="n">
        <x:v>0</x:v>
      </x:c>
      <x:c r="P83" s="34" t="n">
        <x:v>0</x:v>
      </x:c>
      <x:c r="Q83" s="34" t="n">
        <x:v>0.1</x:v>
      </x:c>
      <x:c r="R83" s="34" t="n">
        <x:v>0</x:v>
      </x:c>
      <x:c r="S83" s="34" t="n">
        <x:v>0</x:v>
      </x:c>
      <x:c r="T83" s="34" t="n">
        <x:v>234.011233</x:v>
      </x:c>
      <x:c r="U83" s="34" t="str">
        <x:v>POS-GWY-E:SCRAP_EAF:2037|POS-GWY-EAF:EAF_RENEWABLE:2033|POS-GWY-W:BF_RELINE:2035|POS-POH-N:SCRAP_EAF:2029|POS-POH-S:BF_RELINE:2032</x:v>
      </x:c>
      <x:c r="V83" s="34" t="str">
        <x:v>model_generated_candidate</x:v>
      </x:c>
      <x:c r="W83" s="34" t="str">
        <x:v>Generated from disclosed-path facility calendar, technology set and template contracting assumptions; not a company-announced project</x:v>
      </x:c>
    </x:row>
    <x:row r="84">
      <x:c r="A84" s="34" t="str">
        <x:v>CAND-6518C659D069E2</x:v>
      </x:c>
      <x:c r="B84" s="34" t="str">
        <x:v>POSCO_KR</x:v>
      </x:c>
      <x:c r="C84" s="34" t="str">
        <x:v>POSCO</x:v>
      </x:c>
      <x:c r="D84" s="34" t="str">
        <x:v>P2</x:v>
      </x:c>
      <x:c r="E84" s="34" t="str">
        <x:v>지연·부분헤지</x:v>
      </x:c>
      <x:c r="F84" s="34" t="str">
        <x:v>PORT-14B830249181</x:v>
      </x:c>
      <x:c r="G84" s="34" t="str">
        <x:v>DISCLOSED_PATH</x:v>
      </x:c>
      <x:c r="H84" s="34" t="n">
        <x:v>5</x:v>
      </x:c>
      <x:c r="I84" s="34" t="n">
        <x:v>2029</x:v>
      </x:c>
      <x:c r="J84" s="34" t="n">
        <x:v>2037</x:v>
      </x:c>
      <x:c r="K84" s="34" t="n">
        <x:v>0.550802</x:v>
      </x:c>
      <x:c r="L84" s="34" t="n">
        <x:v>0.219251</x:v>
      </x:c>
      <x:c r="M84" s="34" t="n">
        <x:v>0.197861</x:v>
      </x:c>
      <x:c r="N84" s="34" t="n">
        <x:v>0.032086</x:v>
      </x:c>
      <x:c r="O84" s="34" t="n">
        <x:v>0.15</x:v>
      </x:c>
      <x:c r="P84" s="34" t="n">
        <x:v>0.1</x:v>
      </x:c>
      <x:c r="Q84" s="34" t="n">
        <x:v>0.2</x:v>
      </x:c>
      <x:c r="R84" s="34" t="n">
        <x:v>0.1</x:v>
      </x:c>
      <x:c r="S84" s="34" t="n">
        <x:v>0.01</x:v>
      </x:c>
      <x:c r="T84" s="34" t="n">
        <x:v>282.933864</x:v>
      </x:c>
      <x:c r="U84" s="34" t="str">
        <x:v>POS-GWY-E:BF_RELINE:2037|POS-GWY-EAF:EAF_RENEWABLE:2033|POS-GWY-W:BF_RELINE:2035|POS-POH-N:SCRAP_EAF:2029|POS-POH-S:H2_DRI_EAF:2032</x:v>
      </x:c>
      <x:c r="V84" s="34" t="str">
        <x:v>model_generated_candidate</x:v>
      </x:c>
      <x:c r="W84" s="34" t="str">
        <x:v>Generated from disclosed-path facility calendar, technology set and template contracting assumptions; not a company-announced project</x:v>
      </x:c>
    </x:row>
    <x:row r="85">
      <x:c r="A85" s="34" t="str">
        <x:v>CAND-6521638C73C96E</x:v>
      </x:c>
      <x:c r="B85" s="34" t="str">
        <x:v>POSCO_KR</x:v>
      </x:c>
      <x:c r="C85" s="34" t="str">
        <x:v>POSCO</x:v>
      </x:c>
      <x:c r="D85" s="34" t="str">
        <x:v>P1</x:v>
      </x:c>
      <x:c r="E85" s="34" t="str">
        <x:v>지연·현물조달</x:v>
      </x:c>
      <x:c r="F85" s="34" t="str">
        <x:v>PORT-26982033AA0F</x:v>
      </x:c>
      <x:c r="G85" s="34" t="str">
        <x:v>DISCLOSED_PATH</x:v>
      </x:c>
      <x:c r="H85" s="34" t="n">
        <x:v>5</x:v>
      </x:c>
      <x:c r="I85" s="34" t="n">
        <x:v>2029</x:v>
      </x:c>
      <x:c r="J85" s="34" t="n">
        <x:v>2037</x:v>
      </x:c>
      <x:c r="K85" s="34" t="n">
        <x:v>0.770053</x:v>
      </x:c>
      <x:c r="L85" s="34" t="n">
        <x:v>0</x:v>
      </x:c>
      <x:c r="M85" s="34" t="n">
        <x:v>0.197861</x:v>
      </x:c>
      <x:c r="N85" s="34" t="n">
        <x:v>0.032086</x:v>
      </x:c>
      <x:c r="O85" s="34" t="n">
        <x:v>0</x:v>
      </x:c>
      <x:c r="P85" s="34" t="n">
        <x:v>0</x:v>
      </x:c>
      <x:c r="Q85" s="34" t="n">
        <x:v>0.1</x:v>
      </x:c>
      <x:c r="R85" s="34" t="n">
        <x:v>0</x:v>
      </x:c>
      <x:c r="S85" s="34" t="n">
        <x:v>0</x:v>
      </x:c>
      <x:c r="T85" s="34" t="n">
        <x:v>150.693902</x:v>
      </x:c>
      <x:c r="U85" s="34" t="str">
        <x:v>POS-GWY-E:BF_RELINE:2037|POS-GWY-EAF:EAF_RENEWABLE:2033|POS-GWY-W:BF_RELINE:2035|POS-POH-N:BF_RELINE:2029|POS-POH-S:H2_DRI_EAF:2032</x:v>
      </x:c>
      <x:c r="V85" s="34" t="str">
        <x:v>model_generated_candidate</x:v>
      </x:c>
      <x:c r="W85" s="34" t="str">
        <x:v>Generated from disclosed-path facility calendar, technology set and template contracting assumptions; not a company-announced project</x:v>
      </x:c>
    </x:row>
    <x:row r="86">
      <x:c r="A86" s="34" t="str">
        <x:v>CAND-658DE1AE1D4472</x:v>
      </x:c>
      <x:c r="B86" s="34" t="str">
        <x:v>POSCO_KR</x:v>
      </x:c>
      <x:c r="C86" s="34" t="str">
        <x:v>POSCO</x:v>
      </x:c>
      <x:c r="D86" s="34" t="str">
        <x:v>P2</x:v>
      </x:c>
      <x:c r="E86" s="34" t="str">
        <x:v>지연·부분헤지</x:v>
      </x:c>
      <x:c r="F86" s="34" t="str">
        <x:v>PORT-2E81D74D4102</x:v>
      </x:c>
      <x:c r="G86" s="34" t="str">
        <x:v>DISCLOSED_PATH</x:v>
      </x:c>
      <x:c r="H86" s="34" t="n">
        <x:v>5</x:v>
      </x:c>
      <x:c r="I86" s="34" t="n">
        <x:v>2029</x:v>
      </x:c>
      <x:c r="J86" s="34" t="n">
        <x:v>2037</x:v>
      </x:c>
      <x:c r="K86" s="34" t="n">
        <x:v>0.197861</x:v>
      </x:c>
      <x:c r="L86" s="34" t="n">
        <x:v>0</x:v>
      </x:c>
      <x:c r="M86" s="34" t="n">
        <x:v>0.770053</x:v>
      </x:c>
      <x:c r="N86" s="34" t="n">
        <x:v>0.032086</x:v>
      </x:c>
      <x:c r="O86" s="34" t="n">
        <x:v>0.15</x:v>
      </x:c>
      <x:c r="P86" s="34" t="n">
        <x:v>0.1</x:v>
      </x:c>
      <x:c r="Q86" s="34" t="n">
        <x:v>0.2</x:v>
      </x:c>
      <x:c r="R86" s="34" t="n">
        <x:v>0.1</x:v>
      </x:c>
      <x:c r="S86" s="34" t="n">
        <x:v>0.01</x:v>
      </x:c>
      <x:c r="T86" s="34" t="n">
        <x:v>363.214213</x:v>
      </x:c>
      <x:c r="U86" s="34" t="str">
        <x:v>POS-GWY-E:H2_DRI_EAF:2037|POS-GWY-EAF:EAF_RENEWABLE:2033|POS-GWY-W:H2_DRI_EAF:2035|POS-POH-N:H2_DRI_EAF:2029|POS-POH-S:BF_RELINE:2032</x:v>
      </x:c>
      <x:c r="V86" s="34" t="str">
        <x:v>model_generated_candidate</x:v>
      </x:c>
      <x:c r="W86" s="34" t="str">
        <x:v>Generated from disclosed-path facility calendar, technology set and template contracting assumptions; not a company-announced project</x:v>
      </x:c>
    </x:row>
    <x:row r="87">
      <x:c r="A87" s="34" t="str">
        <x:v>CAND-665091FC3F8349</x:v>
      </x:c>
      <x:c r="B87" s="34" t="str">
        <x:v>POSCO_KR</x:v>
      </x:c>
      <x:c r="C87" s="34" t="str">
        <x:v>POSCO</x:v>
      </x:c>
      <x:c r="D87" s="34" t="str">
        <x:v>P2</x:v>
      </x:c>
      <x:c r="E87" s="34" t="str">
        <x:v>지연·부분헤지</x:v>
      </x:c>
      <x:c r="F87" s="34" t="str">
        <x:v>PORT-E80F0DA86082</x:v>
      </x:c>
      <x:c r="G87" s="34" t="str">
        <x:v>DISCLOSED_PATH</x:v>
      </x:c>
      <x:c r="H87" s="34" t="n">
        <x:v>5</x:v>
      </x:c>
      <x:c r="I87" s="34" t="n">
        <x:v>2029</x:v>
      </x:c>
      <x:c r="J87" s="34" t="n">
        <x:v>2037</x:v>
      </x:c>
      <x:c r="K87" s="34" t="n">
        <x:v>0.473262</x:v>
      </x:c>
      <x:c r="L87" s="34" t="n">
        <x:v>0</x:v>
      </x:c>
      <x:c r="M87" s="34" t="n">
        <x:v>0.494652</x:v>
      </x:c>
      <x:c r="N87" s="34" t="n">
        <x:v>0.032086</x:v>
      </x:c>
      <x:c r="O87" s="34" t="n">
        <x:v>0.15</x:v>
      </x:c>
      <x:c r="P87" s="34" t="n">
        <x:v>0.1</x:v>
      </x:c>
      <x:c r="Q87" s="34" t="n">
        <x:v>0.2</x:v>
      </x:c>
      <x:c r="R87" s="34" t="n">
        <x:v>0.1</x:v>
      </x:c>
      <x:c r="S87" s="34" t="n">
        <x:v>0.01</x:v>
      </x:c>
      <x:c r="T87" s="34" t="n">
        <x:v>298.593838</x:v>
      </x:c>
      <x:c r="U87" s="34" t="str">
        <x:v>POS-GWY-E:BF_RELINE:2037|POS-GWY-EAF:EAF_RENEWABLE:2033|POS-GWY-W:H2_DRI_EAF:2035|POS-POH-N:H2_DRI_EAF:2029|POS-POH-S:BF_RELINE:2032</x:v>
      </x:c>
      <x:c r="V87" s="34" t="str">
        <x:v>model_generated_candidate</x:v>
      </x:c>
      <x:c r="W87" s="34" t="str">
        <x:v>Generated from disclosed-path facility calendar, technology set and template contracting assumptions; not a company-announced project</x:v>
      </x:c>
    </x:row>
    <x:row r="88">
      <x:c r="A88" s="34" t="str">
        <x:v>CAND-666CF68419F683</x:v>
      </x:c>
      <x:c r="B88" s="34" t="str">
        <x:v>POSCO_KR</x:v>
      </x:c>
      <x:c r="C88" s="34" t="str">
        <x:v>POSCO</x:v>
      </x:c>
      <x:c r="D88" s="34" t="str">
        <x:v>P1</x:v>
      </x:c>
      <x:c r="E88" s="34" t="str">
        <x:v>지연·현물조달</x:v>
      </x:c>
      <x:c r="F88" s="34" t="str">
        <x:v>PORT-CB1C741D93E4</x:v>
      </x:c>
      <x:c r="G88" s="34" t="str">
        <x:v>DISCLOSED_PATH</x:v>
      </x:c>
      <x:c r="H88" s="34" t="n">
        <x:v>5</x:v>
      </x:c>
      <x:c r="I88" s="34" t="n">
        <x:v>2029</x:v>
      </x:c>
      <x:c r="J88" s="34" t="n">
        <x:v>2037</x:v>
      </x:c>
      <x:c r="K88" s="34" t="n">
        <x:v>0.494652</x:v>
      </x:c>
      <x:c r="L88" s="34" t="n">
        <x:v>0.275401</x:v>
      </x:c>
      <x:c r="M88" s="34" t="n">
        <x:v>0.197861</x:v>
      </x:c>
      <x:c r="N88" s="34" t="n">
        <x:v>0.032086</x:v>
      </x:c>
      <x:c r="O88" s="34" t="n">
        <x:v>0</x:v>
      </x:c>
      <x:c r="P88" s="34" t="n">
        <x:v>0</x:v>
      </x:c>
      <x:c r="Q88" s="34" t="n">
        <x:v>0.1</x:v>
      </x:c>
      <x:c r="R88" s="34" t="n">
        <x:v>0</x:v>
      </x:c>
      <x:c r="S88" s="34" t="n">
        <x:v>0</x:v>
      </x:c>
      <x:c r="T88" s="34" t="n">
        <x:v>205.811281</x:v>
      </x:c>
      <x:c r="U88" s="34" t="str">
        <x:v>POS-GWY-E:SCRAP_EAF:2037|POS-GWY-EAF:EAF_RENEWABLE:2033|POS-GWY-W:BF_RELINE:2035|POS-POH-N:BF_RELINE:2029|POS-POH-S:H2_DRI_EAF:2032</x:v>
      </x:c>
      <x:c r="V88" s="34" t="str">
        <x:v>model_generated_candidate</x:v>
      </x:c>
      <x:c r="W88" s="34" t="str">
        <x:v>Generated from disclosed-path facility calendar, technology set and template contracting assumptions; not a company-announced project</x:v>
      </x:c>
    </x:row>
    <x:row r="89">
      <x:c r="A89" s="34" t="str">
        <x:v>CAND-66CDAFCF347183</x:v>
      </x:c>
      <x:c r="B89" s="34" t="str">
        <x:v>POSCO_KR</x:v>
      </x:c>
      <x:c r="C89" s="34" t="str">
        <x:v>POSCO</x:v>
      </x:c>
      <x:c r="D89" s="34" t="str">
        <x:v>P3</x:v>
      </x:c>
      <x:c r="E89" s="34" t="str">
        <x:v>균형형 라이트헤지</x:v>
      </x:c>
      <x:c r="F89" s="34" t="str">
        <x:v>PORT-76FA0E81D10C</x:v>
      </x:c>
      <x:c r="G89" s="34" t="str">
        <x:v>DISCLOSED_PATH</x:v>
      </x:c>
      <x:c r="H89" s="34" t="n">
        <x:v>5</x:v>
      </x:c>
      <x:c r="I89" s="34" t="n">
        <x:v>2029</x:v>
      </x:c>
      <x:c r="J89" s="34" t="n">
        <x:v>2037</x:v>
      </x:c>
      <x:c r="K89" s="34" t="n">
        <x:v>0</x:v>
      </x:c>
      <x:c r="L89" s="34" t="n">
        <x:v>0.197861</x:v>
      </x:c>
      <x:c r="M89" s="34" t="n">
        <x:v>0.770053</x:v>
      </x:c>
      <x:c r="N89" s="34" t="n">
        <x:v>0.032086</x:v>
      </x:c>
      <x:c r="O89" s="34" t="n">
        <x:v>0.3</x:v>
      </x:c>
      <x:c r="P89" s="34" t="n">
        <x:v>0.25</x:v>
      </x:c>
      <x:c r="Q89" s="34" t="n">
        <x:v>0.35</x:v>
      </x:c>
      <x:c r="R89" s="34" t="n">
        <x:v>0.25</x:v>
      </x:c>
      <x:c r="S89" s="34" t="n">
        <x:v>0.015</x:v>
      </x:c>
      <x:c r="T89" s="34" t="n">
        <x:v>451.954221</x:v>
      </x:c>
      <x:c r="U89" s="34" t="str">
        <x:v>POS-GWY-E:H2_DRI_EAF:2037|POS-GWY-EAF:EAF_RENEWABLE:2033|POS-GWY-W:H2_DRI_EAF:2035|POS-POH-N:H2_DRI_EAF:2029|POS-POH-S:SCRAP_EAF:2032</x:v>
      </x:c>
      <x:c r="V89" s="34" t="str">
        <x:v>model_generated_candidate</x:v>
      </x:c>
      <x:c r="W89" s="34" t="str">
        <x:v>Generated from disclosed-path facility calendar, technology set and template contracting assumptions; not a company-announced project</x:v>
      </x:c>
    </x:row>
    <x:row r="90">
      <x:c r="A90" s="34" t="str">
        <x:v>CAND-6839D626EADAFC</x:v>
      </x:c>
      <x:c r="B90" s="34" t="str">
        <x:v>POSCO_KR</x:v>
      </x:c>
      <x:c r="C90" s="34" t="str">
        <x:v>POSCO</x:v>
      </x:c>
      <x:c r="D90" s="34" t="str">
        <x:v>P4</x:v>
      </x:c>
      <x:c r="E90" s="34" t="str">
        <x:v>균형형 전환</x:v>
      </x:c>
      <x:c r="F90" s="34" t="str">
        <x:v>PORT-DB628D74218D</x:v>
      </x:c>
      <x:c r="G90" s="34" t="str">
        <x:v>DISCLOSED_PATH</x:v>
      </x:c>
      <x:c r="H90" s="34" t="n">
        <x:v>5</x:v>
      </x:c>
      <x:c r="I90" s="34" t="n">
        <x:v>2028</x:v>
      </x:c>
      <x:c r="J90" s="34" t="n">
        <x:v>2036</x:v>
      </x:c>
      <x:c r="K90" s="34" t="n">
        <x:v>0.197861</x:v>
      </x:c>
      <x:c r="L90" s="34" t="n">
        <x:v>0.275401</x:v>
      </x:c>
      <x:c r="M90" s="34" t="n">
        <x:v>0.494652</x:v>
      </x:c>
      <x:c r="N90" s="34" t="n">
        <x:v>0.032086</x:v>
      </x:c>
      <x:c r="O90" s="34" t="n">
        <x:v>0.5</x:v>
      </x:c>
      <x:c r="P90" s="34" t="n">
        <x:v>0.45</x:v>
      </x:c>
      <x:c r="Q90" s="34" t="n">
        <x:v>0.5</x:v>
      </x:c>
      <x:c r="R90" s="34" t="n">
        <x:v>0.4</x:v>
      </x:c>
      <x:c r="S90" s="34" t="n">
        <x:v>0.02</x:v>
      </x:c>
      <x:c r="T90" s="34" t="n">
        <x:v>402.827497</x:v>
      </x:c>
      <x:c r="U90" s="34" t="str">
        <x:v>POS-GWY-E:SCRAP_EAF:2036|POS-GWY-EAF:EAF_RENEWABLE:2032|POS-GWY-W:H2_DRI_EAF:2034|POS-POH-N:H2_DRI_EAF:2028|POS-POH-S:BF_RELINE:2031</x:v>
      </x:c>
      <x:c r="V90" s="34" t="str">
        <x:v>model_generated_candidate</x:v>
      </x:c>
      <x:c r="W90" s="34" t="str">
        <x:v>Generated from disclosed-path facility calendar, technology set and template contracting assumptions; not a company-announced project</x:v>
      </x:c>
    </x:row>
    <x:row r="91">
      <x:c r="A91" s="34" t="str">
        <x:v>CAND-688976C946D330</x:v>
      </x:c>
      <x:c r="B91" s="34" t="str">
        <x:v>POSCO_KR</x:v>
      </x:c>
      <x:c r="C91" s="34" t="str">
        <x:v>POSCO</x:v>
      </x:c>
      <x:c r="D91" s="34" t="str">
        <x:v>P1</x:v>
      </x:c>
      <x:c r="E91" s="34" t="str">
        <x:v>지연·현물조달</x:v>
      </x:c>
      <x:c r="F91" s="34" t="str">
        <x:v>PORT-B0374F687394</x:v>
      </x:c>
      <x:c r="G91" s="34" t="str">
        <x:v>DISCLOSED_PATH</x:v>
      </x:c>
      <x:c r="H91" s="34" t="n">
        <x:v>5</x:v>
      </x:c>
      <x:c r="I91" s="34" t="n">
        <x:v>2029</x:v>
      </x:c>
      <x:c r="J91" s="34" t="n">
        <x:v>2037</x:v>
      </x:c>
      <x:c r="K91" s="34" t="n">
        <x:v>0.275401</x:v>
      </x:c>
      <x:c r="L91" s="34" t="n">
        <x:v>0.494652</x:v>
      </x:c>
      <x:c r="M91" s="34" t="n">
        <x:v>0.197861</x:v>
      </x:c>
      <x:c r="N91" s="34" t="n">
        <x:v>0.032086</x:v>
      </x:c>
      <x:c r="O91" s="34" t="n">
        <x:v>0</x:v>
      </x:c>
      <x:c r="P91" s="34" t="n">
        <x:v>0</x:v>
      </x:c>
      <x:c r="Q91" s="34" t="n">
        <x:v>0.1</x:v>
      </x:c>
      <x:c r="R91" s="34" t="n">
        <x:v>0</x:v>
      </x:c>
      <x:c r="S91" s="34" t="n">
        <x:v>0</x:v>
      </x:c>
      <x:c r="T91" s="34" t="n">
        <x:v>338.051243</x:v>
      </x:c>
      <x:c r="U91" s="34" t="str">
        <x:v>POS-GWY-E:SCRAP_EAF:2037|POS-GWY-EAF:EAF_RENEWABLE:2033|POS-GWY-W:BF_RELINE:2035|POS-POH-N:SCRAP_EAF:2029|POS-POH-S:H2_DRI_EAF:2032</x:v>
      </x:c>
      <x:c r="V91" s="34" t="str">
        <x:v>model_generated_candidate</x:v>
      </x:c>
      <x:c r="W91" s="34" t="str">
        <x:v>Generated from disclosed-path facility calendar, technology set and template contracting assumptions; not a company-announced project</x:v>
      </x:c>
    </x:row>
    <x:row r="92">
      <x:c r="A92" s="34" t="str">
        <x:v>CAND-69F1DFA349467C</x:v>
      </x:c>
      <x:c r="B92" s="34" t="str">
        <x:v>POSCO_KR</x:v>
      </x:c>
      <x:c r="C92" s="34" t="str">
        <x:v>POSCO</x:v>
      </x:c>
      <x:c r="D92" s="34" t="str">
        <x:v>P3</x:v>
      </x:c>
      <x:c r="E92" s="34" t="str">
        <x:v>균형형 라이트헤지</x:v>
      </x:c>
      <x:c r="F92" s="34" t="str">
        <x:v>PORT-26296F7EE75E</x:v>
      </x:c>
      <x:c r="G92" s="34" t="str">
        <x:v>DISCLOSED_PATH</x:v>
      </x:c>
      <x:c r="H92" s="34" t="n">
        <x:v>5</x:v>
      </x:c>
      <x:c r="I92" s="34" t="n">
        <x:v>2029</x:v>
      </x:c>
      <x:c r="J92" s="34" t="n">
        <x:v>2037</x:v>
      </x:c>
      <x:c r="K92" s="34" t="n">
        <x:v>0.275401</x:v>
      </x:c>
      <x:c r="L92" s="34" t="n">
        <x:v>0.219251</x:v>
      </x:c>
      <x:c r="M92" s="34" t="n">
        <x:v>0.473262</x:v>
      </x:c>
      <x:c r="N92" s="34" t="n">
        <x:v>0.032086</x:v>
      </x:c>
      <x:c r="O92" s="34" t="n">
        <x:v>0.3</x:v>
      </x:c>
      <x:c r="P92" s="34" t="n">
        <x:v>0.25</x:v>
      </x:c>
      <x:c r="Q92" s="34" t="n">
        <x:v>0.35</x:v>
      </x:c>
      <x:c r="R92" s="34" t="n">
        <x:v>0.25</x:v>
      </x:c>
      <x:c r="S92" s="34" t="n">
        <x:v>0.015</x:v>
      </x:c>
      <x:c r="T92" s="34" t="n">
        <x:v>379.833854</x:v>
      </x:c>
      <x:c r="U92" s="34" t="str">
        <x:v>POS-GWY-E:BF_RELINE:2037|POS-GWY-EAF:EAF_RENEWABLE:2033|POS-GWY-W:H2_DRI_EAF:2035|POS-POH-N:SCRAP_EAF:2029|POS-POH-S:H2_DRI_EAF:2032</x:v>
      </x:c>
      <x:c r="V92" s="34" t="str">
        <x:v>model_generated_candidate</x:v>
      </x:c>
      <x:c r="W92" s="34" t="str">
        <x:v>Generated from disclosed-path facility calendar, technology set and template contracting assumptions; not a company-announced project</x:v>
      </x:c>
    </x:row>
    <x:row r="93">
      <x:c r="A93" s="34" t="str">
        <x:v>CAND-6D164CFC3612B5</x:v>
      </x:c>
      <x:c r="B93" s="34" t="str">
        <x:v>POSCO_KR</x:v>
      </x:c>
      <x:c r="C93" s="34" t="str">
        <x:v>POSCO</x:v>
      </x:c>
      <x:c r="D93" s="34" t="str">
        <x:v>P2</x:v>
      </x:c>
      <x:c r="E93" s="34" t="str">
        <x:v>지연·부분헤지</x:v>
      </x:c>
      <x:c r="F93" s="34" t="str">
        <x:v>PORT-560F313069EA</x:v>
      </x:c>
      <x:c r="G93" s="34" t="str">
        <x:v>DISCLOSED_PATH</x:v>
      </x:c>
      <x:c r="H93" s="34" t="n">
        <x:v>5</x:v>
      </x:c>
      <x:c r="I93" s="34" t="n">
        <x:v>2029</x:v>
      </x:c>
      <x:c r="J93" s="34" t="n">
        <x:v>2037</x:v>
      </x:c>
      <x:c r="K93" s="34" t="n">
        <x:v>0</x:v>
      </x:c>
      <x:c r="L93" s="34" t="n">
        <x:v>0.473262</x:v>
      </x:c>
      <x:c r="M93" s="34" t="n">
        <x:v>0.494652</x:v>
      </x:c>
      <x:c r="N93" s="34" t="n">
        <x:v>0.032086</x:v>
      </x:c>
      <x:c r="O93" s="34" t="n">
        <x:v>0.15</x:v>
      </x:c>
      <x:c r="P93" s="34" t="n">
        <x:v>0.1</x:v>
      </x:c>
      <x:c r="Q93" s="34" t="n">
        <x:v>0.2</x:v>
      </x:c>
      <x:c r="R93" s="34" t="n">
        <x:v>0.1</x:v>
      </x:c>
      <x:c r="S93" s="34" t="n">
        <x:v>0.01</x:v>
      </x:c>
      <x:c r="T93" s="34" t="n">
        <x:v>442.451224</x:v>
      </x:c>
      <x:c r="U93" s="34" t="str">
        <x:v>POS-GWY-E:SCRAP_EAF:2037|POS-GWY-EAF:EAF_RENEWABLE:2033|POS-GWY-W:H2_DRI_EAF:2035|POS-POH-N:H2_DRI_EAF:2029|POS-POH-S:SCRAP_EAF:2032</x:v>
      </x:c>
      <x:c r="V93" s="34" t="str">
        <x:v>model_generated_candidate</x:v>
      </x:c>
      <x:c r="W93" s="34" t="str">
        <x:v>Generated from disclosed-path facility calendar, technology set and template contracting assumptions; not a company-announced project</x:v>
      </x:c>
    </x:row>
    <x:row r="94">
      <x:c r="A94" s="34" t="str">
        <x:v>CAND-6D999800E74100</x:v>
      </x:c>
      <x:c r="B94" s="34" t="str">
        <x:v>POSCO_KR</x:v>
      </x:c>
      <x:c r="C94" s="34" t="str">
        <x:v>POSCO</x:v>
      </x:c>
      <x:c r="D94" s="34" t="str">
        <x:v>P4</x:v>
      </x:c>
      <x:c r="E94" s="34" t="str">
        <x:v>균형형 전환</x:v>
      </x:c>
      <x:c r="F94" s="34" t="str">
        <x:v>PORT-DDCBA267CA97</x:v>
      </x:c>
      <x:c r="G94" s="34" t="str">
        <x:v>DISCLOSED_PATH</x:v>
      </x:c>
      <x:c r="H94" s="34" t="n">
        <x:v>5</x:v>
      </x:c>
      <x:c r="I94" s="34" t="n">
        <x:v>2028</x:v>
      </x:c>
      <x:c r="J94" s="34" t="n">
        <x:v>2036</x:v>
      </x:c>
      <x:c r="K94" s="34" t="n">
        <x:v>0.417112</x:v>
      </x:c>
      <x:c r="L94" s="34" t="n">
        <x:v>0</x:v>
      </x:c>
      <x:c r="M94" s="34" t="n">
        <x:v>0.550802</x:v>
      </x:c>
      <x:c r="N94" s="34" t="n">
        <x:v>0.032086</x:v>
      </x:c>
      <x:c r="O94" s="34" t="n">
        <x:v>0.5</x:v>
      </x:c>
      <x:c r="P94" s="34" t="n">
        <x:v>0.45</x:v>
      </x:c>
      <x:c r="Q94" s="34" t="n">
        <x:v>0.5</x:v>
      </x:c>
      <x:c r="R94" s="34" t="n">
        <x:v>0.4</x:v>
      </x:c>
      <x:c r="S94" s="34" t="n">
        <x:v>0.02</x:v>
      </x:c>
      <x:c r="T94" s="34" t="n">
        <x:v>246.746291</x:v>
      </x:c>
      <x:c r="U94" s="34" t="str">
        <x:v>POS-GWY-E:H2_DRI_EAF:2036|POS-GWY-EAF:EAF_RENEWABLE:2032|POS-GWY-W:H2_DRI_EAF:2034|POS-POH-N:BF_RELINE:2028|POS-POH-S:BF_RELINE:2031</x:v>
      </x:c>
      <x:c r="V94" s="34" t="str">
        <x:v>model_generated_candidate</x:v>
      </x:c>
      <x:c r="W94" s="34" t="str">
        <x:v>Generated from disclosed-path facility calendar, technology set and template contracting assumptions; not a company-announced project</x:v>
      </x:c>
    </x:row>
    <x:row r="95">
      <x:c r="A95" s="34" t="str">
        <x:v>CAND-6F266E2E22C934</x:v>
      </x:c>
      <x:c r="B95" s="34" t="str">
        <x:v>POSCO_KR</x:v>
      </x:c>
      <x:c r="C95" s="34" t="str">
        <x:v>POSCO</x:v>
      </x:c>
      <x:c r="D95" s="34" t="str">
        <x:v>P1</x:v>
      </x:c>
      <x:c r="E95" s="34" t="str">
        <x:v>지연·현물조달</x:v>
      </x:c>
      <x:c r="F95" s="34" t="str">
        <x:v>PORT-DD503298C431</x:v>
      </x:c>
      <x:c r="G95" s="34" t="str">
        <x:v>DISCLOSED_PATH</x:v>
      </x:c>
      <x:c r="H95" s="34" t="n">
        <x:v>5</x:v>
      </x:c>
      <x:c r="I95" s="34" t="n">
        <x:v>2029</x:v>
      </x:c>
      <x:c r="J95" s="34" t="n">
        <x:v>2037</x:v>
      </x:c>
      <x:c r="K95" s="34" t="n">
        <x:v>0.275401</x:v>
      </x:c>
      <x:c r="L95" s="34" t="n">
        <x:v>0.473262</x:v>
      </x:c>
      <x:c r="M95" s="34" t="n">
        <x:v>0.219251</x:v>
      </x:c>
      <x:c r="N95" s="34" t="n">
        <x:v>0.032086</x:v>
      </x:c>
      <x:c r="O95" s="34" t="n">
        <x:v>0</x:v>
      </x:c>
      <x:c r="P95" s="34" t="n">
        <x:v>0</x:v>
      </x:c>
      <x:c r="Q95" s="34" t="n">
        <x:v>0.1</x:v>
      </x:c>
      <x:c r="R95" s="34" t="n">
        <x:v>0</x:v>
      </x:c>
      <x:c r="S95" s="34" t="n">
        <x:v>0</x:v>
      </x:c>
      <x:c r="T95" s="34" t="n">
        <x:v>373.083847</x:v>
      </x:c>
      <x:c r="U95" s="34" t="str">
        <x:v>POS-GWY-E:BF_RELINE:2037|POS-GWY-EAF:EAF_RENEWABLE:2033|POS-GWY-W:SCRAP_EAF:2035|POS-POH-N:H2_DRI_EAF:2029|POS-POH-S:SCRAP_EAF:2032</x:v>
      </x:c>
      <x:c r="V95" s="34" t="str">
        <x:v>model_generated_candidate</x:v>
      </x:c>
      <x:c r="W95" s="34" t="str">
        <x:v>Generated from disclosed-path facility calendar, technology set and template contracting assumptions; not a company-announced project</x:v>
      </x:c>
    </x:row>
    <x:row r="96">
      <x:c r="A96" s="34" t="str">
        <x:v>CAND-6F9108023CEB49</x:v>
      </x:c>
      <x:c r="B96" s="34" t="str">
        <x:v>POSCO_KR</x:v>
      </x:c>
      <x:c r="C96" s="34" t="str">
        <x:v>POSCO</x:v>
      </x:c>
      <x:c r="D96" s="34" t="str">
        <x:v>P1</x:v>
      </x:c>
      <x:c r="E96" s="34" t="str">
        <x:v>지연·현물조달</x:v>
      </x:c>
      <x:c r="F96" s="34" t="str">
        <x:v>PORT-10A72D7ED2CE</x:v>
      </x:c>
      <x:c r="G96" s="34" t="str">
        <x:v>DISCLOSED_PATH</x:v>
      </x:c>
      <x:c r="H96" s="34" t="n">
        <x:v>5</x:v>
      </x:c>
      <x:c r="I96" s="34" t="n">
        <x:v>2029</x:v>
      </x:c>
      <x:c r="J96" s="34" t="n">
        <x:v>2037</x:v>
      </x:c>
      <x:c r="K96" s="34" t="n">
        <x:v>0</x:v>
      </x:c>
      <x:c r="L96" s="34" t="n">
        <x:v>0.967914</x:v>
      </x:c>
      <x:c r="M96" s="34" t="n">
        <x:v>0</x:v>
      </x:c>
      <x:c r="N96" s="34" t="n">
        <x:v>0.032086</x:v>
      </x:c>
      <x:c r="O96" s="34" t="n">
        <x:v>0</x:v>
      </x:c>
      <x:c r="P96" s="34" t="n">
        <x:v>0</x:v>
      </x:c>
      <x:c r="Q96" s="34" t="n">
        <x:v>0.1</x:v>
      </x:c>
      <x:c r="R96" s="34" t="n">
        <x:v>0</x:v>
      </x:c>
      <x:c r="S96" s="34" t="n">
        <x:v>0</x:v>
      </x:c>
      <x:c r="T96" s="34" t="n">
        <x:v>405.401232</x:v>
      </x:c>
      <x:c r="U96" s="34" t="str">
        <x:v>POS-GWY-E:SCRAP_EAF:2037|POS-GWY-EAF:EAF_RENEWABLE:2033|POS-GWY-W:SCRAP_EAF:2035|POS-POH-N:SCRAP_EAF:2029|POS-POH-S:SCRAP_EAF:2032</x:v>
      </x:c>
      <x:c r="V96" s="34" t="str">
        <x:v>model_generated_candidate</x:v>
      </x:c>
      <x:c r="W96" s="34" t="str">
        <x:v>Generated from disclosed-path facility calendar, technology set and template contracting assumptions; not a company-announced project</x:v>
      </x:c>
    </x:row>
    <x:row r="97">
      <x:c r="A97" s="34" t="str">
        <x:v>CAND-7096B3C8E1DB90</x:v>
      </x:c>
      <x:c r="B97" s="34" t="str">
        <x:v>POSCO_KR</x:v>
      </x:c>
      <x:c r="C97" s="34" t="str">
        <x:v>POSCO</x:v>
      </x:c>
      <x:c r="D97" s="34" t="str">
        <x:v>P1</x:v>
      </x:c>
      <x:c r="E97" s="34" t="str">
        <x:v>지연·현물조달</x:v>
      </x:c>
      <x:c r="F97" s="34" t="str">
        <x:v>PORT-2E6F921B196A</x:v>
      </x:c>
      <x:c r="G97" s="34" t="str">
        <x:v>DISCLOSED_PATH</x:v>
      </x:c>
      <x:c r="H97" s="34" t="n">
        <x:v>5</x:v>
      </x:c>
      <x:c r="I97" s="34" t="n">
        <x:v>2029</x:v>
      </x:c>
      <x:c r="J97" s="34" t="n">
        <x:v>2037</x:v>
      </x:c>
      <x:c r="K97" s="34" t="n">
        <x:v>0.275401</x:v>
      </x:c>
      <x:c r="L97" s="34" t="n">
        <x:v>0.219251</x:v>
      </x:c>
      <x:c r="M97" s="34" t="n">
        <x:v>0.473262</x:v>
      </x:c>
      <x:c r="N97" s="34" t="n">
        <x:v>0.032086</x:v>
      </x:c>
      <x:c r="O97" s="34" t="n">
        <x:v>0</x:v>
      </x:c>
      <x:c r="P97" s="34" t="n">
        <x:v>0</x:v>
      </x:c>
      <x:c r="Q97" s="34" t="n">
        <x:v>0.1</x:v>
      </x:c>
      <x:c r="R97" s="34" t="n">
        <x:v>0</x:v>
      </x:c>
      <x:c r="S97" s="34" t="n">
        <x:v>0</x:v>
      </x:c>
      <x:c r="T97" s="34" t="n">
        <x:v>347.554239</x:v>
      </x:c>
      <x:c r="U97" s="34" t="str">
        <x:v>POS-GWY-E:H2_DRI_EAF:2037|POS-GWY-EAF:EAF_RENEWABLE:2033|POS-GWY-W:BF_RELINE:2035|POS-POH-N:SCRAP_EAF:2029|POS-POH-S:H2_DRI_EAF:2032</x:v>
      </x:c>
      <x:c r="V97" s="34" t="str">
        <x:v>model_generated_candidate</x:v>
      </x:c>
      <x:c r="W97" s="34" t="str">
        <x:v>Generated from disclosed-path facility calendar, technology set and template contracting assumptions; not a company-announced project</x:v>
      </x:c>
    </x:row>
    <x:row r="98">
      <x:c r="A98" s="34" t="str">
        <x:v>CAND-70F15009F2C939</x:v>
      </x:c>
      <x:c r="B98" s="34" t="str">
        <x:v>POSCO_KR</x:v>
      </x:c>
      <x:c r="C98" s="34" t="str">
        <x:v>POSCO</x:v>
      </x:c>
      <x:c r="D98" s="34" t="str">
        <x:v>P4</x:v>
      </x:c>
      <x:c r="E98" s="34" t="str">
        <x:v>균형형 전환</x:v>
      </x:c>
      <x:c r="F98" s="34" t="str">
        <x:v>PORT-E6018DC71718</x:v>
      </x:c>
      <x:c r="G98" s="34" t="str">
        <x:v>DISCLOSED_PATH</x:v>
      </x:c>
      <x:c r="H98" s="34" t="n">
        <x:v>5</x:v>
      </x:c>
      <x:c r="I98" s="34" t="n">
        <x:v>2028</x:v>
      </x:c>
      <x:c r="J98" s="34" t="n">
        <x:v>2036</x:v>
      </x:c>
      <x:c r="K98" s="34" t="n">
        <x:v>0.219251</x:v>
      </x:c>
      <x:c r="L98" s="34" t="n">
        <x:v>0.197861</x:v>
      </x:c>
      <x:c r="M98" s="34" t="n">
        <x:v>0.550802</x:v>
      </x:c>
      <x:c r="N98" s="34" t="n">
        <x:v>0.032086</x:v>
      </x:c>
      <x:c r="O98" s="34" t="n">
        <x:v>0.5</x:v>
      </x:c>
      <x:c r="P98" s="34" t="n">
        <x:v>0.45</x:v>
      </x:c>
      <x:c r="Q98" s="34" t="n">
        <x:v>0.5</x:v>
      </x:c>
      <x:c r="R98" s="34" t="n">
        <x:v>0.4</x:v>
      </x:c>
      <x:c r="S98" s="34" t="n">
        <x:v>0.02</x:v>
      </x:c>
      <x:c r="T98" s="34" t="n">
        <x:v>345.3463</x:v>
      </x:c>
      <x:c r="U98" s="34" t="str">
        <x:v>POS-GWY-E:H2_DRI_EAF:2036|POS-GWY-EAF:EAF_RENEWABLE:2032|POS-GWY-W:H2_DRI_EAF:2034|POS-POH-N:BF_RELINE:2028|POS-POH-S:SCRAP_EAF:2031</x:v>
      </x:c>
      <x:c r="V98" s="34" t="str">
        <x:v>model_generated_candidate</x:v>
      </x:c>
      <x:c r="W98" s="34" t="str">
        <x:v>Generated from disclosed-path facility calendar, technology set and template contracting assumptions; not a company-announced project</x:v>
      </x:c>
    </x:row>
    <x:row r="99">
      <x:c r="A99" s="34" t="str">
        <x:v>CAND-7142A6F8E3E0F0</x:v>
      </x:c>
      <x:c r="B99" s="34" t="str">
        <x:v>POSCO_KR</x:v>
      </x:c>
      <x:c r="C99" s="34" t="str">
        <x:v>POSCO</x:v>
      </x:c>
      <x:c r="D99" s="34" t="str">
        <x:v>P1</x:v>
      </x:c>
      <x:c r="E99" s="34" t="str">
        <x:v>지연·현물조달</x:v>
      </x:c>
      <x:c r="F99" s="34" t="str">
        <x:v>PORT-21F188D80A9F</x:v>
      </x:c>
      <x:c r="G99" s="34" t="str">
        <x:v>DISCLOSED_PATH</x:v>
      </x:c>
      <x:c r="H99" s="34" t="n">
        <x:v>5</x:v>
      </x:c>
      <x:c r="I99" s="34" t="n">
        <x:v>2029</x:v>
      </x:c>
      <x:c r="J99" s="34" t="n">
        <x:v>2037</x:v>
      </x:c>
      <x:c r="K99" s="34" t="n">
        <x:v>0.275401</x:v>
      </x:c>
      <x:c r="L99" s="34" t="n">
        <x:v>0.275401</x:v>
      </x:c>
      <x:c r="M99" s="34" t="n">
        <x:v>0.417112</x:v>
      </x:c>
      <x:c r="N99" s="34" t="n">
        <x:v>0.032086</x:v>
      </x:c>
      <x:c r="O99" s="34" t="n">
        <x:v>0</x:v>
      </x:c>
      <x:c r="P99" s="34" t="n">
        <x:v>0</x:v>
      </x:c>
      <x:c r="Q99" s="34" t="n">
        <x:v>0.1</x:v>
      </x:c>
      <x:c r="R99" s="34" t="n">
        <x:v>0</x:v>
      </x:c>
      <x:c r="S99" s="34" t="n">
        <x:v>0</x:v>
      </x:c>
      <x:c r="T99" s="34" t="n">
        <x:v>360.851236</x:v>
      </x:c>
      <x:c r="U99" s="34" t="str">
        <x:v>POS-GWY-E:SCRAP_EAF:2037|POS-GWY-EAF:EAF_RENEWABLE:2033|POS-GWY-W:BF_RELINE:2035|POS-POH-N:H2_DRI_EAF:2029|POS-POH-S:H2_DRI_EAF:2032</x:v>
      </x:c>
      <x:c r="V99" s="34" t="str">
        <x:v>model_generated_candidate</x:v>
      </x:c>
      <x:c r="W99" s="34" t="str">
        <x:v>Generated from disclosed-path facility calendar, technology set and template contracting assumptions; not a company-announced project</x:v>
      </x:c>
    </x:row>
    <x:row r="100">
      <x:c r="A100" s="34" t="str">
        <x:v>CAND-717F18DFAF78F1</x:v>
      </x:c>
      <x:c r="B100" s="34" t="str">
        <x:v>POSCO_KR</x:v>
      </x:c>
      <x:c r="C100" s="34" t="str">
        <x:v>POSCO</x:v>
      </x:c>
      <x:c r="D100" s="34" t="str">
        <x:v>P4</x:v>
      </x:c>
      <x:c r="E100" s="34" t="str">
        <x:v>균형형 전환</x:v>
      </x:c>
      <x:c r="F100" s="34" t="str">
        <x:v>PORT-C68307188813</x:v>
      </x:c>
      <x:c r="G100" s="34" t="str">
        <x:v>DISCLOSED_PATH</x:v>
      </x:c>
      <x:c r="H100" s="34" t="n">
        <x:v>5</x:v>
      </x:c>
      <x:c r="I100" s="34" t="n">
        <x:v>2028</x:v>
      </x:c>
      <x:c r="J100" s="34" t="n">
        <x:v>2036</x:v>
      </x:c>
      <x:c r="K100" s="34" t="n">
        <x:v>0</x:v>
      </x:c>
      <x:c r="L100" s="34" t="n">
        <x:v>0.473262</x:v>
      </x:c>
      <x:c r="M100" s="34" t="n">
        <x:v>0.494652</x:v>
      </x:c>
      <x:c r="N100" s="34" t="n">
        <x:v>0.032086</x:v>
      </x:c>
      <x:c r="O100" s="34" t="n">
        <x:v>0.5</x:v>
      </x:c>
      <x:c r="P100" s="34" t="n">
        <x:v>0.45</x:v>
      </x:c>
      <x:c r="Q100" s="34" t="n">
        <x:v>0.5</x:v>
      </x:c>
      <x:c r="R100" s="34" t="n">
        <x:v>0.4</x:v>
      </x:c>
      <x:c r="S100" s="34" t="n">
        <x:v>0.02</x:v>
      </x:c>
      <x:c r="T100" s="34" t="n">
        <x:v>501.427506</x:v>
      </x:c>
      <x:c r="U100" s="34" t="str">
        <x:v>POS-GWY-E:SCRAP_EAF:2036|POS-GWY-EAF:EAF_RENEWABLE:2032|POS-GWY-W:H2_DRI_EAF:2034|POS-POH-N:H2_DRI_EAF:2028|POS-POH-S:SCRAP_EAF:2031</x:v>
      </x:c>
      <x:c r="V100" s="34" t="str">
        <x:v>model_generated_candidate</x:v>
      </x:c>
      <x:c r="W100" s="34" t="str">
        <x:v>Generated from disclosed-path facility calendar, technology set and template contracting assumptions; not a company-announced project</x:v>
      </x:c>
    </x:row>
    <x:row r="101">
      <x:c r="A101" s="34" t="str">
        <x:v>CAND-720A05CD8AE3E2</x:v>
      </x:c>
      <x:c r="B101" s="34" t="str">
        <x:v>POSCO_KR</x:v>
      </x:c>
      <x:c r="C101" s="34" t="str">
        <x:v>POSCO</x:v>
      </x:c>
      <x:c r="D101" s="34" t="str">
        <x:v>P1</x:v>
      </x:c>
      <x:c r="E101" s="34" t="str">
        <x:v>지연·현물조달</x:v>
      </x:c>
      <x:c r="F101" s="34" t="str">
        <x:v>PORT-802EEF341C7A</x:v>
      </x:c>
      <x:c r="G101" s="34" t="str">
        <x:v>DISCLOSED_PATH</x:v>
      </x:c>
      <x:c r="H101" s="34" t="n">
        <x:v>5</x:v>
      </x:c>
      <x:c r="I101" s="34" t="n">
        <x:v>2029</x:v>
      </x:c>
      <x:c r="J101" s="34" t="n">
        <x:v>2037</x:v>
      </x:c>
      <x:c r="K101" s="34" t="n">
        <x:v>0.197861</x:v>
      </x:c>
      <x:c r="L101" s="34" t="n">
        <x:v>0.494652</x:v>
      </x:c>
      <x:c r="M101" s="34" t="n">
        <x:v>0.275401</x:v>
      </x:c>
      <x:c r="N101" s="34" t="n">
        <x:v>0.032086</x:v>
      </x:c>
      <x:c r="O101" s="34" t="n">
        <x:v>0</x:v>
      </x:c>
      <x:c r="P101" s="34" t="n">
        <x:v>0</x:v>
      </x:c>
      <x:c r="Q101" s="34" t="n">
        <x:v>0.1</x:v>
      </x:c>
      <x:c r="R101" s="34" t="n">
        <x:v>0</x:v>
      </x:c>
      <x:c r="S101" s="34" t="n">
        <x:v>0</x:v>
      </x:c>
      <x:c r="T101" s="34" t="n">
        <x:v>326.164221</x:v>
      </x:c>
      <x:c r="U101" s="34" t="str">
        <x:v>POS-GWY-E:H2_DRI_EAF:2037|POS-GWY-EAF:EAF_RENEWABLE:2033|POS-GWY-W:SCRAP_EAF:2035|POS-POH-N:SCRAP_EAF:2029|POS-POH-S:BF_RELINE:2032</x:v>
      </x:c>
      <x:c r="V101" s="34" t="str">
        <x:v>model_generated_candidate</x:v>
      </x:c>
      <x:c r="W101" s="34" t="str">
        <x:v>Generated from disclosed-path facility calendar, technology set and template contracting assumptions; not a company-announced project</x:v>
      </x:c>
    </x:row>
    <x:row r="102">
      <x:c r="A102" s="34" t="str">
        <x:v>CAND-740ECD279950BF</x:v>
      </x:c>
      <x:c r="B102" s="34" t="str">
        <x:v>POSCO_KR</x:v>
      </x:c>
      <x:c r="C102" s="34" t="str">
        <x:v>POSCO</x:v>
      </x:c>
      <x:c r="D102" s="34" t="str">
        <x:v>P1</x:v>
      </x:c>
      <x:c r="E102" s="34" t="str">
        <x:v>지연·현물조달</x:v>
      </x:c>
      <x:c r="F102" s="34" t="str">
        <x:v>PORT-C86521A83E05</x:v>
      </x:c>
      <x:c r="G102" s="34" t="str">
        <x:v>DISCLOSED_PATH</x:v>
      </x:c>
      <x:c r="H102" s="34" t="n">
        <x:v>5</x:v>
      </x:c>
      <x:c r="I102" s="34" t="n">
        <x:v>2029</x:v>
      </x:c>
      <x:c r="J102" s="34" t="n">
        <x:v>2037</x:v>
      </x:c>
      <x:c r="K102" s="34" t="n">
        <x:v>0.748663</x:v>
      </x:c>
      <x:c r="L102" s="34" t="n">
        <x:v>0</x:v>
      </x:c>
      <x:c r="M102" s="34" t="n">
        <x:v>0.219251</x:v>
      </x:c>
      <x:c r="N102" s="34" t="n">
        <x:v>0.032086</x:v>
      </x:c>
      <x:c r="O102" s="34" t="n">
        <x:v>0</x:v>
      </x:c>
      <x:c r="P102" s="34" t="n">
        <x:v>0</x:v>
      </x:c>
      <x:c r="Q102" s="34" t="n">
        <x:v>0.1</x:v>
      </x:c>
      <x:c r="R102" s="34" t="n">
        <x:v>0</x:v>
      </x:c>
      <x:c r="S102" s="34" t="n">
        <x:v>0</x:v>
      </x:c>
      <x:c r="T102" s="34" t="n">
        <x:v>201.693848</x:v>
      </x:c>
      <x:c r="U102" s="34" t="str">
        <x:v>POS-GWY-E:BF_RELINE:2037|POS-GWY-EAF:EAF_RENEWABLE:2033|POS-GWY-W:BF_RELINE:2035|POS-POH-N:H2_DRI_EAF:2029|POS-POH-S:BF_RELINE:2032</x:v>
      </x:c>
      <x:c r="V102" s="34" t="str">
        <x:v>model_generated_candidate</x:v>
      </x:c>
      <x:c r="W102" s="34" t="str">
        <x:v>Generated from disclosed-path facility calendar, technology set and template contracting assumptions; not a company-announced project</x:v>
      </x:c>
    </x:row>
    <x:row r="103">
      <x:c r="A103" s="34" t="str">
        <x:v>CAND-768E1E0177B559</x:v>
      </x:c>
      <x:c r="B103" s="34" t="str">
        <x:v>POSCO_KR</x:v>
      </x:c>
      <x:c r="C103" s="34" t="str">
        <x:v>POSCO</x:v>
      </x:c>
      <x:c r="D103" s="34" t="str">
        <x:v>P1</x:v>
      </x:c>
      <x:c r="E103" s="34" t="str">
        <x:v>지연·현물조달</x:v>
      </x:c>
      <x:c r="F103" s="34" t="str">
        <x:v>PORT-39D02858EAF7</x:v>
      </x:c>
      <x:c r="G103" s="34" t="str">
        <x:v>DISCLOSED_PATH</x:v>
      </x:c>
      <x:c r="H103" s="34" t="n">
        <x:v>5</x:v>
      </x:c>
      <x:c r="I103" s="34" t="n">
        <x:v>2029</x:v>
      </x:c>
      <x:c r="J103" s="34" t="n">
        <x:v>2037</x:v>
      </x:c>
      <x:c r="K103" s="34" t="n">
        <x:v>0.197861</x:v>
      </x:c>
      <x:c r="L103" s="34" t="n">
        <x:v>0.550802</x:v>
      </x:c>
      <x:c r="M103" s="34" t="n">
        <x:v>0.219251</x:v>
      </x:c>
      <x:c r="N103" s="34" t="n">
        <x:v>0.032086</x:v>
      </x:c>
      <x:c r="O103" s="34" t="n">
        <x:v>0</x:v>
      </x:c>
      <x:c r="P103" s="34" t="n">
        <x:v>0</x:v>
      </x:c>
      <x:c r="Q103" s="34" t="n">
        <x:v>0.1</x:v>
      </x:c>
      <x:c r="R103" s="34" t="n">
        <x:v>0</x:v>
      </x:c>
      <x:c r="S103" s="34" t="n">
        <x:v>0</x:v>
      </x:c>
      <x:c r="T103" s="34" t="n">
        <x:v>339.461218</x:v>
      </x:c>
      <x:c r="U103" s="34" t="str">
        <x:v>POS-GWY-E:SCRAP_EAF:2037|POS-GWY-EAF:EAF_RENEWABLE:2033|POS-GWY-W:SCRAP_EAF:2035|POS-POH-N:H2_DRI_EAF:2029|POS-POH-S:BF_RELINE:2032</x:v>
      </x:c>
      <x:c r="V103" s="34" t="str">
        <x:v>model_generated_candidate</x:v>
      </x:c>
      <x:c r="W103" s="34" t="str">
        <x:v>Generated from disclosed-path facility calendar, technology set and template contracting assumptions; not a company-announced project</x:v>
      </x:c>
    </x:row>
    <x:row r="104">
      <x:c r="A104" s="34" t="str">
        <x:v>CAND-78797020DAE1ED</x:v>
      </x:c>
      <x:c r="B104" s="34" t="str">
        <x:v>POSCO_KR</x:v>
      </x:c>
      <x:c r="C104" s="34" t="str">
        <x:v>POSCO</x:v>
      </x:c>
      <x:c r="D104" s="34" t="str">
        <x:v>P1</x:v>
      </x:c>
      <x:c r="E104" s="34" t="str">
        <x:v>지연·현물조달</x:v>
      </x:c>
      <x:c r="F104" s="34" t="str">
        <x:v>PORT-13C60822C05B</x:v>
      </x:c>
      <x:c r="G104" s="34" t="str">
        <x:v>DISCLOSED_PATH</x:v>
      </x:c>
      <x:c r="H104" s="34" t="n">
        <x:v>5</x:v>
      </x:c>
      <x:c r="I104" s="34" t="n">
        <x:v>2029</x:v>
      </x:c>
      <x:c r="J104" s="34" t="n">
        <x:v>2037</x:v>
      </x:c>
      <x:c r="K104" s="34" t="n">
        <x:v>0</x:v>
      </x:c>
      <x:c r="L104" s="34" t="n">
        <x:v>0.473262</x:v>
      </x:c>
      <x:c r="M104" s="34" t="n">
        <x:v>0.494652</x:v>
      </x:c>
      <x:c r="N104" s="34" t="n">
        <x:v>0.032086</x:v>
      </x:c>
      <x:c r="O104" s="34" t="n">
        <x:v>0</x:v>
      </x:c>
      <x:c r="P104" s="34" t="n">
        <x:v>0</x:v>
      </x:c>
      <x:c r="Q104" s="34" t="n">
        <x:v>0.1</x:v>
      </x:c>
      <x:c r="R104" s="34" t="n">
        <x:v>0</x:v>
      </x:c>
      <x:c r="S104" s="34" t="n">
        <x:v>0</x:v>
      </x:c>
      <x:c r="T104" s="34" t="n">
        <x:v>437.704222</x:v>
      </x:c>
      <x:c r="U104" s="34" t="str">
        <x:v>POS-GWY-E:H2_DRI_EAF:2037|POS-GWY-EAF:EAF_RENEWABLE:2033|POS-GWY-W:SCRAP_EAF:2035|POS-POH-N:H2_DRI_EAF:2029|POS-POH-S:SCRAP_EAF:2032</x:v>
      </x:c>
      <x:c r="V104" s="34" t="str">
        <x:v>model_generated_candidate</x:v>
      </x:c>
      <x:c r="W104" s="34" t="str">
        <x:v>Generated from disclosed-path facility calendar, technology set and template contracting assumptions; not a company-announced project</x:v>
      </x:c>
    </x:row>
    <x:row r="105">
      <x:c r="A105" s="34" t="str">
        <x:v>CAND-78AFB726B7A88B</x:v>
      </x:c>
      <x:c r="B105" s="34" t="str">
        <x:v>POSCO_KR</x:v>
      </x:c>
      <x:c r="C105" s="34" t="str">
        <x:v>POSCO</x:v>
      </x:c>
      <x:c r="D105" s="34" t="str">
        <x:v>P4</x:v>
      </x:c>
      <x:c r="E105" s="34" t="str">
        <x:v>균형형 전환</x:v>
      </x:c>
      <x:c r="F105" s="34" t="str">
        <x:v>PORT-58026D3E7D92</x:v>
      </x:c>
      <x:c r="G105" s="34" t="str">
        <x:v>DISCLOSED_PATH</x:v>
      </x:c>
      <x:c r="H105" s="34" t="n">
        <x:v>5</x:v>
      </x:c>
      <x:c r="I105" s="34" t="n">
        <x:v>2028</x:v>
      </x:c>
      <x:c r="J105" s="34" t="n">
        <x:v>2036</x:v>
      </x:c>
      <x:c r="K105" s="34" t="n">
        <x:v>0</x:v>
      </x:c>
      <x:c r="L105" s="34" t="n">
        <x:v>0</x:v>
      </x:c>
      <x:c r="M105" s="34" t="n">
        <x:v>0.967914</x:v>
      </x:c>
      <x:c r="N105" s="34" t="n">
        <x:v>0.032086</x:v>
      </x:c>
      <x:c r="O105" s="34" t="n">
        <x:v>0.5</x:v>
      </x:c>
      <x:c r="P105" s="34" t="n">
        <x:v>0.45</x:v>
      </x:c>
      <x:c r="Q105" s="34" t="n">
        <x:v>0.5</x:v>
      </x:c>
      <x:c r="R105" s="34" t="n">
        <x:v>0.4</x:v>
      </x:c>
      <x:c r="S105" s="34" t="n">
        <x:v>0.02</x:v>
      </x:c>
      <x:c r="T105" s="34" t="n">
        <x:v>530.306253</x:v>
      </x:c>
      <x:c r="U105" s="34" t="str">
        <x:v>POS-GWY-E:H2_DRI_EAF:2036|POS-GWY-EAF:EAF_RENEWABLE:2032|POS-GWY-W:H2_DRI_EAF:2034|POS-POH-N:H2_DRI_EAF:2028|POS-POH-S:H2_DRI_EAF:2031</x:v>
      </x:c>
      <x:c r="V105" s="34" t="str">
        <x:v>model_generated_candidate</x:v>
      </x:c>
      <x:c r="W105" s="34" t="str">
        <x:v>Generated from disclosed-path facility calendar, technology set and template contracting assumptions; not a company-announced project</x:v>
      </x:c>
    </x:row>
    <x:row r="106">
      <x:c r="A106" s="34" t="str">
        <x:v>CAND-78E6429AC7E94B</x:v>
      </x:c>
      <x:c r="B106" s="34" t="str">
        <x:v>POSCO_KR</x:v>
      </x:c>
      <x:c r="C106" s="34" t="str">
        <x:v>POSCO</x:v>
      </x:c>
      <x:c r="D106" s="34" t="str">
        <x:v>P4</x:v>
      </x:c>
      <x:c r="E106" s="34" t="str">
        <x:v>균형형 전환</x:v>
      </x:c>
      <x:c r="F106" s="34" t="str">
        <x:v>PORT-E5B2C8C93808</x:v>
      </x:c>
      <x:c r="G106" s="34" t="str">
        <x:v>DISCLOSED_PATH</x:v>
      </x:c>
      <x:c r="H106" s="34" t="n">
        <x:v>5</x:v>
      </x:c>
      <x:c r="I106" s="34" t="n">
        <x:v>2028</x:v>
      </x:c>
      <x:c r="J106" s="34" t="n">
        <x:v>2036</x:v>
      </x:c>
      <x:c r="K106" s="34" t="n">
        <x:v>0.473262</x:v>
      </x:c>
      <x:c r="L106" s="34" t="n">
        <x:v>0</x:v>
      </x:c>
      <x:c r="M106" s="34" t="n">
        <x:v>0.494652</x:v>
      </x:c>
      <x:c r="N106" s="34" t="n">
        <x:v>0.032086</x:v>
      </x:c>
      <x:c r="O106" s="34" t="n">
        <x:v>0.5</x:v>
      </x:c>
      <x:c r="P106" s="34" t="n">
        <x:v>0.45</x:v>
      </x:c>
      <x:c r="Q106" s="34" t="n">
        <x:v>0.5</x:v>
      </x:c>
      <x:c r="R106" s="34" t="n">
        <x:v>0.4</x:v>
      </x:c>
      <x:c r="S106" s="34" t="n">
        <x:v>0.02</x:v>
      </x:c>
      <x:c r="T106" s="34" t="n">
        <x:v>333.930774</x:v>
      </x:c>
      <x:c r="U106" s="34" t="str">
        <x:v>POS-GWY-E:BF_RELINE:2036|POS-GWY-EAF:EAF_RENEWABLE:2032|POS-GWY-W:H2_DRI_EAF:2034|POS-POH-N:H2_DRI_EAF:2028|POS-POH-S:BF_RELINE:2031</x:v>
      </x:c>
      <x:c r="V106" s="34" t="str">
        <x:v>model_generated_candidate</x:v>
      </x:c>
      <x:c r="W106" s="34" t="str">
        <x:v>Generated from disclosed-path facility calendar, technology set and template contracting assumptions; not a company-announced project</x:v>
      </x:c>
    </x:row>
    <x:row r="107">
      <x:c r="A107" s="34" t="str">
        <x:v>CAND-792D113D5F79C5</x:v>
      </x:c>
      <x:c r="B107" s="34" t="str">
        <x:v>POSCO_KR</x:v>
      </x:c>
      <x:c r="C107" s="34" t="str">
        <x:v>POSCO</x:v>
      </x:c>
      <x:c r="D107" s="34" t="str">
        <x:v>P1</x:v>
      </x:c>
      <x:c r="E107" s="34" t="str">
        <x:v>지연·현물조달</x:v>
      </x:c>
      <x:c r="F107" s="34" t="str">
        <x:v>PORT-33B2B6D2E85D</x:v>
      </x:c>
      <x:c r="G107" s="34" t="str">
        <x:v>DISCLOSED_PATH</x:v>
      </x:c>
      <x:c r="H107" s="34" t="n">
        <x:v>5</x:v>
      </x:c>
      <x:c r="I107" s="34" t="n">
        <x:v>2029</x:v>
      </x:c>
      <x:c r="J107" s="34" t="n">
        <x:v>2037</x:v>
      </x:c>
      <x:c r="K107" s="34" t="n">
        <x:v>0</x:v>
      </x:c>
      <x:c r="L107" s="34" t="n">
        <x:v>0</x:v>
      </x:c>
      <x:c r="M107" s="34" t="n">
        <x:v>0.967914</x:v>
      </x:c>
      <x:c r="N107" s="34" t="n">
        <x:v>0.032086</x:v>
      </x:c>
      <x:c r="O107" s="34" t="n">
        <x:v>0</x:v>
      </x:c>
      <x:c r="P107" s="34" t="n">
        <x:v>0</x:v>
      </x:c>
      <x:c r="Q107" s="34" t="n">
        <x:v>0.1</x:v>
      </x:c>
      <x:c r="R107" s="34" t="n">
        <x:v>0</x:v>
      </x:c>
      <x:c r="S107" s="34" t="n">
        <x:v>0</x:v>
      </x:c>
      <x:c r="T107" s="34" t="n">
        <x:v>467.254222</x:v>
      </x:c>
      <x:c r="U107" s="34" t="str">
        <x:v>POS-GWY-E:H2_DRI_EAF:2037|POS-GWY-EAF:EAF_RENEWABLE:2033|POS-GWY-W:H2_DRI_EAF:2035|POS-POH-N:H2_DRI_EAF:2029|POS-POH-S:H2_DRI_EAF:2032</x:v>
      </x:c>
      <x:c r="V107" s="34" t="str">
        <x:v>model_generated_candidate</x:v>
      </x:c>
      <x:c r="W107" s="34" t="str">
        <x:v>Generated from disclosed-path facility calendar, technology set and template contracting assumptions; not a company-announced project</x:v>
      </x:c>
    </x:row>
    <x:row r="108">
      <x:c r="A108" s="34" t="str">
        <x:v>CAND-7B31F93CD51072</x:v>
      </x:c>
      <x:c r="B108" s="34" t="str">
        <x:v>POSCO_KR</x:v>
      </x:c>
      <x:c r="C108" s="34" t="str">
        <x:v>POSCO</x:v>
      </x:c>
      <x:c r="D108" s="34" t="str">
        <x:v>P2</x:v>
      </x:c>
      <x:c r="E108" s="34" t="str">
        <x:v>지연·부분헤지</x:v>
      </x:c>
      <x:c r="F108" s="34" t="str">
        <x:v>PORT-9D42DCC7C1C0</x:v>
      </x:c>
      <x:c r="G108" s="34" t="str">
        <x:v>DISCLOSED_PATH</x:v>
      </x:c>
      <x:c r="H108" s="34" t="n">
        <x:v>5</x:v>
      </x:c>
      <x:c r="I108" s="34" t="n">
        <x:v>2029</x:v>
      </x:c>
      <x:c r="J108" s="34" t="n">
        <x:v>2037</x:v>
      </x:c>
      <x:c r="K108" s="34" t="n">
        <x:v>0.275401</x:v>
      </x:c>
      <x:c r="L108" s="34" t="n">
        <x:v>0.197861</x:v>
      </x:c>
      <x:c r="M108" s="34" t="n">
        <x:v>0.494652</x:v>
      </x:c>
      <x:c r="N108" s="34" t="n">
        <x:v>0.032086</x:v>
      </x:c>
      <x:c r="O108" s="34" t="n">
        <x:v>0.15</x:v>
      </x:c>
      <x:c r="P108" s="34" t="n">
        <x:v>0.1</x:v>
      </x:c>
      <x:c r="Q108" s="34" t="n">
        <x:v>0.2</x:v>
      </x:c>
      <x:c r="R108" s="34" t="n">
        <x:v>0.1</x:v>
      </x:c>
      <x:c r="S108" s="34" t="n">
        <x:v>0.01</x:v>
      </x:c>
      <x:c r="T108" s="34" t="n">
        <x:v>355.054231</x:v>
      </x:c>
      <x:c r="U108" s="34" t="str">
        <x:v>POS-GWY-E:H2_DRI_EAF:2037|POS-GWY-EAF:EAF_RENEWABLE:2033|POS-GWY-W:BF_RELINE:2035|POS-POH-N:H2_DRI_EAF:2029|POS-POH-S:SCRAP_EAF:2032</x:v>
      </x:c>
      <x:c r="V108" s="34" t="str">
        <x:v>model_generated_candidate</x:v>
      </x:c>
      <x:c r="W108" s="34" t="str">
        <x:v>Generated from disclosed-path facility calendar, technology set and template contracting assumptions; not a company-announced project</x:v>
      </x:c>
    </x:row>
    <x:row r="109">
      <x:c r="A109" s="34" t="str">
        <x:v>CAND-7BC738434560A6</x:v>
      </x:c>
      <x:c r="B109" s="34" t="str">
        <x:v>POSCO_KR</x:v>
      </x:c>
      <x:c r="C109" s="34" t="str">
        <x:v>POSCO</x:v>
      </x:c>
      <x:c r="D109" s="34" t="str">
        <x:v>P1</x:v>
      </x:c>
      <x:c r="E109" s="34" t="str">
        <x:v>지연·현물조달</x:v>
      </x:c>
      <x:c r="F109" s="34" t="str">
        <x:v>PORT-7ED23B40E316</x:v>
      </x:c>
      <x:c r="G109" s="34" t="str">
        <x:v>DISCLOSED_PATH</x:v>
      </x:c>
      <x:c r="H109" s="34" t="n">
        <x:v>5</x:v>
      </x:c>
      <x:c r="I109" s="34" t="n">
        <x:v>2029</x:v>
      </x:c>
      <x:c r="J109" s="34" t="n">
        <x:v>2037</x:v>
      </x:c>
      <x:c r="K109" s="34" t="n">
        <x:v>0</x:v>
      </x:c>
      <x:c r="L109" s="34" t="n">
        <x:v>0.692513</x:v>
      </x:c>
      <x:c r="M109" s="34" t="n">
        <x:v>0.275401</x:v>
      </x:c>
      <x:c r="N109" s="34" t="n">
        <x:v>0.032086</x:v>
      </x:c>
      <x:c r="O109" s="34" t="n">
        <x:v>0</x:v>
      </x:c>
      <x:c r="P109" s="34" t="n">
        <x:v>0</x:v>
      </x:c>
      <x:c r="Q109" s="34" t="n">
        <x:v>0.1</x:v>
      </x:c>
      <x:c r="R109" s="34" t="n">
        <x:v>0</x:v>
      </x:c>
      <x:c r="S109" s="34" t="n">
        <x:v>0</x:v>
      </x:c>
      <x:c r="T109" s="34" t="n">
        <x:v>414.904229</x:v>
      </x:c>
      <x:c r="U109" s="34" t="str">
        <x:v>POS-GWY-E:H2_DRI_EAF:2037|POS-GWY-EAF:EAF_RENEWABLE:2033|POS-GWY-W:SCRAP_EAF:2035|POS-POH-N:SCRAP_EAF:2029|POS-POH-S:SCRAP_EAF:2032</x:v>
      </x:c>
      <x:c r="V109" s="34" t="str">
        <x:v>model_generated_candidate</x:v>
      </x:c>
      <x:c r="W109" s="34" t="str">
        <x:v>Generated from disclosed-path facility calendar, technology set and template contracting assumptions; not a company-announced project</x:v>
      </x:c>
    </x:row>
    <x:row r="110">
      <x:c r="A110" s="34" t="str">
        <x:v>CAND-7C8A83E5E3D601</x:v>
      </x:c>
      <x:c r="B110" s="34" t="str">
        <x:v>POSCO_KR</x:v>
      </x:c>
      <x:c r="C110" s="34" t="str">
        <x:v>POSCO</x:v>
      </x:c>
      <x:c r="D110" s="34" t="str">
        <x:v>P2</x:v>
      </x:c>
      <x:c r="E110" s="34" t="str">
        <x:v>지연·부분헤지</x:v>
      </x:c>
      <x:c r="F110" s="34" t="str">
        <x:v>PORT-A362C9C2347F</x:v>
      </x:c>
      <x:c r="G110" s="34" t="str">
        <x:v>DISCLOSED_PATH</x:v>
      </x:c>
      <x:c r="H110" s="34" t="n">
        <x:v>5</x:v>
      </x:c>
      <x:c r="I110" s="34" t="n">
        <x:v>2029</x:v>
      </x:c>
      <x:c r="J110" s="34" t="n">
        <x:v>2037</x:v>
      </x:c>
      <x:c r="K110" s="34" t="n">
        <x:v>0.219251</x:v>
      </x:c>
      <x:c r="L110" s="34" t="n">
        <x:v>0.197861</x:v>
      </x:c>
      <x:c r="M110" s="34" t="n">
        <x:v>0.550802</x:v>
      </x:c>
      <x:c r="N110" s="34" t="n">
        <x:v>0.032086</x:v>
      </x:c>
      <x:c r="O110" s="34" t="n">
        <x:v>0.15</x:v>
      </x:c>
      <x:c r="P110" s="34" t="n">
        <x:v>0.1</x:v>
      </x:c>
      <x:c r="Q110" s="34" t="n">
        <x:v>0.2</x:v>
      </x:c>
      <x:c r="R110" s="34" t="n">
        <x:v>0.1</x:v>
      </x:c>
      <x:c r="S110" s="34" t="n">
        <x:v>0.01</x:v>
      </x:c>
      <x:c r="T110" s="34" t="n">
        <x:v>296.914266</x:v>
      </x:c>
      <x:c r="U110" s="34" t="str">
        <x:v>POS-GWY-E:H2_DRI_EAF:2037|POS-GWY-EAF:EAF_RENEWABLE:2033|POS-GWY-W:H2_DRI_EAF:2035|POS-POH-N:BF_RELINE:2029|POS-POH-S:SCRAP_EAF:2032</x:v>
      </x:c>
      <x:c r="V110" s="34" t="str">
        <x:v>model_generated_candidate</x:v>
      </x:c>
      <x:c r="W110" s="34" t="str">
        <x:v>Generated from disclosed-path facility calendar, technology set and template contracting assumptions; not a company-announced project</x:v>
      </x:c>
    </x:row>
    <x:row r="111">
      <x:c r="A111" s="34" t="str">
        <x:v>CAND-7D117A922A194C</x:v>
      </x:c>
      <x:c r="B111" s="34" t="str">
        <x:v>POSCO_KR</x:v>
      </x:c>
      <x:c r="C111" s="34" t="str">
        <x:v>POSCO</x:v>
      </x:c>
      <x:c r="D111" s="34" t="str">
        <x:v>P5</x:v>
      </x:c>
      <x:c r="E111" s="34" t="str">
        <x:v>조기 계약형 전환</x:v>
      </x:c>
      <x:c r="F111" s="34" t="str">
        <x:v>PORT-66E75B54664A</x:v>
      </x:c>
      <x:c r="G111" s="34" t="str">
        <x:v>DISCLOSED_PATH</x:v>
      </x:c>
      <x:c r="H111" s="34" t="n">
        <x:v>5</x:v>
      </x:c>
      <x:c r="I111" s="34" t="n">
        <x:v>2028</x:v>
      </x:c>
      <x:c r="J111" s="34" t="n">
        <x:v>2036</x:v>
      </x:c>
      <x:c r="K111" s="34" t="n">
        <x:v>0</x:v>
      </x:c>
      <x:c r="L111" s="34" t="n">
        <x:v>0.219251</x:v>
      </x:c>
      <x:c r="M111" s="34" t="n">
        <x:v>0.748663</x:v>
      </x:c>
      <x:c r="N111" s="34" t="n">
        <x:v>0.032086</x:v>
      </x:c>
      <x:c r="O111" s="34" t="n">
        <x:v>0.7</x:v>
      </x:c>
      <x:c r="P111" s="34" t="n">
        <x:v>0.65</x:v>
      </x:c>
      <x:c r="Q111" s="34" t="n">
        <x:v>0.65</x:v>
      </x:c>
      <x:c r="R111" s="34" t="n">
        <x:v>0.6</x:v>
      </x:c>
      <x:c r="S111" s="34" t="n">
        <x:v>0.025</x:v>
      </x:c>
      <x:c r="T111" s="34" t="n">
        <x:v>505.60626</x:v>
      </x:c>
      <x:c r="U111" s="34" t="str">
        <x:v>POS-GWY-E:H2_DRI_EAF:2036|POS-GWY-EAF:EAF_RENEWABLE:2032|POS-GWY-W:H2_DRI_EAF:2034|POS-POH-N:SCRAP_EAF:2028|POS-POH-S:H2_DRI_EAF:2031</x:v>
      </x:c>
      <x:c r="V111" s="34" t="str">
        <x:v>model_generated_candidate</x:v>
      </x:c>
      <x:c r="W111" s="34" t="str">
        <x:v>Generated from disclosed-path facility calendar, technology set and template contracting assumptions; not a company-announced project</x:v>
      </x:c>
    </x:row>
    <x:row r="112">
      <x:c r="A112" s="34" t="str">
        <x:v>CAND-7D54A929A881B5</x:v>
      </x:c>
      <x:c r="B112" s="34" t="str">
        <x:v>POSCO_KR</x:v>
      </x:c>
      <x:c r="C112" s="34" t="str">
        <x:v>POSCO</x:v>
      </x:c>
      <x:c r="D112" s="34" t="str">
        <x:v>P2</x:v>
      </x:c>
      <x:c r="E112" s="34" t="str">
        <x:v>지연·부분헤지</x:v>
      </x:c>
      <x:c r="F112" s="34" t="str">
        <x:v>PORT-34425DFA5633</x:v>
      </x:c>
      <x:c r="G112" s="34" t="str">
        <x:v>DISCLOSED_PATH</x:v>
      </x:c>
      <x:c r="H112" s="34" t="n">
        <x:v>5</x:v>
      </x:c>
      <x:c r="I112" s="34" t="n">
        <x:v>2029</x:v>
      </x:c>
      <x:c r="J112" s="34" t="n">
        <x:v>2037</x:v>
      </x:c>
      <x:c r="K112" s="34" t="n">
        <x:v>0.197861</x:v>
      </x:c>
      <x:c r="L112" s="34" t="n">
        <x:v>0.494652</x:v>
      </x:c>
      <x:c r="M112" s="34" t="n">
        <x:v>0.275401</x:v>
      </x:c>
      <x:c r="N112" s="34" t="n">
        <x:v>0.032086</x:v>
      </x:c>
      <x:c r="O112" s="34" t="n">
        <x:v>0.15</x:v>
      </x:c>
      <x:c r="P112" s="34" t="n">
        <x:v>0.1</x:v>
      </x:c>
      <x:c r="Q112" s="34" t="n">
        <x:v>0.2</x:v>
      </x:c>
      <x:c r="R112" s="34" t="n">
        <x:v>0.1</x:v>
      </x:c>
      <x:c r="S112" s="34" t="n">
        <x:v>0.01</x:v>
      </x:c>
      <x:c r="T112" s="34" t="n">
        <x:v>330.911223</x:v>
      </x:c>
      <x:c r="U112" s="34" t="str">
        <x:v>POS-GWY-E:SCRAP_EAF:2037|POS-GWY-EAF:EAF_RENEWABLE:2033|POS-GWY-W:H2_DRI_EAF:2035|POS-POH-N:SCRAP_EAF:2029|POS-POH-S:BF_RELINE:2032</x:v>
      </x:c>
      <x:c r="V112" s="34" t="str">
        <x:v>model_generated_candidate</x:v>
      </x:c>
      <x:c r="W112" s="34" t="str">
        <x:v>Generated from disclosed-path facility calendar, technology set and template contracting assumptions; not a company-announced project</x:v>
      </x:c>
    </x:row>
    <x:row r="113">
      <x:c r="A113" s="34" t="str">
        <x:v>CAND-82137032DA556B</x:v>
      </x:c>
      <x:c r="B113" s="34" t="str">
        <x:v>POSCO_KR</x:v>
      </x:c>
      <x:c r="C113" s="34" t="str">
        <x:v>POSCO</x:v>
      </x:c>
      <x:c r="D113" s="34" t="str">
        <x:v>P3</x:v>
      </x:c>
      <x:c r="E113" s="34" t="str">
        <x:v>균형형 라이트헤지</x:v>
      </x:c>
      <x:c r="F113" s="34" t="str">
        <x:v>PORT-560F313069EA</x:v>
      </x:c>
      <x:c r="G113" s="34" t="str">
        <x:v>DISCLOSED_PATH</x:v>
      </x:c>
      <x:c r="H113" s="34" t="n">
        <x:v>5</x:v>
      </x:c>
      <x:c r="I113" s="34" t="n">
        <x:v>2029</x:v>
      </x:c>
      <x:c r="J113" s="34" t="n">
        <x:v>2037</x:v>
      </x:c>
      <x:c r="K113" s="34" t="n">
        <x:v>0</x:v>
      </x:c>
      <x:c r="L113" s="34" t="n">
        <x:v>0.473262</x:v>
      </x:c>
      <x:c r="M113" s="34" t="n">
        <x:v>0.494652</x:v>
      </x:c>
      <x:c r="N113" s="34" t="n">
        <x:v>0.032086</x:v>
      </x:c>
      <x:c r="O113" s="34" t="n">
        <x:v>0.3</x:v>
      </x:c>
      <x:c r="P113" s="34" t="n">
        <x:v>0.25</x:v>
      </x:c>
      <x:c r="Q113" s="34" t="n">
        <x:v>0.35</x:v>
      </x:c>
      <x:c r="R113" s="34" t="n">
        <x:v>0.25</x:v>
      </x:c>
      <x:c r="S113" s="34" t="n">
        <x:v>0.015</x:v>
      </x:c>
      <x:c r="T113" s="34" t="n">
        <x:v>442.451224</x:v>
      </x:c>
      <x:c r="U113" s="34" t="str">
        <x:v>POS-GWY-E:SCRAP_EAF:2037|POS-GWY-EAF:EAF_RENEWABLE:2033|POS-GWY-W:H2_DRI_EAF:2035|POS-POH-N:H2_DRI_EAF:2029|POS-POH-S:SCRAP_EAF:2032</x:v>
      </x:c>
      <x:c r="V113" s="34" t="str">
        <x:v>model_generated_candidate</x:v>
      </x:c>
      <x:c r="W113" s="34" t="str">
        <x:v>Generated from disclosed-path facility calendar, technology set and template contracting assumptions; not a company-announced project</x:v>
      </x:c>
    </x:row>
    <x:row r="114">
      <x:c r="A114" s="34" t="str">
        <x:v>CAND-82FF2AA13BA34C</x:v>
      </x:c>
      <x:c r="B114" s="34" t="str">
        <x:v>POSCO_KR</x:v>
      </x:c>
      <x:c r="C114" s="34" t="str">
        <x:v>POSCO</x:v>
      </x:c>
      <x:c r="D114" s="34" t="str">
        <x:v>P2</x:v>
      </x:c>
      <x:c r="E114" s="34" t="str">
        <x:v>지연·부분헤지</x:v>
      </x:c>
      <x:c r="F114" s="34" t="str">
        <x:v>PORT-8826D0B469EE</x:v>
      </x:c>
      <x:c r="G114" s="34" t="str">
        <x:v>DISCLOSED_PATH</x:v>
      </x:c>
      <x:c r="H114" s="34" t="n">
        <x:v>5</x:v>
      </x:c>
      <x:c r="I114" s="34" t="n">
        <x:v>2029</x:v>
      </x:c>
      <x:c r="J114" s="34" t="n">
        <x:v>2037</x:v>
      </x:c>
      <x:c r="K114" s="34" t="n">
        <x:v>0</x:v>
      </x:c>
      <x:c r="L114" s="34" t="n">
        <x:v>0.417112</x:v>
      </x:c>
      <x:c r="M114" s="34" t="n">
        <x:v>0.550802</x:v>
      </x:c>
      <x:c r="N114" s="34" t="n">
        <x:v>0.032086</x:v>
      </x:c>
      <x:c r="O114" s="34" t="n">
        <x:v>0.15</x:v>
      </x:c>
      <x:c r="P114" s="34" t="n">
        <x:v>0.1</x:v>
      </x:c>
      <x:c r="Q114" s="34" t="n">
        <x:v>0.2</x:v>
      </x:c>
      <x:c r="R114" s="34" t="n">
        <x:v>0.1</x:v>
      </x:c>
      <x:c r="S114" s="34" t="n">
        <x:v>0.01</x:v>
      </x:c>
      <x:c r="T114" s="34" t="n">
        <x:v>429.154227</x:v>
      </x:c>
      <x:c r="U114" s="34" t="str">
        <x:v>POS-GWY-E:H2_DRI_EAF:2037|POS-GWY-EAF:EAF_RENEWABLE:2033|POS-GWY-W:H2_DRI_EAF:2035|POS-POH-N:SCRAP_EAF:2029|POS-POH-S:SCRAP_EAF:2032</x:v>
      </x:c>
      <x:c r="V114" s="34" t="str">
        <x:v>model_generated_candidate</x:v>
      </x:c>
      <x:c r="W114" s="34" t="str">
        <x:v>Generated from disclosed-path facility calendar, technology set and template contracting assumptions; not a company-announced project</x:v>
      </x:c>
    </x:row>
    <x:row r="115">
      <x:c r="A115" s="34" t="str">
        <x:v>CAND-83ED3699C29971</x:v>
      </x:c>
      <x:c r="B115" s="34" t="str">
        <x:v>POSCO_KR</x:v>
      </x:c>
      <x:c r="C115" s="34" t="str">
        <x:v>POSCO</x:v>
      </x:c>
      <x:c r="D115" s="34" t="str">
        <x:v>P1</x:v>
      </x:c>
      <x:c r="E115" s="34" t="str">
        <x:v>지연·현물조달</x:v>
      </x:c>
      <x:c r="F115" s="34" t="str">
        <x:v>PORT-B12C0B3A9BF6</x:v>
      </x:c>
      <x:c r="G115" s="34" t="str">
        <x:v>DISCLOSED_PATH</x:v>
      </x:c>
      <x:c r="H115" s="34" t="n">
        <x:v>5</x:v>
      </x:c>
      <x:c r="I115" s="34" t="n">
        <x:v>2029</x:v>
      </x:c>
      <x:c r="J115" s="34" t="n">
        <x:v>2037</x:v>
      </x:c>
      <x:c r="K115" s="34" t="n">
        <x:v>0.473262</x:v>
      </x:c>
      <x:c r="L115" s="34" t="n">
        <x:v>0</x:v>
      </x:c>
      <x:c r="M115" s="34" t="n">
        <x:v>0.494652</x:v>
      </x:c>
      <x:c r="N115" s="34" t="n">
        <x:v>0.032086</x:v>
      </x:c>
      <x:c r="O115" s="34" t="n">
        <x:v>0</x:v>
      </x:c>
      <x:c r="P115" s="34" t="n">
        <x:v>0</x:v>
      </x:c>
      <x:c r="Q115" s="34" t="n">
        <x:v>0.1</x:v>
      </x:c>
      <x:c r="R115" s="34" t="n">
        <x:v>0</x:v>
      </x:c>
      <x:c r="S115" s="34" t="n">
        <x:v>0</x:v>
      </x:c>
      <x:c r="T115" s="34" t="n">
        <x:v>266.314223</x:v>
      </x:c>
      <x:c r="U115" s="34" t="str">
        <x:v>POS-GWY-E:H2_DRI_EAF:2037|POS-GWY-EAF:EAF_RENEWABLE:2033|POS-GWY-W:BF_RELINE:2035|POS-POH-N:H2_DRI_EAF:2029|POS-POH-S:BF_RELINE:2032</x:v>
      </x:c>
      <x:c r="V115" s="34" t="str">
        <x:v>model_generated_candidate</x:v>
      </x:c>
      <x:c r="W115" s="34" t="str">
        <x:v>Generated from disclosed-path facility calendar, technology set and template contracting assumptions; not a company-announced project</x:v>
      </x:c>
    </x:row>
    <x:row r="116">
      <x:c r="A116" s="34" t="str">
        <x:v>CAND-8500444D836C3B</x:v>
      </x:c>
      <x:c r="B116" s="34" t="str">
        <x:v>POSCO_KR</x:v>
      </x:c>
      <x:c r="C116" s="34" t="str">
        <x:v>POSCO</x:v>
      </x:c>
      <x:c r="D116" s="34" t="str">
        <x:v>P3</x:v>
      </x:c>
      <x:c r="E116" s="34" t="str">
        <x:v>균형형 라이트헤지</x:v>
      </x:c>
      <x:c r="F116" s="34" t="str">
        <x:v>PORT-A362C9C2347F</x:v>
      </x:c>
      <x:c r="G116" s="34" t="str">
        <x:v>DISCLOSED_PATH</x:v>
      </x:c>
      <x:c r="H116" s="34" t="n">
        <x:v>5</x:v>
      </x:c>
      <x:c r="I116" s="34" t="n">
        <x:v>2029</x:v>
      </x:c>
      <x:c r="J116" s="34" t="n">
        <x:v>2037</x:v>
      </x:c>
      <x:c r="K116" s="34" t="n">
        <x:v>0.219251</x:v>
      </x:c>
      <x:c r="L116" s="34" t="n">
        <x:v>0.197861</x:v>
      </x:c>
      <x:c r="M116" s="34" t="n">
        <x:v>0.550802</x:v>
      </x:c>
      <x:c r="N116" s="34" t="n">
        <x:v>0.032086</x:v>
      </x:c>
      <x:c r="O116" s="34" t="n">
        <x:v>0.3</x:v>
      </x:c>
      <x:c r="P116" s="34" t="n">
        <x:v>0.25</x:v>
      </x:c>
      <x:c r="Q116" s="34" t="n">
        <x:v>0.35</x:v>
      </x:c>
      <x:c r="R116" s="34" t="n">
        <x:v>0.25</x:v>
      </x:c>
      <x:c r="S116" s="34" t="n">
        <x:v>0.015</x:v>
      </x:c>
      <x:c r="T116" s="34" t="n">
        <x:v>296.914266</x:v>
      </x:c>
      <x:c r="U116" s="34" t="str">
        <x:v>POS-GWY-E:H2_DRI_EAF:2037|POS-GWY-EAF:EAF_RENEWABLE:2033|POS-GWY-W:H2_DRI_EAF:2035|POS-POH-N:BF_RELINE:2029|POS-POH-S:SCRAP_EAF:2032</x:v>
      </x:c>
      <x:c r="V116" s="34" t="str">
        <x:v>model_generated_candidate</x:v>
      </x:c>
      <x:c r="W116" s="34" t="str">
        <x:v>Generated from disclosed-path facility calendar, technology set and template contracting assumptions; not a company-announced project</x:v>
      </x:c>
    </x:row>
    <x:row r="117">
      <x:c r="A117" s="34" t="str">
        <x:v>CAND-85CCFBCC423AC6</x:v>
      </x:c>
      <x:c r="B117" s="34" t="str">
        <x:v>POSCO_KR</x:v>
      </x:c>
      <x:c r="C117" s="34" t="str">
        <x:v>POSCO</x:v>
      </x:c>
      <x:c r="D117" s="34" t="str">
        <x:v>P1</x:v>
      </x:c>
      <x:c r="E117" s="34" t="str">
        <x:v>지연·현물조달</x:v>
      </x:c>
      <x:c r="F117" s="34" t="str">
        <x:v>PORT-CD2F629A3E6E</x:v>
      </x:c>
      <x:c r="G117" s="34" t="str">
        <x:v>DISCLOSED_PATH</x:v>
      </x:c>
      <x:c r="H117" s="34" t="n">
        <x:v>5</x:v>
      </x:c>
      <x:c r="I117" s="34" t="n">
        <x:v>2029</x:v>
      </x:c>
      <x:c r="J117" s="34" t="n">
        <x:v>2037</x:v>
      </x:c>
      <x:c r="K117" s="34" t="n">
        <x:v>0.275401</x:v>
      </x:c>
      <x:c r="L117" s="34" t="n">
        <x:v>0.473262</x:v>
      </x:c>
      <x:c r="M117" s="34" t="n">
        <x:v>0.219251</x:v>
      </x:c>
      <x:c r="N117" s="34" t="n">
        <x:v>0.032086</x:v>
      </x:c>
      <x:c r="O117" s="34" t="n">
        <x:v>0</x:v>
      </x:c>
      <x:c r="P117" s="34" t="n">
        <x:v>0</x:v>
      </x:c>
      <x:c r="Q117" s="34" t="n">
        <x:v>0.1</x:v>
      </x:c>
      <x:c r="R117" s="34" t="n">
        <x:v>0</x:v>
      </x:c>
      <x:c r="S117" s="34" t="n">
        <x:v>0</x:v>
      </x:c>
      <x:c r="T117" s="34" t="n">
        <x:v>345.551235</x:v>
      </x:c>
      <x:c r="U117" s="34" t="str">
        <x:v>POS-GWY-E:SCRAP_EAF:2037|POS-GWY-EAF:EAF_RENEWABLE:2033|POS-GWY-W:BF_RELINE:2035|POS-POH-N:H2_DRI_EAF:2029|POS-POH-S:SCRAP_EAF:2032</x:v>
      </x:c>
      <x:c r="V117" s="34" t="str">
        <x:v>model_generated_candidate</x:v>
      </x:c>
      <x:c r="W117" s="34" t="str">
        <x:v>Generated from disclosed-path facility calendar, technology set and template contracting assumptions; not a company-announced project</x:v>
      </x:c>
    </x:row>
    <x:row r="118">
      <x:c r="A118" s="34" t="str">
        <x:v>CAND-85F3946F134CF3</x:v>
      </x:c>
      <x:c r="B118" s="34" t="str">
        <x:v>POSCO_KR</x:v>
      </x:c>
      <x:c r="C118" s="34" t="str">
        <x:v>POSCO</x:v>
      </x:c>
      <x:c r="D118" s="34" t="str">
        <x:v>P2</x:v>
      </x:c>
      <x:c r="E118" s="34" t="str">
        <x:v>지연·부분헤지</x:v>
      </x:c>
      <x:c r="F118" s="34" t="str">
        <x:v>PORT-83A899345F31</x:v>
      </x:c>
      <x:c r="G118" s="34" t="str">
        <x:v>DISCLOSED_PATH</x:v>
      </x:c>
      <x:c r="H118" s="34" t="n">
        <x:v>5</x:v>
      </x:c>
      <x:c r="I118" s="34" t="n">
        <x:v>2029</x:v>
      </x:c>
      <x:c r="J118" s="34" t="n">
        <x:v>2037</x:v>
      </x:c>
      <x:c r="K118" s="34" t="n">
        <x:v>0.494652</x:v>
      </x:c>
      <x:c r="L118" s="34" t="n">
        <x:v>0</x:v>
      </x:c>
      <x:c r="M118" s="34" t="n">
        <x:v>0.473262</x:v>
      </x:c>
      <x:c r="N118" s="34" t="n">
        <x:v>0.032086</x:v>
      </x:c>
      <x:c r="O118" s="34" t="n">
        <x:v>0.15</x:v>
      </x:c>
      <x:c r="P118" s="34" t="n">
        <x:v>0.1</x:v>
      </x:c>
      <x:c r="Q118" s="34" t="n">
        <x:v>0.2</x:v>
      </x:c>
      <x:c r="R118" s="34" t="n">
        <x:v>0.1</x:v>
      </x:c>
      <x:c r="S118" s="34" t="n">
        <x:v>0.01</x:v>
      </x:c>
      <x:c r="T118" s="34" t="n">
        <x:v>215.314277</x:v>
      </x:c>
      <x:c r="U118" s="34" t="str">
        <x:v>POS-GWY-E:H2_DRI_EAF:2037|POS-GWY-EAF:EAF_RENEWABLE:2033|POS-GWY-W:BF_RELINE:2035|POS-POH-N:BF_RELINE:2029|POS-POH-S:H2_DRI_EAF:2032</x:v>
      </x:c>
      <x:c r="V118" s="34" t="str">
        <x:v>model_generated_candidate</x:v>
      </x:c>
      <x:c r="W118" s="34" t="str">
        <x:v>Generated from disclosed-path facility calendar, technology set and template contracting assumptions; not a company-announced project</x:v>
      </x:c>
    </x:row>
    <x:row r="119">
      <x:c r="A119" s="34" t="str">
        <x:v>CAND-86531E25156197</x:v>
      </x:c>
      <x:c r="B119" s="34" t="str">
        <x:v>POSCO_KR</x:v>
      </x:c>
      <x:c r="C119" s="34" t="str">
        <x:v>POSCO</x:v>
      </x:c>
      <x:c r="D119" s="34" t="str">
        <x:v>P1</x:v>
      </x:c>
      <x:c r="E119" s="34" t="str">
        <x:v>지연·현물조달</x:v>
      </x:c>
      <x:c r="F119" s="34" t="str">
        <x:v>PORT-F7156CC53AF8</x:v>
      </x:c>
      <x:c r="G119" s="34" t="str">
        <x:v>DISCLOSED_PATH</x:v>
      </x:c>
      <x:c r="H119" s="34" t="n">
        <x:v>5</x:v>
      </x:c>
      <x:c r="I119" s="34" t="n">
        <x:v>2029</x:v>
      </x:c>
      <x:c r="J119" s="34" t="n">
        <x:v>2037</x:v>
      </x:c>
      <x:c r="K119" s="34" t="n">
        <x:v>0.197861</x:v>
      </x:c>
      <x:c r="L119" s="34" t="n">
        <x:v>0.275401</x:v>
      </x:c>
      <x:c r="M119" s="34" t="n">
        <x:v>0.494652</x:v>
      </x:c>
      <x:c r="N119" s="34" t="n">
        <x:v>0.032086</x:v>
      </x:c>
      <x:c r="O119" s="34" t="n">
        <x:v>0</x:v>
      </x:c>
      <x:c r="P119" s="34" t="n">
        <x:v>0</x:v>
      </x:c>
      <x:c r="Q119" s="34" t="n">
        <x:v>0.1</x:v>
      </x:c>
      <x:c r="R119" s="34" t="n">
        <x:v>0</x:v>
      </x:c>
      <x:c r="S119" s="34" t="n">
        <x:v>0</x:v>
      </x:c>
      <x:c r="T119" s="34" t="n">
        <x:v>353.711217</x:v>
      </x:c>
      <x:c r="U119" s="34" t="str">
        <x:v>POS-GWY-E:SCRAP_EAF:2037|POS-GWY-EAF:EAF_RENEWABLE:2033|POS-GWY-W:H2_DRI_EAF:2035|POS-POH-N:H2_DRI_EAF:2029|POS-POH-S:BF_RELINE:2032</x:v>
      </x:c>
      <x:c r="V119" s="34" t="str">
        <x:v>model_generated_candidate</x:v>
      </x:c>
      <x:c r="W119" s="34" t="str">
        <x:v>Generated from disclosed-path facility calendar, technology set and template contracting assumptions; not a company-announced project</x:v>
      </x:c>
    </x:row>
    <x:row r="120">
      <x:c r="A120" s="34" t="str">
        <x:v>CAND-87C97266879F75</x:v>
      </x:c>
      <x:c r="B120" s="34" t="str">
        <x:v>POSCO_KR</x:v>
      </x:c>
      <x:c r="C120" s="34" t="str">
        <x:v>POSCO</x:v>
      </x:c>
      <x:c r="D120" s="34" t="str">
        <x:v>P1</x:v>
      </x:c>
      <x:c r="E120" s="34" t="str">
        <x:v>지연·현물조달</x:v>
      </x:c>
      <x:c r="F120" s="34" t="str">
        <x:v>PORT-AD0B41B0F73F</x:v>
      </x:c>
      <x:c r="G120" s="34" t="str">
        <x:v>DISCLOSED_PATH</x:v>
      </x:c>
      <x:c r="H120" s="34" t="n">
        <x:v>5</x:v>
      </x:c>
      <x:c r="I120" s="34" t="n">
        <x:v>2029</x:v>
      </x:c>
      <x:c r="J120" s="34" t="n">
        <x:v>2037</x:v>
      </x:c>
      <x:c r="K120" s="34" t="n">
        <x:v>0.417112</x:v>
      </x:c>
      <x:c r="L120" s="34" t="n">
        <x:v>0</x:v>
      </x:c>
      <x:c r="M120" s="34" t="n">
        <x:v>0.550802</x:v>
      </x:c>
      <x:c r="N120" s="34" t="n">
        <x:v>0.032086</x:v>
      </x:c>
      <x:c r="O120" s="34" t="n">
        <x:v>0</x:v>
      </x:c>
      <x:c r="P120" s="34" t="n">
        <x:v>0</x:v>
      </x:c>
      <x:c r="Q120" s="34" t="n">
        <x:v>0.1</x:v>
      </x:c>
      <x:c r="R120" s="34" t="n">
        <x:v>0</x:v>
      </x:c>
      <x:c r="S120" s="34" t="n">
        <x:v>0</x:v>
      </x:c>
      <x:c r="T120" s="34" t="n">
        <x:v>208.174258</x:v>
      </x:c>
      <x:c r="U120" s="34" t="str">
        <x:v>POS-GWY-E:H2_DRI_EAF:2037|POS-GWY-EAF:EAF_RENEWABLE:2033|POS-GWY-W:H2_DRI_EAF:2035|POS-POH-N:BF_RELINE:2029|POS-POH-S:BF_RELINE:2032</x:v>
      </x:c>
      <x:c r="V120" s="34" t="str">
        <x:v>model_generated_candidate</x:v>
      </x:c>
      <x:c r="W120" s="34" t="str">
        <x:v>Generated from disclosed-path facility calendar, technology set and template contracting assumptions; not a company-announced project</x:v>
      </x:c>
    </x:row>
    <x:row r="121">
      <x:c r="A121" s="34" t="str">
        <x:v>CAND-88EF081DB56A53</x:v>
      </x:c>
      <x:c r="B121" s="34" t="str">
        <x:v>POSCO_KR</x:v>
      </x:c>
      <x:c r="C121" s="34" t="str">
        <x:v>POSCO</x:v>
      </x:c>
      <x:c r="D121" s="34" t="str">
        <x:v>P3</x:v>
      </x:c>
      <x:c r="E121" s="34" t="str">
        <x:v>균형형 라이트헤지</x:v>
      </x:c>
      <x:c r="F121" s="34" t="str">
        <x:v>PORT-15CB4F8207C5</x:v>
      </x:c>
      <x:c r="G121" s="34" t="str">
        <x:v>DISCLOSED_PATH</x:v>
      </x:c>
      <x:c r="H121" s="34" t="n">
        <x:v>5</x:v>
      </x:c>
      <x:c r="I121" s="34" t="n">
        <x:v>2029</x:v>
      </x:c>
      <x:c r="J121" s="34" t="n">
        <x:v>2037</x:v>
      </x:c>
      <x:c r="K121" s="34" t="n">
        <x:v>0.219251</x:v>
      </x:c>
      <x:c r="L121" s="34" t="n">
        <x:v>0</x:v>
      </x:c>
      <x:c r="M121" s="34" t="n">
        <x:v>0.748663</x:v>
      </x:c>
      <x:c r="N121" s="34" t="n">
        <x:v>0.032086</x:v>
      </x:c>
      <x:c r="O121" s="34" t="n">
        <x:v>0.3</x:v>
      </x:c>
      <x:c r="P121" s="34" t="n">
        <x:v>0.25</x:v>
      </x:c>
      <x:c r="Q121" s="34" t="n">
        <x:v>0.35</x:v>
      </x:c>
      <x:c r="R121" s="34" t="n">
        <x:v>0.25</x:v>
      </x:c>
      <x:c r="S121" s="34" t="n">
        <x:v>0.015</x:v>
      </x:c>
      <x:c r="T121" s="34" t="n">
        <x:v>312.214267</x:v>
      </x:c>
      <x:c r="U121" s="34" t="str">
        <x:v>POS-GWY-E:H2_DRI_EAF:2037|POS-GWY-EAF:EAF_RENEWABLE:2033|POS-GWY-W:H2_DRI_EAF:2035|POS-POH-N:BF_RELINE:2029|POS-POH-S:H2_DRI_EAF:2032</x:v>
      </x:c>
      <x:c r="V121" s="34" t="str">
        <x:v>model_generated_candidate</x:v>
      </x:c>
      <x:c r="W121" s="34" t="str">
        <x:v>Generated from disclosed-path facility calendar, technology set and template contracting assumptions; not a company-announced project</x:v>
      </x:c>
    </x:row>
    <x:row r="122">
      <x:c r="A122" s="34" t="str">
        <x:v>CAND-89035CDCA8B1B8</x:v>
      </x:c>
      <x:c r="B122" s="34" t="str">
        <x:v>POSCO_KR</x:v>
      </x:c>
      <x:c r="C122" s="34" t="str">
        <x:v>POSCO</x:v>
      </x:c>
      <x:c r="D122" s="34" t="str">
        <x:v>P1</x:v>
      </x:c>
      <x:c r="E122" s="34" t="str">
        <x:v>지연·현물조달</x:v>
      </x:c>
      <x:c r="F122" s="34" t="str">
        <x:v>PORT-582BD7A8624A</x:v>
      </x:c>
      <x:c r="G122" s="34" t="str">
        <x:v>DISCLOSED_PATH</x:v>
      </x:c>
      <x:c r="H122" s="34" t="n">
        <x:v>5</x:v>
      </x:c>
      <x:c r="I122" s="34" t="n">
        <x:v>2029</x:v>
      </x:c>
      <x:c r="J122" s="34" t="n">
        <x:v>2037</x:v>
      </x:c>
      <x:c r="K122" s="34" t="n">
        <x:v>0.692513</x:v>
      </x:c>
      <x:c r="L122" s="34" t="n">
        <x:v>0</x:v>
      </x:c>
      <x:c r="M122" s="34" t="n">
        <x:v>0.275401</x:v>
      </x:c>
      <x:c r="N122" s="34" t="n">
        <x:v>0.032086</x:v>
      </x:c>
      <x:c r="O122" s="34" t="n">
        <x:v>0</x:v>
      </x:c>
      <x:c r="P122" s="34" t="n">
        <x:v>0</x:v>
      </x:c>
      <x:c r="Q122" s="34" t="n">
        <x:v>0.1</x:v>
      </x:c>
      <x:c r="R122" s="34" t="n">
        <x:v>0</x:v>
      </x:c>
      <x:c r="S122" s="34" t="n">
        <x:v>0</x:v>
      </x:c>
      <x:c r="T122" s="34" t="n">
        <x:v>143.553883</x:v>
      </x:c>
      <x:c r="U122" s="34" t="str">
        <x:v>POS-GWY-E:BF_RELINE:2037|POS-GWY-EAF:EAF_RENEWABLE:2033|POS-GWY-W:H2_DRI_EAF:2035|POS-POH-N:BF_RELINE:2029|POS-POH-S:BF_RELINE:2032</x:v>
      </x:c>
      <x:c r="V122" s="34" t="str">
        <x:v>model_generated_candidate</x:v>
      </x:c>
      <x:c r="W122" s="34" t="str">
        <x:v>Generated from disclosed-path facility calendar, technology set and template contracting assumptions; not a company-announced project</x:v>
      </x:c>
    </x:row>
    <x:row r="123">
      <x:c r="A123" s="34" t="str">
        <x:v>CAND-8C5643F3C49FCD</x:v>
      </x:c>
      <x:c r="B123" s="34" t="str">
        <x:v>POSCO_KR</x:v>
      </x:c>
      <x:c r="C123" s="34" t="str">
        <x:v>POSCO</x:v>
      </x:c>
      <x:c r="D123" s="34" t="str">
        <x:v>P1</x:v>
      </x:c>
      <x:c r="E123" s="34" t="str">
        <x:v>지연·현물조달</x:v>
      </x:c>
      <x:c r="F123" s="34" t="str">
        <x:v>PORT-76FA0E81D10C</x:v>
      </x:c>
      <x:c r="G123" s="34" t="str">
        <x:v>DISCLOSED_PATH</x:v>
      </x:c>
      <x:c r="H123" s="34" t="n">
        <x:v>5</x:v>
      </x:c>
      <x:c r="I123" s="34" t="n">
        <x:v>2029</x:v>
      </x:c>
      <x:c r="J123" s="34" t="n">
        <x:v>2037</x:v>
      </x:c>
      <x:c r="K123" s="34" t="n">
        <x:v>0</x:v>
      </x:c>
      <x:c r="L123" s="34" t="n">
        <x:v>0.197861</x:v>
      </x:c>
      <x:c r="M123" s="34" t="n">
        <x:v>0.770053</x:v>
      </x:c>
      <x:c r="N123" s="34" t="n">
        <x:v>0.032086</x:v>
      </x:c>
      <x:c r="O123" s="34" t="n">
        <x:v>0</x:v>
      </x:c>
      <x:c r="P123" s="34" t="n">
        <x:v>0</x:v>
      </x:c>
      <x:c r="Q123" s="34" t="n">
        <x:v>0.1</x:v>
      </x:c>
      <x:c r="R123" s="34" t="n">
        <x:v>0</x:v>
      </x:c>
      <x:c r="S123" s="34" t="n">
        <x:v>0</x:v>
      </x:c>
      <x:c r="T123" s="34" t="n">
        <x:v>451.954221</x:v>
      </x:c>
      <x:c r="U123" s="34" t="str">
        <x:v>POS-GWY-E:H2_DRI_EAF:2037|POS-GWY-EAF:EAF_RENEWABLE:2033|POS-GWY-W:H2_DRI_EAF:2035|POS-POH-N:H2_DRI_EAF:2029|POS-POH-S:SCRAP_EAF:2032</x:v>
      </x:c>
      <x:c r="V123" s="34" t="str">
        <x:v>model_generated_candidate</x:v>
      </x:c>
      <x:c r="W123" s="34" t="str">
        <x:v>Generated from disclosed-path facility calendar, technology set and template contracting assumptions; not a company-announced project</x:v>
      </x:c>
    </x:row>
    <x:row r="124">
      <x:c r="A124" s="34" t="str">
        <x:v>CAND-8F4A05F7777C25</x:v>
      </x:c>
      <x:c r="B124" s="34" t="str">
        <x:v>POSCO_KR</x:v>
      </x:c>
      <x:c r="C124" s="34" t="str">
        <x:v>POSCO</x:v>
      </x:c>
      <x:c r="D124" s="34" t="str">
        <x:v>P2</x:v>
      </x:c>
      <x:c r="E124" s="34" t="str">
        <x:v>지연·부분헤지</x:v>
      </x:c>
      <x:c r="F124" s="34" t="str">
        <x:v>PORT-4EF0EAC87C10</x:v>
      </x:c>
      <x:c r="G124" s="34" t="str">
        <x:v>DISCLOSED_PATH</x:v>
      </x:c>
      <x:c r="H124" s="34" t="n">
        <x:v>5</x:v>
      </x:c>
      <x:c r="I124" s="34" t="n">
        <x:v>2029</x:v>
      </x:c>
      <x:c r="J124" s="34" t="n">
        <x:v>2037</x:v>
      </x:c>
      <x:c r="K124" s="34" t="n">
        <x:v>0.275401</x:v>
      </x:c>
      <x:c r="L124" s="34" t="n">
        <x:v>0</x:v>
      </x:c>
      <x:c r="M124" s="34" t="n">
        <x:v>0.692513</x:v>
      </x:c>
      <x:c r="N124" s="34" t="n">
        <x:v>0.032086</x:v>
      </x:c>
      <x:c r="O124" s="34" t="n">
        <x:v>0.15</x:v>
      </x:c>
      <x:c r="P124" s="34" t="n">
        <x:v>0.1</x:v>
      </x:c>
      <x:c r="Q124" s="34" t="n">
        <x:v>0.2</x:v>
      </x:c>
      <x:c r="R124" s="34" t="n">
        <x:v>0.1</x:v>
      </x:c>
      <x:c r="S124" s="34" t="n">
        <x:v>0.01</x:v>
      </x:c>
      <x:c r="T124" s="34" t="n">
        <x:v>370.354232</x:v>
      </x:c>
      <x:c r="U124" s="34" t="str">
        <x:v>POS-GWY-E:H2_DRI_EAF:2037|POS-GWY-EAF:EAF_RENEWABLE:2033|POS-GWY-W:BF_RELINE:2035|POS-POH-N:H2_DRI_EAF:2029|POS-POH-S:H2_DRI_EAF:2032</x:v>
      </x:c>
      <x:c r="V124" s="34" t="str">
        <x:v>model_generated_candidate</x:v>
      </x:c>
      <x:c r="W124" s="34" t="str">
        <x:v>Generated from disclosed-path facility calendar, technology set and template contracting assumptions; not a company-announced project</x:v>
      </x:c>
    </x:row>
    <x:row r="125">
      <x:c r="A125" s="34" t="str">
        <x:v>CAND-8F7D749DB935D5</x:v>
      </x:c>
      <x:c r="B125" s="34" t="str">
        <x:v>POSCO_KR</x:v>
      </x:c>
      <x:c r="C125" s="34" t="str">
        <x:v>POSCO</x:v>
      </x:c>
      <x:c r="D125" s="34" t="str">
        <x:v>P1</x:v>
      </x:c>
      <x:c r="E125" s="34" t="str">
        <x:v>지연·현물조달</x:v>
      </x:c>
      <x:c r="F125" s="34" t="str">
        <x:v>PORT-6B1E9B74730C</x:v>
      </x:c>
      <x:c r="G125" s="34" t="str">
        <x:v>DISCLOSED_PATH</x:v>
      </x:c>
      <x:c r="H125" s="34" t="n">
        <x:v>5</x:v>
      </x:c>
      <x:c r="I125" s="34" t="n">
        <x:v>2029</x:v>
      </x:c>
      <x:c r="J125" s="34" t="n">
        <x:v>2037</x:v>
      </x:c>
      <x:c r="K125" s="34" t="n">
        <x:v>0</x:v>
      </x:c>
      <x:c r="L125" s="34" t="n">
        <x:v>0.275401</x:v>
      </x:c>
      <x:c r="M125" s="34" t="n">
        <x:v>0.692513</x:v>
      </x:c>
      <x:c r="N125" s="34" t="n">
        <x:v>0.032086</x:v>
      </x:c>
      <x:c r="O125" s="34" t="n">
        <x:v>0</x:v>
      </x:c>
      <x:c r="P125" s="34" t="n">
        <x:v>0</x:v>
      </x:c>
      <x:c r="Q125" s="34" t="n">
        <x:v>0.1</x:v>
      </x:c>
      <x:c r="R125" s="34" t="n">
        <x:v>0</x:v>
      </x:c>
      <x:c r="S125" s="34" t="n">
        <x:v>0</x:v>
      </x:c>
      <x:c r="T125" s="34" t="n">
        <x:v>457.751226</x:v>
      </x:c>
      <x:c r="U125" s="34" t="str">
        <x:v>POS-GWY-E:SCRAP_EAF:2037|POS-GWY-EAF:EAF_RENEWABLE:2033|POS-GWY-W:H2_DRI_EAF:2035|POS-POH-N:H2_DRI_EAF:2029|POS-POH-S:H2_DRI_EAF:2032</x:v>
      </x:c>
      <x:c r="V125" s="34" t="str">
        <x:v>model_generated_candidate</x:v>
      </x:c>
      <x:c r="W125" s="34" t="str">
        <x:v>Generated from disclosed-path facility calendar, technology set and template contracting assumptions; not a company-announced project</x:v>
      </x:c>
    </x:row>
    <x:row r="126">
      <x:c r="A126" s="34" t="str">
        <x:v>CAND-90EDE709002A4D</x:v>
      </x:c>
      <x:c r="B126" s="34" t="str">
        <x:v>POSCO_KR</x:v>
      </x:c>
      <x:c r="C126" s="34" t="str">
        <x:v>POSCO</x:v>
      </x:c>
      <x:c r="D126" s="34" t="str">
        <x:v>P1</x:v>
      </x:c>
      <x:c r="E126" s="34" t="str">
        <x:v>지연·현물조달</x:v>
      </x:c>
      <x:c r="F126" s="34" t="str">
        <x:v>PORT-A362C9C2347F</x:v>
      </x:c>
      <x:c r="G126" s="34" t="str">
        <x:v>DISCLOSED_PATH</x:v>
      </x:c>
      <x:c r="H126" s="34" t="n">
        <x:v>5</x:v>
      </x:c>
      <x:c r="I126" s="34" t="n">
        <x:v>2029</x:v>
      </x:c>
      <x:c r="J126" s="34" t="n">
        <x:v>2037</x:v>
      </x:c>
      <x:c r="K126" s="34" t="n">
        <x:v>0.219251</x:v>
      </x:c>
      <x:c r="L126" s="34" t="n">
        <x:v>0.197861</x:v>
      </x:c>
      <x:c r="M126" s="34" t="n">
        <x:v>0.550802</x:v>
      </x:c>
      <x:c r="N126" s="34" t="n">
        <x:v>0.032086</x:v>
      </x:c>
      <x:c r="O126" s="34" t="n">
        <x:v>0</x:v>
      </x:c>
      <x:c r="P126" s="34" t="n">
        <x:v>0</x:v>
      </x:c>
      <x:c r="Q126" s="34" t="n">
        <x:v>0.1</x:v>
      </x:c>
      <x:c r="R126" s="34" t="n">
        <x:v>0</x:v>
      </x:c>
      <x:c r="S126" s="34" t="n">
        <x:v>0</x:v>
      </x:c>
      <x:c r="T126" s="34" t="n">
        <x:v>296.914266</x:v>
      </x:c>
      <x:c r="U126" s="34" t="str">
        <x:v>POS-GWY-E:H2_DRI_EAF:2037|POS-GWY-EAF:EAF_RENEWABLE:2033|POS-GWY-W:H2_DRI_EAF:2035|POS-POH-N:BF_RELINE:2029|POS-POH-S:SCRAP_EAF:2032</x:v>
      </x:c>
      <x:c r="V126" s="34" t="str">
        <x:v>model_generated_candidate</x:v>
      </x:c>
      <x:c r="W126" s="34" t="str">
        <x:v>Generated from disclosed-path facility calendar, technology set and template contracting assumptions; not a company-announced project</x:v>
      </x:c>
    </x:row>
    <x:row r="127">
      <x:c r="A127" s="34" t="str">
        <x:v>CAND-914376A043BEEB</x:v>
      </x:c>
      <x:c r="B127" s="34" t="str">
        <x:v>POSCO_KR</x:v>
      </x:c>
      <x:c r="C127" s="34" t="str">
        <x:v>POSCO</x:v>
      </x:c>
      <x:c r="D127" s="34" t="str">
        <x:v>P4</x:v>
      </x:c>
      <x:c r="E127" s="34" t="str">
        <x:v>균형형 전환</x:v>
      </x:c>
      <x:c r="F127" s="34" t="str">
        <x:v>PORT-CE86444A20D7</x:v>
      </x:c>
      <x:c r="G127" s="34" t="str">
        <x:v>DISCLOSED_PATH</x:v>
      </x:c>
      <x:c r="H127" s="34" t="n">
        <x:v>5</x:v>
      </x:c>
      <x:c r="I127" s="34" t="n">
        <x:v>2028</x:v>
      </x:c>
      <x:c r="J127" s="34" t="n">
        <x:v>2036</x:v>
      </x:c>
      <x:c r="K127" s="34" t="n">
        <x:v>0</x:v>
      </x:c>
      <x:c r="L127" s="34" t="n">
        <x:v>0.275401</x:v>
      </x:c>
      <x:c r="M127" s="34" t="n">
        <x:v>0.692513</x:v>
      </x:c>
      <x:c r="N127" s="34" t="n">
        <x:v>0.032086</x:v>
      </x:c>
      <x:c r="O127" s="34" t="n">
        <x:v>0.5</x:v>
      </x:c>
      <x:c r="P127" s="34" t="n">
        <x:v>0.45</x:v>
      </x:c>
      <x:c r="Q127" s="34" t="n">
        <x:v>0.5</x:v>
      </x:c>
      <x:c r="R127" s="34" t="n">
        <x:v>0.4</x:v>
      </x:c>
      <x:c r="S127" s="34" t="n">
        <x:v>0.02</x:v>
      </x:c>
      <x:c r="T127" s="34" t="n">
        <x:v>513.681255</x:v>
      </x:c>
      <x:c r="U127" s="34" t="str">
        <x:v>POS-GWY-E:H2_DRI_EAF:2036|POS-GWY-EAF:EAF_RENEWABLE:2032|POS-GWY-W:SCRAP_EAF:2034|POS-POH-N:H2_DRI_EAF:2028|POS-POH-S:H2_DRI_EAF:2031</x:v>
      </x:c>
      <x:c r="V127" s="34" t="str">
        <x:v>model_generated_candidate</x:v>
      </x:c>
      <x:c r="W127" s="34" t="str">
        <x:v>Generated from disclosed-path facility calendar, technology set and template contracting assumptions; not a company-announced project</x:v>
      </x:c>
    </x:row>
    <x:row r="128">
      <x:c r="A128" s="34" t="str">
        <x:v>CAND-916F45330732D4</x:v>
      </x:c>
      <x:c r="B128" s="34" t="str">
        <x:v>POSCO_KR</x:v>
      </x:c>
      <x:c r="C128" s="34" t="str">
        <x:v>POSCO</x:v>
      </x:c>
      <x:c r="D128" s="34" t="str">
        <x:v>P2</x:v>
      </x:c>
      <x:c r="E128" s="34" t="str">
        <x:v>지연·부분헤지</x:v>
      </x:c>
      <x:c r="F128" s="34" t="str">
        <x:v>PORT-2E6F921B196A</x:v>
      </x:c>
      <x:c r="G128" s="34" t="str">
        <x:v>DISCLOSED_PATH</x:v>
      </x:c>
      <x:c r="H128" s="34" t="n">
        <x:v>5</x:v>
      </x:c>
      <x:c r="I128" s="34" t="n">
        <x:v>2029</x:v>
      </x:c>
      <x:c r="J128" s="34" t="n">
        <x:v>2037</x:v>
      </x:c>
      <x:c r="K128" s="34" t="n">
        <x:v>0.275401</x:v>
      </x:c>
      <x:c r="L128" s="34" t="n">
        <x:v>0.219251</x:v>
      </x:c>
      <x:c r="M128" s="34" t="n">
        <x:v>0.473262</x:v>
      </x:c>
      <x:c r="N128" s="34" t="n">
        <x:v>0.032086</x:v>
      </x:c>
      <x:c r="O128" s="34" t="n">
        <x:v>0.15</x:v>
      </x:c>
      <x:c r="P128" s="34" t="n">
        <x:v>0.1</x:v>
      </x:c>
      <x:c r="Q128" s="34" t="n">
        <x:v>0.2</x:v>
      </x:c>
      <x:c r="R128" s="34" t="n">
        <x:v>0.1</x:v>
      </x:c>
      <x:c r="S128" s="34" t="n">
        <x:v>0.01</x:v>
      </x:c>
      <x:c r="T128" s="34" t="n">
        <x:v>347.554239</x:v>
      </x:c>
      <x:c r="U128" s="34" t="str">
        <x:v>POS-GWY-E:H2_DRI_EAF:2037|POS-GWY-EAF:EAF_RENEWABLE:2033|POS-GWY-W:BF_RELINE:2035|POS-POH-N:SCRAP_EAF:2029|POS-POH-S:H2_DRI_EAF:2032</x:v>
      </x:c>
      <x:c r="V128" s="34" t="str">
        <x:v>model_generated_candidate</x:v>
      </x:c>
      <x:c r="W128" s="34" t="str">
        <x:v>Generated from disclosed-path facility calendar, technology set and template contracting assumptions; not a company-announced project</x:v>
      </x:c>
    </x:row>
    <x:row r="129">
      <x:c r="A129" s="34" t="str">
        <x:v>CAND-921D50D4015721</x:v>
      </x:c>
      <x:c r="B129" s="34" t="str">
        <x:v>POSCO_KR</x:v>
      </x:c>
      <x:c r="C129" s="34" t="str">
        <x:v>POSCO</x:v>
      </x:c>
      <x:c r="D129" s="34" t="str">
        <x:v>P3</x:v>
      </x:c>
      <x:c r="E129" s="34" t="str">
        <x:v>균형형 라이트헤지</x:v>
      </x:c>
      <x:c r="F129" s="34" t="str">
        <x:v>PORT-96133A6427FE</x:v>
      </x:c>
      <x:c r="G129" s="34" t="str">
        <x:v>DISCLOSED_PATH</x:v>
      </x:c>
      <x:c r="H129" s="34" t="n">
        <x:v>5</x:v>
      </x:c>
      <x:c r="I129" s="34" t="n">
        <x:v>2029</x:v>
      </x:c>
      <x:c r="J129" s="34" t="n">
        <x:v>2037</x:v>
      </x:c>
      <x:c r="K129" s="34" t="n">
        <x:v>0</x:v>
      </x:c>
      <x:c r="L129" s="34" t="n">
        <x:v>0.494652</x:v>
      </x:c>
      <x:c r="M129" s="34" t="n">
        <x:v>0.473262</x:v>
      </x:c>
      <x:c r="N129" s="34" t="n">
        <x:v>0.032086</x:v>
      </x:c>
      <x:c r="O129" s="34" t="n">
        <x:v>0.3</x:v>
      </x:c>
      <x:c r="P129" s="34" t="n">
        <x:v>0.25</x:v>
      </x:c>
      <x:c r="Q129" s="34" t="n">
        <x:v>0.35</x:v>
      </x:c>
      <x:c r="R129" s="34" t="n">
        <x:v>0.25</x:v>
      </x:c>
      <x:c r="S129" s="34" t="n">
        <x:v>0.015</x:v>
      </x:c>
      <x:c r="T129" s="34" t="n">
        <x:v>430.20423</x:v>
      </x:c>
      <x:c r="U129" s="34" t="str">
        <x:v>POS-GWY-E:H2_DRI_EAF:2037|POS-GWY-EAF:EAF_RENEWABLE:2033|POS-GWY-W:SCRAP_EAF:2035|POS-POH-N:SCRAP_EAF:2029|POS-POH-S:H2_DRI_EAF:2032</x:v>
      </x:c>
      <x:c r="V129" s="34" t="str">
        <x:v>model_generated_candidate</x:v>
      </x:c>
      <x:c r="W129" s="34" t="str">
        <x:v>Generated from disclosed-path facility calendar, technology set and template contracting assumptions; not a company-announced project</x:v>
      </x:c>
    </x:row>
    <x:row r="130">
      <x:c r="A130" s="34" t="str">
        <x:v>CAND-92409F72DEE5B3</x:v>
      </x:c>
      <x:c r="B130" s="34" t="str">
        <x:v>POSCO_KR</x:v>
      </x:c>
      <x:c r="C130" s="34" t="str">
        <x:v>POSCO</x:v>
      </x:c>
      <x:c r="D130" s="34" t="str">
        <x:v>P1</x:v>
      </x:c>
      <x:c r="E130" s="34" t="str">
        <x:v>지연·현물조달</x:v>
      </x:c>
      <x:c r="F130" s="34" t="str">
        <x:v>PORT-58F96F629E32</x:v>
      </x:c>
      <x:c r="G130" s="34" t="str">
        <x:v>DISCLOSED_PATH</x:v>
      </x:c>
      <x:c r="H130" s="34" t="n">
        <x:v>5</x:v>
      </x:c>
      <x:c r="I130" s="34" t="n">
        <x:v>2029</x:v>
      </x:c>
      <x:c r="J130" s="34" t="n">
        <x:v>2037</x:v>
      </x:c>
      <x:c r="K130" s="34" t="n">
        <x:v>0.473262</x:v>
      </x:c>
      <x:c r="L130" s="34" t="n">
        <x:v>0.219251</x:v>
      </x:c>
      <x:c r="M130" s="34" t="n">
        <x:v>0.275401</x:v>
      </x:c>
      <x:c r="N130" s="34" t="n">
        <x:v>0.032086</x:v>
      </x:c>
      <x:c r="O130" s="34" t="n">
        <x:v>0</x:v>
      </x:c>
      <x:c r="P130" s="34" t="n">
        <x:v>0</x:v>
      </x:c>
      <x:c r="Q130" s="34" t="n">
        <x:v>0.1</x:v>
      </x:c>
      <x:c r="R130" s="34" t="n">
        <x:v>0</x:v>
      </x:c>
      <x:c r="S130" s="34" t="n">
        <x:v>0</x:v>
      </x:c>
      <x:c r="T130" s="34" t="n">
        <x:v>243.51423</x:v>
      </x:c>
      <x:c r="U130" s="34" t="str">
        <x:v>POS-GWY-E:H2_DRI_EAF:2037|POS-GWY-EAF:EAF_RENEWABLE:2033|POS-GWY-W:BF_RELINE:2035|POS-POH-N:SCRAP_EAF:2029|POS-POH-S:BF_RELINE:2032</x:v>
      </x:c>
      <x:c r="V130" s="34" t="str">
        <x:v>model_generated_candidate</x:v>
      </x:c>
      <x:c r="W130" s="34" t="str">
        <x:v>Generated from disclosed-path facility calendar, technology set and template contracting assumptions; not a company-announced project</x:v>
      </x:c>
    </x:row>
    <x:row r="131">
      <x:c r="A131" s="34" t="str">
        <x:v>CAND-9863577C4A48D7</x:v>
      </x:c>
      <x:c r="B131" s="34" t="str">
        <x:v>POSCO_KR</x:v>
      </x:c>
      <x:c r="C131" s="34" t="str">
        <x:v>POSCO</x:v>
      </x:c>
      <x:c r="D131" s="34" t="str">
        <x:v>P2</x:v>
      </x:c>
      <x:c r="E131" s="34" t="str">
        <x:v>지연·부분헤지</x:v>
      </x:c>
      <x:c r="F131" s="34" t="str">
        <x:v>PORT-CEF57596D771</x:v>
      </x:c>
      <x:c r="G131" s="34" t="str">
        <x:v>DISCLOSED_PATH</x:v>
      </x:c>
      <x:c r="H131" s="34" t="n">
        <x:v>5</x:v>
      </x:c>
      <x:c r="I131" s="34" t="n">
        <x:v>2029</x:v>
      </x:c>
      <x:c r="J131" s="34" t="n">
        <x:v>2037</x:v>
      </x:c>
      <x:c r="K131" s="34" t="n">
        <x:v>0.275401</x:v>
      </x:c>
      <x:c r="L131" s="34" t="n">
        <x:v>0.417112</x:v>
      </x:c>
      <x:c r="M131" s="34" t="n">
        <x:v>0.275401</x:v>
      </x:c>
      <x:c r="N131" s="34" t="n">
        <x:v>0.032086</x:v>
      </x:c>
      <x:c r="O131" s="34" t="n">
        <x:v>0.15</x:v>
      </x:c>
      <x:c r="P131" s="34" t="n">
        <x:v>0.1</x:v>
      </x:c>
      <x:c r="Q131" s="34" t="n">
        <x:v>0.2</x:v>
      </x:c>
      <x:c r="R131" s="34" t="n">
        <x:v>0.1</x:v>
      </x:c>
      <x:c r="S131" s="34" t="n">
        <x:v>0.01</x:v>
      </x:c>
      <x:c r="T131" s="34" t="n">
        <x:v>332.254237</x:v>
      </x:c>
      <x:c r="U131" s="34" t="str">
        <x:v>POS-GWY-E:H2_DRI_EAF:2037|POS-GWY-EAF:EAF_RENEWABLE:2033|POS-GWY-W:BF_RELINE:2035|POS-POH-N:SCRAP_EAF:2029|POS-POH-S:SCRAP_EAF:2032</x:v>
      </x:c>
      <x:c r="V131" s="34" t="str">
        <x:v>model_generated_candidate</x:v>
      </x:c>
      <x:c r="W131" s="34" t="str">
        <x:v>Generated from disclosed-path facility calendar, technology set and template contracting assumptions; not a company-announced project</x:v>
      </x:c>
    </x:row>
    <x:row r="132">
      <x:c r="A132" s="34" t="str">
        <x:v>CAND-98E8D5EC0E3C50</x:v>
      </x:c>
      <x:c r="B132" s="34" t="str">
        <x:v>POSCO_KR</x:v>
      </x:c>
      <x:c r="C132" s="34" t="str">
        <x:v>POSCO</x:v>
      </x:c>
      <x:c r="D132" s="34" t="str">
        <x:v>P1</x:v>
      </x:c>
      <x:c r="E132" s="34" t="str">
        <x:v>지연·현물조달</x:v>
      </x:c>
      <x:c r="F132" s="34" t="str">
        <x:v>PORT-996B6D7E1DE9</x:v>
      </x:c>
      <x:c r="G132" s="34" t="str">
        <x:v>DISCLOSED_PATH</x:v>
      </x:c>
      <x:c r="H132" s="34" t="n">
        <x:v>5</x:v>
      </x:c>
      <x:c r="I132" s="34" t="n">
        <x:v>2029</x:v>
      </x:c>
      <x:c r="J132" s="34" t="n">
        <x:v>2037</x:v>
      </x:c>
      <x:c r="K132" s="34" t="n">
        <x:v>0.494652</x:v>
      </x:c>
      <x:c r="L132" s="34" t="n">
        <x:v>0.473262</x:v>
      </x:c>
      <x:c r="M132" s="34" t="n">
        <x:v>0</x:v>
      </x:c>
      <x:c r="N132" s="34" t="n">
        <x:v>0.032086</x:v>
      </x:c>
      <x:c r="O132" s="34" t="n">
        <x:v>0</x:v>
      </x:c>
      <x:c r="P132" s="34" t="n">
        <x:v>0</x:v>
      </x:c>
      <x:c r="Q132" s="34" t="n">
        <x:v>0.1</x:v>
      </x:c>
      <x:c r="R132" s="34" t="n">
        <x:v>0</x:v>
      </x:c>
      <x:c r="S132" s="34" t="n">
        <x:v>0</x:v>
      </x:c>
      <x:c r="T132" s="34" t="n">
        <x:v>218.043892</x:v>
      </x:c>
      <x:c r="U132" s="34" t="str">
        <x:v>POS-GWY-E:BF_RELINE:2037|POS-GWY-EAF:EAF_RENEWABLE:2033|POS-GWY-W:SCRAP_EAF:2035|POS-POH-N:BF_RELINE:2029|POS-POH-S:SCRAP_EAF:2032</x:v>
      </x:c>
      <x:c r="V132" s="34" t="str">
        <x:v>model_generated_candidate</x:v>
      </x:c>
      <x:c r="W132" s="34" t="str">
        <x:v>Generated from disclosed-path facility calendar, technology set and template contracting assumptions; not a company-announced project</x:v>
      </x:c>
    </x:row>
    <x:row r="133">
      <x:c r="A133" s="34" t="str">
        <x:v>CAND-99F4F9A34CAEE6</x:v>
      </x:c>
      <x:c r="B133" s="34" t="str">
        <x:v>POSCO_KR</x:v>
      </x:c>
      <x:c r="C133" s="34" t="str">
        <x:v>POSCO</x:v>
      </x:c>
      <x:c r="D133" s="34" t="str">
        <x:v>P1</x:v>
      </x:c>
      <x:c r="E133" s="34" t="str">
        <x:v>지연·현물조달</x:v>
      </x:c>
      <x:c r="F133" s="34" t="str">
        <x:v>PORT-8378A8ACBA64</x:v>
      </x:c>
      <x:c r="G133" s="34" t="str">
        <x:v>DISCLOSED_PATH</x:v>
      </x:c>
      <x:c r="H133" s="34" t="n">
        <x:v>5</x:v>
      </x:c>
      <x:c r="I133" s="34" t="n">
        <x:v>2029</x:v>
      </x:c>
      <x:c r="J133" s="34" t="n">
        <x:v>2037</x:v>
      </x:c>
      <x:c r="K133" s="34" t="n">
        <x:v>0.473262</x:v>
      </x:c>
      <x:c r="L133" s="34" t="n">
        <x:v>0.219251</x:v>
      </x:c>
      <x:c r="M133" s="34" t="n">
        <x:v>0.275401</x:v>
      </x:c>
      <x:c r="N133" s="34" t="n">
        <x:v>0.032086</x:v>
      </x:c>
      <x:c r="O133" s="34" t="n">
        <x:v>0</x:v>
      </x:c>
      <x:c r="P133" s="34" t="n">
        <x:v>0</x:v>
      </x:c>
      <x:c r="Q133" s="34" t="n">
        <x:v>0.1</x:v>
      </x:c>
      <x:c r="R133" s="34" t="n">
        <x:v>0</x:v>
      </x:c>
      <x:c r="S133" s="34" t="n">
        <x:v>0</x:v>
      </x:c>
      <x:c r="T133" s="34" t="n">
        <x:v>275.793845</x:v>
      </x:c>
      <x:c r="U133" s="34" t="str">
        <x:v>POS-GWY-E:BF_RELINE:2037|POS-GWY-EAF:EAF_RENEWABLE:2033|POS-GWY-W:H2_DRI_EAF:2035|POS-POH-N:SCRAP_EAF:2029|POS-POH-S:BF_RELINE:2032</x:v>
      </x:c>
      <x:c r="V133" s="34" t="str">
        <x:v>model_generated_candidate</x:v>
      </x:c>
      <x:c r="W133" s="34" t="str">
        <x:v>Generated from disclosed-path facility calendar, technology set and template contracting assumptions; not a company-announced project</x:v>
      </x:c>
    </x:row>
    <x:row r="134">
      <x:c r="A134" s="34" t="str">
        <x:v>CAND-9B48DBA6EAEDA0</x:v>
      </x:c>
      <x:c r="B134" s="34" t="str">
        <x:v>POSCO_KR</x:v>
      </x:c>
      <x:c r="C134" s="34" t="str">
        <x:v>POSCO</x:v>
      </x:c>
      <x:c r="D134" s="34" t="str">
        <x:v>P2</x:v>
      </x:c>
      <x:c r="E134" s="34" t="str">
        <x:v>지연·부분헤지</x:v>
      </x:c>
      <x:c r="F134" s="34" t="str">
        <x:v>PORT-B12C0B3A9BF6</x:v>
      </x:c>
      <x:c r="G134" s="34" t="str">
        <x:v>DISCLOSED_PATH</x:v>
      </x:c>
      <x:c r="H134" s="34" t="n">
        <x:v>5</x:v>
      </x:c>
      <x:c r="I134" s="34" t="n">
        <x:v>2029</x:v>
      </x:c>
      <x:c r="J134" s="34" t="n">
        <x:v>2037</x:v>
      </x:c>
      <x:c r="K134" s="34" t="n">
        <x:v>0.473262</x:v>
      </x:c>
      <x:c r="L134" s="34" t="n">
        <x:v>0</x:v>
      </x:c>
      <x:c r="M134" s="34" t="n">
        <x:v>0.494652</x:v>
      </x:c>
      <x:c r="N134" s="34" t="n">
        <x:v>0.032086</x:v>
      </x:c>
      <x:c r="O134" s="34" t="n">
        <x:v>0.15</x:v>
      </x:c>
      <x:c r="P134" s="34" t="n">
        <x:v>0.1</x:v>
      </x:c>
      <x:c r="Q134" s="34" t="n">
        <x:v>0.2</x:v>
      </x:c>
      <x:c r="R134" s="34" t="n">
        <x:v>0.1</x:v>
      </x:c>
      <x:c r="S134" s="34" t="n">
        <x:v>0.01</x:v>
      </x:c>
      <x:c r="T134" s="34" t="n">
        <x:v>266.314223</x:v>
      </x:c>
      <x:c r="U134" s="34" t="str">
        <x:v>POS-GWY-E:H2_DRI_EAF:2037|POS-GWY-EAF:EAF_RENEWABLE:2033|POS-GWY-W:BF_RELINE:2035|POS-POH-N:H2_DRI_EAF:2029|POS-POH-S:BF_RELINE:2032</x:v>
      </x:c>
      <x:c r="V134" s="34" t="str">
        <x:v>model_generated_candidate</x:v>
      </x:c>
      <x:c r="W134" s="34" t="str">
        <x:v>Generated from disclosed-path facility calendar, technology set and template contracting assumptions; not a company-announced project</x:v>
      </x:c>
    </x:row>
    <x:row r="135">
      <x:c r="A135" s="34" t="str">
        <x:v>CAND-9BEB6D3152CE89</x:v>
      </x:c>
      <x:c r="B135" s="34" t="str">
        <x:v>POSCO_KR</x:v>
      </x:c>
      <x:c r="C135" s="34" t="str">
        <x:v>POSCO</x:v>
      </x:c>
      <x:c r="D135" s="34" t="str">
        <x:v>P3</x:v>
      </x:c>
      <x:c r="E135" s="34" t="str">
        <x:v>균형형 라이트헤지</x:v>
      </x:c>
      <x:c r="F135" s="34" t="str">
        <x:v>PORT-2E6F921B196A</x:v>
      </x:c>
      <x:c r="G135" s="34" t="str">
        <x:v>DISCLOSED_PATH</x:v>
      </x:c>
      <x:c r="H135" s="34" t="n">
        <x:v>5</x:v>
      </x:c>
      <x:c r="I135" s="34" t="n">
        <x:v>2029</x:v>
      </x:c>
      <x:c r="J135" s="34" t="n">
        <x:v>2037</x:v>
      </x:c>
      <x:c r="K135" s="34" t="n">
        <x:v>0.275401</x:v>
      </x:c>
      <x:c r="L135" s="34" t="n">
        <x:v>0.219251</x:v>
      </x:c>
      <x:c r="M135" s="34" t="n">
        <x:v>0.473262</x:v>
      </x:c>
      <x:c r="N135" s="34" t="n">
        <x:v>0.032086</x:v>
      </x:c>
      <x:c r="O135" s="34" t="n">
        <x:v>0.3</x:v>
      </x:c>
      <x:c r="P135" s="34" t="n">
        <x:v>0.25</x:v>
      </x:c>
      <x:c r="Q135" s="34" t="n">
        <x:v>0.35</x:v>
      </x:c>
      <x:c r="R135" s="34" t="n">
        <x:v>0.25</x:v>
      </x:c>
      <x:c r="S135" s="34" t="n">
        <x:v>0.015</x:v>
      </x:c>
      <x:c r="T135" s="34" t="n">
        <x:v>347.554239</x:v>
      </x:c>
      <x:c r="U135" s="34" t="str">
        <x:v>POS-GWY-E:H2_DRI_EAF:2037|POS-GWY-EAF:EAF_RENEWABLE:2033|POS-GWY-W:BF_RELINE:2035|POS-POH-N:SCRAP_EAF:2029|POS-POH-S:H2_DRI_EAF:2032</x:v>
      </x:c>
      <x:c r="V135" s="34" t="str">
        <x:v>model_generated_candidate</x:v>
      </x:c>
      <x:c r="W135" s="34" t="str">
        <x:v>Generated from disclosed-path facility calendar, technology set and template contracting assumptions; not a company-announced project</x:v>
      </x:c>
    </x:row>
    <x:row r="136">
      <x:c r="A136" s="34" t="str">
        <x:v>CAND-9BED272538D02C</x:v>
      </x:c>
      <x:c r="B136" s="34" t="str">
        <x:v>POSCO_KR</x:v>
      </x:c>
      <x:c r="C136" s="34" t="str">
        <x:v>POSCO</x:v>
      </x:c>
      <x:c r="D136" s="34" t="str">
        <x:v>P1</x:v>
      </x:c>
      <x:c r="E136" s="34" t="str">
        <x:v>지연·현물조달</x:v>
      </x:c>
      <x:c r="F136" s="34" t="str">
        <x:v>PORT-4EF0EAC87C10</x:v>
      </x:c>
      <x:c r="G136" s="34" t="str">
        <x:v>DISCLOSED_PATH</x:v>
      </x:c>
      <x:c r="H136" s="34" t="n">
        <x:v>5</x:v>
      </x:c>
      <x:c r="I136" s="34" t="n">
        <x:v>2029</x:v>
      </x:c>
      <x:c r="J136" s="34" t="n">
        <x:v>2037</x:v>
      </x:c>
      <x:c r="K136" s="34" t="n">
        <x:v>0.275401</x:v>
      </x:c>
      <x:c r="L136" s="34" t="n">
        <x:v>0</x:v>
      </x:c>
      <x:c r="M136" s="34" t="n">
        <x:v>0.692513</x:v>
      </x:c>
      <x:c r="N136" s="34" t="n">
        <x:v>0.032086</x:v>
      </x:c>
      <x:c r="O136" s="34" t="n">
        <x:v>0</x:v>
      </x:c>
      <x:c r="P136" s="34" t="n">
        <x:v>0</x:v>
      </x:c>
      <x:c r="Q136" s="34" t="n">
        <x:v>0.1</x:v>
      </x:c>
      <x:c r="R136" s="34" t="n">
        <x:v>0</x:v>
      </x:c>
      <x:c r="S136" s="34" t="n">
        <x:v>0</x:v>
      </x:c>
      <x:c r="T136" s="34" t="n">
        <x:v>370.354232</x:v>
      </x:c>
      <x:c r="U136" s="34" t="str">
        <x:v>POS-GWY-E:H2_DRI_EAF:2037|POS-GWY-EAF:EAF_RENEWABLE:2033|POS-GWY-W:BF_RELINE:2035|POS-POH-N:H2_DRI_EAF:2029|POS-POH-S:H2_DRI_EAF:2032</x:v>
      </x:c>
      <x:c r="V136" s="34" t="str">
        <x:v>model_generated_candidate</x:v>
      </x:c>
      <x:c r="W136" s="34" t="str">
        <x:v>Generated from disclosed-path facility calendar, technology set and template contracting assumptions; not a company-announced project</x:v>
      </x:c>
    </x:row>
    <x:row r="137">
      <x:c r="A137" s="34" t="str">
        <x:v>CAND-9C99C87FEE92BF</x:v>
      </x:c>
      <x:c r="B137" s="34" t="str">
        <x:v>POSCO_KR</x:v>
      </x:c>
      <x:c r="C137" s="34" t="str">
        <x:v>POSCO</x:v>
      </x:c>
      <x:c r="D137" s="34" t="str">
        <x:v>P2</x:v>
      </x:c>
      <x:c r="E137" s="34" t="str">
        <x:v>지연·부분헤지</x:v>
      </x:c>
      <x:c r="F137" s="34" t="str">
        <x:v>PORT-2E4122B1D61A</x:v>
      </x:c>
      <x:c r="G137" s="34" t="str">
        <x:v>DISCLOSED_PATH</x:v>
      </x:c>
      <x:c r="H137" s="34" t="n">
        <x:v>5</x:v>
      </x:c>
      <x:c r="I137" s="34" t="n">
        <x:v>2029</x:v>
      </x:c>
      <x:c r="J137" s="34" t="n">
        <x:v>2037</x:v>
      </x:c>
      <x:c r="K137" s="34" t="n">
        <x:v>0.550802</x:v>
      </x:c>
      <x:c r="L137" s="34" t="n">
        <x:v>0</x:v>
      </x:c>
      <x:c r="M137" s="34" t="n">
        <x:v>0.417112</x:v>
      </x:c>
      <x:c r="N137" s="34" t="n">
        <x:v>0.032086</x:v>
      </x:c>
      <x:c r="O137" s="34" t="n">
        <x:v>0.15</x:v>
      </x:c>
      <x:c r="P137" s="34" t="n">
        <x:v>0.1</x:v>
      </x:c>
      <x:c r="Q137" s="34" t="n">
        <x:v>0.2</x:v>
      </x:c>
      <x:c r="R137" s="34" t="n">
        <x:v>0.1</x:v>
      </x:c>
      <x:c r="S137" s="34" t="n">
        <x:v>0.01</x:v>
      </x:c>
      <x:c r="T137" s="34" t="n">
        <x:v>305.733857</x:v>
      </x:c>
      <x:c r="U137" s="34" t="str">
        <x:v>POS-GWY-E:BF_RELINE:2037|POS-GWY-EAF:EAF_RENEWABLE:2033|POS-GWY-W:BF_RELINE:2035|POS-POH-N:H2_DRI_EAF:2029|POS-POH-S:H2_DRI_EAF:2032</x:v>
      </x:c>
      <x:c r="V137" s="34" t="str">
        <x:v>model_generated_candidate</x:v>
      </x:c>
      <x:c r="W137" s="34" t="str">
        <x:v>Generated from disclosed-path facility calendar, technology set and template contracting assumptions; not a company-announced project</x:v>
      </x:c>
    </x:row>
    <x:row r="138">
      <x:c r="A138" s="34" t="str">
        <x:v>CAND-9DAADB965AABF6</x:v>
      </x:c>
      <x:c r="B138" s="34" t="str">
        <x:v>POSCO_KR</x:v>
      </x:c>
      <x:c r="C138" s="34" t="str">
        <x:v>POSCO</x:v>
      </x:c>
      <x:c r="D138" s="34" t="str">
        <x:v>P2</x:v>
      </x:c>
      <x:c r="E138" s="34" t="str">
        <x:v>지연·부분헤지</x:v>
      </x:c>
      <x:c r="F138" s="34" t="str">
        <x:v>PORT-2038E8D6C481</x:v>
      </x:c>
      <x:c r="G138" s="34" t="str">
        <x:v>DISCLOSED_PATH</x:v>
      </x:c>
      <x:c r="H138" s="34" t="n">
        <x:v>5</x:v>
      </x:c>
      <x:c r="I138" s="34" t="n">
        <x:v>2029</x:v>
      </x:c>
      <x:c r="J138" s="34" t="n">
        <x:v>2037</x:v>
      </x:c>
      <x:c r="K138" s="34" t="n">
        <x:v>0</x:v>
      </x:c>
      <x:c r="L138" s="34" t="n">
        <x:v>0.748663</x:v>
      </x:c>
      <x:c r="M138" s="34" t="n">
        <x:v>0.219251</x:v>
      </x:c>
      <x:c r="N138" s="34" t="n">
        <x:v>0.032086</x:v>
      </x:c>
      <x:c r="O138" s="34" t="n">
        <x:v>0.15</x:v>
      </x:c>
      <x:c r="P138" s="34" t="n">
        <x:v>0.1</x:v>
      </x:c>
      <x:c r="Q138" s="34" t="n">
        <x:v>0.2</x:v>
      </x:c>
      <x:c r="R138" s="34" t="n">
        <x:v>0.1</x:v>
      </x:c>
      <x:c r="S138" s="34" t="n">
        <x:v>0.01</x:v>
      </x:c>
      <x:c r="T138" s="34" t="n">
        <x:v>428.201226</x:v>
      </x:c>
      <x:c r="U138" s="34" t="str">
        <x:v>POS-GWY-E:SCRAP_EAF:2037|POS-GWY-EAF:EAF_RENEWABLE:2033|POS-GWY-W:SCRAP_EAF:2035|POS-POH-N:H2_DRI_EAF:2029|POS-POH-S:SCRAP_EAF:2032</x:v>
      </x:c>
      <x:c r="V138" s="34" t="str">
        <x:v>model_generated_candidate</x:v>
      </x:c>
      <x:c r="W138" s="34" t="str">
        <x:v>Generated from disclosed-path facility calendar, technology set and template contracting assumptions; not a company-announced project</x:v>
      </x:c>
    </x:row>
    <x:row r="139">
      <x:c r="A139" s="34" t="str">
        <x:v>CAND-9F98CFC8518527</x:v>
      </x:c>
      <x:c r="B139" s="34" t="str">
        <x:v>POSCO_KR</x:v>
      </x:c>
      <x:c r="C139" s="34" t="str">
        <x:v>POSCO</x:v>
      </x:c>
      <x:c r="D139" s="34" t="str">
        <x:v>P2</x:v>
      </x:c>
      <x:c r="E139" s="34" t="str">
        <x:v>지연·부분헤지</x:v>
      </x:c>
      <x:c r="F139" s="34" t="str">
        <x:v>PORT-13C60822C05B</x:v>
      </x:c>
      <x:c r="G139" s="34" t="str">
        <x:v>DISCLOSED_PATH</x:v>
      </x:c>
      <x:c r="H139" s="34" t="n">
        <x:v>5</x:v>
      </x:c>
      <x:c r="I139" s="34" t="n">
        <x:v>2029</x:v>
      </x:c>
      <x:c r="J139" s="34" t="n">
        <x:v>2037</x:v>
      </x:c>
      <x:c r="K139" s="34" t="n">
        <x:v>0</x:v>
      </x:c>
      <x:c r="L139" s="34" t="n">
        <x:v>0.473262</x:v>
      </x:c>
      <x:c r="M139" s="34" t="n">
        <x:v>0.494652</x:v>
      </x:c>
      <x:c r="N139" s="34" t="n">
        <x:v>0.032086</x:v>
      </x:c>
      <x:c r="O139" s="34" t="n">
        <x:v>0.15</x:v>
      </x:c>
      <x:c r="P139" s="34" t="n">
        <x:v>0.1</x:v>
      </x:c>
      <x:c r="Q139" s="34" t="n">
        <x:v>0.2</x:v>
      </x:c>
      <x:c r="R139" s="34" t="n">
        <x:v>0.1</x:v>
      </x:c>
      <x:c r="S139" s="34" t="n">
        <x:v>0.01</x:v>
      </x:c>
      <x:c r="T139" s="34" t="n">
        <x:v>437.704222</x:v>
      </x:c>
      <x:c r="U139" s="34" t="str">
        <x:v>POS-GWY-E:H2_DRI_EAF:2037|POS-GWY-EAF:EAF_RENEWABLE:2033|POS-GWY-W:SCRAP_EAF:2035|POS-POH-N:H2_DRI_EAF:2029|POS-POH-S:SCRAP_EAF:2032</x:v>
      </x:c>
      <x:c r="V139" s="34" t="str">
        <x:v>model_generated_candidate</x:v>
      </x:c>
      <x:c r="W139" s="34" t="str">
        <x:v>Generated from disclosed-path facility calendar, technology set and template contracting assumptions; not a company-announced project</x:v>
      </x:c>
    </x:row>
    <x:row r="140">
      <x:c r="A140" s="34" t="str">
        <x:v>CAND-A15B0F01B5DA8C</x:v>
      </x:c>
      <x:c r="B140" s="34" t="str">
        <x:v>POSCO_KR</x:v>
      </x:c>
      <x:c r="C140" s="34" t="str">
        <x:v>POSCO</x:v>
      </x:c>
      <x:c r="D140" s="34" t="str">
        <x:v>P1</x:v>
      </x:c>
      <x:c r="E140" s="34" t="str">
        <x:v>지연·현물조달</x:v>
      </x:c>
      <x:c r="F140" s="34" t="str">
        <x:v>PORT-0D4A544AE375</x:v>
      </x:c>
      <x:c r="G140" s="34" t="str">
        <x:v>DISCLOSED_PATH</x:v>
      </x:c>
      <x:c r="H140" s="34" t="n">
        <x:v>5</x:v>
      </x:c>
      <x:c r="I140" s="34" t="n">
        <x:v>2029</x:v>
      </x:c>
      <x:c r="J140" s="34" t="n">
        <x:v>2037</x:v>
      </x:c>
      <x:c r="K140" s="34" t="n">
        <x:v>0.219251</x:v>
      </x:c>
      <x:c r="L140" s="34" t="n">
        <x:v>0.748663</x:v>
      </x:c>
      <x:c r="M140" s="34" t="n">
        <x:v>0</x:v>
      </x:c>
      <x:c r="N140" s="34" t="n">
        <x:v>0.032086</x:v>
      </x:c>
      <x:c r="O140" s="34" t="n">
        <x:v>0</x:v>
      </x:c>
      <x:c r="P140" s="34" t="n">
        <x:v>0</x:v>
      </x:c>
      <x:c r="Q140" s="34" t="n">
        <x:v>0.1</x:v>
      </x:c>
      <x:c r="R140" s="34" t="n">
        <x:v>0</x:v>
      </x:c>
      <x:c r="S140" s="34" t="n">
        <x:v>0</x:v>
      </x:c>
      <x:c r="T140" s="34" t="n">
        <x:v>273.161271</x:v>
      </x:c>
      <x:c r="U140" s="34" t="str">
        <x:v>POS-GWY-E:SCRAP_EAF:2037|POS-GWY-EAF:EAF_RENEWABLE:2033|POS-GWY-W:SCRAP_EAF:2035|POS-POH-N:BF_RELINE:2029|POS-POH-S:SCRAP_EAF:2032</x:v>
      </x:c>
      <x:c r="V140" s="34" t="str">
        <x:v>model_generated_candidate</x:v>
      </x:c>
      <x:c r="W140" s="34" t="str">
        <x:v>Generated from disclosed-path facility calendar, technology set and template contracting assumptions; not a company-announced project</x:v>
      </x:c>
    </x:row>
    <x:row r="141">
      <x:c r="A141" s="34" t="str">
        <x:v>CAND-A1C7828D41E114</x:v>
      </x:c>
      <x:c r="B141" s="34" t="str">
        <x:v>POSCO_KR</x:v>
      </x:c>
      <x:c r="C141" s="34" t="str">
        <x:v>POSCO</x:v>
      </x:c>
      <x:c r="D141" s="34" t="str">
        <x:v>P4</x:v>
      </x:c>
      <x:c r="E141" s="34" t="str">
        <x:v>균형형 전환</x:v>
      </x:c>
      <x:c r="F141" s="34" t="str">
        <x:v>PORT-05FAA05BFDD3</x:v>
      </x:c>
      <x:c r="G141" s="34" t="str">
        <x:v>DISCLOSED_PATH</x:v>
      </x:c>
      <x:c r="H141" s="34" t="n">
        <x:v>5</x:v>
      </x:c>
      <x:c r="I141" s="34" t="n">
        <x:v>2028</x:v>
      </x:c>
      <x:c r="J141" s="34" t="n">
        <x:v>2036</x:v>
      </x:c>
      <x:c r="K141" s="34" t="n">
        <x:v>0.275401</x:v>
      </x:c>
      <x:c r="L141" s="34" t="n">
        <x:v>0.197861</x:v>
      </x:c>
      <x:c r="M141" s="34" t="n">
        <x:v>0.494652</x:v>
      </x:c>
      <x:c r="N141" s="34" t="n">
        <x:v>0.032086</x:v>
      </x:c>
      <x:c r="O141" s="34" t="n">
        <x:v>0.5</x:v>
      </x:c>
      <x:c r="P141" s="34" t="n">
        <x:v>0.45</x:v>
      </x:c>
      <x:c r="Q141" s="34" t="n">
        <x:v>0.5</x:v>
      </x:c>
      <x:c r="R141" s="34" t="n">
        <x:v>0.4</x:v>
      </x:c>
      <x:c r="S141" s="34" t="n">
        <x:v>0.02</x:v>
      </x:c>
      <x:c r="T141" s="34" t="n">
        <x:v>432.530783</x:v>
      </x:c>
      <x:c r="U141" s="34" t="str">
        <x:v>POS-GWY-E:BF_RELINE:2036|POS-GWY-EAF:EAF_RENEWABLE:2032|POS-GWY-W:H2_DRI_EAF:2034|POS-POH-N:H2_DRI_EAF:2028|POS-POH-S:SCRAP_EAF:2031</x:v>
      </x:c>
      <x:c r="V141" s="34" t="str">
        <x:v>model_generated_candidate</x:v>
      </x:c>
      <x:c r="W141" s="34" t="str">
        <x:v>Generated from disclosed-path facility calendar, technology set and template contracting assumptions; not a company-announced project</x:v>
      </x:c>
    </x:row>
    <x:row r="142">
      <x:c r="A142" s="34" t="str">
        <x:v>CAND-A36B688F4C8F7D</x:v>
      </x:c>
      <x:c r="B142" s="34" t="str">
        <x:v>POSCO_KR</x:v>
      </x:c>
      <x:c r="C142" s="34" t="str">
        <x:v>POSCO</x:v>
      </x:c>
      <x:c r="D142" s="34" t="str">
        <x:v>P2</x:v>
      </x:c>
      <x:c r="E142" s="34" t="str">
        <x:v>지연·부분헤지</x:v>
      </x:c>
      <x:c r="F142" s="34" t="str">
        <x:v>PORT-F9D381E1D5CF</x:v>
      </x:c>
      <x:c r="G142" s="34" t="str">
        <x:v>DISCLOSED_PATH</x:v>
      </x:c>
      <x:c r="H142" s="34" t="n">
        <x:v>5</x:v>
      </x:c>
      <x:c r="I142" s="34" t="n">
        <x:v>2029</x:v>
      </x:c>
      <x:c r="J142" s="34" t="n">
        <x:v>2037</x:v>
      </x:c>
      <x:c r="K142" s="34" t="n">
        <x:v>0.494652</x:v>
      </x:c>
      <x:c r="L142" s="34" t="n">
        <x:v>0.275401</x:v>
      </x:c>
      <x:c r="M142" s="34" t="n">
        <x:v>0.197861</x:v>
      </x:c>
      <x:c r="N142" s="34" t="n">
        <x:v>0.032086</x:v>
      </x:c>
      <x:c r="O142" s="34" t="n">
        <x:v>0.15</x:v>
      </x:c>
      <x:c r="P142" s="34" t="n">
        <x:v>0.1</x:v>
      </x:c>
      <x:c r="Q142" s="34" t="n">
        <x:v>0.2</x:v>
      </x:c>
      <x:c r="R142" s="34" t="n">
        <x:v>0.1</x:v>
      </x:c>
      <x:c r="S142" s="34" t="n">
        <x:v>0.01</x:v>
      </x:c>
      <x:c r="T142" s="34" t="n">
        <x:v>233.343894</x:v>
      </x:c>
      <x:c r="U142" s="34" t="str">
        <x:v>POS-GWY-E:BF_RELINE:2037|POS-GWY-EAF:EAF_RENEWABLE:2033|POS-GWY-W:SCRAP_EAF:2035|POS-POH-N:BF_RELINE:2029|POS-POH-S:H2_DRI_EAF:2032</x:v>
      </x:c>
      <x:c r="V142" s="34" t="str">
        <x:v>model_generated_candidate</x:v>
      </x:c>
      <x:c r="W142" s="34" t="str">
        <x:v>Generated from disclosed-path facility calendar, technology set and template contracting assumptions; not a company-announced project</x:v>
      </x:c>
    </x:row>
    <x:row r="143">
      <x:c r="A143" s="34" t="str">
        <x:v>CAND-A45D581D319D09</x:v>
      </x:c>
      <x:c r="B143" s="34" t="str">
        <x:v>POSCO_KR</x:v>
      </x:c>
      <x:c r="C143" s="34" t="str">
        <x:v>POSCO</x:v>
      </x:c>
      <x:c r="D143" s="34" t="str">
        <x:v>P1</x:v>
      </x:c>
      <x:c r="E143" s="34" t="str">
        <x:v>지연·현물조달</x:v>
      </x:c>
      <x:c r="F143" s="34" t="str">
        <x:v>PORT-D0DAEC56F25D</x:v>
      </x:c>
      <x:c r="G143" s="34" t="str">
        <x:v>DISCLOSED_PATH</x:v>
      </x:c>
      <x:c r="H143" s="34" t="n">
        <x:v>5</x:v>
      </x:c>
      <x:c r="I143" s="34" t="n">
        <x:v>2029</x:v>
      </x:c>
      <x:c r="J143" s="34" t="n">
        <x:v>2037</x:v>
      </x:c>
      <x:c r="K143" s="34" t="n">
        <x:v>0.219251</x:v>
      </x:c>
      <x:c r="L143" s="34" t="n">
        <x:v>0.550802</x:v>
      </x:c>
      <x:c r="M143" s="34" t="n">
        <x:v>0.197861</x:v>
      </x:c>
      <x:c r="N143" s="34" t="n">
        <x:v>0.032086</x:v>
      </x:c>
      <x:c r="O143" s="34" t="n">
        <x:v>0</x:v>
      </x:c>
      <x:c r="P143" s="34" t="n">
        <x:v>0</x:v>
      </x:c>
      <x:c r="Q143" s="34" t="n">
        <x:v>0.1</x:v>
      </x:c>
      <x:c r="R143" s="34" t="n">
        <x:v>0</x:v>
      </x:c>
      <x:c r="S143" s="34" t="n">
        <x:v>0</x:v>
      </x:c>
      <x:c r="T143" s="34" t="n">
        <x:v>288.461272</x:v>
      </x:c>
      <x:c r="U143" s="34" t="str">
        <x:v>POS-GWY-E:SCRAP_EAF:2037|POS-GWY-EAF:EAF_RENEWABLE:2033|POS-GWY-W:SCRAP_EAF:2035|POS-POH-N:BF_RELINE:2029|POS-POH-S:H2_DRI_EAF:2032</x:v>
      </x:c>
      <x:c r="V143" s="34" t="str">
        <x:v>model_generated_candidate</x:v>
      </x:c>
      <x:c r="W143" s="34" t="str">
        <x:v>Generated from disclosed-path facility calendar, technology set and template contracting assumptions; not a company-announced project</x:v>
      </x:c>
    </x:row>
    <x:row r="144">
      <x:c r="A144" s="34" t="str">
        <x:v>CAND-A4622F23133C58</x:v>
      </x:c>
      <x:c r="B144" s="34" t="str">
        <x:v>POSCO_KR</x:v>
      </x:c>
      <x:c r="C144" s="34" t="str">
        <x:v>POSCO</x:v>
      </x:c>
      <x:c r="D144" s="34" t="str">
        <x:v>P3</x:v>
      </x:c>
      <x:c r="E144" s="34" t="str">
        <x:v>균형형 라이트헤지</x:v>
      </x:c>
      <x:c r="F144" s="34" t="str">
        <x:v>PORT-B12C0B3A9BF6</x:v>
      </x:c>
      <x:c r="G144" s="34" t="str">
        <x:v>DISCLOSED_PATH</x:v>
      </x:c>
      <x:c r="H144" s="34" t="n">
        <x:v>5</x:v>
      </x:c>
      <x:c r="I144" s="34" t="n">
        <x:v>2029</x:v>
      </x:c>
      <x:c r="J144" s="34" t="n">
        <x:v>2037</x:v>
      </x:c>
      <x:c r="K144" s="34" t="n">
        <x:v>0.473262</x:v>
      </x:c>
      <x:c r="L144" s="34" t="n">
        <x:v>0</x:v>
      </x:c>
      <x:c r="M144" s="34" t="n">
        <x:v>0.494652</x:v>
      </x:c>
      <x:c r="N144" s="34" t="n">
        <x:v>0.032086</x:v>
      </x:c>
      <x:c r="O144" s="34" t="n">
        <x:v>0.3</x:v>
      </x:c>
      <x:c r="P144" s="34" t="n">
        <x:v>0.25</x:v>
      </x:c>
      <x:c r="Q144" s="34" t="n">
        <x:v>0.35</x:v>
      </x:c>
      <x:c r="R144" s="34" t="n">
        <x:v>0.25</x:v>
      </x:c>
      <x:c r="S144" s="34" t="n">
        <x:v>0.015</x:v>
      </x:c>
      <x:c r="T144" s="34" t="n">
        <x:v>266.314223</x:v>
      </x:c>
      <x:c r="U144" s="34" t="str">
        <x:v>POS-GWY-E:H2_DRI_EAF:2037|POS-GWY-EAF:EAF_RENEWABLE:2033|POS-GWY-W:BF_RELINE:2035|POS-POH-N:H2_DRI_EAF:2029|POS-POH-S:BF_RELINE:2032</x:v>
      </x:c>
      <x:c r="V144" s="34" t="str">
        <x:v>model_generated_candidate</x:v>
      </x:c>
      <x:c r="W144" s="34" t="str">
        <x:v>Generated from disclosed-path facility calendar, technology set and template contracting assumptions; not a company-announced project</x:v>
      </x:c>
    </x:row>
    <x:row r="145">
      <x:c r="A145" s="34" t="str">
        <x:v>CAND-A6713428AA1463</x:v>
      </x:c>
      <x:c r="B145" s="34" t="str">
        <x:v>POSCO_KR</x:v>
      </x:c>
      <x:c r="C145" s="34" t="str">
        <x:v>POSCO</x:v>
      </x:c>
      <x:c r="D145" s="34" t="str">
        <x:v>P1</x:v>
      </x:c>
      <x:c r="E145" s="34" t="str">
        <x:v>지연·현물조달</x:v>
      </x:c>
      <x:c r="F145" s="34" t="str">
        <x:v>PORT-077F7C54FB04</x:v>
      </x:c>
      <x:c r="G145" s="34" t="str">
        <x:v>DISCLOSED_PATH</x:v>
      </x:c>
      <x:c r="H145" s="34" t="n">
        <x:v>5</x:v>
      </x:c>
      <x:c r="I145" s="34" t="n">
        <x:v>2029</x:v>
      </x:c>
      <x:c r="J145" s="34" t="n">
        <x:v>2037</x:v>
      </x:c>
      <x:c r="K145" s="34" t="n">
        <x:v>0</x:v>
      </x:c>
      <x:c r="L145" s="34" t="n">
        <x:v>0.219251</x:v>
      </x:c>
      <x:c r="M145" s="34" t="n">
        <x:v>0.748663</x:v>
      </x:c>
      <x:c r="N145" s="34" t="n">
        <x:v>0.032086</x:v>
      </x:c>
      <x:c r="O145" s="34" t="n">
        <x:v>0</x:v>
      </x:c>
      <x:c r="P145" s="34" t="n">
        <x:v>0</x:v>
      </x:c>
      <x:c r="Q145" s="34" t="n">
        <x:v>0.1</x:v>
      </x:c>
      <x:c r="R145" s="34" t="n">
        <x:v>0</x:v>
      </x:c>
      <x:c r="S145" s="34" t="n">
        <x:v>0</x:v>
      </x:c>
      <x:c r="T145" s="34" t="n">
        <x:v>444.454229</x:v>
      </x:c>
      <x:c r="U145" s="34" t="str">
        <x:v>POS-GWY-E:H2_DRI_EAF:2037|POS-GWY-EAF:EAF_RENEWABLE:2033|POS-GWY-W:H2_DRI_EAF:2035|POS-POH-N:SCRAP_EAF:2029|POS-POH-S:H2_DRI_EAF:2032</x:v>
      </x:c>
      <x:c r="V145" s="34" t="str">
        <x:v>model_generated_candidate</x:v>
      </x:c>
      <x:c r="W145" s="34" t="str">
        <x:v>Generated from disclosed-path facility calendar, technology set and template contracting assumptions; not a company-announced project</x:v>
      </x:c>
    </x:row>
    <x:row r="146">
      <x:c r="A146" s="34" t="str">
        <x:v>CAND-A853E02DE26A10</x:v>
      </x:c>
      <x:c r="B146" s="34" t="str">
        <x:v>POSCO_KR</x:v>
      </x:c>
      <x:c r="C146" s="34" t="str">
        <x:v>POSCO</x:v>
      </x:c>
      <x:c r="D146" s="34" t="str">
        <x:v>P1</x:v>
      </x:c>
      <x:c r="E146" s="34" t="str">
        <x:v>지연·현물조달</x:v>
      </x:c>
      <x:c r="F146" s="34" t="str">
        <x:v>PORT-531039DEA968</x:v>
      </x:c>
      <x:c r="G146" s="34" t="str">
        <x:v>DISCLOSED_PATH</x:v>
      </x:c>
      <x:c r="H146" s="34" t="n">
        <x:v>5</x:v>
      </x:c>
      <x:c r="I146" s="34" t="n">
        <x:v>2029</x:v>
      </x:c>
      <x:c r="J146" s="34" t="n">
        <x:v>2037</x:v>
      </x:c>
      <x:c r="K146" s="34" t="n">
        <x:v>0.219251</x:v>
      </x:c>
      <x:c r="L146" s="34" t="n">
        <x:v>0.275401</x:v>
      </x:c>
      <x:c r="M146" s="34" t="n">
        <x:v>0.473262</x:v>
      </x:c>
      <x:c r="N146" s="34" t="n">
        <x:v>0.032086</x:v>
      </x:c>
      <x:c r="O146" s="34" t="n">
        <x:v>0</x:v>
      </x:c>
      <x:c r="P146" s="34" t="n">
        <x:v>0</x:v>
      </x:c>
      <x:c r="Q146" s="34" t="n">
        <x:v>0.1</x:v>
      </x:c>
      <x:c r="R146" s="34" t="n">
        <x:v>0</x:v>
      </x:c>
      <x:c r="S146" s="34" t="n">
        <x:v>0</x:v>
      </x:c>
      <x:c r="T146" s="34" t="n">
        <x:v>297.964268</x:v>
      </x:c>
      <x:c r="U146" s="34" t="str">
        <x:v>POS-GWY-E:H2_DRI_EAF:2037|POS-GWY-EAF:EAF_RENEWABLE:2033|POS-GWY-W:SCRAP_EAF:2035|POS-POH-N:BF_RELINE:2029|POS-POH-S:H2_DRI_EAF:2032</x:v>
      </x:c>
      <x:c r="V146" s="34" t="str">
        <x:v>model_generated_candidate</x:v>
      </x:c>
      <x:c r="W146" s="34" t="str">
        <x:v>Generated from disclosed-path facility calendar, technology set and template contracting assumptions; not a company-announced project</x:v>
      </x:c>
    </x:row>
    <x:row r="147">
      <x:c r="A147" s="34" t="str">
        <x:v>CAND-A8CC673AA50AD2</x:v>
      </x:c>
      <x:c r="B147" s="34" t="str">
        <x:v>POSCO_KR</x:v>
      </x:c>
      <x:c r="C147" s="34" t="str">
        <x:v>POSCO</x:v>
      </x:c>
      <x:c r="D147" s="34" t="str">
        <x:v>P2</x:v>
      </x:c>
      <x:c r="E147" s="34" t="str">
        <x:v>지연·부분헤지</x:v>
      </x:c>
      <x:c r="F147" s="34" t="str">
        <x:v>PORT-914DDED0291C</x:v>
      </x:c>
      <x:c r="G147" s="34" t="str">
        <x:v>DISCLOSED_PATH</x:v>
      </x:c>
      <x:c r="H147" s="34" t="n">
        <x:v>5</x:v>
      </x:c>
      <x:c r="I147" s="34" t="n">
        <x:v>2029</x:v>
      </x:c>
      <x:c r="J147" s="34" t="n">
        <x:v>2037</x:v>
      </x:c>
      <x:c r="K147" s="34" t="n">
        <x:v>0</x:v>
      </x:c>
      <x:c r="L147" s="34" t="n">
        <x:v>0.550802</x:v>
      </x:c>
      <x:c r="M147" s="34" t="n">
        <x:v>0.417112</x:v>
      </x:c>
      <x:c r="N147" s="34" t="n">
        <x:v>0.032086</x:v>
      </x:c>
      <x:c r="O147" s="34" t="n">
        <x:v>0.15</x:v>
      </x:c>
      <x:c r="P147" s="34" t="n">
        <x:v>0.1</x:v>
      </x:c>
      <x:c r="Q147" s="34" t="n">
        <x:v>0.2</x:v>
      </x:c>
      <x:c r="R147" s="34" t="n">
        <x:v>0.1</x:v>
      </x:c>
      <x:c r="S147" s="34" t="n">
        <x:v>0.01</x:v>
      </x:c>
      <x:c r="T147" s="34" t="n">
        <x:v>443.501227</x:v>
      </x:c>
      <x:c r="U147" s="34" t="str">
        <x:v>POS-GWY-E:SCRAP_EAF:2037|POS-GWY-EAF:EAF_RENEWABLE:2033|POS-GWY-W:SCRAP_EAF:2035|POS-POH-N:H2_DRI_EAF:2029|POS-POH-S:H2_DRI_EAF:2032</x:v>
      </x:c>
      <x:c r="V147" s="34" t="str">
        <x:v>model_generated_candidate</x:v>
      </x:c>
      <x:c r="W147" s="34" t="str">
        <x:v>Generated from disclosed-path facility calendar, technology set and template contracting assumptions; not a company-announced project</x:v>
      </x:c>
    </x:row>
    <x:row r="148">
      <x:c r="A148" s="34" t="str">
        <x:v>CAND-A8E004FB8423DE</x:v>
      </x:c>
      <x:c r="B148" s="34" t="str">
        <x:v>POSCO_KR</x:v>
      </x:c>
      <x:c r="C148" s="34" t="str">
        <x:v>POSCO</x:v>
      </x:c>
      <x:c r="D148" s="34" t="str">
        <x:v>P2</x:v>
      </x:c>
      <x:c r="E148" s="34" t="str">
        <x:v>지연·부분헤지</x:v>
      </x:c>
      <x:c r="F148" s="34" t="str">
        <x:v>PORT-DD503298C431</x:v>
      </x:c>
      <x:c r="G148" s="34" t="str">
        <x:v>DISCLOSED_PATH</x:v>
      </x:c>
      <x:c r="H148" s="34" t="n">
        <x:v>5</x:v>
      </x:c>
      <x:c r="I148" s="34" t="n">
        <x:v>2029</x:v>
      </x:c>
      <x:c r="J148" s="34" t="n">
        <x:v>2037</x:v>
      </x:c>
      <x:c r="K148" s="34" t="n">
        <x:v>0.275401</x:v>
      </x:c>
      <x:c r="L148" s="34" t="n">
        <x:v>0.473262</x:v>
      </x:c>
      <x:c r="M148" s="34" t="n">
        <x:v>0.219251</x:v>
      </x:c>
      <x:c r="N148" s="34" t="n">
        <x:v>0.032086</x:v>
      </x:c>
      <x:c r="O148" s="34" t="n">
        <x:v>0.15</x:v>
      </x:c>
      <x:c r="P148" s="34" t="n">
        <x:v>0.1</x:v>
      </x:c>
      <x:c r="Q148" s="34" t="n">
        <x:v>0.2</x:v>
      </x:c>
      <x:c r="R148" s="34" t="n">
        <x:v>0.1</x:v>
      </x:c>
      <x:c r="S148" s="34" t="n">
        <x:v>0.01</x:v>
      </x:c>
      <x:c r="T148" s="34" t="n">
        <x:v>373.083847</x:v>
      </x:c>
      <x:c r="U148" s="34" t="str">
        <x:v>POS-GWY-E:BF_RELINE:2037|POS-GWY-EAF:EAF_RENEWABLE:2033|POS-GWY-W:SCRAP_EAF:2035|POS-POH-N:H2_DRI_EAF:2029|POS-POH-S:SCRAP_EAF:2032</x:v>
      </x:c>
      <x:c r="V148" s="34" t="str">
        <x:v>model_generated_candidate</x:v>
      </x:c>
      <x:c r="W148" s="34" t="str">
        <x:v>Generated from disclosed-path facility calendar, technology set and template contracting assumptions; not a company-announced project</x:v>
      </x:c>
    </x:row>
    <x:row r="149">
      <x:c r="A149" s="34" t="str">
        <x:v>CAND-ACA578EEE84E9A</x:v>
      </x:c>
      <x:c r="B149" s="34" t="str">
        <x:v>POSCO_KR</x:v>
      </x:c>
      <x:c r="C149" s="34" t="str">
        <x:v>POSCO</x:v>
      </x:c>
      <x:c r="D149" s="34" t="str">
        <x:v>P1</x:v>
      </x:c>
      <x:c r="E149" s="34" t="str">
        <x:v>지연·현물조달</x:v>
      </x:c>
      <x:c r="F149" s="34" t="str">
        <x:v>PORT-E6131070E165</x:v>
      </x:c>
      <x:c r="G149" s="34" t="str">
        <x:v>DISCLOSED_PATH</x:v>
      </x:c>
      <x:c r="H149" s="34" t="n">
        <x:v>5</x:v>
      </x:c>
      <x:c r="I149" s="34" t="n">
        <x:v>2029</x:v>
      </x:c>
      <x:c r="J149" s="34" t="n">
        <x:v>2037</x:v>
      </x:c>
      <x:c r="K149" s="34" t="n">
        <x:v>0.219251</x:v>
      </x:c>
      <x:c r="L149" s="34" t="n">
        <x:v>0.275401</x:v>
      </x:c>
      <x:c r="M149" s="34" t="n">
        <x:v>0.473262</x:v>
      </x:c>
      <x:c r="N149" s="34" t="n">
        <x:v>0.032086</x:v>
      </x:c>
      <x:c r="O149" s="34" t="n">
        <x:v>0</x:v>
      </x:c>
      <x:c r="P149" s="34" t="n">
        <x:v>0</x:v>
      </x:c>
      <x:c r="Q149" s="34" t="n">
        <x:v>0.1</x:v>
      </x:c>
      <x:c r="R149" s="34" t="n">
        <x:v>0</x:v>
      </x:c>
      <x:c r="S149" s="34" t="n">
        <x:v>0</x:v>
      </x:c>
      <x:c r="T149" s="34" t="n">
        <x:v>302.711271</x:v>
      </x:c>
      <x:c r="U149" s="34" t="str">
        <x:v>POS-GWY-E:SCRAP_EAF:2037|POS-GWY-EAF:EAF_RENEWABLE:2033|POS-GWY-W:H2_DRI_EAF:2035|POS-POH-N:BF_RELINE:2029|POS-POH-S:H2_DRI_EAF:2032</x:v>
      </x:c>
      <x:c r="V149" s="34" t="str">
        <x:v>model_generated_candidate</x:v>
      </x:c>
      <x:c r="W149" s="34" t="str">
        <x:v>Generated from disclosed-path facility calendar, technology set and template contracting assumptions; not a company-announced project</x:v>
      </x:c>
    </x:row>
    <x:row r="150">
      <x:c r="A150" s="34" t="str">
        <x:v>CAND-B0648BA410E4CF</x:v>
      </x:c>
      <x:c r="B150" s="34" t="str">
        <x:v>POSCO_KR</x:v>
      </x:c>
      <x:c r="C150" s="34" t="str">
        <x:v>POSCO</x:v>
      </x:c>
      <x:c r="D150" s="34" t="str">
        <x:v>P1</x:v>
      </x:c>
      <x:c r="E150" s="34" t="str">
        <x:v>지연·현물조달</x:v>
      </x:c>
      <x:c r="F150" s="34" t="str">
        <x:v>PORT-561630EF7FDF</x:v>
      </x:c>
      <x:c r="G150" s="34" t="str">
        <x:v>DISCLOSED_PATH</x:v>
      </x:c>
      <x:c r="H150" s="34" t="n">
        <x:v>5</x:v>
      </x:c>
      <x:c r="I150" s="34" t="n">
        <x:v>2029</x:v>
      </x:c>
      <x:c r="J150" s="34" t="n">
        <x:v>2037</x:v>
      </x:c>
      <x:c r="K150" s="34" t="n">
        <x:v>0.197861</x:v>
      </x:c>
      <x:c r="L150" s="34" t="n">
        <x:v>0.770053</x:v>
      </x:c>
      <x:c r="M150" s="34" t="n">
        <x:v>0</x:v>
      </x:c>
      <x:c r="N150" s="34" t="n">
        <x:v>0.032086</x:v>
      </x:c>
      <x:c r="O150" s="34" t="n">
        <x:v>0</x:v>
      </x:c>
      <x:c r="P150" s="34" t="n">
        <x:v>0</x:v>
      </x:c>
      <x:c r="Q150" s="34" t="n">
        <x:v>0.1</x:v>
      </x:c>
      <x:c r="R150" s="34" t="n">
        <x:v>0</x:v>
      </x:c>
      <x:c r="S150" s="34" t="n">
        <x:v>0</x:v>
      </x:c>
      <x:c r="T150" s="34" t="n">
        <x:v>316.661225</x:v>
      </x:c>
      <x:c r="U150" s="34" t="str">
        <x:v>POS-GWY-E:SCRAP_EAF:2037|POS-GWY-EAF:EAF_RENEWABLE:2033|POS-GWY-W:SCRAP_EAF:2035|POS-POH-N:SCRAP_EAF:2029|POS-POH-S:BF_RELINE:2032</x:v>
      </x:c>
      <x:c r="V150" s="34" t="str">
        <x:v>model_generated_candidate</x:v>
      </x:c>
      <x:c r="W150" s="34" t="str">
        <x:v>Generated from disclosed-path facility calendar, technology set and template contracting assumptions; not a company-announced project</x:v>
      </x:c>
    </x:row>
    <x:row r="151">
      <x:c r="A151" s="34" t="str">
        <x:v>CAND-B146287CA6941A</x:v>
      </x:c>
      <x:c r="B151" s="34" t="str">
        <x:v>POSCO_KR</x:v>
      </x:c>
      <x:c r="C151" s="34" t="str">
        <x:v>POSCO</x:v>
      </x:c>
      <x:c r="D151" s="34" t="str">
        <x:v>P4</x:v>
      </x:c>
      <x:c r="E151" s="34" t="str">
        <x:v>균형형 전환</x:v>
      </x:c>
      <x:c r="F151" s="34" t="str">
        <x:v>PORT-A5B0D936D425</x:v>
      </x:c>
      <x:c r="G151" s="34" t="str">
        <x:v>DISCLOSED_PATH</x:v>
      </x:c>
      <x:c r="H151" s="34" t="n">
        <x:v>5</x:v>
      </x:c>
      <x:c r="I151" s="34" t="n">
        <x:v>2028</x:v>
      </x:c>
      <x:c r="J151" s="34" t="n">
        <x:v>2036</x:v>
      </x:c>
      <x:c r="K151" s="34" t="n">
        <x:v>0.275401</x:v>
      </x:c>
      <x:c r="L151" s="34" t="n">
        <x:v>0</x:v>
      </x:c>
      <x:c r="M151" s="34" t="n">
        <x:v>0.692513</x:v>
      </x:c>
      <x:c r="N151" s="34" t="n">
        <x:v>0.032086</x:v>
      </x:c>
      <x:c r="O151" s="34" t="n">
        <x:v>0.5</x:v>
      </x:c>
      <x:c r="P151" s="34" t="n">
        <x:v>0.45</x:v>
      </x:c>
      <x:c r="Q151" s="34" t="n">
        <x:v>0.5</x:v>
      </x:c>
      <x:c r="R151" s="34" t="n">
        <x:v>0.4</x:v>
      </x:c>
      <x:c r="S151" s="34" t="n">
        <x:v>0.02</x:v>
      </x:c>
      <x:c r="T151" s="34" t="n">
        <x:v>417.256265</x:v>
      </x:c>
      <x:c r="U151" s="34" t="str">
        <x:v>POS-GWY-E:H2_DRI_EAF:2036|POS-GWY-EAF:EAF_RENEWABLE:2032|POS-GWY-W:BF_RELINE:2034|POS-POH-N:H2_DRI_EAF:2028|POS-POH-S:H2_DRI_EAF:2031</x:v>
      </x:c>
      <x:c r="V151" s="34" t="str">
        <x:v>model_generated_candidate</x:v>
      </x:c>
      <x:c r="W151" s="34" t="str">
        <x:v>Generated from disclosed-path facility calendar, technology set and template contracting assumptions; not a company-announced project</x:v>
      </x:c>
    </x:row>
    <x:row r="152">
      <x:c r="A152" s="34" t="str">
        <x:v>CAND-B2EDDC06AAF874</x:v>
      </x:c>
      <x:c r="B152" s="34" t="str">
        <x:v>POSCO_KR</x:v>
      </x:c>
      <x:c r="C152" s="34" t="str">
        <x:v>POSCO</x:v>
      </x:c>
      <x:c r="D152" s="34" t="str">
        <x:v>P5</x:v>
      </x:c>
      <x:c r="E152" s="34" t="str">
        <x:v>조기 계약형 전환</x:v>
      </x:c>
      <x:c r="F152" s="34" t="str">
        <x:v>PORT-A5B0D936D425</x:v>
      </x:c>
      <x:c r="G152" s="34" t="str">
        <x:v>DISCLOSED_PATH</x:v>
      </x:c>
      <x:c r="H152" s="34" t="n">
        <x:v>5</x:v>
      </x:c>
      <x:c r="I152" s="34" t="n">
        <x:v>2028</x:v>
      </x:c>
      <x:c r="J152" s="34" t="n">
        <x:v>2036</x:v>
      </x:c>
      <x:c r="K152" s="34" t="n">
        <x:v>0.275401</x:v>
      </x:c>
      <x:c r="L152" s="34" t="n">
        <x:v>0</x:v>
      </x:c>
      <x:c r="M152" s="34" t="n">
        <x:v>0.692513</x:v>
      </x:c>
      <x:c r="N152" s="34" t="n">
        <x:v>0.032086</x:v>
      </x:c>
      <x:c r="O152" s="34" t="n">
        <x:v>0.7</x:v>
      </x:c>
      <x:c r="P152" s="34" t="n">
        <x:v>0.65</x:v>
      </x:c>
      <x:c r="Q152" s="34" t="n">
        <x:v>0.65</x:v>
      </x:c>
      <x:c r="R152" s="34" t="n">
        <x:v>0.6</x:v>
      </x:c>
      <x:c r="S152" s="34" t="n">
        <x:v>0.025</x:v>
      </x:c>
      <x:c r="T152" s="34" t="n">
        <x:v>417.256265</x:v>
      </x:c>
      <x:c r="U152" s="34" t="str">
        <x:v>POS-GWY-E:H2_DRI_EAF:2036|POS-GWY-EAF:EAF_RENEWABLE:2032|POS-GWY-W:BF_RELINE:2034|POS-POH-N:H2_DRI_EAF:2028|POS-POH-S:H2_DRI_EAF:2031</x:v>
      </x:c>
      <x:c r="V152" s="34" t="str">
        <x:v>model_generated_candidate</x:v>
      </x:c>
      <x:c r="W152" s="34" t="str">
        <x:v>Generated from disclosed-path facility calendar, technology set and template contracting assumptions; not a company-announced project</x:v>
      </x:c>
    </x:row>
    <x:row r="153">
      <x:c r="A153" s="34" t="str">
        <x:v>CAND-B345087C8ADFC4</x:v>
      </x:c>
      <x:c r="B153" s="34" t="str">
        <x:v>POSCO_KR</x:v>
      </x:c>
      <x:c r="C153" s="34" t="str">
        <x:v>POSCO</x:v>
      </x:c>
      <x:c r="D153" s="34" t="str">
        <x:v>P3</x:v>
      </x:c>
      <x:c r="E153" s="34" t="str">
        <x:v>균형형 라이트헤지</x:v>
      </x:c>
      <x:c r="F153" s="34" t="str">
        <x:v>PORT-D611F29113B4</x:v>
      </x:c>
      <x:c r="G153" s="34" t="str">
        <x:v>DISCLOSED_PATH</x:v>
      </x:c>
      <x:c r="H153" s="34" t="n">
        <x:v>5</x:v>
      </x:c>
      <x:c r="I153" s="34" t="n">
        <x:v>2029</x:v>
      </x:c>
      <x:c r="J153" s="34" t="n">
        <x:v>2037</x:v>
      </x:c>
      <x:c r="K153" s="34" t="n">
        <x:v>0.197861</x:v>
      </x:c>
      <x:c r="L153" s="34" t="n">
        <x:v>0.275401</x:v>
      </x:c>
      <x:c r="M153" s="34" t="n">
        <x:v>0.494652</x:v>
      </x:c>
      <x:c r="N153" s="34" t="n">
        <x:v>0.032086</x:v>
      </x:c>
      <x:c r="O153" s="34" t="n">
        <x:v>0.3</x:v>
      </x:c>
      <x:c r="P153" s="34" t="n">
        <x:v>0.25</x:v>
      </x:c>
      <x:c r="Q153" s="34" t="n">
        <x:v>0.35</x:v>
      </x:c>
      <x:c r="R153" s="34" t="n">
        <x:v>0.25</x:v>
      </x:c>
      <x:c r="S153" s="34" t="n">
        <x:v>0.015</x:v>
      </x:c>
      <x:c r="T153" s="34" t="n">
        <x:v>348.964214</x:v>
      </x:c>
      <x:c r="U153" s="34" t="str">
        <x:v>POS-GWY-E:H2_DRI_EAF:2037|POS-GWY-EAF:EAF_RENEWABLE:2033|POS-GWY-W:SCRAP_EAF:2035|POS-POH-N:H2_DRI_EAF:2029|POS-POH-S:BF_RELINE:2032</x:v>
      </x:c>
      <x:c r="V153" s="34" t="str">
        <x:v>model_generated_candidate</x:v>
      </x:c>
      <x:c r="W153" s="34" t="str">
        <x:v>Generated from disclosed-path facility calendar, technology set and template contracting assumptions; not a company-announced project</x:v>
      </x:c>
    </x:row>
    <x:row r="154">
      <x:c r="A154" s="34" t="str">
        <x:v>CAND-B4104B648B4ACE</x:v>
      </x:c>
      <x:c r="B154" s="34" t="str">
        <x:v>POSCO_KR</x:v>
      </x:c>
      <x:c r="C154" s="34" t="str">
        <x:v>POSCO</x:v>
      </x:c>
      <x:c r="D154" s="34" t="str">
        <x:v>P1</x:v>
      </x:c>
      <x:c r="E154" s="34" t="str">
        <x:v>지연·현물조달</x:v>
      </x:c>
      <x:c r="F154" s="34" t="str">
        <x:v>PORT-D4A9EE612029</x:v>
      </x:c>
      <x:c r="G154" s="34" t="str">
        <x:v>DISCLOSED_PATH</x:v>
      </x:c>
      <x:c r="H154" s="34" t="n">
        <x:v>5</x:v>
      </x:c>
      <x:c r="I154" s="34" t="n">
        <x:v>2029</x:v>
      </x:c>
      <x:c r="J154" s="34" t="n">
        <x:v>2037</x:v>
      </x:c>
      <x:c r="K154" s="34" t="n">
        <x:v>0.748663</x:v>
      </x:c>
      <x:c r="L154" s="34" t="n">
        <x:v>0.219251</x:v>
      </x:c>
      <x:c r="M154" s="34" t="n">
        <x:v>0</x:v>
      </x:c>
      <x:c r="N154" s="34" t="n">
        <x:v>0.032086</x:v>
      </x:c>
      <x:c r="O154" s="34" t="n">
        <x:v>0</x:v>
      </x:c>
      <x:c r="P154" s="34" t="n">
        <x:v>0</x:v>
      </x:c>
      <x:c r="Q154" s="34" t="n">
        <x:v>0.1</x:v>
      </x:c>
      <x:c r="R154" s="34" t="n">
        <x:v>0</x:v>
      </x:c>
      <x:c r="S154" s="34" t="n">
        <x:v>0</x:v>
      </x:c>
      <x:c r="T154" s="34" t="n">
        <x:v>178.893855</x:v>
      </x:c>
      <x:c r="U154" s="34" t="str">
        <x:v>POS-GWY-E:BF_RELINE:2037|POS-GWY-EAF:EAF_RENEWABLE:2033|POS-GWY-W:BF_RELINE:2035|POS-POH-N:SCRAP_EAF:2029|POS-POH-S:BF_RELINE:2032</x:v>
      </x:c>
      <x:c r="V154" s="34" t="str">
        <x:v>model_generated_candidate</x:v>
      </x:c>
      <x:c r="W154" s="34" t="str">
        <x:v>Generated from disclosed-path facility calendar, technology set and template contracting assumptions; not a company-announced project</x:v>
      </x:c>
    </x:row>
    <x:row r="155">
      <x:c r="A155" s="34" t="str">
        <x:v>CAND-B5C2D2B0DC779E</x:v>
      </x:c>
      <x:c r="B155" s="34" t="str">
        <x:v>POSCO_KR</x:v>
      </x:c>
      <x:c r="C155" s="34" t="str">
        <x:v>POSCO</x:v>
      </x:c>
      <x:c r="D155" s="34" t="str">
        <x:v>P1</x:v>
      </x:c>
      <x:c r="E155" s="34" t="str">
        <x:v>지연·현물조달</x:v>
      </x:c>
      <x:c r="F155" s="34" t="str">
        <x:v>PORT-26296F7EE75E</x:v>
      </x:c>
      <x:c r="G155" s="34" t="str">
        <x:v>DISCLOSED_PATH</x:v>
      </x:c>
      <x:c r="H155" s="34" t="n">
        <x:v>5</x:v>
      </x:c>
      <x:c r="I155" s="34" t="n">
        <x:v>2029</x:v>
      </x:c>
      <x:c r="J155" s="34" t="n">
        <x:v>2037</x:v>
      </x:c>
      <x:c r="K155" s="34" t="n">
        <x:v>0.275401</x:v>
      </x:c>
      <x:c r="L155" s="34" t="n">
        <x:v>0.219251</x:v>
      </x:c>
      <x:c r="M155" s="34" t="n">
        <x:v>0.473262</x:v>
      </x:c>
      <x:c r="N155" s="34" t="n">
        <x:v>0.032086</x:v>
      </x:c>
      <x:c r="O155" s="34" t="n">
        <x:v>0</x:v>
      </x:c>
      <x:c r="P155" s="34" t="n">
        <x:v>0</x:v>
      </x:c>
      <x:c r="Q155" s="34" t="n">
        <x:v>0.1</x:v>
      </x:c>
      <x:c r="R155" s="34" t="n">
        <x:v>0</x:v>
      </x:c>
      <x:c r="S155" s="34" t="n">
        <x:v>0</x:v>
      </x:c>
      <x:c r="T155" s="34" t="n">
        <x:v>379.833854</x:v>
      </x:c>
      <x:c r="U155" s="34" t="str">
        <x:v>POS-GWY-E:BF_RELINE:2037|POS-GWY-EAF:EAF_RENEWABLE:2033|POS-GWY-W:H2_DRI_EAF:2035|POS-POH-N:SCRAP_EAF:2029|POS-POH-S:H2_DRI_EAF:2032</x:v>
      </x:c>
      <x:c r="V155" s="34" t="str">
        <x:v>model_generated_candidate</x:v>
      </x:c>
      <x:c r="W155" s="34" t="str">
        <x:v>Generated from disclosed-path facility calendar, technology set and template contracting assumptions; not a company-announced project</x:v>
      </x:c>
    </x:row>
    <x:row r="156">
      <x:c r="A156" s="34" t="str">
        <x:v>CAND-B791C9607E5C3F</x:v>
      </x:c>
      <x:c r="B156" s="34" t="str">
        <x:v>POSCO_KR</x:v>
      </x:c>
      <x:c r="C156" s="34" t="str">
        <x:v>POSCO</x:v>
      </x:c>
      <x:c r="D156" s="34" t="str">
        <x:v>P4</x:v>
      </x:c>
      <x:c r="E156" s="34" t="str">
        <x:v>균형형 전환</x:v>
      </x:c>
      <x:c r="F156" s="34" t="str">
        <x:v>PORT-C07B5FF15869</x:v>
      </x:c>
      <x:c r="G156" s="34" t="str">
        <x:v>DISCLOSED_PATH</x:v>
      </x:c>
      <x:c r="H156" s="34" t="n">
        <x:v>5</x:v>
      </x:c>
      <x:c r="I156" s="34" t="n">
        <x:v>2028</x:v>
      </x:c>
      <x:c r="J156" s="34" t="n">
        <x:v>2036</x:v>
      </x:c>
      <x:c r="K156" s="34" t="n">
        <x:v>0.219251</x:v>
      </x:c>
      <x:c r="L156" s="34" t="n">
        <x:v>0</x:v>
      </x:c>
      <x:c r="M156" s="34" t="n">
        <x:v>0.748663</x:v>
      </x:c>
      <x:c r="N156" s="34" t="n">
        <x:v>0.032086</x:v>
      </x:c>
      <x:c r="O156" s="34" t="n">
        <x:v>0.5</x:v>
      </x:c>
      <x:c r="P156" s="34" t="n">
        <x:v>0.45</x:v>
      </x:c>
      <x:c r="Q156" s="34" t="n">
        <x:v>0.5</x:v>
      </x:c>
      <x:c r="R156" s="34" t="n">
        <x:v>0.4</x:v>
      </x:c>
      <x:c r="S156" s="34" t="n">
        <x:v>0.02</x:v>
      </x:c>
      <x:c r="T156" s="34" t="n">
        <x:v>362.346302</x:v>
      </x:c>
      <x:c r="U156" s="34" t="str">
        <x:v>POS-GWY-E:H2_DRI_EAF:2036|POS-GWY-EAF:EAF_RENEWABLE:2032|POS-GWY-W:H2_DRI_EAF:2034|POS-POH-N:BF_RELINE:2028|POS-POH-S:H2_DRI_EAF:2031</x:v>
      </x:c>
      <x:c r="V156" s="34" t="str">
        <x:v>model_generated_candidate</x:v>
      </x:c>
      <x:c r="W156" s="34" t="str">
        <x:v>Generated from disclosed-path facility calendar, technology set and template contracting assumptions; not a company-announced project</x:v>
      </x:c>
    </x:row>
    <x:row r="157">
      <x:c r="A157" s="34" t="str">
        <x:v>CAND-B90A406E3BDA97</x:v>
      </x:c>
      <x:c r="B157" s="34" t="str">
        <x:v>POSCO_KR</x:v>
      </x:c>
      <x:c r="C157" s="34" t="str">
        <x:v>POSCO</x:v>
      </x:c>
      <x:c r="D157" s="34" t="str">
        <x:v>P2</x:v>
      </x:c>
      <x:c r="E157" s="34" t="str">
        <x:v>지연·부분헤지</x:v>
      </x:c>
      <x:c r="F157" s="34" t="str">
        <x:v>PORT-D42DEB3BDB60</x:v>
      </x:c>
      <x:c r="G157" s="34" t="str">
        <x:v>DISCLOSED_PATH</x:v>
      </x:c>
      <x:c r="H157" s="34" t="n">
        <x:v>5</x:v>
      </x:c>
      <x:c r="I157" s="34" t="n">
        <x:v>2029</x:v>
      </x:c>
      <x:c r="J157" s="34" t="n">
        <x:v>2037</x:v>
      </x:c>
      <x:c r="K157" s="34" t="n">
        <x:v>0.275401</x:v>
      </x:c>
      <x:c r="L157" s="34" t="n">
        <x:v>0.417112</x:v>
      </x:c>
      <x:c r="M157" s="34" t="n">
        <x:v>0.275401</x:v>
      </x:c>
      <x:c r="N157" s="34" t="n">
        <x:v>0.032086</x:v>
      </x:c>
      <x:c r="O157" s="34" t="n">
        <x:v>0.15</x:v>
      </x:c>
      <x:c r="P157" s="34" t="n">
        <x:v>0.1</x:v>
      </x:c>
      <x:c r="Q157" s="34" t="n">
        <x:v>0.2</x:v>
      </x:c>
      <x:c r="R157" s="34" t="n">
        <x:v>0.1</x:v>
      </x:c>
      <x:c r="S157" s="34" t="n">
        <x:v>0.01</x:v>
      </x:c>
      <x:c r="T157" s="34" t="n">
        <x:v>364.533852</x:v>
      </x:c>
      <x:c r="U157" s="34" t="str">
        <x:v>POS-GWY-E:BF_RELINE:2037|POS-GWY-EAF:EAF_RENEWABLE:2033|POS-GWY-W:H2_DRI_EAF:2035|POS-POH-N:SCRAP_EAF:2029|POS-POH-S:SCRAP_EAF:2032</x:v>
      </x:c>
      <x:c r="V157" s="34" t="str">
        <x:v>model_generated_candidate</x:v>
      </x:c>
      <x:c r="W157" s="34" t="str">
        <x:v>Generated from disclosed-path facility calendar, technology set and template contracting assumptions; not a company-announced project</x:v>
      </x:c>
    </x:row>
    <x:row r="158">
      <x:c r="A158" s="34" t="str">
        <x:v>CAND-B9AA08137725E8</x:v>
      </x:c>
      <x:c r="B158" s="34" t="str">
        <x:v>POSCO_KR</x:v>
      </x:c>
      <x:c r="C158" s="34" t="str">
        <x:v>POSCO</x:v>
      </x:c>
      <x:c r="D158" s="34" t="str">
        <x:v>P3</x:v>
      </x:c>
      <x:c r="E158" s="34" t="str">
        <x:v>균형형 라이트헤지</x:v>
      </x:c>
      <x:c r="F158" s="34" t="str">
        <x:v>PORT-9D42DCC7C1C0</x:v>
      </x:c>
      <x:c r="G158" s="34" t="str">
        <x:v>DISCLOSED_PATH</x:v>
      </x:c>
      <x:c r="H158" s="34" t="n">
        <x:v>5</x:v>
      </x:c>
      <x:c r="I158" s="34" t="n">
        <x:v>2029</x:v>
      </x:c>
      <x:c r="J158" s="34" t="n">
        <x:v>2037</x:v>
      </x:c>
      <x:c r="K158" s="34" t="n">
        <x:v>0.275401</x:v>
      </x:c>
      <x:c r="L158" s="34" t="n">
        <x:v>0.197861</x:v>
      </x:c>
      <x:c r="M158" s="34" t="n">
        <x:v>0.494652</x:v>
      </x:c>
      <x:c r="N158" s="34" t="n">
        <x:v>0.032086</x:v>
      </x:c>
      <x:c r="O158" s="34" t="n">
        <x:v>0.3</x:v>
      </x:c>
      <x:c r="P158" s="34" t="n">
        <x:v>0.25</x:v>
      </x:c>
      <x:c r="Q158" s="34" t="n">
        <x:v>0.35</x:v>
      </x:c>
      <x:c r="R158" s="34" t="n">
        <x:v>0.25</x:v>
      </x:c>
      <x:c r="S158" s="34" t="n">
        <x:v>0.015</x:v>
      </x:c>
      <x:c r="T158" s="34" t="n">
        <x:v>355.054231</x:v>
      </x:c>
      <x:c r="U158" s="34" t="str">
        <x:v>POS-GWY-E:H2_DRI_EAF:2037|POS-GWY-EAF:EAF_RENEWABLE:2033|POS-GWY-W:BF_RELINE:2035|POS-POH-N:H2_DRI_EAF:2029|POS-POH-S:SCRAP_EAF:2032</x:v>
      </x:c>
      <x:c r="V158" s="34" t="str">
        <x:v>model_generated_candidate</x:v>
      </x:c>
      <x:c r="W158" s="34" t="str">
        <x:v>Generated from disclosed-path facility calendar, technology set and template contracting assumptions; not a company-announced project</x:v>
      </x:c>
    </x:row>
    <x:row r="159">
      <x:c r="A159" s="34" t="str">
        <x:v>CAND-BBFDE735F87B40</x:v>
      </x:c>
      <x:c r="B159" s="34" t="str">
        <x:v>POSCO_KR</x:v>
      </x:c>
      <x:c r="C159" s="34" t="str">
        <x:v>POSCO</x:v>
      </x:c>
      <x:c r="D159" s="34" t="str">
        <x:v>P1</x:v>
      </x:c>
      <x:c r="E159" s="34" t="str">
        <x:v>지연·현물조달</x:v>
      </x:c>
      <x:c r="F159" s="34" t="str">
        <x:v>PORT-7827D72F6A22</x:v>
      </x:c>
      <x:c r="G159" s="34" t="str">
        <x:v>DISCLOSED_PATH</x:v>
      </x:c>
      <x:c r="H159" s="34" t="n">
        <x:v>5</x:v>
      </x:c>
      <x:c r="I159" s="34" t="n">
        <x:v>2029</x:v>
      </x:c>
      <x:c r="J159" s="34" t="n">
        <x:v>2037</x:v>
      </x:c>
      <x:c r="K159" s="34" t="n">
        <x:v>0</x:v>
      </x:c>
      <x:c r="L159" s="34" t="n">
        <x:v>0.692513</x:v>
      </x:c>
      <x:c r="M159" s="34" t="n">
        <x:v>0.275401</x:v>
      </x:c>
      <x:c r="N159" s="34" t="n">
        <x:v>0.032086</x:v>
      </x:c>
      <x:c r="O159" s="34" t="n">
        <x:v>0</x:v>
      </x:c>
      <x:c r="P159" s="34" t="n">
        <x:v>0</x:v>
      </x:c>
      <x:c r="Q159" s="34" t="n">
        <x:v>0.1</x:v>
      </x:c>
      <x:c r="R159" s="34" t="n">
        <x:v>0</x:v>
      </x:c>
      <x:c r="S159" s="34" t="n">
        <x:v>0</x:v>
      </x:c>
      <x:c r="T159" s="34" t="n">
        <x:v>419.651231</x:v>
      </x:c>
      <x:c r="U159" s="34" t="str">
        <x:v>POS-GWY-E:SCRAP_EAF:2037|POS-GWY-EAF:EAF_RENEWABLE:2033|POS-GWY-W:H2_DRI_EAF:2035|POS-POH-N:SCRAP_EAF:2029|POS-POH-S:SCRAP_EAF:2032</x:v>
      </x:c>
      <x:c r="V159" s="34" t="str">
        <x:v>model_generated_candidate</x:v>
      </x:c>
      <x:c r="W159" s="34" t="str">
        <x:v>Generated from disclosed-path facility calendar, technology set and template contracting assumptions; not a company-announced project</x:v>
      </x:c>
    </x:row>
    <x:row r="160">
      <x:c r="A160" s="34" t="str">
        <x:v>CAND-BC621CB3478171</x:v>
      </x:c>
      <x:c r="B160" s="34" t="str">
        <x:v>POSCO_KR</x:v>
      </x:c>
      <x:c r="C160" s="34" t="str">
        <x:v>POSCO</x:v>
      </x:c>
      <x:c r="D160" s="34" t="str">
        <x:v>P3</x:v>
      </x:c>
      <x:c r="E160" s="34" t="str">
        <x:v>균형형 라이트헤지</x:v>
      </x:c>
      <x:c r="F160" s="34" t="str">
        <x:v>PORT-33B2B6D2E85D</x:v>
      </x:c>
      <x:c r="G160" s="34" t="str">
        <x:v>DISCLOSED_PATH</x:v>
      </x:c>
      <x:c r="H160" s="34" t="n">
        <x:v>5</x:v>
      </x:c>
      <x:c r="I160" s="34" t="n">
        <x:v>2029</x:v>
      </x:c>
      <x:c r="J160" s="34" t="n">
        <x:v>2037</x:v>
      </x:c>
      <x:c r="K160" s="34" t="n">
        <x:v>0</x:v>
      </x:c>
      <x:c r="L160" s="34" t="n">
        <x:v>0</x:v>
      </x:c>
      <x:c r="M160" s="34" t="n">
        <x:v>0.967914</x:v>
      </x:c>
      <x:c r="N160" s="34" t="n">
        <x:v>0.032086</x:v>
      </x:c>
      <x:c r="O160" s="34" t="n">
        <x:v>0.3</x:v>
      </x:c>
      <x:c r="P160" s="34" t="n">
        <x:v>0.25</x:v>
      </x:c>
      <x:c r="Q160" s="34" t="n">
        <x:v>0.35</x:v>
      </x:c>
      <x:c r="R160" s="34" t="n">
        <x:v>0.25</x:v>
      </x:c>
      <x:c r="S160" s="34" t="n">
        <x:v>0.015</x:v>
      </x:c>
      <x:c r="T160" s="34" t="n">
        <x:v>467.254222</x:v>
      </x:c>
      <x:c r="U160" s="34" t="str">
        <x:v>POS-GWY-E:H2_DRI_EAF:2037|POS-GWY-EAF:EAF_RENEWABLE:2033|POS-GWY-W:H2_DRI_EAF:2035|POS-POH-N:H2_DRI_EAF:2029|POS-POH-S:H2_DRI_EAF:2032</x:v>
      </x:c>
      <x:c r="V160" s="34" t="str">
        <x:v>model_generated_candidate</x:v>
      </x:c>
      <x:c r="W160" s="34" t="str">
        <x:v>Generated from disclosed-path facility calendar, technology set and template contracting assumptions; not a company-announced project</x:v>
      </x:c>
    </x:row>
    <x:row r="161">
      <x:c r="A161" s="34" t="str">
        <x:v>CAND-BEF797E7835E02</x:v>
      </x:c>
      <x:c r="B161" s="34" t="str">
        <x:v>POSCO_KR</x:v>
      </x:c>
      <x:c r="C161" s="34" t="str">
        <x:v>POSCO</x:v>
      </x:c>
      <x:c r="D161" s="34" t="str">
        <x:v>P2</x:v>
      </x:c>
      <x:c r="E161" s="34" t="str">
        <x:v>지연·부분헤지</x:v>
      </x:c>
      <x:c r="F161" s="34" t="str">
        <x:v>PORT-7827D72F6A22</x:v>
      </x:c>
      <x:c r="G161" s="34" t="str">
        <x:v>DISCLOSED_PATH</x:v>
      </x:c>
      <x:c r="H161" s="34" t="n">
        <x:v>5</x:v>
      </x:c>
      <x:c r="I161" s="34" t="n">
        <x:v>2029</x:v>
      </x:c>
      <x:c r="J161" s="34" t="n">
        <x:v>2037</x:v>
      </x:c>
      <x:c r="K161" s="34" t="n">
        <x:v>0</x:v>
      </x:c>
      <x:c r="L161" s="34" t="n">
        <x:v>0.692513</x:v>
      </x:c>
      <x:c r="M161" s="34" t="n">
        <x:v>0.275401</x:v>
      </x:c>
      <x:c r="N161" s="34" t="n">
        <x:v>0.032086</x:v>
      </x:c>
      <x:c r="O161" s="34" t="n">
        <x:v>0.15</x:v>
      </x:c>
      <x:c r="P161" s="34" t="n">
        <x:v>0.1</x:v>
      </x:c>
      <x:c r="Q161" s="34" t="n">
        <x:v>0.2</x:v>
      </x:c>
      <x:c r="R161" s="34" t="n">
        <x:v>0.1</x:v>
      </x:c>
      <x:c r="S161" s="34" t="n">
        <x:v>0.01</x:v>
      </x:c>
      <x:c r="T161" s="34" t="n">
        <x:v>419.651231</x:v>
      </x:c>
      <x:c r="U161" s="34" t="str">
        <x:v>POS-GWY-E:SCRAP_EAF:2037|POS-GWY-EAF:EAF_RENEWABLE:2033|POS-GWY-W:H2_DRI_EAF:2035|POS-POH-N:SCRAP_EAF:2029|POS-POH-S:SCRAP_EAF:2032</x:v>
      </x:c>
      <x:c r="V161" s="34" t="str">
        <x:v>model_generated_candidate</x:v>
      </x:c>
      <x:c r="W161" s="34" t="str">
        <x:v>Generated from disclosed-path facility calendar, technology set and template contracting assumptions; not a company-announced project</x:v>
      </x:c>
    </x:row>
    <x:row r="162">
      <x:c r="A162" s="34" t="str">
        <x:v>CAND-BFD90FA7155576</x:v>
      </x:c>
      <x:c r="B162" s="34" t="str">
        <x:v>POSCO_KR</x:v>
      </x:c>
      <x:c r="C162" s="34" t="str">
        <x:v>POSCO</x:v>
      </x:c>
      <x:c r="D162" s="34" t="str">
        <x:v>P2</x:v>
      </x:c>
      <x:c r="E162" s="34" t="str">
        <x:v>지연·부분헤지</x:v>
      </x:c>
      <x:c r="F162" s="34" t="str">
        <x:v>PORT-BC271EDDCEA1</x:v>
      </x:c>
      <x:c r="G162" s="34" t="str">
        <x:v>DISCLOSED_PATH</x:v>
      </x:c>
      <x:c r="H162" s="34" t="n">
        <x:v>5</x:v>
      </x:c>
      <x:c r="I162" s="34" t="n">
        <x:v>2029</x:v>
      </x:c>
      <x:c r="J162" s="34" t="n">
        <x:v>2037</x:v>
      </x:c>
      <x:c r="K162" s="34" t="n">
        <x:v>0.473262</x:v>
      </x:c>
      <x:c r="L162" s="34" t="n">
        <x:v>0.275401</x:v>
      </x:c>
      <x:c r="M162" s="34" t="n">
        <x:v>0.219251</x:v>
      </x:c>
      <x:c r="N162" s="34" t="n">
        <x:v>0.032086</x:v>
      </x:c>
      <x:c r="O162" s="34" t="n">
        <x:v>0.15</x:v>
      </x:c>
      <x:c r="P162" s="34" t="n">
        <x:v>0.1</x:v>
      </x:c>
      <x:c r="Q162" s="34" t="n">
        <x:v>0.2</x:v>
      </x:c>
      <x:c r="R162" s="34" t="n">
        <x:v>0.1</x:v>
      </x:c>
      <x:c r="S162" s="34" t="n">
        <x:v>0.01</x:v>
      </x:c>
      <x:c r="T162" s="34" t="n">
        <x:v>284.343839</x:v>
      </x:c>
      <x:c r="U162" s="34" t="str">
        <x:v>POS-GWY-E:BF_RELINE:2037|POS-GWY-EAF:EAF_RENEWABLE:2033|POS-GWY-W:SCRAP_EAF:2035|POS-POH-N:H2_DRI_EAF:2029|POS-POH-S:BF_RELINE:2032</x:v>
      </x:c>
      <x:c r="V162" s="34" t="str">
        <x:v>model_generated_candidate</x:v>
      </x:c>
      <x:c r="W162" s="34" t="str">
        <x:v>Generated from disclosed-path facility calendar, technology set and template contracting assumptions; not a company-announced project</x:v>
      </x:c>
    </x:row>
    <x:row r="163">
      <x:c r="A163" s="34" t="str">
        <x:v>CAND-C1C1B450F58ADF</x:v>
      </x:c>
      <x:c r="B163" s="34" t="str">
        <x:v>POSCO_KR</x:v>
      </x:c>
      <x:c r="C163" s="34" t="str">
        <x:v>POSCO</x:v>
      </x:c>
      <x:c r="D163" s="34" t="str">
        <x:v>P2</x:v>
      </x:c>
      <x:c r="E163" s="34" t="str">
        <x:v>지연·부분헤지</x:v>
      </x:c>
      <x:c r="F163" s="34" t="str">
        <x:v>PORT-D0DAEC56F25D</x:v>
      </x:c>
      <x:c r="G163" s="34" t="str">
        <x:v>DISCLOSED_PATH</x:v>
      </x:c>
      <x:c r="H163" s="34" t="n">
        <x:v>5</x:v>
      </x:c>
      <x:c r="I163" s="34" t="n">
        <x:v>2029</x:v>
      </x:c>
      <x:c r="J163" s="34" t="n">
        <x:v>2037</x:v>
      </x:c>
      <x:c r="K163" s="34" t="n">
        <x:v>0.219251</x:v>
      </x:c>
      <x:c r="L163" s="34" t="n">
        <x:v>0.550802</x:v>
      </x:c>
      <x:c r="M163" s="34" t="n">
        <x:v>0.197861</x:v>
      </x:c>
      <x:c r="N163" s="34" t="n">
        <x:v>0.032086</x:v>
      </x:c>
      <x:c r="O163" s="34" t="n">
        <x:v>0.15</x:v>
      </x:c>
      <x:c r="P163" s="34" t="n">
        <x:v>0.1</x:v>
      </x:c>
      <x:c r="Q163" s="34" t="n">
        <x:v>0.2</x:v>
      </x:c>
      <x:c r="R163" s="34" t="n">
        <x:v>0.1</x:v>
      </x:c>
      <x:c r="S163" s="34" t="n">
        <x:v>0.01</x:v>
      </x:c>
      <x:c r="T163" s="34" t="n">
        <x:v>288.461272</x:v>
      </x:c>
      <x:c r="U163" s="34" t="str">
        <x:v>POS-GWY-E:SCRAP_EAF:2037|POS-GWY-EAF:EAF_RENEWABLE:2033|POS-GWY-W:SCRAP_EAF:2035|POS-POH-N:BF_RELINE:2029|POS-POH-S:H2_DRI_EAF:2032</x:v>
      </x:c>
      <x:c r="V163" s="34" t="str">
        <x:v>model_generated_candidate</x:v>
      </x:c>
      <x:c r="W163" s="34" t="str">
        <x:v>Generated from disclosed-path facility calendar, technology set and template contracting assumptions; not a company-announced project</x:v>
      </x:c>
    </x:row>
    <x:row r="164">
      <x:c r="A164" s="34" t="str">
        <x:v>CAND-C33FE91CFE6911</x:v>
      </x:c>
      <x:c r="B164" s="34" t="str">
        <x:v>POSCO_KR</x:v>
      </x:c>
      <x:c r="C164" s="34" t="str">
        <x:v>POSCO</x:v>
      </x:c>
      <x:c r="D164" s="34" t="str">
        <x:v>P1</x:v>
      </x:c>
      <x:c r="E164" s="34" t="str">
        <x:v>지연·현물조달</x:v>
      </x:c>
      <x:c r="F164" s="34" t="str">
        <x:v>PORT-E80F0DA86082</x:v>
      </x:c>
      <x:c r="G164" s="34" t="str">
        <x:v>DISCLOSED_PATH</x:v>
      </x:c>
      <x:c r="H164" s="34" t="n">
        <x:v>5</x:v>
      </x:c>
      <x:c r="I164" s="34" t="n">
        <x:v>2029</x:v>
      </x:c>
      <x:c r="J164" s="34" t="n">
        <x:v>2037</x:v>
      </x:c>
      <x:c r="K164" s="34" t="n">
        <x:v>0.473262</x:v>
      </x:c>
      <x:c r="L164" s="34" t="n">
        <x:v>0</x:v>
      </x:c>
      <x:c r="M164" s="34" t="n">
        <x:v>0.494652</x:v>
      </x:c>
      <x:c r="N164" s="34" t="n">
        <x:v>0.032086</x:v>
      </x:c>
      <x:c r="O164" s="34" t="n">
        <x:v>0</x:v>
      </x:c>
      <x:c r="P164" s="34" t="n">
        <x:v>0</x:v>
      </x:c>
      <x:c r="Q164" s="34" t="n">
        <x:v>0.1</x:v>
      </x:c>
      <x:c r="R164" s="34" t="n">
        <x:v>0</x:v>
      </x:c>
      <x:c r="S164" s="34" t="n">
        <x:v>0</x:v>
      </x:c>
      <x:c r="T164" s="34" t="n">
        <x:v>298.593838</x:v>
      </x:c>
      <x:c r="U164" s="34" t="str">
        <x:v>POS-GWY-E:BF_RELINE:2037|POS-GWY-EAF:EAF_RENEWABLE:2033|POS-GWY-W:H2_DRI_EAF:2035|POS-POH-N:H2_DRI_EAF:2029|POS-POH-S:BF_RELINE:2032</x:v>
      </x:c>
      <x:c r="V164" s="34" t="str">
        <x:v>model_generated_candidate</x:v>
      </x:c>
      <x:c r="W164" s="34" t="str">
        <x:v>Generated from disclosed-path facility calendar, technology set and template contracting assumptions; not a company-announced project</x:v>
      </x:c>
    </x:row>
    <x:row r="165">
      <x:c r="A165" s="34" t="str">
        <x:v>CAND-C5B0E1C7A7F11A</x:v>
      </x:c>
      <x:c r="B165" s="34" t="str">
        <x:v>POSCO_KR</x:v>
      </x:c>
      <x:c r="C165" s="34" t="str">
        <x:v>POSCO</x:v>
      </x:c>
      <x:c r="D165" s="34" t="str">
        <x:v>P1</x:v>
      </x:c>
      <x:c r="E165" s="34" t="str">
        <x:v>지연·현물조달</x:v>
      </x:c>
      <x:c r="F165" s="34" t="str">
        <x:v>PORT-1CB3B12B9B60</x:v>
      </x:c>
      <x:c r="G165" s="34" t="str">
        <x:v>DISCLOSED_PATH</x:v>
      </x:c>
      <x:c r="H165" s="34" t="n">
        <x:v>5</x:v>
      </x:c>
      <x:c r="I165" s="34" t="n">
        <x:v>2029</x:v>
      </x:c>
      <x:c r="J165" s="34" t="n">
        <x:v>2037</x:v>
      </x:c>
      <x:c r="K165" s="34" t="n">
        <x:v>0</x:v>
      </x:c>
      <x:c r="L165" s="34" t="n">
        <x:v>0.275401</x:v>
      </x:c>
      <x:c r="M165" s="34" t="n">
        <x:v>0.692513</x:v>
      </x:c>
      <x:c r="N165" s="34" t="n">
        <x:v>0.032086</x:v>
      </x:c>
      <x:c r="O165" s="34" t="n">
        <x:v>0</x:v>
      </x:c>
      <x:c r="P165" s="34" t="n">
        <x:v>0</x:v>
      </x:c>
      <x:c r="Q165" s="34" t="n">
        <x:v>0.1</x:v>
      </x:c>
      <x:c r="R165" s="34" t="n">
        <x:v>0</x:v>
      </x:c>
      <x:c r="S165" s="34" t="n">
        <x:v>0</x:v>
      </x:c>
      <x:c r="T165" s="34" t="n">
        <x:v>453.004224</x:v>
      </x:c>
      <x:c r="U165" s="34" t="str">
        <x:v>POS-GWY-E:H2_DRI_EAF:2037|POS-GWY-EAF:EAF_RENEWABLE:2033|POS-GWY-W:SCRAP_EAF:2035|POS-POH-N:H2_DRI_EAF:2029|POS-POH-S:H2_DRI_EAF:2032</x:v>
      </x:c>
      <x:c r="V165" s="34" t="str">
        <x:v>model_generated_candidate</x:v>
      </x:c>
      <x:c r="W165" s="34" t="str">
        <x:v>Generated from disclosed-path facility calendar, technology set and template contracting assumptions; not a company-announced project</x:v>
      </x:c>
    </x:row>
    <x:row r="166">
      <x:c r="A166" s="34" t="str">
        <x:v>CAND-C5C95C9095B035</x:v>
      </x:c>
      <x:c r="B166" s="34" t="str">
        <x:v>POSCO_KR</x:v>
      </x:c>
      <x:c r="C166" s="34" t="str">
        <x:v>POSCO</x:v>
      </x:c>
      <x:c r="D166" s="34" t="str">
        <x:v>P2</x:v>
      </x:c>
      <x:c r="E166" s="34" t="str">
        <x:v>지연·부분헤지</x:v>
      </x:c>
      <x:c r="F166" s="34" t="str">
        <x:v>PORT-0DA980ACBA29</x:v>
      </x:c>
      <x:c r="G166" s="34" t="str">
        <x:v>DISCLOSED_PATH</x:v>
      </x:c>
      <x:c r="H166" s="34" t="n">
        <x:v>5</x:v>
      </x:c>
      <x:c r="I166" s="34" t="n">
        <x:v>2029</x:v>
      </x:c>
      <x:c r="J166" s="34" t="n">
        <x:v>2037</x:v>
      </x:c>
      <x:c r="K166" s="34" t="n">
        <x:v>0.275401</x:v>
      </x:c>
      <x:c r="L166" s="34" t="n">
        <x:v>0.494652</x:v>
      </x:c>
      <x:c r="M166" s="34" t="n">
        <x:v>0.197861</x:v>
      </x:c>
      <x:c r="N166" s="34" t="n">
        <x:v>0.032086</x:v>
      </x:c>
      <x:c r="O166" s="34" t="n">
        <x:v>0.15</x:v>
      </x:c>
      <x:c r="P166" s="34" t="n">
        <x:v>0.1</x:v>
      </x:c>
      <x:c r="Q166" s="34" t="n">
        <x:v>0.2</x:v>
      </x:c>
      <x:c r="R166" s="34" t="n">
        <x:v>0.1</x:v>
      </x:c>
      <x:c r="S166" s="34" t="n">
        <x:v>0.01</x:v>
      </x:c>
      <x:c r="T166" s="34" t="n">
        <x:v>365.583855</x:v>
      </x:c>
      <x:c r="U166" s="34" t="str">
        <x:v>POS-GWY-E:BF_RELINE:2037|POS-GWY-EAF:EAF_RENEWABLE:2033|POS-GWY-W:SCRAP_EAF:2035|POS-POH-N:SCRAP_EAF:2029|POS-POH-S:H2_DRI_EAF:2032</x:v>
      </x:c>
      <x:c r="V166" s="34" t="str">
        <x:v>model_generated_candidate</x:v>
      </x:c>
      <x:c r="W166" s="34" t="str">
        <x:v>Generated from disclosed-path facility calendar, technology set and template contracting assumptions; not a company-announced project</x:v>
      </x:c>
    </x:row>
    <x:row r="167">
      <x:c r="A167" s="34" t="str">
        <x:v>CAND-C64BDCC5AC00A1</x:v>
      </x:c>
      <x:c r="B167" s="34" t="str">
        <x:v>POSCO_KR</x:v>
      </x:c>
      <x:c r="C167" s="34" t="str">
        <x:v>POSCO</x:v>
      </x:c>
      <x:c r="D167" s="34" t="str">
        <x:v>P4</x:v>
      </x:c>
      <x:c r="E167" s="34" t="str">
        <x:v>균형형 전환</x:v>
      </x:c>
      <x:c r="F167" s="34" t="str">
        <x:v>PORT-55C806ADE1CE</x:v>
      </x:c>
      <x:c r="G167" s="34" t="str">
        <x:v>DISCLOSED_PATH</x:v>
      </x:c>
      <x:c r="H167" s="34" t="n">
        <x:v>5</x:v>
      </x:c>
      <x:c r="I167" s="34" t="n">
        <x:v>2028</x:v>
      </x:c>
      <x:c r="J167" s="34" t="n">
        <x:v>2036</x:v>
      </x:c>
      <x:c r="K167" s="34" t="n">
        <x:v>0</x:v>
      </x:c>
      <x:c r="L167" s="34" t="n">
        <x:v>0.197861</x:v>
      </x:c>
      <x:c r="M167" s="34" t="n">
        <x:v>0.770053</x:v>
      </x:c>
      <x:c r="N167" s="34" t="n">
        <x:v>0.032086</x:v>
      </x:c>
      <x:c r="O167" s="34" t="n">
        <x:v>0.5</x:v>
      </x:c>
      <x:c r="P167" s="34" t="n">
        <x:v>0.45</x:v>
      </x:c>
      <x:c r="Q167" s="34" t="n">
        <x:v>0.5</x:v>
      </x:c>
      <x:c r="R167" s="34" t="n">
        <x:v>0.4</x:v>
      </x:c>
      <x:c r="S167" s="34" t="n">
        <x:v>0.02</x:v>
      </x:c>
      <x:c r="T167" s="34" t="n">
        <x:v>513.306251</x:v>
      </x:c>
      <x:c r="U167" s="34" t="str">
        <x:v>POS-GWY-E:H2_DRI_EAF:2036|POS-GWY-EAF:EAF_RENEWABLE:2032|POS-GWY-W:H2_DRI_EAF:2034|POS-POH-N:H2_DRI_EAF:2028|POS-POH-S:SCRAP_EAF:2031</x:v>
      </x:c>
      <x:c r="V167" s="34" t="str">
        <x:v>model_generated_candidate</x:v>
      </x:c>
      <x:c r="W167" s="34" t="str">
        <x:v>Generated from disclosed-path facility calendar, technology set and template contracting assumptions; not a company-announced project</x:v>
      </x:c>
    </x:row>
    <x:row r="168">
      <x:c r="A168" s="34" t="str">
        <x:v>CAND-C8332513BB985B</x:v>
      </x:c>
      <x:c r="B168" s="34" t="str">
        <x:v>POSCO_KR</x:v>
      </x:c>
      <x:c r="C168" s="34" t="str">
        <x:v>POSCO</x:v>
      </x:c>
      <x:c r="D168" s="34" t="str">
        <x:v>P2</x:v>
      </x:c>
      <x:c r="E168" s="34" t="str">
        <x:v>지연·부분헤지</x:v>
      </x:c>
      <x:c r="F168" s="34" t="str">
        <x:v>PORT-CA761749FFB1</x:v>
      </x:c>
      <x:c r="G168" s="34" t="str">
        <x:v>DISCLOSED_PATH</x:v>
      </x:c>
      <x:c r="H168" s="34" t="n">
        <x:v>5</x:v>
      </x:c>
      <x:c r="I168" s="34" t="n">
        <x:v>2029</x:v>
      </x:c>
      <x:c r="J168" s="34" t="n">
        <x:v>2037</x:v>
      </x:c>
      <x:c r="K168" s="34" t="n">
        <x:v>0.219251</x:v>
      </x:c>
      <x:c r="L168" s="34" t="n">
        <x:v>0.473262</x:v>
      </x:c>
      <x:c r="M168" s="34" t="n">
        <x:v>0.275401</x:v>
      </x:c>
      <x:c r="N168" s="34" t="n">
        <x:v>0.032086</x:v>
      </x:c>
      <x:c r="O168" s="34" t="n">
        <x:v>0.15</x:v>
      </x:c>
      <x:c r="P168" s="34" t="n">
        <x:v>0.1</x:v>
      </x:c>
      <x:c r="Q168" s="34" t="n">
        <x:v>0.2</x:v>
      </x:c>
      <x:c r="R168" s="34" t="n">
        <x:v>0.1</x:v>
      </x:c>
      <x:c r="S168" s="34" t="n">
        <x:v>0.01</x:v>
      </x:c>
      <x:c r="T168" s="34" t="n">
        <x:v>287.411269</x:v>
      </x:c>
      <x:c r="U168" s="34" t="str">
        <x:v>POS-GWY-E:SCRAP_EAF:2037|POS-GWY-EAF:EAF_RENEWABLE:2033|POS-GWY-W:H2_DRI_EAF:2035|POS-POH-N:BF_RELINE:2029|POS-POH-S:SCRAP_EAF:2032</x:v>
      </x:c>
      <x:c r="V168" s="34" t="str">
        <x:v>model_generated_candidate</x:v>
      </x:c>
      <x:c r="W168" s="34" t="str">
        <x:v>Generated from disclosed-path facility calendar, technology set and template contracting assumptions; not a company-announced project</x:v>
      </x:c>
    </x:row>
    <x:row r="169">
      <x:c r="A169" s="34" t="str">
        <x:v>CAND-C87A358483487F</x:v>
      </x:c>
      <x:c r="B169" s="34" t="str">
        <x:v>POSCO_KR</x:v>
      </x:c>
      <x:c r="C169" s="34" t="str">
        <x:v>POSCO</x:v>
      </x:c>
      <x:c r="D169" s="34" t="str">
        <x:v>P5</x:v>
      </x:c>
      <x:c r="E169" s="34" t="str">
        <x:v>조기 계약형 전환</x:v>
      </x:c>
      <x:c r="F169" s="34" t="str">
        <x:v>PORT-0A659009CEAA</x:v>
      </x:c>
      <x:c r="G169" s="34" t="str">
        <x:v>DISCLOSED_PATH</x:v>
      </x:c>
      <x:c r="H169" s="34" t="n">
        <x:v>5</x:v>
      </x:c>
      <x:c r="I169" s="34" t="n">
        <x:v>2028</x:v>
      </x:c>
      <x:c r="J169" s="34" t="n">
        <x:v>2036</x:v>
      </x:c>
      <x:c r="K169" s="34" t="n">
        <x:v>0</x:v>
      </x:c>
      <x:c r="L169" s="34" t="n">
        <x:v>0.275401</x:v>
      </x:c>
      <x:c r="M169" s="34" t="n">
        <x:v>0.692513</x:v>
      </x:c>
      <x:c r="N169" s="34" t="n">
        <x:v>0.032086</x:v>
      </x:c>
      <x:c r="O169" s="34" t="n">
        <x:v>0.7</x:v>
      </x:c>
      <x:c r="P169" s="34" t="n">
        <x:v>0.65</x:v>
      </x:c>
      <x:c r="Q169" s="34" t="n">
        <x:v>0.65</x:v>
      </x:c>
      <x:c r="R169" s="34" t="n">
        <x:v>0.6</x:v>
      </x:c>
      <x:c r="S169" s="34" t="n">
        <x:v>0.025</x:v>
      </x:c>
      <x:c r="T169" s="34" t="n">
        <x:v>518.427508</x:v>
      </x:c>
      <x:c r="U169" s="34" t="str">
        <x:v>POS-GWY-E:SCRAP_EAF:2036|POS-GWY-EAF:EAF_RENEWABLE:2032|POS-GWY-W:H2_DRI_EAF:2034|POS-POH-N:H2_DRI_EAF:2028|POS-POH-S:H2_DRI_EAF:2031</x:v>
      </x:c>
      <x:c r="V169" s="34" t="str">
        <x:v>model_generated_candidate</x:v>
      </x:c>
      <x:c r="W169" s="34" t="str">
        <x:v>Generated from disclosed-path facility calendar, technology set and template contracting assumptions; not a company-announced project</x:v>
      </x:c>
    </x:row>
    <x:row r="170">
      <x:c r="A170" s="34" t="str">
        <x:v>CAND-C91F49A4372D16</x:v>
      </x:c>
      <x:c r="B170" s="34" t="str">
        <x:v>POSCO_KR</x:v>
      </x:c>
      <x:c r="C170" s="34" t="str">
        <x:v>POSCO</x:v>
      </x:c>
      <x:c r="D170" s="34" t="str">
        <x:v>P3</x:v>
      </x:c>
      <x:c r="E170" s="34" t="str">
        <x:v>균형형 라이트헤지</x:v>
      </x:c>
      <x:c r="F170" s="34" t="str">
        <x:v>PORT-AD0B41B0F73F</x:v>
      </x:c>
      <x:c r="G170" s="34" t="str">
        <x:v>DISCLOSED_PATH</x:v>
      </x:c>
      <x:c r="H170" s="34" t="n">
        <x:v>5</x:v>
      </x:c>
      <x:c r="I170" s="34" t="n">
        <x:v>2029</x:v>
      </x:c>
      <x:c r="J170" s="34" t="n">
        <x:v>2037</x:v>
      </x:c>
      <x:c r="K170" s="34" t="n">
        <x:v>0.417112</x:v>
      </x:c>
      <x:c r="L170" s="34" t="n">
        <x:v>0</x:v>
      </x:c>
      <x:c r="M170" s="34" t="n">
        <x:v>0.550802</x:v>
      </x:c>
      <x:c r="N170" s="34" t="n">
        <x:v>0.032086</x:v>
      </x:c>
      <x:c r="O170" s="34" t="n">
        <x:v>0.3</x:v>
      </x:c>
      <x:c r="P170" s="34" t="n">
        <x:v>0.25</x:v>
      </x:c>
      <x:c r="Q170" s="34" t="n">
        <x:v>0.35</x:v>
      </x:c>
      <x:c r="R170" s="34" t="n">
        <x:v>0.25</x:v>
      </x:c>
      <x:c r="S170" s="34" t="n">
        <x:v>0.015</x:v>
      </x:c>
      <x:c r="T170" s="34" t="n">
        <x:v>208.174258</x:v>
      </x:c>
      <x:c r="U170" s="34" t="str">
        <x:v>POS-GWY-E:H2_DRI_EAF:2037|POS-GWY-EAF:EAF_RENEWABLE:2033|POS-GWY-W:H2_DRI_EAF:2035|POS-POH-N:BF_RELINE:2029|POS-POH-S:BF_RELINE:2032</x:v>
      </x:c>
      <x:c r="V170" s="34" t="str">
        <x:v>model_generated_candidate</x:v>
      </x:c>
      <x:c r="W170" s="34" t="str">
        <x:v>Generated from disclosed-path facility calendar, technology set and template contracting assumptions; not a company-announced project</x:v>
      </x:c>
    </x:row>
    <x:row r="171">
      <x:c r="A171" s="34" t="str">
        <x:v>CAND-C9724A8933A429</x:v>
      </x:c>
      <x:c r="B171" s="34" t="str">
        <x:v>POSCO_KR</x:v>
      </x:c>
      <x:c r="C171" s="34" t="str">
        <x:v>POSCO</x:v>
      </x:c>
      <x:c r="D171" s="34" t="str">
        <x:v>P1</x:v>
      </x:c>
      <x:c r="E171" s="34" t="str">
        <x:v>지연·현물조달</x:v>
      </x:c>
      <x:c r="F171" s="34" t="str">
        <x:v>PORT-8826D0B469EE</x:v>
      </x:c>
      <x:c r="G171" s="34" t="str">
        <x:v>DISCLOSED_PATH</x:v>
      </x:c>
      <x:c r="H171" s="34" t="n">
        <x:v>5</x:v>
      </x:c>
      <x:c r="I171" s="34" t="n">
        <x:v>2029</x:v>
      </x:c>
      <x:c r="J171" s="34" t="n">
        <x:v>2037</x:v>
      </x:c>
      <x:c r="K171" s="34" t="n">
        <x:v>0</x:v>
      </x:c>
      <x:c r="L171" s="34" t="n">
        <x:v>0.417112</x:v>
      </x:c>
      <x:c r="M171" s="34" t="n">
        <x:v>0.550802</x:v>
      </x:c>
      <x:c r="N171" s="34" t="n">
        <x:v>0.032086</x:v>
      </x:c>
      <x:c r="O171" s="34" t="n">
        <x:v>0</x:v>
      </x:c>
      <x:c r="P171" s="34" t="n">
        <x:v>0</x:v>
      </x:c>
      <x:c r="Q171" s="34" t="n">
        <x:v>0.1</x:v>
      </x:c>
      <x:c r="R171" s="34" t="n">
        <x:v>0</x:v>
      </x:c>
      <x:c r="S171" s="34" t="n">
        <x:v>0</x:v>
      </x:c>
      <x:c r="T171" s="34" t="n">
        <x:v>429.154227</x:v>
      </x:c>
      <x:c r="U171" s="34" t="str">
        <x:v>POS-GWY-E:H2_DRI_EAF:2037|POS-GWY-EAF:EAF_RENEWABLE:2033|POS-GWY-W:H2_DRI_EAF:2035|POS-POH-N:SCRAP_EAF:2029|POS-POH-S:SCRAP_EAF:2032</x:v>
      </x:c>
      <x:c r="V171" s="34" t="str">
        <x:v>model_generated_candidate</x:v>
      </x:c>
      <x:c r="W171" s="34" t="str">
        <x:v>Generated from disclosed-path facility calendar, technology set and template contracting assumptions; not a company-announced project</x:v>
      </x:c>
    </x:row>
    <x:row r="172">
      <x:c r="A172" s="34" t="str">
        <x:v>CAND-C97B39B7D1F044</x:v>
      </x:c>
      <x:c r="B172" s="34" t="str">
        <x:v>POSCO_KR</x:v>
      </x:c>
      <x:c r="C172" s="34" t="str">
        <x:v>POSCO</x:v>
      </x:c>
      <x:c r="D172" s="34" t="str">
        <x:v>P5</x:v>
      </x:c>
      <x:c r="E172" s="34" t="str">
        <x:v>조기 계약형 전환</x:v>
      </x:c>
      <x:c r="F172" s="34" t="str">
        <x:v>PORT-CE86444A20D7</x:v>
      </x:c>
      <x:c r="G172" s="34" t="str">
        <x:v>DISCLOSED_PATH</x:v>
      </x:c>
      <x:c r="H172" s="34" t="n">
        <x:v>5</x:v>
      </x:c>
      <x:c r="I172" s="34" t="n">
        <x:v>2028</x:v>
      </x:c>
      <x:c r="J172" s="34" t="n">
        <x:v>2036</x:v>
      </x:c>
      <x:c r="K172" s="34" t="n">
        <x:v>0</x:v>
      </x:c>
      <x:c r="L172" s="34" t="n">
        <x:v>0.275401</x:v>
      </x:c>
      <x:c r="M172" s="34" t="n">
        <x:v>0.692513</x:v>
      </x:c>
      <x:c r="N172" s="34" t="n">
        <x:v>0.032086</x:v>
      </x:c>
      <x:c r="O172" s="34" t="n">
        <x:v>0.7</x:v>
      </x:c>
      <x:c r="P172" s="34" t="n">
        <x:v>0.65</x:v>
      </x:c>
      <x:c r="Q172" s="34" t="n">
        <x:v>0.65</x:v>
      </x:c>
      <x:c r="R172" s="34" t="n">
        <x:v>0.6</x:v>
      </x:c>
      <x:c r="S172" s="34" t="n">
        <x:v>0.025</x:v>
      </x:c>
      <x:c r="T172" s="34" t="n">
        <x:v>513.681255</x:v>
      </x:c>
      <x:c r="U172" s="34" t="str">
        <x:v>POS-GWY-E:H2_DRI_EAF:2036|POS-GWY-EAF:EAF_RENEWABLE:2032|POS-GWY-W:SCRAP_EAF:2034|POS-POH-N:H2_DRI_EAF:2028|POS-POH-S:H2_DRI_EAF:2031</x:v>
      </x:c>
      <x:c r="V172" s="34" t="str">
        <x:v>model_generated_candidate</x:v>
      </x:c>
      <x:c r="W172" s="34" t="str">
        <x:v>Generated from disclosed-path facility calendar, technology set and template contracting assumptions; not a company-announced project</x:v>
      </x:c>
    </x:row>
    <x:row r="173">
      <x:c r="A173" s="34" t="str">
        <x:v>CAND-CD94A69F094896</x:v>
      </x:c>
      <x:c r="B173" s="34" t="str">
        <x:v>POSCO_KR</x:v>
      </x:c>
      <x:c r="C173" s="34" t="str">
        <x:v>POSCO</x:v>
      </x:c>
      <x:c r="D173" s="34" t="str">
        <x:v>P2</x:v>
      </x:c>
      <x:c r="E173" s="34" t="str">
        <x:v>지연·부분헤지</x:v>
      </x:c>
      <x:c r="F173" s="34" t="str">
        <x:v>PORT-8378A8ACBA64</x:v>
      </x:c>
      <x:c r="G173" s="34" t="str">
        <x:v>DISCLOSED_PATH</x:v>
      </x:c>
      <x:c r="H173" s="34" t="n">
        <x:v>5</x:v>
      </x:c>
      <x:c r="I173" s="34" t="n">
        <x:v>2029</x:v>
      </x:c>
      <x:c r="J173" s="34" t="n">
        <x:v>2037</x:v>
      </x:c>
      <x:c r="K173" s="34" t="n">
        <x:v>0.473262</x:v>
      </x:c>
      <x:c r="L173" s="34" t="n">
        <x:v>0.219251</x:v>
      </x:c>
      <x:c r="M173" s="34" t="n">
        <x:v>0.275401</x:v>
      </x:c>
      <x:c r="N173" s="34" t="n">
        <x:v>0.032086</x:v>
      </x:c>
      <x:c r="O173" s="34" t="n">
        <x:v>0.15</x:v>
      </x:c>
      <x:c r="P173" s="34" t="n">
        <x:v>0.1</x:v>
      </x:c>
      <x:c r="Q173" s="34" t="n">
        <x:v>0.2</x:v>
      </x:c>
      <x:c r="R173" s="34" t="n">
        <x:v>0.1</x:v>
      </x:c>
      <x:c r="S173" s="34" t="n">
        <x:v>0.01</x:v>
      </x:c>
      <x:c r="T173" s="34" t="n">
        <x:v>275.793845</x:v>
      </x:c>
      <x:c r="U173" s="34" t="str">
        <x:v>POS-GWY-E:BF_RELINE:2037|POS-GWY-EAF:EAF_RENEWABLE:2033|POS-GWY-W:H2_DRI_EAF:2035|POS-POH-N:SCRAP_EAF:2029|POS-POH-S:BF_RELINE:2032</x:v>
      </x:c>
      <x:c r="V173" s="34" t="str">
        <x:v>model_generated_candidate</x:v>
      </x:c>
      <x:c r="W173" s="34" t="str">
        <x:v>Generated from disclosed-path facility calendar, technology set and template contracting assumptions; not a company-announced project</x:v>
      </x:c>
    </x:row>
    <x:row r="174">
      <x:c r="A174" s="34" t="str">
        <x:v>CAND-CFB41383097552</x:v>
      </x:c>
      <x:c r="B174" s="34" t="str">
        <x:v>POSCO_KR</x:v>
      </x:c>
      <x:c r="C174" s="34" t="str">
        <x:v>POSCO</x:v>
      </x:c>
      <x:c r="D174" s="34" t="str">
        <x:v>P1</x:v>
      </x:c>
      <x:c r="E174" s="34" t="str">
        <x:v>지연·현물조달</x:v>
      </x:c>
      <x:c r="F174" s="34" t="str">
        <x:v>PORT-83A899345F31</x:v>
      </x:c>
      <x:c r="G174" s="34" t="str">
        <x:v>DISCLOSED_PATH</x:v>
      </x:c>
      <x:c r="H174" s="34" t="n">
        <x:v>5</x:v>
      </x:c>
      <x:c r="I174" s="34" t="n">
        <x:v>2029</x:v>
      </x:c>
      <x:c r="J174" s="34" t="n">
        <x:v>2037</x:v>
      </x:c>
      <x:c r="K174" s="34" t="n">
        <x:v>0.494652</x:v>
      </x:c>
      <x:c r="L174" s="34" t="n">
        <x:v>0</x:v>
      </x:c>
      <x:c r="M174" s="34" t="n">
        <x:v>0.473262</x:v>
      </x:c>
      <x:c r="N174" s="34" t="n">
        <x:v>0.032086</x:v>
      </x:c>
      <x:c r="O174" s="34" t="n">
        <x:v>0</x:v>
      </x:c>
      <x:c r="P174" s="34" t="n">
        <x:v>0</x:v>
      </x:c>
      <x:c r="Q174" s="34" t="n">
        <x:v>0.1</x:v>
      </x:c>
      <x:c r="R174" s="34" t="n">
        <x:v>0</x:v>
      </x:c>
      <x:c r="S174" s="34" t="n">
        <x:v>0</x:v>
      </x:c>
      <x:c r="T174" s="34" t="n">
        <x:v>215.314277</x:v>
      </x:c>
      <x:c r="U174" s="34" t="str">
        <x:v>POS-GWY-E:H2_DRI_EAF:2037|POS-GWY-EAF:EAF_RENEWABLE:2033|POS-GWY-W:BF_RELINE:2035|POS-POH-N:BF_RELINE:2029|POS-POH-S:H2_DRI_EAF:2032</x:v>
      </x:c>
      <x:c r="V174" s="34" t="str">
        <x:v>model_generated_candidate</x:v>
      </x:c>
      <x:c r="W174" s="34" t="str">
        <x:v>Generated from disclosed-path facility calendar, technology set and template contracting assumptions; not a company-announced project</x:v>
      </x:c>
    </x:row>
    <x:row r="175">
      <x:c r="A175" s="34" t="str">
        <x:v>CAND-D1485F524AADCE</x:v>
      </x:c>
      <x:c r="B175" s="34" t="str">
        <x:v>POSCO_KR</x:v>
      </x:c>
      <x:c r="C175" s="34" t="str">
        <x:v>POSCO</x:v>
      </x:c>
      <x:c r="D175" s="34" t="str">
        <x:v>P1</x:v>
      </x:c>
      <x:c r="E175" s="34" t="str">
        <x:v>지연·현물조달</x:v>
      </x:c>
      <x:c r="F175" s="34" t="str">
        <x:v>PORT-0442454A7656</x:v>
      </x:c>
      <x:c r="G175" s="34" t="str">
        <x:v>DISCLOSED_PATH</x:v>
      </x:c>
      <x:c r="H175" s="34" t="n">
        <x:v>5</x:v>
      </x:c>
      <x:c r="I175" s="34" t="n">
        <x:v>2029</x:v>
      </x:c>
      <x:c r="J175" s="34" t="n">
        <x:v>2037</x:v>
      </x:c>
      <x:c r="K175" s="34" t="n">
        <x:v>0.473262</x:v>
      </x:c>
      <x:c r="L175" s="34" t="n">
        <x:v>0.275401</x:v>
      </x:c>
      <x:c r="M175" s="34" t="n">
        <x:v>0.219251</x:v>
      </x:c>
      <x:c r="N175" s="34" t="n">
        <x:v>0.032086</x:v>
      </x:c>
      <x:c r="O175" s="34" t="n">
        <x:v>0</x:v>
      </x:c>
      <x:c r="P175" s="34" t="n">
        <x:v>0</x:v>
      </x:c>
      <x:c r="Q175" s="34" t="n">
        <x:v>0.1</x:v>
      </x:c>
      <x:c r="R175" s="34" t="n">
        <x:v>0</x:v>
      </x:c>
      <x:c r="S175" s="34" t="n">
        <x:v>0</x:v>
      </x:c>
      <x:c r="T175" s="34" t="n">
        <x:v>256.811227</x:v>
      </x:c>
      <x:c r="U175" s="34" t="str">
        <x:v>POS-GWY-E:SCRAP_EAF:2037|POS-GWY-EAF:EAF_RENEWABLE:2033|POS-GWY-W:BF_RELINE:2035|POS-POH-N:H2_DRI_EAF:2029|POS-POH-S:BF_RELINE:2032</x:v>
      </x:c>
      <x:c r="V175" s="34" t="str">
        <x:v>model_generated_candidate</x:v>
      </x:c>
      <x:c r="W175" s="34" t="str">
        <x:v>Generated from disclosed-path facility calendar, technology set and template contracting assumptions; not a company-announced project</x:v>
      </x:c>
    </x:row>
    <x:row r="176">
      <x:c r="A176" s="34" t="str">
        <x:v>CAND-D2B7941001DB32</x:v>
      </x:c>
      <x:c r="B176" s="34" t="str">
        <x:v>POSCO_KR</x:v>
      </x:c>
      <x:c r="C176" s="34" t="str">
        <x:v>POSCO</x:v>
      </x:c>
      <x:c r="D176" s="34" t="str">
        <x:v>P3</x:v>
      </x:c>
      <x:c r="E176" s="34" t="str">
        <x:v>균형형 라이트헤지</x:v>
      </x:c>
      <x:c r="F176" s="34" t="str">
        <x:v>PORT-6B1E9B74730C</x:v>
      </x:c>
      <x:c r="G176" s="34" t="str">
        <x:v>DISCLOSED_PATH</x:v>
      </x:c>
      <x:c r="H176" s="34" t="n">
        <x:v>5</x:v>
      </x:c>
      <x:c r="I176" s="34" t="n">
        <x:v>2029</x:v>
      </x:c>
      <x:c r="J176" s="34" t="n">
        <x:v>2037</x:v>
      </x:c>
      <x:c r="K176" s="34" t="n">
        <x:v>0</x:v>
      </x:c>
      <x:c r="L176" s="34" t="n">
        <x:v>0.275401</x:v>
      </x:c>
      <x:c r="M176" s="34" t="n">
        <x:v>0.692513</x:v>
      </x:c>
      <x:c r="N176" s="34" t="n">
        <x:v>0.032086</x:v>
      </x:c>
      <x:c r="O176" s="34" t="n">
        <x:v>0.3</x:v>
      </x:c>
      <x:c r="P176" s="34" t="n">
        <x:v>0.25</x:v>
      </x:c>
      <x:c r="Q176" s="34" t="n">
        <x:v>0.35</x:v>
      </x:c>
      <x:c r="R176" s="34" t="n">
        <x:v>0.25</x:v>
      </x:c>
      <x:c r="S176" s="34" t="n">
        <x:v>0.015</x:v>
      </x:c>
      <x:c r="T176" s="34" t="n">
        <x:v>457.751226</x:v>
      </x:c>
      <x:c r="U176" s="34" t="str">
        <x:v>POS-GWY-E:SCRAP_EAF:2037|POS-GWY-EAF:EAF_RENEWABLE:2033|POS-GWY-W:H2_DRI_EAF:2035|POS-POH-N:H2_DRI_EAF:2029|POS-POH-S:H2_DRI_EAF:2032</x:v>
      </x:c>
      <x:c r="V176" s="34" t="str">
        <x:v>model_generated_candidate</x:v>
      </x:c>
      <x:c r="W176" s="34" t="str">
        <x:v>Generated from disclosed-path facility calendar, technology set and template contracting assumptions; not a company-announced project</x:v>
      </x:c>
    </x:row>
    <x:row r="177">
      <x:c r="A177" s="34" t="str">
        <x:v>CAND-D474BBC66D4C3C</x:v>
      </x:c>
      <x:c r="B177" s="34" t="str">
        <x:v>POSCO_KR</x:v>
      </x:c>
      <x:c r="C177" s="34" t="str">
        <x:v>POSCO</x:v>
      </x:c>
      <x:c r="D177" s="34" t="str">
        <x:v>P1</x:v>
      </x:c>
      <x:c r="E177" s="34" t="str">
        <x:v>지연·현물조달</x:v>
      </x:c>
      <x:c r="F177" s="34" t="str">
        <x:v>PORT-CEF57596D771</x:v>
      </x:c>
      <x:c r="G177" s="34" t="str">
        <x:v>DISCLOSED_PATH</x:v>
      </x:c>
      <x:c r="H177" s="34" t="n">
        <x:v>5</x:v>
      </x:c>
      <x:c r="I177" s="34" t="n">
        <x:v>2029</x:v>
      </x:c>
      <x:c r="J177" s="34" t="n">
        <x:v>2037</x:v>
      </x:c>
      <x:c r="K177" s="34" t="n">
        <x:v>0.275401</x:v>
      </x:c>
      <x:c r="L177" s="34" t="n">
        <x:v>0.417112</x:v>
      </x:c>
      <x:c r="M177" s="34" t="n">
        <x:v>0.275401</x:v>
      </x:c>
      <x:c r="N177" s="34" t="n">
        <x:v>0.032086</x:v>
      </x:c>
      <x:c r="O177" s="34" t="n">
        <x:v>0</x:v>
      </x:c>
      <x:c r="P177" s="34" t="n">
        <x:v>0</x:v>
      </x:c>
      <x:c r="Q177" s="34" t="n">
        <x:v>0.1</x:v>
      </x:c>
      <x:c r="R177" s="34" t="n">
        <x:v>0</x:v>
      </x:c>
      <x:c r="S177" s="34" t="n">
        <x:v>0</x:v>
      </x:c>
      <x:c r="T177" s="34" t="n">
        <x:v>332.254237</x:v>
      </x:c>
      <x:c r="U177" s="34" t="str">
        <x:v>POS-GWY-E:H2_DRI_EAF:2037|POS-GWY-EAF:EAF_RENEWABLE:2033|POS-GWY-W:BF_RELINE:2035|POS-POH-N:SCRAP_EAF:2029|POS-POH-S:SCRAP_EAF:2032</x:v>
      </x:c>
      <x:c r="V177" s="34" t="str">
        <x:v>model_generated_candidate</x:v>
      </x:c>
      <x:c r="W177" s="34" t="str">
        <x:v>Generated from disclosed-path facility calendar, technology set and template contracting assumptions; not a company-announced project</x:v>
      </x:c>
    </x:row>
    <x:row r="178">
      <x:c r="A178" s="34" t="str">
        <x:v>CAND-D67549EC3DAD21</x:v>
      </x:c>
      <x:c r="B178" s="34" t="str">
        <x:v>POSCO_KR</x:v>
      </x:c>
      <x:c r="C178" s="34" t="str">
        <x:v>POSCO</x:v>
      </x:c>
      <x:c r="D178" s="34" t="str">
        <x:v>P1</x:v>
      </x:c>
      <x:c r="E178" s="34" t="str">
        <x:v>지연·현물조달</x:v>
      </x:c>
      <x:c r="F178" s="34" t="str">
        <x:v>PORT-9D42DCC7C1C0</x:v>
      </x:c>
      <x:c r="G178" s="34" t="str">
        <x:v>DISCLOSED_PATH</x:v>
      </x:c>
      <x:c r="H178" s="34" t="n">
        <x:v>5</x:v>
      </x:c>
      <x:c r="I178" s="34" t="n">
        <x:v>2029</x:v>
      </x:c>
      <x:c r="J178" s="34" t="n">
        <x:v>2037</x:v>
      </x:c>
      <x:c r="K178" s="34" t="n">
        <x:v>0.275401</x:v>
      </x:c>
      <x:c r="L178" s="34" t="n">
        <x:v>0.197861</x:v>
      </x:c>
      <x:c r="M178" s="34" t="n">
        <x:v>0.494652</x:v>
      </x:c>
      <x:c r="N178" s="34" t="n">
        <x:v>0.032086</x:v>
      </x:c>
      <x:c r="O178" s="34" t="n">
        <x:v>0</x:v>
      </x:c>
      <x:c r="P178" s="34" t="n">
        <x:v>0</x:v>
      </x:c>
      <x:c r="Q178" s="34" t="n">
        <x:v>0.1</x:v>
      </x:c>
      <x:c r="R178" s="34" t="n">
        <x:v>0</x:v>
      </x:c>
      <x:c r="S178" s="34" t="n">
        <x:v>0</x:v>
      </x:c>
      <x:c r="T178" s="34" t="n">
        <x:v>355.054231</x:v>
      </x:c>
      <x:c r="U178" s="34" t="str">
        <x:v>POS-GWY-E:H2_DRI_EAF:2037|POS-GWY-EAF:EAF_RENEWABLE:2033|POS-GWY-W:BF_RELINE:2035|POS-POH-N:H2_DRI_EAF:2029|POS-POH-S:SCRAP_EAF:2032</x:v>
      </x:c>
      <x:c r="V178" s="34" t="str">
        <x:v>model_generated_candidate</x:v>
      </x:c>
      <x:c r="W178" s="34" t="str">
        <x:v>Generated from disclosed-path facility calendar, technology set and template contracting assumptions; not a company-announced project</x:v>
      </x:c>
    </x:row>
    <x:row r="179">
      <x:c r="A179" s="34" t="str">
        <x:v>CAND-D69D7DFF336D6C</x:v>
      </x:c>
      <x:c r="B179" s="34" t="str">
        <x:v>POSCO_KR</x:v>
      </x:c>
      <x:c r="C179" s="34" t="str">
        <x:v>POSCO</x:v>
      </x:c>
      <x:c r="D179" s="34" t="str">
        <x:v>P2</x:v>
      </x:c>
      <x:c r="E179" s="34" t="str">
        <x:v>지연·부분헤지</x:v>
      </x:c>
      <x:c r="F179" s="34" t="str">
        <x:v>PORT-E6131070E165</x:v>
      </x:c>
      <x:c r="G179" s="34" t="str">
        <x:v>DISCLOSED_PATH</x:v>
      </x:c>
      <x:c r="H179" s="34" t="n">
        <x:v>5</x:v>
      </x:c>
      <x:c r="I179" s="34" t="n">
        <x:v>2029</x:v>
      </x:c>
      <x:c r="J179" s="34" t="n">
        <x:v>2037</x:v>
      </x:c>
      <x:c r="K179" s="34" t="n">
        <x:v>0.219251</x:v>
      </x:c>
      <x:c r="L179" s="34" t="n">
        <x:v>0.275401</x:v>
      </x:c>
      <x:c r="M179" s="34" t="n">
        <x:v>0.473262</x:v>
      </x:c>
      <x:c r="N179" s="34" t="n">
        <x:v>0.032086</x:v>
      </x:c>
      <x:c r="O179" s="34" t="n">
        <x:v>0.15</x:v>
      </x:c>
      <x:c r="P179" s="34" t="n">
        <x:v>0.1</x:v>
      </x:c>
      <x:c r="Q179" s="34" t="n">
        <x:v>0.2</x:v>
      </x:c>
      <x:c r="R179" s="34" t="n">
        <x:v>0.1</x:v>
      </x:c>
      <x:c r="S179" s="34" t="n">
        <x:v>0.01</x:v>
      </x:c>
      <x:c r="T179" s="34" t="n">
        <x:v>302.711271</x:v>
      </x:c>
      <x:c r="U179" s="34" t="str">
        <x:v>POS-GWY-E:SCRAP_EAF:2037|POS-GWY-EAF:EAF_RENEWABLE:2033|POS-GWY-W:H2_DRI_EAF:2035|POS-POH-N:BF_RELINE:2029|POS-POH-S:H2_DRI_EAF:2032</x:v>
      </x:c>
      <x:c r="V179" s="34" t="str">
        <x:v>model_generated_candidate</x:v>
      </x:c>
      <x:c r="W179" s="34" t="str">
        <x:v>Generated from disclosed-path facility calendar, technology set and template contracting assumptions; not a company-announced project</x:v>
      </x:c>
    </x:row>
    <x:row r="180">
      <x:c r="A180" s="34" t="str">
        <x:v>CAND-D6DE27D2AACFF9</x:v>
      </x:c>
      <x:c r="B180" s="34" t="str">
        <x:v>POSCO_KR</x:v>
      </x:c>
      <x:c r="C180" s="34" t="str">
        <x:v>POSCO</x:v>
      </x:c>
      <x:c r="D180" s="34" t="str">
        <x:v>P1</x:v>
      </x:c>
      <x:c r="E180" s="34" t="str">
        <x:v>지연·현물조달</x:v>
      </x:c>
      <x:c r="F180" s="34" t="str">
        <x:v>PORT-2E81D74D4102</x:v>
      </x:c>
      <x:c r="G180" s="34" t="str">
        <x:v>DISCLOSED_PATH</x:v>
      </x:c>
      <x:c r="H180" s="34" t="n">
        <x:v>5</x:v>
      </x:c>
      <x:c r="I180" s="34" t="n">
        <x:v>2029</x:v>
      </x:c>
      <x:c r="J180" s="34" t="n">
        <x:v>2037</x:v>
      </x:c>
      <x:c r="K180" s="34" t="n">
        <x:v>0.197861</x:v>
      </x:c>
      <x:c r="L180" s="34" t="n">
        <x:v>0</x:v>
      </x:c>
      <x:c r="M180" s="34" t="n">
        <x:v>0.770053</x:v>
      </x:c>
      <x:c r="N180" s="34" t="n">
        <x:v>0.032086</x:v>
      </x:c>
      <x:c r="O180" s="34" t="n">
        <x:v>0</x:v>
      </x:c>
      <x:c r="P180" s="34" t="n">
        <x:v>0</x:v>
      </x:c>
      <x:c r="Q180" s="34" t="n">
        <x:v>0.1</x:v>
      </x:c>
      <x:c r="R180" s="34" t="n">
        <x:v>0</x:v>
      </x:c>
      <x:c r="S180" s="34" t="n">
        <x:v>0</x:v>
      </x:c>
      <x:c r="T180" s="34" t="n">
        <x:v>363.214213</x:v>
      </x:c>
      <x:c r="U180" s="34" t="str">
        <x:v>POS-GWY-E:H2_DRI_EAF:2037|POS-GWY-EAF:EAF_RENEWABLE:2033|POS-GWY-W:H2_DRI_EAF:2035|POS-POH-N:H2_DRI_EAF:2029|POS-POH-S:BF_RELINE:2032</x:v>
      </x:c>
      <x:c r="V180" s="34" t="str">
        <x:v>model_generated_candidate</x:v>
      </x:c>
      <x:c r="W180" s="34" t="str">
        <x:v>Generated from disclosed-path facility calendar, technology set and template contracting assumptions; not a company-announced project</x:v>
      </x:c>
    </x:row>
    <x:row r="181">
      <x:c r="A181" s="34" t="str">
        <x:v>CAND-D74025CA23BAFB</x:v>
      </x:c>
      <x:c r="B181" s="34" t="str">
        <x:v>POSCO_KR</x:v>
      </x:c>
      <x:c r="C181" s="34" t="str">
        <x:v>POSCO</x:v>
      </x:c>
      <x:c r="D181" s="34" t="str">
        <x:v>P2</x:v>
      </x:c>
      <x:c r="E181" s="34" t="str">
        <x:v>지연·부분헤지</x:v>
      </x:c>
      <x:c r="F181" s="34" t="str">
        <x:v>PORT-21F188D80A9F</x:v>
      </x:c>
      <x:c r="G181" s="34" t="str">
        <x:v>DISCLOSED_PATH</x:v>
      </x:c>
      <x:c r="H181" s="34" t="n">
        <x:v>5</x:v>
      </x:c>
      <x:c r="I181" s="34" t="n">
        <x:v>2029</x:v>
      </x:c>
      <x:c r="J181" s="34" t="n">
        <x:v>2037</x:v>
      </x:c>
      <x:c r="K181" s="34" t="n">
        <x:v>0.275401</x:v>
      </x:c>
      <x:c r="L181" s="34" t="n">
        <x:v>0.275401</x:v>
      </x:c>
      <x:c r="M181" s="34" t="n">
        <x:v>0.417112</x:v>
      </x:c>
      <x:c r="N181" s="34" t="n">
        <x:v>0.032086</x:v>
      </x:c>
      <x:c r="O181" s="34" t="n">
        <x:v>0.15</x:v>
      </x:c>
      <x:c r="P181" s="34" t="n">
        <x:v>0.1</x:v>
      </x:c>
      <x:c r="Q181" s="34" t="n">
        <x:v>0.2</x:v>
      </x:c>
      <x:c r="R181" s="34" t="n">
        <x:v>0.1</x:v>
      </x:c>
      <x:c r="S181" s="34" t="n">
        <x:v>0.01</x:v>
      </x:c>
      <x:c r="T181" s="34" t="n">
        <x:v>360.851236</x:v>
      </x:c>
      <x:c r="U181" s="34" t="str">
        <x:v>POS-GWY-E:SCRAP_EAF:2037|POS-GWY-EAF:EAF_RENEWABLE:2033|POS-GWY-W:BF_RELINE:2035|POS-POH-N:H2_DRI_EAF:2029|POS-POH-S:H2_DRI_EAF:2032</x:v>
      </x:c>
      <x:c r="V181" s="34" t="str">
        <x:v>model_generated_candidate</x:v>
      </x:c>
      <x:c r="W181" s="34" t="str">
        <x:v>Generated from disclosed-path facility calendar, technology set and template contracting assumptions; not a company-announced project</x:v>
      </x:c>
    </x:row>
    <x:row r="182">
      <x:c r="A182" s="34" t="str">
        <x:v>CAND-D7D86A6D194EE1</x:v>
      </x:c>
      <x:c r="B182" s="34" t="str">
        <x:v>POSCO_KR</x:v>
      </x:c>
      <x:c r="C182" s="34" t="str">
        <x:v>POSCO</x:v>
      </x:c>
      <x:c r="D182" s="34" t="str">
        <x:v>P1</x:v>
      </x:c>
      <x:c r="E182" s="34" t="str">
        <x:v>지연·현물조달</x:v>
      </x:c>
      <x:c r="F182" s="34" t="str">
        <x:v>PORT-531165783112</x:v>
      </x:c>
      <x:c r="G182" s="34" t="str">
        <x:v>DISCLOSED_PATH</x:v>
      </x:c>
      <x:c r="H182" s="34" t="n">
        <x:v>5</x:v>
      </x:c>
      <x:c r="I182" s="34" t="n">
        <x:v>2029</x:v>
      </x:c>
      <x:c r="J182" s="34" t="n">
        <x:v>2037</x:v>
      </x:c>
      <x:c r="K182" s="34" t="n">
        <x:v>0.967914</x:v>
      </x:c>
      <x:c r="L182" s="34" t="n">
        <x:v>0</x:v>
      </x:c>
      <x:c r="M182" s="34" t="n">
        <x:v>0</x:v>
      </x:c>
      <x:c r="N182" s="34" t="n">
        <x:v>0.032086</x:v>
      </x:c>
      <x:c r="O182" s="34" t="n">
        <x:v>0</x:v>
      </x:c>
      <x:c r="P182" s="34" t="n">
        <x:v>0</x:v>
      </x:c>
      <x:c r="Q182" s="34" t="n">
        <x:v>0.1</x:v>
      </x:c>
      <x:c r="R182" s="34" t="n">
        <x:v>0</x:v>
      </x:c>
      <x:c r="S182" s="34" t="n">
        <x:v>0</x:v>
      </x:c>
      <x:c r="T182" s="34" t="n">
        <x:v>46.653893</x:v>
      </x:c>
      <x:c r="U182" s="34" t="str">
        <x:v>POS-GWY-E:BF_RELINE:2037|POS-GWY-EAF:EAF_RENEWABLE:2033|POS-GWY-W:BF_RELINE:2035|POS-POH-N:BF_RELINE:2029|POS-POH-S:BF_RELINE:2032</x:v>
      </x:c>
      <x:c r="V182" s="34" t="str">
        <x:v>model_generated_candidate</x:v>
      </x:c>
      <x:c r="W182" s="34" t="str">
        <x:v>Generated from disclosed-path facility calendar, technology set and template contracting assumptions; not a company-announced project</x:v>
      </x:c>
    </x:row>
    <x:row r="183">
      <x:c r="A183" s="34" t="str">
        <x:v>CAND-D7E236596BE226</x:v>
      </x:c>
      <x:c r="B183" s="34" t="str">
        <x:v>POSCO_KR</x:v>
      </x:c>
      <x:c r="C183" s="34" t="str">
        <x:v>POSCO</x:v>
      </x:c>
      <x:c r="D183" s="34" t="str">
        <x:v>P4</x:v>
      </x:c>
      <x:c r="E183" s="34" t="str">
        <x:v>균형형 전환</x:v>
      </x:c>
      <x:c r="F183" s="34" t="str">
        <x:v>PORT-236900EEEBC1</x:v>
      </x:c>
      <x:c r="G183" s="34" t="str">
        <x:v>DISCLOSED_PATH</x:v>
      </x:c>
      <x:c r="H183" s="34" t="n">
        <x:v>5</x:v>
      </x:c>
      <x:c r="I183" s="34" t="n">
        <x:v>2028</x:v>
      </x:c>
      <x:c r="J183" s="34" t="n">
        <x:v>2036</x:v>
      </x:c>
      <x:c r="K183" s="34" t="n">
        <x:v>0.275401</x:v>
      </x:c>
      <x:c r="L183" s="34" t="n">
        <x:v>0.197861</x:v>
      </x:c>
      <x:c r="M183" s="34" t="n">
        <x:v>0.494652</x:v>
      </x:c>
      <x:c r="N183" s="34" t="n">
        <x:v>0.032086</x:v>
      </x:c>
      <x:c r="O183" s="34" t="n">
        <x:v>0.5</x:v>
      </x:c>
      <x:c r="P183" s="34" t="n">
        <x:v>0.45</x:v>
      </x:c>
      <x:c r="Q183" s="34" t="n">
        <x:v>0.5</x:v>
      </x:c>
      <x:c r="R183" s="34" t="n">
        <x:v>0.4</x:v>
      </x:c>
      <x:c r="S183" s="34" t="n">
        <x:v>0.02</x:v>
      </x:c>
      <x:c r="T183" s="34" t="n">
        <x:v>400.256263</x:v>
      </x:c>
      <x:c r="U183" s="34" t="str">
        <x:v>POS-GWY-E:H2_DRI_EAF:2036|POS-GWY-EAF:EAF_RENEWABLE:2032|POS-GWY-W:BF_RELINE:2034|POS-POH-N:H2_DRI_EAF:2028|POS-POH-S:SCRAP_EAF:2031</x:v>
      </x:c>
      <x:c r="V183" s="34" t="str">
        <x:v>model_generated_candidate</x:v>
      </x:c>
      <x:c r="W183" s="34" t="str">
        <x:v>Generated from disclosed-path facility calendar, technology set and template contracting assumptions; not a company-announced project</x:v>
      </x:c>
    </x:row>
    <x:row r="184">
      <x:c r="A184" s="34" t="str">
        <x:v>CAND-DA7B74C24222D6</x:v>
      </x:c>
      <x:c r="B184" s="34" t="str">
        <x:v>POSCO_KR</x:v>
      </x:c>
      <x:c r="C184" s="34" t="str">
        <x:v>POSCO</x:v>
      </x:c>
      <x:c r="D184" s="34" t="str">
        <x:v>P2</x:v>
      </x:c>
      <x:c r="E184" s="34" t="str">
        <x:v>지연·부분헤지</x:v>
      </x:c>
      <x:c r="F184" s="34" t="str">
        <x:v>PORT-802EEF341C7A</x:v>
      </x:c>
      <x:c r="G184" s="34" t="str">
        <x:v>DISCLOSED_PATH</x:v>
      </x:c>
      <x:c r="H184" s="34" t="n">
        <x:v>5</x:v>
      </x:c>
      <x:c r="I184" s="34" t="n">
        <x:v>2029</x:v>
      </x:c>
      <x:c r="J184" s="34" t="n">
        <x:v>2037</x:v>
      </x:c>
      <x:c r="K184" s="34" t="n">
        <x:v>0.197861</x:v>
      </x:c>
      <x:c r="L184" s="34" t="n">
        <x:v>0.494652</x:v>
      </x:c>
      <x:c r="M184" s="34" t="n">
        <x:v>0.275401</x:v>
      </x:c>
      <x:c r="N184" s="34" t="n">
        <x:v>0.032086</x:v>
      </x:c>
      <x:c r="O184" s="34" t="n">
        <x:v>0.15</x:v>
      </x:c>
      <x:c r="P184" s="34" t="n">
        <x:v>0.1</x:v>
      </x:c>
      <x:c r="Q184" s="34" t="n">
        <x:v>0.2</x:v>
      </x:c>
      <x:c r="R184" s="34" t="n">
        <x:v>0.1</x:v>
      </x:c>
      <x:c r="S184" s="34" t="n">
        <x:v>0.01</x:v>
      </x:c>
      <x:c r="T184" s="34" t="n">
        <x:v>326.164221</x:v>
      </x:c>
      <x:c r="U184" s="34" t="str">
        <x:v>POS-GWY-E:H2_DRI_EAF:2037|POS-GWY-EAF:EAF_RENEWABLE:2033|POS-GWY-W:SCRAP_EAF:2035|POS-POH-N:SCRAP_EAF:2029|POS-POH-S:BF_RELINE:2032</x:v>
      </x:c>
      <x:c r="V184" s="34" t="str">
        <x:v>model_generated_candidate</x:v>
      </x:c>
      <x:c r="W184" s="34" t="str">
        <x:v>Generated from disclosed-path facility calendar, technology set and template contracting assumptions; not a company-announced project</x:v>
      </x:c>
    </x:row>
    <x:row r="185">
      <x:c r="A185" s="34" t="str">
        <x:v>CAND-DB38AF78A7E4E6</x:v>
      </x:c>
      <x:c r="B185" s="34" t="str">
        <x:v>POSCO_KR</x:v>
      </x:c>
      <x:c r="C185" s="34" t="str">
        <x:v>POSCO</x:v>
      </x:c>
      <x:c r="D185" s="34" t="str">
        <x:v>P1</x:v>
      </x:c>
      <x:c r="E185" s="34" t="str">
        <x:v>지연·현물조달</x:v>
      </x:c>
      <x:c r="F185" s="34" t="str">
        <x:v>PORT-88B20AD20AAC</x:v>
      </x:c>
      <x:c r="G185" s="34" t="str">
        <x:v>DISCLOSED_PATH</x:v>
      </x:c>
      <x:c r="H185" s="34" t="n">
        <x:v>5</x:v>
      </x:c>
      <x:c r="I185" s="34" t="n">
        <x:v>2029</x:v>
      </x:c>
      <x:c r="J185" s="34" t="n">
        <x:v>2037</x:v>
      </x:c>
      <x:c r="K185" s="34" t="n">
        <x:v>0.275401</x:v>
      </x:c>
      <x:c r="L185" s="34" t="n">
        <x:v>0</x:v>
      </x:c>
      <x:c r="M185" s="34" t="n">
        <x:v>0.692513</x:v>
      </x:c>
      <x:c r="N185" s="34" t="n">
        <x:v>0.032086</x:v>
      </x:c>
      <x:c r="O185" s="34" t="n">
        <x:v>0</x:v>
      </x:c>
      <x:c r="P185" s="34" t="n">
        <x:v>0</x:v>
      </x:c>
      <x:c r="Q185" s="34" t="n">
        <x:v>0.1</x:v>
      </x:c>
      <x:c r="R185" s="34" t="n">
        <x:v>0</x:v>
      </x:c>
      <x:c r="S185" s="34" t="n">
        <x:v>0</x:v>
      </x:c>
      <x:c r="T185" s="34" t="n">
        <x:v>402.633847</x:v>
      </x:c>
      <x:c r="U185" s="34" t="str">
        <x:v>POS-GWY-E:BF_RELINE:2037|POS-GWY-EAF:EAF_RENEWABLE:2033|POS-GWY-W:H2_DRI_EAF:2035|POS-POH-N:H2_DRI_EAF:2029|POS-POH-S:H2_DRI_EAF:2032</x:v>
      </x:c>
      <x:c r="V185" s="34" t="str">
        <x:v>model_generated_candidate</x:v>
      </x:c>
      <x:c r="W185" s="34" t="str">
        <x:v>Generated from disclosed-path facility calendar, technology set and template contracting assumptions; not a company-announced project</x:v>
      </x:c>
    </x:row>
    <x:row r="186">
      <x:c r="A186" s="34" t="str">
        <x:v>CAND-DDC1E605504409</x:v>
      </x:c>
      <x:c r="B186" s="34" t="str">
        <x:v>POSCO_KR</x:v>
      </x:c>
      <x:c r="C186" s="34" t="str">
        <x:v>POSCO</x:v>
      </x:c>
      <x:c r="D186" s="34" t="str">
        <x:v>P3</x:v>
      </x:c>
      <x:c r="E186" s="34" t="str">
        <x:v>균형형 라이트헤지</x:v>
      </x:c>
      <x:c r="F186" s="34" t="str">
        <x:v>PORT-077F7C54FB04</x:v>
      </x:c>
      <x:c r="G186" s="34" t="str">
        <x:v>DISCLOSED_PATH</x:v>
      </x:c>
      <x:c r="H186" s="34" t="n">
        <x:v>5</x:v>
      </x:c>
      <x:c r="I186" s="34" t="n">
        <x:v>2029</x:v>
      </x:c>
      <x:c r="J186" s="34" t="n">
        <x:v>2037</x:v>
      </x:c>
      <x:c r="K186" s="34" t="n">
        <x:v>0</x:v>
      </x:c>
      <x:c r="L186" s="34" t="n">
        <x:v>0.219251</x:v>
      </x:c>
      <x:c r="M186" s="34" t="n">
        <x:v>0.748663</x:v>
      </x:c>
      <x:c r="N186" s="34" t="n">
        <x:v>0.032086</x:v>
      </x:c>
      <x:c r="O186" s="34" t="n">
        <x:v>0.3</x:v>
      </x:c>
      <x:c r="P186" s="34" t="n">
        <x:v>0.25</x:v>
      </x:c>
      <x:c r="Q186" s="34" t="n">
        <x:v>0.35</x:v>
      </x:c>
      <x:c r="R186" s="34" t="n">
        <x:v>0.25</x:v>
      </x:c>
      <x:c r="S186" s="34" t="n">
        <x:v>0.015</x:v>
      </x:c>
      <x:c r="T186" s="34" t="n">
        <x:v>444.454229</x:v>
      </x:c>
      <x:c r="U186" s="34" t="str">
        <x:v>POS-GWY-E:H2_DRI_EAF:2037|POS-GWY-EAF:EAF_RENEWABLE:2033|POS-GWY-W:H2_DRI_EAF:2035|POS-POH-N:SCRAP_EAF:2029|POS-POH-S:H2_DRI_EAF:2032</x:v>
      </x:c>
      <x:c r="V186" s="34" t="str">
        <x:v>model_generated_candidate</x:v>
      </x:c>
      <x:c r="W186" s="34" t="str">
        <x:v>Generated from disclosed-path facility calendar, technology set and template contracting assumptions; not a company-announced project</x:v>
      </x:c>
    </x:row>
    <x:row r="187">
      <x:c r="A187" s="34" t="str">
        <x:v>CAND-DE7FE9241AB524</x:v>
      </x:c>
      <x:c r="B187" s="34" t="str">
        <x:v>POSCO_KR</x:v>
      </x:c>
      <x:c r="C187" s="34" t="str">
        <x:v>POSCO</x:v>
      </x:c>
      <x:c r="D187" s="34" t="str">
        <x:v>P6</x:v>
      </x:c>
      <x:c r="E187" s="34" t="str">
        <x:v>조기 고헤지</x:v>
      </x:c>
      <x:c r="F187" s="34" t="str">
        <x:v>PORT-73B2FF1A66A0</x:v>
      </x:c>
      <x:c r="G187" s="34" t="str">
        <x:v>DISCLOSED_PATH</x:v>
      </x:c>
      <x:c r="H187" s="34" t="n">
        <x:v>5</x:v>
      </x:c>
      <x:c r="I187" s="34" t="n">
        <x:v>2028</x:v>
      </x:c>
      <x:c r="J187" s="34" t="n">
        <x:v>2035</x:v>
      </x:c>
      <x:c r="K187" s="34" t="n">
        <x:v>0</x:v>
      </x:c>
      <x:c r="L187" s="34" t="n">
        <x:v>0</x:v>
      </x:c>
      <x:c r="M187" s="34" t="n">
        <x:v>0.967914</x:v>
      </x:c>
      <x:c r="N187" s="34" t="n">
        <x:v>0.032086</x:v>
      </x:c>
      <x:c r="O187" s="34" t="n">
        <x:v>0.9</x:v>
      </x:c>
      <x:c r="P187" s="34" t="n">
        <x:v>0.85</x:v>
      </x:c>
      <x:c r="Q187" s="34" t="n">
        <x:v>0.85</x:v>
      </x:c>
      <x:c r="R187" s="34" t="n">
        <x:v>0.8</x:v>
      </x:c>
      <x:c r="S187" s="34" t="n">
        <x:v>0.035</x:v>
      </x:c>
      <x:c r="T187" s="34" t="n">
        <x:v>579.10271</x:v>
      </x:c>
      <x:c r="U187" s="34" t="str">
        <x:v>POS-GWY-E:H2_DRI_EAF:2035|POS-GWY-EAF:EAF_RENEWABLE:2031|POS-GWY-W:H2_DRI_EAF:2033|POS-POH-N:H2_DRI_EAF:2028|POS-POH-S:H2_DRI_EAF:2030</x:v>
      </x:c>
      <x:c r="V187" s="34" t="str">
        <x:v>model_generated_candidate</x:v>
      </x:c>
      <x:c r="W187" s="34" t="str">
        <x:v>Generated from disclosed-path facility calendar, technology set and template contracting assumptions; not a company-announced project</x:v>
      </x:c>
    </x:row>
    <x:row r="188">
      <x:c r="A188" s="34" t="str">
        <x:v>CAND-DE9309DF1A915F</x:v>
      </x:c>
      <x:c r="B188" s="34" t="str">
        <x:v>POSCO_KR</x:v>
      </x:c>
      <x:c r="C188" s="34" t="str">
        <x:v>POSCO</x:v>
      </x:c>
      <x:c r="D188" s="34" t="str">
        <x:v>P1</x:v>
      </x:c>
      <x:c r="E188" s="34" t="str">
        <x:v>지연·현물조달</x:v>
      </x:c>
      <x:c r="F188" s="34" t="str">
        <x:v>PORT-4A149C9E09A6</x:v>
      </x:c>
      <x:c r="G188" s="34" t="str">
        <x:v>DISCLOSED_PATH</x:v>
      </x:c>
      <x:c r="H188" s="34" t="n">
        <x:v>5</x:v>
      </x:c>
      <x:c r="I188" s="34" t="n">
        <x:v>2029</x:v>
      </x:c>
      <x:c r="J188" s="34" t="n">
        <x:v>2037</x:v>
      </x:c>
      <x:c r="K188" s="34" t="n">
        <x:v>0.770053</x:v>
      </x:c>
      <x:c r="L188" s="34" t="n">
        <x:v>0.197861</x:v>
      </x:c>
      <x:c r="M188" s="34" t="n">
        <x:v>0</x:v>
      </x:c>
      <x:c r="N188" s="34" t="n">
        <x:v>0.032086</x:v>
      </x:c>
      <x:c r="O188" s="34" t="n">
        <x:v>0</x:v>
      </x:c>
      <x:c r="P188" s="34" t="n">
        <x:v>0</x:v>
      </x:c>
      <x:c r="Q188" s="34" t="n">
        <x:v>0.1</x:v>
      </x:c>
      <x:c r="R188" s="34" t="n">
        <x:v>0</x:v>
      </x:c>
      <x:c r="S188" s="34" t="n">
        <x:v>0</x:v>
      </x:c>
      <x:c r="T188" s="34" t="n">
        <x:v>135.393901</x:v>
      </x:c>
      <x:c r="U188" s="34" t="str">
        <x:v>POS-GWY-E:BF_RELINE:2037|POS-GWY-EAF:EAF_RENEWABLE:2033|POS-GWY-W:BF_RELINE:2035|POS-POH-N:BF_RELINE:2029|POS-POH-S:SCRAP_EAF:2032</x:v>
      </x:c>
      <x:c r="V188" s="34" t="str">
        <x:v>model_generated_candidate</x:v>
      </x:c>
      <x:c r="W188" s="34" t="str">
        <x:v>Generated from disclosed-path facility calendar, technology set and template contracting assumptions; not a company-announced project</x:v>
      </x:c>
    </x:row>
    <x:row r="189">
      <x:c r="A189" s="34" t="str">
        <x:v>CAND-E1C93EC68C3F78</x:v>
      </x:c>
      <x:c r="B189" s="34" t="str">
        <x:v>POSCO_KR</x:v>
      </x:c>
      <x:c r="C189" s="34" t="str">
        <x:v>POSCO</x:v>
      </x:c>
      <x:c r="D189" s="34" t="str">
        <x:v>P3</x:v>
      </x:c>
      <x:c r="E189" s="34" t="str">
        <x:v>균형형 라이트헤지</x:v>
      </x:c>
      <x:c r="F189" s="34" t="str">
        <x:v>PORT-F7156CC53AF8</x:v>
      </x:c>
      <x:c r="G189" s="34" t="str">
        <x:v>DISCLOSED_PATH</x:v>
      </x:c>
      <x:c r="H189" s="34" t="n">
        <x:v>5</x:v>
      </x:c>
      <x:c r="I189" s="34" t="n">
        <x:v>2029</x:v>
      </x:c>
      <x:c r="J189" s="34" t="n">
        <x:v>2037</x:v>
      </x:c>
      <x:c r="K189" s="34" t="n">
        <x:v>0.197861</x:v>
      </x:c>
      <x:c r="L189" s="34" t="n">
        <x:v>0.275401</x:v>
      </x:c>
      <x:c r="M189" s="34" t="n">
        <x:v>0.494652</x:v>
      </x:c>
      <x:c r="N189" s="34" t="n">
        <x:v>0.032086</x:v>
      </x:c>
      <x:c r="O189" s="34" t="n">
        <x:v>0.3</x:v>
      </x:c>
      <x:c r="P189" s="34" t="n">
        <x:v>0.25</x:v>
      </x:c>
      <x:c r="Q189" s="34" t="n">
        <x:v>0.35</x:v>
      </x:c>
      <x:c r="R189" s="34" t="n">
        <x:v>0.25</x:v>
      </x:c>
      <x:c r="S189" s="34" t="n">
        <x:v>0.015</x:v>
      </x:c>
      <x:c r="T189" s="34" t="n">
        <x:v>353.711217</x:v>
      </x:c>
      <x:c r="U189" s="34" t="str">
        <x:v>POS-GWY-E:SCRAP_EAF:2037|POS-GWY-EAF:EAF_RENEWABLE:2033|POS-GWY-W:H2_DRI_EAF:2035|POS-POH-N:H2_DRI_EAF:2029|POS-POH-S:BF_RELINE:2032</x:v>
      </x:c>
      <x:c r="V189" s="34" t="str">
        <x:v>model_generated_candidate</x:v>
      </x:c>
      <x:c r="W189" s="34" t="str">
        <x:v>Generated from disclosed-path facility calendar, technology set and template contracting assumptions; not a company-announced project</x:v>
      </x:c>
    </x:row>
    <x:row r="190">
      <x:c r="A190" s="34" t="str">
        <x:v>CAND-E1E4062A820CB2</x:v>
      </x:c>
      <x:c r="B190" s="34" t="str">
        <x:v>POSCO_KR</x:v>
      </x:c>
      <x:c r="C190" s="34" t="str">
        <x:v>POSCO</x:v>
      </x:c>
      <x:c r="D190" s="34" t="str">
        <x:v>P2</x:v>
      </x:c>
      <x:c r="E190" s="34" t="str">
        <x:v>지연·부분헤지</x:v>
      </x:c>
      <x:c r="F190" s="34" t="str">
        <x:v>PORT-CB1C741D93E4</x:v>
      </x:c>
      <x:c r="G190" s="34" t="str">
        <x:v>DISCLOSED_PATH</x:v>
      </x:c>
      <x:c r="H190" s="34" t="n">
        <x:v>5</x:v>
      </x:c>
      <x:c r="I190" s="34" t="n">
        <x:v>2029</x:v>
      </x:c>
      <x:c r="J190" s="34" t="n">
        <x:v>2037</x:v>
      </x:c>
      <x:c r="K190" s="34" t="n">
        <x:v>0.494652</x:v>
      </x:c>
      <x:c r="L190" s="34" t="n">
        <x:v>0.275401</x:v>
      </x:c>
      <x:c r="M190" s="34" t="n">
        <x:v>0.197861</x:v>
      </x:c>
      <x:c r="N190" s="34" t="n">
        <x:v>0.032086</x:v>
      </x:c>
      <x:c r="O190" s="34" t="n">
        <x:v>0.15</x:v>
      </x:c>
      <x:c r="P190" s="34" t="n">
        <x:v>0.1</x:v>
      </x:c>
      <x:c r="Q190" s="34" t="n">
        <x:v>0.2</x:v>
      </x:c>
      <x:c r="R190" s="34" t="n">
        <x:v>0.1</x:v>
      </x:c>
      <x:c r="S190" s="34" t="n">
        <x:v>0.01</x:v>
      </x:c>
      <x:c r="T190" s="34" t="n">
        <x:v>205.811281</x:v>
      </x:c>
      <x:c r="U190" s="34" t="str">
        <x:v>POS-GWY-E:SCRAP_EAF:2037|POS-GWY-EAF:EAF_RENEWABLE:2033|POS-GWY-W:BF_RELINE:2035|POS-POH-N:BF_RELINE:2029|POS-POH-S:H2_DRI_EAF:2032</x:v>
      </x:c>
      <x:c r="V190" s="34" t="str">
        <x:v>model_generated_candidate</x:v>
      </x:c>
      <x:c r="W190" s="34" t="str">
        <x:v>Generated from disclosed-path facility calendar, technology set and template contracting assumptions; not a company-announced project</x:v>
      </x:c>
    </x:row>
    <x:row r="191">
      <x:c r="A191" s="34" t="str">
        <x:v>CAND-E3D21E7EA7F4E3</x:v>
      </x:c>
      <x:c r="B191" s="34" t="str">
        <x:v>POSCO_KR</x:v>
      </x:c>
      <x:c r="C191" s="34" t="str">
        <x:v>POSCO</x:v>
      </x:c>
      <x:c r="D191" s="34" t="str">
        <x:v>P2</x:v>
      </x:c>
      <x:c r="E191" s="34" t="str">
        <x:v>지연·부분헤지</x:v>
      </x:c>
      <x:c r="F191" s="34" t="str">
        <x:v>PORT-D611F29113B4</x:v>
      </x:c>
      <x:c r="G191" s="34" t="str">
        <x:v>DISCLOSED_PATH</x:v>
      </x:c>
      <x:c r="H191" s="34" t="n">
        <x:v>5</x:v>
      </x:c>
      <x:c r="I191" s="34" t="n">
        <x:v>2029</x:v>
      </x:c>
      <x:c r="J191" s="34" t="n">
        <x:v>2037</x:v>
      </x:c>
      <x:c r="K191" s="34" t="n">
        <x:v>0.197861</x:v>
      </x:c>
      <x:c r="L191" s="34" t="n">
        <x:v>0.275401</x:v>
      </x:c>
      <x:c r="M191" s="34" t="n">
        <x:v>0.494652</x:v>
      </x:c>
      <x:c r="N191" s="34" t="n">
        <x:v>0.032086</x:v>
      </x:c>
      <x:c r="O191" s="34" t="n">
        <x:v>0.15</x:v>
      </x:c>
      <x:c r="P191" s="34" t="n">
        <x:v>0.1</x:v>
      </x:c>
      <x:c r="Q191" s="34" t="n">
        <x:v>0.2</x:v>
      </x:c>
      <x:c r="R191" s="34" t="n">
        <x:v>0.1</x:v>
      </x:c>
      <x:c r="S191" s="34" t="n">
        <x:v>0.01</x:v>
      </x:c>
      <x:c r="T191" s="34" t="n">
        <x:v>348.964214</x:v>
      </x:c>
      <x:c r="U191" s="34" t="str">
        <x:v>POS-GWY-E:H2_DRI_EAF:2037|POS-GWY-EAF:EAF_RENEWABLE:2033|POS-GWY-W:SCRAP_EAF:2035|POS-POH-N:H2_DRI_EAF:2029|POS-POH-S:BF_RELINE:2032</x:v>
      </x:c>
      <x:c r="V191" s="34" t="str">
        <x:v>model_generated_candidate</x:v>
      </x:c>
      <x:c r="W191" s="34" t="str">
        <x:v>Generated from disclosed-path facility calendar, technology set and template contracting assumptions; not a company-announced project</x:v>
      </x:c>
    </x:row>
    <x:row r="192">
      <x:c r="A192" s="34" t="str">
        <x:v>CAND-E3FBD935777392</x:v>
      </x:c>
      <x:c r="B192" s="34" t="str">
        <x:v>POSCO_KR</x:v>
      </x:c>
      <x:c r="C192" s="34" t="str">
        <x:v>POSCO</x:v>
      </x:c>
      <x:c r="D192" s="34" t="str">
        <x:v>P2</x:v>
      </x:c>
      <x:c r="E192" s="34" t="str">
        <x:v>지연·부분헤지</x:v>
      </x:c>
      <x:c r="F192" s="34" t="str">
        <x:v>PORT-077F7C54FB04</x:v>
      </x:c>
      <x:c r="G192" s="34" t="str">
        <x:v>DISCLOSED_PATH</x:v>
      </x:c>
      <x:c r="H192" s="34" t="n">
        <x:v>5</x:v>
      </x:c>
      <x:c r="I192" s="34" t="n">
        <x:v>2029</x:v>
      </x:c>
      <x:c r="J192" s="34" t="n">
        <x:v>2037</x:v>
      </x:c>
      <x:c r="K192" s="34" t="n">
        <x:v>0</x:v>
      </x:c>
      <x:c r="L192" s="34" t="n">
        <x:v>0.219251</x:v>
      </x:c>
      <x:c r="M192" s="34" t="n">
        <x:v>0.748663</x:v>
      </x:c>
      <x:c r="N192" s="34" t="n">
        <x:v>0.032086</x:v>
      </x:c>
      <x:c r="O192" s="34" t="n">
        <x:v>0.15</x:v>
      </x:c>
      <x:c r="P192" s="34" t="n">
        <x:v>0.1</x:v>
      </x:c>
      <x:c r="Q192" s="34" t="n">
        <x:v>0.2</x:v>
      </x:c>
      <x:c r="R192" s="34" t="n">
        <x:v>0.1</x:v>
      </x:c>
      <x:c r="S192" s="34" t="n">
        <x:v>0.01</x:v>
      </x:c>
      <x:c r="T192" s="34" t="n">
        <x:v>444.454229</x:v>
      </x:c>
      <x:c r="U192" s="34" t="str">
        <x:v>POS-GWY-E:H2_DRI_EAF:2037|POS-GWY-EAF:EAF_RENEWABLE:2033|POS-GWY-W:H2_DRI_EAF:2035|POS-POH-N:SCRAP_EAF:2029|POS-POH-S:H2_DRI_EAF:2032</x:v>
      </x:c>
      <x:c r="V192" s="34" t="str">
        <x:v>model_generated_candidate</x:v>
      </x:c>
      <x:c r="W192" s="34" t="str">
        <x:v>Generated from disclosed-path facility calendar, technology set and template contracting assumptions; not a company-announced project</x:v>
      </x:c>
    </x:row>
    <x:row r="193">
      <x:c r="A193" s="34" t="str">
        <x:v>CAND-E5548226AF9F6B</x:v>
      </x:c>
      <x:c r="B193" s="34" t="str">
        <x:v>POSCO_KR</x:v>
      </x:c>
      <x:c r="C193" s="34" t="str">
        <x:v>POSCO</x:v>
      </x:c>
      <x:c r="D193" s="34" t="str">
        <x:v>P2</x:v>
      </x:c>
      <x:c r="E193" s="34" t="str">
        <x:v>지연·부분헤지</x:v>
      </x:c>
      <x:c r="F193" s="34" t="str">
        <x:v>PORT-39601EAF8865</x:v>
      </x:c>
      <x:c r="G193" s="34" t="str">
        <x:v>DISCLOSED_PATH</x:v>
      </x:c>
      <x:c r="H193" s="34" t="n">
        <x:v>5</x:v>
      </x:c>
      <x:c r="I193" s="34" t="n">
        <x:v>2029</x:v>
      </x:c>
      <x:c r="J193" s="34" t="n">
        <x:v>2037</x:v>
      </x:c>
      <x:c r="K193" s="34" t="n">
        <x:v>0.417112</x:v>
      </x:c>
      <x:c r="L193" s="34" t="n">
        <x:v>0.275401</x:v>
      </x:c>
      <x:c r="M193" s="34" t="n">
        <x:v>0.275401</x:v>
      </x:c>
      <x:c r="N193" s="34" t="n">
        <x:v>0.032086</x:v>
      </x:c>
      <x:c r="O193" s="34" t="n">
        <x:v>0.15</x:v>
      </x:c>
      <x:c r="P193" s="34" t="n">
        <x:v>0.1</x:v>
      </x:c>
      <x:c r="Q193" s="34" t="n">
        <x:v>0.2</x:v>
      </x:c>
      <x:c r="R193" s="34" t="n">
        <x:v>0.1</x:v>
      </x:c>
      <x:c r="S193" s="34" t="n">
        <x:v>0.01</x:v>
      </x:c>
      <x:c r="T193" s="34" t="n">
        <x:v>193.924259</x:v>
      </x:c>
      <x:c r="U193" s="34" t="str">
        <x:v>POS-GWY-E:H2_DRI_EAF:2037|POS-GWY-EAF:EAF_RENEWABLE:2033|POS-GWY-W:SCRAP_EAF:2035|POS-POH-N:BF_RELINE:2029|POS-POH-S:BF_RELINE:2032</x:v>
      </x:c>
      <x:c r="V193" s="34" t="str">
        <x:v>model_generated_candidate</x:v>
      </x:c>
      <x:c r="W193" s="34" t="str">
        <x:v>Generated from disclosed-path facility calendar, technology set and template contracting assumptions; not a company-announced project</x:v>
      </x:c>
    </x:row>
    <x:row r="194">
      <x:c r="A194" s="34" t="str">
        <x:v>CAND-E559018C830DAA</x:v>
      </x:c>
      <x:c r="B194" s="34" t="str">
        <x:v>POSCO_KR</x:v>
      </x:c>
      <x:c r="C194" s="34" t="str">
        <x:v>POSCO</x:v>
      </x:c>
      <x:c r="D194" s="34" t="str">
        <x:v>P1</x:v>
      </x:c>
      <x:c r="E194" s="34" t="str">
        <x:v>지연·현물조달</x:v>
      </x:c>
      <x:c r="F194" s="34" t="str">
        <x:v>PORT-3F728D80E223</x:v>
      </x:c>
      <x:c r="G194" s="34" t="str">
        <x:v>DISCLOSED_PATH</x:v>
      </x:c>
      <x:c r="H194" s="34" t="n">
        <x:v>5</x:v>
      </x:c>
      <x:c r="I194" s="34" t="n">
        <x:v>2029</x:v>
      </x:c>
      <x:c r="J194" s="34" t="n">
        <x:v>2037</x:v>
      </x:c>
      <x:c r="K194" s="34" t="n">
        <x:v>0.692513</x:v>
      </x:c>
      <x:c r="L194" s="34" t="n">
        <x:v>0.275401</x:v>
      </x:c>
      <x:c r="M194" s="34" t="n">
        <x:v>0</x:v>
      </x:c>
      <x:c r="N194" s="34" t="n">
        <x:v>0.032086</x:v>
      </x:c>
      <x:c r="O194" s="34" t="n">
        <x:v>0</x:v>
      </x:c>
      <x:c r="P194" s="34" t="n">
        <x:v>0</x:v>
      </x:c>
      <x:c r="Q194" s="34" t="n">
        <x:v>0.1</x:v>
      </x:c>
      <x:c r="R194" s="34" t="n">
        <x:v>0</x:v>
      </x:c>
      <x:c r="S194" s="34" t="n">
        <x:v>0</x:v>
      </x:c>
      <x:c r="T194" s="34" t="n">
        <x:v>101.771272</x:v>
      </x:c>
      <x:c r="U194" s="34" t="str">
        <x:v>POS-GWY-E:SCRAP_EAF:2037|POS-GWY-EAF:EAF_RENEWABLE:2033|POS-GWY-W:BF_RELINE:2035|POS-POH-N:BF_RELINE:2029|POS-POH-S:BF_RELINE:2032</x:v>
      </x:c>
      <x:c r="V194" s="34" t="str">
        <x:v>model_generated_candidate</x:v>
      </x:c>
      <x:c r="W194" s="34" t="str">
        <x:v>Generated from disclosed-path facility calendar, technology set and template contracting assumptions; not a company-announced project</x:v>
      </x:c>
    </x:row>
    <x:row r="195">
      <x:c r="A195" s="34" t="str">
        <x:v>CAND-E67FF3DBC26B61</x:v>
      </x:c>
      <x:c r="B195" s="34" t="str">
        <x:v>POSCO_KR</x:v>
      </x:c>
      <x:c r="C195" s="34" t="str">
        <x:v>POSCO</x:v>
      </x:c>
      <x:c r="D195" s="34" t="str">
        <x:v>P4</x:v>
      </x:c>
      <x:c r="E195" s="34" t="str">
        <x:v>균형형 전환</x:v>
      </x:c>
      <x:c r="F195" s="34" t="str">
        <x:v>PORT-C0D11BD0A05D</x:v>
      </x:c>
      <x:c r="G195" s="34" t="str">
        <x:v>DISCLOSED_PATH</x:v>
      </x:c>
      <x:c r="H195" s="34" t="n">
        <x:v>5</x:v>
      </x:c>
      <x:c r="I195" s="34" t="n">
        <x:v>2028</x:v>
      </x:c>
      <x:c r="J195" s="34" t="n">
        <x:v>2036</x:v>
      </x:c>
      <x:c r="K195" s="34" t="n">
        <x:v>0.473262</x:v>
      </x:c>
      <x:c r="L195" s="34" t="n">
        <x:v>0</x:v>
      </x:c>
      <x:c r="M195" s="34" t="n">
        <x:v>0.494652</x:v>
      </x:c>
      <x:c r="N195" s="34" t="n">
        <x:v>0.032086</x:v>
      </x:c>
      <x:c r="O195" s="34" t="n">
        <x:v>0.5</x:v>
      </x:c>
      <x:c r="P195" s="34" t="n">
        <x:v>0.45</x:v>
      </x:c>
      <x:c r="Q195" s="34" t="n">
        <x:v>0.5</x:v>
      </x:c>
      <x:c r="R195" s="34" t="n">
        <x:v>0.4</x:v>
      </x:c>
      <x:c r="S195" s="34" t="n">
        <x:v>0.02</x:v>
      </x:c>
      <x:c r="T195" s="34" t="n">
        <x:v>301.656255</x:v>
      </x:c>
      <x:c r="U195" s="34" t="str">
        <x:v>POS-GWY-E:H2_DRI_EAF:2036|POS-GWY-EAF:EAF_RENEWABLE:2032|POS-GWY-W:BF_RELINE:2034|POS-POH-N:H2_DRI_EAF:2028|POS-POH-S:BF_RELINE:2031</x:v>
      </x:c>
      <x:c r="V195" s="34" t="str">
        <x:v>model_generated_candidate</x:v>
      </x:c>
      <x:c r="W195" s="34" t="str">
        <x:v>Generated from disclosed-path facility calendar, technology set and template contracting assumptions; not a company-announced project</x:v>
      </x:c>
    </x:row>
    <x:row r="196">
      <x:c r="A196" s="34" t="str">
        <x:v>CAND-E80F9FC4F58DCF</x:v>
      </x:c>
      <x:c r="B196" s="34" t="str">
        <x:v>POSCO_KR</x:v>
      </x:c>
      <x:c r="C196" s="34" t="str">
        <x:v>POSCO</x:v>
      </x:c>
      <x:c r="D196" s="34" t="str">
        <x:v>P2</x:v>
      </x:c>
      <x:c r="E196" s="34" t="str">
        <x:v>지연·부분헤지</x:v>
      </x:c>
      <x:c r="F196" s="34" t="str">
        <x:v>PORT-92AEBEABC7A8</x:v>
      </x:c>
      <x:c r="G196" s="34" t="str">
        <x:v>DISCLOSED_PATH</x:v>
      </x:c>
      <x:c r="H196" s="34" t="n">
        <x:v>5</x:v>
      </x:c>
      <x:c r="I196" s="34" t="n">
        <x:v>2029</x:v>
      </x:c>
      <x:c r="J196" s="34" t="n">
        <x:v>2037</x:v>
      </x:c>
      <x:c r="K196" s="34" t="n">
        <x:v>0.494652</x:v>
      </x:c>
      <x:c r="L196" s="34" t="n">
        <x:v>0.197861</x:v>
      </x:c>
      <x:c r="M196" s="34" t="n">
        <x:v>0.275401</x:v>
      </x:c>
      <x:c r="N196" s="34" t="n">
        <x:v>0.032086</x:v>
      </x:c>
      <x:c r="O196" s="34" t="n">
        <x:v>0.15</x:v>
      </x:c>
      <x:c r="P196" s="34" t="n">
        <x:v>0.1</x:v>
      </x:c>
      <x:c r="Q196" s="34" t="n">
        <x:v>0.2</x:v>
      </x:c>
      <x:c r="R196" s="34" t="n">
        <x:v>0.1</x:v>
      </x:c>
      <x:c r="S196" s="34" t="n">
        <x:v>0.01</x:v>
      </x:c>
      <x:c r="T196" s="34" t="n">
        <x:v>232.293891</x:v>
      </x:c>
      <x:c r="U196" s="34" t="str">
        <x:v>POS-GWY-E:BF_RELINE:2037|POS-GWY-EAF:EAF_RENEWABLE:2033|POS-GWY-W:H2_DRI_EAF:2035|POS-POH-N:BF_RELINE:2029|POS-POH-S:SCRAP_EAF:2032</x:v>
      </x:c>
      <x:c r="V196" s="34" t="str">
        <x:v>model_generated_candidate</x:v>
      </x:c>
      <x:c r="W196" s="34" t="str">
        <x:v>Generated from disclosed-path facility calendar, technology set and template contracting assumptions; not a company-announced project</x:v>
      </x:c>
    </x:row>
    <x:row r="197">
      <x:c r="A197" s="34" t="str">
        <x:v>CAND-EA994FAA1EB0A0</x:v>
      </x:c>
      <x:c r="B197" s="34" t="str">
        <x:v>POSCO_KR</x:v>
      </x:c>
      <x:c r="C197" s="34" t="str">
        <x:v>POSCO</x:v>
      </x:c>
      <x:c r="D197" s="34" t="str">
        <x:v>P2</x:v>
      </x:c>
      <x:c r="E197" s="34" t="str">
        <x:v>지연·부분헤지</x:v>
      </x:c>
      <x:c r="F197" s="34" t="str">
        <x:v>PORT-C4223BE01DD1</x:v>
      </x:c>
      <x:c r="G197" s="34" t="str">
        <x:v>DISCLOSED_PATH</x:v>
      </x:c>
      <x:c r="H197" s="34" t="n">
        <x:v>5</x:v>
      </x:c>
      <x:c r="I197" s="34" t="n">
        <x:v>2029</x:v>
      </x:c>
      <x:c r="J197" s="34" t="n">
        <x:v>2037</x:v>
      </x:c>
      <x:c r="K197" s="34" t="n">
        <x:v>0.692513</x:v>
      </x:c>
      <x:c r="L197" s="34" t="n">
        <x:v>0</x:v>
      </x:c>
      <x:c r="M197" s="34" t="n">
        <x:v>0.275401</x:v>
      </x:c>
      <x:c r="N197" s="34" t="n">
        <x:v>0.032086</x:v>
      </x:c>
      <x:c r="O197" s="34" t="n">
        <x:v>0.15</x:v>
      </x:c>
      <x:c r="P197" s="34" t="n">
        <x:v>0.1</x:v>
      </x:c>
      <x:c r="Q197" s="34" t="n">
        <x:v>0.2</x:v>
      </x:c>
      <x:c r="R197" s="34" t="n">
        <x:v>0.1</x:v>
      </x:c>
      <x:c r="S197" s="34" t="n">
        <x:v>0.01</x:v>
      </x:c>
      <x:c r="T197" s="34" t="n">
        <x:v>111.274268</x:v>
      </x:c>
      <x:c r="U197" s="34" t="str">
        <x:v>POS-GWY-E:H2_DRI_EAF:2037|POS-GWY-EAF:EAF_RENEWABLE:2033|POS-GWY-W:BF_RELINE:2035|POS-POH-N:BF_RELINE:2029|POS-POH-S:BF_RELINE:2032</x:v>
      </x:c>
      <x:c r="V197" s="34" t="str">
        <x:v>model_generated_candidate</x:v>
      </x:c>
      <x:c r="W197" s="34" t="str">
        <x:v>Generated from disclosed-path facility calendar, technology set and template contracting assumptions; not a company-announced project</x:v>
      </x:c>
    </x:row>
    <x:row r="198">
      <x:c r="A198" s="34" t="str">
        <x:v>CAND-EAC5EE1AD3A200</x:v>
      </x:c>
      <x:c r="B198" s="34" t="str">
        <x:v>POSCO_KR</x:v>
      </x:c>
      <x:c r="C198" s="34" t="str">
        <x:v>POSCO</x:v>
      </x:c>
      <x:c r="D198" s="34" t="str">
        <x:v>P2</x:v>
      </x:c>
      <x:c r="E198" s="34" t="str">
        <x:v>지연·부분헤지</x:v>
      </x:c>
      <x:c r="F198" s="34" t="str">
        <x:v>PORT-26296F7EE75E</x:v>
      </x:c>
      <x:c r="G198" s="34" t="str">
        <x:v>DISCLOSED_PATH</x:v>
      </x:c>
      <x:c r="H198" s="34" t="n">
        <x:v>5</x:v>
      </x:c>
      <x:c r="I198" s="34" t="n">
        <x:v>2029</x:v>
      </x:c>
      <x:c r="J198" s="34" t="n">
        <x:v>2037</x:v>
      </x:c>
      <x:c r="K198" s="34" t="n">
        <x:v>0.275401</x:v>
      </x:c>
      <x:c r="L198" s="34" t="n">
        <x:v>0.219251</x:v>
      </x:c>
      <x:c r="M198" s="34" t="n">
        <x:v>0.473262</x:v>
      </x:c>
      <x:c r="N198" s="34" t="n">
        <x:v>0.032086</x:v>
      </x:c>
      <x:c r="O198" s="34" t="n">
        <x:v>0.15</x:v>
      </x:c>
      <x:c r="P198" s="34" t="n">
        <x:v>0.1</x:v>
      </x:c>
      <x:c r="Q198" s="34" t="n">
        <x:v>0.2</x:v>
      </x:c>
      <x:c r="R198" s="34" t="n">
        <x:v>0.1</x:v>
      </x:c>
      <x:c r="S198" s="34" t="n">
        <x:v>0.01</x:v>
      </x:c>
      <x:c r="T198" s="34" t="n">
        <x:v>379.833854</x:v>
      </x:c>
      <x:c r="U198" s="34" t="str">
        <x:v>POS-GWY-E:BF_RELINE:2037|POS-GWY-EAF:EAF_RENEWABLE:2033|POS-GWY-W:H2_DRI_EAF:2035|POS-POH-N:SCRAP_EAF:2029|POS-POH-S:H2_DRI_EAF:2032</x:v>
      </x:c>
      <x:c r="V198" s="34" t="str">
        <x:v>model_generated_candidate</x:v>
      </x:c>
      <x:c r="W198" s="34" t="str">
        <x:v>Generated from disclosed-path facility calendar, technology set and template contracting assumptions; not a company-announced project</x:v>
      </x:c>
    </x:row>
    <x:row r="199">
      <x:c r="A199" s="34" t="str">
        <x:v>CAND-ED17B04E3C0E09</x:v>
      </x:c>
      <x:c r="B199" s="34" t="str">
        <x:v>POSCO_KR</x:v>
      </x:c>
      <x:c r="C199" s="34" t="str">
        <x:v>POSCO</x:v>
      </x:c>
      <x:c r="D199" s="34" t="str">
        <x:v>P1</x:v>
      </x:c>
      <x:c r="E199" s="34" t="str">
        <x:v>지연·현물조달</x:v>
      </x:c>
      <x:c r="F199" s="34" t="str">
        <x:v>PORT-F9D381E1D5CF</x:v>
      </x:c>
      <x:c r="G199" s="34" t="str">
        <x:v>DISCLOSED_PATH</x:v>
      </x:c>
      <x:c r="H199" s="34" t="n">
        <x:v>5</x:v>
      </x:c>
      <x:c r="I199" s="34" t="n">
        <x:v>2029</x:v>
      </x:c>
      <x:c r="J199" s="34" t="n">
        <x:v>2037</x:v>
      </x:c>
      <x:c r="K199" s="34" t="n">
        <x:v>0.494652</x:v>
      </x:c>
      <x:c r="L199" s="34" t="n">
        <x:v>0.275401</x:v>
      </x:c>
      <x:c r="M199" s="34" t="n">
        <x:v>0.197861</x:v>
      </x:c>
      <x:c r="N199" s="34" t="n">
        <x:v>0.032086</x:v>
      </x:c>
      <x:c r="O199" s="34" t="n">
        <x:v>0</x:v>
      </x:c>
      <x:c r="P199" s="34" t="n">
        <x:v>0</x:v>
      </x:c>
      <x:c r="Q199" s="34" t="n">
        <x:v>0.1</x:v>
      </x:c>
      <x:c r="R199" s="34" t="n">
        <x:v>0</x:v>
      </x:c>
      <x:c r="S199" s="34" t="n">
        <x:v>0</x:v>
      </x:c>
      <x:c r="T199" s="34" t="n">
        <x:v>233.343894</x:v>
      </x:c>
      <x:c r="U199" s="34" t="str">
        <x:v>POS-GWY-E:BF_RELINE:2037|POS-GWY-EAF:EAF_RENEWABLE:2033|POS-GWY-W:SCRAP_EAF:2035|POS-POH-N:BF_RELINE:2029|POS-POH-S:H2_DRI_EAF:2032</x:v>
      </x:c>
      <x:c r="V199" s="34" t="str">
        <x:v>model_generated_candidate</x:v>
      </x:c>
      <x:c r="W199" s="34" t="str">
        <x:v>Generated from disclosed-path facility calendar, technology set and template contracting assumptions; not a company-announced project</x:v>
      </x:c>
    </x:row>
    <x:row r="200">
      <x:c r="A200" s="34" t="str">
        <x:v>CAND-EDE77722CE9CF9</x:v>
      </x:c>
      <x:c r="B200" s="34" t="str">
        <x:v>POSCO_KR</x:v>
      </x:c>
      <x:c r="C200" s="34" t="str">
        <x:v>POSCO</x:v>
      </x:c>
      <x:c r="D200" s="34" t="str">
        <x:v>P1</x:v>
      </x:c>
      <x:c r="E200" s="34" t="str">
        <x:v>지연·현물조달</x:v>
      </x:c>
      <x:c r="F200" s="34" t="str">
        <x:v>PORT-5EADC2E7AC5E</x:v>
      </x:c>
      <x:c r="G200" s="34" t="str">
        <x:v>DISCLOSED_PATH</x:v>
      </x:c>
      <x:c r="H200" s="34" t="n">
        <x:v>5</x:v>
      </x:c>
      <x:c r="I200" s="34" t="n">
        <x:v>2029</x:v>
      </x:c>
      <x:c r="J200" s="34" t="n">
        <x:v>2037</x:v>
      </x:c>
      <x:c r="K200" s="34" t="n">
        <x:v>0.550802</x:v>
      </x:c>
      <x:c r="L200" s="34" t="n">
        <x:v>0.197861</x:v>
      </x:c>
      <x:c r="M200" s="34" t="n">
        <x:v>0.219251</x:v>
      </x:c>
      <x:c r="N200" s="34" t="n">
        <x:v>0.032086</x:v>
      </x:c>
      <x:c r="O200" s="34" t="n">
        <x:v>0</x:v>
      </x:c>
      <x:c r="P200" s="34" t="n">
        <x:v>0</x:v>
      </x:c>
      <x:c r="Q200" s="34" t="n">
        <x:v>0.1</x:v>
      </x:c>
      <x:c r="R200" s="34" t="n">
        <x:v>0</x:v>
      </x:c>
      <x:c r="S200" s="34" t="n">
        <x:v>0</x:v>
      </x:c>
      <x:c r="T200" s="34" t="n">
        <x:v>290.433856</x:v>
      </x:c>
      <x:c r="U200" s="34" t="str">
        <x:v>POS-GWY-E:BF_RELINE:2037|POS-GWY-EAF:EAF_RENEWABLE:2033|POS-GWY-W:BF_RELINE:2035|POS-POH-N:H2_DRI_EAF:2029|POS-POH-S:SCRAP_EAF:2032</x:v>
      </x:c>
      <x:c r="V200" s="34" t="str">
        <x:v>model_generated_candidate</x:v>
      </x:c>
      <x:c r="W200" s="34" t="str">
        <x:v>Generated from disclosed-path facility calendar, technology set and template contracting assumptions; not a company-announced project</x:v>
      </x:c>
    </x:row>
    <x:row r="201">
      <x:c r="A201" s="34" t="str">
        <x:v>CAND-EF1C9537729AFF</x:v>
      </x:c>
      <x:c r="B201" s="34" t="str">
        <x:v>POSCO_KR</x:v>
      </x:c>
      <x:c r="C201" s="34" t="str">
        <x:v>POSCO</x:v>
      </x:c>
      <x:c r="D201" s="34" t="str">
        <x:v>P7</x:v>
      </x:c>
      <x:c r="E201" s="34" t="str">
        <x:v>완전 수소·계약형</x:v>
      </x:c>
      <x:c r="F201" s="34" t="str">
        <x:v>PORT-47C5D429DB2E</x:v>
      </x:c>
      <x:c r="G201" s="34" t="str">
        <x:v>DISCLOSED_PATH</x:v>
      </x:c>
      <x:c r="H201" s="34" t="n">
        <x:v>5</x:v>
      </x:c>
      <x:c r="I201" s="34" t="n">
        <x:v>2028</x:v>
      </x:c>
      <x:c r="J201" s="34" t="n">
        <x:v>2034</x:v>
      </x:c>
      <x:c r="K201" s="34" t="n">
        <x:v>0</x:v>
      </x:c>
      <x:c r="L201" s="34" t="n">
        <x:v>0</x:v>
      </x:c>
      <x:c r="M201" s="34" t="n">
        <x:v>0.967914</x:v>
      </x:c>
      <x:c r="N201" s="34" t="n">
        <x:v>0.032086</x:v>
      </x:c>
      <x:c r="O201" s="34" t="n">
        <x:v>1</x:v>
      </x:c>
      <x:c r="P201" s="34" t="n">
        <x:v>0.95</x:v>
      </x:c>
      <x:c r="Q201" s="34" t="n">
        <x:v>0.95</x:v>
      </x:c>
      <x:c r="R201" s="34" t="n">
        <x:v>0.9</x:v>
      </x:c>
      <x:c r="S201" s="34" t="n">
        <x:v>0.045</x:v>
      </x:c>
      <x:c r="T201" s="34" t="n">
        <x:v>627.899166</x:v>
      </x:c>
      <x:c r="U201" s="34" t="str">
        <x:v>POS-GWY-E:H2_DRI_EAF:2034|POS-GWY-EAF:EAF_RENEWABLE:2030|POS-GWY-W:H2_DRI_EAF:2032|POS-POH-N:H2_DRI_EAF:2028|POS-POH-S:H2_DRI_EAF:2029</x:v>
      </x:c>
      <x:c r="V201" s="34" t="str">
        <x:v>model_generated_candidate</x:v>
      </x:c>
      <x:c r="W201" s="34" t="str">
        <x:v>Generated from disclosed-path facility calendar, technology set and template contracting assumptions; not a company-announced project</x:v>
      </x:c>
    </x:row>
    <x:row r="202">
      <x:c r="A202" s="34" t="str">
        <x:v>CAND-EF8712CA11DF4A</x:v>
      </x:c>
      <x:c r="B202" s="34" t="str">
        <x:v>POSCO_KR</x:v>
      </x:c>
      <x:c r="C202" s="34" t="str">
        <x:v>POSCO</x:v>
      </x:c>
      <x:c r="D202" s="34" t="str">
        <x:v>P3</x:v>
      </x:c>
      <x:c r="E202" s="34" t="str">
        <x:v>균형형 라이트헤지</x:v>
      </x:c>
      <x:c r="F202" s="34" t="str">
        <x:v>PORT-3D4DF75A91D4</x:v>
      </x:c>
      <x:c r="G202" s="34" t="str">
        <x:v>DISCLOSED_PATH</x:v>
      </x:c>
      <x:c r="H202" s="34" t="n">
        <x:v>5</x:v>
      </x:c>
      <x:c r="I202" s="34" t="n">
        <x:v>2029</x:v>
      </x:c>
      <x:c r="J202" s="34" t="n">
        <x:v>2037</x:v>
      </x:c>
      <x:c r="K202" s="34" t="n">
        <x:v>0.494652</x:v>
      </x:c>
      <x:c r="L202" s="34" t="n">
        <x:v>0</x:v>
      </x:c>
      <x:c r="M202" s="34" t="n">
        <x:v>0.473262</x:v>
      </x:c>
      <x:c r="N202" s="34" t="n">
        <x:v>0.032086</x:v>
      </x:c>
      <x:c r="O202" s="34" t="n">
        <x:v>0.3</x:v>
      </x:c>
      <x:c r="P202" s="34" t="n">
        <x:v>0.25</x:v>
      </x:c>
      <x:c r="Q202" s="34" t="n">
        <x:v>0.35</x:v>
      </x:c>
      <x:c r="R202" s="34" t="n">
        <x:v>0.25</x:v>
      </x:c>
      <x:c r="S202" s="34" t="n">
        <x:v>0.015</x:v>
      </x:c>
      <x:c r="T202" s="34" t="n">
        <x:v>247.593892</x:v>
      </x:c>
      <x:c r="U202" s="34" t="str">
        <x:v>POS-GWY-E:BF_RELINE:2037|POS-GWY-EAF:EAF_RENEWABLE:2033|POS-GWY-W:H2_DRI_EAF:2035|POS-POH-N:BF_RELINE:2029|POS-POH-S:H2_DRI_EAF:2032</x:v>
      </x:c>
      <x:c r="V202" s="34" t="str">
        <x:v>model_generated_candidate</x:v>
      </x:c>
      <x:c r="W202" s="34" t="str">
        <x:v>Generated from disclosed-path facility calendar, technology set and template contracting assumptions; not a company-announced project</x:v>
      </x:c>
    </x:row>
    <x:row r="203">
      <x:c r="A203" s="34" t="str">
        <x:v>CAND-EFE989E1EF6644</x:v>
      </x:c>
      <x:c r="B203" s="34" t="str">
        <x:v>POSCO_KR</x:v>
      </x:c>
      <x:c r="C203" s="34" t="str">
        <x:v>POSCO</x:v>
      </x:c>
      <x:c r="D203" s="34" t="str">
        <x:v>P1</x:v>
      </x:c>
      <x:c r="E203" s="34" t="str">
        <x:v>지연·현물조달</x:v>
      </x:c>
      <x:c r="F203" s="34" t="str">
        <x:v>PORT-15CB4F8207C5</x:v>
      </x:c>
      <x:c r="G203" s="34" t="str">
        <x:v>DISCLOSED_PATH</x:v>
      </x:c>
      <x:c r="H203" s="34" t="n">
        <x:v>5</x:v>
      </x:c>
      <x:c r="I203" s="34" t="n">
        <x:v>2029</x:v>
      </x:c>
      <x:c r="J203" s="34" t="n">
        <x:v>2037</x:v>
      </x:c>
      <x:c r="K203" s="34" t="n">
        <x:v>0.219251</x:v>
      </x:c>
      <x:c r="L203" s="34" t="n">
        <x:v>0</x:v>
      </x:c>
      <x:c r="M203" s="34" t="n">
        <x:v>0.748663</x:v>
      </x:c>
      <x:c r="N203" s="34" t="n">
        <x:v>0.032086</x:v>
      </x:c>
      <x:c r="O203" s="34" t="n">
        <x:v>0</x:v>
      </x:c>
      <x:c r="P203" s="34" t="n">
        <x:v>0</x:v>
      </x:c>
      <x:c r="Q203" s="34" t="n">
        <x:v>0.1</x:v>
      </x:c>
      <x:c r="R203" s="34" t="n">
        <x:v>0</x:v>
      </x:c>
      <x:c r="S203" s="34" t="n">
        <x:v>0</x:v>
      </x:c>
      <x:c r="T203" s="34" t="n">
        <x:v>312.214267</x:v>
      </x:c>
      <x:c r="U203" s="34" t="str">
        <x:v>POS-GWY-E:H2_DRI_EAF:2037|POS-GWY-EAF:EAF_RENEWABLE:2033|POS-GWY-W:H2_DRI_EAF:2035|POS-POH-N:BF_RELINE:2029|POS-POH-S:H2_DRI_EAF:2032</x:v>
      </x:c>
      <x:c r="V203" s="34" t="str">
        <x:v>model_generated_candidate</x:v>
      </x:c>
      <x:c r="W203" s="34" t="str">
        <x:v>Generated from disclosed-path facility calendar, technology set and template contracting assumptions; not a company-announced project</x:v>
      </x:c>
    </x:row>
    <x:row r="204">
      <x:c r="A204" s="34" t="str">
        <x:v>CAND-F43ACAB6E7F085</x:v>
      </x:c>
      <x:c r="B204" s="34" t="str">
        <x:v>POSCO_KR</x:v>
      </x:c>
      <x:c r="C204" s="34" t="str">
        <x:v>POSCO</x:v>
      </x:c>
      <x:c r="D204" s="34" t="str">
        <x:v>P1</x:v>
      </x:c>
      <x:c r="E204" s="34" t="str">
        <x:v>지연·현물조달</x:v>
      </x:c>
      <x:c r="F204" s="34" t="str">
        <x:v>PORT-4FCB78A64B21</x:v>
      </x:c>
      <x:c r="G204" s="34" t="str">
        <x:v>DISCLOSED_PATH</x:v>
      </x:c>
      <x:c r="H204" s="34" t="n">
        <x:v>5</x:v>
      </x:c>
      <x:c r="I204" s="34" t="n">
        <x:v>2029</x:v>
      </x:c>
      <x:c r="J204" s="34" t="n">
        <x:v>2037</x:v>
      </x:c>
      <x:c r="K204" s="34" t="n">
        <x:v>0.219251</x:v>
      </x:c>
      <x:c r="L204" s="34" t="n">
        <x:v>0.473262</x:v>
      </x:c>
      <x:c r="M204" s="34" t="n">
        <x:v>0.275401</x:v>
      </x:c>
      <x:c r="N204" s="34" t="n">
        <x:v>0.032086</x:v>
      </x:c>
      <x:c r="O204" s="34" t="n">
        <x:v>0</x:v>
      </x:c>
      <x:c r="P204" s="34" t="n">
        <x:v>0</x:v>
      </x:c>
      <x:c r="Q204" s="34" t="n">
        <x:v>0.1</x:v>
      </x:c>
      <x:c r="R204" s="34" t="n">
        <x:v>0</x:v>
      </x:c>
      <x:c r="S204" s="34" t="n">
        <x:v>0</x:v>
      </x:c>
      <x:c r="T204" s="34" t="n">
        <x:v>282.664267</x:v>
      </x:c>
      <x:c r="U204" s="34" t="str">
        <x:v>POS-GWY-E:H2_DRI_EAF:2037|POS-GWY-EAF:EAF_RENEWABLE:2033|POS-GWY-W:SCRAP_EAF:2035|POS-POH-N:BF_RELINE:2029|POS-POH-S:SCRAP_EAF:2032</x:v>
      </x:c>
      <x:c r="V204" s="34" t="str">
        <x:v>model_generated_candidate</x:v>
      </x:c>
      <x:c r="W204" s="34" t="str">
        <x:v>Generated from disclosed-path facility calendar, technology set and template contracting assumptions; not a company-announced project</x:v>
      </x:c>
    </x:row>
    <x:row r="205">
      <x:c r="A205" s="34" t="str">
        <x:v>CAND-F5B1EB66366312</x:v>
      </x:c>
      <x:c r="B205" s="34" t="str">
        <x:v>POSCO_KR</x:v>
      </x:c>
      <x:c r="C205" s="34" t="str">
        <x:v>POSCO</x:v>
      </x:c>
      <x:c r="D205" s="34" t="str">
        <x:v>P2</x:v>
      </x:c>
      <x:c r="E205" s="34" t="str">
        <x:v>지연·부분헤지</x:v>
      </x:c>
      <x:c r="F205" s="34" t="str">
        <x:v>PORT-6B1E9B74730C</x:v>
      </x:c>
      <x:c r="G205" s="34" t="str">
        <x:v>DISCLOSED_PATH</x:v>
      </x:c>
      <x:c r="H205" s="34" t="n">
        <x:v>5</x:v>
      </x:c>
      <x:c r="I205" s="34" t="n">
        <x:v>2029</x:v>
      </x:c>
      <x:c r="J205" s="34" t="n">
        <x:v>2037</x:v>
      </x:c>
      <x:c r="K205" s="34" t="n">
        <x:v>0</x:v>
      </x:c>
      <x:c r="L205" s="34" t="n">
        <x:v>0.275401</x:v>
      </x:c>
      <x:c r="M205" s="34" t="n">
        <x:v>0.692513</x:v>
      </x:c>
      <x:c r="N205" s="34" t="n">
        <x:v>0.032086</x:v>
      </x:c>
      <x:c r="O205" s="34" t="n">
        <x:v>0.15</x:v>
      </x:c>
      <x:c r="P205" s="34" t="n">
        <x:v>0.1</x:v>
      </x:c>
      <x:c r="Q205" s="34" t="n">
        <x:v>0.2</x:v>
      </x:c>
      <x:c r="R205" s="34" t="n">
        <x:v>0.1</x:v>
      </x:c>
      <x:c r="S205" s="34" t="n">
        <x:v>0.01</x:v>
      </x:c>
      <x:c r="T205" s="34" t="n">
        <x:v>457.751226</x:v>
      </x:c>
      <x:c r="U205" s="34" t="str">
        <x:v>POS-GWY-E:SCRAP_EAF:2037|POS-GWY-EAF:EAF_RENEWABLE:2033|POS-GWY-W:H2_DRI_EAF:2035|POS-POH-N:H2_DRI_EAF:2029|POS-POH-S:H2_DRI_EAF:2032</x:v>
      </x:c>
      <x:c r="V205" s="34" t="str">
        <x:v>model_generated_candidate</x:v>
      </x:c>
      <x:c r="W205" s="34" t="str">
        <x:v>Generated from disclosed-path facility calendar, technology set and template contracting assumptions; not a company-announced project</x:v>
      </x:c>
    </x:row>
    <x:row r="206">
      <x:c r="A206" s="34" t="str">
        <x:v>CAND-F5CF3CBE63EF2D</x:v>
      </x:c>
      <x:c r="B206" s="34" t="str">
        <x:v>POSCO_KR</x:v>
      </x:c>
      <x:c r="C206" s="34" t="str">
        <x:v>POSCO</x:v>
      </x:c>
      <x:c r="D206" s="34" t="str">
        <x:v>P1</x:v>
      </x:c>
      <x:c r="E206" s="34" t="str">
        <x:v>지연·현물조달</x:v>
      </x:c>
      <x:c r="F206" s="34" t="str">
        <x:v>PORT-A620DB8F058C</x:v>
      </x:c>
      <x:c r="G206" s="34" t="str">
        <x:v>DISCLOSED_PATH</x:v>
      </x:c>
      <x:c r="H206" s="34" t="n">
        <x:v>5</x:v>
      </x:c>
      <x:c r="I206" s="34" t="n">
        <x:v>2029</x:v>
      </x:c>
      <x:c r="J206" s="34" t="n">
        <x:v>2037</x:v>
      </x:c>
      <x:c r="K206" s="34" t="n">
        <x:v>0</x:v>
      </x:c>
      <x:c r="L206" s="34" t="n">
        <x:v>0.494652</x:v>
      </x:c>
      <x:c r="M206" s="34" t="n">
        <x:v>0.473262</x:v>
      </x:c>
      <x:c r="N206" s="34" t="n">
        <x:v>0.032086</x:v>
      </x:c>
      <x:c r="O206" s="34" t="n">
        <x:v>0</x:v>
      </x:c>
      <x:c r="P206" s="34" t="n">
        <x:v>0</x:v>
      </x:c>
      <x:c r="Q206" s="34" t="n">
        <x:v>0.1</x:v>
      </x:c>
      <x:c r="R206" s="34" t="n">
        <x:v>0</x:v>
      </x:c>
      <x:c r="S206" s="34" t="n">
        <x:v>0</x:v>
      </x:c>
      <x:c r="T206" s="34" t="n">
        <x:v>434.951232</x:v>
      </x:c>
      <x:c r="U206" s="34" t="str">
        <x:v>POS-GWY-E:SCRAP_EAF:2037|POS-GWY-EAF:EAF_RENEWABLE:2033|POS-GWY-W:H2_DRI_EAF:2035|POS-POH-N:SCRAP_EAF:2029|POS-POH-S:H2_DRI_EAF:2032</x:v>
      </x:c>
      <x:c r="V206" s="34" t="str">
        <x:v>model_generated_candidate</x:v>
      </x:c>
      <x:c r="W206" s="34" t="str">
        <x:v>Generated from disclosed-path facility calendar, technology set and template contracting assumptions; not a company-announced project</x:v>
      </x:c>
    </x:row>
    <x:row r="207">
      <x:c r="A207" s="34" t="str">
        <x:v>CAND-F7A9C6DDA351A4</x:v>
      </x:c>
      <x:c r="B207" s="34" t="str">
        <x:v>POSCO_KR</x:v>
      </x:c>
      <x:c r="C207" s="34" t="str">
        <x:v>POSCO</x:v>
      </x:c>
      <x:c r="D207" s="34" t="str">
        <x:v>P1</x:v>
      </x:c>
      <x:c r="E207" s="34" t="str">
        <x:v>지연·현물조달</x:v>
      </x:c>
      <x:c r="F207" s="34" t="str">
        <x:v>PORT-3D4DF75A91D4</x:v>
      </x:c>
      <x:c r="G207" s="34" t="str">
        <x:v>DISCLOSED_PATH</x:v>
      </x:c>
      <x:c r="H207" s="34" t="n">
        <x:v>5</x:v>
      </x:c>
      <x:c r="I207" s="34" t="n">
        <x:v>2029</x:v>
      </x:c>
      <x:c r="J207" s="34" t="n">
        <x:v>2037</x:v>
      </x:c>
      <x:c r="K207" s="34" t="n">
        <x:v>0.494652</x:v>
      </x:c>
      <x:c r="L207" s="34" t="n">
        <x:v>0</x:v>
      </x:c>
      <x:c r="M207" s="34" t="n">
        <x:v>0.473262</x:v>
      </x:c>
      <x:c r="N207" s="34" t="n">
        <x:v>0.032086</x:v>
      </x:c>
      <x:c r="O207" s="34" t="n">
        <x:v>0</x:v>
      </x:c>
      <x:c r="P207" s="34" t="n">
        <x:v>0</x:v>
      </x:c>
      <x:c r="Q207" s="34" t="n">
        <x:v>0.1</x:v>
      </x:c>
      <x:c r="R207" s="34" t="n">
        <x:v>0</x:v>
      </x:c>
      <x:c r="S207" s="34" t="n">
        <x:v>0</x:v>
      </x:c>
      <x:c r="T207" s="34" t="n">
        <x:v>247.593892</x:v>
      </x:c>
      <x:c r="U207" s="34" t="str">
        <x:v>POS-GWY-E:BF_RELINE:2037|POS-GWY-EAF:EAF_RENEWABLE:2033|POS-GWY-W:H2_DRI_EAF:2035|POS-POH-N:BF_RELINE:2029|POS-POH-S:H2_DRI_EAF:2032</x:v>
      </x:c>
      <x:c r="V207" s="34" t="str">
        <x:v>model_generated_candidate</x:v>
      </x:c>
      <x:c r="W207" s="34" t="str">
        <x:v>Generated from disclosed-path facility calendar, technology set and template contracting assumptions; not a company-announced project</x:v>
      </x:c>
    </x:row>
    <x:row r="208">
      <x:c r="A208" s="34" t="str">
        <x:v>CAND-F7E323CFBAE2EF</x:v>
      </x:c>
      <x:c r="B208" s="34" t="str">
        <x:v>POSCO_KR</x:v>
      </x:c>
      <x:c r="C208" s="34" t="str">
        <x:v>POSCO</x:v>
      </x:c>
      <x:c r="D208" s="34" t="str">
        <x:v>P5</x:v>
      </x:c>
      <x:c r="E208" s="34" t="str">
        <x:v>조기 계약형 전환</x:v>
      </x:c>
      <x:c r="F208" s="34" t="str">
        <x:v>PORT-55C806ADE1CE</x:v>
      </x:c>
      <x:c r="G208" s="34" t="str">
        <x:v>DISCLOSED_PATH</x:v>
      </x:c>
      <x:c r="H208" s="34" t="n">
        <x:v>5</x:v>
      </x:c>
      <x:c r="I208" s="34" t="n">
        <x:v>2028</x:v>
      </x:c>
      <x:c r="J208" s="34" t="n">
        <x:v>2036</x:v>
      </x:c>
      <x:c r="K208" s="34" t="n">
        <x:v>0</x:v>
      </x:c>
      <x:c r="L208" s="34" t="n">
        <x:v>0.197861</x:v>
      </x:c>
      <x:c r="M208" s="34" t="n">
        <x:v>0.770053</x:v>
      </x:c>
      <x:c r="N208" s="34" t="n">
        <x:v>0.032086</x:v>
      </x:c>
      <x:c r="O208" s="34" t="n">
        <x:v>0.7</x:v>
      </x:c>
      <x:c r="P208" s="34" t="n">
        <x:v>0.65</x:v>
      </x:c>
      <x:c r="Q208" s="34" t="n">
        <x:v>0.65</x:v>
      </x:c>
      <x:c r="R208" s="34" t="n">
        <x:v>0.6</x:v>
      </x:c>
      <x:c r="S208" s="34" t="n">
        <x:v>0.025</x:v>
      </x:c>
      <x:c r="T208" s="34" t="n">
        <x:v>513.306251</x:v>
      </x:c>
      <x:c r="U208" s="34" t="str">
        <x:v>POS-GWY-E:H2_DRI_EAF:2036|POS-GWY-EAF:EAF_RENEWABLE:2032|POS-GWY-W:H2_DRI_EAF:2034|POS-POH-N:H2_DRI_EAF:2028|POS-POH-S:SCRAP_EAF:2031</x:v>
      </x:c>
      <x:c r="V208" s="34" t="str">
        <x:v>model_generated_candidate</x:v>
      </x:c>
      <x:c r="W208" s="34" t="str">
        <x:v>Generated from disclosed-path facility calendar, technology set and template contracting assumptions; not a company-announced project</x:v>
      </x:c>
    </x:row>
    <x:row r="209">
      <x:c r="A209" s="34" t="str">
        <x:v>CAND-FA7B8394F05343</x:v>
      </x:c>
      <x:c r="B209" s="34" t="str">
        <x:v>POSCO_KR</x:v>
      </x:c>
      <x:c r="C209" s="34" t="str">
        <x:v>POSCO</x:v>
      </x:c>
      <x:c r="D209" s="34" t="str">
        <x:v>P2</x:v>
      </x:c>
      <x:c r="E209" s="34" t="str">
        <x:v>지연·부분헤지</x:v>
      </x:c>
      <x:c r="F209" s="34" t="str">
        <x:v>PORT-33B2B6D2E85D</x:v>
      </x:c>
      <x:c r="G209" s="34" t="str">
        <x:v>DISCLOSED_PATH</x:v>
      </x:c>
      <x:c r="H209" s="34" t="n">
        <x:v>5</x:v>
      </x:c>
      <x:c r="I209" s="34" t="n">
        <x:v>2029</x:v>
      </x:c>
      <x:c r="J209" s="34" t="n">
        <x:v>2037</x:v>
      </x:c>
      <x:c r="K209" s="34" t="n">
        <x:v>0</x:v>
      </x:c>
      <x:c r="L209" s="34" t="n">
        <x:v>0</x:v>
      </x:c>
      <x:c r="M209" s="34" t="n">
        <x:v>0.967914</x:v>
      </x:c>
      <x:c r="N209" s="34" t="n">
        <x:v>0.032086</x:v>
      </x:c>
      <x:c r="O209" s="34" t="n">
        <x:v>0.15</x:v>
      </x:c>
      <x:c r="P209" s="34" t="n">
        <x:v>0.1</x:v>
      </x:c>
      <x:c r="Q209" s="34" t="n">
        <x:v>0.2</x:v>
      </x:c>
      <x:c r="R209" s="34" t="n">
        <x:v>0.1</x:v>
      </x:c>
      <x:c r="S209" s="34" t="n">
        <x:v>0.01</x:v>
      </x:c>
      <x:c r="T209" s="34" t="n">
        <x:v>467.254222</x:v>
      </x:c>
      <x:c r="U209" s="34" t="str">
        <x:v>POS-GWY-E:H2_DRI_EAF:2037|POS-GWY-EAF:EAF_RENEWABLE:2033|POS-GWY-W:H2_DRI_EAF:2035|POS-POH-N:H2_DRI_EAF:2029|POS-POH-S:H2_DRI_EAF:2032</x:v>
      </x:c>
      <x:c r="V209" s="34" t="str">
        <x:v>model_generated_candidate</x:v>
      </x:c>
      <x:c r="W209" s="34" t="str">
        <x:v>Generated from disclosed-path facility calendar, technology set and template contracting assumptions; not a company-announced project</x:v>
      </x:c>
    </x:row>
    <x:row r="210">
      <x:c r="A210" s="34" t="str">
        <x:v>CAND-FB38E29238A35A</x:v>
      </x:c>
      <x:c r="B210" s="34" t="str">
        <x:v>POSCO_KR</x:v>
      </x:c>
      <x:c r="C210" s="34" t="str">
        <x:v>POSCO</x:v>
      </x:c>
      <x:c r="D210" s="34" t="str">
        <x:v>P4</x:v>
      </x:c>
      <x:c r="E210" s="34" t="str">
        <x:v>균형형 전환</x:v>
      </x:c>
      <x:c r="F210" s="34" t="str">
        <x:v>PORT-BF13F3843418</x:v>
      </x:c>
      <x:c r="G210" s="34" t="str">
        <x:v>DISCLOSED_PATH</x:v>
      </x:c>
      <x:c r="H210" s="34" t="n">
        <x:v>5</x:v>
      </x:c>
      <x:c r="I210" s="34" t="n">
        <x:v>2028</x:v>
      </x:c>
      <x:c r="J210" s="34" t="n">
        <x:v>2036</x:v>
      </x:c>
      <x:c r="K210" s="34" t="n">
        <x:v>0.197861</x:v>
      </x:c>
      <x:c r="L210" s="34" t="n">
        <x:v>0.219251</x:v>
      </x:c>
      <x:c r="M210" s="34" t="n">
        <x:v>0.550802</x:v>
      </x:c>
      <x:c r="N210" s="34" t="n">
        <x:v>0.032086</x:v>
      </x:c>
      <x:c r="O210" s="34" t="n">
        <x:v>0.5</x:v>
      </x:c>
      <x:c r="P210" s="34" t="n">
        <x:v>0.45</x:v>
      </x:c>
      <x:c r="Q210" s="34" t="n">
        <x:v>0.5</x:v>
      </x:c>
      <x:c r="R210" s="34" t="n">
        <x:v>0.4</x:v>
      </x:c>
      <x:c r="S210" s="34" t="n">
        <x:v>0.02</x:v>
      </x:c>
      <x:c r="T210" s="34" t="n">
        <x:v>390.00625</x:v>
      </x:c>
      <x:c r="U210" s="34" t="str">
        <x:v>POS-GWY-E:H2_DRI_EAF:2036|POS-GWY-EAF:EAF_RENEWABLE:2032|POS-GWY-W:H2_DRI_EAF:2034|POS-POH-N:SCRAP_EAF:2028|POS-POH-S:BF_RELINE:2031</x:v>
      </x:c>
      <x:c r="V210" s="34" t="str">
        <x:v>model_generated_candidate</x:v>
      </x:c>
      <x:c r="W210" s="34" t="str">
        <x:v>Generated from disclosed-path facility calendar, technology set and template contracting assumptions; not a company-announced project</x:v>
      </x:c>
    </x:row>
    <x:row r="211">
      <x:c r="A211" s="34" t="str">
        <x:v>CAND-FD711AF265BB17</x:v>
      </x:c>
      <x:c r="B211" s="34" t="str">
        <x:v>POSCO_KR</x:v>
      </x:c>
      <x:c r="C211" s="34" t="str">
        <x:v>POSCO</x:v>
      </x:c>
      <x:c r="D211" s="34" t="str">
        <x:v>P2</x:v>
      </x:c>
      <x:c r="E211" s="34" t="str">
        <x:v>지연·부분헤지</x:v>
      </x:c>
      <x:c r="F211" s="34" t="str">
        <x:v>PORT-AD0B41B0F73F</x:v>
      </x:c>
      <x:c r="G211" s="34" t="str">
        <x:v>DISCLOSED_PATH</x:v>
      </x:c>
      <x:c r="H211" s="34" t="n">
        <x:v>5</x:v>
      </x:c>
      <x:c r="I211" s="34" t="n">
        <x:v>2029</x:v>
      </x:c>
      <x:c r="J211" s="34" t="n">
        <x:v>2037</x:v>
      </x:c>
      <x:c r="K211" s="34" t="n">
        <x:v>0.417112</x:v>
      </x:c>
      <x:c r="L211" s="34" t="n">
        <x:v>0</x:v>
      </x:c>
      <x:c r="M211" s="34" t="n">
        <x:v>0.550802</x:v>
      </x:c>
      <x:c r="N211" s="34" t="n">
        <x:v>0.032086</x:v>
      </x:c>
      <x:c r="O211" s="34" t="n">
        <x:v>0.15</x:v>
      </x:c>
      <x:c r="P211" s="34" t="n">
        <x:v>0.1</x:v>
      </x:c>
      <x:c r="Q211" s="34" t="n">
        <x:v>0.2</x:v>
      </x:c>
      <x:c r="R211" s="34" t="n">
        <x:v>0.1</x:v>
      </x:c>
      <x:c r="S211" s="34" t="n">
        <x:v>0.01</x:v>
      </x:c>
      <x:c r="T211" s="34" t="n">
        <x:v>208.174258</x:v>
      </x:c>
      <x:c r="U211" s="34" t="str">
        <x:v>POS-GWY-E:H2_DRI_EAF:2037|POS-GWY-EAF:EAF_RENEWABLE:2033|POS-GWY-W:H2_DRI_EAF:2035|POS-POH-N:BF_RELINE:2029|POS-POH-S:BF_RELINE:2032</x:v>
      </x:c>
      <x:c r="V211" s="34" t="str">
        <x:v>model_generated_candidate</x:v>
      </x:c>
      <x:c r="W211" s="34" t="str">
        <x:v>Generated from disclosed-path facility calendar, technology set and template contracting assumptions; not a company-announced project</x:v>
      </x:c>
    </x:row>
    <x:row r="212">
      <x:c r="A212" s="34" t="str">
        <x:v>CAND-FF148D6EFA33D4</x:v>
      </x:c>
      <x:c r="B212" s="34" t="str">
        <x:v>POSCO_KR</x:v>
      </x:c>
      <x:c r="C212" s="34" t="str">
        <x:v>POSCO</x:v>
      </x:c>
      <x:c r="D212" s="34" t="str">
        <x:v>P4</x:v>
      </x:c>
      <x:c r="E212" s="34" t="str">
        <x:v>균형형 전환</x:v>
      </x:c>
      <x:c r="F212" s="34" t="str">
        <x:v>PORT-1319BCCBA344</x:v>
      </x:c>
      <x:c r="G212" s="34" t="str">
        <x:v>DISCLOSED_PATH</x:v>
      </x:c>
      <x:c r="H212" s="34" t="n">
        <x:v>5</x:v>
      </x:c>
      <x:c r="I212" s="34" t="n">
        <x:v>2028</x:v>
      </x:c>
      <x:c r="J212" s="34" t="n">
        <x:v>2036</x:v>
      </x:c>
      <x:c r="K212" s="34" t="n">
        <x:v>0.275401</x:v>
      </x:c>
      <x:c r="L212" s="34" t="n">
        <x:v>0</x:v>
      </x:c>
      <x:c r="M212" s="34" t="n">
        <x:v>0.692513</x:v>
      </x:c>
      <x:c r="N212" s="34" t="n">
        <x:v>0.032086</x:v>
      </x:c>
      <x:c r="O212" s="34" t="n">
        <x:v>0.5</x:v>
      </x:c>
      <x:c r="P212" s="34" t="n">
        <x:v>0.45</x:v>
      </x:c>
      <x:c r="Q212" s="34" t="n">
        <x:v>0.5</x:v>
      </x:c>
      <x:c r="R212" s="34" t="n">
        <x:v>0.4</x:v>
      </x:c>
      <x:c r="S212" s="34" t="n">
        <x:v>0.02</x:v>
      </x:c>
      <x:c r="T212" s="34" t="n">
        <x:v>449.530784</x:v>
      </x:c>
      <x:c r="U212" s="34" t="str">
        <x:v>POS-GWY-E:BF_RELINE:2036|POS-GWY-EAF:EAF_RENEWABLE:2032|POS-GWY-W:H2_DRI_EAF:2034|POS-POH-N:H2_DRI_EAF:2028|POS-POH-S:H2_DRI_EAF:2031</x:v>
      </x:c>
      <x:c r="V212" s="34" t="str">
        <x:v>model_generated_candidate</x:v>
      </x:c>
      <x:c r="W212" s="34" t="str">
        <x:v>Generated from disclosed-path facility calendar, technology set and template contracting assumptions; not a company-announced project</x:v>
      </x:c>
    </x:row>
    <x:row r="213">
      <x:c r="A213" s="34" t="str">
        <x:v>CAND-004C84C918F9F0</x:v>
      </x:c>
      <x:c r="B213" s="34" t="str">
        <x:v>NIPPON_STEEL_JP</x:v>
      </x:c>
      <x:c r="C213" s="34" t="str">
        <x:v>Nippon Steel</x:v>
      </x:c>
      <x:c r="D213" s="34" t="str">
        <x:v>P2</x:v>
      </x:c>
      <x:c r="E213" s="34" t="str">
        <x:v>지연·부분헤지</x:v>
      </x:c>
      <x:c r="F213" s="34" t="str">
        <x:v>PORT-7DC6DDA55D96</x:v>
      </x:c>
      <x:c r="G213" s="34" t="str">
        <x:v>DISCLOSED_PATH</x:v>
      </x:c>
      <x:c r="H213" s="34" t="n">
        <x:v>5</x:v>
      </x:c>
      <x:c r="I213" s="34" t="n">
        <x:v>2029</x:v>
      </x:c>
      <x:c r="J213" s="34" t="n">
        <x:v>2038</x:v>
      </x:c>
      <x:c r="K213" s="34" t="n">
        <x:v>0.437018</x:v>
      </x:c>
      <x:c r="L213" s="34" t="n">
        <x:v>0.208226</x:v>
      </x:c>
      <x:c r="M213" s="34" t="n">
        <x:v>0.354756</x:v>
      </x:c>
      <x:c r="N213" s="34" t="n">
        <x:v>0</x:v>
      </x:c>
      <x:c r="O213" s="34" t="n">
        <x:v>0.15</x:v>
      </x:c>
      <x:c r="P213" s="34" t="n">
        <x:v>0.1</x:v>
      </x:c>
      <x:c r="Q213" s="34" t="n">
        <x:v>0.2</x:v>
      </x:c>
      <x:c r="R213" s="34" t="n">
        <x:v>0.1</x:v>
      </x:c>
      <x:c r="S213" s="34" t="n">
        <x:v>0.01</x:v>
      </x:c>
      <x:c r="T213" s="34" t="n">
        <x:v>209.368973</x:v>
      </x:c>
      <x:c r="U213" s="34" t="str">
        <x:v>NS-EAST:SCRAP_EAF:2034|NS-KANSAI:H2_DRI_EAF:2036|NS-KYUSHU:BF_RELINE:2029|NS-NAGOYA:BF_RELINE:2032|NS-SETOUCHI:H2_DRI_EAF:2038</x:v>
      </x:c>
      <x:c r="V213" s="34" t="str">
        <x:v>model_generated_candidate</x:v>
      </x:c>
      <x:c r="W213" s="34" t="str">
        <x:v>Generated from disclosed-path facility calendar, technology set and template contracting assumptions; not a company-announced project</x:v>
      </x:c>
    </x:row>
    <x:row r="214">
      <x:c r="A214" s="34" t="str">
        <x:v>CAND-005FE12044C08C</x:v>
      </x:c>
      <x:c r="B214" s="34" t="str">
        <x:v>NIPPON_STEEL_JP</x:v>
      </x:c>
      <x:c r="C214" s="34" t="str">
        <x:v>Nippon Steel</x:v>
      </x:c>
      <x:c r="D214" s="34" t="str">
        <x:v>P2</x:v>
      </x:c>
      <x:c r="E214" s="34" t="str">
        <x:v>지연·부분헤지</x:v>
      </x:c>
      <x:c r="F214" s="34" t="str">
        <x:v>PORT-91584DA203D9</x:v>
      </x:c>
      <x:c r="G214" s="34" t="str">
        <x:v>DISCLOSED_PATH</x:v>
      </x:c>
      <x:c r="H214" s="34" t="n">
        <x:v>5</x:v>
      </x:c>
      <x:c r="I214" s="34" t="n">
        <x:v>2029</x:v>
      </x:c>
      <x:c r="J214" s="34" t="n">
        <x:v>2038</x:v>
      </x:c>
      <x:c r="K214" s="34" t="n">
        <x:v>0.611825</x:v>
      </x:c>
      <x:c r="L214" s="34" t="n">
        <x:v>0.179949</x:v>
      </x:c>
      <x:c r="M214" s="34" t="n">
        <x:v>0.208226</x:v>
      </x:c>
      <x:c r="N214" s="34" t="n">
        <x:v>0</x:v>
      </x:c>
      <x:c r="O214" s="34" t="n">
        <x:v>0.15</x:v>
      </x:c>
      <x:c r="P214" s="34" t="n">
        <x:v>0.1</x:v>
      </x:c>
      <x:c r="Q214" s="34" t="n">
        <x:v>0.2</x:v>
      </x:c>
      <x:c r="R214" s="34" t="n">
        <x:v>0.1</x:v>
      </x:c>
      <x:c r="S214" s="34" t="n">
        <x:v>0.01</x:v>
      </x:c>
      <x:c r="T214" s="34" t="n">
        <x:v>223.148943</x:v>
      </x:c>
      <x:c r="U214" s="34" t="str">
        <x:v>NS-EAST:H2_DRI_EAF:2034|NS-KANSAI:BF_RELINE:2036|NS-KYUSHU:BF_RELINE:2029|NS-NAGOYA:SCRAP_EAF:2032|NS-SETOUCHI:BF_RELINE:2038</x:v>
      </x:c>
      <x:c r="V214" s="34" t="str">
        <x:v>model_generated_candidate</x:v>
      </x:c>
      <x:c r="W214" s="34" t="str">
        <x:v>Generated from disclosed-path facility calendar, technology set and template contracting assumptions; not a company-announced project</x:v>
      </x:c>
    </x:row>
    <x:row r="215">
      <x:c r="A215" s="34" t="str">
        <x:v>CAND-0072E209CF0979</x:v>
      </x:c>
      <x:c r="B215" s="34" t="str">
        <x:v>NIPPON_STEEL_JP</x:v>
      </x:c>
      <x:c r="C215" s="34" t="str">
        <x:v>Nippon Steel</x:v>
      </x:c>
      <x:c r="D215" s="34" t="str">
        <x:v>P3</x:v>
      </x:c>
      <x:c r="E215" s="34" t="str">
        <x:v>균형형 라이트헤지</x:v>
      </x:c>
      <x:c r="F215" s="34" t="str">
        <x:v>PORT-2D5B38A00FC3</x:v>
      </x:c>
      <x:c r="G215" s="34" t="str">
        <x:v>DISCLOSED_PATH</x:v>
      </x:c>
      <x:c r="H215" s="34" t="n">
        <x:v>5</x:v>
      </x:c>
      <x:c r="I215" s="34" t="n">
        <x:v>2029</x:v>
      </x:c>
      <x:c r="J215" s="34" t="n">
        <x:v>2038</x:v>
      </x:c>
      <x:c r="K215" s="34" t="n">
        <x:v>0.372751</x:v>
      </x:c>
      <x:c r="L215" s="34" t="n">
        <x:v>0.208226</x:v>
      </x:c>
      <x:c r="M215" s="34" t="n">
        <x:v>0.419023</x:v>
      </x:c>
      <x:c r="N215" s="34" t="n">
        <x:v>0</x:v>
      </x:c>
      <x:c r="O215" s="34" t="n">
        <x:v>0.3</x:v>
      </x:c>
      <x:c r="P215" s="34" t="n">
        <x:v>0.25</x:v>
      </x:c>
      <x:c r="Q215" s="34" t="n">
        <x:v>0.35</x:v>
      </x:c>
      <x:c r="R215" s="34" t="n">
        <x:v>0.25</x:v>
      </x:c>
      <x:c r="S215" s="34" t="n">
        <x:v>0.015</x:v>
      </x:c>
      <x:c r="T215" s="34" t="n">
        <x:v>360.838973</x:v>
      </x:c>
      <x:c r="U215" s="34" t="str">
        <x:v>NS-EAST:SCRAP_EAF:2034|NS-KANSAI:H2_DRI_EAF:2036|NS-KYUSHU:H2_DRI_EAF:2029|NS-NAGOYA:BF_RELINE:2032|NS-SETOUCHI:BF_RELINE:2038</x:v>
      </x:c>
      <x:c r="V215" s="34" t="str">
        <x:v>model_generated_candidate</x:v>
      </x:c>
      <x:c r="W215" s="34" t="str">
        <x:v>Generated from disclosed-path facility calendar, technology set and template contracting assumptions; not a company-announced project</x:v>
      </x:c>
    </x:row>
    <x:row r="216">
      <x:c r="A216" s="34" t="str">
        <x:v>CAND-009A19D2863AA5</x:v>
      </x:c>
      <x:c r="B216" s="34" t="str">
        <x:v>NIPPON_STEEL_JP</x:v>
      </x:c>
      <x:c r="C216" s="34" t="str">
        <x:v>Nippon Steel</x:v>
      </x:c>
      <x:c r="D216" s="34" t="str">
        <x:v>P1</x:v>
      </x:c>
      <x:c r="E216" s="34" t="str">
        <x:v>지연·현물조달</x:v>
      </x:c>
      <x:c r="F216" s="34" t="str">
        <x:v>PORT-1411E33E415A</x:v>
      </x:c>
      <x:c r="G216" s="34" t="str">
        <x:v>DISCLOSED_PATH</x:v>
      </x:c>
      <x:c r="H216" s="34" t="n">
        <x:v>5</x:v>
      </x:c>
      <x:c r="I216" s="34" t="n">
        <x:v>2029</x:v>
      </x:c>
      <x:c r="J216" s="34" t="n">
        <x:v>2038</x:v>
      </x:c>
      <x:c r="K216" s="34" t="n">
        <x:v>0</x:v>
      </x:c>
      <x:c r="L216" s="34" t="n">
        <x:v>0.791774</x:v>
      </x:c>
      <x:c r="M216" s="34" t="n">
        <x:v>0.208226</x:v>
      </x:c>
      <x:c r="N216" s="34" t="n">
        <x:v>0</x:v>
      </x:c>
      <x:c r="O216" s="34" t="n">
        <x:v>0</x:v>
      </x:c>
      <x:c r="P216" s="34" t="n">
        <x:v>0</x:v>
      </x:c>
      <x:c r="Q216" s="34" t="n">
        <x:v>0.1</x:v>
      </x:c>
      <x:c r="R216" s="34" t="n">
        <x:v>0</x:v>
      </x:c>
      <x:c r="S216" s="34" t="n">
        <x:v>0</x:v>
      </x:c>
      <x:c r="T216" s="34" t="n">
        <x:v>447.753948</x:v>
      </x:c>
      <x:c r="U216" s="34" t="str">
        <x:v>NS-EAST:H2_DRI_EAF:2034|NS-KANSAI:SCRAP_EAF:2036|NS-KYUSHU:SCRAP_EAF:2029|NS-NAGOYA:SCRAP_EAF:2032|NS-SETOUCHI:SCRAP_EAF:2038</x:v>
      </x:c>
      <x:c r="V216" s="34" t="str">
        <x:v>model_generated_candidate</x:v>
      </x:c>
      <x:c r="W216" s="34" t="str">
        <x:v>Generated from disclosed-path facility calendar, technology set and template contracting assumptions; not a company-announced project</x:v>
      </x:c>
    </x:row>
    <x:row r="217">
      <x:c r="A217" s="34" t="str">
        <x:v>CAND-010C6570E9C0CB</x:v>
      </x:c>
      <x:c r="B217" s="34" t="str">
        <x:v>NIPPON_STEEL_JP</x:v>
      </x:c>
      <x:c r="C217" s="34" t="str">
        <x:v>Nippon Steel</x:v>
      </x:c>
      <x:c r="D217" s="34" t="str">
        <x:v>P2</x:v>
      </x:c>
      <x:c r="E217" s="34" t="str">
        <x:v>지연·부분헤지</x:v>
      </x:c>
      <x:c r="F217" s="34" t="str">
        <x:v>PORT-AA677CCE073D</x:v>
      </x:c>
      <x:c r="G217" s="34" t="str">
        <x:v>DISCLOSED_PATH</x:v>
      </x:c>
      <x:c r="H217" s="34" t="n">
        <x:v>5</x:v>
      </x:c>
      <x:c r="I217" s="34" t="n">
        <x:v>2029</x:v>
      </x:c>
      <x:c r="J217" s="34" t="n">
        <x:v>2038</x:v>
      </x:c>
      <x:c r="K217" s="34" t="n">
        <x:v>0.534704</x:v>
      </x:c>
      <x:c r="L217" s="34" t="n">
        <x:v>0</x:v>
      </x:c>
      <x:c r="M217" s="34" t="n">
        <x:v>0.465296</x:v>
      </x:c>
      <x:c r="N217" s="34" t="n">
        <x:v>0</x:v>
      </x:c>
      <x:c r="O217" s="34" t="n">
        <x:v>0.15</x:v>
      </x:c>
      <x:c r="P217" s="34" t="n">
        <x:v>0.1</x:v>
      </x:c>
      <x:c r="Q217" s="34" t="n">
        <x:v>0.2</x:v>
      </x:c>
      <x:c r="R217" s="34" t="n">
        <x:v>0.1</x:v>
      </x:c>
      <x:c r="S217" s="34" t="n">
        <x:v>0.01</x:v>
      </x:c>
      <x:c r="T217" s="34" t="n">
        <x:v>325.838969</x:v>
      </x:c>
      <x:c r="U217" s="34" t="str">
        <x:v>NS-EAST:H2_DRI_EAF:2034|NS-KANSAI:BF_RELINE:2036|NS-KYUSHU:H2_DRI_EAF:2029|NS-NAGOYA:BF_RELINE:2032|NS-SETOUCHI:BF_RELINE:2038</x:v>
      </x:c>
      <x:c r="V217" s="34" t="str">
        <x:v>model_generated_candidate</x:v>
      </x:c>
      <x:c r="W217" s="34" t="str">
        <x:v>Generated from disclosed-path facility calendar, technology set and template contracting assumptions; not a company-announced project</x:v>
      </x:c>
    </x:row>
    <x:row r="218">
      <x:c r="A218" s="34" t="str">
        <x:v>CAND-019751624D6B83</x:v>
      </x:c>
      <x:c r="B218" s="34" t="str">
        <x:v>NIPPON_STEEL_JP</x:v>
      </x:c>
      <x:c r="C218" s="34" t="str">
        <x:v>Nippon Steel</x:v>
      </x:c>
      <x:c r="D218" s="34" t="str">
        <x:v>P1</x:v>
      </x:c>
      <x:c r="E218" s="34" t="str">
        <x:v>지연·현물조달</x:v>
      </x:c>
      <x:c r="F218" s="34" t="str">
        <x:v>PORT-6A7794E0A685</x:v>
      </x:c>
      <x:c r="G218" s="34" t="str">
        <x:v>DISCLOSED_PATH</x:v>
      </x:c>
      <x:c r="H218" s="34" t="n">
        <x:v>5</x:v>
      </x:c>
      <x:c r="I218" s="34" t="n">
        <x:v>2029</x:v>
      </x:c>
      <x:c r="J218" s="34" t="n">
        <x:v>2038</x:v>
      </x:c>
      <x:c r="K218" s="34" t="n">
        <x:v>0.192802</x:v>
      </x:c>
      <x:c r="L218" s="34" t="n">
        <x:v>0.550129</x:v>
      </x:c>
      <x:c r="M218" s="34" t="n">
        <x:v>0.257069</x:v>
      </x:c>
      <x:c r="N218" s="34" t="n">
        <x:v>0</x:v>
      </x:c>
      <x:c r="O218" s="34" t="n">
        <x:v>0</x:v>
      </x:c>
      <x:c r="P218" s="34" t="n">
        <x:v>0</x:v>
      </x:c>
      <x:c r="Q218" s="34" t="n">
        <x:v>0.1</x:v>
      </x:c>
      <x:c r="R218" s="34" t="n">
        <x:v>0</x:v>
      </x:c>
      <x:c r="S218" s="34" t="n">
        <x:v>0</x:v>
      </x:c>
      <x:c r="T218" s="34" t="n">
        <x:v>434.748946</x:v>
      </x:c>
      <x:c r="U218" s="34" t="str">
        <x:v>NS-EAST:SCRAP_EAF:2034|NS-KANSAI:SCRAP_EAF:2036|NS-KYUSHU:H2_DRI_EAF:2029|NS-NAGOYA:SCRAP_EAF:2032|NS-SETOUCHI:BF_RELINE:2038</x:v>
      </x:c>
      <x:c r="V218" s="34" t="str">
        <x:v>model_generated_candidate</x:v>
      </x:c>
      <x:c r="W218" s="34" t="str">
        <x:v>Generated from disclosed-path facility calendar, technology set and template contracting assumptions; not a company-announced project</x:v>
      </x:c>
    </x:row>
    <x:row r="219">
      <x:c r="A219" s="34" t="str">
        <x:v>CAND-01DA862CD3F2DB</x:v>
      </x:c>
      <x:c r="B219" s="34" t="str">
        <x:v>NIPPON_STEEL_JP</x:v>
      </x:c>
      <x:c r="C219" s="34" t="str">
        <x:v>Nippon Steel</x:v>
      </x:c>
      <x:c r="D219" s="34" t="str">
        <x:v>P1</x:v>
      </x:c>
      <x:c r="E219" s="34" t="str">
        <x:v>지연·현물조달</x:v>
      </x:c>
      <x:c r="F219" s="34" t="str">
        <x:v>PORT-0B5EB1BCB507</x:v>
      </x:c>
      <x:c r="G219" s="34" t="str">
        <x:v>DISCLOSED_PATH</x:v>
      </x:c>
      <x:c r="H219" s="34" t="n">
        <x:v>5</x:v>
      </x:c>
      <x:c r="I219" s="34" t="n">
        <x:v>2029</x:v>
      </x:c>
      <x:c r="J219" s="34" t="n">
        <x:v>2038</x:v>
      </x:c>
      <x:c r="K219" s="34" t="n">
        <x:v>0</x:v>
      </x:c>
      <x:c r="L219" s="34" t="n">
        <x:v>0.580977</x:v>
      </x:c>
      <x:c r="M219" s="34" t="n">
        <x:v>0.419023</x:v>
      </x:c>
      <x:c r="N219" s="34" t="n">
        <x:v>0</x:v>
      </x:c>
      <x:c r="O219" s="34" t="n">
        <x:v>0</x:v>
      </x:c>
      <x:c r="P219" s="34" t="n">
        <x:v>0</x:v>
      </x:c>
      <x:c r="Q219" s="34" t="n">
        <x:v>0.1</x:v>
      </x:c>
      <x:c r="R219" s="34" t="n">
        <x:v>0</x:v>
      </x:c>
      <x:c r="S219" s="34" t="n">
        <x:v>0</x:v>
      </x:c>
      <x:c r="T219" s="34" t="n">
        <x:v>469.153947</x:v>
      </x:c>
      <x:c r="U219" s="34" t="str">
        <x:v>NS-EAST:SCRAP_EAF:2034|NS-KANSAI:H2_DRI_EAF:2036|NS-KYUSHU:H2_DRI_EAF:2029|NS-NAGOYA:SCRAP_EAF:2032|NS-SETOUCHI:SCRAP_EAF:2038</x:v>
      </x:c>
      <x:c r="V219" s="34" t="str">
        <x:v>model_generated_candidate</x:v>
      </x:c>
      <x:c r="W219" s="34" t="str">
        <x:v>Generated from disclosed-path facility calendar, technology set and template contracting assumptions; not a company-announced project</x:v>
      </x:c>
    </x:row>
    <x:row r="220">
      <x:c r="A220" s="34" t="str">
        <x:v>CAND-01E162B32B2ECC</x:v>
      </x:c>
      <x:c r="B220" s="34" t="str">
        <x:v>NIPPON_STEEL_JP</x:v>
      </x:c>
      <x:c r="C220" s="34" t="str">
        <x:v>Nippon Steel</x:v>
      </x:c>
      <x:c r="D220" s="34" t="str">
        <x:v>P1</x:v>
      </x:c>
      <x:c r="E220" s="34" t="str">
        <x:v>지연·현물조달</x:v>
      </x:c>
      <x:c r="F220" s="34" t="str">
        <x:v>PORT-5B10574DEFA3</x:v>
      </x:c>
      <x:c r="G220" s="34" t="str">
        <x:v>DISCLOSED_PATH</x:v>
      </x:c>
      <x:c r="H220" s="34" t="n">
        <x:v>5</x:v>
      </x:c>
      <x:c r="I220" s="34" t="n">
        <x:v>2029</x:v>
      </x:c>
      <x:c r="J220" s="34" t="n">
        <x:v>2038</x:v>
      </x:c>
      <x:c r="K220" s="34" t="n">
        <x:v>0.401028</x:v>
      </x:c>
      <x:c r="L220" s="34" t="n">
        <x:v>0.419023</x:v>
      </x:c>
      <x:c r="M220" s="34" t="n">
        <x:v>0.179949</x:v>
      </x:c>
      <x:c r="N220" s="34" t="n">
        <x:v>0</x:v>
      </x:c>
      <x:c r="O220" s="34" t="n">
        <x:v>0</x:v>
      </x:c>
      <x:c r="P220" s="34" t="n">
        <x:v>0</x:v>
      </x:c>
      <x:c r="Q220" s="34" t="n">
        <x:v>0.1</x:v>
      </x:c>
      <x:c r="R220" s="34" t="n">
        <x:v>0</x:v>
      </x:c>
      <x:c r="S220" s="34" t="n">
        <x:v>0</x:v>
      </x:c>
      <x:c r="T220" s="34" t="n">
        <x:v>348.618932</x:v>
      </x:c>
      <x:c r="U220" s="34" t="str">
        <x:v>NS-EAST:BF_RELINE:2034|NS-KANSAI:SCRAP_EAF:2036|NS-KYUSHU:SCRAP_EAF:2029|NS-NAGOYA:H2_DRI_EAF:2032|NS-SETOUCHI:BF_RELINE:2038</x:v>
      </x:c>
      <x:c r="V220" s="34" t="str">
        <x:v>model_generated_candidate</x:v>
      </x:c>
      <x:c r="W220" s="34" t="str">
        <x:v>Generated from disclosed-path facility calendar, technology set and template contracting assumptions; not a company-announced project</x:v>
      </x:c>
    </x:row>
    <x:row r="221">
      <x:c r="A221" s="34" t="str">
        <x:v>CAND-02256CEB115C76</x:v>
      </x:c>
      <x:c r="B221" s="34" t="str">
        <x:v>NIPPON_STEEL_JP</x:v>
      </x:c>
      <x:c r="C221" s="34" t="str">
        <x:v>Nippon Steel</x:v>
      </x:c>
      <x:c r="D221" s="34" t="str">
        <x:v>P1</x:v>
      </x:c>
      <x:c r="E221" s="34" t="str">
        <x:v>지연·현물조달</x:v>
      </x:c>
      <x:c r="F221" s="34" t="str">
        <x:v>PORT-935DD1DF4D42</x:v>
      </x:c>
      <x:c r="G221" s="34" t="str">
        <x:v>DISCLOSED_PATH</x:v>
      </x:c>
      <x:c r="H221" s="34" t="n">
        <x:v>5</x:v>
      </x:c>
      <x:c r="I221" s="34" t="n">
        <x:v>2029</x:v>
      </x:c>
      <x:c r="J221" s="34" t="n">
        <x:v>2038</x:v>
      </x:c>
      <x:c r="K221" s="34" t="n">
        <x:v>0.562982</x:v>
      </x:c>
      <x:c r="L221" s="34" t="n">
        <x:v>0.437018</x:v>
      </x:c>
      <x:c r="M221" s="34" t="n">
        <x:v>0</x:v>
      </x:c>
      <x:c r="N221" s="34" t="n">
        <x:v>0</x:v>
      </x:c>
      <x:c r="O221" s="34" t="n">
        <x:v>0</x:v>
      </x:c>
      <x:c r="P221" s="34" t="n">
        <x:v>0</x:v>
      </x:c>
      <x:c r="Q221" s="34" t="n">
        <x:v>0.1</x:v>
      </x:c>
      <x:c r="R221" s="34" t="n">
        <x:v>0</x:v>
      </x:c>
      <x:c r="S221" s="34" t="n">
        <x:v>0</x:v>
      </x:c>
      <x:c r="T221" s="34" t="n">
        <x:v>294.068932</x:v>
      </x:c>
      <x:c r="U221" s="34" t="str">
        <x:v>NS-EAST:BF_RELINE:2034|NS-KANSAI:BF_RELINE:2036|NS-KYUSHU:SCRAP_EAF:2029|NS-NAGOYA:SCRAP_EAF:2032|NS-SETOUCHI:BF_RELINE:2038</x:v>
      </x:c>
      <x:c r="V221" s="34" t="str">
        <x:v>model_generated_candidate</x:v>
      </x:c>
      <x:c r="W221" s="34" t="str">
        <x:v>Generated from disclosed-path facility calendar, technology set and template contracting assumptions; not a company-announced project</x:v>
      </x:c>
    </x:row>
    <x:row r="222">
      <x:c r="A222" s="34" t="str">
        <x:v>CAND-02373467C77DA5</x:v>
      </x:c>
      <x:c r="B222" s="34" t="str">
        <x:v>NIPPON_STEEL_JP</x:v>
      </x:c>
      <x:c r="C222" s="34" t="str">
        <x:v>Nippon Steel</x:v>
      </x:c>
      <x:c r="D222" s="34" t="str">
        <x:v>P3</x:v>
      </x:c>
      <x:c r="E222" s="34" t="str">
        <x:v>균형형 라이트헤지</x:v>
      </x:c>
      <x:c r="F222" s="34" t="str">
        <x:v>PORT-17AB13B46286</x:v>
      </x:c>
      <x:c r="G222" s="34" t="str">
        <x:v>DISCLOSED_PATH</x:v>
      </x:c>
      <x:c r="H222" s="34" t="n">
        <x:v>5</x:v>
      </x:c>
      <x:c r="I222" s="34" t="n">
        <x:v>2029</x:v>
      </x:c>
      <x:c r="J222" s="34" t="n">
        <x:v>2038</x:v>
      </x:c>
      <x:c r="K222" s="34" t="n">
        <x:v>0.179949</x:v>
      </x:c>
      <x:c r="L222" s="34" t="n">
        <x:v>0.37018</x:v>
      </x:c>
      <x:c r="M222" s="34" t="n">
        <x:v>0.449871</x:v>
      </x:c>
      <x:c r="N222" s="34" t="n">
        <x:v>0</x:v>
      </x:c>
      <x:c r="O222" s="34" t="n">
        <x:v>0.3</x:v>
      </x:c>
      <x:c r="P222" s="34" t="n">
        <x:v>0.25</x:v>
      </x:c>
      <x:c r="Q222" s="34" t="n">
        <x:v>0.35</x:v>
      </x:c>
      <x:c r="R222" s="34" t="n">
        <x:v>0.25</x:v>
      </x:c>
      <x:c r="S222" s="34" t="n">
        <x:v>0.015</x:v>
      </x:c>
      <x:c r="T222" s="34" t="n">
        <x:v>385.968972</x:v>
      </x:c>
      <x:c r="U222" s="34" t="str">
        <x:v>NS-EAST:SCRAP_EAF:2034|NS-KANSAI:SCRAP_EAF:2036|NS-KYUSHU:H2_DRI_EAF:2029|NS-NAGOYA:BF_RELINE:2032|NS-SETOUCHI:H2_DRI_EAF:2038</x:v>
      </x:c>
      <x:c r="V222" s="34" t="str">
        <x:v>model_generated_candidate</x:v>
      </x:c>
      <x:c r="W222" s="34" t="str">
        <x:v>Generated from disclosed-path facility calendar, technology set and template contracting assumptions; not a company-announced project</x:v>
      </x:c>
    </x:row>
    <x:row r="223">
      <x:c r="A223" s="34" t="str">
        <x:v>CAND-03000935E928CE</x:v>
      </x:c>
      <x:c r="B223" s="34" t="str">
        <x:v>NIPPON_STEEL_JP</x:v>
      </x:c>
      <x:c r="C223" s="34" t="str">
        <x:v>Nippon Steel</x:v>
      </x:c>
      <x:c r="D223" s="34" t="str">
        <x:v>P4</x:v>
      </x:c>
      <x:c r="E223" s="34" t="str">
        <x:v>균형형 전환</x:v>
      </x:c>
      <x:c r="F223" s="34" t="str">
        <x:v>PORT-1180A2563183</x:v>
      </x:c>
      <x:c r="G223" s="34" t="str">
        <x:v>DISCLOSED_PATH</x:v>
      </x:c>
      <x:c r="H223" s="34" t="n">
        <x:v>5</x:v>
      </x:c>
      <x:c r="I223" s="34" t="n">
        <x:v>2028</x:v>
      </x:c>
      <x:c r="J223" s="34" t="n">
        <x:v>2037</x:v>
      </x:c>
      <x:c r="K223" s="34" t="n">
        <x:v>0.208226</x:v>
      </x:c>
      <x:c r="L223" s="34" t="n">
        <x:v>0.257069</x:v>
      </x:c>
      <x:c r="M223" s="34" t="n">
        <x:v>0.534704</x:v>
      </x:c>
      <x:c r="N223" s="34" t="n">
        <x:v>0</x:v>
      </x:c>
      <x:c r="O223" s="34" t="n">
        <x:v>0.5</x:v>
      </x:c>
      <x:c r="P223" s="34" t="n">
        <x:v>0.45</x:v>
      </x:c>
      <x:c r="Q223" s="34" t="n">
        <x:v>0.5</x:v>
      </x:c>
      <x:c r="R223" s="34" t="n">
        <x:v>0.4</x:v>
      </x:c>
      <x:c r="S223" s="34" t="n">
        <x:v>0.02</x:v>
      </x:c>
      <x:c r="T223" s="34" t="n">
        <x:v>438.998928</x:v>
      </x:c>
      <x:c r="U223" s="34" t="str">
        <x:v>NS-EAST:BF_RELINE:2033|NS-KANSAI:H2_DRI_EAF:2035|NS-KYUSHU:SCRAP_EAF:2028|NS-NAGOYA:H2_DRI_EAF:2031|NS-SETOUCHI:H2_DRI_EAF:2037</x:v>
      </x:c>
      <x:c r="V223" s="34" t="str">
        <x:v>model_generated_candidate</x:v>
      </x:c>
      <x:c r="W223" s="34" t="str">
        <x:v>Generated from disclosed-path facility calendar, technology set and template contracting assumptions; not a company-announced project</x:v>
      </x:c>
    </x:row>
    <x:row r="224">
      <x:c r="A224" s="34" t="str">
        <x:v>CAND-035B76153DEBD7</x:v>
      </x:c>
      <x:c r="B224" s="34" t="str">
        <x:v>NIPPON_STEEL_JP</x:v>
      </x:c>
      <x:c r="C224" s="34" t="str">
        <x:v>Nippon Steel</x:v>
      </x:c>
      <x:c r="D224" s="34" t="str">
        <x:v>P2</x:v>
      </x:c>
      <x:c r="E224" s="34" t="str">
        <x:v>지연·부분헤지</x:v>
      </x:c>
      <x:c r="F224" s="34" t="str">
        <x:v>PORT-64904F869F44</x:v>
      </x:c>
      <x:c r="G224" s="34" t="str">
        <x:v>DISCLOSED_PATH</x:v>
      </x:c>
      <x:c r="H224" s="34" t="n">
        <x:v>5</x:v>
      </x:c>
      <x:c r="I224" s="34" t="n">
        <x:v>2029</x:v>
      </x:c>
      <x:c r="J224" s="34" t="n">
        <x:v>2038</x:v>
      </x:c>
      <x:c r="K224" s="34" t="n">
        <x:v>0.257069</x:v>
      </x:c>
      <x:c r="L224" s="34" t="n">
        <x:v>0.161954</x:v>
      </x:c>
      <x:c r="M224" s="34" t="n">
        <x:v>0.580977</x:v>
      </x:c>
      <x:c r="N224" s="34" t="n">
        <x:v>0</x:v>
      </x:c>
      <x:c r="O224" s="34" t="n">
        <x:v>0.15</x:v>
      </x:c>
      <x:c r="P224" s="34" t="n">
        <x:v>0.1</x:v>
      </x:c>
      <x:c r="Q224" s="34" t="n">
        <x:v>0.2</x:v>
      </x:c>
      <x:c r="R224" s="34" t="n">
        <x:v>0.1</x:v>
      </x:c>
      <x:c r="S224" s="34" t="n">
        <x:v>0.01</x:v>
      </x:c>
      <x:c r="T224" s="34" t="n">
        <x:v>309.828943</x:v>
      </x:c>
      <x:c r="U224" s="34" t="str">
        <x:v>NS-EAST:H2_DRI_EAF:2034|NS-KANSAI:SCRAP_EAF:2036|NS-KYUSHU:BF_RELINE:2029|NS-NAGOYA:H2_DRI_EAF:2032|NS-SETOUCHI:H2_DRI_EAF:2038</x:v>
      </x:c>
      <x:c r="V224" s="34" t="str">
        <x:v>model_generated_candidate</x:v>
      </x:c>
      <x:c r="W224" s="34" t="str">
        <x:v>Generated from disclosed-path facility calendar, technology set and template contracting assumptions; not a company-announced project</x:v>
      </x:c>
    </x:row>
    <x:row r="225">
      <x:c r="A225" s="34" t="str">
        <x:v>CAND-03C75206A5BBB6</x:v>
      </x:c>
      <x:c r="B225" s="34" t="str">
        <x:v>NIPPON_STEEL_JP</x:v>
      </x:c>
      <x:c r="C225" s="34" t="str">
        <x:v>Nippon Steel</x:v>
      </x:c>
      <x:c r="D225" s="34" t="str">
        <x:v>P4</x:v>
      </x:c>
      <x:c r="E225" s="34" t="str">
        <x:v>균형형 전환</x:v>
      </x:c>
      <x:c r="F225" s="34" t="str">
        <x:v>PORT-74466739FC81</x:v>
      </x:c>
      <x:c r="G225" s="34" t="str">
        <x:v>DISCLOSED_PATH</x:v>
      </x:c>
      <x:c r="H225" s="34" t="n">
        <x:v>5</x:v>
      </x:c>
      <x:c r="I225" s="34" t="n">
        <x:v>2028</x:v>
      </x:c>
      <x:c r="J225" s="34" t="n">
        <x:v>2037</x:v>
      </x:c>
      <x:c r="K225" s="34" t="n">
        <x:v>0</x:v>
      </x:c>
      <x:c r="L225" s="34" t="n">
        <x:v>0.372751</x:v>
      </x:c>
      <x:c r="M225" s="34" t="n">
        <x:v>0.627249</x:v>
      </x:c>
      <x:c r="N225" s="34" t="n">
        <x:v>0</x:v>
      </x:c>
      <x:c r="O225" s="34" t="n">
        <x:v>0.5</x:v>
      </x:c>
      <x:c r="P225" s="34" t="n">
        <x:v>0.45</x:v>
      </x:c>
      <x:c r="Q225" s="34" t="n">
        <x:v>0.5</x:v>
      </x:c>
      <x:c r="R225" s="34" t="n">
        <x:v>0.4</x:v>
      </x:c>
      <x:c r="S225" s="34" t="n">
        <x:v>0.02</x:v>
      </x:c>
      <x:c r="T225" s="34" t="n">
        <x:v>544.368946</x:v>
      </x:c>
      <x:c r="U225" s="34" t="str">
        <x:v>NS-EAST:H2_DRI_EAF:2033|NS-KANSAI:H2_DRI_EAF:2035|NS-KYUSHU:H2_DRI_EAF:2028|NS-NAGOYA:SCRAP_EAF:2031|NS-SETOUCHI:SCRAP_EAF:2037</x:v>
      </x:c>
      <x:c r="V225" s="34" t="str">
        <x:v>model_generated_candidate</x:v>
      </x:c>
      <x:c r="W225" s="34" t="str">
        <x:v>Generated from disclosed-path facility calendar, technology set and template contracting assumptions; not a company-announced project</x:v>
      </x:c>
    </x:row>
    <x:row r="226">
      <x:c r="A226" s="34" t="str">
        <x:v>CAND-0458D0D0BAF9BF</x:v>
      </x:c>
      <x:c r="B226" s="34" t="str">
        <x:v>NIPPON_STEEL_JP</x:v>
      </x:c>
      <x:c r="C226" s="34" t="str">
        <x:v>Nippon Steel</x:v>
      </x:c>
      <x:c r="D226" s="34" t="str">
        <x:v>P2</x:v>
      </x:c>
      <x:c r="E226" s="34" t="str">
        <x:v>지연·부분헤지</x:v>
      </x:c>
      <x:c r="F226" s="34" t="str">
        <x:v>PORT-11E9ABA45603</x:v>
      </x:c>
      <x:c r="G226" s="34" t="str">
        <x:v>DISCLOSED_PATH</x:v>
      </x:c>
      <x:c r="H226" s="34" t="n">
        <x:v>5</x:v>
      </x:c>
      <x:c r="I226" s="34" t="n">
        <x:v>2029</x:v>
      </x:c>
      <x:c r="J226" s="34" t="n">
        <x:v>2038</x:v>
      </x:c>
      <x:c r="K226" s="34" t="n">
        <x:v>0.372751</x:v>
      </x:c>
      <x:c r="L226" s="34" t="n">
        <x:v>0</x:v>
      </x:c>
      <x:c r="M226" s="34" t="n">
        <x:v>0.627249</x:v>
      </x:c>
      <x:c r="N226" s="34" t="n">
        <x:v>0</x:v>
      </x:c>
      <x:c r="O226" s="34" t="n">
        <x:v>0.15</x:v>
      </x:c>
      <x:c r="P226" s="34" t="n">
        <x:v>0.1</x:v>
      </x:c>
      <x:c r="Q226" s="34" t="n">
        <x:v>0.2</x:v>
      </x:c>
      <x:c r="R226" s="34" t="n">
        <x:v>0.1</x:v>
      </x:c>
      <x:c r="S226" s="34" t="n">
        <x:v>0.01</x:v>
      </x:c>
      <x:c r="T226" s="34" t="n">
        <x:v>373.438975</x:v>
      </x:c>
      <x:c r="U226" s="34" t="str">
        <x:v>NS-EAST:H2_DRI_EAF:2034|NS-KANSAI:H2_DRI_EAF:2036|NS-KYUSHU:H2_DRI_EAF:2029|NS-NAGOYA:BF_RELINE:2032|NS-SETOUCHI:BF_RELINE:2038</x:v>
      </x:c>
      <x:c r="V226" s="34" t="str">
        <x:v>model_generated_candidate</x:v>
      </x:c>
      <x:c r="W226" s="34" t="str">
        <x:v>Generated from disclosed-path facility calendar, technology set and template contracting assumptions; not a company-announced project</x:v>
      </x:c>
    </x:row>
    <x:row r="227">
      <x:c r="A227" s="34" t="str">
        <x:v>CAND-064368175F3762</x:v>
      </x:c>
      <x:c r="B227" s="34" t="str">
        <x:v>NIPPON_STEEL_JP</x:v>
      </x:c>
      <x:c r="C227" s="34" t="str">
        <x:v>Nippon Steel</x:v>
      </x:c>
      <x:c r="D227" s="34" t="str">
        <x:v>P2</x:v>
      </x:c>
      <x:c r="E227" s="34" t="str">
        <x:v>지연·부분헤지</x:v>
      </x:c>
      <x:c r="F227" s="34" t="str">
        <x:v>PORT-622372E22AA3</x:v>
      </x:c>
      <x:c r="G227" s="34" t="str">
        <x:v>DISCLOSED_PATH</x:v>
      </x:c>
      <x:c r="H227" s="34" t="n">
        <x:v>5</x:v>
      </x:c>
      <x:c r="I227" s="34" t="n">
        <x:v>2029</x:v>
      </x:c>
      <x:c r="J227" s="34" t="n">
        <x:v>2038</x:v>
      </x:c>
      <x:c r="K227" s="34" t="n">
        <x:v>0.401028</x:v>
      </x:c>
      <x:c r="L227" s="34" t="n">
        <x:v>0.257069</x:v>
      </x:c>
      <x:c r="M227" s="34" t="n">
        <x:v>0.341902</x:v>
      </x:c>
      <x:c r="N227" s="34" t="n">
        <x:v>0</x:v>
      </x:c>
      <x:c r="O227" s="34" t="n">
        <x:v>0.15</x:v>
      </x:c>
      <x:c r="P227" s="34" t="n">
        <x:v>0.1</x:v>
      </x:c>
      <x:c r="Q227" s="34" t="n">
        <x:v>0.2</x:v>
      </x:c>
      <x:c r="R227" s="34" t="n">
        <x:v>0.1</x:v>
      </x:c>
      <x:c r="S227" s="34" t="n">
        <x:v>0.01</x:v>
      </x:c>
      <x:c r="T227" s="34" t="n">
        <x:v>355.618933</x:v>
      </x:c>
      <x:c r="U227" s="34" t="str">
        <x:v>NS-EAST:BF_RELINE:2034|NS-KANSAI:H2_DRI_EAF:2036|NS-KYUSHU:SCRAP_EAF:2029|NS-NAGOYA:H2_DRI_EAF:2032|NS-SETOUCHI:BF_RELINE:2038</x:v>
      </x:c>
      <x:c r="V227" s="34" t="str">
        <x:v>model_generated_candidate</x:v>
      </x:c>
      <x:c r="W227" s="34" t="str">
        <x:v>Generated from disclosed-path facility calendar, technology set and template contracting assumptions; not a company-announced project</x:v>
      </x:c>
    </x:row>
    <x:row r="228">
      <x:c r="A228" s="34" t="str">
        <x:v>CAND-0652A8BE4BDF4B</x:v>
      </x:c>
      <x:c r="B228" s="34" t="str">
        <x:v>NIPPON_STEEL_JP</x:v>
      </x:c>
      <x:c r="C228" s="34" t="str">
        <x:v>Nippon Steel</x:v>
      </x:c>
      <x:c r="D228" s="34" t="str">
        <x:v>P6</x:v>
      </x:c>
      <x:c r="E228" s="34" t="str">
        <x:v>조기 고헤지</x:v>
      </x:c>
      <x:c r="F228" s="34" t="str">
        <x:v>PORT-D858126FADAB</x:v>
      </x:c>
      <x:c r="G228" s="34" t="str">
        <x:v>DISCLOSED_PATH</x:v>
      </x:c>
      <x:c r="H228" s="34" t="n">
        <x:v>5</x:v>
      </x:c>
      <x:c r="I228" s="34" t="n">
        <x:v>2028</x:v>
      </x:c>
      <x:c r="J228" s="34" t="n">
        <x:v>2036</x:v>
      </x:c>
      <x:c r="K228" s="34" t="n">
        <x:v>0.161954</x:v>
      </x:c>
      <x:c r="L228" s="34" t="n">
        <x:v>0</x:v>
      </x:c>
      <x:c r="M228" s="34" t="n">
        <x:v>0.838046</x:v>
      </x:c>
      <x:c r="N228" s="34" t="n">
        <x:v>0</x:v>
      </x:c>
      <x:c r="O228" s="34" t="n">
        <x:v>0.9</x:v>
      </x:c>
      <x:c r="P228" s="34" t="n">
        <x:v>0.85</x:v>
      </x:c>
      <x:c r="Q228" s="34" t="n">
        <x:v>0.85</x:v>
      </x:c>
      <x:c r="R228" s="34" t="n">
        <x:v>0.8</x:v>
      </x:c>
      <x:c r="S228" s="34" t="n">
        <x:v>0.035</x:v>
      </x:c>
      <x:c r="T228" s="34" t="n">
        <x:v>548.019367</x:v>
      </x:c>
      <x:c r="U228" s="34" t="str">
        <x:v>NS-EAST:H2_DRI_EAF:2032|NS-KANSAI:BF_RELINE:2034|NS-KYUSHU:H2_DRI_EAF:2028|NS-NAGOYA:H2_DRI_EAF:2030|NS-SETOUCHI:H2_DRI_EAF:2036</x:v>
      </x:c>
      <x:c r="V228" s="34" t="str">
        <x:v>model_generated_candidate</x:v>
      </x:c>
      <x:c r="W228" s="34" t="str">
        <x:v>Generated from disclosed-path facility calendar, technology set and template contracting assumptions; not a company-announced project</x:v>
      </x:c>
    </x:row>
    <x:row r="229">
      <x:c r="A229" s="34" t="str">
        <x:v>CAND-069240F6BC3FE5</x:v>
      </x:c>
      <x:c r="B229" s="34" t="str">
        <x:v>NIPPON_STEEL_JP</x:v>
      </x:c>
      <x:c r="C229" s="34" t="str">
        <x:v>Nippon Steel</x:v>
      </x:c>
      <x:c r="D229" s="34" t="str">
        <x:v>P2</x:v>
      </x:c>
      <x:c r="E229" s="34" t="str">
        <x:v>지연·부분헤지</x:v>
      </x:c>
      <x:c r="F229" s="34" t="str">
        <x:v>PORT-BA0215B7029E</x:v>
      </x:c>
      <x:c r="G229" s="34" t="str">
        <x:v>DISCLOSED_PATH</x:v>
      </x:c>
      <x:c r="H229" s="34" t="n">
        <x:v>5</x:v>
      </x:c>
      <x:c r="I229" s="34" t="n">
        <x:v>2029</x:v>
      </x:c>
      <x:c r="J229" s="34" t="n">
        <x:v>2038</x:v>
      </x:c>
      <x:c r="K229" s="34" t="n">
        <x:v>0.192802</x:v>
      </x:c>
      <x:c r="L229" s="34" t="n">
        <x:v>0.419023</x:v>
      </x:c>
      <x:c r="M229" s="34" t="n">
        <x:v>0.388175</x:v>
      </x:c>
      <x:c r="N229" s="34" t="n">
        <x:v>0</x:v>
      </x:c>
      <x:c r="O229" s="34" t="n">
        <x:v>0.15</x:v>
      </x:c>
      <x:c r="P229" s="34" t="n">
        <x:v>0.1</x:v>
      </x:c>
      <x:c r="Q229" s="34" t="n">
        <x:v>0.2</x:v>
      </x:c>
      <x:c r="R229" s="34" t="n">
        <x:v>0.1</x:v>
      </x:c>
      <x:c r="S229" s="34" t="n">
        <x:v>0.01</x:v>
      </x:c>
      <x:c r="T229" s="34" t="n">
        <x:v>434.298943</x:v>
      </x:c>
      <x:c r="U229" s="34" t="str">
        <x:v>NS-EAST:H2_DRI_EAF:2034|NS-KANSAI:SCRAP_EAF:2036|NS-KYUSHU:SCRAP_EAF:2029|NS-NAGOYA:H2_DRI_EAF:2032|NS-SETOUCHI:BF_RELINE:2038</x:v>
      </x:c>
      <x:c r="V229" s="34" t="str">
        <x:v>model_generated_candidate</x:v>
      </x:c>
      <x:c r="W229" s="34" t="str">
        <x:v>Generated from disclosed-path facility calendar, technology set and template contracting assumptions; not a company-announced project</x:v>
      </x:c>
    </x:row>
    <x:row r="230">
      <x:c r="A230" s="34" t="str">
        <x:v>CAND-06F729AB8DF62F</x:v>
      </x:c>
      <x:c r="B230" s="34" t="str">
        <x:v>NIPPON_STEEL_JP</x:v>
      </x:c>
      <x:c r="C230" s="34" t="str">
        <x:v>Nippon Steel</x:v>
      </x:c>
      <x:c r="D230" s="34" t="str">
        <x:v>P2</x:v>
      </x:c>
      <x:c r="E230" s="34" t="str">
        <x:v>지연·부분헤지</x:v>
      </x:c>
      <x:c r="F230" s="34" t="str">
        <x:v>PORT-203CD7D2B6DE</x:v>
      </x:c>
      <x:c r="G230" s="34" t="str">
        <x:v>DISCLOSED_PATH</x:v>
      </x:c>
      <x:c r="H230" s="34" t="n">
        <x:v>5</x:v>
      </x:c>
      <x:c r="I230" s="34" t="n">
        <x:v>2029</x:v>
      </x:c>
      <x:c r="J230" s="34" t="n">
        <x:v>2038</x:v>
      </x:c>
      <x:c r="K230" s="34" t="n">
        <x:v>0.37018</x:v>
      </x:c>
      <x:c r="L230" s="34" t="n">
        <x:v>0.257069</x:v>
      </x:c>
      <x:c r="M230" s="34" t="n">
        <x:v>0.372751</x:v>
      </x:c>
      <x:c r="N230" s="34" t="n">
        <x:v>0</x:v>
      </x:c>
      <x:c r="O230" s="34" t="n">
        <x:v>0.15</x:v>
      </x:c>
      <x:c r="P230" s="34" t="n">
        <x:v>0.1</x:v>
      </x:c>
      <x:c r="Q230" s="34" t="n">
        <x:v>0.2</x:v>
      </x:c>
      <x:c r="R230" s="34" t="n">
        <x:v>0.1</x:v>
      </x:c>
      <x:c r="S230" s="34" t="n">
        <x:v>0.01</x:v>
      </x:c>
      <x:c r="T230" s="34" t="n">
        <x:v>340.148927</x:v>
      </x:c>
      <x:c r="U230" s="34" t="str">
        <x:v>NS-EAST:BF_RELINE:2034|NS-KANSAI:BF_RELINE:2036|NS-KYUSHU:SCRAP_EAF:2029|NS-NAGOYA:H2_DRI_EAF:2032|NS-SETOUCHI:H2_DRI_EAF:2038</x:v>
      </x:c>
      <x:c r="V230" s="34" t="str">
        <x:v>model_generated_candidate</x:v>
      </x:c>
      <x:c r="W230" s="34" t="str">
        <x:v>Generated from disclosed-path facility calendar, technology set and template contracting assumptions; not a company-announced project</x:v>
      </x:c>
    </x:row>
    <x:row r="231">
      <x:c r="A231" s="34" t="str">
        <x:v>CAND-072B5F40582886</x:v>
      </x:c>
      <x:c r="B231" s="34" t="str">
        <x:v>NIPPON_STEEL_JP</x:v>
      </x:c>
      <x:c r="C231" s="34" t="str">
        <x:v>Nippon Steel</x:v>
      </x:c>
      <x:c r="D231" s="34" t="str">
        <x:v>P2</x:v>
      </x:c>
      <x:c r="E231" s="34" t="str">
        <x:v>지연·부분헤지</x:v>
      </x:c>
      <x:c r="F231" s="34" t="str">
        <x:v>PORT-888EB63E71B0</x:v>
      </x:c>
      <x:c r="G231" s="34" t="str">
        <x:v>DISCLOSED_PATH</x:v>
      </x:c>
      <x:c r="H231" s="34" t="n">
        <x:v>5</x:v>
      </x:c>
      <x:c r="I231" s="34" t="n">
        <x:v>2029</x:v>
      </x:c>
      <x:c r="J231" s="34" t="n">
        <x:v>2038</x:v>
      </x:c>
      <x:c r="K231" s="34" t="n">
        <x:v>0.354756</x:v>
      </x:c>
      <x:c r="L231" s="34" t="n">
        <x:v>0</x:v>
      </x:c>
      <x:c r="M231" s="34" t="n">
        <x:v>0.645244</x:v>
      </x:c>
      <x:c r="N231" s="34" t="n">
        <x:v>0</x:v>
      </x:c>
      <x:c r="O231" s="34" t="n">
        <x:v>0.15</x:v>
      </x:c>
      <x:c r="P231" s="34" t="n">
        <x:v>0.1</x:v>
      </x:c>
      <x:c r="Q231" s="34" t="n">
        <x:v>0.2</x:v>
      </x:c>
      <x:c r="R231" s="34" t="n">
        <x:v>0.1</x:v>
      </x:c>
      <x:c r="S231" s="34" t="n">
        <x:v>0.01</x:v>
      </x:c>
      <x:c r="T231" s="34" t="n">
        <x:v>420.698938</x:v>
      </x:c>
      <x:c r="U231" s="34" t="str">
        <x:v>NS-EAST:H2_DRI_EAF:2034|NS-KANSAI:BF_RELINE:2036|NS-KYUSHU:H2_DRI_EAF:2029|NS-NAGOYA:H2_DRI_EAF:2032|NS-SETOUCHI:BF_RELINE:2038</x:v>
      </x:c>
      <x:c r="V231" s="34" t="str">
        <x:v>model_generated_candidate</x:v>
      </x:c>
      <x:c r="W231" s="34" t="str">
        <x:v>Generated from disclosed-path facility calendar, technology set and template contracting assumptions; not a company-announced project</x:v>
      </x:c>
    </x:row>
    <x:row r="232">
      <x:c r="A232" s="34" t="str">
        <x:v>CAND-081E268D7ED08C</x:v>
      </x:c>
      <x:c r="B232" s="34" t="str">
        <x:v>NIPPON_STEEL_JP</x:v>
      </x:c>
      <x:c r="C232" s="34" t="str">
        <x:v>Nippon Steel</x:v>
      </x:c>
      <x:c r="D232" s="34" t="str">
        <x:v>P1</x:v>
      </x:c>
      <x:c r="E232" s="34" t="str">
        <x:v>지연·현물조달</x:v>
      </x:c>
      <x:c r="F232" s="34" t="str">
        <x:v>PORT-A01C697020EC</x:v>
      </x:c>
      <x:c r="G232" s="34" t="str">
        <x:v>DISCLOSED_PATH</x:v>
      </x:c>
      <x:c r="H232" s="34" t="n">
        <x:v>5</x:v>
      </x:c>
      <x:c r="I232" s="34" t="n">
        <x:v>2029</x:v>
      </x:c>
      <x:c r="J232" s="34" t="n">
        <x:v>2038</x:v>
      </x:c>
      <x:c r="K232" s="34" t="n">
        <x:v>0.161954</x:v>
      </x:c>
      <x:c r="L232" s="34" t="n">
        <x:v>0.208226</x:v>
      </x:c>
      <x:c r="M232" s="34" t="n">
        <x:v>0.62982</x:v>
      </x:c>
      <x:c r="N232" s="34" t="n">
        <x:v>0</x:v>
      </x:c>
      <x:c r="O232" s="34" t="n">
        <x:v>0</x:v>
      </x:c>
      <x:c r="P232" s="34" t="n">
        <x:v>0</x:v>
      </x:c>
      <x:c r="Q232" s="34" t="n">
        <x:v>0.1</x:v>
      </x:c>
      <x:c r="R232" s="34" t="n">
        <x:v>0</x:v>
      </x:c>
      <x:c r="S232" s="34" t="n">
        <x:v>0</x:v>
      </x:c>
      <x:c r="T232" s="34" t="n">
        <x:v>440.228937</x:v>
      </x:c>
      <x:c r="U232" s="34" t="str">
        <x:v>NS-EAST:SCRAP_EAF:2034|NS-KANSAI:BF_RELINE:2036|NS-KYUSHU:H2_DRI_EAF:2029|NS-NAGOYA:H2_DRI_EAF:2032|NS-SETOUCHI:H2_DRI_EAF:2038</x:v>
      </x:c>
      <x:c r="V232" s="34" t="str">
        <x:v>model_generated_candidate</x:v>
      </x:c>
      <x:c r="W232" s="34" t="str">
        <x:v>Generated from disclosed-path facility calendar, technology set and template contracting assumptions; not a company-announced project</x:v>
      </x:c>
    </x:row>
    <x:row r="233">
      <x:c r="A233" s="34" t="str">
        <x:v>CAND-089E2BD050DF1C</x:v>
      </x:c>
      <x:c r="B233" s="34" t="str">
        <x:v>NIPPON_STEEL_JP</x:v>
      </x:c>
      <x:c r="C233" s="34" t="str">
        <x:v>Nippon Steel</x:v>
      </x:c>
      <x:c r="D233" s="34" t="str">
        <x:v>P1</x:v>
      </x:c>
      <x:c r="E233" s="34" t="str">
        <x:v>지연·현물조달</x:v>
      </x:c>
      <x:c r="F233" s="34" t="str">
        <x:v>PORT-FBD236D8DF23</x:v>
      </x:c>
      <x:c r="G233" s="34" t="str">
        <x:v>DISCLOSED_PATH</x:v>
      </x:c>
      <x:c r="H233" s="34" t="n">
        <x:v>5</x:v>
      </x:c>
      <x:c r="I233" s="34" t="n">
        <x:v>2029</x:v>
      </x:c>
      <x:c r="J233" s="34" t="n">
        <x:v>2038</x:v>
      </x:c>
      <x:c r="K233" s="34" t="n">
        <x:v>0.179949</x:v>
      </x:c>
      <x:c r="L233" s="34" t="n">
        <x:v>0.208226</x:v>
      </x:c>
      <x:c r="M233" s="34" t="n">
        <x:v>0.611825</x:v>
      </x:c>
      <x:c r="N233" s="34" t="n">
        <x:v>0</x:v>
      </x:c>
      <x:c r="O233" s="34" t="n">
        <x:v>0</x:v>
      </x:c>
      <x:c r="P233" s="34" t="n">
        <x:v>0</x:v>
      </x:c>
      <x:c r="Q233" s="34" t="n">
        <x:v>0.1</x:v>
      </x:c>
      <x:c r="R233" s="34" t="n">
        <x:v>0</x:v>
      </x:c>
      <x:c r="S233" s="34" t="n">
        <x:v>0</x:v>
      </x:c>
      <x:c r="T233" s="34" t="n">
        <x:v>392.968973</x:v>
      </x:c>
      <x:c r="U233" s="34" t="str">
        <x:v>NS-EAST:SCRAP_EAF:2034|NS-KANSAI:H2_DRI_EAF:2036|NS-KYUSHU:H2_DRI_EAF:2029|NS-NAGOYA:BF_RELINE:2032|NS-SETOUCHI:H2_DRI_EAF:2038</x:v>
      </x:c>
      <x:c r="V233" s="34" t="str">
        <x:v>model_generated_candidate</x:v>
      </x:c>
      <x:c r="W233" s="34" t="str">
        <x:v>Generated from disclosed-path facility calendar, technology set and template contracting assumptions; not a company-announced project</x:v>
      </x:c>
    </x:row>
    <x:row r="234">
      <x:c r="A234" s="34" t="str">
        <x:v>CAND-08FB98F6306D32</x:v>
      </x:c>
      <x:c r="B234" s="34" t="str">
        <x:v>NIPPON_STEEL_JP</x:v>
      </x:c>
      <x:c r="C234" s="34" t="str">
        <x:v>Nippon Steel</x:v>
      </x:c>
      <x:c r="D234" s="34" t="str">
        <x:v>P1</x:v>
      </x:c>
      <x:c r="E234" s="34" t="str">
        <x:v>지연·현물조달</x:v>
      </x:c>
      <x:c r="F234" s="34" t="str">
        <x:v>PORT-113D08C18DF3</x:v>
      </x:c>
      <x:c r="G234" s="34" t="str">
        <x:v>DISCLOSED_PATH</x:v>
      </x:c>
      <x:c r="H234" s="34" t="n">
        <x:v>5</x:v>
      </x:c>
      <x:c r="I234" s="34" t="n">
        <x:v>2029</x:v>
      </x:c>
      <x:c r="J234" s="34" t="n">
        <x:v>2038</x:v>
      </x:c>
      <x:c r="K234" s="34" t="n">
        <x:v>0.257069</x:v>
      </x:c>
      <x:c r="L234" s="34" t="n">
        <x:v>0.372751</x:v>
      </x:c>
      <x:c r="M234" s="34" t="n">
        <x:v>0.37018</x:v>
      </x:c>
      <x:c r="N234" s="34" t="n">
        <x:v>0</x:v>
      </x:c>
      <x:c r="O234" s="34" t="n">
        <x:v>0</x:v>
      </x:c>
      <x:c r="P234" s="34" t="n">
        <x:v>0</x:v>
      </x:c>
      <x:c r="Q234" s="34" t="n">
        <x:v>0.1</x:v>
      </x:c>
      <x:c r="R234" s="34" t="n">
        <x:v>0</x:v>
      </x:c>
      <x:c r="S234" s="34" t="n">
        <x:v>0</x:v>
      </x:c>
      <x:c r="T234" s="34" t="n">
        <x:v>298.153949</x:v>
      </x:c>
      <x:c r="U234" s="34" t="str">
        <x:v>NS-EAST:H2_DRI_EAF:2034|NS-KANSAI:H2_DRI_EAF:2036|NS-KYUSHU:BF_RELINE:2029|NS-NAGOYA:SCRAP_EAF:2032|NS-SETOUCHI:SCRAP_EAF:2038</x:v>
      </x:c>
      <x:c r="V234" s="34" t="str">
        <x:v>model_generated_candidate</x:v>
      </x:c>
      <x:c r="W234" s="34" t="str">
        <x:v>Generated from disclosed-path facility calendar, technology set and template contracting assumptions; not a company-announced project</x:v>
      </x:c>
    </x:row>
    <x:row r="235">
      <x:c r="A235" s="34" t="str">
        <x:v>CAND-0902F4B4859A1C</x:v>
      </x:c>
      <x:c r="B235" s="34" t="str">
        <x:v>NIPPON_STEEL_JP</x:v>
      </x:c>
      <x:c r="C235" s="34" t="str">
        <x:v>Nippon Steel</x:v>
      </x:c>
      <x:c r="D235" s="34" t="str">
        <x:v>P2</x:v>
      </x:c>
      <x:c r="E235" s="34" t="str">
        <x:v>지연·부분헤지</x:v>
      </x:c>
      <x:c r="F235" s="34" t="str">
        <x:v>PORT-1411E33E415A</x:v>
      </x:c>
      <x:c r="G235" s="34" t="str">
        <x:v>DISCLOSED_PATH</x:v>
      </x:c>
      <x:c r="H235" s="34" t="n">
        <x:v>5</x:v>
      </x:c>
      <x:c r="I235" s="34" t="n">
        <x:v>2029</x:v>
      </x:c>
      <x:c r="J235" s="34" t="n">
        <x:v>2038</x:v>
      </x:c>
      <x:c r="K235" s="34" t="n">
        <x:v>0</x:v>
      </x:c>
      <x:c r="L235" s="34" t="n">
        <x:v>0.791774</x:v>
      </x:c>
      <x:c r="M235" s="34" t="n">
        <x:v>0.208226</x:v>
      </x:c>
      <x:c r="N235" s="34" t="n">
        <x:v>0</x:v>
      </x:c>
      <x:c r="O235" s="34" t="n">
        <x:v>0.15</x:v>
      </x:c>
      <x:c r="P235" s="34" t="n">
        <x:v>0.1</x:v>
      </x:c>
      <x:c r="Q235" s="34" t="n">
        <x:v>0.2</x:v>
      </x:c>
      <x:c r="R235" s="34" t="n">
        <x:v>0.1</x:v>
      </x:c>
      <x:c r="S235" s="34" t="n">
        <x:v>0.01</x:v>
      </x:c>
      <x:c r="T235" s="34" t="n">
        <x:v>447.753948</x:v>
      </x:c>
      <x:c r="U235" s="34" t="str">
        <x:v>NS-EAST:H2_DRI_EAF:2034|NS-KANSAI:SCRAP_EAF:2036|NS-KYUSHU:SCRAP_EAF:2029|NS-NAGOYA:SCRAP_EAF:2032|NS-SETOUCHI:SCRAP_EAF:2038</x:v>
      </x:c>
      <x:c r="V235" s="34" t="str">
        <x:v>model_generated_candidate</x:v>
      </x:c>
      <x:c r="W235" s="34" t="str">
        <x:v>Generated from disclosed-path facility calendar, technology set and template contracting assumptions; not a company-announced project</x:v>
      </x:c>
    </x:row>
    <x:row r="236">
      <x:c r="A236" s="34" t="str">
        <x:v>CAND-0923EF4E75623D</x:v>
      </x:c>
      <x:c r="B236" s="34" t="str">
        <x:v>NIPPON_STEEL_JP</x:v>
      </x:c>
      <x:c r="C236" s="34" t="str">
        <x:v>Nippon Steel</x:v>
      </x:c>
      <x:c r="D236" s="34" t="str">
        <x:v>P3</x:v>
      </x:c>
      <x:c r="E236" s="34" t="str">
        <x:v>균형형 라이트헤지</x:v>
      </x:c>
      <x:c r="F236" s="34" t="str">
        <x:v>PORT-2B4B7B3B418B</x:v>
      </x:c>
      <x:c r="G236" s="34" t="str">
        <x:v>DISCLOSED_PATH</x:v>
      </x:c>
      <x:c r="H236" s="34" t="n">
        <x:v>5</x:v>
      </x:c>
      <x:c r="I236" s="34" t="n">
        <x:v>2029</x:v>
      </x:c>
      <x:c r="J236" s="34" t="n">
        <x:v>2038</x:v>
      </x:c>
      <x:c r="K236" s="34" t="n">
        <x:v>0.401028</x:v>
      </x:c>
      <x:c r="L236" s="34" t="n">
        <x:v>0.161954</x:v>
      </x:c>
      <x:c r="M236" s="34" t="n">
        <x:v>0.437018</x:v>
      </x:c>
      <x:c r="N236" s="34" t="n">
        <x:v>0</x:v>
      </x:c>
      <x:c r="O236" s="34" t="n">
        <x:v>0.3</x:v>
      </x:c>
      <x:c r="P236" s="34" t="n">
        <x:v>0.25</x:v>
      </x:c>
      <x:c r="Q236" s="34" t="n">
        <x:v>0.35</x:v>
      </x:c>
      <x:c r="R236" s="34" t="n">
        <x:v>0.25</x:v>
      </x:c>
      <x:c r="S236" s="34" t="n">
        <x:v>0.015</x:v>
      </x:c>
      <x:c r="T236" s="34" t="n">
        <x:v>375.618932</x:v>
      </x:c>
      <x:c r="U236" s="34" t="str">
        <x:v>NS-EAST:BF_RELINE:2034|NS-KANSAI:SCRAP_EAF:2036|NS-KYUSHU:H2_DRI_EAF:2029|NS-NAGOYA:H2_DRI_EAF:2032|NS-SETOUCHI:BF_RELINE:2038</x:v>
      </x:c>
      <x:c r="V236" s="34" t="str">
        <x:v>model_generated_candidate</x:v>
      </x:c>
      <x:c r="W236" s="34" t="str">
        <x:v>Generated from disclosed-path facility calendar, technology set and template contracting assumptions; not a company-announced project</x:v>
      </x:c>
    </x:row>
    <x:row r="237">
      <x:c r="A237" s="34" t="str">
        <x:v>CAND-094FFDD52C1869</x:v>
      </x:c>
      <x:c r="B237" s="34" t="str">
        <x:v>NIPPON_STEEL_JP</x:v>
      </x:c>
      <x:c r="C237" s="34" t="str">
        <x:v>Nippon Steel</x:v>
      </x:c>
      <x:c r="D237" s="34" t="str">
        <x:v>P4</x:v>
      </x:c>
      <x:c r="E237" s="34" t="str">
        <x:v>균형형 전환</x:v>
      </x:c>
      <x:c r="F237" s="34" t="str">
        <x:v>PORT-F68D0B8FD06D</x:v>
      </x:c>
      <x:c r="G237" s="34" t="str">
        <x:v>DISCLOSED_PATH</x:v>
      </x:c>
      <x:c r="H237" s="34" t="n">
        <x:v>5</x:v>
      </x:c>
      <x:c r="I237" s="34" t="n">
        <x:v>2028</x:v>
      </x:c>
      <x:c r="J237" s="34" t="n">
        <x:v>2037</x:v>
      </x:c>
      <x:c r="K237" s="34" t="n">
        <x:v>0.37018</x:v>
      </x:c>
      <x:c r="L237" s="34" t="n">
        <x:v>0</x:v>
      </x:c>
      <x:c r="M237" s="34" t="n">
        <x:v>0.62982</x:v>
      </x:c>
      <x:c r="N237" s="34" t="n">
        <x:v>0</x:v>
      </x:c>
      <x:c r="O237" s="34" t="n">
        <x:v>0.5</x:v>
      </x:c>
      <x:c r="P237" s="34" t="n">
        <x:v>0.45</x:v>
      </x:c>
      <x:c r="Q237" s="34" t="n">
        <x:v>0.5</x:v>
      </x:c>
      <x:c r="R237" s="34" t="n">
        <x:v>0.4</x:v>
      </x:c>
      <x:c r="S237" s="34" t="n">
        <x:v>0.02</x:v>
      </x:c>
      <x:c r="T237" s="34" t="n">
        <x:v>411.128921</x:v>
      </x:c>
      <x:c r="U237" s="34" t="str">
        <x:v>NS-EAST:BF_RELINE:2033|NS-KANSAI:BF_RELINE:2035|NS-KYUSHU:H2_DRI_EAF:2028|NS-NAGOYA:H2_DRI_EAF:2031|NS-SETOUCHI:H2_DRI_EAF:2037</x:v>
      </x:c>
      <x:c r="V237" s="34" t="str">
        <x:v>model_generated_candidate</x:v>
      </x:c>
      <x:c r="W237" s="34" t="str">
        <x:v>Generated from disclosed-path facility calendar, technology set and template contracting assumptions; not a company-announced project</x:v>
      </x:c>
    </x:row>
    <x:row r="238">
      <x:c r="A238" s="34" t="str">
        <x:v>CAND-09ED6F5483D950</x:v>
      </x:c>
      <x:c r="B238" s="34" t="str">
        <x:v>NIPPON_STEEL_JP</x:v>
      </x:c>
      <x:c r="C238" s="34" t="str">
        <x:v>Nippon Steel</x:v>
      </x:c>
      <x:c r="D238" s="34" t="str">
        <x:v>P2</x:v>
      </x:c>
      <x:c r="E238" s="34" t="str">
        <x:v>지연·부분헤지</x:v>
      </x:c>
      <x:c r="F238" s="34" t="str">
        <x:v>PORT-8186E2E8AA48</x:v>
      </x:c>
      <x:c r="G238" s="34" t="str">
        <x:v>DISCLOSED_PATH</x:v>
      </x:c>
      <x:c r="H238" s="34" t="n">
        <x:v>5</x:v>
      </x:c>
      <x:c r="I238" s="34" t="n">
        <x:v>2029</x:v>
      </x:c>
      <x:c r="J238" s="34" t="n">
        <x:v>2038</x:v>
      </x:c>
      <x:c r="K238" s="34" t="n">
        <x:v>0</x:v>
      </x:c>
      <x:c r="L238" s="34" t="n">
        <x:v>0.208226</x:v>
      </x:c>
      <x:c r="M238" s="34" t="n">
        <x:v>0.791774</x:v>
      </x:c>
      <x:c r="N238" s="34" t="n">
        <x:v>0</x:v>
      </x:c>
      <x:c r="O238" s="34" t="n">
        <x:v>0.15</x:v>
      </x:c>
      <x:c r="P238" s="34" t="n">
        <x:v>0.1</x:v>
      </x:c>
      <x:c r="Q238" s="34" t="n">
        <x:v>0.2</x:v>
      </x:c>
      <x:c r="R238" s="34" t="n">
        <x:v>0.1</x:v>
      </x:c>
      <x:c r="S238" s="34" t="n">
        <x:v>0.01</x:v>
      </x:c>
      <x:c r="T238" s="34" t="n">
        <x:v>487.828943</x:v>
      </x:c>
      <x:c r="U238" s="34" t="str">
        <x:v>NS-EAST:SCRAP_EAF:2034|NS-KANSAI:H2_DRI_EAF:2036|NS-KYUSHU:H2_DRI_EAF:2029|NS-NAGOYA:H2_DRI_EAF:2032|NS-SETOUCHI:H2_DRI_EAF:2038</x:v>
      </x:c>
      <x:c r="V238" s="34" t="str">
        <x:v>model_generated_candidate</x:v>
      </x:c>
      <x:c r="W238" s="34" t="str">
        <x:v>Generated from disclosed-path facility calendar, technology set and template contracting assumptions; not a company-announced project</x:v>
      </x:c>
    </x:row>
    <x:row r="239">
      <x:c r="A239" s="34" t="str">
        <x:v>CAND-0A9D6D24794C44</x:v>
      </x:c>
      <x:c r="B239" s="34" t="str">
        <x:v>NIPPON_STEEL_JP</x:v>
      </x:c>
      <x:c r="C239" s="34" t="str">
        <x:v>Nippon Steel</x:v>
      </x:c>
      <x:c r="D239" s="34" t="str">
        <x:v>P1</x:v>
      </x:c>
      <x:c r="E239" s="34" t="str">
        <x:v>지연·현물조달</x:v>
      </x:c>
      <x:c r="F239" s="34" t="str">
        <x:v>PORT-D7554D828762</x:v>
      </x:c>
      <x:c r="G239" s="34" t="str">
        <x:v>DISCLOSED_PATH</x:v>
      </x:c>
      <x:c r="H239" s="34" t="n">
        <x:v>5</x:v>
      </x:c>
      <x:c r="I239" s="34" t="n">
        <x:v>2029</x:v>
      </x:c>
      <x:c r="J239" s="34" t="n">
        <x:v>2038</x:v>
      </x:c>
      <x:c r="K239" s="34" t="n">
        <x:v>0.37018</x:v>
      </x:c>
      <x:c r="L239" s="34" t="n">
        <x:v>0</x:v>
      </x:c>
      <x:c r="M239" s="34" t="n">
        <x:v>0.62982</x:v>
      </x:c>
      <x:c r="N239" s="34" t="n">
        <x:v>0</x:v>
      </x:c>
      <x:c r="O239" s="34" t="n">
        <x:v>0</x:v>
      </x:c>
      <x:c r="P239" s="34" t="n">
        <x:v>0</x:v>
      </x:c>
      <x:c r="Q239" s="34" t="n">
        <x:v>0.1</x:v>
      </x:c>
      <x:c r="R239" s="34" t="n">
        <x:v>0</x:v>
      </x:c>
      <x:c r="S239" s="34" t="n">
        <x:v>0</x:v>
      </x:c>
      <x:c r="T239" s="34" t="n">
        <x:v>367.148927</x:v>
      </x:c>
      <x:c r="U239" s="34" t="str">
        <x:v>NS-EAST:BF_RELINE:2034|NS-KANSAI:BF_RELINE:2036|NS-KYUSHU:H2_DRI_EAF:2029|NS-NAGOYA:H2_DRI_EAF:2032|NS-SETOUCHI:H2_DRI_EAF:2038</x:v>
      </x:c>
      <x:c r="V239" s="34" t="str">
        <x:v>model_generated_candidate</x:v>
      </x:c>
      <x:c r="W239" s="34" t="str">
        <x:v>Generated from disclosed-path facility calendar, technology set and template contracting assumptions; not a company-announced project</x:v>
      </x:c>
    </x:row>
    <x:row r="240">
      <x:c r="A240" s="34" t="str">
        <x:v>CAND-0AB20C594215B4</x:v>
      </x:c>
      <x:c r="B240" s="34" t="str">
        <x:v>NIPPON_STEEL_JP</x:v>
      </x:c>
      <x:c r="C240" s="34" t="str">
        <x:v>Nippon Steel</x:v>
      </x:c>
      <x:c r="D240" s="34" t="str">
        <x:v>P2</x:v>
      </x:c>
      <x:c r="E240" s="34" t="str">
        <x:v>지연·부분헤지</x:v>
      </x:c>
      <x:c r="F240" s="34" t="str">
        <x:v>PORT-ABD3A701F29B</x:v>
      </x:c>
      <x:c r="G240" s="34" t="str">
        <x:v>DISCLOSED_PATH</x:v>
      </x:c>
      <x:c r="H240" s="34" t="n">
        <x:v>5</x:v>
      </x:c>
      <x:c r="I240" s="34" t="n">
        <x:v>2029</x:v>
      </x:c>
      <x:c r="J240" s="34" t="n">
        <x:v>2038</x:v>
      </x:c>
      <x:c r="K240" s="34" t="n">
        <x:v>0.449871</x:v>
      </x:c>
      <x:c r="L240" s="34" t="n">
        <x:v>0.179949</x:v>
      </x:c>
      <x:c r="M240" s="34" t="n">
        <x:v>0.37018</x:v>
      </x:c>
      <x:c r="N240" s="34" t="n">
        <x:v>0</x:v>
      </x:c>
      <x:c r="O240" s="34" t="n">
        <x:v>0.15</x:v>
      </x:c>
      <x:c r="P240" s="34" t="n">
        <x:v>0.1</x:v>
      </x:c>
      <x:c r="Q240" s="34" t="n">
        <x:v>0.2</x:v>
      </x:c>
      <x:c r="R240" s="34" t="n">
        <x:v>0.1</x:v>
      </x:c>
      <x:c r="S240" s="34" t="n">
        <x:v>0.01</x:v>
      </x:c>
      <x:c r="T240" s="34" t="n">
        <x:v>270.748949</x:v>
      </x:c>
      <x:c r="U240" s="34" t="str">
        <x:v>NS-EAST:H2_DRI_EAF:2034|NS-KANSAI:H2_DRI_EAF:2036|NS-KYUSHU:BF_RELINE:2029|NS-NAGOYA:SCRAP_EAF:2032|NS-SETOUCHI:BF_RELINE:2038</x:v>
      </x:c>
      <x:c r="V240" s="34" t="str">
        <x:v>model_generated_candidate</x:v>
      </x:c>
      <x:c r="W240" s="34" t="str">
        <x:v>Generated from disclosed-path facility calendar, technology set and template contracting assumptions; not a company-announced project</x:v>
      </x:c>
    </x:row>
    <x:row r="241">
      <x:c r="A241" s="34" t="str">
        <x:v>CAND-0ABBFD56965BF3</x:v>
      </x:c>
      <x:c r="B241" s="34" t="str">
        <x:v>NIPPON_STEEL_JP</x:v>
      </x:c>
      <x:c r="C241" s="34" t="str">
        <x:v>Nippon Steel</x:v>
      </x:c>
      <x:c r="D241" s="34" t="str">
        <x:v>P5</x:v>
      </x:c>
      <x:c r="E241" s="34" t="str">
        <x:v>조기 계약형 전환</x:v>
      </x:c>
      <x:c r="F241" s="34" t="str">
        <x:v>PORT-C942BD99A66C</x:v>
      </x:c>
      <x:c r="G241" s="34" t="str">
        <x:v>DISCLOSED_PATH</x:v>
      </x:c>
      <x:c r="H241" s="34" t="n">
        <x:v>5</x:v>
      </x:c>
      <x:c r="I241" s="34" t="n">
        <x:v>2028</x:v>
      </x:c>
      <x:c r="J241" s="34" t="n">
        <x:v>2037</x:v>
      </x:c>
      <x:c r="K241" s="34" t="n">
        <x:v>0</x:v>
      </x:c>
      <x:c r="L241" s="34" t="n">
        <x:v>0.257069</x:v>
      </x:c>
      <x:c r="M241" s="34" t="n">
        <x:v>0.742931</x:v>
      </x:c>
      <x:c r="N241" s="34" t="n">
        <x:v>0</x:v>
      </x:c>
      <x:c r="O241" s="34" t="n">
        <x:v>0.7</x:v>
      </x:c>
      <x:c r="P241" s="34" t="n">
        <x:v>0.65</x:v>
      </x:c>
      <x:c r="Q241" s="34" t="n">
        <x:v>0.65</x:v>
      </x:c>
      <x:c r="R241" s="34" t="n">
        <x:v>0.6</x:v>
      </x:c>
      <x:c r="S241" s="34" t="n">
        <x:v>0.025</x:v>
      </x:c>
      <x:c r="T241" s="34" t="n">
        <x:v>536.918941</x:v>
      </x:c>
      <x:c r="U241" s="34" t="str">
        <x:v>NS-EAST:H2_DRI_EAF:2033|NS-KANSAI:H2_DRI_EAF:2035|NS-KYUSHU:SCRAP_EAF:2028|NS-NAGOYA:H2_DRI_EAF:2031|NS-SETOUCHI:H2_DRI_EAF:2037</x:v>
      </x:c>
      <x:c r="V241" s="34" t="str">
        <x:v>model_generated_candidate</x:v>
      </x:c>
      <x:c r="W241" s="34" t="str">
        <x:v>Generated from disclosed-path facility calendar, technology set and template contracting assumptions; not a company-announced project</x:v>
      </x:c>
    </x:row>
    <x:row r="242">
      <x:c r="A242" s="34" t="str">
        <x:v>CAND-0B0D78C6056B63</x:v>
      </x:c>
      <x:c r="B242" s="34" t="str">
        <x:v>NIPPON_STEEL_JP</x:v>
      </x:c>
      <x:c r="C242" s="34" t="str">
        <x:v>Nippon Steel</x:v>
      </x:c>
      <x:c r="D242" s="34" t="str">
        <x:v>P5</x:v>
      </x:c>
      <x:c r="E242" s="34" t="str">
        <x:v>조기 계약형 전환</x:v>
      </x:c>
      <x:c r="F242" s="34" t="str">
        <x:v>PORT-5998FE391D77</x:v>
      </x:c>
      <x:c r="G242" s="34" t="str">
        <x:v>DISCLOSED_PATH</x:v>
      </x:c>
      <x:c r="H242" s="34" t="n">
        <x:v>5</x:v>
      </x:c>
      <x:c r="I242" s="34" t="n">
        <x:v>2028</x:v>
      </x:c>
      <x:c r="J242" s="34" t="n">
        <x:v>2037</x:v>
      </x:c>
      <x:c r="K242" s="34" t="n">
        <x:v>0.257069</x:v>
      </x:c>
      <x:c r="L242" s="34" t="n">
        <x:v>0</x:v>
      </x:c>
      <x:c r="M242" s="34" t="n">
        <x:v>0.742931</x:v>
      </x:c>
      <x:c r="N242" s="34" t="n">
        <x:v>0</x:v>
      </x:c>
      <x:c r="O242" s="34" t="n">
        <x:v>0.7</x:v>
      </x:c>
      <x:c r="P242" s="34" t="n">
        <x:v>0.65</x:v>
      </x:c>
      <x:c r="Q242" s="34" t="n">
        <x:v>0.65</x:v>
      </x:c>
      <x:c r="R242" s="34" t="n">
        <x:v>0.6</x:v>
      </x:c>
      <x:c r="S242" s="34" t="n">
        <x:v>0.025</x:v>
      </x:c>
      <x:c r="T242" s="34" t="n">
        <x:v>367.268941</x:v>
      </x:c>
      <x:c r="U242" s="34" t="str">
        <x:v>NS-EAST:H2_DRI_EAF:2033|NS-KANSAI:H2_DRI_EAF:2035|NS-KYUSHU:BF_RELINE:2028|NS-NAGOYA:H2_DRI_EAF:2031|NS-SETOUCHI:H2_DRI_EAF:2037</x:v>
      </x:c>
      <x:c r="V242" s="34" t="str">
        <x:v>model_generated_candidate</x:v>
      </x:c>
      <x:c r="W242" s="34" t="str">
        <x:v>Generated from disclosed-path facility calendar, technology set and template contracting assumptions; not a company-announced project</x:v>
      </x:c>
    </x:row>
    <x:row r="243">
      <x:c r="A243" s="34" t="str">
        <x:v>CAND-0B64D3C56ED2FD</x:v>
      </x:c>
      <x:c r="B243" s="34" t="str">
        <x:v>NIPPON_STEEL_JP</x:v>
      </x:c>
      <x:c r="C243" s="34" t="str">
        <x:v>Nippon Steel</x:v>
      </x:c>
      <x:c r="D243" s="34" t="str">
        <x:v>P1</x:v>
      </x:c>
      <x:c r="E243" s="34" t="str">
        <x:v>지연·현물조달</x:v>
      </x:c>
      <x:c r="F243" s="34" t="str">
        <x:v>PORT-93BA44A86FDE</x:v>
      </x:c>
      <x:c r="G243" s="34" t="str">
        <x:v>DISCLOSED_PATH</x:v>
      </x:c>
      <x:c r="H243" s="34" t="n">
        <x:v>5</x:v>
      </x:c>
      <x:c r="I243" s="34" t="n">
        <x:v>2029</x:v>
      </x:c>
      <x:c r="J243" s="34" t="n">
        <x:v>2038</x:v>
      </x:c>
      <x:c r="K243" s="34" t="n">
        <x:v>0</x:v>
      </x:c>
      <x:c r="L243" s="34" t="n">
        <x:v>0.449871</x:v>
      </x:c>
      <x:c r="M243" s="34" t="n">
        <x:v>0.550129</x:v>
      </x:c>
      <x:c r="N243" s="34" t="n">
        <x:v>0</x:v>
      </x:c>
      <x:c r="O243" s="34" t="n">
        <x:v>0</x:v>
      </x:c>
      <x:c r="P243" s="34" t="n">
        <x:v>0</x:v>
      </x:c>
      <x:c r="Q243" s="34" t="n">
        <x:v>0.1</x:v>
      </x:c>
      <x:c r="R243" s="34" t="n">
        <x:v>0</x:v>
      </x:c>
      <x:c r="S243" s="34" t="n">
        <x:v>0</x:v>
      </x:c>
      <x:c r="T243" s="34" t="n">
        <x:v>468.703944</x:v>
      </x:c>
      <x:c r="U243" s="34" t="str">
        <x:v>NS-EAST:H2_DRI_EAF:2034|NS-KANSAI:H2_DRI_EAF:2036|NS-KYUSHU:SCRAP_EAF:2029|NS-NAGOYA:H2_DRI_EAF:2032|NS-SETOUCHI:SCRAP_EAF:2038</x:v>
      </x:c>
      <x:c r="V243" s="34" t="str">
        <x:v>model_generated_candidate</x:v>
      </x:c>
      <x:c r="W243" s="34" t="str">
        <x:v>Generated from disclosed-path facility calendar, technology set and template contracting assumptions; not a company-announced project</x:v>
      </x:c>
    </x:row>
    <x:row r="244">
      <x:c r="A244" s="34" t="str">
        <x:v>CAND-0CCB31C64DEB2F</x:v>
      </x:c>
      <x:c r="B244" s="34" t="str">
        <x:v>NIPPON_STEEL_JP</x:v>
      </x:c>
      <x:c r="C244" s="34" t="str">
        <x:v>Nippon Steel</x:v>
      </x:c>
      <x:c r="D244" s="34" t="str">
        <x:v>P1</x:v>
      </x:c>
      <x:c r="E244" s="34" t="str">
        <x:v>지연·현물조달</x:v>
      </x:c>
      <x:c r="F244" s="34" t="str">
        <x:v>PORT-4025A7B6BA3A</x:v>
      </x:c>
      <x:c r="G244" s="34" t="str">
        <x:v>DISCLOSED_PATH</x:v>
      </x:c>
      <x:c r="H244" s="34" t="n">
        <x:v>5</x:v>
      </x:c>
      <x:c r="I244" s="34" t="n">
        <x:v>2029</x:v>
      </x:c>
      <x:c r="J244" s="34" t="n">
        <x:v>2038</x:v>
      </x:c>
      <x:c r="K244" s="34" t="n">
        <x:v>0.354756</x:v>
      </x:c>
      <x:c r="L244" s="34" t="n">
        <x:v>0.437018</x:v>
      </x:c>
      <x:c r="M244" s="34" t="n">
        <x:v>0.208226</x:v>
      </x:c>
      <x:c r="N244" s="34" t="n">
        <x:v>0</x:v>
      </x:c>
      <x:c r="O244" s="34" t="n">
        <x:v>0</x:v>
      </x:c>
      <x:c r="P244" s="34" t="n">
        <x:v>0</x:v>
      </x:c>
      <x:c r="Q244" s="34" t="n">
        <x:v>0.1</x:v>
      </x:c>
      <x:c r="R244" s="34" t="n">
        <x:v>0</x:v>
      </x:c>
      <x:c r="S244" s="34" t="n">
        <x:v>0</x:v>
      </x:c>
      <x:c r="T244" s="34" t="n">
        <x:v>379.748943</x:v>
      </x:c>
      <x:c r="U244" s="34" t="str">
        <x:v>NS-EAST:H2_DRI_EAF:2034|NS-KANSAI:BF_RELINE:2036|NS-KYUSHU:SCRAP_EAF:2029|NS-NAGOYA:SCRAP_EAF:2032|NS-SETOUCHI:BF_RELINE:2038</x:v>
      </x:c>
      <x:c r="V244" s="34" t="str">
        <x:v>model_generated_candidate</x:v>
      </x:c>
      <x:c r="W244" s="34" t="str">
        <x:v>Generated from disclosed-path facility calendar, technology set and template contracting assumptions; not a company-announced project</x:v>
      </x:c>
    </x:row>
    <x:row r="245">
      <x:c r="A245" s="34" t="str">
        <x:v>CAND-0CF78073F05A91</x:v>
      </x:c>
      <x:c r="B245" s="34" t="str">
        <x:v>NIPPON_STEEL_JP</x:v>
      </x:c>
      <x:c r="C245" s="34" t="str">
        <x:v>Nippon Steel</x:v>
      </x:c>
      <x:c r="D245" s="34" t="str">
        <x:v>P2</x:v>
      </x:c>
      <x:c r="E245" s="34" t="str">
        <x:v>지연·부분헤지</x:v>
      </x:c>
      <x:c r="F245" s="34" t="str">
        <x:v>PORT-66671902C8C2</x:v>
      </x:c>
      <x:c r="G245" s="34" t="str">
        <x:v>DISCLOSED_PATH</x:v>
      </x:c>
      <x:c r="H245" s="34" t="n">
        <x:v>5</x:v>
      </x:c>
      <x:c r="I245" s="34" t="n">
        <x:v>2029</x:v>
      </x:c>
      <x:c r="J245" s="34" t="n">
        <x:v>2038</x:v>
      </x:c>
      <x:c r="K245" s="34" t="n">
        <x:v>0.161954</x:v>
      </x:c>
      <x:c r="L245" s="34" t="n">
        <x:v>0.465296</x:v>
      </x:c>
      <x:c r="M245" s="34" t="n">
        <x:v>0.372751</x:v>
      </x:c>
      <x:c r="N245" s="34" t="n">
        <x:v>0</x:v>
      </x:c>
      <x:c r="O245" s="34" t="n">
        <x:v>0.15</x:v>
      </x:c>
      <x:c r="P245" s="34" t="n">
        <x:v>0.1</x:v>
      </x:c>
      <x:c r="Q245" s="34" t="n">
        <x:v>0.2</x:v>
      </x:c>
      <x:c r="R245" s="34" t="n">
        <x:v>0.1</x:v>
      </x:c>
      <x:c r="S245" s="34" t="n">
        <x:v>0.01</x:v>
      </x:c>
      <x:c r="T245" s="34" t="n">
        <x:v>413.228937</x:v>
      </x:c>
      <x:c r="U245" s="34" t="str">
        <x:v>NS-EAST:SCRAP_EAF:2034|NS-KANSAI:BF_RELINE:2036|NS-KYUSHU:SCRAP_EAF:2029|NS-NAGOYA:H2_DRI_EAF:2032|NS-SETOUCHI:H2_DRI_EAF:2038</x:v>
      </x:c>
      <x:c r="V245" s="34" t="str">
        <x:v>model_generated_candidate</x:v>
      </x:c>
      <x:c r="W245" s="34" t="str">
        <x:v>Generated from disclosed-path facility calendar, technology set and template contracting assumptions; not a company-announced project</x:v>
      </x:c>
    </x:row>
    <x:row r="246">
      <x:c r="A246" s="34" t="str">
        <x:v>CAND-0D23866328E8C6</x:v>
      </x:c>
      <x:c r="B246" s="34" t="str">
        <x:v>NIPPON_STEEL_JP</x:v>
      </x:c>
      <x:c r="C246" s="34" t="str">
        <x:v>Nippon Steel</x:v>
      </x:c>
      <x:c r="D246" s="34" t="str">
        <x:v>P1</x:v>
      </x:c>
      <x:c r="E246" s="34" t="str">
        <x:v>지연·현물조달</x:v>
      </x:c>
      <x:c r="F246" s="34" t="str">
        <x:v>PORT-64904F869F44</x:v>
      </x:c>
      <x:c r="G246" s="34" t="str">
        <x:v>DISCLOSED_PATH</x:v>
      </x:c>
      <x:c r="H246" s="34" t="n">
        <x:v>5</x:v>
      </x:c>
      <x:c r="I246" s="34" t="n">
        <x:v>2029</x:v>
      </x:c>
      <x:c r="J246" s="34" t="n">
        <x:v>2038</x:v>
      </x:c>
      <x:c r="K246" s="34" t="n">
        <x:v>0.257069</x:v>
      </x:c>
      <x:c r="L246" s="34" t="n">
        <x:v>0.161954</x:v>
      </x:c>
      <x:c r="M246" s="34" t="n">
        <x:v>0.580977</x:v>
      </x:c>
      <x:c r="N246" s="34" t="n">
        <x:v>0</x:v>
      </x:c>
      <x:c r="O246" s="34" t="n">
        <x:v>0</x:v>
      </x:c>
      <x:c r="P246" s="34" t="n">
        <x:v>0</x:v>
      </x:c>
      <x:c r="Q246" s="34" t="n">
        <x:v>0.1</x:v>
      </x:c>
      <x:c r="R246" s="34" t="n">
        <x:v>0</x:v>
      </x:c>
      <x:c r="S246" s="34" t="n">
        <x:v>0</x:v>
      </x:c>
      <x:c r="T246" s="34" t="n">
        <x:v>309.828943</x:v>
      </x:c>
      <x:c r="U246" s="34" t="str">
        <x:v>NS-EAST:H2_DRI_EAF:2034|NS-KANSAI:SCRAP_EAF:2036|NS-KYUSHU:BF_RELINE:2029|NS-NAGOYA:H2_DRI_EAF:2032|NS-SETOUCHI:H2_DRI_EAF:2038</x:v>
      </x:c>
      <x:c r="V246" s="34" t="str">
        <x:v>model_generated_candidate</x:v>
      </x:c>
      <x:c r="W246" s="34" t="str">
        <x:v>Generated from disclosed-path facility calendar, technology set and template contracting assumptions; not a company-announced project</x:v>
      </x:c>
    </x:row>
    <x:row r="247">
      <x:c r="A247" s="34" t="str">
        <x:v>CAND-0D920B994893D6</x:v>
      </x:c>
      <x:c r="B247" s="34" t="str">
        <x:v>NIPPON_STEEL_JP</x:v>
      </x:c>
      <x:c r="C247" s="34" t="str">
        <x:v>Nippon Steel</x:v>
      </x:c>
      <x:c r="D247" s="34" t="str">
        <x:v>P1</x:v>
      </x:c>
      <x:c r="E247" s="34" t="str">
        <x:v>지연·현물조달</x:v>
      </x:c>
      <x:c r="F247" s="34" t="str">
        <x:v>PORT-1DC8D35FFDC5</x:v>
      </x:c>
      <x:c r="G247" s="34" t="str">
        <x:v>DISCLOSED_PATH</x:v>
      </x:c>
      <x:c r="H247" s="34" t="n">
        <x:v>5</x:v>
      </x:c>
      <x:c r="I247" s="34" t="n">
        <x:v>2029</x:v>
      </x:c>
      <x:c r="J247" s="34" t="n">
        <x:v>2038</x:v>
      </x:c>
      <x:c r="K247" s="34" t="n">
        <x:v>0</x:v>
      </x:c>
      <x:c r="L247" s="34" t="n">
        <x:v>0.161954</x:v>
      </x:c>
      <x:c r="M247" s="34" t="n">
        <x:v>0.838046</x:v>
      </x:c>
      <x:c r="N247" s="34" t="n">
        <x:v>0</x:v>
      </x:c>
      <x:c r="O247" s="34" t="n">
        <x:v>0</x:v>
      </x:c>
      <x:c r="P247" s="34" t="n">
        <x:v>0</x:v>
      </x:c>
      <x:c r="Q247" s="34" t="n">
        <x:v>0.1</x:v>
      </x:c>
      <x:c r="R247" s="34" t="n">
        <x:v>0</x:v>
      </x:c>
      <x:c r="S247" s="34" t="n">
        <x:v>0</x:v>
      </x:c>
      <x:c r="T247" s="34" t="n">
        <x:v>493.428943</x:v>
      </x:c>
      <x:c r="U247" s="34" t="str">
        <x:v>NS-EAST:H2_DRI_EAF:2034|NS-KANSAI:SCRAP_EAF:2036|NS-KYUSHU:H2_DRI_EAF:2029|NS-NAGOYA:H2_DRI_EAF:2032|NS-SETOUCHI:H2_DRI_EAF:2038</x:v>
      </x:c>
      <x:c r="V247" s="34" t="str">
        <x:v>model_generated_candidate</x:v>
      </x:c>
      <x:c r="W247" s="34" t="str">
        <x:v>Generated from disclosed-path facility calendar, technology set and template contracting assumptions; not a company-announced project</x:v>
      </x:c>
    </x:row>
    <x:row r="248">
      <x:c r="A248" s="34" t="str">
        <x:v>CAND-0DB7DE82F03739</x:v>
      </x:c>
      <x:c r="B248" s="34" t="str">
        <x:v>NIPPON_STEEL_JP</x:v>
      </x:c>
      <x:c r="C248" s="34" t="str">
        <x:v>Nippon Steel</x:v>
      </x:c>
      <x:c r="D248" s="34" t="str">
        <x:v>P1</x:v>
      </x:c>
      <x:c r="E248" s="34" t="str">
        <x:v>지연·현물조달</x:v>
      </x:c>
      <x:c r="F248" s="34" t="str">
        <x:v>PORT-23A278D911DA</x:v>
      </x:c>
      <x:c r="G248" s="34" t="str">
        <x:v>DISCLOSED_PATH</x:v>
      </x:c>
      <x:c r="H248" s="34" t="n">
        <x:v>5</x:v>
      </x:c>
      <x:c r="I248" s="34" t="n">
        <x:v>2029</x:v>
      </x:c>
      <x:c r="J248" s="34" t="n">
        <x:v>2038</x:v>
      </x:c>
      <x:c r="K248" s="34" t="n">
        <x:v>0.645244</x:v>
      </x:c>
      <x:c r="L248" s="34" t="n">
        <x:v>0</x:v>
      </x:c>
      <x:c r="M248" s="34" t="n">
        <x:v>0.354756</x:v>
      </x:c>
      <x:c r="N248" s="34" t="n">
        <x:v>0</x:v>
      </x:c>
      <x:c r="O248" s="34" t="n">
        <x:v>0</x:v>
      </x:c>
      <x:c r="P248" s="34" t="n">
        <x:v>0</x:v>
      </x:c>
      <x:c r="Q248" s="34" t="n">
        <x:v>0.1</x:v>
      </x:c>
      <x:c r="R248" s="34" t="n">
        <x:v>0</x:v>
      </x:c>
      <x:c r="S248" s="34" t="n">
        <x:v>0</x:v>
      </x:c>
      <x:c r="T248" s="34" t="n">
        <x:v>136.288964</x:v>
      </x:c>
      <x:c r="U248" s="34" t="str">
        <x:v>NS-EAST:BF_RELINE:2034|NS-KANSAI:H2_DRI_EAF:2036|NS-KYUSHU:BF_RELINE:2029|NS-NAGOYA:BF_RELINE:2032|NS-SETOUCHI:H2_DRI_EAF:2038</x:v>
      </x:c>
      <x:c r="V248" s="34" t="str">
        <x:v>model_generated_candidate</x:v>
      </x:c>
      <x:c r="W248" s="34" t="str">
        <x:v>Generated from disclosed-path facility calendar, technology set and template contracting assumptions; not a company-announced project</x:v>
      </x:c>
    </x:row>
    <x:row r="249">
      <x:c r="A249" s="34" t="str">
        <x:v>CAND-0DBC59D9266EF3</x:v>
      </x:c>
      <x:c r="B249" s="34" t="str">
        <x:v>NIPPON_STEEL_JP</x:v>
      </x:c>
      <x:c r="C249" s="34" t="str">
        <x:v>Nippon Steel</x:v>
      </x:c>
      <x:c r="D249" s="34" t="str">
        <x:v>P2</x:v>
      </x:c>
      <x:c r="E249" s="34" t="str">
        <x:v>지연·부분헤지</x:v>
      </x:c>
      <x:c r="F249" s="34" t="str">
        <x:v>PORT-D71AD7929180</x:v>
      </x:c>
      <x:c r="G249" s="34" t="str">
        <x:v>DISCLOSED_PATH</x:v>
      </x:c>
      <x:c r="H249" s="34" t="n">
        <x:v>5</x:v>
      </x:c>
      <x:c r="I249" s="34" t="n">
        <x:v>2029</x:v>
      </x:c>
      <x:c r="J249" s="34" t="n">
        <x:v>2038</x:v>
      </x:c>
      <x:c r="K249" s="34" t="n">
        <x:v>0.372751</x:v>
      </x:c>
      <x:c r="L249" s="34" t="n">
        <x:v>0.161954</x:v>
      </x:c>
      <x:c r="M249" s="34" t="n">
        <x:v>0.465296</x:v>
      </x:c>
      <x:c r="N249" s="34" t="n">
        <x:v>0</x:v>
      </x:c>
      <x:c r="O249" s="34" t="n">
        <x:v>0.15</x:v>
      </x:c>
      <x:c r="P249" s="34" t="n">
        <x:v>0.1</x:v>
      </x:c>
      <x:c r="Q249" s="34" t="n">
        <x:v>0.2</x:v>
      </x:c>
      <x:c r="R249" s="34" t="n">
        <x:v>0.1</x:v>
      </x:c>
      <x:c r="S249" s="34" t="n">
        <x:v>0.01</x:v>
      </x:c>
      <x:c r="T249" s="34" t="n">
        <x:v>366.438974</x:v>
      </x:c>
      <x:c r="U249" s="34" t="str">
        <x:v>NS-EAST:H2_DRI_EAF:2034|NS-KANSAI:SCRAP_EAF:2036|NS-KYUSHU:H2_DRI_EAF:2029|NS-NAGOYA:BF_RELINE:2032|NS-SETOUCHI:BF_RELINE:2038</x:v>
      </x:c>
      <x:c r="V249" s="34" t="str">
        <x:v>model_generated_candidate</x:v>
      </x:c>
      <x:c r="W249" s="34" t="str">
        <x:v>Generated from disclosed-path facility calendar, technology set and template contracting assumptions; not a company-announced project</x:v>
      </x:c>
    </x:row>
    <x:row r="250">
      <x:c r="A250" s="34" t="str">
        <x:v>CAND-0E307C2CAB5D7A</x:v>
      </x:c>
      <x:c r="B250" s="34" t="str">
        <x:v>NIPPON_STEEL_JP</x:v>
      </x:c>
      <x:c r="C250" s="34" t="str">
        <x:v>Nippon Steel</x:v>
      </x:c>
      <x:c r="D250" s="34" t="str">
        <x:v>P2</x:v>
      </x:c>
      <x:c r="E250" s="34" t="str">
        <x:v>지연·부분헤지</x:v>
      </x:c>
      <x:c r="F250" s="34" t="str">
        <x:v>PORT-792EEE640306</x:v>
      </x:c>
      <x:c r="G250" s="34" t="str">
        <x:v>DISCLOSED_PATH</x:v>
      </x:c>
      <x:c r="H250" s="34" t="n">
        <x:v>5</x:v>
      </x:c>
      <x:c r="I250" s="34" t="n">
        <x:v>2029</x:v>
      </x:c>
      <x:c r="J250" s="34" t="n">
        <x:v>2038</x:v>
      </x:c>
      <x:c r="K250" s="34" t="n">
        <x:v>0.372751</x:v>
      </x:c>
      <x:c r="L250" s="34" t="n">
        <x:v>0.419023</x:v>
      </x:c>
      <x:c r="M250" s="34" t="n">
        <x:v>0.208226</x:v>
      </x:c>
      <x:c r="N250" s="34" t="n">
        <x:v>0</x:v>
      </x:c>
      <x:c r="O250" s="34" t="n">
        <x:v>0.15</x:v>
      </x:c>
      <x:c r="P250" s="34" t="n">
        <x:v>0.1</x:v>
      </x:c>
      <x:c r="Q250" s="34" t="n">
        <x:v>0.2</x:v>
      </x:c>
      <x:c r="R250" s="34" t="n">
        <x:v>0.1</x:v>
      </x:c>
      <x:c r="S250" s="34" t="n">
        <x:v>0.01</x:v>
      </x:c>
      <x:c r="T250" s="34" t="n">
        <x:v>339.438974</x:v>
      </x:c>
      <x:c r="U250" s="34" t="str">
        <x:v>NS-EAST:H2_DRI_EAF:2034|NS-KANSAI:SCRAP_EAF:2036|NS-KYUSHU:SCRAP_EAF:2029|NS-NAGOYA:BF_RELINE:2032|NS-SETOUCHI:BF_RELINE:2038</x:v>
      </x:c>
      <x:c r="V250" s="34" t="str">
        <x:v>model_generated_candidate</x:v>
      </x:c>
      <x:c r="W250" s="34" t="str">
        <x:v>Generated from disclosed-path facility calendar, technology set and template contracting assumptions; not a company-announced project</x:v>
      </x:c>
    </x:row>
    <x:row r="251">
      <x:c r="A251" s="34" t="str">
        <x:v>CAND-0E50065F955C2D</x:v>
      </x:c>
      <x:c r="B251" s="34" t="str">
        <x:v>NIPPON_STEEL_JP</x:v>
      </x:c>
      <x:c r="C251" s="34" t="str">
        <x:v>Nippon Steel</x:v>
      </x:c>
      <x:c r="D251" s="34" t="str">
        <x:v>P2</x:v>
      </x:c>
      <x:c r="E251" s="34" t="str">
        <x:v>지연·부분헤지</x:v>
      </x:c>
      <x:c r="F251" s="34" t="str">
        <x:v>PORT-EFA421F0E7E7</x:v>
      </x:c>
      <x:c r="G251" s="34" t="str">
        <x:v>DISCLOSED_PATH</x:v>
      </x:c>
      <x:c r="H251" s="34" t="n">
        <x:v>5</x:v>
      </x:c>
      <x:c r="I251" s="34" t="n">
        <x:v>2029</x:v>
      </x:c>
      <x:c r="J251" s="34" t="n">
        <x:v>2038</x:v>
      </x:c>
      <x:c r="K251" s="34" t="n">
        <x:v>0.354756</x:v>
      </x:c>
      <x:c r="L251" s="34" t="n">
        <x:v>0.179949</x:v>
      </x:c>
      <x:c r="M251" s="34" t="n">
        <x:v>0.465296</x:v>
      </x:c>
      <x:c r="N251" s="34" t="n">
        <x:v>0</x:v>
      </x:c>
      <x:c r="O251" s="34" t="n">
        <x:v>0.15</x:v>
      </x:c>
      <x:c r="P251" s="34" t="n">
        <x:v>0.1</x:v>
      </x:c>
      <x:c r="Q251" s="34" t="n">
        <x:v>0.2</x:v>
      </x:c>
      <x:c r="R251" s="34" t="n">
        <x:v>0.1</x:v>
      </x:c>
      <x:c r="S251" s="34" t="n">
        <x:v>0.01</x:v>
      </x:c>
      <x:c r="T251" s="34" t="n">
        <x:v>406.748943</x:v>
      </x:c>
      <x:c r="U251" s="34" t="str">
        <x:v>NS-EAST:H2_DRI_EAF:2034|NS-KANSAI:BF_RELINE:2036|NS-KYUSHU:H2_DRI_EAF:2029|NS-NAGOYA:SCRAP_EAF:2032|NS-SETOUCHI:BF_RELINE:2038</x:v>
      </x:c>
      <x:c r="V251" s="34" t="str">
        <x:v>model_generated_candidate</x:v>
      </x:c>
      <x:c r="W251" s="34" t="str">
        <x:v>Generated from disclosed-path facility calendar, technology set and template contracting assumptions; not a company-announced project</x:v>
      </x:c>
    </x:row>
    <x:row r="252">
      <x:c r="A252" s="34" t="str">
        <x:v>CAND-0FEEC747FEAF1C</x:v>
      </x:c>
      <x:c r="B252" s="34" t="str">
        <x:v>NIPPON_STEEL_JP</x:v>
      </x:c>
      <x:c r="C252" s="34" t="str">
        <x:v>Nippon Steel</x:v>
      </x:c>
      <x:c r="D252" s="34" t="str">
        <x:v>P3</x:v>
      </x:c>
      <x:c r="E252" s="34" t="str">
        <x:v>균형형 라이트헤지</x:v>
      </x:c>
      <x:c r="F252" s="34" t="str">
        <x:v>PORT-4F64F793369E</x:v>
      </x:c>
      <x:c r="G252" s="34" t="str">
        <x:v>DISCLOSED_PATH</x:v>
      </x:c>
      <x:c r="H252" s="34" t="n">
        <x:v>5</x:v>
      </x:c>
      <x:c r="I252" s="34" t="n">
        <x:v>2029</x:v>
      </x:c>
      <x:c r="J252" s="34" t="n">
        <x:v>2038</x:v>
      </x:c>
      <x:c r="K252" s="34" t="n">
        <x:v>0.341902</x:v>
      </x:c>
      <x:c r="L252" s="34" t="n">
        <x:v>0.257069</x:v>
      </x:c>
      <x:c r="M252" s="34" t="n">
        <x:v>0.401028</x:v>
      </x:c>
      <x:c r="N252" s="34" t="n">
        <x:v>0</x:v>
      </x:c>
      <x:c r="O252" s="34" t="n">
        <x:v>0.3</x:v>
      </x:c>
      <x:c r="P252" s="34" t="n">
        <x:v>0.25</x:v>
      </x:c>
      <x:c r="Q252" s="34" t="n">
        <x:v>0.35</x:v>
      </x:c>
      <x:c r="R252" s="34" t="n">
        <x:v>0.25</x:v>
      </x:c>
      <x:c r="S252" s="34" t="n">
        <x:v>0.015</x:v>
      </x:c>
      <x:c r="T252" s="34" t="n">
        <x:v>330.968969</x:v>
      </x:c>
      <x:c r="U252" s="34" t="str">
        <x:v>NS-EAST:H2_DRI_EAF:2034|NS-KANSAI:BF_RELINE:2036|NS-KYUSHU:SCRAP_EAF:2029|NS-NAGOYA:BF_RELINE:2032|NS-SETOUCHI:H2_DRI_EAF:2038</x:v>
      </x:c>
      <x:c r="V252" s="34" t="str">
        <x:v>model_generated_candidate</x:v>
      </x:c>
      <x:c r="W252" s="34" t="str">
        <x:v>Generated from disclosed-path facility calendar, technology set and template contracting assumptions; not a company-announced project</x:v>
      </x:c>
    </x:row>
    <x:row r="253">
      <x:c r="A253" s="34" t="str">
        <x:v>CAND-0FF819D46D0444</x:v>
      </x:c>
      <x:c r="B253" s="34" t="str">
        <x:v>NIPPON_STEEL_JP</x:v>
      </x:c>
      <x:c r="C253" s="34" t="str">
        <x:v>Nippon Steel</x:v>
      </x:c>
      <x:c r="D253" s="34" t="str">
        <x:v>P1</x:v>
      </x:c>
      <x:c r="E253" s="34" t="str">
        <x:v>지연·현물조달</x:v>
      </x:c>
      <x:c r="F253" s="34" t="str">
        <x:v>PORT-8186E2E8AA48</x:v>
      </x:c>
      <x:c r="G253" s="34" t="str">
        <x:v>DISCLOSED_PATH</x:v>
      </x:c>
      <x:c r="H253" s="34" t="n">
        <x:v>5</x:v>
      </x:c>
      <x:c r="I253" s="34" t="n">
        <x:v>2029</x:v>
      </x:c>
      <x:c r="J253" s="34" t="n">
        <x:v>2038</x:v>
      </x:c>
      <x:c r="K253" s="34" t="n">
        <x:v>0</x:v>
      </x:c>
      <x:c r="L253" s="34" t="n">
        <x:v>0.208226</x:v>
      </x:c>
      <x:c r="M253" s="34" t="n">
        <x:v>0.791774</x:v>
      </x:c>
      <x:c r="N253" s="34" t="n">
        <x:v>0</x:v>
      </x:c>
      <x:c r="O253" s="34" t="n">
        <x:v>0</x:v>
      </x:c>
      <x:c r="P253" s="34" t="n">
        <x:v>0</x:v>
      </x:c>
      <x:c r="Q253" s="34" t="n">
        <x:v>0.1</x:v>
      </x:c>
      <x:c r="R253" s="34" t="n">
        <x:v>0</x:v>
      </x:c>
      <x:c r="S253" s="34" t="n">
        <x:v>0</x:v>
      </x:c>
      <x:c r="T253" s="34" t="n">
        <x:v>487.828943</x:v>
      </x:c>
      <x:c r="U253" s="34" t="str">
        <x:v>NS-EAST:SCRAP_EAF:2034|NS-KANSAI:H2_DRI_EAF:2036|NS-KYUSHU:H2_DRI_EAF:2029|NS-NAGOYA:H2_DRI_EAF:2032|NS-SETOUCHI:H2_DRI_EAF:2038</x:v>
      </x:c>
      <x:c r="V253" s="34" t="str">
        <x:v>model_generated_candidate</x:v>
      </x:c>
      <x:c r="W253" s="34" t="str">
        <x:v>Generated from disclosed-path facility calendar, technology set and template contracting assumptions; not a company-announced project</x:v>
      </x:c>
    </x:row>
    <x:row r="254">
      <x:c r="A254" s="34" t="str">
        <x:v>CAND-10057B6A696CE2</x:v>
      </x:c>
      <x:c r="B254" s="34" t="str">
        <x:v>NIPPON_STEEL_JP</x:v>
      </x:c>
      <x:c r="C254" s="34" t="str">
        <x:v>Nippon Steel</x:v>
      </x:c>
      <x:c r="D254" s="34" t="str">
        <x:v>P4</x:v>
      </x:c>
      <x:c r="E254" s="34" t="str">
        <x:v>균형형 전환</x:v>
      </x:c>
      <x:c r="F254" s="34" t="str">
        <x:v>PORT-CBAD3A6BFB45</x:v>
      </x:c>
      <x:c r="G254" s="34" t="str">
        <x:v>DISCLOSED_PATH</x:v>
      </x:c>
      <x:c r="H254" s="34" t="n">
        <x:v>5</x:v>
      </x:c>
      <x:c r="I254" s="34" t="n">
        <x:v>2028</x:v>
      </x:c>
      <x:c r="J254" s="34" t="n">
        <x:v>2037</x:v>
      </x:c>
      <x:c r="K254" s="34" t="n">
        <x:v>0.161954</x:v>
      </x:c>
      <x:c r="L254" s="34" t="n">
        <x:v>0.192802</x:v>
      </x:c>
      <x:c r="M254" s="34" t="n">
        <x:v>0.645244</x:v>
      </x:c>
      <x:c r="N254" s="34" t="n">
        <x:v>0</x:v>
      </x:c>
      <x:c r="O254" s="34" t="n">
        <x:v>0.5</x:v>
      </x:c>
      <x:c r="P254" s="34" t="n">
        <x:v>0.45</x:v>
      </x:c>
      <x:c r="Q254" s="34" t="n">
        <x:v>0.5</x:v>
      </x:c>
      <x:c r="R254" s="34" t="n">
        <x:v>0.4</x:v>
      </x:c>
      <x:c r="S254" s="34" t="n">
        <x:v>0.02</x:v>
      </x:c>
      <x:c r="T254" s="34" t="n">
        <x:v>502.748934</x:v>
      </x:c>
      <x:c r="U254" s="34" t="str">
        <x:v>NS-EAST:H2_DRI_EAF:2033|NS-KANSAI:BF_RELINE:2035|NS-KYUSHU:H2_DRI_EAF:2028|NS-NAGOYA:H2_DRI_EAF:2031|NS-SETOUCHI:SCRAP_EAF:2037</x:v>
      </x:c>
      <x:c r="V254" s="34" t="str">
        <x:v>model_generated_candidate</x:v>
      </x:c>
      <x:c r="W254" s="34" t="str">
        <x:v>Generated from disclosed-path facility calendar, technology set and template contracting assumptions; not a company-announced project</x:v>
      </x:c>
    </x:row>
    <x:row r="255">
      <x:c r="A255" s="34" t="str">
        <x:v>CAND-100B5DC6ACF53C</x:v>
      </x:c>
      <x:c r="B255" s="34" t="str">
        <x:v>NIPPON_STEEL_JP</x:v>
      </x:c>
      <x:c r="C255" s="34" t="str">
        <x:v>Nippon Steel</x:v>
      </x:c>
      <x:c r="D255" s="34" t="str">
        <x:v>P1</x:v>
      </x:c>
      <x:c r="E255" s="34" t="str">
        <x:v>지연·현물조달</x:v>
      </x:c>
      <x:c r="F255" s="34" t="str">
        <x:v>PORT-57863E458EC6</x:v>
      </x:c>
      <x:c r="G255" s="34" t="str">
        <x:v>DISCLOSED_PATH</x:v>
      </x:c>
      <x:c r="H255" s="34" t="n">
        <x:v>5</x:v>
      </x:c>
      <x:c r="I255" s="34" t="n">
        <x:v>2029</x:v>
      </x:c>
      <x:c r="J255" s="34" t="n">
        <x:v>2038</x:v>
      </x:c>
      <x:c r="K255" s="34" t="n">
        <x:v>0.437018</x:v>
      </x:c>
      <x:c r="L255" s="34" t="n">
        <x:v>0.401028</x:v>
      </x:c>
      <x:c r="M255" s="34" t="n">
        <x:v>0.161954</x:v>
      </x:c>
      <x:c r="N255" s="34" t="n">
        <x:v>0</x:v>
      </x:c>
      <x:c r="O255" s="34" t="n">
        <x:v>0</x:v>
      </x:c>
      <x:c r="P255" s="34" t="n">
        <x:v>0</x:v>
      </x:c>
      <x:c r="Q255" s="34" t="n">
        <x:v>0.1</x:v>
      </x:c>
      <x:c r="R255" s="34" t="n">
        <x:v>0</x:v>
      </x:c>
      <x:c r="S255" s="34" t="n">
        <x:v>0</x:v>
      </x:c>
      <x:c r="T255" s="34" t="n">
        <x:v>204.643973</x:v>
      </x:c>
      <x:c r="U255" s="34" t="str">
        <x:v>NS-EAST:SCRAP_EAF:2034|NS-KANSAI:H2_DRI_EAF:2036|NS-KYUSHU:BF_RELINE:2029|NS-NAGOYA:BF_RELINE:2032|NS-SETOUCHI:SCRAP_EAF:2038</x:v>
      </x:c>
      <x:c r="V255" s="34" t="str">
        <x:v>model_generated_candidate</x:v>
      </x:c>
      <x:c r="W255" s="34" t="str">
        <x:v>Generated from disclosed-path facility calendar, technology set and template contracting assumptions; not a company-announced project</x:v>
      </x:c>
    </x:row>
    <x:row r="256">
      <x:c r="A256" s="34" t="str">
        <x:v>CAND-124947277ECC5B</x:v>
      </x:c>
      <x:c r="B256" s="34" t="str">
        <x:v>NIPPON_STEEL_JP</x:v>
      </x:c>
      <x:c r="C256" s="34" t="str">
        <x:v>Nippon Steel</x:v>
      </x:c>
      <x:c r="D256" s="34" t="str">
        <x:v>P2</x:v>
      </x:c>
      <x:c r="E256" s="34" t="str">
        <x:v>지연·부분헤지</x:v>
      </x:c>
      <x:c r="F256" s="34" t="str">
        <x:v>PORT-D3FE55E7A8A2</x:v>
      </x:c>
      <x:c r="G256" s="34" t="str">
        <x:v>DISCLOSED_PATH</x:v>
      </x:c>
      <x:c r="H256" s="34" t="n">
        <x:v>5</x:v>
      </x:c>
      <x:c r="I256" s="34" t="n">
        <x:v>2029</x:v>
      </x:c>
      <x:c r="J256" s="34" t="n">
        <x:v>2038</x:v>
      </x:c>
      <x:c r="K256" s="34" t="n">
        <x:v>0.401028</x:v>
      </x:c>
      <x:c r="L256" s="34" t="n">
        <x:v>0.179949</x:v>
      </x:c>
      <x:c r="M256" s="34" t="n">
        <x:v>0.419023</x:v>
      </x:c>
      <x:c r="N256" s="34" t="n">
        <x:v>0</x:v>
      </x:c>
      <x:c r="O256" s="34" t="n">
        <x:v>0.15</x:v>
      </x:c>
      <x:c r="P256" s="34" t="n">
        <x:v>0.1</x:v>
      </x:c>
      <x:c r="Q256" s="34" t="n">
        <x:v>0.2</x:v>
      </x:c>
      <x:c r="R256" s="34" t="n">
        <x:v>0.1</x:v>
      </x:c>
      <x:c r="S256" s="34" t="n">
        <x:v>0.01</x:v>
      </x:c>
      <x:c r="T256" s="34" t="n">
        <x:v>368.668938</x:v>
      </x:c>
      <x:c r="U256" s="34" t="str">
        <x:v>NS-EAST:BF_RELINE:2034|NS-KANSAI:H2_DRI_EAF:2036|NS-KYUSHU:H2_DRI_EAF:2029|NS-NAGOYA:SCRAP_EAF:2032|NS-SETOUCHI:BF_RELINE:2038</x:v>
      </x:c>
      <x:c r="V256" s="34" t="str">
        <x:v>model_generated_candidate</x:v>
      </x:c>
      <x:c r="W256" s="34" t="str">
        <x:v>Generated from disclosed-path facility calendar, technology set and template contracting assumptions; not a company-announced project</x:v>
      </x:c>
    </x:row>
    <x:row r="257">
      <x:c r="A257" s="34" t="str">
        <x:v>CAND-125BA60303F2AE</x:v>
      </x:c>
      <x:c r="B257" s="34" t="str">
        <x:v>NIPPON_STEEL_JP</x:v>
      </x:c>
      <x:c r="C257" s="34" t="str">
        <x:v>Nippon Steel</x:v>
      </x:c>
      <x:c r="D257" s="34" t="str">
        <x:v>P2</x:v>
      </x:c>
      <x:c r="E257" s="34" t="str">
        <x:v>지연·부분헤지</x:v>
      </x:c>
      <x:c r="F257" s="34" t="str">
        <x:v>PORT-7CC9F6AA7C42</x:v>
      </x:c>
      <x:c r="G257" s="34" t="str">
        <x:v>DISCLOSED_PATH</x:v>
      </x:c>
      <x:c r="H257" s="34" t="n">
        <x:v>5</x:v>
      </x:c>
      <x:c r="I257" s="34" t="n">
        <x:v>2029</x:v>
      </x:c>
      <x:c r="J257" s="34" t="n">
        <x:v>2038</x:v>
      </x:c>
      <x:c r="K257" s="34" t="n">
        <x:v>0.192802</x:v>
      </x:c>
      <x:c r="L257" s="34" t="n">
        <x:v>0.161954</x:v>
      </x:c>
      <x:c r="M257" s="34" t="n">
        <x:v>0.645244</x:v>
      </x:c>
      <x:c r="N257" s="34" t="n">
        <x:v>0</x:v>
      </x:c>
      <x:c r="O257" s="34" t="n">
        <x:v>0.15</x:v>
      </x:c>
      <x:c r="P257" s="34" t="n">
        <x:v>0.1</x:v>
      </x:c>
      <x:c r="Q257" s="34" t="n">
        <x:v>0.2</x:v>
      </x:c>
      <x:c r="R257" s="34" t="n">
        <x:v>0.1</x:v>
      </x:c>
      <x:c r="S257" s="34" t="n">
        <x:v>0.01</x:v>
      </x:c>
      <x:c r="T257" s="34" t="n">
        <x:v>461.298943</x:v>
      </x:c>
      <x:c r="U257" s="34" t="str">
        <x:v>NS-EAST:H2_DRI_EAF:2034|NS-KANSAI:SCRAP_EAF:2036|NS-KYUSHU:H2_DRI_EAF:2029|NS-NAGOYA:H2_DRI_EAF:2032|NS-SETOUCHI:BF_RELINE:2038</x:v>
      </x:c>
      <x:c r="V257" s="34" t="str">
        <x:v>model_generated_candidate</x:v>
      </x:c>
      <x:c r="W257" s="34" t="str">
        <x:v>Generated from disclosed-path facility calendar, technology set and template contracting assumptions; not a company-announced project</x:v>
      </x:c>
    </x:row>
    <x:row r="258">
      <x:c r="A258" s="34" t="str">
        <x:v>CAND-13001F4A0B3139</x:v>
      </x:c>
      <x:c r="B258" s="34" t="str">
        <x:v>NIPPON_STEEL_JP</x:v>
      </x:c>
      <x:c r="C258" s="34" t="str">
        <x:v>Nippon Steel</x:v>
      </x:c>
      <x:c r="D258" s="34" t="str">
        <x:v>P2</x:v>
      </x:c>
      <x:c r="E258" s="34" t="str">
        <x:v>지연·부분헤지</x:v>
      </x:c>
      <x:c r="F258" s="34" t="str">
        <x:v>PORT-B8A913DFD01F</x:v>
      </x:c>
      <x:c r="G258" s="34" t="str">
        <x:v>DISCLOSED_PATH</x:v>
      </x:c>
      <x:c r="H258" s="34" t="n">
        <x:v>5</x:v>
      </x:c>
      <x:c r="I258" s="34" t="n">
        <x:v>2029</x:v>
      </x:c>
      <x:c r="J258" s="34" t="n">
        <x:v>2038</x:v>
      </x:c>
      <x:c r="K258" s="34" t="n">
        <x:v>0.534704</x:v>
      </x:c>
      <x:c r="L258" s="34" t="n">
        <x:v>0.208226</x:v>
      </x:c>
      <x:c r="M258" s="34" t="n">
        <x:v>0.257069</x:v>
      </x:c>
      <x:c r="N258" s="34" t="n">
        <x:v>0</x:v>
      </x:c>
      <x:c r="O258" s="34" t="n">
        <x:v>0.15</x:v>
      </x:c>
      <x:c r="P258" s="34" t="n">
        <x:v>0.1</x:v>
      </x:c>
      <x:c r="Q258" s="34" t="n">
        <x:v>0.2</x:v>
      </x:c>
      <x:c r="R258" s="34" t="n">
        <x:v>0.1</x:v>
      </x:c>
      <x:c r="S258" s="34" t="n">
        <x:v>0.01</x:v>
      </x:c>
      <x:c r="T258" s="34" t="n">
        <x:v>313.238967</x:v>
      </x:c>
      <x:c r="U258" s="34" t="str">
        <x:v>NS-EAST:SCRAP_EAF:2034|NS-KANSAI:BF_RELINE:2036|NS-KYUSHU:H2_DRI_EAF:2029|NS-NAGOYA:BF_RELINE:2032|NS-SETOUCHI:BF_RELINE:2038</x:v>
      </x:c>
      <x:c r="V258" s="34" t="str">
        <x:v>model_generated_candidate</x:v>
      </x:c>
      <x:c r="W258" s="34" t="str">
        <x:v>Generated from disclosed-path facility calendar, technology set and template contracting assumptions; not a company-announced project</x:v>
      </x:c>
    </x:row>
    <x:row r="259">
      <x:c r="A259" s="34" t="str">
        <x:v>CAND-1305DA8742D124</x:v>
      </x:c>
      <x:c r="B259" s="34" t="str">
        <x:v>NIPPON_STEEL_JP</x:v>
      </x:c>
      <x:c r="C259" s="34" t="str">
        <x:v>Nippon Steel</x:v>
      </x:c>
      <x:c r="D259" s="34" t="str">
        <x:v>P4</x:v>
      </x:c>
      <x:c r="E259" s="34" t="str">
        <x:v>균형형 전환</x:v>
      </x:c>
      <x:c r="F259" s="34" t="str">
        <x:v>PORT-C942BD99A66C</x:v>
      </x:c>
      <x:c r="G259" s="34" t="str">
        <x:v>DISCLOSED_PATH</x:v>
      </x:c>
      <x:c r="H259" s="34" t="n">
        <x:v>5</x:v>
      </x:c>
      <x:c r="I259" s="34" t="n">
        <x:v>2028</x:v>
      </x:c>
      <x:c r="J259" s="34" t="n">
        <x:v>2037</x:v>
      </x:c>
      <x:c r="K259" s="34" t="n">
        <x:v>0</x:v>
      </x:c>
      <x:c r="L259" s="34" t="n">
        <x:v>0.257069</x:v>
      </x:c>
      <x:c r="M259" s="34" t="n">
        <x:v>0.742931</x:v>
      </x:c>
      <x:c r="N259" s="34" t="n">
        <x:v>0</x:v>
      </x:c>
      <x:c r="O259" s="34" t="n">
        <x:v>0.5</x:v>
      </x:c>
      <x:c r="P259" s="34" t="n">
        <x:v>0.45</x:v>
      </x:c>
      <x:c r="Q259" s="34" t="n">
        <x:v>0.5</x:v>
      </x:c>
      <x:c r="R259" s="34" t="n">
        <x:v>0.4</x:v>
      </x:c>
      <x:c r="S259" s="34" t="n">
        <x:v>0.02</x:v>
      </x:c>
      <x:c r="T259" s="34" t="n">
        <x:v>536.918941</x:v>
      </x:c>
      <x:c r="U259" s="34" t="str">
        <x:v>NS-EAST:H2_DRI_EAF:2033|NS-KANSAI:H2_DRI_EAF:2035|NS-KYUSHU:SCRAP_EAF:2028|NS-NAGOYA:H2_DRI_EAF:2031|NS-SETOUCHI:H2_DRI_EAF:2037</x:v>
      </x:c>
      <x:c r="V259" s="34" t="str">
        <x:v>model_generated_candidate</x:v>
      </x:c>
      <x:c r="W259" s="34" t="str">
        <x:v>Generated from disclosed-path facility calendar, technology set and template contracting assumptions; not a company-announced project</x:v>
      </x:c>
    </x:row>
    <x:row r="260">
      <x:c r="A260" s="34" t="str">
        <x:v>CAND-1366C02035CC2F</x:v>
      </x:c>
      <x:c r="B260" s="34" t="str">
        <x:v>NIPPON_STEEL_JP</x:v>
      </x:c>
      <x:c r="C260" s="34" t="str">
        <x:v>Nippon Steel</x:v>
      </x:c>
      <x:c r="D260" s="34" t="str">
        <x:v>P3</x:v>
      </x:c>
      <x:c r="E260" s="34" t="str">
        <x:v>균형형 라이트헤지</x:v>
      </x:c>
      <x:c r="F260" s="34" t="str">
        <x:v>PORT-FA425C592A46</x:v>
      </x:c>
      <x:c r="G260" s="34" t="str">
        <x:v>DISCLOSED_PATH</x:v>
      </x:c>
      <x:c r="H260" s="34" t="n">
        <x:v>5</x:v>
      </x:c>
      <x:c r="I260" s="34" t="n">
        <x:v>2029</x:v>
      </x:c>
      <x:c r="J260" s="34" t="n">
        <x:v>2038</x:v>
      </x:c>
      <x:c r="K260" s="34" t="n">
        <x:v>0.179949</x:v>
      </x:c>
      <x:c r="L260" s="34" t="n">
        <x:v>0</x:v>
      </x:c>
      <x:c r="M260" s="34" t="n">
        <x:v>0.820051</x:v>
      </x:c>
      <x:c r="N260" s="34" t="n">
        <x:v>0</x:v>
      </x:c>
      <x:c r="O260" s="34" t="n">
        <x:v>0.3</x:v>
      </x:c>
      <x:c r="P260" s="34" t="n">
        <x:v>0.25</x:v>
      </x:c>
      <x:c r="Q260" s="34" t="n">
        <x:v>0.35</x:v>
      </x:c>
      <x:c r="R260" s="34" t="n">
        <x:v>0.25</x:v>
      </x:c>
      <x:c r="S260" s="34" t="n">
        <x:v>0.015</x:v>
      </x:c>
      <x:c r="T260" s="34" t="n">
        <x:v>405.568975</x:v>
      </x:c>
      <x:c r="U260" s="34" t="str">
        <x:v>NS-EAST:H2_DRI_EAF:2034|NS-KANSAI:H2_DRI_EAF:2036|NS-KYUSHU:H2_DRI_EAF:2029|NS-NAGOYA:BF_RELINE:2032|NS-SETOUCHI:H2_DRI_EAF:2038</x:v>
      </x:c>
      <x:c r="V260" s="34" t="str">
        <x:v>model_generated_candidate</x:v>
      </x:c>
      <x:c r="W260" s="34" t="str">
        <x:v>Generated from disclosed-path facility calendar, technology set and template contracting assumptions; not a company-announced project</x:v>
      </x:c>
    </x:row>
    <x:row r="261">
      <x:c r="A261" s="34" t="str">
        <x:v>CAND-14082960930F71</x:v>
      </x:c>
      <x:c r="B261" s="34" t="str">
        <x:v>NIPPON_STEEL_JP</x:v>
      </x:c>
      <x:c r="C261" s="34" t="str">
        <x:v>Nippon Steel</x:v>
      </x:c>
      <x:c r="D261" s="34" t="str">
        <x:v>P3</x:v>
      </x:c>
      <x:c r="E261" s="34" t="str">
        <x:v>균형형 라이트헤지</x:v>
      </x:c>
      <x:c r="F261" s="34" t="str">
        <x:v>PORT-BF29E8561588</x:v>
      </x:c>
      <x:c r="G261" s="34" t="str">
        <x:v>DISCLOSED_PATH</x:v>
      </x:c>
      <x:c r="H261" s="34" t="n">
        <x:v>5</x:v>
      </x:c>
      <x:c r="I261" s="34" t="n">
        <x:v>2029</x:v>
      </x:c>
      <x:c r="J261" s="34" t="n">
        <x:v>2038</x:v>
      </x:c>
      <x:c r="K261" s="34" t="n">
        <x:v>0.192802</x:v>
      </x:c>
      <x:c r="L261" s="34" t="n">
        <x:v>0.37018</x:v>
      </x:c>
      <x:c r="M261" s="34" t="n">
        <x:v>0.437018</x:v>
      </x:c>
      <x:c r="N261" s="34" t="n">
        <x:v>0</x:v>
      </x:c>
      <x:c r="O261" s="34" t="n">
        <x:v>0.3</x:v>
      </x:c>
      <x:c r="P261" s="34" t="n">
        <x:v>0.25</x:v>
      </x:c>
      <x:c r="Q261" s="34" t="n">
        <x:v>0.35</x:v>
      </x:c>
      <x:c r="R261" s="34" t="n">
        <x:v>0.25</x:v>
      </x:c>
      <x:c r="S261" s="34" t="n">
        <x:v>0.015</x:v>
      </x:c>
      <x:c r="T261" s="34" t="n">
        <x:v>448.698942</x:v>
      </x:c>
      <x:c r="U261" s="34" t="str">
        <x:v>NS-EAST:SCRAP_EAF:2034|NS-KANSAI:SCRAP_EAF:2036|NS-KYUSHU:H2_DRI_EAF:2029|NS-NAGOYA:H2_DRI_EAF:2032|NS-SETOUCHI:BF_RELINE:2038</x:v>
      </x:c>
      <x:c r="V261" s="34" t="str">
        <x:v>model_generated_candidate</x:v>
      </x:c>
      <x:c r="W261" s="34" t="str">
        <x:v>Generated from disclosed-path facility calendar, technology set and template contracting assumptions; not a company-announced project</x:v>
      </x:c>
    </x:row>
    <x:row r="262">
      <x:c r="A262" s="34" t="str">
        <x:v>CAND-1440E48BD4C94D</x:v>
      </x:c>
      <x:c r="B262" s="34" t="str">
        <x:v>NIPPON_STEEL_JP</x:v>
      </x:c>
      <x:c r="C262" s="34" t="str">
        <x:v>Nippon Steel</x:v>
      </x:c>
      <x:c r="D262" s="34" t="str">
        <x:v>P3</x:v>
      </x:c>
      <x:c r="E262" s="34" t="str">
        <x:v>균형형 라이트헤지</x:v>
      </x:c>
      <x:c r="F262" s="34" t="str">
        <x:v>PORT-FD23B75EC9FF</x:v>
      </x:c>
      <x:c r="G262" s="34" t="str">
        <x:v>DISCLOSED_PATH</x:v>
      </x:c>
      <x:c r="H262" s="34" t="n">
        <x:v>5</x:v>
      </x:c>
      <x:c r="I262" s="34" t="n">
        <x:v>2029</x:v>
      </x:c>
      <x:c r="J262" s="34" t="n">
        <x:v>2038</x:v>
      </x:c>
      <x:c r="K262" s="34" t="n">
        <x:v>0.192802</x:v>
      </x:c>
      <x:c r="L262" s="34" t="n">
        <x:v>0.179949</x:v>
      </x:c>
      <x:c r="M262" s="34" t="n">
        <x:v>0.627249</x:v>
      </x:c>
      <x:c r="N262" s="34" t="n">
        <x:v>0</x:v>
      </x:c>
      <x:c r="O262" s="34" t="n">
        <x:v>0.3</x:v>
      </x:c>
      <x:c r="P262" s="34" t="n">
        <x:v>0.25</x:v>
      </x:c>
      <x:c r="Q262" s="34" t="n">
        <x:v>0.35</x:v>
      </x:c>
      <x:c r="R262" s="34" t="n">
        <x:v>0.25</x:v>
      </x:c>
      <x:c r="S262" s="34" t="n">
        <x:v>0.015</x:v>
      </x:c>
      <x:c r="T262" s="34" t="n">
        <x:v>454.348949</x:v>
      </x:c>
      <x:c r="U262" s="34" t="str">
        <x:v>NS-EAST:H2_DRI_EAF:2034|NS-KANSAI:H2_DRI_EAF:2036|NS-KYUSHU:H2_DRI_EAF:2029|NS-NAGOYA:SCRAP_EAF:2032|NS-SETOUCHI:BF_RELINE:2038</x:v>
      </x:c>
      <x:c r="V262" s="34" t="str">
        <x:v>model_generated_candidate</x:v>
      </x:c>
      <x:c r="W262" s="34" t="str">
        <x:v>Generated from disclosed-path facility calendar, technology set and template contracting assumptions; not a company-announced project</x:v>
      </x:c>
    </x:row>
    <x:row r="263">
      <x:c r="A263" s="34" t="str">
        <x:v>CAND-145CE7F633033C</x:v>
      </x:c>
      <x:c r="B263" s="34" t="str">
        <x:v>NIPPON_STEEL_JP</x:v>
      </x:c>
      <x:c r="C263" s="34" t="str">
        <x:v>Nippon Steel</x:v>
      </x:c>
      <x:c r="D263" s="34" t="str">
        <x:v>P2</x:v>
      </x:c>
      <x:c r="E263" s="34" t="str">
        <x:v>지연·부분헤지</x:v>
      </x:c>
      <x:c r="F263" s="34" t="str">
        <x:v>PORT-060F7B7B1610</x:v>
      </x:c>
      <x:c r="G263" s="34" t="str">
        <x:v>DISCLOSED_PATH</x:v>
      </x:c>
      <x:c r="H263" s="34" t="n">
        <x:v>5</x:v>
      </x:c>
      <x:c r="I263" s="34" t="n">
        <x:v>2029</x:v>
      </x:c>
      <x:c r="J263" s="34" t="n">
        <x:v>2038</x:v>
      </x:c>
      <x:c r="K263" s="34" t="n">
        <x:v>0.465296</x:v>
      </x:c>
      <x:c r="L263" s="34" t="n">
        <x:v>0</x:v>
      </x:c>
      <x:c r="M263" s="34" t="n">
        <x:v>0.534704</x:v>
      </x:c>
      <x:c r="N263" s="34" t="n">
        <x:v>0</x:v>
      </x:c>
      <x:c r="O263" s="34" t="n">
        <x:v>0.15</x:v>
      </x:c>
      <x:c r="P263" s="34" t="n">
        <x:v>0.1</x:v>
      </x:c>
      <x:c r="Q263" s="34" t="n">
        <x:v>0.2</x:v>
      </x:c>
      <x:c r="R263" s="34" t="n">
        <x:v>0.1</x:v>
      </x:c>
      <x:c r="S263" s="34" t="n">
        <x:v>0.01</x:v>
      </x:c>
      <x:c r="T263" s="34" t="n">
        <x:v>231.148933</x:v>
      </x:c>
      <x:c r="U263" s="34" t="str">
        <x:v>NS-EAST:BF_RELINE:2034|NS-KANSAI:H2_DRI_EAF:2036|NS-KYUSHU:BF_RELINE:2029|NS-NAGOYA:H2_DRI_EAF:2032|NS-SETOUCHI:H2_DRI_EAF:2038</x:v>
      </x:c>
      <x:c r="V263" s="34" t="str">
        <x:v>model_generated_candidate</x:v>
      </x:c>
      <x:c r="W263" s="34" t="str">
        <x:v>Generated from disclosed-path facility calendar, technology set and template contracting assumptions; not a company-announced project</x:v>
      </x:c>
    </x:row>
    <x:row r="264">
      <x:c r="A264" s="34" t="str">
        <x:v>CAND-152EED3AC4382F</x:v>
      </x:c>
      <x:c r="B264" s="34" t="str">
        <x:v>NIPPON_STEEL_JP</x:v>
      </x:c>
      <x:c r="C264" s="34" t="str">
        <x:v>Nippon Steel</x:v>
      </x:c>
      <x:c r="D264" s="34" t="str">
        <x:v>P2</x:v>
      </x:c>
      <x:c r="E264" s="34" t="str">
        <x:v>지연·부분헤지</x:v>
      </x:c>
      <x:c r="F264" s="34" t="str">
        <x:v>PORT-ED90F4FED395</x:v>
      </x:c>
      <x:c r="G264" s="34" t="str">
        <x:v>DISCLOSED_PATH</x:v>
      </x:c>
      <x:c r="H264" s="34" t="n">
        <x:v>5</x:v>
      </x:c>
      <x:c r="I264" s="34" t="n">
        <x:v>2029</x:v>
      </x:c>
      <x:c r="J264" s="34" t="n">
        <x:v>2038</x:v>
      </x:c>
      <x:c r="K264" s="34" t="n">
        <x:v>0.388175</x:v>
      </x:c>
      <x:c r="L264" s="34" t="n">
        <x:v>0</x:v>
      </x:c>
      <x:c r="M264" s="34" t="n">
        <x:v>0.611825</x:v>
      </x:c>
      <x:c r="N264" s="34" t="n">
        <x:v>0</x:v>
      </x:c>
      <x:c r="O264" s="34" t="n">
        <x:v>0.15</x:v>
      </x:c>
      <x:c r="P264" s="34" t="n">
        <x:v>0.1</x:v>
      </x:c>
      <x:c r="Q264" s="34" t="n">
        <x:v>0.2</x:v>
      </x:c>
      <x:c r="R264" s="34" t="n">
        <x:v>0.1</x:v>
      </x:c>
      <x:c r="S264" s="34" t="n">
        <x:v>0.01</x:v>
      </x:c>
      <x:c r="T264" s="34" t="n">
        <x:v>319.888964</x:v>
      </x:c>
      <x:c r="U264" s="34" t="str">
        <x:v>NS-EAST:BF_RELINE:2034|NS-KANSAI:H2_DRI_EAF:2036|NS-KYUSHU:H2_DRI_EAF:2029|NS-NAGOYA:BF_RELINE:2032|NS-SETOUCHI:H2_DRI_EAF:2038</x:v>
      </x:c>
      <x:c r="V264" s="34" t="str">
        <x:v>model_generated_candidate</x:v>
      </x:c>
      <x:c r="W264" s="34" t="str">
        <x:v>Generated from disclosed-path facility calendar, technology set and template contracting assumptions; not a company-announced project</x:v>
      </x:c>
    </x:row>
    <x:row r="265">
      <x:c r="A265" s="34" t="str">
        <x:v>CAND-152F14CE9BB3BA</x:v>
      </x:c>
      <x:c r="B265" s="34" t="str">
        <x:v>NIPPON_STEEL_JP</x:v>
      </x:c>
      <x:c r="C265" s="34" t="str">
        <x:v>Nippon Steel</x:v>
      </x:c>
      <x:c r="D265" s="34" t="str">
        <x:v>P1</x:v>
      </x:c>
      <x:c r="E265" s="34" t="str">
        <x:v>지연·현물조달</x:v>
      </x:c>
      <x:c r="F265" s="34" t="str">
        <x:v>PORT-C07487E0AC50</x:v>
      </x:c>
      <x:c r="G265" s="34" t="str">
        <x:v>DISCLOSED_PATH</x:v>
      </x:c>
      <x:c r="H265" s="34" t="n">
        <x:v>5</x:v>
      </x:c>
      <x:c r="I265" s="34" t="n">
        <x:v>2029</x:v>
      </x:c>
      <x:c r="J265" s="34" t="n">
        <x:v>2038</x:v>
      </x:c>
      <x:c r="K265" s="34" t="n">
        <x:v>0.550129</x:v>
      </x:c>
      <x:c r="L265" s="34" t="n">
        <x:v>0.257069</x:v>
      </x:c>
      <x:c r="M265" s="34" t="n">
        <x:v>0.192802</x:v>
      </x:c>
      <x:c r="N265" s="34" t="n">
        <x:v>0</x:v>
      </x:c>
      <x:c r="O265" s="34" t="n">
        <x:v>0</x:v>
      </x:c>
      <x:c r="P265" s="34" t="n">
        <x:v>0</x:v>
      </x:c>
      <x:c r="Q265" s="34" t="n">
        <x:v>0.1</x:v>
      </x:c>
      <x:c r="R265" s="34" t="n">
        <x:v>0</x:v>
      </x:c>
      <x:c r="S265" s="34" t="n">
        <x:v>0</x:v>
      </x:c>
      <x:c r="T265" s="34" t="n">
        <x:v>245.288958</x:v>
      </x:c>
      <x:c r="U265" s="34" t="str">
        <x:v>NS-EAST:BF_RELINE:2034|NS-KANSAI:BF_RELINE:2036|NS-KYUSHU:SCRAP_EAF:2029|NS-NAGOYA:BF_RELINE:2032|NS-SETOUCHI:H2_DRI_EAF:2038</x:v>
      </x:c>
      <x:c r="V265" s="34" t="str">
        <x:v>model_generated_candidate</x:v>
      </x:c>
      <x:c r="W265" s="34" t="str">
        <x:v>Generated from disclosed-path facility calendar, technology set and template contracting assumptions; not a company-announced project</x:v>
      </x:c>
    </x:row>
    <x:row r="266">
      <x:c r="A266" s="34" t="str">
        <x:v>CAND-158A9D225E0A90</x:v>
      </x:c>
      <x:c r="B266" s="34" t="str">
        <x:v>NIPPON_STEEL_JP</x:v>
      </x:c>
      <x:c r="C266" s="34" t="str">
        <x:v>Nippon Steel</x:v>
      </x:c>
      <x:c r="D266" s="34" t="str">
        <x:v>P2</x:v>
      </x:c>
      <x:c r="E266" s="34" t="str">
        <x:v>지연·부분헤지</x:v>
      </x:c>
      <x:c r="F266" s="34" t="str">
        <x:v>PORT-D248600EA55E</x:v>
      </x:c>
      <x:c r="G266" s="34" t="str">
        <x:v>DISCLOSED_PATH</x:v>
      </x:c>
      <x:c r="H266" s="34" t="n">
        <x:v>5</x:v>
      </x:c>
      <x:c r="I266" s="34" t="n">
        <x:v>2029</x:v>
      </x:c>
      <x:c r="J266" s="34" t="n">
        <x:v>2038</x:v>
      </x:c>
      <x:c r="K266" s="34" t="n">
        <x:v>0.257069</x:v>
      </x:c>
      <x:c r="L266" s="34" t="n">
        <x:v>0.179949</x:v>
      </x:c>
      <x:c r="M266" s="34" t="n">
        <x:v>0.562982</x:v>
      </x:c>
      <x:c r="N266" s="34" t="n">
        <x:v>0</x:v>
      </x:c>
      <x:c r="O266" s="34" t="n">
        <x:v>0.15</x:v>
      </x:c>
      <x:c r="P266" s="34" t="n">
        <x:v>0.1</x:v>
      </x:c>
      <x:c r="Q266" s="34" t="n">
        <x:v>0.2</x:v>
      </x:c>
      <x:c r="R266" s="34" t="n">
        <x:v>0.1</x:v>
      </x:c>
      <x:c r="S266" s="34" t="n">
        <x:v>0.01</x:v>
      </x:c>
      <x:c r="T266" s="34" t="n">
        <x:v>302.878949</x:v>
      </x:c>
      <x:c r="U266" s="34" t="str">
        <x:v>NS-EAST:H2_DRI_EAF:2034|NS-KANSAI:H2_DRI_EAF:2036|NS-KYUSHU:BF_RELINE:2029|NS-NAGOYA:SCRAP_EAF:2032|NS-SETOUCHI:H2_DRI_EAF:2038</x:v>
      </x:c>
      <x:c r="V266" s="34" t="str">
        <x:v>model_generated_candidate</x:v>
      </x:c>
      <x:c r="W266" s="34" t="str">
        <x:v>Generated from disclosed-path facility calendar, technology set and template contracting assumptions; not a company-announced project</x:v>
      </x:c>
    </x:row>
    <x:row r="267">
      <x:c r="A267" s="34" t="str">
        <x:v>CAND-160C0C0D8ADF0F</x:v>
      </x:c>
      <x:c r="B267" s="34" t="str">
        <x:v>NIPPON_STEEL_JP</x:v>
      </x:c>
      <x:c r="C267" s="34" t="str">
        <x:v>Nippon Steel</x:v>
      </x:c>
      <x:c r="D267" s="34" t="str">
        <x:v>P3</x:v>
      </x:c>
      <x:c r="E267" s="34" t="str">
        <x:v>균형형 라이트헤지</x:v>
      </x:c>
      <x:c r="F267" s="34" t="str">
        <x:v>PORT-EF8B17A58845</x:v>
      </x:c>
      <x:c r="G267" s="34" t="str">
        <x:v>DISCLOSED_PATH</x:v>
      </x:c>
      <x:c r="H267" s="34" t="n">
        <x:v>5</x:v>
      </x:c>
      <x:c r="I267" s="34" t="n">
        <x:v>2029</x:v>
      </x:c>
      <x:c r="J267" s="34" t="n">
        <x:v>2038</x:v>
      </x:c>
      <x:c r="K267" s="34" t="n">
        <x:v>0.161954</x:v>
      </x:c>
      <x:c r="L267" s="34" t="n">
        <x:v>0.257069</x:v>
      </x:c>
      <x:c r="M267" s="34" t="n">
        <x:v>0.580977</x:v>
      </x:c>
      <x:c r="N267" s="34" t="n">
        <x:v>0</x:v>
      </x:c>
      <x:c r="O267" s="34" t="n">
        <x:v>0.3</x:v>
      </x:c>
      <x:c r="P267" s="34" t="n">
        <x:v>0.25</x:v>
      </x:c>
      <x:c r="Q267" s="34" t="n">
        <x:v>0.35</x:v>
      </x:c>
      <x:c r="R267" s="34" t="n">
        <x:v>0.25</x:v>
      </x:c>
      <x:c r="S267" s="34" t="n">
        <x:v>0.015</x:v>
      </x:c>
      <x:c r="T267" s="34" t="n">
        <x:v>425.828938</x:v>
      </x:c>
      <x:c r="U267" s="34" t="str">
        <x:v>NS-EAST:H2_DRI_EAF:2034|NS-KANSAI:BF_RELINE:2036|NS-KYUSHU:SCRAP_EAF:2029|NS-NAGOYA:H2_DRI_EAF:2032|NS-SETOUCHI:H2_DRI_EAF:2038</x:v>
      </x:c>
      <x:c r="V267" s="34" t="str">
        <x:v>model_generated_candidate</x:v>
      </x:c>
      <x:c r="W267" s="34" t="str">
        <x:v>Generated from disclosed-path facility calendar, technology set and template contracting assumptions; not a company-announced project</x:v>
      </x:c>
    </x:row>
    <x:row r="268">
      <x:c r="A268" s="34" t="str">
        <x:v>CAND-166A18196187E3</x:v>
      </x:c>
      <x:c r="B268" s="34" t="str">
        <x:v>NIPPON_STEEL_JP</x:v>
      </x:c>
      <x:c r="C268" s="34" t="str">
        <x:v>Nippon Steel</x:v>
      </x:c>
      <x:c r="D268" s="34" t="str">
        <x:v>P3</x:v>
      </x:c>
      <x:c r="E268" s="34" t="str">
        <x:v>균형형 라이트헤지</x:v>
      </x:c>
      <x:c r="F268" s="34" t="str">
        <x:v>PORT-265CE4378B75</x:v>
      </x:c>
      <x:c r="G268" s="34" t="str">
        <x:v>DISCLOSED_PATH</x:v>
      </x:c>
      <x:c r="H268" s="34" t="n">
        <x:v>5</x:v>
      </x:c>
      <x:c r="I268" s="34" t="n">
        <x:v>2029</x:v>
      </x:c>
      <x:c r="J268" s="34" t="n">
        <x:v>2038</x:v>
      </x:c>
      <x:c r="K268" s="34" t="n">
        <x:v>0</x:v>
      </x:c>
      <x:c r="L268" s="34" t="n">
        <x:v>0</x:v>
      </x:c>
      <x:c r="M268" s="34" t="n">
        <x:v>1</x:v>
      </x:c>
      <x:c r="N268" s="34" t="n">
        <x:v>0</x:v>
      </x:c>
      <x:c r="O268" s="34" t="n">
        <x:v>0.3</x:v>
      </x:c>
      <x:c r="P268" s="34" t="n">
        <x:v>0.25</x:v>
      </x:c>
      <x:c r="Q268" s="34" t="n">
        <x:v>0.35</x:v>
      </x:c>
      <x:c r="R268" s="34" t="n">
        <x:v>0.25</x:v>
      </x:c>
      <x:c r="S268" s="34" t="n">
        <x:v>0.015</x:v>
      </x:c>
      <x:c r="T268" s="34" t="n">
        <x:v>500.428944</x:v>
      </x:c>
      <x:c r="U268" s="34" t="str">
        <x:v>NS-EAST:H2_DRI_EAF:2034|NS-KANSAI:H2_DRI_EAF:2036|NS-KYUSHU:H2_DRI_EAF:2029|NS-NAGOYA:H2_DRI_EAF:2032|NS-SETOUCHI:H2_DRI_EAF:2038</x:v>
      </x:c>
      <x:c r="V268" s="34" t="str">
        <x:v>model_generated_candidate</x:v>
      </x:c>
      <x:c r="W268" s="34" t="str">
        <x:v>Generated from disclosed-path facility calendar, technology set and template contracting assumptions; not a company-announced project</x:v>
      </x:c>
    </x:row>
    <x:row r="269">
      <x:c r="A269" s="34" t="str">
        <x:v>CAND-168311E17D8522</x:v>
      </x:c>
      <x:c r="B269" s="34" t="str">
        <x:v>NIPPON_STEEL_JP</x:v>
      </x:c>
      <x:c r="C269" s="34" t="str">
        <x:v>Nippon Steel</x:v>
      </x:c>
      <x:c r="D269" s="34" t="str">
        <x:v>P2</x:v>
      </x:c>
      <x:c r="E269" s="34" t="str">
        <x:v>지연·부분헤지</x:v>
      </x:c>
      <x:c r="F269" s="34" t="str">
        <x:v>PORT-238A2183FB78</x:v>
      </x:c>
      <x:c r="G269" s="34" t="str">
        <x:v>DISCLOSED_PATH</x:v>
      </x:c>
      <x:c r="H269" s="34" t="n">
        <x:v>5</x:v>
      </x:c>
      <x:c r="I269" s="34" t="n">
        <x:v>2029</x:v>
      </x:c>
      <x:c r="J269" s="34" t="n">
        <x:v>2038</x:v>
      </x:c>
      <x:c r="K269" s="34" t="n">
        <x:v>0.449871</x:v>
      </x:c>
      <x:c r="L269" s="34" t="n">
        <x:v>0</x:v>
      </x:c>
      <x:c r="M269" s="34" t="n">
        <x:v>0.550129</x:v>
      </x:c>
      <x:c r="N269" s="34" t="n">
        <x:v>0</x:v>
      </x:c>
      <x:c r="O269" s="34" t="n">
        <x:v>0.15</x:v>
      </x:c>
      <x:c r="P269" s="34" t="n">
        <x:v>0.1</x:v>
      </x:c>
      <x:c r="Q269" s="34" t="n">
        <x:v>0.2</x:v>
      </x:c>
      <x:c r="R269" s="34" t="n">
        <x:v>0.1</x:v>
      </x:c>
      <x:c r="S269" s="34" t="n">
        <x:v>0.01</x:v>
      </x:c>
      <x:c r="T269" s="34" t="n">
        <x:v>284.698944</x:v>
      </x:c>
      <x:c r="U269" s="34" t="str">
        <x:v>NS-EAST:H2_DRI_EAF:2034|NS-KANSAI:H2_DRI_EAF:2036|NS-KYUSHU:BF_RELINE:2029|NS-NAGOYA:H2_DRI_EAF:2032|NS-SETOUCHI:BF_RELINE:2038</x:v>
      </x:c>
      <x:c r="V269" s="34" t="str">
        <x:v>model_generated_candidate</x:v>
      </x:c>
      <x:c r="W269" s="34" t="str">
        <x:v>Generated from disclosed-path facility calendar, technology set and template contracting assumptions; not a company-announced project</x:v>
      </x:c>
    </x:row>
    <x:row r="270">
      <x:c r="A270" s="34" t="str">
        <x:v>CAND-16FAC10B00819B</x:v>
      </x:c>
      <x:c r="B270" s="34" t="str">
        <x:v>NIPPON_STEEL_JP</x:v>
      </x:c>
      <x:c r="C270" s="34" t="str">
        <x:v>Nippon Steel</x:v>
      </x:c>
      <x:c r="D270" s="34" t="str">
        <x:v>P1</x:v>
      </x:c>
      <x:c r="E270" s="34" t="str">
        <x:v>지연·현물조달</x:v>
      </x:c>
      <x:c r="F270" s="34" t="str">
        <x:v>PORT-308D82D12417</x:v>
      </x:c>
      <x:c r="G270" s="34" t="str">
        <x:v>DISCLOSED_PATH</x:v>
      </x:c>
      <x:c r="H270" s="34" t="n">
        <x:v>5</x:v>
      </x:c>
      <x:c r="I270" s="34" t="n">
        <x:v>2029</x:v>
      </x:c>
      <x:c r="J270" s="34" t="n">
        <x:v>2038</x:v>
      </x:c>
      <x:c r="K270" s="34" t="n">
        <x:v>0.627249</x:v>
      </x:c>
      <x:c r="L270" s="34" t="n">
        <x:v>0</x:v>
      </x:c>
      <x:c r="M270" s="34" t="n">
        <x:v>0.372751</x:v>
      </x:c>
      <x:c r="N270" s="34" t="n">
        <x:v>0</x:v>
      </x:c>
      <x:c r="O270" s="34" t="n">
        <x:v>0</x:v>
      </x:c>
      <x:c r="P270" s="34" t="n">
        <x:v>0</x:v>
      </x:c>
      <x:c r="Q270" s="34" t="n">
        <x:v>0.1</x:v>
      </x:c>
      <x:c r="R270" s="34" t="n">
        <x:v>0</x:v>
      </x:c>
      <x:c r="S270" s="34" t="n">
        <x:v>0</x:v>
      </x:c>
      <x:c r="T270" s="34" t="n">
        <x:v>183.548927</x:v>
      </x:c>
      <x:c r="U270" s="34" t="str">
        <x:v>NS-EAST:BF_RELINE:2034|NS-KANSAI:BF_RELINE:2036|NS-KYUSHU:BF_RELINE:2029|NS-NAGOYA:H2_DRI_EAF:2032|NS-SETOUCHI:H2_DRI_EAF:2038</x:v>
      </x:c>
      <x:c r="V270" s="34" t="str">
        <x:v>model_generated_candidate</x:v>
      </x:c>
      <x:c r="W270" s="34" t="str">
        <x:v>Generated from disclosed-path facility calendar, technology set and template contracting assumptions; not a company-announced project</x:v>
      </x:c>
    </x:row>
    <x:row r="271">
      <x:c r="A271" s="34" t="str">
        <x:v>CAND-1775647062724F</x:v>
      </x:c>
      <x:c r="B271" s="34" t="str">
        <x:v>NIPPON_STEEL_JP</x:v>
      </x:c>
      <x:c r="C271" s="34" t="str">
        <x:v>Nippon Steel</x:v>
      </x:c>
      <x:c r="D271" s="34" t="str">
        <x:v>P4</x:v>
      </x:c>
      <x:c r="E271" s="34" t="str">
        <x:v>균형형 전환</x:v>
      </x:c>
      <x:c r="F271" s="34" t="str">
        <x:v>PORT-9FA69A5377EE</x:v>
      </x:c>
      <x:c r="G271" s="34" t="str">
        <x:v>DISCLOSED_PATH</x:v>
      </x:c>
      <x:c r="H271" s="34" t="n">
        <x:v>5</x:v>
      </x:c>
      <x:c r="I271" s="34" t="n">
        <x:v>2028</x:v>
      </x:c>
      <x:c r="J271" s="34" t="n">
        <x:v>2037</x:v>
      </x:c>
      <x:c r="K271" s="34" t="n">
        <x:v>0</x:v>
      </x:c>
      <x:c r="L271" s="34" t="n">
        <x:v>0.192802</x:v>
      </x:c>
      <x:c r="M271" s="34" t="n">
        <x:v>0.807198</x:v>
      </x:c>
      <x:c r="N271" s="34" t="n">
        <x:v>0</x:v>
      </x:c>
      <x:c r="O271" s="34" t="n">
        <x:v>0.5</x:v>
      </x:c>
      <x:c r="P271" s="34" t="n">
        <x:v>0.45</x:v>
      </x:c>
      <x:c r="Q271" s="34" t="n">
        <x:v>0.5</x:v>
      </x:c>
      <x:c r="R271" s="34" t="n">
        <x:v>0.4</x:v>
      </x:c>
      <x:c r="S271" s="34" t="n">
        <x:v>0.02</x:v>
      </x:c>
      <x:c r="T271" s="34" t="n">
        <x:v>559.868941</x:v>
      </x:c>
      <x:c r="U271" s="34" t="str">
        <x:v>NS-EAST:H2_DRI_EAF:2033|NS-KANSAI:H2_DRI_EAF:2035|NS-KYUSHU:H2_DRI_EAF:2028|NS-NAGOYA:H2_DRI_EAF:2031|NS-SETOUCHI:SCRAP_EAF:2037</x:v>
      </x:c>
      <x:c r="V271" s="34" t="str">
        <x:v>model_generated_candidate</x:v>
      </x:c>
      <x:c r="W271" s="34" t="str">
        <x:v>Generated from disclosed-path facility calendar, technology set and template contracting assumptions; not a company-announced project</x:v>
      </x:c>
    </x:row>
    <x:row r="272">
      <x:c r="A272" s="34" t="str">
        <x:v>CAND-185224D49A1B91</x:v>
      </x:c>
      <x:c r="B272" s="34" t="str">
        <x:v>NIPPON_STEEL_JP</x:v>
      </x:c>
      <x:c r="C272" s="34" t="str">
        <x:v>Nippon Steel</x:v>
      </x:c>
      <x:c r="D272" s="34" t="str">
        <x:v>P1</x:v>
      </x:c>
      <x:c r="E272" s="34" t="str">
        <x:v>지연·현물조달</x:v>
      </x:c>
      <x:c r="F272" s="34" t="str">
        <x:v>PORT-3391EE4132D6</x:v>
      </x:c>
      <x:c r="G272" s="34" t="str">
        <x:v>DISCLOSED_PATH</x:v>
      </x:c>
      <x:c r="H272" s="34" t="n">
        <x:v>5</x:v>
      </x:c>
      <x:c r="I272" s="34" t="n">
        <x:v>2029</x:v>
      </x:c>
      <x:c r="J272" s="34" t="n">
        <x:v>2038</x:v>
      </x:c>
      <x:c r="K272" s="34" t="n">
        <x:v>0</x:v>
      </x:c>
      <x:c r="L272" s="34" t="n">
        <x:v>0.627249</x:v>
      </x:c>
      <x:c r="M272" s="34" t="n">
        <x:v>0.372751</x:v>
      </x:c>
      <x:c r="N272" s="34" t="n">
        <x:v>0</x:v>
      </x:c>
      <x:c r="O272" s="34" t="n">
        <x:v>0</x:v>
      </x:c>
      <x:c r="P272" s="34" t="n">
        <x:v>0</x:v>
      </x:c>
      <x:c r="Q272" s="34" t="n">
        <x:v>0.1</x:v>
      </x:c>
      <x:c r="R272" s="34" t="n">
        <x:v>0</x:v>
      </x:c>
      <x:c r="S272" s="34" t="n">
        <x:v>0</x:v>
      </x:c>
      <x:c r="T272" s="34" t="n">
        <x:v>453.828942</x:v>
      </x:c>
      <x:c r="U272" s="34" t="str">
        <x:v>NS-EAST:SCRAP_EAF:2034|NS-KANSAI:SCRAP_EAF:2036|NS-KYUSHU:SCRAP_EAF:2029|NS-NAGOYA:H2_DRI_EAF:2032|NS-SETOUCHI:H2_DRI_EAF:2038</x:v>
      </x:c>
      <x:c r="V272" s="34" t="str">
        <x:v>model_generated_candidate</x:v>
      </x:c>
      <x:c r="W272" s="34" t="str">
        <x:v>Generated from disclosed-path facility calendar, technology set and template contracting assumptions; not a company-announced project</x:v>
      </x:c>
    </x:row>
    <x:row r="273">
      <x:c r="A273" s="34" t="str">
        <x:v>CAND-186ADF680F8028</x:v>
      </x:c>
      <x:c r="B273" s="34" t="str">
        <x:v>NIPPON_STEEL_JP</x:v>
      </x:c>
      <x:c r="C273" s="34" t="str">
        <x:v>Nippon Steel</x:v>
      </x:c>
      <x:c r="D273" s="34" t="str">
        <x:v>P2</x:v>
      </x:c>
      <x:c r="E273" s="34" t="str">
        <x:v>지연·부분헤지</x:v>
      </x:c>
      <x:c r="F273" s="34" t="str">
        <x:v>PORT-CAD9747A9822</x:v>
      </x:c>
      <x:c r="G273" s="34" t="str">
        <x:v>DISCLOSED_PATH</x:v>
      </x:c>
      <x:c r="H273" s="34" t="n">
        <x:v>5</x:v>
      </x:c>
      <x:c r="I273" s="34" t="n">
        <x:v>2029</x:v>
      </x:c>
      <x:c r="J273" s="34" t="n">
        <x:v>2038</x:v>
      </x:c>
      <x:c r="K273" s="34" t="n">
        <x:v>0.192802</x:v>
      </x:c>
      <x:c r="L273" s="34" t="n">
        <x:v>0.208226</x:v>
      </x:c>
      <x:c r="M273" s="34" t="n">
        <x:v>0.598972</x:v>
      </x:c>
      <x:c r="N273" s="34" t="n">
        <x:v>0</x:v>
      </x:c>
      <x:c r="O273" s="34" t="n">
        <x:v>0.15</x:v>
      </x:c>
      <x:c r="P273" s="34" t="n">
        <x:v>0.1</x:v>
      </x:c>
      <x:c r="Q273" s="34" t="n">
        <x:v>0.2</x:v>
      </x:c>
      <x:c r="R273" s="34" t="n">
        <x:v>0.1</x:v>
      </x:c>
      <x:c r="S273" s="34" t="n">
        <x:v>0.01</x:v>
      </x:c>
      <x:c r="T273" s="34" t="n">
        <x:v>455.698943</x:v>
      </x:c>
      <x:c r="U273" s="34" t="str">
        <x:v>NS-EAST:SCRAP_EAF:2034|NS-KANSAI:H2_DRI_EAF:2036|NS-KYUSHU:H2_DRI_EAF:2029|NS-NAGOYA:H2_DRI_EAF:2032|NS-SETOUCHI:BF_RELINE:2038</x:v>
      </x:c>
      <x:c r="V273" s="34" t="str">
        <x:v>model_generated_candidate</x:v>
      </x:c>
      <x:c r="W273" s="34" t="str">
        <x:v>Generated from disclosed-path facility calendar, technology set and template contracting assumptions; not a company-announced project</x:v>
      </x:c>
    </x:row>
    <x:row r="274">
      <x:c r="A274" s="34" t="str">
        <x:v>CAND-18F73BD54A9F34</x:v>
      </x:c>
      <x:c r="B274" s="34" t="str">
        <x:v>NIPPON_STEEL_JP</x:v>
      </x:c>
      <x:c r="C274" s="34" t="str">
        <x:v>Nippon Steel</x:v>
      </x:c>
      <x:c r="D274" s="34" t="str">
        <x:v>P1</x:v>
      </x:c>
      <x:c r="E274" s="34" t="str">
        <x:v>지연·현물조달</x:v>
      </x:c>
      <x:c r="F274" s="34" t="str">
        <x:v>PORT-6742936593A9</x:v>
      </x:c>
      <x:c r="G274" s="34" t="str">
        <x:v>DISCLOSED_PATH</x:v>
      </x:c>
      <x:c r="H274" s="34" t="n">
        <x:v>5</x:v>
      </x:c>
      <x:c r="I274" s="34" t="n">
        <x:v>2029</x:v>
      </x:c>
      <x:c r="J274" s="34" t="n">
        <x:v>2038</x:v>
      </x:c>
      <x:c r="K274" s="34" t="n">
        <x:v>0</x:v>
      </x:c>
      <x:c r="L274" s="34" t="n">
        <x:v>0.62982</x:v>
      </x:c>
      <x:c r="M274" s="34" t="n">
        <x:v>0.37018</x:v>
      </x:c>
      <x:c r="N274" s="34" t="n">
        <x:v>0</x:v>
      </x:c>
      <x:c r="O274" s="34" t="n">
        <x:v>0</x:v>
      </x:c>
      <x:c r="P274" s="34" t="n">
        <x:v>0</x:v>
      </x:c>
      <x:c r="Q274" s="34" t="n">
        <x:v>0.1</x:v>
      </x:c>
      <x:c r="R274" s="34" t="n">
        <x:v>0</x:v>
      </x:c>
      <x:c r="S274" s="34" t="n">
        <x:v>0</x:v>
      </x:c>
      <x:c r="T274" s="34" t="n">
        <x:v>454.753949</x:v>
      </x:c>
      <x:c r="U274" s="34" t="str">
        <x:v>NS-EAST:H2_DRI_EAF:2034|NS-KANSAI:H2_DRI_EAF:2036|NS-KYUSHU:SCRAP_EAF:2029|NS-NAGOYA:SCRAP_EAF:2032|NS-SETOUCHI:SCRAP_EAF:2038</x:v>
      </x:c>
      <x:c r="V274" s="34" t="str">
        <x:v>model_generated_candidate</x:v>
      </x:c>
      <x:c r="W274" s="34" t="str">
        <x:v>Generated from disclosed-path facility calendar, technology set and template contracting assumptions; not a company-announced project</x:v>
      </x:c>
    </x:row>
    <x:row r="275">
      <x:c r="A275" s="34" t="str">
        <x:v>CAND-191E6659B87969</x:v>
      </x:c>
      <x:c r="B275" s="34" t="str">
        <x:v>NIPPON_STEEL_JP</x:v>
      </x:c>
      <x:c r="C275" s="34" t="str">
        <x:v>Nippon Steel</x:v>
      </x:c>
      <x:c r="D275" s="34" t="str">
        <x:v>P1</x:v>
      </x:c>
      <x:c r="E275" s="34" t="str">
        <x:v>지연·현물조달</x:v>
      </x:c>
      <x:c r="F275" s="34" t="str">
        <x:v>PORT-8569972CFEA8</x:v>
      </x:c>
      <x:c r="G275" s="34" t="str">
        <x:v>DISCLOSED_PATH</x:v>
      </x:c>
      <x:c r="H275" s="34" t="n">
        <x:v>5</x:v>
      </x:c>
      <x:c r="I275" s="34" t="n">
        <x:v>2029</x:v>
      </x:c>
      <x:c r="J275" s="34" t="n">
        <x:v>2038</x:v>
      </x:c>
      <x:c r="K275" s="34" t="n">
        <x:v>0.838046</x:v>
      </x:c>
      <x:c r="L275" s="34" t="n">
        <x:v>0.161954</x:v>
      </x:c>
      <x:c r="M275" s="34" t="n">
        <x:v>0</x:v>
      </x:c>
      <x:c r="N275" s="34" t="n">
        <x:v>0</x:v>
      </x:c>
      <x:c r="O275" s="34" t="n">
        <x:v>0</x:v>
      </x:c>
      <x:c r="P275" s="34" t="n">
        <x:v>0</x:v>
      </x:c>
      <x:c r="Q275" s="34" t="n">
        <x:v>0.1</x:v>
      </x:c>
      <x:c r="R275" s="34" t="n">
        <x:v>0</x:v>
      </x:c>
      <x:c r="S275" s="34" t="n">
        <x:v>0</x:v>
      </x:c>
      <x:c r="T275" s="34" t="n">
        <x:v>97.158963</x:v>
      </x:c>
      <x:c r="U275" s="34" t="str">
        <x:v>NS-EAST:BF_RELINE:2034|NS-KANSAI:SCRAP_EAF:2036|NS-KYUSHU:BF_RELINE:2029|NS-NAGOYA:BF_RELINE:2032|NS-SETOUCHI:BF_RELINE:2038</x:v>
      </x:c>
      <x:c r="V275" s="34" t="str">
        <x:v>model_generated_candidate</x:v>
      </x:c>
      <x:c r="W275" s="34" t="str">
        <x:v>Generated from disclosed-path facility calendar, technology set and template contracting assumptions; not a company-announced project</x:v>
      </x:c>
    </x:row>
    <x:row r="276">
      <x:c r="A276" s="34" t="str">
        <x:v>CAND-1A4B437DAC293C</x:v>
      </x:c>
      <x:c r="B276" s="34" t="str">
        <x:v>NIPPON_STEEL_JP</x:v>
      </x:c>
      <x:c r="C276" s="34" t="str">
        <x:v>Nippon Steel</x:v>
      </x:c>
      <x:c r="D276" s="34" t="str">
        <x:v>P3</x:v>
      </x:c>
      <x:c r="E276" s="34" t="str">
        <x:v>균형형 라이트헤지</x:v>
      </x:c>
      <x:c r="F276" s="34" t="str">
        <x:v>PORT-66671902C8C2</x:v>
      </x:c>
      <x:c r="G276" s="34" t="str">
        <x:v>DISCLOSED_PATH</x:v>
      </x:c>
      <x:c r="H276" s="34" t="n">
        <x:v>5</x:v>
      </x:c>
      <x:c r="I276" s="34" t="n">
        <x:v>2029</x:v>
      </x:c>
      <x:c r="J276" s="34" t="n">
        <x:v>2038</x:v>
      </x:c>
      <x:c r="K276" s="34" t="n">
        <x:v>0.161954</x:v>
      </x:c>
      <x:c r="L276" s="34" t="n">
        <x:v>0.465296</x:v>
      </x:c>
      <x:c r="M276" s="34" t="n">
        <x:v>0.372751</x:v>
      </x:c>
      <x:c r="N276" s="34" t="n">
        <x:v>0</x:v>
      </x:c>
      <x:c r="O276" s="34" t="n">
        <x:v>0.3</x:v>
      </x:c>
      <x:c r="P276" s="34" t="n">
        <x:v>0.25</x:v>
      </x:c>
      <x:c r="Q276" s="34" t="n">
        <x:v>0.35</x:v>
      </x:c>
      <x:c r="R276" s="34" t="n">
        <x:v>0.25</x:v>
      </x:c>
      <x:c r="S276" s="34" t="n">
        <x:v>0.015</x:v>
      </x:c>
      <x:c r="T276" s="34" t="n">
        <x:v>413.228937</x:v>
      </x:c>
      <x:c r="U276" s="34" t="str">
        <x:v>NS-EAST:SCRAP_EAF:2034|NS-KANSAI:BF_RELINE:2036|NS-KYUSHU:SCRAP_EAF:2029|NS-NAGOYA:H2_DRI_EAF:2032|NS-SETOUCHI:H2_DRI_EAF:2038</x:v>
      </x:c>
      <x:c r="V276" s="34" t="str">
        <x:v>model_generated_candidate</x:v>
      </x:c>
      <x:c r="W276" s="34" t="str">
        <x:v>Generated from disclosed-path facility calendar, technology set and template contracting assumptions; not a company-announced project</x:v>
      </x:c>
    </x:row>
    <x:row r="277">
      <x:c r="A277" s="34" t="str">
        <x:v>CAND-1AF611AA57CF04</x:v>
      </x:c>
      <x:c r="B277" s="34" t="str">
        <x:v>NIPPON_STEEL_JP</x:v>
      </x:c>
      <x:c r="C277" s="34" t="str">
        <x:v>Nippon Steel</x:v>
      </x:c>
      <x:c r="D277" s="34" t="str">
        <x:v>P3</x:v>
      </x:c>
      <x:c r="E277" s="34" t="str">
        <x:v>균형형 라이트헤지</x:v>
      </x:c>
      <x:c r="F277" s="34" t="str">
        <x:v>PORT-6595376D3E3B</x:v>
      </x:c>
      <x:c r="G277" s="34" t="str">
        <x:v>DISCLOSED_PATH</x:v>
      </x:c>
      <x:c r="H277" s="34" t="n">
        <x:v>5</x:v>
      </x:c>
      <x:c r="I277" s="34" t="n">
        <x:v>2029</x:v>
      </x:c>
      <x:c r="J277" s="34" t="n">
        <x:v>2038</x:v>
      </x:c>
      <x:c r="K277" s="34" t="n">
        <x:v>0</x:v>
      </x:c>
      <x:c r="L277" s="34" t="n">
        <x:v>0.37018</x:v>
      </x:c>
      <x:c r="M277" s="34" t="n">
        <x:v>0.62982</x:v>
      </x:c>
      <x:c r="N277" s="34" t="n">
        <x:v>0</x:v>
      </x:c>
      <x:c r="O277" s="34" t="n">
        <x:v>0.3</x:v>
      </x:c>
      <x:c r="P277" s="34" t="n">
        <x:v>0.25</x:v>
      </x:c>
      <x:c r="Q277" s="34" t="n">
        <x:v>0.35</x:v>
      </x:c>
      <x:c r="R277" s="34" t="n">
        <x:v>0.25</x:v>
      </x:c>
      <x:c r="S277" s="34" t="n">
        <x:v>0.015</x:v>
      </x:c>
      <x:c r="T277" s="34" t="n">
        <x:v>480.828942</x:v>
      </x:c>
      <x:c r="U277" s="34" t="str">
        <x:v>NS-EAST:SCRAP_EAF:2034|NS-KANSAI:SCRAP_EAF:2036|NS-KYUSHU:H2_DRI_EAF:2029|NS-NAGOYA:H2_DRI_EAF:2032|NS-SETOUCHI:H2_DRI_EAF:2038</x:v>
      </x:c>
      <x:c r="V277" s="34" t="str">
        <x:v>model_generated_candidate</x:v>
      </x:c>
      <x:c r="W277" s="34" t="str">
        <x:v>Generated from disclosed-path facility calendar, technology set and template contracting assumptions; not a company-announced project</x:v>
      </x:c>
    </x:row>
    <x:row r="278">
      <x:c r="A278" s="34" t="str">
        <x:v>CAND-1C30EFEDE2D431</x:v>
      </x:c>
      <x:c r="B278" s="34" t="str">
        <x:v>NIPPON_STEEL_JP</x:v>
      </x:c>
      <x:c r="C278" s="34" t="str">
        <x:v>Nippon Steel</x:v>
      </x:c>
      <x:c r="D278" s="34" t="str">
        <x:v>P3</x:v>
      </x:c>
      <x:c r="E278" s="34" t="str">
        <x:v>균형형 라이트헤지</x:v>
      </x:c>
      <x:c r="F278" s="34" t="str">
        <x:v>PORT-523FC992190F</x:v>
      </x:c>
      <x:c r="G278" s="34" t="str">
        <x:v>DISCLOSED_PATH</x:v>
      </x:c>
      <x:c r="H278" s="34" t="n">
        <x:v>5</x:v>
      </x:c>
      <x:c r="I278" s="34" t="n">
        <x:v>2029</x:v>
      </x:c>
      <x:c r="J278" s="34" t="n">
        <x:v>2038</x:v>
      </x:c>
      <x:c r="K278" s="34" t="n">
        <x:v>0.208226</x:v>
      </x:c>
      <x:c r="L278" s="34" t="n">
        <x:v>0.192802</x:v>
      </x:c>
      <x:c r="M278" s="34" t="n">
        <x:v>0.598972</x:v>
      </x:c>
      <x:c r="N278" s="34" t="n">
        <x:v>0</x:v>
      </x:c>
      <x:c r="O278" s="34" t="n">
        <x:v>0.3</x:v>
      </x:c>
      <x:c r="P278" s="34" t="n">
        <x:v>0.25</x:v>
      </x:c>
      <x:c r="Q278" s="34" t="n">
        <x:v>0.35</x:v>
      </x:c>
      <x:c r="R278" s="34" t="n">
        <x:v>0.25</x:v>
      </x:c>
      <x:c r="S278" s="34" t="n">
        <x:v>0.015</x:v>
      </x:c>
      <x:c r="T278" s="34" t="n">
        <x:v>410.023933</x:v>
      </x:c>
      <x:c r="U278" s="34" t="str">
        <x:v>NS-EAST:BF_RELINE:2034|NS-KANSAI:H2_DRI_EAF:2036|NS-KYUSHU:H2_DRI_EAF:2029|NS-NAGOYA:H2_DRI_EAF:2032|NS-SETOUCHI:SCRAP_EAF:2038</x:v>
      </x:c>
      <x:c r="V278" s="34" t="str">
        <x:v>model_generated_candidate</x:v>
      </x:c>
      <x:c r="W278" s="34" t="str">
        <x:v>Generated from disclosed-path facility calendar, technology set and template contracting assumptions; not a company-announced project</x:v>
      </x:c>
    </x:row>
    <x:row r="279">
      <x:c r="A279" s="34" t="str">
        <x:v>CAND-1D35A6D7D808A4</x:v>
      </x:c>
      <x:c r="B279" s="34" t="str">
        <x:v>NIPPON_STEEL_JP</x:v>
      </x:c>
      <x:c r="C279" s="34" t="str">
        <x:v>Nippon Steel</x:v>
      </x:c>
      <x:c r="D279" s="34" t="str">
        <x:v>P1</x:v>
      </x:c>
      <x:c r="E279" s="34" t="str">
        <x:v>지연·현물조달</x:v>
      </x:c>
      <x:c r="F279" s="34" t="str">
        <x:v>PORT-5DE4D9A04480</x:v>
      </x:c>
      <x:c r="G279" s="34" t="str">
        <x:v>DISCLOSED_PATH</x:v>
      </x:c>
      <x:c r="H279" s="34" t="n">
        <x:v>5</x:v>
      </x:c>
      <x:c r="I279" s="34" t="n">
        <x:v>2029</x:v>
      </x:c>
      <x:c r="J279" s="34" t="n">
        <x:v>2038</x:v>
      </x:c>
      <x:c r="K279" s="34" t="n">
        <x:v>0</x:v>
      </x:c>
      <x:c r="L279" s="34" t="n">
        <x:v>0.611825</x:v>
      </x:c>
      <x:c r="M279" s="34" t="n">
        <x:v>0.388175</x:v>
      </x:c>
      <x:c r="N279" s="34" t="n">
        <x:v>0</x:v>
      </x:c>
      <x:c r="O279" s="34" t="n">
        <x:v>0</x:v>
      </x:c>
      <x:c r="P279" s="34" t="n">
        <x:v>0</x:v>
      </x:c>
      <x:c r="Q279" s="34" t="n">
        <x:v>0.1</x:v>
      </x:c>
      <x:c r="R279" s="34" t="n">
        <x:v>0</x:v>
      </x:c>
      <x:c r="S279" s="34" t="n">
        <x:v>0</x:v>
      </x:c>
      <x:c r="T279" s="34" t="n">
        <x:v>461.703943</x:v>
      </x:c>
      <x:c r="U279" s="34" t="str">
        <x:v>NS-EAST:H2_DRI_EAF:2034|NS-KANSAI:SCRAP_EAF:2036|NS-KYUSHU:SCRAP_EAF:2029|NS-NAGOYA:H2_DRI_EAF:2032|NS-SETOUCHI:SCRAP_EAF:2038</x:v>
      </x:c>
      <x:c r="V279" s="34" t="str">
        <x:v>model_generated_candidate</x:v>
      </x:c>
      <x:c r="W279" s="34" t="str">
        <x:v>Generated from disclosed-path facility calendar, technology set and template contracting assumptions; not a company-announced project</x:v>
      </x:c>
    </x:row>
    <x:row r="280">
      <x:c r="A280" s="34" t="str">
        <x:v>CAND-1D845A52406140</x:v>
      </x:c>
      <x:c r="B280" s="34" t="str">
        <x:v>NIPPON_STEEL_JP</x:v>
      </x:c>
      <x:c r="C280" s="34" t="str">
        <x:v>Nippon Steel</x:v>
      </x:c>
      <x:c r="D280" s="34" t="str">
        <x:v>P1</x:v>
      </x:c>
      <x:c r="E280" s="34" t="str">
        <x:v>지연·현물조달</x:v>
      </x:c>
      <x:c r="F280" s="34" t="str">
        <x:v>PORT-685CF3088EF5</x:v>
      </x:c>
      <x:c r="G280" s="34" t="str">
        <x:v>DISCLOSED_PATH</x:v>
      </x:c>
      <x:c r="H280" s="34" t="n">
        <x:v>5</x:v>
      </x:c>
      <x:c r="I280" s="34" t="n">
        <x:v>2029</x:v>
      </x:c>
      <x:c r="J280" s="34" t="n">
        <x:v>2038</x:v>
      </x:c>
      <x:c r="K280" s="34" t="n">
        <x:v>0.341902</x:v>
      </x:c>
      <x:c r="L280" s="34" t="n">
        <x:v>0</x:v>
      </x:c>
      <x:c r="M280" s="34" t="n">
        <x:v>0.658098</x:v>
      </x:c>
      <x:c r="N280" s="34" t="n">
        <x:v>0</x:v>
      </x:c>
      <x:c r="O280" s="34" t="n">
        <x:v>0</x:v>
      </x:c>
      <x:c r="P280" s="34" t="n">
        <x:v>0</x:v>
      </x:c>
      <x:c r="Q280" s="34" t="n">
        <x:v>0.1</x:v>
      </x:c>
      <x:c r="R280" s="34" t="n">
        <x:v>0</x:v>
      </x:c>
      <x:c r="S280" s="34" t="n">
        <x:v>0</x:v>
      </x:c>
      <x:c r="T280" s="34" t="n">
        <x:v>357.968969</x:v>
      </x:c>
      <x:c r="U280" s="34" t="str">
        <x:v>NS-EAST:H2_DRI_EAF:2034|NS-KANSAI:BF_RELINE:2036|NS-KYUSHU:H2_DRI_EAF:2029|NS-NAGOYA:BF_RELINE:2032|NS-SETOUCHI:H2_DRI_EAF:2038</x:v>
      </x:c>
      <x:c r="V280" s="34" t="str">
        <x:v>model_generated_candidate</x:v>
      </x:c>
      <x:c r="W280" s="34" t="str">
        <x:v>Generated from disclosed-path facility calendar, technology set and template contracting assumptions; not a company-announced project</x:v>
      </x:c>
    </x:row>
    <x:row r="281">
      <x:c r="A281" s="34" t="str">
        <x:v>CAND-1DE687875EB017</x:v>
      </x:c>
      <x:c r="B281" s="34" t="str">
        <x:v>NIPPON_STEEL_JP</x:v>
      </x:c>
      <x:c r="C281" s="34" t="str">
        <x:v>Nippon Steel</x:v>
      </x:c>
      <x:c r="D281" s="34" t="str">
        <x:v>P1</x:v>
      </x:c>
      <x:c r="E281" s="34" t="str">
        <x:v>지연·현물조달</x:v>
      </x:c>
      <x:c r="F281" s="34" t="str">
        <x:v>PORT-58EC79466F54</x:v>
      </x:c>
      <x:c r="G281" s="34" t="str">
        <x:v>DISCLOSED_PATH</x:v>
      </x:c>
      <x:c r="H281" s="34" t="n">
        <x:v>5</x:v>
      </x:c>
      <x:c r="I281" s="34" t="n">
        <x:v>2029</x:v>
      </x:c>
      <x:c r="J281" s="34" t="n">
        <x:v>2038</x:v>
      </x:c>
      <x:c r="K281" s="34" t="n">
        <x:v>0.354756</x:v>
      </x:c>
      <x:c r="L281" s="34" t="n">
        <x:v>0.645244</x:v>
      </x:c>
      <x:c r="M281" s="34" t="n">
        <x:v>0</x:v>
      </x:c>
      <x:c r="N281" s="34" t="n">
        <x:v>0</x:v>
      </x:c>
      <x:c r="O281" s="34" t="n">
        <x:v>0</x:v>
      </x:c>
      <x:c r="P281" s="34" t="n">
        <x:v>0</x:v>
      </x:c>
      <x:c r="Q281" s="34" t="n">
        <x:v>0.1</x:v>
      </x:c>
      <x:c r="R281" s="34" t="n">
        <x:v>0</x:v>
      </x:c>
      <x:c r="S281" s="34" t="n">
        <x:v>0</x:v>
      </x:c>
      <x:c r="T281" s="34" t="n">
        <x:v>367.148941</x:v>
      </x:c>
      <x:c r="U281" s="34" t="str">
        <x:v>NS-EAST:SCRAP_EAF:2034|NS-KANSAI:BF_RELINE:2036|NS-KYUSHU:SCRAP_EAF:2029|NS-NAGOYA:SCRAP_EAF:2032|NS-SETOUCHI:BF_RELINE:2038</x:v>
      </x:c>
      <x:c r="V281" s="34" t="str">
        <x:v>model_generated_candidate</x:v>
      </x:c>
      <x:c r="W281" s="34" t="str">
        <x:v>Generated from disclosed-path facility calendar, technology set and template contracting assumptions; not a company-announced project</x:v>
      </x:c>
    </x:row>
    <x:row r="282">
      <x:c r="A282" s="34" t="str">
        <x:v>CAND-1E30974890E511</x:v>
      </x:c>
      <x:c r="B282" s="34" t="str">
        <x:v>NIPPON_STEEL_JP</x:v>
      </x:c>
      <x:c r="C282" s="34" t="str">
        <x:v>Nippon Steel</x:v>
      </x:c>
      <x:c r="D282" s="34" t="str">
        <x:v>P1</x:v>
      </x:c>
      <x:c r="E282" s="34" t="str">
        <x:v>지연·현물조달</x:v>
      </x:c>
      <x:c r="F282" s="34" t="str">
        <x:v>PORT-8B1E1EFB8523</x:v>
      </x:c>
      <x:c r="G282" s="34" t="str">
        <x:v>DISCLOSED_PATH</x:v>
      </x:c>
      <x:c r="H282" s="34" t="n">
        <x:v>5</x:v>
      </x:c>
      <x:c r="I282" s="34" t="n">
        <x:v>2029</x:v>
      </x:c>
      <x:c r="J282" s="34" t="n">
        <x:v>2038</x:v>
      </x:c>
      <x:c r="K282" s="34" t="n">
        <x:v>0.62982</x:v>
      </x:c>
      <x:c r="L282" s="34" t="n">
        <x:v>0.37018</x:v>
      </x:c>
      <x:c r="M282" s="34" t="n">
        <x:v>0</x:v>
      </x:c>
      <x:c r="N282" s="34" t="n">
        <x:v>0</x:v>
      </x:c>
      <x:c r="O282" s="34" t="n">
        <x:v>0</x:v>
      </x:c>
      <x:c r="P282" s="34" t="n">
        <x:v>0</x:v>
      </x:c>
      <x:c r="Q282" s="34" t="n">
        <x:v>0.1</x:v>
      </x:c>
      <x:c r="R282" s="34" t="n">
        <x:v>0</x:v>
      </x:c>
      <x:c r="S282" s="34" t="n">
        <x:v>0</x:v>
      </x:c>
      <x:c r="T282" s="34" t="n">
        <x:v>170.238972</x:v>
      </x:c>
      <x:c r="U282" s="34" t="str">
        <x:v>NS-EAST:SCRAP_EAF:2034|NS-KANSAI:SCRAP_EAF:2036|NS-KYUSHU:BF_RELINE:2029|NS-NAGOYA:BF_RELINE:2032|NS-SETOUCHI:BF_RELINE:2038</x:v>
      </x:c>
      <x:c r="V282" s="34" t="str">
        <x:v>model_generated_candidate</x:v>
      </x:c>
      <x:c r="W282" s="34" t="str">
        <x:v>Generated from disclosed-path facility calendar, technology set and template contracting assumptions; not a company-announced project</x:v>
      </x:c>
    </x:row>
    <x:row r="283">
      <x:c r="A283" s="34" t="str">
        <x:v>CAND-1EE312CC735A27</x:v>
      </x:c>
      <x:c r="B283" s="34" t="str">
        <x:v>NIPPON_STEEL_JP</x:v>
      </x:c>
      <x:c r="C283" s="34" t="str">
        <x:v>Nippon Steel</x:v>
      </x:c>
      <x:c r="D283" s="34" t="str">
        <x:v>P2</x:v>
      </x:c>
      <x:c r="E283" s="34" t="str">
        <x:v>지연·부분헤지</x:v>
      </x:c>
      <x:c r="F283" s="34" t="str">
        <x:v>PORT-2680632EAC61</x:v>
      </x:c>
      <x:c r="G283" s="34" t="str">
        <x:v>DISCLOSED_PATH</x:v>
      </x:c>
      <x:c r="H283" s="34" t="n">
        <x:v>5</x:v>
      </x:c>
      <x:c r="I283" s="34" t="n">
        <x:v>2029</x:v>
      </x:c>
      <x:c r="J283" s="34" t="n">
        <x:v>2038</x:v>
      </x:c>
      <x:c r="K283" s="34" t="n">
        <x:v>0.208226</x:v>
      </x:c>
      <x:c r="L283" s="34" t="n">
        <x:v>0.372751</x:v>
      </x:c>
      <x:c r="M283" s="34" t="n">
        <x:v>0.419023</x:v>
      </x:c>
      <x:c r="N283" s="34" t="n">
        <x:v>0</x:v>
      </x:c>
      <x:c r="O283" s="34" t="n">
        <x:v>0.15</x:v>
      </x:c>
      <x:c r="P283" s="34" t="n">
        <x:v>0.1</x:v>
      </x:c>
      <x:c r="Q283" s="34" t="n">
        <x:v>0.2</x:v>
      </x:c>
      <x:c r="R283" s="34" t="n">
        <x:v>0.1</x:v>
      </x:c>
      <x:c r="S283" s="34" t="n">
        <x:v>0.01</x:v>
      </x:c>
      <x:c r="T283" s="34" t="n">
        <x:v>396.073938</x:v>
      </x:c>
      <x:c r="U283" s="34" t="str">
        <x:v>NS-EAST:BF_RELINE:2034|NS-KANSAI:H2_DRI_EAF:2036|NS-KYUSHU:H2_DRI_EAF:2029|NS-NAGOYA:SCRAP_EAF:2032|NS-SETOUCHI:SCRAP_EAF:2038</x:v>
      </x:c>
      <x:c r="V283" s="34" t="str">
        <x:v>model_generated_candidate</x:v>
      </x:c>
      <x:c r="W283" s="34" t="str">
        <x:v>Generated from disclosed-path facility calendar, technology set and template contracting assumptions; not a company-announced project</x:v>
      </x:c>
    </x:row>
    <x:row r="284">
      <x:c r="A284" s="34" t="str">
        <x:v>CAND-1F17FB731DF3AF</x:v>
      </x:c>
      <x:c r="B284" s="34" t="str">
        <x:v>NIPPON_STEEL_JP</x:v>
      </x:c>
      <x:c r="C284" s="34" t="str">
        <x:v>Nippon Steel</x:v>
      </x:c>
      <x:c r="D284" s="34" t="str">
        <x:v>P2</x:v>
      </x:c>
      <x:c r="E284" s="34" t="str">
        <x:v>지연·부분헤지</x:v>
      </x:c>
      <x:c r="F284" s="34" t="str">
        <x:v>PORT-C8F6A070F6D3</x:v>
      </x:c>
      <x:c r="G284" s="34" t="str">
        <x:v>DISCLOSED_PATH</x:v>
      </x:c>
      <x:c r="H284" s="34" t="n">
        <x:v>5</x:v>
      </x:c>
      <x:c r="I284" s="34" t="n">
        <x:v>2029</x:v>
      </x:c>
      <x:c r="J284" s="34" t="n">
        <x:v>2038</x:v>
      </x:c>
      <x:c r="K284" s="34" t="n">
        <x:v>0.257069</x:v>
      </x:c>
      <x:c r="L284" s="34" t="n">
        <x:v>0.354756</x:v>
      </x:c>
      <x:c r="M284" s="34" t="n">
        <x:v>0.388175</x:v>
      </x:c>
      <x:c r="N284" s="34" t="n">
        <x:v>0</x:v>
      </x:c>
      <x:c r="O284" s="34" t="n">
        <x:v>0.15</x:v>
      </x:c>
      <x:c r="P284" s="34" t="n">
        <x:v>0.1</x:v>
      </x:c>
      <x:c r="Q284" s="34" t="n">
        <x:v>0.2</x:v>
      </x:c>
      <x:c r="R284" s="34" t="n">
        <x:v>0.1</x:v>
      </x:c>
      <x:c r="S284" s="34" t="n">
        <x:v>0.01</x:v>
      </x:c>
      <x:c r="T284" s="34" t="n">
        <x:v>305.103943</x:v>
      </x:c>
      <x:c r="U284" s="34" t="str">
        <x:v>NS-EAST:H2_DRI_EAF:2034|NS-KANSAI:SCRAP_EAF:2036|NS-KYUSHU:BF_RELINE:2029|NS-NAGOYA:H2_DRI_EAF:2032|NS-SETOUCHI:SCRAP_EAF:2038</x:v>
      </x:c>
      <x:c r="V284" s="34" t="str">
        <x:v>model_generated_candidate</x:v>
      </x:c>
      <x:c r="W284" s="34" t="str">
        <x:v>Generated from disclosed-path facility calendar, technology set and template contracting assumptions; not a company-announced project</x:v>
      </x:c>
    </x:row>
    <x:row r="285">
      <x:c r="A285" s="34" t="str">
        <x:v>CAND-1F99EBB5AE8665</x:v>
      </x:c>
      <x:c r="B285" s="34" t="str">
        <x:v>NIPPON_STEEL_JP</x:v>
      </x:c>
      <x:c r="C285" s="34" t="str">
        <x:v>Nippon Steel</x:v>
      </x:c>
      <x:c r="D285" s="34" t="str">
        <x:v>P3</x:v>
      </x:c>
      <x:c r="E285" s="34" t="str">
        <x:v>균형형 라이트헤지</x:v>
      </x:c>
      <x:c r="F285" s="34" t="str">
        <x:v>PORT-05EE518306D9</x:v>
      </x:c>
      <x:c r="G285" s="34" t="str">
        <x:v>DISCLOSED_PATH</x:v>
      </x:c>
      <x:c r="H285" s="34" t="n">
        <x:v>5</x:v>
      </x:c>
      <x:c r="I285" s="34" t="n">
        <x:v>2029</x:v>
      </x:c>
      <x:c r="J285" s="34" t="n">
        <x:v>2038</x:v>
      </x:c>
      <x:c r="K285" s="34" t="n">
        <x:v>0</x:v>
      </x:c>
      <x:c r="L285" s="34" t="n">
        <x:v>0.465296</x:v>
      </x:c>
      <x:c r="M285" s="34" t="n">
        <x:v>0.534704</x:v>
      </x:c>
      <x:c r="N285" s="34" t="n">
        <x:v>0</x:v>
      </x:c>
      <x:c r="O285" s="34" t="n">
        <x:v>0.3</x:v>
      </x:c>
      <x:c r="P285" s="34" t="n">
        <x:v>0.25</x:v>
      </x:c>
      <x:c r="Q285" s="34" t="n">
        <x:v>0.35</x:v>
      </x:c>
      <x:c r="R285" s="34" t="n">
        <x:v>0.25</x:v>
      </x:c>
      <x:c r="S285" s="34" t="n">
        <x:v>0.015</x:v>
      </x:c>
      <x:c r="T285" s="34" t="n">
        <x:v>460.828943</x:v>
      </x:c>
      <x:c r="U285" s="34" t="str">
        <x:v>NS-EAST:SCRAP_EAF:2034|NS-KANSAI:H2_DRI_EAF:2036|NS-KYUSHU:SCRAP_EAF:2029|NS-NAGOYA:H2_DRI_EAF:2032|NS-SETOUCHI:H2_DRI_EAF:2038</x:v>
      </x:c>
      <x:c r="V285" s="34" t="str">
        <x:v>model_generated_candidate</x:v>
      </x:c>
      <x:c r="W285" s="34" t="str">
        <x:v>Generated from disclosed-path facility calendar, technology set and template contracting assumptions; not a company-announced project</x:v>
      </x:c>
    </x:row>
    <x:row r="286">
      <x:c r="A286" s="34" t="str">
        <x:v>CAND-1FF01FDB28F13A</x:v>
      </x:c>
      <x:c r="B286" s="34" t="str">
        <x:v>NIPPON_STEEL_JP</x:v>
      </x:c>
      <x:c r="C286" s="34" t="str">
        <x:v>Nippon Steel</x:v>
      </x:c>
      <x:c r="D286" s="34" t="str">
        <x:v>P4</x:v>
      </x:c>
      <x:c r="E286" s="34" t="str">
        <x:v>균형형 전환</x:v>
      </x:c>
      <x:c r="F286" s="34" t="str">
        <x:v>PORT-D74D023C0D05</x:v>
      </x:c>
      <x:c r="G286" s="34" t="str">
        <x:v>DISCLOSED_PATH</x:v>
      </x:c>
      <x:c r="H286" s="34" t="n">
        <x:v>5</x:v>
      </x:c>
      <x:c r="I286" s="34" t="n">
        <x:v>2028</x:v>
      </x:c>
      <x:c r="J286" s="34" t="n">
        <x:v>2037</x:v>
      </x:c>
      <x:c r="K286" s="34" t="n">
        <x:v>0</x:v>
      </x:c>
      <x:c r="L286" s="34" t="n">
        <x:v>0.437018</x:v>
      </x:c>
      <x:c r="M286" s="34" t="n">
        <x:v>0.562982</x:v>
      </x:c>
      <x:c r="N286" s="34" t="n">
        <x:v>0</x:v>
      </x:c>
      <x:c r="O286" s="34" t="n">
        <x:v>0.5</x:v>
      </x:c>
      <x:c r="P286" s="34" t="n">
        <x:v>0.45</x:v>
      </x:c>
      <x:c r="Q286" s="34" t="n">
        <x:v>0.5</x:v>
      </x:c>
      <x:c r="R286" s="34" t="n">
        <x:v>0.4</x:v>
      </x:c>
      <x:c r="S286" s="34" t="n">
        <x:v>0.02</x:v>
      </x:c>
      <x:c r="T286" s="34" t="n">
        <x:v>521.418946</x:v>
      </x:c>
      <x:c r="U286" s="34" t="str">
        <x:v>NS-EAST:H2_DRI_EAF:2033|NS-KANSAI:H2_DRI_EAF:2035|NS-KYUSHU:SCRAP_EAF:2028|NS-NAGOYA:SCRAP_EAF:2031|NS-SETOUCHI:H2_DRI_EAF:2037</x:v>
      </x:c>
      <x:c r="V286" s="34" t="str">
        <x:v>model_generated_candidate</x:v>
      </x:c>
      <x:c r="W286" s="34" t="str">
        <x:v>Generated from disclosed-path facility calendar, technology set and template contracting assumptions; not a company-announced project</x:v>
      </x:c>
    </x:row>
    <x:row r="287">
      <x:c r="A287" s="34" t="str">
        <x:v>CAND-208710C12A7387</x:v>
      </x:c>
      <x:c r="B287" s="34" t="str">
        <x:v>NIPPON_STEEL_JP</x:v>
      </x:c>
      <x:c r="C287" s="34" t="str">
        <x:v>Nippon Steel</x:v>
      </x:c>
      <x:c r="D287" s="34" t="str">
        <x:v>P1</x:v>
      </x:c>
      <x:c r="E287" s="34" t="str">
        <x:v>지연·현물조달</x:v>
      </x:c>
      <x:c r="F287" s="34" t="str">
        <x:v>PORT-8F73C471E8F1</x:v>
      </x:c>
      <x:c r="G287" s="34" t="str">
        <x:v>DISCLOSED_PATH</x:v>
      </x:c>
      <x:c r="H287" s="34" t="n">
        <x:v>5</x:v>
      </x:c>
      <x:c r="I287" s="34" t="n">
        <x:v>2029</x:v>
      </x:c>
      <x:c r="J287" s="34" t="n">
        <x:v>2038</x:v>
      </x:c>
      <x:c r="K287" s="34" t="n">
        <x:v>0.37018</x:v>
      </x:c>
      <x:c r="L287" s="34" t="n">
        <x:v>0.179949</x:v>
      </x:c>
      <x:c r="M287" s="34" t="n">
        <x:v>0.449871</x:v>
      </x:c>
      <x:c r="N287" s="34" t="n">
        <x:v>0</x:v>
      </x:c>
      <x:c r="O287" s="34" t="n">
        <x:v>0</x:v>
      </x:c>
      <x:c r="P287" s="34" t="n">
        <x:v>0</x:v>
      </x:c>
      <x:c r="Q287" s="34" t="n">
        <x:v>0.1</x:v>
      </x:c>
      <x:c r="R287" s="34" t="n">
        <x:v>0</x:v>
      </x:c>
      <x:c r="S287" s="34" t="n">
        <x:v>0</x:v>
      </x:c>
      <x:c r="T287" s="34" t="n">
        <x:v>353.198932</x:v>
      </x:c>
      <x:c r="U287" s="34" t="str">
        <x:v>NS-EAST:BF_RELINE:2034|NS-KANSAI:BF_RELINE:2036|NS-KYUSHU:H2_DRI_EAF:2029|NS-NAGOYA:SCRAP_EAF:2032|NS-SETOUCHI:H2_DRI_EAF:2038</x:v>
      </x:c>
      <x:c r="V287" s="34" t="str">
        <x:v>model_generated_candidate</x:v>
      </x:c>
      <x:c r="W287" s="34" t="str">
        <x:v>Generated from disclosed-path facility calendar, technology set and template contracting assumptions; not a company-announced project</x:v>
      </x:c>
    </x:row>
    <x:row r="288">
      <x:c r="A288" s="34" t="str">
        <x:v>CAND-209838C3DCFD32</x:v>
      </x:c>
      <x:c r="B288" s="34" t="str">
        <x:v>NIPPON_STEEL_JP</x:v>
      </x:c>
      <x:c r="C288" s="34" t="str">
        <x:v>Nippon Steel</x:v>
      </x:c>
      <x:c r="D288" s="34" t="str">
        <x:v>P2</x:v>
      </x:c>
      <x:c r="E288" s="34" t="str">
        <x:v>지연·부분헤지</x:v>
      </x:c>
      <x:c r="F288" s="34" t="str">
        <x:v>PORT-65D55D48FAB7</x:v>
      </x:c>
      <x:c r="G288" s="34" t="str">
        <x:v>DISCLOSED_PATH</x:v>
      </x:c>
      <x:c r="H288" s="34" t="n">
        <x:v>5</x:v>
      </x:c>
      <x:c r="I288" s="34" t="n">
        <x:v>2029</x:v>
      </x:c>
      <x:c r="J288" s="34" t="n">
        <x:v>2038</x:v>
      </x:c>
      <x:c r="K288" s="34" t="n">
        <x:v>0.388175</x:v>
      </x:c>
      <x:c r="L288" s="34" t="n">
        <x:v>0.192802</x:v>
      </x:c>
      <x:c r="M288" s="34" t="n">
        <x:v>0.419023</x:v>
      </x:c>
      <x:c r="N288" s="34" t="n">
        <x:v>0</x:v>
      </x:c>
      <x:c r="O288" s="34" t="n">
        <x:v>0.15</x:v>
      </x:c>
      <x:c r="P288" s="34" t="n">
        <x:v>0.1</x:v>
      </x:c>
      <x:c r="Q288" s="34" t="n">
        <x:v>0.2</x:v>
      </x:c>
      <x:c r="R288" s="34" t="n">
        <x:v>0.1</x:v>
      </x:c>
      <x:c r="S288" s="34" t="n">
        <x:v>0.01</x:v>
      </x:c>
      <x:c r="T288" s="34" t="n">
        <x:v>315.163964</x:v>
      </x:c>
      <x:c r="U288" s="34" t="str">
        <x:v>NS-EAST:BF_RELINE:2034|NS-KANSAI:H2_DRI_EAF:2036|NS-KYUSHU:H2_DRI_EAF:2029|NS-NAGOYA:BF_RELINE:2032|NS-SETOUCHI:SCRAP_EAF:2038</x:v>
      </x:c>
      <x:c r="V288" s="34" t="str">
        <x:v>model_generated_candidate</x:v>
      </x:c>
      <x:c r="W288" s="34" t="str">
        <x:v>Generated from disclosed-path facility calendar, technology set and template contracting assumptions; not a company-announced project</x:v>
      </x:c>
    </x:row>
    <x:row r="289">
      <x:c r="A289" s="34" t="str">
        <x:v>CAND-20DF636FB8303B</x:v>
      </x:c>
      <x:c r="B289" s="34" t="str">
        <x:v>NIPPON_STEEL_JP</x:v>
      </x:c>
      <x:c r="C289" s="34" t="str">
        <x:v>Nippon Steel</x:v>
      </x:c>
      <x:c r="D289" s="34" t="str">
        <x:v>P3</x:v>
      </x:c>
      <x:c r="E289" s="34" t="str">
        <x:v>균형형 라이트헤지</x:v>
      </x:c>
      <x:c r="F289" s="34" t="str">
        <x:v>PORT-4028F2B5FE7E</x:v>
      </x:c>
      <x:c r="G289" s="34" t="str">
        <x:v>DISCLOSED_PATH</x:v>
      </x:c>
      <x:c r="H289" s="34" t="n">
        <x:v>5</x:v>
      </x:c>
      <x:c r="I289" s="34" t="n">
        <x:v>2029</x:v>
      </x:c>
      <x:c r="J289" s="34" t="n">
        <x:v>2038</x:v>
      </x:c>
      <x:c r="K289" s="34" t="n">
        <x:v>0.257069</x:v>
      </x:c>
      <x:c r="L289" s="34" t="n">
        <x:v>0.208226</x:v>
      </x:c>
      <x:c r="M289" s="34" t="n">
        <x:v>0.534704</x:v>
      </x:c>
      <x:c r="N289" s="34" t="n">
        <x:v>0</x:v>
      </x:c>
      <x:c r="O289" s="34" t="n">
        <x:v>0.3</x:v>
      </x:c>
      <x:c r="P289" s="34" t="n">
        <x:v>0.25</x:v>
      </x:c>
      <x:c r="Q289" s="34" t="n">
        <x:v>0.35</x:v>
      </x:c>
      <x:c r="R289" s="34" t="n">
        <x:v>0.25</x:v>
      </x:c>
      <x:c r="S289" s="34" t="n">
        <x:v>0.015</x:v>
      </x:c>
      <x:c r="T289" s="34" t="n">
        <x:v>304.228943</x:v>
      </x:c>
      <x:c r="U289" s="34" t="str">
        <x:v>NS-EAST:SCRAP_EAF:2034|NS-KANSAI:H2_DRI_EAF:2036|NS-KYUSHU:BF_RELINE:2029|NS-NAGOYA:H2_DRI_EAF:2032|NS-SETOUCHI:H2_DRI_EAF:2038</x:v>
      </x:c>
      <x:c r="V289" s="34" t="str">
        <x:v>model_generated_candidate</x:v>
      </x:c>
      <x:c r="W289" s="34" t="str">
        <x:v>Generated from disclosed-path facility calendar, technology set and template contracting assumptions; not a company-announced project</x:v>
      </x:c>
    </x:row>
    <x:row r="290">
      <x:c r="A290" s="34" t="str">
        <x:v>CAND-219BA403F56DC0</x:v>
      </x:c>
      <x:c r="B290" s="34" t="str">
        <x:v>NIPPON_STEEL_JP</x:v>
      </x:c>
      <x:c r="C290" s="34" t="str">
        <x:v>Nippon Steel</x:v>
      </x:c>
      <x:c r="D290" s="34" t="str">
        <x:v>P3</x:v>
      </x:c>
      <x:c r="E290" s="34" t="str">
        <x:v>균형형 라이트헤지</x:v>
      </x:c>
      <x:c r="F290" s="34" t="str">
        <x:v>PORT-CAD9747A9822</x:v>
      </x:c>
      <x:c r="G290" s="34" t="str">
        <x:v>DISCLOSED_PATH</x:v>
      </x:c>
      <x:c r="H290" s="34" t="n">
        <x:v>5</x:v>
      </x:c>
      <x:c r="I290" s="34" t="n">
        <x:v>2029</x:v>
      </x:c>
      <x:c r="J290" s="34" t="n">
        <x:v>2038</x:v>
      </x:c>
      <x:c r="K290" s="34" t="n">
        <x:v>0.192802</x:v>
      </x:c>
      <x:c r="L290" s="34" t="n">
        <x:v>0.208226</x:v>
      </x:c>
      <x:c r="M290" s="34" t="n">
        <x:v>0.598972</x:v>
      </x:c>
      <x:c r="N290" s="34" t="n">
        <x:v>0</x:v>
      </x:c>
      <x:c r="O290" s="34" t="n">
        <x:v>0.3</x:v>
      </x:c>
      <x:c r="P290" s="34" t="n">
        <x:v>0.25</x:v>
      </x:c>
      <x:c r="Q290" s="34" t="n">
        <x:v>0.35</x:v>
      </x:c>
      <x:c r="R290" s="34" t="n">
        <x:v>0.25</x:v>
      </x:c>
      <x:c r="S290" s="34" t="n">
        <x:v>0.015</x:v>
      </x:c>
      <x:c r="T290" s="34" t="n">
        <x:v>455.698943</x:v>
      </x:c>
      <x:c r="U290" s="34" t="str">
        <x:v>NS-EAST:SCRAP_EAF:2034|NS-KANSAI:H2_DRI_EAF:2036|NS-KYUSHU:H2_DRI_EAF:2029|NS-NAGOYA:H2_DRI_EAF:2032|NS-SETOUCHI:BF_RELINE:2038</x:v>
      </x:c>
      <x:c r="V290" s="34" t="str">
        <x:v>model_generated_candidate</x:v>
      </x:c>
      <x:c r="W290" s="34" t="str">
        <x:v>Generated from disclosed-path facility calendar, technology set and template contracting assumptions; not a company-announced project</x:v>
      </x:c>
    </x:row>
    <x:row r="291">
      <x:c r="A291" s="34" t="str">
        <x:v>CAND-22AE26960A4F70</x:v>
      </x:c>
      <x:c r="B291" s="34" t="str">
        <x:v>NIPPON_STEEL_JP</x:v>
      </x:c>
      <x:c r="C291" s="34" t="str">
        <x:v>Nippon Steel</x:v>
      </x:c>
      <x:c r="D291" s="34" t="str">
        <x:v>P1</x:v>
      </x:c>
      <x:c r="E291" s="34" t="str">
        <x:v>지연·현물조달</x:v>
      </x:c>
      <x:c r="F291" s="34" t="str">
        <x:v>PORT-A76189D31032</x:v>
      </x:c>
      <x:c r="G291" s="34" t="str">
        <x:v>DISCLOSED_PATH</x:v>
      </x:c>
      <x:c r="H291" s="34" t="n">
        <x:v>5</x:v>
      </x:c>
      <x:c r="I291" s="34" t="n">
        <x:v>2029</x:v>
      </x:c>
      <x:c r="J291" s="34" t="n">
        <x:v>2038</x:v>
      </x:c>
      <x:c r="K291" s="34" t="n">
        <x:v>0</x:v>
      </x:c>
      <x:c r="L291" s="34" t="n">
        <x:v>0.807198</x:v>
      </x:c>
      <x:c r="M291" s="34" t="n">
        <x:v>0.192802</x:v>
      </x:c>
      <x:c r="N291" s="34" t="n">
        <x:v>0</x:v>
      </x:c>
      <x:c r="O291" s="34" t="n">
        <x:v>0</x:v>
      </x:c>
      <x:c r="P291" s="34" t="n">
        <x:v>0</x:v>
      </x:c>
      <x:c r="Q291" s="34" t="n">
        <x:v>0.1</x:v>
      </x:c>
      <x:c r="R291" s="34" t="n">
        <x:v>0</x:v>
      </x:c>
      <x:c r="S291" s="34" t="n">
        <x:v>0</x:v>
      </x:c>
      <x:c r="T291" s="34" t="n">
        <x:v>439.878946</x:v>
      </x:c>
      <x:c r="U291" s="34" t="str">
        <x:v>NS-EAST:SCRAP_EAF:2034|NS-KANSAI:SCRAP_EAF:2036|NS-KYUSHU:SCRAP_EAF:2029|NS-NAGOYA:SCRAP_EAF:2032|NS-SETOUCHI:H2_DRI_EAF:2038</x:v>
      </x:c>
      <x:c r="V291" s="34" t="str">
        <x:v>model_generated_candidate</x:v>
      </x:c>
      <x:c r="W291" s="34" t="str">
        <x:v>Generated from disclosed-path facility calendar, technology set and template contracting assumptions; not a company-announced project</x:v>
      </x:c>
    </x:row>
    <x:row r="292">
      <x:c r="A292" s="34" t="str">
        <x:v>CAND-22E40E506E2CF9</x:v>
      </x:c>
      <x:c r="B292" s="34" t="str">
        <x:v>NIPPON_STEEL_JP</x:v>
      </x:c>
      <x:c r="C292" s="34" t="str">
        <x:v>Nippon Steel</x:v>
      </x:c>
      <x:c r="D292" s="34" t="str">
        <x:v>P1</x:v>
      </x:c>
      <x:c r="E292" s="34" t="str">
        <x:v>지연·현물조달</x:v>
      </x:c>
      <x:c r="F292" s="34" t="str">
        <x:v>PORT-C391DB151B1A</x:v>
      </x:c>
      <x:c r="G292" s="34" t="str">
        <x:v>DISCLOSED_PATH</x:v>
      </x:c>
      <x:c r="H292" s="34" t="n">
        <x:v>5</x:v>
      </x:c>
      <x:c r="I292" s="34" t="n">
        <x:v>2029</x:v>
      </x:c>
      <x:c r="J292" s="34" t="n">
        <x:v>2038</x:v>
      </x:c>
      <x:c r="K292" s="34" t="n">
        <x:v>0.161954</x:v>
      </x:c>
      <x:c r="L292" s="34" t="n">
        <x:v>0.645244</x:v>
      </x:c>
      <x:c r="M292" s="34" t="n">
        <x:v>0.192802</x:v>
      </x:c>
      <x:c r="N292" s="34" t="n">
        <x:v>0</x:v>
      </x:c>
      <x:c r="O292" s="34" t="n">
        <x:v>0</x:v>
      </x:c>
      <x:c r="P292" s="34" t="n">
        <x:v>0</x:v>
      </x:c>
      <x:c r="Q292" s="34" t="n">
        <x:v>0.1</x:v>
      </x:c>
      <x:c r="R292" s="34" t="n">
        <x:v>0</x:v>
      </x:c>
      <x:c r="S292" s="34" t="n">
        <x:v>0</x:v>
      </x:c>
      <x:c r="T292" s="34" t="n">
        <x:v>399.278941</x:v>
      </x:c>
      <x:c r="U292" s="34" t="str">
        <x:v>NS-EAST:SCRAP_EAF:2034|NS-KANSAI:BF_RELINE:2036|NS-KYUSHU:SCRAP_EAF:2029|NS-NAGOYA:SCRAP_EAF:2032|NS-SETOUCHI:H2_DRI_EAF:2038</x:v>
      </x:c>
      <x:c r="V292" s="34" t="str">
        <x:v>model_generated_candidate</x:v>
      </x:c>
      <x:c r="W292" s="34" t="str">
        <x:v>Generated from disclosed-path facility calendar, technology set and template contracting assumptions; not a company-announced project</x:v>
      </x:c>
    </x:row>
    <x:row r="293">
      <x:c r="A293" s="34" t="str">
        <x:v>CAND-22E48147553E1B</x:v>
      </x:c>
      <x:c r="B293" s="34" t="str">
        <x:v>NIPPON_STEEL_JP</x:v>
      </x:c>
      <x:c r="C293" s="34" t="str">
        <x:v>Nippon Steel</x:v>
      </x:c>
      <x:c r="D293" s="34" t="str">
        <x:v>P3</x:v>
      </x:c>
      <x:c r="E293" s="34" t="str">
        <x:v>균형형 라이트헤지</x:v>
      </x:c>
      <x:c r="F293" s="34" t="str">
        <x:v>PORT-FBD236D8DF23</x:v>
      </x:c>
      <x:c r="G293" s="34" t="str">
        <x:v>DISCLOSED_PATH</x:v>
      </x:c>
      <x:c r="H293" s="34" t="n">
        <x:v>5</x:v>
      </x:c>
      <x:c r="I293" s="34" t="n">
        <x:v>2029</x:v>
      </x:c>
      <x:c r="J293" s="34" t="n">
        <x:v>2038</x:v>
      </x:c>
      <x:c r="K293" s="34" t="n">
        <x:v>0.179949</x:v>
      </x:c>
      <x:c r="L293" s="34" t="n">
        <x:v>0.208226</x:v>
      </x:c>
      <x:c r="M293" s="34" t="n">
        <x:v>0.611825</x:v>
      </x:c>
      <x:c r="N293" s="34" t="n">
        <x:v>0</x:v>
      </x:c>
      <x:c r="O293" s="34" t="n">
        <x:v>0.3</x:v>
      </x:c>
      <x:c r="P293" s="34" t="n">
        <x:v>0.25</x:v>
      </x:c>
      <x:c r="Q293" s="34" t="n">
        <x:v>0.35</x:v>
      </x:c>
      <x:c r="R293" s="34" t="n">
        <x:v>0.25</x:v>
      </x:c>
      <x:c r="S293" s="34" t="n">
        <x:v>0.015</x:v>
      </x:c>
      <x:c r="T293" s="34" t="n">
        <x:v>392.968973</x:v>
      </x:c>
      <x:c r="U293" s="34" t="str">
        <x:v>NS-EAST:SCRAP_EAF:2034|NS-KANSAI:H2_DRI_EAF:2036|NS-KYUSHU:H2_DRI_EAF:2029|NS-NAGOYA:BF_RELINE:2032|NS-SETOUCHI:H2_DRI_EAF:2038</x:v>
      </x:c>
      <x:c r="V293" s="34" t="str">
        <x:v>model_generated_candidate</x:v>
      </x:c>
      <x:c r="W293" s="34" t="str">
        <x:v>Generated from disclosed-path facility calendar, technology set and template contracting assumptions; not a company-announced project</x:v>
      </x:c>
    </x:row>
    <x:row r="294">
      <x:c r="A294" s="34" t="str">
        <x:v>CAND-23459FF23C9DCD</x:v>
      </x:c>
      <x:c r="B294" s="34" t="str">
        <x:v>NIPPON_STEEL_JP</x:v>
      </x:c>
      <x:c r="C294" s="34" t="str">
        <x:v>Nippon Steel</x:v>
      </x:c>
      <x:c r="D294" s="34" t="str">
        <x:v>P1</x:v>
      </x:c>
      <x:c r="E294" s="34" t="str">
        <x:v>지연·현물조달</x:v>
      </x:c>
      <x:c r="F294" s="34" t="str">
        <x:v>PORT-032FE0BDCFB5</x:v>
      </x:c>
      <x:c r="G294" s="34" t="str">
        <x:v>DISCLOSED_PATH</x:v>
      </x:c>
      <x:c r="H294" s="34" t="n">
        <x:v>5</x:v>
      </x:c>
      <x:c r="I294" s="34" t="n">
        <x:v>2029</x:v>
      </x:c>
      <x:c r="J294" s="34" t="n">
        <x:v>2038</x:v>
      </x:c>
      <x:c r="K294" s="34" t="n">
        <x:v>0.37018</x:v>
      </x:c>
      <x:c r="L294" s="34" t="n">
        <x:v>0.437018</x:v>
      </x:c>
      <x:c r="M294" s="34" t="n">
        <x:v>0.192802</x:v>
      </x:c>
      <x:c r="N294" s="34" t="n">
        <x:v>0</x:v>
      </x:c>
      <x:c r="O294" s="34" t="n">
        <x:v>0</x:v>
      </x:c>
      <x:c r="P294" s="34" t="n">
        <x:v>0</x:v>
      </x:c>
      <x:c r="Q294" s="34" t="n">
        <x:v>0.1</x:v>
      </x:c>
      <x:c r="R294" s="34" t="n">
        <x:v>0</x:v>
      </x:c>
      <x:c r="S294" s="34" t="n">
        <x:v>0</x:v>
      </x:c>
      <x:c r="T294" s="34" t="n">
        <x:v>326.198932</x:v>
      </x:c>
      <x:c r="U294" s="34" t="str">
        <x:v>NS-EAST:BF_RELINE:2034|NS-KANSAI:BF_RELINE:2036|NS-KYUSHU:SCRAP_EAF:2029|NS-NAGOYA:SCRAP_EAF:2032|NS-SETOUCHI:H2_DRI_EAF:2038</x:v>
      </x:c>
      <x:c r="V294" s="34" t="str">
        <x:v>model_generated_candidate</x:v>
      </x:c>
      <x:c r="W294" s="34" t="str">
        <x:v>Generated from disclosed-path facility calendar, technology set and template contracting assumptions; not a company-announced project</x:v>
      </x:c>
    </x:row>
    <x:row r="295">
      <x:c r="A295" s="34" t="str">
        <x:v>CAND-237358A2DB4199</x:v>
      </x:c>
      <x:c r="B295" s="34" t="str">
        <x:v>NIPPON_STEEL_JP</x:v>
      </x:c>
      <x:c r="C295" s="34" t="str">
        <x:v>Nippon Steel</x:v>
      </x:c>
      <x:c r="D295" s="34" t="str">
        <x:v>P4</x:v>
      </x:c>
      <x:c r="E295" s="34" t="str">
        <x:v>균형형 전환</x:v>
      </x:c>
      <x:c r="F295" s="34" t="str">
        <x:v>PORT-07101E93CF4E</x:v>
      </x:c>
      <x:c r="G295" s="34" t="str">
        <x:v>DISCLOSED_PATH</x:v>
      </x:c>
      <x:c r="H295" s="34" t="n">
        <x:v>5</x:v>
      </x:c>
      <x:c r="I295" s="34" t="n">
        <x:v>2028</x:v>
      </x:c>
      <x:c r="J295" s="34" t="n">
        <x:v>2037</x:v>
      </x:c>
      <x:c r="K295" s="34" t="n">
        <x:v>0</x:v>
      </x:c>
      <x:c r="L295" s="34" t="n">
        <x:v>0.419023</x:v>
      </x:c>
      <x:c r="M295" s="34" t="n">
        <x:v>0.580977</x:v>
      </x:c>
      <x:c r="N295" s="34" t="n">
        <x:v>0</x:v>
      </x:c>
      <x:c r="O295" s="34" t="n">
        <x:v>0.5</x:v>
      </x:c>
      <x:c r="P295" s="34" t="n">
        <x:v>0.45</x:v>
      </x:c>
      <x:c r="Q295" s="34" t="n">
        <x:v>0.5</x:v>
      </x:c>
      <x:c r="R295" s="34" t="n">
        <x:v>0.4</x:v>
      </x:c>
      <x:c r="S295" s="34" t="n">
        <x:v>0.02</x:v>
      </x:c>
      <x:c r="T295" s="34" t="n">
        <x:v>528.51894</x:v>
      </x:c>
      <x:c r="U295" s="34" t="str">
        <x:v>NS-EAST:H2_DRI_EAF:2033|NS-KANSAI:SCRAP_EAF:2035|NS-KYUSHU:SCRAP_EAF:2028|NS-NAGOYA:H2_DRI_EAF:2031|NS-SETOUCHI:H2_DRI_EAF:2037</x:v>
      </x:c>
      <x:c r="V295" s="34" t="str">
        <x:v>model_generated_candidate</x:v>
      </x:c>
      <x:c r="W295" s="34" t="str">
        <x:v>Generated from disclosed-path facility calendar, technology set and template contracting assumptions; not a company-announced project</x:v>
      </x:c>
    </x:row>
    <x:row r="296">
      <x:c r="A296" s="34" t="str">
        <x:v>CAND-23E7E433182399</x:v>
      </x:c>
      <x:c r="B296" s="34" t="str">
        <x:v>NIPPON_STEEL_JP</x:v>
      </x:c>
      <x:c r="C296" s="34" t="str">
        <x:v>Nippon Steel</x:v>
      </x:c>
      <x:c r="D296" s="34" t="str">
        <x:v>P4</x:v>
      </x:c>
      <x:c r="E296" s="34" t="str">
        <x:v>균형형 전환</x:v>
      </x:c>
      <x:c r="F296" s="34" t="str">
        <x:v>PORT-6ED16D34EBBA</x:v>
      </x:c>
      <x:c r="G296" s="34" t="str">
        <x:v>DISCLOSED_PATH</x:v>
      </x:c>
      <x:c r="H296" s="34" t="n">
        <x:v>5</x:v>
      </x:c>
      <x:c r="I296" s="34" t="n">
        <x:v>2028</x:v>
      </x:c>
      <x:c r="J296" s="34" t="n">
        <x:v>2037</x:v>
      </x:c>
      <x:c r="K296" s="34" t="n">
        <x:v>0.179949</x:v>
      </x:c>
      <x:c r="L296" s="34" t="n">
        <x:v>0.161954</x:v>
      </x:c>
      <x:c r="M296" s="34" t="n">
        <x:v>0.658098</x:v>
      </x:c>
      <x:c r="N296" s="34" t="n">
        <x:v>0</x:v>
      </x:c>
      <x:c r="O296" s="34" t="n">
        <x:v>0.5</x:v>
      </x:c>
      <x:c r="P296" s="34" t="n">
        <x:v>0.45</x:v>
      </x:c>
      <x:c r="Q296" s="34" t="n">
        <x:v>0.5</x:v>
      </x:c>
      <x:c r="R296" s="34" t="n">
        <x:v>0.4</x:v>
      </x:c>
      <x:c r="S296" s="34" t="n">
        <x:v>0.02</x:v>
      </x:c>
      <x:c r="T296" s="34" t="n">
        <x:v>452.368974</x:v>
      </x:c>
      <x:c r="U296" s="34" t="str">
        <x:v>NS-EAST:H2_DRI_EAF:2033|NS-KANSAI:SCRAP_EAF:2035|NS-KYUSHU:H2_DRI_EAF:2028|NS-NAGOYA:BF_RELINE:2031|NS-SETOUCHI:H2_DRI_EAF:2037</x:v>
      </x:c>
      <x:c r="V296" s="34" t="str">
        <x:v>model_generated_candidate</x:v>
      </x:c>
      <x:c r="W296" s="34" t="str">
        <x:v>Generated from disclosed-path facility calendar, technology set and template contracting assumptions; not a company-announced project</x:v>
      </x:c>
    </x:row>
    <x:row r="297">
      <x:c r="A297" s="34" t="str">
        <x:v>CAND-24A45D1624B14F</x:v>
      </x:c>
      <x:c r="B297" s="34" t="str">
        <x:v>NIPPON_STEEL_JP</x:v>
      </x:c>
      <x:c r="C297" s="34" t="str">
        <x:v>Nippon Steel</x:v>
      </x:c>
      <x:c r="D297" s="34" t="str">
        <x:v>P6</x:v>
      </x:c>
      <x:c r="E297" s="34" t="str">
        <x:v>조기 고헤지</x:v>
      </x:c>
      <x:c r="F297" s="34" t="str">
        <x:v>PORT-47CAFB63A94E</x:v>
      </x:c>
      <x:c r="G297" s="34" t="str">
        <x:v>DISCLOSED_PATH</x:v>
      </x:c>
      <x:c r="H297" s="34" t="n">
        <x:v>5</x:v>
      </x:c>
      <x:c r="I297" s="34" t="n">
        <x:v>2028</x:v>
      </x:c>
      <x:c r="J297" s="34" t="n">
        <x:v>2036</x:v>
      </x:c>
      <x:c r="K297" s="34" t="n">
        <x:v>0</x:v>
      </x:c>
      <x:c r="L297" s="34" t="n">
        <x:v>0.192802</x:v>
      </x:c>
      <x:c r="M297" s="34" t="n">
        <x:v>0.807198</x:v>
      </x:c>
      <x:c r="N297" s="34" t="n">
        <x:v>0</x:v>
      </x:c>
      <x:c r="O297" s="34" t="n">
        <x:v>0.9</x:v>
      </x:c>
      <x:c r="P297" s="34" t="n">
        <x:v>0.85</x:v>
      </x:c>
      <x:c r="Q297" s="34" t="n">
        <x:v>0.85</x:v>
      </x:c>
      <x:c r="R297" s="34" t="n">
        <x:v>0.8</x:v>
      </x:c>
      <x:c r="S297" s="34" t="n">
        <x:v>0.035</x:v>
      </x:c>
      <x:c r="T297" s="34" t="n">
        <x:v>606.784375</x:v>
      </x:c>
      <x:c r="U297" s="34" t="str">
        <x:v>NS-EAST:H2_DRI_EAF:2032|NS-KANSAI:H2_DRI_EAF:2034|NS-KYUSHU:H2_DRI_EAF:2028|NS-NAGOYA:H2_DRI_EAF:2030|NS-SETOUCHI:SCRAP_EAF:2036</x:v>
      </x:c>
      <x:c r="V297" s="34" t="str">
        <x:v>model_generated_candidate</x:v>
      </x:c>
      <x:c r="W297" s="34" t="str">
        <x:v>Generated from disclosed-path facility calendar, technology set and template contracting assumptions; not a company-announced project</x:v>
      </x:c>
    </x:row>
    <x:row r="298">
      <x:c r="A298" s="34" t="str">
        <x:v>CAND-24F5A4F20C649C</x:v>
      </x:c>
      <x:c r="B298" s="34" t="str">
        <x:v>NIPPON_STEEL_JP</x:v>
      </x:c>
      <x:c r="C298" s="34" t="str">
        <x:v>Nippon Steel</x:v>
      </x:c>
      <x:c r="D298" s="34" t="str">
        <x:v>P1</x:v>
      </x:c>
      <x:c r="E298" s="34" t="str">
        <x:v>지연·현물조달</x:v>
      </x:c>
      <x:c r="F298" s="34" t="str">
        <x:v>PORT-888EB63E71B0</x:v>
      </x:c>
      <x:c r="G298" s="34" t="str">
        <x:v>DISCLOSED_PATH</x:v>
      </x:c>
      <x:c r="H298" s="34" t="n">
        <x:v>5</x:v>
      </x:c>
      <x:c r="I298" s="34" t="n">
        <x:v>2029</x:v>
      </x:c>
      <x:c r="J298" s="34" t="n">
        <x:v>2038</x:v>
      </x:c>
      <x:c r="K298" s="34" t="n">
        <x:v>0.354756</x:v>
      </x:c>
      <x:c r="L298" s="34" t="n">
        <x:v>0</x:v>
      </x:c>
      <x:c r="M298" s="34" t="n">
        <x:v>0.645244</x:v>
      </x:c>
      <x:c r="N298" s="34" t="n">
        <x:v>0</x:v>
      </x:c>
      <x:c r="O298" s="34" t="n">
        <x:v>0</x:v>
      </x:c>
      <x:c r="P298" s="34" t="n">
        <x:v>0</x:v>
      </x:c>
      <x:c r="Q298" s="34" t="n">
        <x:v>0.1</x:v>
      </x:c>
      <x:c r="R298" s="34" t="n">
        <x:v>0</x:v>
      </x:c>
      <x:c r="S298" s="34" t="n">
        <x:v>0</x:v>
      </x:c>
      <x:c r="T298" s="34" t="n">
        <x:v>420.698938</x:v>
      </x:c>
      <x:c r="U298" s="34" t="str">
        <x:v>NS-EAST:H2_DRI_EAF:2034|NS-KANSAI:BF_RELINE:2036|NS-KYUSHU:H2_DRI_EAF:2029|NS-NAGOYA:H2_DRI_EAF:2032|NS-SETOUCHI:BF_RELINE:2038</x:v>
      </x:c>
      <x:c r="V298" s="34" t="str">
        <x:v>model_generated_candidate</x:v>
      </x:c>
      <x:c r="W298" s="34" t="str">
        <x:v>Generated from disclosed-path facility calendar, technology set and template contracting assumptions; not a company-announced project</x:v>
      </x:c>
    </x:row>
    <x:row r="299">
      <x:c r="A299" s="34" t="str">
        <x:v>CAND-250DE3ED2B41A6</x:v>
      </x:c>
      <x:c r="B299" s="34" t="str">
        <x:v>NIPPON_STEEL_JP</x:v>
      </x:c>
      <x:c r="C299" s="34" t="str">
        <x:v>Nippon Steel</x:v>
      </x:c>
      <x:c r="D299" s="34" t="str">
        <x:v>P3</x:v>
      </x:c>
      <x:c r="E299" s="34" t="str">
        <x:v>균형형 라이트헤지</x:v>
      </x:c>
      <x:c r="F299" s="34" t="str">
        <x:v>PORT-C0BD308C7501</x:v>
      </x:c>
      <x:c r="G299" s="34" t="str">
        <x:v>DISCLOSED_PATH</x:v>
      </x:c>
      <x:c r="H299" s="34" t="n">
        <x:v>5</x:v>
      </x:c>
      <x:c r="I299" s="34" t="n">
        <x:v>2029</x:v>
      </x:c>
      <x:c r="J299" s="34" t="n">
        <x:v>2038</x:v>
      </x:c>
      <x:c r="K299" s="34" t="n">
        <x:v>0.419023</x:v>
      </x:c>
      <x:c r="L299" s="34" t="n">
        <x:v>0.179949</x:v>
      </x:c>
      <x:c r="M299" s="34" t="n">
        <x:v>0.401028</x:v>
      </x:c>
      <x:c r="N299" s="34" t="n">
        <x:v>0</x:v>
      </x:c>
      <x:c r="O299" s="34" t="n">
        <x:v>0.3</x:v>
      </x:c>
      <x:c r="P299" s="34" t="n">
        <x:v>0.25</x:v>
      </x:c>
      <x:c r="Q299" s="34" t="n">
        <x:v>0.35</x:v>
      </x:c>
      <x:c r="R299" s="34" t="n">
        <x:v>0.25</x:v>
      </x:c>
      <x:c r="S299" s="34" t="n">
        <x:v>0.015</x:v>
      </x:c>
      <x:c r="T299" s="34" t="n">
        <x:v>255.278943</x:v>
      </x:c>
      <x:c r="U299" s="34" t="str">
        <x:v>NS-EAST:H2_DRI_EAF:2034|NS-KANSAI:BF_RELINE:2036|NS-KYUSHU:BF_RELINE:2029|NS-NAGOYA:SCRAP_EAF:2032|NS-SETOUCHI:H2_DRI_EAF:2038</x:v>
      </x:c>
      <x:c r="V299" s="34" t="str">
        <x:v>model_generated_candidate</x:v>
      </x:c>
      <x:c r="W299" s="34" t="str">
        <x:v>Generated from disclosed-path facility calendar, technology set and template contracting assumptions; not a company-announced project</x:v>
      </x:c>
    </x:row>
    <x:row r="300">
      <x:c r="A300" s="34" t="str">
        <x:v>CAND-2525F1CBA6CD74</x:v>
      </x:c>
      <x:c r="B300" s="34" t="str">
        <x:v>NIPPON_STEEL_JP</x:v>
      </x:c>
      <x:c r="C300" s="34" t="str">
        <x:v>Nippon Steel</x:v>
      </x:c>
      <x:c r="D300" s="34" t="str">
        <x:v>P1</x:v>
      </x:c>
      <x:c r="E300" s="34" t="str">
        <x:v>지연·현물조달</x:v>
      </x:c>
      <x:c r="F300" s="34" t="str">
        <x:v>PORT-DED2476419C0</x:v>
      </x:c>
      <x:c r="G300" s="34" t="str">
        <x:v>DISCLOSED_PATH</x:v>
      </x:c>
      <x:c r="H300" s="34" t="n">
        <x:v>5</x:v>
      </x:c>
      <x:c r="I300" s="34" t="n">
        <x:v>2029</x:v>
      </x:c>
      <x:c r="J300" s="34" t="n">
        <x:v>2038</x:v>
      </x:c>
      <x:c r="K300" s="34" t="n">
        <x:v>0.658098</x:v>
      </x:c>
      <x:c r="L300" s="34" t="n">
        <x:v>0.179949</x:v>
      </x:c>
      <x:c r="M300" s="34" t="n">
        <x:v>0.161954</x:v>
      </x:c>
      <x:c r="N300" s="34" t="n">
        <x:v>0</x:v>
      </x:c>
      <x:c r="O300" s="34" t="n">
        <x:v>0</x:v>
      </x:c>
      <x:c r="P300" s="34" t="n">
        <x:v>0</x:v>
      </x:c>
      <x:c r="Q300" s="34" t="n">
        <x:v>0.1</x:v>
      </x:c>
      <x:c r="R300" s="34" t="n">
        <x:v>0</x:v>
      </x:c>
      <x:c r="S300" s="34" t="n">
        <x:v>0</x:v>
      </x:c>
      <x:c r="T300" s="34" t="n">
        <x:v>185.068938</x:v>
      </x:c>
      <x:c r="U300" s="34" t="str">
        <x:v>NS-EAST:BF_RELINE:2034|NS-KANSAI:H2_DRI_EAF:2036|NS-KYUSHU:BF_RELINE:2029|NS-NAGOYA:SCRAP_EAF:2032|NS-SETOUCHI:BF_RELINE:2038</x:v>
      </x:c>
      <x:c r="V300" s="34" t="str">
        <x:v>model_generated_candidate</x:v>
      </x:c>
      <x:c r="W300" s="34" t="str">
        <x:v>Generated from disclosed-path facility calendar, technology set and template contracting assumptions; not a company-announced project</x:v>
      </x:c>
    </x:row>
    <x:row r="301">
      <x:c r="A301" s="34" t="str">
        <x:v>CAND-2589DCEE777BE6</x:v>
      </x:c>
      <x:c r="B301" s="34" t="str">
        <x:v>NIPPON_STEEL_JP</x:v>
      </x:c>
      <x:c r="C301" s="34" t="str">
        <x:v>Nippon Steel</x:v>
      </x:c>
      <x:c r="D301" s="34" t="str">
        <x:v>P3</x:v>
      </x:c>
      <x:c r="E301" s="34" t="str">
        <x:v>균형형 라이트헤지</x:v>
      </x:c>
      <x:c r="F301" s="34" t="str">
        <x:v>PORT-7DC7D2B7A26E</x:v>
      </x:c>
      <x:c r="G301" s="34" t="str">
        <x:v>DISCLOSED_PATH</x:v>
      </x:c>
      <x:c r="H301" s="34" t="n">
        <x:v>5</x:v>
      </x:c>
      <x:c r="I301" s="34" t="n">
        <x:v>2029</x:v>
      </x:c>
      <x:c r="J301" s="34" t="n">
        <x:v>2038</x:v>
      </x:c>
      <x:c r="K301" s="34" t="n">
        <x:v>0.465296</x:v>
      </x:c>
      <x:c r="L301" s="34" t="n">
        <x:v>0.179949</x:v>
      </x:c>
      <x:c r="M301" s="34" t="n">
        <x:v>0.354756</x:v>
      </x:c>
      <x:c r="N301" s="34" t="n">
        <x:v>0</x:v>
      </x:c>
      <x:c r="O301" s="34" t="n">
        <x:v>0.3</x:v>
      </x:c>
      <x:c r="P301" s="34" t="n">
        <x:v>0.25</x:v>
      </x:c>
      <x:c r="Q301" s="34" t="n">
        <x:v>0.35</x:v>
      </x:c>
      <x:c r="R301" s="34" t="n">
        <x:v>0.25</x:v>
      </x:c>
      <x:c r="S301" s="34" t="n">
        <x:v>0.015</x:v>
      </x:c>
      <x:c r="T301" s="34" t="n">
        <x:v>217.198938</x:v>
      </x:c>
      <x:c r="U301" s="34" t="str">
        <x:v>NS-EAST:BF_RELINE:2034|NS-KANSAI:H2_DRI_EAF:2036|NS-KYUSHU:BF_RELINE:2029|NS-NAGOYA:SCRAP_EAF:2032|NS-SETOUCHI:H2_DRI_EAF:2038</x:v>
      </x:c>
      <x:c r="V301" s="34" t="str">
        <x:v>model_generated_candidate</x:v>
      </x:c>
      <x:c r="W301" s="34" t="str">
        <x:v>Generated from disclosed-path facility calendar, technology set and template contracting assumptions; not a company-announced project</x:v>
      </x:c>
    </x:row>
    <x:row r="302">
      <x:c r="A302" s="34" t="str">
        <x:v>CAND-2592C4A012BC02</x:v>
      </x:c>
      <x:c r="B302" s="34" t="str">
        <x:v>NIPPON_STEEL_JP</x:v>
      </x:c>
      <x:c r="C302" s="34" t="str">
        <x:v>Nippon Steel</x:v>
      </x:c>
      <x:c r="D302" s="34" t="str">
        <x:v>P3</x:v>
      </x:c>
      <x:c r="E302" s="34" t="str">
        <x:v>균형형 라이트헤지</x:v>
      </x:c>
      <x:c r="F302" s="34" t="str">
        <x:v>PORT-65D55D48FAB7</x:v>
      </x:c>
      <x:c r="G302" s="34" t="str">
        <x:v>DISCLOSED_PATH</x:v>
      </x:c>
      <x:c r="H302" s="34" t="n">
        <x:v>5</x:v>
      </x:c>
      <x:c r="I302" s="34" t="n">
        <x:v>2029</x:v>
      </x:c>
      <x:c r="J302" s="34" t="n">
        <x:v>2038</x:v>
      </x:c>
      <x:c r="K302" s="34" t="n">
        <x:v>0.388175</x:v>
      </x:c>
      <x:c r="L302" s="34" t="n">
        <x:v>0.192802</x:v>
      </x:c>
      <x:c r="M302" s="34" t="n">
        <x:v>0.419023</x:v>
      </x:c>
      <x:c r="N302" s="34" t="n">
        <x:v>0</x:v>
      </x:c>
      <x:c r="O302" s="34" t="n">
        <x:v>0.3</x:v>
      </x:c>
      <x:c r="P302" s="34" t="n">
        <x:v>0.25</x:v>
      </x:c>
      <x:c r="Q302" s="34" t="n">
        <x:v>0.35</x:v>
      </x:c>
      <x:c r="R302" s="34" t="n">
        <x:v>0.25</x:v>
      </x:c>
      <x:c r="S302" s="34" t="n">
        <x:v>0.015</x:v>
      </x:c>
      <x:c r="T302" s="34" t="n">
        <x:v>315.163964</x:v>
      </x:c>
      <x:c r="U302" s="34" t="str">
        <x:v>NS-EAST:BF_RELINE:2034|NS-KANSAI:H2_DRI_EAF:2036|NS-KYUSHU:H2_DRI_EAF:2029|NS-NAGOYA:BF_RELINE:2032|NS-SETOUCHI:SCRAP_EAF:2038</x:v>
      </x:c>
      <x:c r="V302" s="34" t="str">
        <x:v>model_generated_candidate</x:v>
      </x:c>
      <x:c r="W302" s="34" t="str">
        <x:v>Generated from disclosed-path facility calendar, technology set and template contracting assumptions; not a company-announced project</x:v>
      </x:c>
    </x:row>
    <x:row r="303">
      <x:c r="A303" s="34" t="str">
        <x:v>CAND-263FA88B0DC7CD</x:v>
      </x:c>
      <x:c r="B303" s="34" t="str">
        <x:v>NIPPON_STEEL_JP</x:v>
      </x:c>
      <x:c r="C303" s="34" t="str">
        <x:v>Nippon Steel</x:v>
      </x:c>
      <x:c r="D303" s="34" t="str">
        <x:v>P4</x:v>
      </x:c>
      <x:c r="E303" s="34" t="str">
        <x:v>균형형 전환</x:v>
      </x:c>
      <x:c r="F303" s="34" t="str">
        <x:v>PORT-784097DC6F17</x:v>
      </x:c>
      <x:c r="G303" s="34" t="str">
        <x:v>DISCLOSED_PATH</x:v>
      </x:c>
      <x:c r="H303" s="34" t="n">
        <x:v>5</x:v>
      </x:c>
      <x:c r="I303" s="34" t="n">
        <x:v>2028</x:v>
      </x:c>
      <x:c r="J303" s="34" t="n">
        <x:v>2037</x:v>
      </x:c>
      <x:c r="K303" s="34" t="n">
        <x:v>0.192802</x:v>
      </x:c>
      <x:c r="L303" s="34" t="n">
        <x:v>0.257069</x:v>
      </x:c>
      <x:c r="M303" s="34" t="n">
        <x:v>0.550129</x:v>
      </x:c>
      <x:c r="N303" s="34" t="n">
        <x:v>0</x:v>
      </x:c>
      <x:c r="O303" s="34" t="n">
        <x:v>0.5</x:v>
      </x:c>
      <x:c r="P303" s="34" t="n">
        <x:v>0.45</x:v>
      </x:c>
      <x:c r="Q303" s="34" t="n">
        <x:v>0.5</x:v>
      </x:c>
      <x:c r="R303" s="34" t="n">
        <x:v>0.4</x:v>
      </x:c>
      <x:c r="S303" s="34" t="n">
        <x:v>0.02</x:v>
      </x:c>
      <x:c r="T303" s="34" t="n">
        <x:v>494.078941</x:v>
      </x:c>
      <x:c r="U303" s="34" t="str">
        <x:v>NS-EAST:H2_DRI_EAF:2033|NS-KANSAI:H2_DRI_EAF:2035|NS-KYUSHU:SCRAP_EAF:2028|NS-NAGOYA:H2_DRI_EAF:2031|NS-SETOUCHI:BF_RELINE:2037</x:v>
      </x:c>
      <x:c r="V303" s="34" t="str">
        <x:v>model_generated_candidate</x:v>
      </x:c>
      <x:c r="W303" s="34" t="str">
        <x:v>Generated from disclosed-path facility calendar, technology set and template contracting assumptions; not a company-announced project</x:v>
      </x:c>
    </x:row>
    <x:row r="304">
      <x:c r="A304" s="34" t="str">
        <x:v>CAND-2698BE677BA7B4</x:v>
      </x:c>
      <x:c r="B304" s="34" t="str">
        <x:v>NIPPON_STEEL_JP</x:v>
      </x:c>
      <x:c r="C304" s="34" t="str">
        <x:v>Nippon Steel</x:v>
      </x:c>
      <x:c r="D304" s="34" t="str">
        <x:v>P1</x:v>
      </x:c>
      <x:c r="E304" s="34" t="str">
        <x:v>지연·현물조달</x:v>
      </x:c>
      <x:c r="F304" s="34" t="str">
        <x:v>PORT-06AD5B3BFC32</x:v>
      </x:c>
      <x:c r="G304" s="34" t="str">
        <x:v>DISCLOSED_PATH</x:v>
      </x:c>
      <x:c r="H304" s="34" t="n">
        <x:v>5</x:v>
      </x:c>
      <x:c r="I304" s="34" t="n">
        <x:v>2029</x:v>
      </x:c>
      <x:c r="J304" s="34" t="n">
        <x:v>2038</x:v>
      </x:c>
      <x:c r="K304" s="34" t="n">
        <x:v>0.257069</x:v>
      </x:c>
      <x:c r="L304" s="34" t="n">
        <x:v>0.562982</x:v>
      </x:c>
      <x:c r="M304" s="34" t="n">
        <x:v>0.179949</x:v>
      </x:c>
      <x:c r="N304" s="34" t="n">
        <x:v>0</x:v>
      </x:c>
      <x:c r="O304" s="34" t="n">
        <x:v>0</x:v>
      </x:c>
      <x:c r="P304" s="34" t="n">
        <x:v>0</x:v>
      </x:c>
      <x:c r="Q304" s="34" t="n">
        <x:v>0.1</x:v>
      </x:c>
      <x:c r="R304" s="34" t="n">
        <x:v>0</x:v>
      </x:c>
      <x:c r="S304" s="34" t="n">
        <x:v>0</x:v>
      </x:c>
      <x:c r="T304" s="34" t="n">
        <x:v>292.503942</x:v>
      </x:c>
      <x:c r="U304" s="34" t="str">
        <x:v>NS-EAST:SCRAP_EAF:2034|NS-KANSAI:SCRAP_EAF:2036|NS-KYUSHU:BF_RELINE:2029|NS-NAGOYA:H2_DRI_EAF:2032|NS-SETOUCHI:SCRAP_EAF:2038</x:v>
      </x:c>
      <x:c r="V304" s="34" t="str">
        <x:v>model_generated_candidate</x:v>
      </x:c>
      <x:c r="W304" s="34" t="str">
        <x:v>Generated from disclosed-path facility calendar, technology set and template contracting assumptions; not a company-announced project</x:v>
      </x:c>
    </x:row>
    <x:row r="305">
      <x:c r="A305" s="34" t="str">
        <x:v>CAND-26DA5ADD4A88E6</x:v>
      </x:c>
      <x:c r="B305" s="34" t="str">
        <x:v>NIPPON_STEEL_JP</x:v>
      </x:c>
      <x:c r="C305" s="34" t="str">
        <x:v>Nippon Steel</x:v>
      </x:c>
      <x:c r="D305" s="34" t="str">
        <x:v>P3</x:v>
      </x:c>
      <x:c r="E305" s="34" t="str">
        <x:v>균형형 라이트헤지</x:v>
      </x:c>
      <x:c r="F305" s="34" t="str">
        <x:v>PORT-AA17EC0396DF</x:v>
      </x:c>
      <x:c r="G305" s="34" t="str">
        <x:v>DISCLOSED_PATH</x:v>
      </x:c>
      <x:c r="H305" s="34" t="n">
        <x:v>5</x:v>
      </x:c>
      <x:c r="I305" s="34" t="n">
        <x:v>2029</x:v>
      </x:c>
      <x:c r="J305" s="34" t="n">
        <x:v>2038</x:v>
      </x:c>
      <x:c r="K305" s="34" t="n">
        <x:v>0.161954</x:v>
      </x:c>
      <x:c r="L305" s="34" t="n">
        <x:v>0.437018</x:v>
      </x:c>
      <x:c r="M305" s="34" t="n">
        <x:v>0.401028</x:v>
      </x:c>
      <x:c r="N305" s="34" t="n">
        <x:v>0</x:v>
      </x:c>
      <x:c r="O305" s="34" t="n">
        <x:v>0.3</x:v>
      </x:c>
      <x:c r="P305" s="34" t="n">
        <x:v>0.25</x:v>
      </x:c>
      <x:c r="Q305" s="34" t="n">
        <x:v>0.35</x:v>
      </x:c>
      <x:c r="R305" s="34" t="n">
        <x:v>0.25</x:v>
      </x:c>
      <x:c r="S305" s="34" t="n">
        <x:v>0.015</x:v>
      </x:c>
      <x:c r="T305" s="34" t="n">
        <x:v>411.878943</x:v>
      </x:c>
      <x:c r="U305" s="34" t="str">
        <x:v>NS-EAST:H2_DRI_EAF:2034|NS-KANSAI:BF_RELINE:2036|NS-KYUSHU:SCRAP_EAF:2029|NS-NAGOYA:SCRAP_EAF:2032|NS-SETOUCHI:H2_DRI_EAF:2038</x:v>
      </x:c>
      <x:c r="V305" s="34" t="str">
        <x:v>model_generated_candidate</x:v>
      </x:c>
      <x:c r="W305" s="34" t="str">
        <x:v>Generated from disclosed-path facility calendar, technology set and template contracting assumptions; not a company-announced project</x:v>
      </x:c>
    </x:row>
    <x:row r="306">
      <x:c r="A306" s="34" t="str">
        <x:v>CAND-278851115D0D1C</x:v>
      </x:c>
      <x:c r="B306" s="34" t="str">
        <x:v>NIPPON_STEEL_JP</x:v>
      </x:c>
      <x:c r="C306" s="34" t="str">
        <x:v>Nippon Steel</x:v>
      </x:c>
      <x:c r="D306" s="34" t="str">
        <x:v>P2</x:v>
      </x:c>
      <x:c r="E306" s="34" t="str">
        <x:v>지연·부분헤지</x:v>
      </x:c>
      <x:c r="F306" s="34" t="str">
        <x:v>PORT-20A2D678A278</x:v>
      </x:c>
      <x:c r="G306" s="34" t="str">
        <x:v>DISCLOSED_PATH</x:v>
      </x:c>
      <x:c r="H306" s="34" t="n">
        <x:v>5</x:v>
      </x:c>
      <x:c r="I306" s="34" t="n">
        <x:v>2029</x:v>
      </x:c>
      <x:c r="J306" s="34" t="n">
        <x:v>2038</x:v>
      </x:c>
      <x:c r="K306" s="34" t="n">
        <x:v>0</x:v>
      </x:c>
      <x:c r="L306" s="34" t="n">
        <x:v>0.354756</x:v>
      </x:c>
      <x:c r="M306" s="34" t="n">
        <x:v>0.645244</x:v>
      </x:c>
      <x:c r="N306" s="34" t="n">
        <x:v>0</x:v>
      </x:c>
      <x:c r="O306" s="34" t="n">
        <x:v>0.15</x:v>
      </x:c>
      <x:c r="P306" s="34" t="n">
        <x:v>0.1</x:v>
      </x:c>
      <x:c r="Q306" s="34" t="n">
        <x:v>0.2</x:v>
      </x:c>
      <x:c r="R306" s="34" t="n">
        <x:v>0.1</x:v>
      </x:c>
      <x:c r="S306" s="34" t="n">
        <x:v>0.01</x:v>
      </x:c>
      <x:c r="T306" s="34" t="n">
        <x:v>488.703943</x:v>
      </x:c>
      <x:c r="U306" s="34" t="str">
        <x:v>NS-EAST:H2_DRI_EAF:2034|NS-KANSAI:SCRAP_EAF:2036|NS-KYUSHU:H2_DRI_EAF:2029|NS-NAGOYA:H2_DRI_EAF:2032|NS-SETOUCHI:SCRAP_EAF:2038</x:v>
      </x:c>
      <x:c r="V306" s="34" t="str">
        <x:v>model_generated_candidate</x:v>
      </x:c>
      <x:c r="W306" s="34" t="str">
        <x:v>Generated from disclosed-path facility calendar, technology set and template contracting assumptions; not a company-announced project</x:v>
      </x:c>
    </x:row>
    <x:row r="307">
      <x:c r="A307" s="34" t="str">
        <x:v>CAND-29C30D2E9FA1DE</x:v>
      </x:c>
      <x:c r="B307" s="34" t="str">
        <x:v>NIPPON_STEEL_JP</x:v>
      </x:c>
      <x:c r="C307" s="34" t="str">
        <x:v>Nippon Steel</x:v>
      </x:c>
      <x:c r="D307" s="34" t="str">
        <x:v>P4</x:v>
      </x:c>
      <x:c r="E307" s="34" t="str">
        <x:v>균형형 전환</x:v>
      </x:c>
      <x:c r="F307" s="34" t="str">
        <x:v>PORT-DC48B7EC80A2</x:v>
      </x:c>
      <x:c r="G307" s="34" t="str">
        <x:v>DISCLOSED_PATH</x:v>
      </x:c>
      <x:c r="H307" s="34" t="n">
        <x:v>5</x:v>
      </x:c>
      <x:c r="I307" s="34" t="n">
        <x:v>2028</x:v>
      </x:c>
      <x:c r="J307" s="34" t="n">
        <x:v>2037</x:v>
      </x:c>
      <x:c r="K307" s="34" t="n">
        <x:v>0</x:v>
      </x:c>
      <x:c r="L307" s="34" t="n">
        <x:v>0.208226</x:v>
      </x:c>
      <x:c r="M307" s="34" t="n">
        <x:v>0.791774</x:v>
      </x:c>
      <x:c r="N307" s="34" t="n">
        <x:v>0</x:v>
      </x:c>
      <x:c r="O307" s="34" t="n">
        <x:v>0.5</x:v>
      </x:c>
      <x:c r="P307" s="34" t="n">
        <x:v>0.45</x:v>
      </x:c>
      <x:c r="Q307" s="34" t="n">
        <x:v>0.5</x:v>
      </x:c>
      <x:c r="R307" s="34" t="n">
        <x:v>0.4</x:v>
      </x:c>
      <x:c r="S307" s="34" t="n">
        <x:v>0.02</x:v>
      </x:c>
      <x:c r="T307" s="34" t="n">
        <x:v>551.768939</x:v>
      </x:c>
      <x:c r="U307" s="34" t="str">
        <x:v>NS-EAST:SCRAP_EAF:2033|NS-KANSAI:H2_DRI_EAF:2035|NS-KYUSHU:H2_DRI_EAF:2028|NS-NAGOYA:H2_DRI_EAF:2031|NS-SETOUCHI:H2_DRI_EAF:2037</x:v>
      </x:c>
      <x:c r="V307" s="34" t="str">
        <x:v>model_generated_candidate</x:v>
      </x:c>
      <x:c r="W307" s="34" t="str">
        <x:v>Generated from disclosed-path facility calendar, technology set and template contracting assumptions; not a company-announced project</x:v>
      </x:c>
    </x:row>
    <x:row r="308">
      <x:c r="A308" s="34" t="str">
        <x:v>CAND-2AD4473206AF0B</x:v>
      </x:c>
      <x:c r="B308" s="34" t="str">
        <x:v>NIPPON_STEEL_JP</x:v>
      </x:c>
      <x:c r="C308" s="34" t="str">
        <x:v>Nippon Steel</x:v>
      </x:c>
      <x:c r="D308" s="34" t="str">
        <x:v>P3</x:v>
      </x:c>
      <x:c r="E308" s="34" t="str">
        <x:v>균형형 라이트헤지</x:v>
      </x:c>
      <x:c r="F308" s="34" t="str">
        <x:v>PORT-C84D6A8C133A</x:v>
      </x:c>
      <x:c r="G308" s="34" t="str">
        <x:v>DISCLOSED_PATH</x:v>
      </x:c>
      <x:c r="H308" s="34" t="n">
        <x:v>5</x:v>
      </x:c>
      <x:c r="I308" s="34" t="n">
        <x:v>2029</x:v>
      </x:c>
      <x:c r="J308" s="34" t="n">
        <x:v>2038</x:v>
      </x:c>
      <x:c r="K308" s="34" t="n">
        <x:v>0.550129</x:v>
      </x:c>
      <x:c r="L308" s="34" t="n">
        <x:v>0</x:v>
      </x:c>
      <x:c r="M308" s="34" t="n">
        <x:v>0.449871</x:v>
      </x:c>
      <x:c r="N308" s="34" t="n">
        <x:v>0</x:v>
      </x:c>
      <x:c r="O308" s="34" t="n">
        <x:v>0.3</x:v>
      </x:c>
      <x:c r="P308" s="34" t="n">
        <x:v>0.25</x:v>
      </x:c>
      <x:c r="Q308" s="34" t="n">
        <x:v>0.35</x:v>
      </x:c>
      <x:c r="R308" s="34" t="n">
        <x:v>0.25</x:v>
      </x:c>
      <x:c r="S308" s="34" t="n">
        <x:v>0.015</x:v>
      </x:c>
      <x:c r="T308" s="34" t="n">
        <x:v>272.288958</x:v>
      </x:c>
      <x:c r="U308" s="34" t="str">
        <x:v>NS-EAST:BF_RELINE:2034|NS-KANSAI:BF_RELINE:2036|NS-KYUSHU:H2_DRI_EAF:2029|NS-NAGOYA:BF_RELINE:2032|NS-SETOUCHI:H2_DRI_EAF:2038</x:v>
      </x:c>
      <x:c r="V308" s="34" t="str">
        <x:v>model_generated_candidate</x:v>
      </x:c>
      <x:c r="W308" s="34" t="str">
        <x:v>Generated from disclosed-path facility calendar, technology set and template contracting assumptions; not a company-announced project</x:v>
      </x:c>
    </x:row>
    <x:row r="309">
      <x:c r="A309" s="34" t="str">
        <x:v>CAND-2B06EEF01C226E</x:v>
      </x:c>
      <x:c r="B309" s="34" t="str">
        <x:v>NIPPON_STEEL_JP</x:v>
      </x:c>
      <x:c r="C309" s="34" t="str">
        <x:v>Nippon Steel</x:v>
      </x:c>
      <x:c r="D309" s="34" t="str">
        <x:v>P1</x:v>
      </x:c>
      <x:c r="E309" s="34" t="str">
        <x:v>지연·현물조달</x:v>
      </x:c>
      <x:c r="F309" s="34" t="str">
        <x:v>PORT-060F7B7B1610</x:v>
      </x:c>
      <x:c r="G309" s="34" t="str">
        <x:v>DISCLOSED_PATH</x:v>
      </x:c>
      <x:c r="H309" s="34" t="n">
        <x:v>5</x:v>
      </x:c>
      <x:c r="I309" s="34" t="n">
        <x:v>2029</x:v>
      </x:c>
      <x:c r="J309" s="34" t="n">
        <x:v>2038</x:v>
      </x:c>
      <x:c r="K309" s="34" t="n">
        <x:v>0.465296</x:v>
      </x:c>
      <x:c r="L309" s="34" t="n">
        <x:v>0</x:v>
      </x:c>
      <x:c r="M309" s="34" t="n">
        <x:v>0.534704</x:v>
      </x:c>
      <x:c r="N309" s="34" t="n">
        <x:v>0</x:v>
      </x:c>
      <x:c r="O309" s="34" t="n">
        <x:v>0</x:v>
      </x:c>
      <x:c r="P309" s="34" t="n">
        <x:v>0</x:v>
      </x:c>
      <x:c r="Q309" s="34" t="n">
        <x:v>0.1</x:v>
      </x:c>
      <x:c r="R309" s="34" t="n">
        <x:v>0</x:v>
      </x:c>
      <x:c r="S309" s="34" t="n">
        <x:v>0</x:v>
      </x:c>
      <x:c r="T309" s="34" t="n">
        <x:v>231.148933</x:v>
      </x:c>
      <x:c r="U309" s="34" t="str">
        <x:v>NS-EAST:BF_RELINE:2034|NS-KANSAI:H2_DRI_EAF:2036|NS-KYUSHU:BF_RELINE:2029|NS-NAGOYA:H2_DRI_EAF:2032|NS-SETOUCHI:H2_DRI_EAF:2038</x:v>
      </x:c>
      <x:c r="V309" s="34" t="str">
        <x:v>model_generated_candidate</x:v>
      </x:c>
      <x:c r="W309" s="34" t="str">
        <x:v>Generated from disclosed-path facility calendar, technology set and template contracting assumptions; not a company-announced project</x:v>
      </x:c>
    </x:row>
    <x:row r="310">
      <x:c r="A310" s="34" t="str">
        <x:v>CAND-2B0C0B4A02AA29</x:v>
      </x:c>
      <x:c r="B310" s="34" t="str">
        <x:v>NIPPON_STEEL_JP</x:v>
      </x:c>
      <x:c r="C310" s="34" t="str">
        <x:v>Nippon Steel</x:v>
      </x:c>
      <x:c r="D310" s="34" t="str">
        <x:v>P3</x:v>
      </x:c>
      <x:c r="E310" s="34" t="str">
        <x:v>균형형 라이트헤지</x:v>
      </x:c>
      <x:c r="F310" s="34" t="str">
        <x:v>PORT-4B5687E526DA</x:v>
      </x:c>
      <x:c r="G310" s="34" t="str">
        <x:v>DISCLOSED_PATH</x:v>
      </x:c>
      <x:c r="H310" s="34" t="n">
        <x:v>5</x:v>
      </x:c>
      <x:c r="I310" s="34" t="n">
        <x:v>2029</x:v>
      </x:c>
      <x:c r="J310" s="34" t="n">
        <x:v>2038</x:v>
      </x:c>
      <x:c r="K310" s="34" t="n">
        <x:v>0.465296</x:v>
      </x:c>
      <x:c r="L310" s="34" t="n">
        <x:v>0.161954</x:v>
      </x:c>
      <x:c r="M310" s="34" t="n">
        <x:v>0.372751</x:v>
      </x:c>
      <x:c r="N310" s="34" t="n">
        <x:v>0</x:v>
      </x:c>
      <x:c r="O310" s="34" t="n">
        <x:v>0.3</x:v>
      </x:c>
      <x:c r="P310" s="34" t="n">
        <x:v>0.25</x:v>
      </x:c>
      <x:c r="Q310" s="34" t="n">
        <x:v>0.35</x:v>
      </x:c>
      <x:c r="R310" s="34" t="n">
        <x:v>0.25</x:v>
      </x:c>
      <x:c r="S310" s="34" t="n">
        <x:v>0.015</x:v>
      </x:c>
      <x:c r="T310" s="34" t="n">
        <x:v>224.148932</x:v>
      </x:c>
      <x:c r="U310" s="34" t="str">
        <x:v>NS-EAST:BF_RELINE:2034|NS-KANSAI:SCRAP_EAF:2036|NS-KYUSHU:BF_RELINE:2029|NS-NAGOYA:H2_DRI_EAF:2032|NS-SETOUCHI:H2_DRI_EAF:2038</x:v>
      </x:c>
      <x:c r="V310" s="34" t="str">
        <x:v>model_generated_candidate</x:v>
      </x:c>
      <x:c r="W310" s="34" t="str">
        <x:v>Generated from disclosed-path facility calendar, technology set and template contracting assumptions; not a company-announced project</x:v>
      </x:c>
    </x:row>
    <x:row r="311">
      <x:c r="A311" s="34" t="str">
        <x:v>CAND-2D4275A1A87901</x:v>
      </x:c>
      <x:c r="B311" s="34" t="str">
        <x:v>NIPPON_STEEL_JP</x:v>
      </x:c>
      <x:c r="C311" s="34" t="str">
        <x:v>Nippon Steel</x:v>
      </x:c>
      <x:c r="D311" s="34" t="str">
        <x:v>P1</x:v>
      </x:c>
      <x:c r="E311" s="34" t="str">
        <x:v>지연·현물조달</x:v>
      </x:c>
      <x:c r="F311" s="34" t="str">
        <x:v>PORT-7CC9F6AA7C42</x:v>
      </x:c>
      <x:c r="G311" s="34" t="str">
        <x:v>DISCLOSED_PATH</x:v>
      </x:c>
      <x:c r="H311" s="34" t="n">
        <x:v>5</x:v>
      </x:c>
      <x:c r="I311" s="34" t="n">
        <x:v>2029</x:v>
      </x:c>
      <x:c r="J311" s="34" t="n">
        <x:v>2038</x:v>
      </x:c>
      <x:c r="K311" s="34" t="n">
        <x:v>0.192802</x:v>
      </x:c>
      <x:c r="L311" s="34" t="n">
        <x:v>0.161954</x:v>
      </x:c>
      <x:c r="M311" s="34" t="n">
        <x:v>0.645244</x:v>
      </x:c>
      <x:c r="N311" s="34" t="n">
        <x:v>0</x:v>
      </x:c>
      <x:c r="O311" s="34" t="n">
        <x:v>0</x:v>
      </x:c>
      <x:c r="P311" s="34" t="n">
        <x:v>0</x:v>
      </x:c>
      <x:c r="Q311" s="34" t="n">
        <x:v>0.1</x:v>
      </x:c>
      <x:c r="R311" s="34" t="n">
        <x:v>0</x:v>
      </x:c>
      <x:c r="S311" s="34" t="n">
        <x:v>0</x:v>
      </x:c>
      <x:c r="T311" s="34" t="n">
        <x:v>461.298943</x:v>
      </x:c>
      <x:c r="U311" s="34" t="str">
        <x:v>NS-EAST:H2_DRI_EAF:2034|NS-KANSAI:SCRAP_EAF:2036|NS-KYUSHU:H2_DRI_EAF:2029|NS-NAGOYA:H2_DRI_EAF:2032|NS-SETOUCHI:BF_RELINE:2038</x:v>
      </x:c>
      <x:c r="V311" s="34" t="str">
        <x:v>model_generated_candidate</x:v>
      </x:c>
      <x:c r="W311" s="34" t="str">
        <x:v>Generated from disclosed-path facility calendar, technology set and template contracting assumptions; not a company-announced project</x:v>
      </x:c>
    </x:row>
    <x:row r="312">
      <x:c r="A312" s="34" t="str">
        <x:v>CAND-2DB3DA11F18C0B</x:v>
      </x:c>
      <x:c r="B312" s="34" t="str">
        <x:v>NIPPON_STEEL_JP</x:v>
      </x:c>
      <x:c r="C312" s="34" t="str">
        <x:v>Nippon Steel</x:v>
      </x:c>
      <x:c r="D312" s="34" t="str">
        <x:v>P2</x:v>
      </x:c>
      <x:c r="E312" s="34" t="str">
        <x:v>지연·부분헤지</x:v>
      </x:c>
      <x:c r="F312" s="34" t="str">
        <x:v>PORT-FD7D021B62CB</x:v>
      </x:c>
      <x:c r="G312" s="34" t="str">
        <x:v>DISCLOSED_PATH</x:v>
      </x:c>
      <x:c r="H312" s="34" t="n">
        <x:v>5</x:v>
      </x:c>
      <x:c r="I312" s="34" t="n">
        <x:v>2029</x:v>
      </x:c>
      <x:c r="J312" s="34" t="n">
        <x:v>2038</x:v>
      </x:c>
      <x:c r="K312" s="34" t="n">
        <x:v>0.257069</x:v>
      </x:c>
      <x:c r="L312" s="34" t="n">
        <x:v>0.388175</x:v>
      </x:c>
      <x:c r="M312" s="34" t="n">
        <x:v>0.354756</x:v>
      </x:c>
      <x:c r="N312" s="34" t="n">
        <x:v>0</x:v>
      </x:c>
      <x:c r="O312" s="34" t="n">
        <x:v>0.15</x:v>
      </x:c>
      <x:c r="P312" s="34" t="n">
        <x:v>0.1</x:v>
      </x:c>
      <x:c r="Q312" s="34" t="n">
        <x:v>0.2</x:v>
      </x:c>
      <x:c r="R312" s="34" t="n">
        <x:v>0.1</x:v>
      </x:c>
      <x:c r="S312" s="34" t="n">
        <x:v>0.01</x:v>
      </x:c>
      <x:c r="T312" s="34" t="n">
        <x:v>290.278947</x:v>
      </x:c>
      <x:c r="U312" s="34" t="str">
        <x:v>NS-EAST:SCRAP_EAF:2034|NS-KANSAI:H2_DRI_EAF:2036|NS-KYUSHU:BF_RELINE:2029|NS-NAGOYA:SCRAP_EAF:2032|NS-SETOUCHI:H2_DRI_EAF:2038</x:v>
      </x:c>
      <x:c r="V312" s="34" t="str">
        <x:v>model_generated_candidate</x:v>
      </x:c>
      <x:c r="W312" s="34" t="str">
        <x:v>Generated from disclosed-path facility calendar, technology set and template contracting assumptions; not a company-announced project</x:v>
      </x:c>
    </x:row>
    <x:row r="313">
      <x:c r="A313" s="34" t="str">
        <x:v>CAND-2DEBC8763F0F23</x:v>
      </x:c>
      <x:c r="B313" s="34" t="str">
        <x:v>NIPPON_STEEL_JP</x:v>
      </x:c>
      <x:c r="C313" s="34" t="str">
        <x:v>Nippon Steel</x:v>
      </x:c>
      <x:c r="D313" s="34" t="str">
        <x:v>P1</x:v>
      </x:c>
      <x:c r="E313" s="34" t="str">
        <x:v>지연·현물조달</x:v>
      </x:c>
      <x:c r="F313" s="34" t="str">
        <x:v>PORT-F62C0446471A</x:v>
      </x:c>
      <x:c r="G313" s="34" t="str">
        <x:v>DISCLOSED_PATH</x:v>
      </x:c>
      <x:c r="H313" s="34" t="n">
        <x:v>5</x:v>
      </x:c>
      <x:c r="I313" s="34" t="n">
        <x:v>2029</x:v>
      </x:c>
      <x:c r="J313" s="34" t="n">
        <x:v>2038</x:v>
      </x:c>
      <x:c r="K313" s="34" t="n">
        <x:v>0.465296</x:v>
      </x:c>
      <x:c r="L313" s="34" t="n">
        <x:v>0.534704</x:v>
      </x:c>
      <x:c r="M313" s="34" t="n">
        <x:v>0</x:v>
      </x:c>
      <x:c r="N313" s="34" t="n">
        <x:v>0</x:v>
      </x:c>
      <x:c r="O313" s="34" t="n">
        <x:v>0</x:v>
      </x:c>
      <x:c r="P313" s="34" t="n">
        <x:v>0</x:v>
      </x:c>
      <x:c r="Q313" s="34" t="n">
        <x:v>0.1</x:v>
      </x:c>
      <x:c r="R313" s="34" t="n">
        <x:v>0</x:v>
      </x:c>
      <x:c r="S313" s="34" t="n">
        <x:v>0</x:v>
      </x:c>
      <x:c r="T313" s="34" t="n">
        <x:v>205.473937</x:v>
      </x:c>
      <x:c r="U313" s="34" t="str">
        <x:v>NS-EAST:BF_RELINE:2034|NS-KANSAI:SCRAP_EAF:2036|NS-KYUSHU:BF_RELINE:2029|NS-NAGOYA:SCRAP_EAF:2032|NS-SETOUCHI:SCRAP_EAF:2038</x:v>
      </x:c>
      <x:c r="V313" s="34" t="str">
        <x:v>model_generated_candidate</x:v>
      </x:c>
      <x:c r="W313" s="34" t="str">
        <x:v>Generated from disclosed-path facility calendar, technology set and template contracting assumptions; not a company-announced project</x:v>
      </x:c>
    </x:row>
    <x:row r="314">
      <x:c r="A314" s="34" t="str">
        <x:v>CAND-2E3E235F5F3F44</x:v>
      </x:c>
      <x:c r="B314" s="34" t="str">
        <x:v>NIPPON_STEEL_JP</x:v>
      </x:c>
      <x:c r="C314" s="34" t="str">
        <x:v>Nippon Steel</x:v>
      </x:c>
      <x:c r="D314" s="34" t="str">
        <x:v>P2</x:v>
      </x:c>
      <x:c r="E314" s="34" t="str">
        <x:v>지연·부분헤지</x:v>
      </x:c>
      <x:c r="F314" s="34" t="str">
        <x:v>PORT-0ACD636A8AEE</x:v>
      </x:c>
      <x:c r="G314" s="34" t="str">
        <x:v>DISCLOSED_PATH</x:v>
      </x:c>
      <x:c r="H314" s="34" t="n">
        <x:v>5</x:v>
      </x:c>
      <x:c r="I314" s="34" t="n">
        <x:v>2029</x:v>
      </x:c>
      <x:c r="J314" s="34" t="n">
        <x:v>2038</x:v>
      </x:c>
      <x:c r="K314" s="34" t="n">
        <x:v>0</x:v>
      </x:c>
      <x:c r="L314" s="34" t="n">
        <x:v>0.645244</x:v>
      </x:c>
      <x:c r="M314" s="34" t="n">
        <x:v>0.354756</x:v>
      </x:c>
      <x:c r="N314" s="34" t="n">
        <x:v>0</x:v>
      </x:c>
      <x:c r="O314" s="34" t="n">
        <x:v>0.15</x:v>
      </x:c>
      <x:c r="P314" s="34" t="n">
        <x:v>0.1</x:v>
      </x:c>
      <x:c r="Q314" s="34" t="n">
        <x:v>0.2</x:v>
      </x:c>
      <x:c r="R314" s="34" t="n">
        <x:v>0.1</x:v>
      </x:c>
      <x:c r="S314" s="34" t="n">
        <x:v>0.01</x:v>
      </x:c>
      <x:c r="T314" s="34" t="n">
        <x:v>446.878947</x:v>
      </x:c>
      <x:c r="U314" s="34" t="str">
        <x:v>NS-EAST:SCRAP_EAF:2034|NS-KANSAI:H2_DRI_EAF:2036|NS-KYUSHU:SCRAP_EAF:2029|NS-NAGOYA:SCRAP_EAF:2032|NS-SETOUCHI:H2_DRI_EAF:2038</x:v>
      </x:c>
      <x:c r="V314" s="34" t="str">
        <x:v>model_generated_candidate</x:v>
      </x:c>
      <x:c r="W314" s="34" t="str">
        <x:v>Generated from disclosed-path facility calendar, technology set and template contracting assumptions; not a company-announced project</x:v>
      </x:c>
    </x:row>
    <x:row r="315">
      <x:c r="A315" s="34" t="str">
        <x:v>CAND-2E3ED87CCF5A2D</x:v>
      </x:c>
      <x:c r="B315" s="34" t="str">
        <x:v>NIPPON_STEEL_JP</x:v>
      </x:c>
      <x:c r="C315" s="34" t="str">
        <x:v>Nippon Steel</x:v>
      </x:c>
      <x:c r="D315" s="34" t="str">
        <x:v>P2</x:v>
      </x:c>
      <x:c r="E315" s="34" t="str">
        <x:v>지연·부분헤지</x:v>
      </x:c>
      <x:c r="F315" s="34" t="str">
        <x:v>PORT-6595376D3E3B</x:v>
      </x:c>
      <x:c r="G315" s="34" t="str">
        <x:v>DISCLOSED_PATH</x:v>
      </x:c>
      <x:c r="H315" s="34" t="n">
        <x:v>5</x:v>
      </x:c>
      <x:c r="I315" s="34" t="n">
        <x:v>2029</x:v>
      </x:c>
      <x:c r="J315" s="34" t="n">
        <x:v>2038</x:v>
      </x:c>
      <x:c r="K315" s="34" t="n">
        <x:v>0</x:v>
      </x:c>
      <x:c r="L315" s="34" t="n">
        <x:v>0.37018</x:v>
      </x:c>
      <x:c r="M315" s="34" t="n">
        <x:v>0.62982</x:v>
      </x:c>
      <x:c r="N315" s="34" t="n">
        <x:v>0</x:v>
      </x:c>
      <x:c r="O315" s="34" t="n">
        <x:v>0.15</x:v>
      </x:c>
      <x:c r="P315" s="34" t="n">
        <x:v>0.1</x:v>
      </x:c>
      <x:c r="Q315" s="34" t="n">
        <x:v>0.2</x:v>
      </x:c>
      <x:c r="R315" s="34" t="n">
        <x:v>0.1</x:v>
      </x:c>
      <x:c r="S315" s="34" t="n">
        <x:v>0.01</x:v>
      </x:c>
      <x:c r="T315" s="34" t="n">
        <x:v>480.828942</x:v>
      </x:c>
      <x:c r="U315" s="34" t="str">
        <x:v>NS-EAST:SCRAP_EAF:2034|NS-KANSAI:SCRAP_EAF:2036|NS-KYUSHU:H2_DRI_EAF:2029|NS-NAGOYA:H2_DRI_EAF:2032|NS-SETOUCHI:H2_DRI_EAF:2038</x:v>
      </x:c>
      <x:c r="V315" s="34" t="str">
        <x:v>model_generated_candidate</x:v>
      </x:c>
      <x:c r="W315" s="34" t="str">
        <x:v>Generated from disclosed-path facility calendar, technology set and template contracting assumptions; not a company-announced project</x:v>
      </x:c>
    </x:row>
    <x:row r="316">
      <x:c r="A316" s="34" t="str">
        <x:v>CAND-2E55262F36E739</x:v>
      </x:c>
      <x:c r="B316" s="34" t="str">
        <x:v>NIPPON_STEEL_JP</x:v>
      </x:c>
      <x:c r="C316" s="34" t="str">
        <x:v>Nippon Steel</x:v>
      </x:c>
      <x:c r="D316" s="34" t="str">
        <x:v>P1</x:v>
      </x:c>
      <x:c r="E316" s="34" t="str">
        <x:v>지연·현물조달</x:v>
      </x:c>
      <x:c r="F316" s="34" t="str">
        <x:v>PORT-2B4B7B3B418B</x:v>
      </x:c>
      <x:c r="G316" s="34" t="str">
        <x:v>DISCLOSED_PATH</x:v>
      </x:c>
      <x:c r="H316" s="34" t="n">
        <x:v>5</x:v>
      </x:c>
      <x:c r="I316" s="34" t="n">
        <x:v>2029</x:v>
      </x:c>
      <x:c r="J316" s="34" t="n">
        <x:v>2038</x:v>
      </x:c>
      <x:c r="K316" s="34" t="n">
        <x:v>0.401028</x:v>
      </x:c>
      <x:c r="L316" s="34" t="n">
        <x:v>0.161954</x:v>
      </x:c>
      <x:c r="M316" s="34" t="n">
        <x:v>0.437018</x:v>
      </x:c>
      <x:c r="N316" s="34" t="n">
        <x:v>0</x:v>
      </x:c>
      <x:c r="O316" s="34" t="n">
        <x:v>0</x:v>
      </x:c>
      <x:c r="P316" s="34" t="n">
        <x:v>0</x:v>
      </x:c>
      <x:c r="Q316" s="34" t="n">
        <x:v>0.1</x:v>
      </x:c>
      <x:c r="R316" s="34" t="n">
        <x:v>0</x:v>
      </x:c>
      <x:c r="S316" s="34" t="n">
        <x:v>0</x:v>
      </x:c>
      <x:c r="T316" s="34" t="n">
        <x:v>375.618932</x:v>
      </x:c>
      <x:c r="U316" s="34" t="str">
        <x:v>NS-EAST:BF_RELINE:2034|NS-KANSAI:SCRAP_EAF:2036|NS-KYUSHU:H2_DRI_EAF:2029|NS-NAGOYA:H2_DRI_EAF:2032|NS-SETOUCHI:BF_RELINE:2038</x:v>
      </x:c>
      <x:c r="V316" s="34" t="str">
        <x:v>model_generated_candidate</x:v>
      </x:c>
      <x:c r="W316" s="34" t="str">
        <x:v>Generated from disclosed-path facility calendar, technology set and template contracting assumptions; not a company-announced project</x:v>
      </x:c>
    </x:row>
    <x:row r="317">
      <x:c r="A317" s="34" t="str">
        <x:v>CAND-2F283E1A1F6910</x:v>
      </x:c>
      <x:c r="B317" s="34" t="str">
        <x:v>NIPPON_STEEL_JP</x:v>
      </x:c>
      <x:c r="C317" s="34" t="str">
        <x:v>Nippon Steel</x:v>
      </x:c>
      <x:c r="D317" s="34" t="str">
        <x:v>P2</x:v>
      </x:c>
      <x:c r="E317" s="34" t="str">
        <x:v>지연·부분헤지</x:v>
      </x:c>
      <x:c r="F317" s="34" t="str">
        <x:v>PORT-057E98E0E9FE</x:v>
      </x:c>
      <x:c r="G317" s="34" t="str">
        <x:v>DISCLOSED_PATH</x:v>
      </x:c>
      <x:c r="H317" s="34" t="n">
        <x:v>5</x:v>
      </x:c>
      <x:c r="I317" s="34" t="n">
        <x:v>2029</x:v>
      </x:c>
      <x:c r="J317" s="34" t="n">
        <x:v>2038</x:v>
      </x:c>
      <x:c r="K317" s="34" t="n">
        <x:v>0.388175</x:v>
      </x:c>
      <x:c r="L317" s="34" t="n">
        <x:v>0.354756</x:v>
      </x:c>
      <x:c r="M317" s="34" t="n">
        <x:v>0.257069</x:v>
      </x:c>
      <x:c r="N317" s="34" t="n">
        <x:v>0</x:v>
      </x:c>
      <x:c r="O317" s="34" t="n">
        <x:v>0.15</x:v>
      </x:c>
      <x:c r="P317" s="34" t="n">
        <x:v>0.1</x:v>
      </x:c>
      <x:c r="Q317" s="34" t="n">
        <x:v>0.2</x:v>
      </x:c>
      <x:c r="R317" s="34" t="n">
        <x:v>0.1</x:v>
      </x:c>
      <x:c r="S317" s="34" t="n">
        <x:v>0.01</x:v>
      </x:c>
      <x:c r="T317" s="34" t="n">
        <x:v>308.163963</x:v>
      </x:c>
      <x:c r="U317" s="34" t="str">
        <x:v>NS-EAST:BF_RELINE:2034|NS-KANSAI:SCRAP_EAF:2036|NS-KYUSHU:H2_DRI_EAF:2029|NS-NAGOYA:BF_RELINE:2032|NS-SETOUCHI:SCRAP_EAF:2038</x:v>
      </x:c>
      <x:c r="V317" s="34" t="str">
        <x:v>model_generated_candidate</x:v>
      </x:c>
      <x:c r="W317" s="34" t="str">
        <x:v>Generated from disclosed-path facility calendar, technology set and template contracting assumptions; not a company-announced project</x:v>
      </x:c>
    </x:row>
    <x:row r="318">
      <x:c r="A318" s="34" t="str">
        <x:v>CAND-31390EC55355BC</x:v>
      </x:c>
      <x:c r="B318" s="34" t="str">
        <x:v>NIPPON_STEEL_JP</x:v>
      </x:c>
      <x:c r="C318" s="34" t="str">
        <x:v>Nippon Steel</x:v>
      </x:c>
      <x:c r="D318" s="34" t="str">
        <x:v>P1</x:v>
      </x:c>
      <x:c r="E318" s="34" t="str">
        <x:v>지연·현물조달</x:v>
      </x:c>
      <x:c r="F318" s="34" t="str">
        <x:v>PORT-BE01C0E85B02</x:v>
      </x:c>
      <x:c r="G318" s="34" t="str">
        <x:v>DISCLOSED_PATH</x:v>
      </x:c>
      <x:c r="H318" s="34" t="n">
        <x:v>5</x:v>
      </x:c>
      <x:c r="I318" s="34" t="n">
        <x:v>2029</x:v>
      </x:c>
      <x:c r="J318" s="34" t="n">
        <x:v>2038</x:v>
      </x:c>
      <x:c r="K318" s="34" t="n">
        <x:v>0.208226</x:v>
      </x:c>
      <x:c r="L318" s="34" t="n">
        <x:v>0.341902</x:v>
      </x:c>
      <x:c r="M318" s="34" t="n">
        <x:v>0.449871</x:v>
      </x:c>
      <x:c r="N318" s="34" t="n">
        <x:v>0</x:v>
      </x:c>
      <x:c r="O318" s="34" t="n">
        <x:v>0</x:v>
      </x:c>
      <x:c r="P318" s="34" t="n">
        <x:v>0</x:v>
      </x:c>
      <x:c r="Q318" s="34" t="n">
        <x:v>0.1</x:v>
      </x:c>
      <x:c r="R318" s="34" t="n">
        <x:v>0</x:v>
      </x:c>
      <x:c r="S318" s="34" t="n">
        <x:v>0</x:v>
      </x:c>
      <x:c r="T318" s="34" t="n">
        <x:v>393.798937</x:v>
      </x:c>
      <x:c r="U318" s="34" t="str">
        <x:v>NS-EAST:BF_RELINE:2034|NS-KANSAI:SCRAP_EAF:2036|NS-KYUSHU:H2_DRI_EAF:2029|NS-NAGOYA:SCRAP_EAF:2032|NS-SETOUCHI:H2_DRI_EAF:2038</x:v>
      </x:c>
      <x:c r="V318" s="34" t="str">
        <x:v>model_generated_candidate</x:v>
      </x:c>
      <x:c r="W318" s="34" t="str">
        <x:v>Generated from disclosed-path facility calendar, technology set and template contracting assumptions; not a company-announced project</x:v>
      </x:c>
    </x:row>
    <x:row r="319">
      <x:c r="A319" s="34" t="str">
        <x:v>CAND-3194B472DF5DEB</x:v>
      </x:c>
      <x:c r="B319" s="34" t="str">
        <x:v>NIPPON_STEEL_JP</x:v>
      </x:c>
      <x:c r="C319" s="34" t="str">
        <x:v>Nippon Steel</x:v>
      </x:c>
      <x:c r="D319" s="34" t="str">
        <x:v>P6</x:v>
      </x:c>
      <x:c r="E319" s="34" t="str">
        <x:v>조기 고헤지</x:v>
      </x:c>
      <x:c r="F319" s="34" t="str">
        <x:v>PORT-973ADE455C53</x:v>
      </x:c>
      <x:c r="G319" s="34" t="str">
        <x:v>DISCLOSED_PATH</x:v>
      </x:c>
      <x:c r="H319" s="34" t="n">
        <x:v>5</x:v>
      </x:c>
      <x:c r="I319" s="34" t="n">
        <x:v>2028</x:v>
      </x:c>
      <x:c r="J319" s="34" t="n">
        <x:v>2036</x:v>
      </x:c>
      <x:c r="K319" s="34" t="n">
        <x:v>0</x:v>
      </x:c>
      <x:c r="L319" s="34" t="n">
        <x:v>0.179949</x:v>
      </x:c>
      <x:c r="M319" s="34" t="n">
        <x:v>0.820051</x:v>
      </x:c>
      <x:c r="N319" s="34" t="n">
        <x:v>0</x:v>
      </x:c>
      <x:c r="O319" s="34" t="n">
        <x:v>0.9</x:v>
      </x:c>
      <x:c r="P319" s="34" t="n">
        <x:v>0.85</x:v>
      </x:c>
      <x:c r="Q319" s="34" t="n">
        <x:v>0.85</x:v>
      </x:c>
      <x:c r="R319" s="34" t="n">
        <x:v>0.8</x:v>
      </x:c>
      <x:c r="S319" s="34" t="n">
        <x:v>0.035</x:v>
      </x:c>
      <x:c r="T319" s="34" t="n">
        <x:v>597.609381</x:v>
      </x:c>
      <x:c r="U319" s="34" t="str">
        <x:v>NS-EAST:H2_DRI_EAF:2032|NS-KANSAI:H2_DRI_EAF:2034|NS-KYUSHU:H2_DRI_EAF:2028|NS-NAGOYA:SCRAP_EAF:2030|NS-SETOUCHI:H2_DRI_EAF:2036</x:v>
      </x:c>
      <x:c r="V319" s="34" t="str">
        <x:v>model_generated_candidate</x:v>
      </x:c>
      <x:c r="W319" s="34" t="str">
        <x:v>Generated from disclosed-path facility calendar, technology set and template contracting assumptions; not a company-announced project</x:v>
      </x:c>
    </x:row>
    <x:row r="320">
      <x:c r="A320" s="34" t="str">
        <x:v>CAND-32B1C4DEC95227</x:v>
      </x:c>
      <x:c r="B320" s="34" t="str">
        <x:v>NIPPON_STEEL_JP</x:v>
      </x:c>
      <x:c r="C320" s="34" t="str">
        <x:v>Nippon Steel</x:v>
      </x:c>
      <x:c r="D320" s="34" t="str">
        <x:v>P3</x:v>
      </x:c>
      <x:c r="E320" s="34" t="str">
        <x:v>균형형 라이트헤지</x:v>
      </x:c>
      <x:c r="F320" s="34" t="str">
        <x:v>PORT-0ACD636A8AEE</x:v>
      </x:c>
      <x:c r="G320" s="34" t="str">
        <x:v>DISCLOSED_PATH</x:v>
      </x:c>
      <x:c r="H320" s="34" t="n">
        <x:v>5</x:v>
      </x:c>
      <x:c r="I320" s="34" t="n">
        <x:v>2029</x:v>
      </x:c>
      <x:c r="J320" s="34" t="n">
        <x:v>2038</x:v>
      </x:c>
      <x:c r="K320" s="34" t="n">
        <x:v>0</x:v>
      </x:c>
      <x:c r="L320" s="34" t="n">
        <x:v>0.645244</x:v>
      </x:c>
      <x:c r="M320" s="34" t="n">
        <x:v>0.354756</x:v>
      </x:c>
      <x:c r="N320" s="34" t="n">
        <x:v>0</x:v>
      </x:c>
      <x:c r="O320" s="34" t="n">
        <x:v>0.3</x:v>
      </x:c>
      <x:c r="P320" s="34" t="n">
        <x:v>0.25</x:v>
      </x:c>
      <x:c r="Q320" s="34" t="n">
        <x:v>0.35</x:v>
      </x:c>
      <x:c r="R320" s="34" t="n">
        <x:v>0.25</x:v>
      </x:c>
      <x:c r="S320" s="34" t="n">
        <x:v>0.015</x:v>
      </x:c>
      <x:c r="T320" s="34" t="n">
        <x:v>446.878947</x:v>
      </x:c>
      <x:c r="U320" s="34" t="str">
        <x:v>NS-EAST:SCRAP_EAF:2034|NS-KANSAI:H2_DRI_EAF:2036|NS-KYUSHU:SCRAP_EAF:2029|NS-NAGOYA:SCRAP_EAF:2032|NS-SETOUCHI:H2_DRI_EAF:2038</x:v>
      </x:c>
      <x:c r="V320" s="34" t="str">
        <x:v>model_generated_candidate</x:v>
      </x:c>
      <x:c r="W320" s="34" t="str">
        <x:v>Generated from disclosed-path facility calendar, technology set and template contracting assumptions; not a company-announced project</x:v>
      </x:c>
    </x:row>
    <x:row r="321">
      <x:c r="A321" s="34" t="str">
        <x:v>CAND-32DE0C06BF2435</x:v>
      </x:c>
      <x:c r="B321" s="34" t="str">
        <x:v>NIPPON_STEEL_JP</x:v>
      </x:c>
      <x:c r="C321" s="34" t="str">
        <x:v>Nippon Steel</x:v>
      </x:c>
      <x:c r="D321" s="34" t="str">
        <x:v>P3</x:v>
      </x:c>
      <x:c r="E321" s="34" t="str">
        <x:v>균형형 라이트헤지</x:v>
      </x:c>
      <x:c r="F321" s="34" t="str">
        <x:v>PORT-7DC6DDA55D96</x:v>
      </x:c>
      <x:c r="G321" s="34" t="str">
        <x:v>DISCLOSED_PATH</x:v>
      </x:c>
      <x:c r="H321" s="34" t="n">
        <x:v>5</x:v>
      </x:c>
      <x:c r="I321" s="34" t="n">
        <x:v>2029</x:v>
      </x:c>
      <x:c r="J321" s="34" t="n">
        <x:v>2038</x:v>
      </x:c>
      <x:c r="K321" s="34" t="n">
        <x:v>0.437018</x:v>
      </x:c>
      <x:c r="L321" s="34" t="n">
        <x:v>0.208226</x:v>
      </x:c>
      <x:c r="M321" s="34" t="n">
        <x:v>0.354756</x:v>
      </x:c>
      <x:c r="N321" s="34" t="n">
        <x:v>0</x:v>
      </x:c>
      <x:c r="O321" s="34" t="n">
        <x:v>0.3</x:v>
      </x:c>
      <x:c r="P321" s="34" t="n">
        <x:v>0.25</x:v>
      </x:c>
      <x:c r="Q321" s="34" t="n">
        <x:v>0.35</x:v>
      </x:c>
      <x:c r="R321" s="34" t="n">
        <x:v>0.25</x:v>
      </x:c>
      <x:c r="S321" s="34" t="n">
        <x:v>0.015</x:v>
      </x:c>
      <x:c r="T321" s="34" t="n">
        <x:v>209.368973</x:v>
      </x:c>
      <x:c r="U321" s="34" t="str">
        <x:v>NS-EAST:SCRAP_EAF:2034|NS-KANSAI:H2_DRI_EAF:2036|NS-KYUSHU:BF_RELINE:2029|NS-NAGOYA:BF_RELINE:2032|NS-SETOUCHI:H2_DRI_EAF:2038</x:v>
      </x:c>
      <x:c r="V321" s="34" t="str">
        <x:v>model_generated_candidate</x:v>
      </x:c>
      <x:c r="W321" s="34" t="str">
        <x:v>Generated from disclosed-path facility calendar, technology set and template contracting assumptions; not a company-announced project</x:v>
      </x:c>
    </x:row>
    <x:row r="322">
      <x:c r="A322" s="34" t="str">
        <x:v>CAND-33480771F67BD6</x:v>
      </x:c>
      <x:c r="B322" s="34" t="str">
        <x:v>NIPPON_STEEL_JP</x:v>
      </x:c>
      <x:c r="C322" s="34" t="str">
        <x:v>Nippon Steel</x:v>
      </x:c>
      <x:c r="D322" s="34" t="str">
        <x:v>P2</x:v>
      </x:c>
      <x:c r="E322" s="34" t="str">
        <x:v>지연·부분헤지</x:v>
      </x:c>
      <x:c r="F322" s="34" t="str">
        <x:v>PORT-5DE4D9A04480</x:v>
      </x:c>
      <x:c r="G322" s="34" t="str">
        <x:v>DISCLOSED_PATH</x:v>
      </x:c>
      <x:c r="H322" s="34" t="n">
        <x:v>5</x:v>
      </x:c>
      <x:c r="I322" s="34" t="n">
        <x:v>2029</x:v>
      </x:c>
      <x:c r="J322" s="34" t="n">
        <x:v>2038</x:v>
      </x:c>
      <x:c r="K322" s="34" t="n">
        <x:v>0</x:v>
      </x:c>
      <x:c r="L322" s="34" t="n">
        <x:v>0.611825</x:v>
      </x:c>
      <x:c r="M322" s="34" t="n">
        <x:v>0.388175</x:v>
      </x:c>
      <x:c r="N322" s="34" t="n">
        <x:v>0</x:v>
      </x:c>
      <x:c r="O322" s="34" t="n">
        <x:v>0.15</x:v>
      </x:c>
      <x:c r="P322" s="34" t="n">
        <x:v>0.1</x:v>
      </x:c>
      <x:c r="Q322" s="34" t="n">
        <x:v>0.2</x:v>
      </x:c>
      <x:c r="R322" s="34" t="n">
        <x:v>0.1</x:v>
      </x:c>
      <x:c r="S322" s="34" t="n">
        <x:v>0.01</x:v>
      </x:c>
      <x:c r="T322" s="34" t="n">
        <x:v>461.703943</x:v>
      </x:c>
      <x:c r="U322" s="34" t="str">
        <x:v>NS-EAST:H2_DRI_EAF:2034|NS-KANSAI:SCRAP_EAF:2036|NS-KYUSHU:SCRAP_EAF:2029|NS-NAGOYA:H2_DRI_EAF:2032|NS-SETOUCHI:SCRAP_EAF:2038</x:v>
      </x:c>
      <x:c r="V322" s="34" t="str">
        <x:v>model_generated_candidate</x:v>
      </x:c>
      <x:c r="W322" s="34" t="str">
        <x:v>Generated from disclosed-path facility calendar, technology set and template contracting assumptions; not a company-announced project</x:v>
      </x:c>
    </x:row>
    <x:row r="323">
      <x:c r="A323" s="34" t="str">
        <x:v>CAND-34D323983B26A7</x:v>
      </x:c>
      <x:c r="B323" s="34" t="str">
        <x:v>NIPPON_STEEL_JP</x:v>
      </x:c>
      <x:c r="C323" s="34" t="str">
        <x:v>Nippon Steel</x:v>
      </x:c>
      <x:c r="D323" s="34" t="str">
        <x:v>P4</x:v>
      </x:c>
      <x:c r="E323" s="34" t="str">
        <x:v>균형형 전환</x:v>
      </x:c>
      <x:c r="F323" s="34" t="str">
        <x:v>PORT-98EBE3980CE1</x:v>
      </x:c>
      <x:c r="G323" s="34" t="str">
        <x:v>DISCLOSED_PATH</x:v>
      </x:c>
      <x:c r="H323" s="34" t="n">
        <x:v>5</x:v>
      </x:c>
      <x:c r="I323" s="34" t="n">
        <x:v>2028</x:v>
      </x:c>
      <x:c r="J323" s="34" t="n">
        <x:v>2037</x:v>
      </x:c>
      <x:c r="K323" s="34" t="n">
        <x:v>0.208226</x:v>
      </x:c>
      <x:c r="L323" s="34" t="n">
        <x:v>0.161954</x:v>
      </x:c>
      <x:c r="M323" s="34" t="n">
        <x:v>0.62982</x:v>
      </x:c>
      <x:c r="N323" s="34" t="n">
        <x:v>0</x:v>
      </x:c>
      <x:c r="O323" s="34" t="n">
        <x:v>0.5</x:v>
      </x:c>
      <x:c r="P323" s="34" t="n">
        <x:v>0.45</x:v>
      </x:c>
      <x:c r="Q323" s="34" t="n">
        <x:v>0.5</x:v>
      </x:c>
      <x:c r="R323" s="34" t="n">
        <x:v>0.4</x:v>
      </x:c>
      <x:c r="S323" s="34" t="n">
        <x:v>0.02</x:v>
      </x:c>
      <x:c r="T323" s="34" t="n">
        <x:v>459.848927</x:v>
      </x:c>
      <x:c r="U323" s="34" t="str">
        <x:v>NS-EAST:BF_RELINE:2033|NS-KANSAI:SCRAP_EAF:2035|NS-KYUSHU:H2_DRI_EAF:2028|NS-NAGOYA:H2_DRI_EAF:2031|NS-SETOUCHI:H2_DRI_EAF:2037</x:v>
      </x:c>
      <x:c r="V323" s="34" t="str">
        <x:v>model_generated_candidate</x:v>
      </x:c>
      <x:c r="W323" s="34" t="str">
        <x:v>Generated from disclosed-path facility calendar, technology set and template contracting assumptions; not a company-announced project</x:v>
      </x:c>
    </x:row>
    <x:row r="324">
      <x:c r="A324" s="34" t="str">
        <x:v>CAND-358032C0E0A6C1</x:v>
      </x:c>
      <x:c r="B324" s="34" t="str">
        <x:v>NIPPON_STEEL_JP</x:v>
      </x:c>
      <x:c r="C324" s="34" t="str">
        <x:v>Nippon Steel</x:v>
      </x:c>
      <x:c r="D324" s="34" t="str">
        <x:v>P3</x:v>
      </x:c>
      <x:c r="E324" s="34" t="str">
        <x:v>균형형 라이트헤지</x:v>
      </x:c>
      <x:c r="F324" s="34" t="str">
        <x:v>PORT-AC68D0606F7A</x:v>
      </x:c>
      <x:c r="G324" s="34" t="str">
        <x:v>DISCLOSED_PATH</x:v>
      </x:c>
      <x:c r="H324" s="34" t="n">
        <x:v>5</x:v>
      </x:c>
      <x:c r="I324" s="34" t="n">
        <x:v>2029</x:v>
      </x:c>
      <x:c r="J324" s="34" t="n">
        <x:v>2038</x:v>
      </x:c>
      <x:c r="K324" s="34" t="n">
        <x:v>0.37018</x:v>
      </x:c>
      <x:c r="L324" s="34" t="n">
        <x:v>0.192802</x:v>
      </x:c>
      <x:c r="M324" s="34" t="n">
        <x:v>0.437018</x:v>
      </x:c>
      <x:c r="N324" s="34" t="n">
        <x:v>0</x:v>
      </x:c>
      <x:c r="O324" s="34" t="n">
        <x:v>0.3</x:v>
      </x:c>
      <x:c r="P324" s="34" t="n">
        <x:v>0.25</x:v>
      </x:c>
      <x:c r="Q324" s="34" t="n">
        <x:v>0.35</x:v>
      </x:c>
      <x:c r="R324" s="34" t="n">
        <x:v>0.25</x:v>
      </x:c>
      <x:c r="S324" s="34" t="n">
        <x:v>0.015</x:v>
      </x:c>
      <x:c r="T324" s="34" t="n">
        <x:v>362.423927</x:v>
      </x:c>
      <x:c r="U324" s="34" t="str">
        <x:v>NS-EAST:BF_RELINE:2034|NS-KANSAI:BF_RELINE:2036|NS-KYUSHU:H2_DRI_EAF:2029|NS-NAGOYA:H2_DRI_EAF:2032|NS-SETOUCHI:SCRAP_EAF:2038</x:v>
      </x:c>
      <x:c r="V324" s="34" t="str">
        <x:v>model_generated_candidate</x:v>
      </x:c>
      <x:c r="W324" s="34" t="str">
        <x:v>Generated from disclosed-path facility calendar, technology set and template contracting assumptions; not a company-announced project</x:v>
      </x:c>
    </x:row>
    <x:row r="325">
      <x:c r="A325" s="34" t="str">
        <x:v>CAND-363910C02980BC</x:v>
      </x:c>
      <x:c r="B325" s="34" t="str">
        <x:v>NIPPON_STEEL_JP</x:v>
      </x:c>
      <x:c r="C325" s="34" t="str">
        <x:v>Nippon Steel</x:v>
      </x:c>
      <x:c r="D325" s="34" t="str">
        <x:v>P5</x:v>
      </x:c>
      <x:c r="E325" s="34" t="str">
        <x:v>조기 계약형 전환</x:v>
      </x:c>
      <x:c r="F325" s="34" t="str">
        <x:v>PORT-6D0E22B33B6B</x:v>
      </x:c>
      <x:c r="G325" s="34" t="str">
        <x:v>DISCLOSED_PATH</x:v>
      </x:c>
      <x:c r="H325" s="34" t="n">
        <x:v>5</x:v>
      </x:c>
      <x:c r="I325" s="34" t="n">
        <x:v>2028</x:v>
      </x:c>
      <x:c r="J325" s="34" t="n">
        <x:v>2037</x:v>
      </x:c>
      <x:c r="K325" s="34" t="n">
        <x:v>0.341902</x:v>
      </x:c>
      <x:c r="L325" s="34" t="n">
        <x:v>0</x:v>
      </x:c>
      <x:c r="M325" s="34" t="n">
        <x:v>0.658098</x:v>
      </x:c>
      <x:c r="N325" s="34" t="n">
        <x:v>0</x:v>
      </x:c>
      <x:c r="O325" s="34" t="n">
        <x:v>0.7</x:v>
      </x:c>
      <x:c r="P325" s="34" t="n">
        <x:v>0.65</x:v>
      </x:c>
      <x:c r="Q325" s="34" t="n">
        <x:v>0.65</x:v>
      </x:c>
      <x:c r="R325" s="34" t="n">
        <x:v>0.6</x:v>
      </x:c>
      <x:c r="S325" s="34" t="n">
        <x:v>0.025</x:v>
      </x:c>
      <x:c r="T325" s="34" t="n">
        <x:v>403.648968</x:v>
      </x:c>
      <x:c r="U325" s="34" t="str">
        <x:v>NS-EAST:H2_DRI_EAF:2033|NS-KANSAI:BF_RELINE:2035|NS-KYUSHU:H2_DRI_EAF:2028|NS-NAGOYA:BF_RELINE:2031|NS-SETOUCHI:H2_DRI_EAF:2037</x:v>
      </x:c>
      <x:c r="V325" s="34" t="str">
        <x:v>model_generated_candidate</x:v>
      </x:c>
      <x:c r="W325" s="34" t="str">
        <x:v>Generated from disclosed-path facility calendar, technology set and template contracting assumptions; not a company-announced project</x:v>
      </x:c>
    </x:row>
    <x:row r="326">
      <x:c r="A326" s="34" t="str">
        <x:v>CAND-368459B36ED0AE</x:v>
      </x:c>
      <x:c r="B326" s="34" t="str">
        <x:v>NIPPON_STEEL_JP</x:v>
      </x:c>
      <x:c r="C326" s="34" t="str">
        <x:v>Nippon Steel</x:v>
      </x:c>
      <x:c r="D326" s="34" t="str">
        <x:v>P1</x:v>
      </x:c>
      <x:c r="E326" s="34" t="str">
        <x:v>지연·현물조달</x:v>
      </x:c>
      <x:c r="F326" s="34" t="str">
        <x:v>PORT-6F42E9590CB3</x:v>
      </x:c>
      <x:c r="G326" s="34" t="str">
        <x:v>DISCLOSED_PATH</x:v>
      </x:c>
      <x:c r="H326" s="34" t="n">
        <x:v>5</x:v>
      </x:c>
      <x:c r="I326" s="34" t="n">
        <x:v>2029</x:v>
      </x:c>
      <x:c r="J326" s="34" t="n">
        <x:v>2038</x:v>
      </x:c>
      <x:c r="K326" s="34" t="n">
        <x:v>0.354756</x:v>
      </x:c>
      <x:c r="L326" s="34" t="n">
        <x:v>0.257069</x:v>
      </x:c>
      <x:c r="M326" s="34" t="n">
        <x:v>0.388175</x:v>
      </x:c>
      <x:c r="N326" s="34" t="n">
        <x:v>0</x:v>
      </x:c>
      <x:c r="O326" s="34" t="n">
        <x:v>0</x:v>
      </x:c>
      <x:c r="P326" s="34" t="n">
        <x:v>0</x:v>
      </x:c>
      <x:c r="Q326" s="34" t="n">
        <x:v>0.1</x:v>
      </x:c>
      <x:c r="R326" s="34" t="n">
        <x:v>0</x:v>
      </x:c>
      <x:c r="S326" s="34" t="n">
        <x:v>0</x:v>
      </x:c>
      <x:c r="T326" s="34" t="n">
        <x:v>393.698938</x:v>
      </x:c>
      <x:c r="U326" s="34" t="str">
        <x:v>NS-EAST:H2_DRI_EAF:2034|NS-KANSAI:BF_RELINE:2036|NS-KYUSHU:SCRAP_EAF:2029|NS-NAGOYA:H2_DRI_EAF:2032|NS-SETOUCHI:BF_RELINE:2038</x:v>
      </x:c>
      <x:c r="V326" s="34" t="str">
        <x:v>model_generated_candidate</x:v>
      </x:c>
      <x:c r="W326" s="34" t="str">
        <x:v>Generated from disclosed-path facility calendar, technology set and template contracting assumptions; not a company-announced project</x:v>
      </x:c>
    </x:row>
    <x:row r="327">
      <x:c r="A327" s="34" t="str">
        <x:v>CAND-36C10F1CCA9429</x:v>
      </x:c>
      <x:c r="B327" s="34" t="str">
        <x:v>NIPPON_STEEL_JP</x:v>
      </x:c>
      <x:c r="C327" s="34" t="str">
        <x:v>Nippon Steel</x:v>
      </x:c>
      <x:c r="D327" s="34" t="str">
        <x:v>P1</x:v>
      </x:c>
      <x:c r="E327" s="34" t="str">
        <x:v>지연·현물조달</x:v>
      </x:c>
      <x:c r="F327" s="34" t="str">
        <x:v>PORT-EB022BB10102</x:v>
      </x:c>
      <x:c r="G327" s="34" t="str">
        <x:v>DISCLOSED_PATH</x:v>
      </x:c>
      <x:c r="H327" s="34" t="n">
        <x:v>5</x:v>
      </x:c>
      <x:c r="I327" s="34" t="n">
        <x:v>2029</x:v>
      </x:c>
      <x:c r="J327" s="34" t="n">
        <x:v>2038</x:v>
      </x:c>
      <x:c r="K327" s="34" t="n">
        <x:v>0.449871</x:v>
      </x:c>
      <x:c r="L327" s="34" t="n">
        <x:v>0.208226</x:v>
      </x:c>
      <x:c r="M327" s="34" t="n">
        <x:v>0.341902</x:v>
      </x:c>
      <x:c r="N327" s="34" t="n">
        <x:v>0</x:v>
      </x:c>
      <x:c r="O327" s="34" t="n">
        <x:v>0</x:v>
      </x:c>
      <x:c r="P327" s="34" t="n">
        <x:v>0</x:v>
      </x:c>
      <x:c r="Q327" s="34" t="n">
        <x:v>0.1</x:v>
      </x:c>
      <x:c r="R327" s="34" t="n">
        <x:v>0</x:v>
      </x:c>
      <x:c r="S327" s="34" t="n">
        <x:v>0</x:v>
      </x:c>
      <x:c r="T327" s="34" t="n">
        <x:v>272.098943</x:v>
      </x:c>
      <x:c r="U327" s="34" t="str">
        <x:v>NS-EAST:SCRAP_EAF:2034|NS-KANSAI:H2_DRI_EAF:2036|NS-KYUSHU:BF_RELINE:2029|NS-NAGOYA:H2_DRI_EAF:2032|NS-SETOUCHI:BF_RELINE:2038</x:v>
      </x:c>
      <x:c r="V327" s="34" t="str">
        <x:v>model_generated_candidate</x:v>
      </x:c>
      <x:c r="W327" s="34" t="str">
        <x:v>Generated from disclosed-path facility calendar, technology set and template contracting assumptions; not a company-announced project</x:v>
      </x:c>
    </x:row>
    <x:row r="328">
      <x:c r="A328" s="34" t="str">
        <x:v>CAND-36D1F9F283C10F</x:v>
      </x:c>
      <x:c r="B328" s="34" t="str">
        <x:v>NIPPON_STEEL_JP</x:v>
      </x:c>
      <x:c r="C328" s="34" t="str">
        <x:v>Nippon Steel</x:v>
      </x:c>
      <x:c r="D328" s="34" t="str">
        <x:v>P4</x:v>
      </x:c>
      <x:c r="E328" s="34" t="str">
        <x:v>균형형 전환</x:v>
      </x:c>
      <x:c r="F328" s="34" t="str">
        <x:v>PORT-7AACF23AFCC7</x:v>
      </x:c>
      <x:c r="G328" s="34" t="str">
        <x:v>DISCLOSED_PATH</x:v>
      </x:c>
      <x:c r="H328" s="34" t="n">
        <x:v>5</x:v>
      </x:c>
      <x:c r="I328" s="34" t="n">
        <x:v>2028</x:v>
      </x:c>
      <x:c r="J328" s="34" t="n">
        <x:v>2037</x:v>
      </x:c>
      <x:c r="K328" s="34" t="n">
        <x:v>0.208226</x:v>
      </x:c>
      <x:c r="L328" s="34" t="n">
        <x:v>0.192802</x:v>
      </x:c>
      <x:c r="M328" s="34" t="n">
        <x:v>0.598972</x:v>
      </x:c>
      <x:c r="N328" s="34" t="n">
        <x:v>0</x:v>
      </x:c>
      <x:c r="O328" s="34" t="n">
        <x:v>0.5</x:v>
      </x:c>
      <x:c r="P328" s="34" t="n">
        <x:v>0.45</x:v>
      </x:c>
      <x:c r="Q328" s="34" t="n">
        <x:v>0.5</x:v>
      </x:c>
      <x:c r="R328" s="34" t="n">
        <x:v>0.4</x:v>
      </x:c>
      <x:c r="S328" s="34" t="n">
        <x:v>0.02</x:v>
      </x:c>
      <x:c r="T328" s="34" t="n">
        <x:v>461.948928</x:v>
      </x:c>
      <x:c r="U328" s="34" t="str">
        <x:v>NS-EAST:BF_RELINE:2033|NS-KANSAI:H2_DRI_EAF:2035|NS-KYUSHU:H2_DRI_EAF:2028|NS-NAGOYA:H2_DRI_EAF:2031|NS-SETOUCHI:SCRAP_EAF:2037</x:v>
      </x:c>
      <x:c r="V328" s="34" t="str">
        <x:v>model_generated_candidate</x:v>
      </x:c>
      <x:c r="W328" s="34" t="str">
        <x:v>Generated from disclosed-path facility calendar, technology set and template contracting assumptions; not a company-announced project</x:v>
      </x:c>
    </x:row>
    <x:row r="329">
      <x:c r="A329" s="34" t="str">
        <x:v>CAND-375ABE94B32849</x:v>
      </x:c>
      <x:c r="B329" s="34" t="str">
        <x:v>NIPPON_STEEL_JP</x:v>
      </x:c>
      <x:c r="C329" s="34" t="str">
        <x:v>Nippon Steel</x:v>
      </x:c>
      <x:c r="D329" s="34" t="str">
        <x:v>P3</x:v>
      </x:c>
      <x:c r="E329" s="34" t="str">
        <x:v>균형형 라이트헤지</x:v>
      </x:c>
      <x:c r="F329" s="34" t="str">
        <x:v>PORT-6BA9841BAB7B</x:v>
      </x:c>
      <x:c r="G329" s="34" t="str">
        <x:v>DISCLOSED_PATH</x:v>
      </x:c>
      <x:c r="H329" s="34" t="n">
        <x:v>5</x:v>
      </x:c>
      <x:c r="I329" s="34" t="n">
        <x:v>2029</x:v>
      </x:c>
      <x:c r="J329" s="34" t="n">
        <x:v>2038</x:v>
      </x:c>
      <x:c r="K329" s="34" t="n">
        <x:v>0.179949</x:v>
      </x:c>
      <x:c r="L329" s="34" t="n">
        <x:v>0.401028</x:v>
      </x:c>
      <x:c r="M329" s="34" t="n">
        <x:v>0.419023</x:v>
      </x:c>
      <x:c r="N329" s="34" t="n">
        <x:v>0</x:v>
      </x:c>
      <x:c r="O329" s="34" t="n">
        <x:v>0.3</x:v>
      </x:c>
      <x:c r="P329" s="34" t="n">
        <x:v>0.25</x:v>
      </x:c>
      <x:c r="Q329" s="34" t="n">
        <x:v>0.35</x:v>
      </x:c>
      <x:c r="R329" s="34" t="n">
        <x:v>0.25</x:v>
      </x:c>
      <x:c r="S329" s="34" t="n">
        <x:v>0.015</x:v>
      </x:c>
      <x:c r="T329" s="34" t="n">
        <x:v>388.243973</x:v>
      </x:c>
      <x:c r="U329" s="34" t="str">
        <x:v>NS-EAST:SCRAP_EAF:2034|NS-KANSAI:H2_DRI_EAF:2036|NS-KYUSHU:H2_DRI_EAF:2029|NS-NAGOYA:BF_RELINE:2032|NS-SETOUCHI:SCRAP_EAF:2038</x:v>
      </x:c>
      <x:c r="V329" s="34" t="str">
        <x:v>model_generated_candidate</x:v>
      </x:c>
      <x:c r="W329" s="34" t="str">
        <x:v>Generated from disclosed-path facility calendar, technology set and template contracting assumptions; not a company-announced project</x:v>
      </x:c>
    </x:row>
    <x:row r="330">
      <x:c r="A330" s="34" t="str">
        <x:v>CAND-37873F4AEC24E8</x:v>
      </x:c>
      <x:c r="B330" s="34" t="str">
        <x:v>NIPPON_STEEL_JP</x:v>
      </x:c>
      <x:c r="C330" s="34" t="str">
        <x:v>Nippon Steel</x:v>
      </x:c>
      <x:c r="D330" s="34" t="str">
        <x:v>P6</x:v>
      </x:c>
      <x:c r="E330" s="34" t="str">
        <x:v>조기 고헤지</x:v>
      </x:c>
      <x:c r="F330" s="34" t="str">
        <x:v>PORT-155D5351606D</x:v>
      </x:c>
      <x:c r="G330" s="34" t="str">
        <x:v>DISCLOSED_PATH</x:v>
      </x:c>
      <x:c r="H330" s="34" t="n">
        <x:v>5</x:v>
      </x:c>
      <x:c r="I330" s="34" t="n">
        <x:v>2028</x:v>
      </x:c>
      <x:c r="J330" s="34" t="n">
        <x:v>2036</x:v>
      </x:c>
      <x:c r="K330" s="34" t="n">
        <x:v>0</x:v>
      </x:c>
      <x:c r="L330" s="34" t="n">
        <x:v>0.161954</x:v>
      </x:c>
      <x:c r="M330" s="34" t="n">
        <x:v>0.838046</x:v>
      </x:c>
      <x:c r="N330" s="34" t="n">
        <x:v>0</x:v>
      </x:c>
      <x:c r="O330" s="34" t="n">
        <x:v>0.9</x:v>
      </x:c>
      <x:c r="P330" s="34" t="n">
        <x:v>0.85</x:v>
      </x:c>
      <x:c r="Q330" s="34" t="n">
        <x:v>0.85</x:v>
      </x:c>
      <x:c r="R330" s="34" t="n">
        <x:v>0.8</x:v>
      </x:c>
      <x:c r="S330" s="34" t="n">
        <x:v>0.035</x:v>
      </x:c>
      <x:c r="T330" s="34" t="n">
        <x:v>604.859374</x:v>
      </x:c>
      <x:c r="U330" s="34" t="str">
        <x:v>NS-EAST:H2_DRI_EAF:2032|NS-KANSAI:SCRAP_EAF:2034|NS-KYUSHU:H2_DRI_EAF:2028|NS-NAGOYA:H2_DRI_EAF:2030|NS-SETOUCHI:H2_DRI_EAF:2036</x:v>
      </x:c>
      <x:c r="V330" s="34" t="str">
        <x:v>model_generated_candidate</x:v>
      </x:c>
      <x:c r="W330" s="34" t="str">
        <x:v>Generated from disclosed-path facility calendar, technology set and template contracting assumptions; not a company-announced project</x:v>
      </x:c>
    </x:row>
    <x:row r="331">
      <x:c r="A331" s="34" t="str">
        <x:v>CAND-3846B6C1209CCD</x:v>
      </x:c>
      <x:c r="B331" s="34" t="str">
        <x:v>NIPPON_STEEL_JP</x:v>
      </x:c>
      <x:c r="C331" s="34" t="str">
        <x:v>Nippon Steel</x:v>
      </x:c>
      <x:c r="D331" s="34" t="str">
        <x:v>P2</x:v>
      </x:c>
      <x:c r="E331" s="34" t="str">
        <x:v>지연·부분헤지</x:v>
      </x:c>
      <x:c r="F331" s="34" t="str">
        <x:v>PORT-1C358B09C3EE</x:v>
      </x:c>
      <x:c r="G331" s="34" t="str">
        <x:v>DISCLOSED_PATH</x:v>
      </x:c>
      <x:c r="H331" s="34" t="n">
        <x:v>5</x:v>
      </x:c>
      <x:c r="I331" s="34" t="n">
        <x:v>2029</x:v>
      </x:c>
      <x:c r="J331" s="34" t="n">
        <x:v>2038</x:v>
      </x:c>
      <x:c r="K331" s="34" t="n">
        <x:v>0.208226</x:v>
      </x:c>
      <x:c r="L331" s="34" t="n">
        <x:v>0.161954</x:v>
      </x:c>
      <x:c r="M331" s="34" t="n">
        <x:v>0.62982</x:v>
      </x:c>
      <x:c r="N331" s="34" t="n">
        <x:v>0</x:v>
      </x:c>
      <x:c r="O331" s="34" t="n">
        <x:v>0.15</x:v>
      </x:c>
      <x:c r="P331" s="34" t="n">
        <x:v>0.1</x:v>
      </x:c>
      <x:c r="Q331" s="34" t="n">
        <x:v>0.2</x:v>
      </x:c>
      <x:c r="R331" s="34" t="n">
        <x:v>0.1</x:v>
      </x:c>
      <x:c r="S331" s="34" t="n">
        <x:v>0.01</x:v>
      </x:c>
      <x:c r="T331" s="34" t="n">
        <x:v>407.748932</x:v>
      </x:c>
      <x:c r="U331" s="34" t="str">
        <x:v>NS-EAST:BF_RELINE:2034|NS-KANSAI:SCRAP_EAF:2036|NS-KYUSHU:H2_DRI_EAF:2029|NS-NAGOYA:H2_DRI_EAF:2032|NS-SETOUCHI:H2_DRI_EAF:2038</x:v>
      </x:c>
      <x:c r="V331" s="34" t="str">
        <x:v>model_generated_candidate</x:v>
      </x:c>
      <x:c r="W331" s="34" t="str">
        <x:v>Generated from disclosed-path facility calendar, technology set and template contracting assumptions; not a company-announced project</x:v>
      </x:c>
    </x:row>
    <x:row r="332">
      <x:c r="A332" s="34" t="str">
        <x:v>CAND-39C36DFE530062</x:v>
      </x:c>
      <x:c r="B332" s="34" t="str">
        <x:v>NIPPON_STEEL_JP</x:v>
      </x:c>
      <x:c r="C332" s="34" t="str">
        <x:v>Nippon Steel</x:v>
      </x:c>
      <x:c r="D332" s="34" t="str">
        <x:v>P5</x:v>
      </x:c>
      <x:c r="E332" s="34" t="str">
        <x:v>조기 계약형 전환</x:v>
      </x:c>
      <x:c r="F332" s="34" t="str">
        <x:v>PORT-216E4B3158C6</x:v>
      </x:c>
      <x:c r="G332" s="34" t="str">
        <x:v>DISCLOSED_PATH</x:v>
      </x:c>
      <x:c r="H332" s="34" t="n">
        <x:v>5</x:v>
      </x:c>
      <x:c r="I332" s="34" t="n">
        <x:v>2028</x:v>
      </x:c>
      <x:c r="J332" s="34" t="n">
        <x:v>2037</x:v>
      </x:c>
      <x:c r="K332" s="34" t="n">
        <x:v>0</x:v>
      </x:c>
      <x:c r="L332" s="34" t="n">
        <x:v>0.179949</x:v>
      </x:c>
      <x:c r="M332" s="34" t="n">
        <x:v>0.820051</x:v>
      </x:c>
      <x:c r="N332" s="34" t="n">
        <x:v>0</x:v>
      </x:c>
      <x:c r="O332" s="34" t="n">
        <x:v>0.7</x:v>
      </x:c>
      <x:c r="P332" s="34" t="n">
        <x:v>0.65</x:v>
      </x:c>
      <x:c r="Q332" s="34" t="n">
        <x:v>0.65</x:v>
      </x:c>
      <x:c r="R332" s="34" t="n">
        <x:v>0.6</x:v>
      </x:c>
      <x:c r="S332" s="34" t="n">
        <x:v>0.025</x:v>
      </x:c>
      <x:c r="T332" s="34" t="n">
        <x:v>550.668946</x:v>
      </x:c>
      <x:c r="U332" s="34" t="str">
        <x:v>NS-EAST:H2_DRI_EAF:2033|NS-KANSAI:H2_DRI_EAF:2035|NS-KYUSHU:H2_DRI_EAF:2028|NS-NAGOYA:SCRAP_EAF:2031|NS-SETOUCHI:H2_DRI_EAF:2037</x:v>
      </x:c>
      <x:c r="V332" s="34" t="str">
        <x:v>model_generated_candidate</x:v>
      </x:c>
      <x:c r="W332" s="34" t="str">
        <x:v>Generated from disclosed-path facility calendar, technology set and template contracting assumptions; not a company-announced project</x:v>
      </x:c>
    </x:row>
    <x:row r="333">
      <x:c r="A333" s="34" t="str">
        <x:v>CAND-39EC71DC072D56</x:v>
      </x:c>
      <x:c r="B333" s="34" t="str">
        <x:v>NIPPON_STEEL_JP</x:v>
      </x:c>
      <x:c r="C333" s="34" t="str">
        <x:v>Nippon Steel</x:v>
      </x:c>
      <x:c r="D333" s="34" t="str">
        <x:v>P1</x:v>
      </x:c>
      <x:c r="E333" s="34" t="str">
        <x:v>지연·현물조달</x:v>
      </x:c>
      <x:c r="F333" s="34" t="str">
        <x:v>PORT-C6368C8F5DC9</x:v>
      </x:c>
      <x:c r="G333" s="34" t="str">
        <x:v>DISCLOSED_PATH</x:v>
      </x:c>
      <x:c r="H333" s="34" t="n">
        <x:v>5</x:v>
      </x:c>
      <x:c r="I333" s="34" t="n">
        <x:v>2029</x:v>
      </x:c>
      <x:c r="J333" s="34" t="n">
        <x:v>2038</x:v>
      </x:c>
      <x:c r="K333" s="34" t="n">
        <x:v>0.534704</x:v>
      </x:c>
      <x:c r="L333" s="34" t="n">
        <x:v>0.257069</x:v>
      </x:c>
      <x:c r="M333" s="34" t="n">
        <x:v>0.208226</x:v>
      </x:c>
      <x:c r="N333" s="34" t="n">
        <x:v>0</x:v>
      </x:c>
      <x:c r="O333" s="34" t="n">
        <x:v>0</x:v>
      </x:c>
      <x:c r="P333" s="34" t="n">
        <x:v>0</x:v>
      </x:c>
      <x:c r="Q333" s="34" t="n">
        <x:v>0.1</x:v>
      </x:c>
      <x:c r="R333" s="34" t="n">
        <x:v>0</x:v>
      </x:c>
      <x:c r="S333" s="34" t="n">
        <x:v>0</x:v>
      </x:c>
      <x:c r="T333" s="34" t="n">
        <x:v>298.838969</x:v>
      </x:c>
      <x:c r="U333" s="34" t="str">
        <x:v>NS-EAST:H2_DRI_EAF:2034|NS-KANSAI:BF_RELINE:2036|NS-KYUSHU:SCRAP_EAF:2029|NS-NAGOYA:BF_RELINE:2032|NS-SETOUCHI:BF_RELINE:2038</x:v>
      </x:c>
      <x:c r="V333" s="34" t="str">
        <x:v>model_generated_candidate</x:v>
      </x:c>
      <x:c r="W333" s="34" t="str">
        <x:v>Generated from disclosed-path facility calendar, technology set and template contracting assumptions; not a company-announced project</x:v>
      </x:c>
    </x:row>
    <x:row r="334">
      <x:c r="A334" s="34" t="str">
        <x:v>CAND-3A45E4027685EB</x:v>
      </x:c>
      <x:c r="B334" s="34" t="str">
        <x:v>NIPPON_STEEL_JP</x:v>
      </x:c>
      <x:c r="C334" s="34" t="str">
        <x:v>Nippon Steel</x:v>
      </x:c>
      <x:c r="D334" s="34" t="str">
        <x:v>P2</x:v>
      </x:c>
      <x:c r="E334" s="34" t="str">
        <x:v>지연·부분헤지</x:v>
      </x:c>
      <x:c r="F334" s="34" t="str">
        <x:v>PORT-43EF81127474</x:v>
      </x:c>
      <x:c r="G334" s="34" t="str">
        <x:v>DISCLOSED_PATH</x:v>
      </x:c>
      <x:c r="H334" s="34" t="n">
        <x:v>5</x:v>
      </x:c>
      <x:c r="I334" s="34" t="n">
        <x:v>2029</x:v>
      </x:c>
      <x:c r="J334" s="34" t="n">
        <x:v>2038</x:v>
      </x:c>
      <x:c r="K334" s="34" t="n">
        <x:v>0.208226</x:v>
      </x:c>
      <x:c r="L334" s="34" t="n">
        <x:v>0</x:v>
      </x:c>
      <x:c r="M334" s="34" t="n">
        <x:v>0.791774</x:v>
      </x:c>
      <x:c r="N334" s="34" t="n">
        <x:v>0</x:v>
      </x:c>
      <x:c r="O334" s="34" t="n">
        <x:v>0.15</x:v>
      </x:c>
      <x:c r="P334" s="34" t="n">
        <x:v>0.1</x:v>
      </x:c>
      <x:c r="Q334" s="34" t="n">
        <x:v>0.2</x:v>
      </x:c>
      <x:c r="R334" s="34" t="n">
        <x:v>0.1</x:v>
      </x:c>
      <x:c r="S334" s="34" t="n">
        <x:v>0.01</x:v>
      </x:c>
      <x:c r="T334" s="34" t="n">
        <x:v>414.748933</x:v>
      </x:c>
      <x:c r="U334" s="34" t="str">
        <x:v>NS-EAST:BF_RELINE:2034|NS-KANSAI:H2_DRI_EAF:2036|NS-KYUSHU:H2_DRI_EAF:2029|NS-NAGOYA:H2_DRI_EAF:2032|NS-SETOUCHI:H2_DRI_EAF:2038</x:v>
      </x:c>
      <x:c r="V334" s="34" t="str">
        <x:v>model_generated_candidate</x:v>
      </x:c>
      <x:c r="W334" s="34" t="str">
        <x:v>Generated from disclosed-path facility calendar, technology set and template contracting assumptions; not a company-announced project</x:v>
      </x:c>
    </x:row>
    <x:row r="335">
      <x:c r="A335" s="34" t="str">
        <x:v>CAND-3AE3E6B076254D</x:v>
      </x:c>
      <x:c r="B335" s="34" t="str">
        <x:v>NIPPON_STEEL_JP</x:v>
      </x:c>
      <x:c r="C335" s="34" t="str">
        <x:v>Nippon Steel</x:v>
      </x:c>
      <x:c r="D335" s="34" t="str">
        <x:v>P1</x:v>
      </x:c>
      <x:c r="E335" s="34" t="str">
        <x:v>지연·현물조달</x:v>
      </x:c>
      <x:c r="F335" s="34" t="str">
        <x:v>PORT-91584DA203D9</x:v>
      </x:c>
      <x:c r="G335" s="34" t="str">
        <x:v>DISCLOSED_PATH</x:v>
      </x:c>
      <x:c r="H335" s="34" t="n">
        <x:v>5</x:v>
      </x:c>
      <x:c r="I335" s="34" t="n">
        <x:v>2029</x:v>
      </x:c>
      <x:c r="J335" s="34" t="n">
        <x:v>2038</x:v>
      </x:c>
      <x:c r="K335" s="34" t="n">
        <x:v>0.611825</x:v>
      </x:c>
      <x:c r="L335" s="34" t="n">
        <x:v>0.179949</x:v>
      </x:c>
      <x:c r="M335" s="34" t="n">
        <x:v>0.208226</x:v>
      </x:c>
      <x:c r="N335" s="34" t="n">
        <x:v>0</x:v>
      </x:c>
      <x:c r="O335" s="34" t="n">
        <x:v>0</x:v>
      </x:c>
      <x:c r="P335" s="34" t="n">
        <x:v>0</x:v>
      </x:c>
      <x:c r="Q335" s="34" t="n">
        <x:v>0.1</x:v>
      </x:c>
      <x:c r="R335" s="34" t="n">
        <x:v>0</x:v>
      </x:c>
      <x:c r="S335" s="34" t="n">
        <x:v>0</x:v>
      </x:c>
      <x:c r="T335" s="34" t="n">
        <x:v>223.148943</x:v>
      </x:c>
      <x:c r="U335" s="34" t="str">
        <x:v>NS-EAST:H2_DRI_EAF:2034|NS-KANSAI:BF_RELINE:2036|NS-KYUSHU:BF_RELINE:2029|NS-NAGOYA:SCRAP_EAF:2032|NS-SETOUCHI:BF_RELINE:2038</x:v>
      </x:c>
      <x:c r="V335" s="34" t="str">
        <x:v>model_generated_candidate</x:v>
      </x:c>
      <x:c r="W335" s="34" t="str">
        <x:v>Generated from disclosed-path facility calendar, technology set and template contracting assumptions; not a company-announced project</x:v>
      </x:c>
    </x:row>
    <x:row r="336">
      <x:c r="A336" s="34" t="str">
        <x:v>CAND-3B1DF64F26A1C8</x:v>
      </x:c>
      <x:c r="B336" s="34" t="str">
        <x:v>NIPPON_STEEL_JP</x:v>
      </x:c>
      <x:c r="C336" s="34" t="str">
        <x:v>Nippon Steel</x:v>
      </x:c>
      <x:c r="D336" s="34" t="str">
        <x:v>P2</x:v>
      </x:c>
      <x:c r="E336" s="34" t="str">
        <x:v>지연·부분헤지</x:v>
      </x:c>
      <x:c r="F336" s="34" t="str">
        <x:v>PORT-807501AD1AFE</x:v>
      </x:c>
      <x:c r="G336" s="34" t="str">
        <x:v>DISCLOSED_PATH</x:v>
      </x:c>
      <x:c r="H336" s="34" t="n">
        <x:v>5</x:v>
      </x:c>
      <x:c r="I336" s="34" t="n">
        <x:v>2029</x:v>
      </x:c>
      <x:c r="J336" s="34" t="n">
        <x:v>2038</x:v>
      </x:c>
      <x:c r="K336" s="34" t="n">
        <x:v>0.161954</x:v>
      </x:c>
      <x:c r="L336" s="34" t="n">
        <x:v>0.580977</x:v>
      </x:c>
      <x:c r="M336" s="34" t="n">
        <x:v>0.257069</x:v>
      </x:c>
      <x:c r="N336" s="34" t="n">
        <x:v>0</x:v>
      </x:c>
      <x:c r="O336" s="34" t="n">
        <x:v>0.15</x:v>
      </x:c>
      <x:c r="P336" s="34" t="n">
        <x:v>0.1</x:v>
      </x:c>
      <x:c r="Q336" s="34" t="n">
        <x:v>0.2</x:v>
      </x:c>
      <x:c r="R336" s="34" t="n">
        <x:v>0.1</x:v>
      </x:c>
      <x:c r="S336" s="34" t="n">
        <x:v>0.01</x:v>
      </x:c>
      <x:c r="T336" s="34" t="n">
        <x:v>421.553941</x:v>
      </x:c>
      <x:c r="U336" s="34" t="str">
        <x:v>NS-EAST:SCRAP_EAF:2034|NS-KANSAI:BF_RELINE:2036|NS-KYUSHU:H2_DRI_EAF:2029|NS-NAGOYA:SCRAP_EAF:2032|NS-SETOUCHI:SCRAP_EAF:2038</x:v>
      </x:c>
      <x:c r="V336" s="34" t="str">
        <x:v>model_generated_candidate</x:v>
      </x:c>
      <x:c r="W336" s="34" t="str">
        <x:v>Generated from disclosed-path facility calendar, technology set and template contracting assumptions; not a company-announced project</x:v>
      </x:c>
    </x:row>
    <x:row r="337">
      <x:c r="A337" s="34" t="str">
        <x:v>CAND-3B85ADC4F785D9</x:v>
      </x:c>
      <x:c r="B337" s="34" t="str">
        <x:v>NIPPON_STEEL_JP</x:v>
      </x:c>
      <x:c r="C337" s="34" t="str">
        <x:v>Nippon Steel</x:v>
      </x:c>
      <x:c r="D337" s="34" t="str">
        <x:v>P1</x:v>
      </x:c>
      <x:c r="E337" s="34" t="str">
        <x:v>지연·현물조달</x:v>
      </x:c>
      <x:c r="F337" s="34" t="str">
        <x:v>PORT-36D98C3CB76E</x:v>
      </x:c>
      <x:c r="G337" s="34" t="str">
        <x:v>DISCLOSED_PATH</x:v>
      </x:c>
      <x:c r="H337" s="34" t="n">
        <x:v>5</x:v>
      </x:c>
      <x:c r="I337" s="34" t="n">
        <x:v>2029</x:v>
      </x:c>
      <x:c r="J337" s="34" t="n">
        <x:v>2038</x:v>
      </x:c>
      <x:c r="K337" s="34" t="n">
        <x:v>0.627249</x:v>
      </x:c>
      <x:c r="L337" s="34" t="n">
        <x:v>0.372751</x:v>
      </x:c>
      <x:c r="M337" s="34" t="n">
        <x:v>0</x:v>
      </x:c>
      <x:c r="N337" s="34" t="n">
        <x:v>0</x:v>
      </x:c>
      <x:c r="O337" s="34" t="n">
        <x:v>0</x:v>
      </x:c>
      <x:c r="P337" s="34" t="n">
        <x:v>0</x:v>
      </x:c>
      <x:c r="Q337" s="34" t="n">
        <x:v>0.1</x:v>
      </x:c>
      <x:c r="R337" s="34" t="n">
        <x:v>0</x:v>
      </x:c>
      <x:c r="S337" s="34" t="n">
        <x:v>0</x:v>
      </x:c>
      <x:c r="T337" s="34" t="n">
        <x:v>164.873932</x:v>
      </x:c>
      <x:c r="U337" s="34" t="str">
        <x:v>NS-EAST:BF_RELINE:2034|NS-KANSAI:BF_RELINE:2036|NS-KYUSHU:BF_RELINE:2029|NS-NAGOYA:SCRAP_EAF:2032|NS-SETOUCHI:SCRAP_EAF:2038</x:v>
      </x:c>
      <x:c r="V337" s="34" t="str">
        <x:v>model_generated_candidate</x:v>
      </x:c>
      <x:c r="W337" s="34" t="str">
        <x:v>Generated from disclosed-path facility calendar, technology set and template contracting assumptions; not a company-announced project</x:v>
      </x:c>
    </x:row>
    <x:row r="338">
      <x:c r="A338" s="34" t="str">
        <x:v>CAND-3C25CEC2C8DCA6</x:v>
      </x:c>
      <x:c r="B338" s="34" t="str">
        <x:v>NIPPON_STEEL_JP</x:v>
      </x:c>
      <x:c r="C338" s="34" t="str">
        <x:v>Nippon Steel</x:v>
      </x:c>
      <x:c r="D338" s="34" t="str">
        <x:v>P1</x:v>
      </x:c>
      <x:c r="E338" s="34" t="str">
        <x:v>지연·현물조달</x:v>
      </x:c>
      <x:c r="F338" s="34" t="str">
        <x:v>PORT-4B5687E526DA</x:v>
      </x:c>
      <x:c r="G338" s="34" t="str">
        <x:v>DISCLOSED_PATH</x:v>
      </x:c>
      <x:c r="H338" s="34" t="n">
        <x:v>5</x:v>
      </x:c>
      <x:c r="I338" s="34" t="n">
        <x:v>2029</x:v>
      </x:c>
      <x:c r="J338" s="34" t="n">
        <x:v>2038</x:v>
      </x:c>
      <x:c r="K338" s="34" t="n">
        <x:v>0.465296</x:v>
      </x:c>
      <x:c r="L338" s="34" t="n">
        <x:v>0.161954</x:v>
      </x:c>
      <x:c r="M338" s="34" t="n">
        <x:v>0.372751</x:v>
      </x:c>
      <x:c r="N338" s="34" t="n">
        <x:v>0</x:v>
      </x:c>
      <x:c r="O338" s="34" t="n">
        <x:v>0</x:v>
      </x:c>
      <x:c r="P338" s="34" t="n">
        <x:v>0</x:v>
      </x:c>
      <x:c r="Q338" s="34" t="n">
        <x:v>0.1</x:v>
      </x:c>
      <x:c r="R338" s="34" t="n">
        <x:v>0</x:v>
      </x:c>
      <x:c r="S338" s="34" t="n">
        <x:v>0</x:v>
      </x:c>
      <x:c r="T338" s="34" t="n">
        <x:v>224.148932</x:v>
      </x:c>
      <x:c r="U338" s="34" t="str">
        <x:v>NS-EAST:BF_RELINE:2034|NS-KANSAI:SCRAP_EAF:2036|NS-KYUSHU:BF_RELINE:2029|NS-NAGOYA:H2_DRI_EAF:2032|NS-SETOUCHI:H2_DRI_EAF:2038</x:v>
      </x:c>
      <x:c r="V338" s="34" t="str">
        <x:v>model_generated_candidate</x:v>
      </x:c>
      <x:c r="W338" s="34" t="str">
        <x:v>Generated from disclosed-path facility calendar, technology set and template contracting assumptions; not a company-announced project</x:v>
      </x:c>
    </x:row>
    <x:row r="339">
      <x:c r="A339" s="34" t="str">
        <x:v>CAND-3D1DE2FB90560C</x:v>
      </x:c>
      <x:c r="B339" s="34" t="str">
        <x:v>NIPPON_STEEL_JP</x:v>
      </x:c>
      <x:c r="C339" s="34" t="str">
        <x:v>Nippon Steel</x:v>
      </x:c>
      <x:c r="D339" s="34" t="str">
        <x:v>P1</x:v>
      </x:c>
      <x:c r="E339" s="34" t="str">
        <x:v>지연·현물조달</x:v>
      </x:c>
      <x:c r="F339" s="34" t="str">
        <x:v>PORT-5ADA91EDF97F</x:v>
      </x:c>
      <x:c r="G339" s="34" t="str">
        <x:v>DISCLOSED_PATH</x:v>
      </x:c>
      <x:c r="H339" s="34" t="n">
        <x:v>5</x:v>
      </x:c>
      <x:c r="I339" s="34" t="n">
        <x:v>2029</x:v>
      </x:c>
      <x:c r="J339" s="34" t="n">
        <x:v>2038</x:v>
      </x:c>
      <x:c r="K339" s="34" t="n">
        <x:v>0.419023</x:v>
      </x:c>
      <x:c r="L339" s="34" t="n">
        <x:v>0.208226</x:v>
      </x:c>
      <x:c r="M339" s="34" t="n">
        <x:v>0.372751</x:v>
      </x:c>
      <x:c r="N339" s="34" t="n">
        <x:v>0</x:v>
      </x:c>
      <x:c r="O339" s="34" t="n">
        <x:v>0</x:v>
      </x:c>
      <x:c r="P339" s="34" t="n">
        <x:v>0</x:v>
      </x:c>
      <x:c r="Q339" s="34" t="n">
        <x:v>0.1</x:v>
      </x:c>
      <x:c r="R339" s="34" t="n">
        <x:v>0</x:v>
      </x:c>
      <x:c r="S339" s="34" t="n">
        <x:v>0</x:v>
      </x:c>
      <x:c r="T339" s="34" t="n">
        <x:v>256.628937</x:v>
      </x:c>
      <x:c r="U339" s="34" t="str">
        <x:v>NS-EAST:SCRAP_EAF:2034|NS-KANSAI:BF_RELINE:2036|NS-KYUSHU:BF_RELINE:2029|NS-NAGOYA:H2_DRI_EAF:2032|NS-SETOUCHI:H2_DRI_EAF:2038</x:v>
      </x:c>
      <x:c r="V339" s="34" t="str">
        <x:v>model_generated_candidate</x:v>
      </x:c>
      <x:c r="W339" s="34" t="str">
        <x:v>Generated from disclosed-path facility calendar, technology set and template contracting assumptions; not a company-announced project</x:v>
      </x:c>
    </x:row>
    <x:row r="340">
      <x:c r="A340" s="34" t="str">
        <x:v>CAND-3D2EF5278D6CC4</x:v>
      </x:c>
      <x:c r="B340" s="34" t="str">
        <x:v>NIPPON_STEEL_JP</x:v>
      </x:c>
      <x:c r="C340" s="34" t="str">
        <x:v>Nippon Steel</x:v>
      </x:c>
      <x:c r="D340" s="34" t="str">
        <x:v>P1</x:v>
      </x:c>
      <x:c r="E340" s="34" t="str">
        <x:v>지연·현물조달</x:v>
      </x:c>
      <x:c r="F340" s="34" t="str">
        <x:v>PORT-9D6D0AEF4524</x:v>
      </x:c>
      <x:c r="G340" s="34" t="str">
        <x:v>DISCLOSED_PATH</x:v>
      </x:c>
      <x:c r="H340" s="34" t="n">
        <x:v>5</x:v>
      </x:c>
      <x:c r="I340" s="34" t="n">
        <x:v>2029</x:v>
      </x:c>
      <x:c r="J340" s="34" t="n">
        <x:v>2038</x:v>
      </x:c>
      <x:c r="K340" s="34" t="n">
        <x:v>0</x:v>
      </x:c>
      <x:c r="L340" s="34" t="n">
        <x:v>0.372751</x:v>
      </x:c>
      <x:c r="M340" s="34" t="n">
        <x:v>0.627249</x:v>
      </x:c>
      <x:c r="N340" s="34" t="n">
        <x:v>0</x:v>
      </x:c>
      <x:c r="O340" s="34" t="n">
        <x:v>0</x:v>
      </x:c>
      <x:c r="P340" s="34" t="n">
        <x:v>0</x:v>
      </x:c>
      <x:c r="Q340" s="34" t="n">
        <x:v>0.1</x:v>
      </x:c>
      <x:c r="R340" s="34" t="n">
        <x:v>0</x:v>
      </x:c>
      <x:c r="S340" s="34" t="n">
        <x:v>0</x:v>
      </x:c>
      <x:c r="T340" s="34" t="n">
        <x:v>481.753949</x:v>
      </x:c>
      <x:c r="U340" s="34" t="str">
        <x:v>NS-EAST:H2_DRI_EAF:2034|NS-KANSAI:H2_DRI_EAF:2036|NS-KYUSHU:H2_DRI_EAF:2029|NS-NAGOYA:SCRAP_EAF:2032|NS-SETOUCHI:SCRAP_EAF:2038</x:v>
      </x:c>
      <x:c r="V340" s="34" t="str">
        <x:v>model_generated_candidate</x:v>
      </x:c>
      <x:c r="W340" s="34" t="str">
        <x:v>Generated from disclosed-path facility calendar, technology set and template contracting assumptions; not a company-announced project</x:v>
      </x:c>
    </x:row>
    <x:row r="341">
      <x:c r="A341" s="34" t="str">
        <x:v>CAND-3DAE6A1DA025A3</x:v>
      </x:c>
      <x:c r="B341" s="34" t="str">
        <x:v>NIPPON_STEEL_JP</x:v>
      </x:c>
      <x:c r="C341" s="34" t="str">
        <x:v>Nippon Steel</x:v>
      </x:c>
      <x:c r="D341" s="34" t="str">
        <x:v>P3</x:v>
      </x:c>
      <x:c r="E341" s="34" t="str">
        <x:v>균형형 라이트헤지</x:v>
      </x:c>
      <x:c r="F341" s="34" t="str">
        <x:v>PORT-4FC217565C3B</x:v>
      </x:c>
      <x:c r="G341" s="34" t="str">
        <x:v>DISCLOSED_PATH</x:v>
      </x:c>
      <x:c r="H341" s="34" t="n">
        <x:v>5</x:v>
      </x:c>
      <x:c r="I341" s="34" t="n">
        <x:v>2029</x:v>
      </x:c>
      <x:c r="J341" s="34" t="n">
        <x:v>2038</x:v>
      </x:c>
      <x:c r="K341" s="34" t="n">
        <x:v>0.341902</x:v>
      </x:c>
      <x:c r="L341" s="34" t="n">
        <x:v>0.208226</x:v>
      </x:c>
      <x:c r="M341" s="34" t="n">
        <x:v>0.449871</x:v>
      </x:c>
      <x:c r="N341" s="34" t="n">
        <x:v>0</x:v>
      </x:c>
      <x:c r="O341" s="34" t="n">
        <x:v>0.3</x:v>
      </x:c>
      <x:c r="P341" s="34" t="n">
        <x:v>0.25</x:v>
      </x:c>
      <x:c r="Q341" s="34" t="n">
        <x:v>0.35</x:v>
      </x:c>
      <x:c r="R341" s="34" t="n">
        <x:v>0.25</x:v>
      </x:c>
      <x:c r="S341" s="34" t="n">
        <x:v>0.015</x:v>
      </x:c>
      <x:c r="T341" s="34" t="n">
        <x:v>345.368967</x:v>
      </x:c>
      <x:c r="U341" s="34" t="str">
        <x:v>NS-EAST:SCRAP_EAF:2034|NS-KANSAI:BF_RELINE:2036|NS-KYUSHU:H2_DRI_EAF:2029|NS-NAGOYA:BF_RELINE:2032|NS-SETOUCHI:H2_DRI_EAF:2038</x:v>
      </x:c>
      <x:c r="V341" s="34" t="str">
        <x:v>model_generated_candidate</x:v>
      </x:c>
      <x:c r="W341" s="34" t="str">
        <x:v>Generated from disclosed-path facility calendar, technology set and template contracting assumptions; not a company-announced project</x:v>
      </x:c>
    </x:row>
    <x:row r="342">
      <x:c r="A342" s="34" t="str">
        <x:v>CAND-3DE8D6197F9834</x:v>
      </x:c>
      <x:c r="B342" s="34" t="str">
        <x:v>NIPPON_STEEL_JP</x:v>
      </x:c>
      <x:c r="C342" s="34" t="str">
        <x:v>Nippon Steel</x:v>
      </x:c>
      <x:c r="D342" s="34" t="str">
        <x:v>P3</x:v>
      </x:c>
      <x:c r="E342" s="34" t="str">
        <x:v>균형형 라이트헤지</x:v>
      </x:c>
      <x:c r="F342" s="34" t="str">
        <x:v>PORT-7F141003EFD9</x:v>
      </x:c>
      <x:c r="G342" s="34" t="str">
        <x:v>DISCLOSED_PATH</x:v>
      </x:c>
      <x:c r="H342" s="34" t="n">
        <x:v>5</x:v>
      </x:c>
      <x:c r="I342" s="34" t="n">
        <x:v>2029</x:v>
      </x:c>
      <x:c r="J342" s="34" t="n">
        <x:v>2038</x:v>
      </x:c>
      <x:c r="K342" s="34" t="n">
        <x:v>0</x:v>
      </x:c>
      <x:c r="L342" s="34" t="n">
        <x:v>0.419023</x:v>
      </x:c>
      <x:c r="M342" s="34" t="n">
        <x:v>0.580977</x:v>
      </x:c>
      <x:c r="N342" s="34" t="n">
        <x:v>0</x:v>
      </x:c>
      <x:c r="O342" s="34" t="n">
        <x:v>0.3</x:v>
      </x:c>
      <x:c r="P342" s="34" t="n">
        <x:v>0.25</x:v>
      </x:c>
      <x:c r="Q342" s="34" t="n">
        <x:v>0.35</x:v>
      </x:c>
      <x:c r="R342" s="34" t="n">
        <x:v>0.25</x:v>
      </x:c>
      <x:c r="S342" s="34" t="n">
        <x:v>0.015</x:v>
      </x:c>
      <x:c r="T342" s="34" t="n">
        <x:v>466.428943</x:v>
      </x:c>
      <x:c r="U342" s="34" t="str">
        <x:v>NS-EAST:H2_DRI_EAF:2034|NS-KANSAI:SCRAP_EAF:2036|NS-KYUSHU:SCRAP_EAF:2029|NS-NAGOYA:H2_DRI_EAF:2032|NS-SETOUCHI:H2_DRI_EAF:2038</x:v>
      </x:c>
      <x:c r="V342" s="34" t="str">
        <x:v>model_generated_candidate</x:v>
      </x:c>
      <x:c r="W342" s="34" t="str">
        <x:v>Generated from disclosed-path facility calendar, technology set and template contracting assumptions; not a company-announced project</x:v>
      </x:c>
    </x:row>
    <x:row r="343">
      <x:c r="A343" s="34" t="str">
        <x:v>CAND-3E867AE3AC41B1</x:v>
      </x:c>
      <x:c r="B343" s="34" t="str">
        <x:v>NIPPON_STEEL_JP</x:v>
      </x:c>
      <x:c r="C343" s="34" t="str">
        <x:v>Nippon Steel</x:v>
      </x:c>
      <x:c r="D343" s="34" t="str">
        <x:v>P2</x:v>
      </x:c>
      <x:c r="E343" s="34" t="str">
        <x:v>지연·부분헤지</x:v>
      </x:c>
      <x:c r="F343" s="34" t="str">
        <x:v>PORT-EDF18767D12A</x:v>
      </x:c>
      <x:c r="G343" s="34" t="str">
        <x:v>DISCLOSED_PATH</x:v>
      </x:c>
      <x:c r="H343" s="34" t="n">
        <x:v>5</x:v>
      </x:c>
      <x:c r="I343" s="34" t="n">
        <x:v>2029</x:v>
      </x:c>
      <x:c r="J343" s="34" t="n">
        <x:v>2038</x:v>
      </x:c>
      <x:c r="K343" s="34" t="n">
        <x:v>0.179949</x:v>
      </x:c>
      <x:c r="L343" s="34" t="n">
        <x:v>0.161954</x:v>
      </x:c>
      <x:c r="M343" s="34" t="n">
        <x:v>0.658098</x:v>
      </x:c>
      <x:c r="N343" s="34" t="n">
        <x:v>0</x:v>
      </x:c>
      <x:c r="O343" s="34" t="n">
        <x:v>0.15</x:v>
      </x:c>
      <x:c r="P343" s="34" t="n">
        <x:v>0.1</x:v>
      </x:c>
      <x:c r="Q343" s="34" t="n">
        <x:v>0.2</x:v>
      </x:c>
      <x:c r="R343" s="34" t="n">
        <x:v>0.1</x:v>
      </x:c>
      <x:c r="S343" s="34" t="n">
        <x:v>0.01</x:v>
      </x:c>
      <x:c r="T343" s="34" t="n">
        <x:v>398.568974</x:v>
      </x:c>
      <x:c r="U343" s="34" t="str">
        <x:v>NS-EAST:H2_DRI_EAF:2034|NS-KANSAI:SCRAP_EAF:2036|NS-KYUSHU:H2_DRI_EAF:2029|NS-NAGOYA:BF_RELINE:2032|NS-SETOUCHI:H2_DRI_EAF:2038</x:v>
      </x:c>
      <x:c r="V343" s="34" t="str">
        <x:v>model_generated_candidate</x:v>
      </x:c>
      <x:c r="W343" s="34" t="str">
        <x:v>Generated from disclosed-path facility calendar, technology set and template contracting assumptions; not a company-announced project</x:v>
      </x:c>
    </x:row>
    <x:row r="344">
      <x:c r="A344" s="34" t="str">
        <x:v>CAND-3E96EFC81809D0</x:v>
      </x:c>
      <x:c r="B344" s="34" t="str">
        <x:v>NIPPON_STEEL_JP</x:v>
      </x:c>
      <x:c r="C344" s="34" t="str">
        <x:v>Nippon Steel</x:v>
      </x:c>
      <x:c r="D344" s="34" t="str">
        <x:v>P1</x:v>
      </x:c>
      <x:c r="E344" s="34" t="str">
        <x:v>지연·현물조달</x:v>
      </x:c>
      <x:c r="F344" s="34" t="str">
        <x:v>PORT-413ECF7F1B83</x:v>
      </x:c>
      <x:c r="G344" s="34" t="str">
        <x:v>DISCLOSED_PATH</x:v>
      </x:c>
      <x:c r="H344" s="34" t="n">
        <x:v>5</x:v>
      </x:c>
      <x:c r="I344" s="34" t="n">
        <x:v>2029</x:v>
      </x:c>
      <x:c r="J344" s="34" t="n">
        <x:v>2038</x:v>
      </x:c>
      <x:c r="K344" s="34" t="n">
        <x:v>0.257069</x:v>
      </x:c>
      <x:c r="L344" s="34" t="n">
        <x:v>0.534704</x:v>
      </x:c>
      <x:c r="M344" s="34" t="n">
        <x:v>0.208226</x:v>
      </x:c>
      <x:c r="N344" s="34" t="n">
        <x:v>0</x:v>
      </x:c>
      <x:c r="O344" s="34" t="n">
        <x:v>0</x:v>
      </x:c>
      <x:c r="P344" s="34" t="n">
        <x:v>0</x:v>
      </x:c>
      <x:c r="Q344" s="34" t="n">
        <x:v>0.1</x:v>
      </x:c>
      <x:c r="R344" s="34" t="n">
        <x:v>0</x:v>
      </x:c>
      <x:c r="S344" s="34" t="n">
        <x:v>0</x:v>
      </x:c>
      <x:c r="T344" s="34" t="n">
        <x:v>291.153948</x:v>
      </x:c>
      <x:c r="U344" s="34" t="str">
        <x:v>NS-EAST:H2_DRI_EAF:2034|NS-KANSAI:SCRAP_EAF:2036|NS-KYUSHU:BF_RELINE:2029|NS-NAGOYA:SCRAP_EAF:2032|NS-SETOUCHI:SCRAP_EAF:2038</x:v>
      </x:c>
      <x:c r="V344" s="34" t="str">
        <x:v>model_generated_candidate</x:v>
      </x:c>
      <x:c r="W344" s="34" t="str">
        <x:v>Generated from disclosed-path facility calendar, technology set and template contracting assumptions; not a company-announced project</x:v>
      </x:c>
    </x:row>
    <x:row r="345">
      <x:c r="A345" s="34" t="str">
        <x:v>CAND-3EA33E7BC29133</x:v>
      </x:c>
      <x:c r="B345" s="34" t="str">
        <x:v>NIPPON_STEEL_JP</x:v>
      </x:c>
      <x:c r="C345" s="34" t="str">
        <x:v>Nippon Steel</x:v>
      </x:c>
      <x:c r="D345" s="34" t="str">
        <x:v>P1</x:v>
      </x:c>
      <x:c r="E345" s="34" t="str">
        <x:v>지연·현물조달</x:v>
      </x:c>
      <x:c r="F345" s="34" t="str">
        <x:v>PORT-E7B35CB7C0D2</x:v>
      </x:c>
      <x:c r="G345" s="34" t="str">
        <x:v>DISCLOSED_PATH</x:v>
      </x:c>
      <x:c r="H345" s="34" t="n">
        <x:v>5</x:v>
      </x:c>
      <x:c r="I345" s="34" t="n">
        <x:v>2029</x:v>
      </x:c>
      <x:c r="J345" s="34" t="n">
        <x:v>2038</x:v>
      </x:c>
      <x:c r="K345" s="34" t="n">
        <x:v>0.192802</x:v>
      </x:c>
      <x:c r="L345" s="34" t="n">
        <x:v>0.465296</x:v>
      </x:c>
      <x:c r="M345" s="34" t="n">
        <x:v>0.341902</x:v>
      </x:c>
      <x:c r="N345" s="34" t="n">
        <x:v>0</x:v>
      </x:c>
      <x:c r="O345" s="34" t="n">
        <x:v>0</x:v>
      </x:c>
      <x:c r="P345" s="34" t="n">
        <x:v>0</x:v>
      </x:c>
      <x:c r="Q345" s="34" t="n">
        <x:v>0.1</x:v>
      </x:c>
      <x:c r="R345" s="34" t="n">
        <x:v>0</x:v>
      </x:c>
      <x:c r="S345" s="34" t="n">
        <x:v>0</x:v>
      </x:c>
      <x:c r="T345" s="34" t="n">
        <x:v>428.698943</x:v>
      </x:c>
      <x:c r="U345" s="34" t="str">
        <x:v>NS-EAST:SCRAP_EAF:2034|NS-KANSAI:H2_DRI_EAF:2036|NS-KYUSHU:SCRAP_EAF:2029|NS-NAGOYA:H2_DRI_EAF:2032|NS-SETOUCHI:BF_RELINE:2038</x:v>
      </x:c>
      <x:c r="V345" s="34" t="str">
        <x:v>model_generated_candidate</x:v>
      </x:c>
      <x:c r="W345" s="34" t="str">
        <x:v>Generated from disclosed-path facility calendar, technology set and template contracting assumptions; not a company-announced project</x:v>
      </x:c>
    </x:row>
    <x:row r="346">
      <x:c r="A346" s="34" t="str">
        <x:v>CAND-3F0E54D196E84E</x:v>
      </x:c>
      <x:c r="B346" s="34" t="str">
        <x:v>NIPPON_STEEL_JP</x:v>
      </x:c>
      <x:c r="C346" s="34" t="str">
        <x:v>Nippon Steel</x:v>
      </x:c>
      <x:c r="D346" s="34" t="str">
        <x:v>P1</x:v>
      </x:c>
      <x:c r="E346" s="34" t="str">
        <x:v>지연·현물조달</x:v>
      </x:c>
      <x:c r="F346" s="34" t="str">
        <x:v>PORT-BA0215B7029E</x:v>
      </x:c>
      <x:c r="G346" s="34" t="str">
        <x:v>DISCLOSED_PATH</x:v>
      </x:c>
      <x:c r="H346" s="34" t="n">
        <x:v>5</x:v>
      </x:c>
      <x:c r="I346" s="34" t="n">
        <x:v>2029</x:v>
      </x:c>
      <x:c r="J346" s="34" t="n">
        <x:v>2038</x:v>
      </x:c>
      <x:c r="K346" s="34" t="n">
        <x:v>0.192802</x:v>
      </x:c>
      <x:c r="L346" s="34" t="n">
        <x:v>0.419023</x:v>
      </x:c>
      <x:c r="M346" s="34" t="n">
        <x:v>0.388175</x:v>
      </x:c>
      <x:c r="N346" s="34" t="n">
        <x:v>0</x:v>
      </x:c>
      <x:c r="O346" s="34" t="n">
        <x:v>0</x:v>
      </x:c>
      <x:c r="P346" s="34" t="n">
        <x:v>0</x:v>
      </x:c>
      <x:c r="Q346" s="34" t="n">
        <x:v>0.1</x:v>
      </x:c>
      <x:c r="R346" s="34" t="n">
        <x:v>0</x:v>
      </x:c>
      <x:c r="S346" s="34" t="n">
        <x:v>0</x:v>
      </x:c>
      <x:c r="T346" s="34" t="n">
        <x:v>434.298943</x:v>
      </x:c>
      <x:c r="U346" s="34" t="str">
        <x:v>NS-EAST:H2_DRI_EAF:2034|NS-KANSAI:SCRAP_EAF:2036|NS-KYUSHU:SCRAP_EAF:2029|NS-NAGOYA:H2_DRI_EAF:2032|NS-SETOUCHI:BF_RELINE:2038</x:v>
      </x:c>
      <x:c r="V346" s="34" t="str">
        <x:v>model_generated_candidate</x:v>
      </x:c>
      <x:c r="W346" s="34" t="str">
        <x:v>Generated from disclosed-path facility calendar, technology set and template contracting assumptions; not a company-announced project</x:v>
      </x:c>
    </x:row>
    <x:row r="347">
      <x:c r="A347" s="34" t="str">
        <x:v>CAND-40AB86DD5DFE65</x:v>
      </x:c>
      <x:c r="B347" s="34" t="str">
        <x:v>NIPPON_STEEL_JP</x:v>
      </x:c>
      <x:c r="C347" s="34" t="str">
        <x:v>Nippon Steel</x:v>
      </x:c>
      <x:c r="D347" s="34" t="str">
        <x:v>P3</x:v>
      </x:c>
      <x:c r="E347" s="34" t="str">
        <x:v>균형형 라이트헤지</x:v>
      </x:c>
      <x:c r="F347" s="34" t="str">
        <x:v>PORT-243FA04FE940</x:v>
      </x:c>
      <x:c r="G347" s="34" t="str">
        <x:v>DISCLOSED_PATH</x:v>
      </x:c>
      <x:c r="H347" s="34" t="n">
        <x:v>5</x:v>
      </x:c>
      <x:c r="I347" s="34" t="n">
        <x:v>2029</x:v>
      </x:c>
      <x:c r="J347" s="34" t="n">
        <x:v>2038</x:v>
      </x:c>
      <x:c r="K347" s="34" t="n">
        <x:v>0.62982</x:v>
      </x:c>
      <x:c r="L347" s="34" t="n">
        <x:v>0</x:v>
      </x:c>
      <x:c r="M347" s="34" t="n">
        <x:v>0.37018</x:v>
      </x:c>
      <x:c r="N347" s="34" t="n">
        <x:v>0</x:v>
      </x:c>
      <x:c r="O347" s="34" t="n">
        <x:v>0.3</x:v>
      </x:c>
      <x:c r="P347" s="34" t="n">
        <x:v>0.25</x:v>
      </x:c>
      <x:c r="Q347" s="34" t="n">
        <x:v>0.35</x:v>
      </x:c>
      <x:c r="R347" s="34" t="n">
        <x:v>0.25</x:v>
      </x:c>
      <x:c r="S347" s="34" t="n">
        <x:v>0.015</x:v>
      </x:c>
      <x:c r="T347" s="34" t="n">
        <x:v>189.838975</x:v>
      </x:c>
      <x:c r="U347" s="34" t="str">
        <x:v>NS-EAST:H2_DRI_EAF:2034|NS-KANSAI:H2_DRI_EAF:2036|NS-KYUSHU:BF_RELINE:2029|NS-NAGOYA:BF_RELINE:2032|NS-SETOUCHI:BF_RELINE:2038</x:v>
      </x:c>
      <x:c r="V347" s="34" t="str">
        <x:v>model_generated_candidate</x:v>
      </x:c>
      <x:c r="W347" s="34" t="str">
        <x:v>Generated from disclosed-path facility calendar, technology set and template contracting assumptions; not a company-announced project</x:v>
      </x:c>
    </x:row>
    <x:row r="348">
      <x:c r="A348" s="34" t="str">
        <x:v>CAND-40F4CBA7C91A01</x:v>
      </x:c>
      <x:c r="B348" s="34" t="str">
        <x:v>NIPPON_STEEL_JP</x:v>
      </x:c>
      <x:c r="C348" s="34" t="str">
        <x:v>Nippon Steel</x:v>
      </x:c>
      <x:c r="D348" s="34" t="str">
        <x:v>P1</x:v>
      </x:c>
      <x:c r="E348" s="34" t="str">
        <x:v>지연·현물조달</x:v>
      </x:c>
      <x:c r="F348" s="34" t="str">
        <x:v>PORT-5ACD5D586F5E</x:v>
      </x:c>
      <x:c r="G348" s="34" t="str">
        <x:v>DISCLOSED_PATH</x:v>
      </x:c>
      <x:c r="H348" s="34" t="n">
        <x:v>5</x:v>
      </x:c>
      <x:c r="I348" s="34" t="n">
        <x:v>2029</x:v>
      </x:c>
      <x:c r="J348" s="34" t="n">
        <x:v>2038</x:v>
      </x:c>
      <x:c r="K348" s="34" t="n">
        <x:v>0.192802</x:v>
      </x:c>
      <x:c r="L348" s="34" t="n">
        <x:v>0.627249</x:v>
      </x:c>
      <x:c r="M348" s="34" t="n">
        <x:v>0.179949</x:v>
      </x:c>
      <x:c r="N348" s="34" t="n">
        <x:v>0</x:v>
      </x:c>
      <x:c r="O348" s="34" t="n">
        <x:v>0</x:v>
      </x:c>
      <x:c r="P348" s="34" t="n">
        <x:v>0</x:v>
      </x:c>
      <x:c r="Q348" s="34" t="n">
        <x:v>0.1</x:v>
      </x:c>
      <x:c r="R348" s="34" t="n">
        <x:v>0</x:v>
      </x:c>
      <x:c r="S348" s="34" t="n">
        <x:v>0</x:v>
      </x:c>
      <x:c r="T348" s="34" t="n">
        <x:v>421.698942</x:v>
      </x:c>
      <x:c r="U348" s="34" t="str">
        <x:v>NS-EAST:SCRAP_EAF:2034|NS-KANSAI:SCRAP_EAF:2036|NS-KYUSHU:SCRAP_EAF:2029|NS-NAGOYA:H2_DRI_EAF:2032|NS-SETOUCHI:BF_RELINE:2038</x:v>
      </x:c>
      <x:c r="V348" s="34" t="str">
        <x:v>model_generated_candidate</x:v>
      </x:c>
      <x:c r="W348" s="34" t="str">
        <x:v>Generated from disclosed-path facility calendar, technology set and template contracting assumptions; not a company-announced project</x:v>
      </x:c>
    </x:row>
    <x:row r="349">
      <x:c r="A349" s="34" t="str">
        <x:v>CAND-41147A86C6CC6A</x:v>
      </x:c>
      <x:c r="B349" s="34" t="str">
        <x:v>NIPPON_STEEL_JP</x:v>
      </x:c>
      <x:c r="C349" s="34" t="str">
        <x:v>Nippon Steel</x:v>
      </x:c>
      <x:c r="D349" s="34" t="str">
        <x:v>P2</x:v>
      </x:c>
      <x:c r="E349" s="34" t="str">
        <x:v>지연·부분헤지</x:v>
      </x:c>
      <x:c r="F349" s="34" t="str">
        <x:v>PORT-38535C2DEC41</x:v>
      </x:c>
      <x:c r="G349" s="34" t="str">
        <x:v>DISCLOSED_PATH</x:v>
      </x:c>
      <x:c r="H349" s="34" t="n">
        <x:v>5</x:v>
      </x:c>
      <x:c r="I349" s="34" t="n">
        <x:v>2029</x:v>
      </x:c>
      <x:c r="J349" s="34" t="n">
        <x:v>2038</x:v>
      </x:c>
      <x:c r="K349" s="34" t="n">
        <x:v>0.341902</x:v>
      </x:c>
      <x:c r="L349" s="34" t="n">
        <x:v>0.192802</x:v>
      </x:c>
      <x:c r="M349" s="34" t="n">
        <x:v>0.465296</x:v>
      </x:c>
      <x:c r="N349" s="34" t="n">
        <x:v>0</x:v>
      </x:c>
      <x:c r="O349" s="34" t="n">
        <x:v>0.15</x:v>
      </x:c>
      <x:c r="P349" s="34" t="n">
        <x:v>0.1</x:v>
      </x:c>
      <x:c r="Q349" s="34" t="n">
        <x:v>0.2</x:v>
      </x:c>
      <x:c r="R349" s="34" t="n">
        <x:v>0.1</x:v>
      </x:c>
      <x:c r="S349" s="34" t="n">
        <x:v>0.01</x:v>
      </x:c>
      <x:c r="T349" s="34" t="n">
        <x:v>353.243969</x:v>
      </x:c>
      <x:c r="U349" s="34" t="str">
        <x:v>NS-EAST:H2_DRI_EAF:2034|NS-KANSAI:BF_RELINE:2036|NS-KYUSHU:H2_DRI_EAF:2029|NS-NAGOYA:BF_RELINE:2032|NS-SETOUCHI:SCRAP_EAF:2038</x:v>
      </x:c>
      <x:c r="V349" s="34" t="str">
        <x:v>model_generated_candidate</x:v>
      </x:c>
      <x:c r="W349" s="34" t="str">
        <x:v>Generated from disclosed-path facility calendar, technology set and template contracting assumptions; not a company-announced project</x:v>
      </x:c>
    </x:row>
    <x:row r="350">
      <x:c r="A350" s="34" t="str">
        <x:v>CAND-4283B64732024A</x:v>
      </x:c>
      <x:c r="B350" s="34" t="str">
        <x:v>NIPPON_STEEL_JP</x:v>
      </x:c>
      <x:c r="C350" s="34" t="str">
        <x:v>Nippon Steel</x:v>
      </x:c>
      <x:c r="D350" s="34" t="str">
        <x:v>P3</x:v>
      </x:c>
      <x:c r="E350" s="34" t="str">
        <x:v>균형형 라이트헤지</x:v>
      </x:c>
      <x:c r="F350" s="34" t="str">
        <x:v>PORT-D71AD7929180</x:v>
      </x:c>
      <x:c r="G350" s="34" t="str">
        <x:v>DISCLOSED_PATH</x:v>
      </x:c>
      <x:c r="H350" s="34" t="n">
        <x:v>5</x:v>
      </x:c>
      <x:c r="I350" s="34" t="n">
        <x:v>2029</x:v>
      </x:c>
      <x:c r="J350" s="34" t="n">
        <x:v>2038</x:v>
      </x:c>
      <x:c r="K350" s="34" t="n">
        <x:v>0.372751</x:v>
      </x:c>
      <x:c r="L350" s="34" t="n">
        <x:v>0.161954</x:v>
      </x:c>
      <x:c r="M350" s="34" t="n">
        <x:v>0.465296</x:v>
      </x:c>
      <x:c r="N350" s="34" t="n">
        <x:v>0</x:v>
      </x:c>
      <x:c r="O350" s="34" t="n">
        <x:v>0.3</x:v>
      </x:c>
      <x:c r="P350" s="34" t="n">
        <x:v>0.25</x:v>
      </x:c>
      <x:c r="Q350" s="34" t="n">
        <x:v>0.35</x:v>
      </x:c>
      <x:c r="R350" s="34" t="n">
        <x:v>0.25</x:v>
      </x:c>
      <x:c r="S350" s="34" t="n">
        <x:v>0.015</x:v>
      </x:c>
      <x:c r="T350" s="34" t="n">
        <x:v>366.438974</x:v>
      </x:c>
      <x:c r="U350" s="34" t="str">
        <x:v>NS-EAST:H2_DRI_EAF:2034|NS-KANSAI:SCRAP_EAF:2036|NS-KYUSHU:H2_DRI_EAF:2029|NS-NAGOYA:BF_RELINE:2032|NS-SETOUCHI:BF_RELINE:2038</x:v>
      </x:c>
      <x:c r="V350" s="34" t="str">
        <x:v>model_generated_candidate</x:v>
      </x:c>
      <x:c r="W350" s="34" t="str">
        <x:v>Generated from disclosed-path facility calendar, technology set and template contracting assumptions; not a company-announced project</x:v>
      </x:c>
    </x:row>
    <x:row r="351">
      <x:c r="A351" s="34" t="str">
        <x:v>CAND-42EB7DBE6A04AD</x:v>
      </x:c>
      <x:c r="B351" s="34" t="str">
        <x:v>NIPPON_STEEL_JP</x:v>
      </x:c>
      <x:c r="C351" s="34" t="str">
        <x:v>Nippon Steel</x:v>
      </x:c>
      <x:c r="D351" s="34" t="str">
        <x:v>P2</x:v>
      </x:c>
      <x:c r="E351" s="34" t="str">
        <x:v>지연·부분헤지</x:v>
      </x:c>
      <x:c r="F351" s="34" t="str">
        <x:v>PORT-17AB13B46286</x:v>
      </x:c>
      <x:c r="G351" s="34" t="str">
        <x:v>DISCLOSED_PATH</x:v>
      </x:c>
      <x:c r="H351" s="34" t="n">
        <x:v>5</x:v>
      </x:c>
      <x:c r="I351" s="34" t="n">
        <x:v>2029</x:v>
      </x:c>
      <x:c r="J351" s="34" t="n">
        <x:v>2038</x:v>
      </x:c>
      <x:c r="K351" s="34" t="n">
        <x:v>0.179949</x:v>
      </x:c>
      <x:c r="L351" s="34" t="n">
        <x:v>0.37018</x:v>
      </x:c>
      <x:c r="M351" s="34" t="n">
        <x:v>0.449871</x:v>
      </x:c>
      <x:c r="N351" s="34" t="n">
        <x:v>0</x:v>
      </x:c>
      <x:c r="O351" s="34" t="n">
        <x:v>0.15</x:v>
      </x:c>
      <x:c r="P351" s="34" t="n">
        <x:v>0.1</x:v>
      </x:c>
      <x:c r="Q351" s="34" t="n">
        <x:v>0.2</x:v>
      </x:c>
      <x:c r="R351" s="34" t="n">
        <x:v>0.1</x:v>
      </x:c>
      <x:c r="S351" s="34" t="n">
        <x:v>0.01</x:v>
      </x:c>
      <x:c r="T351" s="34" t="n">
        <x:v>385.968972</x:v>
      </x:c>
      <x:c r="U351" s="34" t="str">
        <x:v>NS-EAST:SCRAP_EAF:2034|NS-KANSAI:SCRAP_EAF:2036|NS-KYUSHU:H2_DRI_EAF:2029|NS-NAGOYA:BF_RELINE:2032|NS-SETOUCHI:H2_DRI_EAF:2038</x:v>
      </x:c>
      <x:c r="V351" s="34" t="str">
        <x:v>model_generated_candidate</x:v>
      </x:c>
      <x:c r="W351" s="34" t="str">
        <x:v>Generated from disclosed-path facility calendar, technology set and template contracting assumptions; not a company-announced project</x:v>
      </x:c>
    </x:row>
    <x:row r="352">
      <x:c r="A352" s="34" t="str">
        <x:v>CAND-43633E7456CA0E</x:v>
      </x:c>
      <x:c r="B352" s="34" t="str">
        <x:v>NIPPON_STEEL_JP</x:v>
      </x:c>
      <x:c r="C352" s="34" t="str">
        <x:v>Nippon Steel</x:v>
      </x:c>
      <x:c r="D352" s="34" t="str">
        <x:v>P2</x:v>
      </x:c>
      <x:c r="E352" s="34" t="str">
        <x:v>지연·부분헤지</x:v>
      </x:c>
      <x:c r="F352" s="34" t="str">
        <x:v>PORT-01174EA2B96D</x:v>
      </x:c>
      <x:c r="G352" s="34" t="str">
        <x:v>DISCLOSED_PATH</x:v>
      </x:c>
      <x:c r="H352" s="34" t="n">
        <x:v>5</x:v>
      </x:c>
      <x:c r="I352" s="34" t="n">
        <x:v>2029</x:v>
      </x:c>
      <x:c r="J352" s="34" t="n">
        <x:v>2038</x:v>
      </x:c>
      <x:c r="K352" s="34" t="n">
        <x:v>0.580977</x:v>
      </x:c>
      <x:c r="L352" s="34" t="n">
        <x:v>0.161954</x:v>
      </x:c>
      <x:c r="M352" s="34" t="n">
        <x:v>0.257069</x:v>
      </x:c>
      <x:c r="N352" s="34" t="n">
        <x:v>0</x:v>
      </x:c>
      <x:c r="O352" s="34" t="n">
        <x:v>0.15</x:v>
      </x:c>
      <x:c r="P352" s="34" t="n">
        <x:v>0.1</x:v>
      </x:c>
      <x:c r="Q352" s="34" t="n">
        <x:v>0.2</x:v>
      </x:c>
      <x:c r="R352" s="34" t="n">
        <x:v>0.1</x:v>
      </x:c>
      <x:c r="S352" s="34" t="n">
        <x:v>0.01</x:v>
      </x:c>
      <x:c r="T352" s="34" t="n">
        <x:v>280.758963</x:v>
      </x:c>
      <x:c r="U352" s="34" t="str">
        <x:v>NS-EAST:BF_RELINE:2034|NS-KANSAI:SCRAP_EAF:2036|NS-KYUSHU:H2_DRI_EAF:2029|NS-NAGOYA:BF_RELINE:2032|NS-SETOUCHI:BF_RELINE:2038</x:v>
      </x:c>
      <x:c r="V352" s="34" t="str">
        <x:v>model_generated_candidate</x:v>
      </x:c>
      <x:c r="W352" s="34" t="str">
        <x:v>Generated from disclosed-path facility calendar, technology set and template contracting assumptions; not a company-announced project</x:v>
      </x:c>
    </x:row>
    <x:row r="353">
      <x:c r="A353" s="34" t="str">
        <x:v>CAND-43ED54F71B5B31</x:v>
      </x:c>
      <x:c r="B353" s="34" t="str">
        <x:v>NIPPON_STEEL_JP</x:v>
      </x:c>
      <x:c r="C353" s="34" t="str">
        <x:v>Nippon Steel</x:v>
      </x:c>
      <x:c r="D353" s="34" t="str">
        <x:v>P2</x:v>
      </x:c>
      <x:c r="E353" s="34" t="str">
        <x:v>지연·부분헤지</x:v>
      </x:c>
      <x:c r="F353" s="34" t="str">
        <x:v>PORT-00A7244DC13E</x:v>
      </x:c>
      <x:c r="G353" s="34" t="str">
        <x:v>DISCLOSED_PATH</x:v>
      </x:c>
      <x:c r="H353" s="34" t="n">
        <x:v>5</x:v>
      </x:c>
      <x:c r="I353" s="34" t="n">
        <x:v>2029</x:v>
      </x:c>
      <x:c r="J353" s="34" t="n">
        <x:v>2038</x:v>
      </x:c>
      <x:c r="K353" s="34" t="n">
        <x:v>0.179949</x:v>
      </x:c>
      <x:c r="L353" s="34" t="n">
        <x:v>0.611825</x:v>
      </x:c>
      <x:c r="M353" s="34" t="n">
        <x:v>0.208226</x:v>
      </x:c>
      <x:c r="N353" s="34" t="n">
        <x:v>0</x:v>
      </x:c>
      <x:c r="O353" s="34" t="n">
        <x:v>0.15</x:v>
      </x:c>
      <x:c r="P353" s="34" t="n">
        <x:v>0.1</x:v>
      </x:c>
      <x:c r="Q353" s="34" t="n">
        <x:v>0.2</x:v>
      </x:c>
      <x:c r="R353" s="34" t="n">
        <x:v>0.1</x:v>
      </x:c>
      <x:c r="S353" s="34" t="n">
        <x:v>0.01</x:v>
      </x:c>
      <x:c r="T353" s="34" t="n">
        <x:v>366.843974</x:v>
      </x:c>
      <x:c r="U353" s="34" t="str">
        <x:v>NS-EAST:H2_DRI_EAF:2034|NS-KANSAI:SCRAP_EAF:2036|NS-KYUSHU:SCRAP_EAF:2029|NS-NAGOYA:BF_RELINE:2032|NS-SETOUCHI:SCRAP_EAF:2038</x:v>
      </x:c>
      <x:c r="V353" s="34" t="str">
        <x:v>model_generated_candidate</x:v>
      </x:c>
      <x:c r="W353" s="34" t="str">
        <x:v>Generated from disclosed-path facility calendar, technology set and template contracting assumptions; not a company-announced project</x:v>
      </x:c>
    </x:row>
    <x:row r="354">
      <x:c r="A354" s="34" t="str">
        <x:v>CAND-450CB289C8C9D2</x:v>
      </x:c>
      <x:c r="B354" s="34" t="str">
        <x:v>NIPPON_STEEL_JP</x:v>
      </x:c>
      <x:c r="C354" s="34" t="str">
        <x:v>Nippon Steel</x:v>
      </x:c>
      <x:c r="D354" s="34" t="str">
        <x:v>P1</x:v>
      </x:c>
      <x:c r="E354" s="34" t="str">
        <x:v>지연·현물조달</x:v>
      </x:c>
      <x:c r="F354" s="34" t="str">
        <x:v>PORT-00A7244DC13E</x:v>
      </x:c>
      <x:c r="G354" s="34" t="str">
        <x:v>DISCLOSED_PATH</x:v>
      </x:c>
      <x:c r="H354" s="34" t="n">
        <x:v>5</x:v>
      </x:c>
      <x:c r="I354" s="34" t="n">
        <x:v>2029</x:v>
      </x:c>
      <x:c r="J354" s="34" t="n">
        <x:v>2038</x:v>
      </x:c>
      <x:c r="K354" s="34" t="n">
        <x:v>0.179949</x:v>
      </x:c>
      <x:c r="L354" s="34" t="n">
        <x:v>0.611825</x:v>
      </x:c>
      <x:c r="M354" s="34" t="n">
        <x:v>0.208226</x:v>
      </x:c>
      <x:c r="N354" s="34" t="n">
        <x:v>0</x:v>
      </x:c>
      <x:c r="O354" s="34" t="n">
        <x:v>0</x:v>
      </x:c>
      <x:c r="P354" s="34" t="n">
        <x:v>0</x:v>
      </x:c>
      <x:c r="Q354" s="34" t="n">
        <x:v>0.1</x:v>
      </x:c>
      <x:c r="R354" s="34" t="n">
        <x:v>0</x:v>
      </x:c>
      <x:c r="S354" s="34" t="n">
        <x:v>0</x:v>
      </x:c>
      <x:c r="T354" s="34" t="n">
        <x:v>366.843974</x:v>
      </x:c>
      <x:c r="U354" s="34" t="str">
        <x:v>NS-EAST:H2_DRI_EAF:2034|NS-KANSAI:SCRAP_EAF:2036|NS-KYUSHU:SCRAP_EAF:2029|NS-NAGOYA:BF_RELINE:2032|NS-SETOUCHI:SCRAP_EAF:2038</x:v>
      </x:c>
      <x:c r="V354" s="34" t="str">
        <x:v>model_generated_candidate</x:v>
      </x:c>
      <x:c r="W354" s="34" t="str">
        <x:v>Generated from disclosed-path facility calendar, technology set and template contracting assumptions; not a company-announced project</x:v>
      </x:c>
    </x:row>
    <x:row r="355">
      <x:c r="A355" s="34" t="str">
        <x:v>CAND-45269D03AA5CA4</x:v>
      </x:c>
      <x:c r="B355" s="34" t="str">
        <x:v>NIPPON_STEEL_JP</x:v>
      </x:c>
      <x:c r="C355" s="34" t="str">
        <x:v>Nippon Steel</x:v>
      </x:c>
      <x:c r="D355" s="34" t="str">
        <x:v>P2</x:v>
      </x:c>
      <x:c r="E355" s="34" t="str">
        <x:v>지연·부분헤지</x:v>
      </x:c>
      <x:c r="F355" s="34" t="str">
        <x:v>PORT-5B51FD1C8E45</x:v>
      </x:c>
      <x:c r="G355" s="34" t="str">
        <x:v>DISCLOSED_PATH</x:v>
      </x:c>
      <x:c r="H355" s="34" t="n">
        <x:v>5</x:v>
      </x:c>
      <x:c r="I355" s="34" t="n">
        <x:v>2029</x:v>
      </x:c>
      <x:c r="J355" s="34" t="n">
        <x:v>2038</x:v>
      </x:c>
      <x:c r="K355" s="34" t="n">
        <x:v>0.179949</x:v>
      </x:c>
      <x:c r="L355" s="34" t="n">
        <x:v>0.257069</x:v>
      </x:c>
      <x:c r="M355" s="34" t="n">
        <x:v>0.562982</x:v>
      </x:c>
      <x:c r="N355" s="34" t="n">
        <x:v>0</x:v>
      </x:c>
      <x:c r="O355" s="34" t="n">
        <x:v>0.15</x:v>
      </x:c>
      <x:c r="P355" s="34" t="n">
        <x:v>0.1</x:v>
      </x:c>
      <x:c r="Q355" s="34" t="n">
        <x:v>0.2</x:v>
      </x:c>
      <x:c r="R355" s="34" t="n">
        <x:v>0.1</x:v>
      </x:c>
      <x:c r="S355" s="34" t="n">
        <x:v>0.01</x:v>
      </x:c>
      <x:c r="T355" s="34" t="n">
        <x:v>378.568975</x:v>
      </x:c>
      <x:c r="U355" s="34" t="str">
        <x:v>NS-EAST:H2_DRI_EAF:2034|NS-KANSAI:H2_DRI_EAF:2036|NS-KYUSHU:SCRAP_EAF:2029|NS-NAGOYA:BF_RELINE:2032|NS-SETOUCHI:H2_DRI_EAF:2038</x:v>
      </x:c>
      <x:c r="V355" s="34" t="str">
        <x:v>model_generated_candidate</x:v>
      </x:c>
      <x:c r="W355" s="34" t="str">
        <x:v>Generated from disclosed-path facility calendar, technology set and template contracting assumptions; not a company-announced project</x:v>
      </x:c>
    </x:row>
    <x:row r="356">
      <x:c r="A356" s="34" t="str">
        <x:v>CAND-45605758418B60</x:v>
      </x:c>
      <x:c r="B356" s="34" t="str">
        <x:v>NIPPON_STEEL_JP</x:v>
      </x:c>
      <x:c r="C356" s="34" t="str">
        <x:v>Nippon Steel</x:v>
      </x:c>
      <x:c r="D356" s="34" t="str">
        <x:v>P2</x:v>
      </x:c>
      <x:c r="E356" s="34" t="str">
        <x:v>지연·부분헤지</x:v>
      </x:c>
      <x:c r="F356" s="34" t="str">
        <x:v>PORT-3391EE4132D6</x:v>
      </x:c>
      <x:c r="G356" s="34" t="str">
        <x:v>DISCLOSED_PATH</x:v>
      </x:c>
      <x:c r="H356" s="34" t="n">
        <x:v>5</x:v>
      </x:c>
      <x:c r="I356" s="34" t="n">
        <x:v>2029</x:v>
      </x:c>
      <x:c r="J356" s="34" t="n">
        <x:v>2038</x:v>
      </x:c>
      <x:c r="K356" s="34" t="n">
        <x:v>0</x:v>
      </x:c>
      <x:c r="L356" s="34" t="n">
        <x:v>0.627249</x:v>
      </x:c>
      <x:c r="M356" s="34" t="n">
        <x:v>0.372751</x:v>
      </x:c>
      <x:c r="N356" s="34" t="n">
        <x:v>0</x:v>
      </x:c>
      <x:c r="O356" s="34" t="n">
        <x:v>0.15</x:v>
      </x:c>
      <x:c r="P356" s="34" t="n">
        <x:v>0.1</x:v>
      </x:c>
      <x:c r="Q356" s="34" t="n">
        <x:v>0.2</x:v>
      </x:c>
      <x:c r="R356" s="34" t="n">
        <x:v>0.1</x:v>
      </x:c>
      <x:c r="S356" s="34" t="n">
        <x:v>0.01</x:v>
      </x:c>
      <x:c r="T356" s="34" t="n">
        <x:v>453.828942</x:v>
      </x:c>
      <x:c r="U356" s="34" t="str">
        <x:v>NS-EAST:SCRAP_EAF:2034|NS-KANSAI:SCRAP_EAF:2036|NS-KYUSHU:SCRAP_EAF:2029|NS-NAGOYA:H2_DRI_EAF:2032|NS-SETOUCHI:H2_DRI_EAF:2038</x:v>
      </x:c>
      <x:c r="V356" s="34" t="str">
        <x:v>model_generated_candidate</x:v>
      </x:c>
      <x:c r="W356" s="34" t="str">
        <x:v>Generated from disclosed-path facility calendar, technology set and template contracting assumptions; not a company-announced project</x:v>
      </x:c>
    </x:row>
    <x:row r="357">
      <x:c r="A357" s="34" t="str">
        <x:v>CAND-458D573EF94374</x:v>
      </x:c>
      <x:c r="B357" s="34" t="str">
        <x:v>NIPPON_STEEL_JP</x:v>
      </x:c>
      <x:c r="C357" s="34" t="str">
        <x:v>Nippon Steel</x:v>
      </x:c>
      <x:c r="D357" s="34" t="str">
        <x:v>P3</x:v>
      </x:c>
      <x:c r="E357" s="34" t="str">
        <x:v>균형형 라이트헤지</x:v>
      </x:c>
      <x:c r="F357" s="34" t="str">
        <x:v>PORT-203CD7D2B6DE</x:v>
      </x:c>
      <x:c r="G357" s="34" t="str">
        <x:v>DISCLOSED_PATH</x:v>
      </x:c>
      <x:c r="H357" s="34" t="n">
        <x:v>5</x:v>
      </x:c>
      <x:c r="I357" s="34" t="n">
        <x:v>2029</x:v>
      </x:c>
      <x:c r="J357" s="34" t="n">
        <x:v>2038</x:v>
      </x:c>
      <x:c r="K357" s="34" t="n">
        <x:v>0.37018</x:v>
      </x:c>
      <x:c r="L357" s="34" t="n">
        <x:v>0.257069</x:v>
      </x:c>
      <x:c r="M357" s="34" t="n">
        <x:v>0.372751</x:v>
      </x:c>
      <x:c r="N357" s="34" t="n">
        <x:v>0</x:v>
      </x:c>
      <x:c r="O357" s="34" t="n">
        <x:v>0.3</x:v>
      </x:c>
      <x:c r="P357" s="34" t="n">
        <x:v>0.25</x:v>
      </x:c>
      <x:c r="Q357" s="34" t="n">
        <x:v>0.35</x:v>
      </x:c>
      <x:c r="R357" s="34" t="n">
        <x:v>0.25</x:v>
      </x:c>
      <x:c r="S357" s="34" t="n">
        <x:v>0.015</x:v>
      </x:c>
      <x:c r="T357" s="34" t="n">
        <x:v>340.148927</x:v>
      </x:c>
      <x:c r="U357" s="34" t="str">
        <x:v>NS-EAST:BF_RELINE:2034|NS-KANSAI:BF_RELINE:2036|NS-KYUSHU:SCRAP_EAF:2029|NS-NAGOYA:H2_DRI_EAF:2032|NS-SETOUCHI:H2_DRI_EAF:2038</x:v>
      </x:c>
      <x:c r="V357" s="34" t="str">
        <x:v>model_generated_candidate</x:v>
      </x:c>
      <x:c r="W357" s="34" t="str">
        <x:v>Generated from disclosed-path facility calendar, technology set and template contracting assumptions; not a company-announced project</x:v>
      </x:c>
    </x:row>
    <x:row r="358">
      <x:c r="A358" s="34" t="str">
        <x:v>CAND-45B8770EDB8FD9</x:v>
      </x:c>
      <x:c r="B358" s="34" t="str">
        <x:v>NIPPON_STEEL_JP</x:v>
      </x:c>
      <x:c r="C358" s="34" t="str">
        <x:v>Nippon Steel</x:v>
      </x:c>
      <x:c r="D358" s="34" t="str">
        <x:v>P1</x:v>
      </x:c>
      <x:c r="E358" s="34" t="str">
        <x:v>지연·현물조달</x:v>
      </x:c>
      <x:c r="F358" s="34" t="str">
        <x:v>PORT-203CD7D2B6DE</x:v>
      </x:c>
      <x:c r="G358" s="34" t="str">
        <x:v>DISCLOSED_PATH</x:v>
      </x:c>
      <x:c r="H358" s="34" t="n">
        <x:v>5</x:v>
      </x:c>
      <x:c r="I358" s="34" t="n">
        <x:v>2029</x:v>
      </x:c>
      <x:c r="J358" s="34" t="n">
        <x:v>2038</x:v>
      </x:c>
      <x:c r="K358" s="34" t="n">
        <x:v>0.37018</x:v>
      </x:c>
      <x:c r="L358" s="34" t="n">
        <x:v>0.257069</x:v>
      </x:c>
      <x:c r="M358" s="34" t="n">
        <x:v>0.372751</x:v>
      </x:c>
      <x:c r="N358" s="34" t="n">
        <x:v>0</x:v>
      </x:c>
      <x:c r="O358" s="34" t="n">
        <x:v>0</x:v>
      </x:c>
      <x:c r="P358" s="34" t="n">
        <x:v>0</x:v>
      </x:c>
      <x:c r="Q358" s="34" t="n">
        <x:v>0.1</x:v>
      </x:c>
      <x:c r="R358" s="34" t="n">
        <x:v>0</x:v>
      </x:c>
      <x:c r="S358" s="34" t="n">
        <x:v>0</x:v>
      </x:c>
      <x:c r="T358" s="34" t="n">
        <x:v>340.148927</x:v>
      </x:c>
      <x:c r="U358" s="34" t="str">
        <x:v>NS-EAST:BF_RELINE:2034|NS-KANSAI:BF_RELINE:2036|NS-KYUSHU:SCRAP_EAF:2029|NS-NAGOYA:H2_DRI_EAF:2032|NS-SETOUCHI:H2_DRI_EAF:2038</x:v>
      </x:c>
      <x:c r="V358" s="34" t="str">
        <x:v>model_generated_candidate</x:v>
      </x:c>
      <x:c r="W358" s="34" t="str">
        <x:v>Generated from disclosed-path facility calendar, technology set and template contracting assumptions; not a company-announced project</x:v>
      </x:c>
    </x:row>
    <x:row r="359">
      <x:c r="A359" s="34" t="str">
        <x:v>CAND-461B72F0CEA54E</x:v>
      </x:c>
      <x:c r="B359" s="34" t="str">
        <x:v>NIPPON_STEEL_JP</x:v>
      </x:c>
      <x:c r="C359" s="34" t="str">
        <x:v>Nippon Steel</x:v>
      </x:c>
      <x:c r="D359" s="34" t="str">
        <x:v>P2</x:v>
      </x:c>
      <x:c r="E359" s="34" t="str">
        <x:v>지연·부분헤지</x:v>
      </x:c>
      <x:c r="F359" s="34" t="str">
        <x:v>PORT-1B8D3CFF1438</x:v>
      </x:c>
      <x:c r="G359" s="34" t="str">
        <x:v>DISCLOSED_PATH</x:v>
      </x:c>
      <x:c r="H359" s="34" t="n">
        <x:v>5</x:v>
      </x:c>
      <x:c r="I359" s="34" t="n">
        <x:v>2029</x:v>
      </x:c>
      <x:c r="J359" s="34" t="n">
        <x:v>2038</x:v>
      </x:c>
      <x:c r="K359" s="34" t="n">
        <x:v>0.437018</x:v>
      </x:c>
      <x:c r="L359" s="34" t="n">
        <x:v>0.354756</x:v>
      </x:c>
      <x:c r="M359" s="34" t="n">
        <x:v>0.208226</x:v>
      </x:c>
      <x:c r="N359" s="34" t="n">
        <x:v>0</x:v>
      </x:c>
      <x:c r="O359" s="34" t="n">
        <x:v>0.15</x:v>
      </x:c>
      <x:c r="P359" s="34" t="n">
        <x:v>0.1</x:v>
      </x:c>
      <x:c r="Q359" s="34" t="n">
        <x:v>0.2</x:v>
      </x:c>
      <x:c r="R359" s="34" t="n">
        <x:v>0.1</x:v>
      </x:c>
      <x:c r="S359" s="34" t="n">
        <x:v>0.01</x:v>
      </x:c>
      <x:c r="T359" s="34" t="n">
        <x:v>210.243974</x:v>
      </x:c>
      <x:c r="U359" s="34" t="str">
        <x:v>NS-EAST:H2_DRI_EAF:2034|NS-KANSAI:SCRAP_EAF:2036|NS-KYUSHU:BF_RELINE:2029|NS-NAGOYA:BF_RELINE:2032|NS-SETOUCHI:SCRAP_EAF:2038</x:v>
      </x:c>
      <x:c r="V359" s="34" t="str">
        <x:v>model_generated_candidate</x:v>
      </x:c>
      <x:c r="W359" s="34" t="str">
        <x:v>Generated from disclosed-path facility calendar, technology set and template contracting assumptions; not a company-announced project</x:v>
      </x:c>
    </x:row>
    <x:row r="360">
      <x:c r="A360" s="34" t="str">
        <x:v>CAND-46F2941C6CF6C6</x:v>
      </x:c>
      <x:c r="B360" s="34" t="str">
        <x:v>NIPPON_STEEL_JP</x:v>
      </x:c>
      <x:c r="C360" s="34" t="str">
        <x:v>Nippon Steel</x:v>
      </x:c>
      <x:c r="D360" s="34" t="str">
        <x:v>P1</x:v>
      </x:c>
      <x:c r="E360" s="34" t="str">
        <x:v>지연·현물조달</x:v>
      </x:c>
      <x:c r="F360" s="34" t="str">
        <x:v>PORT-43EF81127474</x:v>
      </x:c>
      <x:c r="G360" s="34" t="str">
        <x:v>DISCLOSED_PATH</x:v>
      </x:c>
      <x:c r="H360" s="34" t="n">
        <x:v>5</x:v>
      </x:c>
      <x:c r="I360" s="34" t="n">
        <x:v>2029</x:v>
      </x:c>
      <x:c r="J360" s="34" t="n">
        <x:v>2038</x:v>
      </x:c>
      <x:c r="K360" s="34" t="n">
        <x:v>0.208226</x:v>
      </x:c>
      <x:c r="L360" s="34" t="n">
        <x:v>0</x:v>
      </x:c>
      <x:c r="M360" s="34" t="n">
        <x:v>0.791774</x:v>
      </x:c>
      <x:c r="N360" s="34" t="n">
        <x:v>0</x:v>
      </x:c>
      <x:c r="O360" s="34" t="n">
        <x:v>0</x:v>
      </x:c>
      <x:c r="P360" s="34" t="n">
        <x:v>0</x:v>
      </x:c>
      <x:c r="Q360" s="34" t="n">
        <x:v>0.1</x:v>
      </x:c>
      <x:c r="R360" s="34" t="n">
        <x:v>0</x:v>
      </x:c>
      <x:c r="S360" s="34" t="n">
        <x:v>0</x:v>
      </x:c>
      <x:c r="T360" s="34" t="n">
        <x:v>414.748933</x:v>
      </x:c>
      <x:c r="U360" s="34" t="str">
        <x:v>NS-EAST:BF_RELINE:2034|NS-KANSAI:H2_DRI_EAF:2036|NS-KYUSHU:H2_DRI_EAF:2029|NS-NAGOYA:H2_DRI_EAF:2032|NS-SETOUCHI:H2_DRI_EAF:2038</x:v>
      </x:c>
      <x:c r="V360" s="34" t="str">
        <x:v>model_generated_candidate</x:v>
      </x:c>
      <x:c r="W360" s="34" t="str">
        <x:v>Generated from disclosed-path facility calendar, technology set and template contracting assumptions; not a company-announced project</x:v>
      </x:c>
    </x:row>
    <x:row r="361">
      <x:c r="A361" s="34" t="str">
        <x:v>CAND-475B4C4008FC43</x:v>
      </x:c>
      <x:c r="B361" s="34" t="str">
        <x:v>NIPPON_STEEL_JP</x:v>
      </x:c>
      <x:c r="C361" s="34" t="str">
        <x:v>Nippon Steel</x:v>
      </x:c>
      <x:c r="D361" s="34" t="str">
        <x:v>P2</x:v>
      </x:c>
      <x:c r="E361" s="34" t="str">
        <x:v>지연·부분헤지</x:v>
      </x:c>
      <x:c r="F361" s="34" t="str">
        <x:v>PORT-9D6D0AEF4524</x:v>
      </x:c>
      <x:c r="G361" s="34" t="str">
        <x:v>DISCLOSED_PATH</x:v>
      </x:c>
      <x:c r="H361" s="34" t="n">
        <x:v>5</x:v>
      </x:c>
      <x:c r="I361" s="34" t="n">
        <x:v>2029</x:v>
      </x:c>
      <x:c r="J361" s="34" t="n">
        <x:v>2038</x:v>
      </x:c>
      <x:c r="K361" s="34" t="n">
        <x:v>0</x:v>
      </x:c>
      <x:c r="L361" s="34" t="n">
        <x:v>0.372751</x:v>
      </x:c>
      <x:c r="M361" s="34" t="n">
        <x:v>0.627249</x:v>
      </x:c>
      <x:c r="N361" s="34" t="n">
        <x:v>0</x:v>
      </x:c>
      <x:c r="O361" s="34" t="n">
        <x:v>0.15</x:v>
      </x:c>
      <x:c r="P361" s="34" t="n">
        <x:v>0.1</x:v>
      </x:c>
      <x:c r="Q361" s="34" t="n">
        <x:v>0.2</x:v>
      </x:c>
      <x:c r="R361" s="34" t="n">
        <x:v>0.1</x:v>
      </x:c>
      <x:c r="S361" s="34" t="n">
        <x:v>0.01</x:v>
      </x:c>
      <x:c r="T361" s="34" t="n">
        <x:v>481.753949</x:v>
      </x:c>
      <x:c r="U361" s="34" t="str">
        <x:v>NS-EAST:H2_DRI_EAF:2034|NS-KANSAI:H2_DRI_EAF:2036|NS-KYUSHU:H2_DRI_EAF:2029|NS-NAGOYA:SCRAP_EAF:2032|NS-SETOUCHI:SCRAP_EAF:2038</x:v>
      </x:c>
      <x:c r="V361" s="34" t="str">
        <x:v>model_generated_candidate</x:v>
      </x:c>
      <x:c r="W361" s="34" t="str">
        <x:v>Generated from disclosed-path facility calendar, technology set and template contracting assumptions; not a company-announced project</x:v>
      </x:c>
    </x:row>
    <x:row r="362">
      <x:c r="A362" s="34" t="str">
        <x:v>CAND-478F19D65CB3E6</x:v>
      </x:c>
      <x:c r="B362" s="34" t="str">
        <x:v>NIPPON_STEEL_JP</x:v>
      </x:c>
      <x:c r="C362" s="34" t="str">
        <x:v>Nippon Steel</x:v>
      </x:c>
      <x:c r="D362" s="34" t="str">
        <x:v>P2</x:v>
      </x:c>
      <x:c r="E362" s="34" t="str">
        <x:v>지연·부분헤지</x:v>
      </x:c>
      <x:c r="F362" s="34" t="str">
        <x:v>PORT-760BEDA2ECE0</x:v>
      </x:c>
      <x:c r="G362" s="34" t="str">
        <x:v>DISCLOSED_PATH</x:v>
      </x:c>
      <x:c r="H362" s="34" t="n">
        <x:v>5</x:v>
      </x:c>
      <x:c r="I362" s="34" t="n">
        <x:v>2029</x:v>
      </x:c>
      <x:c r="J362" s="34" t="n">
        <x:v>2038</x:v>
      </x:c>
      <x:c r="K362" s="34" t="n">
        <x:v>0.341902</x:v>
      </x:c>
      <x:c r="L362" s="34" t="n">
        <x:v>0.449871</x:v>
      </x:c>
      <x:c r="M362" s="34" t="n">
        <x:v>0.208226</x:v>
      </x:c>
      <x:c r="N362" s="34" t="n">
        <x:v>0</x:v>
      </x:c>
      <x:c r="O362" s="34" t="n">
        <x:v>0.15</x:v>
      </x:c>
      <x:c r="P362" s="34" t="n">
        <x:v>0.1</x:v>
      </x:c>
      <x:c r="Q362" s="34" t="n">
        <x:v>0.2</x:v>
      </x:c>
      <x:c r="R362" s="34" t="n">
        <x:v>0.1</x:v>
      </x:c>
      <x:c r="S362" s="34" t="n">
        <x:v>0.01</x:v>
      </x:c>
      <x:c r="T362" s="34" t="n">
        <x:v>326.243969</x:v>
      </x:c>
      <x:c r="U362" s="34" t="str">
        <x:v>NS-EAST:H2_DRI_EAF:2034|NS-KANSAI:BF_RELINE:2036|NS-KYUSHU:SCRAP_EAF:2029|NS-NAGOYA:BF_RELINE:2032|NS-SETOUCHI:SCRAP_EAF:2038</x:v>
      </x:c>
      <x:c r="V362" s="34" t="str">
        <x:v>model_generated_candidate</x:v>
      </x:c>
      <x:c r="W362" s="34" t="str">
        <x:v>Generated from disclosed-path facility calendar, technology set and template contracting assumptions; not a company-announced project</x:v>
      </x:c>
    </x:row>
    <x:row r="363">
      <x:c r="A363" s="34" t="str">
        <x:v>CAND-48692414D1937D</x:v>
      </x:c>
      <x:c r="B363" s="34" t="str">
        <x:v>NIPPON_STEEL_JP</x:v>
      </x:c>
      <x:c r="C363" s="34" t="str">
        <x:v>Nippon Steel</x:v>
      </x:c>
      <x:c r="D363" s="34" t="str">
        <x:v>P1</x:v>
      </x:c>
      <x:c r="E363" s="34" t="str">
        <x:v>지연·현물조달</x:v>
      </x:c>
      <x:c r="F363" s="34" t="str">
        <x:v>PORT-01174EA2B96D</x:v>
      </x:c>
      <x:c r="G363" s="34" t="str">
        <x:v>DISCLOSED_PATH</x:v>
      </x:c>
      <x:c r="H363" s="34" t="n">
        <x:v>5</x:v>
      </x:c>
      <x:c r="I363" s="34" t="n">
        <x:v>2029</x:v>
      </x:c>
      <x:c r="J363" s="34" t="n">
        <x:v>2038</x:v>
      </x:c>
      <x:c r="K363" s="34" t="n">
        <x:v>0.580977</x:v>
      </x:c>
      <x:c r="L363" s="34" t="n">
        <x:v>0.161954</x:v>
      </x:c>
      <x:c r="M363" s="34" t="n">
        <x:v>0.257069</x:v>
      </x:c>
      <x:c r="N363" s="34" t="n">
        <x:v>0</x:v>
      </x:c>
      <x:c r="O363" s="34" t="n">
        <x:v>0</x:v>
      </x:c>
      <x:c r="P363" s="34" t="n">
        <x:v>0</x:v>
      </x:c>
      <x:c r="Q363" s="34" t="n">
        <x:v>0.1</x:v>
      </x:c>
      <x:c r="R363" s="34" t="n">
        <x:v>0</x:v>
      </x:c>
      <x:c r="S363" s="34" t="n">
        <x:v>0</x:v>
      </x:c>
      <x:c r="T363" s="34" t="n">
        <x:v>280.758963</x:v>
      </x:c>
      <x:c r="U363" s="34" t="str">
        <x:v>NS-EAST:BF_RELINE:2034|NS-KANSAI:SCRAP_EAF:2036|NS-KYUSHU:H2_DRI_EAF:2029|NS-NAGOYA:BF_RELINE:2032|NS-SETOUCHI:BF_RELINE:2038</x:v>
      </x:c>
      <x:c r="V363" s="34" t="str">
        <x:v>model_generated_candidate</x:v>
      </x:c>
      <x:c r="W363" s="34" t="str">
        <x:v>Generated from disclosed-path facility calendar, technology set and template contracting assumptions; not a company-announced project</x:v>
      </x:c>
    </x:row>
    <x:row r="364">
      <x:c r="A364" s="34" t="str">
        <x:v>CAND-48727E7FC8B5D8</x:v>
      </x:c>
      <x:c r="B364" s="34" t="str">
        <x:v>NIPPON_STEEL_JP</x:v>
      </x:c>
      <x:c r="C364" s="34" t="str">
        <x:v>Nippon Steel</x:v>
      </x:c>
      <x:c r="D364" s="34" t="str">
        <x:v>P4</x:v>
      </x:c>
      <x:c r="E364" s="34" t="str">
        <x:v>균형형 전환</x:v>
      </x:c>
      <x:c r="F364" s="34" t="str">
        <x:v>PORT-EE44ED4FFBEB</x:v>
      </x:c>
      <x:c r="G364" s="34" t="str">
        <x:v>DISCLOSED_PATH</x:v>
      </x:c>
      <x:c r="H364" s="34" t="n">
        <x:v>5</x:v>
      </x:c>
      <x:c r="I364" s="34" t="n">
        <x:v>2028</x:v>
      </x:c>
      <x:c r="J364" s="34" t="n">
        <x:v>2037</x:v>
      </x:c>
      <x:c r="K364" s="34" t="n">
        <x:v>0</x:v>
      </x:c>
      <x:c r="L364" s="34" t="n">
        <x:v>0.161954</x:v>
      </x:c>
      <x:c r="M364" s="34" t="n">
        <x:v>0.838046</x:v>
      </x:c>
      <x:c r="N364" s="34" t="n">
        <x:v>0</x:v>
      </x:c>
      <x:c r="O364" s="34" t="n">
        <x:v>0.5</x:v>
      </x:c>
      <x:c r="P364" s="34" t="n">
        <x:v>0.45</x:v>
      </x:c>
      <x:c r="Q364" s="34" t="n">
        <x:v>0.5</x:v>
      </x:c>
      <x:c r="R364" s="34" t="n">
        <x:v>0.4</x:v>
      </x:c>
      <x:c r="S364" s="34" t="n">
        <x:v>0.02</x:v>
      </x:c>
      <x:c r="T364" s="34" t="n">
        <x:v>557.76894</x:v>
      </x:c>
      <x:c r="U364" s="34" t="str">
        <x:v>NS-EAST:H2_DRI_EAF:2033|NS-KANSAI:SCRAP_EAF:2035|NS-KYUSHU:H2_DRI_EAF:2028|NS-NAGOYA:H2_DRI_EAF:2031|NS-SETOUCHI:H2_DRI_EAF:2037</x:v>
      </x:c>
      <x:c r="V364" s="34" t="str">
        <x:v>model_generated_candidate</x:v>
      </x:c>
      <x:c r="W364" s="34" t="str">
        <x:v>Generated from disclosed-path facility calendar, technology set and template contracting assumptions; not a company-announced project</x:v>
      </x:c>
    </x:row>
    <x:row r="365">
      <x:c r="A365" s="34" t="str">
        <x:v>CAND-49EB68E4BD9CC3</x:v>
      </x:c>
      <x:c r="B365" s="34" t="str">
        <x:v>NIPPON_STEEL_JP</x:v>
      </x:c>
      <x:c r="C365" s="34" t="str">
        <x:v>Nippon Steel</x:v>
      </x:c>
      <x:c r="D365" s="34" t="str">
        <x:v>P2</x:v>
      </x:c>
      <x:c r="E365" s="34" t="str">
        <x:v>지연·부분헤지</x:v>
      </x:c>
      <x:c r="F365" s="34" t="str">
        <x:v>PORT-5DB1AD1FC339</x:v>
      </x:c>
      <x:c r="G365" s="34" t="str">
        <x:v>DISCLOSED_PATH</x:v>
      </x:c>
      <x:c r="H365" s="34" t="n">
        <x:v>5</x:v>
      </x:c>
      <x:c r="I365" s="34" t="n">
        <x:v>2029</x:v>
      </x:c>
      <x:c r="J365" s="34" t="n">
        <x:v>2038</x:v>
      </x:c>
      <x:c r="K365" s="34" t="n">
        <x:v>0.192802</x:v>
      </x:c>
      <x:c r="L365" s="34" t="n">
        <x:v>0.598972</x:v>
      </x:c>
      <x:c r="M365" s="34" t="n">
        <x:v>0.208226</x:v>
      </x:c>
      <x:c r="N365" s="34" t="n">
        <x:v>0</x:v>
      </x:c>
      <x:c r="O365" s="34" t="n">
        <x:v>0.15</x:v>
      </x:c>
      <x:c r="P365" s="34" t="n">
        <x:v>0.1</x:v>
      </x:c>
      <x:c r="Q365" s="34" t="n">
        <x:v>0.2</x:v>
      </x:c>
      <x:c r="R365" s="34" t="n">
        <x:v>0.1</x:v>
      </x:c>
      <x:c r="S365" s="34" t="n">
        <x:v>0.01</x:v>
      </x:c>
      <x:c r="T365" s="34" t="n">
        <x:v>420.348948</x:v>
      </x:c>
      <x:c r="U365" s="34" t="str">
        <x:v>NS-EAST:H2_DRI_EAF:2034|NS-KANSAI:SCRAP_EAF:2036|NS-KYUSHU:SCRAP_EAF:2029|NS-NAGOYA:SCRAP_EAF:2032|NS-SETOUCHI:BF_RELINE:2038</x:v>
      </x:c>
      <x:c r="V365" s="34" t="str">
        <x:v>model_generated_candidate</x:v>
      </x:c>
      <x:c r="W365" s="34" t="str">
        <x:v>Generated from disclosed-path facility calendar, technology set and template contracting assumptions; not a company-announced project</x:v>
      </x:c>
    </x:row>
    <x:row r="366">
      <x:c r="A366" s="34" t="str">
        <x:v>CAND-4A1336B870088D</x:v>
      </x:c>
      <x:c r="B366" s="34" t="str">
        <x:v>NIPPON_STEEL_JP</x:v>
      </x:c>
      <x:c r="C366" s="34" t="str">
        <x:v>Nippon Steel</x:v>
      </x:c>
      <x:c r="D366" s="34" t="str">
        <x:v>P1</x:v>
      </x:c>
      <x:c r="E366" s="34" t="str">
        <x:v>지연·현물조달</x:v>
      </x:c>
      <x:c r="F366" s="34" t="str">
        <x:v>PORT-6C2F1FF45B21</x:v>
      </x:c>
      <x:c r="G366" s="34" t="str">
        <x:v>DISCLOSED_PATH</x:v>
      </x:c>
      <x:c r="H366" s="34" t="n">
        <x:v>5</x:v>
      </x:c>
      <x:c r="I366" s="34" t="n">
        <x:v>2029</x:v>
      </x:c>
      <x:c r="J366" s="34" t="n">
        <x:v>2038</x:v>
      </x:c>
      <x:c r="K366" s="34" t="n">
        <x:v>0.192802</x:v>
      </x:c>
      <x:c r="L366" s="34" t="n">
        <x:v>0</x:v>
      </x:c>
      <x:c r="M366" s="34" t="n">
        <x:v>0.807198</x:v>
      </x:c>
      <x:c r="N366" s="34" t="n">
        <x:v>0</x:v>
      </x:c>
      <x:c r="O366" s="34" t="n">
        <x:v>0</x:v>
      </x:c>
      <x:c r="P366" s="34" t="n">
        <x:v>0</x:v>
      </x:c>
      <x:c r="Q366" s="34" t="n">
        <x:v>0.1</x:v>
      </x:c>
      <x:c r="R366" s="34" t="n">
        <x:v>0</x:v>
      </x:c>
      <x:c r="S366" s="34" t="n">
        <x:v>0</x:v>
      </x:c>
      <x:c r="T366" s="34" t="n">
        <x:v>468.298944</x:v>
      </x:c>
      <x:c r="U366" s="34" t="str">
        <x:v>NS-EAST:H2_DRI_EAF:2034|NS-KANSAI:H2_DRI_EAF:2036|NS-KYUSHU:H2_DRI_EAF:2029|NS-NAGOYA:H2_DRI_EAF:2032|NS-SETOUCHI:BF_RELINE:2038</x:v>
      </x:c>
      <x:c r="V366" s="34" t="str">
        <x:v>model_generated_candidate</x:v>
      </x:c>
      <x:c r="W366" s="34" t="str">
        <x:v>Generated from disclosed-path facility calendar, technology set and template contracting assumptions; not a company-announced project</x:v>
      </x:c>
    </x:row>
    <x:row r="367">
      <x:c r="A367" s="34" t="str">
        <x:v>CAND-4BC0291BD7FA17</x:v>
      </x:c>
      <x:c r="B367" s="34" t="str">
        <x:v>NIPPON_STEEL_JP</x:v>
      </x:c>
      <x:c r="C367" s="34" t="str">
        <x:v>Nippon Steel</x:v>
      </x:c>
      <x:c r="D367" s="34" t="str">
        <x:v>P3</x:v>
      </x:c>
      <x:c r="E367" s="34" t="str">
        <x:v>균형형 라이트헤지</x:v>
      </x:c>
      <x:c r="F367" s="34" t="str">
        <x:v>PORT-BF563B54E502</x:v>
      </x:c>
      <x:c r="G367" s="34" t="str">
        <x:v>DISCLOSED_PATH</x:v>
      </x:c>
      <x:c r="H367" s="34" t="n">
        <x:v>5</x:v>
      </x:c>
      <x:c r="I367" s="34" t="n">
        <x:v>2029</x:v>
      </x:c>
      <x:c r="J367" s="34" t="n">
        <x:v>2038</x:v>
      </x:c>
      <x:c r="K367" s="34" t="n">
        <x:v>0.208226</x:v>
      </x:c>
      <x:c r="L367" s="34" t="n">
        <x:v>0.419023</x:v>
      </x:c>
      <x:c r="M367" s="34" t="n">
        <x:v>0.372751</x:v>
      </x:c>
      <x:c r="N367" s="34" t="n">
        <x:v>0</x:v>
      </x:c>
      <x:c r="O367" s="34" t="n">
        <x:v>0.3</x:v>
      </x:c>
      <x:c r="P367" s="34" t="n">
        <x:v>0.25</x:v>
      </x:c>
      <x:c r="Q367" s="34" t="n">
        <x:v>0.35</x:v>
      </x:c>
      <x:c r="R367" s="34" t="n">
        <x:v>0.25</x:v>
      </x:c>
      <x:c r="S367" s="34" t="n">
        <x:v>0.015</x:v>
      </x:c>
      <x:c r="T367" s="34" t="n">
        <x:v>380.748932</x:v>
      </x:c>
      <x:c r="U367" s="34" t="str">
        <x:v>NS-EAST:BF_RELINE:2034|NS-KANSAI:SCRAP_EAF:2036|NS-KYUSHU:SCRAP_EAF:2029|NS-NAGOYA:H2_DRI_EAF:2032|NS-SETOUCHI:H2_DRI_EAF:2038</x:v>
      </x:c>
      <x:c r="V367" s="34" t="str">
        <x:v>model_generated_candidate</x:v>
      </x:c>
      <x:c r="W367" s="34" t="str">
        <x:v>Generated from disclosed-path facility calendar, technology set and template contracting assumptions; not a company-announced project</x:v>
      </x:c>
    </x:row>
    <x:row r="368">
      <x:c r="A368" s="34" t="str">
        <x:v>CAND-4BC8A2CAA234D6</x:v>
      </x:c>
      <x:c r="B368" s="34" t="str">
        <x:v>NIPPON_STEEL_JP</x:v>
      </x:c>
      <x:c r="C368" s="34" t="str">
        <x:v>Nippon Steel</x:v>
      </x:c>
      <x:c r="D368" s="34" t="str">
        <x:v>P4</x:v>
      </x:c>
      <x:c r="E368" s="34" t="str">
        <x:v>균형형 전환</x:v>
      </x:c>
      <x:c r="F368" s="34" t="str">
        <x:v>PORT-64B5F1E39CEC</x:v>
      </x:c>
      <x:c r="G368" s="34" t="str">
        <x:v>DISCLOSED_PATH</x:v>
      </x:c>
      <x:c r="H368" s="34" t="n">
        <x:v>5</x:v>
      </x:c>
      <x:c r="I368" s="34" t="n">
        <x:v>2028</x:v>
      </x:c>
      <x:c r="J368" s="34" t="n">
        <x:v>2037</x:v>
      </x:c>
      <x:c r="K368" s="34" t="n">
        <x:v>0.257069</x:v>
      </x:c>
      <x:c r="L368" s="34" t="n">
        <x:v>0.179949</x:v>
      </x:c>
      <x:c r="M368" s="34" t="n">
        <x:v>0.562982</x:v>
      </x:c>
      <x:c r="N368" s="34" t="n">
        <x:v>0</x:v>
      </x:c>
      <x:c r="O368" s="34" t="n">
        <x:v>0.5</x:v>
      </x:c>
      <x:c r="P368" s="34" t="n">
        <x:v>0.45</x:v>
      </x:c>
      <x:c r="Q368" s="34" t="n">
        <x:v>0.5</x:v>
      </x:c>
      <x:c r="R368" s="34" t="n">
        <x:v>0.4</x:v>
      </x:c>
      <x:c r="S368" s="34" t="n">
        <x:v>0.02</x:v>
      </x:c>
      <x:c r="T368" s="34" t="n">
        <x:v>351.768946</x:v>
      </x:c>
      <x:c r="U368" s="34" t="str">
        <x:v>NS-EAST:H2_DRI_EAF:2033|NS-KANSAI:H2_DRI_EAF:2035|NS-KYUSHU:BF_RELINE:2028|NS-NAGOYA:SCRAP_EAF:2031|NS-SETOUCHI:H2_DRI_EAF:2037</x:v>
      </x:c>
      <x:c r="V368" s="34" t="str">
        <x:v>model_generated_candidate</x:v>
      </x:c>
      <x:c r="W368" s="34" t="str">
        <x:v>Generated from disclosed-path facility calendar, technology set and template contracting assumptions; not a company-announced project</x:v>
      </x:c>
    </x:row>
    <x:row r="369">
      <x:c r="A369" s="34" t="str">
        <x:v>CAND-4BFFEE58983053</x:v>
      </x:c>
      <x:c r="B369" s="34" t="str">
        <x:v>NIPPON_STEEL_JP</x:v>
      </x:c>
      <x:c r="C369" s="34" t="str">
        <x:v>Nippon Steel</x:v>
      </x:c>
      <x:c r="D369" s="34" t="str">
        <x:v>P2</x:v>
      </x:c>
      <x:c r="E369" s="34" t="str">
        <x:v>지연·부분헤지</x:v>
      </x:c>
      <x:c r="F369" s="34" t="str">
        <x:v>PORT-80CDBDD324C3</x:v>
      </x:c>
      <x:c r="G369" s="34" t="str">
        <x:v>DISCLOSED_PATH</x:v>
      </x:c>
      <x:c r="H369" s="34" t="n">
        <x:v>5</x:v>
      </x:c>
      <x:c r="I369" s="34" t="n">
        <x:v>2029</x:v>
      </x:c>
      <x:c r="J369" s="34" t="n">
        <x:v>2038</x:v>
      </x:c>
      <x:c r="K369" s="34" t="n">
        <x:v>0.580977</x:v>
      </x:c>
      <x:c r="L369" s="34" t="n">
        <x:v>0</x:v>
      </x:c>
      <x:c r="M369" s="34" t="n">
        <x:v>0.419023</x:v>
      </x:c>
      <x:c r="N369" s="34" t="n">
        <x:v>0</x:v>
      </x:c>
      <x:c r="O369" s="34" t="n">
        <x:v>0.15</x:v>
      </x:c>
      <x:c r="P369" s="34" t="n">
        <x:v>0.1</x:v>
      </x:c>
      <x:c r="Q369" s="34" t="n">
        <x:v>0.2</x:v>
      </x:c>
      <x:c r="R369" s="34" t="n">
        <x:v>0.1</x:v>
      </x:c>
      <x:c r="S369" s="34" t="n">
        <x:v>0.01</x:v>
      </x:c>
      <x:c r="T369" s="34" t="n">
        <x:v>287.758964</x:v>
      </x:c>
      <x:c r="U369" s="34" t="str">
        <x:v>NS-EAST:BF_RELINE:2034|NS-KANSAI:H2_DRI_EAF:2036|NS-KYUSHU:H2_DRI_EAF:2029|NS-NAGOYA:BF_RELINE:2032|NS-SETOUCHI:BF_RELINE:2038</x:v>
      </x:c>
      <x:c r="V369" s="34" t="str">
        <x:v>model_generated_candidate</x:v>
      </x:c>
      <x:c r="W369" s="34" t="str">
        <x:v>Generated from disclosed-path facility calendar, technology set and template contracting assumptions; not a company-announced project</x:v>
      </x:c>
    </x:row>
    <x:row r="370">
      <x:c r="A370" s="34" t="str">
        <x:v>CAND-4C03DDE7A8F948</x:v>
      </x:c>
      <x:c r="B370" s="34" t="str">
        <x:v>NIPPON_STEEL_JP</x:v>
      </x:c>
      <x:c r="C370" s="34" t="str">
        <x:v>Nippon Steel</x:v>
      </x:c>
      <x:c r="D370" s="34" t="str">
        <x:v>P3</x:v>
      </x:c>
      <x:c r="E370" s="34" t="str">
        <x:v>균형형 라이트헤지</x:v>
      </x:c>
      <x:c r="F370" s="34" t="str">
        <x:v>PORT-42FD0857B83C</x:v>
      </x:c>
      <x:c r="G370" s="34" t="str">
        <x:v>DISCLOSED_PATH</x:v>
      </x:c>
      <x:c r="H370" s="34" t="n">
        <x:v>5</x:v>
      </x:c>
      <x:c r="I370" s="34" t="n">
        <x:v>2029</x:v>
      </x:c>
      <x:c r="J370" s="34" t="n">
        <x:v>2038</x:v>
      </x:c>
      <x:c r="K370" s="34" t="n">
        <x:v>0</x:v>
      </x:c>
      <x:c r="L370" s="34" t="n">
        <x:v>0.598972</x:v>
      </x:c>
      <x:c r="M370" s="34" t="n">
        <x:v>0.401028</x:v>
      </x:c>
      <x:c r="N370" s="34" t="n">
        <x:v>0</x:v>
      </x:c>
      <x:c r="O370" s="34" t="n">
        <x:v>0.3</x:v>
      </x:c>
      <x:c r="P370" s="34" t="n">
        <x:v>0.25</x:v>
      </x:c>
      <x:c r="Q370" s="34" t="n">
        <x:v>0.35</x:v>
      </x:c>
      <x:c r="R370" s="34" t="n">
        <x:v>0.25</x:v>
      </x:c>
      <x:c r="S370" s="34" t="n">
        <x:v>0.015</x:v>
      </x:c>
      <x:c r="T370" s="34" t="n">
        <x:v>452.478948</x:v>
      </x:c>
      <x:c r="U370" s="34" t="str">
        <x:v>NS-EAST:H2_DRI_EAF:2034|NS-KANSAI:SCRAP_EAF:2036|NS-KYUSHU:SCRAP_EAF:2029|NS-NAGOYA:SCRAP_EAF:2032|NS-SETOUCHI:H2_DRI_EAF:2038</x:v>
      </x:c>
      <x:c r="V370" s="34" t="str">
        <x:v>model_generated_candidate</x:v>
      </x:c>
      <x:c r="W370" s="34" t="str">
        <x:v>Generated from disclosed-path facility calendar, technology set and template contracting assumptions; not a company-announced project</x:v>
      </x:c>
    </x:row>
    <x:row r="371">
      <x:c r="A371" s="34" t="str">
        <x:v>CAND-4C72EAD1F6BB27</x:v>
      </x:c>
      <x:c r="B371" s="34" t="str">
        <x:v>NIPPON_STEEL_JP</x:v>
      </x:c>
      <x:c r="C371" s="34" t="str">
        <x:v>Nippon Steel</x:v>
      </x:c>
      <x:c r="D371" s="34" t="str">
        <x:v>P5</x:v>
      </x:c>
      <x:c r="E371" s="34" t="str">
        <x:v>조기 계약형 전환</x:v>
      </x:c>
      <x:c r="F371" s="34" t="str">
        <x:v>PORT-AB392CF8B393</x:v>
      </x:c>
      <x:c r="G371" s="34" t="str">
        <x:v>DISCLOSED_PATH</x:v>
      </x:c>
      <x:c r="H371" s="34" t="n">
        <x:v>5</x:v>
      </x:c>
      <x:c r="I371" s="34" t="n">
        <x:v>2028</x:v>
      </x:c>
      <x:c r="J371" s="34" t="n">
        <x:v>2037</x:v>
      </x:c>
      <x:c r="K371" s="34" t="n">
        <x:v>0.161954</x:v>
      </x:c>
      <x:c r="L371" s="34" t="n">
        <x:v>0.179949</x:v>
      </x:c>
      <x:c r="M371" s="34" t="n">
        <x:v>0.658098</x:v>
      </x:c>
      <x:c r="N371" s="34" t="n">
        <x:v>0</x:v>
      </x:c>
      <x:c r="O371" s="34" t="n">
        <x:v>0.7</x:v>
      </x:c>
      <x:c r="P371" s="34" t="n">
        <x:v>0.65</x:v>
      </x:c>
      <x:c r="Q371" s="34" t="n">
        <x:v>0.65</x:v>
      </x:c>
      <x:c r="R371" s="34" t="n">
        <x:v>0.6</x:v>
      </x:c>
      <x:c r="S371" s="34" t="n">
        <x:v>0.025</x:v>
      </x:c>
      <x:c r="T371" s="34" t="n">
        <x:v>493.548939</x:v>
      </x:c>
      <x:c r="U371" s="34" t="str">
        <x:v>NS-EAST:H2_DRI_EAF:2033|NS-KANSAI:BF_RELINE:2035|NS-KYUSHU:H2_DRI_EAF:2028|NS-NAGOYA:SCRAP_EAF:2031|NS-SETOUCHI:H2_DRI_EAF:2037</x:v>
      </x:c>
      <x:c r="V371" s="34" t="str">
        <x:v>model_generated_candidate</x:v>
      </x:c>
      <x:c r="W371" s="34" t="str">
        <x:v>Generated from disclosed-path facility calendar, technology set and template contracting assumptions; not a company-announced project</x:v>
      </x:c>
    </x:row>
    <x:row r="372">
      <x:c r="A372" s="34" t="str">
        <x:v>CAND-4CA11613563791</x:v>
      </x:c>
      <x:c r="B372" s="34" t="str">
        <x:v>NIPPON_STEEL_JP</x:v>
      </x:c>
      <x:c r="C372" s="34" t="str">
        <x:v>Nippon Steel</x:v>
      </x:c>
      <x:c r="D372" s="34" t="str">
        <x:v>P3</x:v>
      </x:c>
      <x:c r="E372" s="34" t="str">
        <x:v>균형형 라이트헤지</x:v>
      </x:c>
      <x:c r="F372" s="34" t="str">
        <x:v>PORT-F8E2822A3FA6</x:v>
      </x:c>
      <x:c r="G372" s="34" t="str">
        <x:v>DISCLOSED_PATH</x:v>
      </x:c>
      <x:c r="H372" s="34" t="n">
        <x:v>5</x:v>
      </x:c>
      <x:c r="I372" s="34" t="n">
        <x:v>2029</x:v>
      </x:c>
      <x:c r="J372" s="34" t="n">
        <x:v>2038</x:v>
      </x:c>
      <x:c r="K372" s="34" t="n">
        <x:v>0.161954</x:v>
      </x:c>
      <x:c r="L372" s="34" t="n">
        <x:v>0</x:v>
      </x:c>
      <x:c r="M372" s="34" t="n">
        <x:v>0.838046</x:v>
      </x:c>
      <x:c r="N372" s="34" t="n">
        <x:v>0</x:v>
      </x:c>
      <x:c r="O372" s="34" t="n">
        <x:v>0.3</x:v>
      </x:c>
      <x:c r="P372" s="34" t="n">
        <x:v>0.25</x:v>
      </x:c>
      <x:c r="Q372" s="34" t="n">
        <x:v>0.35</x:v>
      </x:c>
      <x:c r="R372" s="34" t="n">
        <x:v>0.25</x:v>
      </x:c>
      <x:c r="S372" s="34" t="n">
        <x:v>0.015</x:v>
      </x:c>
      <x:c r="T372" s="34" t="n">
        <x:v>452.828938</x:v>
      </x:c>
      <x:c r="U372" s="34" t="str">
        <x:v>NS-EAST:H2_DRI_EAF:2034|NS-KANSAI:BF_RELINE:2036|NS-KYUSHU:H2_DRI_EAF:2029|NS-NAGOYA:H2_DRI_EAF:2032|NS-SETOUCHI:H2_DRI_EAF:2038</x:v>
      </x:c>
      <x:c r="V372" s="34" t="str">
        <x:v>model_generated_candidate</x:v>
      </x:c>
      <x:c r="W372" s="34" t="str">
        <x:v>Generated from disclosed-path facility calendar, technology set and template contracting assumptions; not a company-announced project</x:v>
      </x:c>
    </x:row>
    <x:row r="373">
      <x:c r="A373" s="34" t="str">
        <x:v>CAND-4CD33B1BCD8A31</x:v>
      </x:c>
      <x:c r="B373" s="34" t="str">
        <x:v>NIPPON_STEEL_JP</x:v>
      </x:c>
      <x:c r="C373" s="34" t="str">
        <x:v>Nippon Steel</x:v>
      </x:c>
      <x:c r="D373" s="34" t="str">
        <x:v>P2</x:v>
      </x:c>
      <x:c r="E373" s="34" t="str">
        <x:v>지연·부분헤지</x:v>
      </x:c>
      <x:c r="F373" s="34" t="str">
        <x:v>PORT-C6368C8F5DC9</x:v>
      </x:c>
      <x:c r="G373" s="34" t="str">
        <x:v>DISCLOSED_PATH</x:v>
      </x:c>
      <x:c r="H373" s="34" t="n">
        <x:v>5</x:v>
      </x:c>
      <x:c r="I373" s="34" t="n">
        <x:v>2029</x:v>
      </x:c>
      <x:c r="J373" s="34" t="n">
        <x:v>2038</x:v>
      </x:c>
      <x:c r="K373" s="34" t="n">
        <x:v>0.534704</x:v>
      </x:c>
      <x:c r="L373" s="34" t="n">
        <x:v>0.257069</x:v>
      </x:c>
      <x:c r="M373" s="34" t="n">
        <x:v>0.208226</x:v>
      </x:c>
      <x:c r="N373" s="34" t="n">
        <x:v>0</x:v>
      </x:c>
      <x:c r="O373" s="34" t="n">
        <x:v>0.15</x:v>
      </x:c>
      <x:c r="P373" s="34" t="n">
        <x:v>0.1</x:v>
      </x:c>
      <x:c r="Q373" s="34" t="n">
        <x:v>0.2</x:v>
      </x:c>
      <x:c r="R373" s="34" t="n">
        <x:v>0.1</x:v>
      </x:c>
      <x:c r="S373" s="34" t="n">
        <x:v>0.01</x:v>
      </x:c>
      <x:c r="T373" s="34" t="n">
        <x:v>298.838969</x:v>
      </x:c>
      <x:c r="U373" s="34" t="str">
        <x:v>NS-EAST:H2_DRI_EAF:2034|NS-KANSAI:BF_RELINE:2036|NS-KYUSHU:SCRAP_EAF:2029|NS-NAGOYA:BF_RELINE:2032|NS-SETOUCHI:BF_RELINE:2038</x:v>
      </x:c>
      <x:c r="V373" s="34" t="str">
        <x:v>model_generated_candidate</x:v>
      </x:c>
      <x:c r="W373" s="34" t="str">
        <x:v>Generated from disclosed-path facility calendar, technology set and template contracting assumptions; not a company-announced project</x:v>
      </x:c>
    </x:row>
    <x:row r="374">
      <x:c r="A374" s="34" t="str">
        <x:v>CAND-4CE0AD3BCC1840</x:v>
      </x:c>
      <x:c r="B374" s="34" t="str">
        <x:v>NIPPON_STEEL_JP</x:v>
      </x:c>
      <x:c r="C374" s="34" t="str">
        <x:v>Nippon Steel</x:v>
      </x:c>
      <x:c r="D374" s="34" t="str">
        <x:v>P2</x:v>
      </x:c>
      <x:c r="E374" s="34" t="str">
        <x:v>지연·부분헤지</x:v>
      </x:c>
      <x:c r="F374" s="34" t="str">
        <x:v>PORT-DC98E399B19F</x:v>
      </x:c>
      <x:c r="G374" s="34" t="str">
        <x:v>DISCLOSED_PATH</x:v>
      </x:c>
      <x:c r="H374" s="34" t="n">
        <x:v>5</x:v>
      </x:c>
      <x:c r="I374" s="34" t="n">
        <x:v>2029</x:v>
      </x:c>
      <x:c r="J374" s="34" t="n">
        <x:v>2038</x:v>
      </x:c>
      <x:c r="K374" s="34" t="n">
        <x:v>0.179949</x:v>
      </x:c>
      <x:c r="L374" s="34" t="n">
        <x:v>0.449871</x:v>
      </x:c>
      <x:c r="M374" s="34" t="n">
        <x:v>0.37018</x:v>
      </x:c>
      <x:c r="N374" s="34" t="n">
        <x:v>0</x:v>
      </x:c>
      <x:c r="O374" s="34" t="n">
        <x:v>0.15</x:v>
      </x:c>
      <x:c r="P374" s="34" t="n">
        <x:v>0.1</x:v>
      </x:c>
      <x:c r="Q374" s="34" t="n">
        <x:v>0.2</x:v>
      </x:c>
      <x:c r="R374" s="34" t="n">
        <x:v>0.1</x:v>
      </x:c>
      <x:c r="S374" s="34" t="n">
        <x:v>0.01</x:v>
      </x:c>
      <x:c r="T374" s="34" t="n">
        <x:v>373.843975</x:v>
      </x:c>
      <x:c r="U374" s="34" t="str">
        <x:v>NS-EAST:H2_DRI_EAF:2034|NS-KANSAI:H2_DRI_EAF:2036|NS-KYUSHU:SCRAP_EAF:2029|NS-NAGOYA:BF_RELINE:2032|NS-SETOUCHI:SCRAP_EAF:2038</x:v>
      </x:c>
      <x:c r="V374" s="34" t="str">
        <x:v>model_generated_candidate</x:v>
      </x:c>
      <x:c r="W374" s="34" t="str">
        <x:v>Generated from disclosed-path facility calendar, technology set and template contracting assumptions; not a company-announced project</x:v>
      </x:c>
    </x:row>
    <x:row r="375">
      <x:c r="A375" s="34" t="str">
        <x:v>CAND-4CE4B30069A059</x:v>
      </x:c>
      <x:c r="B375" s="34" t="str">
        <x:v>NIPPON_STEEL_JP</x:v>
      </x:c>
      <x:c r="C375" s="34" t="str">
        <x:v>Nippon Steel</x:v>
      </x:c>
      <x:c r="D375" s="34" t="str">
        <x:v>P1</x:v>
      </x:c>
      <x:c r="E375" s="34" t="str">
        <x:v>지연·현물조달</x:v>
      </x:c>
      <x:c r="F375" s="34" t="str">
        <x:v>PORT-292714C1359A</x:v>
      </x:c>
      <x:c r="G375" s="34" t="str">
        <x:v>DISCLOSED_PATH</x:v>
      </x:c>
      <x:c r="H375" s="34" t="n">
        <x:v>5</x:v>
      </x:c>
      <x:c r="I375" s="34" t="n">
        <x:v>2029</x:v>
      </x:c>
      <x:c r="J375" s="34" t="n">
        <x:v>2038</x:v>
      </x:c>
      <x:c r="K375" s="34" t="n">
        <x:v>0.550129</x:v>
      </x:c>
      <x:c r="L375" s="34" t="n">
        <x:v>0.449871</x:v>
      </x:c>
      <x:c r="M375" s="34" t="n">
        <x:v>0</x:v>
      </x:c>
      <x:c r="N375" s="34" t="n">
        <x:v>0</x:v>
      </x:c>
      <x:c r="O375" s="34" t="n">
        <x:v>0</x:v>
      </x:c>
      <x:c r="P375" s="34" t="n">
        <x:v>0</x:v>
      </x:c>
      <x:c r="Q375" s="34" t="n">
        <x:v>0.1</x:v>
      </x:c>
      <x:c r="R375" s="34" t="n">
        <x:v>0</x:v>
      </x:c>
      <x:c r="S375" s="34" t="n">
        <x:v>0</x:v>
      </x:c>
      <x:c r="T375" s="34" t="n">
        <x:v>240.563958</x:v>
      </x:c>
      <x:c r="U375" s="34" t="str">
        <x:v>NS-EAST:BF_RELINE:2034|NS-KANSAI:BF_RELINE:2036|NS-KYUSHU:SCRAP_EAF:2029|NS-NAGOYA:BF_RELINE:2032|NS-SETOUCHI:SCRAP_EAF:2038</x:v>
      </x:c>
      <x:c r="V375" s="34" t="str">
        <x:v>model_generated_candidate</x:v>
      </x:c>
      <x:c r="W375" s="34" t="str">
        <x:v>Generated from disclosed-path facility calendar, technology set and template contracting assumptions; not a company-announced project</x:v>
      </x:c>
    </x:row>
    <x:row r="376">
      <x:c r="A376" s="34" t="str">
        <x:v>CAND-4CEBE052A6C990</x:v>
      </x:c>
      <x:c r="B376" s="34" t="str">
        <x:v>NIPPON_STEEL_JP</x:v>
      </x:c>
      <x:c r="C376" s="34" t="str">
        <x:v>Nippon Steel</x:v>
      </x:c>
      <x:c r="D376" s="34" t="str">
        <x:v>P1</x:v>
      </x:c>
      <x:c r="E376" s="34" t="str">
        <x:v>지연·현물조달</x:v>
      </x:c>
      <x:c r="F376" s="34" t="str">
        <x:v>PORT-5DB1AD1FC339</x:v>
      </x:c>
      <x:c r="G376" s="34" t="str">
        <x:v>DISCLOSED_PATH</x:v>
      </x:c>
      <x:c r="H376" s="34" t="n">
        <x:v>5</x:v>
      </x:c>
      <x:c r="I376" s="34" t="n">
        <x:v>2029</x:v>
      </x:c>
      <x:c r="J376" s="34" t="n">
        <x:v>2038</x:v>
      </x:c>
      <x:c r="K376" s="34" t="n">
        <x:v>0.192802</x:v>
      </x:c>
      <x:c r="L376" s="34" t="n">
        <x:v>0.598972</x:v>
      </x:c>
      <x:c r="M376" s="34" t="n">
        <x:v>0.208226</x:v>
      </x:c>
      <x:c r="N376" s="34" t="n">
        <x:v>0</x:v>
      </x:c>
      <x:c r="O376" s="34" t="n">
        <x:v>0</x:v>
      </x:c>
      <x:c r="P376" s="34" t="n">
        <x:v>0</x:v>
      </x:c>
      <x:c r="Q376" s="34" t="n">
        <x:v>0.1</x:v>
      </x:c>
      <x:c r="R376" s="34" t="n">
        <x:v>0</x:v>
      </x:c>
      <x:c r="S376" s="34" t="n">
        <x:v>0</x:v>
      </x:c>
      <x:c r="T376" s="34" t="n">
        <x:v>420.348948</x:v>
      </x:c>
      <x:c r="U376" s="34" t="str">
        <x:v>NS-EAST:H2_DRI_EAF:2034|NS-KANSAI:SCRAP_EAF:2036|NS-KYUSHU:SCRAP_EAF:2029|NS-NAGOYA:SCRAP_EAF:2032|NS-SETOUCHI:BF_RELINE:2038</x:v>
      </x:c>
      <x:c r="V376" s="34" t="str">
        <x:v>model_generated_candidate</x:v>
      </x:c>
      <x:c r="W376" s="34" t="str">
        <x:v>Generated from disclosed-path facility calendar, technology set and template contracting assumptions; not a company-announced project</x:v>
      </x:c>
    </x:row>
    <x:row r="377">
      <x:c r="A377" s="34" t="str">
        <x:v>CAND-4CFD4D6142962A</x:v>
      </x:c>
      <x:c r="B377" s="34" t="str">
        <x:v>NIPPON_STEEL_JP</x:v>
      </x:c>
      <x:c r="C377" s="34" t="str">
        <x:v>Nippon Steel</x:v>
      </x:c>
      <x:c r="D377" s="34" t="str">
        <x:v>P1</x:v>
      </x:c>
      <x:c r="E377" s="34" t="str">
        <x:v>지연·현물조달</x:v>
      </x:c>
      <x:c r="F377" s="34" t="str">
        <x:v>PORT-40A36EE0C770</x:v>
      </x:c>
      <x:c r="G377" s="34" t="str">
        <x:v>DISCLOSED_PATH</x:v>
      </x:c>
      <x:c r="H377" s="34" t="n">
        <x:v>5</x:v>
      </x:c>
      <x:c r="I377" s="34" t="n">
        <x:v>2029</x:v>
      </x:c>
      <x:c r="J377" s="34" t="n">
        <x:v>2038</x:v>
      </x:c>
      <x:c r="K377" s="34" t="n">
        <x:v>0.354756</x:v>
      </x:c>
      <x:c r="L377" s="34" t="n">
        <x:v>0.388175</x:v>
      </x:c>
      <x:c r="M377" s="34" t="n">
        <x:v>0.257069</x:v>
      </x:c>
      <x:c r="N377" s="34" t="n">
        <x:v>0</x:v>
      </x:c>
      <x:c r="O377" s="34" t="n">
        <x:v>0</x:v>
      </x:c>
      <x:c r="P377" s="34" t="n">
        <x:v>0</x:v>
      </x:c>
      <x:c r="Q377" s="34" t="n">
        <x:v>0.1</x:v>
      </x:c>
      <x:c r="R377" s="34" t="n">
        <x:v>0</x:v>
      </x:c>
      <x:c r="S377" s="34" t="n">
        <x:v>0</x:v>
      </x:c>
      <x:c r="T377" s="34" t="n">
        <x:v>394.148941</x:v>
      </x:c>
      <x:c r="U377" s="34" t="str">
        <x:v>NS-EAST:SCRAP_EAF:2034|NS-KANSAI:BF_RELINE:2036|NS-KYUSHU:H2_DRI_EAF:2029|NS-NAGOYA:SCRAP_EAF:2032|NS-SETOUCHI:BF_RELINE:2038</x:v>
      </x:c>
      <x:c r="V377" s="34" t="str">
        <x:v>model_generated_candidate</x:v>
      </x:c>
      <x:c r="W377" s="34" t="str">
        <x:v>Generated from disclosed-path facility calendar, technology set and template contracting assumptions; not a company-announced project</x:v>
      </x:c>
    </x:row>
    <x:row r="378">
      <x:c r="A378" s="34" t="str">
        <x:v>CAND-4D211E7CAB3825</x:v>
      </x:c>
      <x:c r="B378" s="34" t="str">
        <x:v>NIPPON_STEEL_JP</x:v>
      </x:c>
      <x:c r="C378" s="34" t="str">
        <x:v>Nippon Steel</x:v>
      </x:c>
      <x:c r="D378" s="34" t="str">
        <x:v>P2</x:v>
      </x:c>
      <x:c r="E378" s="34" t="str">
        <x:v>지연·부분헤지</x:v>
      </x:c>
      <x:c r="F378" s="34" t="str">
        <x:v>PORT-9F881B0E6E71</x:v>
      </x:c>
      <x:c r="G378" s="34" t="str">
        <x:v>DISCLOSED_PATH</x:v>
      </x:c>
      <x:c r="H378" s="34" t="n">
        <x:v>5</x:v>
      </x:c>
      <x:c r="I378" s="34" t="n">
        <x:v>2029</x:v>
      </x:c>
      <x:c r="J378" s="34" t="n">
        <x:v>2038</x:v>
      </x:c>
      <x:c r="K378" s="34" t="n">
        <x:v>0.449871</x:v>
      </x:c>
      <x:c r="L378" s="34" t="n">
        <x:v>0.161954</x:v>
      </x:c>
      <x:c r="M378" s="34" t="n">
        <x:v>0.388175</x:v>
      </x:c>
      <x:c r="N378" s="34" t="n">
        <x:v>0</x:v>
      </x:c>
      <x:c r="O378" s="34" t="n">
        <x:v>0.15</x:v>
      </x:c>
      <x:c r="P378" s="34" t="n">
        <x:v>0.1</x:v>
      </x:c>
      <x:c r="Q378" s="34" t="n">
        <x:v>0.2</x:v>
      </x:c>
      <x:c r="R378" s="34" t="n">
        <x:v>0.1</x:v>
      </x:c>
      <x:c r="S378" s="34" t="n">
        <x:v>0.01</x:v>
      </x:c>
      <x:c r="T378" s="34" t="n">
        <x:v>277.698943</x:v>
      </x:c>
      <x:c r="U378" s="34" t="str">
        <x:v>NS-EAST:H2_DRI_EAF:2034|NS-KANSAI:SCRAP_EAF:2036|NS-KYUSHU:BF_RELINE:2029|NS-NAGOYA:H2_DRI_EAF:2032|NS-SETOUCHI:BF_RELINE:2038</x:v>
      </x:c>
      <x:c r="V378" s="34" t="str">
        <x:v>model_generated_candidate</x:v>
      </x:c>
      <x:c r="W378" s="34" t="str">
        <x:v>Generated from disclosed-path facility calendar, technology set and template contracting assumptions; not a company-announced project</x:v>
      </x:c>
    </x:row>
    <x:row r="379">
      <x:c r="A379" s="34" t="str">
        <x:v>CAND-4D44526A065D58</x:v>
      </x:c>
      <x:c r="B379" s="34" t="str">
        <x:v>NIPPON_STEEL_JP</x:v>
      </x:c>
      <x:c r="C379" s="34" t="str">
        <x:v>Nippon Steel</x:v>
      </x:c>
      <x:c r="D379" s="34" t="str">
        <x:v>P3</x:v>
      </x:c>
      <x:c r="E379" s="34" t="str">
        <x:v>균형형 라이트헤지</x:v>
      </x:c>
      <x:c r="F379" s="34" t="str">
        <x:v>PORT-DC98E399B19F</x:v>
      </x:c>
      <x:c r="G379" s="34" t="str">
        <x:v>DISCLOSED_PATH</x:v>
      </x:c>
      <x:c r="H379" s="34" t="n">
        <x:v>5</x:v>
      </x:c>
      <x:c r="I379" s="34" t="n">
        <x:v>2029</x:v>
      </x:c>
      <x:c r="J379" s="34" t="n">
        <x:v>2038</x:v>
      </x:c>
      <x:c r="K379" s="34" t="n">
        <x:v>0.179949</x:v>
      </x:c>
      <x:c r="L379" s="34" t="n">
        <x:v>0.449871</x:v>
      </x:c>
      <x:c r="M379" s="34" t="n">
        <x:v>0.37018</x:v>
      </x:c>
      <x:c r="N379" s="34" t="n">
        <x:v>0</x:v>
      </x:c>
      <x:c r="O379" s="34" t="n">
        <x:v>0.3</x:v>
      </x:c>
      <x:c r="P379" s="34" t="n">
        <x:v>0.25</x:v>
      </x:c>
      <x:c r="Q379" s="34" t="n">
        <x:v>0.35</x:v>
      </x:c>
      <x:c r="R379" s="34" t="n">
        <x:v>0.25</x:v>
      </x:c>
      <x:c r="S379" s="34" t="n">
        <x:v>0.015</x:v>
      </x:c>
      <x:c r="T379" s="34" t="n">
        <x:v>373.843975</x:v>
      </x:c>
      <x:c r="U379" s="34" t="str">
        <x:v>NS-EAST:H2_DRI_EAF:2034|NS-KANSAI:H2_DRI_EAF:2036|NS-KYUSHU:SCRAP_EAF:2029|NS-NAGOYA:BF_RELINE:2032|NS-SETOUCHI:SCRAP_EAF:2038</x:v>
      </x:c>
      <x:c r="V379" s="34" t="str">
        <x:v>model_generated_candidate</x:v>
      </x:c>
      <x:c r="W379" s="34" t="str">
        <x:v>Generated from disclosed-path facility calendar, technology set and template contracting assumptions; not a company-announced project</x:v>
      </x:c>
    </x:row>
    <x:row r="380">
      <x:c r="A380" s="34" t="str">
        <x:v>CAND-4DD44A5CE98A95</x:v>
      </x:c>
      <x:c r="B380" s="34" t="str">
        <x:v>NIPPON_STEEL_JP</x:v>
      </x:c>
      <x:c r="C380" s="34" t="str">
        <x:v>Nippon Steel</x:v>
      </x:c>
      <x:c r="D380" s="34" t="str">
        <x:v>P1</x:v>
      </x:c>
      <x:c r="E380" s="34" t="str">
        <x:v>지연·현물조달</x:v>
      </x:c>
      <x:c r="F380" s="34" t="str">
        <x:v>PORT-FD23B75EC9FF</x:v>
      </x:c>
      <x:c r="G380" s="34" t="str">
        <x:v>DISCLOSED_PATH</x:v>
      </x:c>
      <x:c r="H380" s="34" t="n">
        <x:v>5</x:v>
      </x:c>
      <x:c r="I380" s="34" t="n">
        <x:v>2029</x:v>
      </x:c>
      <x:c r="J380" s="34" t="n">
        <x:v>2038</x:v>
      </x:c>
      <x:c r="K380" s="34" t="n">
        <x:v>0.192802</x:v>
      </x:c>
      <x:c r="L380" s="34" t="n">
        <x:v>0.179949</x:v>
      </x:c>
      <x:c r="M380" s="34" t="n">
        <x:v>0.627249</x:v>
      </x:c>
      <x:c r="N380" s="34" t="n">
        <x:v>0</x:v>
      </x:c>
      <x:c r="O380" s="34" t="n">
        <x:v>0</x:v>
      </x:c>
      <x:c r="P380" s="34" t="n">
        <x:v>0</x:v>
      </x:c>
      <x:c r="Q380" s="34" t="n">
        <x:v>0.1</x:v>
      </x:c>
      <x:c r="R380" s="34" t="n">
        <x:v>0</x:v>
      </x:c>
      <x:c r="S380" s="34" t="n">
        <x:v>0</x:v>
      </x:c>
      <x:c r="T380" s="34" t="n">
        <x:v>454.348949</x:v>
      </x:c>
      <x:c r="U380" s="34" t="str">
        <x:v>NS-EAST:H2_DRI_EAF:2034|NS-KANSAI:H2_DRI_EAF:2036|NS-KYUSHU:H2_DRI_EAF:2029|NS-NAGOYA:SCRAP_EAF:2032|NS-SETOUCHI:BF_RELINE:2038</x:v>
      </x:c>
      <x:c r="V380" s="34" t="str">
        <x:v>model_generated_candidate</x:v>
      </x:c>
      <x:c r="W380" s="34" t="str">
        <x:v>Generated from disclosed-path facility calendar, technology set and template contracting assumptions; not a company-announced project</x:v>
      </x:c>
    </x:row>
    <x:row r="381">
      <x:c r="A381" s="34" t="str">
        <x:v>CAND-4E354DAC9A3C4A</x:v>
      </x:c>
      <x:c r="B381" s="34" t="str">
        <x:v>NIPPON_STEEL_JP</x:v>
      </x:c>
      <x:c r="C381" s="34" t="str">
        <x:v>Nippon Steel</x:v>
      </x:c>
      <x:c r="D381" s="34" t="str">
        <x:v>P1</x:v>
      </x:c>
      <x:c r="E381" s="34" t="str">
        <x:v>지연·현물조달</x:v>
      </x:c>
      <x:c r="F381" s="34" t="str">
        <x:v>PORT-057E98E0E9FE</x:v>
      </x:c>
      <x:c r="G381" s="34" t="str">
        <x:v>DISCLOSED_PATH</x:v>
      </x:c>
      <x:c r="H381" s="34" t="n">
        <x:v>5</x:v>
      </x:c>
      <x:c r="I381" s="34" t="n">
        <x:v>2029</x:v>
      </x:c>
      <x:c r="J381" s="34" t="n">
        <x:v>2038</x:v>
      </x:c>
      <x:c r="K381" s="34" t="n">
        <x:v>0.388175</x:v>
      </x:c>
      <x:c r="L381" s="34" t="n">
        <x:v>0.354756</x:v>
      </x:c>
      <x:c r="M381" s="34" t="n">
        <x:v>0.257069</x:v>
      </x:c>
      <x:c r="N381" s="34" t="n">
        <x:v>0</x:v>
      </x:c>
      <x:c r="O381" s="34" t="n">
        <x:v>0</x:v>
      </x:c>
      <x:c r="P381" s="34" t="n">
        <x:v>0</x:v>
      </x:c>
      <x:c r="Q381" s="34" t="n">
        <x:v>0.1</x:v>
      </x:c>
      <x:c r="R381" s="34" t="n">
        <x:v>0</x:v>
      </x:c>
      <x:c r="S381" s="34" t="n">
        <x:v>0</x:v>
      </x:c>
      <x:c r="T381" s="34" t="n">
        <x:v>308.163963</x:v>
      </x:c>
      <x:c r="U381" s="34" t="str">
        <x:v>NS-EAST:BF_RELINE:2034|NS-KANSAI:SCRAP_EAF:2036|NS-KYUSHU:H2_DRI_EAF:2029|NS-NAGOYA:BF_RELINE:2032|NS-SETOUCHI:SCRAP_EAF:2038</x:v>
      </x:c>
      <x:c r="V381" s="34" t="str">
        <x:v>model_generated_candidate</x:v>
      </x:c>
      <x:c r="W381" s="34" t="str">
        <x:v>Generated from disclosed-path facility calendar, technology set and template contracting assumptions; not a company-announced project</x:v>
      </x:c>
    </x:row>
    <x:row r="382">
      <x:c r="A382" s="34" t="str">
        <x:v>CAND-4F3CAD52F7B49E</x:v>
      </x:c>
      <x:c r="B382" s="34" t="str">
        <x:v>NIPPON_STEEL_JP</x:v>
      </x:c>
      <x:c r="C382" s="34" t="str">
        <x:v>Nippon Steel</x:v>
      </x:c>
      <x:c r="D382" s="34" t="str">
        <x:v>P2</x:v>
      </x:c>
      <x:c r="E382" s="34" t="str">
        <x:v>지연·부분헤지</x:v>
      </x:c>
      <x:c r="F382" s="34" t="str">
        <x:v>PORT-7DC7D2B7A26E</x:v>
      </x:c>
      <x:c r="G382" s="34" t="str">
        <x:v>DISCLOSED_PATH</x:v>
      </x:c>
      <x:c r="H382" s="34" t="n">
        <x:v>5</x:v>
      </x:c>
      <x:c r="I382" s="34" t="n">
        <x:v>2029</x:v>
      </x:c>
      <x:c r="J382" s="34" t="n">
        <x:v>2038</x:v>
      </x:c>
      <x:c r="K382" s="34" t="n">
        <x:v>0.465296</x:v>
      </x:c>
      <x:c r="L382" s="34" t="n">
        <x:v>0.179949</x:v>
      </x:c>
      <x:c r="M382" s="34" t="n">
        <x:v>0.354756</x:v>
      </x:c>
      <x:c r="N382" s="34" t="n">
        <x:v>0</x:v>
      </x:c>
      <x:c r="O382" s="34" t="n">
        <x:v>0.15</x:v>
      </x:c>
      <x:c r="P382" s="34" t="n">
        <x:v>0.1</x:v>
      </x:c>
      <x:c r="Q382" s="34" t="n">
        <x:v>0.2</x:v>
      </x:c>
      <x:c r="R382" s="34" t="n">
        <x:v>0.1</x:v>
      </x:c>
      <x:c r="S382" s="34" t="n">
        <x:v>0.01</x:v>
      </x:c>
      <x:c r="T382" s="34" t="n">
        <x:v>217.198938</x:v>
      </x:c>
      <x:c r="U382" s="34" t="str">
        <x:v>NS-EAST:BF_RELINE:2034|NS-KANSAI:H2_DRI_EAF:2036|NS-KYUSHU:BF_RELINE:2029|NS-NAGOYA:SCRAP_EAF:2032|NS-SETOUCHI:H2_DRI_EAF:2038</x:v>
      </x:c>
      <x:c r="V382" s="34" t="str">
        <x:v>model_generated_candidate</x:v>
      </x:c>
      <x:c r="W382" s="34" t="str">
        <x:v>Generated from disclosed-path facility calendar, technology set and template contracting assumptions; not a company-announced project</x:v>
      </x:c>
    </x:row>
    <x:row r="383">
      <x:c r="A383" s="34" t="str">
        <x:v>CAND-4F6F048F138B19</x:v>
      </x:c>
      <x:c r="B383" s="34" t="str">
        <x:v>NIPPON_STEEL_JP</x:v>
      </x:c>
      <x:c r="C383" s="34" t="str">
        <x:v>Nippon Steel</x:v>
      </x:c>
      <x:c r="D383" s="34" t="str">
        <x:v>P1</x:v>
      </x:c>
      <x:c r="E383" s="34" t="str">
        <x:v>지연·현물조달</x:v>
      </x:c>
      <x:c r="F383" s="34" t="str">
        <x:v>PORT-131AD380D64C</x:v>
      </x:c>
      <x:c r="G383" s="34" t="str">
        <x:v>DISCLOSED_PATH</x:v>
      </x:c>
      <x:c r="H383" s="34" t="n">
        <x:v>5</x:v>
      </x:c>
      <x:c r="I383" s="34" t="n">
        <x:v>2029</x:v>
      </x:c>
      <x:c r="J383" s="34" t="n">
        <x:v>2038</x:v>
      </x:c>
      <x:c r="K383" s="34" t="n">
        <x:v>0.598972</x:v>
      </x:c>
      <x:c r="L383" s="34" t="n">
        <x:v>0.208226</x:v>
      </x:c>
      <x:c r="M383" s="34" t="n">
        <x:v>0.192802</x:v>
      </x:c>
      <x:c r="N383" s="34" t="n">
        <x:v>0</x:v>
      </x:c>
      <x:c r="O383" s="34" t="n">
        <x:v>0</x:v>
      </x:c>
      <x:c r="P383" s="34" t="n">
        <x:v>0</x:v>
      </x:c>
      <x:c r="Q383" s="34" t="n">
        <x:v>0.1</x:v>
      </x:c>
      <x:c r="R383" s="34" t="n">
        <x:v>0</x:v>
      </x:c>
      <x:c r="S383" s="34" t="n">
        <x:v>0</x:v>
      </x:c>
      <x:c r="T383" s="34" t="n">
        <x:v>161.768967</x:v>
      </x:c>
      <x:c r="U383" s="34" t="str">
        <x:v>NS-EAST:SCRAP_EAF:2034|NS-KANSAI:BF_RELINE:2036|NS-KYUSHU:BF_RELINE:2029|NS-NAGOYA:BF_RELINE:2032|NS-SETOUCHI:H2_DRI_EAF:2038</x:v>
      </x:c>
      <x:c r="V383" s="34" t="str">
        <x:v>model_generated_candidate</x:v>
      </x:c>
      <x:c r="W383" s="34" t="str">
        <x:v>Generated from disclosed-path facility calendar, technology set and template contracting assumptions; not a company-announced project</x:v>
      </x:c>
    </x:row>
    <x:row r="384">
      <x:c r="A384" s="34" t="str">
        <x:v>CAND-4FB5B92CE0FD50</x:v>
      </x:c>
      <x:c r="B384" s="34" t="str">
        <x:v>NIPPON_STEEL_JP</x:v>
      </x:c>
      <x:c r="C384" s="34" t="str">
        <x:v>Nippon Steel</x:v>
      </x:c>
      <x:c r="D384" s="34" t="str">
        <x:v>P3</x:v>
      </x:c>
      <x:c r="E384" s="34" t="str">
        <x:v>균형형 라이트헤지</x:v>
      </x:c>
      <x:c r="F384" s="34" t="str">
        <x:v>PORT-ABD3A701F29B</x:v>
      </x:c>
      <x:c r="G384" s="34" t="str">
        <x:v>DISCLOSED_PATH</x:v>
      </x:c>
      <x:c r="H384" s="34" t="n">
        <x:v>5</x:v>
      </x:c>
      <x:c r="I384" s="34" t="n">
        <x:v>2029</x:v>
      </x:c>
      <x:c r="J384" s="34" t="n">
        <x:v>2038</x:v>
      </x:c>
      <x:c r="K384" s="34" t="n">
        <x:v>0.449871</x:v>
      </x:c>
      <x:c r="L384" s="34" t="n">
        <x:v>0.179949</x:v>
      </x:c>
      <x:c r="M384" s="34" t="n">
        <x:v>0.37018</x:v>
      </x:c>
      <x:c r="N384" s="34" t="n">
        <x:v>0</x:v>
      </x:c>
      <x:c r="O384" s="34" t="n">
        <x:v>0.3</x:v>
      </x:c>
      <x:c r="P384" s="34" t="n">
        <x:v>0.25</x:v>
      </x:c>
      <x:c r="Q384" s="34" t="n">
        <x:v>0.35</x:v>
      </x:c>
      <x:c r="R384" s="34" t="n">
        <x:v>0.25</x:v>
      </x:c>
      <x:c r="S384" s="34" t="n">
        <x:v>0.015</x:v>
      </x:c>
      <x:c r="T384" s="34" t="n">
        <x:v>270.748949</x:v>
      </x:c>
      <x:c r="U384" s="34" t="str">
        <x:v>NS-EAST:H2_DRI_EAF:2034|NS-KANSAI:H2_DRI_EAF:2036|NS-KYUSHU:BF_RELINE:2029|NS-NAGOYA:SCRAP_EAF:2032|NS-SETOUCHI:BF_RELINE:2038</x:v>
      </x:c>
      <x:c r="V384" s="34" t="str">
        <x:v>model_generated_candidate</x:v>
      </x:c>
      <x:c r="W384" s="34" t="str">
        <x:v>Generated from disclosed-path facility calendar, technology set and template contracting assumptions; not a company-announced project</x:v>
      </x:c>
    </x:row>
    <x:row r="385">
      <x:c r="A385" s="34" t="str">
        <x:v>CAND-4FFB0EBE3EFF24</x:v>
      </x:c>
      <x:c r="B385" s="34" t="str">
        <x:v>NIPPON_STEEL_JP</x:v>
      </x:c>
      <x:c r="C385" s="34" t="str">
        <x:v>Nippon Steel</x:v>
      </x:c>
      <x:c r="D385" s="34" t="str">
        <x:v>P1</x:v>
      </x:c>
      <x:c r="E385" s="34" t="str">
        <x:v>지연·현물조달</x:v>
      </x:c>
      <x:c r="F385" s="34" t="str">
        <x:v>PORT-7D16A7A4E51A</x:v>
      </x:c>
      <x:c r="G385" s="34" t="str">
        <x:v>DISCLOSED_PATH</x:v>
      </x:c>
      <x:c r="H385" s="34" t="n">
        <x:v>5</x:v>
      </x:c>
      <x:c r="I385" s="34" t="n">
        <x:v>2029</x:v>
      </x:c>
      <x:c r="J385" s="34" t="n">
        <x:v>2038</x:v>
      </x:c>
      <x:c r="K385" s="34" t="n">
        <x:v>0</x:v>
      </x:c>
      <x:c r="L385" s="34" t="n">
        <x:v>0.192802</x:v>
      </x:c>
      <x:c r="M385" s="34" t="n">
        <x:v>0.807198</x:v>
      </x:c>
      <x:c r="N385" s="34" t="n">
        <x:v>0</x:v>
      </x:c>
      <x:c r="O385" s="34" t="n">
        <x:v>0</x:v>
      </x:c>
      <x:c r="P385" s="34" t="n">
        <x:v>0</x:v>
      </x:c>
      <x:c r="Q385" s="34" t="n">
        <x:v>0.1</x:v>
      </x:c>
      <x:c r="R385" s="34" t="n">
        <x:v>0</x:v>
      </x:c>
      <x:c r="S385" s="34" t="n">
        <x:v>0</x:v>
      </x:c>
      <x:c r="T385" s="34" t="n">
        <x:v>495.703944</x:v>
      </x:c>
      <x:c r="U385" s="34" t="str">
        <x:v>NS-EAST:H2_DRI_EAF:2034|NS-KANSAI:H2_DRI_EAF:2036|NS-KYUSHU:H2_DRI_EAF:2029|NS-NAGOYA:H2_DRI_EAF:2032|NS-SETOUCHI:SCRAP_EAF:2038</x:v>
      </x:c>
      <x:c r="V385" s="34" t="str">
        <x:v>model_generated_candidate</x:v>
      </x:c>
      <x:c r="W385" s="34" t="str">
        <x:v>Generated from disclosed-path facility calendar, technology set and template contracting assumptions; not a company-announced project</x:v>
      </x:c>
    </x:row>
    <x:row r="386">
      <x:c r="A386" s="34" t="str">
        <x:v>CAND-505DC50EEE65AA</x:v>
      </x:c>
      <x:c r="B386" s="34" t="str">
        <x:v>NIPPON_STEEL_JP</x:v>
      </x:c>
      <x:c r="C386" s="34" t="str">
        <x:v>Nippon Steel</x:v>
      </x:c>
      <x:c r="D386" s="34" t="str">
        <x:v>P2</x:v>
      </x:c>
      <x:c r="E386" s="34" t="str">
        <x:v>지연·부분헤지</x:v>
      </x:c>
      <x:c r="F386" s="34" t="str">
        <x:v>PORT-93BA44A86FDE</x:v>
      </x:c>
      <x:c r="G386" s="34" t="str">
        <x:v>DISCLOSED_PATH</x:v>
      </x:c>
      <x:c r="H386" s="34" t="n">
        <x:v>5</x:v>
      </x:c>
      <x:c r="I386" s="34" t="n">
        <x:v>2029</x:v>
      </x:c>
      <x:c r="J386" s="34" t="n">
        <x:v>2038</x:v>
      </x:c>
      <x:c r="K386" s="34" t="n">
        <x:v>0</x:v>
      </x:c>
      <x:c r="L386" s="34" t="n">
        <x:v>0.449871</x:v>
      </x:c>
      <x:c r="M386" s="34" t="n">
        <x:v>0.550129</x:v>
      </x:c>
      <x:c r="N386" s="34" t="n">
        <x:v>0</x:v>
      </x:c>
      <x:c r="O386" s="34" t="n">
        <x:v>0.15</x:v>
      </x:c>
      <x:c r="P386" s="34" t="n">
        <x:v>0.1</x:v>
      </x:c>
      <x:c r="Q386" s="34" t="n">
        <x:v>0.2</x:v>
      </x:c>
      <x:c r="R386" s="34" t="n">
        <x:v>0.1</x:v>
      </x:c>
      <x:c r="S386" s="34" t="n">
        <x:v>0.01</x:v>
      </x:c>
      <x:c r="T386" s="34" t="n">
        <x:v>468.703944</x:v>
      </x:c>
      <x:c r="U386" s="34" t="str">
        <x:v>NS-EAST:H2_DRI_EAF:2034|NS-KANSAI:H2_DRI_EAF:2036|NS-KYUSHU:SCRAP_EAF:2029|NS-NAGOYA:H2_DRI_EAF:2032|NS-SETOUCHI:SCRAP_EAF:2038</x:v>
      </x:c>
      <x:c r="V386" s="34" t="str">
        <x:v>model_generated_candidate</x:v>
      </x:c>
      <x:c r="W386" s="34" t="str">
        <x:v>Generated from disclosed-path facility calendar, technology set and template contracting assumptions; not a company-announced project</x:v>
      </x:c>
    </x:row>
    <x:row r="387">
      <x:c r="A387" s="34" t="str">
        <x:v>CAND-506C73B3FD20D2</x:v>
      </x:c>
      <x:c r="B387" s="34" t="str">
        <x:v>NIPPON_STEEL_JP</x:v>
      </x:c>
      <x:c r="C387" s="34" t="str">
        <x:v>Nippon Steel</x:v>
      </x:c>
      <x:c r="D387" s="34" t="str">
        <x:v>P1</x:v>
      </x:c>
      <x:c r="E387" s="34" t="str">
        <x:v>지연·현물조달</x:v>
      </x:c>
      <x:c r="F387" s="34" t="str">
        <x:v>PORT-5B51FD1C8E45</x:v>
      </x:c>
      <x:c r="G387" s="34" t="str">
        <x:v>DISCLOSED_PATH</x:v>
      </x:c>
      <x:c r="H387" s="34" t="n">
        <x:v>5</x:v>
      </x:c>
      <x:c r="I387" s="34" t="n">
        <x:v>2029</x:v>
      </x:c>
      <x:c r="J387" s="34" t="n">
        <x:v>2038</x:v>
      </x:c>
      <x:c r="K387" s="34" t="n">
        <x:v>0.179949</x:v>
      </x:c>
      <x:c r="L387" s="34" t="n">
        <x:v>0.257069</x:v>
      </x:c>
      <x:c r="M387" s="34" t="n">
        <x:v>0.562982</x:v>
      </x:c>
      <x:c r="N387" s="34" t="n">
        <x:v>0</x:v>
      </x:c>
      <x:c r="O387" s="34" t="n">
        <x:v>0</x:v>
      </x:c>
      <x:c r="P387" s="34" t="n">
        <x:v>0</x:v>
      </x:c>
      <x:c r="Q387" s="34" t="n">
        <x:v>0.1</x:v>
      </x:c>
      <x:c r="R387" s="34" t="n">
        <x:v>0</x:v>
      </x:c>
      <x:c r="S387" s="34" t="n">
        <x:v>0</x:v>
      </x:c>
      <x:c r="T387" s="34" t="n">
        <x:v>378.568975</x:v>
      </x:c>
      <x:c r="U387" s="34" t="str">
        <x:v>NS-EAST:H2_DRI_EAF:2034|NS-KANSAI:H2_DRI_EAF:2036|NS-KYUSHU:SCRAP_EAF:2029|NS-NAGOYA:BF_RELINE:2032|NS-SETOUCHI:H2_DRI_EAF:2038</x:v>
      </x:c>
      <x:c r="V387" s="34" t="str">
        <x:v>model_generated_candidate</x:v>
      </x:c>
      <x:c r="W387" s="34" t="str">
        <x:v>Generated from disclosed-path facility calendar, technology set and template contracting assumptions; not a company-announced project</x:v>
      </x:c>
    </x:row>
    <x:row r="388">
      <x:c r="A388" s="34" t="str">
        <x:v>CAND-50D7DB544C9D03</x:v>
      </x:c>
      <x:c r="B388" s="34" t="str">
        <x:v>NIPPON_STEEL_JP</x:v>
      </x:c>
      <x:c r="C388" s="34" t="str">
        <x:v>Nippon Steel</x:v>
      </x:c>
      <x:c r="D388" s="34" t="str">
        <x:v>P1</x:v>
      </x:c>
      <x:c r="E388" s="34" t="str">
        <x:v>지연·현물조달</x:v>
      </x:c>
      <x:c r="F388" s="34" t="str">
        <x:v>PORT-C7C771297A75</x:v>
      </x:c>
      <x:c r="G388" s="34" t="str">
        <x:v>DISCLOSED_PATH</x:v>
      </x:c>
      <x:c r="H388" s="34" t="n">
        <x:v>5</x:v>
      </x:c>
      <x:c r="I388" s="34" t="n">
        <x:v>2029</x:v>
      </x:c>
      <x:c r="J388" s="34" t="n">
        <x:v>2038</x:v>
      </x:c>
      <x:c r="K388" s="34" t="n">
        <x:v>0.179949</x:v>
      </x:c>
      <x:c r="L388" s="34" t="n">
        <x:v>0.562982</x:v>
      </x:c>
      <x:c r="M388" s="34" t="n">
        <x:v>0.257069</x:v>
      </x:c>
      <x:c r="N388" s="34" t="n">
        <x:v>0</x:v>
      </x:c>
      <x:c r="O388" s="34" t="n">
        <x:v>0</x:v>
      </x:c>
      <x:c r="P388" s="34" t="n">
        <x:v>0</x:v>
      </x:c>
      <x:c r="Q388" s="34" t="n">
        <x:v>0.1</x:v>
      </x:c>
      <x:c r="R388" s="34" t="n">
        <x:v>0</x:v>
      </x:c>
      <x:c r="S388" s="34" t="n">
        <x:v>0</x:v>
      </x:c>
      <x:c r="T388" s="34" t="n">
        <x:v>381.243972</x:v>
      </x:c>
      <x:c r="U388" s="34" t="str">
        <x:v>NS-EAST:SCRAP_EAF:2034|NS-KANSAI:SCRAP_EAF:2036|NS-KYUSHU:H2_DRI_EAF:2029|NS-NAGOYA:BF_RELINE:2032|NS-SETOUCHI:SCRAP_EAF:2038</x:v>
      </x:c>
      <x:c r="V388" s="34" t="str">
        <x:v>model_generated_candidate</x:v>
      </x:c>
      <x:c r="W388" s="34" t="str">
        <x:v>Generated from disclosed-path facility calendar, technology set and template contracting assumptions; not a company-announced project</x:v>
      </x:c>
    </x:row>
    <x:row r="389">
      <x:c r="A389" s="34" t="str">
        <x:v>CAND-50EC6484EBC411</x:v>
      </x:c>
      <x:c r="B389" s="34" t="str">
        <x:v>NIPPON_STEEL_JP</x:v>
      </x:c>
      <x:c r="C389" s="34" t="str">
        <x:v>Nippon Steel</x:v>
      </x:c>
      <x:c r="D389" s="34" t="str">
        <x:v>P2</x:v>
      </x:c>
      <x:c r="E389" s="34" t="str">
        <x:v>지연·부분헤지</x:v>
      </x:c>
      <x:c r="F389" s="34" t="str">
        <x:v>PORT-413ECF7F1B83</x:v>
      </x:c>
      <x:c r="G389" s="34" t="str">
        <x:v>DISCLOSED_PATH</x:v>
      </x:c>
      <x:c r="H389" s="34" t="n">
        <x:v>5</x:v>
      </x:c>
      <x:c r="I389" s="34" t="n">
        <x:v>2029</x:v>
      </x:c>
      <x:c r="J389" s="34" t="n">
        <x:v>2038</x:v>
      </x:c>
      <x:c r="K389" s="34" t="n">
        <x:v>0.257069</x:v>
      </x:c>
      <x:c r="L389" s="34" t="n">
        <x:v>0.534704</x:v>
      </x:c>
      <x:c r="M389" s="34" t="n">
        <x:v>0.208226</x:v>
      </x:c>
      <x:c r="N389" s="34" t="n">
        <x:v>0</x:v>
      </x:c>
      <x:c r="O389" s="34" t="n">
        <x:v>0.15</x:v>
      </x:c>
      <x:c r="P389" s="34" t="n">
        <x:v>0.1</x:v>
      </x:c>
      <x:c r="Q389" s="34" t="n">
        <x:v>0.2</x:v>
      </x:c>
      <x:c r="R389" s="34" t="n">
        <x:v>0.1</x:v>
      </x:c>
      <x:c r="S389" s="34" t="n">
        <x:v>0.01</x:v>
      </x:c>
      <x:c r="T389" s="34" t="n">
        <x:v>291.153948</x:v>
      </x:c>
      <x:c r="U389" s="34" t="str">
        <x:v>NS-EAST:H2_DRI_EAF:2034|NS-KANSAI:SCRAP_EAF:2036|NS-KYUSHU:BF_RELINE:2029|NS-NAGOYA:SCRAP_EAF:2032|NS-SETOUCHI:SCRAP_EAF:2038</x:v>
      </x:c>
      <x:c r="V389" s="34" t="str">
        <x:v>model_generated_candidate</x:v>
      </x:c>
      <x:c r="W389" s="34" t="str">
        <x:v>Generated from disclosed-path facility calendar, technology set and template contracting assumptions; not a company-announced project</x:v>
      </x:c>
    </x:row>
    <x:row r="390">
      <x:c r="A390" s="34" t="str">
        <x:v>CAND-51563CC4DFE733</x:v>
      </x:c>
      <x:c r="B390" s="34" t="str">
        <x:v>NIPPON_STEEL_JP</x:v>
      </x:c>
      <x:c r="C390" s="34" t="str">
        <x:v>Nippon Steel</x:v>
      </x:c>
      <x:c r="D390" s="34" t="str">
        <x:v>P1</x:v>
      </x:c>
      <x:c r="E390" s="34" t="str">
        <x:v>지연·현물조달</x:v>
      </x:c>
      <x:c r="F390" s="34" t="str">
        <x:v>PORT-792EEE640306</x:v>
      </x:c>
      <x:c r="G390" s="34" t="str">
        <x:v>DISCLOSED_PATH</x:v>
      </x:c>
      <x:c r="H390" s="34" t="n">
        <x:v>5</x:v>
      </x:c>
      <x:c r="I390" s="34" t="n">
        <x:v>2029</x:v>
      </x:c>
      <x:c r="J390" s="34" t="n">
        <x:v>2038</x:v>
      </x:c>
      <x:c r="K390" s="34" t="n">
        <x:v>0.372751</x:v>
      </x:c>
      <x:c r="L390" s="34" t="n">
        <x:v>0.419023</x:v>
      </x:c>
      <x:c r="M390" s="34" t="n">
        <x:v>0.208226</x:v>
      </x:c>
      <x:c r="N390" s="34" t="n">
        <x:v>0</x:v>
      </x:c>
      <x:c r="O390" s="34" t="n">
        <x:v>0</x:v>
      </x:c>
      <x:c r="P390" s="34" t="n">
        <x:v>0</x:v>
      </x:c>
      <x:c r="Q390" s="34" t="n">
        <x:v>0.1</x:v>
      </x:c>
      <x:c r="R390" s="34" t="n">
        <x:v>0</x:v>
      </x:c>
      <x:c r="S390" s="34" t="n">
        <x:v>0</x:v>
      </x:c>
      <x:c r="T390" s="34" t="n">
        <x:v>339.438974</x:v>
      </x:c>
      <x:c r="U390" s="34" t="str">
        <x:v>NS-EAST:H2_DRI_EAF:2034|NS-KANSAI:SCRAP_EAF:2036|NS-KYUSHU:SCRAP_EAF:2029|NS-NAGOYA:BF_RELINE:2032|NS-SETOUCHI:BF_RELINE:2038</x:v>
      </x:c>
      <x:c r="V390" s="34" t="str">
        <x:v>model_generated_candidate</x:v>
      </x:c>
      <x:c r="W390" s="34" t="str">
        <x:v>Generated from disclosed-path facility calendar, technology set and template contracting assumptions; not a company-announced project</x:v>
      </x:c>
    </x:row>
    <x:row r="391">
      <x:c r="A391" s="34" t="str">
        <x:v>CAND-51A83347F26C31</x:v>
      </x:c>
      <x:c r="B391" s="34" t="str">
        <x:v>NIPPON_STEEL_JP</x:v>
      </x:c>
      <x:c r="C391" s="34" t="str">
        <x:v>Nippon Steel</x:v>
      </x:c>
      <x:c r="D391" s="34" t="str">
        <x:v>P4</x:v>
      </x:c>
      <x:c r="E391" s="34" t="str">
        <x:v>균형형 전환</x:v>
      </x:c>
      <x:c r="F391" s="34" t="str">
        <x:v>PORT-5D7C953F7435</x:v>
      </x:c>
      <x:c r="G391" s="34" t="str">
        <x:v>DISCLOSED_PATH</x:v>
      </x:c>
      <x:c r="H391" s="34" t="n">
        <x:v>5</x:v>
      </x:c>
      <x:c r="I391" s="34" t="n">
        <x:v>2028</x:v>
      </x:c>
      <x:c r="J391" s="34" t="n">
        <x:v>2037</x:v>
      </x:c>
      <x:c r="K391" s="34" t="n">
        <x:v>0.208226</x:v>
      </x:c>
      <x:c r="L391" s="34" t="n">
        <x:v>0.179949</x:v>
      </x:c>
      <x:c r="M391" s="34" t="n">
        <x:v>0.611825</x:v>
      </x:c>
      <x:c r="N391" s="34" t="n">
        <x:v>0</x:v>
      </x:c>
      <x:c r="O391" s="34" t="n">
        <x:v>0.5</x:v>
      </x:c>
      <x:c r="P391" s="34" t="n">
        <x:v>0.45</x:v>
      </x:c>
      <x:c r="Q391" s="34" t="n">
        <x:v>0.5</x:v>
      </x:c>
      <x:c r="R391" s="34" t="n">
        <x:v>0.4</x:v>
      </x:c>
      <x:c r="S391" s="34" t="n">
        <x:v>0.02</x:v>
      </x:c>
      <x:c r="T391" s="34" t="n">
        <x:v>452.748933</x:v>
      </x:c>
      <x:c r="U391" s="34" t="str">
        <x:v>NS-EAST:BF_RELINE:2033|NS-KANSAI:H2_DRI_EAF:2035|NS-KYUSHU:H2_DRI_EAF:2028|NS-NAGOYA:SCRAP_EAF:2031|NS-SETOUCHI:H2_DRI_EAF:2037</x:v>
      </x:c>
      <x:c r="V391" s="34" t="str">
        <x:v>model_generated_candidate</x:v>
      </x:c>
      <x:c r="W391" s="34" t="str">
        <x:v>Generated from disclosed-path facility calendar, technology set and template contracting assumptions; not a company-announced project</x:v>
      </x:c>
    </x:row>
    <x:row r="392">
      <x:c r="A392" s="34" t="str">
        <x:v>CAND-5209302C3A1D10</x:v>
      </x:c>
      <x:c r="B392" s="34" t="str">
        <x:v>NIPPON_STEEL_JP</x:v>
      </x:c>
      <x:c r="C392" s="34" t="str">
        <x:v>Nippon Steel</x:v>
      </x:c>
      <x:c r="D392" s="34" t="str">
        <x:v>P3</x:v>
      </x:c>
      <x:c r="E392" s="34" t="str">
        <x:v>균형형 라이트헤지</x:v>
      </x:c>
      <x:c r="F392" s="34" t="str">
        <x:v>PORT-17F0017D3D64</x:v>
      </x:c>
      <x:c r="G392" s="34" t="str">
        <x:v>DISCLOSED_PATH</x:v>
      </x:c>
      <x:c r="H392" s="34" t="n">
        <x:v>5</x:v>
      </x:c>
      <x:c r="I392" s="34" t="n">
        <x:v>2029</x:v>
      </x:c>
      <x:c r="J392" s="34" t="n">
        <x:v>2038</x:v>
      </x:c>
      <x:c r="K392" s="34" t="n">
        <x:v>0.257069</x:v>
      </x:c>
      <x:c r="L392" s="34" t="n">
        <x:v>0</x:v>
      </x:c>
      <x:c r="M392" s="34" t="n">
        <x:v>0.742931</x:v>
      </x:c>
      <x:c r="N392" s="34" t="n">
        <x:v>0</x:v>
      </x:c>
      <x:c r="O392" s="34" t="n">
        <x:v>0.3</x:v>
      </x:c>
      <x:c r="P392" s="34" t="n">
        <x:v>0.25</x:v>
      </x:c>
      <x:c r="Q392" s="34" t="n">
        <x:v>0.35</x:v>
      </x:c>
      <x:c r="R392" s="34" t="n">
        <x:v>0.25</x:v>
      </x:c>
      <x:c r="S392" s="34" t="n">
        <x:v>0.015</x:v>
      </x:c>
      <x:c r="T392" s="34" t="n">
        <x:v>316.828944</x:v>
      </x:c>
      <x:c r="U392" s="34" t="str">
        <x:v>NS-EAST:H2_DRI_EAF:2034|NS-KANSAI:H2_DRI_EAF:2036|NS-KYUSHU:BF_RELINE:2029|NS-NAGOYA:H2_DRI_EAF:2032|NS-SETOUCHI:H2_DRI_EAF:2038</x:v>
      </x:c>
      <x:c r="V392" s="34" t="str">
        <x:v>model_generated_candidate</x:v>
      </x:c>
      <x:c r="W392" s="34" t="str">
        <x:v>Generated from disclosed-path facility calendar, technology set and template contracting assumptions; not a company-announced project</x:v>
      </x:c>
    </x:row>
    <x:row r="393">
      <x:c r="A393" s="34" t="str">
        <x:v>CAND-5216AE6B68085D</x:v>
      </x:c>
      <x:c r="B393" s="34" t="str">
        <x:v>NIPPON_STEEL_JP</x:v>
      </x:c>
      <x:c r="C393" s="34" t="str">
        <x:v>Nippon Steel</x:v>
      </x:c>
      <x:c r="D393" s="34" t="str">
        <x:v>P2</x:v>
      </x:c>
      <x:c r="E393" s="34" t="str">
        <x:v>지연·부분헤지</x:v>
      </x:c>
      <x:c r="F393" s="34" t="str">
        <x:v>PORT-F8E2822A3FA6</x:v>
      </x:c>
      <x:c r="G393" s="34" t="str">
        <x:v>DISCLOSED_PATH</x:v>
      </x:c>
      <x:c r="H393" s="34" t="n">
        <x:v>5</x:v>
      </x:c>
      <x:c r="I393" s="34" t="n">
        <x:v>2029</x:v>
      </x:c>
      <x:c r="J393" s="34" t="n">
        <x:v>2038</x:v>
      </x:c>
      <x:c r="K393" s="34" t="n">
        <x:v>0.161954</x:v>
      </x:c>
      <x:c r="L393" s="34" t="n">
        <x:v>0</x:v>
      </x:c>
      <x:c r="M393" s="34" t="n">
        <x:v>0.838046</x:v>
      </x:c>
      <x:c r="N393" s="34" t="n">
        <x:v>0</x:v>
      </x:c>
      <x:c r="O393" s="34" t="n">
        <x:v>0.15</x:v>
      </x:c>
      <x:c r="P393" s="34" t="n">
        <x:v>0.1</x:v>
      </x:c>
      <x:c r="Q393" s="34" t="n">
        <x:v>0.2</x:v>
      </x:c>
      <x:c r="R393" s="34" t="n">
        <x:v>0.1</x:v>
      </x:c>
      <x:c r="S393" s="34" t="n">
        <x:v>0.01</x:v>
      </x:c>
      <x:c r="T393" s="34" t="n">
        <x:v>452.828938</x:v>
      </x:c>
      <x:c r="U393" s="34" t="str">
        <x:v>NS-EAST:H2_DRI_EAF:2034|NS-KANSAI:BF_RELINE:2036|NS-KYUSHU:H2_DRI_EAF:2029|NS-NAGOYA:H2_DRI_EAF:2032|NS-SETOUCHI:H2_DRI_EAF:2038</x:v>
      </x:c>
      <x:c r="V393" s="34" t="str">
        <x:v>model_generated_candidate</x:v>
      </x:c>
      <x:c r="W393" s="34" t="str">
        <x:v>Generated from disclosed-path facility calendar, technology set and template contracting assumptions; not a company-announced project</x:v>
      </x:c>
    </x:row>
    <x:row r="394">
      <x:c r="A394" s="34" t="str">
        <x:v>CAND-5258E8B1C7751F</x:v>
      </x:c>
      <x:c r="B394" s="34" t="str">
        <x:v>NIPPON_STEEL_JP</x:v>
      </x:c>
      <x:c r="C394" s="34" t="str">
        <x:v>Nippon Steel</x:v>
      </x:c>
      <x:c r="D394" s="34" t="str">
        <x:v>P3</x:v>
      </x:c>
      <x:c r="E394" s="34" t="str">
        <x:v>균형형 라이트헤지</x:v>
      </x:c>
      <x:c r="F394" s="34" t="str">
        <x:v>PORT-7CC9F6AA7C42</x:v>
      </x:c>
      <x:c r="G394" s="34" t="str">
        <x:v>DISCLOSED_PATH</x:v>
      </x:c>
      <x:c r="H394" s="34" t="n">
        <x:v>5</x:v>
      </x:c>
      <x:c r="I394" s="34" t="n">
        <x:v>2029</x:v>
      </x:c>
      <x:c r="J394" s="34" t="n">
        <x:v>2038</x:v>
      </x:c>
      <x:c r="K394" s="34" t="n">
        <x:v>0.192802</x:v>
      </x:c>
      <x:c r="L394" s="34" t="n">
        <x:v>0.161954</x:v>
      </x:c>
      <x:c r="M394" s="34" t="n">
        <x:v>0.645244</x:v>
      </x:c>
      <x:c r="N394" s="34" t="n">
        <x:v>0</x:v>
      </x:c>
      <x:c r="O394" s="34" t="n">
        <x:v>0.3</x:v>
      </x:c>
      <x:c r="P394" s="34" t="n">
        <x:v>0.25</x:v>
      </x:c>
      <x:c r="Q394" s="34" t="n">
        <x:v>0.35</x:v>
      </x:c>
      <x:c r="R394" s="34" t="n">
        <x:v>0.25</x:v>
      </x:c>
      <x:c r="S394" s="34" t="n">
        <x:v>0.015</x:v>
      </x:c>
      <x:c r="T394" s="34" t="n">
        <x:v>461.298943</x:v>
      </x:c>
      <x:c r="U394" s="34" t="str">
        <x:v>NS-EAST:H2_DRI_EAF:2034|NS-KANSAI:SCRAP_EAF:2036|NS-KYUSHU:H2_DRI_EAF:2029|NS-NAGOYA:H2_DRI_EAF:2032|NS-SETOUCHI:BF_RELINE:2038</x:v>
      </x:c>
      <x:c r="V394" s="34" t="str">
        <x:v>model_generated_candidate</x:v>
      </x:c>
      <x:c r="W394" s="34" t="str">
        <x:v>Generated from disclosed-path facility calendar, technology set and template contracting assumptions; not a company-announced project</x:v>
      </x:c>
    </x:row>
    <x:row r="395">
      <x:c r="A395" s="34" t="str">
        <x:v>CAND-525AB88CB2D30F</x:v>
      </x:c>
      <x:c r="B395" s="34" t="str">
        <x:v>NIPPON_STEEL_JP</x:v>
      </x:c>
      <x:c r="C395" s="34" t="str">
        <x:v>Nippon Steel</x:v>
      </x:c>
      <x:c r="D395" s="34" t="str">
        <x:v>P2</x:v>
      </x:c>
      <x:c r="E395" s="34" t="str">
        <x:v>지연·부분헤지</x:v>
      </x:c>
      <x:c r="F395" s="34" t="str">
        <x:v>PORT-872DBBAC9225</x:v>
      </x:c>
      <x:c r="G395" s="34" t="str">
        <x:v>DISCLOSED_PATH</x:v>
      </x:c>
      <x:c r="H395" s="34" t="n">
        <x:v>5</x:v>
      </x:c>
      <x:c r="I395" s="34" t="n">
        <x:v>2029</x:v>
      </x:c>
      <x:c r="J395" s="34" t="n">
        <x:v>2038</x:v>
      </x:c>
      <x:c r="K395" s="34" t="n">
        <x:v>0.562982</x:v>
      </x:c>
      <x:c r="L395" s="34" t="n">
        <x:v>0</x:v>
      </x:c>
      <x:c r="M395" s="34" t="n">
        <x:v>0.437018</x:v>
      </x:c>
      <x:c r="N395" s="34" t="n">
        <x:v>0</x:v>
      </x:c>
      <x:c r="O395" s="34" t="n">
        <x:v>0.15</x:v>
      </x:c>
      <x:c r="P395" s="34" t="n">
        <x:v>0.1</x:v>
      </x:c>
      <x:c r="Q395" s="34" t="n">
        <x:v>0.2</x:v>
      </x:c>
      <x:c r="R395" s="34" t="n">
        <x:v>0.1</x:v>
      </x:c>
      <x:c r="S395" s="34" t="n">
        <x:v>0.01</x:v>
      </x:c>
      <x:c r="T395" s="34" t="n">
        <x:v>335.018927</x:v>
      </x:c>
      <x:c r="U395" s="34" t="str">
        <x:v>NS-EAST:BF_RELINE:2034|NS-KANSAI:BF_RELINE:2036|NS-KYUSHU:H2_DRI_EAF:2029|NS-NAGOYA:H2_DRI_EAF:2032|NS-SETOUCHI:BF_RELINE:2038</x:v>
      </x:c>
      <x:c r="V395" s="34" t="str">
        <x:v>model_generated_candidate</x:v>
      </x:c>
      <x:c r="W395" s="34" t="str">
        <x:v>Generated from disclosed-path facility calendar, technology set and template contracting assumptions; not a company-announced project</x:v>
      </x:c>
    </x:row>
    <x:row r="396">
      <x:c r="A396" s="34" t="str">
        <x:v>CAND-53CCC206EADA40</x:v>
      </x:c>
      <x:c r="B396" s="34" t="str">
        <x:v>NIPPON_STEEL_JP</x:v>
      </x:c>
      <x:c r="C396" s="34" t="str">
        <x:v>Nippon Steel</x:v>
      </x:c>
      <x:c r="D396" s="34" t="str">
        <x:v>P1</x:v>
      </x:c>
      <x:c r="E396" s="34" t="str">
        <x:v>지연·현물조달</x:v>
      </x:c>
      <x:c r="F396" s="34" t="str">
        <x:v>PORT-CBCBCB9AA3AA</x:v>
      </x:c>
      <x:c r="G396" s="34" t="str">
        <x:v>DISCLOSED_PATH</x:v>
      </x:c>
      <x:c r="H396" s="34" t="n">
        <x:v>5</x:v>
      </x:c>
      <x:c r="I396" s="34" t="n">
        <x:v>2029</x:v>
      </x:c>
      <x:c r="J396" s="34" t="n">
        <x:v>2038</x:v>
      </x:c>
      <x:c r="K396" s="34" t="n">
        <x:v>0.658098</x:v>
      </x:c>
      <x:c r="L396" s="34" t="n">
        <x:v>0.341902</x:v>
      </x:c>
      <x:c r="M396" s="34" t="n">
        <x:v>0</x:v>
      </x:c>
      <x:c r="N396" s="34" t="n">
        <x:v>0</x:v>
      </x:c>
      <x:c r="O396" s="34" t="n">
        <x:v>0</x:v>
      </x:c>
      <x:c r="P396" s="34" t="n">
        <x:v>0</x:v>
      </x:c>
      <x:c r="Q396" s="34" t="n">
        <x:v>0.1</x:v>
      </x:c>
      <x:c r="R396" s="34" t="n">
        <x:v>0</x:v>
      </x:c>
      <x:c r="S396" s="34" t="n">
        <x:v>0</x:v>
      </x:c>
      <x:c r="T396" s="34" t="n">
        <x:v>178.068937</x:v>
      </x:c>
      <x:c r="U396" s="34" t="str">
        <x:v>NS-EAST:BF_RELINE:2034|NS-KANSAI:SCRAP_EAF:2036|NS-KYUSHU:BF_RELINE:2029|NS-NAGOYA:SCRAP_EAF:2032|NS-SETOUCHI:BF_RELINE:2038</x:v>
      </x:c>
      <x:c r="V396" s="34" t="str">
        <x:v>model_generated_candidate</x:v>
      </x:c>
      <x:c r="W396" s="34" t="str">
        <x:v>Generated from disclosed-path facility calendar, technology set and template contracting assumptions; not a company-announced project</x:v>
      </x:c>
    </x:row>
    <x:row r="397">
      <x:c r="A397" s="34" t="str">
        <x:v>CAND-53E302C90863B4</x:v>
      </x:c>
      <x:c r="B397" s="34" t="str">
        <x:v>NIPPON_STEEL_JP</x:v>
      </x:c>
      <x:c r="C397" s="34" t="str">
        <x:v>Nippon Steel</x:v>
      </x:c>
      <x:c r="D397" s="34" t="str">
        <x:v>P1</x:v>
      </x:c>
      <x:c r="E397" s="34" t="str">
        <x:v>지연·현물조달</x:v>
      </x:c>
      <x:c r="F397" s="34" t="str">
        <x:v>PORT-A2A3E35D3296</x:v>
      </x:c>
      <x:c r="G397" s="34" t="str">
        <x:v>DISCLOSED_PATH</x:v>
      </x:c>
      <x:c r="H397" s="34" t="n">
        <x:v>5</x:v>
      </x:c>
      <x:c r="I397" s="34" t="n">
        <x:v>2029</x:v>
      </x:c>
      <x:c r="J397" s="34" t="n">
        <x:v>2038</x:v>
      </x:c>
      <x:c r="K397" s="34" t="n">
        <x:v>0</x:v>
      </x:c>
      <x:c r="L397" s="34" t="n">
        <x:v>0.341902</x:v>
      </x:c>
      <x:c r="M397" s="34" t="n">
        <x:v>0.658098</x:v>
      </x:c>
      <x:c r="N397" s="34" t="n">
        <x:v>0</x:v>
      </x:c>
      <x:c r="O397" s="34" t="n">
        <x:v>0</x:v>
      </x:c>
      <x:c r="P397" s="34" t="n">
        <x:v>0</x:v>
      </x:c>
      <x:c r="Q397" s="34" t="n">
        <x:v>0.1</x:v>
      </x:c>
      <x:c r="R397" s="34" t="n">
        <x:v>0</x:v>
      </x:c>
      <x:c r="S397" s="34" t="n">
        <x:v>0</x:v>
      </x:c>
      <x:c r="T397" s="34" t="n">
        <x:v>479.478948</x:v>
      </x:c>
      <x:c r="U397" s="34" t="str">
        <x:v>NS-EAST:H2_DRI_EAF:2034|NS-KANSAI:SCRAP_EAF:2036|NS-KYUSHU:H2_DRI_EAF:2029|NS-NAGOYA:SCRAP_EAF:2032|NS-SETOUCHI:H2_DRI_EAF:2038</x:v>
      </x:c>
      <x:c r="V397" s="34" t="str">
        <x:v>model_generated_candidate</x:v>
      </x:c>
      <x:c r="W397" s="34" t="str">
        <x:v>Generated from disclosed-path facility calendar, technology set and template contracting assumptions; not a company-announced project</x:v>
      </x:c>
    </x:row>
    <x:row r="398">
      <x:c r="A398" s="34" t="str">
        <x:v>CAND-5400A4381FFFDF</x:v>
      </x:c>
      <x:c r="B398" s="34" t="str">
        <x:v>NIPPON_STEEL_JP</x:v>
      </x:c>
      <x:c r="C398" s="34" t="str">
        <x:v>Nippon Steel</x:v>
      </x:c>
      <x:c r="D398" s="34" t="str">
        <x:v>P2</x:v>
      </x:c>
      <x:c r="E398" s="34" t="str">
        <x:v>지연·부분헤지</x:v>
      </x:c>
      <x:c r="F398" s="34" t="str">
        <x:v>PORT-E7B35CB7C0D2</x:v>
      </x:c>
      <x:c r="G398" s="34" t="str">
        <x:v>DISCLOSED_PATH</x:v>
      </x:c>
      <x:c r="H398" s="34" t="n">
        <x:v>5</x:v>
      </x:c>
      <x:c r="I398" s="34" t="n">
        <x:v>2029</x:v>
      </x:c>
      <x:c r="J398" s="34" t="n">
        <x:v>2038</x:v>
      </x:c>
      <x:c r="K398" s="34" t="n">
        <x:v>0.192802</x:v>
      </x:c>
      <x:c r="L398" s="34" t="n">
        <x:v>0.465296</x:v>
      </x:c>
      <x:c r="M398" s="34" t="n">
        <x:v>0.341902</x:v>
      </x:c>
      <x:c r="N398" s="34" t="n">
        <x:v>0</x:v>
      </x:c>
      <x:c r="O398" s="34" t="n">
        <x:v>0.15</x:v>
      </x:c>
      <x:c r="P398" s="34" t="n">
        <x:v>0.1</x:v>
      </x:c>
      <x:c r="Q398" s="34" t="n">
        <x:v>0.2</x:v>
      </x:c>
      <x:c r="R398" s="34" t="n">
        <x:v>0.1</x:v>
      </x:c>
      <x:c r="S398" s="34" t="n">
        <x:v>0.01</x:v>
      </x:c>
      <x:c r="T398" s="34" t="n">
        <x:v>428.698943</x:v>
      </x:c>
      <x:c r="U398" s="34" t="str">
        <x:v>NS-EAST:SCRAP_EAF:2034|NS-KANSAI:H2_DRI_EAF:2036|NS-KYUSHU:SCRAP_EAF:2029|NS-NAGOYA:H2_DRI_EAF:2032|NS-SETOUCHI:BF_RELINE:2038</x:v>
      </x:c>
      <x:c r="V398" s="34" t="str">
        <x:v>model_generated_candidate</x:v>
      </x:c>
      <x:c r="W398" s="34" t="str">
        <x:v>Generated from disclosed-path facility calendar, technology set and template contracting assumptions; not a company-announced project</x:v>
      </x:c>
    </x:row>
    <x:row r="399">
      <x:c r="A399" s="34" t="str">
        <x:v>CAND-544391766DEEBC</x:v>
      </x:c>
      <x:c r="B399" s="34" t="str">
        <x:v>NIPPON_STEEL_JP</x:v>
      </x:c>
      <x:c r="C399" s="34" t="str">
        <x:v>Nippon Steel</x:v>
      </x:c>
      <x:c r="D399" s="34" t="str">
        <x:v>P2</x:v>
      </x:c>
      <x:c r="E399" s="34" t="str">
        <x:v>지연·부분헤지</x:v>
      </x:c>
      <x:c r="F399" s="34" t="str">
        <x:v>PORT-E014E041276B</x:v>
      </x:c>
      <x:c r="G399" s="34" t="str">
        <x:v>DISCLOSED_PATH</x:v>
      </x:c>
      <x:c r="H399" s="34" t="n">
        <x:v>5</x:v>
      </x:c>
      <x:c r="I399" s="34" t="n">
        <x:v>2029</x:v>
      </x:c>
      <x:c r="J399" s="34" t="n">
        <x:v>2038</x:v>
      </x:c>
      <x:c r="K399" s="34" t="n">
        <x:v>0.161954</x:v>
      </x:c>
      <x:c r="L399" s="34" t="n">
        <x:v>0.401028</x:v>
      </x:c>
      <x:c r="M399" s="34" t="n">
        <x:v>0.437018</x:v>
      </x:c>
      <x:c r="N399" s="34" t="n">
        <x:v>0</x:v>
      </x:c>
      <x:c r="O399" s="34" t="n">
        <x:v>0.15</x:v>
      </x:c>
      <x:c r="P399" s="34" t="n">
        <x:v>0.1</x:v>
      </x:c>
      <x:c r="Q399" s="34" t="n">
        <x:v>0.2</x:v>
      </x:c>
      <x:c r="R399" s="34" t="n">
        <x:v>0.1</x:v>
      </x:c>
      <x:c r="S399" s="34" t="n">
        <x:v>0.01</x:v>
      </x:c>
      <x:c r="T399" s="34" t="n">
        <x:v>435.503937</x:v>
      </x:c>
      <x:c r="U399" s="34" t="str">
        <x:v>NS-EAST:SCRAP_EAF:2034|NS-KANSAI:BF_RELINE:2036|NS-KYUSHU:H2_DRI_EAF:2029|NS-NAGOYA:H2_DRI_EAF:2032|NS-SETOUCHI:SCRAP_EAF:2038</x:v>
      </x:c>
      <x:c r="V399" s="34" t="str">
        <x:v>model_generated_candidate</x:v>
      </x:c>
      <x:c r="W399" s="34" t="str">
        <x:v>Generated from disclosed-path facility calendar, technology set and template contracting assumptions; not a company-announced project</x:v>
      </x:c>
    </x:row>
    <x:row r="400">
      <x:c r="A400" s="34" t="str">
        <x:v>CAND-54996F21D43414</x:v>
      </x:c>
      <x:c r="B400" s="34" t="str">
        <x:v>NIPPON_STEEL_JP</x:v>
      </x:c>
      <x:c r="C400" s="34" t="str">
        <x:v>Nippon Steel</x:v>
      </x:c>
      <x:c r="D400" s="34" t="str">
        <x:v>P2</x:v>
      </x:c>
      <x:c r="E400" s="34" t="str">
        <x:v>지연·부분헤지</x:v>
      </x:c>
      <x:c r="F400" s="34" t="str">
        <x:v>PORT-4025A7B6BA3A</x:v>
      </x:c>
      <x:c r="G400" s="34" t="str">
        <x:v>DISCLOSED_PATH</x:v>
      </x:c>
      <x:c r="H400" s="34" t="n">
        <x:v>5</x:v>
      </x:c>
      <x:c r="I400" s="34" t="n">
        <x:v>2029</x:v>
      </x:c>
      <x:c r="J400" s="34" t="n">
        <x:v>2038</x:v>
      </x:c>
      <x:c r="K400" s="34" t="n">
        <x:v>0.354756</x:v>
      </x:c>
      <x:c r="L400" s="34" t="n">
        <x:v>0.437018</x:v>
      </x:c>
      <x:c r="M400" s="34" t="n">
        <x:v>0.208226</x:v>
      </x:c>
      <x:c r="N400" s="34" t="n">
        <x:v>0</x:v>
      </x:c>
      <x:c r="O400" s="34" t="n">
        <x:v>0.15</x:v>
      </x:c>
      <x:c r="P400" s="34" t="n">
        <x:v>0.1</x:v>
      </x:c>
      <x:c r="Q400" s="34" t="n">
        <x:v>0.2</x:v>
      </x:c>
      <x:c r="R400" s="34" t="n">
        <x:v>0.1</x:v>
      </x:c>
      <x:c r="S400" s="34" t="n">
        <x:v>0.01</x:v>
      </x:c>
      <x:c r="T400" s="34" t="n">
        <x:v>379.748943</x:v>
      </x:c>
      <x:c r="U400" s="34" t="str">
        <x:v>NS-EAST:H2_DRI_EAF:2034|NS-KANSAI:BF_RELINE:2036|NS-KYUSHU:SCRAP_EAF:2029|NS-NAGOYA:SCRAP_EAF:2032|NS-SETOUCHI:BF_RELINE:2038</x:v>
      </x:c>
      <x:c r="V400" s="34" t="str">
        <x:v>model_generated_candidate</x:v>
      </x:c>
      <x:c r="W400" s="34" t="str">
        <x:v>Generated from disclosed-path facility calendar, technology set and template contracting assumptions; not a company-announced project</x:v>
      </x:c>
    </x:row>
    <x:row r="401">
      <x:c r="A401" s="34" t="str">
        <x:v>CAND-551928243AF94B</x:v>
      </x:c>
      <x:c r="B401" s="34" t="str">
        <x:v>NIPPON_STEEL_JP</x:v>
      </x:c>
      <x:c r="C401" s="34" t="str">
        <x:v>Nippon Steel</x:v>
      </x:c>
      <x:c r="D401" s="34" t="str">
        <x:v>P2</x:v>
      </x:c>
      <x:c r="E401" s="34" t="str">
        <x:v>지연·부분헤지</x:v>
      </x:c>
      <x:c r="F401" s="34" t="str">
        <x:v>PORT-B0CFD4776966</x:v>
      </x:c>
      <x:c r="G401" s="34" t="str">
        <x:v>DISCLOSED_PATH</x:v>
      </x:c>
      <x:c r="H401" s="34" t="n">
        <x:v>5</x:v>
      </x:c>
      <x:c r="I401" s="34" t="n">
        <x:v>2029</x:v>
      </x:c>
      <x:c r="J401" s="34" t="n">
        <x:v>2038</x:v>
      </x:c>
      <x:c r="K401" s="34" t="n">
        <x:v>0.658098</x:v>
      </x:c>
      <x:c r="L401" s="34" t="n">
        <x:v>0</x:v>
      </x:c>
      <x:c r="M401" s="34" t="n">
        <x:v>0.341902</x:v>
      </x:c>
      <x:c r="N401" s="34" t="n">
        <x:v>0</x:v>
      </x:c>
      <x:c r="O401" s="34" t="n">
        <x:v>0.15</x:v>
      </x:c>
      <x:c r="P401" s="34" t="n">
        <x:v>0.1</x:v>
      </x:c>
      <x:c r="Q401" s="34" t="n">
        <x:v>0.2</x:v>
      </x:c>
      <x:c r="R401" s="34" t="n">
        <x:v>0.1</x:v>
      </x:c>
      <x:c r="S401" s="34" t="n">
        <x:v>0.01</x:v>
      </x:c>
      <x:c r="T401" s="34" t="n">
        <x:v>199.018933</x:v>
      </x:c>
      <x:c r="U401" s="34" t="str">
        <x:v>NS-EAST:BF_RELINE:2034|NS-KANSAI:H2_DRI_EAF:2036|NS-KYUSHU:BF_RELINE:2029|NS-NAGOYA:H2_DRI_EAF:2032|NS-SETOUCHI:BF_RELINE:2038</x:v>
      </x:c>
      <x:c r="V401" s="34" t="str">
        <x:v>model_generated_candidate</x:v>
      </x:c>
      <x:c r="W401" s="34" t="str">
        <x:v>Generated from disclosed-path facility calendar, technology set and template contracting assumptions; not a company-announced project</x:v>
      </x:c>
    </x:row>
    <x:row r="402">
      <x:c r="A402" s="34" t="str">
        <x:v>CAND-5580CE18070E3B</x:v>
      </x:c>
      <x:c r="B402" s="34" t="str">
        <x:v>NIPPON_STEEL_JP</x:v>
      </x:c>
      <x:c r="C402" s="34" t="str">
        <x:v>Nippon Steel</x:v>
      </x:c>
      <x:c r="D402" s="34" t="str">
        <x:v>P1</x:v>
      </x:c>
      <x:c r="E402" s="34" t="str">
        <x:v>지연·현물조달</x:v>
      </x:c>
      <x:c r="F402" s="34" t="str">
        <x:v>PORT-F755AF5EA3AF</x:v>
      </x:c>
      <x:c r="G402" s="34" t="str">
        <x:v>DISCLOSED_PATH</x:v>
      </x:c>
      <x:c r="H402" s="34" t="n">
        <x:v>5</x:v>
      </x:c>
      <x:c r="I402" s="34" t="n">
        <x:v>2029</x:v>
      </x:c>
      <x:c r="J402" s="34" t="n">
        <x:v>2038</x:v>
      </x:c>
      <x:c r="K402" s="34" t="n">
        <x:v>0.645244</x:v>
      </x:c>
      <x:c r="L402" s="34" t="n">
        <x:v>0.354756</x:v>
      </x:c>
      <x:c r="M402" s="34" t="n">
        <x:v>0</x:v>
      </x:c>
      <x:c r="N402" s="34" t="n">
        <x:v>0</x:v>
      </x:c>
      <x:c r="O402" s="34" t="n">
        <x:v>0</x:v>
      </x:c>
      <x:c r="P402" s="34" t="n">
        <x:v>0</x:v>
      </x:c>
      <x:c r="Q402" s="34" t="n">
        <x:v>0.1</x:v>
      </x:c>
      <x:c r="R402" s="34" t="n">
        <x:v>0</x:v>
      </x:c>
      <x:c r="S402" s="34" t="n">
        <x:v>0</x:v>
      </x:c>
      <x:c r="T402" s="34" t="n">
        <x:v>124.563963</x:v>
      </x:c>
      <x:c r="U402" s="34" t="str">
        <x:v>NS-EAST:BF_RELINE:2034|NS-KANSAI:SCRAP_EAF:2036|NS-KYUSHU:BF_RELINE:2029|NS-NAGOYA:BF_RELINE:2032|NS-SETOUCHI:SCRAP_EAF:2038</x:v>
      </x:c>
      <x:c r="V402" s="34" t="str">
        <x:v>model_generated_candidate</x:v>
      </x:c>
      <x:c r="W402" s="34" t="str">
        <x:v>Generated from disclosed-path facility calendar, technology set and template contracting assumptions; not a company-announced project</x:v>
      </x:c>
    </x:row>
    <x:row r="403">
      <x:c r="A403" s="34" t="str">
        <x:v>CAND-564146D90748E4</x:v>
      </x:c>
      <x:c r="B403" s="34" t="str">
        <x:v>NIPPON_STEEL_JP</x:v>
      </x:c>
      <x:c r="C403" s="34" t="str">
        <x:v>Nippon Steel</x:v>
      </x:c>
      <x:c r="D403" s="34" t="str">
        <x:v>P3</x:v>
      </x:c>
      <x:c r="E403" s="34" t="str">
        <x:v>균형형 라이트헤지</x:v>
      </x:c>
      <x:c r="F403" s="34" t="str">
        <x:v>PORT-9D11099D9A8A</x:v>
      </x:c>
      <x:c r="G403" s="34" t="str">
        <x:v>DISCLOSED_PATH</x:v>
      </x:c>
      <x:c r="H403" s="34" t="n">
        <x:v>5</x:v>
      </x:c>
      <x:c r="I403" s="34" t="n">
        <x:v>2029</x:v>
      </x:c>
      <x:c r="J403" s="34" t="n">
        <x:v>2038</x:v>
      </x:c>
      <x:c r="K403" s="34" t="n">
        <x:v>0.208226</x:v>
      </x:c>
      <x:c r="L403" s="34" t="n">
        <x:v>0.354756</x:v>
      </x:c>
      <x:c r="M403" s="34" t="n">
        <x:v>0.437018</x:v>
      </x:c>
      <x:c r="N403" s="34" t="n">
        <x:v>0</x:v>
      </x:c>
      <x:c r="O403" s="34" t="n">
        <x:v>0.3</x:v>
      </x:c>
      <x:c r="P403" s="34" t="n">
        <x:v>0.25</x:v>
      </x:c>
      <x:c r="Q403" s="34" t="n">
        <x:v>0.35</x:v>
      </x:c>
      <x:c r="R403" s="34" t="n">
        <x:v>0.25</x:v>
      </x:c>
      <x:c r="S403" s="34" t="n">
        <x:v>0.015</x:v>
      </x:c>
      <x:c r="T403" s="34" t="n">
        <x:v>403.023932</x:v>
      </x:c>
      <x:c r="U403" s="34" t="str">
        <x:v>NS-EAST:BF_RELINE:2034|NS-KANSAI:SCRAP_EAF:2036|NS-KYUSHU:H2_DRI_EAF:2029|NS-NAGOYA:H2_DRI_EAF:2032|NS-SETOUCHI:SCRAP_EAF:2038</x:v>
      </x:c>
      <x:c r="V403" s="34" t="str">
        <x:v>model_generated_candidate</x:v>
      </x:c>
      <x:c r="W403" s="34" t="str">
        <x:v>Generated from disclosed-path facility calendar, technology set and template contracting assumptions; not a company-announced project</x:v>
      </x:c>
    </x:row>
    <x:row r="404">
      <x:c r="A404" s="34" t="str">
        <x:v>CAND-56D751E1AA590E</x:v>
      </x:c>
      <x:c r="B404" s="34" t="str">
        <x:v>NIPPON_STEEL_JP</x:v>
      </x:c>
      <x:c r="C404" s="34" t="str">
        <x:v>Nippon Steel</x:v>
      </x:c>
      <x:c r="D404" s="34" t="str">
        <x:v>P1</x:v>
      </x:c>
      <x:c r="E404" s="34" t="str">
        <x:v>지연·현물조달</x:v>
      </x:c>
      <x:c r="F404" s="34" t="str">
        <x:v>PORT-69314E914B25</x:v>
      </x:c>
      <x:c r="G404" s="34" t="str">
        <x:v>DISCLOSED_PATH</x:v>
      </x:c>
      <x:c r="H404" s="34" t="n">
        <x:v>5</x:v>
      </x:c>
      <x:c r="I404" s="34" t="n">
        <x:v>2029</x:v>
      </x:c>
      <x:c r="J404" s="34" t="n">
        <x:v>2038</x:v>
      </x:c>
      <x:c r="K404" s="34" t="n">
        <x:v>0.820051</x:v>
      </x:c>
      <x:c r="L404" s="34" t="n">
        <x:v>0</x:v>
      </x:c>
      <x:c r="M404" s="34" t="n">
        <x:v>0.179949</x:v>
      </x:c>
      <x:c r="N404" s="34" t="n">
        <x:v>0</x:v>
      </x:c>
      <x:c r="O404" s="34" t="n">
        <x:v>0</x:v>
      </x:c>
      <x:c r="P404" s="34" t="n">
        <x:v>0</x:v>
      </x:c>
      <x:c r="Q404" s="34" t="n">
        <x:v>0.1</x:v>
      </x:c>
      <x:c r="R404" s="34" t="n">
        <x:v>0</x:v>
      </x:c>
      <x:c r="S404" s="34" t="n">
        <x:v>0</x:v>
      </x:c>
      <x:c r="T404" s="34" t="n">
        <x:v>151.418927</x:v>
      </x:c>
      <x:c r="U404" s="34" t="str">
        <x:v>NS-EAST:BF_RELINE:2034|NS-KANSAI:BF_RELINE:2036|NS-KYUSHU:BF_RELINE:2029|NS-NAGOYA:H2_DRI_EAF:2032|NS-SETOUCHI:BF_RELINE:2038</x:v>
      </x:c>
      <x:c r="V404" s="34" t="str">
        <x:v>model_generated_candidate</x:v>
      </x:c>
      <x:c r="W404" s="34" t="str">
        <x:v>Generated from disclosed-path facility calendar, technology set and template contracting assumptions; not a company-announced project</x:v>
      </x:c>
    </x:row>
    <x:row r="405">
      <x:c r="A405" s="34" t="str">
        <x:v>CAND-56D880A541D9D5</x:v>
      </x:c>
      <x:c r="B405" s="34" t="str">
        <x:v>NIPPON_STEEL_JP</x:v>
      </x:c>
      <x:c r="C405" s="34" t="str">
        <x:v>Nippon Steel</x:v>
      </x:c>
      <x:c r="D405" s="34" t="str">
        <x:v>P3</x:v>
      </x:c>
      <x:c r="E405" s="34" t="str">
        <x:v>균형형 라이트헤지</x:v>
      </x:c>
      <x:c r="F405" s="34" t="str">
        <x:v>PORT-113D08C18DF3</x:v>
      </x:c>
      <x:c r="G405" s="34" t="str">
        <x:v>DISCLOSED_PATH</x:v>
      </x:c>
      <x:c r="H405" s="34" t="n">
        <x:v>5</x:v>
      </x:c>
      <x:c r="I405" s="34" t="n">
        <x:v>2029</x:v>
      </x:c>
      <x:c r="J405" s="34" t="n">
        <x:v>2038</x:v>
      </x:c>
      <x:c r="K405" s="34" t="n">
        <x:v>0.257069</x:v>
      </x:c>
      <x:c r="L405" s="34" t="n">
        <x:v>0.372751</x:v>
      </x:c>
      <x:c r="M405" s="34" t="n">
        <x:v>0.37018</x:v>
      </x:c>
      <x:c r="N405" s="34" t="n">
        <x:v>0</x:v>
      </x:c>
      <x:c r="O405" s="34" t="n">
        <x:v>0.3</x:v>
      </x:c>
      <x:c r="P405" s="34" t="n">
        <x:v>0.25</x:v>
      </x:c>
      <x:c r="Q405" s="34" t="n">
        <x:v>0.35</x:v>
      </x:c>
      <x:c r="R405" s="34" t="n">
        <x:v>0.25</x:v>
      </x:c>
      <x:c r="S405" s="34" t="n">
        <x:v>0.015</x:v>
      </x:c>
      <x:c r="T405" s="34" t="n">
        <x:v>298.153949</x:v>
      </x:c>
      <x:c r="U405" s="34" t="str">
        <x:v>NS-EAST:H2_DRI_EAF:2034|NS-KANSAI:H2_DRI_EAF:2036|NS-KYUSHU:BF_RELINE:2029|NS-NAGOYA:SCRAP_EAF:2032|NS-SETOUCHI:SCRAP_EAF:2038</x:v>
      </x:c>
      <x:c r="V405" s="34" t="str">
        <x:v>model_generated_candidate</x:v>
      </x:c>
      <x:c r="W405" s="34" t="str">
        <x:v>Generated from disclosed-path facility calendar, technology set and template contracting assumptions; not a company-announced project</x:v>
      </x:c>
    </x:row>
    <x:row r="406">
      <x:c r="A406" s="34" t="str">
        <x:v>CAND-57307C5D92DD64</x:v>
      </x:c>
      <x:c r="B406" s="34" t="str">
        <x:v>NIPPON_STEEL_JP</x:v>
      </x:c>
      <x:c r="C406" s="34" t="str">
        <x:v>Nippon Steel</x:v>
      </x:c>
      <x:c r="D406" s="34" t="str">
        <x:v>P3</x:v>
      </x:c>
      <x:c r="E406" s="34" t="str">
        <x:v>균형형 라이트헤지</x:v>
      </x:c>
      <x:c r="F406" s="34" t="str">
        <x:v>PORT-238A2183FB78</x:v>
      </x:c>
      <x:c r="G406" s="34" t="str">
        <x:v>DISCLOSED_PATH</x:v>
      </x:c>
      <x:c r="H406" s="34" t="n">
        <x:v>5</x:v>
      </x:c>
      <x:c r="I406" s="34" t="n">
        <x:v>2029</x:v>
      </x:c>
      <x:c r="J406" s="34" t="n">
        <x:v>2038</x:v>
      </x:c>
      <x:c r="K406" s="34" t="n">
        <x:v>0.449871</x:v>
      </x:c>
      <x:c r="L406" s="34" t="n">
        <x:v>0</x:v>
      </x:c>
      <x:c r="M406" s="34" t="n">
        <x:v>0.550129</x:v>
      </x:c>
      <x:c r="N406" s="34" t="n">
        <x:v>0</x:v>
      </x:c>
      <x:c r="O406" s="34" t="n">
        <x:v>0.3</x:v>
      </x:c>
      <x:c r="P406" s="34" t="n">
        <x:v>0.25</x:v>
      </x:c>
      <x:c r="Q406" s="34" t="n">
        <x:v>0.35</x:v>
      </x:c>
      <x:c r="R406" s="34" t="n">
        <x:v>0.25</x:v>
      </x:c>
      <x:c r="S406" s="34" t="n">
        <x:v>0.015</x:v>
      </x:c>
      <x:c r="T406" s="34" t="n">
        <x:v>284.698944</x:v>
      </x:c>
      <x:c r="U406" s="34" t="str">
        <x:v>NS-EAST:H2_DRI_EAF:2034|NS-KANSAI:H2_DRI_EAF:2036|NS-KYUSHU:BF_RELINE:2029|NS-NAGOYA:H2_DRI_EAF:2032|NS-SETOUCHI:BF_RELINE:2038</x:v>
      </x:c>
      <x:c r="V406" s="34" t="str">
        <x:v>model_generated_candidate</x:v>
      </x:c>
      <x:c r="W406" s="34" t="str">
        <x:v>Generated from disclosed-path facility calendar, technology set and template contracting assumptions; not a company-announced project</x:v>
      </x:c>
    </x:row>
    <x:row r="407">
      <x:c r="A407" s="34" t="str">
        <x:v>CAND-58905D6BFFF627</x:v>
      </x:c>
      <x:c r="B407" s="34" t="str">
        <x:v>NIPPON_STEEL_JP</x:v>
      </x:c>
      <x:c r="C407" s="34" t="str">
        <x:v>Nippon Steel</x:v>
      </x:c>
      <x:c r="D407" s="34" t="str">
        <x:v>P5</x:v>
      </x:c>
      <x:c r="E407" s="34" t="str">
        <x:v>조기 계약형 전환</x:v>
      </x:c>
      <x:c r="F407" s="34" t="str">
        <x:v>PORT-BF3853971191</x:v>
      </x:c>
      <x:c r="G407" s="34" t="str">
        <x:v>DISCLOSED_PATH</x:v>
      </x:c>
      <x:c r="H407" s="34" t="n">
        <x:v>5</x:v>
      </x:c>
      <x:c r="I407" s="34" t="n">
        <x:v>2028</x:v>
      </x:c>
      <x:c r="J407" s="34" t="n">
        <x:v>2037</x:v>
      </x:c>
      <x:c r="K407" s="34" t="n">
        <x:v>0.192802</x:v>
      </x:c>
      <x:c r="L407" s="34" t="n">
        <x:v>0</x:v>
      </x:c>
      <x:c r="M407" s="34" t="n">
        <x:v>0.807198</x:v>
      </x:c>
      <x:c r="N407" s="34" t="n">
        <x:v>0</x:v>
      </x:c>
      <x:c r="O407" s="34" t="n">
        <x:v>0.7</x:v>
      </x:c>
      <x:c r="P407" s="34" t="n">
        <x:v>0.65</x:v>
      </x:c>
      <x:c r="Q407" s="34" t="n">
        <x:v>0.65</x:v>
      </x:c>
      <x:c r="R407" s="34" t="n">
        <x:v>0.6</x:v>
      </x:c>
      <x:c r="S407" s="34" t="n">
        <x:v>0.025</x:v>
      </x:c>
      <x:c r="T407" s="34" t="n">
        <x:v>523.328941</x:v>
      </x:c>
      <x:c r="U407" s="34" t="str">
        <x:v>NS-EAST:H2_DRI_EAF:2033|NS-KANSAI:H2_DRI_EAF:2035|NS-KYUSHU:H2_DRI_EAF:2028|NS-NAGOYA:H2_DRI_EAF:2031|NS-SETOUCHI:BF_RELINE:2037</x:v>
      </x:c>
      <x:c r="V407" s="34" t="str">
        <x:v>model_generated_candidate</x:v>
      </x:c>
      <x:c r="W407" s="34" t="str">
        <x:v>Generated from disclosed-path facility calendar, technology set and template contracting assumptions; not a company-announced project</x:v>
      </x:c>
    </x:row>
    <x:row r="408">
      <x:c r="A408" s="34" t="str">
        <x:v>CAND-59D7A6AFC21669</x:v>
      </x:c>
      <x:c r="B408" s="34" t="str">
        <x:v>NIPPON_STEEL_JP</x:v>
      </x:c>
      <x:c r="C408" s="34" t="str">
        <x:v>Nippon Steel</x:v>
      </x:c>
      <x:c r="D408" s="34" t="str">
        <x:v>P2</x:v>
      </x:c>
      <x:c r="E408" s="34" t="str">
        <x:v>지연·부분헤지</x:v>
      </x:c>
      <x:c r="F408" s="34" t="str">
        <x:v>PORT-9961527CE1F4</x:v>
      </x:c>
      <x:c r="G408" s="34" t="str">
        <x:v>DISCLOSED_PATH</x:v>
      </x:c>
      <x:c r="H408" s="34" t="n">
        <x:v>5</x:v>
      </x:c>
      <x:c r="I408" s="34" t="n">
        <x:v>2029</x:v>
      </x:c>
      <x:c r="J408" s="34" t="n">
        <x:v>2038</x:v>
      </x:c>
      <x:c r="K408" s="34" t="n">
        <x:v>0.161954</x:v>
      </x:c>
      <x:c r="L408" s="34" t="n">
        <x:v>0.62982</x:v>
      </x:c>
      <x:c r="M408" s="34" t="n">
        <x:v>0.208226</x:v>
      </x:c>
      <x:c r="N408" s="34" t="n">
        <x:v>0</x:v>
      </x:c>
      <x:c r="O408" s="34" t="n">
        <x:v>0.15</x:v>
      </x:c>
      <x:c r="P408" s="34" t="n">
        <x:v>0.1</x:v>
      </x:c>
      <x:c r="Q408" s="34" t="n">
        <x:v>0.2</x:v>
      </x:c>
      <x:c r="R408" s="34" t="n">
        <x:v>0.1</x:v>
      </x:c>
      <x:c r="S408" s="34" t="n">
        <x:v>0.01</x:v>
      </x:c>
      <x:c r="T408" s="34" t="n">
        <x:v>407.153943</x:v>
      </x:c>
      <x:c r="U408" s="34" t="str">
        <x:v>NS-EAST:H2_DRI_EAF:2034|NS-KANSAI:BF_RELINE:2036|NS-KYUSHU:SCRAP_EAF:2029|NS-NAGOYA:SCRAP_EAF:2032|NS-SETOUCHI:SCRAP_EAF:2038</x:v>
      </x:c>
      <x:c r="V408" s="34" t="str">
        <x:v>model_generated_candidate</x:v>
      </x:c>
      <x:c r="W408" s="34" t="str">
        <x:v>Generated from disclosed-path facility calendar, technology set and template contracting assumptions; not a company-announced project</x:v>
      </x:c>
    </x:row>
    <x:row r="409">
      <x:c r="A409" s="34" t="str">
        <x:v>CAND-59E45A27538305</x:v>
      </x:c>
      <x:c r="B409" s="34" t="str">
        <x:v>NIPPON_STEEL_JP</x:v>
      </x:c>
      <x:c r="C409" s="34" t="str">
        <x:v>Nippon Steel</x:v>
      </x:c>
      <x:c r="D409" s="34" t="str">
        <x:v>P1</x:v>
      </x:c>
      <x:c r="E409" s="34" t="str">
        <x:v>지연·현물조달</x:v>
      </x:c>
      <x:c r="F409" s="34" t="str">
        <x:v>PORT-A6C1B550A321</x:v>
      </x:c>
      <x:c r="G409" s="34" t="str">
        <x:v>DISCLOSED_PATH</x:v>
      </x:c>
      <x:c r="H409" s="34" t="n">
        <x:v>5</x:v>
      </x:c>
      <x:c r="I409" s="34" t="n">
        <x:v>2029</x:v>
      </x:c>
      <x:c r="J409" s="34" t="n">
        <x:v>2038</x:v>
      </x:c>
      <x:c r="K409" s="34" t="n">
        <x:v>0.598972</x:v>
      </x:c>
      <x:c r="L409" s="34" t="n">
        <x:v>0.192802</x:v>
      </x:c>
      <x:c r="M409" s="34" t="n">
        <x:v>0.208226</x:v>
      </x:c>
      <x:c r="N409" s="34" t="n">
        <x:v>0</x:v>
      </x:c>
      <x:c r="O409" s="34" t="n">
        <x:v>0</x:v>
      </x:c>
      <x:c r="P409" s="34" t="n">
        <x:v>0</x:v>
      </x:c>
      <x:c r="Q409" s="34" t="n">
        <x:v>0.1</x:v>
      </x:c>
      <x:c r="R409" s="34" t="n">
        <x:v>0</x:v>
      </x:c>
      <x:c r="S409" s="34" t="n">
        <x:v>0</x:v>
      </x:c>
      <x:c r="T409" s="34" t="n">
        <x:v>169.643969</x:v>
      </x:c>
      <x:c r="U409" s="34" t="str">
        <x:v>NS-EAST:H2_DRI_EAF:2034|NS-KANSAI:BF_RELINE:2036|NS-KYUSHU:BF_RELINE:2029|NS-NAGOYA:BF_RELINE:2032|NS-SETOUCHI:SCRAP_EAF:2038</x:v>
      </x:c>
      <x:c r="V409" s="34" t="str">
        <x:v>model_generated_candidate</x:v>
      </x:c>
      <x:c r="W409" s="34" t="str">
        <x:v>Generated from disclosed-path facility calendar, technology set and template contracting assumptions; not a company-announced project</x:v>
      </x:c>
    </x:row>
    <x:row r="410">
      <x:c r="A410" s="34" t="str">
        <x:v>CAND-5B45790D807995</x:v>
      </x:c>
      <x:c r="B410" s="34" t="str">
        <x:v>NIPPON_STEEL_JP</x:v>
      </x:c>
      <x:c r="C410" s="34" t="str">
        <x:v>Nippon Steel</x:v>
      </x:c>
      <x:c r="D410" s="34" t="str">
        <x:v>P1</x:v>
      </x:c>
      <x:c r="E410" s="34" t="str">
        <x:v>지연·현물조달</x:v>
      </x:c>
      <x:c r="F410" s="34" t="str">
        <x:v>PORT-0FC525186C6D</x:v>
      </x:c>
      <x:c r="G410" s="34" t="str">
        <x:v>DISCLOSED_PATH</x:v>
      </x:c>
      <x:c r="H410" s="34" t="n">
        <x:v>5</x:v>
      </x:c>
      <x:c r="I410" s="34" t="n">
        <x:v>2029</x:v>
      </x:c>
      <x:c r="J410" s="34" t="n">
        <x:v>2038</x:v>
      </x:c>
      <x:c r="K410" s="34" t="n">
        <x:v>0.208226</x:v>
      </x:c>
      <x:c r="L410" s="34" t="n">
        <x:v>0.449871</x:v>
      </x:c>
      <x:c r="M410" s="34" t="n">
        <x:v>0.341902</x:v>
      </x:c>
      <x:c r="N410" s="34" t="n">
        <x:v>0</x:v>
      </x:c>
      <x:c r="O410" s="34" t="n">
        <x:v>0</x:v>
      </x:c>
      <x:c r="P410" s="34" t="n">
        <x:v>0</x:v>
      </x:c>
      <x:c r="Q410" s="34" t="n">
        <x:v>0.1</x:v>
      </x:c>
      <x:c r="R410" s="34" t="n">
        <x:v>0</x:v>
      </x:c>
      <x:c r="S410" s="34" t="n">
        <x:v>0</x:v>
      </x:c>
      <x:c r="T410" s="34" t="n">
        <x:v>383.023933</x:v>
      </x:c>
      <x:c r="U410" s="34" t="str">
        <x:v>NS-EAST:BF_RELINE:2034|NS-KANSAI:H2_DRI_EAF:2036|NS-KYUSHU:SCRAP_EAF:2029|NS-NAGOYA:H2_DRI_EAF:2032|NS-SETOUCHI:SCRAP_EAF:2038</x:v>
      </x:c>
      <x:c r="V410" s="34" t="str">
        <x:v>model_generated_candidate</x:v>
      </x:c>
      <x:c r="W410" s="34" t="str">
        <x:v>Generated from disclosed-path facility calendar, technology set and template contracting assumptions; not a company-announced project</x:v>
      </x:c>
    </x:row>
    <x:row r="411">
      <x:c r="A411" s="34" t="str">
        <x:v>CAND-5B47564B07D4BB</x:v>
      </x:c>
      <x:c r="B411" s="34" t="str">
        <x:v>NIPPON_STEEL_JP</x:v>
      </x:c>
      <x:c r="C411" s="34" t="str">
        <x:v>Nippon Steel</x:v>
      </x:c>
      <x:c r="D411" s="34" t="str">
        <x:v>P3</x:v>
      </x:c>
      <x:c r="E411" s="34" t="str">
        <x:v>균형형 라이트헤지</x:v>
      </x:c>
      <x:c r="F411" s="34" t="str">
        <x:v>PORT-C3B77CB55FA1</x:v>
      </x:c>
      <x:c r="G411" s="34" t="str">
        <x:v>DISCLOSED_PATH</x:v>
      </x:c>
      <x:c r="H411" s="34" t="n">
        <x:v>5</x:v>
      </x:c>
      <x:c r="I411" s="34" t="n">
        <x:v>2029</x:v>
      </x:c>
      <x:c r="J411" s="34" t="n">
        <x:v>2038</x:v>
      </x:c>
      <x:c r="K411" s="34" t="n">
        <x:v>0.192802</x:v>
      </x:c>
      <x:c r="L411" s="34" t="n">
        <x:v>0.257069</x:v>
      </x:c>
      <x:c r="M411" s="34" t="n">
        <x:v>0.550129</x:v>
      </x:c>
      <x:c r="N411" s="34" t="n">
        <x:v>0</x:v>
      </x:c>
      <x:c r="O411" s="34" t="n">
        <x:v>0.3</x:v>
      </x:c>
      <x:c r="P411" s="34" t="n">
        <x:v>0.25</x:v>
      </x:c>
      <x:c r="Q411" s="34" t="n">
        <x:v>0.35</x:v>
      </x:c>
      <x:c r="R411" s="34" t="n">
        <x:v>0.25</x:v>
      </x:c>
      <x:c r="S411" s="34" t="n">
        <x:v>0.015</x:v>
      </x:c>
      <x:c r="T411" s="34" t="n">
        <x:v>441.298944</x:v>
      </x:c>
      <x:c r="U411" s="34" t="str">
        <x:v>NS-EAST:H2_DRI_EAF:2034|NS-KANSAI:H2_DRI_EAF:2036|NS-KYUSHU:SCRAP_EAF:2029|NS-NAGOYA:H2_DRI_EAF:2032|NS-SETOUCHI:BF_RELINE:2038</x:v>
      </x:c>
      <x:c r="V411" s="34" t="str">
        <x:v>model_generated_candidate</x:v>
      </x:c>
      <x:c r="W411" s="34" t="str">
        <x:v>Generated from disclosed-path facility calendar, technology set and template contracting assumptions; not a company-announced project</x:v>
      </x:c>
    </x:row>
    <x:row r="412">
      <x:c r="A412" s="34" t="str">
        <x:v>CAND-5B71658ADF559B</x:v>
      </x:c>
      <x:c r="B412" s="34" t="str">
        <x:v>NIPPON_STEEL_JP</x:v>
      </x:c>
      <x:c r="C412" s="34" t="str">
        <x:v>Nippon Steel</x:v>
      </x:c>
      <x:c r="D412" s="34" t="str">
        <x:v>P2</x:v>
      </x:c>
      <x:c r="E412" s="34" t="str">
        <x:v>지연·부분헤지</x:v>
      </x:c>
      <x:c r="F412" s="34" t="str">
        <x:v>PORT-A01C697020EC</x:v>
      </x:c>
      <x:c r="G412" s="34" t="str">
        <x:v>DISCLOSED_PATH</x:v>
      </x:c>
      <x:c r="H412" s="34" t="n">
        <x:v>5</x:v>
      </x:c>
      <x:c r="I412" s="34" t="n">
        <x:v>2029</x:v>
      </x:c>
      <x:c r="J412" s="34" t="n">
        <x:v>2038</x:v>
      </x:c>
      <x:c r="K412" s="34" t="n">
        <x:v>0.161954</x:v>
      </x:c>
      <x:c r="L412" s="34" t="n">
        <x:v>0.208226</x:v>
      </x:c>
      <x:c r="M412" s="34" t="n">
        <x:v>0.62982</x:v>
      </x:c>
      <x:c r="N412" s="34" t="n">
        <x:v>0</x:v>
      </x:c>
      <x:c r="O412" s="34" t="n">
        <x:v>0.15</x:v>
      </x:c>
      <x:c r="P412" s="34" t="n">
        <x:v>0.1</x:v>
      </x:c>
      <x:c r="Q412" s="34" t="n">
        <x:v>0.2</x:v>
      </x:c>
      <x:c r="R412" s="34" t="n">
        <x:v>0.1</x:v>
      </x:c>
      <x:c r="S412" s="34" t="n">
        <x:v>0.01</x:v>
      </x:c>
      <x:c r="T412" s="34" t="n">
        <x:v>440.228937</x:v>
      </x:c>
      <x:c r="U412" s="34" t="str">
        <x:v>NS-EAST:SCRAP_EAF:2034|NS-KANSAI:BF_RELINE:2036|NS-KYUSHU:H2_DRI_EAF:2029|NS-NAGOYA:H2_DRI_EAF:2032|NS-SETOUCHI:H2_DRI_EAF:2038</x:v>
      </x:c>
      <x:c r="V412" s="34" t="str">
        <x:v>model_generated_candidate</x:v>
      </x:c>
      <x:c r="W412" s="34" t="str">
        <x:v>Generated from disclosed-path facility calendar, technology set and template contracting assumptions; not a company-announced project</x:v>
      </x:c>
    </x:row>
    <x:row r="413">
      <x:c r="A413" s="34" t="str">
        <x:v>CAND-5BA045DA4BD05B</x:v>
      </x:c>
      <x:c r="B413" s="34" t="str">
        <x:v>NIPPON_STEEL_JP</x:v>
      </x:c>
      <x:c r="C413" s="34" t="str">
        <x:v>Nippon Steel</x:v>
      </x:c>
      <x:c r="D413" s="34" t="str">
        <x:v>P1</x:v>
      </x:c>
      <x:c r="E413" s="34" t="str">
        <x:v>지연·현물조달</x:v>
      </x:c>
      <x:c r="F413" s="34" t="str">
        <x:v>PORT-368F661604FE</x:v>
      </x:c>
      <x:c r="G413" s="34" t="str">
        <x:v>DISCLOSED_PATH</x:v>
      </x:c>
      <x:c r="H413" s="34" t="n">
        <x:v>5</x:v>
      </x:c>
      <x:c r="I413" s="34" t="n">
        <x:v>2029</x:v>
      </x:c>
      <x:c r="J413" s="34" t="n">
        <x:v>2038</x:v>
      </x:c>
      <x:c r="K413" s="34" t="n">
        <x:v>0.341902</x:v>
      </x:c>
      <x:c r="L413" s="34" t="n">
        <x:v>0.401028</x:v>
      </x:c>
      <x:c r="M413" s="34" t="n">
        <x:v>0.257069</x:v>
      </x:c>
      <x:c r="N413" s="34" t="n">
        <x:v>0</x:v>
      </x:c>
      <x:c r="O413" s="34" t="n">
        <x:v>0</x:v>
      </x:c>
      <x:c r="P413" s="34" t="n">
        <x:v>0</x:v>
      </x:c>
      <x:c r="Q413" s="34" t="n">
        <x:v>0.1</x:v>
      </x:c>
      <x:c r="R413" s="34" t="n">
        <x:v>0</x:v>
      </x:c>
      <x:c r="S413" s="34" t="n">
        <x:v>0</x:v>
      </x:c>
      <x:c r="T413" s="34" t="n">
        <x:v>340.643967</x:v>
      </x:c>
      <x:c r="U413" s="34" t="str">
        <x:v>NS-EAST:SCRAP_EAF:2034|NS-KANSAI:BF_RELINE:2036|NS-KYUSHU:H2_DRI_EAF:2029|NS-NAGOYA:BF_RELINE:2032|NS-SETOUCHI:SCRAP_EAF:2038</x:v>
      </x:c>
      <x:c r="V413" s="34" t="str">
        <x:v>model_generated_candidate</x:v>
      </x:c>
      <x:c r="W413" s="34" t="str">
        <x:v>Generated from disclosed-path facility calendar, technology set and template contracting assumptions; not a company-announced project</x:v>
      </x:c>
    </x:row>
    <x:row r="414">
      <x:c r="A414" s="34" t="str">
        <x:v>CAND-5BB7E2F62D1730</x:v>
      </x:c>
      <x:c r="B414" s="34" t="str">
        <x:v>NIPPON_STEEL_JP</x:v>
      </x:c>
      <x:c r="C414" s="34" t="str">
        <x:v>Nippon Steel</x:v>
      </x:c>
      <x:c r="D414" s="34" t="str">
        <x:v>P1</x:v>
      </x:c>
      <x:c r="E414" s="34" t="str">
        <x:v>지연·현물조달</x:v>
      </x:c>
      <x:c r="F414" s="34" t="str">
        <x:v>PORT-FA8930FE66E0</x:v>
      </x:c>
      <x:c r="G414" s="34" t="str">
        <x:v>DISCLOSED_PATH</x:v>
      </x:c>
      <x:c r="H414" s="34" t="n">
        <x:v>5</x:v>
      </x:c>
      <x:c r="I414" s="34" t="n">
        <x:v>2029</x:v>
      </x:c>
      <x:c r="J414" s="34" t="n">
        <x:v>2038</x:v>
      </x:c>
      <x:c r="K414" s="34" t="n">
        <x:v>0.611825</x:v>
      </x:c>
      <x:c r="L414" s="34" t="n">
        <x:v>0.388175</x:v>
      </x:c>
      <x:c r="M414" s="34" t="n">
        <x:v>0</x:v>
      </x:c>
      <x:c r="N414" s="34" t="n">
        <x:v>0</x:v>
      </x:c>
      <x:c r="O414" s="34" t="n">
        <x:v>0</x:v>
      </x:c>
      <x:c r="P414" s="34" t="n">
        <x:v>0</x:v>
      </x:c>
      <x:c r="Q414" s="34" t="n">
        <x:v>0.1</x:v>
      </x:c>
      <x:c r="R414" s="34" t="n">
        <x:v>0</x:v>
      </x:c>
      <x:c r="S414" s="34" t="n">
        <x:v>0</x:v>
      </x:c>
      <x:c r="T414" s="34" t="n">
        <x:v>210.548941</x:v>
      </x:c>
      <x:c r="U414" s="34" t="str">
        <x:v>NS-EAST:SCRAP_EAF:2034|NS-KANSAI:BF_RELINE:2036|NS-KYUSHU:BF_RELINE:2029|NS-NAGOYA:SCRAP_EAF:2032|NS-SETOUCHI:BF_RELINE:2038</x:v>
      </x:c>
      <x:c r="V414" s="34" t="str">
        <x:v>model_generated_candidate</x:v>
      </x:c>
      <x:c r="W414" s="34" t="str">
        <x:v>Generated from disclosed-path facility calendar, technology set and template contracting assumptions; not a company-announced project</x:v>
      </x:c>
    </x:row>
    <x:row r="415">
      <x:c r="A415" s="34" t="str">
        <x:v>CAND-5CCAE743607B22</x:v>
      </x:c>
      <x:c r="B415" s="34" t="str">
        <x:v>NIPPON_STEEL_JP</x:v>
      </x:c>
      <x:c r="C415" s="34" t="str">
        <x:v>Nippon Steel</x:v>
      </x:c>
      <x:c r="D415" s="34" t="str">
        <x:v>P1</x:v>
      </x:c>
      <x:c r="E415" s="34" t="str">
        <x:v>지연·현물조달</x:v>
      </x:c>
      <x:c r="F415" s="34" t="str">
        <x:v>PORT-8A365C04323F</x:v>
      </x:c>
      <x:c r="G415" s="34" t="str">
        <x:v>DISCLOSED_PATH</x:v>
      </x:c>
      <x:c r="H415" s="34" t="n">
        <x:v>5</x:v>
      </x:c>
      <x:c r="I415" s="34" t="n">
        <x:v>2029</x:v>
      </x:c>
      <x:c r="J415" s="34" t="n">
        <x:v>2038</x:v>
      </x:c>
      <x:c r="K415" s="34" t="n">
        <x:v>0.820051</x:v>
      </x:c>
      <x:c r="L415" s="34" t="n">
        <x:v>0.179949</x:v>
      </x:c>
      <x:c r="M415" s="34" t="n">
        <x:v>0</x:v>
      </x:c>
      <x:c r="N415" s="34" t="n">
        <x:v>0</x:v>
      </x:c>
      <x:c r="O415" s="34" t="n">
        <x:v>0</x:v>
      </x:c>
      <x:c r="P415" s="34" t="n">
        <x:v>0</x:v>
      </x:c>
      <x:c r="Q415" s="34" t="n">
        <x:v>0.1</x:v>
      </x:c>
      <x:c r="R415" s="34" t="n">
        <x:v>0</x:v>
      </x:c>
      <x:c r="S415" s="34" t="n">
        <x:v>0</x:v>
      </x:c>
      <x:c r="T415" s="34" t="n">
        <x:v>137.468932</x:v>
      </x:c>
      <x:c r="U415" s="34" t="str">
        <x:v>NS-EAST:BF_RELINE:2034|NS-KANSAI:BF_RELINE:2036|NS-KYUSHU:BF_RELINE:2029|NS-NAGOYA:SCRAP_EAF:2032|NS-SETOUCHI:BF_RELINE:2038</x:v>
      </x:c>
      <x:c r="V415" s="34" t="str">
        <x:v>model_generated_candidate</x:v>
      </x:c>
      <x:c r="W415" s="34" t="str">
        <x:v>Generated from disclosed-path facility calendar, technology set and template contracting assumptions; not a company-announced project</x:v>
      </x:c>
    </x:row>
    <x:row r="416">
      <x:c r="A416" s="34" t="str">
        <x:v>CAND-5D213273B59E25</x:v>
      </x:c>
      <x:c r="B416" s="34" t="str">
        <x:v>NIPPON_STEEL_JP</x:v>
      </x:c>
      <x:c r="C416" s="34" t="str">
        <x:v>Nippon Steel</x:v>
      </x:c>
      <x:c r="D416" s="34" t="str">
        <x:v>P4</x:v>
      </x:c>
      <x:c r="E416" s="34" t="str">
        <x:v>균형형 전환</x:v>
      </x:c>
      <x:c r="F416" s="34" t="str">
        <x:v>PORT-31C1EE107D14</x:v>
      </x:c>
      <x:c r="G416" s="34" t="str">
        <x:v>DISCLOSED_PATH</x:v>
      </x:c>
      <x:c r="H416" s="34" t="n">
        <x:v>5</x:v>
      </x:c>
      <x:c r="I416" s="34" t="n">
        <x:v>2028</x:v>
      </x:c>
      <x:c r="J416" s="34" t="n">
        <x:v>2037</x:v>
      </x:c>
      <x:c r="K416" s="34" t="n">
        <x:v>0.192802</x:v>
      </x:c>
      <x:c r="L416" s="34" t="n">
        <x:v>0.208226</x:v>
      </x:c>
      <x:c r="M416" s="34" t="n">
        <x:v>0.598972</x:v>
      </x:c>
      <x:c r="N416" s="34" t="n">
        <x:v>0</x:v>
      </x:c>
      <x:c r="O416" s="34" t="n">
        <x:v>0.5</x:v>
      </x:c>
      <x:c r="P416" s="34" t="n">
        <x:v>0.45</x:v>
      </x:c>
      <x:c r="Q416" s="34" t="n">
        <x:v>0.5</x:v>
      </x:c>
      <x:c r="R416" s="34" t="n">
        <x:v>0.4</x:v>
      </x:c>
      <x:c r="S416" s="34" t="n">
        <x:v>0.02</x:v>
      </x:c>
      <x:c r="T416" s="34" t="n">
        <x:v>508.928939</x:v>
      </x:c>
      <x:c r="U416" s="34" t="str">
        <x:v>NS-EAST:SCRAP_EAF:2033|NS-KANSAI:H2_DRI_EAF:2035|NS-KYUSHU:H2_DRI_EAF:2028|NS-NAGOYA:H2_DRI_EAF:2031|NS-SETOUCHI:BF_RELINE:2037</x:v>
      </x:c>
      <x:c r="V416" s="34" t="str">
        <x:v>model_generated_candidate</x:v>
      </x:c>
      <x:c r="W416" s="34" t="str">
        <x:v>Generated from disclosed-path facility calendar, technology set and template contracting assumptions; not a company-announced project</x:v>
      </x:c>
    </x:row>
    <x:row r="417">
      <x:c r="A417" s="34" t="str">
        <x:v>CAND-5D311EEDD35B9C</x:v>
      </x:c>
      <x:c r="B417" s="34" t="str">
        <x:v>NIPPON_STEEL_JP</x:v>
      </x:c>
      <x:c r="C417" s="34" t="str">
        <x:v>Nippon Steel</x:v>
      </x:c>
      <x:c r="D417" s="34" t="str">
        <x:v>P3</x:v>
      </x:c>
      <x:c r="E417" s="34" t="str">
        <x:v>균형형 라이트헤지</x:v>
      </x:c>
      <x:c r="F417" s="34" t="str">
        <x:v>PORT-FD7D021B62CB</x:v>
      </x:c>
      <x:c r="G417" s="34" t="str">
        <x:v>DISCLOSED_PATH</x:v>
      </x:c>
      <x:c r="H417" s="34" t="n">
        <x:v>5</x:v>
      </x:c>
      <x:c r="I417" s="34" t="n">
        <x:v>2029</x:v>
      </x:c>
      <x:c r="J417" s="34" t="n">
        <x:v>2038</x:v>
      </x:c>
      <x:c r="K417" s="34" t="n">
        <x:v>0.257069</x:v>
      </x:c>
      <x:c r="L417" s="34" t="n">
        <x:v>0.388175</x:v>
      </x:c>
      <x:c r="M417" s="34" t="n">
        <x:v>0.354756</x:v>
      </x:c>
      <x:c r="N417" s="34" t="n">
        <x:v>0</x:v>
      </x:c>
      <x:c r="O417" s="34" t="n">
        <x:v>0.3</x:v>
      </x:c>
      <x:c r="P417" s="34" t="n">
        <x:v>0.25</x:v>
      </x:c>
      <x:c r="Q417" s="34" t="n">
        <x:v>0.35</x:v>
      </x:c>
      <x:c r="R417" s="34" t="n">
        <x:v>0.25</x:v>
      </x:c>
      <x:c r="S417" s="34" t="n">
        <x:v>0.015</x:v>
      </x:c>
      <x:c r="T417" s="34" t="n">
        <x:v>290.278947</x:v>
      </x:c>
      <x:c r="U417" s="34" t="str">
        <x:v>NS-EAST:SCRAP_EAF:2034|NS-KANSAI:H2_DRI_EAF:2036|NS-KYUSHU:BF_RELINE:2029|NS-NAGOYA:SCRAP_EAF:2032|NS-SETOUCHI:H2_DRI_EAF:2038</x:v>
      </x:c>
      <x:c r="V417" s="34" t="str">
        <x:v>model_generated_candidate</x:v>
      </x:c>
      <x:c r="W417" s="34" t="str">
        <x:v>Generated from disclosed-path facility calendar, technology set and template contracting assumptions; not a company-announced project</x:v>
      </x:c>
    </x:row>
    <x:row r="418">
      <x:c r="A418" s="34" t="str">
        <x:v>CAND-5D3A757CD655BF</x:v>
      </x:c>
      <x:c r="B418" s="34" t="str">
        <x:v>NIPPON_STEEL_JP</x:v>
      </x:c>
      <x:c r="C418" s="34" t="str">
        <x:v>Nippon Steel</x:v>
      </x:c>
      <x:c r="D418" s="34" t="str">
        <x:v>P3</x:v>
      </x:c>
      <x:c r="E418" s="34" t="str">
        <x:v>균형형 라이트헤지</x:v>
      </x:c>
      <x:c r="F418" s="34" t="str">
        <x:v>PORT-B93DF6AAC147</x:v>
      </x:c>
      <x:c r="G418" s="34" t="str">
        <x:v>DISCLOSED_PATH</x:v>
      </x:c>
      <x:c r="H418" s="34" t="n">
        <x:v>5</x:v>
      </x:c>
      <x:c r="I418" s="34" t="n">
        <x:v>2029</x:v>
      </x:c>
      <x:c r="J418" s="34" t="n">
        <x:v>2038</x:v>
      </x:c>
      <x:c r="K418" s="34" t="n">
        <x:v>0.388175</x:v>
      </x:c>
      <x:c r="L418" s="34" t="n">
        <x:v>0.257069</x:v>
      </x:c>
      <x:c r="M418" s="34" t="n">
        <x:v>0.354756</x:v>
      </x:c>
      <x:c r="N418" s="34" t="n">
        <x:v>0</x:v>
      </x:c>
      <x:c r="O418" s="34" t="n">
        <x:v>0.3</x:v>
      </x:c>
      <x:c r="P418" s="34" t="n">
        <x:v>0.25</x:v>
      </x:c>
      <x:c r="Q418" s="34" t="n">
        <x:v>0.35</x:v>
      </x:c>
      <x:c r="R418" s="34" t="n">
        <x:v>0.25</x:v>
      </x:c>
      <x:c r="S418" s="34" t="n">
        <x:v>0.015</x:v>
      </x:c>
      <x:c r="T418" s="34" t="n">
        <x:v>292.888964</x:v>
      </x:c>
      <x:c r="U418" s="34" t="str">
        <x:v>NS-EAST:BF_RELINE:2034|NS-KANSAI:H2_DRI_EAF:2036|NS-KYUSHU:SCRAP_EAF:2029|NS-NAGOYA:BF_RELINE:2032|NS-SETOUCHI:H2_DRI_EAF:2038</x:v>
      </x:c>
      <x:c r="V418" s="34" t="str">
        <x:v>model_generated_candidate</x:v>
      </x:c>
      <x:c r="W418" s="34" t="str">
        <x:v>Generated from disclosed-path facility calendar, technology set and template contracting assumptions; not a company-announced project</x:v>
      </x:c>
    </x:row>
    <x:row r="419">
      <x:c r="A419" s="34" t="str">
        <x:v>CAND-5EC1F706C36573</x:v>
      </x:c>
      <x:c r="B419" s="34" t="str">
        <x:v>NIPPON_STEEL_JP</x:v>
      </x:c>
      <x:c r="C419" s="34" t="str">
        <x:v>Nippon Steel</x:v>
      </x:c>
      <x:c r="D419" s="34" t="str">
        <x:v>P4</x:v>
      </x:c>
      <x:c r="E419" s="34" t="str">
        <x:v>균형형 전환</x:v>
      </x:c>
      <x:c r="F419" s="34" t="str">
        <x:v>PORT-D31EE7DBE834</x:v>
      </x:c>
      <x:c r="G419" s="34" t="str">
        <x:v>DISCLOSED_PATH</x:v>
      </x:c>
      <x:c r="H419" s="34" t="n">
        <x:v>5</x:v>
      </x:c>
      <x:c r="I419" s="34" t="n">
        <x:v>2028</x:v>
      </x:c>
      <x:c r="J419" s="34" t="n">
        <x:v>2037</x:v>
      </x:c>
      <x:c r="K419" s="34" t="n">
        <x:v>0.437018</x:v>
      </x:c>
      <x:c r="L419" s="34" t="n">
        <x:v>0</x:v>
      </x:c>
      <x:c r="M419" s="34" t="n">
        <x:v>0.562982</x:v>
      </x:c>
      <x:c r="N419" s="34" t="n">
        <x:v>0</x:v>
      </x:c>
      <x:c r="O419" s="34" t="n">
        <x:v>0.5</x:v>
      </x:c>
      <x:c r="P419" s="34" t="n">
        <x:v>0.45</x:v>
      </x:c>
      <x:c r="Q419" s="34" t="n">
        <x:v>0.5</x:v>
      </x:c>
      <x:c r="R419" s="34" t="n">
        <x:v>0.4</x:v>
      </x:c>
      <x:c r="S419" s="34" t="n">
        <x:v>0.02</x:v>
      </x:c>
      <x:c r="T419" s="34" t="n">
        <x:v>261.868975</x:v>
      </x:c>
      <x:c r="U419" s="34" t="str">
        <x:v>NS-EAST:H2_DRI_EAF:2033|NS-KANSAI:H2_DRI_EAF:2035|NS-KYUSHU:BF_RELINE:2028|NS-NAGOYA:BF_RELINE:2031|NS-SETOUCHI:H2_DRI_EAF:2037</x:v>
      </x:c>
      <x:c r="V419" s="34" t="str">
        <x:v>model_generated_candidate</x:v>
      </x:c>
      <x:c r="W419" s="34" t="str">
        <x:v>Generated from disclosed-path facility calendar, technology set and template contracting assumptions; not a company-announced project</x:v>
      </x:c>
    </x:row>
    <x:row r="420">
      <x:c r="A420" s="34" t="str">
        <x:v>CAND-6180D5AC964907</x:v>
      </x:c>
      <x:c r="B420" s="34" t="str">
        <x:v>NIPPON_STEEL_JP</x:v>
      </x:c>
      <x:c r="C420" s="34" t="str">
        <x:v>Nippon Steel</x:v>
      </x:c>
      <x:c r="D420" s="34" t="str">
        <x:v>P3</x:v>
      </x:c>
      <x:c r="E420" s="34" t="str">
        <x:v>균형형 라이트헤지</x:v>
      </x:c>
      <x:c r="F420" s="34" t="str">
        <x:v>PORT-D3FE55E7A8A2</x:v>
      </x:c>
      <x:c r="G420" s="34" t="str">
        <x:v>DISCLOSED_PATH</x:v>
      </x:c>
      <x:c r="H420" s="34" t="n">
        <x:v>5</x:v>
      </x:c>
      <x:c r="I420" s="34" t="n">
        <x:v>2029</x:v>
      </x:c>
      <x:c r="J420" s="34" t="n">
        <x:v>2038</x:v>
      </x:c>
      <x:c r="K420" s="34" t="n">
        <x:v>0.401028</x:v>
      </x:c>
      <x:c r="L420" s="34" t="n">
        <x:v>0.179949</x:v>
      </x:c>
      <x:c r="M420" s="34" t="n">
        <x:v>0.419023</x:v>
      </x:c>
      <x:c r="N420" s="34" t="n">
        <x:v>0</x:v>
      </x:c>
      <x:c r="O420" s="34" t="n">
        <x:v>0.3</x:v>
      </x:c>
      <x:c r="P420" s="34" t="n">
        <x:v>0.25</x:v>
      </x:c>
      <x:c r="Q420" s="34" t="n">
        <x:v>0.35</x:v>
      </x:c>
      <x:c r="R420" s="34" t="n">
        <x:v>0.25</x:v>
      </x:c>
      <x:c r="S420" s="34" t="n">
        <x:v>0.015</x:v>
      </x:c>
      <x:c r="T420" s="34" t="n">
        <x:v>368.668938</x:v>
      </x:c>
      <x:c r="U420" s="34" t="str">
        <x:v>NS-EAST:BF_RELINE:2034|NS-KANSAI:H2_DRI_EAF:2036|NS-KYUSHU:H2_DRI_EAF:2029|NS-NAGOYA:SCRAP_EAF:2032|NS-SETOUCHI:BF_RELINE:2038</x:v>
      </x:c>
      <x:c r="V420" s="34" t="str">
        <x:v>model_generated_candidate</x:v>
      </x:c>
      <x:c r="W420" s="34" t="str">
        <x:v>Generated from disclosed-path facility calendar, technology set and template contracting assumptions; not a company-announced project</x:v>
      </x:c>
    </x:row>
    <x:row r="421">
      <x:c r="A421" s="34" t="str">
        <x:v>CAND-61C6F8AE75933E</x:v>
      </x:c>
      <x:c r="B421" s="34" t="str">
        <x:v>NIPPON_STEEL_JP</x:v>
      </x:c>
      <x:c r="C421" s="34" t="str">
        <x:v>Nippon Steel</x:v>
      </x:c>
      <x:c r="D421" s="34" t="str">
        <x:v>P3</x:v>
      </x:c>
      <x:c r="E421" s="34" t="str">
        <x:v>균형형 라이트헤지</x:v>
      </x:c>
      <x:c r="F421" s="34" t="str">
        <x:v>PORT-3391EE4132D6</x:v>
      </x:c>
      <x:c r="G421" s="34" t="str">
        <x:v>DISCLOSED_PATH</x:v>
      </x:c>
      <x:c r="H421" s="34" t="n">
        <x:v>5</x:v>
      </x:c>
      <x:c r="I421" s="34" t="n">
        <x:v>2029</x:v>
      </x:c>
      <x:c r="J421" s="34" t="n">
        <x:v>2038</x:v>
      </x:c>
      <x:c r="K421" s="34" t="n">
        <x:v>0</x:v>
      </x:c>
      <x:c r="L421" s="34" t="n">
        <x:v>0.627249</x:v>
      </x:c>
      <x:c r="M421" s="34" t="n">
        <x:v>0.372751</x:v>
      </x:c>
      <x:c r="N421" s="34" t="n">
        <x:v>0</x:v>
      </x:c>
      <x:c r="O421" s="34" t="n">
        <x:v>0.3</x:v>
      </x:c>
      <x:c r="P421" s="34" t="n">
        <x:v>0.25</x:v>
      </x:c>
      <x:c r="Q421" s="34" t="n">
        <x:v>0.35</x:v>
      </x:c>
      <x:c r="R421" s="34" t="n">
        <x:v>0.25</x:v>
      </x:c>
      <x:c r="S421" s="34" t="n">
        <x:v>0.015</x:v>
      </x:c>
      <x:c r="T421" s="34" t="n">
        <x:v>453.828942</x:v>
      </x:c>
      <x:c r="U421" s="34" t="str">
        <x:v>NS-EAST:SCRAP_EAF:2034|NS-KANSAI:SCRAP_EAF:2036|NS-KYUSHU:SCRAP_EAF:2029|NS-NAGOYA:H2_DRI_EAF:2032|NS-SETOUCHI:H2_DRI_EAF:2038</x:v>
      </x:c>
      <x:c r="V421" s="34" t="str">
        <x:v>model_generated_candidate</x:v>
      </x:c>
      <x:c r="W421" s="34" t="str">
        <x:v>Generated from disclosed-path facility calendar, technology set and template contracting assumptions; not a company-announced project</x:v>
      </x:c>
    </x:row>
    <x:row r="422">
      <x:c r="A422" s="34" t="str">
        <x:v>CAND-6202BC83D58A8B</x:v>
      </x:c>
      <x:c r="B422" s="34" t="str">
        <x:v>NIPPON_STEEL_JP</x:v>
      </x:c>
      <x:c r="C422" s="34" t="str">
        <x:v>Nippon Steel</x:v>
      </x:c>
      <x:c r="D422" s="34" t="str">
        <x:v>P5</x:v>
      </x:c>
      <x:c r="E422" s="34" t="str">
        <x:v>조기 계약형 전환</x:v>
      </x:c>
      <x:c r="F422" s="34" t="str">
        <x:v>PORT-1DB2DF852C68</x:v>
      </x:c>
      <x:c r="G422" s="34" t="str">
        <x:v>DISCLOSED_PATH</x:v>
      </x:c>
      <x:c r="H422" s="34" t="n">
        <x:v>5</x:v>
      </x:c>
      <x:c r="I422" s="34" t="n">
        <x:v>2028</x:v>
      </x:c>
      <x:c r="J422" s="34" t="n">
        <x:v>2037</x:v>
      </x:c>
      <x:c r="K422" s="34" t="n">
        <x:v>0</x:v>
      </x:c>
      <x:c r="L422" s="34" t="n">
        <x:v>0.341902</x:v>
      </x:c>
      <x:c r="M422" s="34" t="n">
        <x:v>0.658098</x:v>
      </x:c>
      <x:c r="N422" s="34" t="n">
        <x:v>0</x:v>
      </x:c>
      <x:c r="O422" s="34" t="n">
        <x:v>0.7</x:v>
      </x:c>
      <x:c r="P422" s="34" t="n">
        <x:v>0.65</x:v>
      </x:c>
      <x:c r="Q422" s="34" t="n">
        <x:v>0.65</x:v>
      </x:c>
      <x:c r="R422" s="34" t="n">
        <x:v>0.6</x:v>
      </x:c>
      <x:c r="S422" s="34" t="n">
        <x:v>0.025</x:v>
      </x:c>
      <x:c r="T422" s="34" t="n">
        <x:v>542.268945</x:v>
      </x:c>
      <x:c r="U422" s="34" t="str">
        <x:v>NS-EAST:H2_DRI_EAF:2033|NS-KANSAI:SCRAP_EAF:2035|NS-KYUSHU:H2_DRI_EAF:2028|NS-NAGOYA:SCRAP_EAF:2031|NS-SETOUCHI:H2_DRI_EAF:2037</x:v>
      </x:c>
      <x:c r="V422" s="34" t="str">
        <x:v>model_generated_candidate</x:v>
      </x:c>
      <x:c r="W422" s="34" t="str">
        <x:v>Generated from disclosed-path facility calendar, technology set and template contracting assumptions; not a company-announced project</x:v>
      </x:c>
    </x:row>
    <x:row r="423">
      <x:c r="A423" s="34" t="str">
        <x:v>CAND-623EC7169A6EA7</x:v>
      </x:c>
      <x:c r="B423" s="34" t="str">
        <x:v>NIPPON_STEEL_JP</x:v>
      </x:c>
      <x:c r="C423" s="34" t="str">
        <x:v>Nippon Steel</x:v>
      </x:c>
      <x:c r="D423" s="34" t="str">
        <x:v>P3</x:v>
      </x:c>
      <x:c r="E423" s="34" t="str">
        <x:v>균형형 라이트헤지</x:v>
      </x:c>
      <x:c r="F423" s="34" t="str">
        <x:v>PORT-ACA3DA11AF49</x:v>
      </x:c>
      <x:c r="G423" s="34" t="str">
        <x:v>DISCLOSED_PATH</x:v>
      </x:c>
      <x:c r="H423" s="34" t="n">
        <x:v>5</x:v>
      </x:c>
      <x:c r="I423" s="34" t="n">
        <x:v>2029</x:v>
      </x:c>
      <x:c r="J423" s="34" t="n">
        <x:v>2038</x:v>
      </x:c>
      <x:c r="K423" s="34" t="n">
        <x:v>0.192802</x:v>
      </x:c>
      <x:c r="L423" s="34" t="n">
        <x:v>0.437018</x:v>
      </x:c>
      <x:c r="M423" s="34" t="n">
        <x:v>0.37018</x:v>
      </x:c>
      <x:c r="N423" s="34" t="n">
        <x:v>0</x:v>
      </x:c>
      <x:c r="O423" s="34" t="n">
        <x:v>0.3</x:v>
      </x:c>
      <x:c r="P423" s="34" t="n">
        <x:v>0.25</x:v>
      </x:c>
      <x:c r="Q423" s="34" t="n">
        <x:v>0.35</x:v>
      </x:c>
      <x:c r="R423" s="34" t="n">
        <x:v>0.25</x:v>
      </x:c>
      <x:c r="S423" s="34" t="n">
        <x:v>0.015</x:v>
      </x:c>
      <x:c r="T423" s="34" t="n">
        <x:v>427.348949</x:v>
      </x:c>
      <x:c r="U423" s="34" t="str">
        <x:v>NS-EAST:H2_DRI_EAF:2034|NS-KANSAI:H2_DRI_EAF:2036|NS-KYUSHU:SCRAP_EAF:2029|NS-NAGOYA:SCRAP_EAF:2032|NS-SETOUCHI:BF_RELINE:2038</x:v>
      </x:c>
      <x:c r="V423" s="34" t="str">
        <x:v>model_generated_candidate</x:v>
      </x:c>
      <x:c r="W423" s="34" t="str">
        <x:v>Generated from disclosed-path facility calendar, technology set and template contracting assumptions; not a company-announced project</x:v>
      </x:c>
    </x:row>
    <x:row r="424">
      <x:c r="A424" s="34" t="str">
        <x:v>CAND-626FCB725DD265</x:v>
      </x:c>
      <x:c r="B424" s="34" t="str">
        <x:v>NIPPON_STEEL_JP</x:v>
      </x:c>
      <x:c r="C424" s="34" t="str">
        <x:v>Nippon Steel</x:v>
      </x:c>
      <x:c r="D424" s="34" t="str">
        <x:v>P1</x:v>
      </x:c>
      <x:c r="E424" s="34" t="str">
        <x:v>지연·현물조달</x:v>
      </x:c>
      <x:c r="F424" s="34" t="str">
        <x:v>PORT-D6A44514D4F3</x:v>
      </x:c>
      <x:c r="G424" s="34" t="str">
        <x:v>DISCLOSED_PATH</x:v>
      </x:c>
      <x:c r="H424" s="34" t="n">
        <x:v>5</x:v>
      </x:c>
      <x:c r="I424" s="34" t="n">
        <x:v>2029</x:v>
      </x:c>
      <x:c r="J424" s="34" t="n">
        <x:v>2038</x:v>
      </x:c>
      <x:c r="K424" s="34" t="n">
        <x:v>0.611825</x:v>
      </x:c>
      <x:c r="L424" s="34" t="n">
        <x:v>0</x:v>
      </x:c>
      <x:c r="M424" s="34" t="n">
        <x:v>0.388175</x:v>
      </x:c>
      <x:c r="N424" s="34" t="n">
        <x:v>0</x:v>
      </x:c>
      <x:c r="O424" s="34" t="n">
        <x:v>0</x:v>
      </x:c>
      <x:c r="P424" s="34" t="n">
        <x:v>0</x:v>
      </x:c>
      <x:c r="Q424" s="34" t="n">
        <x:v>0.1</x:v>
      </x:c>
      <x:c r="R424" s="34" t="n">
        <x:v>0</x:v>
      </x:c>
      <x:c r="S424" s="34" t="n">
        <x:v>0</x:v>
      </x:c>
      <x:c r="T424" s="34" t="n">
        <x:v>237.098938</x:v>
      </x:c>
      <x:c r="U424" s="34" t="str">
        <x:v>NS-EAST:H2_DRI_EAF:2034|NS-KANSAI:BF_RELINE:2036|NS-KYUSHU:BF_RELINE:2029|NS-NAGOYA:H2_DRI_EAF:2032|NS-SETOUCHI:BF_RELINE:2038</x:v>
      </x:c>
      <x:c r="V424" s="34" t="str">
        <x:v>model_generated_candidate</x:v>
      </x:c>
      <x:c r="W424" s="34" t="str">
        <x:v>Generated from disclosed-path facility calendar, technology set and template contracting assumptions; not a company-announced project</x:v>
      </x:c>
    </x:row>
    <x:row r="425">
      <x:c r="A425" s="34" t="str">
        <x:v>CAND-629341FE69BD07</x:v>
      </x:c>
      <x:c r="B425" s="34" t="str">
        <x:v>NIPPON_STEEL_JP</x:v>
      </x:c>
      <x:c r="C425" s="34" t="str">
        <x:v>Nippon Steel</x:v>
      </x:c>
      <x:c r="D425" s="34" t="str">
        <x:v>P3</x:v>
      </x:c>
      <x:c r="E425" s="34" t="str">
        <x:v>균형형 라이트헤지</x:v>
      </x:c>
      <x:c r="F425" s="34" t="str">
        <x:v>PORT-8C7EDF2A8213</x:v>
      </x:c>
      <x:c r="G425" s="34" t="str">
        <x:v>DISCLOSED_PATH</x:v>
      </x:c>
      <x:c r="H425" s="34" t="n">
        <x:v>5</x:v>
      </x:c>
      <x:c r="I425" s="34" t="n">
        <x:v>2029</x:v>
      </x:c>
      <x:c r="J425" s="34" t="n">
        <x:v>2038</x:v>
      </x:c>
      <x:c r="K425" s="34" t="n">
        <x:v>0.161954</x:v>
      </x:c>
      <x:c r="L425" s="34" t="n">
        <x:v>0.388175</x:v>
      </x:c>
      <x:c r="M425" s="34" t="n">
        <x:v>0.449871</x:v>
      </x:c>
      <x:c r="N425" s="34" t="n">
        <x:v>0</x:v>
      </x:c>
      <x:c r="O425" s="34" t="n">
        <x:v>0.3</x:v>
      </x:c>
      <x:c r="P425" s="34" t="n">
        <x:v>0.25</x:v>
      </x:c>
      <x:c r="Q425" s="34" t="n">
        <x:v>0.35</x:v>
      </x:c>
      <x:c r="R425" s="34" t="n">
        <x:v>0.25</x:v>
      </x:c>
      <x:c r="S425" s="34" t="n">
        <x:v>0.015</x:v>
      </x:c>
      <x:c r="T425" s="34" t="n">
        <x:v>426.278941</x:v>
      </x:c>
      <x:c r="U425" s="34" t="str">
        <x:v>NS-EAST:SCRAP_EAF:2034|NS-KANSAI:BF_RELINE:2036|NS-KYUSHU:H2_DRI_EAF:2029|NS-NAGOYA:SCRAP_EAF:2032|NS-SETOUCHI:H2_DRI_EAF:2038</x:v>
      </x:c>
      <x:c r="V425" s="34" t="str">
        <x:v>model_generated_candidate</x:v>
      </x:c>
      <x:c r="W425" s="34" t="str">
        <x:v>Generated from disclosed-path facility calendar, technology set and template contracting assumptions; not a company-announced project</x:v>
      </x:c>
    </x:row>
    <x:row r="426">
      <x:c r="A426" s="34" t="str">
        <x:v>CAND-62B732F24FF616</x:v>
      </x:c>
      <x:c r="B426" s="34" t="str">
        <x:v>NIPPON_STEEL_JP</x:v>
      </x:c>
      <x:c r="C426" s="34" t="str">
        <x:v>Nippon Steel</x:v>
      </x:c>
      <x:c r="D426" s="34" t="str">
        <x:v>P1</x:v>
      </x:c>
      <x:c r="E426" s="34" t="str">
        <x:v>지연·현물조달</x:v>
      </x:c>
      <x:c r="F426" s="34" t="str">
        <x:v>PORT-92BAA222AC4A</x:v>
      </x:c>
      <x:c r="G426" s="34" t="str">
        <x:v>DISCLOSED_PATH</x:v>
      </x:c>
      <x:c r="H426" s="34" t="n">
        <x:v>5</x:v>
      </x:c>
      <x:c r="I426" s="34" t="n">
        <x:v>2029</x:v>
      </x:c>
      <x:c r="J426" s="34" t="n">
        <x:v>2038</x:v>
      </x:c>
      <x:c r="K426" s="34" t="n">
        <x:v>0.179949</x:v>
      </x:c>
      <x:c r="L426" s="34" t="n">
        <x:v>0.465296</x:v>
      </x:c>
      <x:c r="M426" s="34" t="n">
        <x:v>0.354756</x:v>
      </x:c>
      <x:c r="N426" s="34" t="n">
        <x:v>0</x:v>
      </x:c>
      <x:c r="O426" s="34" t="n">
        <x:v>0</x:v>
      </x:c>
      <x:c r="P426" s="34" t="n">
        <x:v>0</x:v>
      </x:c>
      <x:c r="Q426" s="34" t="n">
        <x:v>0.1</x:v>
      </x:c>
      <x:c r="R426" s="34" t="n">
        <x:v>0</x:v>
      </x:c>
      <x:c r="S426" s="34" t="n">
        <x:v>0</x:v>
      </x:c>
      <x:c r="T426" s="34" t="n">
        <x:v>365.968973</x:v>
      </x:c>
      <x:c r="U426" s="34" t="str">
        <x:v>NS-EAST:SCRAP_EAF:2034|NS-KANSAI:H2_DRI_EAF:2036|NS-KYUSHU:SCRAP_EAF:2029|NS-NAGOYA:BF_RELINE:2032|NS-SETOUCHI:H2_DRI_EAF:2038</x:v>
      </x:c>
      <x:c r="V426" s="34" t="str">
        <x:v>model_generated_candidate</x:v>
      </x:c>
      <x:c r="W426" s="34" t="str">
        <x:v>Generated from disclosed-path facility calendar, technology set and template contracting assumptions; not a company-announced project</x:v>
      </x:c>
    </x:row>
    <x:row r="427">
      <x:c r="A427" s="34" t="str">
        <x:v>CAND-633E0BCBA42181</x:v>
      </x:c>
      <x:c r="B427" s="34" t="str">
        <x:v>NIPPON_STEEL_JP</x:v>
      </x:c>
      <x:c r="C427" s="34" t="str">
        <x:v>Nippon Steel</x:v>
      </x:c>
      <x:c r="D427" s="34" t="str">
        <x:v>P2</x:v>
      </x:c>
      <x:c r="E427" s="34" t="str">
        <x:v>지연·부분헤지</x:v>
      </x:c>
      <x:c r="F427" s="34" t="str">
        <x:v>PORT-50B180B4FF71</x:v>
      </x:c>
      <x:c r="G427" s="34" t="str">
        <x:v>DISCLOSED_PATH</x:v>
      </x:c>
      <x:c r="H427" s="34" t="n">
        <x:v>5</x:v>
      </x:c>
      <x:c r="I427" s="34" t="n">
        <x:v>2029</x:v>
      </x:c>
      <x:c r="J427" s="34" t="n">
        <x:v>2038</x:v>
      </x:c>
      <x:c r="K427" s="34" t="n">
        <x:v>0.419023</x:v>
      </x:c>
      <x:c r="L427" s="34" t="n">
        <x:v>0.372751</x:v>
      </x:c>
      <x:c r="M427" s="34" t="n">
        <x:v>0.208226</x:v>
      </x:c>
      <x:c r="N427" s="34" t="n">
        <x:v>0</x:v>
      </x:c>
      <x:c r="O427" s="34" t="n">
        <x:v>0.15</x:v>
      </x:c>
      <x:c r="P427" s="34" t="n">
        <x:v>0.1</x:v>
      </x:c>
      <x:c r="Q427" s="34" t="n">
        <x:v>0.2</x:v>
      </x:c>
      <x:c r="R427" s="34" t="n">
        <x:v>0.1</x:v>
      </x:c>
      <x:c r="S427" s="34" t="n">
        <x:v>0.01</x:v>
      </x:c>
      <x:c r="T427" s="34" t="n">
        <x:v>250.553943</x:v>
      </x:c>
      <x:c r="U427" s="34" t="str">
        <x:v>NS-EAST:H2_DRI_EAF:2034|NS-KANSAI:BF_RELINE:2036|NS-KYUSHU:BF_RELINE:2029|NS-NAGOYA:SCRAP_EAF:2032|NS-SETOUCHI:SCRAP_EAF:2038</x:v>
      </x:c>
      <x:c r="V427" s="34" t="str">
        <x:v>model_generated_candidate</x:v>
      </x:c>
      <x:c r="W427" s="34" t="str">
        <x:v>Generated from disclosed-path facility calendar, technology set and template contracting assumptions; not a company-announced project</x:v>
      </x:c>
    </x:row>
    <x:row r="428">
      <x:c r="A428" s="34" t="str">
        <x:v>CAND-6384A17A86913A</x:v>
      </x:c>
      <x:c r="B428" s="34" t="str">
        <x:v>NIPPON_STEEL_JP</x:v>
      </x:c>
      <x:c r="C428" s="34" t="str">
        <x:v>Nippon Steel</x:v>
      </x:c>
      <x:c r="D428" s="34" t="str">
        <x:v>P2</x:v>
      </x:c>
      <x:c r="E428" s="34" t="str">
        <x:v>지연·부분헤지</x:v>
      </x:c>
      <x:c r="F428" s="34" t="str">
        <x:v>PORT-85BCFB6D75A5</x:v>
      </x:c>
      <x:c r="G428" s="34" t="str">
        <x:v>DISCLOSED_PATH</x:v>
      </x:c>
      <x:c r="H428" s="34" t="n">
        <x:v>5</x:v>
      </x:c>
      <x:c r="I428" s="34" t="n">
        <x:v>2029</x:v>
      </x:c>
      <x:c r="J428" s="34" t="n">
        <x:v>2038</x:v>
      </x:c>
      <x:c r="K428" s="34" t="n">
        <x:v>0.419023</x:v>
      </x:c>
      <x:c r="L428" s="34" t="n">
        <x:v>0.192802</x:v>
      </x:c>
      <x:c r="M428" s="34" t="n">
        <x:v>0.388175</x:v>
      </x:c>
      <x:c r="N428" s="34" t="n">
        <x:v>0</x:v>
      </x:c>
      <x:c r="O428" s="34" t="n">
        <x:v>0.15</x:v>
      </x:c>
      <x:c r="P428" s="34" t="n">
        <x:v>0.1</x:v>
      </x:c>
      <x:c r="Q428" s="34" t="n">
        <x:v>0.2</x:v>
      </x:c>
      <x:c r="R428" s="34" t="n">
        <x:v>0.1</x:v>
      </x:c>
      <x:c r="S428" s="34" t="n">
        <x:v>0.01</x:v>
      </x:c>
      <x:c r="T428" s="34" t="n">
        <x:v>264.503938</x:v>
      </x:c>
      <x:c r="U428" s="34" t="str">
        <x:v>NS-EAST:H2_DRI_EAF:2034|NS-KANSAI:BF_RELINE:2036|NS-KYUSHU:BF_RELINE:2029|NS-NAGOYA:H2_DRI_EAF:2032|NS-SETOUCHI:SCRAP_EAF:2038</x:v>
      </x:c>
      <x:c r="V428" s="34" t="str">
        <x:v>model_generated_candidate</x:v>
      </x:c>
      <x:c r="W428" s="34" t="str">
        <x:v>Generated from disclosed-path facility calendar, technology set and template contracting assumptions; not a company-announced project</x:v>
      </x:c>
    </x:row>
    <x:row r="429">
      <x:c r="A429" s="34" t="str">
        <x:v>CAND-66574FF32E2015</x:v>
      </x:c>
      <x:c r="B429" s="34" t="str">
        <x:v>NIPPON_STEEL_JP</x:v>
      </x:c>
      <x:c r="C429" s="34" t="str">
        <x:v>Nippon Steel</x:v>
      </x:c>
      <x:c r="D429" s="34" t="str">
        <x:v>P1</x:v>
      </x:c>
      <x:c r="E429" s="34" t="str">
        <x:v>지연·현물조달</x:v>
      </x:c>
      <x:c r="F429" s="34" t="str">
        <x:v>PORT-AC68D0606F7A</x:v>
      </x:c>
      <x:c r="G429" s="34" t="str">
        <x:v>DISCLOSED_PATH</x:v>
      </x:c>
      <x:c r="H429" s="34" t="n">
        <x:v>5</x:v>
      </x:c>
      <x:c r="I429" s="34" t="n">
        <x:v>2029</x:v>
      </x:c>
      <x:c r="J429" s="34" t="n">
        <x:v>2038</x:v>
      </x:c>
      <x:c r="K429" s="34" t="n">
        <x:v>0.37018</x:v>
      </x:c>
      <x:c r="L429" s="34" t="n">
        <x:v>0.192802</x:v>
      </x:c>
      <x:c r="M429" s="34" t="n">
        <x:v>0.437018</x:v>
      </x:c>
      <x:c r="N429" s="34" t="n">
        <x:v>0</x:v>
      </x:c>
      <x:c r="O429" s="34" t="n">
        <x:v>0</x:v>
      </x:c>
      <x:c r="P429" s="34" t="n">
        <x:v>0</x:v>
      </x:c>
      <x:c r="Q429" s="34" t="n">
        <x:v>0.1</x:v>
      </x:c>
      <x:c r="R429" s="34" t="n">
        <x:v>0</x:v>
      </x:c>
      <x:c r="S429" s="34" t="n">
        <x:v>0</x:v>
      </x:c>
      <x:c r="T429" s="34" t="n">
        <x:v>362.423927</x:v>
      </x:c>
      <x:c r="U429" s="34" t="str">
        <x:v>NS-EAST:BF_RELINE:2034|NS-KANSAI:BF_RELINE:2036|NS-KYUSHU:H2_DRI_EAF:2029|NS-NAGOYA:H2_DRI_EAF:2032|NS-SETOUCHI:SCRAP_EAF:2038</x:v>
      </x:c>
      <x:c r="V429" s="34" t="str">
        <x:v>model_generated_candidate</x:v>
      </x:c>
      <x:c r="W429" s="34" t="str">
        <x:v>Generated from disclosed-path facility calendar, technology set and template contracting assumptions; not a company-announced project</x:v>
      </x:c>
    </x:row>
    <x:row r="430">
      <x:c r="A430" s="34" t="str">
        <x:v>CAND-6693786E455EB1</x:v>
      </x:c>
      <x:c r="B430" s="34" t="str">
        <x:v>NIPPON_STEEL_JP</x:v>
      </x:c>
      <x:c r="C430" s="34" t="str">
        <x:v>Nippon Steel</x:v>
      </x:c>
      <x:c r="D430" s="34" t="str">
        <x:v>P1</x:v>
      </x:c>
      <x:c r="E430" s="34" t="str">
        <x:v>지연·현물조달</x:v>
      </x:c>
      <x:c r="F430" s="34" t="str">
        <x:v>PORT-198E093298A2</x:v>
      </x:c>
      <x:c r="G430" s="34" t="str">
        <x:v>DISCLOSED_PATH</x:v>
      </x:c>
      <x:c r="H430" s="34" t="n">
        <x:v>5</x:v>
      </x:c>
      <x:c r="I430" s="34" t="n">
        <x:v>2029</x:v>
      </x:c>
      <x:c r="J430" s="34" t="n">
        <x:v>2038</x:v>
      </x:c>
      <x:c r="K430" s="34" t="n">
        <x:v>0.257069</x:v>
      </x:c>
      <x:c r="L430" s="34" t="n">
        <x:v>0.580977</x:v>
      </x:c>
      <x:c r="M430" s="34" t="n">
        <x:v>0.161954</x:v>
      </x:c>
      <x:c r="N430" s="34" t="n">
        <x:v>0</x:v>
      </x:c>
      <x:c r="O430" s="34" t="n">
        <x:v>0</x:v>
      </x:c>
      <x:c r="P430" s="34" t="n">
        <x:v>0</x:v>
      </x:c>
      <x:c r="Q430" s="34" t="n">
        <x:v>0.1</x:v>
      </x:c>
      <x:c r="R430" s="34" t="n">
        <x:v>0</x:v>
      </x:c>
      <x:c r="S430" s="34" t="n">
        <x:v>0</x:v>
      </x:c>
      <x:c r="T430" s="34" t="n">
        <x:v>285.553947</x:v>
      </x:c>
      <x:c r="U430" s="34" t="str">
        <x:v>NS-EAST:SCRAP_EAF:2034|NS-KANSAI:H2_DRI_EAF:2036|NS-KYUSHU:BF_RELINE:2029|NS-NAGOYA:SCRAP_EAF:2032|NS-SETOUCHI:SCRAP_EAF:2038</x:v>
      </x:c>
      <x:c r="V430" s="34" t="str">
        <x:v>model_generated_candidate</x:v>
      </x:c>
      <x:c r="W430" s="34" t="str">
        <x:v>Generated from disclosed-path facility calendar, technology set and template contracting assumptions; not a company-announced project</x:v>
      </x:c>
    </x:row>
    <x:row r="431">
      <x:c r="A431" s="34" t="str">
        <x:v>CAND-671F104887C729</x:v>
      </x:c>
      <x:c r="B431" s="34" t="str">
        <x:v>NIPPON_STEEL_JP</x:v>
      </x:c>
      <x:c r="C431" s="34" t="str">
        <x:v>Nippon Steel</x:v>
      </x:c>
      <x:c r="D431" s="34" t="str">
        <x:v>P3</x:v>
      </x:c>
      <x:c r="E431" s="34" t="str">
        <x:v>균형형 라이트헤지</x:v>
      </x:c>
      <x:c r="F431" s="34" t="str">
        <x:v>PORT-C8F6A070F6D3</x:v>
      </x:c>
      <x:c r="G431" s="34" t="str">
        <x:v>DISCLOSED_PATH</x:v>
      </x:c>
      <x:c r="H431" s="34" t="n">
        <x:v>5</x:v>
      </x:c>
      <x:c r="I431" s="34" t="n">
        <x:v>2029</x:v>
      </x:c>
      <x:c r="J431" s="34" t="n">
        <x:v>2038</x:v>
      </x:c>
      <x:c r="K431" s="34" t="n">
        <x:v>0.257069</x:v>
      </x:c>
      <x:c r="L431" s="34" t="n">
        <x:v>0.354756</x:v>
      </x:c>
      <x:c r="M431" s="34" t="n">
        <x:v>0.388175</x:v>
      </x:c>
      <x:c r="N431" s="34" t="n">
        <x:v>0</x:v>
      </x:c>
      <x:c r="O431" s="34" t="n">
        <x:v>0.3</x:v>
      </x:c>
      <x:c r="P431" s="34" t="n">
        <x:v>0.25</x:v>
      </x:c>
      <x:c r="Q431" s="34" t="n">
        <x:v>0.35</x:v>
      </x:c>
      <x:c r="R431" s="34" t="n">
        <x:v>0.25</x:v>
      </x:c>
      <x:c r="S431" s="34" t="n">
        <x:v>0.015</x:v>
      </x:c>
      <x:c r="T431" s="34" t="n">
        <x:v>305.103943</x:v>
      </x:c>
      <x:c r="U431" s="34" t="str">
        <x:v>NS-EAST:H2_DRI_EAF:2034|NS-KANSAI:SCRAP_EAF:2036|NS-KYUSHU:BF_RELINE:2029|NS-NAGOYA:H2_DRI_EAF:2032|NS-SETOUCHI:SCRAP_EAF:2038</x:v>
      </x:c>
      <x:c r="V431" s="34" t="str">
        <x:v>model_generated_candidate</x:v>
      </x:c>
      <x:c r="W431" s="34" t="str">
        <x:v>Generated from disclosed-path facility calendar, technology set and template contracting assumptions; not a company-announced project</x:v>
      </x:c>
    </x:row>
    <x:row r="432">
      <x:c r="A432" s="34" t="str">
        <x:v>CAND-6744B86B6F09A0</x:v>
      </x:c>
      <x:c r="B432" s="34" t="str">
        <x:v>NIPPON_STEEL_JP</x:v>
      </x:c>
      <x:c r="C432" s="34" t="str">
        <x:v>Nippon Steel</x:v>
      </x:c>
      <x:c r="D432" s="34" t="str">
        <x:v>P1</x:v>
      </x:c>
      <x:c r="E432" s="34" t="str">
        <x:v>지연·현물조달</x:v>
      </x:c>
      <x:c r="F432" s="34" t="str">
        <x:v>PORT-14886F58C0A6</x:v>
      </x:c>
      <x:c r="G432" s="34" t="str">
        <x:v>DISCLOSED_PATH</x:v>
      </x:c>
      <x:c r="H432" s="34" t="n">
        <x:v>5</x:v>
      </x:c>
      <x:c r="I432" s="34" t="n">
        <x:v>2029</x:v>
      </x:c>
      <x:c r="J432" s="34" t="n">
        <x:v>2038</x:v>
      </x:c>
      <x:c r="K432" s="34" t="n">
        <x:v>0</x:v>
      </x:c>
      <x:c r="L432" s="34" t="n">
        <x:v>0.742931</x:v>
      </x:c>
      <x:c r="M432" s="34" t="n">
        <x:v>0.257069</x:v>
      </x:c>
      <x:c r="N432" s="34" t="n">
        <x:v>0</x:v>
      </x:c>
      <x:c r="O432" s="34" t="n">
        <x:v>0</x:v>
      </x:c>
      <x:c r="P432" s="34" t="n">
        <x:v>0</x:v>
      </x:c>
      <x:c r="Q432" s="34" t="n">
        <x:v>0.1</x:v>
      </x:c>
      <x:c r="R432" s="34" t="n">
        <x:v>0</x:v>
      </x:c>
      <x:c r="S432" s="34" t="n">
        <x:v>0</x:v>
      </x:c>
      <x:c r="T432" s="34" t="n">
        <x:v>462.153946</x:v>
      </x:c>
      <x:c r="U432" s="34" t="str">
        <x:v>NS-EAST:SCRAP_EAF:2034|NS-KANSAI:SCRAP_EAF:2036|NS-KYUSHU:H2_DRI_EAF:2029|NS-NAGOYA:SCRAP_EAF:2032|NS-SETOUCHI:SCRAP_EAF:2038</x:v>
      </x:c>
      <x:c r="V432" s="34" t="str">
        <x:v>model_generated_candidate</x:v>
      </x:c>
      <x:c r="W432" s="34" t="str">
        <x:v>Generated from disclosed-path facility calendar, technology set and template contracting assumptions; not a company-announced project</x:v>
      </x:c>
    </x:row>
    <x:row r="433">
      <x:c r="A433" s="34" t="str">
        <x:v>CAND-67842A89ECECE4</x:v>
      </x:c>
      <x:c r="B433" s="34" t="str">
        <x:v>NIPPON_STEEL_JP</x:v>
      </x:c>
      <x:c r="C433" s="34" t="str">
        <x:v>Nippon Steel</x:v>
      </x:c>
      <x:c r="D433" s="34" t="str">
        <x:v>P2</x:v>
      </x:c>
      <x:c r="E433" s="34" t="str">
        <x:v>지연·부분헤지</x:v>
      </x:c>
      <x:c r="F433" s="34" t="str">
        <x:v>PORT-A38E7AB93504</x:v>
      </x:c>
      <x:c r="G433" s="34" t="str">
        <x:v>DISCLOSED_PATH</x:v>
      </x:c>
      <x:c r="H433" s="34" t="n">
        <x:v>5</x:v>
      </x:c>
      <x:c r="I433" s="34" t="n">
        <x:v>2029</x:v>
      </x:c>
      <x:c r="J433" s="34" t="n">
        <x:v>2038</x:v>
      </x:c>
      <x:c r="K433" s="34" t="n">
        <x:v>0.208226</x:v>
      </x:c>
      <x:c r="L433" s="34" t="n">
        <x:v>0.437018</x:v>
      </x:c>
      <x:c r="M433" s="34" t="n">
        <x:v>0.354756</x:v>
      </x:c>
      <x:c r="N433" s="34" t="n">
        <x:v>0</x:v>
      </x:c>
      <x:c r="O433" s="34" t="n">
        <x:v>0.15</x:v>
      </x:c>
      <x:c r="P433" s="34" t="n">
        <x:v>0.1</x:v>
      </x:c>
      <x:c r="Q433" s="34" t="n">
        <x:v>0.2</x:v>
      </x:c>
      <x:c r="R433" s="34" t="n">
        <x:v>0.1</x:v>
      </x:c>
      <x:c r="S433" s="34" t="n">
        <x:v>0.01</x:v>
      </x:c>
      <x:c r="T433" s="34" t="n">
        <x:v>373.798938</x:v>
      </x:c>
      <x:c r="U433" s="34" t="str">
        <x:v>NS-EAST:BF_RELINE:2034|NS-KANSAI:H2_DRI_EAF:2036|NS-KYUSHU:SCRAP_EAF:2029|NS-NAGOYA:SCRAP_EAF:2032|NS-SETOUCHI:H2_DRI_EAF:2038</x:v>
      </x:c>
      <x:c r="V433" s="34" t="str">
        <x:v>model_generated_candidate</x:v>
      </x:c>
      <x:c r="W433" s="34" t="str">
        <x:v>Generated from disclosed-path facility calendar, technology set and template contracting assumptions; not a company-announced project</x:v>
      </x:c>
    </x:row>
    <x:row r="434">
      <x:c r="A434" s="34" t="str">
        <x:v>CAND-6794D0A47FF666</x:v>
      </x:c>
      <x:c r="B434" s="34" t="str">
        <x:v>NIPPON_STEEL_JP</x:v>
      </x:c>
      <x:c r="C434" s="34" t="str">
        <x:v>Nippon Steel</x:v>
      </x:c>
      <x:c r="D434" s="34" t="str">
        <x:v>P2</x:v>
      </x:c>
      <x:c r="E434" s="34" t="str">
        <x:v>지연·부분헤지</x:v>
      </x:c>
      <x:c r="F434" s="34" t="str">
        <x:v>PORT-C0F53F28CCD9</x:v>
      </x:c>
      <x:c r="G434" s="34" t="str">
        <x:v>DISCLOSED_PATH</x:v>
      </x:c>
      <x:c r="H434" s="34" t="n">
        <x:v>5</x:v>
      </x:c>
      <x:c r="I434" s="34" t="n">
        <x:v>2029</x:v>
      </x:c>
      <x:c r="J434" s="34" t="n">
        <x:v>2038</x:v>
      </x:c>
      <x:c r="K434" s="34" t="n">
        <x:v>0.437018</x:v>
      </x:c>
      <x:c r="L434" s="34" t="n">
        <x:v>0.161954</x:v>
      </x:c>
      <x:c r="M434" s="34" t="n">
        <x:v>0.401028</x:v>
      </x:c>
      <x:c r="N434" s="34" t="n">
        <x:v>0</x:v>
      </x:c>
      <x:c r="O434" s="34" t="n">
        <x:v>0.15</x:v>
      </x:c>
      <x:c r="P434" s="34" t="n">
        <x:v>0.1</x:v>
      </x:c>
      <x:c r="Q434" s="34" t="n">
        <x:v>0.2</x:v>
      </x:c>
      <x:c r="R434" s="34" t="n">
        <x:v>0.1</x:v>
      </x:c>
      <x:c r="S434" s="34" t="n">
        <x:v>0.01</x:v>
      </x:c>
      <x:c r="T434" s="34" t="n">
        <x:v>214.968974</x:v>
      </x:c>
      <x:c r="U434" s="34" t="str">
        <x:v>NS-EAST:H2_DRI_EAF:2034|NS-KANSAI:SCRAP_EAF:2036|NS-KYUSHU:BF_RELINE:2029|NS-NAGOYA:BF_RELINE:2032|NS-SETOUCHI:H2_DRI_EAF:2038</x:v>
      </x:c>
      <x:c r="V434" s="34" t="str">
        <x:v>model_generated_candidate</x:v>
      </x:c>
      <x:c r="W434" s="34" t="str">
        <x:v>Generated from disclosed-path facility calendar, technology set and template contracting assumptions; not a company-announced project</x:v>
      </x:c>
    </x:row>
    <x:row r="435">
      <x:c r="A435" s="34" t="str">
        <x:v>CAND-67CFF0BE45FFB2</x:v>
      </x:c>
      <x:c r="B435" s="34" t="str">
        <x:v>NIPPON_STEEL_JP</x:v>
      </x:c>
      <x:c r="C435" s="34" t="str">
        <x:v>Nippon Steel</x:v>
      </x:c>
      <x:c r="D435" s="34" t="str">
        <x:v>P2</x:v>
      </x:c>
      <x:c r="E435" s="34" t="str">
        <x:v>지연·부분헤지</x:v>
      </x:c>
      <x:c r="F435" s="34" t="str">
        <x:v>PORT-3969469B04F1</x:v>
      </x:c>
      <x:c r="G435" s="34" t="str">
        <x:v>DISCLOSED_PATH</x:v>
      </x:c>
      <x:c r="H435" s="34" t="n">
        <x:v>5</x:v>
      </x:c>
      <x:c r="I435" s="34" t="n">
        <x:v>2029</x:v>
      </x:c>
      <x:c r="J435" s="34" t="n">
        <x:v>2038</x:v>
      </x:c>
      <x:c r="K435" s="34" t="n">
        <x:v>0.742931</x:v>
      </x:c>
      <x:c r="L435" s="34" t="n">
        <x:v>0</x:v>
      </x:c>
      <x:c r="M435" s="34" t="n">
        <x:v>0.257069</x:v>
      </x:c>
      <x:c r="N435" s="34" t="n">
        <x:v>0</x:v>
      </x:c>
      <x:c r="O435" s="34" t="n">
        <x:v>0.15</x:v>
      </x:c>
      <x:c r="P435" s="34" t="n">
        <x:v>0.1</x:v>
      </x:c>
      <x:c r="Q435" s="34" t="n">
        <x:v>0.2</x:v>
      </x:c>
      <x:c r="R435" s="34" t="n">
        <x:v>0.1</x:v>
      </x:c>
      <x:c r="S435" s="34" t="n">
        <x:v>0.01</x:v>
      </x:c>
      <x:c r="T435" s="34" t="n">
        <x:v>240.158958</x:v>
      </x:c>
      <x:c r="U435" s="34" t="str">
        <x:v>NS-EAST:BF_RELINE:2034|NS-KANSAI:BF_RELINE:2036|NS-KYUSHU:H2_DRI_EAF:2029|NS-NAGOYA:BF_RELINE:2032|NS-SETOUCHI:BF_RELINE:2038</x:v>
      </x:c>
      <x:c r="V435" s="34" t="str">
        <x:v>model_generated_candidate</x:v>
      </x:c>
      <x:c r="W435" s="34" t="str">
        <x:v>Generated from disclosed-path facility calendar, technology set and template contracting assumptions; not a company-announced project</x:v>
      </x:c>
    </x:row>
    <x:row r="436">
      <x:c r="A436" s="34" t="str">
        <x:v>CAND-68328F587BCDE4</x:v>
      </x:c>
      <x:c r="B436" s="34" t="str">
        <x:v>NIPPON_STEEL_JP</x:v>
      </x:c>
      <x:c r="C436" s="34" t="str">
        <x:v>Nippon Steel</x:v>
      </x:c>
      <x:c r="D436" s="34" t="str">
        <x:v>P3</x:v>
      </x:c>
      <x:c r="E436" s="34" t="str">
        <x:v>균형형 라이트헤지</x:v>
      </x:c>
      <x:c r="F436" s="34" t="str">
        <x:v>PORT-7D16A7A4E51A</x:v>
      </x:c>
      <x:c r="G436" s="34" t="str">
        <x:v>DISCLOSED_PATH</x:v>
      </x:c>
      <x:c r="H436" s="34" t="n">
        <x:v>5</x:v>
      </x:c>
      <x:c r="I436" s="34" t="n">
        <x:v>2029</x:v>
      </x:c>
      <x:c r="J436" s="34" t="n">
        <x:v>2038</x:v>
      </x:c>
      <x:c r="K436" s="34" t="n">
        <x:v>0</x:v>
      </x:c>
      <x:c r="L436" s="34" t="n">
        <x:v>0.192802</x:v>
      </x:c>
      <x:c r="M436" s="34" t="n">
        <x:v>0.807198</x:v>
      </x:c>
      <x:c r="N436" s="34" t="n">
        <x:v>0</x:v>
      </x:c>
      <x:c r="O436" s="34" t="n">
        <x:v>0.3</x:v>
      </x:c>
      <x:c r="P436" s="34" t="n">
        <x:v>0.25</x:v>
      </x:c>
      <x:c r="Q436" s="34" t="n">
        <x:v>0.35</x:v>
      </x:c>
      <x:c r="R436" s="34" t="n">
        <x:v>0.25</x:v>
      </x:c>
      <x:c r="S436" s="34" t="n">
        <x:v>0.015</x:v>
      </x:c>
      <x:c r="T436" s="34" t="n">
        <x:v>495.703944</x:v>
      </x:c>
      <x:c r="U436" s="34" t="str">
        <x:v>NS-EAST:H2_DRI_EAF:2034|NS-KANSAI:H2_DRI_EAF:2036|NS-KYUSHU:H2_DRI_EAF:2029|NS-NAGOYA:H2_DRI_EAF:2032|NS-SETOUCHI:SCRAP_EAF:2038</x:v>
      </x:c>
      <x:c r="V436" s="34" t="str">
        <x:v>model_generated_candidate</x:v>
      </x:c>
      <x:c r="W436" s="34" t="str">
        <x:v>Generated from disclosed-path facility calendar, technology set and template contracting assumptions; not a company-announced project</x:v>
      </x:c>
    </x:row>
    <x:row r="437">
      <x:c r="A437" s="34" t="str">
        <x:v>CAND-68457B97CBD7E3</x:v>
      </x:c>
      <x:c r="B437" s="34" t="str">
        <x:v>NIPPON_STEEL_JP</x:v>
      </x:c>
      <x:c r="C437" s="34" t="str">
        <x:v>Nippon Steel</x:v>
      </x:c>
      <x:c r="D437" s="34" t="str">
        <x:v>P1</x:v>
      </x:c>
      <x:c r="E437" s="34" t="str">
        <x:v>지연·현물조달</x:v>
      </x:c>
      <x:c r="F437" s="34" t="str">
        <x:v>PORT-6BA9841BAB7B</x:v>
      </x:c>
      <x:c r="G437" s="34" t="str">
        <x:v>DISCLOSED_PATH</x:v>
      </x:c>
      <x:c r="H437" s="34" t="n">
        <x:v>5</x:v>
      </x:c>
      <x:c r="I437" s="34" t="n">
        <x:v>2029</x:v>
      </x:c>
      <x:c r="J437" s="34" t="n">
        <x:v>2038</x:v>
      </x:c>
      <x:c r="K437" s="34" t="n">
        <x:v>0.179949</x:v>
      </x:c>
      <x:c r="L437" s="34" t="n">
        <x:v>0.401028</x:v>
      </x:c>
      <x:c r="M437" s="34" t="n">
        <x:v>0.419023</x:v>
      </x:c>
      <x:c r="N437" s="34" t="n">
        <x:v>0</x:v>
      </x:c>
      <x:c r="O437" s="34" t="n">
        <x:v>0</x:v>
      </x:c>
      <x:c r="P437" s="34" t="n">
        <x:v>0</x:v>
      </x:c>
      <x:c r="Q437" s="34" t="n">
        <x:v>0.1</x:v>
      </x:c>
      <x:c r="R437" s="34" t="n">
        <x:v>0</x:v>
      </x:c>
      <x:c r="S437" s="34" t="n">
        <x:v>0</x:v>
      </x:c>
      <x:c r="T437" s="34" t="n">
        <x:v>388.243973</x:v>
      </x:c>
      <x:c r="U437" s="34" t="str">
        <x:v>NS-EAST:SCRAP_EAF:2034|NS-KANSAI:H2_DRI_EAF:2036|NS-KYUSHU:H2_DRI_EAF:2029|NS-NAGOYA:BF_RELINE:2032|NS-SETOUCHI:SCRAP_EAF:2038</x:v>
      </x:c>
      <x:c r="V437" s="34" t="str">
        <x:v>model_generated_candidate</x:v>
      </x:c>
      <x:c r="W437" s="34" t="str">
        <x:v>Generated from disclosed-path facility calendar, technology set and template contracting assumptions; not a company-announced project</x:v>
      </x:c>
    </x:row>
    <x:row r="438">
      <x:c r="A438" s="34" t="str">
        <x:v>CAND-6869F33C945190</x:v>
      </x:c>
      <x:c r="B438" s="34" t="str">
        <x:v>NIPPON_STEEL_JP</x:v>
      </x:c>
      <x:c r="C438" s="34" t="str">
        <x:v>Nippon Steel</x:v>
      </x:c>
      <x:c r="D438" s="34" t="str">
        <x:v>P2</x:v>
      </x:c>
      <x:c r="E438" s="34" t="str">
        <x:v>지연·부분헤지</x:v>
      </x:c>
      <x:c r="F438" s="34" t="str">
        <x:v>PORT-FD23B75EC9FF</x:v>
      </x:c>
      <x:c r="G438" s="34" t="str">
        <x:v>DISCLOSED_PATH</x:v>
      </x:c>
      <x:c r="H438" s="34" t="n">
        <x:v>5</x:v>
      </x:c>
      <x:c r="I438" s="34" t="n">
        <x:v>2029</x:v>
      </x:c>
      <x:c r="J438" s="34" t="n">
        <x:v>2038</x:v>
      </x:c>
      <x:c r="K438" s="34" t="n">
        <x:v>0.192802</x:v>
      </x:c>
      <x:c r="L438" s="34" t="n">
        <x:v>0.179949</x:v>
      </x:c>
      <x:c r="M438" s="34" t="n">
        <x:v>0.627249</x:v>
      </x:c>
      <x:c r="N438" s="34" t="n">
        <x:v>0</x:v>
      </x:c>
      <x:c r="O438" s="34" t="n">
        <x:v>0.15</x:v>
      </x:c>
      <x:c r="P438" s="34" t="n">
        <x:v>0.1</x:v>
      </x:c>
      <x:c r="Q438" s="34" t="n">
        <x:v>0.2</x:v>
      </x:c>
      <x:c r="R438" s="34" t="n">
        <x:v>0.1</x:v>
      </x:c>
      <x:c r="S438" s="34" t="n">
        <x:v>0.01</x:v>
      </x:c>
      <x:c r="T438" s="34" t="n">
        <x:v>454.348949</x:v>
      </x:c>
      <x:c r="U438" s="34" t="str">
        <x:v>NS-EAST:H2_DRI_EAF:2034|NS-KANSAI:H2_DRI_EAF:2036|NS-KYUSHU:H2_DRI_EAF:2029|NS-NAGOYA:SCRAP_EAF:2032|NS-SETOUCHI:BF_RELINE:2038</x:v>
      </x:c>
      <x:c r="V438" s="34" t="str">
        <x:v>model_generated_candidate</x:v>
      </x:c>
      <x:c r="W438" s="34" t="str">
        <x:v>Generated from disclosed-path facility calendar, technology set and template contracting assumptions; not a company-announced project</x:v>
      </x:c>
    </x:row>
    <x:row r="439">
      <x:c r="A439" s="34" t="str">
        <x:v>CAND-69845119EEC331</x:v>
      </x:c>
      <x:c r="B439" s="34" t="str">
        <x:v>NIPPON_STEEL_JP</x:v>
      </x:c>
      <x:c r="C439" s="34" t="str">
        <x:v>Nippon Steel</x:v>
      </x:c>
      <x:c r="D439" s="34" t="str">
        <x:v>P1</x:v>
      </x:c>
      <x:c r="E439" s="34" t="str">
        <x:v>지연·현물조달</x:v>
      </x:c>
      <x:c r="F439" s="34" t="str">
        <x:v>PORT-627D1C53BFAE</x:v>
      </x:c>
      <x:c r="G439" s="34" t="str">
        <x:v>DISCLOSED_PATH</x:v>
      </x:c>
      <x:c r="H439" s="34" t="n">
        <x:v>5</x:v>
      </x:c>
      <x:c r="I439" s="34" t="n">
        <x:v>2029</x:v>
      </x:c>
      <x:c r="J439" s="34" t="n">
        <x:v>2038</x:v>
      </x:c>
      <x:c r="K439" s="34" t="n">
        <x:v>0.580977</x:v>
      </x:c>
      <x:c r="L439" s="34" t="n">
        <x:v>0.419023</x:v>
      </x:c>
      <x:c r="M439" s="34" t="n">
        <x:v>0</x:v>
      </x:c>
      <x:c r="N439" s="34" t="n">
        <x:v>0</x:v>
      </x:c>
      <x:c r="O439" s="34" t="n">
        <x:v>0</x:v>
      </x:c>
      <x:c r="P439" s="34" t="n">
        <x:v>0</x:v>
      </x:c>
      <x:c r="Q439" s="34" t="n">
        <x:v>0.1</x:v>
      </x:c>
      <x:c r="R439" s="34" t="n">
        <x:v>0</x:v>
      </x:c>
      <x:c r="S439" s="34" t="n">
        <x:v>0</x:v>
      </x:c>
      <x:c r="T439" s="34" t="n">
        <x:v>253.758963</x:v>
      </x:c>
      <x:c r="U439" s="34" t="str">
        <x:v>NS-EAST:BF_RELINE:2034|NS-KANSAI:SCRAP_EAF:2036|NS-KYUSHU:SCRAP_EAF:2029|NS-NAGOYA:BF_RELINE:2032|NS-SETOUCHI:BF_RELINE:2038</x:v>
      </x:c>
      <x:c r="V439" s="34" t="str">
        <x:v>model_generated_candidate</x:v>
      </x:c>
      <x:c r="W439" s="34" t="str">
        <x:v>Generated from disclosed-path facility calendar, technology set and template contracting assumptions; not a company-announced project</x:v>
      </x:c>
    </x:row>
    <x:row r="440">
      <x:c r="A440" s="34" t="str">
        <x:v>CAND-6AE557BE04F2FF</x:v>
      </x:c>
      <x:c r="B440" s="34" t="str">
        <x:v>NIPPON_STEEL_JP</x:v>
      </x:c>
      <x:c r="C440" s="34" t="str">
        <x:v>Nippon Steel</x:v>
      </x:c>
      <x:c r="D440" s="34" t="str">
        <x:v>P2</x:v>
      </x:c>
      <x:c r="E440" s="34" t="str">
        <x:v>지연·부분헤지</x:v>
      </x:c>
      <x:c r="F440" s="34" t="str">
        <x:v>PORT-7D16A7A4E51A</x:v>
      </x:c>
      <x:c r="G440" s="34" t="str">
        <x:v>DISCLOSED_PATH</x:v>
      </x:c>
      <x:c r="H440" s="34" t="n">
        <x:v>5</x:v>
      </x:c>
      <x:c r="I440" s="34" t="n">
        <x:v>2029</x:v>
      </x:c>
      <x:c r="J440" s="34" t="n">
        <x:v>2038</x:v>
      </x:c>
      <x:c r="K440" s="34" t="n">
        <x:v>0</x:v>
      </x:c>
      <x:c r="L440" s="34" t="n">
        <x:v>0.192802</x:v>
      </x:c>
      <x:c r="M440" s="34" t="n">
        <x:v>0.807198</x:v>
      </x:c>
      <x:c r="N440" s="34" t="n">
        <x:v>0</x:v>
      </x:c>
      <x:c r="O440" s="34" t="n">
        <x:v>0.15</x:v>
      </x:c>
      <x:c r="P440" s="34" t="n">
        <x:v>0.1</x:v>
      </x:c>
      <x:c r="Q440" s="34" t="n">
        <x:v>0.2</x:v>
      </x:c>
      <x:c r="R440" s="34" t="n">
        <x:v>0.1</x:v>
      </x:c>
      <x:c r="S440" s="34" t="n">
        <x:v>0.01</x:v>
      </x:c>
      <x:c r="T440" s="34" t="n">
        <x:v>495.703944</x:v>
      </x:c>
      <x:c r="U440" s="34" t="str">
        <x:v>NS-EAST:H2_DRI_EAF:2034|NS-KANSAI:H2_DRI_EAF:2036|NS-KYUSHU:H2_DRI_EAF:2029|NS-NAGOYA:H2_DRI_EAF:2032|NS-SETOUCHI:SCRAP_EAF:2038</x:v>
      </x:c>
      <x:c r="V440" s="34" t="str">
        <x:v>model_generated_candidate</x:v>
      </x:c>
      <x:c r="W440" s="34" t="str">
        <x:v>Generated from disclosed-path facility calendar, technology set and template contracting assumptions; not a company-announced project</x:v>
      </x:c>
    </x:row>
    <x:row r="441">
      <x:c r="A441" s="34" t="str">
        <x:v>CAND-6B098F52B478E3</x:v>
      </x:c>
      <x:c r="B441" s="34" t="str">
        <x:v>NIPPON_STEEL_JP</x:v>
      </x:c>
      <x:c r="C441" s="34" t="str">
        <x:v>Nippon Steel</x:v>
      </x:c>
      <x:c r="D441" s="34" t="str">
        <x:v>P1</x:v>
      </x:c>
      <x:c r="E441" s="34" t="str">
        <x:v>지연·현물조달</x:v>
      </x:c>
      <x:c r="F441" s="34" t="str">
        <x:v>PORT-3969469B04F1</x:v>
      </x:c>
      <x:c r="G441" s="34" t="str">
        <x:v>DISCLOSED_PATH</x:v>
      </x:c>
      <x:c r="H441" s="34" t="n">
        <x:v>5</x:v>
      </x:c>
      <x:c r="I441" s="34" t="n">
        <x:v>2029</x:v>
      </x:c>
      <x:c r="J441" s="34" t="n">
        <x:v>2038</x:v>
      </x:c>
      <x:c r="K441" s="34" t="n">
        <x:v>0.742931</x:v>
      </x:c>
      <x:c r="L441" s="34" t="n">
        <x:v>0</x:v>
      </x:c>
      <x:c r="M441" s="34" t="n">
        <x:v>0.257069</x:v>
      </x:c>
      <x:c r="N441" s="34" t="n">
        <x:v>0</x:v>
      </x:c>
      <x:c r="O441" s="34" t="n">
        <x:v>0</x:v>
      </x:c>
      <x:c r="P441" s="34" t="n">
        <x:v>0</x:v>
      </x:c>
      <x:c r="Q441" s="34" t="n">
        <x:v>0.1</x:v>
      </x:c>
      <x:c r="R441" s="34" t="n">
        <x:v>0</x:v>
      </x:c>
      <x:c r="S441" s="34" t="n">
        <x:v>0</x:v>
      </x:c>
      <x:c r="T441" s="34" t="n">
        <x:v>240.158958</x:v>
      </x:c>
      <x:c r="U441" s="34" t="str">
        <x:v>NS-EAST:BF_RELINE:2034|NS-KANSAI:BF_RELINE:2036|NS-KYUSHU:H2_DRI_EAF:2029|NS-NAGOYA:BF_RELINE:2032|NS-SETOUCHI:BF_RELINE:2038</x:v>
      </x:c>
      <x:c r="V441" s="34" t="str">
        <x:v>model_generated_candidate</x:v>
      </x:c>
      <x:c r="W441" s="34" t="str">
        <x:v>Generated from disclosed-path facility calendar, technology set and template contracting assumptions; not a company-announced project</x:v>
      </x:c>
    </x:row>
    <x:row r="442">
      <x:c r="A442" s="34" t="str">
        <x:v>CAND-6B794B7F9F5765</x:v>
      </x:c>
      <x:c r="B442" s="34" t="str">
        <x:v>NIPPON_STEEL_JP</x:v>
      </x:c>
      <x:c r="C442" s="34" t="str">
        <x:v>Nippon Steel</x:v>
      </x:c>
      <x:c r="D442" s="34" t="str">
        <x:v>P1</x:v>
      </x:c>
      <x:c r="E442" s="34" t="str">
        <x:v>지연·현물조달</x:v>
      </x:c>
      <x:c r="F442" s="34" t="str">
        <x:v>PORT-233896767A76</x:v>
      </x:c>
      <x:c r="G442" s="34" t="str">
        <x:v>DISCLOSED_PATH</x:v>
      </x:c>
      <x:c r="H442" s="34" t="n">
        <x:v>5</x:v>
      </x:c>
      <x:c r="I442" s="34" t="n">
        <x:v>2029</x:v>
      </x:c>
      <x:c r="J442" s="34" t="n">
        <x:v>2038</x:v>
      </x:c>
      <x:c r="K442" s="34" t="n">
        <x:v>0</x:v>
      </x:c>
      <x:c r="L442" s="34" t="n">
        <x:v>0.550129</x:v>
      </x:c>
      <x:c r="M442" s="34" t="n">
        <x:v>0.449871</x:v>
      </x:c>
      <x:c r="N442" s="34" t="n">
        <x:v>0</x:v>
      </x:c>
      <x:c r="O442" s="34" t="n">
        <x:v>0</x:v>
      </x:c>
      <x:c r="P442" s="34" t="n">
        <x:v>0</x:v>
      </x:c>
      <x:c r="Q442" s="34" t="n">
        <x:v>0.1</x:v>
      </x:c>
      <x:c r="R442" s="34" t="n">
        <x:v>0</x:v>
      </x:c>
      <x:c r="S442" s="34" t="n">
        <x:v>0</x:v>
      </x:c>
      <x:c r="T442" s="34" t="n">
        <x:v>466.878946</x:v>
      </x:c>
      <x:c r="U442" s="34" t="str">
        <x:v>NS-EAST:SCRAP_EAF:2034|NS-KANSAI:SCRAP_EAF:2036|NS-KYUSHU:H2_DRI_EAF:2029|NS-NAGOYA:SCRAP_EAF:2032|NS-SETOUCHI:H2_DRI_EAF:2038</x:v>
      </x:c>
      <x:c r="V442" s="34" t="str">
        <x:v>model_generated_candidate</x:v>
      </x:c>
      <x:c r="W442" s="34" t="str">
        <x:v>Generated from disclosed-path facility calendar, technology set and template contracting assumptions; not a company-announced project</x:v>
      </x:c>
    </x:row>
    <x:row r="443">
      <x:c r="A443" s="34" t="str">
        <x:v>CAND-6C24B55CD406B9</x:v>
      </x:c>
      <x:c r="B443" s="34" t="str">
        <x:v>NIPPON_STEEL_JP</x:v>
      </x:c>
      <x:c r="C443" s="34" t="str">
        <x:v>Nippon Steel</x:v>
      </x:c>
      <x:c r="D443" s="34" t="str">
        <x:v>P2</x:v>
      </x:c>
      <x:c r="E443" s="34" t="str">
        <x:v>지연·부분헤지</x:v>
      </x:c>
      <x:c r="F443" s="34" t="str">
        <x:v>PORT-526AE3D0E184</x:v>
      </x:c>
      <x:c r="G443" s="34" t="str">
        <x:v>DISCLOSED_PATH</x:v>
      </x:c>
      <x:c r="H443" s="34" t="n">
        <x:v>5</x:v>
      </x:c>
      <x:c r="I443" s="34" t="n">
        <x:v>2029</x:v>
      </x:c>
      <x:c r="J443" s="34" t="n">
        <x:v>2038</x:v>
      </x:c>
      <x:c r="K443" s="34" t="n">
        <x:v>0.401028</x:v>
      </x:c>
      <x:c r="L443" s="34" t="n">
        <x:v>0.341902</x:v>
      </x:c>
      <x:c r="M443" s="34" t="n">
        <x:v>0.257069</x:v>
      </x:c>
      <x:c r="N443" s="34" t="n">
        <x:v>0</x:v>
      </x:c>
      <x:c r="O443" s="34" t="n">
        <x:v>0.15</x:v>
      </x:c>
      <x:c r="P443" s="34" t="n">
        <x:v>0.1</x:v>
      </x:c>
      <x:c r="Q443" s="34" t="n">
        <x:v>0.2</x:v>
      </x:c>
      <x:c r="R443" s="34" t="n">
        <x:v>0.1</x:v>
      </x:c>
      <x:c r="S443" s="34" t="n">
        <x:v>0.01</x:v>
      </x:c>
      <x:c r="T443" s="34" t="n">
        <x:v>361.668937</x:v>
      </x:c>
      <x:c r="U443" s="34" t="str">
        <x:v>NS-EAST:BF_RELINE:2034|NS-KANSAI:SCRAP_EAF:2036|NS-KYUSHU:H2_DRI_EAF:2029|NS-NAGOYA:SCRAP_EAF:2032|NS-SETOUCHI:BF_RELINE:2038</x:v>
      </x:c>
      <x:c r="V443" s="34" t="str">
        <x:v>model_generated_candidate</x:v>
      </x:c>
      <x:c r="W443" s="34" t="str">
        <x:v>Generated from disclosed-path facility calendar, technology set and template contracting assumptions; not a company-announced project</x:v>
      </x:c>
    </x:row>
    <x:row r="444">
      <x:c r="A444" s="34" t="str">
        <x:v>CAND-6C5634DCBBDFB9</x:v>
      </x:c>
      <x:c r="B444" s="34" t="str">
        <x:v>NIPPON_STEEL_JP</x:v>
      </x:c>
      <x:c r="C444" s="34" t="str">
        <x:v>Nippon Steel</x:v>
      </x:c>
      <x:c r="D444" s="34" t="str">
        <x:v>P1</x:v>
      </x:c>
      <x:c r="E444" s="34" t="str">
        <x:v>지연·현물조달</x:v>
      </x:c>
      <x:c r="F444" s="34" t="str">
        <x:v>PORT-C0BD308C7501</x:v>
      </x:c>
      <x:c r="G444" s="34" t="str">
        <x:v>DISCLOSED_PATH</x:v>
      </x:c>
      <x:c r="H444" s="34" t="n">
        <x:v>5</x:v>
      </x:c>
      <x:c r="I444" s="34" t="n">
        <x:v>2029</x:v>
      </x:c>
      <x:c r="J444" s="34" t="n">
        <x:v>2038</x:v>
      </x:c>
      <x:c r="K444" s="34" t="n">
        <x:v>0.419023</x:v>
      </x:c>
      <x:c r="L444" s="34" t="n">
        <x:v>0.179949</x:v>
      </x:c>
      <x:c r="M444" s="34" t="n">
        <x:v>0.401028</x:v>
      </x:c>
      <x:c r="N444" s="34" t="n">
        <x:v>0</x:v>
      </x:c>
      <x:c r="O444" s="34" t="n">
        <x:v>0</x:v>
      </x:c>
      <x:c r="P444" s="34" t="n">
        <x:v>0</x:v>
      </x:c>
      <x:c r="Q444" s="34" t="n">
        <x:v>0.1</x:v>
      </x:c>
      <x:c r="R444" s="34" t="n">
        <x:v>0</x:v>
      </x:c>
      <x:c r="S444" s="34" t="n">
        <x:v>0</x:v>
      </x:c>
      <x:c r="T444" s="34" t="n">
        <x:v>255.278943</x:v>
      </x:c>
      <x:c r="U444" s="34" t="str">
        <x:v>NS-EAST:H2_DRI_EAF:2034|NS-KANSAI:BF_RELINE:2036|NS-KYUSHU:BF_RELINE:2029|NS-NAGOYA:SCRAP_EAF:2032|NS-SETOUCHI:H2_DRI_EAF:2038</x:v>
      </x:c>
      <x:c r="V444" s="34" t="str">
        <x:v>model_generated_candidate</x:v>
      </x:c>
      <x:c r="W444" s="34" t="str">
        <x:v>Generated from disclosed-path facility calendar, technology set and template contracting assumptions; not a company-announced project</x:v>
      </x:c>
    </x:row>
    <x:row r="445">
      <x:c r="A445" s="34" t="str">
        <x:v>CAND-6C89FCC4861108</x:v>
      </x:c>
      <x:c r="B445" s="34" t="str">
        <x:v>NIPPON_STEEL_JP</x:v>
      </x:c>
      <x:c r="C445" s="34" t="str">
        <x:v>Nippon Steel</x:v>
      </x:c>
      <x:c r="D445" s="34" t="str">
        <x:v>P2</x:v>
      </x:c>
      <x:c r="E445" s="34" t="str">
        <x:v>지연·부분헤지</x:v>
      </x:c>
      <x:c r="F445" s="34" t="str">
        <x:v>PORT-308D82D12417</x:v>
      </x:c>
      <x:c r="G445" s="34" t="str">
        <x:v>DISCLOSED_PATH</x:v>
      </x:c>
      <x:c r="H445" s="34" t="n">
        <x:v>5</x:v>
      </x:c>
      <x:c r="I445" s="34" t="n">
        <x:v>2029</x:v>
      </x:c>
      <x:c r="J445" s="34" t="n">
        <x:v>2038</x:v>
      </x:c>
      <x:c r="K445" s="34" t="n">
        <x:v>0.627249</x:v>
      </x:c>
      <x:c r="L445" s="34" t="n">
        <x:v>0</x:v>
      </x:c>
      <x:c r="M445" s="34" t="n">
        <x:v>0.372751</x:v>
      </x:c>
      <x:c r="N445" s="34" t="n">
        <x:v>0</x:v>
      </x:c>
      <x:c r="O445" s="34" t="n">
        <x:v>0.15</x:v>
      </x:c>
      <x:c r="P445" s="34" t="n">
        <x:v>0.1</x:v>
      </x:c>
      <x:c r="Q445" s="34" t="n">
        <x:v>0.2</x:v>
      </x:c>
      <x:c r="R445" s="34" t="n">
        <x:v>0.1</x:v>
      </x:c>
      <x:c r="S445" s="34" t="n">
        <x:v>0.01</x:v>
      </x:c>
      <x:c r="T445" s="34" t="n">
        <x:v>183.548927</x:v>
      </x:c>
      <x:c r="U445" s="34" t="str">
        <x:v>NS-EAST:BF_RELINE:2034|NS-KANSAI:BF_RELINE:2036|NS-KYUSHU:BF_RELINE:2029|NS-NAGOYA:H2_DRI_EAF:2032|NS-SETOUCHI:H2_DRI_EAF:2038</x:v>
      </x:c>
      <x:c r="V445" s="34" t="str">
        <x:v>model_generated_candidate</x:v>
      </x:c>
      <x:c r="W445" s="34" t="str">
        <x:v>Generated from disclosed-path facility calendar, technology set and template contracting assumptions; not a company-announced project</x:v>
      </x:c>
    </x:row>
    <x:row r="446">
      <x:c r="A446" s="34" t="str">
        <x:v>CAND-6CEDFAD1A6DAF6</x:v>
      </x:c>
      <x:c r="B446" s="34" t="str">
        <x:v>NIPPON_STEEL_JP</x:v>
      </x:c>
      <x:c r="C446" s="34" t="str">
        <x:v>Nippon Steel</x:v>
      </x:c>
      <x:c r="D446" s="34" t="str">
        <x:v>P6</x:v>
      </x:c>
      <x:c r="E446" s="34" t="str">
        <x:v>조기 고헤지</x:v>
      </x:c>
      <x:c r="F446" s="34" t="str">
        <x:v>PORT-19E098D49CA6</x:v>
      </x:c>
      <x:c r="G446" s="34" t="str">
        <x:v>DISCLOSED_PATH</x:v>
      </x:c>
      <x:c r="H446" s="34" t="n">
        <x:v>5</x:v>
      </x:c>
      <x:c r="I446" s="34" t="n">
        <x:v>2028</x:v>
      </x:c>
      <x:c r="J446" s="34" t="n">
        <x:v>2036</x:v>
      </x:c>
      <x:c r="K446" s="34" t="n">
        <x:v>0.192802</x:v>
      </x:c>
      <x:c r="L446" s="34" t="n">
        <x:v>0</x:v>
      </x:c>
      <x:c r="M446" s="34" t="n">
        <x:v>0.807198</x:v>
      </x:c>
      <x:c r="N446" s="34" t="n">
        <x:v>0</x:v>
      </x:c>
      <x:c r="O446" s="34" t="n">
        <x:v>0.9</x:v>
      </x:c>
      <x:c r="P446" s="34" t="n">
        <x:v>0.85</x:v>
      </x:c>
      <x:c r="Q446" s="34" t="n">
        <x:v>0.85</x:v>
      </x:c>
      <x:c r="R446" s="34" t="n">
        <x:v>0.8</x:v>
      </x:c>
      <x:c r="S446" s="34" t="n">
        <x:v>0.035</x:v>
      </x:c>
      <x:c r="T446" s="34" t="n">
        <x:v>561.109375</x:v>
      </x:c>
      <x:c r="U446" s="34" t="str">
        <x:v>NS-EAST:H2_DRI_EAF:2032|NS-KANSAI:H2_DRI_EAF:2034|NS-KYUSHU:H2_DRI_EAF:2028|NS-NAGOYA:H2_DRI_EAF:2030|NS-SETOUCHI:BF_RELINE:2036</x:v>
      </x:c>
      <x:c r="V446" s="34" t="str">
        <x:v>model_generated_candidate</x:v>
      </x:c>
      <x:c r="W446" s="34" t="str">
        <x:v>Generated from disclosed-path facility calendar, technology set and template contracting assumptions; not a company-announced project</x:v>
      </x:c>
    </x:row>
    <x:row r="447">
      <x:c r="A447" s="34" t="str">
        <x:v>CAND-6D910913E19599</x:v>
      </x:c>
      <x:c r="B447" s="34" t="str">
        <x:v>NIPPON_STEEL_JP</x:v>
      </x:c>
      <x:c r="C447" s="34" t="str">
        <x:v>Nippon Steel</x:v>
      </x:c>
      <x:c r="D447" s="34" t="str">
        <x:v>P2</x:v>
      </x:c>
      <x:c r="E447" s="34" t="str">
        <x:v>지연·부분헤지</x:v>
      </x:c>
      <x:c r="F447" s="34" t="str">
        <x:v>PORT-B93DF6AAC147</x:v>
      </x:c>
      <x:c r="G447" s="34" t="str">
        <x:v>DISCLOSED_PATH</x:v>
      </x:c>
      <x:c r="H447" s="34" t="n">
        <x:v>5</x:v>
      </x:c>
      <x:c r="I447" s="34" t="n">
        <x:v>2029</x:v>
      </x:c>
      <x:c r="J447" s="34" t="n">
        <x:v>2038</x:v>
      </x:c>
      <x:c r="K447" s="34" t="n">
        <x:v>0.388175</x:v>
      </x:c>
      <x:c r="L447" s="34" t="n">
        <x:v>0.257069</x:v>
      </x:c>
      <x:c r="M447" s="34" t="n">
        <x:v>0.354756</x:v>
      </x:c>
      <x:c r="N447" s="34" t="n">
        <x:v>0</x:v>
      </x:c>
      <x:c r="O447" s="34" t="n">
        <x:v>0.15</x:v>
      </x:c>
      <x:c r="P447" s="34" t="n">
        <x:v>0.1</x:v>
      </x:c>
      <x:c r="Q447" s="34" t="n">
        <x:v>0.2</x:v>
      </x:c>
      <x:c r="R447" s="34" t="n">
        <x:v>0.1</x:v>
      </x:c>
      <x:c r="S447" s="34" t="n">
        <x:v>0.01</x:v>
      </x:c>
      <x:c r="T447" s="34" t="n">
        <x:v>292.888964</x:v>
      </x:c>
      <x:c r="U447" s="34" t="str">
        <x:v>NS-EAST:BF_RELINE:2034|NS-KANSAI:H2_DRI_EAF:2036|NS-KYUSHU:SCRAP_EAF:2029|NS-NAGOYA:BF_RELINE:2032|NS-SETOUCHI:H2_DRI_EAF:2038</x:v>
      </x:c>
      <x:c r="V447" s="34" t="str">
        <x:v>model_generated_candidate</x:v>
      </x:c>
      <x:c r="W447" s="34" t="str">
        <x:v>Generated from disclosed-path facility calendar, technology set and template contracting assumptions; not a company-announced project</x:v>
      </x:c>
    </x:row>
    <x:row r="448">
      <x:c r="A448" s="34" t="str">
        <x:v>CAND-6DAEA36562FCC9</x:v>
      </x:c>
      <x:c r="B448" s="34" t="str">
        <x:v>NIPPON_STEEL_JP</x:v>
      </x:c>
      <x:c r="C448" s="34" t="str">
        <x:v>Nippon Steel</x:v>
      </x:c>
      <x:c r="D448" s="34" t="str">
        <x:v>P2</x:v>
      </x:c>
      <x:c r="E448" s="34" t="str">
        <x:v>지연·부분헤지</x:v>
      </x:c>
      <x:c r="F448" s="34" t="str">
        <x:v>PORT-C0BD308C7501</x:v>
      </x:c>
      <x:c r="G448" s="34" t="str">
        <x:v>DISCLOSED_PATH</x:v>
      </x:c>
      <x:c r="H448" s="34" t="n">
        <x:v>5</x:v>
      </x:c>
      <x:c r="I448" s="34" t="n">
        <x:v>2029</x:v>
      </x:c>
      <x:c r="J448" s="34" t="n">
        <x:v>2038</x:v>
      </x:c>
      <x:c r="K448" s="34" t="n">
        <x:v>0.419023</x:v>
      </x:c>
      <x:c r="L448" s="34" t="n">
        <x:v>0.179949</x:v>
      </x:c>
      <x:c r="M448" s="34" t="n">
        <x:v>0.401028</x:v>
      </x:c>
      <x:c r="N448" s="34" t="n">
        <x:v>0</x:v>
      </x:c>
      <x:c r="O448" s="34" t="n">
        <x:v>0.15</x:v>
      </x:c>
      <x:c r="P448" s="34" t="n">
        <x:v>0.1</x:v>
      </x:c>
      <x:c r="Q448" s="34" t="n">
        <x:v>0.2</x:v>
      </x:c>
      <x:c r="R448" s="34" t="n">
        <x:v>0.1</x:v>
      </x:c>
      <x:c r="S448" s="34" t="n">
        <x:v>0.01</x:v>
      </x:c>
      <x:c r="T448" s="34" t="n">
        <x:v>255.278943</x:v>
      </x:c>
      <x:c r="U448" s="34" t="str">
        <x:v>NS-EAST:H2_DRI_EAF:2034|NS-KANSAI:BF_RELINE:2036|NS-KYUSHU:BF_RELINE:2029|NS-NAGOYA:SCRAP_EAF:2032|NS-SETOUCHI:H2_DRI_EAF:2038</x:v>
      </x:c>
      <x:c r="V448" s="34" t="str">
        <x:v>model_generated_candidate</x:v>
      </x:c>
      <x:c r="W448" s="34" t="str">
        <x:v>Generated from disclosed-path facility calendar, technology set and template contracting assumptions; not a company-announced project</x:v>
      </x:c>
    </x:row>
    <x:row r="449">
      <x:c r="A449" s="34" t="str">
        <x:v>CAND-6E2073BC8E7DA5</x:v>
      </x:c>
      <x:c r="B449" s="34" t="str">
        <x:v>NIPPON_STEEL_JP</x:v>
      </x:c>
      <x:c r="C449" s="34" t="str">
        <x:v>Nippon Steel</x:v>
      </x:c>
      <x:c r="D449" s="34" t="str">
        <x:v>P1</x:v>
      </x:c>
      <x:c r="E449" s="34" t="str">
        <x:v>지연·현물조달</x:v>
      </x:c>
      <x:c r="F449" s="34" t="str">
        <x:v>PORT-C4192388F1C6</x:v>
      </x:c>
      <x:c r="G449" s="34" t="str">
        <x:v>DISCLOSED_PATH</x:v>
      </x:c>
      <x:c r="H449" s="34" t="n">
        <x:v>5</x:v>
      </x:c>
      <x:c r="I449" s="34" t="n">
        <x:v>2029</x:v>
      </x:c>
      <x:c r="J449" s="34" t="n">
        <x:v>2038</x:v>
      </x:c>
      <x:c r="K449" s="34" t="n">
        <x:v>0.437018</x:v>
      </x:c>
      <x:c r="L449" s="34" t="n">
        <x:v>0.562982</x:v>
      </x:c>
      <x:c r="M449" s="34" t="n">
        <x:v>0</x:v>
      </x:c>
      <x:c r="N449" s="34" t="n">
        <x:v>0</x:v>
      </x:c>
      <x:c r="O449" s="34" t="n">
        <x:v>0</x:v>
      </x:c>
      <x:c r="P449" s="34" t="n">
        <x:v>0</x:v>
      </x:c>
      <x:c r="Q449" s="34" t="n">
        <x:v>0.1</x:v>
      </x:c>
      <x:c r="R449" s="34" t="n">
        <x:v>0</x:v>
      </x:c>
      <x:c r="S449" s="34" t="n">
        <x:v>0</x:v>
      </x:c>
      <x:c r="T449" s="34" t="n">
        <x:v>197.643972</x:v>
      </x:c>
      <x:c r="U449" s="34" t="str">
        <x:v>NS-EAST:SCRAP_EAF:2034|NS-KANSAI:SCRAP_EAF:2036|NS-KYUSHU:BF_RELINE:2029|NS-NAGOYA:BF_RELINE:2032|NS-SETOUCHI:SCRAP_EAF:2038</x:v>
      </x:c>
      <x:c r="V449" s="34" t="str">
        <x:v>model_generated_candidate</x:v>
      </x:c>
      <x:c r="W449" s="34" t="str">
        <x:v>Generated from disclosed-path facility calendar, technology set and template contracting assumptions; not a company-announced project</x:v>
      </x:c>
    </x:row>
    <x:row r="450">
      <x:c r="A450" s="34" t="str">
        <x:v>CAND-6F7A6BB81BEDD1</x:v>
      </x:c>
      <x:c r="B450" s="34" t="str">
        <x:v>NIPPON_STEEL_JP</x:v>
      </x:c>
      <x:c r="C450" s="34" t="str">
        <x:v>Nippon Steel</x:v>
      </x:c>
      <x:c r="D450" s="34" t="str">
        <x:v>P1</x:v>
      </x:c>
      <x:c r="E450" s="34" t="str">
        <x:v>지연·현물조달</x:v>
      </x:c>
      <x:c r="F450" s="34" t="str">
        <x:v>PORT-A6D2D89C0A6F</x:v>
      </x:c>
      <x:c r="G450" s="34" t="str">
        <x:v>DISCLOSED_PATH</x:v>
      </x:c>
      <x:c r="H450" s="34" t="n">
        <x:v>5</x:v>
      </x:c>
      <x:c r="I450" s="34" t="n">
        <x:v>2029</x:v>
      </x:c>
      <x:c r="J450" s="34" t="n">
        <x:v>2038</x:v>
      </x:c>
      <x:c r="K450" s="34" t="n">
        <x:v>0.419023</x:v>
      </x:c>
      <x:c r="L450" s="34" t="n">
        <x:v>0.388175</x:v>
      </x:c>
      <x:c r="M450" s="34" t="n">
        <x:v>0.192802</x:v>
      </x:c>
      <x:c r="N450" s="34" t="n">
        <x:v>0</x:v>
      </x:c>
      <x:c r="O450" s="34" t="n">
        <x:v>0</x:v>
      </x:c>
      <x:c r="P450" s="34" t="n">
        <x:v>0</x:v>
      </x:c>
      <x:c r="Q450" s="34" t="n">
        <x:v>0.1</x:v>
      </x:c>
      <x:c r="R450" s="34" t="n">
        <x:v>0</x:v>
      </x:c>
      <x:c r="S450" s="34" t="n">
        <x:v>0</x:v>
      </x:c>
      <x:c r="T450" s="34" t="n">
        <x:v>242.678941</x:v>
      </x:c>
      <x:c r="U450" s="34" t="str">
        <x:v>NS-EAST:SCRAP_EAF:2034|NS-KANSAI:BF_RELINE:2036|NS-KYUSHU:BF_RELINE:2029|NS-NAGOYA:SCRAP_EAF:2032|NS-SETOUCHI:H2_DRI_EAF:2038</x:v>
      </x:c>
      <x:c r="V450" s="34" t="str">
        <x:v>model_generated_candidate</x:v>
      </x:c>
      <x:c r="W450" s="34" t="str">
        <x:v>Generated from disclosed-path facility calendar, technology set and template contracting assumptions; not a company-announced project</x:v>
      </x:c>
    </x:row>
    <x:row r="451">
      <x:c r="A451" s="34" t="str">
        <x:v>CAND-70230B3A085D30</x:v>
      </x:c>
      <x:c r="B451" s="34" t="str">
        <x:v>NIPPON_STEEL_JP</x:v>
      </x:c>
      <x:c r="C451" s="34" t="str">
        <x:v>Nippon Steel</x:v>
      </x:c>
      <x:c r="D451" s="34" t="str">
        <x:v>P1</x:v>
      </x:c>
      <x:c r="E451" s="34" t="str">
        <x:v>지연·현물조달</x:v>
      </x:c>
      <x:c r="F451" s="34" t="str">
        <x:v>PORT-8246F148164E</x:v>
      </x:c>
      <x:c r="G451" s="34" t="str">
        <x:v>DISCLOSED_PATH</x:v>
      </x:c>
      <x:c r="H451" s="34" t="n">
        <x:v>5</x:v>
      </x:c>
      <x:c r="I451" s="34" t="n">
        <x:v>2029</x:v>
      </x:c>
      <x:c r="J451" s="34" t="n">
        <x:v>2038</x:v>
      </x:c>
      <x:c r="K451" s="34" t="n">
        <x:v>0.807198</x:v>
      </x:c>
      <x:c r="L451" s="34" t="n">
        <x:v>0</x:v>
      </x:c>
      <x:c r="M451" s="34" t="n">
        <x:v>0.192802</x:v>
      </x:c>
      <x:c r="N451" s="34" t="n">
        <x:v>0</x:v>
      </x:c>
      <x:c r="O451" s="34" t="n">
        <x:v>0</x:v>
      </x:c>
      <x:c r="P451" s="34" t="n">
        <x:v>0</x:v>
      </x:c>
      <x:c r="Q451" s="34" t="n">
        <x:v>0.1</x:v>
      </x:c>
      <x:c r="R451" s="34" t="n">
        <x:v>0</x:v>
      </x:c>
      <x:c r="S451" s="34" t="n">
        <x:v>0</x:v>
      </x:c>
      <x:c r="T451" s="34" t="n">
        <x:v>88.688958</x:v>
      </x:c>
      <x:c r="U451" s="34" t="str">
        <x:v>NS-EAST:BF_RELINE:2034|NS-KANSAI:BF_RELINE:2036|NS-KYUSHU:BF_RELINE:2029|NS-NAGOYA:BF_RELINE:2032|NS-SETOUCHI:H2_DRI_EAF:2038</x:v>
      </x:c>
      <x:c r="V451" s="34" t="str">
        <x:v>model_generated_candidate</x:v>
      </x:c>
      <x:c r="W451" s="34" t="str">
        <x:v>Generated from disclosed-path facility calendar, technology set and template contracting assumptions; not a company-announced project</x:v>
      </x:c>
    </x:row>
    <x:row r="452">
      <x:c r="A452" s="34" t="str">
        <x:v>CAND-71914366BFB162</x:v>
      </x:c>
      <x:c r="B452" s="34" t="str">
        <x:v>NIPPON_STEEL_JP</x:v>
      </x:c>
      <x:c r="C452" s="34" t="str">
        <x:v>Nippon Steel</x:v>
      </x:c>
      <x:c r="D452" s="34" t="str">
        <x:v>P5</x:v>
      </x:c>
      <x:c r="E452" s="34" t="str">
        <x:v>조기 계약형 전환</x:v>
      </x:c>
      <x:c r="F452" s="34" t="str">
        <x:v>PORT-8FCF862E7F6B</x:v>
      </x:c>
      <x:c r="G452" s="34" t="str">
        <x:v>DISCLOSED_PATH</x:v>
      </x:c>
      <x:c r="H452" s="34" t="n">
        <x:v>5</x:v>
      </x:c>
      <x:c r="I452" s="34" t="n">
        <x:v>2028</x:v>
      </x:c>
      <x:c r="J452" s="34" t="n">
        <x:v>2037</x:v>
      </x:c>
      <x:c r="K452" s="34" t="n">
        <x:v>0.208226</x:v>
      </x:c>
      <x:c r="L452" s="34" t="n">
        <x:v>0</x:v>
      </x:c>
      <x:c r="M452" s="34" t="n">
        <x:v>0.791774</x:v>
      </x:c>
      <x:c r="N452" s="34" t="n">
        <x:v>0</x:v>
      </x:c>
      <x:c r="O452" s="34" t="n">
        <x:v>0.7</x:v>
      </x:c>
      <x:c r="P452" s="34" t="n">
        <x:v>0.65</x:v>
      </x:c>
      <x:c r="Q452" s="34" t="n">
        <x:v>0.65</x:v>
      </x:c>
      <x:c r="R452" s="34" t="n">
        <x:v>0.6</x:v>
      </x:c>
      <x:c r="S452" s="34" t="n">
        <x:v>0.025</x:v>
      </x:c>
      <x:c r="T452" s="34" t="n">
        <x:v>468.248928</x:v>
      </x:c>
      <x:c r="U452" s="34" t="str">
        <x:v>NS-EAST:BF_RELINE:2033|NS-KANSAI:H2_DRI_EAF:2035|NS-KYUSHU:H2_DRI_EAF:2028|NS-NAGOYA:H2_DRI_EAF:2031|NS-SETOUCHI:H2_DRI_EAF:2037</x:v>
      </x:c>
      <x:c r="V452" s="34" t="str">
        <x:v>model_generated_candidate</x:v>
      </x:c>
      <x:c r="W452" s="34" t="str">
        <x:v>Generated from disclosed-path facility calendar, technology set and template contracting assumptions; not a company-announced project</x:v>
      </x:c>
    </x:row>
    <x:row r="453">
      <x:c r="A453" s="34" t="str">
        <x:v>CAND-719BBB8C7181B3</x:v>
      </x:c>
      <x:c r="B453" s="34" t="str">
        <x:v>NIPPON_STEEL_JP</x:v>
      </x:c>
      <x:c r="C453" s="34" t="str">
        <x:v>Nippon Steel</x:v>
      </x:c>
      <x:c r="D453" s="34" t="str">
        <x:v>P3</x:v>
      </x:c>
      <x:c r="E453" s="34" t="str">
        <x:v>균형형 라이트헤지</x:v>
      </x:c>
      <x:c r="F453" s="34" t="str">
        <x:v>PORT-6C2F1FF45B21</x:v>
      </x:c>
      <x:c r="G453" s="34" t="str">
        <x:v>DISCLOSED_PATH</x:v>
      </x:c>
      <x:c r="H453" s="34" t="n">
        <x:v>5</x:v>
      </x:c>
      <x:c r="I453" s="34" t="n">
        <x:v>2029</x:v>
      </x:c>
      <x:c r="J453" s="34" t="n">
        <x:v>2038</x:v>
      </x:c>
      <x:c r="K453" s="34" t="n">
        <x:v>0.192802</x:v>
      </x:c>
      <x:c r="L453" s="34" t="n">
        <x:v>0</x:v>
      </x:c>
      <x:c r="M453" s="34" t="n">
        <x:v>0.807198</x:v>
      </x:c>
      <x:c r="N453" s="34" t="n">
        <x:v>0</x:v>
      </x:c>
      <x:c r="O453" s="34" t="n">
        <x:v>0.3</x:v>
      </x:c>
      <x:c r="P453" s="34" t="n">
        <x:v>0.25</x:v>
      </x:c>
      <x:c r="Q453" s="34" t="n">
        <x:v>0.35</x:v>
      </x:c>
      <x:c r="R453" s="34" t="n">
        <x:v>0.25</x:v>
      </x:c>
      <x:c r="S453" s="34" t="n">
        <x:v>0.015</x:v>
      </x:c>
      <x:c r="T453" s="34" t="n">
        <x:v>468.298944</x:v>
      </x:c>
      <x:c r="U453" s="34" t="str">
        <x:v>NS-EAST:H2_DRI_EAF:2034|NS-KANSAI:H2_DRI_EAF:2036|NS-KYUSHU:H2_DRI_EAF:2029|NS-NAGOYA:H2_DRI_EAF:2032|NS-SETOUCHI:BF_RELINE:2038</x:v>
      </x:c>
      <x:c r="V453" s="34" t="str">
        <x:v>model_generated_candidate</x:v>
      </x:c>
      <x:c r="W453" s="34" t="str">
        <x:v>Generated from disclosed-path facility calendar, technology set and template contracting assumptions; not a company-announced project</x:v>
      </x:c>
    </x:row>
    <x:row r="454">
      <x:c r="A454" s="34" t="str">
        <x:v>CAND-71FE5544DBE75F</x:v>
      </x:c>
      <x:c r="B454" s="34" t="str">
        <x:v>NIPPON_STEEL_JP</x:v>
      </x:c>
      <x:c r="C454" s="34" t="str">
        <x:v>Nippon Steel</x:v>
      </x:c>
      <x:c r="D454" s="34" t="str">
        <x:v>P1</x:v>
      </x:c>
      <x:c r="E454" s="34" t="str">
        <x:v>지연·현물조달</x:v>
      </x:c>
      <x:c r="F454" s="34" t="str">
        <x:v>PORT-BAF12D5DE4DB</x:v>
      </x:c>
      <x:c r="G454" s="34" t="str">
        <x:v>DISCLOSED_PATH</x:v>
      </x:c>
      <x:c r="H454" s="34" t="n">
        <x:v>5</x:v>
      </x:c>
      <x:c r="I454" s="34" t="n">
        <x:v>2029</x:v>
      </x:c>
      <x:c r="J454" s="34" t="n">
        <x:v>2038</x:v>
      </x:c>
      <x:c r="K454" s="34" t="n">
        <x:v>0.465296</x:v>
      </x:c>
      <x:c r="L454" s="34" t="n">
        <x:v>0.354756</x:v>
      </x:c>
      <x:c r="M454" s="34" t="n">
        <x:v>0.179949</x:v>
      </x:c>
      <x:c r="N454" s="34" t="n">
        <x:v>0</x:v>
      </x:c>
      <x:c r="O454" s="34" t="n">
        <x:v>0</x:v>
      </x:c>
      <x:c r="P454" s="34" t="n">
        <x:v>0</x:v>
      </x:c>
      <x:c r="Q454" s="34" t="n">
        <x:v>0.1</x:v>
      </x:c>
      <x:c r="R454" s="34" t="n">
        <x:v>0</x:v>
      </x:c>
      <x:c r="S454" s="34" t="n">
        <x:v>0</x:v>
      </x:c>
      <x:c r="T454" s="34" t="n">
        <x:v>219.423932</x:v>
      </x:c>
      <x:c r="U454" s="34" t="str">
        <x:v>NS-EAST:BF_RELINE:2034|NS-KANSAI:SCRAP_EAF:2036|NS-KYUSHU:BF_RELINE:2029|NS-NAGOYA:H2_DRI_EAF:2032|NS-SETOUCHI:SCRAP_EAF:2038</x:v>
      </x:c>
      <x:c r="V454" s="34" t="str">
        <x:v>model_generated_candidate</x:v>
      </x:c>
      <x:c r="W454" s="34" t="str">
        <x:v>Generated from disclosed-path facility calendar, technology set and template contracting assumptions; not a company-announced project</x:v>
      </x:c>
    </x:row>
    <x:row r="455">
      <x:c r="A455" s="34" t="str">
        <x:v>CAND-721754AF117F4D</x:v>
      </x:c>
      <x:c r="B455" s="34" t="str">
        <x:v>NIPPON_STEEL_JP</x:v>
      </x:c>
      <x:c r="C455" s="34" t="str">
        <x:v>Nippon Steel</x:v>
      </x:c>
      <x:c r="D455" s="34" t="str">
        <x:v>P2</x:v>
      </x:c>
      <x:c r="E455" s="34" t="str">
        <x:v>지연·부분헤지</x:v>
      </x:c>
      <x:c r="F455" s="34" t="str">
        <x:v>PORT-A4A46F7A08A6</x:v>
      </x:c>
      <x:c r="G455" s="34" t="str">
        <x:v>DISCLOSED_PATH</x:v>
      </x:c>
      <x:c r="H455" s="34" t="n">
        <x:v>5</x:v>
      </x:c>
      <x:c r="I455" s="34" t="n">
        <x:v>2029</x:v>
      </x:c>
      <x:c r="J455" s="34" t="n">
        <x:v>2038</x:v>
      </x:c>
      <x:c r="K455" s="34" t="n">
        <x:v>0.192802</x:v>
      </x:c>
      <x:c r="L455" s="34" t="n">
        <x:v>0.388175</x:v>
      </x:c>
      <x:c r="M455" s="34" t="n">
        <x:v>0.419023</x:v>
      </x:c>
      <x:c r="N455" s="34" t="n">
        <x:v>0</x:v>
      </x:c>
      <x:c r="O455" s="34" t="n">
        <x:v>0.15</x:v>
      </x:c>
      <x:c r="P455" s="34" t="n">
        <x:v>0.1</x:v>
      </x:c>
      <x:c r="Q455" s="34" t="n">
        <x:v>0.2</x:v>
      </x:c>
      <x:c r="R455" s="34" t="n">
        <x:v>0.1</x:v>
      </x:c>
      <x:c r="S455" s="34" t="n">
        <x:v>0.01</x:v>
      </x:c>
      <x:c r="T455" s="34" t="n">
        <x:v>441.748947</x:v>
      </x:c>
      <x:c r="U455" s="34" t="str">
        <x:v>NS-EAST:SCRAP_EAF:2034|NS-KANSAI:H2_DRI_EAF:2036|NS-KYUSHU:H2_DRI_EAF:2029|NS-NAGOYA:SCRAP_EAF:2032|NS-SETOUCHI:BF_RELINE:2038</x:v>
      </x:c>
      <x:c r="V455" s="34" t="str">
        <x:v>model_generated_candidate</x:v>
      </x:c>
      <x:c r="W455" s="34" t="str">
        <x:v>Generated from disclosed-path facility calendar, technology set and template contracting assumptions; not a company-announced project</x:v>
      </x:c>
    </x:row>
    <x:row r="456">
      <x:c r="A456" s="34" t="str">
        <x:v>CAND-732D9F6FD998DB</x:v>
      </x:c>
      <x:c r="B456" s="34" t="str">
        <x:v>NIPPON_STEEL_JP</x:v>
      </x:c>
      <x:c r="C456" s="34" t="str">
        <x:v>Nippon Steel</x:v>
      </x:c>
      <x:c r="D456" s="34" t="str">
        <x:v>P1</x:v>
      </x:c>
      <x:c r="E456" s="34" t="str">
        <x:v>지연·현물조달</x:v>
      </x:c>
      <x:c r="F456" s="34" t="str">
        <x:v>PORT-AA677CCE073D</x:v>
      </x:c>
      <x:c r="G456" s="34" t="str">
        <x:v>DISCLOSED_PATH</x:v>
      </x:c>
      <x:c r="H456" s="34" t="n">
        <x:v>5</x:v>
      </x:c>
      <x:c r="I456" s="34" t="n">
        <x:v>2029</x:v>
      </x:c>
      <x:c r="J456" s="34" t="n">
        <x:v>2038</x:v>
      </x:c>
      <x:c r="K456" s="34" t="n">
        <x:v>0.534704</x:v>
      </x:c>
      <x:c r="L456" s="34" t="n">
        <x:v>0</x:v>
      </x:c>
      <x:c r="M456" s="34" t="n">
        <x:v>0.465296</x:v>
      </x:c>
      <x:c r="N456" s="34" t="n">
        <x:v>0</x:v>
      </x:c>
      <x:c r="O456" s="34" t="n">
        <x:v>0</x:v>
      </x:c>
      <x:c r="P456" s="34" t="n">
        <x:v>0</x:v>
      </x:c>
      <x:c r="Q456" s="34" t="n">
        <x:v>0.1</x:v>
      </x:c>
      <x:c r="R456" s="34" t="n">
        <x:v>0</x:v>
      </x:c>
      <x:c r="S456" s="34" t="n">
        <x:v>0</x:v>
      </x:c>
      <x:c r="T456" s="34" t="n">
        <x:v>325.838969</x:v>
      </x:c>
      <x:c r="U456" s="34" t="str">
        <x:v>NS-EAST:H2_DRI_EAF:2034|NS-KANSAI:BF_RELINE:2036|NS-KYUSHU:H2_DRI_EAF:2029|NS-NAGOYA:BF_RELINE:2032|NS-SETOUCHI:BF_RELINE:2038</x:v>
      </x:c>
      <x:c r="V456" s="34" t="str">
        <x:v>model_generated_candidate</x:v>
      </x:c>
      <x:c r="W456" s="34" t="str">
        <x:v>Generated from disclosed-path facility calendar, technology set and template contracting assumptions; not a company-announced project</x:v>
      </x:c>
    </x:row>
    <x:row r="457">
      <x:c r="A457" s="34" t="str">
        <x:v>CAND-73FBF939F237E6</x:v>
      </x:c>
      <x:c r="B457" s="34" t="str">
        <x:v>NIPPON_STEEL_JP</x:v>
      </x:c>
      <x:c r="C457" s="34" t="str">
        <x:v>Nippon Steel</x:v>
      </x:c>
      <x:c r="D457" s="34" t="str">
        <x:v>P2</x:v>
      </x:c>
      <x:c r="E457" s="34" t="str">
        <x:v>지연·부분헤지</x:v>
      </x:c>
      <x:c r="F457" s="34" t="str">
        <x:v>PORT-92BAA222AC4A</x:v>
      </x:c>
      <x:c r="G457" s="34" t="str">
        <x:v>DISCLOSED_PATH</x:v>
      </x:c>
      <x:c r="H457" s="34" t="n">
        <x:v>5</x:v>
      </x:c>
      <x:c r="I457" s="34" t="n">
        <x:v>2029</x:v>
      </x:c>
      <x:c r="J457" s="34" t="n">
        <x:v>2038</x:v>
      </x:c>
      <x:c r="K457" s="34" t="n">
        <x:v>0.179949</x:v>
      </x:c>
      <x:c r="L457" s="34" t="n">
        <x:v>0.465296</x:v>
      </x:c>
      <x:c r="M457" s="34" t="n">
        <x:v>0.354756</x:v>
      </x:c>
      <x:c r="N457" s="34" t="n">
        <x:v>0</x:v>
      </x:c>
      <x:c r="O457" s="34" t="n">
        <x:v>0.15</x:v>
      </x:c>
      <x:c r="P457" s="34" t="n">
        <x:v>0.1</x:v>
      </x:c>
      <x:c r="Q457" s="34" t="n">
        <x:v>0.2</x:v>
      </x:c>
      <x:c r="R457" s="34" t="n">
        <x:v>0.1</x:v>
      </x:c>
      <x:c r="S457" s="34" t="n">
        <x:v>0.01</x:v>
      </x:c>
      <x:c r="T457" s="34" t="n">
        <x:v>365.968973</x:v>
      </x:c>
      <x:c r="U457" s="34" t="str">
        <x:v>NS-EAST:SCRAP_EAF:2034|NS-KANSAI:H2_DRI_EAF:2036|NS-KYUSHU:SCRAP_EAF:2029|NS-NAGOYA:BF_RELINE:2032|NS-SETOUCHI:H2_DRI_EAF:2038</x:v>
      </x:c>
      <x:c r="V457" s="34" t="str">
        <x:v>model_generated_candidate</x:v>
      </x:c>
      <x:c r="W457" s="34" t="str">
        <x:v>Generated from disclosed-path facility calendar, technology set and template contracting assumptions; not a company-announced project</x:v>
      </x:c>
    </x:row>
    <x:row r="458">
      <x:c r="A458" s="34" t="str">
        <x:v>CAND-7400D0EA735D98</x:v>
      </x:c>
      <x:c r="B458" s="34" t="str">
        <x:v>NIPPON_STEEL_JP</x:v>
      </x:c>
      <x:c r="C458" s="34" t="str">
        <x:v>Nippon Steel</x:v>
      </x:c>
      <x:c r="D458" s="34" t="str">
        <x:v>P3</x:v>
      </x:c>
      <x:c r="E458" s="34" t="str">
        <x:v>균형형 라이트헤지</x:v>
      </x:c>
      <x:c r="F458" s="34" t="str">
        <x:v>PORT-6742936593A9</x:v>
      </x:c>
      <x:c r="G458" s="34" t="str">
        <x:v>DISCLOSED_PATH</x:v>
      </x:c>
      <x:c r="H458" s="34" t="n">
        <x:v>5</x:v>
      </x:c>
      <x:c r="I458" s="34" t="n">
        <x:v>2029</x:v>
      </x:c>
      <x:c r="J458" s="34" t="n">
        <x:v>2038</x:v>
      </x:c>
      <x:c r="K458" s="34" t="n">
        <x:v>0</x:v>
      </x:c>
      <x:c r="L458" s="34" t="n">
        <x:v>0.62982</x:v>
      </x:c>
      <x:c r="M458" s="34" t="n">
        <x:v>0.37018</x:v>
      </x:c>
      <x:c r="N458" s="34" t="n">
        <x:v>0</x:v>
      </x:c>
      <x:c r="O458" s="34" t="n">
        <x:v>0.3</x:v>
      </x:c>
      <x:c r="P458" s="34" t="n">
        <x:v>0.25</x:v>
      </x:c>
      <x:c r="Q458" s="34" t="n">
        <x:v>0.35</x:v>
      </x:c>
      <x:c r="R458" s="34" t="n">
        <x:v>0.25</x:v>
      </x:c>
      <x:c r="S458" s="34" t="n">
        <x:v>0.015</x:v>
      </x:c>
      <x:c r="T458" s="34" t="n">
        <x:v>454.753949</x:v>
      </x:c>
      <x:c r="U458" s="34" t="str">
        <x:v>NS-EAST:H2_DRI_EAF:2034|NS-KANSAI:H2_DRI_EAF:2036|NS-KYUSHU:SCRAP_EAF:2029|NS-NAGOYA:SCRAP_EAF:2032|NS-SETOUCHI:SCRAP_EAF:2038</x:v>
      </x:c>
      <x:c r="V458" s="34" t="str">
        <x:v>model_generated_candidate</x:v>
      </x:c>
      <x:c r="W458" s="34" t="str">
        <x:v>Generated from disclosed-path facility calendar, technology set and template contracting assumptions; not a company-announced project</x:v>
      </x:c>
    </x:row>
    <x:row r="459">
      <x:c r="A459" s="34" t="str">
        <x:v>CAND-7431CBC596FC03</x:v>
      </x:c>
      <x:c r="B459" s="34" t="str">
        <x:v>NIPPON_STEEL_JP</x:v>
      </x:c>
      <x:c r="C459" s="34" t="str">
        <x:v>Nippon Steel</x:v>
      </x:c>
      <x:c r="D459" s="34" t="str">
        <x:v>P1</x:v>
      </x:c>
      <x:c r="E459" s="34" t="str">
        <x:v>지연·현물조달</x:v>
      </x:c>
      <x:c r="F459" s="34" t="str">
        <x:v>PORT-7CA9F3BA0776</x:v>
      </x:c>
      <x:c r="G459" s="34" t="str">
        <x:v>DISCLOSED_PATH</x:v>
      </x:c>
      <x:c r="H459" s="34" t="n">
        <x:v>5</x:v>
      </x:c>
      <x:c r="I459" s="34" t="n">
        <x:v>2029</x:v>
      </x:c>
      <x:c r="J459" s="34" t="n">
        <x:v>2038</x:v>
      </x:c>
      <x:c r="K459" s="34" t="n">
        <x:v>0</x:v>
      </x:c>
      <x:c r="L459" s="34" t="n">
        <x:v>0.257069</x:v>
      </x:c>
      <x:c r="M459" s="34" t="n">
        <x:v>0.742931</x:v>
      </x:c>
      <x:c r="N459" s="34" t="n">
        <x:v>0</x:v>
      </x:c>
      <x:c r="O459" s="34" t="n">
        <x:v>0</x:v>
      </x:c>
      <x:c r="P459" s="34" t="n">
        <x:v>0</x:v>
      </x:c>
      <x:c r="Q459" s="34" t="n">
        <x:v>0.1</x:v>
      </x:c>
      <x:c r="R459" s="34" t="n">
        <x:v>0</x:v>
      </x:c>
      <x:c r="S459" s="34" t="n">
        <x:v>0</x:v>
      </x:c>
      <x:c r="T459" s="34" t="n">
        <x:v>473.428944</x:v>
      </x:c>
      <x:c r="U459" s="34" t="str">
        <x:v>NS-EAST:H2_DRI_EAF:2034|NS-KANSAI:H2_DRI_EAF:2036|NS-KYUSHU:SCRAP_EAF:2029|NS-NAGOYA:H2_DRI_EAF:2032|NS-SETOUCHI:H2_DRI_EAF:2038</x:v>
      </x:c>
      <x:c r="V459" s="34" t="str">
        <x:v>model_generated_candidate</x:v>
      </x:c>
      <x:c r="W459" s="34" t="str">
        <x:v>Generated from disclosed-path facility calendar, technology set and template contracting assumptions; not a company-announced project</x:v>
      </x:c>
    </x:row>
    <x:row r="460">
      <x:c r="A460" s="34" t="str">
        <x:v>CAND-750D387FA61FDF</x:v>
      </x:c>
      <x:c r="B460" s="34" t="str">
        <x:v>NIPPON_STEEL_JP</x:v>
      </x:c>
      <x:c r="C460" s="34" t="str">
        <x:v>Nippon Steel</x:v>
      </x:c>
      <x:c r="D460" s="34" t="str">
        <x:v>P5</x:v>
      </x:c>
      <x:c r="E460" s="34" t="str">
        <x:v>조기 계약형 전환</x:v>
      </x:c>
      <x:c r="F460" s="34" t="str">
        <x:v>PORT-9FA69A5377EE</x:v>
      </x:c>
      <x:c r="G460" s="34" t="str">
        <x:v>DISCLOSED_PATH</x:v>
      </x:c>
      <x:c r="H460" s="34" t="n">
        <x:v>5</x:v>
      </x:c>
      <x:c r="I460" s="34" t="n">
        <x:v>2028</x:v>
      </x:c>
      <x:c r="J460" s="34" t="n">
        <x:v>2037</x:v>
      </x:c>
      <x:c r="K460" s="34" t="n">
        <x:v>0</x:v>
      </x:c>
      <x:c r="L460" s="34" t="n">
        <x:v>0.192802</x:v>
      </x:c>
      <x:c r="M460" s="34" t="n">
        <x:v>0.807198</x:v>
      </x:c>
      <x:c r="N460" s="34" t="n">
        <x:v>0</x:v>
      </x:c>
      <x:c r="O460" s="34" t="n">
        <x:v>0.7</x:v>
      </x:c>
      <x:c r="P460" s="34" t="n">
        <x:v>0.65</x:v>
      </x:c>
      <x:c r="Q460" s="34" t="n">
        <x:v>0.65</x:v>
      </x:c>
      <x:c r="R460" s="34" t="n">
        <x:v>0.6</x:v>
      </x:c>
      <x:c r="S460" s="34" t="n">
        <x:v>0.025</x:v>
      </x:c>
      <x:c r="T460" s="34" t="n">
        <x:v>559.868941</x:v>
      </x:c>
      <x:c r="U460" s="34" t="str">
        <x:v>NS-EAST:H2_DRI_EAF:2033|NS-KANSAI:H2_DRI_EAF:2035|NS-KYUSHU:H2_DRI_EAF:2028|NS-NAGOYA:H2_DRI_EAF:2031|NS-SETOUCHI:SCRAP_EAF:2037</x:v>
      </x:c>
      <x:c r="V460" s="34" t="str">
        <x:v>model_generated_candidate</x:v>
      </x:c>
      <x:c r="W460" s="34" t="str">
        <x:v>Generated from disclosed-path facility calendar, technology set and template contracting assumptions; not a company-announced project</x:v>
      </x:c>
    </x:row>
    <x:row r="461">
      <x:c r="A461" s="34" t="str">
        <x:v>CAND-752750BD519814</x:v>
      </x:c>
      <x:c r="B461" s="34" t="str">
        <x:v>NIPPON_STEEL_JP</x:v>
      </x:c>
      <x:c r="C461" s="34" t="str">
        <x:v>Nippon Steel</x:v>
      </x:c>
      <x:c r="D461" s="34" t="str">
        <x:v>P1</x:v>
      </x:c>
      <x:c r="E461" s="34" t="str">
        <x:v>지연·현물조달</x:v>
      </x:c>
      <x:c r="F461" s="34" t="str">
        <x:v>PORT-760BEDA2ECE0</x:v>
      </x:c>
      <x:c r="G461" s="34" t="str">
        <x:v>DISCLOSED_PATH</x:v>
      </x:c>
      <x:c r="H461" s="34" t="n">
        <x:v>5</x:v>
      </x:c>
      <x:c r="I461" s="34" t="n">
        <x:v>2029</x:v>
      </x:c>
      <x:c r="J461" s="34" t="n">
        <x:v>2038</x:v>
      </x:c>
      <x:c r="K461" s="34" t="n">
        <x:v>0.341902</x:v>
      </x:c>
      <x:c r="L461" s="34" t="n">
        <x:v>0.449871</x:v>
      </x:c>
      <x:c r="M461" s="34" t="n">
        <x:v>0.208226</x:v>
      </x:c>
      <x:c r="N461" s="34" t="n">
        <x:v>0</x:v>
      </x:c>
      <x:c r="O461" s="34" t="n">
        <x:v>0</x:v>
      </x:c>
      <x:c r="P461" s="34" t="n">
        <x:v>0</x:v>
      </x:c>
      <x:c r="Q461" s="34" t="n">
        <x:v>0.1</x:v>
      </x:c>
      <x:c r="R461" s="34" t="n">
        <x:v>0</x:v>
      </x:c>
      <x:c r="S461" s="34" t="n">
        <x:v>0</x:v>
      </x:c>
      <x:c r="T461" s="34" t="n">
        <x:v>326.243969</x:v>
      </x:c>
      <x:c r="U461" s="34" t="str">
        <x:v>NS-EAST:H2_DRI_EAF:2034|NS-KANSAI:BF_RELINE:2036|NS-KYUSHU:SCRAP_EAF:2029|NS-NAGOYA:BF_RELINE:2032|NS-SETOUCHI:SCRAP_EAF:2038</x:v>
      </x:c>
      <x:c r="V461" s="34" t="str">
        <x:v>model_generated_candidate</x:v>
      </x:c>
      <x:c r="W461" s="34" t="str">
        <x:v>Generated from disclosed-path facility calendar, technology set and template contracting assumptions; not a company-announced project</x:v>
      </x:c>
    </x:row>
    <x:row r="462">
      <x:c r="A462" s="34" t="str">
        <x:v>CAND-7727C1F7EA7BF8</x:v>
      </x:c>
      <x:c r="B462" s="34" t="str">
        <x:v>NIPPON_STEEL_JP</x:v>
      </x:c>
      <x:c r="C462" s="34" t="str">
        <x:v>Nippon Steel</x:v>
      </x:c>
      <x:c r="D462" s="34" t="str">
        <x:v>P1</x:v>
      </x:c>
      <x:c r="E462" s="34" t="str">
        <x:v>지연·현물조달</x:v>
      </x:c>
      <x:c r="F462" s="34" t="str">
        <x:v>PORT-265CE4378B75</x:v>
      </x:c>
      <x:c r="G462" s="34" t="str">
        <x:v>DISCLOSED_PATH</x:v>
      </x:c>
      <x:c r="H462" s="34" t="n">
        <x:v>5</x:v>
      </x:c>
      <x:c r="I462" s="34" t="n">
        <x:v>2029</x:v>
      </x:c>
      <x:c r="J462" s="34" t="n">
        <x:v>2038</x:v>
      </x:c>
      <x:c r="K462" s="34" t="n">
        <x:v>0</x:v>
      </x:c>
      <x:c r="L462" s="34" t="n">
        <x:v>0</x:v>
      </x:c>
      <x:c r="M462" s="34" t="n">
        <x:v>1</x:v>
      </x:c>
      <x:c r="N462" s="34" t="n">
        <x:v>0</x:v>
      </x:c>
      <x:c r="O462" s="34" t="n">
        <x:v>0</x:v>
      </x:c>
      <x:c r="P462" s="34" t="n">
        <x:v>0</x:v>
      </x:c>
      <x:c r="Q462" s="34" t="n">
        <x:v>0.1</x:v>
      </x:c>
      <x:c r="R462" s="34" t="n">
        <x:v>0</x:v>
      </x:c>
      <x:c r="S462" s="34" t="n">
        <x:v>0</x:v>
      </x:c>
      <x:c r="T462" s="34" t="n">
        <x:v>500.428944</x:v>
      </x:c>
      <x:c r="U462" s="34" t="str">
        <x:v>NS-EAST:H2_DRI_EAF:2034|NS-KANSAI:H2_DRI_EAF:2036|NS-KYUSHU:H2_DRI_EAF:2029|NS-NAGOYA:H2_DRI_EAF:2032|NS-SETOUCHI:H2_DRI_EAF:2038</x:v>
      </x:c>
      <x:c r="V462" s="34" t="str">
        <x:v>model_generated_candidate</x:v>
      </x:c>
      <x:c r="W462" s="34" t="str">
        <x:v>Generated from disclosed-path facility calendar, technology set and template contracting assumptions; not a company-announced project</x:v>
      </x:c>
    </x:row>
    <x:row r="463">
      <x:c r="A463" s="34" t="str">
        <x:v>CAND-7767EB9541BCCC</x:v>
      </x:c>
      <x:c r="B463" s="34" t="str">
        <x:v>NIPPON_STEEL_JP</x:v>
      </x:c>
      <x:c r="C463" s="34" t="str">
        <x:v>Nippon Steel</x:v>
      </x:c>
      <x:c r="D463" s="34" t="str">
        <x:v>P4</x:v>
      </x:c>
      <x:c r="E463" s="34" t="str">
        <x:v>균형형 전환</x:v>
      </x:c>
      <x:c r="F463" s="34" t="str">
        <x:v>PORT-216E4B3158C6</x:v>
      </x:c>
      <x:c r="G463" s="34" t="str">
        <x:v>DISCLOSED_PATH</x:v>
      </x:c>
      <x:c r="H463" s="34" t="n">
        <x:v>5</x:v>
      </x:c>
      <x:c r="I463" s="34" t="n">
        <x:v>2028</x:v>
      </x:c>
      <x:c r="J463" s="34" t="n">
        <x:v>2037</x:v>
      </x:c>
      <x:c r="K463" s="34" t="n">
        <x:v>0</x:v>
      </x:c>
      <x:c r="L463" s="34" t="n">
        <x:v>0.179949</x:v>
      </x:c>
      <x:c r="M463" s="34" t="n">
        <x:v>0.820051</x:v>
      </x:c>
      <x:c r="N463" s="34" t="n">
        <x:v>0</x:v>
      </x:c>
      <x:c r="O463" s="34" t="n">
        <x:v>0.5</x:v>
      </x:c>
      <x:c r="P463" s="34" t="n">
        <x:v>0.45</x:v>
      </x:c>
      <x:c r="Q463" s="34" t="n">
        <x:v>0.5</x:v>
      </x:c>
      <x:c r="R463" s="34" t="n">
        <x:v>0.4</x:v>
      </x:c>
      <x:c r="S463" s="34" t="n">
        <x:v>0.02</x:v>
      </x:c>
      <x:c r="T463" s="34" t="n">
        <x:v>550.668946</x:v>
      </x:c>
      <x:c r="U463" s="34" t="str">
        <x:v>NS-EAST:H2_DRI_EAF:2033|NS-KANSAI:H2_DRI_EAF:2035|NS-KYUSHU:H2_DRI_EAF:2028|NS-NAGOYA:SCRAP_EAF:2031|NS-SETOUCHI:H2_DRI_EAF:2037</x:v>
      </x:c>
      <x:c r="V463" s="34" t="str">
        <x:v>model_generated_candidate</x:v>
      </x:c>
      <x:c r="W463" s="34" t="str">
        <x:v>Generated from disclosed-path facility calendar, technology set and template contracting assumptions; not a company-announced project</x:v>
      </x:c>
    </x:row>
    <x:row r="464">
      <x:c r="A464" s="34" t="str">
        <x:v>CAND-776E74DB49B497</x:v>
      </x:c>
      <x:c r="B464" s="34" t="str">
        <x:v>NIPPON_STEEL_JP</x:v>
      </x:c>
      <x:c r="C464" s="34" t="str">
        <x:v>Nippon Steel</x:v>
      </x:c>
      <x:c r="D464" s="34" t="str">
        <x:v>P1</x:v>
      </x:c>
      <x:c r="E464" s="34" t="str">
        <x:v>지연·현물조달</x:v>
      </x:c>
      <x:c r="F464" s="34" t="str">
        <x:v>PORT-B74BBC92FC01</x:v>
      </x:c>
      <x:c r="G464" s="34" t="str">
        <x:v>DISCLOSED_PATH</x:v>
      </x:c>
      <x:c r="H464" s="34" t="n">
        <x:v>5</x:v>
      </x:c>
      <x:c r="I464" s="34" t="n">
        <x:v>2029</x:v>
      </x:c>
      <x:c r="J464" s="34" t="n">
        <x:v>2038</x:v>
      </x:c>
      <x:c r="K464" s="34" t="n">
        <x:v>0.208226</x:v>
      </x:c>
      <x:c r="L464" s="34" t="n">
        <x:v>0.534704</x:v>
      </x:c>
      <x:c r="M464" s="34" t="n">
        <x:v>0.257069</x:v>
      </x:c>
      <x:c r="N464" s="34" t="n">
        <x:v>0</x:v>
      </x:c>
      <x:c r="O464" s="34" t="n">
        <x:v>0</x:v>
      </x:c>
      <x:c r="P464" s="34" t="n">
        <x:v>0</x:v>
      </x:c>
      <x:c r="Q464" s="34" t="n">
        <x:v>0.1</x:v>
      </x:c>
      <x:c r="R464" s="34" t="n">
        <x:v>0</x:v>
      </x:c>
      <x:c r="S464" s="34" t="n">
        <x:v>0</x:v>
      </x:c>
      <x:c r="T464" s="34" t="n">
        <x:v>389.073937</x:v>
      </x:c>
      <x:c r="U464" s="34" t="str">
        <x:v>NS-EAST:BF_RELINE:2034|NS-KANSAI:SCRAP_EAF:2036|NS-KYUSHU:H2_DRI_EAF:2029|NS-NAGOYA:SCRAP_EAF:2032|NS-SETOUCHI:SCRAP_EAF:2038</x:v>
      </x:c>
      <x:c r="V464" s="34" t="str">
        <x:v>model_generated_candidate</x:v>
      </x:c>
      <x:c r="W464" s="34" t="str">
        <x:v>Generated from disclosed-path facility calendar, technology set and template contracting assumptions; not a company-announced project</x:v>
      </x:c>
    </x:row>
    <x:row r="465">
      <x:c r="A465" s="34" t="str">
        <x:v>CAND-786225919E12C4</x:v>
      </x:c>
      <x:c r="B465" s="34" t="str">
        <x:v>NIPPON_STEEL_JP</x:v>
      </x:c>
      <x:c r="C465" s="34" t="str">
        <x:v>Nippon Steel</x:v>
      </x:c>
      <x:c r="D465" s="34" t="str">
        <x:v>P1</x:v>
      </x:c>
      <x:c r="E465" s="34" t="str">
        <x:v>지연·현물조달</x:v>
      </x:c>
      <x:c r="F465" s="34" t="str">
        <x:v>PORT-921D4BD7C0AA</x:v>
      </x:c>
      <x:c r="G465" s="34" t="str">
        <x:v>DISCLOSED_PATH</x:v>
      </x:c>
      <x:c r="H465" s="34" t="n">
        <x:v>5</x:v>
      </x:c>
      <x:c r="I465" s="34" t="n">
        <x:v>2029</x:v>
      </x:c>
      <x:c r="J465" s="34" t="n">
        <x:v>2038</x:v>
      </x:c>
      <x:c r="K465" s="34" t="n">
        <x:v>0.388175</x:v>
      </x:c>
      <x:c r="L465" s="34" t="n">
        <x:v>0.161954</x:v>
      </x:c>
      <x:c r="M465" s="34" t="n">
        <x:v>0.449871</x:v>
      </x:c>
      <x:c r="N465" s="34" t="n">
        <x:v>0</x:v>
      </x:c>
      <x:c r="O465" s="34" t="n">
        <x:v>0</x:v>
      </x:c>
      <x:c r="P465" s="34" t="n">
        <x:v>0</x:v>
      </x:c>
      <x:c r="Q465" s="34" t="n">
        <x:v>0.1</x:v>
      </x:c>
      <x:c r="R465" s="34" t="n">
        <x:v>0</x:v>
      </x:c>
      <x:c r="S465" s="34" t="n">
        <x:v>0</x:v>
      </x:c>
      <x:c r="T465" s="34" t="n">
        <x:v>312.888963</x:v>
      </x:c>
      <x:c r="U465" s="34" t="str">
        <x:v>NS-EAST:BF_RELINE:2034|NS-KANSAI:SCRAP_EAF:2036|NS-KYUSHU:H2_DRI_EAF:2029|NS-NAGOYA:BF_RELINE:2032|NS-SETOUCHI:H2_DRI_EAF:2038</x:v>
      </x:c>
      <x:c r="V465" s="34" t="str">
        <x:v>model_generated_candidate</x:v>
      </x:c>
      <x:c r="W465" s="34" t="str">
        <x:v>Generated from disclosed-path facility calendar, technology set and template contracting assumptions; not a company-announced project</x:v>
      </x:c>
    </x:row>
    <x:row r="466">
      <x:c r="A466" s="34" t="str">
        <x:v>CAND-787BCACFFBBFEC</x:v>
      </x:c>
      <x:c r="B466" s="34" t="str">
        <x:v>NIPPON_STEEL_JP</x:v>
      </x:c>
      <x:c r="C466" s="34" t="str">
        <x:v>Nippon Steel</x:v>
      </x:c>
      <x:c r="D466" s="34" t="str">
        <x:v>P1</x:v>
      </x:c>
      <x:c r="E466" s="34" t="str">
        <x:v>지연·현물조달</x:v>
      </x:c>
      <x:c r="F466" s="34" t="str">
        <x:v>PORT-271F6DA1D846</x:v>
      </x:c>
      <x:c r="G466" s="34" t="str">
        <x:v>DISCLOSED_PATH</x:v>
      </x:c>
      <x:c r="H466" s="34" t="n">
        <x:v>5</x:v>
      </x:c>
      <x:c r="I466" s="34" t="n">
        <x:v>2029</x:v>
      </x:c>
      <x:c r="J466" s="34" t="n">
        <x:v>2038</x:v>
      </x:c>
      <x:c r="K466" s="34" t="n">
        <x:v>0.257069</x:v>
      </x:c>
      <x:c r="L466" s="34" t="n">
        <x:v>0.37018</x:v>
      </x:c>
      <x:c r="M466" s="34" t="n">
        <x:v>0.372751</x:v>
      </x:c>
      <x:c r="N466" s="34" t="n">
        <x:v>0</x:v>
      </x:c>
      <x:c r="O466" s="34" t="n">
        <x:v>0</x:v>
      </x:c>
      <x:c r="P466" s="34" t="n">
        <x:v>0</x:v>
      </x:c>
      <x:c r="Q466" s="34" t="n">
        <x:v>0.1</x:v>
      </x:c>
      <x:c r="R466" s="34" t="n">
        <x:v>0</x:v>
      </x:c>
      <x:c r="S466" s="34" t="n">
        <x:v>0</x:v>
      </x:c>
      <x:c r="T466" s="34" t="n">
        <x:v>297.228942</x:v>
      </x:c>
      <x:c r="U466" s="34" t="str">
        <x:v>NS-EAST:SCRAP_EAF:2034|NS-KANSAI:SCRAP_EAF:2036|NS-KYUSHU:BF_RELINE:2029|NS-NAGOYA:H2_DRI_EAF:2032|NS-SETOUCHI:H2_DRI_EAF:2038</x:v>
      </x:c>
      <x:c r="V466" s="34" t="str">
        <x:v>model_generated_candidate</x:v>
      </x:c>
      <x:c r="W466" s="34" t="str">
        <x:v>Generated from disclosed-path facility calendar, technology set and template contracting assumptions; not a company-announced project</x:v>
      </x:c>
    </x:row>
    <x:row r="467">
      <x:c r="A467" s="34" t="str">
        <x:v>CAND-78FE435E00D669</x:v>
      </x:c>
      <x:c r="B467" s="34" t="str">
        <x:v>NIPPON_STEEL_JP</x:v>
      </x:c>
      <x:c r="C467" s="34" t="str">
        <x:v>Nippon Steel</x:v>
      </x:c>
      <x:c r="D467" s="34" t="str">
        <x:v>P3</x:v>
      </x:c>
      <x:c r="E467" s="34" t="str">
        <x:v>균형형 라이트헤지</x:v>
      </x:c>
      <x:c r="F467" s="34" t="str">
        <x:v>PORT-6F42E9590CB3</x:v>
      </x:c>
      <x:c r="G467" s="34" t="str">
        <x:v>DISCLOSED_PATH</x:v>
      </x:c>
      <x:c r="H467" s="34" t="n">
        <x:v>5</x:v>
      </x:c>
      <x:c r="I467" s="34" t="n">
        <x:v>2029</x:v>
      </x:c>
      <x:c r="J467" s="34" t="n">
        <x:v>2038</x:v>
      </x:c>
      <x:c r="K467" s="34" t="n">
        <x:v>0.354756</x:v>
      </x:c>
      <x:c r="L467" s="34" t="n">
        <x:v>0.257069</x:v>
      </x:c>
      <x:c r="M467" s="34" t="n">
        <x:v>0.388175</x:v>
      </x:c>
      <x:c r="N467" s="34" t="n">
        <x:v>0</x:v>
      </x:c>
      <x:c r="O467" s="34" t="n">
        <x:v>0.3</x:v>
      </x:c>
      <x:c r="P467" s="34" t="n">
        <x:v>0.25</x:v>
      </x:c>
      <x:c r="Q467" s="34" t="n">
        <x:v>0.35</x:v>
      </x:c>
      <x:c r="R467" s="34" t="n">
        <x:v>0.25</x:v>
      </x:c>
      <x:c r="S467" s="34" t="n">
        <x:v>0.015</x:v>
      </x:c>
      <x:c r="T467" s="34" t="n">
        <x:v>393.698938</x:v>
      </x:c>
      <x:c r="U467" s="34" t="str">
        <x:v>NS-EAST:H2_DRI_EAF:2034|NS-KANSAI:BF_RELINE:2036|NS-KYUSHU:SCRAP_EAF:2029|NS-NAGOYA:H2_DRI_EAF:2032|NS-SETOUCHI:BF_RELINE:2038</x:v>
      </x:c>
      <x:c r="V467" s="34" t="str">
        <x:v>model_generated_candidate</x:v>
      </x:c>
      <x:c r="W467" s="34" t="str">
        <x:v>Generated from disclosed-path facility calendar, technology set and template contracting assumptions; not a company-announced project</x:v>
      </x:c>
    </x:row>
    <x:row r="468">
      <x:c r="A468" s="34" t="str">
        <x:v>CAND-7949F55C215A54</x:v>
      </x:c>
      <x:c r="B468" s="34" t="str">
        <x:v>NIPPON_STEEL_JP</x:v>
      </x:c>
      <x:c r="C468" s="34" t="str">
        <x:v>Nippon Steel</x:v>
      </x:c>
      <x:c r="D468" s="34" t="str">
        <x:v>P2</x:v>
      </x:c>
      <x:c r="E468" s="34" t="str">
        <x:v>지연·부분헤지</x:v>
      </x:c>
      <x:c r="F468" s="34" t="str">
        <x:v>PORT-B446DE621925</x:v>
      </x:c>
      <x:c r="G468" s="34" t="str">
        <x:v>DISCLOSED_PATH</x:v>
      </x:c>
      <x:c r="H468" s="34" t="n">
        <x:v>5</x:v>
      </x:c>
      <x:c r="I468" s="34" t="n">
        <x:v>2029</x:v>
      </x:c>
      <x:c r="J468" s="34" t="n">
        <x:v>2038</x:v>
      </x:c>
      <x:c r="K468" s="34" t="n">
        <x:v>0</x:v>
      </x:c>
      <x:c r="L468" s="34" t="n">
        <x:v>0.534704</x:v>
      </x:c>
      <x:c r="M468" s="34" t="n">
        <x:v>0.465296</x:v>
      </x:c>
      <x:c r="N468" s="34" t="n">
        <x:v>0</x:v>
      </x:c>
      <x:c r="O468" s="34" t="n">
        <x:v>0.15</x:v>
      </x:c>
      <x:c r="P468" s="34" t="n">
        <x:v>0.1</x:v>
      </x:c>
      <x:c r="Q468" s="34" t="n">
        <x:v>0.2</x:v>
      </x:c>
      <x:c r="R468" s="34" t="n">
        <x:v>0.1</x:v>
      </x:c>
      <x:c r="S468" s="34" t="n">
        <x:v>0.01</x:v>
      </x:c>
      <x:c r="T468" s="34" t="n">
        <x:v>474.753948</x:v>
      </x:c>
      <x:c r="U468" s="34" t="str">
        <x:v>NS-EAST:H2_DRI_EAF:2034|NS-KANSAI:SCRAP_EAF:2036|NS-KYUSHU:H2_DRI_EAF:2029|NS-NAGOYA:SCRAP_EAF:2032|NS-SETOUCHI:SCRAP_EAF:2038</x:v>
      </x:c>
      <x:c r="V468" s="34" t="str">
        <x:v>model_generated_candidate</x:v>
      </x:c>
      <x:c r="W468" s="34" t="str">
        <x:v>Generated from disclosed-path facility calendar, technology set and template contracting assumptions; not a company-announced project</x:v>
      </x:c>
    </x:row>
    <x:row r="469">
      <x:c r="A469" s="34" t="str">
        <x:v>CAND-79EF03881BA17B</x:v>
      </x:c>
      <x:c r="B469" s="34" t="str">
        <x:v>NIPPON_STEEL_JP</x:v>
      </x:c>
      <x:c r="C469" s="34" t="str">
        <x:v>Nippon Steel</x:v>
      </x:c>
      <x:c r="D469" s="34" t="str">
        <x:v>P1</x:v>
      </x:c>
      <x:c r="E469" s="34" t="str">
        <x:v>지연·현물조달</x:v>
      </x:c>
      <x:c r="F469" s="34" t="str">
        <x:v>PORT-243FA04FE940</x:v>
      </x:c>
      <x:c r="G469" s="34" t="str">
        <x:v>DISCLOSED_PATH</x:v>
      </x:c>
      <x:c r="H469" s="34" t="n">
        <x:v>5</x:v>
      </x:c>
      <x:c r="I469" s="34" t="n">
        <x:v>2029</x:v>
      </x:c>
      <x:c r="J469" s="34" t="n">
        <x:v>2038</x:v>
      </x:c>
      <x:c r="K469" s="34" t="n">
        <x:v>0.62982</x:v>
      </x:c>
      <x:c r="L469" s="34" t="n">
        <x:v>0</x:v>
      </x:c>
      <x:c r="M469" s="34" t="n">
        <x:v>0.37018</x:v>
      </x:c>
      <x:c r="N469" s="34" t="n">
        <x:v>0</x:v>
      </x:c>
      <x:c r="O469" s="34" t="n">
        <x:v>0</x:v>
      </x:c>
      <x:c r="P469" s="34" t="n">
        <x:v>0</x:v>
      </x:c>
      <x:c r="Q469" s="34" t="n">
        <x:v>0.1</x:v>
      </x:c>
      <x:c r="R469" s="34" t="n">
        <x:v>0</x:v>
      </x:c>
      <x:c r="S469" s="34" t="n">
        <x:v>0</x:v>
      </x:c>
      <x:c r="T469" s="34" t="n">
        <x:v>189.838975</x:v>
      </x:c>
      <x:c r="U469" s="34" t="str">
        <x:v>NS-EAST:H2_DRI_EAF:2034|NS-KANSAI:H2_DRI_EAF:2036|NS-KYUSHU:BF_RELINE:2029|NS-NAGOYA:BF_RELINE:2032|NS-SETOUCHI:BF_RELINE:2038</x:v>
      </x:c>
      <x:c r="V469" s="34" t="str">
        <x:v>model_generated_candidate</x:v>
      </x:c>
      <x:c r="W469" s="34" t="str">
        <x:v>Generated from disclosed-path facility calendar, technology set and template contracting assumptions; not a company-announced project</x:v>
      </x:c>
    </x:row>
    <x:row r="470">
      <x:c r="A470" s="34" t="str">
        <x:v>CAND-7A51ADDF21DCD5</x:v>
      </x:c>
      <x:c r="B470" s="34" t="str">
        <x:v>NIPPON_STEEL_JP</x:v>
      </x:c>
      <x:c r="C470" s="34" t="str">
        <x:v>Nippon Steel</x:v>
      </x:c>
      <x:c r="D470" s="34" t="str">
        <x:v>P4</x:v>
      </x:c>
      <x:c r="E470" s="34" t="str">
        <x:v>균형형 전환</x:v>
      </x:c>
      <x:c r="F470" s="34" t="str">
        <x:v>PORT-21DAA87F5C90</x:v>
      </x:c>
      <x:c r="G470" s="34" t="str">
        <x:v>DISCLOSED_PATH</x:v>
      </x:c>
      <x:c r="H470" s="34" t="n">
        <x:v>5</x:v>
      </x:c>
      <x:c r="I470" s="34" t="n">
        <x:v>2028</x:v>
      </x:c>
      <x:c r="J470" s="34" t="n">
        <x:v>2037</x:v>
      </x:c>
      <x:c r="K470" s="34" t="n">
        <x:v>0</x:v>
      </x:c>
      <x:c r="L470" s="34" t="n">
        <x:v>0.37018</x:v>
      </x:c>
      <x:c r="M470" s="34" t="n">
        <x:v>0.62982</x:v>
      </x:c>
      <x:c r="N470" s="34" t="n">
        <x:v>0</x:v>
      </x:c>
      <x:c r="O470" s="34" t="n">
        <x:v>0.5</x:v>
      </x:c>
      <x:c r="P470" s="34" t="n">
        <x:v>0.45</x:v>
      </x:c>
      <x:c r="Q470" s="34" t="n">
        <x:v>0.5</x:v>
      </x:c>
      <x:c r="R470" s="34" t="n">
        <x:v>0.4</x:v>
      </x:c>
      <x:c r="S470" s="34" t="n">
        <x:v>0.02</x:v>
      </x:c>
      <x:c r="T470" s="34" t="n">
        <x:v>543.368938</x:v>
      </x:c>
      <x:c r="U470" s="34" t="str">
        <x:v>NS-EAST:SCRAP_EAF:2033|NS-KANSAI:SCRAP_EAF:2035|NS-KYUSHU:H2_DRI_EAF:2028|NS-NAGOYA:H2_DRI_EAF:2031|NS-SETOUCHI:H2_DRI_EAF:2037</x:v>
      </x:c>
      <x:c r="V470" s="34" t="str">
        <x:v>model_generated_candidate</x:v>
      </x:c>
      <x:c r="W470" s="34" t="str">
        <x:v>Generated from disclosed-path facility calendar, technology set and template contracting assumptions; not a company-announced project</x:v>
      </x:c>
    </x:row>
    <x:row r="471">
      <x:c r="A471" s="34" t="str">
        <x:v>CAND-7A7DAAB02EA7A2</x:v>
      </x:c>
      <x:c r="B471" s="34" t="str">
        <x:v>NIPPON_STEEL_JP</x:v>
      </x:c>
      <x:c r="C471" s="34" t="str">
        <x:v>Nippon Steel</x:v>
      </x:c>
      <x:c r="D471" s="34" t="str">
        <x:v>P1</x:v>
      </x:c>
      <x:c r="E471" s="34" t="str">
        <x:v>지연·현물조달</x:v>
      </x:c>
      <x:c r="F471" s="34" t="str">
        <x:v>PORT-1C358B09C3EE</x:v>
      </x:c>
      <x:c r="G471" s="34" t="str">
        <x:v>DISCLOSED_PATH</x:v>
      </x:c>
      <x:c r="H471" s="34" t="n">
        <x:v>5</x:v>
      </x:c>
      <x:c r="I471" s="34" t="n">
        <x:v>2029</x:v>
      </x:c>
      <x:c r="J471" s="34" t="n">
        <x:v>2038</x:v>
      </x:c>
      <x:c r="K471" s="34" t="n">
        <x:v>0.208226</x:v>
      </x:c>
      <x:c r="L471" s="34" t="n">
        <x:v>0.161954</x:v>
      </x:c>
      <x:c r="M471" s="34" t="n">
        <x:v>0.62982</x:v>
      </x:c>
      <x:c r="N471" s="34" t="n">
        <x:v>0</x:v>
      </x:c>
      <x:c r="O471" s="34" t="n">
        <x:v>0</x:v>
      </x:c>
      <x:c r="P471" s="34" t="n">
        <x:v>0</x:v>
      </x:c>
      <x:c r="Q471" s="34" t="n">
        <x:v>0.1</x:v>
      </x:c>
      <x:c r="R471" s="34" t="n">
        <x:v>0</x:v>
      </x:c>
      <x:c r="S471" s="34" t="n">
        <x:v>0</x:v>
      </x:c>
      <x:c r="T471" s="34" t="n">
        <x:v>407.748932</x:v>
      </x:c>
      <x:c r="U471" s="34" t="str">
        <x:v>NS-EAST:BF_RELINE:2034|NS-KANSAI:SCRAP_EAF:2036|NS-KYUSHU:H2_DRI_EAF:2029|NS-NAGOYA:H2_DRI_EAF:2032|NS-SETOUCHI:H2_DRI_EAF:2038</x:v>
      </x:c>
      <x:c r="V471" s="34" t="str">
        <x:v>model_generated_candidate</x:v>
      </x:c>
      <x:c r="W471" s="34" t="str">
        <x:v>Generated from disclosed-path facility calendar, technology set and template contracting assumptions; not a company-announced project</x:v>
      </x:c>
    </x:row>
    <x:row r="472">
      <x:c r="A472" s="34" t="str">
        <x:v>CAND-7AC5882BD78E9A</x:v>
      </x:c>
      <x:c r="B472" s="34" t="str">
        <x:v>NIPPON_STEEL_JP</x:v>
      </x:c>
      <x:c r="C472" s="34" t="str">
        <x:v>Nippon Steel</x:v>
      </x:c>
      <x:c r="D472" s="34" t="str">
        <x:v>P1</x:v>
      </x:c>
      <x:c r="E472" s="34" t="str">
        <x:v>지연·현물조달</x:v>
      </x:c>
      <x:c r="F472" s="34" t="str">
        <x:v>PORT-ACA3DA11AF49</x:v>
      </x:c>
      <x:c r="G472" s="34" t="str">
        <x:v>DISCLOSED_PATH</x:v>
      </x:c>
      <x:c r="H472" s="34" t="n">
        <x:v>5</x:v>
      </x:c>
      <x:c r="I472" s="34" t="n">
        <x:v>2029</x:v>
      </x:c>
      <x:c r="J472" s="34" t="n">
        <x:v>2038</x:v>
      </x:c>
      <x:c r="K472" s="34" t="n">
        <x:v>0.192802</x:v>
      </x:c>
      <x:c r="L472" s="34" t="n">
        <x:v>0.437018</x:v>
      </x:c>
      <x:c r="M472" s="34" t="n">
        <x:v>0.37018</x:v>
      </x:c>
      <x:c r="N472" s="34" t="n">
        <x:v>0</x:v>
      </x:c>
      <x:c r="O472" s="34" t="n">
        <x:v>0</x:v>
      </x:c>
      <x:c r="P472" s="34" t="n">
        <x:v>0</x:v>
      </x:c>
      <x:c r="Q472" s="34" t="n">
        <x:v>0.1</x:v>
      </x:c>
      <x:c r="R472" s="34" t="n">
        <x:v>0</x:v>
      </x:c>
      <x:c r="S472" s="34" t="n">
        <x:v>0</x:v>
      </x:c>
      <x:c r="T472" s="34" t="n">
        <x:v>427.348949</x:v>
      </x:c>
      <x:c r="U472" s="34" t="str">
        <x:v>NS-EAST:H2_DRI_EAF:2034|NS-KANSAI:H2_DRI_EAF:2036|NS-KYUSHU:SCRAP_EAF:2029|NS-NAGOYA:SCRAP_EAF:2032|NS-SETOUCHI:BF_RELINE:2038</x:v>
      </x:c>
      <x:c r="V472" s="34" t="str">
        <x:v>model_generated_candidate</x:v>
      </x:c>
      <x:c r="W472" s="34" t="str">
        <x:v>Generated from disclosed-path facility calendar, technology set and template contracting assumptions; not a company-announced project</x:v>
      </x:c>
    </x:row>
    <x:row r="473">
      <x:c r="A473" s="34" t="str">
        <x:v>CAND-7AD770B518B5A4</x:v>
      </x:c>
      <x:c r="B473" s="34" t="str">
        <x:v>NIPPON_STEEL_JP</x:v>
      </x:c>
      <x:c r="C473" s="34" t="str">
        <x:v>Nippon Steel</x:v>
      </x:c>
      <x:c r="D473" s="34" t="str">
        <x:v>P5</x:v>
      </x:c>
      <x:c r="E473" s="34" t="str">
        <x:v>조기 계약형 전환</x:v>
      </x:c>
      <x:c r="F473" s="34" t="str">
        <x:v>PORT-6ED16D34EBBA</x:v>
      </x:c>
      <x:c r="G473" s="34" t="str">
        <x:v>DISCLOSED_PATH</x:v>
      </x:c>
      <x:c r="H473" s="34" t="n">
        <x:v>5</x:v>
      </x:c>
      <x:c r="I473" s="34" t="n">
        <x:v>2028</x:v>
      </x:c>
      <x:c r="J473" s="34" t="n">
        <x:v>2037</x:v>
      </x:c>
      <x:c r="K473" s="34" t="n">
        <x:v>0.179949</x:v>
      </x:c>
      <x:c r="L473" s="34" t="n">
        <x:v>0.161954</x:v>
      </x:c>
      <x:c r="M473" s="34" t="n">
        <x:v>0.658098</x:v>
      </x:c>
      <x:c r="N473" s="34" t="n">
        <x:v>0</x:v>
      </x:c>
      <x:c r="O473" s="34" t="n">
        <x:v>0.7</x:v>
      </x:c>
      <x:c r="P473" s="34" t="n">
        <x:v>0.65</x:v>
      </x:c>
      <x:c r="Q473" s="34" t="n">
        <x:v>0.65</x:v>
      </x:c>
      <x:c r="R473" s="34" t="n">
        <x:v>0.6</x:v>
      </x:c>
      <x:c r="S473" s="34" t="n">
        <x:v>0.025</x:v>
      </x:c>
      <x:c r="T473" s="34" t="n">
        <x:v>452.368974</x:v>
      </x:c>
      <x:c r="U473" s="34" t="str">
        <x:v>NS-EAST:H2_DRI_EAF:2033|NS-KANSAI:SCRAP_EAF:2035|NS-KYUSHU:H2_DRI_EAF:2028|NS-NAGOYA:BF_RELINE:2031|NS-SETOUCHI:H2_DRI_EAF:2037</x:v>
      </x:c>
      <x:c r="V473" s="34" t="str">
        <x:v>model_generated_candidate</x:v>
      </x:c>
      <x:c r="W473" s="34" t="str">
        <x:v>Generated from disclosed-path facility calendar, technology set and template contracting assumptions; not a company-announced project</x:v>
      </x:c>
    </x:row>
    <x:row r="474">
      <x:c r="A474" s="34" t="str">
        <x:v>CAND-7AFA570F344FAE</x:v>
      </x:c>
      <x:c r="B474" s="34" t="str">
        <x:v>NIPPON_STEEL_JP</x:v>
      </x:c>
      <x:c r="C474" s="34" t="str">
        <x:v>Nippon Steel</x:v>
      </x:c>
      <x:c r="D474" s="34" t="str">
        <x:v>P2</x:v>
      </x:c>
      <x:c r="E474" s="34" t="str">
        <x:v>지연·부분헤지</x:v>
      </x:c>
      <x:c r="F474" s="34" t="str">
        <x:v>PORT-475628A5EB38</x:v>
      </x:c>
      <x:c r="G474" s="34" t="str">
        <x:v>DISCLOSED_PATH</x:v>
      </x:c>
      <x:c r="H474" s="34" t="n">
        <x:v>5</x:v>
      </x:c>
      <x:c r="I474" s="34" t="n">
        <x:v>2029</x:v>
      </x:c>
      <x:c r="J474" s="34" t="n">
        <x:v>2038</x:v>
      </x:c>
      <x:c r="K474" s="34" t="n">
        <x:v>0.179949</x:v>
      </x:c>
      <x:c r="L474" s="34" t="n">
        <x:v>0.354756</x:v>
      </x:c>
      <x:c r="M474" s="34" t="n">
        <x:v>0.465296</x:v>
      </x:c>
      <x:c r="N474" s="34" t="n">
        <x:v>0</x:v>
      </x:c>
      <x:c r="O474" s="34" t="n">
        <x:v>0.15</x:v>
      </x:c>
      <x:c r="P474" s="34" t="n">
        <x:v>0.1</x:v>
      </x:c>
      <x:c r="Q474" s="34" t="n">
        <x:v>0.2</x:v>
      </x:c>
      <x:c r="R474" s="34" t="n">
        <x:v>0.1</x:v>
      </x:c>
      <x:c r="S474" s="34" t="n">
        <x:v>0.01</x:v>
      </x:c>
      <x:c r="T474" s="34" t="n">
        <x:v>393.843974</x:v>
      </x:c>
      <x:c r="U474" s="34" t="str">
        <x:v>NS-EAST:H2_DRI_EAF:2034|NS-KANSAI:SCRAP_EAF:2036|NS-KYUSHU:H2_DRI_EAF:2029|NS-NAGOYA:BF_RELINE:2032|NS-SETOUCHI:SCRAP_EAF:2038</x:v>
      </x:c>
      <x:c r="V474" s="34" t="str">
        <x:v>model_generated_candidate</x:v>
      </x:c>
      <x:c r="W474" s="34" t="str">
        <x:v>Generated from disclosed-path facility calendar, technology set and template contracting assumptions; not a company-announced project</x:v>
      </x:c>
    </x:row>
    <x:row r="475">
      <x:c r="A475" s="34" t="str">
        <x:v>CAND-7B3A04EDDAA489</x:v>
      </x:c>
      <x:c r="B475" s="34" t="str">
        <x:v>NIPPON_STEEL_JP</x:v>
      </x:c>
      <x:c r="C475" s="34" t="str">
        <x:v>Nippon Steel</x:v>
      </x:c>
      <x:c r="D475" s="34" t="str">
        <x:v>P1</x:v>
      </x:c>
      <x:c r="E475" s="34" t="str">
        <x:v>지연·현물조달</x:v>
      </x:c>
      <x:c r="F475" s="34" t="str">
        <x:v>PORT-7F2E75BEC4B8</x:v>
      </x:c>
      <x:c r="G475" s="34" t="str">
        <x:v>DISCLOSED_PATH</x:v>
      </x:c>
      <x:c r="H475" s="34" t="n">
        <x:v>5</x:v>
      </x:c>
      <x:c r="I475" s="34" t="n">
        <x:v>2029</x:v>
      </x:c>
      <x:c r="J475" s="34" t="n">
        <x:v>2038</x:v>
      </x:c>
      <x:c r="K475" s="34" t="n">
        <x:v>0.37018</x:v>
      </x:c>
      <x:c r="L475" s="34" t="n">
        <x:v>0.372751</x:v>
      </x:c>
      <x:c r="M475" s="34" t="n">
        <x:v>0.257069</x:v>
      </x:c>
      <x:c r="N475" s="34" t="n">
        <x:v>0</x:v>
      </x:c>
      <x:c r="O475" s="34" t="n">
        <x:v>0</x:v>
      </x:c>
      <x:c r="P475" s="34" t="n">
        <x:v>0</x:v>
      </x:c>
      <x:c r="Q475" s="34" t="n">
        <x:v>0.1</x:v>
      </x:c>
      <x:c r="R475" s="34" t="n">
        <x:v>0</x:v>
      </x:c>
      <x:c r="S475" s="34" t="n">
        <x:v>0</x:v>
      </x:c>
      <x:c r="T475" s="34" t="n">
        <x:v>348.473932</x:v>
      </x:c>
      <x:c r="U475" s="34" t="str">
        <x:v>NS-EAST:BF_RELINE:2034|NS-KANSAI:BF_RELINE:2036|NS-KYUSHU:H2_DRI_EAF:2029|NS-NAGOYA:SCRAP_EAF:2032|NS-SETOUCHI:SCRAP_EAF:2038</x:v>
      </x:c>
      <x:c r="V475" s="34" t="str">
        <x:v>model_generated_candidate</x:v>
      </x:c>
      <x:c r="W475" s="34" t="str">
        <x:v>Generated from disclosed-path facility calendar, technology set and template contracting assumptions; not a company-announced project</x:v>
      </x:c>
    </x:row>
    <x:row r="476">
      <x:c r="A476" s="34" t="str">
        <x:v>CAND-7BA4793B4CD2AC</x:v>
      </x:c>
      <x:c r="B476" s="34" t="str">
        <x:v>NIPPON_STEEL_JP</x:v>
      </x:c>
      <x:c r="C476" s="34" t="str">
        <x:v>Nippon Steel</x:v>
      </x:c>
      <x:c r="D476" s="34" t="str">
        <x:v>P2</x:v>
      </x:c>
      <x:c r="E476" s="34" t="str">
        <x:v>지연·부분헤지</x:v>
      </x:c>
      <x:c r="F476" s="34" t="str">
        <x:v>PORT-05EE518306D9</x:v>
      </x:c>
      <x:c r="G476" s="34" t="str">
        <x:v>DISCLOSED_PATH</x:v>
      </x:c>
      <x:c r="H476" s="34" t="n">
        <x:v>5</x:v>
      </x:c>
      <x:c r="I476" s="34" t="n">
        <x:v>2029</x:v>
      </x:c>
      <x:c r="J476" s="34" t="n">
        <x:v>2038</x:v>
      </x:c>
      <x:c r="K476" s="34" t="n">
        <x:v>0</x:v>
      </x:c>
      <x:c r="L476" s="34" t="n">
        <x:v>0.465296</x:v>
      </x:c>
      <x:c r="M476" s="34" t="n">
        <x:v>0.534704</x:v>
      </x:c>
      <x:c r="N476" s="34" t="n">
        <x:v>0</x:v>
      </x:c>
      <x:c r="O476" s="34" t="n">
        <x:v>0.15</x:v>
      </x:c>
      <x:c r="P476" s="34" t="n">
        <x:v>0.1</x:v>
      </x:c>
      <x:c r="Q476" s="34" t="n">
        <x:v>0.2</x:v>
      </x:c>
      <x:c r="R476" s="34" t="n">
        <x:v>0.1</x:v>
      </x:c>
      <x:c r="S476" s="34" t="n">
        <x:v>0.01</x:v>
      </x:c>
      <x:c r="T476" s="34" t="n">
        <x:v>460.828943</x:v>
      </x:c>
      <x:c r="U476" s="34" t="str">
        <x:v>NS-EAST:SCRAP_EAF:2034|NS-KANSAI:H2_DRI_EAF:2036|NS-KYUSHU:SCRAP_EAF:2029|NS-NAGOYA:H2_DRI_EAF:2032|NS-SETOUCHI:H2_DRI_EAF:2038</x:v>
      </x:c>
      <x:c r="V476" s="34" t="str">
        <x:v>model_generated_candidate</x:v>
      </x:c>
      <x:c r="W476" s="34" t="str">
        <x:v>Generated from disclosed-path facility calendar, technology set and template contracting assumptions; not a company-announced project</x:v>
      </x:c>
    </x:row>
    <x:row r="477">
      <x:c r="A477" s="34" t="str">
        <x:v>CAND-7C66163C85F268</x:v>
      </x:c>
      <x:c r="B477" s="34" t="str">
        <x:v>NIPPON_STEEL_JP</x:v>
      </x:c>
      <x:c r="C477" s="34" t="str">
        <x:v>Nippon Steel</x:v>
      </x:c>
      <x:c r="D477" s="34" t="str">
        <x:v>P1</x:v>
      </x:c>
      <x:c r="E477" s="34" t="str">
        <x:v>지연·현물조달</x:v>
      </x:c>
      <x:c r="F477" s="34" t="str">
        <x:v>PORT-2D5B38A00FC3</x:v>
      </x:c>
      <x:c r="G477" s="34" t="str">
        <x:v>DISCLOSED_PATH</x:v>
      </x:c>
      <x:c r="H477" s="34" t="n">
        <x:v>5</x:v>
      </x:c>
      <x:c r="I477" s="34" t="n">
        <x:v>2029</x:v>
      </x:c>
      <x:c r="J477" s="34" t="n">
        <x:v>2038</x:v>
      </x:c>
      <x:c r="K477" s="34" t="n">
        <x:v>0.372751</x:v>
      </x:c>
      <x:c r="L477" s="34" t="n">
        <x:v>0.208226</x:v>
      </x:c>
      <x:c r="M477" s="34" t="n">
        <x:v>0.419023</x:v>
      </x:c>
      <x:c r="N477" s="34" t="n">
        <x:v>0</x:v>
      </x:c>
      <x:c r="O477" s="34" t="n">
        <x:v>0</x:v>
      </x:c>
      <x:c r="P477" s="34" t="n">
        <x:v>0</x:v>
      </x:c>
      <x:c r="Q477" s="34" t="n">
        <x:v>0.1</x:v>
      </x:c>
      <x:c r="R477" s="34" t="n">
        <x:v>0</x:v>
      </x:c>
      <x:c r="S477" s="34" t="n">
        <x:v>0</x:v>
      </x:c>
      <x:c r="T477" s="34" t="n">
        <x:v>360.838973</x:v>
      </x:c>
      <x:c r="U477" s="34" t="str">
        <x:v>NS-EAST:SCRAP_EAF:2034|NS-KANSAI:H2_DRI_EAF:2036|NS-KYUSHU:H2_DRI_EAF:2029|NS-NAGOYA:BF_RELINE:2032|NS-SETOUCHI:BF_RELINE:2038</x:v>
      </x:c>
      <x:c r="V477" s="34" t="str">
        <x:v>model_generated_candidate</x:v>
      </x:c>
      <x:c r="W477" s="34" t="str">
        <x:v>Generated from disclosed-path facility calendar, technology set and template contracting assumptions; not a company-announced project</x:v>
      </x:c>
    </x:row>
    <x:row r="478">
      <x:c r="A478" s="34" t="str">
        <x:v>CAND-7C7D62C302A55A</x:v>
      </x:c>
      <x:c r="B478" s="34" t="str">
        <x:v>NIPPON_STEEL_JP</x:v>
      </x:c>
      <x:c r="C478" s="34" t="str">
        <x:v>Nippon Steel</x:v>
      </x:c>
      <x:c r="D478" s="34" t="str">
        <x:v>P3</x:v>
      </x:c>
      <x:c r="E478" s="34" t="str">
        <x:v>균형형 라이트헤지</x:v>
      </x:c>
      <x:c r="F478" s="34" t="str">
        <x:v>PORT-A880789F3FB0</x:v>
      </x:c>
      <x:c r="G478" s="34" t="str">
        <x:v>DISCLOSED_PATH</x:v>
      </x:c>
      <x:c r="H478" s="34" t="n">
        <x:v>5</x:v>
      </x:c>
      <x:c r="I478" s="34" t="n">
        <x:v>2029</x:v>
      </x:c>
      <x:c r="J478" s="34" t="n">
        <x:v>2038</x:v>
      </x:c>
      <x:c r="K478" s="34" t="n">
        <x:v>0.437018</x:v>
      </x:c>
      <x:c r="L478" s="34" t="n">
        <x:v>0.192802</x:v>
      </x:c>
      <x:c r="M478" s="34" t="n">
        <x:v>0.37018</x:v>
      </x:c>
      <x:c r="N478" s="34" t="n">
        <x:v>0</x:v>
      </x:c>
      <x:c r="O478" s="34" t="n">
        <x:v>0.3</x:v>
      </x:c>
      <x:c r="P478" s="34" t="n">
        <x:v>0.25</x:v>
      </x:c>
      <x:c r="Q478" s="34" t="n">
        <x:v>0.35</x:v>
      </x:c>
      <x:c r="R478" s="34" t="n">
        <x:v>0.25</x:v>
      </x:c>
      <x:c r="S478" s="34" t="n">
        <x:v>0.015</x:v>
      </x:c>
      <x:c r="T478" s="34" t="n">
        <x:v>217.243975</x:v>
      </x:c>
      <x:c r="U478" s="34" t="str">
        <x:v>NS-EAST:H2_DRI_EAF:2034|NS-KANSAI:H2_DRI_EAF:2036|NS-KYUSHU:BF_RELINE:2029|NS-NAGOYA:BF_RELINE:2032|NS-SETOUCHI:SCRAP_EAF:2038</x:v>
      </x:c>
      <x:c r="V478" s="34" t="str">
        <x:v>model_generated_candidate</x:v>
      </x:c>
      <x:c r="W478" s="34" t="str">
        <x:v>Generated from disclosed-path facility calendar, technology set and template contracting assumptions; not a company-announced project</x:v>
      </x:c>
    </x:row>
    <x:row r="479">
      <x:c r="A479" s="34" t="str">
        <x:v>CAND-7C97E5CB4322B2</x:v>
      </x:c>
      <x:c r="B479" s="34" t="str">
        <x:v>NIPPON_STEEL_JP</x:v>
      </x:c>
      <x:c r="C479" s="34" t="str">
        <x:v>Nippon Steel</x:v>
      </x:c>
      <x:c r="D479" s="34" t="str">
        <x:v>P3</x:v>
      </x:c>
      <x:c r="E479" s="34" t="str">
        <x:v>균형형 라이트헤지</x:v>
      </x:c>
      <x:c r="F479" s="34" t="str">
        <x:v>PORT-A38E7AB93504</x:v>
      </x:c>
      <x:c r="G479" s="34" t="str">
        <x:v>DISCLOSED_PATH</x:v>
      </x:c>
      <x:c r="H479" s="34" t="n">
        <x:v>5</x:v>
      </x:c>
      <x:c r="I479" s="34" t="n">
        <x:v>2029</x:v>
      </x:c>
      <x:c r="J479" s="34" t="n">
        <x:v>2038</x:v>
      </x:c>
      <x:c r="K479" s="34" t="n">
        <x:v>0.208226</x:v>
      </x:c>
      <x:c r="L479" s="34" t="n">
        <x:v>0.437018</x:v>
      </x:c>
      <x:c r="M479" s="34" t="n">
        <x:v>0.354756</x:v>
      </x:c>
      <x:c r="N479" s="34" t="n">
        <x:v>0</x:v>
      </x:c>
      <x:c r="O479" s="34" t="n">
        <x:v>0.3</x:v>
      </x:c>
      <x:c r="P479" s="34" t="n">
        <x:v>0.25</x:v>
      </x:c>
      <x:c r="Q479" s="34" t="n">
        <x:v>0.35</x:v>
      </x:c>
      <x:c r="R479" s="34" t="n">
        <x:v>0.25</x:v>
      </x:c>
      <x:c r="S479" s="34" t="n">
        <x:v>0.015</x:v>
      </x:c>
      <x:c r="T479" s="34" t="n">
        <x:v>373.798938</x:v>
      </x:c>
      <x:c r="U479" s="34" t="str">
        <x:v>NS-EAST:BF_RELINE:2034|NS-KANSAI:H2_DRI_EAF:2036|NS-KYUSHU:SCRAP_EAF:2029|NS-NAGOYA:SCRAP_EAF:2032|NS-SETOUCHI:H2_DRI_EAF:2038</x:v>
      </x:c>
      <x:c r="V479" s="34" t="str">
        <x:v>model_generated_candidate</x:v>
      </x:c>
      <x:c r="W479" s="34" t="str">
        <x:v>Generated from disclosed-path facility calendar, technology set and template contracting assumptions; not a company-announced project</x:v>
      </x:c>
    </x:row>
    <x:row r="480">
      <x:c r="A480" s="34" t="str">
        <x:v>CAND-7CFCAE29459F0E</x:v>
      </x:c>
      <x:c r="B480" s="34" t="str">
        <x:v>NIPPON_STEEL_JP</x:v>
      </x:c>
      <x:c r="C480" s="34" t="str">
        <x:v>Nippon Steel</x:v>
      </x:c>
      <x:c r="D480" s="34" t="str">
        <x:v>P1</x:v>
      </x:c>
      <x:c r="E480" s="34" t="str">
        <x:v>지연·현물조달</x:v>
      </x:c>
      <x:c r="F480" s="34" t="str">
        <x:v>PORT-B861AF89547E</x:v>
      </x:c>
      <x:c r="G480" s="34" t="str">
        <x:v>DISCLOSED_PATH</x:v>
      </x:c>
      <x:c r="H480" s="34" t="n">
        <x:v>5</x:v>
      </x:c>
      <x:c r="I480" s="34" t="n">
        <x:v>2029</x:v>
      </x:c>
      <x:c r="J480" s="34" t="n">
        <x:v>2038</x:v>
      </x:c>
      <x:c r="K480" s="34" t="n">
        <x:v>0.419023</x:v>
      </x:c>
      <x:c r="L480" s="34" t="n">
        <x:v>0.401028</x:v>
      </x:c>
      <x:c r="M480" s="34" t="n">
        <x:v>0.179949</x:v>
      </x:c>
      <x:c r="N480" s="34" t="n">
        <x:v>0</x:v>
      </x:c>
      <x:c r="O480" s="34" t="n">
        <x:v>0</x:v>
      </x:c>
      <x:c r="P480" s="34" t="n">
        <x:v>0</x:v>
      </x:c>
      <x:c r="Q480" s="34" t="n">
        <x:v>0.1</x:v>
      </x:c>
      <x:c r="R480" s="34" t="n">
        <x:v>0</x:v>
      </x:c>
      <x:c r="S480" s="34" t="n">
        <x:v>0</x:v>
      </x:c>
      <x:c r="T480" s="34" t="n">
        <x:v>251.903937</x:v>
      </x:c>
      <x:c r="U480" s="34" t="str">
        <x:v>NS-EAST:SCRAP_EAF:2034|NS-KANSAI:BF_RELINE:2036|NS-KYUSHU:BF_RELINE:2029|NS-NAGOYA:H2_DRI_EAF:2032|NS-SETOUCHI:SCRAP_EAF:2038</x:v>
      </x:c>
      <x:c r="V480" s="34" t="str">
        <x:v>model_generated_candidate</x:v>
      </x:c>
      <x:c r="W480" s="34" t="str">
        <x:v>Generated from disclosed-path facility calendar, technology set and template contracting assumptions; not a company-announced project</x:v>
      </x:c>
    </x:row>
    <x:row r="481">
      <x:c r="A481" s="34" t="str">
        <x:v>CAND-7DFFA3EB6A35DD</x:v>
      </x:c>
      <x:c r="B481" s="34" t="str">
        <x:v>NIPPON_STEEL_JP</x:v>
      </x:c>
      <x:c r="C481" s="34" t="str">
        <x:v>Nippon Steel</x:v>
      </x:c>
      <x:c r="D481" s="34" t="str">
        <x:v>P1</x:v>
      </x:c>
      <x:c r="E481" s="34" t="str">
        <x:v>지연·현물조달</x:v>
      </x:c>
      <x:c r="F481" s="34" t="str">
        <x:v>PORT-BB5C0AB9899D</x:v>
      </x:c>
      <x:c r="G481" s="34" t="str">
        <x:v>DISCLOSED_PATH</x:v>
      </x:c>
      <x:c r="H481" s="34" t="n">
        <x:v>5</x:v>
      </x:c>
      <x:c r="I481" s="34" t="n">
        <x:v>2029</x:v>
      </x:c>
      <x:c r="J481" s="34" t="n">
        <x:v>2038</x:v>
      </x:c>
      <x:c r="K481" s="34" t="n">
        <x:v>0.257069</x:v>
      </x:c>
      <x:c r="L481" s="34" t="n">
        <x:v>0.192802</x:v>
      </x:c>
      <x:c r="M481" s="34" t="n">
        <x:v>0.550129</x:v>
      </x:c>
      <x:c r="N481" s="34" t="n">
        <x:v>0</x:v>
      </x:c>
      <x:c r="O481" s="34" t="n">
        <x:v>0</x:v>
      </x:c>
      <x:c r="P481" s="34" t="n">
        <x:v>0</x:v>
      </x:c>
      <x:c r="Q481" s="34" t="n">
        <x:v>0.1</x:v>
      </x:c>
      <x:c r="R481" s="34" t="n">
        <x:v>0</x:v>
      </x:c>
      <x:c r="S481" s="34" t="n">
        <x:v>0</x:v>
      </x:c>
      <x:c r="T481" s="34" t="n">
        <x:v>312.103944</x:v>
      </x:c>
      <x:c r="U481" s="34" t="str">
        <x:v>NS-EAST:H2_DRI_EAF:2034|NS-KANSAI:H2_DRI_EAF:2036|NS-KYUSHU:BF_RELINE:2029|NS-NAGOYA:H2_DRI_EAF:2032|NS-SETOUCHI:SCRAP_EAF:2038</x:v>
      </x:c>
      <x:c r="V481" s="34" t="str">
        <x:v>model_generated_candidate</x:v>
      </x:c>
      <x:c r="W481" s="34" t="str">
        <x:v>Generated from disclosed-path facility calendar, technology set and template contracting assumptions; not a company-announced project</x:v>
      </x:c>
    </x:row>
    <x:row r="482">
      <x:c r="A482" s="34" t="str">
        <x:v>CAND-7E1CA9C1B2992D</x:v>
      </x:c>
      <x:c r="B482" s="34" t="str">
        <x:v>NIPPON_STEEL_JP</x:v>
      </x:c>
      <x:c r="C482" s="34" t="str">
        <x:v>Nippon Steel</x:v>
      </x:c>
      <x:c r="D482" s="34" t="str">
        <x:v>P1</x:v>
      </x:c>
      <x:c r="E482" s="34" t="str">
        <x:v>지연·현물조달</x:v>
      </x:c>
      <x:c r="F482" s="34" t="str">
        <x:v>PORT-0542A6FA3ED2</x:v>
      </x:c>
      <x:c r="G482" s="34" t="str">
        <x:v>DISCLOSED_PATH</x:v>
      </x:c>
      <x:c r="H482" s="34" t="n">
        <x:v>5</x:v>
      </x:c>
      <x:c r="I482" s="34" t="n">
        <x:v>2029</x:v>
      </x:c>
      <x:c r="J482" s="34" t="n">
        <x:v>2038</x:v>
      </x:c>
      <x:c r="K482" s="34" t="n">
        <x:v>0.354756</x:v>
      </x:c>
      <x:c r="L482" s="34" t="n">
        <x:v>0.208226</x:v>
      </x:c>
      <x:c r="M482" s="34" t="n">
        <x:v>0.437018</x:v>
      </x:c>
      <x:c r="N482" s="34" t="n">
        <x:v>0</x:v>
      </x:c>
      <x:c r="O482" s="34" t="n">
        <x:v>0</x:v>
      </x:c>
      <x:c r="P482" s="34" t="n">
        <x:v>0</x:v>
      </x:c>
      <x:c r="Q482" s="34" t="n">
        <x:v>0.1</x:v>
      </x:c>
      <x:c r="R482" s="34" t="n">
        <x:v>0</x:v>
      </x:c>
      <x:c r="S482" s="34" t="n">
        <x:v>0</x:v>
      </x:c>
      <x:c r="T482" s="34" t="n">
        <x:v>408.098937</x:v>
      </x:c>
      <x:c r="U482" s="34" t="str">
        <x:v>NS-EAST:SCRAP_EAF:2034|NS-KANSAI:BF_RELINE:2036|NS-KYUSHU:H2_DRI_EAF:2029|NS-NAGOYA:H2_DRI_EAF:2032|NS-SETOUCHI:BF_RELINE:2038</x:v>
      </x:c>
      <x:c r="V482" s="34" t="str">
        <x:v>model_generated_candidate</x:v>
      </x:c>
      <x:c r="W482" s="34" t="str">
        <x:v>Generated from disclosed-path facility calendar, technology set and template contracting assumptions; not a company-announced project</x:v>
      </x:c>
    </x:row>
    <x:row r="483">
      <x:c r="A483" s="34" t="str">
        <x:v>CAND-7F68777647A3B1</x:v>
      </x:c>
      <x:c r="B483" s="34" t="str">
        <x:v>NIPPON_STEEL_JP</x:v>
      </x:c>
      <x:c r="C483" s="34" t="str">
        <x:v>Nippon Steel</x:v>
      </x:c>
      <x:c r="D483" s="34" t="str">
        <x:v>P1</x:v>
      </x:c>
      <x:c r="E483" s="34" t="str">
        <x:v>지연·현물조달</x:v>
      </x:c>
      <x:c r="F483" s="34" t="str">
        <x:v>PORT-7F141003EFD9</x:v>
      </x:c>
      <x:c r="G483" s="34" t="str">
        <x:v>DISCLOSED_PATH</x:v>
      </x:c>
      <x:c r="H483" s="34" t="n">
        <x:v>5</x:v>
      </x:c>
      <x:c r="I483" s="34" t="n">
        <x:v>2029</x:v>
      </x:c>
      <x:c r="J483" s="34" t="n">
        <x:v>2038</x:v>
      </x:c>
      <x:c r="K483" s="34" t="n">
        <x:v>0</x:v>
      </x:c>
      <x:c r="L483" s="34" t="n">
        <x:v>0.419023</x:v>
      </x:c>
      <x:c r="M483" s="34" t="n">
        <x:v>0.580977</x:v>
      </x:c>
      <x:c r="N483" s="34" t="n">
        <x:v>0</x:v>
      </x:c>
      <x:c r="O483" s="34" t="n">
        <x:v>0</x:v>
      </x:c>
      <x:c r="P483" s="34" t="n">
        <x:v>0</x:v>
      </x:c>
      <x:c r="Q483" s="34" t="n">
        <x:v>0.1</x:v>
      </x:c>
      <x:c r="R483" s="34" t="n">
        <x:v>0</x:v>
      </x:c>
      <x:c r="S483" s="34" t="n">
        <x:v>0</x:v>
      </x:c>
      <x:c r="T483" s="34" t="n">
        <x:v>466.428943</x:v>
      </x:c>
      <x:c r="U483" s="34" t="str">
        <x:v>NS-EAST:H2_DRI_EAF:2034|NS-KANSAI:SCRAP_EAF:2036|NS-KYUSHU:SCRAP_EAF:2029|NS-NAGOYA:H2_DRI_EAF:2032|NS-SETOUCHI:H2_DRI_EAF:2038</x:v>
      </x:c>
      <x:c r="V483" s="34" t="str">
        <x:v>model_generated_candidate</x:v>
      </x:c>
      <x:c r="W483" s="34" t="str">
        <x:v>Generated from disclosed-path facility calendar, technology set and template contracting assumptions; not a company-announced project</x:v>
      </x:c>
    </x:row>
    <x:row r="484">
      <x:c r="A484" s="34" t="str">
        <x:v>CAND-7F997B0F0381A1</x:v>
      </x:c>
      <x:c r="B484" s="34" t="str">
        <x:v>NIPPON_STEEL_JP</x:v>
      </x:c>
      <x:c r="C484" s="34" t="str">
        <x:v>Nippon Steel</x:v>
      </x:c>
      <x:c r="D484" s="34" t="str">
        <x:v>P1</x:v>
      </x:c>
      <x:c r="E484" s="34" t="str">
        <x:v>지연·현물조달</x:v>
      </x:c>
      <x:c r="F484" s="34" t="str">
        <x:v>PORT-85B082834E97</x:v>
      </x:c>
      <x:c r="G484" s="34" t="str">
        <x:v>DISCLOSED_PATH</x:v>
      </x:c>
      <x:c r="H484" s="34" t="n">
        <x:v>5</x:v>
      </x:c>
      <x:c r="I484" s="34" t="n">
        <x:v>2029</x:v>
      </x:c>
      <x:c r="J484" s="34" t="n">
        <x:v>2038</x:v>
      </x:c>
      <x:c r="K484" s="34" t="n">
        <x:v>0.341902</x:v>
      </x:c>
      <x:c r="L484" s="34" t="n">
        <x:v>0.465296</x:v>
      </x:c>
      <x:c r="M484" s="34" t="n">
        <x:v>0.192802</x:v>
      </x:c>
      <x:c r="N484" s="34" t="n">
        <x:v>0</x:v>
      </x:c>
      <x:c r="O484" s="34" t="n">
        <x:v>0</x:v>
      </x:c>
      <x:c r="P484" s="34" t="n">
        <x:v>0</x:v>
      </x:c>
      <x:c r="Q484" s="34" t="n">
        <x:v>0.1</x:v>
      </x:c>
      <x:c r="R484" s="34" t="n">
        <x:v>0</x:v>
      </x:c>
      <x:c r="S484" s="34" t="n">
        <x:v>0</x:v>
      </x:c>
      <x:c r="T484" s="34" t="n">
        <x:v>318.368967</x:v>
      </x:c>
      <x:c r="U484" s="34" t="str">
        <x:v>NS-EAST:SCRAP_EAF:2034|NS-KANSAI:BF_RELINE:2036|NS-KYUSHU:SCRAP_EAF:2029|NS-NAGOYA:BF_RELINE:2032|NS-SETOUCHI:H2_DRI_EAF:2038</x:v>
      </x:c>
      <x:c r="V484" s="34" t="str">
        <x:v>model_generated_candidate</x:v>
      </x:c>
      <x:c r="W484" s="34" t="str">
        <x:v>Generated from disclosed-path facility calendar, technology set and template contracting assumptions; not a company-announced project</x:v>
      </x:c>
    </x:row>
    <x:row r="485">
      <x:c r="A485" s="34" t="str">
        <x:v>CAND-7FC1A80D5890A8</x:v>
      </x:c>
      <x:c r="B485" s="34" t="str">
        <x:v>NIPPON_STEEL_JP</x:v>
      </x:c>
      <x:c r="C485" s="34" t="str">
        <x:v>Nippon Steel</x:v>
      </x:c>
      <x:c r="D485" s="34" t="str">
        <x:v>P4</x:v>
      </x:c>
      <x:c r="E485" s="34" t="str">
        <x:v>균형형 전환</x:v>
      </x:c>
      <x:c r="F485" s="34" t="str">
        <x:v>PORT-8E5255DE5136</x:v>
      </x:c>
      <x:c r="G485" s="34" t="str">
        <x:v>DISCLOSED_PATH</x:v>
      </x:c>
      <x:c r="H485" s="34" t="n">
        <x:v>5</x:v>
      </x:c>
      <x:c r="I485" s="34" t="n">
        <x:v>2028</x:v>
      </x:c>
      <x:c r="J485" s="34" t="n">
        <x:v>2037</x:v>
      </x:c>
      <x:c r="K485" s="34" t="n">
        <x:v>0.372751</x:v>
      </x:c>
      <x:c r="L485" s="34" t="n">
        <x:v>0</x:v>
      </x:c>
      <x:c r="M485" s="34" t="n">
        <x:v>0.627249</x:v>
      </x:c>
      <x:c r="N485" s="34" t="n">
        <x:v>0</x:v>
      </x:c>
      <x:c r="O485" s="34" t="n">
        <x:v>0.5</x:v>
      </x:c>
      <x:c r="P485" s="34" t="n">
        <x:v>0.45</x:v>
      </x:c>
      <x:c r="Q485" s="34" t="n">
        <x:v>0.5</x:v>
      </x:c>
      <x:c r="R485" s="34" t="n">
        <x:v>0.4</x:v>
      </x:c>
      <x:c r="S485" s="34" t="n">
        <x:v>0.02</x:v>
      </x:c>
      <x:c r="T485" s="34" t="n">
        <x:v>417.928975</x:v>
      </x:c>
      <x:c r="U485" s="34" t="str">
        <x:v>NS-EAST:H2_DRI_EAF:2033|NS-KANSAI:H2_DRI_EAF:2035|NS-KYUSHU:H2_DRI_EAF:2028|NS-NAGOYA:BF_RELINE:2031|NS-SETOUCHI:BF_RELINE:2037</x:v>
      </x:c>
      <x:c r="V485" s="34" t="str">
        <x:v>model_generated_candidate</x:v>
      </x:c>
      <x:c r="W485" s="34" t="str">
        <x:v>Generated from disclosed-path facility calendar, technology set and template contracting assumptions; not a company-announced project</x:v>
      </x:c>
    </x:row>
    <x:row r="486">
      <x:c r="A486" s="34" t="str">
        <x:v>CAND-801F7ABA46D33B</x:v>
      </x:c>
      <x:c r="B486" s="34" t="str">
        <x:v>NIPPON_STEEL_JP</x:v>
      </x:c>
      <x:c r="C486" s="34" t="str">
        <x:v>Nippon Steel</x:v>
      </x:c>
      <x:c r="D486" s="34" t="str">
        <x:v>P1</x:v>
      </x:c>
      <x:c r="E486" s="34" t="str">
        <x:v>지연·현물조달</x:v>
      </x:c>
      <x:c r="F486" s="34" t="str">
        <x:v>PORT-8C7EDF2A8213</x:v>
      </x:c>
      <x:c r="G486" s="34" t="str">
        <x:v>DISCLOSED_PATH</x:v>
      </x:c>
      <x:c r="H486" s="34" t="n">
        <x:v>5</x:v>
      </x:c>
      <x:c r="I486" s="34" t="n">
        <x:v>2029</x:v>
      </x:c>
      <x:c r="J486" s="34" t="n">
        <x:v>2038</x:v>
      </x:c>
      <x:c r="K486" s="34" t="n">
        <x:v>0.161954</x:v>
      </x:c>
      <x:c r="L486" s="34" t="n">
        <x:v>0.388175</x:v>
      </x:c>
      <x:c r="M486" s="34" t="n">
        <x:v>0.449871</x:v>
      </x:c>
      <x:c r="N486" s="34" t="n">
        <x:v>0</x:v>
      </x:c>
      <x:c r="O486" s="34" t="n">
        <x:v>0</x:v>
      </x:c>
      <x:c r="P486" s="34" t="n">
        <x:v>0</x:v>
      </x:c>
      <x:c r="Q486" s="34" t="n">
        <x:v>0.1</x:v>
      </x:c>
      <x:c r="R486" s="34" t="n">
        <x:v>0</x:v>
      </x:c>
      <x:c r="S486" s="34" t="n">
        <x:v>0</x:v>
      </x:c>
      <x:c r="T486" s="34" t="n">
        <x:v>426.278941</x:v>
      </x:c>
      <x:c r="U486" s="34" t="str">
        <x:v>NS-EAST:SCRAP_EAF:2034|NS-KANSAI:BF_RELINE:2036|NS-KYUSHU:H2_DRI_EAF:2029|NS-NAGOYA:SCRAP_EAF:2032|NS-SETOUCHI:H2_DRI_EAF:2038</x:v>
      </x:c>
      <x:c r="V486" s="34" t="str">
        <x:v>model_generated_candidate</x:v>
      </x:c>
      <x:c r="W486" s="34" t="str">
        <x:v>Generated from disclosed-path facility calendar, technology set and template contracting assumptions; not a company-announced project</x:v>
      </x:c>
    </x:row>
    <x:row r="487">
      <x:c r="A487" s="34" t="str">
        <x:v>CAND-80606F1AD72C60</x:v>
      </x:c>
      <x:c r="B487" s="34" t="str">
        <x:v>NIPPON_STEEL_JP</x:v>
      </x:c>
      <x:c r="C487" s="34" t="str">
        <x:v>Nippon Steel</x:v>
      </x:c>
      <x:c r="D487" s="34" t="str">
        <x:v>P3</x:v>
      </x:c>
      <x:c r="E487" s="34" t="str">
        <x:v>균형형 라이트헤지</x:v>
      </x:c>
      <x:c r="F487" s="34" t="str">
        <x:v>PORT-233896767A76</x:v>
      </x:c>
      <x:c r="G487" s="34" t="str">
        <x:v>DISCLOSED_PATH</x:v>
      </x:c>
      <x:c r="H487" s="34" t="n">
        <x:v>5</x:v>
      </x:c>
      <x:c r="I487" s="34" t="n">
        <x:v>2029</x:v>
      </x:c>
      <x:c r="J487" s="34" t="n">
        <x:v>2038</x:v>
      </x:c>
      <x:c r="K487" s="34" t="n">
        <x:v>0</x:v>
      </x:c>
      <x:c r="L487" s="34" t="n">
        <x:v>0.550129</x:v>
      </x:c>
      <x:c r="M487" s="34" t="n">
        <x:v>0.449871</x:v>
      </x:c>
      <x:c r="N487" s="34" t="n">
        <x:v>0</x:v>
      </x:c>
      <x:c r="O487" s="34" t="n">
        <x:v>0.3</x:v>
      </x:c>
      <x:c r="P487" s="34" t="n">
        <x:v>0.25</x:v>
      </x:c>
      <x:c r="Q487" s="34" t="n">
        <x:v>0.35</x:v>
      </x:c>
      <x:c r="R487" s="34" t="n">
        <x:v>0.25</x:v>
      </x:c>
      <x:c r="S487" s="34" t="n">
        <x:v>0.015</x:v>
      </x:c>
      <x:c r="T487" s="34" t="n">
        <x:v>466.878946</x:v>
      </x:c>
      <x:c r="U487" s="34" t="str">
        <x:v>NS-EAST:SCRAP_EAF:2034|NS-KANSAI:SCRAP_EAF:2036|NS-KYUSHU:H2_DRI_EAF:2029|NS-NAGOYA:SCRAP_EAF:2032|NS-SETOUCHI:H2_DRI_EAF:2038</x:v>
      </x:c>
      <x:c r="V487" s="34" t="str">
        <x:v>model_generated_candidate</x:v>
      </x:c>
      <x:c r="W487" s="34" t="str">
        <x:v>Generated from disclosed-path facility calendar, technology set and template contracting assumptions; not a company-announced project</x:v>
      </x:c>
    </x:row>
    <x:row r="488">
      <x:c r="A488" s="34" t="str">
        <x:v>CAND-8089F86BDF0F67</x:v>
      </x:c>
      <x:c r="B488" s="34" t="str">
        <x:v>NIPPON_STEEL_JP</x:v>
      </x:c>
      <x:c r="C488" s="34" t="str">
        <x:v>Nippon Steel</x:v>
      </x:c>
      <x:c r="D488" s="34" t="str">
        <x:v>P1</x:v>
      </x:c>
      <x:c r="E488" s="34" t="str">
        <x:v>지연·현물조달</x:v>
      </x:c>
      <x:c r="F488" s="34" t="str">
        <x:v>PORT-18AF0784BA2F</x:v>
      </x:c>
      <x:c r="G488" s="34" t="str">
        <x:v>DISCLOSED_PATH</x:v>
      </x:c>
      <x:c r="H488" s="34" t="n">
        <x:v>5</x:v>
      </x:c>
      <x:c r="I488" s="34" t="n">
        <x:v>2029</x:v>
      </x:c>
      <x:c r="J488" s="34" t="n">
        <x:v>2038</x:v>
      </x:c>
      <x:c r="K488" s="34" t="n">
        <x:v>0.742931</x:v>
      </x:c>
      <x:c r="L488" s="34" t="n">
        <x:v>0.257069</x:v>
      </x:c>
      <x:c r="M488" s="34" t="n">
        <x:v>0</x:v>
      </x:c>
      <x:c r="N488" s="34" t="n">
        <x:v>0</x:v>
      </x:c>
      <x:c r="O488" s="34" t="n">
        <x:v>0</x:v>
      </x:c>
      <x:c r="P488" s="34" t="n">
        <x:v>0</x:v>
      </x:c>
      <x:c r="Q488" s="34" t="n">
        <x:v>0.1</x:v>
      </x:c>
      <x:c r="R488" s="34" t="n">
        <x:v>0</x:v>
      </x:c>
      <x:c r="S488" s="34" t="n">
        <x:v>0</x:v>
      </x:c>
      <x:c r="T488" s="34" t="n">
        <x:v>213.158958</x:v>
      </x:c>
      <x:c r="U488" s="34" t="str">
        <x:v>NS-EAST:BF_RELINE:2034|NS-KANSAI:BF_RELINE:2036|NS-KYUSHU:SCRAP_EAF:2029|NS-NAGOYA:BF_RELINE:2032|NS-SETOUCHI:BF_RELINE:2038</x:v>
      </x:c>
      <x:c r="V488" s="34" t="str">
        <x:v>model_generated_candidate</x:v>
      </x:c>
      <x:c r="W488" s="34" t="str">
        <x:v>Generated from disclosed-path facility calendar, technology set and template contracting assumptions; not a company-announced project</x:v>
      </x:c>
    </x:row>
    <x:row r="489">
      <x:c r="A489" s="34" t="str">
        <x:v>CAND-813D2F5D9271F2</x:v>
      </x:c>
      <x:c r="B489" s="34" t="str">
        <x:v>NIPPON_STEEL_JP</x:v>
      </x:c>
      <x:c r="C489" s="34" t="str">
        <x:v>Nippon Steel</x:v>
      </x:c>
      <x:c r="D489" s="34" t="str">
        <x:v>P1</x:v>
      </x:c>
      <x:c r="E489" s="34" t="str">
        <x:v>지연·현물조달</x:v>
      </x:c>
      <x:c r="F489" s="34" t="str">
        <x:v>PORT-D4A9A0C4778E</x:v>
      </x:c>
      <x:c r="G489" s="34" t="str">
        <x:v>DISCLOSED_PATH</x:v>
      </x:c>
      <x:c r="H489" s="34" t="n">
        <x:v>5</x:v>
      </x:c>
      <x:c r="I489" s="34" t="n">
        <x:v>2029</x:v>
      </x:c>
      <x:c r="J489" s="34" t="n">
        <x:v>2038</x:v>
      </x:c>
      <x:c r="K489" s="34" t="n">
        <x:v>0.208226</x:v>
      </x:c>
      <x:c r="L489" s="34" t="n">
        <x:v>0.598972</x:v>
      </x:c>
      <x:c r="M489" s="34" t="n">
        <x:v>0.192802</x:v>
      </x:c>
      <x:c r="N489" s="34" t="n">
        <x:v>0</x:v>
      </x:c>
      <x:c r="O489" s="34" t="n">
        <x:v>0</x:v>
      </x:c>
      <x:c r="P489" s="34" t="n">
        <x:v>0</x:v>
      </x:c>
      <x:c r="Q489" s="34" t="n">
        <x:v>0.1</x:v>
      </x:c>
      <x:c r="R489" s="34" t="n">
        <x:v>0</x:v>
      </x:c>
      <x:c r="S489" s="34" t="n">
        <x:v>0</x:v>
      </x:c>
      <x:c r="T489" s="34" t="n">
        <x:v>366.798937</x:v>
      </x:c>
      <x:c r="U489" s="34" t="str">
        <x:v>NS-EAST:BF_RELINE:2034|NS-KANSAI:SCRAP_EAF:2036|NS-KYUSHU:SCRAP_EAF:2029|NS-NAGOYA:SCRAP_EAF:2032|NS-SETOUCHI:H2_DRI_EAF:2038</x:v>
      </x:c>
      <x:c r="V489" s="34" t="str">
        <x:v>model_generated_candidate</x:v>
      </x:c>
      <x:c r="W489" s="34" t="str">
        <x:v>Generated from disclosed-path facility calendar, technology set and template contracting assumptions; not a company-announced project</x:v>
      </x:c>
    </x:row>
    <x:row r="490">
      <x:c r="A490" s="34" t="str">
        <x:v>CAND-815AACED7A80B5</x:v>
      </x:c>
      <x:c r="B490" s="34" t="str">
        <x:v>NIPPON_STEEL_JP</x:v>
      </x:c>
      <x:c r="C490" s="34" t="str">
        <x:v>Nippon Steel</x:v>
      </x:c>
      <x:c r="D490" s="34" t="str">
        <x:v>P2</x:v>
      </x:c>
      <x:c r="E490" s="34" t="str">
        <x:v>지연·부분헤지</x:v>
      </x:c>
      <x:c r="F490" s="34" t="str">
        <x:v>PORT-E3577CB0E245</x:v>
      </x:c>
      <x:c r="G490" s="34" t="str">
        <x:v>DISCLOSED_PATH</x:v>
      </x:c>
      <x:c r="H490" s="34" t="n">
        <x:v>5</x:v>
      </x:c>
      <x:c r="I490" s="34" t="n">
        <x:v>2029</x:v>
      </x:c>
      <x:c r="J490" s="34" t="n">
        <x:v>2038</x:v>
      </x:c>
      <x:c r="K490" s="34" t="n">
        <x:v>0.598972</x:v>
      </x:c>
      <x:c r="L490" s="34" t="n">
        <x:v>0</x:v>
      </x:c>
      <x:c r="M490" s="34" t="n">
        <x:v>0.401028</x:v>
      </x:c>
      <x:c r="N490" s="34" t="n">
        <x:v>0</x:v>
      </x:c>
      <x:c r="O490" s="34" t="n">
        <x:v>0.15</x:v>
      </x:c>
      <x:c r="P490" s="34" t="n">
        <x:v>0.1</x:v>
      </x:c>
      <x:c r="Q490" s="34" t="n">
        <x:v>0.2</x:v>
      </x:c>
      <x:c r="R490" s="34" t="n">
        <x:v>0.1</x:v>
      </x:c>
      <x:c r="S490" s="34" t="n">
        <x:v>0.01</x:v>
      </x:c>
      <x:c r="T490" s="34" t="n">
        <x:v>174.368969</x:v>
      </x:c>
      <x:c r="U490" s="34" t="str">
        <x:v>NS-EAST:H2_DRI_EAF:2034|NS-KANSAI:BF_RELINE:2036|NS-KYUSHU:BF_RELINE:2029|NS-NAGOYA:BF_RELINE:2032|NS-SETOUCHI:H2_DRI_EAF:2038</x:v>
      </x:c>
      <x:c r="V490" s="34" t="str">
        <x:v>model_generated_candidate</x:v>
      </x:c>
      <x:c r="W490" s="34" t="str">
        <x:v>Generated from disclosed-path facility calendar, technology set and template contracting assumptions; not a company-announced project</x:v>
      </x:c>
    </x:row>
    <x:row r="491">
      <x:c r="A491" s="34" t="str">
        <x:v>CAND-817C02D8F2D9CE</x:v>
      </x:c>
      <x:c r="B491" s="34" t="str">
        <x:v>NIPPON_STEEL_JP</x:v>
      </x:c>
      <x:c r="C491" s="34" t="str">
        <x:v>Nippon Steel</x:v>
      </x:c>
      <x:c r="D491" s="34" t="str">
        <x:v>P4</x:v>
      </x:c>
      <x:c r="E491" s="34" t="str">
        <x:v>균형형 전환</x:v>
      </x:c>
      <x:c r="F491" s="34" t="str">
        <x:v>PORT-52CC71E9B115</x:v>
      </x:c>
      <x:c r="G491" s="34" t="str">
        <x:v>DISCLOSED_PATH</x:v>
      </x:c>
      <x:c r="H491" s="34" t="n">
        <x:v>5</x:v>
      </x:c>
      <x:c r="I491" s="34" t="n">
        <x:v>2028</x:v>
      </x:c>
      <x:c r="J491" s="34" t="n">
        <x:v>2037</x:v>
      </x:c>
      <x:c r="K491" s="34" t="n">
        <x:v>0.179949</x:v>
      </x:c>
      <x:c r="L491" s="34" t="n">
        <x:v>0.208226</x:v>
      </x:c>
      <x:c r="M491" s="34" t="n">
        <x:v>0.611825</x:v>
      </x:c>
      <x:c r="N491" s="34" t="n">
        <x:v>0</x:v>
      </x:c>
      <x:c r="O491" s="34" t="n">
        <x:v>0.5</x:v>
      </x:c>
      <x:c r="P491" s="34" t="n">
        <x:v>0.45</x:v>
      </x:c>
      <x:c r="Q491" s="34" t="n">
        <x:v>0.5</x:v>
      </x:c>
      <x:c r="R491" s="34" t="n">
        <x:v>0.4</x:v>
      </x:c>
      <x:c r="S491" s="34" t="n">
        <x:v>0.02</x:v>
      </x:c>
      <x:c r="T491" s="34" t="n">
        <x:v>446.368973</x:v>
      </x:c>
      <x:c r="U491" s="34" t="str">
        <x:v>NS-EAST:SCRAP_EAF:2033|NS-KANSAI:H2_DRI_EAF:2035|NS-KYUSHU:H2_DRI_EAF:2028|NS-NAGOYA:BF_RELINE:2031|NS-SETOUCHI:H2_DRI_EAF:2037</x:v>
      </x:c>
      <x:c r="V491" s="34" t="str">
        <x:v>model_generated_candidate</x:v>
      </x:c>
      <x:c r="W491" s="34" t="str">
        <x:v>Generated from disclosed-path facility calendar, technology set and template contracting assumptions; not a company-announced project</x:v>
      </x:c>
    </x:row>
    <x:row r="492">
      <x:c r="A492" s="34" t="str">
        <x:v>CAND-82419EB4BEDA2D</x:v>
      </x:c>
      <x:c r="B492" s="34" t="str">
        <x:v>NIPPON_STEEL_JP</x:v>
      </x:c>
      <x:c r="C492" s="34" t="str">
        <x:v>Nippon Steel</x:v>
      </x:c>
      <x:c r="D492" s="34" t="str">
        <x:v>P2</x:v>
      </x:c>
      <x:c r="E492" s="34" t="str">
        <x:v>지연·부분헤지</x:v>
      </x:c>
      <x:c r="F492" s="34" t="str">
        <x:v>PORT-887F55152750</x:v>
      </x:c>
      <x:c r="G492" s="34" t="str">
        <x:v>DISCLOSED_PATH</x:v>
      </x:c>
      <x:c r="H492" s="34" t="n">
        <x:v>5</x:v>
      </x:c>
      <x:c r="I492" s="34" t="n">
        <x:v>2029</x:v>
      </x:c>
      <x:c r="J492" s="34" t="n">
        <x:v>2038</x:v>
      </x:c>
      <x:c r="K492" s="34" t="n">
        <x:v>0.62982</x:v>
      </x:c>
      <x:c r="L492" s="34" t="n">
        <x:v>0.161954</x:v>
      </x:c>
      <x:c r="M492" s="34" t="n">
        <x:v>0.208226</x:v>
      </x:c>
      <x:c r="N492" s="34" t="n">
        <x:v>0</x:v>
      </x:c>
      <x:c r="O492" s="34" t="n">
        <x:v>0.15</x:v>
      </x:c>
      <x:c r="P492" s="34" t="n">
        <x:v>0.1</x:v>
      </x:c>
      <x:c r="Q492" s="34" t="n">
        <x:v>0.2</x:v>
      </x:c>
      <x:c r="R492" s="34" t="n">
        <x:v>0.1</x:v>
      </x:c>
      <x:c r="S492" s="34" t="n">
        <x:v>0.01</x:v>
      </x:c>
      <x:c r="T492" s="34" t="n">
        <x:v>182.838974</x:v>
      </x:c>
      <x:c r="U492" s="34" t="str">
        <x:v>NS-EAST:H2_DRI_EAF:2034|NS-KANSAI:SCRAP_EAF:2036|NS-KYUSHU:BF_RELINE:2029|NS-NAGOYA:BF_RELINE:2032|NS-SETOUCHI:BF_RELINE:2038</x:v>
      </x:c>
      <x:c r="V492" s="34" t="str">
        <x:v>model_generated_candidate</x:v>
      </x:c>
      <x:c r="W492" s="34" t="str">
        <x:v>Generated from disclosed-path facility calendar, technology set and template contracting assumptions; not a company-announced project</x:v>
      </x:c>
    </x:row>
    <x:row r="493">
      <x:c r="A493" s="34" t="str">
        <x:v>CAND-824677A335CDE7</x:v>
      </x:c>
      <x:c r="B493" s="34" t="str">
        <x:v>NIPPON_STEEL_JP</x:v>
      </x:c>
      <x:c r="C493" s="34" t="str">
        <x:v>Nippon Steel</x:v>
      </x:c>
      <x:c r="D493" s="34" t="str">
        <x:v>P3</x:v>
      </x:c>
      <x:c r="E493" s="34" t="str">
        <x:v>균형형 라이트헤지</x:v>
      </x:c>
      <x:c r="F493" s="34" t="str">
        <x:v>PORT-0B5EB1BCB507</x:v>
      </x:c>
      <x:c r="G493" s="34" t="str">
        <x:v>DISCLOSED_PATH</x:v>
      </x:c>
      <x:c r="H493" s="34" t="n">
        <x:v>5</x:v>
      </x:c>
      <x:c r="I493" s="34" t="n">
        <x:v>2029</x:v>
      </x:c>
      <x:c r="J493" s="34" t="n">
        <x:v>2038</x:v>
      </x:c>
      <x:c r="K493" s="34" t="n">
        <x:v>0</x:v>
      </x:c>
      <x:c r="L493" s="34" t="n">
        <x:v>0.580977</x:v>
      </x:c>
      <x:c r="M493" s="34" t="n">
        <x:v>0.419023</x:v>
      </x:c>
      <x:c r="N493" s="34" t="n">
        <x:v>0</x:v>
      </x:c>
      <x:c r="O493" s="34" t="n">
        <x:v>0.3</x:v>
      </x:c>
      <x:c r="P493" s="34" t="n">
        <x:v>0.25</x:v>
      </x:c>
      <x:c r="Q493" s="34" t="n">
        <x:v>0.35</x:v>
      </x:c>
      <x:c r="R493" s="34" t="n">
        <x:v>0.25</x:v>
      </x:c>
      <x:c r="S493" s="34" t="n">
        <x:v>0.015</x:v>
      </x:c>
      <x:c r="T493" s="34" t="n">
        <x:v>469.153947</x:v>
      </x:c>
      <x:c r="U493" s="34" t="str">
        <x:v>NS-EAST:SCRAP_EAF:2034|NS-KANSAI:H2_DRI_EAF:2036|NS-KYUSHU:H2_DRI_EAF:2029|NS-NAGOYA:SCRAP_EAF:2032|NS-SETOUCHI:SCRAP_EAF:2038</x:v>
      </x:c>
      <x:c r="V493" s="34" t="str">
        <x:v>model_generated_candidate</x:v>
      </x:c>
      <x:c r="W493" s="34" t="str">
        <x:v>Generated from disclosed-path facility calendar, technology set and template contracting assumptions; not a company-announced project</x:v>
      </x:c>
    </x:row>
    <x:row r="494">
      <x:c r="A494" s="34" t="str">
        <x:v>CAND-828060D2682720</x:v>
      </x:c>
      <x:c r="B494" s="34" t="str">
        <x:v>NIPPON_STEEL_JP</x:v>
      </x:c>
      <x:c r="C494" s="34" t="str">
        <x:v>Nippon Steel</x:v>
      </x:c>
      <x:c r="D494" s="34" t="str">
        <x:v>P3</x:v>
      </x:c>
      <x:c r="E494" s="34" t="str">
        <x:v>균형형 라이트헤지</x:v>
      </x:c>
      <x:c r="F494" s="34" t="str">
        <x:v>PORT-61AD11411A66</x:v>
      </x:c>
      <x:c r="G494" s="34" t="str">
        <x:v>DISCLOSED_PATH</x:v>
      </x:c>
      <x:c r="H494" s="34" t="n">
        <x:v>5</x:v>
      </x:c>
      <x:c r="I494" s="34" t="n">
        <x:v>2029</x:v>
      </x:c>
      <x:c r="J494" s="34" t="n">
        <x:v>2038</x:v>
      </x:c>
      <x:c r="K494" s="34" t="n">
        <x:v>0</x:v>
      </x:c>
      <x:c r="L494" s="34" t="n">
        <x:v>0.562982</x:v>
      </x:c>
      <x:c r="M494" s="34" t="n">
        <x:v>0.437018</x:v>
      </x:c>
      <x:c r="N494" s="34" t="n">
        <x:v>0</x:v>
      </x:c>
      <x:c r="O494" s="34" t="n">
        <x:v>0.3</x:v>
      </x:c>
      <x:c r="P494" s="34" t="n">
        <x:v>0.25</x:v>
      </x:c>
      <x:c r="Q494" s="34" t="n">
        <x:v>0.35</x:v>
      </x:c>
      <x:c r="R494" s="34" t="n">
        <x:v>0.25</x:v>
      </x:c>
      <x:c r="S494" s="34" t="n">
        <x:v>0.015</x:v>
      </x:c>
      <x:c r="T494" s="34" t="n">
        <x:v>476.103942</x:v>
      </x:c>
      <x:c r="U494" s="34" t="str">
        <x:v>NS-EAST:SCRAP_EAF:2034|NS-KANSAI:SCRAP_EAF:2036|NS-KYUSHU:H2_DRI_EAF:2029|NS-NAGOYA:H2_DRI_EAF:2032|NS-SETOUCHI:SCRAP_EAF:2038</x:v>
      </x:c>
      <x:c r="V494" s="34" t="str">
        <x:v>model_generated_candidate</x:v>
      </x:c>
      <x:c r="W494" s="34" t="str">
        <x:v>Generated from disclosed-path facility calendar, technology set and template contracting assumptions; not a company-announced project</x:v>
      </x:c>
    </x:row>
    <x:row r="495">
      <x:c r="A495" s="34" t="str">
        <x:v>CAND-82F8F5BD398672</x:v>
      </x:c>
      <x:c r="B495" s="34" t="str">
        <x:v>NIPPON_STEEL_JP</x:v>
      </x:c>
      <x:c r="C495" s="34" t="str">
        <x:v>Nippon Steel</x:v>
      </x:c>
      <x:c r="D495" s="34" t="str">
        <x:v>P4</x:v>
      </x:c>
      <x:c r="E495" s="34" t="str">
        <x:v>균형형 전환</x:v>
      </x:c>
      <x:c r="F495" s="34" t="str">
        <x:v>PORT-F842321334C6</x:v>
      </x:c>
      <x:c r="G495" s="34" t="str">
        <x:v>DISCLOSED_PATH</x:v>
      </x:c>
      <x:c r="H495" s="34" t="n">
        <x:v>5</x:v>
      </x:c>
      <x:c r="I495" s="34" t="n">
        <x:v>2028</x:v>
      </x:c>
      <x:c r="J495" s="34" t="n">
        <x:v>2037</x:v>
      </x:c>
      <x:c r="K495" s="34" t="n">
        <x:v>0.257069</x:v>
      </x:c>
      <x:c r="L495" s="34" t="n">
        <x:v>0.192802</x:v>
      </x:c>
      <x:c r="M495" s="34" t="n">
        <x:v>0.550129</x:v>
      </x:c>
      <x:c r="N495" s="34" t="n">
        <x:v>0</x:v>
      </x:c>
      <x:c r="O495" s="34" t="n">
        <x:v>0.5</x:v>
      </x:c>
      <x:c r="P495" s="34" t="n">
        <x:v>0.45</x:v>
      </x:c>
      <x:c r="Q495" s="34" t="n">
        <x:v>0.5</x:v>
      </x:c>
      <x:c r="R495" s="34" t="n">
        <x:v>0.4</x:v>
      </x:c>
      <x:c r="S495" s="34" t="n">
        <x:v>0.02</x:v>
      </x:c>
      <x:c r="T495" s="34" t="n">
        <x:v>360.968941</x:v>
      </x:c>
      <x:c r="U495" s="34" t="str">
        <x:v>NS-EAST:H2_DRI_EAF:2033|NS-KANSAI:H2_DRI_EAF:2035|NS-KYUSHU:BF_RELINE:2028|NS-NAGOYA:H2_DRI_EAF:2031|NS-SETOUCHI:SCRAP_EAF:2037</x:v>
      </x:c>
      <x:c r="V495" s="34" t="str">
        <x:v>model_generated_candidate</x:v>
      </x:c>
      <x:c r="W495" s="34" t="str">
        <x:v>Generated from disclosed-path facility calendar, technology set and template contracting assumptions; not a company-announced project</x:v>
      </x:c>
    </x:row>
    <x:row r="496">
      <x:c r="A496" s="34" t="str">
        <x:v>CAND-83ACFFD6B28AFA</x:v>
      </x:c>
      <x:c r="B496" s="34" t="str">
        <x:v>NIPPON_STEEL_JP</x:v>
      </x:c>
      <x:c r="C496" s="34" t="str">
        <x:v>Nippon Steel</x:v>
      </x:c>
      <x:c r="D496" s="34" t="str">
        <x:v>P2</x:v>
      </x:c>
      <x:c r="E496" s="34" t="str">
        <x:v>지연·부분헤지</x:v>
      </x:c>
      <x:c r="F496" s="34" t="str">
        <x:v>PORT-40A36EE0C770</x:v>
      </x:c>
      <x:c r="G496" s="34" t="str">
        <x:v>DISCLOSED_PATH</x:v>
      </x:c>
      <x:c r="H496" s="34" t="n">
        <x:v>5</x:v>
      </x:c>
      <x:c r="I496" s="34" t="n">
        <x:v>2029</x:v>
      </x:c>
      <x:c r="J496" s="34" t="n">
        <x:v>2038</x:v>
      </x:c>
      <x:c r="K496" s="34" t="n">
        <x:v>0.354756</x:v>
      </x:c>
      <x:c r="L496" s="34" t="n">
        <x:v>0.388175</x:v>
      </x:c>
      <x:c r="M496" s="34" t="n">
        <x:v>0.257069</x:v>
      </x:c>
      <x:c r="N496" s="34" t="n">
        <x:v>0</x:v>
      </x:c>
      <x:c r="O496" s="34" t="n">
        <x:v>0.15</x:v>
      </x:c>
      <x:c r="P496" s="34" t="n">
        <x:v>0.1</x:v>
      </x:c>
      <x:c r="Q496" s="34" t="n">
        <x:v>0.2</x:v>
      </x:c>
      <x:c r="R496" s="34" t="n">
        <x:v>0.1</x:v>
      </x:c>
      <x:c r="S496" s="34" t="n">
        <x:v>0.01</x:v>
      </x:c>
      <x:c r="T496" s="34" t="n">
        <x:v>394.148941</x:v>
      </x:c>
      <x:c r="U496" s="34" t="str">
        <x:v>NS-EAST:SCRAP_EAF:2034|NS-KANSAI:BF_RELINE:2036|NS-KYUSHU:H2_DRI_EAF:2029|NS-NAGOYA:SCRAP_EAF:2032|NS-SETOUCHI:BF_RELINE:2038</x:v>
      </x:c>
      <x:c r="V496" s="34" t="str">
        <x:v>model_generated_candidate</x:v>
      </x:c>
      <x:c r="W496" s="34" t="str">
        <x:v>Generated from disclosed-path facility calendar, technology set and template contracting assumptions; not a company-announced project</x:v>
      </x:c>
    </x:row>
    <x:row r="497">
      <x:c r="A497" s="34" t="str">
        <x:v>CAND-83D6C7A3FFBFEA</x:v>
      </x:c>
      <x:c r="B497" s="34" t="str">
        <x:v>NIPPON_STEEL_JP</x:v>
      </x:c>
      <x:c r="C497" s="34" t="str">
        <x:v>Nippon Steel</x:v>
      </x:c>
      <x:c r="D497" s="34" t="str">
        <x:v>P2</x:v>
      </x:c>
      <x:c r="E497" s="34" t="str">
        <x:v>지연·부분헤지</x:v>
      </x:c>
      <x:c r="F497" s="34" t="str">
        <x:v>PORT-17F0017D3D64</x:v>
      </x:c>
      <x:c r="G497" s="34" t="str">
        <x:v>DISCLOSED_PATH</x:v>
      </x:c>
      <x:c r="H497" s="34" t="n">
        <x:v>5</x:v>
      </x:c>
      <x:c r="I497" s="34" t="n">
        <x:v>2029</x:v>
      </x:c>
      <x:c r="J497" s="34" t="n">
        <x:v>2038</x:v>
      </x:c>
      <x:c r="K497" s="34" t="n">
        <x:v>0.257069</x:v>
      </x:c>
      <x:c r="L497" s="34" t="n">
        <x:v>0</x:v>
      </x:c>
      <x:c r="M497" s="34" t="n">
        <x:v>0.742931</x:v>
      </x:c>
      <x:c r="N497" s="34" t="n">
        <x:v>0</x:v>
      </x:c>
      <x:c r="O497" s="34" t="n">
        <x:v>0.15</x:v>
      </x:c>
      <x:c r="P497" s="34" t="n">
        <x:v>0.1</x:v>
      </x:c>
      <x:c r="Q497" s="34" t="n">
        <x:v>0.2</x:v>
      </x:c>
      <x:c r="R497" s="34" t="n">
        <x:v>0.1</x:v>
      </x:c>
      <x:c r="S497" s="34" t="n">
        <x:v>0.01</x:v>
      </x:c>
      <x:c r="T497" s="34" t="n">
        <x:v>316.828944</x:v>
      </x:c>
      <x:c r="U497" s="34" t="str">
        <x:v>NS-EAST:H2_DRI_EAF:2034|NS-KANSAI:H2_DRI_EAF:2036|NS-KYUSHU:BF_RELINE:2029|NS-NAGOYA:H2_DRI_EAF:2032|NS-SETOUCHI:H2_DRI_EAF:2038</x:v>
      </x:c>
      <x:c r="V497" s="34" t="str">
        <x:v>model_generated_candidate</x:v>
      </x:c>
      <x:c r="W497" s="34" t="str">
        <x:v>Generated from disclosed-path facility calendar, technology set and template contracting assumptions; not a company-announced project</x:v>
      </x:c>
    </x:row>
    <x:row r="498">
      <x:c r="A498" s="34" t="str">
        <x:v>CAND-841E9834C92202</x:v>
      </x:c>
      <x:c r="B498" s="34" t="str">
        <x:v>NIPPON_STEEL_JP</x:v>
      </x:c>
      <x:c r="C498" s="34" t="str">
        <x:v>Nippon Steel</x:v>
      </x:c>
      <x:c r="D498" s="34" t="str">
        <x:v>P1</x:v>
      </x:c>
      <x:c r="E498" s="34" t="str">
        <x:v>지연·현물조달</x:v>
      </x:c>
      <x:c r="F498" s="34" t="str">
        <x:v>PORT-F8E2822A3FA6</x:v>
      </x:c>
      <x:c r="G498" s="34" t="str">
        <x:v>DISCLOSED_PATH</x:v>
      </x:c>
      <x:c r="H498" s="34" t="n">
        <x:v>5</x:v>
      </x:c>
      <x:c r="I498" s="34" t="n">
        <x:v>2029</x:v>
      </x:c>
      <x:c r="J498" s="34" t="n">
        <x:v>2038</x:v>
      </x:c>
      <x:c r="K498" s="34" t="n">
        <x:v>0.161954</x:v>
      </x:c>
      <x:c r="L498" s="34" t="n">
        <x:v>0</x:v>
      </x:c>
      <x:c r="M498" s="34" t="n">
        <x:v>0.838046</x:v>
      </x:c>
      <x:c r="N498" s="34" t="n">
        <x:v>0</x:v>
      </x:c>
      <x:c r="O498" s="34" t="n">
        <x:v>0</x:v>
      </x:c>
      <x:c r="P498" s="34" t="n">
        <x:v>0</x:v>
      </x:c>
      <x:c r="Q498" s="34" t="n">
        <x:v>0.1</x:v>
      </x:c>
      <x:c r="R498" s="34" t="n">
        <x:v>0</x:v>
      </x:c>
      <x:c r="S498" s="34" t="n">
        <x:v>0</x:v>
      </x:c>
      <x:c r="T498" s="34" t="n">
        <x:v>452.828938</x:v>
      </x:c>
      <x:c r="U498" s="34" t="str">
        <x:v>NS-EAST:H2_DRI_EAF:2034|NS-KANSAI:BF_RELINE:2036|NS-KYUSHU:H2_DRI_EAF:2029|NS-NAGOYA:H2_DRI_EAF:2032|NS-SETOUCHI:H2_DRI_EAF:2038</x:v>
      </x:c>
      <x:c r="V498" s="34" t="str">
        <x:v>model_generated_candidate</x:v>
      </x:c>
      <x:c r="W498" s="34" t="str">
        <x:v>Generated from disclosed-path facility calendar, technology set and template contracting assumptions; not a company-announced project</x:v>
      </x:c>
    </x:row>
    <x:row r="499">
      <x:c r="A499" s="34" t="str">
        <x:v>CAND-848741A069F420</x:v>
      </x:c>
      <x:c r="B499" s="34" t="str">
        <x:v>NIPPON_STEEL_JP</x:v>
      </x:c>
      <x:c r="C499" s="34" t="str">
        <x:v>Nippon Steel</x:v>
      </x:c>
      <x:c r="D499" s="34" t="str">
        <x:v>P3</x:v>
      </x:c>
      <x:c r="E499" s="34" t="str">
        <x:v>균형형 라이트헤지</x:v>
      </x:c>
      <x:c r="F499" s="34" t="str">
        <x:v>PORT-D248600EA55E</x:v>
      </x:c>
      <x:c r="G499" s="34" t="str">
        <x:v>DISCLOSED_PATH</x:v>
      </x:c>
      <x:c r="H499" s="34" t="n">
        <x:v>5</x:v>
      </x:c>
      <x:c r="I499" s="34" t="n">
        <x:v>2029</x:v>
      </x:c>
      <x:c r="J499" s="34" t="n">
        <x:v>2038</x:v>
      </x:c>
      <x:c r="K499" s="34" t="n">
        <x:v>0.257069</x:v>
      </x:c>
      <x:c r="L499" s="34" t="n">
        <x:v>0.179949</x:v>
      </x:c>
      <x:c r="M499" s="34" t="n">
        <x:v>0.562982</x:v>
      </x:c>
      <x:c r="N499" s="34" t="n">
        <x:v>0</x:v>
      </x:c>
      <x:c r="O499" s="34" t="n">
        <x:v>0.3</x:v>
      </x:c>
      <x:c r="P499" s="34" t="n">
        <x:v>0.25</x:v>
      </x:c>
      <x:c r="Q499" s="34" t="n">
        <x:v>0.35</x:v>
      </x:c>
      <x:c r="R499" s="34" t="n">
        <x:v>0.25</x:v>
      </x:c>
      <x:c r="S499" s="34" t="n">
        <x:v>0.015</x:v>
      </x:c>
      <x:c r="T499" s="34" t="n">
        <x:v>302.878949</x:v>
      </x:c>
      <x:c r="U499" s="34" t="str">
        <x:v>NS-EAST:H2_DRI_EAF:2034|NS-KANSAI:H2_DRI_EAF:2036|NS-KYUSHU:BF_RELINE:2029|NS-NAGOYA:SCRAP_EAF:2032|NS-SETOUCHI:H2_DRI_EAF:2038</x:v>
      </x:c>
      <x:c r="V499" s="34" t="str">
        <x:v>model_generated_candidate</x:v>
      </x:c>
      <x:c r="W499" s="34" t="str">
        <x:v>Generated from disclosed-path facility calendar, technology set and template contracting assumptions; not a company-announced project</x:v>
      </x:c>
    </x:row>
    <x:row r="500">
      <x:c r="A500" s="34" t="str">
        <x:v>CAND-84AB62E2131B9C</x:v>
      </x:c>
      <x:c r="B500" s="34" t="str">
        <x:v>NIPPON_STEEL_JP</x:v>
      </x:c>
      <x:c r="C500" s="34" t="str">
        <x:v>Nippon Steel</x:v>
      </x:c>
      <x:c r="D500" s="34" t="str">
        <x:v>P2</x:v>
      </x:c>
      <x:c r="E500" s="34" t="str">
        <x:v>지연·부분헤지</x:v>
      </x:c>
      <x:c r="F500" s="34" t="str">
        <x:v>PORT-BE01C0E85B02</x:v>
      </x:c>
      <x:c r="G500" s="34" t="str">
        <x:v>DISCLOSED_PATH</x:v>
      </x:c>
      <x:c r="H500" s="34" t="n">
        <x:v>5</x:v>
      </x:c>
      <x:c r="I500" s="34" t="n">
        <x:v>2029</x:v>
      </x:c>
      <x:c r="J500" s="34" t="n">
        <x:v>2038</x:v>
      </x:c>
      <x:c r="K500" s="34" t="n">
        <x:v>0.208226</x:v>
      </x:c>
      <x:c r="L500" s="34" t="n">
        <x:v>0.341902</x:v>
      </x:c>
      <x:c r="M500" s="34" t="n">
        <x:v>0.449871</x:v>
      </x:c>
      <x:c r="N500" s="34" t="n">
        <x:v>0</x:v>
      </x:c>
      <x:c r="O500" s="34" t="n">
        <x:v>0.15</x:v>
      </x:c>
      <x:c r="P500" s="34" t="n">
        <x:v>0.1</x:v>
      </x:c>
      <x:c r="Q500" s="34" t="n">
        <x:v>0.2</x:v>
      </x:c>
      <x:c r="R500" s="34" t="n">
        <x:v>0.1</x:v>
      </x:c>
      <x:c r="S500" s="34" t="n">
        <x:v>0.01</x:v>
      </x:c>
      <x:c r="T500" s="34" t="n">
        <x:v>393.798937</x:v>
      </x:c>
      <x:c r="U500" s="34" t="str">
        <x:v>NS-EAST:BF_RELINE:2034|NS-KANSAI:SCRAP_EAF:2036|NS-KYUSHU:H2_DRI_EAF:2029|NS-NAGOYA:SCRAP_EAF:2032|NS-SETOUCHI:H2_DRI_EAF:2038</x:v>
      </x:c>
      <x:c r="V500" s="34" t="str">
        <x:v>model_generated_candidate</x:v>
      </x:c>
      <x:c r="W500" s="34" t="str">
        <x:v>Generated from disclosed-path facility calendar, technology set and template contracting assumptions; not a company-announced project</x:v>
      </x:c>
    </x:row>
    <x:row r="501">
      <x:c r="A501" s="34" t="str">
        <x:v>CAND-8532AEEAEC02D2</x:v>
      </x:c>
      <x:c r="B501" s="34" t="str">
        <x:v>NIPPON_STEEL_JP</x:v>
      </x:c>
      <x:c r="C501" s="34" t="str">
        <x:v>Nippon Steel</x:v>
      </x:c>
      <x:c r="D501" s="34" t="str">
        <x:v>P1</x:v>
      </x:c>
      <x:c r="E501" s="34" t="str">
        <x:v>지연·현물조달</x:v>
      </x:c>
      <x:c r="F501" s="34" t="str">
        <x:v>PORT-9037F7D829FB</x:v>
      </x:c>
      <x:c r="G501" s="34" t="str">
        <x:v>DISCLOSED_PATH</x:v>
      </x:c>
      <x:c r="H501" s="34" t="n">
        <x:v>5</x:v>
      </x:c>
      <x:c r="I501" s="34" t="n">
        <x:v>2029</x:v>
      </x:c>
      <x:c r="J501" s="34" t="n">
        <x:v>2038</x:v>
      </x:c>
      <x:c r="K501" s="34" t="n">
        <x:v>0.437018</x:v>
      </x:c>
      <x:c r="L501" s="34" t="n">
        <x:v>0</x:v>
      </x:c>
      <x:c r="M501" s="34" t="n">
        <x:v>0.562982</x:v>
      </x:c>
      <x:c r="N501" s="34" t="n">
        <x:v>0</x:v>
      </x:c>
      <x:c r="O501" s="34" t="n">
        <x:v>0</x:v>
      </x:c>
      <x:c r="P501" s="34" t="n">
        <x:v>0</x:v>
      </x:c>
      <x:c r="Q501" s="34" t="n">
        <x:v>0.1</x:v>
      </x:c>
      <x:c r="R501" s="34" t="n">
        <x:v>0</x:v>
      </x:c>
      <x:c r="S501" s="34" t="n">
        <x:v>0</x:v>
      </x:c>
      <x:c r="T501" s="34" t="n">
        <x:v>221.968975</x:v>
      </x:c>
      <x:c r="U501" s="34" t="str">
        <x:v>NS-EAST:H2_DRI_EAF:2034|NS-KANSAI:H2_DRI_EAF:2036|NS-KYUSHU:BF_RELINE:2029|NS-NAGOYA:BF_RELINE:2032|NS-SETOUCHI:H2_DRI_EAF:2038</x:v>
      </x:c>
      <x:c r="V501" s="34" t="str">
        <x:v>model_generated_candidate</x:v>
      </x:c>
      <x:c r="W501" s="34" t="str">
        <x:v>Generated from disclosed-path facility calendar, technology set and template contracting assumptions; not a company-announced project</x:v>
      </x:c>
    </x:row>
    <x:row r="502">
      <x:c r="A502" s="34" t="str">
        <x:v>CAND-854A8878DA15B2</x:v>
      </x:c>
      <x:c r="B502" s="34" t="str">
        <x:v>NIPPON_STEEL_JP</x:v>
      </x:c>
      <x:c r="C502" s="34" t="str">
        <x:v>Nippon Steel</x:v>
      </x:c>
      <x:c r="D502" s="34" t="str">
        <x:v>P2</x:v>
      </x:c>
      <x:c r="E502" s="34" t="str">
        <x:v>지연·부분헤지</x:v>
      </x:c>
      <x:c r="F502" s="34" t="str">
        <x:v>PORT-243FA04FE940</x:v>
      </x:c>
      <x:c r="G502" s="34" t="str">
        <x:v>DISCLOSED_PATH</x:v>
      </x:c>
      <x:c r="H502" s="34" t="n">
        <x:v>5</x:v>
      </x:c>
      <x:c r="I502" s="34" t="n">
        <x:v>2029</x:v>
      </x:c>
      <x:c r="J502" s="34" t="n">
        <x:v>2038</x:v>
      </x:c>
      <x:c r="K502" s="34" t="n">
        <x:v>0.62982</x:v>
      </x:c>
      <x:c r="L502" s="34" t="n">
        <x:v>0</x:v>
      </x:c>
      <x:c r="M502" s="34" t="n">
        <x:v>0.37018</x:v>
      </x:c>
      <x:c r="N502" s="34" t="n">
        <x:v>0</x:v>
      </x:c>
      <x:c r="O502" s="34" t="n">
        <x:v>0.15</x:v>
      </x:c>
      <x:c r="P502" s="34" t="n">
        <x:v>0.1</x:v>
      </x:c>
      <x:c r="Q502" s="34" t="n">
        <x:v>0.2</x:v>
      </x:c>
      <x:c r="R502" s="34" t="n">
        <x:v>0.1</x:v>
      </x:c>
      <x:c r="S502" s="34" t="n">
        <x:v>0.01</x:v>
      </x:c>
      <x:c r="T502" s="34" t="n">
        <x:v>189.838975</x:v>
      </x:c>
      <x:c r="U502" s="34" t="str">
        <x:v>NS-EAST:H2_DRI_EAF:2034|NS-KANSAI:H2_DRI_EAF:2036|NS-KYUSHU:BF_RELINE:2029|NS-NAGOYA:BF_RELINE:2032|NS-SETOUCHI:BF_RELINE:2038</x:v>
      </x:c>
      <x:c r="V502" s="34" t="str">
        <x:v>model_generated_candidate</x:v>
      </x:c>
      <x:c r="W502" s="34" t="str">
        <x:v>Generated from disclosed-path facility calendar, technology set and template contracting assumptions; not a company-announced project</x:v>
      </x:c>
    </x:row>
    <x:row r="503">
      <x:c r="A503" s="34" t="str">
        <x:v>CAND-855EB0F14B9B3F</x:v>
      </x:c>
      <x:c r="B503" s="34" t="str">
        <x:v>NIPPON_STEEL_JP</x:v>
      </x:c>
      <x:c r="C503" s="34" t="str">
        <x:v>Nippon Steel</x:v>
      </x:c>
      <x:c r="D503" s="34" t="str">
        <x:v>P1</x:v>
      </x:c>
      <x:c r="E503" s="34" t="str">
        <x:v>지연·현물조달</x:v>
      </x:c>
      <x:c r="F503" s="34" t="str">
        <x:v>PORT-1ADC37BD5A8C</x:v>
      </x:c>
      <x:c r="G503" s="34" t="str">
        <x:v>DISCLOSED_PATH</x:v>
      </x:c>
      <x:c r="H503" s="34" t="n">
        <x:v>5</x:v>
      </x:c>
      <x:c r="I503" s="34" t="n">
        <x:v>2029</x:v>
      </x:c>
      <x:c r="J503" s="34" t="n">
        <x:v>2038</x:v>
      </x:c>
      <x:c r="K503" s="34" t="n">
        <x:v>0.179949</x:v>
      </x:c>
      <x:c r="L503" s="34" t="n">
        <x:v>0.419023</x:v>
      </x:c>
      <x:c r="M503" s="34" t="n">
        <x:v>0.401028</x:v>
      </x:c>
      <x:c r="N503" s="34" t="n">
        <x:v>0</x:v>
      </x:c>
      <x:c r="O503" s="34" t="n">
        <x:v>0</x:v>
      </x:c>
      <x:c r="P503" s="34" t="n">
        <x:v>0</x:v>
      </x:c>
      <x:c r="Q503" s="34" t="n">
        <x:v>0.1</x:v>
      </x:c>
      <x:c r="R503" s="34" t="n">
        <x:v>0</x:v>
      </x:c>
      <x:c r="S503" s="34" t="n">
        <x:v>0</x:v>
      </x:c>
      <x:c r="T503" s="34" t="n">
        <x:v>371.568974</x:v>
      </x:c>
      <x:c r="U503" s="34" t="str">
        <x:v>NS-EAST:H2_DRI_EAF:2034|NS-KANSAI:SCRAP_EAF:2036|NS-KYUSHU:SCRAP_EAF:2029|NS-NAGOYA:BF_RELINE:2032|NS-SETOUCHI:H2_DRI_EAF:2038</x:v>
      </x:c>
      <x:c r="V503" s="34" t="str">
        <x:v>model_generated_candidate</x:v>
      </x:c>
      <x:c r="W503" s="34" t="str">
        <x:v>Generated from disclosed-path facility calendar, technology set and template contracting assumptions; not a company-announced project</x:v>
      </x:c>
    </x:row>
    <x:row r="504">
      <x:c r="A504" s="34" t="str">
        <x:v>CAND-85A05653F48C32</x:v>
      </x:c>
      <x:c r="B504" s="34" t="str">
        <x:v>NIPPON_STEEL_JP</x:v>
      </x:c>
      <x:c r="C504" s="34" t="str">
        <x:v>Nippon Steel</x:v>
      </x:c>
      <x:c r="D504" s="34" t="str">
        <x:v>P3</x:v>
      </x:c>
      <x:c r="E504" s="34" t="str">
        <x:v>균형형 라이트헤지</x:v>
      </x:c>
      <x:c r="F504" s="34" t="str">
        <x:v>PORT-A2A3E35D3296</x:v>
      </x:c>
      <x:c r="G504" s="34" t="str">
        <x:v>DISCLOSED_PATH</x:v>
      </x:c>
      <x:c r="H504" s="34" t="n">
        <x:v>5</x:v>
      </x:c>
      <x:c r="I504" s="34" t="n">
        <x:v>2029</x:v>
      </x:c>
      <x:c r="J504" s="34" t="n">
        <x:v>2038</x:v>
      </x:c>
      <x:c r="K504" s="34" t="n">
        <x:v>0</x:v>
      </x:c>
      <x:c r="L504" s="34" t="n">
        <x:v>0.341902</x:v>
      </x:c>
      <x:c r="M504" s="34" t="n">
        <x:v>0.658098</x:v>
      </x:c>
      <x:c r="N504" s="34" t="n">
        <x:v>0</x:v>
      </x:c>
      <x:c r="O504" s="34" t="n">
        <x:v>0.3</x:v>
      </x:c>
      <x:c r="P504" s="34" t="n">
        <x:v>0.25</x:v>
      </x:c>
      <x:c r="Q504" s="34" t="n">
        <x:v>0.35</x:v>
      </x:c>
      <x:c r="R504" s="34" t="n">
        <x:v>0.25</x:v>
      </x:c>
      <x:c r="S504" s="34" t="n">
        <x:v>0.015</x:v>
      </x:c>
      <x:c r="T504" s="34" t="n">
        <x:v>479.478948</x:v>
      </x:c>
      <x:c r="U504" s="34" t="str">
        <x:v>NS-EAST:H2_DRI_EAF:2034|NS-KANSAI:SCRAP_EAF:2036|NS-KYUSHU:H2_DRI_EAF:2029|NS-NAGOYA:SCRAP_EAF:2032|NS-SETOUCHI:H2_DRI_EAF:2038</x:v>
      </x:c>
      <x:c r="V504" s="34" t="str">
        <x:v>model_generated_candidate</x:v>
      </x:c>
      <x:c r="W504" s="34" t="str">
        <x:v>Generated from disclosed-path facility calendar, technology set and template contracting assumptions; not a company-announced project</x:v>
      </x:c>
    </x:row>
    <x:row r="505">
      <x:c r="A505" s="34" t="str">
        <x:v>CAND-85AAF89A79EE9D</x:v>
      </x:c>
      <x:c r="B505" s="34" t="str">
        <x:v>NIPPON_STEEL_JP</x:v>
      </x:c>
      <x:c r="C505" s="34" t="str">
        <x:v>Nippon Steel</x:v>
      </x:c>
      <x:c r="D505" s="34" t="str">
        <x:v>P2</x:v>
      </x:c>
      <x:c r="E505" s="34" t="str">
        <x:v>지연·부분헤지</x:v>
      </x:c>
      <x:c r="F505" s="34" t="str">
        <x:v>PORT-A6C1B550A321</x:v>
      </x:c>
      <x:c r="G505" s="34" t="str">
        <x:v>DISCLOSED_PATH</x:v>
      </x:c>
      <x:c r="H505" s="34" t="n">
        <x:v>5</x:v>
      </x:c>
      <x:c r="I505" s="34" t="n">
        <x:v>2029</x:v>
      </x:c>
      <x:c r="J505" s="34" t="n">
        <x:v>2038</x:v>
      </x:c>
      <x:c r="K505" s="34" t="n">
        <x:v>0.598972</x:v>
      </x:c>
      <x:c r="L505" s="34" t="n">
        <x:v>0.192802</x:v>
      </x:c>
      <x:c r="M505" s="34" t="n">
        <x:v>0.208226</x:v>
      </x:c>
      <x:c r="N505" s="34" t="n">
        <x:v>0</x:v>
      </x:c>
      <x:c r="O505" s="34" t="n">
        <x:v>0.15</x:v>
      </x:c>
      <x:c r="P505" s="34" t="n">
        <x:v>0.1</x:v>
      </x:c>
      <x:c r="Q505" s="34" t="n">
        <x:v>0.2</x:v>
      </x:c>
      <x:c r="R505" s="34" t="n">
        <x:v>0.1</x:v>
      </x:c>
      <x:c r="S505" s="34" t="n">
        <x:v>0.01</x:v>
      </x:c>
      <x:c r="T505" s="34" t="n">
        <x:v>169.643969</x:v>
      </x:c>
      <x:c r="U505" s="34" t="str">
        <x:v>NS-EAST:H2_DRI_EAF:2034|NS-KANSAI:BF_RELINE:2036|NS-KYUSHU:BF_RELINE:2029|NS-NAGOYA:BF_RELINE:2032|NS-SETOUCHI:SCRAP_EAF:2038</x:v>
      </x:c>
      <x:c r="V505" s="34" t="str">
        <x:v>model_generated_candidate</x:v>
      </x:c>
      <x:c r="W505" s="34" t="str">
        <x:v>Generated from disclosed-path facility calendar, technology set and template contracting assumptions; not a company-announced project</x:v>
      </x:c>
    </x:row>
    <x:row r="506">
      <x:c r="A506" s="34" t="str">
        <x:v>CAND-86C553126C5472</x:v>
      </x:c>
      <x:c r="B506" s="34" t="str">
        <x:v>NIPPON_STEEL_JP</x:v>
      </x:c>
      <x:c r="C506" s="34" t="str">
        <x:v>Nippon Steel</x:v>
      </x:c>
      <x:c r="D506" s="34" t="str">
        <x:v>P1</x:v>
      </x:c>
      <x:c r="E506" s="34" t="str">
        <x:v>지연·현물조달</x:v>
      </x:c>
      <x:c r="F506" s="34" t="str">
        <x:v>PORT-1DC04C5CC9AF</x:v>
      </x:c>
      <x:c r="G506" s="34" t="str">
        <x:v>DISCLOSED_PATH</x:v>
      </x:c>
      <x:c r="H506" s="34" t="n">
        <x:v>5</x:v>
      </x:c>
      <x:c r="I506" s="34" t="n">
        <x:v>2029</x:v>
      </x:c>
      <x:c r="J506" s="34" t="n">
        <x:v>2038</x:v>
      </x:c>
      <x:c r="K506" s="34" t="n">
        <x:v>0.192802</x:v>
      </x:c>
      <x:c r="L506" s="34" t="n">
        <x:v>0.807198</x:v>
      </x:c>
      <x:c r="M506" s="34" t="n">
        <x:v>0</x:v>
      </x:c>
      <x:c r="N506" s="34" t="n">
        <x:v>0</x:v>
      </x:c>
      <x:c r="O506" s="34" t="n">
        <x:v>0</x:v>
      </x:c>
      <x:c r="P506" s="34" t="n">
        <x:v>0</x:v>
      </x:c>
      <x:c r="Q506" s="34" t="n">
        <x:v>0.1</x:v>
      </x:c>
      <x:c r="R506" s="34" t="n">
        <x:v>0</x:v>
      </x:c>
      <x:c r="S506" s="34" t="n">
        <x:v>0</x:v>
      </x:c>
      <x:c r="T506" s="34" t="n">
        <x:v>407.748946</x:v>
      </x:c>
      <x:c r="U506" s="34" t="str">
        <x:v>NS-EAST:SCRAP_EAF:2034|NS-KANSAI:SCRAP_EAF:2036|NS-KYUSHU:SCRAP_EAF:2029|NS-NAGOYA:SCRAP_EAF:2032|NS-SETOUCHI:BF_RELINE:2038</x:v>
      </x:c>
      <x:c r="V506" s="34" t="str">
        <x:v>model_generated_candidate</x:v>
      </x:c>
      <x:c r="W506" s="34" t="str">
        <x:v>Generated from disclosed-path facility calendar, technology set and template contracting assumptions; not a company-announced project</x:v>
      </x:c>
    </x:row>
    <x:row r="507">
      <x:c r="A507" s="34" t="str">
        <x:v>CAND-86F34704F3CCB7</x:v>
      </x:c>
      <x:c r="B507" s="34" t="str">
        <x:v>NIPPON_STEEL_JP</x:v>
      </x:c>
      <x:c r="C507" s="34" t="str">
        <x:v>Nippon Steel</x:v>
      </x:c>
      <x:c r="D507" s="34" t="str">
        <x:v>P1</x:v>
      </x:c>
      <x:c r="E507" s="34" t="str">
        <x:v>지연·현물조달</x:v>
      </x:c>
      <x:c r="F507" s="34" t="str">
        <x:v>PORT-D2286B1543C0</x:v>
      </x:c>
      <x:c r="G507" s="34" t="str">
        <x:v>DISCLOSED_PATH</x:v>
      </x:c>
      <x:c r="H507" s="34" t="n">
        <x:v>5</x:v>
      </x:c>
      <x:c r="I507" s="34" t="n">
        <x:v>2029</x:v>
      </x:c>
      <x:c r="J507" s="34" t="n">
        <x:v>2038</x:v>
      </x:c>
      <x:c r="K507" s="34" t="n">
        <x:v>0.372751</x:v>
      </x:c>
      <x:c r="L507" s="34" t="n">
        <x:v>0.257069</x:v>
      </x:c>
      <x:c r="M507" s="34" t="n">
        <x:v>0.37018</x:v>
      </x:c>
      <x:c r="N507" s="34" t="n">
        <x:v>0</x:v>
      </x:c>
      <x:c r="O507" s="34" t="n">
        <x:v>0</x:v>
      </x:c>
      <x:c r="P507" s="34" t="n">
        <x:v>0</x:v>
      </x:c>
      <x:c r="Q507" s="34" t="n">
        <x:v>0.1</x:v>
      </x:c>
      <x:c r="R507" s="34" t="n">
        <x:v>0</x:v>
      </x:c>
      <x:c r="S507" s="34" t="n">
        <x:v>0</x:v>
      </x:c>
      <x:c r="T507" s="34" t="n">
        <x:v>346.438975</x:v>
      </x:c>
      <x:c r="U507" s="34" t="str">
        <x:v>NS-EAST:H2_DRI_EAF:2034|NS-KANSAI:H2_DRI_EAF:2036|NS-KYUSHU:SCRAP_EAF:2029|NS-NAGOYA:BF_RELINE:2032|NS-SETOUCHI:BF_RELINE:2038</x:v>
      </x:c>
      <x:c r="V507" s="34" t="str">
        <x:v>model_generated_candidate</x:v>
      </x:c>
      <x:c r="W507" s="34" t="str">
        <x:v>Generated from disclosed-path facility calendar, technology set and template contracting assumptions; not a company-announced project</x:v>
      </x:c>
    </x:row>
    <x:row r="508">
      <x:c r="A508" s="34" t="str">
        <x:v>CAND-875BA46EAF1DC7</x:v>
      </x:c>
      <x:c r="B508" s="34" t="str">
        <x:v>NIPPON_STEEL_JP</x:v>
      </x:c>
      <x:c r="C508" s="34" t="str">
        <x:v>Nippon Steel</x:v>
      </x:c>
      <x:c r="D508" s="34" t="str">
        <x:v>P1</x:v>
      </x:c>
      <x:c r="E508" s="34" t="str">
        <x:v>지연·현물조달</x:v>
      </x:c>
      <x:c r="F508" s="34" t="str">
        <x:v>PORT-674311CC4C19</x:v>
      </x:c>
      <x:c r="G508" s="34" t="str">
        <x:v>DISCLOSED_PATH</x:v>
      </x:c>
      <x:c r="H508" s="34" t="n">
        <x:v>5</x:v>
      </x:c>
      <x:c r="I508" s="34" t="n">
        <x:v>2029</x:v>
      </x:c>
      <x:c r="J508" s="34" t="n">
        <x:v>2038</x:v>
      </x:c>
      <x:c r="K508" s="34" t="n">
        <x:v>0.161954</x:v>
      </x:c>
      <x:c r="L508" s="34" t="n">
        <x:v>0.372751</x:v>
      </x:c>
      <x:c r="M508" s="34" t="n">
        <x:v>0.465296</x:v>
      </x:c>
      <x:c r="N508" s="34" t="n">
        <x:v>0</x:v>
      </x:c>
      <x:c r="O508" s="34" t="n">
        <x:v>0</x:v>
      </x:c>
      <x:c r="P508" s="34" t="n">
        <x:v>0</x:v>
      </x:c>
      <x:c r="Q508" s="34" t="n">
        <x:v>0.1</x:v>
      </x:c>
      <x:c r="R508" s="34" t="n">
        <x:v>0</x:v>
      </x:c>
      <x:c r="S508" s="34" t="n">
        <x:v>0</x:v>
      </x:c>
      <x:c r="T508" s="34" t="n">
        <x:v>434.153943</x:v>
      </x:c>
      <x:c r="U508" s="34" t="str">
        <x:v>NS-EAST:H2_DRI_EAF:2034|NS-KANSAI:BF_RELINE:2036|NS-KYUSHU:H2_DRI_EAF:2029|NS-NAGOYA:SCRAP_EAF:2032|NS-SETOUCHI:SCRAP_EAF:2038</x:v>
      </x:c>
      <x:c r="V508" s="34" t="str">
        <x:v>model_generated_candidate</x:v>
      </x:c>
      <x:c r="W508" s="34" t="str">
        <x:v>Generated from disclosed-path facility calendar, technology set and template contracting assumptions; not a company-announced project</x:v>
      </x:c>
    </x:row>
    <x:row r="509">
      <x:c r="A509" s="34" t="str">
        <x:v>CAND-87B9435721978E</x:v>
      </x:c>
      <x:c r="B509" s="34" t="str">
        <x:v>NIPPON_STEEL_JP</x:v>
      </x:c>
      <x:c r="C509" s="34" t="str">
        <x:v>Nippon Steel</x:v>
      </x:c>
      <x:c r="D509" s="34" t="str">
        <x:v>P1</x:v>
      </x:c>
      <x:c r="E509" s="34" t="str">
        <x:v>지연·현물조달</x:v>
      </x:c>
      <x:c r="F509" s="34" t="str">
        <x:v>PORT-5CFD50239439</x:v>
      </x:c>
      <x:c r="G509" s="34" t="str">
        <x:v>DISCLOSED_PATH</x:v>
      </x:c>
      <x:c r="H509" s="34" t="n">
        <x:v>5</x:v>
      </x:c>
      <x:c r="I509" s="34" t="n">
        <x:v>2029</x:v>
      </x:c>
      <x:c r="J509" s="34" t="n">
        <x:v>2038</x:v>
      </x:c>
      <x:c r="K509" s="34" t="n">
        <x:v>0.37018</x:v>
      </x:c>
      <x:c r="L509" s="34" t="n">
        <x:v>0.62982</x:v>
      </x:c>
      <x:c r="M509" s="34" t="n">
        <x:v>0</x:v>
      </x:c>
      <x:c r="N509" s="34" t="n">
        <x:v>0</x:v>
      </x:c>
      <x:c r="O509" s="34" t="n">
        <x:v>0</x:v>
      </x:c>
      <x:c r="P509" s="34" t="n">
        <x:v>0</x:v>
      </x:c>
      <x:c r="Q509" s="34" t="n">
        <x:v>0.1</x:v>
      </x:c>
      <x:c r="R509" s="34" t="n">
        <x:v>0</x:v>
      </x:c>
      <x:c r="S509" s="34" t="n">
        <x:v>0</x:v>
      </x:c>
      <x:c r="T509" s="34" t="n">
        <x:v>321.473932</x:v>
      </x:c>
      <x:c r="U509" s="34" t="str">
        <x:v>NS-EAST:BF_RELINE:2034|NS-KANSAI:BF_RELINE:2036|NS-KYUSHU:SCRAP_EAF:2029|NS-NAGOYA:SCRAP_EAF:2032|NS-SETOUCHI:SCRAP_EAF:2038</x:v>
      </x:c>
      <x:c r="V509" s="34" t="str">
        <x:v>model_generated_candidate</x:v>
      </x:c>
      <x:c r="W509" s="34" t="str">
        <x:v>Generated from disclosed-path facility calendar, technology set and template contracting assumptions; not a company-announced project</x:v>
      </x:c>
    </x:row>
    <x:row r="510">
      <x:c r="A510" s="34" t="str">
        <x:v>CAND-8824553399E207</x:v>
      </x:c>
      <x:c r="B510" s="34" t="str">
        <x:v>NIPPON_STEEL_JP</x:v>
      </x:c>
      <x:c r="C510" s="34" t="str">
        <x:v>Nippon Steel</x:v>
      </x:c>
      <x:c r="D510" s="34" t="str">
        <x:v>P3</x:v>
      </x:c>
      <x:c r="E510" s="34" t="str">
        <x:v>균형형 라이트헤지</x:v>
      </x:c>
      <x:c r="F510" s="34" t="str">
        <x:v>PORT-64904F869F44</x:v>
      </x:c>
      <x:c r="G510" s="34" t="str">
        <x:v>DISCLOSED_PATH</x:v>
      </x:c>
      <x:c r="H510" s="34" t="n">
        <x:v>5</x:v>
      </x:c>
      <x:c r="I510" s="34" t="n">
        <x:v>2029</x:v>
      </x:c>
      <x:c r="J510" s="34" t="n">
        <x:v>2038</x:v>
      </x:c>
      <x:c r="K510" s="34" t="n">
        <x:v>0.257069</x:v>
      </x:c>
      <x:c r="L510" s="34" t="n">
        <x:v>0.161954</x:v>
      </x:c>
      <x:c r="M510" s="34" t="n">
        <x:v>0.580977</x:v>
      </x:c>
      <x:c r="N510" s="34" t="n">
        <x:v>0</x:v>
      </x:c>
      <x:c r="O510" s="34" t="n">
        <x:v>0.3</x:v>
      </x:c>
      <x:c r="P510" s="34" t="n">
        <x:v>0.25</x:v>
      </x:c>
      <x:c r="Q510" s="34" t="n">
        <x:v>0.35</x:v>
      </x:c>
      <x:c r="R510" s="34" t="n">
        <x:v>0.25</x:v>
      </x:c>
      <x:c r="S510" s="34" t="n">
        <x:v>0.015</x:v>
      </x:c>
      <x:c r="T510" s="34" t="n">
        <x:v>309.828943</x:v>
      </x:c>
      <x:c r="U510" s="34" t="str">
        <x:v>NS-EAST:H2_DRI_EAF:2034|NS-KANSAI:SCRAP_EAF:2036|NS-KYUSHU:BF_RELINE:2029|NS-NAGOYA:H2_DRI_EAF:2032|NS-SETOUCHI:H2_DRI_EAF:2038</x:v>
      </x:c>
      <x:c r="V510" s="34" t="str">
        <x:v>model_generated_candidate</x:v>
      </x:c>
      <x:c r="W510" s="34" t="str">
        <x:v>Generated from disclosed-path facility calendar, technology set and template contracting assumptions; not a company-announced project</x:v>
      </x:c>
    </x:row>
    <x:row r="511">
      <x:c r="A511" s="34" t="str">
        <x:v>CAND-88A632B865C962</x:v>
      </x:c>
      <x:c r="B511" s="34" t="str">
        <x:v>NIPPON_STEEL_JP</x:v>
      </x:c>
      <x:c r="C511" s="34" t="str">
        <x:v>Nippon Steel</x:v>
      </x:c>
      <x:c r="D511" s="34" t="str">
        <x:v>P1</x:v>
      </x:c>
      <x:c r="E511" s="34" t="str">
        <x:v>지연·현물조달</x:v>
      </x:c>
      <x:c r="F511" s="34" t="str">
        <x:v>PORT-4028F2B5FE7E</x:v>
      </x:c>
      <x:c r="G511" s="34" t="str">
        <x:v>DISCLOSED_PATH</x:v>
      </x:c>
      <x:c r="H511" s="34" t="n">
        <x:v>5</x:v>
      </x:c>
      <x:c r="I511" s="34" t="n">
        <x:v>2029</x:v>
      </x:c>
      <x:c r="J511" s="34" t="n">
        <x:v>2038</x:v>
      </x:c>
      <x:c r="K511" s="34" t="n">
        <x:v>0.257069</x:v>
      </x:c>
      <x:c r="L511" s="34" t="n">
        <x:v>0.208226</x:v>
      </x:c>
      <x:c r="M511" s="34" t="n">
        <x:v>0.534704</x:v>
      </x:c>
      <x:c r="N511" s="34" t="n">
        <x:v>0</x:v>
      </x:c>
      <x:c r="O511" s="34" t="n">
        <x:v>0</x:v>
      </x:c>
      <x:c r="P511" s="34" t="n">
        <x:v>0</x:v>
      </x:c>
      <x:c r="Q511" s="34" t="n">
        <x:v>0.1</x:v>
      </x:c>
      <x:c r="R511" s="34" t="n">
        <x:v>0</x:v>
      </x:c>
      <x:c r="S511" s="34" t="n">
        <x:v>0</x:v>
      </x:c>
      <x:c r="T511" s="34" t="n">
        <x:v>304.228943</x:v>
      </x:c>
      <x:c r="U511" s="34" t="str">
        <x:v>NS-EAST:SCRAP_EAF:2034|NS-KANSAI:H2_DRI_EAF:2036|NS-KYUSHU:BF_RELINE:2029|NS-NAGOYA:H2_DRI_EAF:2032|NS-SETOUCHI:H2_DRI_EAF:2038</x:v>
      </x:c>
      <x:c r="V511" s="34" t="str">
        <x:v>model_generated_candidate</x:v>
      </x:c>
      <x:c r="W511" s="34" t="str">
        <x:v>Generated from disclosed-path facility calendar, technology set and template contracting assumptions; not a company-announced project</x:v>
      </x:c>
    </x:row>
    <x:row r="512">
      <x:c r="A512" s="34" t="str">
        <x:v>CAND-88DBE8FA57BADD</x:v>
      </x:c>
      <x:c r="B512" s="34" t="str">
        <x:v>NIPPON_STEEL_JP</x:v>
      </x:c>
      <x:c r="C512" s="34" t="str">
        <x:v>Nippon Steel</x:v>
      </x:c>
      <x:c r="D512" s="34" t="str">
        <x:v>P6</x:v>
      </x:c>
      <x:c r="E512" s="34" t="str">
        <x:v>조기 고헤지</x:v>
      </x:c>
      <x:c r="F512" s="34" t="str">
        <x:v>PORT-7C945F726D00</x:v>
      </x:c>
      <x:c r="G512" s="34" t="str">
        <x:v>DISCLOSED_PATH</x:v>
      </x:c>
      <x:c r="H512" s="34" t="n">
        <x:v>5</x:v>
      </x:c>
      <x:c r="I512" s="34" t="n">
        <x:v>2028</x:v>
      </x:c>
      <x:c r="J512" s="34" t="n">
        <x:v>2036</x:v>
      </x:c>
      <x:c r="K512" s="34" t="n">
        <x:v>0.179949</x:v>
      </x:c>
      <x:c r="L512" s="34" t="n">
        <x:v>0</x:v>
      </x:c>
      <x:c r="M512" s="34" t="n">
        <x:v>0.820051</x:v>
      </x:c>
      <x:c r="N512" s="34" t="n">
        <x:v>0</x:v>
      </x:c>
      <x:c r="O512" s="34" t="n">
        <x:v>0.9</x:v>
      </x:c>
      <x:c r="P512" s="34" t="n">
        <x:v>0.85</x:v>
      </x:c>
      <x:c r="Q512" s="34" t="n">
        <x:v>0.85</x:v>
      </x:c>
      <x:c r="R512" s="34" t="n">
        <x:v>0.8</x:v>
      </x:c>
      <x:c r="S512" s="34" t="n">
        <x:v>0.035</x:v>
      </x:c>
      <x:c r="T512" s="34" t="n">
        <x:v>498.719413</x:v>
      </x:c>
      <x:c r="U512" s="34" t="str">
        <x:v>NS-EAST:H2_DRI_EAF:2032|NS-KANSAI:H2_DRI_EAF:2034|NS-KYUSHU:H2_DRI_EAF:2028|NS-NAGOYA:BF_RELINE:2030|NS-SETOUCHI:H2_DRI_EAF:2036</x:v>
      </x:c>
      <x:c r="V512" s="34" t="str">
        <x:v>model_generated_candidate</x:v>
      </x:c>
      <x:c r="W512" s="34" t="str">
        <x:v>Generated from disclosed-path facility calendar, technology set and template contracting assumptions; not a company-announced project</x:v>
      </x:c>
    </x:row>
    <x:row r="513">
      <x:c r="A513" s="34" t="str">
        <x:v>CAND-8973BDCB7ABD5D</x:v>
      </x:c>
      <x:c r="B513" s="34" t="str">
        <x:v>NIPPON_STEEL_JP</x:v>
      </x:c>
      <x:c r="C513" s="34" t="str">
        <x:v>Nippon Steel</x:v>
      </x:c>
      <x:c r="D513" s="34" t="str">
        <x:v>P1</x:v>
      </x:c>
      <x:c r="E513" s="34" t="str">
        <x:v>지연·현물조달</x:v>
      </x:c>
      <x:c r="F513" s="34" t="str">
        <x:v>PORT-807501AD1AFE</x:v>
      </x:c>
      <x:c r="G513" s="34" t="str">
        <x:v>DISCLOSED_PATH</x:v>
      </x:c>
      <x:c r="H513" s="34" t="n">
        <x:v>5</x:v>
      </x:c>
      <x:c r="I513" s="34" t="n">
        <x:v>2029</x:v>
      </x:c>
      <x:c r="J513" s="34" t="n">
        <x:v>2038</x:v>
      </x:c>
      <x:c r="K513" s="34" t="n">
        <x:v>0.161954</x:v>
      </x:c>
      <x:c r="L513" s="34" t="n">
        <x:v>0.580977</x:v>
      </x:c>
      <x:c r="M513" s="34" t="n">
        <x:v>0.257069</x:v>
      </x:c>
      <x:c r="N513" s="34" t="n">
        <x:v>0</x:v>
      </x:c>
      <x:c r="O513" s="34" t="n">
        <x:v>0</x:v>
      </x:c>
      <x:c r="P513" s="34" t="n">
        <x:v>0</x:v>
      </x:c>
      <x:c r="Q513" s="34" t="n">
        <x:v>0.1</x:v>
      </x:c>
      <x:c r="R513" s="34" t="n">
        <x:v>0</x:v>
      </x:c>
      <x:c r="S513" s="34" t="n">
        <x:v>0</x:v>
      </x:c>
      <x:c r="T513" s="34" t="n">
        <x:v>421.553941</x:v>
      </x:c>
      <x:c r="U513" s="34" t="str">
        <x:v>NS-EAST:SCRAP_EAF:2034|NS-KANSAI:BF_RELINE:2036|NS-KYUSHU:H2_DRI_EAF:2029|NS-NAGOYA:SCRAP_EAF:2032|NS-SETOUCHI:SCRAP_EAF:2038</x:v>
      </x:c>
      <x:c r="V513" s="34" t="str">
        <x:v>model_generated_candidate</x:v>
      </x:c>
      <x:c r="W513" s="34" t="str">
        <x:v>Generated from disclosed-path facility calendar, technology set and template contracting assumptions; not a company-announced project</x:v>
      </x:c>
    </x:row>
    <x:row r="514">
      <x:c r="A514" s="34" t="str">
        <x:v>CAND-89D449E9FBEEF9</x:v>
      </x:c>
      <x:c r="B514" s="34" t="str">
        <x:v>NIPPON_STEEL_JP</x:v>
      </x:c>
      <x:c r="C514" s="34" t="str">
        <x:v>Nippon Steel</x:v>
      </x:c>
      <x:c r="D514" s="34" t="str">
        <x:v>P7</x:v>
      </x:c>
      <x:c r="E514" s="34" t="str">
        <x:v>완전 수소·계약형</x:v>
      </x:c>
      <x:c r="F514" s="34" t="str">
        <x:v>PORT-2ECB61BA4654</x:v>
      </x:c>
      <x:c r="G514" s="34" t="str">
        <x:v>DISCLOSED_PATH</x:v>
      </x:c>
      <x:c r="H514" s="34" t="n">
        <x:v>5</x:v>
      </x:c>
      <x:c r="I514" s="34" t="n">
        <x:v>2028</x:v>
      </x:c>
      <x:c r="J514" s="34" t="n">
        <x:v>2035</x:v>
      </x:c>
      <x:c r="K514" s="34" t="n">
        <x:v>0</x:v>
      </x:c>
      <x:c r="L514" s="34" t="n">
        <x:v>0</x:v>
      </x:c>
      <x:c r="M514" s="34" t="n">
        <x:v>1</x:v>
      </x:c>
      <x:c r="N514" s="34" t="n">
        <x:v>0</x:v>
      </x:c>
      <x:c r="O514" s="34" t="n">
        <x:v>1</x:v>
      </x:c>
      <x:c r="P514" s="34" t="n">
        <x:v>0.95</x:v>
      </x:c>
      <x:c r="Q514" s="34" t="n">
        <x:v>0.95</x:v>
      </x:c>
      <x:c r="R514" s="34" t="n">
        <x:v>0.9</x:v>
      </x:c>
      <x:c r="S514" s="34" t="n">
        <x:v>0.045</x:v>
      </x:c>
      <x:c r="T514" s="34" t="n">
        <x:v>663.14981</x:v>
      </x:c>
      <x:c r="U514" s="34" t="str">
        <x:v>NS-EAST:H2_DRI_EAF:2031|NS-KANSAI:H2_DRI_EAF:2033|NS-KYUSHU:H2_DRI_EAF:2028|NS-NAGOYA:H2_DRI_EAF:2029|NS-SETOUCHI:H2_DRI_EAF:2035</x:v>
      </x:c>
      <x:c r="V514" s="34" t="str">
        <x:v>model_generated_candidate</x:v>
      </x:c>
      <x:c r="W514" s="34" t="str">
        <x:v>Generated from disclosed-path facility calendar, technology set and template contracting assumptions; not a company-announced project</x:v>
      </x:c>
    </x:row>
    <x:row r="515">
      <x:c r="A515" s="34" t="str">
        <x:v>CAND-8A0A34A1B6CD4C</x:v>
      </x:c>
      <x:c r="B515" s="34" t="str">
        <x:v>NIPPON_STEEL_JP</x:v>
      </x:c>
      <x:c r="C515" s="34" t="str">
        <x:v>Nippon Steel</x:v>
      </x:c>
      <x:c r="D515" s="34" t="str">
        <x:v>P2</x:v>
      </x:c>
      <x:c r="E515" s="34" t="str">
        <x:v>지연·부분헤지</x:v>
      </x:c>
      <x:c r="F515" s="34" t="str">
        <x:v>PORT-AC68D0606F7A</x:v>
      </x:c>
      <x:c r="G515" s="34" t="str">
        <x:v>DISCLOSED_PATH</x:v>
      </x:c>
      <x:c r="H515" s="34" t="n">
        <x:v>5</x:v>
      </x:c>
      <x:c r="I515" s="34" t="n">
        <x:v>2029</x:v>
      </x:c>
      <x:c r="J515" s="34" t="n">
        <x:v>2038</x:v>
      </x:c>
      <x:c r="K515" s="34" t="n">
        <x:v>0.37018</x:v>
      </x:c>
      <x:c r="L515" s="34" t="n">
        <x:v>0.192802</x:v>
      </x:c>
      <x:c r="M515" s="34" t="n">
        <x:v>0.437018</x:v>
      </x:c>
      <x:c r="N515" s="34" t="n">
        <x:v>0</x:v>
      </x:c>
      <x:c r="O515" s="34" t="n">
        <x:v>0.15</x:v>
      </x:c>
      <x:c r="P515" s="34" t="n">
        <x:v>0.1</x:v>
      </x:c>
      <x:c r="Q515" s="34" t="n">
        <x:v>0.2</x:v>
      </x:c>
      <x:c r="R515" s="34" t="n">
        <x:v>0.1</x:v>
      </x:c>
      <x:c r="S515" s="34" t="n">
        <x:v>0.01</x:v>
      </x:c>
      <x:c r="T515" s="34" t="n">
        <x:v>362.423927</x:v>
      </x:c>
      <x:c r="U515" s="34" t="str">
        <x:v>NS-EAST:BF_RELINE:2034|NS-KANSAI:BF_RELINE:2036|NS-KYUSHU:H2_DRI_EAF:2029|NS-NAGOYA:H2_DRI_EAF:2032|NS-SETOUCHI:SCRAP_EAF:2038</x:v>
      </x:c>
      <x:c r="V515" s="34" t="str">
        <x:v>model_generated_candidate</x:v>
      </x:c>
      <x:c r="W515" s="34" t="str">
        <x:v>Generated from disclosed-path facility calendar, technology set and template contracting assumptions; not a company-announced project</x:v>
      </x:c>
    </x:row>
    <x:row r="516">
      <x:c r="A516" s="34" t="str">
        <x:v>CAND-8A32EE77ABBE07</x:v>
      </x:c>
      <x:c r="B516" s="34" t="str">
        <x:v>NIPPON_STEEL_JP</x:v>
      </x:c>
      <x:c r="C516" s="34" t="str">
        <x:v>Nippon Steel</x:v>
      </x:c>
      <x:c r="D516" s="34" t="str">
        <x:v>P1</x:v>
      </x:c>
      <x:c r="E516" s="34" t="str">
        <x:v>지연·현물조달</x:v>
      </x:c>
      <x:c r="F516" s="34" t="str">
        <x:v>PORT-0ACD636A8AEE</x:v>
      </x:c>
      <x:c r="G516" s="34" t="str">
        <x:v>DISCLOSED_PATH</x:v>
      </x:c>
      <x:c r="H516" s="34" t="n">
        <x:v>5</x:v>
      </x:c>
      <x:c r="I516" s="34" t="n">
        <x:v>2029</x:v>
      </x:c>
      <x:c r="J516" s="34" t="n">
        <x:v>2038</x:v>
      </x:c>
      <x:c r="K516" s="34" t="n">
        <x:v>0</x:v>
      </x:c>
      <x:c r="L516" s="34" t="n">
        <x:v>0.645244</x:v>
      </x:c>
      <x:c r="M516" s="34" t="n">
        <x:v>0.354756</x:v>
      </x:c>
      <x:c r="N516" s="34" t="n">
        <x:v>0</x:v>
      </x:c>
      <x:c r="O516" s="34" t="n">
        <x:v>0</x:v>
      </x:c>
      <x:c r="P516" s="34" t="n">
        <x:v>0</x:v>
      </x:c>
      <x:c r="Q516" s="34" t="n">
        <x:v>0.1</x:v>
      </x:c>
      <x:c r="R516" s="34" t="n">
        <x:v>0</x:v>
      </x:c>
      <x:c r="S516" s="34" t="n">
        <x:v>0</x:v>
      </x:c>
      <x:c r="T516" s="34" t="n">
        <x:v>446.878947</x:v>
      </x:c>
      <x:c r="U516" s="34" t="str">
        <x:v>NS-EAST:SCRAP_EAF:2034|NS-KANSAI:H2_DRI_EAF:2036|NS-KYUSHU:SCRAP_EAF:2029|NS-NAGOYA:SCRAP_EAF:2032|NS-SETOUCHI:H2_DRI_EAF:2038</x:v>
      </x:c>
      <x:c r="V516" s="34" t="str">
        <x:v>model_generated_candidate</x:v>
      </x:c>
      <x:c r="W516" s="34" t="str">
        <x:v>Generated from disclosed-path facility calendar, technology set and template contracting assumptions; not a company-announced project</x:v>
      </x:c>
    </x:row>
    <x:row r="517">
      <x:c r="A517" s="34" t="str">
        <x:v>CAND-8ADD0E84C771B9</x:v>
      </x:c>
      <x:c r="B517" s="34" t="str">
        <x:v>NIPPON_STEEL_JP</x:v>
      </x:c>
      <x:c r="C517" s="34" t="str">
        <x:v>Nippon Steel</x:v>
      </x:c>
      <x:c r="D517" s="34" t="str">
        <x:v>P1</x:v>
      </x:c>
      <x:c r="E517" s="34" t="str">
        <x:v>지연·현물조달</x:v>
      </x:c>
      <x:c r="F517" s="34" t="str">
        <x:v>PORT-1F662552CEC3</x:v>
      </x:c>
      <x:c r="G517" s="34" t="str">
        <x:v>DISCLOSED_PATH</x:v>
      </x:c>
      <x:c r="H517" s="34" t="n">
        <x:v>5</x:v>
      </x:c>
      <x:c r="I517" s="34" t="n">
        <x:v>2029</x:v>
      </x:c>
      <x:c r="J517" s="34" t="n">
        <x:v>2038</x:v>
      </x:c>
      <x:c r="K517" s="34" t="n">
        <x:v>0.388175</x:v>
      </x:c>
      <x:c r="L517" s="34" t="n">
        <x:v>0.449871</x:v>
      </x:c>
      <x:c r="M517" s="34" t="n">
        <x:v>0.161954</x:v>
      </x:c>
      <x:c r="N517" s="34" t="n">
        <x:v>0</x:v>
      </x:c>
      <x:c r="O517" s="34" t="n">
        <x:v>0</x:v>
      </x:c>
      <x:c r="P517" s="34" t="n">
        <x:v>0</x:v>
      </x:c>
      <x:c r="Q517" s="34" t="n">
        <x:v>0.1</x:v>
      </x:c>
      <x:c r="R517" s="34" t="n">
        <x:v>0</x:v>
      </x:c>
      <x:c r="S517" s="34" t="n">
        <x:v>0</x:v>
      </x:c>
      <x:c r="T517" s="34" t="n">
        <x:v>288.163964</x:v>
      </x:c>
      <x:c r="U517" s="34" t="str">
        <x:v>NS-EAST:BF_RELINE:2034|NS-KANSAI:H2_DRI_EAF:2036|NS-KYUSHU:SCRAP_EAF:2029|NS-NAGOYA:BF_RELINE:2032|NS-SETOUCHI:SCRAP_EAF:2038</x:v>
      </x:c>
      <x:c r="V517" s="34" t="str">
        <x:v>model_generated_candidate</x:v>
      </x:c>
      <x:c r="W517" s="34" t="str">
        <x:v>Generated from disclosed-path facility calendar, technology set and template contracting assumptions; not a company-announced project</x:v>
      </x:c>
    </x:row>
    <x:row r="518">
      <x:c r="A518" s="34" t="str">
        <x:v>CAND-8C1DE82984BE9C</x:v>
      </x:c>
      <x:c r="B518" s="34" t="str">
        <x:v>NIPPON_STEEL_JP</x:v>
      </x:c>
      <x:c r="C518" s="34" t="str">
        <x:v>Nippon Steel</x:v>
      </x:c>
      <x:c r="D518" s="34" t="str">
        <x:v>P3</x:v>
      </x:c>
      <x:c r="E518" s="34" t="str">
        <x:v>균형형 라이트헤지</x:v>
      </x:c>
      <x:c r="F518" s="34" t="str">
        <x:v>PORT-8186E2E8AA48</x:v>
      </x:c>
      <x:c r="G518" s="34" t="str">
        <x:v>DISCLOSED_PATH</x:v>
      </x:c>
      <x:c r="H518" s="34" t="n">
        <x:v>5</x:v>
      </x:c>
      <x:c r="I518" s="34" t="n">
        <x:v>2029</x:v>
      </x:c>
      <x:c r="J518" s="34" t="n">
        <x:v>2038</x:v>
      </x:c>
      <x:c r="K518" s="34" t="n">
        <x:v>0</x:v>
      </x:c>
      <x:c r="L518" s="34" t="n">
        <x:v>0.208226</x:v>
      </x:c>
      <x:c r="M518" s="34" t="n">
        <x:v>0.791774</x:v>
      </x:c>
      <x:c r="N518" s="34" t="n">
        <x:v>0</x:v>
      </x:c>
      <x:c r="O518" s="34" t="n">
        <x:v>0.3</x:v>
      </x:c>
      <x:c r="P518" s="34" t="n">
        <x:v>0.25</x:v>
      </x:c>
      <x:c r="Q518" s="34" t="n">
        <x:v>0.35</x:v>
      </x:c>
      <x:c r="R518" s="34" t="n">
        <x:v>0.25</x:v>
      </x:c>
      <x:c r="S518" s="34" t="n">
        <x:v>0.015</x:v>
      </x:c>
      <x:c r="T518" s="34" t="n">
        <x:v>487.828943</x:v>
      </x:c>
      <x:c r="U518" s="34" t="str">
        <x:v>NS-EAST:SCRAP_EAF:2034|NS-KANSAI:H2_DRI_EAF:2036|NS-KYUSHU:H2_DRI_EAF:2029|NS-NAGOYA:H2_DRI_EAF:2032|NS-SETOUCHI:H2_DRI_EAF:2038</x:v>
      </x:c>
      <x:c r="V518" s="34" t="str">
        <x:v>model_generated_candidate</x:v>
      </x:c>
      <x:c r="W518" s="34" t="str">
        <x:v>Generated from disclosed-path facility calendar, technology set and template contracting assumptions; not a company-announced project</x:v>
      </x:c>
    </x:row>
    <x:row r="519">
      <x:c r="A519" s="34" t="str">
        <x:v>CAND-8C43EE4829013A</x:v>
      </x:c>
      <x:c r="B519" s="34" t="str">
        <x:v>NIPPON_STEEL_JP</x:v>
      </x:c>
      <x:c r="C519" s="34" t="str">
        <x:v>Nippon Steel</x:v>
      </x:c>
      <x:c r="D519" s="34" t="str">
        <x:v>P2</x:v>
      </x:c>
      <x:c r="E519" s="34" t="str">
        <x:v>지연·부분헤지</x:v>
      </x:c>
      <x:c r="F519" s="34" t="str">
        <x:v>PORT-758CC6172A3B</x:v>
      </x:c>
      <x:c r="G519" s="34" t="str">
        <x:v>DISCLOSED_PATH</x:v>
      </x:c>
      <x:c r="H519" s="34" t="n">
        <x:v>5</x:v>
      </x:c>
      <x:c r="I519" s="34" t="n">
        <x:v>2029</x:v>
      </x:c>
      <x:c r="J519" s="34" t="n">
        <x:v>2038</x:v>
      </x:c>
      <x:c r="K519" s="34" t="n">
        <x:v>0.550129</x:v>
      </x:c>
      <x:c r="L519" s="34" t="n">
        <x:v>0.192802</x:v>
      </x:c>
      <x:c r="M519" s="34" t="n">
        <x:v>0.257069</x:v>
      </x:c>
      <x:c r="N519" s="34" t="n">
        <x:v>0</x:v>
      </x:c>
      <x:c r="O519" s="34" t="n">
        <x:v>0.15</x:v>
      </x:c>
      <x:c r="P519" s="34" t="n">
        <x:v>0.1</x:v>
      </x:c>
      <x:c r="Q519" s="34" t="n">
        <x:v>0.2</x:v>
      </x:c>
      <x:c r="R519" s="34" t="n">
        <x:v>0.1</x:v>
      </x:c>
      <x:c r="S519" s="34" t="n">
        <x:v>0.01</x:v>
      </x:c>
      <x:c r="T519" s="34" t="n">
        <x:v>267.563958</x:v>
      </x:c>
      <x:c r="U519" s="34" t="str">
        <x:v>NS-EAST:BF_RELINE:2034|NS-KANSAI:BF_RELINE:2036|NS-KYUSHU:H2_DRI_EAF:2029|NS-NAGOYA:BF_RELINE:2032|NS-SETOUCHI:SCRAP_EAF:2038</x:v>
      </x:c>
      <x:c r="V519" s="34" t="str">
        <x:v>model_generated_candidate</x:v>
      </x:c>
      <x:c r="W519" s="34" t="str">
        <x:v>Generated from disclosed-path facility calendar, technology set and template contracting assumptions; not a company-announced project</x:v>
      </x:c>
    </x:row>
    <x:row r="520">
      <x:c r="A520" s="34" t="str">
        <x:v>CAND-8C8E20A72CC1A9</x:v>
      </x:c>
      <x:c r="B520" s="34" t="str">
        <x:v>NIPPON_STEEL_JP</x:v>
      </x:c>
      <x:c r="C520" s="34" t="str">
        <x:v>Nippon Steel</x:v>
      </x:c>
      <x:c r="D520" s="34" t="str">
        <x:v>P2</x:v>
      </x:c>
      <x:c r="E520" s="34" t="str">
        <x:v>지연·부분헤지</x:v>
      </x:c>
      <x:c r="F520" s="34" t="str">
        <x:v>PORT-2B4B7B3B418B</x:v>
      </x:c>
      <x:c r="G520" s="34" t="str">
        <x:v>DISCLOSED_PATH</x:v>
      </x:c>
      <x:c r="H520" s="34" t="n">
        <x:v>5</x:v>
      </x:c>
      <x:c r="I520" s="34" t="n">
        <x:v>2029</x:v>
      </x:c>
      <x:c r="J520" s="34" t="n">
        <x:v>2038</x:v>
      </x:c>
      <x:c r="K520" s="34" t="n">
        <x:v>0.401028</x:v>
      </x:c>
      <x:c r="L520" s="34" t="n">
        <x:v>0.161954</x:v>
      </x:c>
      <x:c r="M520" s="34" t="n">
        <x:v>0.437018</x:v>
      </x:c>
      <x:c r="N520" s="34" t="n">
        <x:v>0</x:v>
      </x:c>
      <x:c r="O520" s="34" t="n">
        <x:v>0.15</x:v>
      </x:c>
      <x:c r="P520" s="34" t="n">
        <x:v>0.1</x:v>
      </x:c>
      <x:c r="Q520" s="34" t="n">
        <x:v>0.2</x:v>
      </x:c>
      <x:c r="R520" s="34" t="n">
        <x:v>0.1</x:v>
      </x:c>
      <x:c r="S520" s="34" t="n">
        <x:v>0.01</x:v>
      </x:c>
      <x:c r="T520" s="34" t="n">
        <x:v>375.618932</x:v>
      </x:c>
      <x:c r="U520" s="34" t="str">
        <x:v>NS-EAST:BF_RELINE:2034|NS-KANSAI:SCRAP_EAF:2036|NS-KYUSHU:H2_DRI_EAF:2029|NS-NAGOYA:H2_DRI_EAF:2032|NS-SETOUCHI:BF_RELINE:2038</x:v>
      </x:c>
      <x:c r="V520" s="34" t="str">
        <x:v>model_generated_candidate</x:v>
      </x:c>
      <x:c r="W520" s="34" t="str">
        <x:v>Generated from disclosed-path facility calendar, technology set and template contracting assumptions; not a company-announced project</x:v>
      </x:c>
    </x:row>
    <x:row r="521">
      <x:c r="A521" s="34" t="str">
        <x:v>CAND-8CB8452020FD2E</x:v>
      </x:c>
      <x:c r="B521" s="34" t="str">
        <x:v>NIPPON_STEEL_JP</x:v>
      </x:c>
      <x:c r="C521" s="34" t="str">
        <x:v>Nippon Steel</x:v>
      </x:c>
      <x:c r="D521" s="34" t="str">
        <x:v>P3</x:v>
      </x:c>
      <x:c r="E521" s="34" t="str">
        <x:v>균형형 라이트헤지</x:v>
      </x:c>
      <x:c r="F521" s="34" t="str">
        <x:v>PORT-1A4B19920DEE</x:v>
      </x:c>
      <x:c r="G521" s="34" t="str">
        <x:v>DISCLOSED_PATH</x:v>
      </x:c>
      <x:c r="H521" s="34" t="n">
        <x:v>5</x:v>
      </x:c>
      <x:c r="I521" s="34" t="n">
        <x:v>2029</x:v>
      </x:c>
      <x:c r="J521" s="34" t="n">
        <x:v>2038</x:v>
      </x:c>
      <x:c r="K521" s="34" t="n">
        <x:v>0.179949</x:v>
      </x:c>
      <x:c r="L521" s="34" t="n">
        <x:v>0.192802</x:v>
      </x:c>
      <x:c r="M521" s="34" t="n">
        <x:v>0.627249</x:v>
      </x:c>
      <x:c r="N521" s="34" t="n">
        <x:v>0</x:v>
      </x:c>
      <x:c r="O521" s="34" t="n">
        <x:v>0.3</x:v>
      </x:c>
      <x:c r="P521" s="34" t="n">
        <x:v>0.25</x:v>
      </x:c>
      <x:c r="Q521" s="34" t="n">
        <x:v>0.35</x:v>
      </x:c>
      <x:c r="R521" s="34" t="n">
        <x:v>0.25</x:v>
      </x:c>
      <x:c r="S521" s="34" t="n">
        <x:v>0.015</x:v>
      </x:c>
      <x:c r="T521" s="34" t="n">
        <x:v>400.843975</x:v>
      </x:c>
      <x:c r="U521" s="34" t="str">
        <x:v>NS-EAST:H2_DRI_EAF:2034|NS-KANSAI:H2_DRI_EAF:2036|NS-KYUSHU:H2_DRI_EAF:2029|NS-NAGOYA:BF_RELINE:2032|NS-SETOUCHI:SCRAP_EAF:2038</x:v>
      </x:c>
      <x:c r="V521" s="34" t="str">
        <x:v>model_generated_candidate</x:v>
      </x:c>
      <x:c r="W521" s="34" t="str">
        <x:v>Generated from disclosed-path facility calendar, technology set and template contracting assumptions; not a company-announced project</x:v>
      </x:c>
    </x:row>
    <x:row r="522">
      <x:c r="A522" s="34" t="str">
        <x:v>CAND-8D9B6656A675D4</x:v>
      </x:c>
      <x:c r="B522" s="34" t="str">
        <x:v>NIPPON_STEEL_JP</x:v>
      </x:c>
      <x:c r="C522" s="34" t="str">
        <x:v>Nippon Steel</x:v>
      </x:c>
      <x:c r="D522" s="34" t="str">
        <x:v>P2</x:v>
      </x:c>
      <x:c r="E522" s="34" t="str">
        <x:v>지연·부분헤지</x:v>
      </x:c>
      <x:c r="F522" s="34" t="str">
        <x:v>PORT-BF563B54E502</x:v>
      </x:c>
      <x:c r="G522" s="34" t="str">
        <x:v>DISCLOSED_PATH</x:v>
      </x:c>
      <x:c r="H522" s="34" t="n">
        <x:v>5</x:v>
      </x:c>
      <x:c r="I522" s="34" t="n">
        <x:v>2029</x:v>
      </x:c>
      <x:c r="J522" s="34" t="n">
        <x:v>2038</x:v>
      </x:c>
      <x:c r="K522" s="34" t="n">
        <x:v>0.208226</x:v>
      </x:c>
      <x:c r="L522" s="34" t="n">
        <x:v>0.419023</x:v>
      </x:c>
      <x:c r="M522" s="34" t="n">
        <x:v>0.372751</x:v>
      </x:c>
      <x:c r="N522" s="34" t="n">
        <x:v>0</x:v>
      </x:c>
      <x:c r="O522" s="34" t="n">
        <x:v>0.15</x:v>
      </x:c>
      <x:c r="P522" s="34" t="n">
        <x:v>0.1</x:v>
      </x:c>
      <x:c r="Q522" s="34" t="n">
        <x:v>0.2</x:v>
      </x:c>
      <x:c r="R522" s="34" t="n">
        <x:v>0.1</x:v>
      </x:c>
      <x:c r="S522" s="34" t="n">
        <x:v>0.01</x:v>
      </x:c>
      <x:c r="T522" s="34" t="n">
        <x:v>380.748932</x:v>
      </x:c>
      <x:c r="U522" s="34" t="str">
        <x:v>NS-EAST:BF_RELINE:2034|NS-KANSAI:SCRAP_EAF:2036|NS-KYUSHU:SCRAP_EAF:2029|NS-NAGOYA:H2_DRI_EAF:2032|NS-SETOUCHI:H2_DRI_EAF:2038</x:v>
      </x:c>
      <x:c r="V522" s="34" t="str">
        <x:v>model_generated_candidate</x:v>
      </x:c>
      <x:c r="W522" s="34" t="str">
        <x:v>Generated from disclosed-path facility calendar, technology set and template contracting assumptions; not a company-announced project</x:v>
      </x:c>
    </x:row>
    <x:row r="523">
      <x:c r="A523" s="34" t="str">
        <x:v>CAND-8DF529B3877680</x:v>
      </x:c>
      <x:c r="B523" s="34" t="str">
        <x:v>NIPPON_STEEL_JP</x:v>
      </x:c>
      <x:c r="C523" s="34" t="str">
        <x:v>Nippon Steel</x:v>
      </x:c>
      <x:c r="D523" s="34" t="str">
        <x:v>P2</x:v>
      </x:c>
      <x:c r="E523" s="34" t="str">
        <x:v>지연·부분헤지</x:v>
      </x:c>
      <x:c r="F523" s="34" t="str">
        <x:v>PORT-E9DA8A4B2253</x:v>
      </x:c>
      <x:c r="G523" s="34" t="str">
        <x:v>DISCLOSED_PATH</x:v>
      </x:c>
      <x:c r="H523" s="34" t="n">
        <x:v>5</x:v>
      </x:c>
      <x:c r="I523" s="34" t="n">
        <x:v>2029</x:v>
      </x:c>
      <x:c r="J523" s="34" t="n">
        <x:v>2038</x:v>
      </x:c>
      <x:c r="K523" s="34" t="n">
        <x:v>0.791774</x:v>
      </x:c>
      <x:c r="L523" s="34" t="n">
        <x:v>0</x:v>
      </x:c>
      <x:c r="M523" s="34" t="n">
        <x:v>0.208226</x:v>
      </x:c>
      <x:c r="N523" s="34" t="n">
        <x:v>0</x:v>
      </x:c>
      <x:c r="O523" s="34" t="n">
        <x:v>0.15</x:v>
      </x:c>
      <x:c r="P523" s="34" t="n">
        <x:v>0.1</x:v>
      </x:c>
      <x:c r="Q523" s="34" t="n">
        <x:v>0.2</x:v>
      </x:c>
      <x:c r="R523" s="34" t="n">
        <x:v>0.1</x:v>
      </x:c>
      <x:c r="S523" s="34" t="n">
        <x:v>0.01</x:v>
      </x:c>
      <x:c r="T523" s="34" t="n">
        <x:v>142.238969</x:v>
      </x:c>
      <x:c r="U523" s="34" t="str">
        <x:v>NS-EAST:H2_DRI_EAF:2034|NS-KANSAI:BF_RELINE:2036|NS-KYUSHU:BF_RELINE:2029|NS-NAGOYA:BF_RELINE:2032|NS-SETOUCHI:BF_RELINE:2038</x:v>
      </x:c>
      <x:c r="V523" s="34" t="str">
        <x:v>model_generated_candidate</x:v>
      </x:c>
      <x:c r="W523" s="34" t="str">
        <x:v>Generated from disclosed-path facility calendar, technology set and template contracting assumptions; not a company-announced project</x:v>
      </x:c>
    </x:row>
    <x:row r="524">
      <x:c r="A524" s="34" t="str">
        <x:v>CAND-8E04A2B7107CAF</x:v>
      </x:c>
      <x:c r="B524" s="34" t="str">
        <x:v>NIPPON_STEEL_JP</x:v>
      </x:c>
      <x:c r="C524" s="34" t="str">
        <x:v>Nippon Steel</x:v>
      </x:c>
      <x:c r="D524" s="34" t="str">
        <x:v>P2</x:v>
      </x:c>
      <x:c r="E524" s="34" t="str">
        <x:v>지연·부분헤지</x:v>
      </x:c>
      <x:c r="F524" s="34" t="str">
        <x:v>PORT-8F73C471E8F1</x:v>
      </x:c>
      <x:c r="G524" s="34" t="str">
        <x:v>DISCLOSED_PATH</x:v>
      </x:c>
      <x:c r="H524" s="34" t="n">
        <x:v>5</x:v>
      </x:c>
      <x:c r="I524" s="34" t="n">
        <x:v>2029</x:v>
      </x:c>
      <x:c r="J524" s="34" t="n">
        <x:v>2038</x:v>
      </x:c>
      <x:c r="K524" s="34" t="n">
        <x:v>0.37018</x:v>
      </x:c>
      <x:c r="L524" s="34" t="n">
        <x:v>0.179949</x:v>
      </x:c>
      <x:c r="M524" s="34" t="n">
        <x:v>0.449871</x:v>
      </x:c>
      <x:c r="N524" s="34" t="n">
        <x:v>0</x:v>
      </x:c>
      <x:c r="O524" s="34" t="n">
        <x:v>0.15</x:v>
      </x:c>
      <x:c r="P524" s="34" t="n">
        <x:v>0.1</x:v>
      </x:c>
      <x:c r="Q524" s="34" t="n">
        <x:v>0.2</x:v>
      </x:c>
      <x:c r="R524" s="34" t="n">
        <x:v>0.1</x:v>
      </x:c>
      <x:c r="S524" s="34" t="n">
        <x:v>0.01</x:v>
      </x:c>
      <x:c r="T524" s="34" t="n">
        <x:v>353.198932</x:v>
      </x:c>
      <x:c r="U524" s="34" t="str">
        <x:v>NS-EAST:BF_RELINE:2034|NS-KANSAI:BF_RELINE:2036|NS-KYUSHU:H2_DRI_EAF:2029|NS-NAGOYA:SCRAP_EAF:2032|NS-SETOUCHI:H2_DRI_EAF:2038</x:v>
      </x:c>
      <x:c r="V524" s="34" t="str">
        <x:v>model_generated_candidate</x:v>
      </x:c>
      <x:c r="W524" s="34" t="str">
        <x:v>Generated from disclosed-path facility calendar, technology set and template contracting assumptions; not a company-announced project</x:v>
      </x:c>
    </x:row>
    <x:row r="525">
      <x:c r="A525" s="34" t="str">
        <x:v>CAND-8E2B4724BB5F60</x:v>
      </x:c>
      <x:c r="B525" s="34" t="str">
        <x:v>NIPPON_STEEL_JP</x:v>
      </x:c>
      <x:c r="C525" s="34" t="str">
        <x:v>Nippon Steel</x:v>
      </x:c>
      <x:c r="D525" s="34" t="str">
        <x:v>P1</x:v>
      </x:c>
      <x:c r="E525" s="34" t="str">
        <x:v>지연·현물조달</x:v>
      </x:c>
      <x:c r="F525" s="34" t="str">
        <x:v>PORT-BF29E8561588</x:v>
      </x:c>
      <x:c r="G525" s="34" t="str">
        <x:v>DISCLOSED_PATH</x:v>
      </x:c>
      <x:c r="H525" s="34" t="n">
        <x:v>5</x:v>
      </x:c>
      <x:c r="I525" s="34" t="n">
        <x:v>2029</x:v>
      </x:c>
      <x:c r="J525" s="34" t="n">
        <x:v>2038</x:v>
      </x:c>
      <x:c r="K525" s="34" t="n">
        <x:v>0.192802</x:v>
      </x:c>
      <x:c r="L525" s="34" t="n">
        <x:v>0.37018</x:v>
      </x:c>
      <x:c r="M525" s="34" t="n">
        <x:v>0.437018</x:v>
      </x:c>
      <x:c r="N525" s="34" t="n">
        <x:v>0</x:v>
      </x:c>
      <x:c r="O525" s="34" t="n">
        <x:v>0</x:v>
      </x:c>
      <x:c r="P525" s="34" t="n">
        <x:v>0</x:v>
      </x:c>
      <x:c r="Q525" s="34" t="n">
        <x:v>0.1</x:v>
      </x:c>
      <x:c r="R525" s="34" t="n">
        <x:v>0</x:v>
      </x:c>
      <x:c r="S525" s="34" t="n">
        <x:v>0</x:v>
      </x:c>
      <x:c r="T525" s="34" t="n">
        <x:v>448.698942</x:v>
      </x:c>
      <x:c r="U525" s="34" t="str">
        <x:v>NS-EAST:SCRAP_EAF:2034|NS-KANSAI:SCRAP_EAF:2036|NS-KYUSHU:H2_DRI_EAF:2029|NS-NAGOYA:H2_DRI_EAF:2032|NS-SETOUCHI:BF_RELINE:2038</x:v>
      </x:c>
      <x:c r="V525" s="34" t="str">
        <x:v>model_generated_candidate</x:v>
      </x:c>
      <x:c r="W525" s="34" t="str">
        <x:v>Generated from disclosed-path facility calendar, technology set and template contracting assumptions; not a company-announced project</x:v>
      </x:c>
    </x:row>
    <x:row r="526">
      <x:c r="A526" s="34" t="str">
        <x:v>CAND-8F2B01D027FD50</x:v>
      </x:c>
      <x:c r="B526" s="34" t="str">
        <x:v>NIPPON_STEEL_JP</x:v>
      </x:c>
      <x:c r="C526" s="34" t="str">
        <x:v>Nippon Steel</x:v>
      </x:c>
      <x:c r="D526" s="34" t="str">
        <x:v>P3</x:v>
      </x:c>
      <x:c r="E526" s="34" t="str">
        <x:v>균형형 라이트헤지</x:v>
      </x:c>
      <x:c r="F526" s="34" t="str">
        <x:v>PORT-43EF81127474</x:v>
      </x:c>
      <x:c r="G526" s="34" t="str">
        <x:v>DISCLOSED_PATH</x:v>
      </x:c>
      <x:c r="H526" s="34" t="n">
        <x:v>5</x:v>
      </x:c>
      <x:c r="I526" s="34" t="n">
        <x:v>2029</x:v>
      </x:c>
      <x:c r="J526" s="34" t="n">
        <x:v>2038</x:v>
      </x:c>
      <x:c r="K526" s="34" t="n">
        <x:v>0.208226</x:v>
      </x:c>
      <x:c r="L526" s="34" t="n">
        <x:v>0</x:v>
      </x:c>
      <x:c r="M526" s="34" t="n">
        <x:v>0.791774</x:v>
      </x:c>
      <x:c r="N526" s="34" t="n">
        <x:v>0</x:v>
      </x:c>
      <x:c r="O526" s="34" t="n">
        <x:v>0.3</x:v>
      </x:c>
      <x:c r="P526" s="34" t="n">
        <x:v>0.25</x:v>
      </x:c>
      <x:c r="Q526" s="34" t="n">
        <x:v>0.35</x:v>
      </x:c>
      <x:c r="R526" s="34" t="n">
        <x:v>0.25</x:v>
      </x:c>
      <x:c r="S526" s="34" t="n">
        <x:v>0.015</x:v>
      </x:c>
      <x:c r="T526" s="34" t="n">
        <x:v>414.748933</x:v>
      </x:c>
      <x:c r="U526" s="34" t="str">
        <x:v>NS-EAST:BF_RELINE:2034|NS-KANSAI:H2_DRI_EAF:2036|NS-KYUSHU:H2_DRI_EAF:2029|NS-NAGOYA:H2_DRI_EAF:2032|NS-SETOUCHI:H2_DRI_EAF:2038</x:v>
      </x:c>
      <x:c r="V526" s="34" t="str">
        <x:v>model_generated_candidate</x:v>
      </x:c>
      <x:c r="W526" s="34" t="str">
        <x:v>Generated from disclosed-path facility calendar, technology set and template contracting assumptions; not a company-announced project</x:v>
      </x:c>
    </x:row>
    <x:row r="527">
      <x:c r="A527" s="34" t="str">
        <x:v>CAND-908716DF2AB921</x:v>
      </x:c>
      <x:c r="B527" s="34" t="str">
        <x:v>NIPPON_STEEL_JP</x:v>
      </x:c>
      <x:c r="C527" s="34" t="str">
        <x:v>Nippon Steel</x:v>
      </x:c>
      <x:c r="D527" s="34" t="str">
        <x:v>P2</x:v>
      </x:c>
      <x:c r="E527" s="34" t="str">
        <x:v>지연·부분헤지</x:v>
      </x:c>
      <x:c r="F527" s="34" t="str">
        <x:v>PORT-0542A6FA3ED2</x:v>
      </x:c>
      <x:c r="G527" s="34" t="str">
        <x:v>DISCLOSED_PATH</x:v>
      </x:c>
      <x:c r="H527" s="34" t="n">
        <x:v>5</x:v>
      </x:c>
      <x:c r="I527" s="34" t="n">
        <x:v>2029</x:v>
      </x:c>
      <x:c r="J527" s="34" t="n">
        <x:v>2038</x:v>
      </x:c>
      <x:c r="K527" s="34" t="n">
        <x:v>0.354756</x:v>
      </x:c>
      <x:c r="L527" s="34" t="n">
        <x:v>0.208226</x:v>
      </x:c>
      <x:c r="M527" s="34" t="n">
        <x:v>0.437018</x:v>
      </x:c>
      <x:c r="N527" s="34" t="n">
        <x:v>0</x:v>
      </x:c>
      <x:c r="O527" s="34" t="n">
        <x:v>0.15</x:v>
      </x:c>
      <x:c r="P527" s="34" t="n">
        <x:v>0.1</x:v>
      </x:c>
      <x:c r="Q527" s="34" t="n">
        <x:v>0.2</x:v>
      </x:c>
      <x:c r="R527" s="34" t="n">
        <x:v>0.1</x:v>
      </x:c>
      <x:c r="S527" s="34" t="n">
        <x:v>0.01</x:v>
      </x:c>
      <x:c r="T527" s="34" t="n">
        <x:v>408.098937</x:v>
      </x:c>
      <x:c r="U527" s="34" t="str">
        <x:v>NS-EAST:SCRAP_EAF:2034|NS-KANSAI:BF_RELINE:2036|NS-KYUSHU:H2_DRI_EAF:2029|NS-NAGOYA:H2_DRI_EAF:2032|NS-SETOUCHI:BF_RELINE:2038</x:v>
      </x:c>
      <x:c r="V527" s="34" t="str">
        <x:v>model_generated_candidate</x:v>
      </x:c>
      <x:c r="W527" s="34" t="str">
        <x:v>Generated from disclosed-path facility calendar, technology set and template contracting assumptions; not a company-announced project</x:v>
      </x:c>
    </x:row>
    <x:row r="528">
      <x:c r="A528" s="34" t="str">
        <x:v>CAND-9095C92643126E</x:v>
      </x:c>
      <x:c r="B528" s="34" t="str">
        <x:v>NIPPON_STEEL_JP</x:v>
      </x:c>
      <x:c r="C528" s="34" t="str">
        <x:v>Nippon Steel</x:v>
      </x:c>
      <x:c r="D528" s="34" t="str">
        <x:v>P1</x:v>
      </x:c>
      <x:c r="E528" s="34" t="str">
        <x:v>지연·현물조달</x:v>
      </x:c>
      <x:c r="F528" s="34" t="str">
        <x:v>PORT-4FC217565C3B</x:v>
      </x:c>
      <x:c r="G528" s="34" t="str">
        <x:v>DISCLOSED_PATH</x:v>
      </x:c>
      <x:c r="H528" s="34" t="n">
        <x:v>5</x:v>
      </x:c>
      <x:c r="I528" s="34" t="n">
        <x:v>2029</x:v>
      </x:c>
      <x:c r="J528" s="34" t="n">
        <x:v>2038</x:v>
      </x:c>
      <x:c r="K528" s="34" t="n">
        <x:v>0.341902</x:v>
      </x:c>
      <x:c r="L528" s="34" t="n">
        <x:v>0.208226</x:v>
      </x:c>
      <x:c r="M528" s="34" t="n">
        <x:v>0.449871</x:v>
      </x:c>
      <x:c r="N528" s="34" t="n">
        <x:v>0</x:v>
      </x:c>
      <x:c r="O528" s="34" t="n">
        <x:v>0</x:v>
      </x:c>
      <x:c r="P528" s="34" t="n">
        <x:v>0</x:v>
      </x:c>
      <x:c r="Q528" s="34" t="n">
        <x:v>0.1</x:v>
      </x:c>
      <x:c r="R528" s="34" t="n">
        <x:v>0</x:v>
      </x:c>
      <x:c r="S528" s="34" t="n">
        <x:v>0</x:v>
      </x:c>
      <x:c r="T528" s="34" t="n">
        <x:v>345.368967</x:v>
      </x:c>
      <x:c r="U528" s="34" t="str">
        <x:v>NS-EAST:SCRAP_EAF:2034|NS-KANSAI:BF_RELINE:2036|NS-KYUSHU:H2_DRI_EAF:2029|NS-NAGOYA:BF_RELINE:2032|NS-SETOUCHI:H2_DRI_EAF:2038</x:v>
      </x:c>
      <x:c r="V528" s="34" t="str">
        <x:v>model_generated_candidate</x:v>
      </x:c>
      <x:c r="W528" s="34" t="str">
        <x:v>Generated from disclosed-path facility calendar, technology set and template contracting assumptions; not a company-announced project</x:v>
      </x:c>
    </x:row>
    <x:row r="529">
      <x:c r="A529" s="34" t="str">
        <x:v>CAND-9101D20C3B5802</x:v>
      </x:c>
      <x:c r="B529" s="34" t="str">
        <x:v>NIPPON_STEEL_JP</x:v>
      </x:c>
      <x:c r="C529" s="34" t="str">
        <x:v>Nippon Steel</x:v>
      </x:c>
      <x:c r="D529" s="34" t="str">
        <x:v>P1</x:v>
      </x:c>
      <x:c r="E529" s="34" t="str">
        <x:v>지연·현물조달</x:v>
      </x:c>
      <x:c r="F529" s="34" t="str">
        <x:v>PORT-17AB13B46286</x:v>
      </x:c>
      <x:c r="G529" s="34" t="str">
        <x:v>DISCLOSED_PATH</x:v>
      </x:c>
      <x:c r="H529" s="34" t="n">
        <x:v>5</x:v>
      </x:c>
      <x:c r="I529" s="34" t="n">
        <x:v>2029</x:v>
      </x:c>
      <x:c r="J529" s="34" t="n">
        <x:v>2038</x:v>
      </x:c>
      <x:c r="K529" s="34" t="n">
        <x:v>0.179949</x:v>
      </x:c>
      <x:c r="L529" s="34" t="n">
        <x:v>0.37018</x:v>
      </x:c>
      <x:c r="M529" s="34" t="n">
        <x:v>0.449871</x:v>
      </x:c>
      <x:c r="N529" s="34" t="n">
        <x:v>0</x:v>
      </x:c>
      <x:c r="O529" s="34" t="n">
        <x:v>0</x:v>
      </x:c>
      <x:c r="P529" s="34" t="n">
        <x:v>0</x:v>
      </x:c>
      <x:c r="Q529" s="34" t="n">
        <x:v>0.1</x:v>
      </x:c>
      <x:c r="R529" s="34" t="n">
        <x:v>0</x:v>
      </x:c>
      <x:c r="S529" s="34" t="n">
        <x:v>0</x:v>
      </x:c>
      <x:c r="T529" s="34" t="n">
        <x:v>385.968972</x:v>
      </x:c>
      <x:c r="U529" s="34" t="str">
        <x:v>NS-EAST:SCRAP_EAF:2034|NS-KANSAI:SCRAP_EAF:2036|NS-KYUSHU:H2_DRI_EAF:2029|NS-NAGOYA:BF_RELINE:2032|NS-SETOUCHI:H2_DRI_EAF:2038</x:v>
      </x:c>
      <x:c r="V529" s="34" t="str">
        <x:v>model_generated_candidate</x:v>
      </x:c>
      <x:c r="W529" s="34" t="str">
        <x:v>Generated from disclosed-path facility calendar, technology set and template contracting assumptions; not a company-announced project</x:v>
      </x:c>
    </x:row>
    <x:row r="530">
      <x:c r="A530" s="34" t="str">
        <x:v>CAND-9132EE1EC2E921</x:v>
      </x:c>
      <x:c r="B530" s="34" t="str">
        <x:v>NIPPON_STEEL_JP</x:v>
      </x:c>
      <x:c r="C530" s="34" t="str">
        <x:v>Nippon Steel</x:v>
      </x:c>
      <x:c r="D530" s="34" t="str">
        <x:v>P1</x:v>
      </x:c>
      <x:c r="E530" s="34" t="str">
        <x:v>지연·현물조달</x:v>
      </x:c>
      <x:c r="F530" s="34" t="str">
        <x:v>PORT-F35ED7E625B9</x:v>
      </x:c>
      <x:c r="G530" s="34" t="str">
        <x:v>DISCLOSED_PATH</x:v>
      </x:c>
      <x:c r="H530" s="34" t="n">
        <x:v>5</x:v>
      </x:c>
      <x:c r="I530" s="34" t="n">
        <x:v>2029</x:v>
      </x:c>
      <x:c r="J530" s="34" t="n">
        <x:v>2038</x:v>
      </x:c>
      <x:c r="K530" s="34" t="n">
        <x:v>0.372751</x:v>
      </x:c>
      <x:c r="L530" s="34" t="n">
        <x:v>0.37018</x:v>
      </x:c>
      <x:c r="M530" s="34" t="n">
        <x:v>0.257069</x:v>
      </x:c>
      <x:c r="N530" s="34" t="n">
        <x:v>0</x:v>
      </x:c>
      <x:c r="O530" s="34" t="n">
        <x:v>0</x:v>
      </x:c>
      <x:c r="P530" s="34" t="n">
        <x:v>0</x:v>
      </x:c>
      <x:c r="Q530" s="34" t="n">
        <x:v>0.1</x:v>
      </x:c>
      <x:c r="R530" s="34" t="n">
        <x:v>0</x:v>
      </x:c>
      <x:c r="S530" s="34" t="n">
        <x:v>0</x:v>
      </x:c>
      <x:c r="T530" s="34" t="n">
        <x:v>353.838972</x:v>
      </x:c>
      <x:c r="U530" s="34" t="str">
        <x:v>NS-EAST:SCRAP_EAF:2034|NS-KANSAI:SCRAP_EAF:2036|NS-KYUSHU:H2_DRI_EAF:2029|NS-NAGOYA:BF_RELINE:2032|NS-SETOUCHI:BF_RELINE:2038</x:v>
      </x:c>
      <x:c r="V530" s="34" t="str">
        <x:v>model_generated_candidate</x:v>
      </x:c>
      <x:c r="W530" s="34" t="str">
        <x:v>Generated from disclosed-path facility calendar, technology set and template contracting assumptions; not a company-announced project</x:v>
      </x:c>
    </x:row>
    <x:row r="531">
      <x:c r="A531" s="34" t="str">
        <x:v>CAND-91BB5A02A7A61F</x:v>
      </x:c>
      <x:c r="B531" s="34" t="str">
        <x:v>NIPPON_STEEL_JP</x:v>
      </x:c>
      <x:c r="C531" s="34" t="str">
        <x:v>Nippon Steel</x:v>
      </x:c>
      <x:c r="D531" s="34" t="str">
        <x:v>P2</x:v>
      </x:c>
      <x:c r="E531" s="34" t="str">
        <x:v>지연·부분헤지</x:v>
      </x:c>
      <x:c r="F531" s="34" t="str">
        <x:v>PORT-42FD0857B83C</x:v>
      </x:c>
      <x:c r="G531" s="34" t="str">
        <x:v>DISCLOSED_PATH</x:v>
      </x:c>
      <x:c r="H531" s="34" t="n">
        <x:v>5</x:v>
      </x:c>
      <x:c r="I531" s="34" t="n">
        <x:v>2029</x:v>
      </x:c>
      <x:c r="J531" s="34" t="n">
        <x:v>2038</x:v>
      </x:c>
      <x:c r="K531" s="34" t="n">
        <x:v>0</x:v>
      </x:c>
      <x:c r="L531" s="34" t="n">
        <x:v>0.598972</x:v>
      </x:c>
      <x:c r="M531" s="34" t="n">
        <x:v>0.401028</x:v>
      </x:c>
      <x:c r="N531" s="34" t="n">
        <x:v>0</x:v>
      </x:c>
      <x:c r="O531" s="34" t="n">
        <x:v>0.15</x:v>
      </x:c>
      <x:c r="P531" s="34" t="n">
        <x:v>0.1</x:v>
      </x:c>
      <x:c r="Q531" s="34" t="n">
        <x:v>0.2</x:v>
      </x:c>
      <x:c r="R531" s="34" t="n">
        <x:v>0.1</x:v>
      </x:c>
      <x:c r="S531" s="34" t="n">
        <x:v>0.01</x:v>
      </x:c>
      <x:c r="T531" s="34" t="n">
        <x:v>452.478948</x:v>
      </x:c>
      <x:c r="U531" s="34" t="str">
        <x:v>NS-EAST:H2_DRI_EAF:2034|NS-KANSAI:SCRAP_EAF:2036|NS-KYUSHU:SCRAP_EAF:2029|NS-NAGOYA:SCRAP_EAF:2032|NS-SETOUCHI:H2_DRI_EAF:2038</x:v>
      </x:c>
      <x:c r="V531" s="34" t="str">
        <x:v>model_generated_candidate</x:v>
      </x:c>
      <x:c r="W531" s="34" t="str">
        <x:v>Generated from disclosed-path facility calendar, technology set and template contracting assumptions; not a company-announced project</x:v>
      </x:c>
    </x:row>
    <x:row r="532">
      <x:c r="A532" s="34" t="str">
        <x:v>CAND-91ED48BDAA559B</x:v>
      </x:c>
      <x:c r="B532" s="34" t="str">
        <x:v>NIPPON_STEEL_JP</x:v>
      </x:c>
      <x:c r="C532" s="34" t="str">
        <x:v>Nippon Steel</x:v>
      </x:c>
      <x:c r="D532" s="34" t="str">
        <x:v>P1</x:v>
      </x:c>
      <x:c r="E532" s="34" t="str">
        <x:v>지연·현물조달</x:v>
      </x:c>
      <x:c r="F532" s="34" t="str">
        <x:v>PORT-7DC6DDA55D96</x:v>
      </x:c>
      <x:c r="G532" s="34" t="str">
        <x:v>DISCLOSED_PATH</x:v>
      </x:c>
      <x:c r="H532" s="34" t="n">
        <x:v>5</x:v>
      </x:c>
      <x:c r="I532" s="34" t="n">
        <x:v>2029</x:v>
      </x:c>
      <x:c r="J532" s="34" t="n">
        <x:v>2038</x:v>
      </x:c>
      <x:c r="K532" s="34" t="n">
        <x:v>0.437018</x:v>
      </x:c>
      <x:c r="L532" s="34" t="n">
        <x:v>0.208226</x:v>
      </x:c>
      <x:c r="M532" s="34" t="n">
        <x:v>0.354756</x:v>
      </x:c>
      <x:c r="N532" s="34" t="n">
        <x:v>0</x:v>
      </x:c>
      <x:c r="O532" s="34" t="n">
        <x:v>0</x:v>
      </x:c>
      <x:c r="P532" s="34" t="n">
        <x:v>0</x:v>
      </x:c>
      <x:c r="Q532" s="34" t="n">
        <x:v>0.1</x:v>
      </x:c>
      <x:c r="R532" s="34" t="n">
        <x:v>0</x:v>
      </x:c>
      <x:c r="S532" s="34" t="n">
        <x:v>0</x:v>
      </x:c>
      <x:c r="T532" s="34" t="n">
        <x:v>209.368973</x:v>
      </x:c>
      <x:c r="U532" s="34" t="str">
        <x:v>NS-EAST:SCRAP_EAF:2034|NS-KANSAI:H2_DRI_EAF:2036|NS-KYUSHU:BF_RELINE:2029|NS-NAGOYA:BF_RELINE:2032|NS-SETOUCHI:H2_DRI_EAF:2038</x:v>
      </x:c>
      <x:c r="V532" s="34" t="str">
        <x:v>model_generated_candidate</x:v>
      </x:c>
      <x:c r="W532" s="34" t="str">
        <x:v>Generated from disclosed-path facility calendar, technology set and template contracting assumptions; not a company-announced project</x:v>
      </x:c>
    </x:row>
    <x:row r="533">
      <x:c r="A533" s="34" t="str">
        <x:v>CAND-922D24F8221A4A</x:v>
      </x:c>
      <x:c r="B533" s="34" t="str">
        <x:v>NIPPON_STEEL_JP</x:v>
      </x:c>
      <x:c r="C533" s="34" t="str">
        <x:v>Nippon Steel</x:v>
      </x:c>
      <x:c r="D533" s="34" t="str">
        <x:v>P1</x:v>
      </x:c>
      <x:c r="E533" s="34" t="str">
        <x:v>지연·현물조달</x:v>
      </x:c>
      <x:c r="F533" s="34" t="str">
        <x:v>PORT-BF563B54E502</x:v>
      </x:c>
      <x:c r="G533" s="34" t="str">
        <x:v>DISCLOSED_PATH</x:v>
      </x:c>
      <x:c r="H533" s="34" t="n">
        <x:v>5</x:v>
      </x:c>
      <x:c r="I533" s="34" t="n">
        <x:v>2029</x:v>
      </x:c>
      <x:c r="J533" s="34" t="n">
        <x:v>2038</x:v>
      </x:c>
      <x:c r="K533" s="34" t="n">
        <x:v>0.208226</x:v>
      </x:c>
      <x:c r="L533" s="34" t="n">
        <x:v>0.419023</x:v>
      </x:c>
      <x:c r="M533" s="34" t="n">
        <x:v>0.372751</x:v>
      </x:c>
      <x:c r="N533" s="34" t="n">
        <x:v>0</x:v>
      </x:c>
      <x:c r="O533" s="34" t="n">
        <x:v>0</x:v>
      </x:c>
      <x:c r="P533" s="34" t="n">
        <x:v>0</x:v>
      </x:c>
      <x:c r="Q533" s="34" t="n">
        <x:v>0.1</x:v>
      </x:c>
      <x:c r="R533" s="34" t="n">
        <x:v>0</x:v>
      </x:c>
      <x:c r="S533" s="34" t="n">
        <x:v>0</x:v>
      </x:c>
      <x:c r="T533" s="34" t="n">
        <x:v>380.748932</x:v>
      </x:c>
      <x:c r="U533" s="34" t="str">
        <x:v>NS-EAST:BF_RELINE:2034|NS-KANSAI:SCRAP_EAF:2036|NS-KYUSHU:SCRAP_EAF:2029|NS-NAGOYA:H2_DRI_EAF:2032|NS-SETOUCHI:H2_DRI_EAF:2038</x:v>
      </x:c>
      <x:c r="V533" s="34" t="str">
        <x:v>model_generated_candidate</x:v>
      </x:c>
      <x:c r="W533" s="34" t="str">
        <x:v>Generated from disclosed-path facility calendar, technology set and template contracting assumptions; not a company-announced project</x:v>
      </x:c>
    </x:row>
    <x:row r="534">
      <x:c r="A534" s="34" t="str">
        <x:v>CAND-927A12FA71C119</x:v>
      </x:c>
      <x:c r="B534" s="34" t="str">
        <x:v>NIPPON_STEEL_JP</x:v>
      </x:c>
      <x:c r="C534" s="34" t="str">
        <x:v>Nippon Steel</x:v>
      </x:c>
      <x:c r="D534" s="34" t="str">
        <x:v>P2</x:v>
      </x:c>
      <x:c r="E534" s="34" t="str">
        <x:v>지연·부분헤지</x:v>
      </x:c>
      <x:c r="F534" s="34" t="str">
        <x:v>PORT-F35ED7E625B9</x:v>
      </x:c>
      <x:c r="G534" s="34" t="str">
        <x:v>DISCLOSED_PATH</x:v>
      </x:c>
      <x:c r="H534" s="34" t="n">
        <x:v>5</x:v>
      </x:c>
      <x:c r="I534" s="34" t="n">
        <x:v>2029</x:v>
      </x:c>
      <x:c r="J534" s="34" t="n">
        <x:v>2038</x:v>
      </x:c>
      <x:c r="K534" s="34" t="n">
        <x:v>0.372751</x:v>
      </x:c>
      <x:c r="L534" s="34" t="n">
        <x:v>0.37018</x:v>
      </x:c>
      <x:c r="M534" s="34" t="n">
        <x:v>0.257069</x:v>
      </x:c>
      <x:c r="N534" s="34" t="n">
        <x:v>0</x:v>
      </x:c>
      <x:c r="O534" s="34" t="n">
        <x:v>0.15</x:v>
      </x:c>
      <x:c r="P534" s="34" t="n">
        <x:v>0.1</x:v>
      </x:c>
      <x:c r="Q534" s="34" t="n">
        <x:v>0.2</x:v>
      </x:c>
      <x:c r="R534" s="34" t="n">
        <x:v>0.1</x:v>
      </x:c>
      <x:c r="S534" s="34" t="n">
        <x:v>0.01</x:v>
      </x:c>
      <x:c r="T534" s="34" t="n">
        <x:v>353.838972</x:v>
      </x:c>
      <x:c r="U534" s="34" t="str">
        <x:v>NS-EAST:SCRAP_EAF:2034|NS-KANSAI:SCRAP_EAF:2036|NS-KYUSHU:H2_DRI_EAF:2029|NS-NAGOYA:BF_RELINE:2032|NS-SETOUCHI:BF_RELINE:2038</x:v>
      </x:c>
      <x:c r="V534" s="34" t="str">
        <x:v>model_generated_candidate</x:v>
      </x:c>
      <x:c r="W534" s="34" t="str">
        <x:v>Generated from disclosed-path facility calendar, technology set and template contracting assumptions; not a company-announced project</x:v>
      </x:c>
    </x:row>
    <x:row r="535">
      <x:c r="A535" s="34" t="str">
        <x:v>CAND-929DE303374200</x:v>
      </x:c>
      <x:c r="B535" s="34" t="str">
        <x:v>NIPPON_STEEL_JP</x:v>
      </x:c>
      <x:c r="C535" s="34" t="str">
        <x:v>Nippon Steel</x:v>
      </x:c>
      <x:c r="D535" s="34" t="str">
        <x:v>P1</x:v>
      </x:c>
      <x:c r="E535" s="34" t="str">
        <x:v>지연·현물조달</x:v>
      </x:c>
      <x:c r="F535" s="34" t="str">
        <x:v>PORT-86BF82627142</x:v>
      </x:c>
      <x:c r="G535" s="34" t="str">
        <x:v>DISCLOSED_PATH</x:v>
      </x:c>
      <x:c r="H535" s="34" t="n">
        <x:v>5</x:v>
      </x:c>
      <x:c r="I535" s="34" t="n">
        <x:v>2029</x:v>
      </x:c>
      <x:c r="J535" s="34" t="n">
        <x:v>2038</x:v>
      </x:c>
      <x:c r="K535" s="34" t="n">
        <x:v>0.192802</x:v>
      </x:c>
      <x:c r="L535" s="34" t="n">
        <x:v>0.645244</x:v>
      </x:c>
      <x:c r="M535" s="34" t="n">
        <x:v>0.161954</x:v>
      </x:c>
      <x:c r="N535" s="34" t="n">
        <x:v>0</x:v>
      </x:c>
      <x:c r="O535" s="34" t="n">
        <x:v>0</x:v>
      </x:c>
      <x:c r="P535" s="34" t="n">
        <x:v>0</x:v>
      </x:c>
      <x:c r="Q535" s="34" t="n">
        <x:v>0.1</x:v>
      </x:c>
      <x:c r="R535" s="34" t="n">
        <x:v>0</x:v>
      </x:c>
      <x:c r="S535" s="34" t="n">
        <x:v>0</x:v>
      </x:c>
      <x:c r="T535" s="34" t="n">
        <x:v>414.748947</x:v>
      </x:c>
      <x:c r="U535" s="34" t="str">
        <x:v>NS-EAST:SCRAP_EAF:2034|NS-KANSAI:H2_DRI_EAF:2036|NS-KYUSHU:SCRAP_EAF:2029|NS-NAGOYA:SCRAP_EAF:2032|NS-SETOUCHI:BF_RELINE:2038</x:v>
      </x:c>
      <x:c r="V535" s="34" t="str">
        <x:v>model_generated_candidate</x:v>
      </x:c>
      <x:c r="W535" s="34" t="str">
        <x:v>Generated from disclosed-path facility calendar, technology set and template contracting assumptions; not a company-announced project</x:v>
      </x:c>
    </x:row>
    <x:row r="536">
      <x:c r="A536" s="34" t="str">
        <x:v>CAND-92EA52FA4471AA</x:v>
      </x:c>
      <x:c r="B536" s="34" t="str">
        <x:v>NIPPON_STEEL_JP</x:v>
      </x:c>
      <x:c r="C536" s="34" t="str">
        <x:v>Nippon Steel</x:v>
      </x:c>
      <x:c r="D536" s="34" t="str">
        <x:v>P1</x:v>
      </x:c>
      <x:c r="E536" s="34" t="str">
        <x:v>지연·현물조달</x:v>
      </x:c>
      <x:c r="F536" s="34" t="str">
        <x:v>PORT-EB7921B0B4D7</x:v>
      </x:c>
      <x:c r="G536" s="34" t="str">
        <x:v>DISCLOSED_PATH</x:v>
      </x:c>
      <x:c r="H536" s="34" t="n">
        <x:v>5</x:v>
      </x:c>
      <x:c r="I536" s="34" t="n">
        <x:v>2029</x:v>
      </x:c>
      <x:c r="J536" s="34" t="n">
        <x:v>2038</x:v>
      </x:c>
      <x:c r="K536" s="34" t="n">
        <x:v>0.192802</x:v>
      </x:c>
      <x:c r="L536" s="34" t="n">
        <x:v>0.341902</x:v>
      </x:c>
      <x:c r="M536" s="34" t="n">
        <x:v>0.465296</x:v>
      </x:c>
      <x:c r="N536" s="34" t="n">
        <x:v>0</x:v>
      </x:c>
      <x:c r="O536" s="34" t="n">
        <x:v>0</x:v>
      </x:c>
      <x:c r="P536" s="34" t="n">
        <x:v>0</x:v>
      </x:c>
      <x:c r="Q536" s="34" t="n">
        <x:v>0.1</x:v>
      </x:c>
      <x:c r="R536" s="34" t="n">
        <x:v>0</x:v>
      </x:c>
      <x:c r="S536" s="34" t="n">
        <x:v>0</x:v>
      </x:c>
      <x:c r="T536" s="34" t="n">
        <x:v>447.348948</x:v>
      </x:c>
      <x:c r="U536" s="34" t="str">
        <x:v>NS-EAST:H2_DRI_EAF:2034|NS-KANSAI:SCRAP_EAF:2036|NS-KYUSHU:H2_DRI_EAF:2029|NS-NAGOYA:SCRAP_EAF:2032|NS-SETOUCHI:BF_RELINE:2038</x:v>
      </x:c>
      <x:c r="V536" s="34" t="str">
        <x:v>model_generated_candidate</x:v>
      </x:c>
      <x:c r="W536" s="34" t="str">
        <x:v>Generated from disclosed-path facility calendar, technology set and template contracting assumptions; not a company-announced project</x:v>
      </x:c>
    </x:row>
    <x:row r="537">
      <x:c r="A537" s="34" t="str">
        <x:v>CAND-940ED942CBD269</x:v>
      </x:c>
      <x:c r="B537" s="34" t="str">
        <x:v>NIPPON_STEEL_JP</x:v>
      </x:c>
      <x:c r="C537" s="34" t="str">
        <x:v>Nippon Steel</x:v>
      </x:c>
      <x:c r="D537" s="34" t="str">
        <x:v>P2</x:v>
      </x:c>
      <x:c r="E537" s="34" t="str">
        <x:v>지연·부분헤지</x:v>
      </x:c>
      <x:c r="F537" s="34" t="str">
        <x:v>PORT-D2286B1543C0</x:v>
      </x:c>
      <x:c r="G537" s="34" t="str">
        <x:v>DISCLOSED_PATH</x:v>
      </x:c>
      <x:c r="H537" s="34" t="n">
        <x:v>5</x:v>
      </x:c>
      <x:c r="I537" s="34" t="n">
        <x:v>2029</x:v>
      </x:c>
      <x:c r="J537" s="34" t="n">
        <x:v>2038</x:v>
      </x:c>
      <x:c r="K537" s="34" t="n">
        <x:v>0.372751</x:v>
      </x:c>
      <x:c r="L537" s="34" t="n">
        <x:v>0.257069</x:v>
      </x:c>
      <x:c r="M537" s="34" t="n">
        <x:v>0.37018</x:v>
      </x:c>
      <x:c r="N537" s="34" t="n">
        <x:v>0</x:v>
      </x:c>
      <x:c r="O537" s="34" t="n">
        <x:v>0.15</x:v>
      </x:c>
      <x:c r="P537" s="34" t="n">
        <x:v>0.1</x:v>
      </x:c>
      <x:c r="Q537" s="34" t="n">
        <x:v>0.2</x:v>
      </x:c>
      <x:c r="R537" s="34" t="n">
        <x:v>0.1</x:v>
      </x:c>
      <x:c r="S537" s="34" t="n">
        <x:v>0.01</x:v>
      </x:c>
      <x:c r="T537" s="34" t="n">
        <x:v>346.438975</x:v>
      </x:c>
      <x:c r="U537" s="34" t="str">
        <x:v>NS-EAST:H2_DRI_EAF:2034|NS-KANSAI:H2_DRI_EAF:2036|NS-KYUSHU:SCRAP_EAF:2029|NS-NAGOYA:BF_RELINE:2032|NS-SETOUCHI:BF_RELINE:2038</x:v>
      </x:c>
      <x:c r="V537" s="34" t="str">
        <x:v>model_generated_candidate</x:v>
      </x:c>
      <x:c r="W537" s="34" t="str">
        <x:v>Generated from disclosed-path facility calendar, technology set and template contracting assumptions; not a company-announced project</x:v>
      </x:c>
    </x:row>
    <x:row r="538">
      <x:c r="A538" s="34" t="str">
        <x:v>CAND-94A5F055326590</x:v>
      </x:c>
      <x:c r="B538" s="34" t="str">
        <x:v>NIPPON_STEEL_JP</x:v>
      </x:c>
      <x:c r="C538" s="34" t="str">
        <x:v>Nippon Steel</x:v>
      </x:c>
      <x:c r="D538" s="34" t="str">
        <x:v>P3</x:v>
      </x:c>
      <x:c r="E538" s="34" t="str">
        <x:v>균형형 라이트헤지</x:v>
      </x:c>
      <x:c r="F538" s="34" t="str">
        <x:v>PORT-685CF3088EF5</x:v>
      </x:c>
      <x:c r="G538" s="34" t="str">
        <x:v>DISCLOSED_PATH</x:v>
      </x:c>
      <x:c r="H538" s="34" t="n">
        <x:v>5</x:v>
      </x:c>
      <x:c r="I538" s="34" t="n">
        <x:v>2029</x:v>
      </x:c>
      <x:c r="J538" s="34" t="n">
        <x:v>2038</x:v>
      </x:c>
      <x:c r="K538" s="34" t="n">
        <x:v>0.341902</x:v>
      </x:c>
      <x:c r="L538" s="34" t="n">
        <x:v>0</x:v>
      </x:c>
      <x:c r="M538" s="34" t="n">
        <x:v>0.658098</x:v>
      </x:c>
      <x:c r="N538" s="34" t="n">
        <x:v>0</x:v>
      </x:c>
      <x:c r="O538" s="34" t="n">
        <x:v>0.3</x:v>
      </x:c>
      <x:c r="P538" s="34" t="n">
        <x:v>0.25</x:v>
      </x:c>
      <x:c r="Q538" s="34" t="n">
        <x:v>0.35</x:v>
      </x:c>
      <x:c r="R538" s="34" t="n">
        <x:v>0.25</x:v>
      </x:c>
      <x:c r="S538" s="34" t="n">
        <x:v>0.015</x:v>
      </x:c>
      <x:c r="T538" s="34" t="n">
        <x:v>357.968969</x:v>
      </x:c>
      <x:c r="U538" s="34" t="str">
        <x:v>NS-EAST:H2_DRI_EAF:2034|NS-KANSAI:BF_RELINE:2036|NS-KYUSHU:H2_DRI_EAF:2029|NS-NAGOYA:BF_RELINE:2032|NS-SETOUCHI:H2_DRI_EAF:2038</x:v>
      </x:c>
      <x:c r="V538" s="34" t="str">
        <x:v>model_generated_candidate</x:v>
      </x:c>
      <x:c r="W538" s="34" t="str">
        <x:v>Generated from disclosed-path facility calendar, technology set and template contracting assumptions; not a company-announced project</x:v>
      </x:c>
    </x:row>
    <x:row r="539">
      <x:c r="A539" s="34" t="str">
        <x:v>CAND-9577FB5A2464E1</x:v>
      </x:c>
      <x:c r="B539" s="34" t="str">
        <x:v>NIPPON_STEEL_JP</x:v>
      </x:c>
      <x:c r="C539" s="34" t="str">
        <x:v>Nippon Steel</x:v>
      </x:c>
      <x:c r="D539" s="34" t="str">
        <x:v>P2</x:v>
      </x:c>
      <x:c r="E539" s="34" t="str">
        <x:v>지연·부분헤지</x:v>
      </x:c>
      <x:c r="F539" s="34" t="str">
        <x:v>PORT-AA17EC0396DF</x:v>
      </x:c>
      <x:c r="G539" s="34" t="str">
        <x:v>DISCLOSED_PATH</x:v>
      </x:c>
      <x:c r="H539" s="34" t="n">
        <x:v>5</x:v>
      </x:c>
      <x:c r="I539" s="34" t="n">
        <x:v>2029</x:v>
      </x:c>
      <x:c r="J539" s="34" t="n">
        <x:v>2038</x:v>
      </x:c>
      <x:c r="K539" s="34" t="n">
        <x:v>0.161954</x:v>
      </x:c>
      <x:c r="L539" s="34" t="n">
        <x:v>0.437018</x:v>
      </x:c>
      <x:c r="M539" s="34" t="n">
        <x:v>0.401028</x:v>
      </x:c>
      <x:c r="N539" s="34" t="n">
        <x:v>0</x:v>
      </x:c>
      <x:c r="O539" s="34" t="n">
        <x:v>0.15</x:v>
      </x:c>
      <x:c r="P539" s="34" t="n">
        <x:v>0.1</x:v>
      </x:c>
      <x:c r="Q539" s="34" t="n">
        <x:v>0.2</x:v>
      </x:c>
      <x:c r="R539" s="34" t="n">
        <x:v>0.1</x:v>
      </x:c>
      <x:c r="S539" s="34" t="n">
        <x:v>0.01</x:v>
      </x:c>
      <x:c r="T539" s="34" t="n">
        <x:v>411.878943</x:v>
      </x:c>
      <x:c r="U539" s="34" t="str">
        <x:v>NS-EAST:H2_DRI_EAF:2034|NS-KANSAI:BF_RELINE:2036|NS-KYUSHU:SCRAP_EAF:2029|NS-NAGOYA:SCRAP_EAF:2032|NS-SETOUCHI:H2_DRI_EAF:2038</x:v>
      </x:c>
      <x:c r="V539" s="34" t="str">
        <x:v>model_generated_candidate</x:v>
      </x:c>
      <x:c r="W539" s="34" t="str">
        <x:v>Generated from disclosed-path facility calendar, technology set and template contracting assumptions; not a company-announced project</x:v>
      </x:c>
    </x:row>
    <x:row r="540">
      <x:c r="A540" s="34" t="str">
        <x:v>CAND-96490FCD0060A9</x:v>
      </x:c>
      <x:c r="B540" s="34" t="str">
        <x:v>NIPPON_STEEL_JP</x:v>
      </x:c>
      <x:c r="C540" s="34" t="str">
        <x:v>Nippon Steel</x:v>
      </x:c>
      <x:c r="D540" s="34" t="str">
        <x:v>P3</x:v>
      </x:c>
      <x:c r="E540" s="34" t="str">
        <x:v>균형형 라이트헤지</x:v>
      </x:c>
      <x:c r="F540" s="34" t="str">
        <x:v>PORT-921D4BD7C0AA</x:v>
      </x:c>
      <x:c r="G540" s="34" t="str">
        <x:v>DISCLOSED_PATH</x:v>
      </x:c>
      <x:c r="H540" s="34" t="n">
        <x:v>5</x:v>
      </x:c>
      <x:c r="I540" s="34" t="n">
        <x:v>2029</x:v>
      </x:c>
      <x:c r="J540" s="34" t="n">
        <x:v>2038</x:v>
      </x:c>
      <x:c r="K540" s="34" t="n">
        <x:v>0.388175</x:v>
      </x:c>
      <x:c r="L540" s="34" t="n">
        <x:v>0.161954</x:v>
      </x:c>
      <x:c r="M540" s="34" t="n">
        <x:v>0.449871</x:v>
      </x:c>
      <x:c r="N540" s="34" t="n">
        <x:v>0</x:v>
      </x:c>
      <x:c r="O540" s="34" t="n">
        <x:v>0.3</x:v>
      </x:c>
      <x:c r="P540" s="34" t="n">
        <x:v>0.25</x:v>
      </x:c>
      <x:c r="Q540" s="34" t="n">
        <x:v>0.35</x:v>
      </x:c>
      <x:c r="R540" s="34" t="n">
        <x:v>0.25</x:v>
      </x:c>
      <x:c r="S540" s="34" t="n">
        <x:v>0.015</x:v>
      </x:c>
      <x:c r="T540" s="34" t="n">
        <x:v>312.888963</x:v>
      </x:c>
      <x:c r="U540" s="34" t="str">
        <x:v>NS-EAST:BF_RELINE:2034|NS-KANSAI:SCRAP_EAF:2036|NS-KYUSHU:H2_DRI_EAF:2029|NS-NAGOYA:BF_RELINE:2032|NS-SETOUCHI:H2_DRI_EAF:2038</x:v>
      </x:c>
      <x:c r="V540" s="34" t="str">
        <x:v>model_generated_candidate</x:v>
      </x:c>
      <x:c r="W540" s="34" t="str">
        <x:v>Generated from disclosed-path facility calendar, technology set and template contracting assumptions; not a company-announced project</x:v>
      </x:c>
    </x:row>
    <x:row r="541">
      <x:c r="A541" s="34" t="str">
        <x:v>CAND-966DD06DE07B52</x:v>
      </x:c>
      <x:c r="B541" s="34" t="str">
        <x:v>NIPPON_STEEL_JP</x:v>
      </x:c>
      <x:c r="C541" s="34" t="str">
        <x:v>Nippon Steel</x:v>
      </x:c>
      <x:c r="D541" s="34" t="str">
        <x:v>P3</x:v>
      </x:c>
      <x:c r="E541" s="34" t="str">
        <x:v>균형형 라이트헤지</x:v>
      </x:c>
      <x:c r="F541" s="34" t="str">
        <x:v>PORT-F7D0A7E47A59</x:v>
      </x:c>
      <x:c r="G541" s="34" t="str">
        <x:v>DISCLOSED_PATH</x:v>
      </x:c>
      <x:c r="H541" s="34" t="n">
        <x:v>5</x:v>
      </x:c>
      <x:c r="I541" s="34" t="n">
        <x:v>2029</x:v>
      </x:c>
      <x:c r="J541" s="34" t="n">
        <x:v>2038</x:v>
      </x:c>
      <x:c r="K541" s="34" t="n">
        <x:v>0.161954</x:v>
      </x:c>
      <x:c r="L541" s="34" t="n">
        <x:v>0.179949</x:v>
      </x:c>
      <x:c r="M541" s="34" t="n">
        <x:v>0.658098</x:v>
      </x:c>
      <x:c r="N541" s="34" t="n">
        <x:v>0</x:v>
      </x:c>
      <x:c r="O541" s="34" t="n">
        <x:v>0.3</x:v>
      </x:c>
      <x:c r="P541" s="34" t="n">
        <x:v>0.25</x:v>
      </x:c>
      <x:c r="Q541" s="34" t="n">
        <x:v>0.35</x:v>
      </x:c>
      <x:c r="R541" s="34" t="n">
        <x:v>0.25</x:v>
      </x:c>
      <x:c r="S541" s="34" t="n">
        <x:v>0.015</x:v>
      </x:c>
      <x:c r="T541" s="34" t="n">
        <x:v>438.878943</x:v>
      </x:c>
      <x:c r="U541" s="34" t="str">
        <x:v>NS-EAST:H2_DRI_EAF:2034|NS-KANSAI:BF_RELINE:2036|NS-KYUSHU:H2_DRI_EAF:2029|NS-NAGOYA:SCRAP_EAF:2032|NS-SETOUCHI:H2_DRI_EAF:2038</x:v>
      </x:c>
      <x:c r="V541" s="34" t="str">
        <x:v>model_generated_candidate</x:v>
      </x:c>
      <x:c r="W541" s="34" t="str">
        <x:v>Generated from disclosed-path facility calendar, technology set and template contracting assumptions; not a company-announced project</x:v>
      </x:c>
    </x:row>
    <x:row r="542">
      <x:c r="A542" s="34" t="str">
        <x:v>CAND-967FD52FEF7AD0</x:v>
      </x:c>
      <x:c r="B542" s="34" t="str">
        <x:v>NIPPON_STEEL_JP</x:v>
      </x:c>
      <x:c r="C542" s="34" t="str">
        <x:v>Nippon Steel</x:v>
      </x:c>
      <x:c r="D542" s="34" t="str">
        <x:v>P2</x:v>
      </x:c>
      <x:c r="E542" s="34" t="str">
        <x:v>지연·부분헤지</x:v>
      </x:c>
      <x:c r="F542" s="34" t="str">
        <x:v>PORT-6BA9841BAB7B</x:v>
      </x:c>
      <x:c r="G542" s="34" t="str">
        <x:v>DISCLOSED_PATH</x:v>
      </x:c>
      <x:c r="H542" s="34" t="n">
        <x:v>5</x:v>
      </x:c>
      <x:c r="I542" s="34" t="n">
        <x:v>2029</x:v>
      </x:c>
      <x:c r="J542" s="34" t="n">
        <x:v>2038</x:v>
      </x:c>
      <x:c r="K542" s="34" t="n">
        <x:v>0.179949</x:v>
      </x:c>
      <x:c r="L542" s="34" t="n">
        <x:v>0.401028</x:v>
      </x:c>
      <x:c r="M542" s="34" t="n">
        <x:v>0.419023</x:v>
      </x:c>
      <x:c r="N542" s="34" t="n">
        <x:v>0</x:v>
      </x:c>
      <x:c r="O542" s="34" t="n">
        <x:v>0.15</x:v>
      </x:c>
      <x:c r="P542" s="34" t="n">
        <x:v>0.1</x:v>
      </x:c>
      <x:c r="Q542" s="34" t="n">
        <x:v>0.2</x:v>
      </x:c>
      <x:c r="R542" s="34" t="n">
        <x:v>0.1</x:v>
      </x:c>
      <x:c r="S542" s="34" t="n">
        <x:v>0.01</x:v>
      </x:c>
      <x:c r="T542" s="34" t="n">
        <x:v>388.243973</x:v>
      </x:c>
      <x:c r="U542" s="34" t="str">
        <x:v>NS-EAST:SCRAP_EAF:2034|NS-KANSAI:H2_DRI_EAF:2036|NS-KYUSHU:H2_DRI_EAF:2029|NS-NAGOYA:BF_RELINE:2032|NS-SETOUCHI:SCRAP_EAF:2038</x:v>
      </x:c>
      <x:c r="V542" s="34" t="str">
        <x:v>model_generated_candidate</x:v>
      </x:c>
      <x:c r="W542" s="34" t="str">
        <x:v>Generated from disclosed-path facility calendar, technology set and template contracting assumptions; not a company-announced project</x:v>
      </x:c>
    </x:row>
    <x:row r="543">
      <x:c r="A543" s="34" t="str">
        <x:v>CAND-97619370C4E958</x:v>
      </x:c>
      <x:c r="B543" s="34" t="str">
        <x:v>NIPPON_STEEL_JP</x:v>
      </x:c>
      <x:c r="C543" s="34" t="str">
        <x:v>Nippon Steel</x:v>
      </x:c>
      <x:c r="D543" s="34" t="str">
        <x:v>P2</x:v>
      </x:c>
      <x:c r="E543" s="34" t="str">
        <x:v>지연·부분헤지</x:v>
      </x:c>
      <x:c r="F543" s="34" t="str">
        <x:v>PORT-4F64F793369E</x:v>
      </x:c>
      <x:c r="G543" s="34" t="str">
        <x:v>DISCLOSED_PATH</x:v>
      </x:c>
      <x:c r="H543" s="34" t="n">
        <x:v>5</x:v>
      </x:c>
      <x:c r="I543" s="34" t="n">
        <x:v>2029</x:v>
      </x:c>
      <x:c r="J543" s="34" t="n">
        <x:v>2038</x:v>
      </x:c>
      <x:c r="K543" s="34" t="n">
        <x:v>0.341902</x:v>
      </x:c>
      <x:c r="L543" s="34" t="n">
        <x:v>0.257069</x:v>
      </x:c>
      <x:c r="M543" s="34" t="n">
        <x:v>0.401028</x:v>
      </x:c>
      <x:c r="N543" s="34" t="n">
        <x:v>0</x:v>
      </x:c>
      <x:c r="O543" s="34" t="n">
        <x:v>0.15</x:v>
      </x:c>
      <x:c r="P543" s="34" t="n">
        <x:v>0.1</x:v>
      </x:c>
      <x:c r="Q543" s="34" t="n">
        <x:v>0.2</x:v>
      </x:c>
      <x:c r="R543" s="34" t="n">
        <x:v>0.1</x:v>
      </x:c>
      <x:c r="S543" s="34" t="n">
        <x:v>0.01</x:v>
      </x:c>
      <x:c r="T543" s="34" t="n">
        <x:v>330.968969</x:v>
      </x:c>
      <x:c r="U543" s="34" t="str">
        <x:v>NS-EAST:H2_DRI_EAF:2034|NS-KANSAI:BF_RELINE:2036|NS-KYUSHU:SCRAP_EAF:2029|NS-NAGOYA:BF_RELINE:2032|NS-SETOUCHI:H2_DRI_EAF:2038</x:v>
      </x:c>
      <x:c r="V543" s="34" t="str">
        <x:v>model_generated_candidate</x:v>
      </x:c>
      <x:c r="W543" s="34" t="str">
        <x:v>Generated from disclosed-path facility calendar, technology set and template contracting assumptions; not a company-announced project</x:v>
      </x:c>
    </x:row>
    <x:row r="544">
      <x:c r="A544" s="34" t="str">
        <x:v>CAND-97FAAFFD87E907</x:v>
      </x:c>
      <x:c r="B544" s="34" t="str">
        <x:v>NIPPON_STEEL_JP</x:v>
      </x:c>
      <x:c r="C544" s="34" t="str">
        <x:v>Nippon Steel</x:v>
      </x:c>
      <x:c r="D544" s="34" t="str">
        <x:v>P1</x:v>
      </x:c>
      <x:c r="E544" s="34" t="str">
        <x:v>지연·현물조달</x:v>
      </x:c>
      <x:c r="F544" s="34" t="str">
        <x:v>PORT-160DD6C4A97F</x:v>
      </x:c>
      <x:c r="G544" s="34" t="str">
        <x:v>DISCLOSED_PATH</x:v>
      </x:c>
      <x:c r="H544" s="34" t="n">
        <x:v>5</x:v>
      </x:c>
      <x:c r="I544" s="34" t="n">
        <x:v>2029</x:v>
      </x:c>
      <x:c r="J544" s="34" t="n">
        <x:v>2038</x:v>
      </x:c>
      <x:c r="K544" s="34" t="n">
        <x:v>0</x:v>
      </x:c>
      <x:c r="L544" s="34" t="n">
        <x:v>0.838046</x:v>
      </x:c>
      <x:c r="M544" s="34" t="n">
        <x:v>0.161954</x:v>
      </x:c>
      <x:c r="N544" s="34" t="n">
        <x:v>0</x:v>
      </x:c>
      <x:c r="O544" s="34" t="n">
        <x:v>0</x:v>
      </x:c>
      <x:c r="P544" s="34" t="n">
        <x:v>0</x:v>
      </x:c>
      <x:c r="Q544" s="34" t="n">
        <x:v>0.1</x:v>
      </x:c>
      <x:c r="R544" s="34" t="n">
        <x:v>0</x:v>
      </x:c>
      <x:c r="S544" s="34" t="n">
        <x:v>0</x:v>
      </x:c>
      <x:c r="T544" s="34" t="n">
        <x:v>442.153947</x:v>
      </x:c>
      <x:c r="U544" s="34" t="str">
        <x:v>NS-EAST:SCRAP_EAF:2034|NS-KANSAI:H2_DRI_EAF:2036|NS-KYUSHU:SCRAP_EAF:2029|NS-NAGOYA:SCRAP_EAF:2032|NS-SETOUCHI:SCRAP_EAF:2038</x:v>
      </x:c>
      <x:c r="V544" s="34" t="str">
        <x:v>model_generated_candidate</x:v>
      </x:c>
      <x:c r="W544" s="34" t="str">
        <x:v>Generated from disclosed-path facility calendar, technology set and template contracting assumptions; not a company-announced project</x:v>
      </x:c>
    </x:row>
    <x:row r="545">
      <x:c r="A545" s="34" t="str">
        <x:v>CAND-98C444785493CC</x:v>
      </x:c>
      <x:c r="B545" s="34" t="str">
        <x:v>NIPPON_STEEL_JP</x:v>
      </x:c>
      <x:c r="C545" s="34" t="str">
        <x:v>Nippon Steel</x:v>
      </x:c>
      <x:c r="D545" s="34" t="str">
        <x:v>P2</x:v>
      </x:c>
      <x:c r="E545" s="34" t="str">
        <x:v>지연·부분헤지</x:v>
      </x:c>
      <x:c r="F545" s="34" t="str">
        <x:v>PORT-6A7794E0A685</x:v>
      </x:c>
      <x:c r="G545" s="34" t="str">
        <x:v>DISCLOSED_PATH</x:v>
      </x:c>
      <x:c r="H545" s="34" t="n">
        <x:v>5</x:v>
      </x:c>
      <x:c r="I545" s="34" t="n">
        <x:v>2029</x:v>
      </x:c>
      <x:c r="J545" s="34" t="n">
        <x:v>2038</x:v>
      </x:c>
      <x:c r="K545" s="34" t="n">
        <x:v>0.192802</x:v>
      </x:c>
      <x:c r="L545" s="34" t="n">
        <x:v>0.550129</x:v>
      </x:c>
      <x:c r="M545" s="34" t="n">
        <x:v>0.257069</x:v>
      </x:c>
      <x:c r="N545" s="34" t="n">
        <x:v>0</x:v>
      </x:c>
      <x:c r="O545" s="34" t="n">
        <x:v>0.15</x:v>
      </x:c>
      <x:c r="P545" s="34" t="n">
        <x:v>0.1</x:v>
      </x:c>
      <x:c r="Q545" s="34" t="n">
        <x:v>0.2</x:v>
      </x:c>
      <x:c r="R545" s="34" t="n">
        <x:v>0.1</x:v>
      </x:c>
      <x:c r="S545" s="34" t="n">
        <x:v>0.01</x:v>
      </x:c>
      <x:c r="T545" s="34" t="n">
        <x:v>434.748946</x:v>
      </x:c>
      <x:c r="U545" s="34" t="str">
        <x:v>NS-EAST:SCRAP_EAF:2034|NS-KANSAI:SCRAP_EAF:2036|NS-KYUSHU:H2_DRI_EAF:2029|NS-NAGOYA:SCRAP_EAF:2032|NS-SETOUCHI:BF_RELINE:2038</x:v>
      </x:c>
      <x:c r="V545" s="34" t="str">
        <x:v>model_generated_candidate</x:v>
      </x:c>
      <x:c r="W545" s="34" t="str">
        <x:v>Generated from disclosed-path facility calendar, technology set and template contracting assumptions; not a company-announced project</x:v>
      </x:c>
    </x:row>
    <x:row r="546">
      <x:c r="A546" s="34" t="str">
        <x:v>CAND-990402B84D146B</x:v>
      </x:c>
      <x:c r="B546" s="34" t="str">
        <x:v>NIPPON_STEEL_JP</x:v>
      </x:c>
      <x:c r="C546" s="34" t="str">
        <x:v>Nippon Steel</x:v>
      </x:c>
      <x:c r="D546" s="34" t="str">
        <x:v>P3</x:v>
      </x:c>
      <x:c r="E546" s="34" t="str">
        <x:v>균형형 라이트헤지</x:v>
      </x:c>
      <x:c r="F546" s="34" t="str">
        <x:v>PORT-F37E5039B6ED</x:v>
      </x:c>
      <x:c r="G546" s="34" t="str">
        <x:v>DISCLOSED_PATH</x:v>
      </x:c>
      <x:c r="H546" s="34" t="n">
        <x:v>5</x:v>
      </x:c>
      <x:c r="I546" s="34" t="n">
        <x:v>2029</x:v>
      </x:c>
      <x:c r="J546" s="34" t="n">
        <x:v>2038</x:v>
      </x:c>
      <x:c r="K546" s="34" t="n">
        <x:v>0.208226</x:v>
      </x:c>
      <x:c r="L546" s="34" t="n">
        <x:v>0.179949</x:v>
      </x:c>
      <x:c r="M546" s="34" t="n">
        <x:v>0.611825</x:v>
      </x:c>
      <x:c r="N546" s="34" t="n">
        <x:v>0</x:v>
      </x:c>
      <x:c r="O546" s="34" t="n">
        <x:v>0.3</x:v>
      </x:c>
      <x:c r="P546" s="34" t="n">
        <x:v>0.25</x:v>
      </x:c>
      <x:c r="Q546" s="34" t="n">
        <x:v>0.35</x:v>
      </x:c>
      <x:c r="R546" s="34" t="n">
        <x:v>0.25</x:v>
      </x:c>
      <x:c r="S546" s="34" t="n">
        <x:v>0.015</x:v>
      </x:c>
      <x:c r="T546" s="34" t="n">
        <x:v>400.798938</x:v>
      </x:c>
      <x:c r="U546" s="34" t="str">
        <x:v>NS-EAST:BF_RELINE:2034|NS-KANSAI:H2_DRI_EAF:2036|NS-KYUSHU:H2_DRI_EAF:2029|NS-NAGOYA:SCRAP_EAF:2032|NS-SETOUCHI:H2_DRI_EAF:2038</x:v>
      </x:c>
      <x:c r="V546" s="34" t="str">
        <x:v>model_generated_candidate</x:v>
      </x:c>
      <x:c r="W546" s="34" t="str">
        <x:v>Generated from disclosed-path facility calendar, technology set and template contracting assumptions; not a company-announced project</x:v>
      </x:c>
    </x:row>
    <x:row r="547">
      <x:c r="A547" s="34" t="str">
        <x:v>CAND-998B8F607FCC4E</x:v>
      </x:c>
      <x:c r="B547" s="34" t="str">
        <x:v>NIPPON_STEEL_JP</x:v>
      </x:c>
      <x:c r="C547" s="34" t="str">
        <x:v>Nippon Steel</x:v>
      </x:c>
      <x:c r="D547" s="34" t="str">
        <x:v>P1</x:v>
      </x:c>
      <x:c r="E547" s="34" t="str">
        <x:v>지연·현물조달</x:v>
      </x:c>
      <x:c r="F547" s="34" t="str">
        <x:v>PORT-6DF50E192B73</x:v>
      </x:c>
      <x:c r="G547" s="34" t="str">
        <x:v>DISCLOSED_PATH</x:v>
      </x:c>
      <x:c r="H547" s="34" t="n">
        <x:v>5</x:v>
      </x:c>
      <x:c r="I547" s="34" t="n">
        <x:v>2029</x:v>
      </x:c>
      <x:c r="J547" s="34" t="n">
        <x:v>2038</x:v>
      </x:c>
      <x:c r="K547" s="34" t="n">
        <x:v>1</x:v>
      </x:c>
      <x:c r="L547" s="34" t="n">
        <x:v>0</x:v>
      </x:c>
      <x:c r="M547" s="34" t="n">
        <x:v>0</x:v>
      </x:c>
      <x:c r="N547" s="34" t="n">
        <x:v>0</x:v>
      </x:c>
      <x:c r="O547" s="34" t="n">
        <x:v>0</x:v>
      </x:c>
      <x:c r="P547" s="34" t="n">
        <x:v>0</x:v>
      </x:c>
      <x:c r="Q547" s="34" t="n">
        <x:v>0.1</x:v>
      </x:c>
      <x:c r="R547" s="34" t="n">
        <x:v>0</x:v>
      </x:c>
      <x:c r="S547" s="34" t="n">
        <x:v>0</x:v>
      </x:c>
      <x:c r="T547" s="34" t="n">
        <x:v>56.558958</x:v>
      </x:c>
      <x:c r="U547" s="34" t="str">
        <x:v>NS-EAST:BF_RELINE:2034|NS-KANSAI:BF_RELINE:2036|NS-KYUSHU:BF_RELINE:2029|NS-NAGOYA:BF_RELINE:2032|NS-SETOUCHI:BF_RELINE:2038</x:v>
      </x:c>
      <x:c r="V547" s="34" t="str">
        <x:v>model_generated_candidate</x:v>
      </x:c>
      <x:c r="W547" s="34" t="str">
        <x:v>Generated from disclosed-path facility calendar, technology set and template contracting assumptions; not a company-announced project</x:v>
      </x:c>
    </x:row>
    <x:row r="548">
      <x:c r="A548" s="34" t="str">
        <x:v>CAND-99C2F6AC6E0947</x:v>
      </x:c>
      <x:c r="B548" s="34" t="str">
        <x:v>NIPPON_STEEL_JP</x:v>
      </x:c>
      <x:c r="C548" s="34" t="str">
        <x:v>Nippon Steel</x:v>
      </x:c>
      <x:c r="D548" s="34" t="str">
        <x:v>P1</x:v>
      </x:c>
      <x:c r="E548" s="34" t="str">
        <x:v>지연·현물조달</x:v>
      </x:c>
      <x:c r="F548" s="34" t="str">
        <x:v>PORT-9DCBF1CC23DB</x:v>
      </x:c>
      <x:c r="G548" s="34" t="str">
        <x:v>DISCLOSED_PATH</x:v>
      </x:c>
      <x:c r="H548" s="34" t="n">
        <x:v>5</x:v>
      </x:c>
      <x:c r="I548" s="34" t="n">
        <x:v>2029</x:v>
      </x:c>
      <x:c r="J548" s="34" t="n">
        <x:v>2038</x:v>
      </x:c>
      <x:c r="K548" s="34" t="n">
        <x:v>0.598972</x:v>
      </x:c>
      <x:c r="L548" s="34" t="n">
        <x:v>0.401028</x:v>
      </x:c>
      <x:c r="M548" s="34" t="n">
        <x:v>0</x:v>
      </x:c>
      <x:c r="N548" s="34" t="n">
        <x:v>0</x:v>
      </x:c>
      <x:c r="O548" s="34" t="n">
        <x:v>0</x:v>
      </x:c>
      <x:c r="P548" s="34" t="n">
        <x:v>0</x:v>
      </x:c>
      <x:c r="Q548" s="34" t="n">
        <x:v>0.1</x:v>
      </x:c>
      <x:c r="R548" s="34" t="n">
        <x:v>0</x:v>
      </x:c>
      <x:c r="S548" s="34" t="n">
        <x:v>0</x:v>
      </x:c>
      <x:c r="T548" s="34" t="n">
        <x:v>157.043967</x:v>
      </x:c>
      <x:c r="U548" s="34" t="str">
        <x:v>NS-EAST:SCRAP_EAF:2034|NS-KANSAI:BF_RELINE:2036|NS-KYUSHU:BF_RELINE:2029|NS-NAGOYA:BF_RELINE:2032|NS-SETOUCHI:SCRAP_EAF:2038</x:v>
      </x:c>
      <x:c r="V548" s="34" t="str">
        <x:v>model_generated_candidate</x:v>
      </x:c>
      <x:c r="W548" s="34" t="str">
        <x:v>Generated from disclosed-path facility calendar, technology set and template contracting assumptions; not a company-announced project</x:v>
      </x:c>
    </x:row>
    <x:row r="549">
      <x:c r="A549" s="34" t="str">
        <x:v>CAND-99C2FB963A3312</x:v>
      </x:c>
      <x:c r="B549" s="34" t="str">
        <x:v>NIPPON_STEEL_JP</x:v>
      </x:c>
      <x:c r="C549" s="34" t="str">
        <x:v>Nippon Steel</x:v>
      </x:c>
      <x:c r="D549" s="34" t="str">
        <x:v>P2</x:v>
      </x:c>
      <x:c r="E549" s="34" t="str">
        <x:v>지연·부분헤지</x:v>
      </x:c>
      <x:c r="F549" s="34" t="str">
        <x:v>PORT-2D5B38A00FC3</x:v>
      </x:c>
      <x:c r="G549" s="34" t="str">
        <x:v>DISCLOSED_PATH</x:v>
      </x:c>
      <x:c r="H549" s="34" t="n">
        <x:v>5</x:v>
      </x:c>
      <x:c r="I549" s="34" t="n">
        <x:v>2029</x:v>
      </x:c>
      <x:c r="J549" s="34" t="n">
        <x:v>2038</x:v>
      </x:c>
      <x:c r="K549" s="34" t="n">
        <x:v>0.372751</x:v>
      </x:c>
      <x:c r="L549" s="34" t="n">
        <x:v>0.208226</x:v>
      </x:c>
      <x:c r="M549" s="34" t="n">
        <x:v>0.419023</x:v>
      </x:c>
      <x:c r="N549" s="34" t="n">
        <x:v>0</x:v>
      </x:c>
      <x:c r="O549" s="34" t="n">
        <x:v>0.15</x:v>
      </x:c>
      <x:c r="P549" s="34" t="n">
        <x:v>0.1</x:v>
      </x:c>
      <x:c r="Q549" s="34" t="n">
        <x:v>0.2</x:v>
      </x:c>
      <x:c r="R549" s="34" t="n">
        <x:v>0.1</x:v>
      </x:c>
      <x:c r="S549" s="34" t="n">
        <x:v>0.01</x:v>
      </x:c>
      <x:c r="T549" s="34" t="n">
        <x:v>360.838973</x:v>
      </x:c>
      <x:c r="U549" s="34" t="str">
        <x:v>NS-EAST:SCRAP_EAF:2034|NS-KANSAI:H2_DRI_EAF:2036|NS-KYUSHU:H2_DRI_EAF:2029|NS-NAGOYA:BF_RELINE:2032|NS-SETOUCHI:BF_RELINE:2038</x:v>
      </x:c>
      <x:c r="V549" s="34" t="str">
        <x:v>model_generated_candidate</x:v>
      </x:c>
      <x:c r="W549" s="34" t="str">
        <x:v>Generated from disclosed-path facility calendar, technology set and template contracting assumptions; not a company-announced project</x:v>
      </x:c>
    </x:row>
    <x:row r="550">
      <x:c r="A550" s="34" t="str">
        <x:v>CAND-9A3B971FF5CFC2</x:v>
      </x:c>
      <x:c r="B550" s="34" t="str">
        <x:v>NIPPON_STEEL_JP</x:v>
      </x:c>
      <x:c r="C550" s="34" t="str">
        <x:v>Nippon Steel</x:v>
      </x:c>
      <x:c r="D550" s="34" t="str">
        <x:v>P3</x:v>
      </x:c>
      <x:c r="E550" s="34" t="str">
        <x:v>균형형 라이트헤지</x:v>
      </x:c>
      <x:c r="F550" s="34" t="str">
        <x:v>PORT-85BCFB6D75A5</x:v>
      </x:c>
      <x:c r="G550" s="34" t="str">
        <x:v>DISCLOSED_PATH</x:v>
      </x:c>
      <x:c r="H550" s="34" t="n">
        <x:v>5</x:v>
      </x:c>
      <x:c r="I550" s="34" t="n">
        <x:v>2029</x:v>
      </x:c>
      <x:c r="J550" s="34" t="n">
        <x:v>2038</x:v>
      </x:c>
      <x:c r="K550" s="34" t="n">
        <x:v>0.419023</x:v>
      </x:c>
      <x:c r="L550" s="34" t="n">
        <x:v>0.192802</x:v>
      </x:c>
      <x:c r="M550" s="34" t="n">
        <x:v>0.388175</x:v>
      </x:c>
      <x:c r="N550" s="34" t="n">
        <x:v>0</x:v>
      </x:c>
      <x:c r="O550" s="34" t="n">
        <x:v>0.3</x:v>
      </x:c>
      <x:c r="P550" s="34" t="n">
        <x:v>0.25</x:v>
      </x:c>
      <x:c r="Q550" s="34" t="n">
        <x:v>0.35</x:v>
      </x:c>
      <x:c r="R550" s="34" t="n">
        <x:v>0.25</x:v>
      </x:c>
      <x:c r="S550" s="34" t="n">
        <x:v>0.015</x:v>
      </x:c>
      <x:c r="T550" s="34" t="n">
        <x:v>264.503938</x:v>
      </x:c>
      <x:c r="U550" s="34" t="str">
        <x:v>NS-EAST:H2_DRI_EAF:2034|NS-KANSAI:BF_RELINE:2036|NS-KYUSHU:BF_RELINE:2029|NS-NAGOYA:H2_DRI_EAF:2032|NS-SETOUCHI:SCRAP_EAF:2038</x:v>
      </x:c>
      <x:c r="V550" s="34" t="str">
        <x:v>model_generated_candidate</x:v>
      </x:c>
      <x:c r="W550" s="34" t="str">
        <x:v>Generated from disclosed-path facility calendar, technology set and template contracting assumptions; not a company-announced project</x:v>
      </x:c>
    </x:row>
    <x:row r="551">
      <x:c r="A551" s="34" t="str">
        <x:v>CAND-9A6C9B9EE37EE0</x:v>
      </x:c>
      <x:c r="B551" s="34" t="str">
        <x:v>NIPPON_STEEL_JP</x:v>
      </x:c>
      <x:c r="C551" s="34" t="str">
        <x:v>Nippon Steel</x:v>
      </x:c>
      <x:c r="D551" s="34" t="str">
        <x:v>P1</x:v>
      </x:c>
      <x:c r="E551" s="34" t="str">
        <x:v>지연·현물조달</x:v>
      </x:c>
      <x:c r="F551" s="34" t="str">
        <x:v>PORT-4A80544162DB</x:v>
      </x:c>
      <x:c r="G551" s="34" t="str">
        <x:v>DISCLOSED_PATH</x:v>
      </x:c>
      <x:c r="H551" s="34" t="n">
        <x:v>5</x:v>
      </x:c>
      <x:c r="I551" s="34" t="n">
        <x:v>2029</x:v>
      </x:c>
      <x:c r="J551" s="34" t="n">
        <x:v>2038</x:v>
      </x:c>
      <x:c r="K551" s="34" t="n">
        <x:v>0.791774</x:v>
      </x:c>
      <x:c r="L551" s="34" t="n">
        <x:v>0.208226</x:v>
      </x:c>
      <x:c r="M551" s="34" t="n">
        <x:v>0</x:v>
      </x:c>
      <x:c r="N551" s="34" t="n">
        <x:v>0</x:v>
      </x:c>
      <x:c r="O551" s="34" t="n">
        <x:v>0</x:v>
      </x:c>
      <x:c r="P551" s="34" t="n">
        <x:v>0</x:v>
      </x:c>
      <x:c r="Q551" s="34" t="n">
        <x:v>0.1</x:v>
      </x:c>
      <x:c r="R551" s="34" t="n">
        <x:v>0</x:v>
      </x:c>
      <x:c r="S551" s="34" t="n">
        <x:v>0</x:v>
      </x:c>
      <x:c r="T551" s="34" t="n">
        <x:v>129.638967</x:v>
      </x:c>
      <x:c r="U551" s="34" t="str">
        <x:v>NS-EAST:SCRAP_EAF:2034|NS-KANSAI:BF_RELINE:2036|NS-KYUSHU:BF_RELINE:2029|NS-NAGOYA:BF_RELINE:2032|NS-SETOUCHI:BF_RELINE:2038</x:v>
      </x:c>
      <x:c r="V551" s="34" t="str">
        <x:v>model_generated_candidate</x:v>
      </x:c>
      <x:c r="W551" s="34" t="str">
        <x:v>Generated from disclosed-path facility calendar, technology set and template contracting assumptions; not a company-announced project</x:v>
      </x:c>
    </x:row>
    <x:row r="552">
      <x:c r="A552" s="34" t="str">
        <x:v>CAND-9A94D582F1BDDD</x:v>
      </x:c>
      <x:c r="B552" s="34" t="str">
        <x:v>NIPPON_STEEL_JP</x:v>
      </x:c>
      <x:c r="C552" s="34" t="str">
        <x:v>Nippon Steel</x:v>
      </x:c>
      <x:c r="D552" s="34" t="str">
        <x:v>P3</x:v>
      </x:c>
      <x:c r="E552" s="34" t="str">
        <x:v>균형형 라이트헤지</x:v>
      </x:c>
      <x:c r="F552" s="34" t="str">
        <x:v>PORT-5ADA91EDF97F</x:v>
      </x:c>
      <x:c r="G552" s="34" t="str">
        <x:v>DISCLOSED_PATH</x:v>
      </x:c>
      <x:c r="H552" s="34" t="n">
        <x:v>5</x:v>
      </x:c>
      <x:c r="I552" s="34" t="n">
        <x:v>2029</x:v>
      </x:c>
      <x:c r="J552" s="34" t="n">
        <x:v>2038</x:v>
      </x:c>
      <x:c r="K552" s="34" t="n">
        <x:v>0.419023</x:v>
      </x:c>
      <x:c r="L552" s="34" t="n">
        <x:v>0.208226</x:v>
      </x:c>
      <x:c r="M552" s="34" t="n">
        <x:v>0.372751</x:v>
      </x:c>
      <x:c r="N552" s="34" t="n">
        <x:v>0</x:v>
      </x:c>
      <x:c r="O552" s="34" t="n">
        <x:v>0.3</x:v>
      </x:c>
      <x:c r="P552" s="34" t="n">
        <x:v>0.25</x:v>
      </x:c>
      <x:c r="Q552" s="34" t="n">
        <x:v>0.35</x:v>
      </x:c>
      <x:c r="R552" s="34" t="n">
        <x:v>0.25</x:v>
      </x:c>
      <x:c r="S552" s="34" t="n">
        <x:v>0.015</x:v>
      </x:c>
      <x:c r="T552" s="34" t="n">
        <x:v>256.628937</x:v>
      </x:c>
      <x:c r="U552" s="34" t="str">
        <x:v>NS-EAST:SCRAP_EAF:2034|NS-KANSAI:BF_RELINE:2036|NS-KYUSHU:BF_RELINE:2029|NS-NAGOYA:H2_DRI_EAF:2032|NS-SETOUCHI:H2_DRI_EAF:2038</x:v>
      </x:c>
      <x:c r="V552" s="34" t="str">
        <x:v>model_generated_candidate</x:v>
      </x:c>
      <x:c r="W552" s="34" t="str">
        <x:v>Generated from disclosed-path facility calendar, technology set and template contracting assumptions; not a company-announced project</x:v>
      </x:c>
    </x:row>
    <x:row r="553">
      <x:c r="A553" s="34" t="str">
        <x:v>CAND-9AA18DA06B5B1E</x:v>
      </x:c>
      <x:c r="B553" s="34" t="str">
        <x:v>NIPPON_STEEL_JP</x:v>
      </x:c>
      <x:c r="C553" s="34" t="str">
        <x:v>Nippon Steel</x:v>
      </x:c>
      <x:c r="D553" s="34" t="str">
        <x:v>P1</x:v>
      </x:c>
      <x:c r="E553" s="34" t="str">
        <x:v>지연·현물조달</x:v>
      </x:c>
      <x:c r="F553" s="34" t="str">
        <x:v>PORT-4270128735D9</x:v>
      </x:c>
      <x:c r="G553" s="34" t="str">
        <x:v>DISCLOSED_PATH</x:v>
      </x:c>
      <x:c r="H553" s="34" t="n">
        <x:v>5</x:v>
      </x:c>
      <x:c r="I553" s="34" t="n">
        <x:v>2029</x:v>
      </x:c>
      <x:c r="J553" s="34" t="n">
        <x:v>2038</x:v>
      </x:c>
      <x:c r="K553" s="34" t="n">
        <x:v>0.562982</x:v>
      </x:c>
      <x:c r="L553" s="34" t="n">
        <x:v>0.179949</x:v>
      </x:c>
      <x:c r="M553" s="34" t="n">
        <x:v>0.257069</x:v>
      </x:c>
      <x:c r="N553" s="34" t="n">
        <x:v>0</x:v>
      </x:c>
      <x:c r="O553" s="34" t="n">
        <x:v>0</x:v>
      </x:c>
      <x:c r="P553" s="34" t="n">
        <x:v>0</x:v>
      </x:c>
      <x:c r="Q553" s="34" t="n">
        <x:v>0.1</x:v>
      </x:c>
      <x:c r="R553" s="34" t="n">
        <x:v>0</x:v>
      </x:c>
      <x:c r="S553" s="34" t="n">
        <x:v>0</x:v>
      </x:c>
      <x:c r="T553" s="34" t="n">
        <x:v>321.068932</x:v>
      </x:c>
      <x:c r="U553" s="34" t="str">
        <x:v>NS-EAST:BF_RELINE:2034|NS-KANSAI:BF_RELINE:2036|NS-KYUSHU:H2_DRI_EAF:2029|NS-NAGOYA:SCRAP_EAF:2032|NS-SETOUCHI:BF_RELINE:2038</x:v>
      </x:c>
      <x:c r="V553" s="34" t="str">
        <x:v>model_generated_candidate</x:v>
      </x:c>
      <x:c r="W553" s="34" t="str">
        <x:v>Generated from disclosed-path facility calendar, technology set and template contracting assumptions; not a company-announced project</x:v>
      </x:c>
    </x:row>
    <x:row r="554">
      <x:c r="A554" s="34" t="str">
        <x:v>CAND-9AE14A2C094F50</x:v>
      </x:c>
      <x:c r="B554" s="34" t="str">
        <x:v>NIPPON_STEEL_JP</x:v>
      </x:c>
      <x:c r="C554" s="34" t="str">
        <x:v>Nippon Steel</x:v>
      </x:c>
      <x:c r="D554" s="34" t="str">
        <x:v>P2</x:v>
      </x:c>
      <x:c r="E554" s="34" t="str">
        <x:v>지연·부분헤지</x:v>
      </x:c>
      <x:c r="F554" s="34" t="str">
        <x:v>PORT-4FC217565C3B</x:v>
      </x:c>
      <x:c r="G554" s="34" t="str">
        <x:v>DISCLOSED_PATH</x:v>
      </x:c>
      <x:c r="H554" s="34" t="n">
        <x:v>5</x:v>
      </x:c>
      <x:c r="I554" s="34" t="n">
        <x:v>2029</x:v>
      </x:c>
      <x:c r="J554" s="34" t="n">
        <x:v>2038</x:v>
      </x:c>
      <x:c r="K554" s="34" t="n">
        <x:v>0.341902</x:v>
      </x:c>
      <x:c r="L554" s="34" t="n">
        <x:v>0.208226</x:v>
      </x:c>
      <x:c r="M554" s="34" t="n">
        <x:v>0.449871</x:v>
      </x:c>
      <x:c r="N554" s="34" t="n">
        <x:v>0</x:v>
      </x:c>
      <x:c r="O554" s="34" t="n">
        <x:v>0.15</x:v>
      </x:c>
      <x:c r="P554" s="34" t="n">
        <x:v>0.1</x:v>
      </x:c>
      <x:c r="Q554" s="34" t="n">
        <x:v>0.2</x:v>
      </x:c>
      <x:c r="R554" s="34" t="n">
        <x:v>0.1</x:v>
      </x:c>
      <x:c r="S554" s="34" t="n">
        <x:v>0.01</x:v>
      </x:c>
      <x:c r="T554" s="34" t="n">
        <x:v>345.368967</x:v>
      </x:c>
      <x:c r="U554" s="34" t="str">
        <x:v>NS-EAST:SCRAP_EAF:2034|NS-KANSAI:BF_RELINE:2036|NS-KYUSHU:H2_DRI_EAF:2029|NS-NAGOYA:BF_RELINE:2032|NS-SETOUCHI:H2_DRI_EAF:2038</x:v>
      </x:c>
      <x:c r="V554" s="34" t="str">
        <x:v>model_generated_candidate</x:v>
      </x:c>
      <x:c r="W554" s="34" t="str">
        <x:v>Generated from disclosed-path facility calendar, technology set and template contracting assumptions; not a company-announced project</x:v>
      </x:c>
    </x:row>
    <x:row r="555">
      <x:c r="A555" s="34" t="str">
        <x:v>CAND-9AE2D8B8B8072F</x:v>
      </x:c>
      <x:c r="B555" s="34" t="str">
        <x:v>NIPPON_STEEL_JP</x:v>
      </x:c>
      <x:c r="C555" s="34" t="str">
        <x:v>Nippon Steel</x:v>
      </x:c>
      <x:c r="D555" s="34" t="str">
        <x:v>P1</x:v>
      </x:c>
      <x:c r="E555" s="34" t="str">
        <x:v>지연·현물조달</x:v>
      </x:c>
      <x:c r="F555" s="34" t="str">
        <x:v>PORT-8FA30C7F0389</x:v>
      </x:c>
      <x:c r="G555" s="34" t="str">
        <x:v>DISCLOSED_PATH</x:v>
      </x:c>
      <x:c r="H555" s="34" t="n">
        <x:v>5</x:v>
      </x:c>
      <x:c r="I555" s="34" t="n">
        <x:v>2029</x:v>
      </x:c>
      <x:c r="J555" s="34" t="n">
        <x:v>2038</x:v>
      </x:c>
      <x:c r="K555" s="34" t="n">
        <x:v>0.645244</x:v>
      </x:c>
      <x:c r="L555" s="34" t="n">
        <x:v>0.161954</x:v>
      </x:c>
      <x:c r="M555" s="34" t="n">
        <x:v>0.192802</x:v>
      </x:c>
      <x:c r="N555" s="34" t="n">
        <x:v>0</x:v>
      </x:c>
      <x:c r="O555" s="34" t="n">
        <x:v>0</x:v>
      </x:c>
      <x:c r="P555" s="34" t="n">
        <x:v>0</x:v>
      </x:c>
      <x:c r="Q555" s="34" t="n">
        <x:v>0.1</x:v>
      </x:c>
      <x:c r="R555" s="34" t="n">
        <x:v>0</x:v>
      </x:c>
      <x:c r="S555" s="34" t="n">
        <x:v>0</x:v>
      </x:c>
      <x:c r="T555" s="34" t="n">
        <x:v>129.288963</x:v>
      </x:c>
      <x:c r="U555" s="34" t="str">
        <x:v>NS-EAST:BF_RELINE:2034|NS-KANSAI:SCRAP_EAF:2036|NS-KYUSHU:BF_RELINE:2029|NS-NAGOYA:BF_RELINE:2032|NS-SETOUCHI:H2_DRI_EAF:2038</x:v>
      </x:c>
      <x:c r="V555" s="34" t="str">
        <x:v>model_generated_candidate</x:v>
      </x:c>
      <x:c r="W555" s="34" t="str">
        <x:v>Generated from disclosed-path facility calendar, technology set and template contracting assumptions; not a company-announced project</x:v>
      </x:c>
    </x:row>
    <x:row r="556">
      <x:c r="A556" s="34" t="str">
        <x:v>CAND-9AFB607449285B</x:v>
      </x:c>
      <x:c r="B556" s="34" t="str">
        <x:v>NIPPON_STEEL_JP</x:v>
      </x:c>
      <x:c r="C556" s="34" t="str">
        <x:v>Nippon Steel</x:v>
      </x:c>
      <x:c r="D556" s="34" t="str">
        <x:v>P4</x:v>
      </x:c>
      <x:c r="E556" s="34" t="str">
        <x:v>균형형 전환</x:v>
      </x:c>
      <x:c r="F556" s="34" t="str">
        <x:v>PORT-3D9E6191363A</x:v>
      </x:c>
      <x:c r="G556" s="34" t="str">
        <x:v>DISCLOSED_PATH</x:v>
      </x:c>
      <x:c r="H556" s="34" t="n">
        <x:v>5</x:v>
      </x:c>
      <x:c r="I556" s="34" t="n">
        <x:v>2028</x:v>
      </x:c>
      <x:c r="J556" s="34" t="n">
        <x:v>2037</x:v>
      </x:c>
      <x:c r="K556" s="34" t="n">
        <x:v>0</x:v>
      </x:c>
      <x:c r="L556" s="34" t="n">
        <x:v>0.401028</x:v>
      </x:c>
      <x:c r="M556" s="34" t="n">
        <x:v>0.598972</x:v>
      </x:c>
      <x:c r="N556" s="34" t="n">
        <x:v>0</x:v>
      </x:c>
      <x:c r="O556" s="34" t="n">
        <x:v>0.5</x:v>
      </x:c>
      <x:c r="P556" s="34" t="n">
        <x:v>0.45</x:v>
      </x:c>
      <x:c r="Q556" s="34" t="n">
        <x:v>0.5</x:v>
      </x:c>
      <x:c r="R556" s="34" t="n">
        <x:v>0.4</x:v>
      </x:c>
      <x:c r="S556" s="34" t="n">
        <x:v>0.02</x:v>
      </x:c>
      <x:c r="T556" s="34" t="n">
        <x:v>545.468939</x:v>
      </x:c>
      <x:c r="U556" s="34" t="str">
        <x:v>NS-EAST:SCRAP_EAF:2033|NS-KANSAI:H2_DRI_EAF:2035|NS-KYUSHU:H2_DRI_EAF:2028|NS-NAGOYA:H2_DRI_EAF:2031|NS-SETOUCHI:SCRAP_EAF:2037</x:v>
      </x:c>
      <x:c r="V556" s="34" t="str">
        <x:v>model_generated_candidate</x:v>
      </x:c>
      <x:c r="W556" s="34" t="str">
        <x:v>Generated from disclosed-path facility calendar, technology set and template contracting assumptions; not a company-announced project</x:v>
      </x:c>
    </x:row>
    <x:row r="557">
      <x:c r="A557" s="34" t="str">
        <x:v>CAND-9BDD17344F0FD9</x:v>
      </x:c>
      <x:c r="B557" s="34" t="str">
        <x:v>NIPPON_STEEL_JP</x:v>
      </x:c>
      <x:c r="C557" s="34" t="str">
        <x:v>Nippon Steel</x:v>
      </x:c>
      <x:c r="D557" s="34" t="str">
        <x:v>P3</x:v>
      </x:c>
      <x:c r="E557" s="34" t="str">
        <x:v>균형형 라이트헤지</x:v>
      </x:c>
      <x:c r="F557" s="34" t="str">
        <x:v>PORT-20A2D678A278</x:v>
      </x:c>
      <x:c r="G557" s="34" t="str">
        <x:v>DISCLOSED_PATH</x:v>
      </x:c>
      <x:c r="H557" s="34" t="n">
        <x:v>5</x:v>
      </x:c>
      <x:c r="I557" s="34" t="n">
        <x:v>2029</x:v>
      </x:c>
      <x:c r="J557" s="34" t="n">
        <x:v>2038</x:v>
      </x:c>
      <x:c r="K557" s="34" t="n">
        <x:v>0</x:v>
      </x:c>
      <x:c r="L557" s="34" t="n">
        <x:v>0.354756</x:v>
      </x:c>
      <x:c r="M557" s="34" t="n">
        <x:v>0.645244</x:v>
      </x:c>
      <x:c r="N557" s="34" t="n">
        <x:v>0</x:v>
      </x:c>
      <x:c r="O557" s="34" t="n">
        <x:v>0.3</x:v>
      </x:c>
      <x:c r="P557" s="34" t="n">
        <x:v>0.25</x:v>
      </x:c>
      <x:c r="Q557" s="34" t="n">
        <x:v>0.35</x:v>
      </x:c>
      <x:c r="R557" s="34" t="n">
        <x:v>0.25</x:v>
      </x:c>
      <x:c r="S557" s="34" t="n">
        <x:v>0.015</x:v>
      </x:c>
      <x:c r="T557" s="34" t="n">
        <x:v>488.703943</x:v>
      </x:c>
      <x:c r="U557" s="34" t="str">
        <x:v>NS-EAST:H2_DRI_EAF:2034|NS-KANSAI:SCRAP_EAF:2036|NS-KYUSHU:H2_DRI_EAF:2029|NS-NAGOYA:H2_DRI_EAF:2032|NS-SETOUCHI:SCRAP_EAF:2038</x:v>
      </x:c>
      <x:c r="V557" s="34" t="str">
        <x:v>model_generated_candidate</x:v>
      </x:c>
      <x:c r="W557" s="34" t="str">
        <x:v>Generated from disclosed-path facility calendar, technology set and template contracting assumptions; not a company-announced project</x:v>
      </x:c>
    </x:row>
    <x:row r="558">
      <x:c r="A558" s="34" t="str">
        <x:v>CAND-9CD029437962BA</x:v>
      </x:c>
      <x:c r="B558" s="34" t="str">
        <x:v>NIPPON_STEEL_JP</x:v>
      </x:c>
      <x:c r="C558" s="34" t="str">
        <x:v>Nippon Steel</x:v>
      </x:c>
      <x:c r="D558" s="34" t="str">
        <x:v>P3</x:v>
      </x:c>
      <x:c r="E558" s="34" t="str">
        <x:v>균형형 라이트헤지</x:v>
      </x:c>
      <x:c r="F558" s="34" t="str">
        <x:v>PORT-9F881B0E6E71</x:v>
      </x:c>
      <x:c r="G558" s="34" t="str">
        <x:v>DISCLOSED_PATH</x:v>
      </x:c>
      <x:c r="H558" s="34" t="n">
        <x:v>5</x:v>
      </x:c>
      <x:c r="I558" s="34" t="n">
        <x:v>2029</x:v>
      </x:c>
      <x:c r="J558" s="34" t="n">
        <x:v>2038</x:v>
      </x:c>
      <x:c r="K558" s="34" t="n">
        <x:v>0.449871</x:v>
      </x:c>
      <x:c r="L558" s="34" t="n">
        <x:v>0.161954</x:v>
      </x:c>
      <x:c r="M558" s="34" t="n">
        <x:v>0.388175</x:v>
      </x:c>
      <x:c r="N558" s="34" t="n">
        <x:v>0</x:v>
      </x:c>
      <x:c r="O558" s="34" t="n">
        <x:v>0.3</x:v>
      </x:c>
      <x:c r="P558" s="34" t="n">
        <x:v>0.25</x:v>
      </x:c>
      <x:c r="Q558" s="34" t="n">
        <x:v>0.35</x:v>
      </x:c>
      <x:c r="R558" s="34" t="n">
        <x:v>0.25</x:v>
      </x:c>
      <x:c r="S558" s="34" t="n">
        <x:v>0.015</x:v>
      </x:c>
      <x:c r="T558" s="34" t="n">
        <x:v>277.698943</x:v>
      </x:c>
      <x:c r="U558" s="34" t="str">
        <x:v>NS-EAST:H2_DRI_EAF:2034|NS-KANSAI:SCRAP_EAF:2036|NS-KYUSHU:BF_RELINE:2029|NS-NAGOYA:H2_DRI_EAF:2032|NS-SETOUCHI:BF_RELINE:2038</x:v>
      </x:c>
      <x:c r="V558" s="34" t="str">
        <x:v>model_generated_candidate</x:v>
      </x:c>
      <x:c r="W558" s="34" t="str">
        <x:v>Generated from disclosed-path facility calendar, technology set and template contracting assumptions; not a company-announced project</x:v>
      </x:c>
    </x:row>
    <x:row r="559">
      <x:c r="A559" s="34" t="str">
        <x:v>CAND-9D08D9C1AAE72B</x:v>
      </x:c>
      <x:c r="B559" s="34" t="str">
        <x:v>NIPPON_STEEL_JP</x:v>
      </x:c>
      <x:c r="C559" s="34" t="str">
        <x:v>Nippon Steel</x:v>
      </x:c>
      <x:c r="D559" s="34" t="str">
        <x:v>P1</x:v>
      </x:c>
      <x:c r="E559" s="34" t="str">
        <x:v>지연·현물조달</x:v>
      </x:c>
      <x:c r="F559" s="34" t="str">
        <x:v>PORT-2C2A10B4DFAE</x:v>
      </x:c>
      <x:c r="G559" s="34" t="str">
        <x:v>DISCLOSED_PATH</x:v>
      </x:c>
      <x:c r="H559" s="34" t="n">
        <x:v>5</x:v>
      </x:c>
      <x:c r="I559" s="34" t="n">
        <x:v>2029</x:v>
      </x:c>
      <x:c r="J559" s="34" t="n">
        <x:v>2038</x:v>
      </x:c>
      <x:c r="K559" s="34" t="n">
        <x:v>0</x:v>
      </x:c>
      <x:c r="L559" s="34" t="n">
        <x:v>1</x:v>
      </x:c>
      <x:c r="M559" s="34" t="n">
        <x:v>0</x:v>
      </x:c>
      <x:c r="N559" s="34" t="n">
        <x:v>0</x:v>
      </x:c>
      <x:c r="O559" s="34" t="n">
        <x:v>0</x:v>
      </x:c>
      <x:c r="P559" s="34" t="n">
        <x:v>0</x:v>
      </x:c>
      <x:c r="Q559" s="34" t="n">
        <x:v>0.1</x:v>
      </x:c>
      <x:c r="R559" s="34" t="n">
        <x:v>0</x:v>
      </x:c>
      <x:c r="S559" s="34" t="n">
        <x:v>0</x:v>
      </x:c>
      <x:c r="T559" s="34" t="n">
        <x:v>435.153946</x:v>
      </x:c>
      <x:c r="U559" s="34" t="str">
        <x:v>NS-EAST:SCRAP_EAF:2034|NS-KANSAI:SCRAP_EAF:2036|NS-KYUSHU:SCRAP_EAF:2029|NS-NAGOYA:SCRAP_EAF:2032|NS-SETOUCHI:SCRAP_EAF:2038</x:v>
      </x:c>
      <x:c r="V559" s="34" t="str">
        <x:v>model_generated_candidate</x:v>
      </x:c>
      <x:c r="W559" s="34" t="str">
        <x:v>Generated from disclosed-path facility calendar, technology set and template contracting assumptions; not a company-announced project</x:v>
      </x:c>
    </x:row>
    <x:row r="560">
      <x:c r="A560" s="34" t="str">
        <x:v>CAND-9D238D687B4827</x:v>
      </x:c>
      <x:c r="B560" s="34" t="str">
        <x:v>NIPPON_STEEL_JP</x:v>
      </x:c>
      <x:c r="C560" s="34" t="str">
        <x:v>Nippon Steel</x:v>
      </x:c>
      <x:c r="D560" s="34" t="str">
        <x:v>P3</x:v>
      </x:c>
      <x:c r="E560" s="34" t="str">
        <x:v>균형형 라이트헤지</x:v>
      </x:c>
      <x:c r="F560" s="34" t="str">
        <x:v>PORT-475628A5EB38</x:v>
      </x:c>
      <x:c r="G560" s="34" t="str">
        <x:v>DISCLOSED_PATH</x:v>
      </x:c>
      <x:c r="H560" s="34" t="n">
        <x:v>5</x:v>
      </x:c>
      <x:c r="I560" s="34" t="n">
        <x:v>2029</x:v>
      </x:c>
      <x:c r="J560" s="34" t="n">
        <x:v>2038</x:v>
      </x:c>
      <x:c r="K560" s="34" t="n">
        <x:v>0.179949</x:v>
      </x:c>
      <x:c r="L560" s="34" t="n">
        <x:v>0.354756</x:v>
      </x:c>
      <x:c r="M560" s="34" t="n">
        <x:v>0.465296</x:v>
      </x:c>
      <x:c r="N560" s="34" t="n">
        <x:v>0</x:v>
      </x:c>
      <x:c r="O560" s="34" t="n">
        <x:v>0.3</x:v>
      </x:c>
      <x:c r="P560" s="34" t="n">
        <x:v>0.25</x:v>
      </x:c>
      <x:c r="Q560" s="34" t="n">
        <x:v>0.35</x:v>
      </x:c>
      <x:c r="R560" s="34" t="n">
        <x:v>0.25</x:v>
      </x:c>
      <x:c r="S560" s="34" t="n">
        <x:v>0.015</x:v>
      </x:c>
      <x:c r="T560" s="34" t="n">
        <x:v>393.843974</x:v>
      </x:c>
      <x:c r="U560" s="34" t="str">
        <x:v>NS-EAST:H2_DRI_EAF:2034|NS-KANSAI:SCRAP_EAF:2036|NS-KYUSHU:H2_DRI_EAF:2029|NS-NAGOYA:BF_RELINE:2032|NS-SETOUCHI:SCRAP_EAF:2038</x:v>
      </x:c>
      <x:c r="V560" s="34" t="str">
        <x:v>model_generated_candidate</x:v>
      </x:c>
      <x:c r="W560" s="34" t="str">
        <x:v>Generated from disclosed-path facility calendar, technology set and template contracting assumptions; not a company-announced project</x:v>
      </x:c>
    </x:row>
    <x:row r="561">
      <x:c r="A561" s="34" t="str">
        <x:v>CAND-9DAB8BFDEC6337</x:v>
      </x:c>
      <x:c r="B561" s="34" t="str">
        <x:v>NIPPON_STEEL_JP</x:v>
      </x:c>
      <x:c r="C561" s="34" t="str">
        <x:v>Nippon Steel</x:v>
      </x:c>
      <x:c r="D561" s="34" t="str">
        <x:v>P3</x:v>
      </x:c>
      <x:c r="E561" s="34" t="str">
        <x:v>균형형 라이트헤지</x:v>
      </x:c>
      <x:c r="F561" s="34" t="str">
        <x:v>PORT-ED90F4FED395</x:v>
      </x:c>
      <x:c r="G561" s="34" t="str">
        <x:v>DISCLOSED_PATH</x:v>
      </x:c>
      <x:c r="H561" s="34" t="n">
        <x:v>5</x:v>
      </x:c>
      <x:c r="I561" s="34" t="n">
        <x:v>2029</x:v>
      </x:c>
      <x:c r="J561" s="34" t="n">
        <x:v>2038</x:v>
      </x:c>
      <x:c r="K561" s="34" t="n">
        <x:v>0.388175</x:v>
      </x:c>
      <x:c r="L561" s="34" t="n">
        <x:v>0</x:v>
      </x:c>
      <x:c r="M561" s="34" t="n">
        <x:v>0.611825</x:v>
      </x:c>
      <x:c r="N561" s="34" t="n">
        <x:v>0</x:v>
      </x:c>
      <x:c r="O561" s="34" t="n">
        <x:v>0.3</x:v>
      </x:c>
      <x:c r="P561" s="34" t="n">
        <x:v>0.25</x:v>
      </x:c>
      <x:c r="Q561" s="34" t="n">
        <x:v>0.35</x:v>
      </x:c>
      <x:c r="R561" s="34" t="n">
        <x:v>0.25</x:v>
      </x:c>
      <x:c r="S561" s="34" t="n">
        <x:v>0.015</x:v>
      </x:c>
      <x:c r="T561" s="34" t="n">
        <x:v>319.888964</x:v>
      </x:c>
      <x:c r="U561" s="34" t="str">
        <x:v>NS-EAST:BF_RELINE:2034|NS-KANSAI:H2_DRI_EAF:2036|NS-KYUSHU:H2_DRI_EAF:2029|NS-NAGOYA:BF_RELINE:2032|NS-SETOUCHI:H2_DRI_EAF:2038</x:v>
      </x:c>
      <x:c r="V561" s="34" t="str">
        <x:v>model_generated_candidate</x:v>
      </x:c>
      <x:c r="W561" s="34" t="str">
        <x:v>Generated from disclosed-path facility calendar, technology set and template contracting assumptions; not a company-announced project</x:v>
      </x:c>
    </x:row>
    <x:row r="562">
      <x:c r="A562" s="34" t="str">
        <x:v>CAND-9DEF4BAB9A0852</x:v>
      </x:c>
      <x:c r="B562" s="34" t="str">
        <x:v>NIPPON_STEEL_JP</x:v>
      </x:c>
      <x:c r="C562" s="34" t="str">
        <x:v>Nippon Steel</x:v>
      </x:c>
      <x:c r="D562" s="34" t="str">
        <x:v>P2</x:v>
      </x:c>
      <x:c r="E562" s="34" t="str">
        <x:v>지연·부분헤지</x:v>
      </x:c>
      <x:c r="F562" s="34" t="str">
        <x:v>PORT-233896767A76</x:v>
      </x:c>
      <x:c r="G562" s="34" t="str">
        <x:v>DISCLOSED_PATH</x:v>
      </x:c>
      <x:c r="H562" s="34" t="n">
        <x:v>5</x:v>
      </x:c>
      <x:c r="I562" s="34" t="n">
        <x:v>2029</x:v>
      </x:c>
      <x:c r="J562" s="34" t="n">
        <x:v>2038</x:v>
      </x:c>
      <x:c r="K562" s="34" t="n">
        <x:v>0</x:v>
      </x:c>
      <x:c r="L562" s="34" t="n">
        <x:v>0.550129</x:v>
      </x:c>
      <x:c r="M562" s="34" t="n">
        <x:v>0.449871</x:v>
      </x:c>
      <x:c r="N562" s="34" t="n">
        <x:v>0</x:v>
      </x:c>
      <x:c r="O562" s="34" t="n">
        <x:v>0.15</x:v>
      </x:c>
      <x:c r="P562" s="34" t="n">
        <x:v>0.1</x:v>
      </x:c>
      <x:c r="Q562" s="34" t="n">
        <x:v>0.2</x:v>
      </x:c>
      <x:c r="R562" s="34" t="n">
        <x:v>0.1</x:v>
      </x:c>
      <x:c r="S562" s="34" t="n">
        <x:v>0.01</x:v>
      </x:c>
      <x:c r="T562" s="34" t="n">
        <x:v>466.878946</x:v>
      </x:c>
      <x:c r="U562" s="34" t="str">
        <x:v>NS-EAST:SCRAP_EAF:2034|NS-KANSAI:SCRAP_EAF:2036|NS-KYUSHU:H2_DRI_EAF:2029|NS-NAGOYA:SCRAP_EAF:2032|NS-SETOUCHI:H2_DRI_EAF:2038</x:v>
      </x:c>
      <x:c r="V562" s="34" t="str">
        <x:v>model_generated_candidate</x:v>
      </x:c>
      <x:c r="W562" s="34" t="str">
        <x:v>Generated from disclosed-path facility calendar, technology set and template contracting assumptions; not a company-announced project</x:v>
      </x:c>
    </x:row>
    <x:row r="563">
      <x:c r="A563" s="34" t="str">
        <x:v>CAND-9E270E8727760A</x:v>
      </x:c>
      <x:c r="B563" s="34" t="str">
        <x:v>NIPPON_STEEL_JP</x:v>
      </x:c>
      <x:c r="C563" s="34" t="str">
        <x:v>Nippon Steel</x:v>
      </x:c>
      <x:c r="D563" s="34" t="str">
        <x:v>P1</x:v>
      </x:c>
      <x:c r="E563" s="34" t="str">
        <x:v>지연·현물조달</x:v>
      </x:c>
      <x:c r="F563" s="34" t="str">
        <x:v>PORT-5F64F8D36298</x:v>
      </x:c>
      <x:c r="G563" s="34" t="str">
        <x:v>DISCLOSED_PATH</x:v>
      </x:c>
      <x:c r="H563" s="34" t="n">
        <x:v>5</x:v>
      </x:c>
      <x:c r="I563" s="34" t="n">
        <x:v>2029</x:v>
      </x:c>
      <x:c r="J563" s="34" t="n">
        <x:v>2038</x:v>
      </x:c>
      <x:c r="K563" s="34" t="n">
        <x:v>0.401028</x:v>
      </x:c>
      <x:c r="L563" s="34" t="n">
        <x:v>0.598972</x:v>
      </x:c>
      <x:c r="M563" s="34" t="n">
        <x:v>0</x:v>
      </x:c>
      <x:c r="N563" s="34" t="n">
        <x:v>0</x:v>
      </x:c>
      <x:c r="O563" s="34" t="n">
        <x:v>0</x:v>
      </x:c>
      <x:c r="P563" s="34" t="n">
        <x:v>0</x:v>
      </x:c>
      <x:c r="Q563" s="34" t="n">
        <x:v>0.1</x:v>
      </x:c>
      <x:c r="R563" s="34" t="n">
        <x:v>0</x:v>
      </x:c>
      <x:c r="S563" s="34" t="n">
        <x:v>0</x:v>
      </x:c>
      <x:c r="T563" s="34" t="n">
        <x:v>334.668937</x:v>
      </x:c>
      <x:c r="U563" s="34" t="str">
        <x:v>NS-EAST:BF_RELINE:2034|NS-KANSAI:SCRAP_EAF:2036|NS-KYUSHU:SCRAP_EAF:2029|NS-NAGOYA:SCRAP_EAF:2032|NS-SETOUCHI:BF_RELINE:2038</x:v>
      </x:c>
      <x:c r="V563" s="34" t="str">
        <x:v>model_generated_candidate</x:v>
      </x:c>
      <x:c r="W563" s="34" t="str">
        <x:v>Generated from disclosed-path facility calendar, technology set and template contracting assumptions; not a company-announced project</x:v>
      </x:c>
    </x:row>
    <x:row r="564">
      <x:c r="A564" s="34" t="str">
        <x:v>CAND-9E9C125159A58F</x:v>
      </x:c>
      <x:c r="B564" s="34" t="str">
        <x:v>NIPPON_STEEL_JP</x:v>
      </x:c>
      <x:c r="C564" s="34" t="str">
        <x:v>Nippon Steel</x:v>
      </x:c>
      <x:c r="D564" s="34" t="str">
        <x:v>P2</x:v>
      </x:c>
      <x:c r="E564" s="34" t="str">
        <x:v>지연·부분헤지</x:v>
      </x:c>
      <x:c r="F564" s="34" t="str">
        <x:v>PORT-4028F2B5FE7E</x:v>
      </x:c>
      <x:c r="G564" s="34" t="str">
        <x:v>DISCLOSED_PATH</x:v>
      </x:c>
      <x:c r="H564" s="34" t="n">
        <x:v>5</x:v>
      </x:c>
      <x:c r="I564" s="34" t="n">
        <x:v>2029</x:v>
      </x:c>
      <x:c r="J564" s="34" t="n">
        <x:v>2038</x:v>
      </x:c>
      <x:c r="K564" s="34" t="n">
        <x:v>0.257069</x:v>
      </x:c>
      <x:c r="L564" s="34" t="n">
        <x:v>0.208226</x:v>
      </x:c>
      <x:c r="M564" s="34" t="n">
        <x:v>0.534704</x:v>
      </x:c>
      <x:c r="N564" s="34" t="n">
        <x:v>0</x:v>
      </x:c>
      <x:c r="O564" s="34" t="n">
        <x:v>0.15</x:v>
      </x:c>
      <x:c r="P564" s="34" t="n">
        <x:v>0.1</x:v>
      </x:c>
      <x:c r="Q564" s="34" t="n">
        <x:v>0.2</x:v>
      </x:c>
      <x:c r="R564" s="34" t="n">
        <x:v>0.1</x:v>
      </x:c>
      <x:c r="S564" s="34" t="n">
        <x:v>0.01</x:v>
      </x:c>
      <x:c r="T564" s="34" t="n">
        <x:v>304.228943</x:v>
      </x:c>
      <x:c r="U564" s="34" t="str">
        <x:v>NS-EAST:SCRAP_EAF:2034|NS-KANSAI:H2_DRI_EAF:2036|NS-KYUSHU:BF_RELINE:2029|NS-NAGOYA:H2_DRI_EAF:2032|NS-SETOUCHI:H2_DRI_EAF:2038</x:v>
      </x:c>
      <x:c r="V564" s="34" t="str">
        <x:v>model_generated_candidate</x:v>
      </x:c>
      <x:c r="W564" s="34" t="str">
        <x:v>Generated from disclosed-path facility calendar, technology set and template contracting assumptions; not a company-announced project</x:v>
      </x:c>
    </x:row>
    <x:row r="565">
      <x:c r="A565" s="34" t="str">
        <x:v>CAND-9EF16DBB46004F</x:v>
      </x:c>
      <x:c r="B565" s="34" t="str">
        <x:v>NIPPON_STEEL_JP</x:v>
      </x:c>
      <x:c r="C565" s="34" t="str">
        <x:v>Nippon Steel</x:v>
      </x:c>
      <x:c r="D565" s="34" t="str">
        <x:v>P1</x:v>
      </x:c>
      <x:c r="E565" s="34" t="str">
        <x:v>지연·현물조달</x:v>
      </x:c>
      <x:c r="F565" s="34" t="str">
        <x:v>PORT-833EEC5002A6</x:v>
      </x:c>
      <x:c r="G565" s="34" t="str">
        <x:v>DISCLOSED_PATH</x:v>
      </x:c>
      <x:c r="H565" s="34" t="n">
        <x:v>5</x:v>
      </x:c>
      <x:c r="I565" s="34" t="n">
        <x:v>2029</x:v>
      </x:c>
      <x:c r="J565" s="34" t="n">
        <x:v>2038</x:v>
      </x:c>
      <x:c r="K565" s="34" t="n">
        <x:v>0.208226</x:v>
      </x:c>
      <x:c r="L565" s="34" t="n">
        <x:v>0.62982</x:v>
      </x:c>
      <x:c r="M565" s="34" t="n">
        <x:v>0.161954</x:v>
      </x:c>
      <x:c r="N565" s="34" t="n">
        <x:v>0</x:v>
      </x:c>
      <x:c r="O565" s="34" t="n">
        <x:v>0</x:v>
      </x:c>
      <x:c r="P565" s="34" t="n">
        <x:v>0</x:v>
      </x:c>
      <x:c r="Q565" s="34" t="n">
        <x:v>0.1</x:v>
      </x:c>
      <x:c r="R565" s="34" t="n">
        <x:v>0</x:v>
      </x:c>
      <x:c r="S565" s="34" t="n">
        <x:v>0</x:v>
      </x:c>
      <x:c r="T565" s="34" t="n">
        <x:v>369.073938</x:v>
      </x:c>
      <x:c r="U565" s="34" t="str">
        <x:v>NS-EAST:BF_RELINE:2034|NS-KANSAI:H2_DRI_EAF:2036|NS-KYUSHU:SCRAP_EAF:2029|NS-NAGOYA:SCRAP_EAF:2032|NS-SETOUCHI:SCRAP_EAF:2038</x:v>
      </x:c>
      <x:c r="V565" s="34" t="str">
        <x:v>model_generated_candidate</x:v>
      </x:c>
      <x:c r="W565" s="34" t="str">
        <x:v>Generated from disclosed-path facility calendar, technology set and template contracting assumptions; not a company-announced project</x:v>
      </x:c>
    </x:row>
    <x:row r="566">
      <x:c r="A566" s="34" t="str">
        <x:v>CAND-9F7978C8663C29</x:v>
      </x:c>
      <x:c r="B566" s="34" t="str">
        <x:v>NIPPON_STEEL_JP</x:v>
      </x:c>
      <x:c r="C566" s="34" t="str">
        <x:v>Nippon Steel</x:v>
      </x:c>
      <x:c r="D566" s="34" t="str">
        <x:v>P3</x:v>
      </x:c>
      <x:c r="E566" s="34" t="str">
        <x:v>균형형 라이트헤지</x:v>
      </x:c>
      <x:c r="F566" s="34" t="str">
        <x:v>PORT-1C358B09C3EE</x:v>
      </x:c>
      <x:c r="G566" s="34" t="str">
        <x:v>DISCLOSED_PATH</x:v>
      </x:c>
      <x:c r="H566" s="34" t="n">
        <x:v>5</x:v>
      </x:c>
      <x:c r="I566" s="34" t="n">
        <x:v>2029</x:v>
      </x:c>
      <x:c r="J566" s="34" t="n">
        <x:v>2038</x:v>
      </x:c>
      <x:c r="K566" s="34" t="n">
        <x:v>0.208226</x:v>
      </x:c>
      <x:c r="L566" s="34" t="n">
        <x:v>0.161954</x:v>
      </x:c>
      <x:c r="M566" s="34" t="n">
        <x:v>0.62982</x:v>
      </x:c>
      <x:c r="N566" s="34" t="n">
        <x:v>0</x:v>
      </x:c>
      <x:c r="O566" s="34" t="n">
        <x:v>0.3</x:v>
      </x:c>
      <x:c r="P566" s="34" t="n">
        <x:v>0.25</x:v>
      </x:c>
      <x:c r="Q566" s="34" t="n">
        <x:v>0.35</x:v>
      </x:c>
      <x:c r="R566" s="34" t="n">
        <x:v>0.25</x:v>
      </x:c>
      <x:c r="S566" s="34" t="n">
        <x:v>0.015</x:v>
      </x:c>
      <x:c r="T566" s="34" t="n">
        <x:v>407.748932</x:v>
      </x:c>
      <x:c r="U566" s="34" t="str">
        <x:v>NS-EAST:BF_RELINE:2034|NS-KANSAI:SCRAP_EAF:2036|NS-KYUSHU:H2_DRI_EAF:2029|NS-NAGOYA:H2_DRI_EAF:2032|NS-SETOUCHI:H2_DRI_EAF:2038</x:v>
      </x:c>
      <x:c r="V566" s="34" t="str">
        <x:v>model_generated_candidate</x:v>
      </x:c>
      <x:c r="W566" s="34" t="str">
        <x:v>Generated from disclosed-path facility calendar, technology set and template contracting assumptions; not a company-announced project</x:v>
      </x:c>
    </x:row>
    <x:row r="567">
      <x:c r="A567" s="34" t="str">
        <x:v>CAND-9FAC1A13544E8C</x:v>
      </x:c>
      <x:c r="B567" s="34" t="str">
        <x:v>NIPPON_STEEL_JP</x:v>
      </x:c>
      <x:c r="C567" s="34" t="str">
        <x:v>Nippon Steel</x:v>
      </x:c>
      <x:c r="D567" s="34" t="str">
        <x:v>P1</x:v>
      </x:c>
      <x:c r="E567" s="34" t="str">
        <x:v>지연·현물조달</x:v>
      </x:c>
      <x:c r="F567" s="34" t="str">
        <x:v>PORT-85BCFB6D75A5</x:v>
      </x:c>
      <x:c r="G567" s="34" t="str">
        <x:v>DISCLOSED_PATH</x:v>
      </x:c>
      <x:c r="H567" s="34" t="n">
        <x:v>5</x:v>
      </x:c>
      <x:c r="I567" s="34" t="n">
        <x:v>2029</x:v>
      </x:c>
      <x:c r="J567" s="34" t="n">
        <x:v>2038</x:v>
      </x:c>
      <x:c r="K567" s="34" t="n">
        <x:v>0.419023</x:v>
      </x:c>
      <x:c r="L567" s="34" t="n">
        <x:v>0.192802</x:v>
      </x:c>
      <x:c r="M567" s="34" t="n">
        <x:v>0.388175</x:v>
      </x:c>
      <x:c r="N567" s="34" t="n">
        <x:v>0</x:v>
      </x:c>
      <x:c r="O567" s="34" t="n">
        <x:v>0</x:v>
      </x:c>
      <x:c r="P567" s="34" t="n">
        <x:v>0</x:v>
      </x:c>
      <x:c r="Q567" s="34" t="n">
        <x:v>0.1</x:v>
      </x:c>
      <x:c r="R567" s="34" t="n">
        <x:v>0</x:v>
      </x:c>
      <x:c r="S567" s="34" t="n">
        <x:v>0</x:v>
      </x:c>
      <x:c r="T567" s="34" t="n">
        <x:v>264.503938</x:v>
      </x:c>
      <x:c r="U567" s="34" t="str">
        <x:v>NS-EAST:H2_DRI_EAF:2034|NS-KANSAI:BF_RELINE:2036|NS-KYUSHU:BF_RELINE:2029|NS-NAGOYA:H2_DRI_EAF:2032|NS-SETOUCHI:SCRAP_EAF:2038</x:v>
      </x:c>
      <x:c r="V567" s="34" t="str">
        <x:v>model_generated_candidate</x:v>
      </x:c>
      <x:c r="W567" s="34" t="str">
        <x:v>Generated from disclosed-path facility calendar, technology set and template contracting assumptions; not a company-announced project</x:v>
      </x:c>
    </x:row>
    <x:row r="568">
      <x:c r="A568" s="34" t="str">
        <x:v>CAND-A072998D2CCACE</x:v>
      </x:c>
      <x:c r="B568" s="34" t="str">
        <x:v>NIPPON_STEEL_JP</x:v>
      </x:c>
      <x:c r="C568" s="34" t="str">
        <x:v>Nippon Steel</x:v>
      </x:c>
      <x:c r="D568" s="34" t="str">
        <x:v>P1</x:v>
      </x:c>
      <x:c r="E568" s="34" t="str">
        <x:v>지연·현물조달</x:v>
      </x:c>
      <x:c r="F568" s="34" t="str">
        <x:v>PORT-0B2B029D958E</x:v>
      </x:c>
      <x:c r="G568" s="34" t="str">
        <x:v>DISCLOSED_PATH</x:v>
      </x:c>
      <x:c r="H568" s="34" t="n">
        <x:v>5</x:v>
      </x:c>
      <x:c r="I568" s="34" t="n">
        <x:v>2029</x:v>
      </x:c>
      <x:c r="J568" s="34" t="n">
        <x:v>2038</x:v>
      </x:c>
      <x:c r="K568" s="34" t="n">
        <x:v>0.562982</x:v>
      </x:c>
      <x:c r="L568" s="34" t="n">
        <x:v>0.257069</x:v>
      </x:c>
      <x:c r="M568" s="34" t="n">
        <x:v>0.179949</x:v>
      </x:c>
      <x:c r="N568" s="34" t="n">
        <x:v>0</x:v>
      </x:c>
      <x:c r="O568" s="34" t="n">
        <x:v>0</x:v>
      </x:c>
      <x:c r="P568" s="34" t="n">
        <x:v>0</x:v>
      </x:c>
      <x:c r="Q568" s="34" t="n">
        <x:v>0.1</x:v>
      </x:c>
      <x:c r="R568" s="34" t="n">
        <x:v>0</x:v>
      </x:c>
      <x:c r="S568" s="34" t="n">
        <x:v>0</x:v>
      </x:c>
      <x:c r="T568" s="34" t="n">
        <x:v>308.018927</x:v>
      </x:c>
      <x:c r="U568" s="34" t="str">
        <x:v>NS-EAST:BF_RELINE:2034|NS-KANSAI:BF_RELINE:2036|NS-KYUSHU:SCRAP_EAF:2029|NS-NAGOYA:H2_DRI_EAF:2032|NS-SETOUCHI:BF_RELINE:2038</x:v>
      </x:c>
      <x:c r="V568" s="34" t="str">
        <x:v>model_generated_candidate</x:v>
      </x:c>
      <x:c r="W568" s="34" t="str">
        <x:v>Generated from disclosed-path facility calendar, technology set and template contracting assumptions; not a company-announced project</x:v>
      </x:c>
    </x:row>
    <x:row r="569">
      <x:c r="A569" s="34" t="str">
        <x:v>CAND-A07C327FB5D4C4</x:v>
      </x:c>
      <x:c r="B569" s="34" t="str">
        <x:v>NIPPON_STEEL_JP</x:v>
      </x:c>
      <x:c r="C569" s="34" t="str">
        <x:v>Nippon Steel</x:v>
      </x:c>
      <x:c r="D569" s="34" t="str">
        <x:v>P4</x:v>
      </x:c>
      <x:c r="E569" s="34" t="str">
        <x:v>균형형 전환</x:v>
      </x:c>
      <x:c r="F569" s="34" t="str">
        <x:v>PORT-DF77606A395F</x:v>
      </x:c>
      <x:c r="G569" s="34" t="str">
        <x:v>DISCLOSED_PATH</x:v>
      </x:c>
      <x:c r="H569" s="34" t="n">
        <x:v>5</x:v>
      </x:c>
      <x:c r="I569" s="34" t="n">
        <x:v>2028</x:v>
      </x:c>
      <x:c r="J569" s="34" t="n">
        <x:v>2037</x:v>
      </x:c>
      <x:c r="K569" s="34" t="n">
        <x:v>0.179949</x:v>
      </x:c>
      <x:c r="L569" s="34" t="n">
        <x:v>0.257069</x:v>
      </x:c>
      <x:c r="M569" s="34" t="n">
        <x:v>0.562982</x:v>
      </x:c>
      <x:c r="N569" s="34" t="n">
        <x:v>0</x:v>
      </x:c>
      <x:c r="O569" s="34" t="n">
        <x:v>0.5</x:v>
      </x:c>
      <x:c r="P569" s="34" t="n">
        <x:v>0.45</x:v>
      </x:c>
      <x:c r="Q569" s="34" t="n">
        <x:v>0.5</x:v>
      </x:c>
      <x:c r="R569" s="34" t="n">
        <x:v>0.4</x:v>
      </x:c>
      <x:c r="S569" s="34" t="n">
        <x:v>0.02</x:v>
      </x:c>
      <x:c r="T569" s="34" t="n">
        <x:v>431.518975</x:v>
      </x:c>
      <x:c r="U569" s="34" t="str">
        <x:v>NS-EAST:H2_DRI_EAF:2033|NS-KANSAI:H2_DRI_EAF:2035|NS-KYUSHU:SCRAP_EAF:2028|NS-NAGOYA:BF_RELINE:2031|NS-SETOUCHI:H2_DRI_EAF:2037</x:v>
      </x:c>
      <x:c r="V569" s="34" t="str">
        <x:v>model_generated_candidate</x:v>
      </x:c>
      <x:c r="W569" s="34" t="str">
        <x:v>Generated from disclosed-path facility calendar, technology set and template contracting assumptions; not a company-announced project</x:v>
      </x:c>
    </x:row>
    <x:row r="570">
      <x:c r="A570" s="34" t="str">
        <x:v>CAND-A16BAAAB7617F6</x:v>
      </x:c>
      <x:c r="B570" s="34" t="str">
        <x:v>NIPPON_STEEL_JP</x:v>
      </x:c>
      <x:c r="C570" s="34" t="str">
        <x:v>Nippon Steel</x:v>
      </x:c>
      <x:c r="D570" s="34" t="str">
        <x:v>P2</x:v>
      </x:c>
      <x:c r="E570" s="34" t="str">
        <x:v>지연·부분헤지</x:v>
      </x:c>
      <x:c r="F570" s="34" t="str">
        <x:v>PORT-7C3E7675F8C1</x:v>
      </x:c>
      <x:c r="G570" s="34" t="str">
        <x:v>DISCLOSED_PATH</x:v>
      </x:c>
      <x:c r="H570" s="34" t="n">
        <x:v>5</x:v>
      </x:c>
      <x:c r="I570" s="34" t="n">
        <x:v>2029</x:v>
      </x:c>
      <x:c r="J570" s="34" t="n">
        <x:v>2038</x:v>
      </x:c>
      <x:c r="K570" s="34" t="n">
        <x:v>0</x:v>
      </x:c>
      <x:c r="L570" s="34" t="n">
        <x:v>0.388175</x:v>
      </x:c>
      <x:c r="M570" s="34" t="n">
        <x:v>0.611825</x:v>
      </x:c>
      <x:c r="N570" s="34" t="n">
        <x:v>0</x:v>
      </x:c>
      <x:c r="O570" s="34" t="n">
        <x:v>0.15</x:v>
      </x:c>
      <x:c r="P570" s="34" t="n">
        <x:v>0.1</x:v>
      </x:c>
      <x:c r="Q570" s="34" t="n">
        <x:v>0.2</x:v>
      </x:c>
      <x:c r="R570" s="34" t="n">
        <x:v>0.1</x:v>
      </x:c>
      <x:c r="S570" s="34" t="n">
        <x:v>0.01</x:v>
      </x:c>
      <x:c r="T570" s="34" t="n">
        <x:v>473.878947</x:v>
      </x:c>
      <x:c r="U570" s="34" t="str">
        <x:v>NS-EAST:SCRAP_EAF:2034|NS-KANSAI:H2_DRI_EAF:2036|NS-KYUSHU:H2_DRI_EAF:2029|NS-NAGOYA:SCRAP_EAF:2032|NS-SETOUCHI:H2_DRI_EAF:2038</x:v>
      </x:c>
      <x:c r="V570" s="34" t="str">
        <x:v>model_generated_candidate</x:v>
      </x:c>
      <x:c r="W570" s="34" t="str">
        <x:v>Generated from disclosed-path facility calendar, technology set and template contracting assumptions; not a company-announced project</x:v>
      </x:c>
    </x:row>
    <x:row r="571">
      <x:c r="A571" s="34" t="str">
        <x:v>CAND-A172D6A8611317</x:v>
      </x:c>
      <x:c r="B571" s="34" t="str">
        <x:v>NIPPON_STEEL_JP</x:v>
      </x:c>
      <x:c r="C571" s="34" t="str">
        <x:v>Nippon Steel</x:v>
      </x:c>
      <x:c r="D571" s="34" t="str">
        <x:v>P1</x:v>
      </x:c>
      <x:c r="E571" s="34" t="str">
        <x:v>지연·현물조달</x:v>
      </x:c>
      <x:c r="F571" s="34" t="str">
        <x:v>PORT-E9DA8A4B2253</x:v>
      </x:c>
      <x:c r="G571" s="34" t="str">
        <x:v>DISCLOSED_PATH</x:v>
      </x:c>
      <x:c r="H571" s="34" t="n">
        <x:v>5</x:v>
      </x:c>
      <x:c r="I571" s="34" t="n">
        <x:v>2029</x:v>
      </x:c>
      <x:c r="J571" s="34" t="n">
        <x:v>2038</x:v>
      </x:c>
      <x:c r="K571" s="34" t="n">
        <x:v>0.791774</x:v>
      </x:c>
      <x:c r="L571" s="34" t="n">
        <x:v>0</x:v>
      </x:c>
      <x:c r="M571" s="34" t="n">
        <x:v>0.208226</x:v>
      </x:c>
      <x:c r="N571" s="34" t="n">
        <x:v>0</x:v>
      </x:c>
      <x:c r="O571" s="34" t="n">
        <x:v>0</x:v>
      </x:c>
      <x:c r="P571" s="34" t="n">
        <x:v>0</x:v>
      </x:c>
      <x:c r="Q571" s="34" t="n">
        <x:v>0.1</x:v>
      </x:c>
      <x:c r="R571" s="34" t="n">
        <x:v>0</x:v>
      </x:c>
      <x:c r="S571" s="34" t="n">
        <x:v>0</x:v>
      </x:c>
      <x:c r="T571" s="34" t="n">
        <x:v>142.238969</x:v>
      </x:c>
      <x:c r="U571" s="34" t="str">
        <x:v>NS-EAST:H2_DRI_EAF:2034|NS-KANSAI:BF_RELINE:2036|NS-KYUSHU:BF_RELINE:2029|NS-NAGOYA:BF_RELINE:2032|NS-SETOUCHI:BF_RELINE:2038</x:v>
      </x:c>
      <x:c r="V571" s="34" t="str">
        <x:v>model_generated_candidate</x:v>
      </x:c>
      <x:c r="W571" s="34" t="str">
        <x:v>Generated from disclosed-path facility calendar, technology set and template contracting assumptions; not a company-announced project</x:v>
      </x:c>
    </x:row>
    <x:row r="572">
      <x:c r="A572" s="34" t="str">
        <x:v>CAND-A1BF5773653AFB</x:v>
      </x:c>
      <x:c r="B572" s="34" t="str">
        <x:v>NIPPON_STEEL_JP</x:v>
      </x:c>
      <x:c r="C572" s="34" t="str">
        <x:v>Nippon Steel</x:v>
      </x:c>
      <x:c r="D572" s="34" t="str">
        <x:v>P4</x:v>
      </x:c>
      <x:c r="E572" s="34" t="str">
        <x:v>균형형 전환</x:v>
      </x:c>
      <x:c r="F572" s="34" t="str">
        <x:v>PORT-572ACD26A37B</x:v>
      </x:c>
      <x:c r="G572" s="34" t="str">
        <x:v>DISCLOSED_PATH</x:v>
      </x:c>
      <x:c r="H572" s="34" t="n">
        <x:v>5</x:v>
      </x:c>
      <x:c r="I572" s="34" t="n">
        <x:v>2028</x:v>
      </x:c>
      <x:c r="J572" s="34" t="n">
        <x:v>2037</x:v>
      </x:c>
      <x:c r="K572" s="34" t="n">
        <x:v>0.465296</x:v>
      </x:c>
      <x:c r="L572" s="34" t="n">
        <x:v>0</x:v>
      </x:c>
      <x:c r="M572" s="34" t="n">
        <x:v>0.534704</x:v>
      </x:c>
      <x:c r="N572" s="34" t="n">
        <x:v>0</x:v>
      </x:c>
      <x:c r="O572" s="34" t="n">
        <x:v>0.5</x:v>
      </x:c>
      <x:c r="P572" s="34" t="n">
        <x:v>0.45</x:v>
      </x:c>
      <x:c r="Q572" s="34" t="n">
        <x:v>0.5</x:v>
      </x:c>
      <x:c r="R572" s="34" t="n">
        <x:v>0.4</x:v>
      </x:c>
      <x:c r="S572" s="34" t="n">
        <x:v>0.02</x:v>
      </x:c>
      <x:c r="T572" s="34" t="n">
        <x:v>269.348928</x:v>
      </x:c>
      <x:c r="U572" s="34" t="str">
        <x:v>NS-EAST:BF_RELINE:2033|NS-KANSAI:H2_DRI_EAF:2035|NS-KYUSHU:BF_RELINE:2028|NS-NAGOYA:H2_DRI_EAF:2031|NS-SETOUCHI:H2_DRI_EAF:2037</x:v>
      </x:c>
      <x:c r="V572" s="34" t="str">
        <x:v>model_generated_candidate</x:v>
      </x:c>
      <x:c r="W572" s="34" t="str">
        <x:v>Generated from disclosed-path facility calendar, technology set and template contracting assumptions; not a company-announced project</x:v>
      </x:c>
    </x:row>
    <x:row r="573">
      <x:c r="A573" s="34" t="str">
        <x:v>CAND-A1E2AEA20D16FA</x:v>
      </x:c>
      <x:c r="B573" s="34" t="str">
        <x:v>NIPPON_STEEL_JP</x:v>
      </x:c>
      <x:c r="C573" s="34" t="str">
        <x:v>Nippon Steel</x:v>
      </x:c>
      <x:c r="D573" s="34" t="str">
        <x:v>P4</x:v>
      </x:c>
      <x:c r="E573" s="34" t="str">
        <x:v>균형형 전환</x:v>
      </x:c>
      <x:c r="F573" s="34" t="str">
        <x:v>PORT-BBE5D9D6F6B7</x:v>
      </x:c>
      <x:c r="G573" s="34" t="str">
        <x:v>DISCLOSED_PATH</x:v>
      </x:c>
      <x:c r="H573" s="34" t="n">
        <x:v>5</x:v>
      </x:c>
      <x:c r="I573" s="34" t="n">
        <x:v>2028</x:v>
      </x:c>
      <x:c r="J573" s="34" t="n">
        <x:v>2037</x:v>
      </x:c>
      <x:c r="K573" s="34" t="n">
        <x:v>0.257069</x:v>
      </x:c>
      <x:c r="L573" s="34" t="n">
        <x:v>0.208226</x:v>
      </x:c>
      <x:c r="M573" s="34" t="n">
        <x:v>0.534704</x:v>
      </x:c>
      <x:c r="N573" s="34" t="n">
        <x:v>0</x:v>
      </x:c>
      <x:c r="O573" s="34" t="n">
        <x:v>0.5</x:v>
      </x:c>
      <x:c r="P573" s="34" t="n">
        <x:v>0.45</x:v>
      </x:c>
      <x:c r="Q573" s="34" t="n">
        <x:v>0.5</x:v>
      </x:c>
      <x:c r="R573" s="34" t="n">
        <x:v>0.4</x:v>
      </x:c>
      <x:c r="S573" s="34" t="n">
        <x:v>0.02</x:v>
      </x:c>
      <x:c r="T573" s="34" t="n">
        <x:v>352.868939</x:v>
      </x:c>
      <x:c r="U573" s="34" t="str">
        <x:v>NS-EAST:SCRAP_EAF:2033|NS-KANSAI:H2_DRI_EAF:2035|NS-KYUSHU:BF_RELINE:2028|NS-NAGOYA:H2_DRI_EAF:2031|NS-SETOUCHI:H2_DRI_EAF:2037</x:v>
      </x:c>
      <x:c r="V573" s="34" t="str">
        <x:v>model_generated_candidate</x:v>
      </x:c>
      <x:c r="W573" s="34" t="str">
        <x:v>Generated from disclosed-path facility calendar, technology set and template contracting assumptions; not a company-announced project</x:v>
      </x:c>
    </x:row>
    <x:row r="574">
      <x:c r="A574" s="34" t="str">
        <x:v>CAND-A3099F4F80838B</x:v>
      </x:c>
      <x:c r="B574" s="34" t="str">
        <x:v>NIPPON_STEEL_JP</x:v>
      </x:c>
      <x:c r="C574" s="34" t="str">
        <x:v>Nippon Steel</x:v>
      </x:c>
      <x:c r="D574" s="34" t="str">
        <x:v>P4</x:v>
      </x:c>
      <x:c r="E574" s="34" t="str">
        <x:v>균형형 전환</x:v>
      </x:c>
      <x:c r="F574" s="34" t="str">
        <x:v>PORT-BF3853971191</x:v>
      </x:c>
      <x:c r="G574" s="34" t="str">
        <x:v>DISCLOSED_PATH</x:v>
      </x:c>
      <x:c r="H574" s="34" t="n">
        <x:v>5</x:v>
      </x:c>
      <x:c r="I574" s="34" t="n">
        <x:v>2028</x:v>
      </x:c>
      <x:c r="J574" s="34" t="n">
        <x:v>2037</x:v>
      </x:c>
      <x:c r="K574" s="34" t="n">
        <x:v>0.192802</x:v>
      </x:c>
      <x:c r="L574" s="34" t="n">
        <x:v>0</x:v>
      </x:c>
      <x:c r="M574" s="34" t="n">
        <x:v>0.807198</x:v>
      </x:c>
      <x:c r="N574" s="34" t="n">
        <x:v>0</x:v>
      </x:c>
      <x:c r="O574" s="34" t="n">
        <x:v>0.5</x:v>
      </x:c>
      <x:c r="P574" s="34" t="n">
        <x:v>0.45</x:v>
      </x:c>
      <x:c r="Q574" s="34" t="n">
        <x:v>0.5</x:v>
      </x:c>
      <x:c r="R574" s="34" t="n">
        <x:v>0.4</x:v>
      </x:c>
      <x:c r="S574" s="34" t="n">
        <x:v>0.02</x:v>
      </x:c>
      <x:c r="T574" s="34" t="n">
        <x:v>523.328941</x:v>
      </x:c>
      <x:c r="U574" s="34" t="str">
        <x:v>NS-EAST:H2_DRI_EAF:2033|NS-KANSAI:H2_DRI_EAF:2035|NS-KYUSHU:H2_DRI_EAF:2028|NS-NAGOYA:H2_DRI_EAF:2031|NS-SETOUCHI:BF_RELINE:2037</x:v>
      </x:c>
      <x:c r="V574" s="34" t="str">
        <x:v>model_generated_candidate</x:v>
      </x:c>
      <x:c r="W574" s="34" t="str">
        <x:v>Generated from disclosed-path facility calendar, technology set and template contracting assumptions; not a company-announced project</x:v>
      </x:c>
    </x:row>
    <x:row r="575">
      <x:c r="A575" s="34" t="str">
        <x:v>CAND-A31573CB4DD5FB</x:v>
      </x:c>
      <x:c r="B575" s="34" t="str">
        <x:v>NIPPON_STEEL_JP</x:v>
      </x:c>
      <x:c r="C575" s="34" t="str">
        <x:v>Nippon Steel</x:v>
      </x:c>
      <x:c r="D575" s="34" t="str">
        <x:v>P1</x:v>
      </x:c>
      <x:c r="E575" s="34" t="str">
        <x:v>지연·현물조달</x:v>
      </x:c>
      <x:c r="F575" s="34" t="str">
        <x:v>PORT-65D55D48FAB7</x:v>
      </x:c>
      <x:c r="G575" s="34" t="str">
        <x:v>DISCLOSED_PATH</x:v>
      </x:c>
      <x:c r="H575" s="34" t="n">
        <x:v>5</x:v>
      </x:c>
      <x:c r="I575" s="34" t="n">
        <x:v>2029</x:v>
      </x:c>
      <x:c r="J575" s="34" t="n">
        <x:v>2038</x:v>
      </x:c>
      <x:c r="K575" s="34" t="n">
        <x:v>0.388175</x:v>
      </x:c>
      <x:c r="L575" s="34" t="n">
        <x:v>0.192802</x:v>
      </x:c>
      <x:c r="M575" s="34" t="n">
        <x:v>0.419023</x:v>
      </x:c>
      <x:c r="N575" s="34" t="n">
        <x:v>0</x:v>
      </x:c>
      <x:c r="O575" s="34" t="n">
        <x:v>0</x:v>
      </x:c>
      <x:c r="P575" s="34" t="n">
        <x:v>0</x:v>
      </x:c>
      <x:c r="Q575" s="34" t="n">
        <x:v>0.1</x:v>
      </x:c>
      <x:c r="R575" s="34" t="n">
        <x:v>0</x:v>
      </x:c>
      <x:c r="S575" s="34" t="n">
        <x:v>0</x:v>
      </x:c>
      <x:c r="T575" s="34" t="n">
        <x:v>315.163964</x:v>
      </x:c>
      <x:c r="U575" s="34" t="str">
        <x:v>NS-EAST:BF_RELINE:2034|NS-KANSAI:H2_DRI_EAF:2036|NS-KYUSHU:H2_DRI_EAF:2029|NS-NAGOYA:BF_RELINE:2032|NS-SETOUCHI:SCRAP_EAF:2038</x:v>
      </x:c>
      <x:c r="V575" s="34" t="str">
        <x:v>model_generated_candidate</x:v>
      </x:c>
      <x:c r="W575" s="34" t="str">
        <x:v>Generated from disclosed-path facility calendar, technology set and template contracting assumptions; not a company-announced project</x:v>
      </x:c>
    </x:row>
    <x:row r="576">
      <x:c r="A576" s="34" t="str">
        <x:v>CAND-A34FD48E452591</x:v>
      </x:c>
      <x:c r="B576" s="34" t="str">
        <x:v>NIPPON_STEEL_JP</x:v>
      </x:c>
      <x:c r="C576" s="34" t="str">
        <x:v>Nippon Steel</x:v>
      </x:c>
      <x:c r="D576" s="34" t="str">
        <x:v>P3</x:v>
      </x:c>
      <x:c r="E576" s="34" t="str">
        <x:v>균형형 라이트헤지</x:v>
      </x:c>
      <x:c r="F576" s="34" t="str">
        <x:v>PORT-0542A6FA3ED2</x:v>
      </x:c>
      <x:c r="G576" s="34" t="str">
        <x:v>DISCLOSED_PATH</x:v>
      </x:c>
      <x:c r="H576" s="34" t="n">
        <x:v>5</x:v>
      </x:c>
      <x:c r="I576" s="34" t="n">
        <x:v>2029</x:v>
      </x:c>
      <x:c r="J576" s="34" t="n">
        <x:v>2038</x:v>
      </x:c>
      <x:c r="K576" s="34" t="n">
        <x:v>0.354756</x:v>
      </x:c>
      <x:c r="L576" s="34" t="n">
        <x:v>0.208226</x:v>
      </x:c>
      <x:c r="M576" s="34" t="n">
        <x:v>0.437018</x:v>
      </x:c>
      <x:c r="N576" s="34" t="n">
        <x:v>0</x:v>
      </x:c>
      <x:c r="O576" s="34" t="n">
        <x:v>0.3</x:v>
      </x:c>
      <x:c r="P576" s="34" t="n">
        <x:v>0.25</x:v>
      </x:c>
      <x:c r="Q576" s="34" t="n">
        <x:v>0.35</x:v>
      </x:c>
      <x:c r="R576" s="34" t="n">
        <x:v>0.25</x:v>
      </x:c>
      <x:c r="S576" s="34" t="n">
        <x:v>0.015</x:v>
      </x:c>
      <x:c r="T576" s="34" t="n">
        <x:v>408.098937</x:v>
      </x:c>
      <x:c r="U576" s="34" t="str">
        <x:v>NS-EAST:SCRAP_EAF:2034|NS-KANSAI:BF_RELINE:2036|NS-KYUSHU:H2_DRI_EAF:2029|NS-NAGOYA:H2_DRI_EAF:2032|NS-SETOUCHI:BF_RELINE:2038</x:v>
      </x:c>
      <x:c r="V576" s="34" t="str">
        <x:v>model_generated_candidate</x:v>
      </x:c>
      <x:c r="W576" s="34" t="str">
        <x:v>Generated from disclosed-path facility calendar, technology set and template contracting assumptions; not a company-announced project</x:v>
      </x:c>
    </x:row>
    <x:row r="577">
      <x:c r="A577" s="34" t="str">
        <x:v>CAND-A39C02B97269BF</x:v>
      </x:c>
      <x:c r="B577" s="34" t="str">
        <x:v>NIPPON_STEEL_JP</x:v>
      </x:c>
      <x:c r="C577" s="34" t="str">
        <x:v>Nippon Steel</x:v>
      </x:c>
      <x:c r="D577" s="34" t="str">
        <x:v>P1</x:v>
      </x:c>
      <x:c r="E577" s="34" t="str">
        <x:v>지연·현물조달</x:v>
      </x:c>
      <x:c r="F577" s="34" t="str">
        <x:v>PORT-B93DF6AAC147</x:v>
      </x:c>
      <x:c r="G577" s="34" t="str">
        <x:v>DISCLOSED_PATH</x:v>
      </x:c>
      <x:c r="H577" s="34" t="n">
        <x:v>5</x:v>
      </x:c>
      <x:c r="I577" s="34" t="n">
        <x:v>2029</x:v>
      </x:c>
      <x:c r="J577" s="34" t="n">
        <x:v>2038</x:v>
      </x:c>
      <x:c r="K577" s="34" t="n">
        <x:v>0.388175</x:v>
      </x:c>
      <x:c r="L577" s="34" t="n">
        <x:v>0.257069</x:v>
      </x:c>
      <x:c r="M577" s="34" t="n">
        <x:v>0.354756</x:v>
      </x:c>
      <x:c r="N577" s="34" t="n">
        <x:v>0</x:v>
      </x:c>
      <x:c r="O577" s="34" t="n">
        <x:v>0</x:v>
      </x:c>
      <x:c r="P577" s="34" t="n">
        <x:v>0</x:v>
      </x:c>
      <x:c r="Q577" s="34" t="n">
        <x:v>0.1</x:v>
      </x:c>
      <x:c r="R577" s="34" t="n">
        <x:v>0</x:v>
      </x:c>
      <x:c r="S577" s="34" t="n">
        <x:v>0</x:v>
      </x:c>
      <x:c r="T577" s="34" t="n">
        <x:v>292.888964</x:v>
      </x:c>
      <x:c r="U577" s="34" t="str">
        <x:v>NS-EAST:BF_RELINE:2034|NS-KANSAI:H2_DRI_EAF:2036|NS-KYUSHU:SCRAP_EAF:2029|NS-NAGOYA:BF_RELINE:2032|NS-SETOUCHI:H2_DRI_EAF:2038</x:v>
      </x:c>
      <x:c r="V577" s="34" t="str">
        <x:v>model_generated_candidate</x:v>
      </x:c>
      <x:c r="W577" s="34" t="str">
        <x:v>Generated from disclosed-path facility calendar, technology set and template contracting assumptions; not a company-announced project</x:v>
      </x:c>
    </x:row>
    <x:row r="578">
      <x:c r="A578" s="34" t="str">
        <x:v>CAND-A4049CAD63EFF0</x:v>
      </x:c>
      <x:c r="B578" s="34" t="str">
        <x:v>NIPPON_STEEL_JP</x:v>
      </x:c>
      <x:c r="C578" s="34" t="str">
        <x:v>Nippon Steel</x:v>
      </x:c>
      <x:c r="D578" s="34" t="str">
        <x:v>P1</x:v>
      </x:c>
      <x:c r="E578" s="34" t="str">
        <x:v>지연·현물조달</x:v>
      </x:c>
      <x:c r="F578" s="34" t="str">
        <x:v>PORT-66671902C8C2</x:v>
      </x:c>
      <x:c r="G578" s="34" t="str">
        <x:v>DISCLOSED_PATH</x:v>
      </x:c>
      <x:c r="H578" s="34" t="n">
        <x:v>5</x:v>
      </x:c>
      <x:c r="I578" s="34" t="n">
        <x:v>2029</x:v>
      </x:c>
      <x:c r="J578" s="34" t="n">
        <x:v>2038</x:v>
      </x:c>
      <x:c r="K578" s="34" t="n">
        <x:v>0.161954</x:v>
      </x:c>
      <x:c r="L578" s="34" t="n">
        <x:v>0.465296</x:v>
      </x:c>
      <x:c r="M578" s="34" t="n">
        <x:v>0.372751</x:v>
      </x:c>
      <x:c r="N578" s="34" t="n">
        <x:v>0</x:v>
      </x:c>
      <x:c r="O578" s="34" t="n">
        <x:v>0</x:v>
      </x:c>
      <x:c r="P578" s="34" t="n">
        <x:v>0</x:v>
      </x:c>
      <x:c r="Q578" s="34" t="n">
        <x:v>0.1</x:v>
      </x:c>
      <x:c r="R578" s="34" t="n">
        <x:v>0</x:v>
      </x:c>
      <x:c r="S578" s="34" t="n">
        <x:v>0</x:v>
      </x:c>
      <x:c r="T578" s="34" t="n">
        <x:v>413.228937</x:v>
      </x:c>
      <x:c r="U578" s="34" t="str">
        <x:v>NS-EAST:SCRAP_EAF:2034|NS-KANSAI:BF_RELINE:2036|NS-KYUSHU:SCRAP_EAF:2029|NS-NAGOYA:H2_DRI_EAF:2032|NS-SETOUCHI:H2_DRI_EAF:2038</x:v>
      </x:c>
      <x:c r="V578" s="34" t="str">
        <x:v>model_generated_candidate</x:v>
      </x:c>
      <x:c r="W578" s="34" t="str">
        <x:v>Generated from disclosed-path facility calendar, technology set and template contracting assumptions; not a company-announced project</x:v>
      </x:c>
    </x:row>
    <x:row r="579">
      <x:c r="A579" s="34" t="str">
        <x:v>CAND-A40AEF01F5A20E</x:v>
      </x:c>
      <x:c r="B579" s="34" t="str">
        <x:v>NIPPON_STEEL_JP</x:v>
      </x:c>
      <x:c r="C579" s="34" t="str">
        <x:v>Nippon Steel</x:v>
      </x:c>
      <x:c r="D579" s="34" t="str">
        <x:v>P1</x:v>
      </x:c>
      <x:c r="E579" s="34" t="str">
        <x:v>지연·현물조달</x:v>
      </x:c>
      <x:c r="F579" s="34" t="str">
        <x:v>PORT-DC1ACF394B0E</x:v>
      </x:c>
      <x:c r="G579" s="34" t="str">
        <x:v>DISCLOSED_PATH</x:v>
      </x:c>
      <x:c r="H579" s="34" t="n">
        <x:v>5</x:v>
      </x:c>
      <x:c r="I579" s="34" t="n">
        <x:v>2029</x:v>
      </x:c>
      <x:c r="J579" s="34" t="n">
        <x:v>2038</x:v>
      </x:c>
      <x:c r="K579" s="34" t="n">
        <x:v>0.419023</x:v>
      </x:c>
      <x:c r="L579" s="34" t="n">
        <x:v>0.580977</x:v>
      </x:c>
      <x:c r="M579" s="34" t="n">
        <x:v>0</x:v>
      </x:c>
      <x:c r="N579" s="34" t="n">
        <x:v>0</x:v>
      </x:c>
      <x:c r="O579" s="34" t="n">
        <x:v>0</x:v>
      </x:c>
      <x:c r="P579" s="34" t="n">
        <x:v>0</x:v>
      </x:c>
      <x:c r="Q579" s="34" t="n">
        <x:v>0.1</x:v>
      </x:c>
      <x:c r="R579" s="34" t="n">
        <x:v>0</x:v>
      </x:c>
      <x:c r="S579" s="34" t="n">
        <x:v>0</x:v>
      </x:c>
      <x:c r="T579" s="34" t="n">
        <x:v>237.953941</x:v>
      </x:c>
      <x:c r="U579" s="34" t="str">
        <x:v>NS-EAST:SCRAP_EAF:2034|NS-KANSAI:BF_RELINE:2036|NS-KYUSHU:BF_RELINE:2029|NS-NAGOYA:SCRAP_EAF:2032|NS-SETOUCHI:SCRAP_EAF:2038</x:v>
      </x:c>
      <x:c r="V579" s="34" t="str">
        <x:v>model_generated_candidate</x:v>
      </x:c>
      <x:c r="W579" s="34" t="str">
        <x:v>Generated from disclosed-path facility calendar, technology set and template contracting assumptions; not a company-announced project</x:v>
      </x:c>
    </x:row>
    <x:row r="580">
      <x:c r="A580" s="34" t="str">
        <x:v>CAND-A4A67C24E4E5F1</x:v>
      </x:c>
      <x:c r="B580" s="34" t="str">
        <x:v>NIPPON_STEEL_JP</x:v>
      </x:c>
      <x:c r="C580" s="34" t="str">
        <x:v>Nippon Steel</x:v>
      </x:c>
      <x:c r="D580" s="34" t="str">
        <x:v>P3</x:v>
      </x:c>
      <x:c r="E580" s="34" t="str">
        <x:v>균형형 라이트헤지</x:v>
      </x:c>
      <x:c r="F580" s="34" t="str">
        <x:v>PORT-D2286B1543C0</x:v>
      </x:c>
      <x:c r="G580" s="34" t="str">
        <x:v>DISCLOSED_PATH</x:v>
      </x:c>
      <x:c r="H580" s="34" t="n">
        <x:v>5</x:v>
      </x:c>
      <x:c r="I580" s="34" t="n">
        <x:v>2029</x:v>
      </x:c>
      <x:c r="J580" s="34" t="n">
        <x:v>2038</x:v>
      </x:c>
      <x:c r="K580" s="34" t="n">
        <x:v>0.372751</x:v>
      </x:c>
      <x:c r="L580" s="34" t="n">
        <x:v>0.257069</x:v>
      </x:c>
      <x:c r="M580" s="34" t="n">
        <x:v>0.37018</x:v>
      </x:c>
      <x:c r="N580" s="34" t="n">
        <x:v>0</x:v>
      </x:c>
      <x:c r="O580" s="34" t="n">
        <x:v>0.3</x:v>
      </x:c>
      <x:c r="P580" s="34" t="n">
        <x:v>0.25</x:v>
      </x:c>
      <x:c r="Q580" s="34" t="n">
        <x:v>0.35</x:v>
      </x:c>
      <x:c r="R580" s="34" t="n">
        <x:v>0.25</x:v>
      </x:c>
      <x:c r="S580" s="34" t="n">
        <x:v>0.015</x:v>
      </x:c>
      <x:c r="T580" s="34" t="n">
        <x:v>346.438975</x:v>
      </x:c>
      <x:c r="U580" s="34" t="str">
        <x:v>NS-EAST:H2_DRI_EAF:2034|NS-KANSAI:H2_DRI_EAF:2036|NS-KYUSHU:SCRAP_EAF:2029|NS-NAGOYA:BF_RELINE:2032|NS-SETOUCHI:BF_RELINE:2038</x:v>
      </x:c>
      <x:c r="V580" s="34" t="str">
        <x:v>model_generated_candidate</x:v>
      </x:c>
      <x:c r="W580" s="34" t="str">
        <x:v>Generated from disclosed-path facility calendar, technology set and template contracting assumptions; not a company-announced project</x:v>
      </x:c>
    </x:row>
    <x:row r="581">
      <x:c r="A581" s="34" t="str">
        <x:v>CAND-A5A18E790E877E</x:v>
      </x:c>
      <x:c r="B581" s="34" t="str">
        <x:v>NIPPON_STEEL_JP</x:v>
      </x:c>
      <x:c r="C581" s="34" t="str">
        <x:v>Nippon Steel</x:v>
      </x:c>
      <x:c r="D581" s="34" t="str">
        <x:v>P1</x:v>
      </x:c>
      <x:c r="E581" s="34" t="str">
        <x:v>지연·현물조달</x:v>
      </x:c>
      <x:c r="F581" s="34" t="str">
        <x:v>PORT-80CDBDD324C3</x:v>
      </x:c>
      <x:c r="G581" s="34" t="str">
        <x:v>DISCLOSED_PATH</x:v>
      </x:c>
      <x:c r="H581" s="34" t="n">
        <x:v>5</x:v>
      </x:c>
      <x:c r="I581" s="34" t="n">
        <x:v>2029</x:v>
      </x:c>
      <x:c r="J581" s="34" t="n">
        <x:v>2038</x:v>
      </x:c>
      <x:c r="K581" s="34" t="n">
        <x:v>0.580977</x:v>
      </x:c>
      <x:c r="L581" s="34" t="n">
        <x:v>0</x:v>
      </x:c>
      <x:c r="M581" s="34" t="n">
        <x:v>0.419023</x:v>
      </x:c>
      <x:c r="N581" s="34" t="n">
        <x:v>0</x:v>
      </x:c>
      <x:c r="O581" s="34" t="n">
        <x:v>0</x:v>
      </x:c>
      <x:c r="P581" s="34" t="n">
        <x:v>0</x:v>
      </x:c>
      <x:c r="Q581" s="34" t="n">
        <x:v>0.1</x:v>
      </x:c>
      <x:c r="R581" s="34" t="n">
        <x:v>0</x:v>
      </x:c>
      <x:c r="S581" s="34" t="n">
        <x:v>0</x:v>
      </x:c>
      <x:c r="T581" s="34" t="n">
        <x:v>287.758964</x:v>
      </x:c>
      <x:c r="U581" s="34" t="str">
        <x:v>NS-EAST:BF_RELINE:2034|NS-KANSAI:H2_DRI_EAF:2036|NS-KYUSHU:H2_DRI_EAF:2029|NS-NAGOYA:BF_RELINE:2032|NS-SETOUCHI:BF_RELINE:2038</x:v>
      </x:c>
      <x:c r="V581" s="34" t="str">
        <x:v>model_generated_candidate</x:v>
      </x:c>
      <x:c r="W581" s="34" t="str">
        <x:v>Generated from disclosed-path facility calendar, technology set and template contracting assumptions; not a company-announced project</x:v>
      </x:c>
    </x:row>
    <x:row r="582">
      <x:c r="A582" s="34" t="str">
        <x:v>CAND-A6AEE67C5D96D8</x:v>
      </x:c>
      <x:c r="B582" s="34" t="str">
        <x:v>NIPPON_STEEL_JP</x:v>
      </x:c>
      <x:c r="C582" s="34" t="str">
        <x:v>Nippon Steel</x:v>
      </x:c>
      <x:c r="D582" s="34" t="str">
        <x:v>P4</x:v>
      </x:c>
      <x:c r="E582" s="34" t="str">
        <x:v>균형형 전환</x:v>
      </x:c>
      <x:c r="F582" s="34" t="str">
        <x:v>PORT-E5E394FD5194</x:v>
      </x:c>
      <x:c r="G582" s="34" t="str">
        <x:v>DISCLOSED_PATH</x:v>
      </x:c>
      <x:c r="H582" s="34" t="n">
        <x:v>5</x:v>
      </x:c>
      <x:c r="I582" s="34" t="n">
        <x:v>2028</x:v>
      </x:c>
      <x:c r="J582" s="34" t="n">
        <x:v>2037</x:v>
      </x:c>
      <x:c r="K582" s="34" t="n">
        <x:v>0.257069</x:v>
      </x:c>
      <x:c r="L582" s="34" t="n">
        <x:v>0.161954</x:v>
      </x:c>
      <x:c r="M582" s="34" t="n">
        <x:v>0.580977</x:v>
      </x:c>
      <x:c r="N582" s="34" t="n">
        <x:v>0</x:v>
      </x:c>
      <x:c r="O582" s="34" t="n">
        <x:v>0.5</x:v>
      </x:c>
      <x:c r="P582" s="34" t="n">
        <x:v>0.45</x:v>
      </x:c>
      <x:c r="Q582" s="34" t="n">
        <x:v>0.5</x:v>
      </x:c>
      <x:c r="R582" s="34" t="n">
        <x:v>0.4</x:v>
      </x:c>
      <x:c r="S582" s="34" t="n">
        <x:v>0.02</x:v>
      </x:c>
      <x:c r="T582" s="34" t="n">
        <x:v>358.86894</x:v>
      </x:c>
      <x:c r="U582" s="34" t="str">
        <x:v>NS-EAST:H2_DRI_EAF:2033|NS-KANSAI:SCRAP_EAF:2035|NS-KYUSHU:BF_RELINE:2028|NS-NAGOYA:H2_DRI_EAF:2031|NS-SETOUCHI:H2_DRI_EAF:2037</x:v>
      </x:c>
      <x:c r="V582" s="34" t="str">
        <x:v>model_generated_candidate</x:v>
      </x:c>
      <x:c r="W582" s="34" t="str">
        <x:v>Generated from disclosed-path facility calendar, technology set and template contracting assumptions; not a company-announced project</x:v>
      </x:c>
    </x:row>
    <x:row r="583">
      <x:c r="A583" s="34" t="str">
        <x:v>CAND-A6F29D4A505071</x:v>
      </x:c>
      <x:c r="B583" s="34" t="str">
        <x:v>NIPPON_STEEL_JP</x:v>
      </x:c>
      <x:c r="C583" s="34" t="str">
        <x:v>Nippon Steel</x:v>
      </x:c>
      <x:c r="D583" s="34" t="str">
        <x:v>P1</x:v>
      </x:c>
      <x:c r="E583" s="34" t="str">
        <x:v>지연·현물조달</x:v>
      </x:c>
      <x:c r="F583" s="34" t="str">
        <x:v>PORT-C3B77CB55FA1</x:v>
      </x:c>
      <x:c r="G583" s="34" t="str">
        <x:v>DISCLOSED_PATH</x:v>
      </x:c>
      <x:c r="H583" s="34" t="n">
        <x:v>5</x:v>
      </x:c>
      <x:c r="I583" s="34" t="n">
        <x:v>2029</x:v>
      </x:c>
      <x:c r="J583" s="34" t="n">
        <x:v>2038</x:v>
      </x:c>
      <x:c r="K583" s="34" t="n">
        <x:v>0.192802</x:v>
      </x:c>
      <x:c r="L583" s="34" t="n">
        <x:v>0.257069</x:v>
      </x:c>
      <x:c r="M583" s="34" t="n">
        <x:v>0.550129</x:v>
      </x:c>
      <x:c r="N583" s="34" t="n">
        <x:v>0</x:v>
      </x:c>
      <x:c r="O583" s="34" t="n">
        <x:v>0</x:v>
      </x:c>
      <x:c r="P583" s="34" t="n">
        <x:v>0</x:v>
      </x:c>
      <x:c r="Q583" s="34" t="n">
        <x:v>0.1</x:v>
      </x:c>
      <x:c r="R583" s="34" t="n">
        <x:v>0</x:v>
      </x:c>
      <x:c r="S583" s="34" t="n">
        <x:v>0</x:v>
      </x:c>
      <x:c r="T583" s="34" t="n">
        <x:v>441.298944</x:v>
      </x:c>
      <x:c r="U583" s="34" t="str">
        <x:v>NS-EAST:H2_DRI_EAF:2034|NS-KANSAI:H2_DRI_EAF:2036|NS-KYUSHU:SCRAP_EAF:2029|NS-NAGOYA:H2_DRI_EAF:2032|NS-SETOUCHI:BF_RELINE:2038</x:v>
      </x:c>
      <x:c r="V583" s="34" t="str">
        <x:v>model_generated_candidate</x:v>
      </x:c>
      <x:c r="W583" s="34" t="str">
        <x:v>Generated from disclosed-path facility calendar, technology set and template contracting assumptions; not a company-announced project</x:v>
      </x:c>
    </x:row>
    <x:row r="584">
      <x:c r="A584" s="34" t="str">
        <x:v>CAND-A80883C801D1FB</x:v>
      </x:c>
      <x:c r="B584" s="34" t="str">
        <x:v>NIPPON_STEEL_JP</x:v>
      </x:c>
      <x:c r="C584" s="34" t="str">
        <x:v>Nippon Steel</x:v>
      </x:c>
      <x:c r="D584" s="34" t="str">
        <x:v>P5</x:v>
      </x:c>
      <x:c r="E584" s="34" t="str">
        <x:v>조기 계약형 전환</x:v>
      </x:c>
      <x:c r="F584" s="34" t="str">
        <x:v>PORT-7BDFEA64D7FE</x:v>
      </x:c>
      <x:c r="G584" s="34" t="str">
        <x:v>DISCLOSED_PATH</x:v>
      </x:c>
      <x:c r="H584" s="34" t="n">
        <x:v>5</x:v>
      </x:c>
      <x:c r="I584" s="34" t="n">
        <x:v>2028</x:v>
      </x:c>
      <x:c r="J584" s="34" t="n">
        <x:v>2037</x:v>
      </x:c>
      <x:c r="K584" s="34" t="n">
        <x:v>0.179949</x:v>
      </x:c>
      <x:c r="L584" s="34" t="n">
        <x:v>0</x:v>
      </x:c>
      <x:c r="M584" s="34" t="n">
        <x:v>0.820051</x:v>
      </x:c>
      <x:c r="N584" s="34" t="n">
        <x:v>0</x:v>
      </x:c>
      <x:c r="O584" s="34" t="n">
        <x:v>0.7</x:v>
      </x:c>
      <x:c r="P584" s="34" t="n">
        <x:v>0.65</x:v>
      </x:c>
      <x:c r="Q584" s="34" t="n">
        <x:v>0.65</x:v>
      </x:c>
      <x:c r="R584" s="34" t="n">
        <x:v>0.6</x:v>
      </x:c>
      <x:c r="S584" s="34" t="n">
        <x:v>0.025</x:v>
      </x:c>
      <x:c r="T584" s="34" t="n">
        <x:v>460.768975</x:v>
      </x:c>
      <x:c r="U584" s="34" t="str">
        <x:v>NS-EAST:H2_DRI_EAF:2033|NS-KANSAI:H2_DRI_EAF:2035|NS-KYUSHU:H2_DRI_EAF:2028|NS-NAGOYA:BF_RELINE:2031|NS-SETOUCHI:H2_DRI_EAF:2037</x:v>
      </x:c>
      <x:c r="V584" s="34" t="str">
        <x:v>model_generated_candidate</x:v>
      </x:c>
      <x:c r="W584" s="34" t="str">
        <x:v>Generated from disclosed-path facility calendar, technology set and template contracting assumptions; not a company-announced project</x:v>
      </x:c>
    </x:row>
    <x:row r="585">
      <x:c r="A585" s="34" t="str">
        <x:v>CAND-A87BC5624723AE</x:v>
      </x:c>
      <x:c r="B585" s="34" t="str">
        <x:v>NIPPON_STEEL_JP</x:v>
      </x:c>
      <x:c r="C585" s="34" t="str">
        <x:v>Nippon Steel</x:v>
      </x:c>
      <x:c r="D585" s="34" t="str">
        <x:v>P1</x:v>
      </x:c>
      <x:c r="E585" s="34" t="str">
        <x:v>지연·현물조달</x:v>
      </x:c>
      <x:c r="F585" s="34" t="str">
        <x:v>PORT-2680632EAC61</x:v>
      </x:c>
      <x:c r="G585" s="34" t="str">
        <x:v>DISCLOSED_PATH</x:v>
      </x:c>
      <x:c r="H585" s="34" t="n">
        <x:v>5</x:v>
      </x:c>
      <x:c r="I585" s="34" t="n">
        <x:v>2029</x:v>
      </x:c>
      <x:c r="J585" s="34" t="n">
        <x:v>2038</x:v>
      </x:c>
      <x:c r="K585" s="34" t="n">
        <x:v>0.208226</x:v>
      </x:c>
      <x:c r="L585" s="34" t="n">
        <x:v>0.372751</x:v>
      </x:c>
      <x:c r="M585" s="34" t="n">
        <x:v>0.419023</x:v>
      </x:c>
      <x:c r="N585" s="34" t="n">
        <x:v>0</x:v>
      </x:c>
      <x:c r="O585" s="34" t="n">
        <x:v>0</x:v>
      </x:c>
      <x:c r="P585" s="34" t="n">
        <x:v>0</x:v>
      </x:c>
      <x:c r="Q585" s="34" t="n">
        <x:v>0.1</x:v>
      </x:c>
      <x:c r="R585" s="34" t="n">
        <x:v>0</x:v>
      </x:c>
      <x:c r="S585" s="34" t="n">
        <x:v>0</x:v>
      </x:c>
      <x:c r="T585" s="34" t="n">
        <x:v>396.073938</x:v>
      </x:c>
      <x:c r="U585" s="34" t="str">
        <x:v>NS-EAST:BF_RELINE:2034|NS-KANSAI:H2_DRI_EAF:2036|NS-KYUSHU:H2_DRI_EAF:2029|NS-NAGOYA:SCRAP_EAF:2032|NS-SETOUCHI:SCRAP_EAF:2038</x:v>
      </x:c>
      <x:c r="V585" s="34" t="str">
        <x:v>model_generated_candidate</x:v>
      </x:c>
      <x:c r="W585" s="34" t="str">
        <x:v>Generated from disclosed-path facility calendar, technology set and template contracting assumptions; not a company-announced project</x:v>
      </x:c>
    </x:row>
    <x:row r="586">
      <x:c r="A586" s="34" t="str">
        <x:v>CAND-A8C1C8FB177B24</x:v>
      </x:c>
      <x:c r="B586" s="34" t="str">
        <x:v>NIPPON_STEEL_JP</x:v>
      </x:c>
      <x:c r="C586" s="34" t="str">
        <x:v>Nippon Steel</x:v>
      </x:c>
      <x:c r="D586" s="34" t="str">
        <x:v>P2</x:v>
      </x:c>
      <x:c r="E586" s="34" t="str">
        <x:v>지연·부분헤지</x:v>
      </x:c>
      <x:c r="F586" s="34" t="str">
        <x:v>PORT-1EBC013E33C4</x:v>
      </x:c>
      <x:c r="G586" s="34" t="str">
        <x:v>DISCLOSED_PATH</x:v>
      </x:c>
      <x:c r="H586" s="34" t="n">
        <x:v>5</x:v>
      </x:c>
      <x:c r="I586" s="34" t="n">
        <x:v>2029</x:v>
      </x:c>
      <x:c r="J586" s="34" t="n">
        <x:v>2038</x:v>
      </x:c>
      <x:c r="K586" s="34" t="n">
        <x:v>0.208226</x:v>
      </x:c>
      <x:c r="L586" s="34" t="n">
        <x:v>0.257069</x:v>
      </x:c>
      <x:c r="M586" s="34" t="n">
        <x:v>0.534704</x:v>
      </x:c>
      <x:c r="N586" s="34" t="n">
        <x:v>0</x:v>
      </x:c>
      <x:c r="O586" s="34" t="n">
        <x:v>0.15</x:v>
      </x:c>
      <x:c r="P586" s="34" t="n">
        <x:v>0.1</x:v>
      </x:c>
      <x:c r="Q586" s="34" t="n">
        <x:v>0.2</x:v>
      </x:c>
      <x:c r="R586" s="34" t="n">
        <x:v>0.1</x:v>
      </x:c>
      <x:c r="S586" s="34" t="n">
        <x:v>0.01</x:v>
      </x:c>
      <x:c r="T586" s="34" t="n">
        <x:v>387.748933</x:v>
      </x:c>
      <x:c r="U586" s="34" t="str">
        <x:v>NS-EAST:BF_RELINE:2034|NS-KANSAI:H2_DRI_EAF:2036|NS-KYUSHU:SCRAP_EAF:2029|NS-NAGOYA:H2_DRI_EAF:2032|NS-SETOUCHI:H2_DRI_EAF:2038</x:v>
      </x:c>
      <x:c r="V586" s="34" t="str">
        <x:v>model_generated_candidate</x:v>
      </x:c>
      <x:c r="W586" s="34" t="str">
        <x:v>Generated from disclosed-path facility calendar, technology set and template contracting assumptions; not a company-announced project</x:v>
      </x:c>
    </x:row>
    <x:row r="587">
      <x:c r="A587" s="34" t="str">
        <x:v>CAND-A9F694000C573B</x:v>
      </x:c>
      <x:c r="B587" s="34" t="str">
        <x:v>NIPPON_STEEL_JP</x:v>
      </x:c>
      <x:c r="C587" s="34" t="str">
        <x:v>Nippon Steel</x:v>
      </x:c>
      <x:c r="D587" s="34" t="str">
        <x:v>P3</x:v>
      </x:c>
      <x:c r="E587" s="34" t="str">
        <x:v>균형형 라이트헤지</x:v>
      </x:c>
      <x:c r="F587" s="34" t="str">
        <x:v>PORT-A01C697020EC</x:v>
      </x:c>
      <x:c r="G587" s="34" t="str">
        <x:v>DISCLOSED_PATH</x:v>
      </x:c>
      <x:c r="H587" s="34" t="n">
        <x:v>5</x:v>
      </x:c>
      <x:c r="I587" s="34" t="n">
        <x:v>2029</x:v>
      </x:c>
      <x:c r="J587" s="34" t="n">
        <x:v>2038</x:v>
      </x:c>
      <x:c r="K587" s="34" t="n">
        <x:v>0.161954</x:v>
      </x:c>
      <x:c r="L587" s="34" t="n">
        <x:v>0.208226</x:v>
      </x:c>
      <x:c r="M587" s="34" t="n">
        <x:v>0.62982</x:v>
      </x:c>
      <x:c r="N587" s="34" t="n">
        <x:v>0</x:v>
      </x:c>
      <x:c r="O587" s="34" t="n">
        <x:v>0.3</x:v>
      </x:c>
      <x:c r="P587" s="34" t="n">
        <x:v>0.25</x:v>
      </x:c>
      <x:c r="Q587" s="34" t="n">
        <x:v>0.35</x:v>
      </x:c>
      <x:c r="R587" s="34" t="n">
        <x:v>0.25</x:v>
      </x:c>
      <x:c r="S587" s="34" t="n">
        <x:v>0.015</x:v>
      </x:c>
      <x:c r="T587" s="34" t="n">
        <x:v>440.228937</x:v>
      </x:c>
      <x:c r="U587" s="34" t="str">
        <x:v>NS-EAST:SCRAP_EAF:2034|NS-KANSAI:BF_RELINE:2036|NS-KYUSHU:H2_DRI_EAF:2029|NS-NAGOYA:H2_DRI_EAF:2032|NS-SETOUCHI:H2_DRI_EAF:2038</x:v>
      </x:c>
      <x:c r="V587" s="34" t="str">
        <x:v>model_generated_candidate</x:v>
      </x:c>
      <x:c r="W587" s="34" t="str">
        <x:v>Generated from disclosed-path facility calendar, technology set and template contracting assumptions; not a company-announced project</x:v>
      </x:c>
    </x:row>
    <x:row r="588">
      <x:c r="A588" s="34" t="str">
        <x:v>CAND-AA201D78A69C97</x:v>
      </x:c>
      <x:c r="B588" s="34" t="str">
        <x:v>NIPPON_STEEL_JP</x:v>
      </x:c>
      <x:c r="C588" s="34" t="str">
        <x:v>Nippon Steel</x:v>
      </x:c>
      <x:c r="D588" s="34" t="str">
        <x:v>P1</x:v>
      </x:c>
      <x:c r="E588" s="34" t="str">
        <x:v>지연·현물조달</x:v>
      </x:c>
      <x:c r="F588" s="34" t="str">
        <x:v>PORT-FE4A29318357</x:v>
      </x:c>
      <x:c r="G588" s="34" t="str">
        <x:v>DISCLOSED_PATH</x:v>
      </x:c>
      <x:c r="H588" s="34" t="n">
        <x:v>5</x:v>
      </x:c>
      <x:c r="I588" s="34" t="n">
        <x:v>2029</x:v>
      </x:c>
      <x:c r="J588" s="34" t="n">
        <x:v>2038</x:v>
      </x:c>
      <x:c r="K588" s="34" t="n">
        <x:v>0.62982</x:v>
      </x:c>
      <x:c r="L588" s="34" t="n">
        <x:v>0.208226</x:v>
      </x:c>
      <x:c r="M588" s="34" t="n">
        <x:v>0.161954</x:v>
      </x:c>
      <x:c r="N588" s="34" t="n">
        <x:v>0</x:v>
      </x:c>
      <x:c r="O588" s="34" t="n">
        <x:v>0</x:v>
      </x:c>
      <x:c r="P588" s="34" t="n">
        <x:v>0</x:v>
      </x:c>
      <x:c r="Q588" s="34" t="n">
        <x:v>0.1</x:v>
      </x:c>
      <x:c r="R588" s="34" t="n">
        <x:v>0</x:v>
      </x:c>
      <x:c r="S588" s="34" t="n">
        <x:v>0</x:v>
      </x:c>
      <x:c r="T588" s="34" t="n">
        <x:v>177.238973</x:v>
      </x:c>
      <x:c r="U588" s="34" t="str">
        <x:v>NS-EAST:SCRAP_EAF:2034|NS-KANSAI:H2_DRI_EAF:2036|NS-KYUSHU:BF_RELINE:2029|NS-NAGOYA:BF_RELINE:2032|NS-SETOUCHI:BF_RELINE:2038</x:v>
      </x:c>
      <x:c r="V588" s="34" t="str">
        <x:v>model_generated_candidate</x:v>
      </x:c>
      <x:c r="W588" s="34" t="str">
        <x:v>Generated from disclosed-path facility calendar, technology set and template contracting assumptions; not a company-announced project</x:v>
      </x:c>
    </x:row>
    <x:row r="589">
      <x:c r="A589" s="34" t="str">
        <x:v>CAND-AA867AB6810354</x:v>
      </x:c>
      <x:c r="B589" s="34" t="str">
        <x:v>NIPPON_STEEL_JP</x:v>
      </x:c>
      <x:c r="C589" s="34" t="str">
        <x:v>Nippon Steel</x:v>
      </x:c>
      <x:c r="D589" s="34" t="str">
        <x:v>P1</x:v>
      </x:c>
      <x:c r="E589" s="34" t="str">
        <x:v>지연·현물조달</x:v>
      </x:c>
      <x:c r="F589" s="34" t="str">
        <x:v>PORT-FD5E6449BCF2</x:v>
      </x:c>
      <x:c r="G589" s="34" t="str">
        <x:v>DISCLOSED_PATH</x:v>
      </x:c>
      <x:c r="H589" s="34" t="n">
        <x:v>5</x:v>
      </x:c>
      <x:c r="I589" s="34" t="n">
        <x:v>2029</x:v>
      </x:c>
      <x:c r="J589" s="34" t="n">
        <x:v>2038</x:v>
      </x:c>
      <x:c r="K589" s="34" t="n">
        <x:v>0.465296</x:v>
      </x:c>
      <x:c r="L589" s="34" t="n">
        <x:v>0.372751</x:v>
      </x:c>
      <x:c r="M589" s="34" t="n">
        <x:v>0.161954</x:v>
      </x:c>
      <x:c r="N589" s="34" t="n">
        <x:v>0</x:v>
      </x:c>
      <x:c r="O589" s="34" t="n">
        <x:v>0</x:v>
      </x:c>
      <x:c r="P589" s="34" t="n">
        <x:v>0</x:v>
      </x:c>
      <x:c r="Q589" s="34" t="n">
        <x:v>0.1</x:v>
      </x:c>
      <x:c r="R589" s="34" t="n">
        <x:v>0</x:v>
      </x:c>
      <x:c r="S589" s="34" t="n">
        <x:v>0</x:v>
      </x:c>
      <x:c r="T589" s="34" t="n">
        <x:v>212.473938</x:v>
      </x:c>
      <x:c r="U589" s="34" t="str">
        <x:v>NS-EAST:BF_RELINE:2034|NS-KANSAI:H2_DRI_EAF:2036|NS-KYUSHU:BF_RELINE:2029|NS-NAGOYA:SCRAP_EAF:2032|NS-SETOUCHI:SCRAP_EAF:2038</x:v>
      </x:c>
      <x:c r="V589" s="34" t="str">
        <x:v>model_generated_candidate</x:v>
      </x:c>
      <x:c r="W589" s="34" t="str">
        <x:v>Generated from disclosed-path facility calendar, technology set and template contracting assumptions; not a company-announced project</x:v>
      </x:c>
    </x:row>
    <x:row r="590">
      <x:c r="A590" s="34" t="str">
        <x:v>CAND-AA98BAFB12E3F4</x:v>
      </x:c>
      <x:c r="B590" s="34" t="str">
        <x:v>NIPPON_STEEL_JP</x:v>
      </x:c>
      <x:c r="C590" s="34" t="str">
        <x:v>Nippon Steel</x:v>
      </x:c>
      <x:c r="D590" s="34" t="str">
        <x:v>P1</x:v>
      </x:c>
      <x:c r="E590" s="34" t="str">
        <x:v>지연·현물조달</x:v>
      </x:c>
      <x:c r="F590" s="34" t="str">
        <x:v>PORT-5973B725938E</x:v>
      </x:c>
      <x:c r="G590" s="34" t="str">
        <x:v>DISCLOSED_PATH</x:v>
      </x:c>
      <x:c r="H590" s="34" t="n">
        <x:v>5</x:v>
      </x:c>
      <x:c r="I590" s="34" t="n">
        <x:v>2029</x:v>
      </x:c>
      <x:c r="J590" s="34" t="n">
        <x:v>2038</x:v>
      </x:c>
      <x:c r="K590" s="34" t="n">
        <x:v>0.645244</x:v>
      </x:c>
      <x:c r="L590" s="34" t="n">
        <x:v>0.192802</x:v>
      </x:c>
      <x:c r="M590" s="34" t="n">
        <x:v>0.161954</x:v>
      </x:c>
      <x:c r="N590" s="34" t="n">
        <x:v>0</x:v>
      </x:c>
      <x:c r="O590" s="34" t="n">
        <x:v>0</x:v>
      </x:c>
      <x:c r="P590" s="34" t="n">
        <x:v>0</x:v>
      </x:c>
      <x:c r="Q590" s="34" t="n">
        <x:v>0.1</x:v>
      </x:c>
      <x:c r="R590" s="34" t="n">
        <x:v>0</x:v>
      </x:c>
      <x:c r="S590" s="34" t="n">
        <x:v>0</x:v>
      </x:c>
      <x:c r="T590" s="34" t="n">
        <x:v>131.563964</x:v>
      </x:c>
      <x:c r="U590" s="34" t="str">
        <x:v>NS-EAST:BF_RELINE:2034|NS-KANSAI:H2_DRI_EAF:2036|NS-KYUSHU:BF_RELINE:2029|NS-NAGOYA:BF_RELINE:2032|NS-SETOUCHI:SCRAP_EAF:2038</x:v>
      </x:c>
      <x:c r="V590" s="34" t="str">
        <x:v>model_generated_candidate</x:v>
      </x:c>
      <x:c r="W590" s="34" t="str">
        <x:v>Generated from disclosed-path facility calendar, technology set and template contracting assumptions; not a company-announced project</x:v>
      </x:c>
    </x:row>
    <x:row r="591">
      <x:c r="A591" s="34" t="str">
        <x:v>CAND-AAC57BEDADCD0F</x:v>
      </x:c>
      <x:c r="B591" s="34" t="str">
        <x:v>NIPPON_STEEL_JP</x:v>
      </x:c>
      <x:c r="C591" s="34" t="str">
        <x:v>Nippon Steel</x:v>
      </x:c>
      <x:c r="D591" s="34" t="str">
        <x:v>P2</x:v>
      </x:c>
      <x:c r="E591" s="34" t="str">
        <x:v>지연·부분헤지</x:v>
      </x:c>
      <x:c r="F591" s="34" t="str">
        <x:v>PORT-A880789F3FB0</x:v>
      </x:c>
      <x:c r="G591" s="34" t="str">
        <x:v>DISCLOSED_PATH</x:v>
      </x:c>
      <x:c r="H591" s="34" t="n">
        <x:v>5</x:v>
      </x:c>
      <x:c r="I591" s="34" t="n">
        <x:v>2029</x:v>
      </x:c>
      <x:c r="J591" s="34" t="n">
        <x:v>2038</x:v>
      </x:c>
      <x:c r="K591" s="34" t="n">
        <x:v>0.437018</x:v>
      </x:c>
      <x:c r="L591" s="34" t="n">
        <x:v>0.192802</x:v>
      </x:c>
      <x:c r="M591" s="34" t="n">
        <x:v>0.37018</x:v>
      </x:c>
      <x:c r="N591" s="34" t="n">
        <x:v>0</x:v>
      </x:c>
      <x:c r="O591" s="34" t="n">
        <x:v>0.15</x:v>
      </x:c>
      <x:c r="P591" s="34" t="n">
        <x:v>0.1</x:v>
      </x:c>
      <x:c r="Q591" s="34" t="n">
        <x:v>0.2</x:v>
      </x:c>
      <x:c r="R591" s="34" t="n">
        <x:v>0.1</x:v>
      </x:c>
      <x:c r="S591" s="34" t="n">
        <x:v>0.01</x:v>
      </x:c>
      <x:c r="T591" s="34" t="n">
        <x:v>217.243975</x:v>
      </x:c>
      <x:c r="U591" s="34" t="str">
        <x:v>NS-EAST:H2_DRI_EAF:2034|NS-KANSAI:H2_DRI_EAF:2036|NS-KYUSHU:BF_RELINE:2029|NS-NAGOYA:BF_RELINE:2032|NS-SETOUCHI:SCRAP_EAF:2038</x:v>
      </x:c>
      <x:c r="V591" s="34" t="str">
        <x:v>model_generated_candidate</x:v>
      </x:c>
      <x:c r="W591" s="34" t="str">
        <x:v>Generated from disclosed-path facility calendar, technology set and template contracting assumptions; not a company-announced project</x:v>
      </x:c>
    </x:row>
    <x:row r="592">
      <x:c r="A592" s="34" t="str">
        <x:v>CAND-AACAF0B8F674CC</x:v>
      </x:c>
      <x:c r="B592" s="34" t="str">
        <x:v>NIPPON_STEEL_JP</x:v>
      </x:c>
      <x:c r="C592" s="34" t="str">
        <x:v>Nippon Steel</x:v>
      </x:c>
      <x:c r="D592" s="34" t="str">
        <x:v>P2</x:v>
      </x:c>
      <x:c r="E592" s="34" t="str">
        <x:v>지연·부분헤지</x:v>
      </x:c>
      <x:c r="F592" s="34" t="str">
        <x:v>PORT-23A278D911DA</x:v>
      </x:c>
      <x:c r="G592" s="34" t="str">
        <x:v>DISCLOSED_PATH</x:v>
      </x:c>
      <x:c r="H592" s="34" t="n">
        <x:v>5</x:v>
      </x:c>
      <x:c r="I592" s="34" t="n">
        <x:v>2029</x:v>
      </x:c>
      <x:c r="J592" s="34" t="n">
        <x:v>2038</x:v>
      </x:c>
      <x:c r="K592" s="34" t="n">
        <x:v>0.645244</x:v>
      </x:c>
      <x:c r="L592" s="34" t="n">
        <x:v>0</x:v>
      </x:c>
      <x:c r="M592" s="34" t="n">
        <x:v>0.354756</x:v>
      </x:c>
      <x:c r="N592" s="34" t="n">
        <x:v>0</x:v>
      </x:c>
      <x:c r="O592" s="34" t="n">
        <x:v>0.15</x:v>
      </x:c>
      <x:c r="P592" s="34" t="n">
        <x:v>0.1</x:v>
      </x:c>
      <x:c r="Q592" s="34" t="n">
        <x:v>0.2</x:v>
      </x:c>
      <x:c r="R592" s="34" t="n">
        <x:v>0.1</x:v>
      </x:c>
      <x:c r="S592" s="34" t="n">
        <x:v>0.01</x:v>
      </x:c>
      <x:c r="T592" s="34" t="n">
        <x:v>136.288964</x:v>
      </x:c>
      <x:c r="U592" s="34" t="str">
        <x:v>NS-EAST:BF_RELINE:2034|NS-KANSAI:H2_DRI_EAF:2036|NS-KYUSHU:BF_RELINE:2029|NS-NAGOYA:BF_RELINE:2032|NS-SETOUCHI:H2_DRI_EAF:2038</x:v>
      </x:c>
      <x:c r="V592" s="34" t="str">
        <x:v>model_generated_candidate</x:v>
      </x:c>
      <x:c r="W592" s="34" t="str">
        <x:v>Generated from disclosed-path facility calendar, technology set and template contracting assumptions; not a company-announced project</x:v>
      </x:c>
    </x:row>
    <x:row r="593">
      <x:c r="A593" s="34" t="str">
        <x:v>CAND-ABCE7BE65605CB</x:v>
      </x:c>
      <x:c r="B593" s="34" t="str">
        <x:v>NIPPON_STEEL_JP</x:v>
      </x:c>
      <x:c r="C593" s="34" t="str">
        <x:v>Nippon Steel</x:v>
      </x:c>
      <x:c r="D593" s="34" t="str">
        <x:v>P3</x:v>
      </x:c>
      <x:c r="E593" s="34" t="str">
        <x:v>균형형 라이트헤지</x:v>
      </x:c>
      <x:c r="F593" s="34" t="str">
        <x:v>PORT-8F73C471E8F1</x:v>
      </x:c>
      <x:c r="G593" s="34" t="str">
        <x:v>DISCLOSED_PATH</x:v>
      </x:c>
      <x:c r="H593" s="34" t="n">
        <x:v>5</x:v>
      </x:c>
      <x:c r="I593" s="34" t="n">
        <x:v>2029</x:v>
      </x:c>
      <x:c r="J593" s="34" t="n">
        <x:v>2038</x:v>
      </x:c>
      <x:c r="K593" s="34" t="n">
        <x:v>0.37018</x:v>
      </x:c>
      <x:c r="L593" s="34" t="n">
        <x:v>0.179949</x:v>
      </x:c>
      <x:c r="M593" s="34" t="n">
        <x:v>0.449871</x:v>
      </x:c>
      <x:c r="N593" s="34" t="n">
        <x:v>0</x:v>
      </x:c>
      <x:c r="O593" s="34" t="n">
        <x:v>0.3</x:v>
      </x:c>
      <x:c r="P593" s="34" t="n">
        <x:v>0.25</x:v>
      </x:c>
      <x:c r="Q593" s="34" t="n">
        <x:v>0.35</x:v>
      </x:c>
      <x:c r="R593" s="34" t="n">
        <x:v>0.25</x:v>
      </x:c>
      <x:c r="S593" s="34" t="n">
        <x:v>0.015</x:v>
      </x:c>
      <x:c r="T593" s="34" t="n">
        <x:v>353.198932</x:v>
      </x:c>
      <x:c r="U593" s="34" t="str">
        <x:v>NS-EAST:BF_RELINE:2034|NS-KANSAI:BF_RELINE:2036|NS-KYUSHU:H2_DRI_EAF:2029|NS-NAGOYA:SCRAP_EAF:2032|NS-SETOUCHI:H2_DRI_EAF:2038</x:v>
      </x:c>
      <x:c r="V593" s="34" t="str">
        <x:v>model_generated_candidate</x:v>
      </x:c>
      <x:c r="W593" s="34" t="str">
        <x:v>Generated from disclosed-path facility calendar, technology set and template contracting assumptions; not a company-announced project</x:v>
      </x:c>
    </x:row>
    <x:row r="594">
      <x:c r="A594" s="34" t="str">
        <x:v>CAND-AC9B3F8551A8C3</x:v>
      </x:c>
      <x:c r="B594" s="34" t="str">
        <x:v>NIPPON_STEEL_JP</x:v>
      </x:c>
      <x:c r="C594" s="34" t="str">
        <x:v>Nippon Steel</x:v>
      </x:c>
      <x:c r="D594" s="34" t="str">
        <x:v>P2</x:v>
      </x:c>
      <x:c r="E594" s="34" t="str">
        <x:v>지연·부분헤지</x:v>
      </x:c>
      <x:c r="F594" s="34" t="str">
        <x:v>PORT-65A3C210607A</x:v>
      </x:c>
      <x:c r="G594" s="34" t="str">
        <x:v>DISCLOSED_PATH</x:v>
      </x:c>
      <x:c r="H594" s="34" t="n">
        <x:v>5</x:v>
      </x:c>
      <x:c r="I594" s="34" t="n">
        <x:v>2029</x:v>
      </x:c>
      <x:c r="J594" s="34" t="n">
        <x:v>2038</x:v>
      </x:c>
      <x:c r="K594" s="34" t="n">
        <x:v>0.465296</x:v>
      </x:c>
      <x:c r="L594" s="34" t="n">
        <x:v>0.192802</x:v>
      </x:c>
      <x:c r="M594" s="34" t="n">
        <x:v>0.341902</x:v>
      </x:c>
      <x:c r="N594" s="34" t="n">
        <x:v>0</x:v>
      </x:c>
      <x:c r="O594" s="34" t="n">
        <x:v>0.15</x:v>
      </x:c>
      <x:c r="P594" s="34" t="n">
        <x:v>0.1</x:v>
      </x:c>
      <x:c r="Q594" s="34" t="n">
        <x:v>0.2</x:v>
      </x:c>
      <x:c r="R594" s="34" t="n">
        <x:v>0.1</x:v>
      </x:c>
      <x:c r="S594" s="34" t="n">
        <x:v>0.01</x:v>
      </x:c>
      <x:c r="T594" s="34" t="n">
        <x:v>226.423933</x:v>
      </x:c>
      <x:c r="U594" s="34" t="str">
        <x:v>NS-EAST:BF_RELINE:2034|NS-KANSAI:H2_DRI_EAF:2036|NS-KYUSHU:BF_RELINE:2029|NS-NAGOYA:H2_DRI_EAF:2032|NS-SETOUCHI:SCRAP_EAF:2038</x:v>
      </x:c>
      <x:c r="V594" s="34" t="str">
        <x:v>model_generated_candidate</x:v>
      </x:c>
      <x:c r="W594" s="34" t="str">
        <x:v>Generated from disclosed-path facility calendar, technology set and template contracting assumptions; not a company-announced project</x:v>
      </x:c>
    </x:row>
    <x:row r="595">
      <x:c r="A595" s="34" t="str">
        <x:v>CAND-ACCBEB1200C36E</x:v>
      </x:c>
      <x:c r="B595" s="34" t="str">
        <x:v>NIPPON_STEEL_JP</x:v>
      </x:c>
      <x:c r="C595" s="34" t="str">
        <x:v>Nippon Steel</x:v>
      </x:c>
      <x:c r="D595" s="34" t="str">
        <x:v>P3</x:v>
      </x:c>
      <x:c r="E595" s="34" t="str">
        <x:v>균형형 라이트헤지</x:v>
      </x:c>
      <x:c r="F595" s="34" t="str">
        <x:v>PORT-BE01C0E85B02</x:v>
      </x:c>
      <x:c r="G595" s="34" t="str">
        <x:v>DISCLOSED_PATH</x:v>
      </x:c>
      <x:c r="H595" s="34" t="n">
        <x:v>5</x:v>
      </x:c>
      <x:c r="I595" s="34" t="n">
        <x:v>2029</x:v>
      </x:c>
      <x:c r="J595" s="34" t="n">
        <x:v>2038</x:v>
      </x:c>
      <x:c r="K595" s="34" t="n">
        <x:v>0.208226</x:v>
      </x:c>
      <x:c r="L595" s="34" t="n">
        <x:v>0.341902</x:v>
      </x:c>
      <x:c r="M595" s="34" t="n">
        <x:v>0.449871</x:v>
      </x:c>
      <x:c r="N595" s="34" t="n">
        <x:v>0</x:v>
      </x:c>
      <x:c r="O595" s="34" t="n">
        <x:v>0.3</x:v>
      </x:c>
      <x:c r="P595" s="34" t="n">
        <x:v>0.25</x:v>
      </x:c>
      <x:c r="Q595" s="34" t="n">
        <x:v>0.35</x:v>
      </x:c>
      <x:c r="R595" s="34" t="n">
        <x:v>0.25</x:v>
      </x:c>
      <x:c r="S595" s="34" t="n">
        <x:v>0.015</x:v>
      </x:c>
      <x:c r="T595" s="34" t="n">
        <x:v>393.798937</x:v>
      </x:c>
      <x:c r="U595" s="34" t="str">
        <x:v>NS-EAST:BF_RELINE:2034|NS-KANSAI:SCRAP_EAF:2036|NS-KYUSHU:H2_DRI_EAF:2029|NS-NAGOYA:SCRAP_EAF:2032|NS-SETOUCHI:H2_DRI_EAF:2038</x:v>
      </x:c>
      <x:c r="V595" s="34" t="str">
        <x:v>model_generated_candidate</x:v>
      </x:c>
      <x:c r="W595" s="34" t="str">
        <x:v>Generated from disclosed-path facility calendar, technology set and template contracting assumptions; not a company-announced project</x:v>
      </x:c>
    </x:row>
    <x:row r="596">
      <x:c r="A596" s="34" t="str">
        <x:v>CAND-AD561F240660DE</x:v>
      </x:c>
      <x:c r="B596" s="34" t="str">
        <x:v>NIPPON_STEEL_JP</x:v>
      </x:c>
      <x:c r="C596" s="34" t="str">
        <x:v>Nippon Steel</x:v>
      </x:c>
      <x:c r="D596" s="34" t="str">
        <x:v>P3</x:v>
      </x:c>
      <x:c r="E596" s="34" t="str">
        <x:v>균형형 라이트헤지</x:v>
      </x:c>
      <x:c r="F596" s="34" t="str">
        <x:v>PORT-308D82D12417</x:v>
      </x:c>
      <x:c r="G596" s="34" t="str">
        <x:v>DISCLOSED_PATH</x:v>
      </x:c>
      <x:c r="H596" s="34" t="n">
        <x:v>5</x:v>
      </x:c>
      <x:c r="I596" s="34" t="n">
        <x:v>2029</x:v>
      </x:c>
      <x:c r="J596" s="34" t="n">
        <x:v>2038</x:v>
      </x:c>
      <x:c r="K596" s="34" t="n">
        <x:v>0.627249</x:v>
      </x:c>
      <x:c r="L596" s="34" t="n">
        <x:v>0</x:v>
      </x:c>
      <x:c r="M596" s="34" t="n">
        <x:v>0.372751</x:v>
      </x:c>
      <x:c r="N596" s="34" t="n">
        <x:v>0</x:v>
      </x:c>
      <x:c r="O596" s="34" t="n">
        <x:v>0.3</x:v>
      </x:c>
      <x:c r="P596" s="34" t="n">
        <x:v>0.25</x:v>
      </x:c>
      <x:c r="Q596" s="34" t="n">
        <x:v>0.35</x:v>
      </x:c>
      <x:c r="R596" s="34" t="n">
        <x:v>0.25</x:v>
      </x:c>
      <x:c r="S596" s="34" t="n">
        <x:v>0.015</x:v>
      </x:c>
      <x:c r="T596" s="34" t="n">
        <x:v>183.548927</x:v>
      </x:c>
      <x:c r="U596" s="34" t="str">
        <x:v>NS-EAST:BF_RELINE:2034|NS-KANSAI:BF_RELINE:2036|NS-KYUSHU:BF_RELINE:2029|NS-NAGOYA:H2_DRI_EAF:2032|NS-SETOUCHI:H2_DRI_EAF:2038</x:v>
      </x:c>
      <x:c r="V596" s="34" t="str">
        <x:v>model_generated_candidate</x:v>
      </x:c>
      <x:c r="W596" s="34" t="str">
        <x:v>Generated from disclosed-path facility calendar, technology set and template contracting assumptions; not a company-announced project</x:v>
      </x:c>
    </x:row>
    <x:row r="597">
      <x:c r="A597" s="34" t="str">
        <x:v>CAND-ADBC3B65A5023A</x:v>
      </x:c>
      <x:c r="B597" s="34" t="str">
        <x:v>NIPPON_STEEL_JP</x:v>
      </x:c>
      <x:c r="C597" s="34" t="str">
        <x:v>Nippon Steel</x:v>
      </x:c>
      <x:c r="D597" s="34" t="str">
        <x:v>P3</x:v>
      </x:c>
      <x:c r="E597" s="34" t="str">
        <x:v>균형형 라이트헤지</x:v>
      </x:c>
      <x:c r="F597" s="34" t="str">
        <x:v>PORT-F4B33CB2315F</x:v>
      </x:c>
      <x:c r="G597" s="34" t="str">
        <x:v>DISCLOSED_PATH</x:v>
      </x:c>
      <x:c r="H597" s="34" t="n">
        <x:v>5</x:v>
      </x:c>
      <x:c r="I597" s="34" t="n">
        <x:v>2029</x:v>
      </x:c>
      <x:c r="J597" s="34" t="n">
        <x:v>2038</x:v>
      </x:c>
      <x:c r="K597" s="34" t="n">
        <x:v>0.419023</x:v>
      </x:c>
      <x:c r="L597" s="34" t="n">
        <x:v>0</x:v>
      </x:c>
      <x:c r="M597" s="34" t="n">
        <x:v>0.580977</x:v>
      </x:c>
      <x:c r="N597" s="34" t="n">
        <x:v>0</x:v>
      </x:c>
      <x:c r="O597" s="34" t="n">
        <x:v>0.3</x:v>
      </x:c>
      <x:c r="P597" s="34" t="n">
        <x:v>0.25</x:v>
      </x:c>
      <x:c r="Q597" s="34" t="n">
        <x:v>0.35</x:v>
      </x:c>
      <x:c r="R597" s="34" t="n">
        <x:v>0.25</x:v>
      </x:c>
      <x:c r="S597" s="34" t="n">
        <x:v>0.015</x:v>
      </x:c>
      <x:c r="T597" s="34" t="n">
        <x:v>269.228938</x:v>
      </x:c>
      <x:c r="U597" s="34" t="str">
        <x:v>NS-EAST:H2_DRI_EAF:2034|NS-KANSAI:BF_RELINE:2036|NS-KYUSHU:BF_RELINE:2029|NS-NAGOYA:H2_DRI_EAF:2032|NS-SETOUCHI:H2_DRI_EAF:2038</x:v>
      </x:c>
      <x:c r="V597" s="34" t="str">
        <x:v>model_generated_candidate</x:v>
      </x:c>
      <x:c r="W597" s="34" t="str">
        <x:v>Generated from disclosed-path facility calendar, technology set and template contracting assumptions; not a company-announced project</x:v>
      </x:c>
    </x:row>
    <x:row r="598">
      <x:c r="A598" s="34" t="str">
        <x:v>CAND-AF268558E5BD63</x:v>
      </x:c>
      <x:c r="B598" s="34" t="str">
        <x:v>NIPPON_STEEL_JP</x:v>
      </x:c>
      <x:c r="C598" s="34" t="str">
        <x:v>Nippon Steel</x:v>
      </x:c>
      <x:c r="D598" s="34" t="str">
        <x:v>P3</x:v>
      </x:c>
      <x:c r="E598" s="34" t="str">
        <x:v>균형형 라이트헤지</x:v>
      </x:c>
      <x:c r="F598" s="34" t="str">
        <x:v>PORT-BA0215B7029E</x:v>
      </x:c>
      <x:c r="G598" s="34" t="str">
        <x:v>DISCLOSED_PATH</x:v>
      </x:c>
      <x:c r="H598" s="34" t="n">
        <x:v>5</x:v>
      </x:c>
      <x:c r="I598" s="34" t="n">
        <x:v>2029</x:v>
      </x:c>
      <x:c r="J598" s="34" t="n">
        <x:v>2038</x:v>
      </x:c>
      <x:c r="K598" s="34" t="n">
        <x:v>0.192802</x:v>
      </x:c>
      <x:c r="L598" s="34" t="n">
        <x:v>0.419023</x:v>
      </x:c>
      <x:c r="M598" s="34" t="n">
        <x:v>0.388175</x:v>
      </x:c>
      <x:c r="N598" s="34" t="n">
        <x:v>0</x:v>
      </x:c>
      <x:c r="O598" s="34" t="n">
        <x:v>0.3</x:v>
      </x:c>
      <x:c r="P598" s="34" t="n">
        <x:v>0.25</x:v>
      </x:c>
      <x:c r="Q598" s="34" t="n">
        <x:v>0.35</x:v>
      </x:c>
      <x:c r="R598" s="34" t="n">
        <x:v>0.25</x:v>
      </x:c>
      <x:c r="S598" s="34" t="n">
        <x:v>0.015</x:v>
      </x:c>
      <x:c r="T598" s="34" t="n">
        <x:v>434.298943</x:v>
      </x:c>
      <x:c r="U598" s="34" t="str">
        <x:v>NS-EAST:H2_DRI_EAF:2034|NS-KANSAI:SCRAP_EAF:2036|NS-KYUSHU:SCRAP_EAF:2029|NS-NAGOYA:H2_DRI_EAF:2032|NS-SETOUCHI:BF_RELINE:2038</x:v>
      </x:c>
      <x:c r="V598" s="34" t="str">
        <x:v>model_generated_candidate</x:v>
      </x:c>
      <x:c r="W598" s="34" t="str">
        <x:v>Generated from disclosed-path facility calendar, technology set and template contracting assumptions; not a company-announced project</x:v>
      </x:c>
    </x:row>
    <x:row r="599">
      <x:c r="A599" s="34" t="str">
        <x:v>CAND-AF50008FB1C41E</x:v>
      </x:c>
      <x:c r="B599" s="34" t="str">
        <x:v>NIPPON_STEEL_JP</x:v>
      </x:c>
      <x:c r="C599" s="34" t="str">
        <x:v>Nippon Steel</x:v>
      </x:c>
      <x:c r="D599" s="34" t="str">
        <x:v>P2</x:v>
      </x:c>
      <x:c r="E599" s="34" t="str">
        <x:v>지연·부분헤지</x:v>
      </x:c>
      <x:c r="F599" s="34" t="str">
        <x:v>PORT-368F661604FE</x:v>
      </x:c>
      <x:c r="G599" s="34" t="str">
        <x:v>DISCLOSED_PATH</x:v>
      </x:c>
      <x:c r="H599" s="34" t="n">
        <x:v>5</x:v>
      </x:c>
      <x:c r="I599" s="34" t="n">
        <x:v>2029</x:v>
      </x:c>
      <x:c r="J599" s="34" t="n">
        <x:v>2038</x:v>
      </x:c>
      <x:c r="K599" s="34" t="n">
        <x:v>0.341902</x:v>
      </x:c>
      <x:c r="L599" s="34" t="n">
        <x:v>0.401028</x:v>
      </x:c>
      <x:c r="M599" s="34" t="n">
        <x:v>0.257069</x:v>
      </x:c>
      <x:c r="N599" s="34" t="n">
        <x:v>0</x:v>
      </x:c>
      <x:c r="O599" s="34" t="n">
        <x:v>0.15</x:v>
      </x:c>
      <x:c r="P599" s="34" t="n">
        <x:v>0.1</x:v>
      </x:c>
      <x:c r="Q599" s="34" t="n">
        <x:v>0.2</x:v>
      </x:c>
      <x:c r="R599" s="34" t="n">
        <x:v>0.1</x:v>
      </x:c>
      <x:c r="S599" s="34" t="n">
        <x:v>0.01</x:v>
      </x:c>
      <x:c r="T599" s="34" t="n">
        <x:v>340.643967</x:v>
      </x:c>
      <x:c r="U599" s="34" t="str">
        <x:v>NS-EAST:SCRAP_EAF:2034|NS-KANSAI:BF_RELINE:2036|NS-KYUSHU:H2_DRI_EAF:2029|NS-NAGOYA:BF_RELINE:2032|NS-SETOUCHI:SCRAP_EAF:2038</x:v>
      </x:c>
      <x:c r="V599" s="34" t="str">
        <x:v>model_generated_candidate</x:v>
      </x:c>
      <x:c r="W599" s="34" t="str">
        <x:v>Generated from disclosed-path facility calendar, technology set and template contracting assumptions; not a company-announced project</x:v>
      </x:c>
    </x:row>
    <x:row r="600">
      <x:c r="A600" s="34" t="str">
        <x:v>CAND-AF65370993A1AE</x:v>
      </x:c>
      <x:c r="B600" s="34" t="str">
        <x:v>NIPPON_STEEL_JP</x:v>
      </x:c>
      <x:c r="C600" s="34" t="str">
        <x:v>Nippon Steel</x:v>
      </x:c>
      <x:c r="D600" s="34" t="str">
        <x:v>P4</x:v>
      </x:c>
      <x:c r="E600" s="34" t="str">
        <x:v>균형형 전환</x:v>
      </x:c>
      <x:c r="F600" s="34" t="str">
        <x:v>PORT-CADBD0074A18</x:v>
      </x:c>
      <x:c r="G600" s="34" t="str">
        <x:v>DISCLOSED_PATH</x:v>
      </x:c>
      <x:c r="H600" s="34" t="n">
        <x:v>5</x:v>
      </x:c>
      <x:c r="I600" s="34" t="n">
        <x:v>2028</x:v>
      </x:c>
      <x:c r="J600" s="34" t="n">
        <x:v>2037</x:v>
      </x:c>
      <x:c r="K600" s="34" t="n">
        <x:v>0</x:v>
      </x:c>
      <x:c r="L600" s="34" t="n">
        <x:v>0.388175</x:v>
      </x:c>
      <x:c r="M600" s="34" t="n">
        <x:v>0.611825</x:v>
      </x:c>
      <x:c r="N600" s="34" t="n">
        <x:v>0</x:v>
      </x:c>
      <x:c r="O600" s="34" t="n">
        <x:v>0.5</x:v>
      </x:c>
      <x:c r="P600" s="34" t="n">
        <x:v>0.45</x:v>
      </x:c>
      <x:c r="Q600" s="34" t="n">
        <x:v>0.5</x:v>
      </x:c>
      <x:c r="R600" s="34" t="n">
        <x:v>0.4</x:v>
      </x:c>
      <x:c r="S600" s="34" t="n">
        <x:v>0.02</x:v>
      </x:c>
      <x:c r="T600" s="34" t="n">
        <x:v>536.268944</x:v>
      </x:c>
      <x:c r="U600" s="34" t="str">
        <x:v>NS-EAST:SCRAP_EAF:2033|NS-KANSAI:H2_DRI_EAF:2035|NS-KYUSHU:H2_DRI_EAF:2028|NS-NAGOYA:SCRAP_EAF:2031|NS-SETOUCHI:H2_DRI_EAF:2037</x:v>
      </x:c>
      <x:c r="V600" s="34" t="str">
        <x:v>model_generated_candidate</x:v>
      </x:c>
      <x:c r="W600" s="34" t="str">
        <x:v>Generated from disclosed-path facility calendar, technology set and template contracting assumptions; not a company-announced project</x:v>
      </x:c>
    </x:row>
    <x:row r="601">
      <x:c r="A601" s="34" t="str">
        <x:v>CAND-AF8D877EBBC87E</x:v>
      </x:c>
      <x:c r="B601" s="34" t="str">
        <x:v>NIPPON_STEEL_JP</x:v>
      </x:c>
      <x:c r="C601" s="34" t="str">
        <x:v>Nippon Steel</x:v>
      </x:c>
      <x:c r="D601" s="34" t="str">
        <x:v>P1</x:v>
      </x:c>
      <x:c r="E601" s="34" t="str">
        <x:v>지연·현물조달</x:v>
      </x:c>
      <x:c r="F601" s="34" t="str">
        <x:v>PORT-37552B5B74E9</x:v>
      </x:c>
      <x:c r="G601" s="34" t="str">
        <x:v>DISCLOSED_PATH</x:v>
      </x:c>
      <x:c r="H601" s="34" t="n">
        <x:v>5</x:v>
      </x:c>
      <x:c r="I601" s="34" t="n">
        <x:v>2029</x:v>
      </x:c>
      <x:c r="J601" s="34" t="n">
        <x:v>2038</x:v>
      </x:c>
      <x:c r="K601" s="34" t="n">
        <x:v>0.208226</x:v>
      </x:c>
      <x:c r="L601" s="34" t="n">
        <x:v>0.611825</x:v>
      </x:c>
      <x:c r="M601" s="34" t="n">
        <x:v>0.179949</x:v>
      </x:c>
      <x:c r="N601" s="34" t="n">
        <x:v>0</x:v>
      </x:c>
      <x:c r="O601" s="34" t="n">
        <x:v>0</x:v>
      </x:c>
      <x:c r="P601" s="34" t="n">
        <x:v>0</x:v>
      </x:c>
      <x:c r="Q601" s="34" t="n">
        <x:v>0.1</x:v>
      </x:c>
      <x:c r="R601" s="34" t="n">
        <x:v>0</x:v>
      </x:c>
      <x:c r="S601" s="34" t="n">
        <x:v>0</x:v>
      </x:c>
      <x:c r="T601" s="34" t="n">
        <x:v>376.023932</x:v>
      </x:c>
      <x:c r="U601" s="34" t="str">
        <x:v>NS-EAST:BF_RELINE:2034|NS-KANSAI:SCRAP_EAF:2036|NS-KYUSHU:SCRAP_EAF:2029|NS-NAGOYA:H2_DRI_EAF:2032|NS-SETOUCHI:SCRAP_EAF:2038</x:v>
      </x:c>
      <x:c r="V601" s="34" t="str">
        <x:v>model_generated_candidate</x:v>
      </x:c>
      <x:c r="W601" s="34" t="str">
        <x:v>Generated from disclosed-path facility calendar, technology set and template contracting assumptions; not a company-announced project</x:v>
      </x:c>
    </x:row>
    <x:row r="602">
      <x:c r="A602" s="34" t="str">
        <x:v>CAND-B0B4D01483D0EA</x:v>
      </x:c>
      <x:c r="B602" s="34" t="str">
        <x:v>NIPPON_STEEL_JP</x:v>
      </x:c>
      <x:c r="C602" s="34" t="str">
        <x:v>Nippon Steel</x:v>
      </x:c>
      <x:c r="D602" s="34" t="str">
        <x:v>P1</x:v>
      </x:c>
      <x:c r="E602" s="34" t="str">
        <x:v>지연·현물조달</x:v>
      </x:c>
      <x:c r="F602" s="34" t="str">
        <x:v>PORT-F7D0A7E47A59</x:v>
      </x:c>
      <x:c r="G602" s="34" t="str">
        <x:v>DISCLOSED_PATH</x:v>
      </x:c>
      <x:c r="H602" s="34" t="n">
        <x:v>5</x:v>
      </x:c>
      <x:c r="I602" s="34" t="n">
        <x:v>2029</x:v>
      </x:c>
      <x:c r="J602" s="34" t="n">
        <x:v>2038</x:v>
      </x:c>
      <x:c r="K602" s="34" t="n">
        <x:v>0.161954</x:v>
      </x:c>
      <x:c r="L602" s="34" t="n">
        <x:v>0.179949</x:v>
      </x:c>
      <x:c r="M602" s="34" t="n">
        <x:v>0.658098</x:v>
      </x:c>
      <x:c r="N602" s="34" t="n">
        <x:v>0</x:v>
      </x:c>
      <x:c r="O602" s="34" t="n">
        <x:v>0</x:v>
      </x:c>
      <x:c r="P602" s="34" t="n">
        <x:v>0</x:v>
      </x:c>
      <x:c r="Q602" s="34" t="n">
        <x:v>0.1</x:v>
      </x:c>
      <x:c r="R602" s="34" t="n">
        <x:v>0</x:v>
      </x:c>
      <x:c r="S602" s="34" t="n">
        <x:v>0</x:v>
      </x:c>
      <x:c r="T602" s="34" t="n">
        <x:v>438.878943</x:v>
      </x:c>
      <x:c r="U602" s="34" t="str">
        <x:v>NS-EAST:H2_DRI_EAF:2034|NS-KANSAI:BF_RELINE:2036|NS-KYUSHU:H2_DRI_EAF:2029|NS-NAGOYA:SCRAP_EAF:2032|NS-SETOUCHI:H2_DRI_EAF:2038</x:v>
      </x:c>
      <x:c r="V602" s="34" t="str">
        <x:v>model_generated_candidate</x:v>
      </x:c>
      <x:c r="W602" s="34" t="str">
        <x:v>Generated from disclosed-path facility calendar, technology set and template contracting assumptions; not a company-announced project</x:v>
      </x:c>
    </x:row>
    <x:row r="603">
      <x:c r="A603" s="34" t="str">
        <x:v>CAND-B0C5BA20CD50B8</x:v>
      </x:c>
      <x:c r="B603" s="34" t="str">
        <x:v>NIPPON_STEEL_JP</x:v>
      </x:c>
      <x:c r="C603" s="34" t="str">
        <x:v>Nippon Steel</x:v>
      </x:c>
      <x:c r="D603" s="34" t="str">
        <x:v>P2</x:v>
      </x:c>
      <x:c r="E603" s="34" t="str">
        <x:v>지연·부분헤지</x:v>
      </x:c>
      <x:c r="F603" s="34" t="str">
        <x:v>PORT-F37E5039B6ED</x:v>
      </x:c>
      <x:c r="G603" s="34" t="str">
        <x:v>DISCLOSED_PATH</x:v>
      </x:c>
      <x:c r="H603" s="34" t="n">
        <x:v>5</x:v>
      </x:c>
      <x:c r="I603" s="34" t="n">
        <x:v>2029</x:v>
      </x:c>
      <x:c r="J603" s="34" t="n">
        <x:v>2038</x:v>
      </x:c>
      <x:c r="K603" s="34" t="n">
        <x:v>0.208226</x:v>
      </x:c>
      <x:c r="L603" s="34" t="n">
        <x:v>0.179949</x:v>
      </x:c>
      <x:c r="M603" s="34" t="n">
        <x:v>0.611825</x:v>
      </x:c>
      <x:c r="N603" s="34" t="n">
        <x:v>0</x:v>
      </x:c>
      <x:c r="O603" s="34" t="n">
        <x:v>0.15</x:v>
      </x:c>
      <x:c r="P603" s="34" t="n">
        <x:v>0.1</x:v>
      </x:c>
      <x:c r="Q603" s="34" t="n">
        <x:v>0.2</x:v>
      </x:c>
      <x:c r="R603" s="34" t="n">
        <x:v>0.1</x:v>
      </x:c>
      <x:c r="S603" s="34" t="n">
        <x:v>0.01</x:v>
      </x:c>
      <x:c r="T603" s="34" t="n">
        <x:v>400.798938</x:v>
      </x:c>
      <x:c r="U603" s="34" t="str">
        <x:v>NS-EAST:BF_RELINE:2034|NS-KANSAI:H2_DRI_EAF:2036|NS-KYUSHU:H2_DRI_EAF:2029|NS-NAGOYA:SCRAP_EAF:2032|NS-SETOUCHI:H2_DRI_EAF:2038</x:v>
      </x:c>
      <x:c r="V603" s="34" t="str">
        <x:v>model_generated_candidate</x:v>
      </x:c>
      <x:c r="W603" s="34" t="str">
        <x:v>Generated from disclosed-path facility calendar, technology set and template contracting assumptions; not a company-announced project</x:v>
      </x:c>
    </x:row>
    <x:row r="604">
      <x:c r="A604" s="34" t="str">
        <x:v>CAND-B14D627240478B</x:v>
      </x:c>
      <x:c r="B604" s="34" t="str">
        <x:v>NIPPON_STEEL_JP</x:v>
      </x:c>
      <x:c r="C604" s="34" t="str">
        <x:v>Nippon Steel</x:v>
      </x:c>
      <x:c r="D604" s="34" t="str">
        <x:v>P3</x:v>
      </x:c>
      <x:c r="E604" s="34" t="str">
        <x:v>균형형 라이트헤지</x:v>
      </x:c>
      <x:c r="F604" s="34" t="str">
        <x:v>PORT-1D7419482A7C</x:v>
      </x:c>
      <x:c r="G604" s="34" t="str">
        <x:v>DISCLOSED_PATH</x:v>
      </x:c>
      <x:c r="H604" s="34" t="n">
        <x:v>5</x:v>
      </x:c>
      <x:c r="I604" s="34" t="n">
        <x:v>2029</x:v>
      </x:c>
      <x:c r="J604" s="34" t="n">
        <x:v>2038</x:v>
      </x:c>
      <x:c r="K604" s="34" t="n">
        <x:v>0.401028</x:v>
      </x:c>
      <x:c r="L604" s="34" t="n">
        <x:v>0</x:v>
      </x:c>
      <x:c r="M604" s="34" t="n">
        <x:v>0.598972</x:v>
      </x:c>
      <x:c r="N604" s="34" t="n">
        <x:v>0</x:v>
      </x:c>
      <x:c r="O604" s="34" t="n">
        <x:v>0.3</x:v>
      </x:c>
      <x:c r="P604" s="34" t="n">
        <x:v>0.25</x:v>
      </x:c>
      <x:c r="Q604" s="34" t="n">
        <x:v>0.35</x:v>
      </x:c>
      <x:c r="R604" s="34" t="n">
        <x:v>0.25</x:v>
      </x:c>
      <x:c r="S604" s="34" t="n">
        <x:v>0.015</x:v>
      </x:c>
      <x:c r="T604" s="34" t="n">
        <x:v>382.618933</x:v>
      </x:c>
      <x:c r="U604" s="34" t="str">
        <x:v>NS-EAST:BF_RELINE:2034|NS-KANSAI:H2_DRI_EAF:2036|NS-KYUSHU:H2_DRI_EAF:2029|NS-NAGOYA:H2_DRI_EAF:2032|NS-SETOUCHI:BF_RELINE:2038</x:v>
      </x:c>
      <x:c r="V604" s="34" t="str">
        <x:v>model_generated_candidate</x:v>
      </x:c>
      <x:c r="W604" s="34" t="str">
        <x:v>Generated from disclosed-path facility calendar, technology set and template contracting assumptions; not a company-announced project</x:v>
      </x:c>
    </x:row>
    <x:row r="605">
      <x:c r="A605" s="34" t="str">
        <x:v>CAND-B1A20F8DC9BAF0</x:v>
      </x:c>
      <x:c r="B605" s="34" t="str">
        <x:v>NIPPON_STEEL_JP</x:v>
      </x:c>
      <x:c r="C605" s="34" t="str">
        <x:v>Nippon Steel</x:v>
      </x:c>
      <x:c r="D605" s="34" t="str">
        <x:v>P1</x:v>
      </x:c>
      <x:c r="E605" s="34" t="str">
        <x:v>지연·현물조달</x:v>
      </x:c>
      <x:c r="F605" s="34" t="str">
        <x:v>PORT-1EBC013E33C4</x:v>
      </x:c>
      <x:c r="G605" s="34" t="str">
        <x:v>DISCLOSED_PATH</x:v>
      </x:c>
      <x:c r="H605" s="34" t="n">
        <x:v>5</x:v>
      </x:c>
      <x:c r="I605" s="34" t="n">
        <x:v>2029</x:v>
      </x:c>
      <x:c r="J605" s="34" t="n">
        <x:v>2038</x:v>
      </x:c>
      <x:c r="K605" s="34" t="n">
        <x:v>0.208226</x:v>
      </x:c>
      <x:c r="L605" s="34" t="n">
        <x:v>0.257069</x:v>
      </x:c>
      <x:c r="M605" s="34" t="n">
        <x:v>0.534704</x:v>
      </x:c>
      <x:c r="N605" s="34" t="n">
        <x:v>0</x:v>
      </x:c>
      <x:c r="O605" s="34" t="n">
        <x:v>0</x:v>
      </x:c>
      <x:c r="P605" s="34" t="n">
        <x:v>0</x:v>
      </x:c>
      <x:c r="Q605" s="34" t="n">
        <x:v>0.1</x:v>
      </x:c>
      <x:c r="R605" s="34" t="n">
        <x:v>0</x:v>
      </x:c>
      <x:c r="S605" s="34" t="n">
        <x:v>0</x:v>
      </x:c>
      <x:c r="T605" s="34" t="n">
        <x:v>387.748933</x:v>
      </x:c>
      <x:c r="U605" s="34" t="str">
        <x:v>NS-EAST:BF_RELINE:2034|NS-KANSAI:H2_DRI_EAF:2036|NS-KYUSHU:SCRAP_EAF:2029|NS-NAGOYA:H2_DRI_EAF:2032|NS-SETOUCHI:H2_DRI_EAF:2038</x:v>
      </x:c>
      <x:c r="V605" s="34" t="str">
        <x:v>model_generated_candidate</x:v>
      </x:c>
      <x:c r="W605" s="34" t="str">
        <x:v>Generated from disclosed-path facility calendar, technology set and template contracting assumptions; not a company-announced project</x:v>
      </x:c>
    </x:row>
    <x:row r="606">
      <x:c r="A606" s="34" t="str">
        <x:v>CAND-B1FD7EE328AFB3</x:v>
      </x:c>
      <x:c r="B606" s="34" t="str">
        <x:v>NIPPON_STEEL_JP</x:v>
      </x:c>
      <x:c r="C606" s="34" t="str">
        <x:v>Nippon Steel</x:v>
      </x:c>
      <x:c r="D606" s="34" t="str">
        <x:v>P3</x:v>
      </x:c>
      <x:c r="E606" s="34" t="str">
        <x:v>균형형 라이트헤지</x:v>
      </x:c>
      <x:c r="F606" s="34" t="str">
        <x:v>PORT-222858394A63</x:v>
      </x:c>
      <x:c r="G606" s="34" t="str">
        <x:v>DISCLOSED_PATH</x:v>
      </x:c>
      <x:c r="H606" s="34" t="n">
        <x:v>5</x:v>
      </x:c>
      <x:c r="I606" s="34" t="n">
        <x:v>2029</x:v>
      </x:c>
      <x:c r="J606" s="34" t="n">
        <x:v>2038</x:v>
      </x:c>
      <x:c r="K606" s="34" t="n">
        <x:v>0</x:v>
      </x:c>
      <x:c r="L606" s="34" t="n">
        <x:v>0.401028</x:v>
      </x:c>
      <x:c r="M606" s="34" t="n">
        <x:v>0.598972</x:v>
      </x:c>
      <x:c r="N606" s="34" t="n">
        <x:v>0</x:v>
      </x:c>
      <x:c r="O606" s="34" t="n">
        <x:v>0.3</x:v>
      </x:c>
      <x:c r="P606" s="34" t="n">
        <x:v>0.25</x:v>
      </x:c>
      <x:c r="Q606" s="34" t="n">
        <x:v>0.35</x:v>
      </x:c>
      <x:c r="R606" s="34" t="n">
        <x:v>0.25</x:v>
      </x:c>
      <x:c r="S606" s="34" t="n">
        <x:v>0.015</x:v>
      </x:c>
      <x:c r="T606" s="34" t="n">
        <x:v>483.103943</x:v>
      </x:c>
      <x:c r="U606" s="34" t="str">
        <x:v>NS-EAST:SCRAP_EAF:2034|NS-KANSAI:H2_DRI_EAF:2036|NS-KYUSHU:H2_DRI_EAF:2029|NS-NAGOYA:H2_DRI_EAF:2032|NS-SETOUCHI:SCRAP_EAF:2038</x:v>
      </x:c>
      <x:c r="V606" s="34" t="str">
        <x:v>model_generated_candidate</x:v>
      </x:c>
      <x:c r="W606" s="34" t="str">
        <x:v>Generated from disclosed-path facility calendar, technology set and template contracting assumptions; not a company-announced project</x:v>
      </x:c>
    </x:row>
    <x:row r="607">
      <x:c r="A607" s="34" t="str">
        <x:v>CAND-B229B77E507EA7</x:v>
      </x:c>
      <x:c r="B607" s="34" t="str">
        <x:v>NIPPON_STEEL_JP</x:v>
      </x:c>
      <x:c r="C607" s="34" t="str">
        <x:v>Nippon Steel</x:v>
      </x:c>
      <x:c r="D607" s="34" t="str">
        <x:v>P3</x:v>
      </x:c>
      <x:c r="E607" s="34" t="str">
        <x:v>균형형 라이트헤지</x:v>
      </x:c>
      <x:c r="F607" s="34" t="str">
        <x:v>PORT-EB7921B0B4D7</x:v>
      </x:c>
      <x:c r="G607" s="34" t="str">
        <x:v>DISCLOSED_PATH</x:v>
      </x:c>
      <x:c r="H607" s="34" t="n">
        <x:v>5</x:v>
      </x:c>
      <x:c r="I607" s="34" t="n">
        <x:v>2029</x:v>
      </x:c>
      <x:c r="J607" s="34" t="n">
        <x:v>2038</x:v>
      </x:c>
      <x:c r="K607" s="34" t="n">
        <x:v>0.192802</x:v>
      </x:c>
      <x:c r="L607" s="34" t="n">
        <x:v>0.341902</x:v>
      </x:c>
      <x:c r="M607" s="34" t="n">
        <x:v>0.465296</x:v>
      </x:c>
      <x:c r="N607" s="34" t="n">
        <x:v>0</x:v>
      </x:c>
      <x:c r="O607" s="34" t="n">
        <x:v>0.3</x:v>
      </x:c>
      <x:c r="P607" s="34" t="n">
        <x:v>0.25</x:v>
      </x:c>
      <x:c r="Q607" s="34" t="n">
        <x:v>0.35</x:v>
      </x:c>
      <x:c r="R607" s="34" t="n">
        <x:v>0.25</x:v>
      </x:c>
      <x:c r="S607" s="34" t="n">
        <x:v>0.015</x:v>
      </x:c>
      <x:c r="T607" s="34" t="n">
        <x:v>447.348948</x:v>
      </x:c>
      <x:c r="U607" s="34" t="str">
        <x:v>NS-EAST:H2_DRI_EAF:2034|NS-KANSAI:SCRAP_EAF:2036|NS-KYUSHU:H2_DRI_EAF:2029|NS-NAGOYA:SCRAP_EAF:2032|NS-SETOUCHI:BF_RELINE:2038</x:v>
      </x:c>
      <x:c r="V607" s="34" t="str">
        <x:v>model_generated_candidate</x:v>
      </x:c>
      <x:c r="W607" s="34" t="str">
        <x:v>Generated from disclosed-path facility calendar, technology set and template contracting assumptions; not a company-announced project</x:v>
      </x:c>
    </x:row>
    <x:row r="608">
      <x:c r="A608" s="34" t="str">
        <x:v>CAND-B22DEBDE0F4599</x:v>
      </x:c>
      <x:c r="B608" s="34" t="str">
        <x:v>NIPPON_STEEL_JP</x:v>
      </x:c>
      <x:c r="C608" s="34" t="str">
        <x:v>Nippon Steel</x:v>
      </x:c>
      <x:c r="D608" s="34" t="str">
        <x:v>P1</x:v>
      </x:c>
      <x:c r="E608" s="34" t="str">
        <x:v>지연·현물조달</x:v>
      </x:c>
      <x:c r="F608" s="34" t="str">
        <x:v>PORT-9961527CE1F4</x:v>
      </x:c>
      <x:c r="G608" s="34" t="str">
        <x:v>DISCLOSED_PATH</x:v>
      </x:c>
      <x:c r="H608" s="34" t="n">
        <x:v>5</x:v>
      </x:c>
      <x:c r="I608" s="34" t="n">
        <x:v>2029</x:v>
      </x:c>
      <x:c r="J608" s="34" t="n">
        <x:v>2038</x:v>
      </x:c>
      <x:c r="K608" s="34" t="n">
        <x:v>0.161954</x:v>
      </x:c>
      <x:c r="L608" s="34" t="n">
        <x:v>0.62982</x:v>
      </x:c>
      <x:c r="M608" s="34" t="n">
        <x:v>0.208226</x:v>
      </x:c>
      <x:c r="N608" s="34" t="n">
        <x:v>0</x:v>
      </x:c>
      <x:c r="O608" s="34" t="n">
        <x:v>0</x:v>
      </x:c>
      <x:c r="P608" s="34" t="n">
        <x:v>0</x:v>
      </x:c>
      <x:c r="Q608" s="34" t="n">
        <x:v>0.1</x:v>
      </x:c>
      <x:c r="R608" s="34" t="n">
        <x:v>0</x:v>
      </x:c>
      <x:c r="S608" s="34" t="n">
        <x:v>0</x:v>
      </x:c>
      <x:c r="T608" s="34" t="n">
        <x:v>407.153943</x:v>
      </x:c>
      <x:c r="U608" s="34" t="str">
        <x:v>NS-EAST:H2_DRI_EAF:2034|NS-KANSAI:BF_RELINE:2036|NS-KYUSHU:SCRAP_EAF:2029|NS-NAGOYA:SCRAP_EAF:2032|NS-SETOUCHI:SCRAP_EAF:2038</x:v>
      </x:c>
      <x:c r="V608" s="34" t="str">
        <x:v>model_generated_candidate</x:v>
      </x:c>
      <x:c r="W608" s="34" t="str">
        <x:v>Generated from disclosed-path facility calendar, technology set and template contracting assumptions; not a company-announced project</x:v>
      </x:c>
    </x:row>
    <x:row r="609">
      <x:c r="A609" s="34" t="str">
        <x:v>CAND-B29479DE3D58D1</x:v>
      </x:c>
      <x:c r="B609" s="34" t="str">
        <x:v>NIPPON_STEEL_JP</x:v>
      </x:c>
      <x:c r="C609" s="34" t="str">
        <x:v>Nippon Steel</x:v>
      </x:c>
      <x:c r="D609" s="34" t="str">
        <x:v>P4</x:v>
      </x:c>
      <x:c r="E609" s="34" t="str">
        <x:v>균형형 전환</x:v>
      </x:c>
      <x:c r="F609" s="34" t="str">
        <x:v>PORT-A2B0FFE0DDD5</x:v>
      </x:c>
      <x:c r="G609" s="34" t="str">
        <x:v>DISCLOSED_PATH</x:v>
      </x:c>
      <x:c r="H609" s="34" t="n">
        <x:v>5</x:v>
      </x:c>
      <x:c r="I609" s="34" t="n">
        <x:v>2028</x:v>
      </x:c>
      <x:c r="J609" s="34" t="n">
        <x:v>2037</x:v>
      </x:c>
      <x:c r="K609" s="34" t="n">
        <x:v>0.161954</x:v>
      </x:c>
      <x:c r="L609" s="34" t="n">
        <x:v>0.208226</x:v>
      </x:c>
      <x:c r="M609" s="34" t="n">
        <x:v>0.62982</x:v>
      </x:c>
      <x:c r="N609" s="34" t="n">
        <x:v>0</x:v>
      </x:c>
      <x:c r="O609" s="34" t="n">
        <x:v>0.5</x:v>
      </x:c>
      <x:c r="P609" s="34" t="n">
        <x:v>0.45</x:v>
      </x:c>
      <x:c r="Q609" s="34" t="n">
        <x:v>0.5</x:v>
      </x:c>
      <x:c r="R609" s="34" t="n">
        <x:v>0.4</x:v>
      </x:c>
      <x:c r="S609" s="34" t="n">
        <x:v>0.02</x:v>
      </x:c>
      <x:c r="T609" s="34" t="n">
        <x:v>494.648932</x:v>
      </x:c>
      <x:c r="U609" s="34" t="str">
        <x:v>NS-EAST:SCRAP_EAF:2033|NS-KANSAI:BF_RELINE:2035|NS-KYUSHU:H2_DRI_EAF:2028|NS-NAGOYA:H2_DRI_EAF:2031|NS-SETOUCHI:H2_DRI_EAF:2037</x:v>
      </x:c>
      <x:c r="V609" s="34" t="str">
        <x:v>model_generated_candidate</x:v>
      </x:c>
      <x:c r="W609" s="34" t="str">
        <x:v>Generated from disclosed-path facility calendar, technology set and template contracting assumptions; not a company-announced project</x:v>
      </x:c>
    </x:row>
    <x:row r="610">
      <x:c r="A610" s="34" t="str">
        <x:v>CAND-B2E9425C31AD97</x:v>
      </x:c>
      <x:c r="B610" s="34" t="str">
        <x:v>NIPPON_STEEL_JP</x:v>
      </x:c>
      <x:c r="C610" s="34" t="str">
        <x:v>Nippon Steel</x:v>
      </x:c>
      <x:c r="D610" s="34" t="str">
        <x:v>P3</x:v>
      </x:c>
      <x:c r="E610" s="34" t="str">
        <x:v>균형형 라이트헤지</x:v>
      </x:c>
      <x:c r="F610" s="34" t="str">
        <x:v>PORT-9A7A6B9EB781</x:v>
      </x:c>
      <x:c r="G610" s="34" t="str">
        <x:v>DISCLOSED_PATH</x:v>
      </x:c>
      <x:c r="H610" s="34" t="n">
        <x:v>5</x:v>
      </x:c>
      <x:c r="I610" s="34" t="n">
        <x:v>2029</x:v>
      </x:c>
      <x:c r="J610" s="34" t="n">
        <x:v>2038</x:v>
      </x:c>
      <x:c r="K610" s="34" t="n">
        <x:v>0.257069</x:v>
      </x:c>
      <x:c r="L610" s="34" t="n">
        <x:v>0.341902</x:v>
      </x:c>
      <x:c r="M610" s="34" t="n">
        <x:v>0.401028</x:v>
      </x:c>
      <x:c r="N610" s="34" t="n">
        <x:v>0</x:v>
      </x:c>
      <x:c r="O610" s="34" t="n">
        <x:v>0.3</x:v>
      </x:c>
      <x:c r="P610" s="34" t="n">
        <x:v>0.25</x:v>
      </x:c>
      <x:c r="Q610" s="34" t="n">
        <x:v>0.35</x:v>
      </x:c>
      <x:c r="R610" s="34" t="n">
        <x:v>0.25</x:v>
      </x:c>
      <x:c r="S610" s="34" t="n">
        <x:v>0.015</x:v>
      </x:c>
      <x:c r="T610" s="34" t="n">
        <x:v>295.878948</x:v>
      </x:c>
      <x:c r="U610" s="34" t="str">
        <x:v>NS-EAST:H2_DRI_EAF:2034|NS-KANSAI:SCRAP_EAF:2036|NS-KYUSHU:BF_RELINE:2029|NS-NAGOYA:SCRAP_EAF:2032|NS-SETOUCHI:H2_DRI_EAF:2038</x:v>
      </x:c>
      <x:c r="V610" s="34" t="str">
        <x:v>model_generated_candidate</x:v>
      </x:c>
      <x:c r="W610" s="34" t="str">
        <x:v>Generated from disclosed-path facility calendar, technology set and template contracting assumptions; not a company-announced project</x:v>
      </x:c>
    </x:row>
    <x:row r="611">
      <x:c r="A611" s="34" t="str">
        <x:v>CAND-B31BA7041C68D6</x:v>
      </x:c>
      <x:c r="B611" s="34" t="str">
        <x:v>NIPPON_STEEL_JP</x:v>
      </x:c>
      <x:c r="C611" s="34" t="str">
        <x:v>Nippon Steel</x:v>
      </x:c>
      <x:c r="D611" s="34" t="str">
        <x:v>P2</x:v>
      </x:c>
      <x:c r="E611" s="34" t="str">
        <x:v>지연·부분헤지</x:v>
      </x:c>
      <x:c r="F611" s="34" t="str">
        <x:v>PORT-523FC992190F</x:v>
      </x:c>
      <x:c r="G611" s="34" t="str">
        <x:v>DISCLOSED_PATH</x:v>
      </x:c>
      <x:c r="H611" s="34" t="n">
        <x:v>5</x:v>
      </x:c>
      <x:c r="I611" s="34" t="n">
        <x:v>2029</x:v>
      </x:c>
      <x:c r="J611" s="34" t="n">
        <x:v>2038</x:v>
      </x:c>
      <x:c r="K611" s="34" t="n">
        <x:v>0.208226</x:v>
      </x:c>
      <x:c r="L611" s="34" t="n">
        <x:v>0.192802</x:v>
      </x:c>
      <x:c r="M611" s="34" t="n">
        <x:v>0.598972</x:v>
      </x:c>
      <x:c r="N611" s="34" t="n">
        <x:v>0</x:v>
      </x:c>
      <x:c r="O611" s="34" t="n">
        <x:v>0.15</x:v>
      </x:c>
      <x:c r="P611" s="34" t="n">
        <x:v>0.1</x:v>
      </x:c>
      <x:c r="Q611" s="34" t="n">
        <x:v>0.2</x:v>
      </x:c>
      <x:c r="R611" s="34" t="n">
        <x:v>0.1</x:v>
      </x:c>
      <x:c r="S611" s="34" t="n">
        <x:v>0.01</x:v>
      </x:c>
      <x:c r="T611" s="34" t="n">
        <x:v>410.023933</x:v>
      </x:c>
      <x:c r="U611" s="34" t="str">
        <x:v>NS-EAST:BF_RELINE:2034|NS-KANSAI:H2_DRI_EAF:2036|NS-KYUSHU:H2_DRI_EAF:2029|NS-NAGOYA:H2_DRI_EAF:2032|NS-SETOUCHI:SCRAP_EAF:2038</x:v>
      </x:c>
      <x:c r="V611" s="34" t="str">
        <x:v>model_generated_candidate</x:v>
      </x:c>
      <x:c r="W611" s="34" t="str">
        <x:v>Generated from disclosed-path facility calendar, technology set and template contracting assumptions; not a company-announced project</x:v>
      </x:c>
    </x:row>
    <x:row r="612">
      <x:c r="A612" s="34" t="str">
        <x:v>CAND-B31E5405885F73</x:v>
      </x:c>
      <x:c r="B612" s="34" t="str">
        <x:v>NIPPON_STEEL_JP</x:v>
      </x:c>
      <x:c r="C612" s="34" t="str">
        <x:v>Nippon Steel</x:v>
      </x:c>
      <x:c r="D612" s="34" t="str">
        <x:v>P2</x:v>
      </x:c>
      <x:c r="E612" s="34" t="str">
        <x:v>지연·부분헤지</x:v>
      </x:c>
      <x:c r="F612" s="34" t="str">
        <x:v>PORT-F4B33CB2315F</x:v>
      </x:c>
      <x:c r="G612" s="34" t="str">
        <x:v>DISCLOSED_PATH</x:v>
      </x:c>
      <x:c r="H612" s="34" t="n">
        <x:v>5</x:v>
      </x:c>
      <x:c r="I612" s="34" t="n">
        <x:v>2029</x:v>
      </x:c>
      <x:c r="J612" s="34" t="n">
        <x:v>2038</x:v>
      </x:c>
      <x:c r="K612" s="34" t="n">
        <x:v>0.419023</x:v>
      </x:c>
      <x:c r="L612" s="34" t="n">
        <x:v>0</x:v>
      </x:c>
      <x:c r="M612" s="34" t="n">
        <x:v>0.580977</x:v>
      </x:c>
      <x:c r="N612" s="34" t="n">
        <x:v>0</x:v>
      </x:c>
      <x:c r="O612" s="34" t="n">
        <x:v>0.15</x:v>
      </x:c>
      <x:c r="P612" s="34" t="n">
        <x:v>0.1</x:v>
      </x:c>
      <x:c r="Q612" s="34" t="n">
        <x:v>0.2</x:v>
      </x:c>
      <x:c r="R612" s="34" t="n">
        <x:v>0.1</x:v>
      </x:c>
      <x:c r="S612" s="34" t="n">
        <x:v>0.01</x:v>
      </x:c>
      <x:c r="T612" s="34" t="n">
        <x:v>269.228938</x:v>
      </x:c>
      <x:c r="U612" s="34" t="str">
        <x:v>NS-EAST:H2_DRI_EAF:2034|NS-KANSAI:BF_RELINE:2036|NS-KYUSHU:BF_RELINE:2029|NS-NAGOYA:H2_DRI_EAF:2032|NS-SETOUCHI:H2_DRI_EAF:2038</x:v>
      </x:c>
      <x:c r="V612" s="34" t="str">
        <x:v>model_generated_candidate</x:v>
      </x:c>
      <x:c r="W612" s="34" t="str">
        <x:v>Generated from disclosed-path facility calendar, technology set and template contracting assumptions; not a company-announced project</x:v>
      </x:c>
    </x:row>
    <x:row r="613">
      <x:c r="A613" s="34" t="str">
        <x:v>CAND-B352D420C595F5</x:v>
      </x:c>
      <x:c r="B613" s="34" t="str">
        <x:v>NIPPON_STEEL_JP</x:v>
      </x:c>
      <x:c r="C613" s="34" t="str">
        <x:v>Nippon Steel</x:v>
      </x:c>
      <x:c r="D613" s="34" t="str">
        <x:v>P3</x:v>
      </x:c>
      <x:c r="E613" s="34" t="str">
        <x:v>균형형 라이트헤지</x:v>
      </x:c>
      <x:c r="F613" s="34" t="str">
        <x:v>PORT-41756371AE05</x:v>
      </x:c>
      <x:c r="G613" s="34" t="str">
        <x:v>DISCLOSED_PATH</x:v>
      </x:c>
      <x:c r="H613" s="34" t="n">
        <x:v>5</x:v>
      </x:c>
      <x:c r="I613" s="34" t="n">
        <x:v>2029</x:v>
      </x:c>
      <x:c r="J613" s="34" t="n">
        <x:v>2038</x:v>
      </x:c>
      <x:c r="K613" s="34" t="n">
        <x:v>0.161954</x:v>
      </x:c>
      <x:c r="L613" s="34" t="n">
        <x:v>0.449871</x:v>
      </x:c>
      <x:c r="M613" s="34" t="n">
        <x:v>0.388175</x:v>
      </x:c>
      <x:c r="N613" s="34" t="n">
        <x:v>0</x:v>
      </x:c>
      <x:c r="O613" s="34" t="n">
        <x:v>0.3</x:v>
      </x:c>
      <x:c r="P613" s="34" t="n">
        <x:v>0.25</x:v>
      </x:c>
      <x:c r="Q613" s="34" t="n">
        <x:v>0.35</x:v>
      </x:c>
      <x:c r="R613" s="34" t="n">
        <x:v>0.25</x:v>
      </x:c>
      <x:c r="S613" s="34" t="n">
        <x:v>0.015</x:v>
      </x:c>
      <x:c r="T613" s="34" t="n">
        <x:v>421.103938</x:v>
      </x:c>
      <x:c r="U613" s="34" t="str">
        <x:v>NS-EAST:H2_DRI_EAF:2034|NS-KANSAI:BF_RELINE:2036|NS-KYUSHU:SCRAP_EAF:2029|NS-NAGOYA:H2_DRI_EAF:2032|NS-SETOUCHI:SCRAP_EAF:2038</x:v>
      </x:c>
      <x:c r="V613" s="34" t="str">
        <x:v>model_generated_candidate</x:v>
      </x:c>
      <x:c r="W613" s="34" t="str">
        <x:v>Generated from disclosed-path facility calendar, technology set and template contracting assumptions; not a company-announced project</x:v>
      </x:c>
    </x:row>
    <x:row r="614">
      <x:c r="A614" s="34" t="str">
        <x:v>CAND-B45A0EBD702722</x:v>
      </x:c>
      <x:c r="B614" s="34" t="str">
        <x:v>NIPPON_STEEL_JP</x:v>
      </x:c>
      <x:c r="C614" s="34" t="str">
        <x:v>Nippon Steel</x:v>
      </x:c>
      <x:c r="D614" s="34" t="str">
        <x:v>P2</x:v>
      </x:c>
      <x:c r="E614" s="34" t="str">
        <x:v>지연·부분헤지</x:v>
      </x:c>
      <x:c r="F614" s="34" t="str">
        <x:v>PORT-9A7A6B9EB781</x:v>
      </x:c>
      <x:c r="G614" s="34" t="str">
        <x:v>DISCLOSED_PATH</x:v>
      </x:c>
      <x:c r="H614" s="34" t="n">
        <x:v>5</x:v>
      </x:c>
      <x:c r="I614" s="34" t="n">
        <x:v>2029</x:v>
      </x:c>
      <x:c r="J614" s="34" t="n">
        <x:v>2038</x:v>
      </x:c>
      <x:c r="K614" s="34" t="n">
        <x:v>0.257069</x:v>
      </x:c>
      <x:c r="L614" s="34" t="n">
        <x:v>0.341902</x:v>
      </x:c>
      <x:c r="M614" s="34" t="n">
        <x:v>0.401028</x:v>
      </x:c>
      <x:c r="N614" s="34" t="n">
        <x:v>0</x:v>
      </x:c>
      <x:c r="O614" s="34" t="n">
        <x:v>0.15</x:v>
      </x:c>
      <x:c r="P614" s="34" t="n">
        <x:v>0.1</x:v>
      </x:c>
      <x:c r="Q614" s="34" t="n">
        <x:v>0.2</x:v>
      </x:c>
      <x:c r="R614" s="34" t="n">
        <x:v>0.1</x:v>
      </x:c>
      <x:c r="S614" s="34" t="n">
        <x:v>0.01</x:v>
      </x:c>
      <x:c r="T614" s="34" t="n">
        <x:v>295.878948</x:v>
      </x:c>
      <x:c r="U614" s="34" t="str">
        <x:v>NS-EAST:H2_DRI_EAF:2034|NS-KANSAI:SCRAP_EAF:2036|NS-KYUSHU:BF_RELINE:2029|NS-NAGOYA:SCRAP_EAF:2032|NS-SETOUCHI:H2_DRI_EAF:2038</x:v>
      </x:c>
      <x:c r="V614" s="34" t="str">
        <x:v>model_generated_candidate</x:v>
      </x:c>
      <x:c r="W614" s="34" t="str">
        <x:v>Generated from disclosed-path facility calendar, technology set and template contracting assumptions; not a company-announced project</x:v>
      </x:c>
    </x:row>
    <x:row r="615">
      <x:c r="A615" s="34" t="str">
        <x:v>CAND-B470DA58075115</x:v>
      </x:c>
      <x:c r="B615" s="34" t="str">
        <x:v>NIPPON_STEEL_JP</x:v>
      </x:c>
      <x:c r="C615" s="34" t="str">
        <x:v>Nippon Steel</x:v>
      </x:c>
      <x:c r="D615" s="34" t="str">
        <x:v>P1</x:v>
      </x:c>
      <x:c r="E615" s="34" t="str">
        <x:v>지연·현물조달</x:v>
      </x:c>
      <x:c r="F615" s="34" t="str">
        <x:v>PORT-B446DE621925</x:v>
      </x:c>
      <x:c r="G615" s="34" t="str">
        <x:v>DISCLOSED_PATH</x:v>
      </x:c>
      <x:c r="H615" s="34" t="n">
        <x:v>5</x:v>
      </x:c>
      <x:c r="I615" s="34" t="n">
        <x:v>2029</x:v>
      </x:c>
      <x:c r="J615" s="34" t="n">
        <x:v>2038</x:v>
      </x:c>
      <x:c r="K615" s="34" t="n">
        <x:v>0</x:v>
      </x:c>
      <x:c r="L615" s="34" t="n">
        <x:v>0.534704</x:v>
      </x:c>
      <x:c r="M615" s="34" t="n">
        <x:v>0.465296</x:v>
      </x:c>
      <x:c r="N615" s="34" t="n">
        <x:v>0</x:v>
      </x:c>
      <x:c r="O615" s="34" t="n">
        <x:v>0</x:v>
      </x:c>
      <x:c r="P615" s="34" t="n">
        <x:v>0</x:v>
      </x:c>
      <x:c r="Q615" s="34" t="n">
        <x:v>0.1</x:v>
      </x:c>
      <x:c r="R615" s="34" t="n">
        <x:v>0</x:v>
      </x:c>
      <x:c r="S615" s="34" t="n">
        <x:v>0</x:v>
      </x:c>
      <x:c r="T615" s="34" t="n">
        <x:v>474.753948</x:v>
      </x:c>
      <x:c r="U615" s="34" t="str">
        <x:v>NS-EAST:H2_DRI_EAF:2034|NS-KANSAI:SCRAP_EAF:2036|NS-KYUSHU:H2_DRI_EAF:2029|NS-NAGOYA:SCRAP_EAF:2032|NS-SETOUCHI:SCRAP_EAF:2038</x:v>
      </x:c>
      <x:c r="V615" s="34" t="str">
        <x:v>model_generated_candidate</x:v>
      </x:c>
      <x:c r="W615" s="34" t="str">
        <x:v>Generated from disclosed-path facility calendar, technology set and template contracting assumptions; not a company-announced project</x:v>
      </x:c>
    </x:row>
    <x:row r="616">
      <x:c r="A616" s="34" t="str">
        <x:v>CAND-B47AF469E255D4</x:v>
      </x:c>
      <x:c r="B616" s="34" t="str">
        <x:v>NIPPON_STEEL_JP</x:v>
      </x:c>
      <x:c r="C616" s="34" t="str">
        <x:v>Nippon Steel</x:v>
      </x:c>
      <x:c r="D616" s="34" t="str">
        <x:v>P1</x:v>
      </x:c>
      <x:c r="E616" s="34" t="str">
        <x:v>지연·현물조달</x:v>
      </x:c>
      <x:c r="F616" s="34" t="str">
        <x:v>PORT-210D478A7CBE</x:v>
      </x:c>
      <x:c r="G616" s="34" t="str">
        <x:v>DISCLOSED_PATH</x:v>
      </x:c>
      <x:c r="H616" s="34" t="n">
        <x:v>5</x:v>
      </x:c>
      <x:c r="I616" s="34" t="n">
        <x:v>2029</x:v>
      </x:c>
      <x:c r="J616" s="34" t="n">
        <x:v>2038</x:v>
      </x:c>
      <x:c r="K616" s="34" t="n">
        <x:v>0.807198</x:v>
      </x:c>
      <x:c r="L616" s="34" t="n">
        <x:v>0.192802</x:v>
      </x:c>
      <x:c r="M616" s="34" t="n">
        <x:v>0</x:v>
      </x:c>
      <x:c r="N616" s="34" t="n">
        <x:v>0</x:v>
      </x:c>
      <x:c r="O616" s="34" t="n">
        <x:v>0</x:v>
      </x:c>
      <x:c r="P616" s="34" t="n">
        <x:v>0</x:v>
      </x:c>
      <x:c r="Q616" s="34" t="n">
        <x:v>0.1</x:v>
      </x:c>
      <x:c r="R616" s="34" t="n">
        <x:v>0</x:v>
      </x:c>
      <x:c r="S616" s="34" t="n">
        <x:v>0</x:v>
      </x:c>
      <x:c r="T616" s="34" t="n">
        <x:v>83.963958</x:v>
      </x:c>
      <x:c r="U616" s="34" t="str">
        <x:v>NS-EAST:BF_RELINE:2034|NS-KANSAI:BF_RELINE:2036|NS-KYUSHU:BF_RELINE:2029|NS-NAGOYA:BF_RELINE:2032|NS-SETOUCHI:SCRAP_EAF:2038</x:v>
      </x:c>
      <x:c r="V616" s="34" t="str">
        <x:v>model_generated_candidate</x:v>
      </x:c>
      <x:c r="W616" s="34" t="str">
        <x:v>Generated from disclosed-path facility calendar, technology set and template contracting assumptions; not a company-announced project</x:v>
      </x:c>
    </x:row>
    <x:row r="617">
      <x:c r="A617" s="34" t="str">
        <x:v>CAND-B499B90F75E28A</x:v>
      </x:c>
      <x:c r="B617" s="34" t="str">
        <x:v>NIPPON_STEEL_JP</x:v>
      </x:c>
      <x:c r="C617" s="34" t="str">
        <x:v>Nippon Steel</x:v>
      </x:c>
      <x:c r="D617" s="34" t="str">
        <x:v>P1</x:v>
      </x:c>
      <x:c r="E617" s="34" t="str">
        <x:v>지연·현물조달</x:v>
      </x:c>
      <x:c r="F617" s="34" t="str">
        <x:v>PORT-4BEB733387A3</x:v>
      </x:c>
      <x:c r="G617" s="34" t="str">
        <x:v>DISCLOSED_PATH</x:v>
      </x:c>
      <x:c r="H617" s="34" t="n">
        <x:v>5</x:v>
      </x:c>
      <x:c r="I617" s="34" t="n">
        <x:v>2029</x:v>
      </x:c>
      <x:c r="J617" s="34" t="n">
        <x:v>2038</x:v>
      </x:c>
      <x:c r="K617" s="34" t="n">
        <x:v>0.208226</x:v>
      </x:c>
      <x:c r="L617" s="34" t="n">
        <x:v>0.791774</x:v>
      </x:c>
      <x:c r="M617" s="34" t="n">
        <x:v>0</x:v>
      </x:c>
      <x:c r="N617" s="34" t="n">
        <x:v>0</x:v>
      </x:c>
      <x:c r="O617" s="34" t="n">
        <x:v>0</x:v>
      </x:c>
      <x:c r="P617" s="34" t="n">
        <x:v>0</x:v>
      </x:c>
      <x:c r="Q617" s="34" t="n">
        <x:v>0.1</x:v>
      </x:c>
      <x:c r="R617" s="34" t="n">
        <x:v>0</x:v>
      </x:c>
      <x:c r="S617" s="34" t="n">
        <x:v>0</x:v>
      </x:c>
      <x:c r="T617" s="34" t="n">
        <x:v>362.073937</x:v>
      </x:c>
      <x:c r="U617" s="34" t="str">
        <x:v>NS-EAST:BF_RELINE:2034|NS-KANSAI:SCRAP_EAF:2036|NS-KYUSHU:SCRAP_EAF:2029|NS-NAGOYA:SCRAP_EAF:2032|NS-SETOUCHI:SCRAP_EAF:2038</x:v>
      </x:c>
      <x:c r="V617" s="34" t="str">
        <x:v>model_generated_candidate</x:v>
      </x:c>
      <x:c r="W617" s="34" t="str">
        <x:v>Generated from disclosed-path facility calendar, technology set and template contracting assumptions; not a company-announced project</x:v>
      </x:c>
    </x:row>
    <x:row r="618">
      <x:c r="A618" s="34" t="str">
        <x:v>CAND-B502D8A5621BDC</x:v>
      </x:c>
      <x:c r="B618" s="34" t="str">
        <x:v>NIPPON_STEEL_JP</x:v>
      </x:c>
      <x:c r="C618" s="34" t="str">
        <x:v>Nippon Steel</x:v>
      </x:c>
      <x:c r="D618" s="34" t="str">
        <x:v>P1</x:v>
      </x:c>
      <x:c r="E618" s="34" t="str">
        <x:v>지연·현물조달</x:v>
      </x:c>
      <x:c r="F618" s="34" t="str">
        <x:v>PORT-F4B33CB2315F</x:v>
      </x:c>
      <x:c r="G618" s="34" t="str">
        <x:v>DISCLOSED_PATH</x:v>
      </x:c>
      <x:c r="H618" s="34" t="n">
        <x:v>5</x:v>
      </x:c>
      <x:c r="I618" s="34" t="n">
        <x:v>2029</x:v>
      </x:c>
      <x:c r="J618" s="34" t="n">
        <x:v>2038</x:v>
      </x:c>
      <x:c r="K618" s="34" t="n">
        <x:v>0.419023</x:v>
      </x:c>
      <x:c r="L618" s="34" t="n">
        <x:v>0</x:v>
      </x:c>
      <x:c r="M618" s="34" t="n">
        <x:v>0.580977</x:v>
      </x:c>
      <x:c r="N618" s="34" t="n">
        <x:v>0</x:v>
      </x:c>
      <x:c r="O618" s="34" t="n">
        <x:v>0</x:v>
      </x:c>
      <x:c r="P618" s="34" t="n">
        <x:v>0</x:v>
      </x:c>
      <x:c r="Q618" s="34" t="n">
        <x:v>0.1</x:v>
      </x:c>
      <x:c r="R618" s="34" t="n">
        <x:v>0</x:v>
      </x:c>
      <x:c r="S618" s="34" t="n">
        <x:v>0</x:v>
      </x:c>
      <x:c r="T618" s="34" t="n">
        <x:v>269.228938</x:v>
      </x:c>
      <x:c r="U618" s="34" t="str">
        <x:v>NS-EAST:H2_DRI_EAF:2034|NS-KANSAI:BF_RELINE:2036|NS-KYUSHU:BF_RELINE:2029|NS-NAGOYA:H2_DRI_EAF:2032|NS-SETOUCHI:H2_DRI_EAF:2038</x:v>
      </x:c>
      <x:c r="V618" s="34" t="str">
        <x:v>model_generated_candidate</x:v>
      </x:c>
      <x:c r="W618" s="34" t="str">
        <x:v>Generated from disclosed-path facility calendar, technology set and template contracting assumptions; not a company-announced project</x:v>
      </x:c>
    </x:row>
    <x:row r="619">
      <x:c r="A619" s="34" t="str">
        <x:v>CAND-B5623E60BE66EE</x:v>
      </x:c>
      <x:c r="B619" s="34" t="str">
        <x:v>NIPPON_STEEL_JP</x:v>
      </x:c>
      <x:c r="C619" s="34" t="str">
        <x:v>Nippon Steel</x:v>
      </x:c>
      <x:c r="D619" s="34" t="str">
        <x:v>P1</x:v>
      </x:c>
      <x:c r="E619" s="34" t="str">
        <x:v>지연·현물조달</x:v>
      </x:c>
      <x:c r="F619" s="34" t="str">
        <x:v>PORT-65A3C210607A</x:v>
      </x:c>
      <x:c r="G619" s="34" t="str">
        <x:v>DISCLOSED_PATH</x:v>
      </x:c>
      <x:c r="H619" s="34" t="n">
        <x:v>5</x:v>
      </x:c>
      <x:c r="I619" s="34" t="n">
        <x:v>2029</x:v>
      </x:c>
      <x:c r="J619" s="34" t="n">
        <x:v>2038</x:v>
      </x:c>
      <x:c r="K619" s="34" t="n">
        <x:v>0.465296</x:v>
      </x:c>
      <x:c r="L619" s="34" t="n">
        <x:v>0.192802</x:v>
      </x:c>
      <x:c r="M619" s="34" t="n">
        <x:v>0.341902</x:v>
      </x:c>
      <x:c r="N619" s="34" t="n">
        <x:v>0</x:v>
      </x:c>
      <x:c r="O619" s="34" t="n">
        <x:v>0</x:v>
      </x:c>
      <x:c r="P619" s="34" t="n">
        <x:v>0</x:v>
      </x:c>
      <x:c r="Q619" s="34" t="n">
        <x:v>0.1</x:v>
      </x:c>
      <x:c r="R619" s="34" t="n">
        <x:v>0</x:v>
      </x:c>
      <x:c r="S619" s="34" t="n">
        <x:v>0</x:v>
      </x:c>
      <x:c r="T619" s="34" t="n">
        <x:v>226.423933</x:v>
      </x:c>
      <x:c r="U619" s="34" t="str">
        <x:v>NS-EAST:BF_RELINE:2034|NS-KANSAI:H2_DRI_EAF:2036|NS-KYUSHU:BF_RELINE:2029|NS-NAGOYA:H2_DRI_EAF:2032|NS-SETOUCHI:SCRAP_EAF:2038</x:v>
      </x:c>
      <x:c r="V619" s="34" t="str">
        <x:v>model_generated_candidate</x:v>
      </x:c>
      <x:c r="W619" s="34" t="str">
        <x:v>Generated from disclosed-path facility calendar, technology set and template contracting assumptions; not a company-announced project</x:v>
      </x:c>
    </x:row>
    <x:row r="620">
      <x:c r="A620" s="34" t="str">
        <x:v>CAND-B5A275DA214AE0</x:v>
      </x:c>
      <x:c r="B620" s="34" t="str">
        <x:v>NIPPON_STEEL_JP</x:v>
      </x:c>
      <x:c r="C620" s="34" t="str">
        <x:v>Nippon Steel</x:v>
      </x:c>
      <x:c r="D620" s="34" t="str">
        <x:v>P3</x:v>
      </x:c>
      <x:c r="E620" s="34" t="str">
        <x:v>균형형 라이트헤지</x:v>
      </x:c>
      <x:c r="F620" s="34" t="str">
        <x:v>PORT-1EBC013E33C4</x:v>
      </x:c>
      <x:c r="G620" s="34" t="str">
        <x:v>DISCLOSED_PATH</x:v>
      </x:c>
      <x:c r="H620" s="34" t="n">
        <x:v>5</x:v>
      </x:c>
      <x:c r="I620" s="34" t="n">
        <x:v>2029</x:v>
      </x:c>
      <x:c r="J620" s="34" t="n">
        <x:v>2038</x:v>
      </x:c>
      <x:c r="K620" s="34" t="n">
        <x:v>0.208226</x:v>
      </x:c>
      <x:c r="L620" s="34" t="n">
        <x:v>0.257069</x:v>
      </x:c>
      <x:c r="M620" s="34" t="n">
        <x:v>0.534704</x:v>
      </x:c>
      <x:c r="N620" s="34" t="n">
        <x:v>0</x:v>
      </x:c>
      <x:c r="O620" s="34" t="n">
        <x:v>0.3</x:v>
      </x:c>
      <x:c r="P620" s="34" t="n">
        <x:v>0.25</x:v>
      </x:c>
      <x:c r="Q620" s="34" t="n">
        <x:v>0.35</x:v>
      </x:c>
      <x:c r="R620" s="34" t="n">
        <x:v>0.25</x:v>
      </x:c>
      <x:c r="S620" s="34" t="n">
        <x:v>0.015</x:v>
      </x:c>
      <x:c r="T620" s="34" t="n">
        <x:v>387.748933</x:v>
      </x:c>
      <x:c r="U620" s="34" t="str">
        <x:v>NS-EAST:BF_RELINE:2034|NS-KANSAI:H2_DRI_EAF:2036|NS-KYUSHU:SCRAP_EAF:2029|NS-NAGOYA:H2_DRI_EAF:2032|NS-SETOUCHI:H2_DRI_EAF:2038</x:v>
      </x:c>
      <x:c r="V620" s="34" t="str">
        <x:v>model_generated_candidate</x:v>
      </x:c>
      <x:c r="W620" s="34" t="str">
        <x:v>Generated from disclosed-path facility calendar, technology set and template contracting assumptions; not a company-announced project</x:v>
      </x:c>
    </x:row>
    <x:row r="621">
      <x:c r="A621" s="34" t="str">
        <x:v>CAND-B5E3210A8075A7</x:v>
      </x:c>
      <x:c r="B621" s="34" t="str">
        <x:v>NIPPON_STEEL_JP</x:v>
      </x:c>
      <x:c r="C621" s="34" t="str">
        <x:v>Nippon Steel</x:v>
      </x:c>
      <x:c r="D621" s="34" t="str">
        <x:v>P3</x:v>
      </x:c>
      <x:c r="E621" s="34" t="str">
        <x:v>균형형 라이트헤지</x:v>
      </x:c>
      <x:c r="F621" s="34" t="str">
        <x:v>PORT-271F6DA1D846</x:v>
      </x:c>
      <x:c r="G621" s="34" t="str">
        <x:v>DISCLOSED_PATH</x:v>
      </x:c>
      <x:c r="H621" s="34" t="n">
        <x:v>5</x:v>
      </x:c>
      <x:c r="I621" s="34" t="n">
        <x:v>2029</x:v>
      </x:c>
      <x:c r="J621" s="34" t="n">
        <x:v>2038</x:v>
      </x:c>
      <x:c r="K621" s="34" t="n">
        <x:v>0.257069</x:v>
      </x:c>
      <x:c r="L621" s="34" t="n">
        <x:v>0.37018</x:v>
      </x:c>
      <x:c r="M621" s="34" t="n">
        <x:v>0.372751</x:v>
      </x:c>
      <x:c r="N621" s="34" t="n">
        <x:v>0</x:v>
      </x:c>
      <x:c r="O621" s="34" t="n">
        <x:v>0.3</x:v>
      </x:c>
      <x:c r="P621" s="34" t="n">
        <x:v>0.25</x:v>
      </x:c>
      <x:c r="Q621" s="34" t="n">
        <x:v>0.35</x:v>
      </x:c>
      <x:c r="R621" s="34" t="n">
        <x:v>0.25</x:v>
      </x:c>
      <x:c r="S621" s="34" t="n">
        <x:v>0.015</x:v>
      </x:c>
      <x:c r="T621" s="34" t="n">
        <x:v>297.228942</x:v>
      </x:c>
      <x:c r="U621" s="34" t="str">
        <x:v>NS-EAST:SCRAP_EAF:2034|NS-KANSAI:SCRAP_EAF:2036|NS-KYUSHU:BF_RELINE:2029|NS-NAGOYA:H2_DRI_EAF:2032|NS-SETOUCHI:H2_DRI_EAF:2038</x:v>
      </x:c>
      <x:c r="V621" s="34" t="str">
        <x:v>model_generated_candidate</x:v>
      </x:c>
      <x:c r="W621" s="34" t="str">
        <x:v>Generated from disclosed-path facility calendar, technology set and template contracting assumptions; not a company-announced project</x:v>
      </x:c>
    </x:row>
    <x:row r="622">
      <x:c r="A622" s="34" t="str">
        <x:v>CAND-B5EEF31DCD1B38</x:v>
      </x:c>
      <x:c r="B622" s="34" t="str">
        <x:v>NIPPON_STEEL_JP</x:v>
      </x:c>
      <x:c r="C622" s="34" t="str">
        <x:v>Nippon Steel</x:v>
      </x:c>
      <x:c r="D622" s="34" t="str">
        <x:v>P2</x:v>
      </x:c>
      <x:c r="E622" s="34" t="str">
        <x:v>지연·부분헤지</x:v>
      </x:c>
      <x:c r="F622" s="34" t="str">
        <x:v>PORT-9D11099D9A8A</x:v>
      </x:c>
      <x:c r="G622" s="34" t="str">
        <x:v>DISCLOSED_PATH</x:v>
      </x:c>
      <x:c r="H622" s="34" t="n">
        <x:v>5</x:v>
      </x:c>
      <x:c r="I622" s="34" t="n">
        <x:v>2029</x:v>
      </x:c>
      <x:c r="J622" s="34" t="n">
        <x:v>2038</x:v>
      </x:c>
      <x:c r="K622" s="34" t="n">
        <x:v>0.208226</x:v>
      </x:c>
      <x:c r="L622" s="34" t="n">
        <x:v>0.354756</x:v>
      </x:c>
      <x:c r="M622" s="34" t="n">
        <x:v>0.437018</x:v>
      </x:c>
      <x:c r="N622" s="34" t="n">
        <x:v>0</x:v>
      </x:c>
      <x:c r="O622" s="34" t="n">
        <x:v>0.15</x:v>
      </x:c>
      <x:c r="P622" s="34" t="n">
        <x:v>0.1</x:v>
      </x:c>
      <x:c r="Q622" s="34" t="n">
        <x:v>0.2</x:v>
      </x:c>
      <x:c r="R622" s="34" t="n">
        <x:v>0.1</x:v>
      </x:c>
      <x:c r="S622" s="34" t="n">
        <x:v>0.01</x:v>
      </x:c>
      <x:c r="T622" s="34" t="n">
        <x:v>403.023932</x:v>
      </x:c>
      <x:c r="U622" s="34" t="str">
        <x:v>NS-EAST:BF_RELINE:2034|NS-KANSAI:SCRAP_EAF:2036|NS-KYUSHU:H2_DRI_EAF:2029|NS-NAGOYA:H2_DRI_EAF:2032|NS-SETOUCHI:SCRAP_EAF:2038</x:v>
      </x:c>
      <x:c r="V622" s="34" t="str">
        <x:v>model_generated_candidate</x:v>
      </x:c>
      <x:c r="W622" s="34" t="str">
        <x:v>Generated from disclosed-path facility calendar, technology set and template contracting assumptions; not a company-announced project</x:v>
      </x:c>
    </x:row>
    <x:row r="623">
      <x:c r="A623" s="34" t="str">
        <x:v>CAND-B6864B0F56CE92</x:v>
      </x:c>
      <x:c r="B623" s="34" t="str">
        <x:v>NIPPON_STEEL_JP</x:v>
      </x:c>
      <x:c r="C623" s="34" t="str">
        <x:v>Nippon Steel</x:v>
      </x:c>
      <x:c r="D623" s="34" t="str">
        <x:v>P3</x:v>
      </x:c>
      <x:c r="E623" s="34" t="str">
        <x:v>균형형 라이트헤지</x:v>
      </x:c>
      <x:c r="F623" s="34" t="str">
        <x:v>PORT-EFA421F0E7E7</x:v>
      </x:c>
      <x:c r="G623" s="34" t="str">
        <x:v>DISCLOSED_PATH</x:v>
      </x:c>
      <x:c r="H623" s="34" t="n">
        <x:v>5</x:v>
      </x:c>
      <x:c r="I623" s="34" t="n">
        <x:v>2029</x:v>
      </x:c>
      <x:c r="J623" s="34" t="n">
        <x:v>2038</x:v>
      </x:c>
      <x:c r="K623" s="34" t="n">
        <x:v>0.354756</x:v>
      </x:c>
      <x:c r="L623" s="34" t="n">
        <x:v>0.179949</x:v>
      </x:c>
      <x:c r="M623" s="34" t="n">
        <x:v>0.465296</x:v>
      </x:c>
      <x:c r="N623" s="34" t="n">
        <x:v>0</x:v>
      </x:c>
      <x:c r="O623" s="34" t="n">
        <x:v>0.3</x:v>
      </x:c>
      <x:c r="P623" s="34" t="n">
        <x:v>0.25</x:v>
      </x:c>
      <x:c r="Q623" s="34" t="n">
        <x:v>0.35</x:v>
      </x:c>
      <x:c r="R623" s="34" t="n">
        <x:v>0.25</x:v>
      </x:c>
      <x:c r="S623" s="34" t="n">
        <x:v>0.015</x:v>
      </x:c>
      <x:c r="T623" s="34" t="n">
        <x:v>406.748943</x:v>
      </x:c>
      <x:c r="U623" s="34" t="str">
        <x:v>NS-EAST:H2_DRI_EAF:2034|NS-KANSAI:BF_RELINE:2036|NS-KYUSHU:H2_DRI_EAF:2029|NS-NAGOYA:SCRAP_EAF:2032|NS-SETOUCHI:BF_RELINE:2038</x:v>
      </x:c>
      <x:c r="V623" s="34" t="str">
        <x:v>model_generated_candidate</x:v>
      </x:c>
      <x:c r="W623" s="34" t="str">
        <x:v>Generated from disclosed-path facility calendar, technology set and template contracting assumptions; not a company-announced project</x:v>
      </x:c>
    </x:row>
    <x:row r="624">
      <x:c r="A624" s="34" t="str">
        <x:v>CAND-B6A7146B96D09E</x:v>
      </x:c>
      <x:c r="B624" s="34" t="str">
        <x:v>NIPPON_STEEL_JP</x:v>
      </x:c>
      <x:c r="C624" s="34" t="str">
        <x:v>Nippon Steel</x:v>
      </x:c>
      <x:c r="D624" s="34" t="str">
        <x:v>P2</x:v>
      </x:c>
      <x:c r="E624" s="34" t="str">
        <x:v>지연·부분헤지</x:v>
      </x:c>
      <x:c r="F624" s="34" t="str">
        <x:v>PORT-EB7921B0B4D7</x:v>
      </x:c>
      <x:c r="G624" s="34" t="str">
        <x:v>DISCLOSED_PATH</x:v>
      </x:c>
      <x:c r="H624" s="34" t="n">
        <x:v>5</x:v>
      </x:c>
      <x:c r="I624" s="34" t="n">
        <x:v>2029</x:v>
      </x:c>
      <x:c r="J624" s="34" t="n">
        <x:v>2038</x:v>
      </x:c>
      <x:c r="K624" s="34" t="n">
        <x:v>0.192802</x:v>
      </x:c>
      <x:c r="L624" s="34" t="n">
        <x:v>0.341902</x:v>
      </x:c>
      <x:c r="M624" s="34" t="n">
        <x:v>0.465296</x:v>
      </x:c>
      <x:c r="N624" s="34" t="n">
        <x:v>0</x:v>
      </x:c>
      <x:c r="O624" s="34" t="n">
        <x:v>0.15</x:v>
      </x:c>
      <x:c r="P624" s="34" t="n">
        <x:v>0.1</x:v>
      </x:c>
      <x:c r="Q624" s="34" t="n">
        <x:v>0.2</x:v>
      </x:c>
      <x:c r="R624" s="34" t="n">
        <x:v>0.1</x:v>
      </x:c>
      <x:c r="S624" s="34" t="n">
        <x:v>0.01</x:v>
      </x:c>
      <x:c r="T624" s="34" t="n">
        <x:v>447.348948</x:v>
      </x:c>
      <x:c r="U624" s="34" t="str">
        <x:v>NS-EAST:H2_DRI_EAF:2034|NS-KANSAI:SCRAP_EAF:2036|NS-KYUSHU:H2_DRI_EAF:2029|NS-NAGOYA:SCRAP_EAF:2032|NS-SETOUCHI:BF_RELINE:2038</x:v>
      </x:c>
      <x:c r="V624" s="34" t="str">
        <x:v>model_generated_candidate</x:v>
      </x:c>
      <x:c r="W624" s="34" t="str">
        <x:v>Generated from disclosed-path facility calendar, technology set and template contracting assumptions; not a company-announced project</x:v>
      </x:c>
    </x:row>
    <x:row r="625">
      <x:c r="A625" s="34" t="str">
        <x:v>CAND-B6C07864D5DB03</x:v>
      </x:c>
      <x:c r="B625" s="34" t="str">
        <x:v>NIPPON_STEEL_JP</x:v>
      </x:c>
      <x:c r="C625" s="34" t="str">
        <x:v>Nippon Steel</x:v>
      </x:c>
      <x:c r="D625" s="34" t="str">
        <x:v>P2</x:v>
      </x:c>
      <x:c r="E625" s="34" t="str">
        <x:v>지연·부분헤지</x:v>
      </x:c>
      <x:c r="F625" s="34" t="str">
        <x:v>PORT-271F6DA1D846</x:v>
      </x:c>
      <x:c r="G625" s="34" t="str">
        <x:v>DISCLOSED_PATH</x:v>
      </x:c>
      <x:c r="H625" s="34" t="n">
        <x:v>5</x:v>
      </x:c>
      <x:c r="I625" s="34" t="n">
        <x:v>2029</x:v>
      </x:c>
      <x:c r="J625" s="34" t="n">
        <x:v>2038</x:v>
      </x:c>
      <x:c r="K625" s="34" t="n">
        <x:v>0.257069</x:v>
      </x:c>
      <x:c r="L625" s="34" t="n">
        <x:v>0.37018</x:v>
      </x:c>
      <x:c r="M625" s="34" t="n">
        <x:v>0.372751</x:v>
      </x:c>
      <x:c r="N625" s="34" t="n">
        <x:v>0</x:v>
      </x:c>
      <x:c r="O625" s="34" t="n">
        <x:v>0.15</x:v>
      </x:c>
      <x:c r="P625" s="34" t="n">
        <x:v>0.1</x:v>
      </x:c>
      <x:c r="Q625" s="34" t="n">
        <x:v>0.2</x:v>
      </x:c>
      <x:c r="R625" s="34" t="n">
        <x:v>0.1</x:v>
      </x:c>
      <x:c r="S625" s="34" t="n">
        <x:v>0.01</x:v>
      </x:c>
      <x:c r="T625" s="34" t="n">
        <x:v>297.228942</x:v>
      </x:c>
      <x:c r="U625" s="34" t="str">
        <x:v>NS-EAST:SCRAP_EAF:2034|NS-KANSAI:SCRAP_EAF:2036|NS-KYUSHU:BF_RELINE:2029|NS-NAGOYA:H2_DRI_EAF:2032|NS-SETOUCHI:H2_DRI_EAF:2038</x:v>
      </x:c>
      <x:c r="V625" s="34" t="str">
        <x:v>model_generated_candidate</x:v>
      </x:c>
      <x:c r="W625" s="34" t="str">
        <x:v>Generated from disclosed-path facility calendar, technology set and template contracting assumptions; not a company-announced project</x:v>
      </x:c>
    </x:row>
    <x:row r="626">
      <x:c r="A626" s="34" t="str">
        <x:v>CAND-B6CFF5D1003AA2</x:v>
      </x:c>
      <x:c r="B626" s="34" t="str">
        <x:v>NIPPON_STEEL_JP</x:v>
      </x:c>
      <x:c r="C626" s="34" t="str">
        <x:v>Nippon Steel</x:v>
      </x:c>
      <x:c r="D626" s="34" t="str">
        <x:v>P1</x:v>
      </x:c>
      <x:c r="E626" s="34" t="str">
        <x:v>지연·현물조달</x:v>
      </x:c>
      <x:c r="F626" s="34" t="str">
        <x:v>PORT-E15546E58A74</x:v>
      </x:c>
      <x:c r="G626" s="34" t="str">
        <x:v>DISCLOSED_PATH</x:v>
      </x:c>
      <x:c r="H626" s="34" t="n">
        <x:v>5</x:v>
      </x:c>
      <x:c r="I626" s="34" t="n">
        <x:v>2029</x:v>
      </x:c>
      <x:c r="J626" s="34" t="n">
        <x:v>2038</x:v>
      </x:c>
      <x:c r="K626" s="34" t="n">
        <x:v>0.388175</x:v>
      </x:c>
      <x:c r="L626" s="34" t="n">
        <x:v>0.611825</x:v>
      </x:c>
      <x:c r="M626" s="34" t="n">
        <x:v>0</x:v>
      </x:c>
      <x:c r="N626" s="34" t="n">
        <x:v>0</x:v>
      </x:c>
      <x:c r="O626" s="34" t="n">
        <x:v>0</x:v>
      </x:c>
      <x:c r="P626" s="34" t="n">
        <x:v>0</x:v>
      </x:c>
      <x:c r="Q626" s="34" t="n">
        <x:v>0.1</x:v>
      </x:c>
      <x:c r="R626" s="34" t="n">
        <x:v>0</x:v>
      </x:c>
      <x:c r="S626" s="34" t="n">
        <x:v>0</x:v>
      </x:c>
      <x:c r="T626" s="34" t="n">
        <x:v>281.163963</x:v>
      </x:c>
      <x:c r="U626" s="34" t="str">
        <x:v>NS-EAST:BF_RELINE:2034|NS-KANSAI:SCRAP_EAF:2036|NS-KYUSHU:SCRAP_EAF:2029|NS-NAGOYA:BF_RELINE:2032|NS-SETOUCHI:SCRAP_EAF:2038</x:v>
      </x:c>
      <x:c r="V626" s="34" t="str">
        <x:v>model_generated_candidate</x:v>
      </x:c>
      <x:c r="W626" s="34" t="str">
        <x:v>Generated from disclosed-path facility calendar, technology set and template contracting assumptions; not a company-announced project</x:v>
      </x:c>
    </x:row>
    <x:row r="627">
      <x:c r="A627" s="34" t="str">
        <x:v>CAND-B6ED0A4F1AD329</x:v>
      </x:c>
      <x:c r="B627" s="34" t="str">
        <x:v>NIPPON_STEEL_JP</x:v>
      </x:c>
      <x:c r="C627" s="34" t="str">
        <x:v>Nippon Steel</x:v>
      </x:c>
      <x:c r="D627" s="34" t="str">
        <x:v>P1</x:v>
      </x:c>
      <x:c r="E627" s="34" t="str">
        <x:v>지연·현물조달</x:v>
      </x:c>
      <x:c r="F627" s="34" t="str">
        <x:v>PORT-20A2D678A278</x:v>
      </x:c>
      <x:c r="G627" s="34" t="str">
        <x:v>DISCLOSED_PATH</x:v>
      </x:c>
      <x:c r="H627" s="34" t="n">
        <x:v>5</x:v>
      </x:c>
      <x:c r="I627" s="34" t="n">
        <x:v>2029</x:v>
      </x:c>
      <x:c r="J627" s="34" t="n">
        <x:v>2038</x:v>
      </x:c>
      <x:c r="K627" s="34" t="n">
        <x:v>0</x:v>
      </x:c>
      <x:c r="L627" s="34" t="n">
        <x:v>0.354756</x:v>
      </x:c>
      <x:c r="M627" s="34" t="n">
        <x:v>0.645244</x:v>
      </x:c>
      <x:c r="N627" s="34" t="n">
        <x:v>0</x:v>
      </x:c>
      <x:c r="O627" s="34" t="n">
        <x:v>0</x:v>
      </x:c>
      <x:c r="P627" s="34" t="n">
        <x:v>0</x:v>
      </x:c>
      <x:c r="Q627" s="34" t="n">
        <x:v>0.1</x:v>
      </x:c>
      <x:c r="R627" s="34" t="n">
        <x:v>0</x:v>
      </x:c>
      <x:c r="S627" s="34" t="n">
        <x:v>0</x:v>
      </x:c>
      <x:c r="T627" s="34" t="n">
        <x:v>488.703943</x:v>
      </x:c>
      <x:c r="U627" s="34" t="str">
        <x:v>NS-EAST:H2_DRI_EAF:2034|NS-KANSAI:SCRAP_EAF:2036|NS-KYUSHU:H2_DRI_EAF:2029|NS-NAGOYA:H2_DRI_EAF:2032|NS-SETOUCHI:SCRAP_EAF:2038</x:v>
      </x:c>
      <x:c r="V627" s="34" t="str">
        <x:v>model_generated_candidate</x:v>
      </x:c>
      <x:c r="W627" s="34" t="str">
        <x:v>Generated from disclosed-path facility calendar, technology set and template contracting assumptions; not a company-announced project</x:v>
      </x:c>
    </x:row>
    <x:row r="628">
      <x:c r="A628" s="34" t="str">
        <x:v>CAND-B71CA66E786986</x:v>
      </x:c>
      <x:c r="B628" s="34" t="str">
        <x:v>NIPPON_STEEL_JP</x:v>
      </x:c>
      <x:c r="C628" s="34" t="str">
        <x:v>Nippon Steel</x:v>
      </x:c>
      <x:c r="D628" s="34" t="str">
        <x:v>P1</x:v>
      </x:c>
      <x:c r="E628" s="34" t="str">
        <x:v>지연·현물조달</x:v>
      </x:c>
      <x:c r="F628" s="34" t="str">
        <x:v>PORT-660C8FC45CB6</x:v>
      </x:c>
      <x:c r="G628" s="34" t="str">
        <x:v>DISCLOSED_PATH</x:v>
      </x:c>
      <x:c r="H628" s="34" t="n">
        <x:v>5</x:v>
      </x:c>
      <x:c r="I628" s="34" t="n">
        <x:v>2029</x:v>
      </x:c>
      <x:c r="J628" s="34" t="n">
        <x:v>2038</x:v>
      </x:c>
      <x:c r="K628" s="34" t="n">
        <x:v>0.372751</x:v>
      </x:c>
      <x:c r="L628" s="34" t="n">
        <x:v>0.627249</x:v>
      </x:c>
      <x:c r="M628" s="34" t="n">
        <x:v>0</x:v>
      </x:c>
      <x:c r="N628" s="34" t="n">
        <x:v>0</x:v>
      </x:c>
      <x:c r="O628" s="34" t="n">
        <x:v>0</x:v>
      </x:c>
      <x:c r="P628" s="34" t="n">
        <x:v>0</x:v>
      </x:c>
      <x:c r="Q628" s="34" t="n">
        <x:v>0.1</x:v>
      </x:c>
      <x:c r="R628" s="34" t="n">
        <x:v>0</x:v>
      </x:c>
      <x:c r="S628" s="34" t="n">
        <x:v>0</x:v>
      </x:c>
      <x:c r="T628" s="34" t="n">
        <x:v>326.838972</x:v>
      </x:c>
      <x:c r="U628" s="34" t="str">
        <x:v>NS-EAST:SCRAP_EAF:2034|NS-KANSAI:SCRAP_EAF:2036|NS-KYUSHU:SCRAP_EAF:2029|NS-NAGOYA:BF_RELINE:2032|NS-SETOUCHI:BF_RELINE:2038</x:v>
      </x:c>
      <x:c r="V628" s="34" t="str">
        <x:v>model_generated_candidate</x:v>
      </x:c>
      <x:c r="W628" s="34" t="str">
        <x:v>Generated from disclosed-path facility calendar, technology set and template contracting assumptions; not a company-announced project</x:v>
      </x:c>
    </x:row>
    <x:row r="629">
      <x:c r="A629" s="34" t="str">
        <x:v>CAND-B807998B472495</x:v>
      </x:c>
      <x:c r="B629" s="34" t="str">
        <x:v>NIPPON_STEEL_JP</x:v>
      </x:c>
      <x:c r="C629" s="34" t="str">
        <x:v>Nippon Steel</x:v>
      </x:c>
      <x:c r="D629" s="34" t="str">
        <x:v>P1</x:v>
      </x:c>
      <x:c r="E629" s="34" t="str">
        <x:v>지연·현물조달</x:v>
      </x:c>
      <x:c r="F629" s="34" t="str">
        <x:v>PORT-51DBF7B285C6</x:v>
      </x:c>
      <x:c r="G629" s="34" t="str">
        <x:v>DISCLOSED_PATH</x:v>
      </x:c>
      <x:c r="H629" s="34" t="n">
        <x:v>5</x:v>
      </x:c>
      <x:c r="I629" s="34" t="n">
        <x:v>2029</x:v>
      </x:c>
      <x:c r="J629" s="34" t="n">
        <x:v>2038</x:v>
      </x:c>
      <x:c r="K629" s="34" t="n">
        <x:v>0.534704</x:v>
      </x:c>
      <x:c r="L629" s="34" t="n">
        <x:v>0.465296</x:v>
      </x:c>
      <x:c r="M629" s="34" t="n">
        <x:v>0</x:v>
      </x:c>
      <x:c r="N629" s="34" t="n">
        <x:v>0</x:v>
      </x:c>
      <x:c r="O629" s="34" t="n">
        <x:v>0</x:v>
      </x:c>
      <x:c r="P629" s="34" t="n">
        <x:v>0</x:v>
      </x:c>
      <x:c r="Q629" s="34" t="n">
        <x:v>0.1</x:v>
      </x:c>
      <x:c r="R629" s="34" t="n">
        <x:v>0</x:v>
      </x:c>
      <x:c r="S629" s="34" t="n">
        <x:v>0</x:v>
      </x:c>
      <x:c r="T629" s="34" t="n">
        <x:v>286.238967</x:v>
      </x:c>
      <x:c r="U629" s="34" t="str">
        <x:v>NS-EAST:SCRAP_EAF:2034|NS-KANSAI:BF_RELINE:2036|NS-KYUSHU:SCRAP_EAF:2029|NS-NAGOYA:BF_RELINE:2032|NS-SETOUCHI:BF_RELINE:2038</x:v>
      </x:c>
      <x:c r="V629" s="34" t="str">
        <x:v>model_generated_candidate</x:v>
      </x:c>
      <x:c r="W629" s="34" t="str">
        <x:v>Generated from disclosed-path facility calendar, technology set and template contracting assumptions; not a company-announced project</x:v>
      </x:c>
    </x:row>
    <x:row r="630">
      <x:c r="A630" s="34" t="str">
        <x:v>CAND-B823BC760F6383</x:v>
      </x:c>
      <x:c r="B630" s="34" t="str">
        <x:v>NIPPON_STEEL_JP</x:v>
      </x:c>
      <x:c r="C630" s="34" t="str">
        <x:v>Nippon Steel</x:v>
      </x:c>
      <x:c r="D630" s="34" t="str">
        <x:v>P1</x:v>
      </x:c>
      <x:c r="E630" s="34" t="str">
        <x:v>지연·현물조달</x:v>
      </x:c>
      <x:c r="F630" s="34" t="str">
        <x:v>PORT-4E4FEFA22A10</x:v>
      </x:c>
      <x:c r="G630" s="34" t="str">
        <x:v>DISCLOSED_PATH</x:v>
      </x:c>
      <x:c r="H630" s="34" t="n">
        <x:v>5</x:v>
      </x:c>
      <x:c r="I630" s="34" t="n">
        <x:v>2029</x:v>
      </x:c>
      <x:c r="J630" s="34" t="n">
        <x:v>2038</x:v>
      </x:c>
      <x:c r="K630" s="34" t="n">
        <x:v>0.838046</x:v>
      </x:c>
      <x:c r="L630" s="34" t="n">
        <x:v>0</x:v>
      </x:c>
      <x:c r="M630" s="34" t="n">
        <x:v>0.161954</x:v>
      </x:c>
      <x:c r="N630" s="34" t="n">
        <x:v>0</x:v>
      </x:c>
      <x:c r="O630" s="34" t="n">
        <x:v>0</x:v>
      </x:c>
      <x:c r="P630" s="34" t="n">
        <x:v>0</x:v>
      </x:c>
      <x:c r="Q630" s="34" t="n">
        <x:v>0.1</x:v>
      </x:c>
      <x:c r="R630" s="34" t="n">
        <x:v>0</x:v>
      </x:c>
      <x:c r="S630" s="34" t="n">
        <x:v>0</x:v>
      </x:c>
      <x:c r="T630" s="34" t="n">
        <x:v>104.158964</x:v>
      </x:c>
      <x:c r="U630" s="34" t="str">
        <x:v>NS-EAST:BF_RELINE:2034|NS-KANSAI:H2_DRI_EAF:2036|NS-KYUSHU:BF_RELINE:2029|NS-NAGOYA:BF_RELINE:2032|NS-SETOUCHI:BF_RELINE:2038</x:v>
      </x:c>
      <x:c r="V630" s="34" t="str">
        <x:v>model_generated_candidate</x:v>
      </x:c>
      <x:c r="W630" s="34" t="str">
        <x:v>Generated from disclosed-path facility calendar, technology set and template contracting assumptions; not a company-announced project</x:v>
      </x:c>
    </x:row>
    <x:row r="631">
      <x:c r="A631" s="34" t="str">
        <x:v>CAND-B8A9A62777DA49</x:v>
      </x:c>
      <x:c r="B631" s="34" t="str">
        <x:v>NIPPON_STEEL_JP</x:v>
      </x:c>
      <x:c r="C631" s="34" t="str">
        <x:v>Nippon Steel</x:v>
      </x:c>
      <x:c r="D631" s="34" t="str">
        <x:v>P2</x:v>
      </x:c>
      <x:c r="E631" s="34" t="str">
        <x:v>지연·부분헤지</x:v>
      </x:c>
      <x:c r="F631" s="34" t="str">
        <x:v>PORT-C84D6A8C133A</x:v>
      </x:c>
      <x:c r="G631" s="34" t="str">
        <x:v>DISCLOSED_PATH</x:v>
      </x:c>
      <x:c r="H631" s="34" t="n">
        <x:v>5</x:v>
      </x:c>
      <x:c r="I631" s="34" t="n">
        <x:v>2029</x:v>
      </x:c>
      <x:c r="J631" s="34" t="n">
        <x:v>2038</x:v>
      </x:c>
      <x:c r="K631" s="34" t="n">
        <x:v>0.550129</x:v>
      </x:c>
      <x:c r="L631" s="34" t="n">
        <x:v>0</x:v>
      </x:c>
      <x:c r="M631" s="34" t="n">
        <x:v>0.449871</x:v>
      </x:c>
      <x:c r="N631" s="34" t="n">
        <x:v>0</x:v>
      </x:c>
      <x:c r="O631" s="34" t="n">
        <x:v>0.15</x:v>
      </x:c>
      <x:c r="P631" s="34" t="n">
        <x:v>0.1</x:v>
      </x:c>
      <x:c r="Q631" s="34" t="n">
        <x:v>0.2</x:v>
      </x:c>
      <x:c r="R631" s="34" t="n">
        <x:v>0.1</x:v>
      </x:c>
      <x:c r="S631" s="34" t="n">
        <x:v>0.01</x:v>
      </x:c>
      <x:c r="T631" s="34" t="n">
        <x:v>272.288958</x:v>
      </x:c>
      <x:c r="U631" s="34" t="str">
        <x:v>NS-EAST:BF_RELINE:2034|NS-KANSAI:BF_RELINE:2036|NS-KYUSHU:H2_DRI_EAF:2029|NS-NAGOYA:BF_RELINE:2032|NS-SETOUCHI:H2_DRI_EAF:2038</x:v>
      </x:c>
      <x:c r="V631" s="34" t="str">
        <x:v>model_generated_candidate</x:v>
      </x:c>
      <x:c r="W631" s="34" t="str">
        <x:v>Generated from disclosed-path facility calendar, technology set and template contracting assumptions; not a company-announced project</x:v>
      </x:c>
    </x:row>
    <x:row r="632">
      <x:c r="A632" s="34" t="str">
        <x:v>CAND-B90AF35489B1E5</x:v>
      </x:c>
      <x:c r="B632" s="34" t="str">
        <x:v>NIPPON_STEEL_JP</x:v>
      </x:c>
      <x:c r="C632" s="34" t="str">
        <x:v>Nippon Steel</x:v>
      </x:c>
      <x:c r="D632" s="34" t="str">
        <x:v>P2</x:v>
      </x:c>
      <x:c r="E632" s="34" t="str">
        <x:v>지연·부분헤지</x:v>
      </x:c>
      <x:c r="F632" s="34" t="str">
        <x:v>PORT-D6A44514D4F3</x:v>
      </x:c>
      <x:c r="G632" s="34" t="str">
        <x:v>DISCLOSED_PATH</x:v>
      </x:c>
      <x:c r="H632" s="34" t="n">
        <x:v>5</x:v>
      </x:c>
      <x:c r="I632" s="34" t="n">
        <x:v>2029</x:v>
      </x:c>
      <x:c r="J632" s="34" t="n">
        <x:v>2038</x:v>
      </x:c>
      <x:c r="K632" s="34" t="n">
        <x:v>0.611825</x:v>
      </x:c>
      <x:c r="L632" s="34" t="n">
        <x:v>0</x:v>
      </x:c>
      <x:c r="M632" s="34" t="n">
        <x:v>0.388175</x:v>
      </x:c>
      <x:c r="N632" s="34" t="n">
        <x:v>0</x:v>
      </x:c>
      <x:c r="O632" s="34" t="n">
        <x:v>0.15</x:v>
      </x:c>
      <x:c r="P632" s="34" t="n">
        <x:v>0.1</x:v>
      </x:c>
      <x:c r="Q632" s="34" t="n">
        <x:v>0.2</x:v>
      </x:c>
      <x:c r="R632" s="34" t="n">
        <x:v>0.1</x:v>
      </x:c>
      <x:c r="S632" s="34" t="n">
        <x:v>0.01</x:v>
      </x:c>
      <x:c r="T632" s="34" t="n">
        <x:v>237.098938</x:v>
      </x:c>
      <x:c r="U632" s="34" t="str">
        <x:v>NS-EAST:H2_DRI_EAF:2034|NS-KANSAI:BF_RELINE:2036|NS-KYUSHU:BF_RELINE:2029|NS-NAGOYA:H2_DRI_EAF:2032|NS-SETOUCHI:BF_RELINE:2038</x:v>
      </x:c>
      <x:c r="V632" s="34" t="str">
        <x:v>model_generated_candidate</x:v>
      </x:c>
      <x:c r="W632" s="34" t="str">
        <x:v>Generated from disclosed-path facility calendar, technology set and template contracting assumptions; not a company-announced project</x:v>
      </x:c>
    </x:row>
    <x:row r="633">
      <x:c r="A633" s="34" t="str">
        <x:v>CAND-BA3F868F9BCBE8</x:v>
      </x:c>
      <x:c r="B633" s="34" t="str">
        <x:v>NIPPON_STEEL_JP</x:v>
      </x:c>
      <x:c r="C633" s="34" t="str">
        <x:v>Nippon Steel</x:v>
      </x:c>
      <x:c r="D633" s="34" t="str">
        <x:v>P5</x:v>
      </x:c>
      <x:c r="E633" s="34" t="str">
        <x:v>조기 계약형 전환</x:v>
      </x:c>
      <x:c r="F633" s="34" t="str">
        <x:v>PORT-EE44ED4FFBEB</x:v>
      </x:c>
      <x:c r="G633" s="34" t="str">
        <x:v>DISCLOSED_PATH</x:v>
      </x:c>
      <x:c r="H633" s="34" t="n">
        <x:v>5</x:v>
      </x:c>
      <x:c r="I633" s="34" t="n">
        <x:v>2028</x:v>
      </x:c>
      <x:c r="J633" s="34" t="n">
        <x:v>2037</x:v>
      </x:c>
      <x:c r="K633" s="34" t="n">
        <x:v>0</x:v>
      </x:c>
      <x:c r="L633" s="34" t="n">
        <x:v>0.161954</x:v>
      </x:c>
      <x:c r="M633" s="34" t="n">
        <x:v>0.838046</x:v>
      </x:c>
      <x:c r="N633" s="34" t="n">
        <x:v>0</x:v>
      </x:c>
      <x:c r="O633" s="34" t="n">
        <x:v>0.7</x:v>
      </x:c>
      <x:c r="P633" s="34" t="n">
        <x:v>0.65</x:v>
      </x:c>
      <x:c r="Q633" s="34" t="n">
        <x:v>0.65</x:v>
      </x:c>
      <x:c r="R633" s="34" t="n">
        <x:v>0.6</x:v>
      </x:c>
      <x:c r="S633" s="34" t="n">
        <x:v>0.025</x:v>
      </x:c>
      <x:c r="T633" s="34" t="n">
        <x:v>557.76894</x:v>
      </x:c>
      <x:c r="U633" s="34" t="str">
        <x:v>NS-EAST:H2_DRI_EAF:2033|NS-KANSAI:SCRAP_EAF:2035|NS-KYUSHU:H2_DRI_EAF:2028|NS-NAGOYA:H2_DRI_EAF:2031|NS-SETOUCHI:H2_DRI_EAF:2037</x:v>
      </x:c>
      <x:c r="V633" s="34" t="str">
        <x:v>model_generated_candidate</x:v>
      </x:c>
      <x:c r="W633" s="34" t="str">
        <x:v>Generated from disclosed-path facility calendar, technology set and template contracting assumptions; not a company-announced project</x:v>
      </x:c>
    </x:row>
    <x:row r="634">
      <x:c r="A634" s="34" t="str">
        <x:v>CAND-BAFCA90B2AFC1C</x:v>
      </x:c>
      <x:c r="B634" s="34" t="str">
        <x:v>NIPPON_STEEL_JP</x:v>
      </x:c>
      <x:c r="C634" s="34" t="str">
        <x:v>Nippon Steel</x:v>
      </x:c>
      <x:c r="D634" s="34" t="str">
        <x:v>P1</x:v>
      </x:c>
      <x:c r="E634" s="34" t="str">
        <x:v>지연·현물조달</x:v>
      </x:c>
      <x:c r="F634" s="34" t="str">
        <x:v>PORT-FD7D021B62CB</x:v>
      </x:c>
      <x:c r="G634" s="34" t="str">
        <x:v>DISCLOSED_PATH</x:v>
      </x:c>
      <x:c r="H634" s="34" t="n">
        <x:v>5</x:v>
      </x:c>
      <x:c r="I634" s="34" t="n">
        <x:v>2029</x:v>
      </x:c>
      <x:c r="J634" s="34" t="n">
        <x:v>2038</x:v>
      </x:c>
      <x:c r="K634" s="34" t="n">
        <x:v>0.257069</x:v>
      </x:c>
      <x:c r="L634" s="34" t="n">
        <x:v>0.388175</x:v>
      </x:c>
      <x:c r="M634" s="34" t="n">
        <x:v>0.354756</x:v>
      </x:c>
      <x:c r="N634" s="34" t="n">
        <x:v>0</x:v>
      </x:c>
      <x:c r="O634" s="34" t="n">
        <x:v>0</x:v>
      </x:c>
      <x:c r="P634" s="34" t="n">
        <x:v>0</x:v>
      </x:c>
      <x:c r="Q634" s="34" t="n">
        <x:v>0.1</x:v>
      </x:c>
      <x:c r="R634" s="34" t="n">
        <x:v>0</x:v>
      </x:c>
      <x:c r="S634" s="34" t="n">
        <x:v>0</x:v>
      </x:c>
      <x:c r="T634" s="34" t="n">
        <x:v>290.278947</x:v>
      </x:c>
      <x:c r="U634" s="34" t="str">
        <x:v>NS-EAST:SCRAP_EAF:2034|NS-KANSAI:H2_DRI_EAF:2036|NS-KYUSHU:BF_RELINE:2029|NS-NAGOYA:SCRAP_EAF:2032|NS-SETOUCHI:H2_DRI_EAF:2038</x:v>
      </x:c>
      <x:c r="V634" s="34" t="str">
        <x:v>model_generated_candidate</x:v>
      </x:c>
      <x:c r="W634" s="34" t="str">
        <x:v>Generated from disclosed-path facility calendar, technology set and template contracting assumptions; not a company-announced project</x:v>
      </x:c>
    </x:row>
    <x:row r="635">
      <x:c r="A635" s="34" t="str">
        <x:v>CAND-BB1980A1B6CB5D</x:v>
      </x:c>
      <x:c r="B635" s="34" t="str">
        <x:v>NIPPON_STEEL_JP</x:v>
      </x:c>
      <x:c r="C635" s="34" t="str">
        <x:v>Nippon Steel</x:v>
      </x:c>
      <x:c r="D635" s="34" t="str">
        <x:v>P1</x:v>
      </x:c>
      <x:c r="E635" s="34" t="str">
        <x:v>지연·현물조달</x:v>
      </x:c>
      <x:c r="F635" s="34" t="str">
        <x:v>PORT-0650AB6C64AE</x:v>
      </x:c>
      <x:c r="G635" s="34" t="str">
        <x:v>DISCLOSED_PATH</x:v>
      </x:c>
      <x:c r="H635" s="34" t="n">
        <x:v>5</x:v>
      </x:c>
      <x:c r="I635" s="34" t="n">
        <x:v>2029</x:v>
      </x:c>
      <x:c r="J635" s="34" t="n">
        <x:v>2038</x:v>
      </x:c>
      <x:c r="K635" s="34" t="n">
        <x:v>0.161954</x:v>
      </x:c>
      <x:c r="L635" s="34" t="n">
        <x:v>0.658098</x:v>
      </x:c>
      <x:c r="M635" s="34" t="n">
        <x:v>0.179949</x:v>
      </x:c>
      <x:c r="N635" s="34" t="n">
        <x:v>0</x:v>
      </x:c>
      <x:c r="O635" s="34" t="n">
        <x:v>0</x:v>
      </x:c>
      <x:c r="P635" s="34" t="n">
        <x:v>0</x:v>
      </x:c>
      <x:c r="Q635" s="34" t="n">
        <x:v>0.1</x:v>
      </x:c>
      <x:c r="R635" s="34" t="n">
        <x:v>0</x:v>
      </x:c>
      <x:c r="S635" s="34" t="n">
        <x:v>0</x:v>
      </x:c>
      <x:c r="T635" s="34" t="n">
        <x:v>408.503937</x:v>
      </x:c>
      <x:c r="U635" s="34" t="str">
        <x:v>NS-EAST:SCRAP_EAF:2034|NS-KANSAI:BF_RELINE:2036|NS-KYUSHU:SCRAP_EAF:2029|NS-NAGOYA:H2_DRI_EAF:2032|NS-SETOUCHI:SCRAP_EAF:2038</x:v>
      </x:c>
      <x:c r="V635" s="34" t="str">
        <x:v>model_generated_candidate</x:v>
      </x:c>
      <x:c r="W635" s="34" t="str">
        <x:v>Generated from disclosed-path facility calendar, technology set and template contracting assumptions; not a company-announced project</x:v>
      </x:c>
    </x:row>
    <x:row r="636">
      <x:c r="A636" s="34" t="str">
        <x:v>CAND-BC0B279455B40E</x:v>
      </x:c>
      <x:c r="B636" s="34" t="str">
        <x:v>NIPPON_STEEL_JP</x:v>
      </x:c>
      <x:c r="C636" s="34" t="str">
        <x:v>Nippon Steel</x:v>
      </x:c>
      <x:c r="D636" s="34" t="str">
        <x:v>P3</x:v>
      </x:c>
      <x:c r="E636" s="34" t="str">
        <x:v>균형형 라이트헤지</x:v>
      </x:c>
      <x:c r="F636" s="34" t="str">
        <x:v>PORT-5B51FD1C8E45</x:v>
      </x:c>
      <x:c r="G636" s="34" t="str">
        <x:v>DISCLOSED_PATH</x:v>
      </x:c>
      <x:c r="H636" s="34" t="n">
        <x:v>5</x:v>
      </x:c>
      <x:c r="I636" s="34" t="n">
        <x:v>2029</x:v>
      </x:c>
      <x:c r="J636" s="34" t="n">
        <x:v>2038</x:v>
      </x:c>
      <x:c r="K636" s="34" t="n">
        <x:v>0.179949</x:v>
      </x:c>
      <x:c r="L636" s="34" t="n">
        <x:v>0.257069</x:v>
      </x:c>
      <x:c r="M636" s="34" t="n">
        <x:v>0.562982</x:v>
      </x:c>
      <x:c r="N636" s="34" t="n">
        <x:v>0</x:v>
      </x:c>
      <x:c r="O636" s="34" t="n">
        <x:v>0.3</x:v>
      </x:c>
      <x:c r="P636" s="34" t="n">
        <x:v>0.25</x:v>
      </x:c>
      <x:c r="Q636" s="34" t="n">
        <x:v>0.35</x:v>
      </x:c>
      <x:c r="R636" s="34" t="n">
        <x:v>0.25</x:v>
      </x:c>
      <x:c r="S636" s="34" t="n">
        <x:v>0.015</x:v>
      </x:c>
      <x:c r="T636" s="34" t="n">
        <x:v>378.568975</x:v>
      </x:c>
      <x:c r="U636" s="34" t="str">
        <x:v>NS-EAST:H2_DRI_EAF:2034|NS-KANSAI:H2_DRI_EAF:2036|NS-KYUSHU:SCRAP_EAF:2029|NS-NAGOYA:BF_RELINE:2032|NS-SETOUCHI:H2_DRI_EAF:2038</x:v>
      </x:c>
      <x:c r="V636" s="34" t="str">
        <x:v>model_generated_candidate</x:v>
      </x:c>
      <x:c r="W636" s="34" t="str">
        <x:v>Generated from disclosed-path facility calendar, technology set and template contracting assumptions; not a company-announced project</x:v>
      </x:c>
    </x:row>
    <x:row r="637">
      <x:c r="A637" s="34" t="str">
        <x:v>CAND-BC42DD172ADB32</x:v>
      </x:c>
      <x:c r="B637" s="34" t="str">
        <x:v>NIPPON_STEEL_JP</x:v>
      </x:c>
      <x:c r="C637" s="34" t="str">
        <x:v>Nippon Steel</x:v>
      </x:c>
      <x:c r="D637" s="34" t="str">
        <x:v>P2</x:v>
      </x:c>
      <x:c r="E637" s="34" t="str">
        <x:v>지연·부분헤지</x:v>
      </x:c>
      <x:c r="F637" s="34" t="str">
        <x:v>PORT-FA425C592A46</x:v>
      </x:c>
      <x:c r="G637" s="34" t="str">
        <x:v>DISCLOSED_PATH</x:v>
      </x:c>
      <x:c r="H637" s="34" t="n">
        <x:v>5</x:v>
      </x:c>
      <x:c r="I637" s="34" t="n">
        <x:v>2029</x:v>
      </x:c>
      <x:c r="J637" s="34" t="n">
        <x:v>2038</x:v>
      </x:c>
      <x:c r="K637" s="34" t="n">
        <x:v>0.179949</x:v>
      </x:c>
      <x:c r="L637" s="34" t="n">
        <x:v>0</x:v>
      </x:c>
      <x:c r="M637" s="34" t="n">
        <x:v>0.820051</x:v>
      </x:c>
      <x:c r="N637" s="34" t="n">
        <x:v>0</x:v>
      </x:c>
      <x:c r="O637" s="34" t="n">
        <x:v>0.15</x:v>
      </x:c>
      <x:c r="P637" s="34" t="n">
        <x:v>0.1</x:v>
      </x:c>
      <x:c r="Q637" s="34" t="n">
        <x:v>0.2</x:v>
      </x:c>
      <x:c r="R637" s="34" t="n">
        <x:v>0.1</x:v>
      </x:c>
      <x:c r="S637" s="34" t="n">
        <x:v>0.01</x:v>
      </x:c>
      <x:c r="T637" s="34" t="n">
        <x:v>405.568975</x:v>
      </x:c>
      <x:c r="U637" s="34" t="str">
        <x:v>NS-EAST:H2_DRI_EAF:2034|NS-KANSAI:H2_DRI_EAF:2036|NS-KYUSHU:H2_DRI_EAF:2029|NS-NAGOYA:BF_RELINE:2032|NS-SETOUCHI:H2_DRI_EAF:2038</x:v>
      </x:c>
      <x:c r="V637" s="34" t="str">
        <x:v>model_generated_candidate</x:v>
      </x:c>
      <x:c r="W637" s="34" t="str">
        <x:v>Generated from disclosed-path facility calendar, technology set and template contracting assumptions; not a company-announced project</x:v>
      </x:c>
    </x:row>
    <x:row r="638">
      <x:c r="A638" s="34" t="str">
        <x:v>CAND-BCE0067D428D60</x:v>
      </x:c>
      <x:c r="B638" s="34" t="str">
        <x:v>NIPPON_STEEL_JP</x:v>
      </x:c>
      <x:c r="C638" s="34" t="str">
        <x:v>Nippon Steel</x:v>
      </x:c>
      <x:c r="D638" s="34" t="str">
        <x:v>P2</x:v>
      </x:c>
      <x:c r="E638" s="34" t="str">
        <x:v>지연·부분헤지</x:v>
      </x:c>
      <x:c r="F638" s="34" t="str">
        <x:v>PORT-00B029BF7478</x:v>
      </x:c>
      <x:c r="G638" s="34" t="str">
        <x:v>DISCLOSED_PATH</x:v>
      </x:c>
      <x:c r="H638" s="34" t="n">
        <x:v>5</x:v>
      </x:c>
      <x:c r="I638" s="34" t="n">
        <x:v>2029</x:v>
      </x:c>
      <x:c r="J638" s="34" t="n">
        <x:v>2038</x:v>
      </x:c>
      <x:c r="K638" s="34" t="n">
        <x:v>0</x:v>
      </x:c>
      <x:c r="L638" s="34" t="n">
        <x:v>0.437018</x:v>
      </x:c>
      <x:c r="M638" s="34" t="n">
        <x:v>0.562982</x:v>
      </x:c>
      <x:c r="N638" s="34" t="n">
        <x:v>0</x:v>
      </x:c>
      <x:c r="O638" s="34" t="n">
        <x:v>0.15</x:v>
      </x:c>
      <x:c r="P638" s="34" t="n">
        <x:v>0.1</x:v>
      </x:c>
      <x:c r="Q638" s="34" t="n">
        <x:v>0.2</x:v>
      </x:c>
      <x:c r="R638" s="34" t="n">
        <x:v>0.1</x:v>
      </x:c>
      <x:c r="S638" s="34" t="n">
        <x:v>0.01</x:v>
      </x:c>
      <x:c r="T638" s="34" t="n">
        <x:v>459.478949</x:v>
      </x:c>
      <x:c r="U638" s="34" t="str">
        <x:v>NS-EAST:H2_DRI_EAF:2034|NS-KANSAI:H2_DRI_EAF:2036|NS-KYUSHU:SCRAP_EAF:2029|NS-NAGOYA:SCRAP_EAF:2032|NS-SETOUCHI:H2_DRI_EAF:2038</x:v>
      </x:c>
      <x:c r="V638" s="34" t="str">
        <x:v>model_generated_candidate</x:v>
      </x:c>
      <x:c r="W638" s="34" t="str">
        <x:v>Generated from disclosed-path facility calendar, technology set and template contracting assumptions; not a company-announced project</x:v>
      </x:c>
    </x:row>
    <x:row r="639">
      <x:c r="A639" s="34" t="str">
        <x:v>CAND-BDA487FCE431A0</x:v>
      </x:c>
      <x:c r="B639" s="34" t="str">
        <x:v>NIPPON_STEEL_JP</x:v>
      </x:c>
      <x:c r="C639" s="34" t="str">
        <x:v>Nippon Steel</x:v>
      </x:c>
      <x:c r="D639" s="34" t="str">
        <x:v>P1</x:v>
      </x:c>
      <x:c r="E639" s="34" t="str">
        <x:v>지연·현물조달</x:v>
      </x:c>
      <x:c r="F639" s="34" t="str">
        <x:v>PORT-758CC6172A3B</x:v>
      </x:c>
      <x:c r="G639" s="34" t="str">
        <x:v>DISCLOSED_PATH</x:v>
      </x:c>
      <x:c r="H639" s="34" t="n">
        <x:v>5</x:v>
      </x:c>
      <x:c r="I639" s="34" t="n">
        <x:v>2029</x:v>
      </x:c>
      <x:c r="J639" s="34" t="n">
        <x:v>2038</x:v>
      </x:c>
      <x:c r="K639" s="34" t="n">
        <x:v>0.550129</x:v>
      </x:c>
      <x:c r="L639" s="34" t="n">
        <x:v>0.192802</x:v>
      </x:c>
      <x:c r="M639" s="34" t="n">
        <x:v>0.257069</x:v>
      </x:c>
      <x:c r="N639" s="34" t="n">
        <x:v>0</x:v>
      </x:c>
      <x:c r="O639" s="34" t="n">
        <x:v>0</x:v>
      </x:c>
      <x:c r="P639" s="34" t="n">
        <x:v>0</x:v>
      </x:c>
      <x:c r="Q639" s="34" t="n">
        <x:v>0.1</x:v>
      </x:c>
      <x:c r="R639" s="34" t="n">
        <x:v>0</x:v>
      </x:c>
      <x:c r="S639" s="34" t="n">
        <x:v>0</x:v>
      </x:c>
      <x:c r="T639" s="34" t="n">
        <x:v>267.563958</x:v>
      </x:c>
      <x:c r="U639" s="34" t="str">
        <x:v>NS-EAST:BF_RELINE:2034|NS-KANSAI:BF_RELINE:2036|NS-KYUSHU:H2_DRI_EAF:2029|NS-NAGOYA:BF_RELINE:2032|NS-SETOUCHI:SCRAP_EAF:2038</x:v>
      </x:c>
      <x:c r="V639" s="34" t="str">
        <x:v>model_generated_candidate</x:v>
      </x:c>
      <x:c r="W639" s="34" t="str">
        <x:v>Generated from disclosed-path facility calendar, technology set and template contracting assumptions; not a company-announced project</x:v>
      </x:c>
    </x:row>
    <x:row r="640">
      <x:c r="A640" s="34" t="str">
        <x:v>CAND-BDCAFAFC1E4CE3</x:v>
      </x:c>
      <x:c r="B640" s="34" t="str">
        <x:v>NIPPON_STEEL_JP</x:v>
      </x:c>
      <x:c r="C640" s="34" t="str">
        <x:v>Nippon Steel</x:v>
      </x:c>
      <x:c r="D640" s="34" t="str">
        <x:v>P1</x:v>
      </x:c>
      <x:c r="E640" s="34" t="str">
        <x:v>지연·현물조달</x:v>
      </x:c>
      <x:c r="F640" s="34" t="str">
        <x:v>PORT-EDF18767D12A</x:v>
      </x:c>
      <x:c r="G640" s="34" t="str">
        <x:v>DISCLOSED_PATH</x:v>
      </x:c>
      <x:c r="H640" s="34" t="n">
        <x:v>5</x:v>
      </x:c>
      <x:c r="I640" s="34" t="n">
        <x:v>2029</x:v>
      </x:c>
      <x:c r="J640" s="34" t="n">
        <x:v>2038</x:v>
      </x:c>
      <x:c r="K640" s="34" t="n">
        <x:v>0.179949</x:v>
      </x:c>
      <x:c r="L640" s="34" t="n">
        <x:v>0.161954</x:v>
      </x:c>
      <x:c r="M640" s="34" t="n">
        <x:v>0.658098</x:v>
      </x:c>
      <x:c r="N640" s="34" t="n">
        <x:v>0</x:v>
      </x:c>
      <x:c r="O640" s="34" t="n">
        <x:v>0</x:v>
      </x:c>
      <x:c r="P640" s="34" t="n">
        <x:v>0</x:v>
      </x:c>
      <x:c r="Q640" s="34" t="n">
        <x:v>0.1</x:v>
      </x:c>
      <x:c r="R640" s="34" t="n">
        <x:v>0</x:v>
      </x:c>
      <x:c r="S640" s="34" t="n">
        <x:v>0</x:v>
      </x:c>
      <x:c r="T640" s="34" t="n">
        <x:v>398.568974</x:v>
      </x:c>
      <x:c r="U640" s="34" t="str">
        <x:v>NS-EAST:H2_DRI_EAF:2034|NS-KANSAI:SCRAP_EAF:2036|NS-KYUSHU:H2_DRI_EAF:2029|NS-NAGOYA:BF_RELINE:2032|NS-SETOUCHI:H2_DRI_EAF:2038</x:v>
      </x:c>
      <x:c r="V640" s="34" t="str">
        <x:v>model_generated_candidate</x:v>
      </x:c>
      <x:c r="W640" s="34" t="str">
        <x:v>Generated from disclosed-path facility calendar, technology set and template contracting assumptions; not a company-announced project</x:v>
      </x:c>
    </x:row>
    <x:row r="641">
      <x:c r="A641" s="34" t="str">
        <x:v>CAND-BE3632C0C6EBCB</x:v>
      </x:c>
      <x:c r="B641" s="34" t="str">
        <x:v>NIPPON_STEEL_JP</x:v>
      </x:c>
      <x:c r="C641" s="34" t="str">
        <x:v>Nippon Steel</x:v>
      </x:c>
      <x:c r="D641" s="34" t="str">
        <x:v>P1</x:v>
      </x:c>
      <x:c r="E641" s="34" t="str">
        <x:v>지연·현물조달</x:v>
      </x:c>
      <x:c r="F641" s="34" t="str">
        <x:v>PORT-28AC80454322</x:v>
      </x:c>
      <x:c r="G641" s="34" t="str">
        <x:v>DISCLOSED_PATH</x:v>
      </x:c>
      <x:c r="H641" s="34" t="n">
        <x:v>5</x:v>
      </x:c>
      <x:c r="I641" s="34" t="n">
        <x:v>2029</x:v>
      </x:c>
      <x:c r="J641" s="34" t="n">
        <x:v>2038</x:v>
      </x:c>
      <x:c r="K641" s="34" t="n">
        <x:v>0</x:v>
      </x:c>
      <x:c r="L641" s="34" t="n">
        <x:v>0.820051</x:v>
      </x:c>
      <x:c r="M641" s="34" t="n">
        <x:v>0.179949</x:v>
      </x:c>
      <x:c r="N641" s="34" t="n">
        <x:v>0</x:v>
      </x:c>
      <x:c r="O641" s="34" t="n">
        <x:v>0</x:v>
      </x:c>
      <x:c r="P641" s="34" t="n">
        <x:v>0</x:v>
      </x:c>
      <x:c r="Q641" s="34" t="n">
        <x:v>0.1</x:v>
      </x:c>
      <x:c r="R641" s="34" t="n">
        <x:v>0</x:v>
      </x:c>
      <x:c r="S641" s="34" t="n">
        <x:v>0</x:v>
      </x:c>
      <x:c r="T641" s="34" t="n">
        <x:v>449.103942</x:v>
      </x:c>
      <x:c r="U641" s="34" t="str">
        <x:v>NS-EAST:SCRAP_EAF:2034|NS-KANSAI:SCRAP_EAF:2036|NS-KYUSHU:SCRAP_EAF:2029|NS-NAGOYA:H2_DRI_EAF:2032|NS-SETOUCHI:SCRAP_EAF:2038</x:v>
      </x:c>
      <x:c r="V641" s="34" t="str">
        <x:v>model_generated_candidate</x:v>
      </x:c>
      <x:c r="W641" s="34" t="str">
        <x:v>Generated from disclosed-path facility calendar, technology set and template contracting assumptions; not a company-announced project</x:v>
      </x:c>
    </x:row>
    <x:row r="642">
      <x:c r="A642" s="34" t="str">
        <x:v>CAND-BE3879CC8080F8</x:v>
      </x:c>
      <x:c r="B642" s="34" t="str">
        <x:v>NIPPON_STEEL_JP</x:v>
      </x:c>
      <x:c r="C642" s="34" t="str">
        <x:v>Nippon Steel</x:v>
      </x:c>
      <x:c r="D642" s="34" t="str">
        <x:v>P1</x:v>
      </x:c>
      <x:c r="E642" s="34" t="str">
        <x:v>지연·현물조달</x:v>
      </x:c>
      <x:c r="F642" s="34" t="str">
        <x:v>PORT-50B180B4FF71</x:v>
      </x:c>
      <x:c r="G642" s="34" t="str">
        <x:v>DISCLOSED_PATH</x:v>
      </x:c>
      <x:c r="H642" s="34" t="n">
        <x:v>5</x:v>
      </x:c>
      <x:c r="I642" s="34" t="n">
        <x:v>2029</x:v>
      </x:c>
      <x:c r="J642" s="34" t="n">
        <x:v>2038</x:v>
      </x:c>
      <x:c r="K642" s="34" t="n">
        <x:v>0.419023</x:v>
      </x:c>
      <x:c r="L642" s="34" t="n">
        <x:v>0.372751</x:v>
      </x:c>
      <x:c r="M642" s="34" t="n">
        <x:v>0.208226</x:v>
      </x:c>
      <x:c r="N642" s="34" t="n">
        <x:v>0</x:v>
      </x:c>
      <x:c r="O642" s="34" t="n">
        <x:v>0</x:v>
      </x:c>
      <x:c r="P642" s="34" t="n">
        <x:v>0</x:v>
      </x:c>
      <x:c r="Q642" s="34" t="n">
        <x:v>0.1</x:v>
      </x:c>
      <x:c r="R642" s="34" t="n">
        <x:v>0</x:v>
      </x:c>
      <x:c r="S642" s="34" t="n">
        <x:v>0</x:v>
      </x:c>
      <x:c r="T642" s="34" t="n">
        <x:v>250.553943</x:v>
      </x:c>
      <x:c r="U642" s="34" t="str">
        <x:v>NS-EAST:H2_DRI_EAF:2034|NS-KANSAI:BF_RELINE:2036|NS-KYUSHU:BF_RELINE:2029|NS-NAGOYA:SCRAP_EAF:2032|NS-SETOUCHI:SCRAP_EAF:2038</x:v>
      </x:c>
      <x:c r="V642" s="34" t="str">
        <x:v>model_generated_candidate</x:v>
      </x:c>
      <x:c r="W642" s="34" t="str">
        <x:v>Generated from disclosed-path facility calendar, technology set and template contracting assumptions; not a company-announced project</x:v>
      </x:c>
    </x:row>
    <x:row r="643">
      <x:c r="A643" s="34" t="str">
        <x:v>CAND-BE3894F3D5B5BC</x:v>
      </x:c>
      <x:c r="B643" s="34" t="str">
        <x:v>NIPPON_STEEL_JP</x:v>
      </x:c>
      <x:c r="C643" s="34" t="str">
        <x:v>Nippon Steel</x:v>
      </x:c>
      <x:c r="D643" s="34" t="str">
        <x:v>P2</x:v>
      </x:c>
      <x:c r="E643" s="34" t="str">
        <x:v>지연·부분헤지</x:v>
      </x:c>
      <x:c r="F643" s="34" t="str">
        <x:v>PORT-1ADC37BD5A8C</x:v>
      </x:c>
      <x:c r="G643" s="34" t="str">
        <x:v>DISCLOSED_PATH</x:v>
      </x:c>
      <x:c r="H643" s="34" t="n">
        <x:v>5</x:v>
      </x:c>
      <x:c r="I643" s="34" t="n">
        <x:v>2029</x:v>
      </x:c>
      <x:c r="J643" s="34" t="n">
        <x:v>2038</x:v>
      </x:c>
      <x:c r="K643" s="34" t="n">
        <x:v>0.179949</x:v>
      </x:c>
      <x:c r="L643" s="34" t="n">
        <x:v>0.419023</x:v>
      </x:c>
      <x:c r="M643" s="34" t="n">
        <x:v>0.401028</x:v>
      </x:c>
      <x:c r="N643" s="34" t="n">
        <x:v>0</x:v>
      </x:c>
      <x:c r="O643" s="34" t="n">
        <x:v>0.15</x:v>
      </x:c>
      <x:c r="P643" s="34" t="n">
        <x:v>0.1</x:v>
      </x:c>
      <x:c r="Q643" s="34" t="n">
        <x:v>0.2</x:v>
      </x:c>
      <x:c r="R643" s="34" t="n">
        <x:v>0.1</x:v>
      </x:c>
      <x:c r="S643" s="34" t="n">
        <x:v>0.01</x:v>
      </x:c>
      <x:c r="T643" s="34" t="n">
        <x:v>371.568974</x:v>
      </x:c>
      <x:c r="U643" s="34" t="str">
        <x:v>NS-EAST:H2_DRI_EAF:2034|NS-KANSAI:SCRAP_EAF:2036|NS-KYUSHU:SCRAP_EAF:2029|NS-NAGOYA:BF_RELINE:2032|NS-SETOUCHI:H2_DRI_EAF:2038</x:v>
      </x:c>
      <x:c r="V643" s="34" t="str">
        <x:v>model_generated_candidate</x:v>
      </x:c>
      <x:c r="W643" s="34" t="str">
        <x:v>Generated from disclosed-path facility calendar, technology set and template contracting assumptions; not a company-announced project</x:v>
      </x:c>
    </x:row>
    <x:row r="644">
      <x:c r="A644" s="34" t="str">
        <x:v>CAND-BF06102F6003FE</x:v>
      </x:c>
      <x:c r="B644" s="34" t="str">
        <x:v>NIPPON_STEEL_JP</x:v>
      </x:c>
      <x:c r="C644" s="34" t="str">
        <x:v>Nippon Steel</x:v>
      </x:c>
      <x:c r="D644" s="34" t="str">
        <x:v>P2</x:v>
      </x:c>
      <x:c r="E644" s="34" t="str">
        <x:v>지연·부분헤지</x:v>
      </x:c>
      <x:c r="F644" s="34" t="str">
        <x:v>PORT-7CA9F3BA0776</x:v>
      </x:c>
      <x:c r="G644" s="34" t="str">
        <x:v>DISCLOSED_PATH</x:v>
      </x:c>
      <x:c r="H644" s="34" t="n">
        <x:v>5</x:v>
      </x:c>
      <x:c r="I644" s="34" t="n">
        <x:v>2029</x:v>
      </x:c>
      <x:c r="J644" s="34" t="n">
        <x:v>2038</x:v>
      </x:c>
      <x:c r="K644" s="34" t="n">
        <x:v>0</x:v>
      </x:c>
      <x:c r="L644" s="34" t="n">
        <x:v>0.257069</x:v>
      </x:c>
      <x:c r="M644" s="34" t="n">
        <x:v>0.742931</x:v>
      </x:c>
      <x:c r="N644" s="34" t="n">
        <x:v>0</x:v>
      </x:c>
      <x:c r="O644" s="34" t="n">
        <x:v>0.15</x:v>
      </x:c>
      <x:c r="P644" s="34" t="n">
        <x:v>0.1</x:v>
      </x:c>
      <x:c r="Q644" s="34" t="n">
        <x:v>0.2</x:v>
      </x:c>
      <x:c r="R644" s="34" t="n">
        <x:v>0.1</x:v>
      </x:c>
      <x:c r="S644" s="34" t="n">
        <x:v>0.01</x:v>
      </x:c>
      <x:c r="T644" s="34" t="n">
        <x:v>473.428944</x:v>
      </x:c>
      <x:c r="U644" s="34" t="str">
        <x:v>NS-EAST:H2_DRI_EAF:2034|NS-KANSAI:H2_DRI_EAF:2036|NS-KYUSHU:SCRAP_EAF:2029|NS-NAGOYA:H2_DRI_EAF:2032|NS-SETOUCHI:H2_DRI_EAF:2038</x:v>
      </x:c>
      <x:c r="V644" s="34" t="str">
        <x:v>model_generated_candidate</x:v>
      </x:c>
      <x:c r="W644" s="34" t="str">
        <x:v>Generated from disclosed-path facility calendar, technology set and template contracting assumptions; not a company-announced project</x:v>
      </x:c>
    </x:row>
    <x:row r="645">
      <x:c r="A645" s="34" t="str">
        <x:v>CAND-BF076556907246</x:v>
      </x:c>
      <x:c r="B645" s="34" t="str">
        <x:v>NIPPON_STEEL_JP</x:v>
      </x:c>
      <x:c r="C645" s="34" t="str">
        <x:v>Nippon Steel</x:v>
      </x:c>
      <x:c r="D645" s="34" t="str">
        <x:v>P1</x:v>
      </x:c>
      <x:c r="E645" s="34" t="str">
        <x:v>지연·현물조달</x:v>
      </x:c>
      <x:c r="F645" s="34" t="str">
        <x:v>PORT-10D90F59290D</x:v>
      </x:c>
      <x:c r="G645" s="34" t="str">
        <x:v>DISCLOSED_PATH</x:v>
      </x:c>
      <x:c r="H645" s="34" t="n">
        <x:v>5</x:v>
      </x:c>
      <x:c r="I645" s="34" t="n">
        <x:v>2029</x:v>
      </x:c>
      <x:c r="J645" s="34" t="n">
        <x:v>2038</x:v>
      </x:c>
      <x:c r="K645" s="34" t="n">
        <x:v>0.179949</x:v>
      </x:c>
      <x:c r="L645" s="34" t="n">
        <x:v>0.658098</x:v>
      </x:c>
      <x:c r="M645" s="34" t="n">
        <x:v>0.161954</x:v>
      </x:c>
      <x:c r="N645" s="34" t="n">
        <x:v>0</x:v>
      </x:c>
      <x:c r="O645" s="34" t="n">
        <x:v>0</x:v>
      </x:c>
      <x:c r="P645" s="34" t="n">
        <x:v>0</x:v>
      </x:c>
      <x:c r="Q645" s="34" t="n">
        <x:v>0.1</x:v>
      </x:c>
      <x:c r="R645" s="34" t="n">
        <x:v>0</x:v>
      </x:c>
      <x:c r="S645" s="34" t="n">
        <x:v>0</x:v>
      </x:c>
      <x:c r="T645" s="34" t="n">
        <x:v>361.243973</x:v>
      </x:c>
      <x:c r="U645" s="34" t="str">
        <x:v>NS-EAST:SCRAP_EAF:2034|NS-KANSAI:H2_DRI_EAF:2036|NS-KYUSHU:SCRAP_EAF:2029|NS-NAGOYA:BF_RELINE:2032|NS-SETOUCHI:SCRAP_EAF:2038</x:v>
      </x:c>
      <x:c r="V645" s="34" t="str">
        <x:v>model_generated_candidate</x:v>
      </x:c>
      <x:c r="W645" s="34" t="str">
        <x:v>Generated from disclosed-path facility calendar, technology set and template contracting assumptions; not a company-announced project</x:v>
      </x:c>
    </x:row>
    <x:row r="646">
      <x:c r="A646" s="34" t="str">
        <x:v>CAND-BF16A3590E16EF</x:v>
      </x:c>
      <x:c r="B646" s="34" t="str">
        <x:v>NIPPON_STEEL_JP</x:v>
      </x:c>
      <x:c r="C646" s="34" t="str">
        <x:v>Nippon Steel</x:v>
      </x:c>
      <x:c r="D646" s="34" t="str">
        <x:v>P2</x:v>
      </x:c>
      <x:c r="E646" s="34" t="str">
        <x:v>지연·부분헤지</x:v>
      </x:c>
      <x:c r="F646" s="34" t="str">
        <x:v>PORT-14886F58C0A6</x:v>
      </x:c>
      <x:c r="G646" s="34" t="str">
        <x:v>DISCLOSED_PATH</x:v>
      </x:c>
      <x:c r="H646" s="34" t="n">
        <x:v>5</x:v>
      </x:c>
      <x:c r="I646" s="34" t="n">
        <x:v>2029</x:v>
      </x:c>
      <x:c r="J646" s="34" t="n">
        <x:v>2038</x:v>
      </x:c>
      <x:c r="K646" s="34" t="n">
        <x:v>0</x:v>
      </x:c>
      <x:c r="L646" s="34" t="n">
        <x:v>0.742931</x:v>
      </x:c>
      <x:c r="M646" s="34" t="n">
        <x:v>0.257069</x:v>
      </x:c>
      <x:c r="N646" s="34" t="n">
        <x:v>0</x:v>
      </x:c>
      <x:c r="O646" s="34" t="n">
        <x:v>0.15</x:v>
      </x:c>
      <x:c r="P646" s="34" t="n">
        <x:v>0.1</x:v>
      </x:c>
      <x:c r="Q646" s="34" t="n">
        <x:v>0.2</x:v>
      </x:c>
      <x:c r="R646" s="34" t="n">
        <x:v>0.1</x:v>
      </x:c>
      <x:c r="S646" s="34" t="n">
        <x:v>0.01</x:v>
      </x:c>
      <x:c r="T646" s="34" t="n">
        <x:v>462.153946</x:v>
      </x:c>
      <x:c r="U646" s="34" t="str">
        <x:v>NS-EAST:SCRAP_EAF:2034|NS-KANSAI:SCRAP_EAF:2036|NS-KYUSHU:H2_DRI_EAF:2029|NS-NAGOYA:SCRAP_EAF:2032|NS-SETOUCHI:SCRAP_EAF:2038</x:v>
      </x:c>
      <x:c r="V646" s="34" t="str">
        <x:v>model_generated_candidate</x:v>
      </x:c>
      <x:c r="W646" s="34" t="str">
        <x:v>Generated from disclosed-path facility calendar, technology set and template contracting assumptions; not a company-announced project</x:v>
      </x:c>
    </x:row>
    <x:row r="647">
      <x:c r="A647" s="34" t="str">
        <x:v>CAND-BF602A48F46F29</x:v>
      </x:c>
      <x:c r="B647" s="34" t="str">
        <x:v>NIPPON_STEEL_JP</x:v>
      </x:c>
      <x:c r="C647" s="34" t="str">
        <x:v>Nippon Steel</x:v>
      </x:c>
      <x:c r="D647" s="34" t="str">
        <x:v>P3</x:v>
      </x:c>
      <x:c r="E647" s="34" t="str">
        <x:v>균형형 라이트헤지</x:v>
      </x:c>
      <x:c r="F647" s="34" t="str">
        <x:v>PORT-E014E041276B</x:v>
      </x:c>
      <x:c r="G647" s="34" t="str">
        <x:v>DISCLOSED_PATH</x:v>
      </x:c>
      <x:c r="H647" s="34" t="n">
        <x:v>5</x:v>
      </x:c>
      <x:c r="I647" s="34" t="n">
        <x:v>2029</x:v>
      </x:c>
      <x:c r="J647" s="34" t="n">
        <x:v>2038</x:v>
      </x:c>
      <x:c r="K647" s="34" t="n">
        <x:v>0.161954</x:v>
      </x:c>
      <x:c r="L647" s="34" t="n">
        <x:v>0.401028</x:v>
      </x:c>
      <x:c r="M647" s="34" t="n">
        <x:v>0.437018</x:v>
      </x:c>
      <x:c r="N647" s="34" t="n">
        <x:v>0</x:v>
      </x:c>
      <x:c r="O647" s="34" t="n">
        <x:v>0.3</x:v>
      </x:c>
      <x:c r="P647" s="34" t="n">
        <x:v>0.25</x:v>
      </x:c>
      <x:c r="Q647" s="34" t="n">
        <x:v>0.35</x:v>
      </x:c>
      <x:c r="R647" s="34" t="n">
        <x:v>0.25</x:v>
      </x:c>
      <x:c r="S647" s="34" t="n">
        <x:v>0.015</x:v>
      </x:c>
      <x:c r="T647" s="34" t="n">
        <x:v>435.503937</x:v>
      </x:c>
      <x:c r="U647" s="34" t="str">
        <x:v>NS-EAST:SCRAP_EAF:2034|NS-KANSAI:BF_RELINE:2036|NS-KYUSHU:H2_DRI_EAF:2029|NS-NAGOYA:H2_DRI_EAF:2032|NS-SETOUCHI:SCRAP_EAF:2038</x:v>
      </x:c>
      <x:c r="V647" s="34" t="str">
        <x:v>model_generated_candidate</x:v>
      </x:c>
      <x:c r="W647" s="34" t="str">
        <x:v>Generated from disclosed-path facility calendar, technology set and template contracting assumptions; not a company-announced project</x:v>
      </x:c>
    </x:row>
    <x:row r="648">
      <x:c r="A648" s="34" t="str">
        <x:v>CAND-BF90445532E948</x:v>
      </x:c>
      <x:c r="B648" s="34" t="str">
        <x:v>NIPPON_STEEL_JP</x:v>
      </x:c>
      <x:c r="C648" s="34" t="str">
        <x:v>Nippon Steel</x:v>
      </x:c>
      <x:c r="D648" s="34" t="str">
        <x:v>P1</x:v>
      </x:c>
      <x:c r="E648" s="34" t="str">
        <x:v>지연·현물조달</x:v>
      </x:c>
      <x:c r="F648" s="34" t="str">
        <x:v>PORT-38535C2DEC41</x:v>
      </x:c>
      <x:c r="G648" s="34" t="str">
        <x:v>DISCLOSED_PATH</x:v>
      </x:c>
      <x:c r="H648" s="34" t="n">
        <x:v>5</x:v>
      </x:c>
      <x:c r="I648" s="34" t="n">
        <x:v>2029</x:v>
      </x:c>
      <x:c r="J648" s="34" t="n">
        <x:v>2038</x:v>
      </x:c>
      <x:c r="K648" s="34" t="n">
        <x:v>0.341902</x:v>
      </x:c>
      <x:c r="L648" s="34" t="n">
        <x:v>0.192802</x:v>
      </x:c>
      <x:c r="M648" s="34" t="n">
        <x:v>0.465296</x:v>
      </x:c>
      <x:c r="N648" s="34" t="n">
        <x:v>0</x:v>
      </x:c>
      <x:c r="O648" s="34" t="n">
        <x:v>0</x:v>
      </x:c>
      <x:c r="P648" s="34" t="n">
        <x:v>0</x:v>
      </x:c>
      <x:c r="Q648" s="34" t="n">
        <x:v>0.1</x:v>
      </x:c>
      <x:c r="R648" s="34" t="n">
        <x:v>0</x:v>
      </x:c>
      <x:c r="S648" s="34" t="n">
        <x:v>0</x:v>
      </x:c>
      <x:c r="T648" s="34" t="n">
        <x:v>353.243969</x:v>
      </x:c>
      <x:c r="U648" s="34" t="str">
        <x:v>NS-EAST:H2_DRI_EAF:2034|NS-KANSAI:BF_RELINE:2036|NS-KYUSHU:H2_DRI_EAF:2029|NS-NAGOYA:BF_RELINE:2032|NS-SETOUCHI:SCRAP_EAF:2038</x:v>
      </x:c>
      <x:c r="V648" s="34" t="str">
        <x:v>model_generated_candidate</x:v>
      </x:c>
      <x:c r="W648" s="34" t="str">
        <x:v>Generated from disclosed-path facility calendar, technology set and template contracting assumptions; not a company-announced project</x:v>
      </x:c>
    </x:row>
    <x:row r="649">
      <x:c r="A649" s="34" t="str">
        <x:v>CAND-BFCA8EC0DB9E2E</x:v>
      </x:c>
      <x:c r="B649" s="34" t="str">
        <x:v>NIPPON_STEEL_JP</x:v>
      </x:c>
      <x:c r="C649" s="34" t="str">
        <x:v>Nippon Steel</x:v>
      </x:c>
      <x:c r="D649" s="34" t="str">
        <x:v>P3</x:v>
      </x:c>
      <x:c r="E649" s="34" t="str">
        <x:v>균형형 라이트헤지</x:v>
      </x:c>
      <x:c r="F649" s="34" t="str">
        <x:v>PORT-11E9ABA45603</x:v>
      </x:c>
      <x:c r="G649" s="34" t="str">
        <x:v>DISCLOSED_PATH</x:v>
      </x:c>
      <x:c r="H649" s="34" t="n">
        <x:v>5</x:v>
      </x:c>
      <x:c r="I649" s="34" t="n">
        <x:v>2029</x:v>
      </x:c>
      <x:c r="J649" s="34" t="n">
        <x:v>2038</x:v>
      </x:c>
      <x:c r="K649" s="34" t="n">
        <x:v>0.372751</x:v>
      </x:c>
      <x:c r="L649" s="34" t="n">
        <x:v>0</x:v>
      </x:c>
      <x:c r="M649" s="34" t="n">
        <x:v>0.627249</x:v>
      </x:c>
      <x:c r="N649" s="34" t="n">
        <x:v>0</x:v>
      </x:c>
      <x:c r="O649" s="34" t="n">
        <x:v>0.3</x:v>
      </x:c>
      <x:c r="P649" s="34" t="n">
        <x:v>0.25</x:v>
      </x:c>
      <x:c r="Q649" s="34" t="n">
        <x:v>0.35</x:v>
      </x:c>
      <x:c r="R649" s="34" t="n">
        <x:v>0.25</x:v>
      </x:c>
      <x:c r="S649" s="34" t="n">
        <x:v>0.015</x:v>
      </x:c>
      <x:c r="T649" s="34" t="n">
        <x:v>373.438975</x:v>
      </x:c>
      <x:c r="U649" s="34" t="str">
        <x:v>NS-EAST:H2_DRI_EAF:2034|NS-KANSAI:H2_DRI_EAF:2036|NS-KYUSHU:H2_DRI_EAF:2029|NS-NAGOYA:BF_RELINE:2032|NS-SETOUCHI:BF_RELINE:2038</x:v>
      </x:c>
      <x:c r="V649" s="34" t="str">
        <x:v>model_generated_candidate</x:v>
      </x:c>
      <x:c r="W649" s="34" t="str">
        <x:v>Generated from disclosed-path facility calendar, technology set and template contracting assumptions; not a company-announced project</x:v>
      </x:c>
    </x:row>
    <x:row r="650">
      <x:c r="A650" s="34" t="str">
        <x:v>CAND-C0D18F1D665314</x:v>
      </x:c>
      <x:c r="B650" s="34" t="str">
        <x:v>NIPPON_STEEL_JP</x:v>
      </x:c>
      <x:c r="C650" s="34" t="str">
        <x:v>Nippon Steel</x:v>
      </x:c>
      <x:c r="D650" s="34" t="str">
        <x:v>P6</x:v>
      </x:c>
      <x:c r="E650" s="34" t="str">
        <x:v>조기 고헤지</x:v>
      </x:c>
      <x:c r="F650" s="34" t="str">
        <x:v>PORT-C284643AC153</x:v>
      </x:c>
      <x:c r="G650" s="34" t="str">
        <x:v>DISCLOSED_PATH</x:v>
      </x:c>
      <x:c r="H650" s="34" t="n">
        <x:v>5</x:v>
      </x:c>
      <x:c r="I650" s="34" t="n">
        <x:v>2028</x:v>
      </x:c>
      <x:c r="J650" s="34" t="n">
        <x:v>2036</x:v>
      </x:c>
      <x:c r="K650" s="34" t="n">
        <x:v>0</x:v>
      </x:c>
      <x:c r="L650" s="34" t="n">
        <x:v>0</x:v>
      </x:c>
      <x:c r="M650" s="34" t="n">
        <x:v>1</x:v>
      </x:c>
      <x:c r="N650" s="34" t="n">
        <x:v>0</x:v>
      </x:c>
      <x:c r="O650" s="34" t="n">
        <x:v>0.9</x:v>
      </x:c>
      <x:c r="P650" s="34" t="n">
        <x:v>0.85</x:v>
      </x:c>
      <x:c r="Q650" s="34" t="n">
        <x:v>0.85</x:v>
      </x:c>
      <x:c r="R650" s="34" t="n">
        <x:v>0.8</x:v>
      </x:c>
      <x:c r="S650" s="34" t="n">
        <x:v>0.035</x:v>
      </x:c>
      <x:c r="T650" s="34" t="n">
        <x:v>614.659375</x:v>
      </x:c>
      <x:c r="U650" s="34" t="str">
        <x:v>NS-EAST:H2_DRI_EAF:2032|NS-KANSAI:H2_DRI_EAF:2034|NS-KYUSHU:H2_DRI_EAF:2028|NS-NAGOYA:H2_DRI_EAF:2030|NS-SETOUCHI:H2_DRI_EAF:2036</x:v>
      </x:c>
      <x:c r="V650" s="34" t="str">
        <x:v>model_generated_candidate</x:v>
      </x:c>
      <x:c r="W650" s="34" t="str">
        <x:v>Generated from disclosed-path facility calendar, technology set and template contracting assumptions; not a company-announced project</x:v>
      </x:c>
    </x:row>
    <x:row r="651">
      <x:c r="A651" s="34" t="str">
        <x:v>CAND-C0EAED81BD41EE</x:v>
      </x:c>
      <x:c r="B651" s="34" t="str">
        <x:v>NIPPON_STEEL_JP</x:v>
      </x:c>
      <x:c r="C651" s="34" t="str">
        <x:v>Nippon Steel</x:v>
      </x:c>
      <x:c r="D651" s="34" t="str">
        <x:v>P1</x:v>
      </x:c>
      <x:c r="E651" s="34" t="str">
        <x:v>지연·현물조달</x:v>
      </x:c>
      <x:c r="F651" s="34" t="str">
        <x:v>PORT-42FD0857B83C</x:v>
      </x:c>
      <x:c r="G651" s="34" t="str">
        <x:v>DISCLOSED_PATH</x:v>
      </x:c>
      <x:c r="H651" s="34" t="n">
        <x:v>5</x:v>
      </x:c>
      <x:c r="I651" s="34" t="n">
        <x:v>2029</x:v>
      </x:c>
      <x:c r="J651" s="34" t="n">
        <x:v>2038</x:v>
      </x:c>
      <x:c r="K651" s="34" t="n">
        <x:v>0</x:v>
      </x:c>
      <x:c r="L651" s="34" t="n">
        <x:v>0.598972</x:v>
      </x:c>
      <x:c r="M651" s="34" t="n">
        <x:v>0.401028</x:v>
      </x:c>
      <x:c r="N651" s="34" t="n">
        <x:v>0</x:v>
      </x:c>
      <x:c r="O651" s="34" t="n">
        <x:v>0</x:v>
      </x:c>
      <x:c r="P651" s="34" t="n">
        <x:v>0</x:v>
      </x:c>
      <x:c r="Q651" s="34" t="n">
        <x:v>0.1</x:v>
      </x:c>
      <x:c r="R651" s="34" t="n">
        <x:v>0</x:v>
      </x:c>
      <x:c r="S651" s="34" t="n">
        <x:v>0</x:v>
      </x:c>
      <x:c r="T651" s="34" t="n">
        <x:v>452.478948</x:v>
      </x:c>
      <x:c r="U651" s="34" t="str">
        <x:v>NS-EAST:H2_DRI_EAF:2034|NS-KANSAI:SCRAP_EAF:2036|NS-KYUSHU:SCRAP_EAF:2029|NS-NAGOYA:SCRAP_EAF:2032|NS-SETOUCHI:H2_DRI_EAF:2038</x:v>
      </x:c>
      <x:c r="V651" s="34" t="str">
        <x:v>model_generated_candidate</x:v>
      </x:c>
      <x:c r="W651" s="34" t="str">
        <x:v>Generated from disclosed-path facility calendar, technology set and template contracting assumptions; not a company-announced project</x:v>
      </x:c>
    </x:row>
    <x:row r="652">
      <x:c r="A652" s="34" t="str">
        <x:v>CAND-C1AAA9A0078119</x:v>
      </x:c>
      <x:c r="B652" s="34" t="str">
        <x:v>NIPPON_STEEL_JP</x:v>
      </x:c>
      <x:c r="C652" s="34" t="str">
        <x:v>Nippon Steel</x:v>
      </x:c>
      <x:c r="D652" s="34" t="str">
        <x:v>P1</x:v>
      </x:c>
      <x:c r="E652" s="34" t="str">
        <x:v>지연·현물조달</x:v>
      </x:c>
      <x:c r="F652" s="34" t="str">
        <x:v>PORT-9E76B3BFF9FF</x:v>
      </x:c>
      <x:c r="G652" s="34" t="str">
        <x:v>DISCLOSED_PATH</x:v>
      </x:c>
      <x:c r="H652" s="34" t="n">
        <x:v>5</x:v>
      </x:c>
      <x:c r="I652" s="34" t="n">
        <x:v>2029</x:v>
      </x:c>
      <x:c r="J652" s="34" t="n">
        <x:v>2038</x:v>
      </x:c>
      <x:c r="K652" s="34" t="n">
        <x:v>0</x:v>
      </x:c>
      <x:c r="L652" s="34" t="n">
        <x:v>0.658098</x:v>
      </x:c>
      <x:c r="M652" s="34" t="n">
        <x:v>0.341902</x:v>
      </x:c>
      <x:c r="N652" s="34" t="n">
        <x:v>0</x:v>
      </x:c>
      <x:c r="O652" s="34" t="n">
        <x:v>0</x:v>
      </x:c>
      <x:c r="P652" s="34" t="n">
        <x:v>0</x:v>
      </x:c>
      <x:c r="Q652" s="34" t="n">
        <x:v>0.1</x:v>
      </x:c>
      <x:c r="R652" s="34" t="n">
        <x:v>0</x:v>
      </x:c>
      <x:c r="S652" s="34" t="n">
        <x:v>0</x:v>
      </x:c>
      <x:c r="T652" s="34" t="n">
        <x:v>456.103943</x:v>
      </x:c>
      <x:c r="U652" s="34" t="str">
        <x:v>NS-EAST:SCRAP_EAF:2034|NS-KANSAI:H2_DRI_EAF:2036|NS-KYUSHU:SCRAP_EAF:2029|NS-NAGOYA:H2_DRI_EAF:2032|NS-SETOUCHI:SCRAP_EAF:2038</x:v>
      </x:c>
      <x:c r="V652" s="34" t="str">
        <x:v>model_generated_candidate</x:v>
      </x:c>
      <x:c r="W652" s="34" t="str">
        <x:v>Generated from disclosed-path facility calendar, technology set and template contracting assumptions; not a company-announced project</x:v>
      </x:c>
    </x:row>
    <x:row r="653">
      <x:c r="A653" s="34" t="str">
        <x:v>CAND-C1EA00CD2A7CCE</x:v>
      </x:c>
      <x:c r="B653" s="34" t="str">
        <x:v>NIPPON_STEEL_JP</x:v>
      </x:c>
      <x:c r="C653" s="34" t="str">
        <x:v>Nippon Steel</x:v>
      </x:c>
      <x:c r="D653" s="34" t="str">
        <x:v>P2</x:v>
      </x:c>
      <x:c r="E653" s="34" t="str">
        <x:v>지연·부분헤지</x:v>
      </x:c>
      <x:c r="F653" s="34" t="str">
        <x:v>PORT-113D08C18DF3</x:v>
      </x:c>
      <x:c r="G653" s="34" t="str">
        <x:v>DISCLOSED_PATH</x:v>
      </x:c>
      <x:c r="H653" s="34" t="n">
        <x:v>5</x:v>
      </x:c>
      <x:c r="I653" s="34" t="n">
        <x:v>2029</x:v>
      </x:c>
      <x:c r="J653" s="34" t="n">
        <x:v>2038</x:v>
      </x:c>
      <x:c r="K653" s="34" t="n">
        <x:v>0.257069</x:v>
      </x:c>
      <x:c r="L653" s="34" t="n">
        <x:v>0.372751</x:v>
      </x:c>
      <x:c r="M653" s="34" t="n">
        <x:v>0.37018</x:v>
      </x:c>
      <x:c r="N653" s="34" t="n">
        <x:v>0</x:v>
      </x:c>
      <x:c r="O653" s="34" t="n">
        <x:v>0.15</x:v>
      </x:c>
      <x:c r="P653" s="34" t="n">
        <x:v>0.1</x:v>
      </x:c>
      <x:c r="Q653" s="34" t="n">
        <x:v>0.2</x:v>
      </x:c>
      <x:c r="R653" s="34" t="n">
        <x:v>0.1</x:v>
      </x:c>
      <x:c r="S653" s="34" t="n">
        <x:v>0.01</x:v>
      </x:c>
      <x:c r="T653" s="34" t="n">
        <x:v>298.153949</x:v>
      </x:c>
      <x:c r="U653" s="34" t="str">
        <x:v>NS-EAST:H2_DRI_EAF:2034|NS-KANSAI:H2_DRI_EAF:2036|NS-KYUSHU:BF_RELINE:2029|NS-NAGOYA:SCRAP_EAF:2032|NS-SETOUCHI:SCRAP_EAF:2038</x:v>
      </x:c>
      <x:c r="V653" s="34" t="str">
        <x:v>model_generated_candidate</x:v>
      </x:c>
      <x:c r="W653" s="34" t="str">
        <x:v>Generated from disclosed-path facility calendar, technology set and template contracting assumptions; not a company-announced project</x:v>
      </x:c>
    </x:row>
    <x:row r="654">
      <x:c r="A654" s="34" t="str">
        <x:v>CAND-C244CDA8F35592</x:v>
      </x:c>
      <x:c r="B654" s="34" t="str">
        <x:v>NIPPON_STEEL_JP</x:v>
      </x:c>
      <x:c r="C654" s="34" t="str">
        <x:v>Nippon Steel</x:v>
      </x:c>
      <x:c r="D654" s="34" t="str">
        <x:v>P1</x:v>
      </x:c>
      <x:c r="E654" s="34" t="str">
        <x:v>지연·현물조달</x:v>
      </x:c>
      <x:c r="F654" s="34" t="str">
        <x:v>PORT-7DC7D2B7A26E</x:v>
      </x:c>
      <x:c r="G654" s="34" t="str">
        <x:v>DISCLOSED_PATH</x:v>
      </x:c>
      <x:c r="H654" s="34" t="n">
        <x:v>5</x:v>
      </x:c>
      <x:c r="I654" s="34" t="n">
        <x:v>2029</x:v>
      </x:c>
      <x:c r="J654" s="34" t="n">
        <x:v>2038</x:v>
      </x:c>
      <x:c r="K654" s="34" t="n">
        <x:v>0.465296</x:v>
      </x:c>
      <x:c r="L654" s="34" t="n">
        <x:v>0.179949</x:v>
      </x:c>
      <x:c r="M654" s="34" t="n">
        <x:v>0.354756</x:v>
      </x:c>
      <x:c r="N654" s="34" t="n">
        <x:v>0</x:v>
      </x:c>
      <x:c r="O654" s="34" t="n">
        <x:v>0</x:v>
      </x:c>
      <x:c r="P654" s="34" t="n">
        <x:v>0</x:v>
      </x:c>
      <x:c r="Q654" s="34" t="n">
        <x:v>0.1</x:v>
      </x:c>
      <x:c r="R654" s="34" t="n">
        <x:v>0</x:v>
      </x:c>
      <x:c r="S654" s="34" t="n">
        <x:v>0</x:v>
      </x:c>
      <x:c r="T654" s="34" t="n">
        <x:v>217.198938</x:v>
      </x:c>
      <x:c r="U654" s="34" t="str">
        <x:v>NS-EAST:BF_RELINE:2034|NS-KANSAI:H2_DRI_EAF:2036|NS-KYUSHU:BF_RELINE:2029|NS-NAGOYA:SCRAP_EAF:2032|NS-SETOUCHI:H2_DRI_EAF:2038</x:v>
      </x:c>
      <x:c r="V654" s="34" t="str">
        <x:v>model_generated_candidate</x:v>
      </x:c>
      <x:c r="W654" s="34" t="str">
        <x:v>Generated from disclosed-path facility calendar, technology set and template contracting assumptions; not a company-announced project</x:v>
      </x:c>
    </x:row>
    <x:row r="655">
      <x:c r="A655" s="34" t="str">
        <x:v>CAND-C25EE4C0BA9CD6</x:v>
      </x:c>
      <x:c r="B655" s="34" t="str">
        <x:v>NIPPON_STEEL_JP</x:v>
      </x:c>
      <x:c r="C655" s="34" t="str">
        <x:v>Nippon Steel</x:v>
      </x:c>
      <x:c r="D655" s="34" t="str">
        <x:v>P1</x:v>
      </x:c>
      <x:c r="E655" s="34" t="str">
        <x:v>지연·현물조달</x:v>
      </x:c>
      <x:c r="F655" s="34" t="str">
        <x:v>PORT-475628A5EB38</x:v>
      </x:c>
      <x:c r="G655" s="34" t="str">
        <x:v>DISCLOSED_PATH</x:v>
      </x:c>
      <x:c r="H655" s="34" t="n">
        <x:v>5</x:v>
      </x:c>
      <x:c r="I655" s="34" t="n">
        <x:v>2029</x:v>
      </x:c>
      <x:c r="J655" s="34" t="n">
        <x:v>2038</x:v>
      </x:c>
      <x:c r="K655" s="34" t="n">
        <x:v>0.179949</x:v>
      </x:c>
      <x:c r="L655" s="34" t="n">
        <x:v>0.354756</x:v>
      </x:c>
      <x:c r="M655" s="34" t="n">
        <x:v>0.465296</x:v>
      </x:c>
      <x:c r="N655" s="34" t="n">
        <x:v>0</x:v>
      </x:c>
      <x:c r="O655" s="34" t="n">
        <x:v>0</x:v>
      </x:c>
      <x:c r="P655" s="34" t="n">
        <x:v>0</x:v>
      </x:c>
      <x:c r="Q655" s="34" t="n">
        <x:v>0.1</x:v>
      </x:c>
      <x:c r="R655" s="34" t="n">
        <x:v>0</x:v>
      </x:c>
      <x:c r="S655" s="34" t="n">
        <x:v>0</x:v>
      </x:c>
      <x:c r="T655" s="34" t="n">
        <x:v>393.843974</x:v>
      </x:c>
      <x:c r="U655" s="34" t="str">
        <x:v>NS-EAST:H2_DRI_EAF:2034|NS-KANSAI:SCRAP_EAF:2036|NS-KYUSHU:H2_DRI_EAF:2029|NS-NAGOYA:BF_RELINE:2032|NS-SETOUCHI:SCRAP_EAF:2038</x:v>
      </x:c>
      <x:c r="V655" s="34" t="str">
        <x:v>model_generated_candidate</x:v>
      </x:c>
      <x:c r="W655" s="34" t="str">
        <x:v>Generated from disclosed-path facility calendar, technology set and template contracting assumptions; not a company-announced project</x:v>
      </x:c>
    </x:row>
    <x:row r="656">
      <x:c r="A656" s="34" t="str">
        <x:v>CAND-C2AA92F31F9468</x:v>
      </x:c>
      <x:c r="B656" s="34" t="str">
        <x:v>NIPPON_STEEL_JP</x:v>
      </x:c>
      <x:c r="C656" s="34" t="str">
        <x:v>Nippon Steel</x:v>
      </x:c>
      <x:c r="D656" s="34" t="str">
        <x:v>P3</x:v>
      </x:c>
      <x:c r="E656" s="34" t="str">
        <x:v>균형형 라이트헤지</x:v>
      </x:c>
      <x:c r="F656" s="34" t="str">
        <x:v>PORT-23A278D911DA</x:v>
      </x:c>
      <x:c r="G656" s="34" t="str">
        <x:v>DISCLOSED_PATH</x:v>
      </x:c>
      <x:c r="H656" s="34" t="n">
        <x:v>5</x:v>
      </x:c>
      <x:c r="I656" s="34" t="n">
        <x:v>2029</x:v>
      </x:c>
      <x:c r="J656" s="34" t="n">
        <x:v>2038</x:v>
      </x:c>
      <x:c r="K656" s="34" t="n">
        <x:v>0.645244</x:v>
      </x:c>
      <x:c r="L656" s="34" t="n">
        <x:v>0</x:v>
      </x:c>
      <x:c r="M656" s="34" t="n">
        <x:v>0.354756</x:v>
      </x:c>
      <x:c r="N656" s="34" t="n">
        <x:v>0</x:v>
      </x:c>
      <x:c r="O656" s="34" t="n">
        <x:v>0.3</x:v>
      </x:c>
      <x:c r="P656" s="34" t="n">
        <x:v>0.25</x:v>
      </x:c>
      <x:c r="Q656" s="34" t="n">
        <x:v>0.35</x:v>
      </x:c>
      <x:c r="R656" s="34" t="n">
        <x:v>0.25</x:v>
      </x:c>
      <x:c r="S656" s="34" t="n">
        <x:v>0.015</x:v>
      </x:c>
      <x:c r="T656" s="34" t="n">
        <x:v>136.288964</x:v>
      </x:c>
      <x:c r="U656" s="34" t="str">
        <x:v>NS-EAST:BF_RELINE:2034|NS-KANSAI:H2_DRI_EAF:2036|NS-KYUSHU:BF_RELINE:2029|NS-NAGOYA:BF_RELINE:2032|NS-SETOUCHI:H2_DRI_EAF:2038</x:v>
      </x:c>
      <x:c r="V656" s="34" t="str">
        <x:v>model_generated_candidate</x:v>
      </x:c>
      <x:c r="W656" s="34" t="str">
        <x:v>Generated from disclosed-path facility calendar, technology set and template contracting assumptions; not a company-announced project</x:v>
      </x:c>
    </x:row>
    <x:row r="657">
      <x:c r="A657" s="34" t="str">
        <x:v>CAND-C2B4AFCB44C3FD</x:v>
      </x:c>
      <x:c r="B657" s="34" t="str">
        <x:v>NIPPON_STEEL_JP</x:v>
      </x:c>
      <x:c r="C657" s="34" t="str">
        <x:v>Nippon Steel</x:v>
      </x:c>
      <x:c r="D657" s="34" t="str">
        <x:v>P2</x:v>
      </x:c>
      <x:c r="E657" s="34" t="str">
        <x:v>지연·부분헤지</x:v>
      </x:c>
      <x:c r="F657" s="34" t="str">
        <x:v>PORT-B74BBC92FC01</x:v>
      </x:c>
      <x:c r="G657" s="34" t="str">
        <x:v>DISCLOSED_PATH</x:v>
      </x:c>
      <x:c r="H657" s="34" t="n">
        <x:v>5</x:v>
      </x:c>
      <x:c r="I657" s="34" t="n">
        <x:v>2029</x:v>
      </x:c>
      <x:c r="J657" s="34" t="n">
        <x:v>2038</x:v>
      </x:c>
      <x:c r="K657" s="34" t="n">
        <x:v>0.208226</x:v>
      </x:c>
      <x:c r="L657" s="34" t="n">
        <x:v>0.534704</x:v>
      </x:c>
      <x:c r="M657" s="34" t="n">
        <x:v>0.257069</x:v>
      </x:c>
      <x:c r="N657" s="34" t="n">
        <x:v>0</x:v>
      </x:c>
      <x:c r="O657" s="34" t="n">
        <x:v>0.15</x:v>
      </x:c>
      <x:c r="P657" s="34" t="n">
        <x:v>0.1</x:v>
      </x:c>
      <x:c r="Q657" s="34" t="n">
        <x:v>0.2</x:v>
      </x:c>
      <x:c r="R657" s="34" t="n">
        <x:v>0.1</x:v>
      </x:c>
      <x:c r="S657" s="34" t="n">
        <x:v>0.01</x:v>
      </x:c>
      <x:c r="T657" s="34" t="n">
        <x:v>389.073937</x:v>
      </x:c>
      <x:c r="U657" s="34" t="str">
        <x:v>NS-EAST:BF_RELINE:2034|NS-KANSAI:SCRAP_EAF:2036|NS-KYUSHU:H2_DRI_EAF:2029|NS-NAGOYA:SCRAP_EAF:2032|NS-SETOUCHI:SCRAP_EAF:2038</x:v>
      </x:c>
      <x:c r="V657" s="34" t="str">
        <x:v>model_generated_candidate</x:v>
      </x:c>
      <x:c r="W657" s="34" t="str">
        <x:v>Generated from disclosed-path facility calendar, technology set and template contracting assumptions; not a company-announced project</x:v>
      </x:c>
    </x:row>
    <x:row r="658">
      <x:c r="A658" s="34" t="str">
        <x:v>CAND-C379B0EAAFD136</x:v>
      </x:c>
      <x:c r="B658" s="34" t="str">
        <x:v>NIPPON_STEEL_JP</x:v>
      </x:c>
      <x:c r="C658" s="34" t="str">
        <x:v>Nippon Steel</x:v>
      </x:c>
      <x:c r="D658" s="34" t="str">
        <x:v>P1</x:v>
      </x:c>
      <x:c r="E658" s="34" t="str">
        <x:v>지연·현물조달</x:v>
      </x:c>
      <x:c r="F658" s="34" t="str">
        <x:v>PORT-845C3FC40921</x:v>
      </x:c>
      <x:c r="G658" s="34" t="str">
        <x:v>DISCLOSED_PATH</x:v>
      </x:c>
      <x:c r="H658" s="34" t="n">
        <x:v>5</x:v>
      </x:c>
      <x:c r="I658" s="34" t="n">
        <x:v>2029</x:v>
      </x:c>
      <x:c r="J658" s="34" t="n">
        <x:v>2038</x:v>
      </x:c>
      <x:c r="K658" s="34" t="n">
        <x:v>0.658098</x:v>
      </x:c>
      <x:c r="L658" s="34" t="n">
        <x:v>0.161954</x:v>
      </x:c>
      <x:c r="M658" s="34" t="n">
        <x:v>0.179949</x:v>
      </x:c>
      <x:c r="N658" s="34" t="n">
        <x:v>0</x:v>
      </x:c>
      <x:c r="O658" s="34" t="n">
        <x:v>0</x:v>
      </x:c>
      <x:c r="P658" s="34" t="n">
        <x:v>0</x:v>
      </x:c>
      <x:c r="Q658" s="34" t="n">
        <x:v>0.1</x:v>
      </x:c>
      <x:c r="R658" s="34" t="n">
        <x:v>0</x:v>
      </x:c>
      <x:c r="S658" s="34" t="n">
        <x:v>0</x:v>
      </x:c>
      <x:c r="T658" s="34" t="n">
        <x:v>192.018932</x:v>
      </x:c>
      <x:c r="U658" s="34" t="str">
        <x:v>NS-EAST:BF_RELINE:2034|NS-KANSAI:SCRAP_EAF:2036|NS-KYUSHU:BF_RELINE:2029|NS-NAGOYA:H2_DRI_EAF:2032|NS-SETOUCHI:BF_RELINE:2038</x:v>
      </x:c>
      <x:c r="V658" s="34" t="str">
        <x:v>model_generated_candidate</x:v>
      </x:c>
      <x:c r="W658" s="34" t="str">
        <x:v>Generated from disclosed-path facility calendar, technology set and template contracting assumptions; not a company-announced project</x:v>
      </x:c>
    </x:row>
    <x:row r="659">
      <x:c r="A659" s="34" t="str">
        <x:v>CAND-C3AFAC63A8CC48</x:v>
      </x:c>
      <x:c r="B659" s="34" t="str">
        <x:v>NIPPON_STEEL_JP</x:v>
      </x:c>
      <x:c r="C659" s="34" t="str">
        <x:v>Nippon Steel</x:v>
      </x:c>
      <x:c r="D659" s="34" t="str">
        <x:v>P1</x:v>
      </x:c>
      <x:c r="E659" s="34" t="str">
        <x:v>지연·현물조달</x:v>
      </x:c>
      <x:c r="F659" s="34" t="str">
        <x:v>PORT-A8CC0E23EAFF</x:v>
      </x:c>
      <x:c r="G659" s="34" t="str">
        <x:v>DISCLOSED_PATH</x:v>
      </x:c>
      <x:c r="H659" s="34" t="n">
        <x:v>5</x:v>
      </x:c>
      <x:c r="I659" s="34" t="n">
        <x:v>2029</x:v>
      </x:c>
      <x:c r="J659" s="34" t="n">
        <x:v>2038</x:v>
      </x:c>
      <x:c r="K659" s="34" t="n">
        <x:v>0.257069</x:v>
      </x:c>
      <x:c r="L659" s="34" t="n">
        <x:v>0.550129</x:v>
      </x:c>
      <x:c r="M659" s="34" t="n">
        <x:v>0.192802</x:v>
      </x:c>
      <x:c r="N659" s="34" t="n">
        <x:v>0</x:v>
      </x:c>
      <x:c r="O659" s="34" t="n">
        <x:v>0</x:v>
      </x:c>
      <x:c r="P659" s="34" t="n">
        <x:v>0</x:v>
      </x:c>
      <x:c r="Q659" s="34" t="n">
        <x:v>0.1</x:v>
      </x:c>
      <x:c r="R659" s="34" t="n">
        <x:v>0</x:v>
      </x:c>
      <x:c r="S659" s="34" t="n">
        <x:v>0</x:v>
      </x:c>
      <x:c r="T659" s="34" t="n">
        <x:v>283.278946</x:v>
      </x:c>
      <x:c r="U659" s="34" t="str">
        <x:v>NS-EAST:SCRAP_EAF:2034|NS-KANSAI:SCRAP_EAF:2036|NS-KYUSHU:BF_RELINE:2029|NS-NAGOYA:SCRAP_EAF:2032|NS-SETOUCHI:H2_DRI_EAF:2038</x:v>
      </x:c>
      <x:c r="V659" s="34" t="str">
        <x:v>model_generated_candidate</x:v>
      </x:c>
      <x:c r="W659" s="34" t="str">
        <x:v>Generated from disclosed-path facility calendar, technology set and template contracting assumptions; not a company-announced project</x:v>
      </x:c>
    </x:row>
    <x:row r="660">
      <x:c r="A660" s="34" t="str">
        <x:v>CAND-C42D4931A9C6BB</x:v>
      </x:c>
      <x:c r="B660" s="34" t="str">
        <x:v>NIPPON_STEEL_JP</x:v>
      </x:c>
      <x:c r="C660" s="34" t="str">
        <x:v>Nippon Steel</x:v>
      </x:c>
      <x:c r="D660" s="34" t="str">
        <x:v>P1</x:v>
      </x:c>
      <x:c r="E660" s="34" t="str">
        <x:v>지연·현물조달</x:v>
      </x:c>
      <x:c r="F660" s="34" t="str">
        <x:v>PORT-D4E50DBAEC6A</x:v>
      </x:c>
      <x:c r="G660" s="34" t="str">
        <x:v>DISCLOSED_PATH</x:v>
      </x:c>
      <x:c r="H660" s="34" t="n">
        <x:v>5</x:v>
      </x:c>
      <x:c r="I660" s="34" t="n">
        <x:v>2029</x:v>
      </x:c>
      <x:c r="J660" s="34" t="n">
        <x:v>2038</x:v>
      </x:c>
      <x:c r="K660" s="34" t="n">
        <x:v>0.449871</x:v>
      </x:c>
      <x:c r="L660" s="34" t="n">
        <x:v>0.550129</x:v>
      </x:c>
      <x:c r="M660" s="34" t="n">
        <x:v>0</x:v>
      </x:c>
      <x:c r="N660" s="34" t="n">
        <x:v>0</x:v>
      </x:c>
      <x:c r="O660" s="34" t="n">
        <x:v>0</x:v>
      </x:c>
      <x:c r="P660" s="34" t="n">
        <x:v>0</x:v>
      </x:c>
      <x:c r="Q660" s="34" t="n">
        <x:v>0.1</x:v>
      </x:c>
      <x:c r="R660" s="34" t="n">
        <x:v>0</x:v>
      </x:c>
      <x:c r="S660" s="34" t="n">
        <x:v>0</x:v>
      </x:c>
      <x:c r="T660" s="34" t="n">
        <x:v>251.148946</x:v>
      </x:c>
      <x:c r="U660" s="34" t="str">
        <x:v>NS-EAST:SCRAP_EAF:2034|NS-KANSAI:SCRAP_EAF:2036|NS-KYUSHU:BF_RELINE:2029|NS-NAGOYA:SCRAP_EAF:2032|NS-SETOUCHI:BF_RELINE:2038</x:v>
      </x:c>
      <x:c r="V660" s="34" t="str">
        <x:v>model_generated_candidate</x:v>
      </x:c>
      <x:c r="W660" s="34" t="str">
        <x:v>Generated from disclosed-path facility calendar, technology set and template contracting assumptions; not a company-announced project</x:v>
      </x:c>
    </x:row>
    <x:row r="661">
      <x:c r="A661" s="34" t="str">
        <x:v>CAND-C47813B448CD39</x:v>
      </x:c>
      <x:c r="B661" s="34" t="str">
        <x:v>NIPPON_STEEL_JP</x:v>
      </x:c>
      <x:c r="C661" s="34" t="str">
        <x:v>Nippon Steel</x:v>
      </x:c>
      <x:c r="D661" s="34" t="str">
        <x:v>P4</x:v>
      </x:c>
      <x:c r="E661" s="34" t="str">
        <x:v>균형형 전환</x:v>
      </x:c>
      <x:c r="F661" s="34" t="str">
        <x:v>PORT-1444421109F6</x:v>
      </x:c>
      <x:c r="G661" s="34" t="str">
        <x:v>DISCLOSED_PATH</x:v>
      </x:c>
      <x:c r="H661" s="34" t="n">
        <x:v>5</x:v>
      </x:c>
      <x:c r="I661" s="34" t="n">
        <x:v>2028</x:v>
      </x:c>
      <x:c r="J661" s="34" t="n">
        <x:v>2037</x:v>
      </x:c>
      <x:c r="K661" s="34" t="n">
        <x:v>0.192802</x:v>
      </x:c>
      <x:c r="L661" s="34" t="n">
        <x:v>0.179949</x:v>
      </x:c>
      <x:c r="M661" s="34" t="n">
        <x:v>0.627249</x:v>
      </x:c>
      <x:c r="N661" s="34" t="n">
        <x:v>0</x:v>
      </x:c>
      <x:c r="O661" s="34" t="n">
        <x:v>0.5</x:v>
      </x:c>
      <x:c r="P661" s="34" t="n">
        <x:v>0.45</x:v>
      </x:c>
      <x:c r="Q661" s="34" t="n">
        <x:v>0.5</x:v>
      </x:c>
      <x:c r="R661" s="34" t="n">
        <x:v>0.4</x:v>
      </x:c>
      <x:c r="S661" s="34" t="n">
        <x:v>0.02</x:v>
      </x:c>
      <x:c r="T661" s="34" t="n">
        <x:v>507.828946</x:v>
      </x:c>
      <x:c r="U661" s="34" t="str">
        <x:v>NS-EAST:H2_DRI_EAF:2033|NS-KANSAI:H2_DRI_EAF:2035|NS-KYUSHU:H2_DRI_EAF:2028|NS-NAGOYA:SCRAP_EAF:2031|NS-SETOUCHI:BF_RELINE:2037</x:v>
      </x:c>
      <x:c r="V661" s="34" t="str">
        <x:v>model_generated_candidate</x:v>
      </x:c>
      <x:c r="W661" s="34" t="str">
        <x:v>Generated from disclosed-path facility calendar, technology set and template contracting assumptions; not a company-announced project</x:v>
      </x:c>
    </x:row>
    <x:row r="662">
      <x:c r="A662" s="34" t="str">
        <x:v>CAND-C47E2195B2B0B3</x:v>
      </x:c>
      <x:c r="B662" s="34" t="str">
        <x:v>NIPPON_STEEL_JP</x:v>
      </x:c>
      <x:c r="C662" s="34" t="str">
        <x:v>Nippon Steel</x:v>
      </x:c>
      <x:c r="D662" s="34" t="str">
        <x:v>P1</x:v>
      </x:c>
      <x:c r="E662" s="34" t="str">
        <x:v>지연·현물조달</x:v>
      </x:c>
      <x:c r="F662" s="34" t="str">
        <x:v>PORT-B0CFD4776966</x:v>
      </x:c>
      <x:c r="G662" s="34" t="str">
        <x:v>DISCLOSED_PATH</x:v>
      </x:c>
      <x:c r="H662" s="34" t="n">
        <x:v>5</x:v>
      </x:c>
      <x:c r="I662" s="34" t="n">
        <x:v>2029</x:v>
      </x:c>
      <x:c r="J662" s="34" t="n">
        <x:v>2038</x:v>
      </x:c>
      <x:c r="K662" s="34" t="n">
        <x:v>0.658098</x:v>
      </x:c>
      <x:c r="L662" s="34" t="n">
        <x:v>0</x:v>
      </x:c>
      <x:c r="M662" s="34" t="n">
        <x:v>0.341902</x:v>
      </x:c>
      <x:c r="N662" s="34" t="n">
        <x:v>0</x:v>
      </x:c>
      <x:c r="O662" s="34" t="n">
        <x:v>0</x:v>
      </x:c>
      <x:c r="P662" s="34" t="n">
        <x:v>0</x:v>
      </x:c>
      <x:c r="Q662" s="34" t="n">
        <x:v>0.1</x:v>
      </x:c>
      <x:c r="R662" s="34" t="n">
        <x:v>0</x:v>
      </x:c>
      <x:c r="S662" s="34" t="n">
        <x:v>0</x:v>
      </x:c>
      <x:c r="T662" s="34" t="n">
        <x:v>199.018933</x:v>
      </x:c>
      <x:c r="U662" s="34" t="str">
        <x:v>NS-EAST:BF_RELINE:2034|NS-KANSAI:H2_DRI_EAF:2036|NS-KYUSHU:BF_RELINE:2029|NS-NAGOYA:H2_DRI_EAF:2032|NS-SETOUCHI:BF_RELINE:2038</x:v>
      </x:c>
      <x:c r="V662" s="34" t="str">
        <x:v>model_generated_candidate</x:v>
      </x:c>
      <x:c r="W662" s="34" t="str">
        <x:v>Generated from disclosed-path facility calendar, technology set and template contracting assumptions; not a company-announced project</x:v>
      </x:c>
    </x:row>
    <x:row r="663">
      <x:c r="A663" s="34" t="str">
        <x:v>CAND-C4C9319CE1829D</x:v>
      </x:c>
      <x:c r="B663" s="34" t="str">
        <x:v>NIPPON_STEEL_JP</x:v>
      </x:c>
      <x:c r="C663" s="34" t="str">
        <x:v>Nippon Steel</x:v>
      </x:c>
      <x:c r="D663" s="34" t="str">
        <x:v>P2</x:v>
      </x:c>
      <x:c r="E663" s="34" t="str">
        <x:v>지연·부분헤지</x:v>
      </x:c>
      <x:c r="F663" s="34" t="str">
        <x:v>PORT-7F141003EFD9</x:v>
      </x:c>
      <x:c r="G663" s="34" t="str">
        <x:v>DISCLOSED_PATH</x:v>
      </x:c>
      <x:c r="H663" s="34" t="n">
        <x:v>5</x:v>
      </x:c>
      <x:c r="I663" s="34" t="n">
        <x:v>2029</x:v>
      </x:c>
      <x:c r="J663" s="34" t="n">
        <x:v>2038</x:v>
      </x:c>
      <x:c r="K663" s="34" t="n">
        <x:v>0</x:v>
      </x:c>
      <x:c r="L663" s="34" t="n">
        <x:v>0.419023</x:v>
      </x:c>
      <x:c r="M663" s="34" t="n">
        <x:v>0.580977</x:v>
      </x:c>
      <x:c r="N663" s="34" t="n">
        <x:v>0</x:v>
      </x:c>
      <x:c r="O663" s="34" t="n">
        <x:v>0.15</x:v>
      </x:c>
      <x:c r="P663" s="34" t="n">
        <x:v>0.1</x:v>
      </x:c>
      <x:c r="Q663" s="34" t="n">
        <x:v>0.2</x:v>
      </x:c>
      <x:c r="R663" s="34" t="n">
        <x:v>0.1</x:v>
      </x:c>
      <x:c r="S663" s="34" t="n">
        <x:v>0.01</x:v>
      </x:c>
      <x:c r="T663" s="34" t="n">
        <x:v>466.428943</x:v>
      </x:c>
      <x:c r="U663" s="34" t="str">
        <x:v>NS-EAST:H2_DRI_EAF:2034|NS-KANSAI:SCRAP_EAF:2036|NS-KYUSHU:SCRAP_EAF:2029|NS-NAGOYA:H2_DRI_EAF:2032|NS-SETOUCHI:H2_DRI_EAF:2038</x:v>
      </x:c>
      <x:c r="V663" s="34" t="str">
        <x:v>model_generated_candidate</x:v>
      </x:c>
      <x:c r="W663" s="34" t="str">
        <x:v>Generated from disclosed-path facility calendar, technology set and template contracting assumptions; not a company-announced project</x:v>
      </x:c>
    </x:row>
    <x:row r="664">
      <x:c r="A664" s="34" t="str">
        <x:v>CAND-C4E11383EA15DE</x:v>
      </x:c>
      <x:c r="B664" s="34" t="str">
        <x:v>NIPPON_STEEL_JP</x:v>
      </x:c>
      <x:c r="C664" s="34" t="str">
        <x:v>Nippon Steel</x:v>
      </x:c>
      <x:c r="D664" s="34" t="str">
        <x:v>P1</x:v>
      </x:c>
      <x:c r="E664" s="34" t="str">
        <x:v>지연·현물조달</x:v>
      </x:c>
      <x:c r="F664" s="34" t="str">
        <x:v>PORT-E3577CB0E245</x:v>
      </x:c>
      <x:c r="G664" s="34" t="str">
        <x:v>DISCLOSED_PATH</x:v>
      </x:c>
      <x:c r="H664" s="34" t="n">
        <x:v>5</x:v>
      </x:c>
      <x:c r="I664" s="34" t="n">
        <x:v>2029</x:v>
      </x:c>
      <x:c r="J664" s="34" t="n">
        <x:v>2038</x:v>
      </x:c>
      <x:c r="K664" s="34" t="n">
        <x:v>0.598972</x:v>
      </x:c>
      <x:c r="L664" s="34" t="n">
        <x:v>0</x:v>
      </x:c>
      <x:c r="M664" s="34" t="n">
        <x:v>0.401028</x:v>
      </x:c>
      <x:c r="N664" s="34" t="n">
        <x:v>0</x:v>
      </x:c>
      <x:c r="O664" s="34" t="n">
        <x:v>0</x:v>
      </x:c>
      <x:c r="P664" s="34" t="n">
        <x:v>0</x:v>
      </x:c>
      <x:c r="Q664" s="34" t="n">
        <x:v>0.1</x:v>
      </x:c>
      <x:c r="R664" s="34" t="n">
        <x:v>0</x:v>
      </x:c>
      <x:c r="S664" s="34" t="n">
        <x:v>0</x:v>
      </x:c>
      <x:c r="T664" s="34" t="n">
        <x:v>174.368969</x:v>
      </x:c>
      <x:c r="U664" s="34" t="str">
        <x:v>NS-EAST:H2_DRI_EAF:2034|NS-KANSAI:BF_RELINE:2036|NS-KYUSHU:BF_RELINE:2029|NS-NAGOYA:BF_RELINE:2032|NS-SETOUCHI:H2_DRI_EAF:2038</x:v>
      </x:c>
      <x:c r="V664" s="34" t="str">
        <x:v>model_generated_candidate</x:v>
      </x:c>
      <x:c r="W664" s="34" t="str">
        <x:v>Generated from disclosed-path facility calendar, technology set and template contracting assumptions; not a company-announced project</x:v>
      </x:c>
    </x:row>
    <x:row r="665">
      <x:c r="A665" s="34" t="str">
        <x:v>CAND-C51281C57B148F</x:v>
      </x:c>
      <x:c r="B665" s="34" t="str">
        <x:v>NIPPON_STEEL_JP</x:v>
      </x:c>
      <x:c r="C665" s="34" t="str">
        <x:v>Nippon Steel</x:v>
      </x:c>
      <x:c r="D665" s="34" t="str">
        <x:v>P1</x:v>
      </x:c>
      <x:c r="E665" s="34" t="str">
        <x:v>지연·현물조달</x:v>
      </x:c>
      <x:c r="F665" s="34" t="str">
        <x:v>PORT-C0F53F28CCD9</x:v>
      </x:c>
      <x:c r="G665" s="34" t="str">
        <x:v>DISCLOSED_PATH</x:v>
      </x:c>
      <x:c r="H665" s="34" t="n">
        <x:v>5</x:v>
      </x:c>
      <x:c r="I665" s="34" t="n">
        <x:v>2029</x:v>
      </x:c>
      <x:c r="J665" s="34" t="n">
        <x:v>2038</x:v>
      </x:c>
      <x:c r="K665" s="34" t="n">
        <x:v>0.437018</x:v>
      </x:c>
      <x:c r="L665" s="34" t="n">
        <x:v>0.161954</x:v>
      </x:c>
      <x:c r="M665" s="34" t="n">
        <x:v>0.401028</x:v>
      </x:c>
      <x:c r="N665" s="34" t="n">
        <x:v>0</x:v>
      </x:c>
      <x:c r="O665" s="34" t="n">
        <x:v>0</x:v>
      </x:c>
      <x:c r="P665" s="34" t="n">
        <x:v>0</x:v>
      </x:c>
      <x:c r="Q665" s="34" t="n">
        <x:v>0.1</x:v>
      </x:c>
      <x:c r="R665" s="34" t="n">
        <x:v>0</x:v>
      </x:c>
      <x:c r="S665" s="34" t="n">
        <x:v>0</x:v>
      </x:c>
      <x:c r="T665" s="34" t="n">
        <x:v>214.968974</x:v>
      </x:c>
      <x:c r="U665" s="34" t="str">
        <x:v>NS-EAST:H2_DRI_EAF:2034|NS-KANSAI:SCRAP_EAF:2036|NS-KYUSHU:BF_RELINE:2029|NS-NAGOYA:BF_RELINE:2032|NS-SETOUCHI:H2_DRI_EAF:2038</x:v>
      </x:c>
      <x:c r="V665" s="34" t="str">
        <x:v>model_generated_candidate</x:v>
      </x:c>
      <x:c r="W665" s="34" t="str">
        <x:v>Generated from disclosed-path facility calendar, technology set and template contracting assumptions; not a company-announced project</x:v>
      </x:c>
    </x:row>
    <x:row r="666">
      <x:c r="A666" s="34" t="str">
        <x:v>CAND-C51D410B54BFD5</x:v>
      </x:c>
      <x:c r="B666" s="34" t="str">
        <x:v>NIPPON_STEEL_JP</x:v>
      </x:c>
      <x:c r="C666" s="34" t="str">
        <x:v>Nippon Steel</x:v>
      </x:c>
      <x:c r="D666" s="34" t="str">
        <x:v>P3</x:v>
      </x:c>
      <x:c r="E666" s="34" t="str">
        <x:v>균형형 라이트헤지</x:v>
      </x:c>
      <x:c r="F666" s="34" t="str">
        <x:v>PORT-5DE4D9A04480</x:v>
      </x:c>
      <x:c r="G666" s="34" t="str">
        <x:v>DISCLOSED_PATH</x:v>
      </x:c>
      <x:c r="H666" s="34" t="n">
        <x:v>5</x:v>
      </x:c>
      <x:c r="I666" s="34" t="n">
        <x:v>2029</x:v>
      </x:c>
      <x:c r="J666" s="34" t="n">
        <x:v>2038</x:v>
      </x:c>
      <x:c r="K666" s="34" t="n">
        <x:v>0</x:v>
      </x:c>
      <x:c r="L666" s="34" t="n">
        <x:v>0.611825</x:v>
      </x:c>
      <x:c r="M666" s="34" t="n">
        <x:v>0.388175</x:v>
      </x:c>
      <x:c r="N666" s="34" t="n">
        <x:v>0</x:v>
      </x:c>
      <x:c r="O666" s="34" t="n">
        <x:v>0.3</x:v>
      </x:c>
      <x:c r="P666" s="34" t="n">
        <x:v>0.25</x:v>
      </x:c>
      <x:c r="Q666" s="34" t="n">
        <x:v>0.35</x:v>
      </x:c>
      <x:c r="R666" s="34" t="n">
        <x:v>0.25</x:v>
      </x:c>
      <x:c r="S666" s="34" t="n">
        <x:v>0.015</x:v>
      </x:c>
      <x:c r="T666" s="34" t="n">
        <x:v>461.703943</x:v>
      </x:c>
      <x:c r="U666" s="34" t="str">
        <x:v>NS-EAST:H2_DRI_EAF:2034|NS-KANSAI:SCRAP_EAF:2036|NS-KYUSHU:SCRAP_EAF:2029|NS-NAGOYA:H2_DRI_EAF:2032|NS-SETOUCHI:SCRAP_EAF:2038</x:v>
      </x:c>
      <x:c r="V666" s="34" t="str">
        <x:v>model_generated_candidate</x:v>
      </x:c>
      <x:c r="W666" s="34" t="str">
        <x:v>Generated from disclosed-path facility calendar, technology set and template contracting assumptions; not a company-announced project</x:v>
      </x:c>
    </x:row>
    <x:row r="667">
      <x:c r="A667" s="34" t="str">
        <x:v>CAND-C5C49FC84D8621</x:v>
      </x:c>
      <x:c r="B667" s="34" t="str">
        <x:v>NIPPON_STEEL_JP</x:v>
      </x:c>
      <x:c r="C667" s="34" t="str">
        <x:v>Nippon Steel</x:v>
      </x:c>
      <x:c r="D667" s="34" t="str">
        <x:v>P2</x:v>
      </x:c>
      <x:c r="E667" s="34" t="str">
        <x:v>지연·부분헤지</x:v>
      </x:c>
      <x:c r="F667" s="34" t="str">
        <x:v>PORT-222858394A63</x:v>
      </x:c>
      <x:c r="G667" s="34" t="str">
        <x:v>DISCLOSED_PATH</x:v>
      </x:c>
      <x:c r="H667" s="34" t="n">
        <x:v>5</x:v>
      </x:c>
      <x:c r="I667" s="34" t="n">
        <x:v>2029</x:v>
      </x:c>
      <x:c r="J667" s="34" t="n">
        <x:v>2038</x:v>
      </x:c>
      <x:c r="K667" s="34" t="n">
        <x:v>0</x:v>
      </x:c>
      <x:c r="L667" s="34" t="n">
        <x:v>0.401028</x:v>
      </x:c>
      <x:c r="M667" s="34" t="n">
        <x:v>0.598972</x:v>
      </x:c>
      <x:c r="N667" s="34" t="n">
        <x:v>0</x:v>
      </x:c>
      <x:c r="O667" s="34" t="n">
        <x:v>0.15</x:v>
      </x:c>
      <x:c r="P667" s="34" t="n">
        <x:v>0.1</x:v>
      </x:c>
      <x:c r="Q667" s="34" t="n">
        <x:v>0.2</x:v>
      </x:c>
      <x:c r="R667" s="34" t="n">
        <x:v>0.1</x:v>
      </x:c>
      <x:c r="S667" s="34" t="n">
        <x:v>0.01</x:v>
      </x:c>
      <x:c r="T667" s="34" t="n">
        <x:v>483.103943</x:v>
      </x:c>
      <x:c r="U667" s="34" t="str">
        <x:v>NS-EAST:SCRAP_EAF:2034|NS-KANSAI:H2_DRI_EAF:2036|NS-KYUSHU:H2_DRI_EAF:2029|NS-NAGOYA:H2_DRI_EAF:2032|NS-SETOUCHI:SCRAP_EAF:2038</x:v>
      </x:c>
      <x:c r="V667" s="34" t="str">
        <x:v>model_generated_candidate</x:v>
      </x:c>
      <x:c r="W667" s="34" t="str">
        <x:v>Generated from disclosed-path facility calendar, technology set and template contracting assumptions; not a company-announced project</x:v>
      </x:c>
    </x:row>
    <x:row r="668">
      <x:c r="A668" s="34" t="str">
        <x:v>CAND-C8C51A7DF762EE</x:v>
      </x:c>
      <x:c r="B668" s="34" t="str">
        <x:v>NIPPON_STEEL_JP</x:v>
      </x:c>
      <x:c r="C668" s="34" t="str">
        <x:v>Nippon Steel</x:v>
      </x:c>
      <x:c r="D668" s="34" t="str">
        <x:v>P1</x:v>
      </x:c>
      <x:c r="E668" s="34" t="str">
        <x:v>지연·현물조달</x:v>
      </x:c>
      <x:c r="F668" s="34" t="str">
        <x:v>PORT-622372E22AA3</x:v>
      </x:c>
      <x:c r="G668" s="34" t="str">
        <x:v>DISCLOSED_PATH</x:v>
      </x:c>
      <x:c r="H668" s="34" t="n">
        <x:v>5</x:v>
      </x:c>
      <x:c r="I668" s="34" t="n">
        <x:v>2029</x:v>
      </x:c>
      <x:c r="J668" s="34" t="n">
        <x:v>2038</x:v>
      </x:c>
      <x:c r="K668" s="34" t="n">
        <x:v>0.401028</x:v>
      </x:c>
      <x:c r="L668" s="34" t="n">
        <x:v>0.257069</x:v>
      </x:c>
      <x:c r="M668" s="34" t="n">
        <x:v>0.341902</x:v>
      </x:c>
      <x:c r="N668" s="34" t="n">
        <x:v>0</x:v>
      </x:c>
      <x:c r="O668" s="34" t="n">
        <x:v>0</x:v>
      </x:c>
      <x:c r="P668" s="34" t="n">
        <x:v>0</x:v>
      </x:c>
      <x:c r="Q668" s="34" t="n">
        <x:v>0.1</x:v>
      </x:c>
      <x:c r="R668" s="34" t="n">
        <x:v>0</x:v>
      </x:c>
      <x:c r="S668" s="34" t="n">
        <x:v>0</x:v>
      </x:c>
      <x:c r="T668" s="34" t="n">
        <x:v>355.618933</x:v>
      </x:c>
      <x:c r="U668" s="34" t="str">
        <x:v>NS-EAST:BF_RELINE:2034|NS-KANSAI:H2_DRI_EAF:2036|NS-KYUSHU:SCRAP_EAF:2029|NS-NAGOYA:H2_DRI_EAF:2032|NS-SETOUCHI:BF_RELINE:2038</x:v>
      </x:c>
      <x:c r="V668" s="34" t="str">
        <x:v>model_generated_candidate</x:v>
      </x:c>
      <x:c r="W668" s="34" t="str">
        <x:v>Generated from disclosed-path facility calendar, technology set and template contracting assumptions; not a company-announced project</x:v>
      </x:c>
    </x:row>
    <x:row r="669">
      <x:c r="A669" s="34" t="str">
        <x:v>CAND-C96E8CC3BD0B9F</x:v>
      </x:c>
      <x:c r="B669" s="34" t="str">
        <x:v>NIPPON_STEEL_JP</x:v>
      </x:c>
      <x:c r="C669" s="34" t="str">
        <x:v>Nippon Steel</x:v>
      </x:c>
      <x:c r="D669" s="34" t="str">
        <x:v>P1</x:v>
      </x:c>
      <x:c r="E669" s="34" t="str">
        <x:v>지연·현물조달</x:v>
      </x:c>
      <x:c r="F669" s="34" t="str">
        <x:v>PORT-C84D6A8C133A</x:v>
      </x:c>
      <x:c r="G669" s="34" t="str">
        <x:v>DISCLOSED_PATH</x:v>
      </x:c>
      <x:c r="H669" s="34" t="n">
        <x:v>5</x:v>
      </x:c>
      <x:c r="I669" s="34" t="n">
        <x:v>2029</x:v>
      </x:c>
      <x:c r="J669" s="34" t="n">
        <x:v>2038</x:v>
      </x:c>
      <x:c r="K669" s="34" t="n">
        <x:v>0.550129</x:v>
      </x:c>
      <x:c r="L669" s="34" t="n">
        <x:v>0</x:v>
      </x:c>
      <x:c r="M669" s="34" t="n">
        <x:v>0.449871</x:v>
      </x:c>
      <x:c r="N669" s="34" t="n">
        <x:v>0</x:v>
      </x:c>
      <x:c r="O669" s="34" t="n">
        <x:v>0</x:v>
      </x:c>
      <x:c r="P669" s="34" t="n">
        <x:v>0</x:v>
      </x:c>
      <x:c r="Q669" s="34" t="n">
        <x:v>0.1</x:v>
      </x:c>
      <x:c r="R669" s="34" t="n">
        <x:v>0</x:v>
      </x:c>
      <x:c r="S669" s="34" t="n">
        <x:v>0</x:v>
      </x:c>
      <x:c r="T669" s="34" t="n">
        <x:v>272.288958</x:v>
      </x:c>
      <x:c r="U669" s="34" t="str">
        <x:v>NS-EAST:BF_RELINE:2034|NS-KANSAI:BF_RELINE:2036|NS-KYUSHU:H2_DRI_EAF:2029|NS-NAGOYA:BF_RELINE:2032|NS-SETOUCHI:H2_DRI_EAF:2038</x:v>
      </x:c>
      <x:c r="V669" s="34" t="str">
        <x:v>model_generated_candidate</x:v>
      </x:c>
      <x:c r="W669" s="34" t="str">
        <x:v>Generated from disclosed-path facility calendar, technology set and template contracting assumptions; not a company-announced project</x:v>
      </x:c>
    </x:row>
    <x:row r="670">
      <x:c r="A670" s="34" t="str">
        <x:v>CAND-C9837022C5AEF2</x:v>
      </x:c>
      <x:c r="B670" s="34" t="str">
        <x:v>NIPPON_STEEL_JP</x:v>
      </x:c>
      <x:c r="C670" s="34" t="str">
        <x:v>Nippon Steel</x:v>
      </x:c>
      <x:c r="D670" s="34" t="str">
        <x:v>P2</x:v>
      </x:c>
      <x:c r="E670" s="34" t="str">
        <x:v>지연·부분헤지</x:v>
      </x:c>
      <x:c r="F670" s="34" t="str">
        <x:v>PORT-674311CC4C19</x:v>
      </x:c>
      <x:c r="G670" s="34" t="str">
        <x:v>DISCLOSED_PATH</x:v>
      </x:c>
      <x:c r="H670" s="34" t="n">
        <x:v>5</x:v>
      </x:c>
      <x:c r="I670" s="34" t="n">
        <x:v>2029</x:v>
      </x:c>
      <x:c r="J670" s="34" t="n">
        <x:v>2038</x:v>
      </x:c>
      <x:c r="K670" s="34" t="n">
        <x:v>0.161954</x:v>
      </x:c>
      <x:c r="L670" s="34" t="n">
        <x:v>0.372751</x:v>
      </x:c>
      <x:c r="M670" s="34" t="n">
        <x:v>0.465296</x:v>
      </x:c>
      <x:c r="N670" s="34" t="n">
        <x:v>0</x:v>
      </x:c>
      <x:c r="O670" s="34" t="n">
        <x:v>0.15</x:v>
      </x:c>
      <x:c r="P670" s="34" t="n">
        <x:v>0.1</x:v>
      </x:c>
      <x:c r="Q670" s="34" t="n">
        <x:v>0.2</x:v>
      </x:c>
      <x:c r="R670" s="34" t="n">
        <x:v>0.1</x:v>
      </x:c>
      <x:c r="S670" s="34" t="n">
        <x:v>0.01</x:v>
      </x:c>
      <x:c r="T670" s="34" t="n">
        <x:v>434.153943</x:v>
      </x:c>
      <x:c r="U670" s="34" t="str">
        <x:v>NS-EAST:H2_DRI_EAF:2034|NS-KANSAI:BF_RELINE:2036|NS-KYUSHU:H2_DRI_EAF:2029|NS-NAGOYA:SCRAP_EAF:2032|NS-SETOUCHI:SCRAP_EAF:2038</x:v>
      </x:c>
      <x:c r="V670" s="34" t="str">
        <x:v>model_generated_candidate</x:v>
      </x:c>
      <x:c r="W670" s="34" t="str">
        <x:v>Generated from disclosed-path facility calendar, technology set and template contracting assumptions; not a company-announced project</x:v>
      </x:c>
    </x:row>
    <x:row r="671">
      <x:c r="A671" s="34" t="str">
        <x:v>CAND-C9E5D1C21B3C7A</x:v>
      </x:c>
      <x:c r="B671" s="34" t="str">
        <x:v>NIPPON_STEEL_JP</x:v>
      </x:c>
      <x:c r="C671" s="34" t="str">
        <x:v>Nippon Steel</x:v>
      </x:c>
      <x:c r="D671" s="34" t="str">
        <x:v>P1</x:v>
      </x:c>
      <x:c r="E671" s="34" t="str">
        <x:v>지연·현물조달</x:v>
      </x:c>
      <x:c r="F671" s="34" t="str">
        <x:v>PORT-F37E5039B6ED</x:v>
      </x:c>
      <x:c r="G671" s="34" t="str">
        <x:v>DISCLOSED_PATH</x:v>
      </x:c>
      <x:c r="H671" s="34" t="n">
        <x:v>5</x:v>
      </x:c>
      <x:c r="I671" s="34" t="n">
        <x:v>2029</x:v>
      </x:c>
      <x:c r="J671" s="34" t="n">
        <x:v>2038</x:v>
      </x:c>
      <x:c r="K671" s="34" t="n">
        <x:v>0.208226</x:v>
      </x:c>
      <x:c r="L671" s="34" t="n">
        <x:v>0.179949</x:v>
      </x:c>
      <x:c r="M671" s="34" t="n">
        <x:v>0.611825</x:v>
      </x:c>
      <x:c r="N671" s="34" t="n">
        <x:v>0</x:v>
      </x:c>
      <x:c r="O671" s="34" t="n">
        <x:v>0</x:v>
      </x:c>
      <x:c r="P671" s="34" t="n">
        <x:v>0</x:v>
      </x:c>
      <x:c r="Q671" s="34" t="n">
        <x:v>0.1</x:v>
      </x:c>
      <x:c r="R671" s="34" t="n">
        <x:v>0</x:v>
      </x:c>
      <x:c r="S671" s="34" t="n">
        <x:v>0</x:v>
      </x:c>
      <x:c r="T671" s="34" t="n">
        <x:v>400.798938</x:v>
      </x:c>
      <x:c r="U671" s="34" t="str">
        <x:v>NS-EAST:BF_RELINE:2034|NS-KANSAI:H2_DRI_EAF:2036|NS-KYUSHU:H2_DRI_EAF:2029|NS-NAGOYA:SCRAP_EAF:2032|NS-SETOUCHI:H2_DRI_EAF:2038</x:v>
      </x:c>
      <x:c r="V671" s="34" t="str">
        <x:v>model_generated_candidate</x:v>
      </x:c>
      <x:c r="W671" s="34" t="str">
        <x:v>Generated from disclosed-path facility calendar, technology set and template contracting assumptions; not a company-announced project</x:v>
      </x:c>
    </x:row>
    <x:row r="672">
      <x:c r="A672" s="34" t="str">
        <x:v>CAND-CA2E4138D9BC07</x:v>
      </x:c>
      <x:c r="B672" s="34" t="str">
        <x:v>NIPPON_STEEL_JP</x:v>
      </x:c>
      <x:c r="C672" s="34" t="str">
        <x:v>Nippon Steel</x:v>
      </x:c>
      <x:c r="D672" s="34" t="str">
        <x:v>P1</x:v>
      </x:c>
      <x:c r="E672" s="34" t="str">
        <x:v>지연·현물조달</x:v>
      </x:c>
      <x:c r="F672" s="34" t="str">
        <x:v>PORT-05EE518306D9</x:v>
      </x:c>
      <x:c r="G672" s="34" t="str">
        <x:v>DISCLOSED_PATH</x:v>
      </x:c>
      <x:c r="H672" s="34" t="n">
        <x:v>5</x:v>
      </x:c>
      <x:c r="I672" s="34" t="n">
        <x:v>2029</x:v>
      </x:c>
      <x:c r="J672" s="34" t="n">
        <x:v>2038</x:v>
      </x:c>
      <x:c r="K672" s="34" t="n">
        <x:v>0</x:v>
      </x:c>
      <x:c r="L672" s="34" t="n">
        <x:v>0.465296</x:v>
      </x:c>
      <x:c r="M672" s="34" t="n">
        <x:v>0.534704</x:v>
      </x:c>
      <x:c r="N672" s="34" t="n">
        <x:v>0</x:v>
      </x:c>
      <x:c r="O672" s="34" t="n">
        <x:v>0</x:v>
      </x:c>
      <x:c r="P672" s="34" t="n">
        <x:v>0</x:v>
      </x:c>
      <x:c r="Q672" s="34" t="n">
        <x:v>0.1</x:v>
      </x:c>
      <x:c r="R672" s="34" t="n">
        <x:v>0</x:v>
      </x:c>
      <x:c r="S672" s="34" t="n">
        <x:v>0</x:v>
      </x:c>
      <x:c r="T672" s="34" t="n">
        <x:v>460.828943</x:v>
      </x:c>
      <x:c r="U672" s="34" t="str">
        <x:v>NS-EAST:SCRAP_EAF:2034|NS-KANSAI:H2_DRI_EAF:2036|NS-KYUSHU:SCRAP_EAF:2029|NS-NAGOYA:H2_DRI_EAF:2032|NS-SETOUCHI:H2_DRI_EAF:2038</x:v>
      </x:c>
      <x:c r="V672" s="34" t="str">
        <x:v>model_generated_candidate</x:v>
      </x:c>
      <x:c r="W672" s="34" t="str">
        <x:v>Generated from disclosed-path facility calendar, technology set and template contracting assumptions; not a company-announced project</x:v>
      </x:c>
    </x:row>
    <x:row r="673">
      <x:c r="A673" s="34" t="str">
        <x:v>CAND-CA55C679FD9A25</x:v>
      </x:c>
      <x:c r="B673" s="34" t="str">
        <x:v>NIPPON_STEEL_JP</x:v>
      </x:c>
      <x:c r="C673" s="34" t="str">
        <x:v>Nippon Steel</x:v>
      </x:c>
      <x:c r="D673" s="34" t="str">
        <x:v>P4</x:v>
      </x:c>
      <x:c r="E673" s="34" t="str">
        <x:v>균형형 전환</x:v>
      </x:c>
      <x:c r="F673" s="34" t="str">
        <x:v>PORT-FE782E3DCCE9</x:v>
      </x:c>
      <x:c r="G673" s="34" t="str">
        <x:v>DISCLOSED_PATH</x:v>
      </x:c>
      <x:c r="H673" s="34" t="n">
        <x:v>5</x:v>
      </x:c>
      <x:c r="I673" s="34" t="n">
        <x:v>2028</x:v>
      </x:c>
      <x:c r="J673" s="34" t="n">
        <x:v>2037</x:v>
      </x:c>
      <x:c r="K673" s="34" t="n">
        <x:v>0</x:v>
      </x:c>
      <x:c r="L673" s="34" t="n">
        <x:v>0</x:v>
      </x:c>
      <x:c r="M673" s="34" t="n">
        <x:v>1</x:v>
      </x:c>
      <x:c r="N673" s="34" t="n">
        <x:v>0</x:v>
      </x:c>
      <x:c r="O673" s="34" t="n">
        <x:v>0.5</x:v>
      </x:c>
      <x:c r="P673" s="34" t="n">
        <x:v>0.45</x:v>
      </x:c>
      <x:c r="Q673" s="34" t="n">
        <x:v>0.5</x:v>
      </x:c>
      <x:c r="R673" s="34" t="n">
        <x:v>0.4</x:v>
      </x:c>
      <x:c r="S673" s="34" t="n">
        <x:v>0.02</x:v>
      </x:c>
      <x:c r="T673" s="34" t="n">
        <x:v>566.168941</x:v>
      </x:c>
      <x:c r="U673" s="34" t="str">
        <x:v>NS-EAST:H2_DRI_EAF:2033|NS-KANSAI:H2_DRI_EAF:2035|NS-KYUSHU:H2_DRI_EAF:2028|NS-NAGOYA:H2_DRI_EAF:2031|NS-SETOUCHI:H2_DRI_EAF:2037</x:v>
      </x:c>
      <x:c r="V673" s="34" t="str">
        <x:v>model_generated_candidate</x:v>
      </x:c>
      <x:c r="W673" s="34" t="str">
        <x:v>Generated from disclosed-path facility calendar, technology set and template contracting assumptions; not a company-announced project</x:v>
      </x:c>
    </x:row>
    <x:row r="674">
      <x:c r="A674" s="34" t="str">
        <x:v>CAND-CAA0861561E3AF</x:v>
      </x:c>
      <x:c r="B674" s="34" t="str">
        <x:v>NIPPON_STEEL_JP</x:v>
      </x:c>
      <x:c r="C674" s="34" t="str">
        <x:v>Nippon Steel</x:v>
      </x:c>
      <x:c r="D674" s="34" t="str">
        <x:v>P1</x:v>
      </x:c>
      <x:c r="E674" s="34" t="str">
        <x:v>지연·현물조달</x:v>
      </x:c>
      <x:c r="F674" s="34" t="str">
        <x:v>PORT-526AE3D0E184</x:v>
      </x:c>
      <x:c r="G674" s="34" t="str">
        <x:v>DISCLOSED_PATH</x:v>
      </x:c>
      <x:c r="H674" s="34" t="n">
        <x:v>5</x:v>
      </x:c>
      <x:c r="I674" s="34" t="n">
        <x:v>2029</x:v>
      </x:c>
      <x:c r="J674" s="34" t="n">
        <x:v>2038</x:v>
      </x:c>
      <x:c r="K674" s="34" t="n">
        <x:v>0.401028</x:v>
      </x:c>
      <x:c r="L674" s="34" t="n">
        <x:v>0.341902</x:v>
      </x:c>
      <x:c r="M674" s="34" t="n">
        <x:v>0.257069</x:v>
      </x:c>
      <x:c r="N674" s="34" t="n">
        <x:v>0</x:v>
      </x:c>
      <x:c r="O674" s="34" t="n">
        <x:v>0</x:v>
      </x:c>
      <x:c r="P674" s="34" t="n">
        <x:v>0</x:v>
      </x:c>
      <x:c r="Q674" s="34" t="n">
        <x:v>0.1</x:v>
      </x:c>
      <x:c r="R674" s="34" t="n">
        <x:v>0</x:v>
      </x:c>
      <x:c r="S674" s="34" t="n">
        <x:v>0</x:v>
      </x:c>
      <x:c r="T674" s="34" t="n">
        <x:v>361.668937</x:v>
      </x:c>
      <x:c r="U674" s="34" t="str">
        <x:v>NS-EAST:BF_RELINE:2034|NS-KANSAI:SCRAP_EAF:2036|NS-KYUSHU:H2_DRI_EAF:2029|NS-NAGOYA:SCRAP_EAF:2032|NS-SETOUCHI:BF_RELINE:2038</x:v>
      </x:c>
      <x:c r="V674" s="34" t="str">
        <x:v>model_generated_candidate</x:v>
      </x:c>
      <x:c r="W674" s="34" t="str">
        <x:v>Generated from disclosed-path facility calendar, technology set and template contracting assumptions; not a company-announced project</x:v>
      </x:c>
    </x:row>
    <x:row r="675">
      <x:c r="A675" s="34" t="str">
        <x:v>CAND-CAE9009C7EF9D4</x:v>
      </x:c>
      <x:c r="B675" s="34" t="str">
        <x:v>NIPPON_STEEL_JP</x:v>
      </x:c>
      <x:c r="C675" s="34" t="str">
        <x:v>Nippon Steel</x:v>
      </x:c>
      <x:c r="D675" s="34" t="str">
        <x:v>P1</x:v>
      </x:c>
      <x:c r="E675" s="34" t="str">
        <x:v>지연·현물조달</x:v>
      </x:c>
      <x:c r="F675" s="34" t="str">
        <x:v>PORT-FA425C592A46</x:v>
      </x:c>
      <x:c r="G675" s="34" t="str">
        <x:v>DISCLOSED_PATH</x:v>
      </x:c>
      <x:c r="H675" s="34" t="n">
        <x:v>5</x:v>
      </x:c>
      <x:c r="I675" s="34" t="n">
        <x:v>2029</x:v>
      </x:c>
      <x:c r="J675" s="34" t="n">
        <x:v>2038</x:v>
      </x:c>
      <x:c r="K675" s="34" t="n">
        <x:v>0.179949</x:v>
      </x:c>
      <x:c r="L675" s="34" t="n">
        <x:v>0</x:v>
      </x:c>
      <x:c r="M675" s="34" t="n">
        <x:v>0.820051</x:v>
      </x:c>
      <x:c r="N675" s="34" t="n">
        <x:v>0</x:v>
      </x:c>
      <x:c r="O675" s="34" t="n">
        <x:v>0</x:v>
      </x:c>
      <x:c r="P675" s="34" t="n">
        <x:v>0</x:v>
      </x:c>
      <x:c r="Q675" s="34" t="n">
        <x:v>0.1</x:v>
      </x:c>
      <x:c r="R675" s="34" t="n">
        <x:v>0</x:v>
      </x:c>
      <x:c r="S675" s="34" t="n">
        <x:v>0</x:v>
      </x:c>
      <x:c r="T675" s="34" t="n">
        <x:v>405.568975</x:v>
      </x:c>
      <x:c r="U675" s="34" t="str">
        <x:v>NS-EAST:H2_DRI_EAF:2034|NS-KANSAI:H2_DRI_EAF:2036|NS-KYUSHU:H2_DRI_EAF:2029|NS-NAGOYA:BF_RELINE:2032|NS-SETOUCHI:H2_DRI_EAF:2038</x:v>
      </x:c>
      <x:c r="V675" s="34" t="str">
        <x:v>model_generated_candidate</x:v>
      </x:c>
      <x:c r="W675" s="34" t="str">
        <x:v>Generated from disclosed-path facility calendar, technology set and template contracting assumptions; not a company-announced project</x:v>
      </x:c>
    </x:row>
    <x:row r="676">
      <x:c r="A676" s="34" t="str">
        <x:v>CAND-CC6A5624B1D2C8</x:v>
      </x:c>
      <x:c r="B676" s="34" t="str">
        <x:v>NIPPON_STEEL_JP</x:v>
      </x:c>
      <x:c r="C676" s="34" t="str">
        <x:v>Nippon Steel</x:v>
      </x:c>
      <x:c r="D676" s="34" t="str">
        <x:v>P4</x:v>
      </x:c>
      <x:c r="E676" s="34" t="str">
        <x:v>균형형 전환</x:v>
      </x:c>
      <x:c r="F676" s="34" t="str">
        <x:v>PORT-B5DB7A5F03E3</x:v>
      </x:c>
      <x:c r="G676" s="34" t="str">
        <x:v>DISCLOSED_PATH</x:v>
      </x:c>
      <x:c r="H676" s="34" t="n">
        <x:v>5</x:v>
      </x:c>
      <x:c r="I676" s="34" t="n">
        <x:v>2028</x:v>
      </x:c>
      <x:c r="J676" s="34" t="n">
        <x:v>2037</x:v>
      </x:c>
      <x:c r="K676" s="34" t="n">
        <x:v>0.419023</x:v>
      </x:c>
      <x:c r="L676" s="34" t="n">
        <x:v>0</x:v>
      </x:c>
      <x:c r="M676" s="34" t="n">
        <x:v>0.580977</x:v>
      </x:c>
      <x:c r="N676" s="34" t="n">
        <x:v>0</x:v>
      </x:c>
      <x:c r="O676" s="34" t="n">
        <x:v>0.5</x:v>
      </x:c>
      <x:c r="P676" s="34" t="n">
        <x:v>0.45</x:v>
      </x:c>
      <x:c r="Q676" s="34" t="n">
        <x:v>0.5</x:v>
      </x:c>
      <x:c r="R676" s="34" t="n">
        <x:v>0.4</x:v>
      </x:c>
      <x:c r="S676" s="34" t="n">
        <x:v>0.02</x:v>
      </x:c>
      <x:c r="T676" s="34" t="n">
        <x:v>310.148934</x:v>
      </x:c>
      <x:c r="U676" s="34" t="str">
        <x:v>NS-EAST:H2_DRI_EAF:2033|NS-KANSAI:BF_RELINE:2035|NS-KYUSHU:BF_RELINE:2028|NS-NAGOYA:H2_DRI_EAF:2031|NS-SETOUCHI:H2_DRI_EAF:2037</x:v>
      </x:c>
      <x:c r="V676" s="34" t="str">
        <x:v>model_generated_candidate</x:v>
      </x:c>
      <x:c r="W676" s="34" t="str">
        <x:v>Generated from disclosed-path facility calendar, technology set and template contracting assumptions; not a company-announced project</x:v>
      </x:c>
    </x:row>
    <x:row r="677">
      <x:c r="A677" s="34" t="str">
        <x:v>CAND-CDB72992370089</x:v>
      </x:c>
      <x:c r="B677" s="34" t="str">
        <x:v>NIPPON_STEEL_JP</x:v>
      </x:c>
      <x:c r="C677" s="34" t="str">
        <x:v>Nippon Steel</x:v>
      </x:c>
      <x:c r="D677" s="34" t="str">
        <x:v>P4</x:v>
      </x:c>
      <x:c r="E677" s="34" t="str">
        <x:v>균형형 전환</x:v>
      </x:c>
      <x:c r="F677" s="34" t="str">
        <x:v>PORT-8FA978634E7D</x:v>
      </x:c>
      <x:c r="G677" s="34" t="str">
        <x:v>DISCLOSED_PATH</x:v>
      </x:c>
      <x:c r="H677" s="34" t="n">
        <x:v>5</x:v>
      </x:c>
      <x:c r="I677" s="34" t="n">
        <x:v>2028</x:v>
      </x:c>
      <x:c r="J677" s="34" t="n">
        <x:v>2037</x:v>
      </x:c>
      <x:c r="K677" s="34" t="n">
        <x:v>0.161954</x:v>
      </x:c>
      <x:c r="L677" s="34" t="n">
        <x:v>0.257069</x:v>
      </x:c>
      <x:c r="M677" s="34" t="n">
        <x:v>0.580977</x:v>
      </x:c>
      <x:c r="N677" s="34" t="n">
        <x:v>0</x:v>
      </x:c>
      <x:c r="O677" s="34" t="n">
        <x:v>0.5</x:v>
      </x:c>
      <x:c r="P677" s="34" t="n">
        <x:v>0.45</x:v>
      </x:c>
      <x:c r="Q677" s="34" t="n">
        <x:v>0.5</x:v>
      </x:c>
      <x:c r="R677" s="34" t="n">
        <x:v>0.4</x:v>
      </x:c>
      <x:c r="S677" s="34" t="n">
        <x:v>0.02</x:v>
      </x:c>
      <x:c r="T677" s="34" t="n">
        <x:v>479.798934</x:v>
      </x:c>
      <x:c r="U677" s="34" t="str">
        <x:v>NS-EAST:H2_DRI_EAF:2033|NS-KANSAI:BF_RELINE:2035|NS-KYUSHU:SCRAP_EAF:2028|NS-NAGOYA:H2_DRI_EAF:2031|NS-SETOUCHI:H2_DRI_EAF:2037</x:v>
      </x:c>
      <x:c r="V677" s="34" t="str">
        <x:v>model_generated_candidate</x:v>
      </x:c>
      <x:c r="W677" s="34" t="str">
        <x:v>Generated from disclosed-path facility calendar, technology set and template contracting assumptions; not a company-announced project</x:v>
      </x:c>
    </x:row>
    <x:row r="678">
      <x:c r="A678" s="34" t="str">
        <x:v>CAND-CDFE2587E5584F</x:v>
      </x:c>
      <x:c r="B678" s="34" t="str">
        <x:v>NIPPON_STEEL_JP</x:v>
      </x:c>
      <x:c r="C678" s="34" t="str">
        <x:v>Nippon Steel</x:v>
      </x:c>
      <x:c r="D678" s="34" t="str">
        <x:v>P4</x:v>
      </x:c>
      <x:c r="E678" s="34" t="str">
        <x:v>균형형 전환</x:v>
      </x:c>
      <x:c r="F678" s="34" t="str">
        <x:v>PORT-34AD95AD1263</x:v>
      </x:c>
      <x:c r="G678" s="34" t="str">
        <x:v>DISCLOSED_PATH</x:v>
      </x:c>
      <x:c r="H678" s="34" t="n">
        <x:v>5</x:v>
      </x:c>
      <x:c r="I678" s="34" t="n">
        <x:v>2028</x:v>
      </x:c>
      <x:c r="J678" s="34" t="n">
        <x:v>2037</x:v>
      </x:c>
      <x:c r="K678" s="34" t="n">
        <x:v>0</x:v>
      </x:c>
      <x:c r="L678" s="34" t="n">
        <x:v>0.465296</x:v>
      </x:c>
      <x:c r="M678" s="34" t="n">
        <x:v>0.534704</x:v>
      </x:c>
      <x:c r="N678" s="34" t="n">
        <x:v>0</x:v>
      </x:c>
      <x:c r="O678" s="34" t="n">
        <x:v>0.5</x:v>
      </x:c>
      <x:c r="P678" s="34" t="n">
        <x:v>0.45</x:v>
      </x:c>
      <x:c r="Q678" s="34" t="n">
        <x:v>0.5</x:v>
      </x:c>
      <x:c r="R678" s="34" t="n">
        <x:v>0.4</x:v>
      </x:c>
      <x:c r="S678" s="34" t="n">
        <x:v>0.02</x:v>
      </x:c>
      <x:c r="T678" s="34" t="n">
        <x:v>522.518939</x:v>
      </x:c>
      <x:c r="U678" s="34" t="str">
        <x:v>NS-EAST:SCRAP_EAF:2033|NS-KANSAI:H2_DRI_EAF:2035|NS-KYUSHU:SCRAP_EAF:2028|NS-NAGOYA:H2_DRI_EAF:2031|NS-SETOUCHI:H2_DRI_EAF:2037</x:v>
      </x:c>
      <x:c r="V678" s="34" t="str">
        <x:v>model_generated_candidate</x:v>
      </x:c>
      <x:c r="W678" s="34" t="str">
        <x:v>Generated from disclosed-path facility calendar, technology set and template contracting assumptions; not a company-announced project</x:v>
      </x:c>
    </x:row>
    <x:row r="679">
      <x:c r="A679" s="34" t="str">
        <x:v>CAND-CE0A0AEAE133DF</x:v>
      </x:c>
      <x:c r="B679" s="34" t="str">
        <x:v>NIPPON_STEEL_JP</x:v>
      </x:c>
      <x:c r="C679" s="34" t="str">
        <x:v>Nippon Steel</x:v>
      </x:c>
      <x:c r="D679" s="34" t="str">
        <x:v>P2</x:v>
      </x:c>
      <x:c r="E679" s="34" t="str">
        <x:v>지연·부분헤지</x:v>
      </x:c>
      <x:c r="F679" s="34" t="str">
        <x:v>PORT-61AD11411A66</x:v>
      </x:c>
      <x:c r="G679" s="34" t="str">
        <x:v>DISCLOSED_PATH</x:v>
      </x:c>
      <x:c r="H679" s="34" t="n">
        <x:v>5</x:v>
      </x:c>
      <x:c r="I679" s="34" t="n">
        <x:v>2029</x:v>
      </x:c>
      <x:c r="J679" s="34" t="n">
        <x:v>2038</x:v>
      </x:c>
      <x:c r="K679" s="34" t="n">
        <x:v>0</x:v>
      </x:c>
      <x:c r="L679" s="34" t="n">
        <x:v>0.562982</x:v>
      </x:c>
      <x:c r="M679" s="34" t="n">
        <x:v>0.437018</x:v>
      </x:c>
      <x:c r="N679" s="34" t="n">
        <x:v>0</x:v>
      </x:c>
      <x:c r="O679" s="34" t="n">
        <x:v>0.15</x:v>
      </x:c>
      <x:c r="P679" s="34" t="n">
        <x:v>0.1</x:v>
      </x:c>
      <x:c r="Q679" s="34" t="n">
        <x:v>0.2</x:v>
      </x:c>
      <x:c r="R679" s="34" t="n">
        <x:v>0.1</x:v>
      </x:c>
      <x:c r="S679" s="34" t="n">
        <x:v>0.01</x:v>
      </x:c>
      <x:c r="T679" s="34" t="n">
        <x:v>476.103942</x:v>
      </x:c>
      <x:c r="U679" s="34" t="str">
        <x:v>NS-EAST:SCRAP_EAF:2034|NS-KANSAI:SCRAP_EAF:2036|NS-KYUSHU:H2_DRI_EAF:2029|NS-NAGOYA:H2_DRI_EAF:2032|NS-SETOUCHI:SCRAP_EAF:2038</x:v>
      </x:c>
      <x:c r="V679" s="34" t="str">
        <x:v>model_generated_candidate</x:v>
      </x:c>
      <x:c r="W679" s="34" t="str">
        <x:v>Generated from disclosed-path facility calendar, technology set and template contracting assumptions; not a company-announced project</x:v>
      </x:c>
    </x:row>
    <x:row r="680">
      <x:c r="A680" s="34" t="str">
        <x:v>CAND-CE78017CB3DEB4</x:v>
      </x:c>
      <x:c r="B680" s="34" t="str">
        <x:v>NIPPON_STEEL_JP</x:v>
      </x:c>
      <x:c r="C680" s="34" t="str">
        <x:v>Nippon Steel</x:v>
      </x:c>
      <x:c r="D680" s="34" t="str">
        <x:v>P1</x:v>
      </x:c>
      <x:c r="E680" s="34" t="str">
        <x:v>지연·현물조달</x:v>
      </x:c>
      <x:c r="F680" s="34" t="str">
        <x:v>PORT-CAD9747A9822</x:v>
      </x:c>
      <x:c r="G680" s="34" t="str">
        <x:v>DISCLOSED_PATH</x:v>
      </x:c>
      <x:c r="H680" s="34" t="n">
        <x:v>5</x:v>
      </x:c>
      <x:c r="I680" s="34" t="n">
        <x:v>2029</x:v>
      </x:c>
      <x:c r="J680" s="34" t="n">
        <x:v>2038</x:v>
      </x:c>
      <x:c r="K680" s="34" t="n">
        <x:v>0.192802</x:v>
      </x:c>
      <x:c r="L680" s="34" t="n">
        <x:v>0.208226</x:v>
      </x:c>
      <x:c r="M680" s="34" t="n">
        <x:v>0.598972</x:v>
      </x:c>
      <x:c r="N680" s="34" t="n">
        <x:v>0</x:v>
      </x:c>
      <x:c r="O680" s="34" t="n">
        <x:v>0</x:v>
      </x:c>
      <x:c r="P680" s="34" t="n">
        <x:v>0</x:v>
      </x:c>
      <x:c r="Q680" s="34" t="n">
        <x:v>0.1</x:v>
      </x:c>
      <x:c r="R680" s="34" t="n">
        <x:v>0</x:v>
      </x:c>
      <x:c r="S680" s="34" t="n">
        <x:v>0</x:v>
      </x:c>
      <x:c r="T680" s="34" t="n">
        <x:v>455.698943</x:v>
      </x:c>
      <x:c r="U680" s="34" t="str">
        <x:v>NS-EAST:SCRAP_EAF:2034|NS-KANSAI:H2_DRI_EAF:2036|NS-KYUSHU:H2_DRI_EAF:2029|NS-NAGOYA:H2_DRI_EAF:2032|NS-SETOUCHI:BF_RELINE:2038</x:v>
      </x:c>
      <x:c r="V680" s="34" t="str">
        <x:v>model_generated_candidate</x:v>
      </x:c>
      <x:c r="W680" s="34" t="str">
        <x:v>Generated from disclosed-path facility calendar, technology set and template contracting assumptions; not a company-announced project</x:v>
      </x:c>
    </x:row>
    <x:row r="681">
      <x:c r="A681" s="34" t="str">
        <x:v>CAND-CE9329CD447267</x:v>
      </x:c>
      <x:c r="B681" s="34" t="str">
        <x:v>NIPPON_STEEL_JP</x:v>
      </x:c>
      <x:c r="C681" s="34" t="str">
        <x:v>Nippon Steel</x:v>
      </x:c>
      <x:c r="D681" s="34" t="str">
        <x:v>P2</x:v>
      </x:c>
      <x:c r="E681" s="34" t="str">
        <x:v>지연·부분헤지</x:v>
      </x:c>
      <x:c r="F681" s="34" t="str">
        <x:v>PORT-3F83257DA03C</x:v>
      </x:c>
      <x:c r="G681" s="34" t="str">
        <x:v>DISCLOSED_PATH</x:v>
      </x:c>
      <x:c r="H681" s="34" t="n">
        <x:v>5</x:v>
      </x:c>
      <x:c r="I681" s="34" t="n">
        <x:v>2029</x:v>
      </x:c>
      <x:c r="J681" s="34" t="n">
        <x:v>2038</x:v>
      </x:c>
      <x:c r="K681" s="34" t="n">
        <x:v>0.161954</x:v>
      </x:c>
      <x:c r="L681" s="34" t="n">
        <x:v>0.192802</x:v>
      </x:c>
      <x:c r="M681" s="34" t="n">
        <x:v>0.645244</x:v>
      </x:c>
      <x:c r="N681" s="34" t="n">
        <x:v>0</x:v>
      </x:c>
      <x:c r="O681" s="34" t="n">
        <x:v>0.15</x:v>
      </x:c>
      <x:c r="P681" s="34" t="n">
        <x:v>0.1</x:v>
      </x:c>
      <x:c r="Q681" s="34" t="n">
        <x:v>0.2</x:v>
      </x:c>
      <x:c r="R681" s="34" t="n">
        <x:v>0.1</x:v>
      </x:c>
      <x:c r="S681" s="34" t="n">
        <x:v>0.01</x:v>
      </x:c>
      <x:c r="T681" s="34" t="n">
        <x:v>448.103938</x:v>
      </x:c>
      <x:c r="U681" s="34" t="str">
        <x:v>NS-EAST:H2_DRI_EAF:2034|NS-KANSAI:BF_RELINE:2036|NS-KYUSHU:H2_DRI_EAF:2029|NS-NAGOYA:H2_DRI_EAF:2032|NS-SETOUCHI:SCRAP_EAF:2038</x:v>
      </x:c>
      <x:c r="V681" s="34" t="str">
        <x:v>model_generated_candidate</x:v>
      </x:c>
      <x:c r="W681" s="34" t="str">
        <x:v>Generated from disclosed-path facility calendar, technology set and template contracting assumptions; not a company-announced project</x:v>
      </x:c>
    </x:row>
    <x:row r="682">
      <x:c r="A682" s="34" t="str">
        <x:v>CAND-CEA59104BCB16D</x:v>
      </x:c>
      <x:c r="B682" s="34" t="str">
        <x:v>NIPPON_STEEL_JP</x:v>
      </x:c>
      <x:c r="C682" s="34" t="str">
        <x:v>Nippon Steel</x:v>
      </x:c>
      <x:c r="D682" s="34" t="str">
        <x:v>P4</x:v>
      </x:c>
      <x:c r="E682" s="34" t="str">
        <x:v>균형형 전환</x:v>
      </x:c>
      <x:c r="F682" s="34" t="str">
        <x:v>PORT-7BDFEA64D7FE</x:v>
      </x:c>
      <x:c r="G682" s="34" t="str">
        <x:v>DISCLOSED_PATH</x:v>
      </x:c>
      <x:c r="H682" s="34" t="n">
        <x:v>5</x:v>
      </x:c>
      <x:c r="I682" s="34" t="n">
        <x:v>2028</x:v>
      </x:c>
      <x:c r="J682" s="34" t="n">
        <x:v>2037</x:v>
      </x:c>
      <x:c r="K682" s="34" t="n">
        <x:v>0.179949</x:v>
      </x:c>
      <x:c r="L682" s="34" t="n">
        <x:v>0</x:v>
      </x:c>
      <x:c r="M682" s="34" t="n">
        <x:v>0.820051</x:v>
      </x:c>
      <x:c r="N682" s="34" t="n">
        <x:v>0</x:v>
      </x:c>
      <x:c r="O682" s="34" t="n">
        <x:v>0.5</x:v>
      </x:c>
      <x:c r="P682" s="34" t="n">
        <x:v>0.45</x:v>
      </x:c>
      <x:c r="Q682" s="34" t="n">
        <x:v>0.5</x:v>
      </x:c>
      <x:c r="R682" s="34" t="n">
        <x:v>0.4</x:v>
      </x:c>
      <x:c r="S682" s="34" t="n">
        <x:v>0.02</x:v>
      </x:c>
      <x:c r="T682" s="34" t="n">
        <x:v>460.768975</x:v>
      </x:c>
      <x:c r="U682" s="34" t="str">
        <x:v>NS-EAST:H2_DRI_EAF:2033|NS-KANSAI:H2_DRI_EAF:2035|NS-KYUSHU:H2_DRI_EAF:2028|NS-NAGOYA:BF_RELINE:2031|NS-SETOUCHI:H2_DRI_EAF:2037</x:v>
      </x:c>
      <x:c r="V682" s="34" t="str">
        <x:v>model_generated_candidate</x:v>
      </x:c>
      <x:c r="W682" s="34" t="str">
        <x:v>Generated from disclosed-path facility calendar, technology set and template contracting assumptions; not a company-announced project</x:v>
      </x:c>
    </x:row>
    <x:row r="683">
      <x:c r="A683" s="34" t="str">
        <x:v>CAND-CEB9F31E1827F1</x:v>
      </x:c>
      <x:c r="B683" s="34" t="str">
        <x:v>NIPPON_STEEL_JP</x:v>
      </x:c>
      <x:c r="C683" s="34" t="str">
        <x:v>Nippon Steel</x:v>
      </x:c>
      <x:c r="D683" s="34" t="str">
        <x:v>P2</x:v>
      </x:c>
      <x:c r="E683" s="34" t="str">
        <x:v>지연·부분헤지</x:v>
      </x:c>
      <x:c r="F683" s="34" t="str">
        <x:v>PORT-0FC525186C6D</x:v>
      </x:c>
      <x:c r="G683" s="34" t="str">
        <x:v>DISCLOSED_PATH</x:v>
      </x:c>
      <x:c r="H683" s="34" t="n">
        <x:v>5</x:v>
      </x:c>
      <x:c r="I683" s="34" t="n">
        <x:v>2029</x:v>
      </x:c>
      <x:c r="J683" s="34" t="n">
        <x:v>2038</x:v>
      </x:c>
      <x:c r="K683" s="34" t="n">
        <x:v>0.208226</x:v>
      </x:c>
      <x:c r="L683" s="34" t="n">
        <x:v>0.449871</x:v>
      </x:c>
      <x:c r="M683" s="34" t="n">
        <x:v>0.341902</x:v>
      </x:c>
      <x:c r="N683" s="34" t="n">
        <x:v>0</x:v>
      </x:c>
      <x:c r="O683" s="34" t="n">
        <x:v>0.15</x:v>
      </x:c>
      <x:c r="P683" s="34" t="n">
        <x:v>0.1</x:v>
      </x:c>
      <x:c r="Q683" s="34" t="n">
        <x:v>0.2</x:v>
      </x:c>
      <x:c r="R683" s="34" t="n">
        <x:v>0.1</x:v>
      </x:c>
      <x:c r="S683" s="34" t="n">
        <x:v>0.01</x:v>
      </x:c>
      <x:c r="T683" s="34" t="n">
        <x:v>383.023933</x:v>
      </x:c>
      <x:c r="U683" s="34" t="str">
        <x:v>NS-EAST:BF_RELINE:2034|NS-KANSAI:H2_DRI_EAF:2036|NS-KYUSHU:SCRAP_EAF:2029|NS-NAGOYA:H2_DRI_EAF:2032|NS-SETOUCHI:SCRAP_EAF:2038</x:v>
      </x:c>
      <x:c r="V683" s="34" t="str">
        <x:v>model_generated_candidate</x:v>
      </x:c>
      <x:c r="W683" s="34" t="str">
        <x:v>Generated from disclosed-path facility calendar, technology set and template contracting assumptions; not a company-announced project</x:v>
      </x:c>
    </x:row>
    <x:row r="684">
      <x:c r="A684" s="34" t="str">
        <x:v>CAND-CEFF17B3D24789</x:v>
      </x:c>
      <x:c r="B684" s="34" t="str">
        <x:v>NIPPON_STEEL_JP</x:v>
      </x:c>
      <x:c r="C684" s="34" t="str">
        <x:v>Nippon Steel</x:v>
      </x:c>
      <x:c r="D684" s="34" t="str">
        <x:v>P2</x:v>
      </x:c>
      <x:c r="E684" s="34" t="str">
        <x:v>지연·부분헤지</x:v>
      </x:c>
      <x:c r="F684" s="34" t="str">
        <x:v>PORT-6F42E9590CB3</x:v>
      </x:c>
      <x:c r="G684" s="34" t="str">
        <x:v>DISCLOSED_PATH</x:v>
      </x:c>
      <x:c r="H684" s="34" t="n">
        <x:v>5</x:v>
      </x:c>
      <x:c r="I684" s="34" t="n">
        <x:v>2029</x:v>
      </x:c>
      <x:c r="J684" s="34" t="n">
        <x:v>2038</x:v>
      </x:c>
      <x:c r="K684" s="34" t="n">
        <x:v>0.354756</x:v>
      </x:c>
      <x:c r="L684" s="34" t="n">
        <x:v>0.257069</x:v>
      </x:c>
      <x:c r="M684" s="34" t="n">
        <x:v>0.388175</x:v>
      </x:c>
      <x:c r="N684" s="34" t="n">
        <x:v>0</x:v>
      </x:c>
      <x:c r="O684" s="34" t="n">
        <x:v>0.15</x:v>
      </x:c>
      <x:c r="P684" s="34" t="n">
        <x:v>0.1</x:v>
      </x:c>
      <x:c r="Q684" s="34" t="n">
        <x:v>0.2</x:v>
      </x:c>
      <x:c r="R684" s="34" t="n">
        <x:v>0.1</x:v>
      </x:c>
      <x:c r="S684" s="34" t="n">
        <x:v>0.01</x:v>
      </x:c>
      <x:c r="T684" s="34" t="n">
        <x:v>393.698938</x:v>
      </x:c>
      <x:c r="U684" s="34" t="str">
        <x:v>NS-EAST:H2_DRI_EAF:2034|NS-KANSAI:BF_RELINE:2036|NS-KYUSHU:SCRAP_EAF:2029|NS-NAGOYA:H2_DRI_EAF:2032|NS-SETOUCHI:BF_RELINE:2038</x:v>
      </x:c>
      <x:c r="V684" s="34" t="str">
        <x:v>model_generated_candidate</x:v>
      </x:c>
      <x:c r="W684" s="34" t="str">
        <x:v>Generated from disclosed-path facility calendar, technology set and template contracting assumptions; not a company-announced project</x:v>
      </x:c>
    </x:row>
    <x:row r="685">
      <x:c r="A685" s="34" t="str">
        <x:v>CAND-CF36AB609E7A4B</x:v>
      </x:c>
      <x:c r="B685" s="34" t="str">
        <x:v>NIPPON_STEEL_JP</x:v>
      </x:c>
      <x:c r="C685" s="34" t="str">
        <x:v>Nippon Steel</x:v>
      </x:c>
      <x:c r="D685" s="34" t="str">
        <x:v>P1</x:v>
      </x:c>
      <x:c r="E685" s="34" t="str">
        <x:v>지연·현물조달</x:v>
      </x:c>
      <x:c r="F685" s="34" t="str">
        <x:v>PORT-93C0C8E2DAF0</x:v>
      </x:c>
      <x:c r="G685" s="34" t="str">
        <x:v>DISCLOSED_PATH</x:v>
      </x:c>
      <x:c r="H685" s="34" t="n">
        <x:v>5</x:v>
      </x:c>
      <x:c r="I685" s="34" t="n">
        <x:v>2029</x:v>
      </x:c>
      <x:c r="J685" s="34" t="n">
        <x:v>2038</x:v>
      </x:c>
      <x:c r="K685" s="34" t="n">
        <x:v>0.627249</x:v>
      </x:c>
      <x:c r="L685" s="34" t="n">
        <x:v>0.179949</x:v>
      </x:c>
      <x:c r="M685" s="34" t="n">
        <x:v>0.192802</x:v>
      </x:c>
      <x:c r="N685" s="34" t="n">
        <x:v>0</x:v>
      </x:c>
      <x:c r="O685" s="34" t="n">
        <x:v>0</x:v>
      </x:c>
      <x:c r="P685" s="34" t="n">
        <x:v>0</x:v>
      </x:c>
      <x:c r="Q685" s="34" t="n">
        <x:v>0.1</x:v>
      </x:c>
      <x:c r="R685" s="34" t="n">
        <x:v>0</x:v>
      </x:c>
      <x:c r="S685" s="34" t="n">
        <x:v>0</x:v>
      </x:c>
      <x:c r="T685" s="34" t="n">
        <x:v>169.598932</x:v>
      </x:c>
      <x:c r="U685" s="34" t="str">
        <x:v>NS-EAST:BF_RELINE:2034|NS-KANSAI:BF_RELINE:2036|NS-KYUSHU:BF_RELINE:2029|NS-NAGOYA:SCRAP_EAF:2032|NS-SETOUCHI:H2_DRI_EAF:2038</x:v>
      </x:c>
      <x:c r="V685" s="34" t="str">
        <x:v>model_generated_candidate</x:v>
      </x:c>
      <x:c r="W685" s="34" t="str">
        <x:v>Generated from disclosed-path facility calendar, technology set and template contracting assumptions; not a company-announced project</x:v>
      </x:c>
    </x:row>
    <x:row r="686">
      <x:c r="A686" s="34" t="str">
        <x:v>CAND-CFBC4EF836C6CE</x:v>
      </x:c>
      <x:c r="B686" s="34" t="str">
        <x:v>NIPPON_STEEL_JP</x:v>
      </x:c>
      <x:c r="C686" s="34" t="str">
        <x:v>Nippon Steel</x:v>
      </x:c>
      <x:c r="D686" s="34" t="str">
        <x:v>P4</x:v>
      </x:c>
      <x:c r="E686" s="34" t="str">
        <x:v>균형형 전환</x:v>
      </x:c>
      <x:c r="F686" s="34" t="str">
        <x:v>PORT-AB392CF8B393</x:v>
      </x:c>
      <x:c r="G686" s="34" t="str">
        <x:v>DISCLOSED_PATH</x:v>
      </x:c>
      <x:c r="H686" s="34" t="n">
        <x:v>5</x:v>
      </x:c>
      <x:c r="I686" s="34" t="n">
        <x:v>2028</x:v>
      </x:c>
      <x:c r="J686" s="34" t="n">
        <x:v>2037</x:v>
      </x:c>
      <x:c r="K686" s="34" t="n">
        <x:v>0.161954</x:v>
      </x:c>
      <x:c r="L686" s="34" t="n">
        <x:v>0.179949</x:v>
      </x:c>
      <x:c r="M686" s="34" t="n">
        <x:v>0.658098</x:v>
      </x:c>
      <x:c r="N686" s="34" t="n">
        <x:v>0</x:v>
      </x:c>
      <x:c r="O686" s="34" t="n">
        <x:v>0.5</x:v>
      </x:c>
      <x:c r="P686" s="34" t="n">
        <x:v>0.45</x:v>
      </x:c>
      <x:c r="Q686" s="34" t="n">
        <x:v>0.5</x:v>
      </x:c>
      <x:c r="R686" s="34" t="n">
        <x:v>0.4</x:v>
      </x:c>
      <x:c r="S686" s="34" t="n">
        <x:v>0.02</x:v>
      </x:c>
      <x:c r="T686" s="34" t="n">
        <x:v>493.548939</x:v>
      </x:c>
      <x:c r="U686" s="34" t="str">
        <x:v>NS-EAST:H2_DRI_EAF:2033|NS-KANSAI:BF_RELINE:2035|NS-KYUSHU:H2_DRI_EAF:2028|NS-NAGOYA:SCRAP_EAF:2031|NS-SETOUCHI:H2_DRI_EAF:2037</x:v>
      </x:c>
      <x:c r="V686" s="34" t="str">
        <x:v>model_generated_candidate</x:v>
      </x:c>
      <x:c r="W686" s="34" t="str">
        <x:v>Generated from disclosed-path facility calendar, technology set and template contracting assumptions; not a company-announced project</x:v>
      </x:c>
    </x:row>
    <x:row r="687">
      <x:c r="A687" s="34" t="str">
        <x:v>CAND-D035BCC21593D5</x:v>
      </x:c>
      <x:c r="B687" s="34" t="str">
        <x:v>NIPPON_STEEL_JP</x:v>
      </x:c>
      <x:c r="C687" s="34" t="str">
        <x:v>Nippon Steel</x:v>
      </x:c>
      <x:c r="D687" s="34" t="str">
        <x:v>P1</x:v>
      </x:c>
      <x:c r="E687" s="34" t="str">
        <x:v>지연·현물조달</x:v>
      </x:c>
      <x:c r="F687" s="34" t="str">
        <x:v>PORT-D3FE55E7A8A2</x:v>
      </x:c>
      <x:c r="G687" s="34" t="str">
        <x:v>DISCLOSED_PATH</x:v>
      </x:c>
      <x:c r="H687" s="34" t="n">
        <x:v>5</x:v>
      </x:c>
      <x:c r="I687" s="34" t="n">
        <x:v>2029</x:v>
      </x:c>
      <x:c r="J687" s="34" t="n">
        <x:v>2038</x:v>
      </x:c>
      <x:c r="K687" s="34" t="n">
        <x:v>0.401028</x:v>
      </x:c>
      <x:c r="L687" s="34" t="n">
        <x:v>0.179949</x:v>
      </x:c>
      <x:c r="M687" s="34" t="n">
        <x:v>0.419023</x:v>
      </x:c>
      <x:c r="N687" s="34" t="n">
        <x:v>0</x:v>
      </x:c>
      <x:c r="O687" s="34" t="n">
        <x:v>0</x:v>
      </x:c>
      <x:c r="P687" s="34" t="n">
        <x:v>0</x:v>
      </x:c>
      <x:c r="Q687" s="34" t="n">
        <x:v>0.1</x:v>
      </x:c>
      <x:c r="R687" s="34" t="n">
        <x:v>0</x:v>
      </x:c>
      <x:c r="S687" s="34" t="n">
        <x:v>0</x:v>
      </x:c>
      <x:c r="T687" s="34" t="n">
        <x:v>368.668938</x:v>
      </x:c>
      <x:c r="U687" s="34" t="str">
        <x:v>NS-EAST:BF_RELINE:2034|NS-KANSAI:H2_DRI_EAF:2036|NS-KYUSHU:H2_DRI_EAF:2029|NS-NAGOYA:SCRAP_EAF:2032|NS-SETOUCHI:BF_RELINE:2038</x:v>
      </x:c>
      <x:c r="V687" s="34" t="str">
        <x:v>model_generated_candidate</x:v>
      </x:c>
      <x:c r="W687" s="34" t="str">
        <x:v>Generated from disclosed-path facility calendar, technology set and template contracting assumptions; not a company-announced project</x:v>
      </x:c>
    </x:row>
    <x:row r="688">
      <x:c r="A688" s="34" t="str">
        <x:v>CAND-D0B3632BFB7E44</x:v>
      </x:c>
      <x:c r="B688" s="34" t="str">
        <x:v>NIPPON_STEEL_JP</x:v>
      </x:c>
      <x:c r="C688" s="34" t="str">
        <x:v>Nippon Steel</x:v>
      </x:c>
      <x:c r="D688" s="34" t="str">
        <x:v>P3</x:v>
      </x:c>
      <x:c r="E688" s="34" t="str">
        <x:v>균형형 라이트헤지</x:v>
      </x:c>
      <x:c r="F688" s="34" t="str">
        <x:v>PORT-38535C2DEC41</x:v>
      </x:c>
      <x:c r="G688" s="34" t="str">
        <x:v>DISCLOSED_PATH</x:v>
      </x:c>
      <x:c r="H688" s="34" t="n">
        <x:v>5</x:v>
      </x:c>
      <x:c r="I688" s="34" t="n">
        <x:v>2029</x:v>
      </x:c>
      <x:c r="J688" s="34" t="n">
        <x:v>2038</x:v>
      </x:c>
      <x:c r="K688" s="34" t="n">
        <x:v>0.341902</x:v>
      </x:c>
      <x:c r="L688" s="34" t="n">
        <x:v>0.192802</x:v>
      </x:c>
      <x:c r="M688" s="34" t="n">
        <x:v>0.465296</x:v>
      </x:c>
      <x:c r="N688" s="34" t="n">
        <x:v>0</x:v>
      </x:c>
      <x:c r="O688" s="34" t="n">
        <x:v>0.3</x:v>
      </x:c>
      <x:c r="P688" s="34" t="n">
        <x:v>0.25</x:v>
      </x:c>
      <x:c r="Q688" s="34" t="n">
        <x:v>0.35</x:v>
      </x:c>
      <x:c r="R688" s="34" t="n">
        <x:v>0.25</x:v>
      </x:c>
      <x:c r="S688" s="34" t="n">
        <x:v>0.015</x:v>
      </x:c>
      <x:c r="T688" s="34" t="n">
        <x:v>353.243969</x:v>
      </x:c>
      <x:c r="U688" s="34" t="str">
        <x:v>NS-EAST:H2_DRI_EAF:2034|NS-KANSAI:BF_RELINE:2036|NS-KYUSHU:H2_DRI_EAF:2029|NS-NAGOYA:BF_RELINE:2032|NS-SETOUCHI:SCRAP_EAF:2038</x:v>
      </x:c>
      <x:c r="V688" s="34" t="str">
        <x:v>model_generated_candidate</x:v>
      </x:c>
      <x:c r="W688" s="34" t="str">
        <x:v>Generated from disclosed-path facility calendar, technology set and template contracting assumptions; not a company-announced project</x:v>
      </x:c>
    </x:row>
    <x:row r="689">
      <x:c r="A689" s="34" t="str">
        <x:v>CAND-D0D810208B75EE</x:v>
      </x:c>
      <x:c r="B689" s="34" t="str">
        <x:v>NIPPON_STEEL_JP</x:v>
      </x:c>
      <x:c r="C689" s="34" t="str">
        <x:v>Nippon Steel</x:v>
      </x:c>
      <x:c r="D689" s="34" t="str">
        <x:v>P4</x:v>
      </x:c>
      <x:c r="E689" s="34" t="str">
        <x:v>균형형 전환</x:v>
      </x:c>
      <x:c r="F689" s="34" t="str">
        <x:v>PORT-8FCF862E7F6B</x:v>
      </x:c>
      <x:c r="G689" s="34" t="str">
        <x:v>DISCLOSED_PATH</x:v>
      </x:c>
      <x:c r="H689" s="34" t="n">
        <x:v>5</x:v>
      </x:c>
      <x:c r="I689" s="34" t="n">
        <x:v>2028</x:v>
      </x:c>
      <x:c r="J689" s="34" t="n">
        <x:v>2037</x:v>
      </x:c>
      <x:c r="K689" s="34" t="n">
        <x:v>0.208226</x:v>
      </x:c>
      <x:c r="L689" s="34" t="n">
        <x:v>0</x:v>
      </x:c>
      <x:c r="M689" s="34" t="n">
        <x:v>0.791774</x:v>
      </x:c>
      <x:c r="N689" s="34" t="n">
        <x:v>0</x:v>
      </x:c>
      <x:c r="O689" s="34" t="n">
        <x:v>0.5</x:v>
      </x:c>
      <x:c r="P689" s="34" t="n">
        <x:v>0.45</x:v>
      </x:c>
      <x:c r="Q689" s="34" t="n">
        <x:v>0.5</x:v>
      </x:c>
      <x:c r="R689" s="34" t="n">
        <x:v>0.4</x:v>
      </x:c>
      <x:c r="S689" s="34" t="n">
        <x:v>0.02</x:v>
      </x:c>
      <x:c r="T689" s="34" t="n">
        <x:v>468.248928</x:v>
      </x:c>
      <x:c r="U689" s="34" t="str">
        <x:v>NS-EAST:BF_RELINE:2033|NS-KANSAI:H2_DRI_EAF:2035|NS-KYUSHU:H2_DRI_EAF:2028|NS-NAGOYA:H2_DRI_EAF:2031|NS-SETOUCHI:H2_DRI_EAF:2037</x:v>
      </x:c>
      <x:c r="V689" s="34" t="str">
        <x:v>model_generated_candidate</x:v>
      </x:c>
      <x:c r="W689" s="34" t="str">
        <x:v>Generated from disclosed-path facility calendar, technology set and template contracting assumptions; not a company-announced project</x:v>
      </x:c>
    </x:row>
    <x:row r="690">
      <x:c r="A690" s="34" t="str">
        <x:v>CAND-D12F2219ACF691</x:v>
      </x:c>
      <x:c r="B690" s="34" t="str">
        <x:v>NIPPON_STEEL_JP</x:v>
      </x:c>
      <x:c r="C690" s="34" t="str">
        <x:v>Nippon Steel</x:v>
      </x:c>
      <x:c r="D690" s="34" t="str">
        <x:v>P2</x:v>
      </x:c>
      <x:c r="E690" s="34" t="str">
        <x:v>지연·부분헤지</x:v>
      </x:c>
      <x:c r="F690" s="34" t="str">
        <x:v>PORT-ACA3DA11AF49</x:v>
      </x:c>
      <x:c r="G690" s="34" t="str">
        <x:v>DISCLOSED_PATH</x:v>
      </x:c>
      <x:c r="H690" s="34" t="n">
        <x:v>5</x:v>
      </x:c>
      <x:c r="I690" s="34" t="n">
        <x:v>2029</x:v>
      </x:c>
      <x:c r="J690" s="34" t="n">
        <x:v>2038</x:v>
      </x:c>
      <x:c r="K690" s="34" t="n">
        <x:v>0.192802</x:v>
      </x:c>
      <x:c r="L690" s="34" t="n">
        <x:v>0.437018</x:v>
      </x:c>
      <x:c r="M690" s="34" t="n">
        <x:v>0.37018</x:v>
      </x:c>
      <x:c r="N690" s="34" t="n">
        <x:v>0</x:v>
      </x:c>
      <x:c r="O690" s="34" t="n">
        <x:v>0.15</x:v>
      </x:c>
      <x:c r="P690" s="34" t="n">
        <x:v>0.1</x:v>
      </x:c>
      <x:c r="Q690" s="34" t="n">
        <x:v>0.2</x:v>
      </x:c>
      <x:c r="R690" s="34" t="n">
        <x:v>0.1</x:v>
      </x:c>
      <x:c r="S690" s="34" t="n">
        <x:v>0.01</x:v>
      </x:c>
      <x:c r="T690" s="34" t="n">
        <x:v>427.348949</x:v>
      </x:c>
      <x:c r="U690" s="34" t="str">
        <x:v>NS-EAST:H2_DRI_EAF:2034|NS-KANSAI:H2_DRI_EAF:2036|NS-KYUSHU:SCRAP_EAF:2029|NS-NAGOYA:SCRAP_EAF:2032|NS-SETOUCHI:BF_RELINE:2038</x:v>
      </x:c>
      <x:c r="V690" s="34" t="str">
        <x:v>model_generated_candidate</x:v>
      </x:c>
      <x:c r="W690" s="34" t="str">
        <x:v>Generated from disclosed-path facility calendar, technology set and template contracting assumptions; not a company-announced project</x:v>
      </x:c>
    </x:row>
    <x:row r="691">
      <x:c r="A691" s="34" t="str">
        <x:v>CAND-D228E64E9B8870</x:v>
      </x:c>
      <x:c r="B691" s="34" t="str">
        <x:v>NIPPON_STEEL_JP</x:v>
      </x:c>
      <x:c r="C691" s="34" t="str">
        <x:v>Nippon Steel</x:v>
      </x:c>
      <x:c r="D691" s="34" t="str">
        <x:v>P3</x:v>
      </x:c>
      <x:c r="E691" s="34" t="str">
        <x:v>균형형 라이트헤지</x:v>
      </x:c>
      <x:c r="F691" s="34" t="str">
        <x:v>PORT-B446DE621925</x:v>
      </x:c>
      <x:c r="G691" s="34" t="str">
        <x:v>DISCLOSED_PATH</x:v>
      </x:c>
      <x:c r="H691" s="34" t="n">
        <x:v>5</x:v>
      </x:c>
      <x:c r="I691" s="34" t="n">
        <x:v>2029</x:v>
      </x:c>
      <x:c r="J691" s="34" t="n">
        <x:v>2038</x:v>
      </x:c>
      <x:c r="K691" s="34" t="n">
        <x:v>0</x:v>
      </x:c>
      <x:c r="L691" s="34" t="n">
        <x:v>0.534704</x:v>
      </x:c>
      <x:c r="M691" s="34" t="n">
        <x:v>0.465296</x:v>
      </x:c>
      <x:c r="N691" s="34" t="n">
        <x:v>0</x:v>
      </x:c>
      <x:c r="O691" s="34" t="n">
        <x:v>0.3</x:v>
      </x:c>
      <x:c r="P691" s="34" t="n">
        <x:v>0.25</x:v>
      </x:c>
      <x:c r="Q691" s="34" t="n">
        <x:v>0.35</x:v>
      </x:c>
      <x:c r="R691" s="34" t="n">
        <x:v>0.25</x:v>
      </x:c>
      <x:c r="S691" s="34" t="n">
        <x:v>0.015</x:v>
      </x:c>
      <x:c r="T691" s="34" t="n">
        <x:v>474.753948</x:v>
      </x:c>
      <x:c r="U691" s="34" t="str">
        <x:v>NS-EAST:H2_DRI_EAF:2034|NS-KANSAI:SCRAP_EAF:2036|NS-KYUSHU:H2_DRI_EAF:2029|NS-NAGOYA:SCRAP_EAF:2032|NS-SETOUCHI:SCRAP_EAF:2038</x:v>
      </x:c>
      <x:c r="V691" s="34" t="str">
        <x:v>model_generated_candidate</x:v>
      </x:c>
      <x:c r="W691" s="34" t="str">
        <x:v>Generated from disclosed-path facility calendar, technology set and template contracting assumptions; not a company-announced project</x:v>
      </x:c>
    </x:row>
    <x:row r="692">
      <x:c r="A692" s="34" t="str">
        <x:v>CAND-D26C3613C18C05</x:v>
      </x:c>
      <x:c r="B692" s="34" t="str">
        <x:v>NIPPON_STEEL_JP</x:v>
      </x:c>
      <x:c r="C692" s="34" t="str">
        <x:v>Nippon Steel</x:v>
      </x:c>
      <x:c r="D692" s="34" t="str">
        <x:v>P3</x:v>
      </x:c>
      <x:c r="E692" s="34" t="str">
        <x:v>균형형 라이트헤지</x:v>
      </x:c>
      <x:c r="F692" s="34" t="str">
        <x:v>PORT-2680632EAC61</x:v>
      </x:c>
      <x:c r="G692" s="34" t="str">
        <x:v>DISCLOSED_PATH</x:v>
      </x:c>
      <x:c r="H692" s="34" t="n">
        <x:v>5</x:v>
      </x:c>
      <x:c r="I692" s="34" t="n">
        <x:v>2029</x:v>
      </x:c>
      <x:c r="J692" s="34" t="n">
        <x:v>2038</x:v>
      </x:c>
      <x:c r="K692" s="34" t="n">
        <x:v>0.208226</x:v>
      </x:c>
      <x:c r="L692" s="34" t="n">
        <x:v>0.372751</x:v>
      </x:c>
      <x:c r="M692" s="34" t="n">
        <x:v>0.419023</x:v>
      </x:c>
      <x:c r="N692" s="34" t="n">
        <x:v>0</x:v>
      </x:c>
      <x:c r="O692" s="34" t="n">
        <x:v>0.3</x:v>
      </x:c>
      <x:c r="P692" s="34" t="n">
        <x:v>0.25</x:v>
      </x:c>
      <x:c r="Q692" s="34" t="n">
        <x:v>0.35</x:v>
      </x:c>
      <x:c r="R692" s="34" t="n">
        <x:v>0.25</x:v>
      </x:c>
      <x:c r="S692" s="34" t="n">
        <x:v>0.015</x:v>
      </x:c>
      <x:c r="T692" s="34" t="n">
        <x:v>396.073938</x:v>
      </x:c>
      <x:c r="U692" s="34" t="str">
        <x:v>NS-EAST:BF_RELINE:2034|NS-KANSAI:H2_DRI_EAF:2036|NS-KYUSHU:H2_DRI_EAF:2029|NS-NAGOYA:SCRAP_EAF:2032|NS-SETOUCHI:SCRAP_EAF:2038</x:v>
      </x:c>
      <x:c r="V692" s="34" t="str">
        <x:v>model_generated_candidate</x:v>
      </x:c>
      <x:c r="W692" s="34" t="str">
        <x:v>Generated from disclosed-path facility calendar, technology set and template contracting assumptions; not a company-announced project</x:v>
      </x:c>
    </x:row>
    <x:row r="693">
      <x:c r="A693" s="34" t="str">
        <x:v>CAND-D3C7F29A0E486F</x:v>
      </x:c>
      <x:c r="B693" s="34" t="str">
        <x:v>NIPPON_STEEL_JP</x:v>
      </x:c>
      <x:c r="C693" s="34" t="str">
        <x:v>Nippon Steel</x:v>
      </x:c>
      <x:c r="D693" s="34" t="str">
        <x:v>P5</x:v>
      </x:c>
      <x:c r="E693" s="34" t="str">
        <x:v>조기 계약형 전환</x:v>
      </x:c>
      <x:c r="F693" s="34" t="str">
        <x:v>PORT-DC48B7EC80A2</x:v>
      </x:c>
      <x:c r="G693" s="34" t="str">
        <x:v>DISCLOSED_PATH</x:v>
      </x:c>
      <x:c r="H693" s="34" t="n">
        <x:v>5</x:v>
      </x:c>
      <x:c r="I693" s="34" t="n">
        <x:v>2028</x:v>
      </x:c>
      <x:c r="J693" s="34" t="n">
        <x:v>2037</x:v>
      </x:c>
      <x:c r="K693" s="34" t="n">
        <x:v>0</x:v>
      </x:c>
      <x:c r="L693" s="34" t="n">
        <x:v>0.208226</x:v>
      </x:c>
      <x:c r="M693" s="34" t="n">
        <x:v>0.791774</x:v>
      </x:c>
      <x:c r="N693" s="34" t="n">
        <x:v>0</x:v>
      </x:c>
      <x:c r="O693" s="34" t="n">
        <x:v>0.7</x:v>
      </x:c>
      <x:c r="P693" s="34" t="n">
        <x:v>0.65</x:v>
      </x:c>
      <x:c r="Q693" s="34" t="n">
        <x:v>0.65</x:v>
      </x:c>
      <x:c r="R693" s="34" t="n">
        <x:v>0.6</x:v>
      </x:c>
      <x:c r="S693" s="34" t="n">
        <x:v>0.025</x:v>
      </x:c>
      <x:c r="T693" s="34" t="n">
        <x:v>551.768939</x:v>
      </x:c>
      <x:c r="U693" s="34" t="str">
        <x:v>NS-EAST:SCRAP_EAF:2033|NS-KANSAI:H2_DRI_EAF:2035|NS-KYUSHU:H2_DRI_EAF:2028|NS-NAGOYA:H2_DRI_EAF:2031|NS-SETOUCHI:H2_DRI_EAF:2037</x:v>
      </x:c>
      <x:c r="V693" s="34" t="str">
        <x:v>model_generated_candidate</x:v>
      </x:c>
      <x:c r="W693" s="34" t="str">
        <x:v>Generated from disclosed-path facility calendar, technology set and template contracting assumptions; not a company-announced project</x:v>
      </x:c>
    </x:row>
    <x:row r="694">
      <x:c r="A694" s="34" t="str">
        <x:v>CAND-D3DD3C6F929054</x:v>
      </x:c>
      <x:c r="B694" s="34" t="str">
        <x:v>NIPPON_STEEL_JP</x:v>
      </x:c>
      <x:c r="C694" s="34" t="str">
        <x:v>Nippon Steel</x:v>
      </x:c>
      <x:c r="D694" s="34" t="str">
        <x:v>P1</x:v>
      </x:c>
      <x:c r="E694" s="34" t="str">
        <x:v>지연·현물조달</x:v>
      </x:c>
      <x:c r="F694" s="34" t="str">
        <x:v>PORT-CCFFC46B621C</x:v>
      </x:c>
      <x:c r="G694" s="34" t="str">
        <x:v>DISCLOSED_PATH</x:v>
      </x:c>
      <x:c r="H694" s="34" t="n">
        <x:v>5</x:v>
      </x:c>
      <x:c r="I694" s="34" t="n">
        <x:v>2029</x:v>
      </x:c>
      <x:c r="J694" s="34" t="n">
        <x:v>2038</x:v>
      </x:c>
      <x:c r="K694" s="34" t="n">
        <x:v>0.611825</x:v>
      </x:c>
      <x:c r="L694" s="34" t="n">
        <x:v>0.208226</x:v>
      </x:c>
      <x:c r="M694" s="34" t="n">
        <x:v>0.179949</x:v>
      </x:c>
      <x:c r="N694" s="34" t="n">
        <x:v>0</x:v>
      </x:c>
      <x:c r="O694" s="34" t="n">
        <x:v>0</x:v>
      </x:c>
      <x:c r="P694" s="34" t="n">
        <x:v>0</x:v>
      </x:c>
      <x:c r="Q694" s="34" t="n">
        <x:v>0.1</x:v>
      </x:c>
      <x:c r="R694" s="34" t="n">
        <x:v>0</x:v>
      </x:c>
      <x:c r="S694" s="34" t="n">
        <x:v>0</x:v>
      </x:c>
      <x:c r="T694" s="34" t="n">
        <x:v>224.498937</x:v>
      </x:c>
      <x:c r="U694" s="34" t="str">
        <x:v>NS-EAST:SCRAP_EAF:2034|NS-KANSAI:BF_RELINE:2036|NS-KYUSHU:BF_RELINE:2029|NS-NAGOYA:H2_DRI_EAF:2032|NS-SETOUCHI:BF_RELINE:2038</x:v>
      </x:c>
      <x:c r="V694" s="34" t="str">
        <x:v>model_generated_candidate</x:v>
      </x:c>
      <x:c r="W694" s="34" t="str">
        <x:v>Generated from disclosed-path facility calendar, technology set and template contracting assumptions; not a company-announced project</x:v>
      </x:c>
    </x:row>
    <x:row r="695">
      <x:c r="A695" s="34" t="str">
        <x:v>CAND-D416617299F63F</x:v>
      </x:c>
      <x:c r="B695" s="34" t="str">
        <x:v>NIPPON_STEEL_JP</x:v>
      </x:c>
      <x:c r="C695" s="34" t="str">
        <x:v>Nippon Steel</x:v>
      </x:c>
      <x:c r="D695" s="34" t="str">
        <x:v>P1</x:v>
      </x:c>
      <x:c r="E695" s="34" t="str">
        <x:v>지연·현물조달</x:v>
      </x:c>
      <x:c r="F695" s="34" t="str">
        <x:v>PORT-575BB800618E</x:v>
      </x:c>
      <x:c r="G695" s="34" t="str">
        <x:v>DISCLOSED_PATH</x:v>
      </x:c>
      <x:c r="H695" s="34" t="n">
        <x:v>5</x:v>
      </x:c>
      <x:c r="I695" s="34" t="n">
        <x:v>2029</x:v>
      </x:c>
      <x:c r="J695" s="34" t="n">
        <x:v>2038</x:v>
      </x:c>
      <x:c r="K695" s="34" t="n">
        <x:v>0.161954</x:v>
      </x:c>
      <x:c r="L695" s="34" t="n">
        <x:v>0.838046</x:v>
      </x:c>
      <x:c r="M695" s="34" t="n">
        <x:v>0</x:v>
      </x:c>
      <x:c r="N695" s="34" t="n">
        <x:v>0</x:v>
      </x:c>
      <x:c r="O695" s="34" t="n">
        <x:v>0</x:v>
      </x:c>
      <x:c r="P695" s="34" t="n">
        <x:v>0</x:v>
      </x:c>
      <x:c r="Q695" s="34" t="n">
        <x:v>0.1</x:v>
      </x:c>
      <x:c r="R695" s="34" t="n">
        <x:v>0</x:v>
      </x:c>
      <x:c r="S695" s="34" t="n">
        <x:v>0</x:v>
      </x:c>
      <x:c r="T695" s="34" t="n">
        <x:v>394.553941</x:v>
      </x:c>
      <x:c r="U695" s="34" t="str">
        <x:v>NS-EAST:SCRAP_EAF:2034|NS-KANSAI:BF_RELINE:2036|NS-KYUSHU:SCRAP_EAF:2029|NS-NAGOYA:SCRAP_EAF:2032|NS-SETOUCHI:SCRAP_EAF:2038</x:v>
      </x:c>
      <x:c r="V695" s="34" t="str">
        <x:v>model_generated_candidate</x:v>
      </x:c>
      <x:c r="W695" s="34" t="str">
        <x:v>Generated from disclosed-path facility calendar, technology set and template contracting assumptions; not a company-announced project</x:v>
      </x:c>
    </x:row>
    <x:row r="696">
      <x:c r="A696" s="34" t="str">
        <x:v>CAND-D42C7F372720F7</x:v>
      </x:c>
      <x:c r="B696" s="34" t="str">
        <x:v>NIPPON_STEEL_JP</x:v>
      </x:c>
      <x:c r="C696" s="34" t="str">
        <x:v>Nippon Steel</x:v>
      </x:c>
      <x:c r="D696" s="34" t="str">
        <x:v>P3</x:v>
      </x:c>
      <x:c r="E696" s="34" t="str">
        <x:v>균형형 라이트헤지</x:v>
      </x:c>
      <x:c r="F696" s="34" t="str">
        <x:v>PORT-92BAA222AC4A</x:v>
      </x:c>
      <x:c r="G696" s="34" t="str">
        <x:v>DISCLOSED_PATH</x:v>
      </x:c>
      <x:c r="H696" s="34" t="n">
        <x:v>5</x:v>
      </x:c>
      <x:c r="I696" s="34" t="n">
        <x:v>2029</x:v>
      </x:c>
      <x:c r="J696" s="34" t="n">
        <x:v>2038</x:v>
      </x:c>
      <x:c r="K696" s="34" t="n">
        <x:v>0.179949</x:v>
      </x:c>
      <x:c r="L696" s="34" t="n">
        <x:v>0.465296</x:v>
      </x:c>
      <x:c r="M696" s="34" t="n">
        <x:v>0.354756</x:v>
      </x:c>
      <x:c r="N696" s="34" t="n">
        <x:v>0</x:v>
      </x:c>
      <x:c r="O696" s="34" t="n">
        <x:v>0.3</x:v>
      </x:c>
      <x:c r="P696" s="34" t="n">
        <x:v>0.25</x:v>
      </x:c>
      <x:c r="Q696" s="34" t="n">
        <x:v>0.35</x:v>
      </x:c>
      <x:c r="R696" s="34" t="n">
        <x:v>0.25</x:v>
      </x:c>
      <x:c r="S696" s="34" t="n">
        <x:v>0.015</x:v>
      </x:c>
      <x:c r="T696" s="34" t="n">
        <x:v>365.968973</x:v>
      </x:c>
      <x:c r="U696" s="34" t="str">
        <x:v>NS-EAST:SCRAP_EAF:2034|NS-KANSAI:H2_DRI_EAF:2036|NS-KYUSHU:SCRAP_EAF:2029|NS-NAGOYA:BF_RELINE:2032|NS-SETOUCHI:H2_DRI_EAF:2038</x:v>
      </x:c>
      <x:c r="V696" s="34" t="str">
        <x:v>model_generated_candidate</x:v>
      </x:c>
      <x:c r="W696" s="34" t="str">
        <x:v>Generated from disclosed-path facility calendar, technology set and template contracting assumptions; not a company-announced project</x:v>
      </x:c>
    </x:row>
    <x:row r="697">
      <x:c r="A697" s="34" t="str">
        <x:v>CAND-D43517A83457AE</x:v>
      </x:c>
      <x:c r="B697" s="34" t="str">
        <x:v>NIPPON_STEEL_JP</x:v>
      </x:c>
      <x:c r="C697" s="34" t="str">
        <x:v>Nippon Steel</x:v>
      </x:c>
      <x:c r="D697" s="34" t="str">
        <x:v>P2</x:v>
      </x:c>
      <x:c r="E697" s="34" t="str">
        <x:v>지연·부분헤지</x:v>
      </x:c>
      <x:c r="F697" s="34" t="str">
        <x:v>PORT-6C2F1FF45B21</x:v>
      </x:c>
      <x:c r="G697" s="34" t="str">
        <x:v>DISCLOSED_PATH</x:v>
      </x:c>
      <x:c r="H697" s="34" t="n">
        <x:v>5</x:v>
      </x:c>
      <x:c r="I697" s="34" t="n">
        <x:v>2029</x:v>
      </x:c>
      <x:c r="J697" s="34" t="n">
        <x:v>2038</x:v>
      </x:c>
      <x:c r="K697" s="34" t="n">
        <x:v>0.192802</x:v>
      </x:c>
      <x:c r="L697" s="34" t="n">
        <x:v>0</x:v>
      </x:c>
      <x:c r="M697" s="34" t="n">
        <x:v>0.807198</x:v>
      </x:c>
      <x:c r="N697" s="34" t="n">
        <x:v>0</x:v>
      </x:c>
      <x:c r="O697" s="34" t="n">
        <x:v>0.15</x:v>
      </x:c>
      <x:c r="P697" s="34" t="n">
        <x:v>0.1</x:v>
      </x:c>
      <x:c r="Q697" s="34" t="n">
        <x:v>0.2</x:v>
      </x:c>
      <x:c r="R697" s="34" t="n">
        <x:v>0.1</x:v>
      </x:c>
      <x:c r="S697" s="34" t="n">
        <x:v>0.01</x:v>
      </x:c>
      <x:c r="T697" s="34" t="n">
        <x:v>468.298944</x:v>
      </x:c>
      <x:c r="U697" s="34" t="str">
        <x:v>NS-EAST:H2_DRI_EAF:2034|NS-KANSAI:H2_DRI_EAF:2036|NS-KYUSHU:H2_DRI_EAF:2029|NS-NAGOYA:H2_DRI_EAF:2032|NS-SETOUCHI:BF_RELINE:2038</x:v>
      </x:c>
      <x:c r="V697" s="34" t="str">
        <x:v>model_generated_candidate</x:v>
      </x:c>
      <x:c r="W697" s="34" t="str">
        <x:v>Generated from disclosed-path facility calendar, technology set and template contracting assumptions; not a company-announced project</x:v>
      </x:c>
    </x:row>
    <x:row r="698">
      <x:c r="A698" s="34" t="str">
        <x:v>CAND-D43E0D439CAF01</x:v>
      </x:c>
      <x:c r="B698" s="34" t="str">
        <x:v>NIPPON_STEEL_JP</x:v>
      </x:c>
      <x:c r="C698" s="34" t="str">
        <x:v>Nippon Steel</x:v>
      </x:c>
      <x:c r="D698" s="34" t="str">
        <x:v>P1</x:v>
      </x:c>
      <x:c r="E698" s="34" t="str">
        <x:v>지연·현물조달</x:v>
      </x:c>
      <x:c r="F698" s="34" t="str">
        <x:v>PORT-82F59DDAE89A</x:v>
      </x:c>
      <x:c r="G698" s="34" t="str">
        <x:v>DISCLOSED_PATH</x:v>
      </x:c>
      <x:c r="H698" s="34" t="n">
        <x:v>5</x:v>
      </x:c>
      <x:c r="I698" s="34" t="n">
        <x:v>2029</x:v>
      </x:c>
      <x:c r="J698" s="34" t="n">
        <x:v>2038</x:v>
      </x:c>
      <x:c r="K698" s="34" t="n">
        <x:v>0.449871</x:v>
      </x:c>
      <x:c r="L698" s="34" t="n">
        <x:v>0.37018</x:v>
      </x:c>
      <x:c r="M698" s="34" t="n">
        <x:v>0.179949</x:v>
      </x:c>
      <x:c r="N698" s="34" t="n">
        <x:v>0</x:v>
      </x:c>
      <x:c r="O698" s="34" t="n">
        <x:v>0</x:v>
      </x:c>
      <x:c r="P698" s="34" t="n">
        <x:v>0</x:v>
      </x:c>
      <x:c r="Q698" s="34" t="n">
        <x:v>0.1</x:v>
      </x:c>
      <x:c r="R698" s="34" t="n">
        <x:v>0</x:v>
      </x:c>
      <x:c r="S698" s="34" t="n">
        <x:v>0</x:v>
      </x:c>
      <x:c r="T698" s="34" t="n">
        <x:v>265.098942</x:v>
      </x:c>
      <x:c r="U698" s="34" t="str">
        <x:v>NS-EAST:SCRAP_EAF:2034|NS-KANSAI:SCRAP_EAF:2036|NS-KYUSHU:BF_RELINE:2029|NS-NAGOYA:H2_DRI_EAF:2032|NS-SETOUCHI:BF_RELINE:2038</x:v>
      </x:c>
      <x:c r="V698" s="34" t="str">
        <x:v>model_generated_candidate</x:v>
      </x:c>
      <x:c r="W698" s="34" t="str">
        <x:v>Generated from disclosed-path facility calendar, technology set and template contracting assumptions; not a company-announced project</x:v>
      </x:c>
    </x:row>
    <x:row r="699">
      <x:c r="A699" s="34" t="str">
        <x:v>CAND-D44B1FA38D5AB4</x:v>
      </x:c>
      <x:c r="B699" s="34" t="str">
        <x:v>NIPPON_STEEL_JP</x:v>
      </x:c>
      <x:c r="C699" s="34" t="str">
        <x:v>Nippon Steel</x:v>
      </x:c>
      <x:c r="D699" s="34" t="str">
        <x:v>P1</x:v>
      </x:c>
      <x:c r="E699" s="34" t="str">
        <x:v>지연·현물조달</x:v>
      </x:c>
      <x:c r="F699" s="34" t="str">
        <x:v>PORT-222858394A63</x:v>
      </x:c>
      <x:c r="G699" s="34" t="str">
        <x:v>DISCLOSED_PATH</x:v>
      </x:c>
      <x:c r="H699" s="34" t="n">
        <x:v>5</x:v>
      </x:c>
      <x:c r="I699" s="34" t="n">
        <x:v>2029</x:v>
      </x:c>
      <x:c r="J699" s="34" t="n">
        <x:v>2038</x:v>
      </x:c>
      <x:c r="K699" s="34" t="n">
        <x:v>0</x:v>
      </x:c>
      <x:c r="L699" s="34" t="n">
        <x:v>0.401028</x:v>
      </x:c>
      <x:c r="M699" s="34" t="n">
        <x:v>0.598972</x:v>
      </x:c>
      <x:c r="N699" s="34" t="n">
        <x:v>0</x:v>
      </x:c>
      <x:c r="O699" s="34" t="n">
        <x:v>0</x:v>
      </x:c>
      <x:c r="P699" s="34" t="n">
        <x:v>0</x:v>
      </x:c>
      <x:c r="Q699" s="34" t="n">
        <x:v>0.1</x:v>
      </x:c>
      <x:c r="R699" s="34" t="n">
        <x:v>0</x:v>
      </x:c>
      <x:c r="S699" s="34" t="n">
        <x:v>0</x:v>
      </x:c>
      <x:c r="T699" s="34" t="n">
        <x:v>483.103943</x:v>
      </x:c>
      <x:c r="U699" s="34" t="str">
        <x:v>NS-EAST:SCRAP_EAF:2034|NS-KANSAI:H2_DRI_EAF:2036|NS-KYUSHU:H2_DRI_EAF:2029|NS-NAGOYA:H2_DRI_EAF:2032|NS-SETOUCHI:SCRAP_EAF:2038</x:v>
      </x:c>
      <x:c r="V699" s="34" t="str">
        <x:v>model_generated_candidate</x:v>
      </x:c>
      <x:c r="W699" s="34" t="str">
        <x:v>Generated from disclosed-path facility calendar, technology set and template contracting assumptions; not a company-announced project</x:v>
      </x:c>
    </x:row>
    <x:row r="700">
      <x:c r="A700" s="34" t="str">
        <x:v>CAND-D45F3BA5832F51</x:v>
      </x:c>
      <x:c r="B700" s="34" t="str">
        <x:v>NIPPON_STEEL_JP</x:v>
      </x:c>
      <x:c r="C700" s="34" t="str">
        <x:v>Nippon Steel</x:v>
      </x:c>
      <x:c r="D700" s="34" t="str">
        <x:v>P1</x:v>
      </x:c>
      <x:c r="E700" s="34" t="str">
        <x:v>지연·현물조달</x:v>
      </x:c>
      <x:c r="F700" s="34" t="str">
        <x:v>PORT-3F83257DA03C</x:v>
      </x:c>
      <x:c r="G700" s="34" t="str">
        <x:v>DISCLOSED_PATH</x:v>
      </x:c>
      <x:c r="H700" s="34" t="n">
        <x:v>5</x:v>
      </x:c>
      <x:c r="I700" s="34" t="n">
        <x:v>2029</x:v>
      </x:c>
      <x:c r="J700" s="34" t="n">
        <x:v>2038</x:v>
      </x:c>
      <x:c r="K700" s="34" t="n">
        <x:v>0.161954</x:v>
      </x:c>
      <x:c r="L700" s="34" t="n">
        <x:v>0.192802</x:v>
      </x:c>
      <x:c r="M700" s="34" t="n">
        <x:v>0.645244</x:v>
      </x:c>
      <x:c r="N700" s="34" t="n">
        <x:v>0</x:v>
      </x:c>
      <x:c r="O700" s="34" t="n">
        <x:v>0</x:v>
      </x:c>
      <x:c r="P700" s="34" t="n">
        <x:v>0</x:v>
      </x:c>
      <x:c r="Q700" s="34" t="n">
        <x:v>0.1</x:v>
      </x:c>
      <x:c r="R700" s="34" t="n">
        <x:v>0</x:v>
      </x:c>
      <x:c r="S700" s="34" t="n">
        <x:v>0</x:v>
      </x:c>
      <x:c r="T700" s="34" t="n">
        <x:v>448.103938</x:v>
      </x:c>
      <x:c r="U700" s="34" t="str">
        <x:v>NS-EAST:H2_DRI_EAF:2034|NS-KANSAI:BF_RELINE:2036|NS-KYUSHU:H2_DRI_EAF:2029|NS-NAGOYA:H2_DRI_EAF:2032|NS-SETOUCHI:SCRAP_EAF:2038</x:v>
      </x:c>
      <x:c r="V700" s="34" t="str">
        <x:v>model_generated_candidate</x:v>
      </x:c>
      <x:c r="W700" s="34" t="str">
        <x:v>Generated from disclosed-path facility calendar, technology set and template contracting assumptions; not a company-announced project</x:v>
      </x:c>
    </x:row>
    <x:row r="701">
      <x:c r="A701" s="34" t="str">
        <x:v>CAND-D4856B223A4ABD</x:v>
      </x:c>
      <x:c r="B701" s="34" t="str">
        <x:v>NIPPON_STEEL_JP</x:v>
      </x:c>
      <x:c r="C701" s="34" t="str">
        <x:v>Nippon Steel</x:v>
      </x:c>
      <x:c r="D701" s="34" t="str">
        <x:v>P2</x:v>
      </x:c>
      <x:c r="E701" s="34" t="str">
        <x:v>지연·부분헤지</x:v>
      </x:c>
      <x:c r="F701" s="34" t="str">
        <x:v>PORT-1D7419482A7C</x:v>
      </x:c>
      <x:c r="G701" s="34" t="str">
        <x:v>DISCLOSED_PATH</x:v>
      </x:c>
      <x:c r="H701" s="34" t="n">
        <x:v>5</x:v>
      </x:c>
      <x:c r="I701" s="34" t="n">
        <x:v>2029</x:v>
      </x:c>
      <x:c r="J701" s="34" t="n">
        <x:v>2038</x:v>
      </x:c>
      <x:c r="K701" s="34" t="n">
        <x:v>0.401028</x:v>
      </x:c>
      <x:c r="L701" s="34" t="n">
        <x:v>0</x:v>
      </x:c>
      <x:c r="M701" s="34" t="n">
        <x:v>0.598972</x:v>
      </x:c>
      <x:c r="N701" s="34" t="n">
        <x:v>0</x:v>
      </x:c>
      <x:c r="O701" s="34" t="n">
        <x:v>0.15</x:v>
      </x:c>
      <x:c r="P701" s="34" t="n">
        <x:v>0.1</x:v>
      </x:c>
      <x:c r="Q701" s="34" t="n">
        <x:v>0.2</x:v>
      </x:c>
      <x:c r="R701" s="34" t="n">
        <x:v>0.1</x:v>
      </x:c>
      <x:c r="S701" s="34" t="n">
        <x:v>0.01</x:v>
      </x:c>
      <x:c r="T701" s="34" t="n">
        <x:v>382.618933</x:v>
      </x:c>
      <x:c r="U701" s="34" t="str">
        <x:v>NS-EAST:BF_RELINE:2034|NS-KANSAI:H2_DRI_EAF:2036|NS-KYUSHU:H2_DRI_EAF:2029|NS-NAGOYA:H2_DRI_EAF:2032|NS-SETOUCHI:BF_RELINE:2038</x:v>
      </x:c>
      <x:c r="V701" s="34" t="str">
        <x:v>model_generated_candidate</x:v>
      </x:c>
      <x:c r="W701" s="34" t="str">
        <x:v>Generated from disclosed-path facility calendar, technology set and template contracting assumptions; not a company-announced project</x:v>
      </x:c>
    </x:row>
    <x:row r="702">
      <x:c r="A702" s="34" t="str">
        <x:v>CAND-D4D85469394551</x:v>
      </x:c>
      <x:c r="B702" s="34" t="str">
        <x:v>NIPPON_STEEL_JP</x:v>
      </x:c>
      <x:c r="C702" s="34" t="str">
        <x:v>Nippon Steel</x:v>
      </x:c>
      <x:c r="D702" s="34" t="str">
        <x:v>P1</x:v>
      </x:c>
      <x:c r="E702" s="34" t="str">
        <x:v>지연·현물조달</x:v>
      </x:c>
      <x:c r="F702" s="34" t="str">
        <x:v>PORT-4F64F793369E</x:v>
      </x:c>
      <x:c r="G702" s="34" t="str">
        <x:v>DISCLOSED_PATH</x:v>
      </x:c>
      <x:c r="H702" s="34" t="n">
        <x:v>5</x:v>
      </x:c>
      <x:c r="I702" s="34" t="n">
        <x:v>2029</x:v>
      </x:c>
      <x:c r="J702" s="34" t="n">
        <x:v>2038</x:v>
      </x:c>
      <x:c r="K702" s="34" t="n">
        <x:v>0.341902</x:v>
      </x:c>
      <x:c r="L702" s="34" t="n">
        <x:v>0.257069</x:v>
      </x:c>
      <x:c r="M702" s="34" t="n">
        <x:v>0.401028</x:v>
      </x:c>
      <x:c r="N702" s="34" t="n">
        <x:v>0</x:v>
      </x:c>
      <x:c r="O702" s="34" t="n">
        <x:v>0</x:v>
      </x:c>
      <x:c r="P702" s="34" t="n">
        <x:v>0</x:v>
      </x:c>
      <x:c r="Q702" s="34" t="n">
        <x:v>0.1</x:v>
      </x:c>
      <x:c r="R702" s="34" t="n">
        <x:v>0</x:v>
      </x:c>
      <x:c r="S702" s="34" t="n">
        <x:v>0</x:v>
      </x:c>
      <x:c r="T702" s="34" t="n">
        <x:v>330.968969</x:v>
      </x:c>
      <x:c r="U702" s="34" t="str">
        <x:v>NS-EAST:H2_DRI_EAF:2034|NS-KANSAI:BF_RELINE:2036|NS-KYUSHU:SCRAP_EAF:2029|NS-NAGOYA:BF_RELINE:2032|NS-SETOUCHI:H2_DRI_EAF:2038</x:v>
      </x:c>
      <x:c r="V702" s="34" t="str">
        <x:v>model_generated_candidate</x:v>
      </x:c>
      <x:c r="W702" s="34" t="str">
        <x:v>Generated from disclosed-path facility calendar, technology set and template contracting assumptions; not a company-announced project</x:v>
      </x:c>
    </x:row>
    <x:row r="703">
      <x:c r="A703" s="34" t="str">
        <x:v>CAND-D58DBD3CB780AF</x:v>
      </x:c>
      <x:c r="B703" s="34" t="str">
        <x:v>NIPPON_STEEL_JP</x:v>
      </x:c>
      <x:c r="C703" s="34" t="str">
        <x:v>Nippon Steel</x:v>
      </x:c>
      <x:c r="D703" s="34" t="str">
        <x:v>P1</x:v>
      </x:c>
      <x:c r="E703" s="34" t="str">
        <x:v>지연·현물조달</x:v>
      </x:c>
      <x:c r="F703" s="34" t="str">
        <x:v>PORT-ED90F4FED395</x:v>
      </x:c>
      <x:c r="G703" s="34" t="str">
        <x:v>DISCLOSED_PATH</x:v>
      </x:c>
      <x:c r="H703" s="34" t="n">
        <x:v>5</x:v>
      </x:c>
      <x:c r="I703" s="34" t="n">
        <x:v>2029</x:v>
      </x:c>
      <x:c r="J703" s="34" t="n">
        <x:v>2038</x:v>
      </x:c>
      <x:c r="K703" s="34" t="n">
        <x:v>0.388175</x:v>
      </x:c>
      <x:c r="L703" s="34" t="n">
        <x:v>0</x:v>
      </x:c>
      <x:c r="M703" s="34" t="n">
        <x:v>0.611825</x:v>
      </x:c>
      <x:c r="N703" s="34" t="n">
        <x:v>0</x:v>
      </x:c>
      <x:c r="O703" s="34" t="n">
        <x:v>0</x:v>
      </x:c>
      <x:c r="P703" s="34" t="n">
        <x:v>0</x:v>
      </x:c>
      <x:c r="Q703" s="34" t="n">
        <x:v>0.1</x:v>
      </x:c>
      <x:c r="R703" s="34" t="n">
        <x:v>0</x:v>
      </x:c>
      <x:c r="S703" s="34" t="n">
        <x:v>0</x:v>
      </x:c>
      <x:c r="T703" s="34" t="n">
        <x:v>319.888964</x:v>
      </x:c>
      <x:c r="U703" s="34" t="str">
        <x:v>NS-EAST:BF_RELINE:2034|NS-KANSAI:H2_DRI_EAF:2036|NS-KYUSHU:H2_DRI_EAF:2029|NS-NAGOYA:BF_RELINE:2032|NS-SETOUCHI:H2_DRI_EAF:2038</x:v>
      </x:c>
      <x:c r="V703" s="34" t="str">
        <x:v>model_generated_candidate</x:v>
      </x:c>
      <x:c r="W703" s="34" t="str">
        <x:v>Generated from disclosed-path facility calendar, technology set and template contracting assumptions; not a company-announced project</x:v>
      </x:c>
    </x:row>
    <x:row r="704">
      <x:c r="A704" s="34" t="str">
        <x:v>CAND-D591519E851753</x:v>
      </x:c>
      <x:c r="B704" s="34" t="str">
        <x:v>NIPPON_STEEL_JP</x:v>
      </x:c>
      <x:c r="C704" s="34" t="str">
        <x:v>Nippon Steel</x:v>
      </x:c>
      <x:c r="D704" s="34" t="str">
        <x:v>P1</x:v>
      </x:c>
      <x:c r="E704" s="34" t="str">
        <x:v>지연·현물조달</x:v>
      </x:c>
      <x:c r="F704" s="34" t="str">
        <x:v>PORT-8A3AD855BFD4</x:v>
      </x:c>
      <x:c r="G704" s="34" t="str">
        <x:v>DISCLOSED_PATH</x:v>
      </x:c>
      <x:c r="H704" s="34" t="n">
        <x:v>5</x:v>
      </x:c>
      <x:c r="I704" s="34" t="n">
        <x:v>2029</x:v>
      </x:c>
      <x:c r="J704" s="34" t="n">
        <x:v>2038</x:v>
      </x:c>
      <x:c r="K704" s="34" t="n">
        <x:v>0.37018</x:v>
      </x:c>
      <x:c r="L704" s="34" t="n">
        <x:v>0.449871</x:v>
      </x:c>
      <x:c r="M704" s="34" t="n">
        <x:v>0.179949</x:v>
      </x:c>
      <x:c r="N704" s="34" t="n">
        <x:v>0</x:v>
      </x:c>
      <x:c r="O704" s="34" t="n">
        <x:v>0</x:v>
      </x:c>
      <x:c r="P704" s="34" t="n">
        <x:v>0</x:v>
      </x:c>
      <x:c r="Q704" s="34" t="n">
        <x:v>0.1</x:v>
      </x:c>
      <x:c r="R704" s="34" t="n">
        <x:v>0</x:v>
      </x:c>
      <x:c r="S704" s="34" t="n">
        <x:v>0</x:v>
      </x:c>
      <x:c r="T704" s="34" t="n">
        <x:v>335.423927</x:v>
      </x:c>
      <x:c r="U704" s="34" t="str">
        <x:v>NS-EAST:BF_RELINE:2034|NS-KANSAI:BF_RELINE:2036|NS-KYUSHU:SCRAP_EAF:2029|NS-NAGOYA:H2_DRI_EAF:2032|NS-SETOUCHI:SCRAP_EAF:2038</x:v>
      </x:c>
      <x:c r="V704" s="34" t="str">
        <x:v>model_generated_candidate</x:v>
      </x:c>
      <x:c r="W704" s="34" t="str">
        <x:v>Generated from disclosed-path facility calendar, technology set and template contracting assumptions; not a company-announced project</x:v>
      </x:c>
    </x:row>
    <x:row r="705">
      <x:c r="A705" s="34" t="str">
        <x:v>CAND-D5FFDB7EE708DF</x:v>
      </x:c>
      <x:c r="B705" s="34" t="str">
        <x:v>NIPPON_STEEL_JP</x:v>
      </x:c>
      <x:c r="C705" s="34" t="str">
        <x:v>Nippon Steel</x:v>
      </x:c>
      <x:c r="D705" s="34" t="str">
        <x:v>P1</x:v>
      </x:c>
      <x:c r="E705" s="34" t="str">
        <x:v>지연·현물조달</x:v>
      </x:c>
      <x:c r="F705" s="34" t="str">
        <x:v>PORT-FFBC6AEA16BA</x:v>
      </x:c>
      <x:c r="G705" s="34" t="str">
        <x:v>DISCLOSED_PATH</x:v>
      </x:c>
      <x:c r="H705" s="34" t="n">
        <x:v>5</x:v>
      </x:c>
      <x:c r="I705" s="34" t="n">
        <x:v>2029</x:v>
      </x:c>
      <x:c r="J705" s="34" t="n">
        <x:v>2038</x:v>
      </x:c>
      <x:c r="K705" s="34" t="n">
        <x:v>0.372751</x:v>
      </x:c>
      <x:c r="L705" s="34" t="n">
        <x:v>0.465296</x:v>
      </x:c>
      <x:c r="M705" s="34" t="n">
        <x:v>0.161954</x:v>
      </x:c>
      <x:c r="N705" s="34" t="n">
        <x:v>0</x:v>
      </x:c>
      <x:c r="O705" s="34" t="n">
        <x:v>0</x:v>
      </x:c>
      <x:c r="P705" s="34" t="n">
        <x:v>0</x:v>
      </x:c>
      <x:c r="Q705" s="34" t="n">
        <x:v>0.1</x:v>
      </x:c>
      <x:c r="R705" s="34" t="n">
        <x:v>0</x:v>
      </x:c>
      <x:c r="S705" s="34" t="n">
        <x:v>0</x:v>
      </x:c>
      <x:c r="T705" s="34" t="n">
        <x:v>333.838973</x:v>
      </x:c>
      <x:c r="U705" s="34" t="str">
        <x:v>NS-EAST:SCRAP_EAF:2034|NS-KANSAI:H2_DRI_EAF:2036|NS-KYUSHU:SCRAP_EAF:2029|NS-NAGOYA:BF_RELINE:2032|NS-SETOUCHI:BF_RELINE:2038</x:v>
      </x:c>
      <x:c r="V705" s="34" t="str">
        <x:v>model_generated_candidate</x:v>
      </x:c>
      <x:c r="W705" s="34" t="str">
        <x:v>Generated from disclosed-path facility calendar, technology set and template contracting assumptions; not a company-announced project</x:v>
      </x:c>
    </x:row>
    <x:row r="706">
      <x:c r="A706" s="34" t="str">
        <x:v>CAND-D6DD0F7499B62C</x:v>
      </x:c>
      <x:c r="B706" s="34" t="str">
        <x:v>NIPPON_STEEL_JP</x:v>
      </x:c>
      <x:c r="C706" s="34" t="str">
        <x:v>Nippon Steel</x:v>
      </x:c>
      <x:c r="D706" s="34" t="str">
        <x:v>P3</x:v>
      </x:c>
      <x:c r="E706" s="34" t="str">
        <x:v>균형형 라이트헤지</x:v>
      </x:c>
      <x:c r="F706" s="34" t="str">
        <x:v>PORT-D6A44514D4F3</x:v>
      </x:c>
      <x:c r="G706" s="34" t="str">
        <x:v>DISCLOSED_PATH</x:v>
      </x:c>
      <x:c r="H706" s="34" t="n">
        <x:v>5</x:v>
      </x:c>
      <x:c r="I706" s="34" t="n">
        <x:v>2029</x:v>
      </x:c>
      <x:c r="J706" s="34" t="n">
        <x:v>2038</x:v>
      </x:c>
      <x:c r="K706" s="34" t="n">
        <x:v>0.611825</x:v>
      </x:c>
      <x:c r="L706" s="34" t="n">
        <x:v>0</x:v>
      </x:c>
      <x:c r="M706" s="34" t="n">
        <x:v>0.388175</x:v>
      </x:c>
      <x:c r="N706" s="34" t="n">
        <x:v>0</x:v>
      </x:c>
      <x:c r="O706" s="34" t="n">
        <x:v>0.3</x:v>
      </x:c>
      <x:c r="P706" s="34" t="n">
        <x:v>0.25</x:v>
      </x:c>
      <x:c r="Q706" s="34" t="n">
        <x:v>0.35</x:v>
      </x:c>
      <x:c r="R706" s="34" t="n">
        <x:v>0.25</x:v>
      </x:c>
      <x:c r="S706" s="34" t="n">
        <x:v>0.015</x:v>
      </x:c>
      <x:c r="T706" s="34" t="n">
        <x:v>237.098938</x:v>
      </x:c>
      <x:c r="U706" s="34" t="str">
        <x:v>NS-EAST:H2_DRI_EAF:2034|NS-KANSAI:BF_RELINE:2036|NS-KYUSHU:BF_RELINE:2029|NS-NAGOYA:H2_DRI_EAF:2032|NS-SETOUCHI:BF_RELINE:2038</x:v>
      </x:c>
      <x:c r="V706" s="34" t="str">
        <x:v>model_generated_candidate</x:v>
      </x:c>
      <x:c r="W706" s="34" t="str">
        <x:v>Generated from disclosed-path facility calendar, technology set and template contracting assumptions; not a company-announced project</x:v>
      </x:c>
    </x:row>
    <x:row r="707">
      <x:c r="A707" s="34" t="str">
        <x:v>CAND-D6F99BE225DC16</x:v>
      </x:c>
      <x:c r="B707" s="34" t="str">
        <x:v>NIPPON_STEEL_JP</x:v>
      </x:c>
      <x:c r="C707" s="34" t="str">
        <x:v>Nippon Steel</x:v>
      </x:c>
      <x:c r="D707" s="34" t="str">
        <x:v>P2</x:v>
      </x:c>
      <x:c r="E707" s="34" t="str">
        <x:v>지연·부분헤지</x:v>
      </x:c>
      <x:c r="F707" s="34" t="str">
        <x:v>PORT-9B74CD51B8DB</x:v>
      </x:c>
      <x:c r="G707" s="34" t="str">
        <x:v>DISCLOSED_PATH</x:v>
      </x:c>
      <x:c r="H707" s="34" t="n">
        <x:v>5</x:v>
      </x:c>
      <x:c r="I707" s="34" t="n">
        <x:v>2029</x:v>
      </x:c>
      <x:c r="J707" s="34" t="n">
        <x:v>2038</x:v>
      </x:c>
      <x:c r="K707" s="34" t="n">
        <x:v>0.257069</x:v>
      </x:c>
      <x:c r="L707" s="34" t="n">
        <x:v>0.401028</x:v>
      </x:c>
      <x:c r="M707" s="34" t="n">
        <x:v>0.341902</x:v>
      </x:c>
      <x:c r="N707" s="34" t="n">
        <x:v>0</x:v>
      </x:c>
      <x:c r="O707" s="34" t="n">
        <x:v>0.15</x:v>
      </x:c>
      <x:c r="P707" s="34" t="n">
        <x:v>0.1</x:v>
      </x:c>
      <x:c r="Q707" s="34" t="n">
        <x:v>0.2</x:v>
      </x:c>
      <x:c r="R707" s="34" t="n">
        <x:v>0.1</x:v>
      </x:c>
      <x:c r="S707" s="34" t="n">
        <x:v>0.01</x:v>
      </x:c>
      <x:c r="T707" s="34" t="n">
        <x:v>299.503943</x:v>
      </x:c>
      <x:c r="U707" s="34" t="str">
        <x:v>NS-EAST:SCRAP_EAF:2034|NS-KANSAI:H2_DRI_EAF:2036|NS-KYUSHU:BF_RELINE:2029|NS-NAGOYA:H2_DRI_EAF:2032|NS-SETOUCHI:SCRAP_EAF:2038</x:v>
      </x:c>
      <x:c r="V707" s="34" t="str">
        <x:v>model_generated_candidate</x:v>
      </x:c>
      <x:c r="W707" s="34" t="str">
        <x:v>Generated from disclosed-path facility calendar, technology set and template contracting assumptions; not a company-announced project</x:v>
      </x:c>
    </x:row>
    <x:row r="708">
      <x:c r="A708" s="34" t="str">
        <x:v>CAND-D6FDA02B10D7AD</x:v>
      </x:c>
      <x:c r="B708" s="34" t="str">
        <x:v>NIPPON_STEEL_JP</x:v>
      </x:c>
      <x:c r="C708" s="34" t="str">
        <x:v>Nippon Steel</x:v>
      </x:c>
      <x:c r="D708" s="34" t="str">
        <x:v>P2</x:v>
      </x:c>
      <x:c r="E708" s="34" t="str">
        <x:v>지연·부분헤지</x:v>
      </x:c>
      <x:c r="F708" s="34" t="str">
        <x:v>PORT-685CF3088EF5</x:v>
      </x:c>
      <x:c r="G708" s="34" t="str">
        <x:v>DISCLOSED_PATH</x:v>
      </x:c>
      <x:c r="H708" s="34" t="n">
        <x:v>5</x:v>
      </x:c>
      <x:c r="I708" s="34" t="n">
        <x:v>2029</x:v>
      </x:c>
      <x:c r="J708" s="34" t="n">
        <x:v>2038</x:v>
      </x:c>
      <x:c r="K708" s="34" t="n">
        <x:v>0.341902</x:v>
      </x:c>
      <x:c r="L708" s="34" t="n">
        <x:v>0</x:v>
      </x:c>
      <x:c r="M708" s="34" t="n">
        <x:v>0.658098</x:v>
      </x:c>
      <x:c r="N708" s="34" t="n">
        <x:v>0</x:v>
      </x:c>
      <x:c r="O708" s="34" t="n">
        <x:v>0.15</x:v>
      </x:c>
      <x:c r="P708" s="34" t="n">
        <x:v>0.1</x:v>
      </x:c>
      <x:c r="Q708" s="34" t="n">
        <x:v>0.2</x:v>
      </x:c>
      <x:c r="R708" s="34" t="n">
        <x:v>0.1</x:v>
      </x:c>
      <x:c r="S708" s="34" t="n">
        <x:v>0.01</x:v>
      </x:c>
      <x:c r="T708" s="34" t="n">
        <x:v>357.968969</x:v>
      </x:c>
      <x:c r="U708" s="34" t="str">
        <x:v>NS-EAST:H2_DRI_EAF:2034|NS-KANSAI:BF_RELINE:2036|NS-KYUSHU:H2_DRI_EAF:2029|NS-NAGOYA:BF_RELINE:2032|NS-SETOUCHI:H2_DRI_EAF:2038</x:v>
      </x:c>
      <x:c r="V708" s="34" t="str">
        <x:v>model_generated_candidate</x:v>
      </x:c>
      <x:c r="W708" s="34" t="str">
        <x:v>Generated from disclosed-path facility calendar, technology set and template contracting assumptions; not a company-announced project</x:v>
      </x:c>
    </x:row>
    <x:row r="709">
      <x:c r="A709" s="34" t="str">
        <x:v>CAND-D7872FE02A96EF</x:v>
      </x:c>
      <x:c r="B709" s="34" t="str">
        <x:v>NIPPON_STEEL_JP</x:v>
      </x:c>
      <x:c r="C709" s="34" t="str">
        <x:v>Nippon Steel</x:v>
      </x:c>
      <x:c r="D709" s="34" t="str">
        <x:v>P1</x:v>
      </x:c>
      <x:c r="E709" s="34" t="str">
        <x:v>지연·현물조달</x:v>
      </x:c>
      <x:c r="F709" s="34" t="str">
        <x:v>PORT-284F27E6B94C</x:v>
      </x:c>
      <x:c r="G709" s="34" t="str">
        <x:v>DISCLOSED_PATH</x:v>
      </x:c>
      <x:c r="H709" s="34" t="n">
        <x:v>5</x:v>
      </x:c>
      <x:c r="I709" s="34" t="n">
        <x:v>2029</x:v>
      </x:c>
      <x:c r="J709" s="34" t="n">
        <x:v>2038</x:v>
      </x:c>
      <x:c r="K709" s="34" t="n">
        <x:v>0.354756</x:v>
      </x:c>
      <x:c r="L709" s="34" t="n">
        <x:v>0.465296</x:v>
      </x:c>
      <x:c r="M709" s="34" t="n">
        <x:v>0.179949</x:v>
      </x:c>
      <x:c r="N709" s="34" t="n">
        <x:v>0</x:v>
      </x:c>
      <x:c r="O709" s="34" t="n">
        <x:v>0</x:v>
      </x:c>
      <x:c r="P709" s="34" t="n">
        <x:v>0</x:v>
      </x:c>
      <x:c r="Q709" s="34" t="n">
        <x:v>0.1</x:v>
      </x:c>
      <x:c r="R709" s="34" t="n">
        <x:v>0</x:v>
      </x:c>
      <x:c r="S709" s="34" t="n">
        <x:v>0</x:v>
      </x:c>
      <x:c r="T709" s="34" t="n">
        <x:v>381.098937</x:v>
      </x:c>
      <x:c r="U709" s="34" t="str">
        <x:v>NS-EAST:SCRAP_EAF:2034|NS-KANSAI:BF_RELINE:2036|NS-KYUSHU:SCRAP_EAF:2029|NS-NAGOYA:H2_DRI_EAF:2032|NS-SETOUCHI:BF_RELINE:2038</x:v>
      </x:c>
      <x:c r="V709" s="34" t="str">
        <x:v>model_generated_candidate</x:v>
      </x:c>
      <x:c r="W709" s="34" t="str">
        <x:v>Generated from disclosed-path facility calendar, technology set and template contracting assumptions; not a company-announced project</x:v>
      </x:c>
    </x:row>
    <x:row r="710">
      <x:c r="A710" s="34" t="str">
        <x:v>CAND-D78AA4265F93FA</x:v>
      </x:c>
      <x:c r="B710" s="34" t="str">
        <x:v>NIPPON_STEEL_JP</x:v>
      </x:c>
      <x:c r="C710" s="34" t="str">
        <x:v>Nippon Steel</x:v>
      </x:c>
      <x:c r="D710" s="34" t="str">
        <x:v>P1</x:v>
      </x:c>
      <x:c r="E710" s="34" t="str">
        <x:v>지연·현물조달</x:v>
      </x:c>
      <x:c r="F710" s="34" t="str">
        <x:v>PORT-9D11099D9A8A</x:v>
      </x:c>
      <x:c r="G710" s="34" t="str">
        <x:v>DISCLOSED_PATH</x:v>
      </x:c>
      <x:c r="H710" s="34" t="n">
        <x:v>5</x:v>
      </x:c>
      <x:c r="I710" s="34" t="n">
        <x:v>2029</x:v>
      </x:c>
      <x:c r="J710" s="34" t="n">
        <x:v>2038</x:v>
      </x:c>
      <x:c r="K710" s="34" t="n">
        <x:v>0.208226</x:v>
      </x:c>
      <x:c r="L710" s="34" t="n">
        <x:v>0.354756</x:v>
      </x:c>
      <x:c r="M710" s="34" t="n">
        <x:v>0.437018</x:v>
      </x:c>
      <x:c r="N710" s="34" t="n">
        <x:v>0</x:v>
      </x:c>
      <x:c r="O710" s="34" t="n">
        <x:v>0</x:v>
      </x:c>
      <x:c r="P710" s="34" t="n">
        <x:v>0</x:v>
      </x:c>
      <x:c r="Q710" s="34" t="n">
        <x:v>0.1</x:v>
      </x:c>
      <x:c r="R710" s="34" t="n">
        <x:v>0</x:v>
      </x:c>
      <x:c r="S710" s="34" t="n">
        <x:v>0</x:v>
      </x:c>
      <x:c r="T710" s="34" t="n">
        <x:v>403.023932</x:v>
      </x:c>
      <x:c r="U710" s="34" t="str">
        <x:v>NS-EAST:BF_RELINE:2034|NS-KANSAI:SCRAP_EAF:2036|NS-KYUSHU:H2_DRI_EAF:2029|NS-NAGOYA:H2_DRI_EAF:2032|NS-SETOUCHI:SCRAP_EAF:2038</x:v>
      </x:c>
      <x:c r="V710" s="34" t="str">
        <x:v>model_generated_candidate</x:v>
      </x:c>
      <x:c r="W710" s="34" t="str">
        <x:v>Generated from disclosed-path facility calendar, technology set and template contracting assumptions; not a company-announced project</x:v>
      </x:c>
    </x:row>
    <x:row r="711">
      <x:c r="A711" s="34" t="str">
        <x:v>CAND-D827C39ACBB086</x:v>
      </x:c>
      <x:c r="B711" s="34" t="str">
        <x:v>NIPPON_STEEL_JP</x:v>
      </x:c>
      <x:c r="C711" s="34" t="str">
        <x:v>Nippon Steel</x:v>
      </x:c>
      <x:c r="D711" s="34" t="str">
        <x:v>P1</x:v>
      </x:c>
      <x:c r="E711" s="34" t="str">
        <x:v>지연·현물조달</x:v>
      </x:c>
      <x:c r="F711" s="34" t="str">
        <x:v>PORT-0ADF0E82C4B6</x:v>
      </x:c>
      <x:c r="G711" s="34" t="str">
        <x:v>DISCLOSED_PATH</x:v>
      </x:c>
      <x:c r="H711" s="34" t="n">
        <x:v>5</x:v>
      </x:c>
      <x:c r="I711" s="34" t="n">
        <x:v>2029</x:v>
      </x:c>
      <x:c r="J711" s="34" t="n">
        <x:v>2038</x:v>
      </x:c>
      <x:c r="K711" s="34" t="n">
        <x:v>0.257069</x:v>
      </x:c>
      <x:c r="L711" s="34" t="n">
        <x:v>0.742931</x:v>
      </x:c>
      <x:c r="M711" s="34" t="n">
        <x:v>0</x:v>
      </x:c>
      <x:c r="N711" s="34" t="n">
        <x:v>0</x:v>
      </x:c>
      <x:c r="O711" s="34" t="n">
        <x:v>0</x:v>
      </x:c>
      <x:c r="P711" s="34" t="n">
        <x:v>0</x:v>
      </x:c>
      <x:c r="Q711" s="34" t="n">
        <x:v>0.1</x:v>
      </x:c>
      <x:c r="R711" s="34" t="n">
        <x:v>0</x:v>
      </x:c>
      <x:c r="S711" s="34" t="n">
        <x:v>0</x:v>
      </x:c>
      <x:c r="T711" s="34" t="n">
        <x:v>278.553946</x:v>
      </x:c>
      <x:c r="U711" s="34" t="str">
        <x:v>NS-EAST:SCRAP_EAF:2034|NS-KANSAI:SCRAP_EAF:2036|NS-KYUSHU:BF_RELINE:2029|NS-NAGOYA:SCRAP_EAF:2032|NS-SETOUCHI:SCRAP_EAF:2038</x:v>
      </x:c>
      <x:c r="V711" s="34" t="str">
        <x:v>model_generated_candidate</x:v>
      </x:c>
      <x:c r="W711" s="34" t="str">
        <x:v>Generated from disclosed-path facility calendar, technology set and template contracting assumptions; not a company-announced project</x:v>
      </x:c>
    </x:row>
    <x:row r="712">
      <x:c r="A712" s="34" t="str">
        <x:v>CAND-D862A4AE5F72FA</x:v>
      </x:c>
      <x:c r="B712" s="34" t="str">
        <x:v>NIPPON_STEEL_JP</x:v>
      </x:c>
      <x:c r="C712" s="34" t="str">
        <x:v>Nippon Steel</x:v>
      </x:c>
      <x:c r="D712" s="34" t="str">
        <x:v>P3</x:v>
      </x:c>
      <x:c r="E712" s="34" t="str">
        <x:v>균형형 라이트헤지</x:v>
      </x:c>
      <x:c r="F712" s="34" t="str">
        <x:v>PORT-93BA44A86FDE</x:v>
      </x:c>
      <x:c r="G712" s="34" t="str">
        <x:v>DISCLOSED_PATH</x:v>
      </x:c>
      <x:c r="H712" s="34" t="n">
        <x:v>5</x:v>
      </x:c>
      <x:c r="I712" s="34" t="n">
        <x:v>2029</x:v>
      </x:c>
      <x:c r="J712" s="34" t="n">
        <x:v>2038</x:v>
      </x:c>
      <x:c r="K712" s="34" t="n">
        <x:v>0</x:v>
      </x:c>
      <x:c r="L712" s="34" t="n">
        <x:v>0.449871</x:v>
      </x:c>
      <x:c r="M712" s="34" t="n">
        <x:v>0.550129</x:v>
      </x:c>
      <x:c r="N712" s="34" t="n">
        <x:v>0</x:v>
      </x:c>
      <x:c r="O712" s="34" t="n">
        <x:v>0.3</x:v>
      </x:c>
      <x:c r="P712" s="34" t="n">
        <x:v>0.25</x:v>
      </x:c>
      <x:c r="Q712" s="34" t="n">
        <x:v>0.35</x:v>
      </x:c>
      <x:c r="R712" s="34" t="n">
        <x:v>0.25</x:v>
      </x:c>
      <x:c r="S712" s="34" t="n">
        <x:v>0.015</x:v>
      </x:c>
      <x:c r="T712" s="34" t="n">
        <x:v>468.703944</x:v>
      </x:c>
      <x:c r="U712" s="34" t="str">
        <x:v>NS-EAST:H2_DRI_EAF:2034|NS-KANSAI:H2_DRI_EAF:2036|NS-KYUSHU:SCRAP_EAF:2029|NS-NAGOYA:H2_DRI_EAF:2032|NS-SETOUCHI:SCRAP_EAF:2038</x:v>
      </x:c>
      <x:c r="V712" s="34" t="str">
        <x:v>model_generated_candidate</x:v>
      </x:c>
      <x:c r="W712" s="34" t="str">
        <x:v>Generated from disclosed-path facility calendar, technology set and template contracting assumptions; not a company-announced project</x:v>
      </x:c>
    </x:row>
    <x:row r="713">
      <x:c r="A713" s="34" t="str">
        <x:v>CAND-D86DEC009AD2B4</x:v>
      </x:c>
      <x:c r="B713" s="34" t="str">
        <x:v>NIPPON_STEEL_JP</x:v>
      </x:c>
      <x:c r="C713" s="34" t="str">
        <x:v>Nippon Steel</x:v>
      </x:c>
      <x:c r="D713" s="34" t="str">
        <x:v>P4</x:v>
      </x:c>
      <x:c r="E713" s="34" t="str">
        <x:v>균형형 전환</x:v>
      </x:c>
      <x:c r="F713" s="34" t="str">
        <x:v>PORT-A16166E967FC</x:v>
      </x:c>
      <x:c r="G713" s="34" t="str">
        <x:v>DISCLOSED_PATH</x:v>
      </x:c>
      <x:c r="H713" s="34" t="n">
        <x:v>5</x:v>
      </x:c>
      <x:c r="I713" s="34" t="n">
        <x:v>2028</x:v>
      </x:c>
      <x:c r="J713" s="34" t="n">
        <x:v>2037</x:v>
      </x:c>
      <x:c r="K713" s="34" t="n">
        <x:v>0.449871</x:v>
      </x:c>
      <x:c r="L713" s="34" t="n">
        <x:v>0</x:v>
      </x:c>
      <x:c r="M713" s="34" t="n">
        <x:v>0.550129</x:v>
      </x:c>
      <x:c r="N713" s="34" t="n">
        <x:v>0</x:v>
      </x:c>
      <x:c r="O713" s="34" t="n">
        <x:v>0.5</x:v>
      </x:c>
      <x:c r="P713" s="34" t="n">
        <x:v>0.45</x:v>
      </x:c>
      <x:c r="Q713" s="34" t="n">
        <x:v>0.5</x:v>
      </x:c>
      <x:c r="R713" s="34" t="n">
        <x:v>0.4</x:v>
      </x:c>
      <x:c r="S713" s="34" t="n">
        <x:v>0.02</x:v>
      </x:c>
      <x:c r="T713" s="34" t="n">
        <x:v>324.428941</x:v>
      </x:c>
      <x:c r="U713" s="34" t="str">
        <x:v>NS-EAST:H2_DRI_EAF:2033|NS-KANSAI:H2_DRI_EAF:2035|NS-KYUSHU:BF_RELINE:2028|NS-NAGOYA:H2_DRI_EAF:2031|NS-SETOUCHI:BF_RELINE:2037</x:v>
      </x:c>
      <x:c r="V713" s="34" t="str">
        <x:v>model_generated_candidate</x:v>
      </x:c>
      <x:c r="W713" s="34" t="str">
        <x:v>Generated from disclosed-path facility calendar, technology set and template contracting assumptions; not a company-announced project</x:v>
      </x:c>
    </x:row>
    <x:row r="714">
      <x:c r="A714" s="34" t="str">
        <x:v>CAND-D8B663A03A2D8E</x:v>
      </x:c>
      <x:c r="B714" s="34" t="str">
        <x:v>NIPPON_STEEL_JP</x:v>
      </x:c>
      <x:c r="C714" s="34" t="str">
        <x:v>Nippon Steel</x:v>
      </x:c>
      <x:c r="D714" s="34" t="str">
        <x:v>P3</x:v>
      </x:c>
      <x:c r="E714" s="34" t="str">
        <x:v>균형형 라이트헤지</x:v>
      </x:c>
      <x:c r="F714" s="34" t="str">
        <x:v>PORT-888EB63E71B0</x:v>
      </x:c>
      <x:c r="G714" s="34" t="str">
        <x:v>DISCLOSED_PATH</x:v>
      </x:c>
      <x:c r="H714" s="34" t="n">
        <x:v>5</x:v>
      </x:c>
      <x:c r="I714" s="34" t="n">
        <x:v>2029</x:v>
      </x:c>
      <x:c r="J714" s="34" t="n">
        <x:v>2038</x:v>
      </x:c>
      <x:c r="K714" s="34" t="n">
        <x:v>0.354756</x:v>
      </x:c>
      <x:c r="L714" s="34" t="n">
        <x:v>0</x:v>
      </x:c>
      <x:c r="M714" s="34" t="n">
        <x:v>0.645244</x:v>
      </x:c>
      <x:c r="N714" s="34" t="n">
        <x:v>0</x:v>
      </x:c>
      <x:c r="O714" s="34" t="n">
        <x:v>0.3</x:v>
      </x:c>
      <x:c r="P714" s="34" t="n">
        <x:v>0.25</x:v>
      </x:c>
      <x:c r="Q714" s="34" t="n">
        <x:v>0.35</x:v>
      </x:c>
      <x:c r="R714" s="34" t="n">
        <x:v>0.25</x:v>
      </x:c>
      <x:c r="S714" s="34" t="n">
        <x:v>0.015</x:v>
      </x:c>
      <x:c r="T714" s="34" t="n">
        <x:v>420.698938</x:v>
      </x:c>
      <x:c r="U714" s="34" t="str">
        <x:v>NS-EAST:H2_DRI_EAF:2034|NS-KANSAI:BF_RELINE:2036|NS-KYUSHU:H2_DRI_EAF:2029|NS-NAGOYA:H2_DRI_EAF:2032|NS-SETOUCHI:BF_RELINE:2038</x:v>
      </x:c>
      <x:c r="V714" s="34" t="str">
        <x:v>model_generated_candidate</x:v>
      </x:c>
      <x:c r="W714" s="34" t="str">
        <x:v>Generated from disclosed-path facility calendar, technology set and template contracting assumptions; not a company-announced project</x:v>
      </x:c>
    </x:row>
    <x:row r="715">
      <x:c r="A715" s="34" t="str">
        <x:v>CAND-D9D951ACB26CDA</x:v>
      </x:c>
      <x:c r="B715" s="34" t="str">
        <x:v>NIPPON_STEEL_JP</x:v>
      </x:c>
      <x:c r="C715" s="34" t="str">
        <x:v>Nippon Steel</x:v>
      </x:c>
      <x:c r="D715" s="34" t="str">
        <x:v>P1</x:v>
      </x:c>
      <x:c r="E715" s="34" t="str">
        <x:v>지연·현물조달</x:v>
      </x:c>
      <x:c r="F715" s="34" t="str">
        <x:v>PORT-B8A913DFD01F</x:v>
      </x:c>
      <x:c r="G715" s="34" t="str">
        <x:v>DISCLOSED_PATH</x:v>
      </x:c>
      <x:c r="H715" s="34" t="n">
        <x:v>5</x:v>
      </x:c>
      <x:c r="I715" s="34" t="n">
        <x:v>2029</x:v>
      </x:c>
      <x:c r="J715" s="34" t="n">
        <x:v>2038</x:v>
      </x:c>
      <x:c r="K715" s="34" t="n">
        <x:v>0.534704</x:v>
      </x:c>
      <x:c r="L715" s="34" t="n">
        <x:v>0.208226</x:v>
      </x:c>
      <x:c r="M715" s="34" t="n">
        <x:v>0.257069</x:v>
      </x:c>
      <x:c r="N715" s="34" t="n">
        <x:v>0</x:v>
      </x:c>
      <x:c r="O715" s="34" t="n">
        <x:v>0</x:v>
      </x:c>
      <x:c r="P715" s="34" t="n">
        <x:v>0</x:v>
      </x:c>
      <x:c r="Q715" s="34" t="n">
        <x:v>0.1</x:v>
      </x:c>
      <x:c r="R715" s="34" t="n">
        <x:v>0</x:v>
      </x:c>
      <x:c r="S715" s="34" t="n">
        <x:v>0</x:v>
      </x:c>
      <x:c r="T715" s="34" t="n">
        <x:v>313.238967</x:v>
      </x:c>
      <x:c r="U715" s="34" t="str">
        <x:v>NS-EAST:SCRAP_EAF:2034|NS-KANSAI:BF_RELINE:2036|NS-KYUSHU:H2_DRI_EAF:2029|NS-NAGOYA:BF_RELINE:2032|NS-SETOUCHI:BF_RELINE:2038</x:v>
      </x:c>
      <x:c r="V715" s="34" t="str">
        <x:v>model_generated_candidate</x:v>
      </x:c>
      <x:c r="W715" s="34" t="str">
        <x:v>Generated from disclosed-path facility calendar, technology set and template contracting assumptions; not a company-announced project</x:v>
      </x:c>
    </x:row>
    <x:row r="716">
      <x:c r="A716" s="34" t="str">
        <x:v>CAND-DA34AA68AEB99B</x:v>
      </x:c>
      <x:c r="B716" s="34" t="str">
        <x:v>NIPPON_STEEL_JP</x:v>
      </x:c>
      <x:c r="C716" s="34" t="str">
        <x:v>Nippon Steel</x:v>
      </x:c>
      <x:c r="D716" s="34" t="str">
        <x:v>P3</x:v>
      </x:c>
      <x:c r="E716" s="34" t="str">
        <x:v>균형형 라이트헤지</x:v>
      </x:c>
      <x:c r="F716" s="34" t="str">
        <x:v>PORT-EDF18767D12A</x:v>
      </x:c>
      <x:c r="G716" s="34" t="str">
        <x:v>DISCLOSED_PATH</x:v>
      </x:c>
      <x:c r="H716" s="34" t="n">
        <x:v>5</x:v>
      </x:c>
      <x:c r="I716" s="34" t="n">
        <x:v>2029</x:v>
      </x:c>
      <x:c r="J716" s="34" t="n">
        <x:v>2038</x:v>
      </x:c>
      <x:c r="K716" s="34" t="n">
        <x:v>0.179949</x:v>
      </x:c>
      <x:c r="L716" s="34" t="n">
        <x:v>0.161954</x:v>
      </x:c>
      <x:c r="M716" s="34" t="n">
        <x:v>0.658098</x:v>
      </x:c>
      <x:c r="N716" s="34" t="n">
        <x:v>0</x:v>
      </x:c>
      <x:c r="O716" s="34" t="n">
        <x:v>0.3</x:v>
      </x:c>
      <x:c r="P716" s="34" t="n">
        <x:v>0.25</x:v>
      </x:c>
      <x:c r="Q716" s="34" t="n">
        <x:v>0.35</x:v>
      </x:c>
      <x:c r="R716" s="34" t="n">
        <x:v>0.25</x:v>
      </x:c>
      <x:c r="S716" s="34" t="n">
        <x:v>0.015</x:v>
      </x:c>
      <x:c r="T716" s="34" t="n">
        <x:v>398.568974</x:v>
      </x:c>
      <x:c r="U716" s="34" t="str">
        <x:v>NS-EAST:H2_DRI_EAF:2034|NS-KANSAI:SCRAP_EAF:2036|NS-KYUSHU:H2_DRI_EAF:2029|NS-NAGOYA:BF_RELINE:2032|NS-SETOUCHI:H2_DRI_EAF:2038</x:v>
      </x:c>
      <x:c r="V716" s="34" t="str">
        <x:v>model_generated_candidate</x:v>
      </x:c>
      <x:c r="W716" s="34" t="str">
        <x:v>Generated from disclosed-path facility calendar, technology set and template contracting assumptions; not a company-announced project</x:v>
      </x:c>
    </x:row>
    <x:row r="717">
      <x:c r="A717" s="34" t="str">
        <x:v>CAND-DAE87637C5F2F5</x:v>
      </x:c>
      <x:c r="B717" s="34" t="str">
        <x:v>NIPPON_STEEL_JP</x:v>
      </x:c>
      <x:c r="C717" s="34" t="str">
        <x:v>Nippon Steel</x:v>
      </x:c>
      <x:c r="D717" s="34" t="str">
        <x:v>P2</x:v>
      </x:c>
      <x:c r="E717" s="34" t="str">
        <x:v>지연·부분헤지</x:v>
      </x:c>
      <x:c r="F717" s="34" t="str">
        <x:v>PORT-1A4B19920DEE</x:v>
      </x:c>
      <x:c r="G717" s="34" t="str">
        <x:v>DISCLOSED_PATH</x:v>
      </x:c>
      <x:c r="H717" s="34" t="n">
        <x:v>5</x:v>
      </x:c>
      <x:c r="I717" s="34" t="n">
        <x:v>2029</x:v>
      </x:c>
      <x:c r="J717" s="34" t="n">
        <x:v>2038</x:v>
      </x:c>
      <x:c r="K717" s="34" t="n">
        <x:v>0.179949</x:v>
      </x:c>
      <x:c r="L717" s="34" t="n">
        <x:v>0.192802</x:v>
      </x:c>
      <x:c r="M717" s="34" t="n">
        <x:v>0.627249</x:v>
      </x:c>
      <x:c r="N717" s="34" t="n">
        <x:v>0</x:v>
      </x:c>
      <x:c r="O717" s="34" t="n">
        <x:v>0.15</x:v>
      </x:c>
      <x:c r="P717" s="34" t="n">
        <x:v>0.1</x:v>
      </x:c>
      <x:c r="Q717" s="34" t="n">
        <x:v>0.2</x:v>
      </x:c>
      <x:c r="R717" s="34" t="n">
        <x:v>0.1</x:v>
      </x:c>
      <x:c r="S717" s="34" t="n">
        <x:v>0.01</x:v>
      </x:c>
      <x:c r="T717" s="34" t="n">
        <x:v>400.843975</x:v>
      </x:c>
      <x:c r="U717" s="34" t="str">
        <x:v>NS-EAST:H2_DRI_EAF:2034|NS-KANSAI:H2_DRI_EAF:2036|NS-KYUSHU:H2_DRI_EAF:2029|NS-NAGOYA:BF_RELINE:2032|NS-SETOUCHI:SCRAP_EAF:2038</x:v>
      </x:c>
      <x:c r="V717" s="34" t="str">
        <x:v>model_generated_candidate</x:v>
      </x:c>
      <x:c r="W717" s="34" t="str">
        <x:v>Generated from disclosed-path facility calendar, technology set and template contracting assumptions; not a company-announced project</x:v>
      </x:c>
    </x:row>
    <x:row r="718">
      <x:c r="A718" s="34" t="str">
        <x:v>CAND-DAFD63C40E33F4</x:v>
      </x:c>
      <x:c r="B718" s="34" t="str">
        <x:v>NIPPON_STEEL_JP</x:v>
      </x:c>
      <x:c r="C718" s="34" t="str">
        <x:v>Nippon Steel</x:v>
      </x:c>
      <x:c r="D718" s="34" t="str">
        <x:v>P4</x:v>
      </x:c>
      <x:c r="E718" s="34" t="str">
        <x:v>균형형 전환</x:v>
      </x:c>
      <x:c r="F718" s="34" t="str">
        <x:v>PORT-8FDDBD12DDAB</x:v>
      </x:c>
      <x:c r="G718" s="34" t="str">
        <x:v>DISCLOSED_PATH</x:v>
      </x:c>
      <x:c r="H718" s="34" t="n">
        <x:v>5</x:v>
      </x:c>
      <x:c r="I718" s="34" t="n">
        <x:v>2028</x:v>
      </x:c>
      <x:c r="J718" s="34" t="n">
        <x:v>2037</x:v>
      </x:c>
      <x:c r="K718" s="34" t="n">
        <x:v>0.388175</x:v>
      </x:c>
      <x:c r="L718" s="34" t="n">
        <x:v>0</x:v>
      </x:c>
      <x:c r="M718" s="34" t="n">
        <x:v>0.611825</x:v>
      </x:c>
      <x:c r="N718" s="34" t="n">
        <x:v>0</x:v>
      </x:c>
      <x:c r="O718" s="34" t="n">
        <x:v>0.5</x:v>
      </x:c>
      <x:c r="P718" s="34" t="n">
        <x:v>0.45</x:v>
      </x:c>
      <x:c r="Q718" s="34" t="n">
        <x:v>0.5</x:v>
      </x:c>
      <x:c r="R718" s="34" t="n">
        <x:v>0.4</x:v>
      </x:c>
      <x:c r="S718" s="34" t="n">
        <x:v>0.02</x:v>
      </x:c>
      <x:c r="T718" s="34" t="n">
        <x:v>362.848962</x:v>
      </x:c>
      <x:c r="U718" s="34" t="str">
        <x:v>NS-EAST:BF_RELINE:2033|NS-KANSAI:H2_DRI_EAF:2035|NS-KYUSHU:H2_DRI_EAF:2028|NS-NAGOYA:BF_RELINE:2031|NS-SETOUCHI:H2_DRI_EAF:2037</x:v>
      </x:c>
      <x:c r="V718" s="34" t="str">
        <x:v>model_generated_candidate</x:v>
      </x:c>
      <x:c r="W718" s="34" t="str">
        <x:v>Generated from disclosed-path facility calendar, technology set and template contracting assumptions; not a company-announced project</x:v>
      </x:c>
    </x:row>
    <x:row r="719">
      <x:c r="A719" s="34" t="str">
        <x:v>CAND-DBB28F763D22FF</x:v>
      </x:c>
      <x:c r="B719" s="34" t="str">
        <x:v>NIPPON_STEEL_JP</x:v>
      </x:c>
      <x:c r="C719" s="34" t="str">
        <x:v>Nippon Steel</x:v>
      </x:c>
      <x:c r="D719" s="34" t="str">
        <x:v>P1</x:v>
      </x:c>
      <x:c r="E719" s="34" t="str">
        <x:v>지연·현물조달</x:v>
      </x:c>
      <x:c r="F719" s="34" t="str">
        <x:v>PORT-EFA421F0E7E7</x:v>
      </x:c>
      <x:c r="G719" s="34" t="str">
        <x:v>DISCLOSED_PATH</x:v>
      </x:c>
      <x:c r="H719" s="34" t="n">
        <x:v>5</x:v>
      </x:c>
      <x:c r="I719" s="34" t="n">
        <x:v>2029</x:v>
      </x:c>
      <x:c r="J719" s="34" t="n">
        <x:v>2038</x:v>
      </x:c>
      <x:c r="K719" s="34" t="n">
        <x:v>0.354756</x:v>
      </x:c>
      <x:c r="L719" s="34" t="n">
        <x:v>0.179949</x:v>
      </x:c>
      <x:c r="M719" s="34" t="n">
        <x:v>0.465296</x:v>
      </x:c>
      <x:c r="N719" s="34" t="n">
        <x:v>0</x:v>
      </x:c>
      <x:c r="O719" s="34" t="n">
        <x:v>0</x:v>
      </x:c>
      <x:c r="P719" s="34" t="n">
        <x:v>0</x:v>
      </x:c>
      <x:c r="Q719" s="34" t="n">
        <x:v>0.1</x:v>
      </x:c>
      <x:c r="R719" s="34" t="n">
        <x:v>0</x:v>
      </x:c>
      <x:c r="S719" s="34" t="n">
        <x:v>0</x:v>
      </x:c>
      <x:c r="T719" s="34" t="n">
        <x:v>406.748943</x:v>
      </x:c>
      <x:c r="U719" s="34" t="str">
        <x:v>NS-EAST:H2_DRI_EAF:2034|NS-KANSAI:BF_RELINE:2036|NS-KYUSHU:H2_DRI_EAF:2029|NS-NAGOYA:SCRAP_EAF:2032|NS-SETOUCHI:BF_RELINE:2038</x:v>
      </x:c>
      <x:c r="V719" s="34" t="str">
        <x:v>model_generated_candidate</x:v>
      </x:c>
      <x:c r="W719" s="34" t="str">
        <x:v>Generated from disclosed-path facility calendar, technology set and template contracting assumptions; not a company-announced project</x:v>
      </x:c>
    </x:row>
    <x:row r="720">
      <x:c r="A720" s="34" t="str">
        <x:v>CAND-DBBBD19B95B511</x:v>
      </x:c>
      <x:c r="B720" s="34" t="str">
        <x:v>NIPPON_STEEL_JP</x:v>
      </x:c>
      <x:c r="C720" s="34" t="str">
        <x:v>Nippon Steel</x:v>
      </x:c>
      <x:c r="D720" s="34" t="str">
        <x:v>P2</x:v>
      </x:c>
      <x:c r="E720" s="34" t="str">
        <x:v>지연·부분헤지</x:v>
      </x:c>
      <x:c r="F720" s="34" t="str">
        <x:v>PORT-4270128735D9</x:v>
      </x:c>
      <x:c r="G720" s="34" t="str">
        <x:v>DISCLOSED_PATH</x:v>
      </x:c>
      <x:c r="H720" s="34" t="n">
        <x:v>5</x:v>
      </x:c>
      <x:c r="I720" s="34" t="n">
        <x:v>2029</x:v>
      </x:c>
      <x:c r="J720" s="34" t="n">
        <x:v>2038</x:v>
      </x:c>
      <x:c r="K720" s="34" t="n">
        <x:v>0.562982</x:v>
      </x:c>
      <x:c r="L720" s="34" t="n">
        <x:v>0.179949</x:v>
      </x:c>
      <x:c r="M720" s="34" t="n">
        <x:v>0.257069</x:v>
      </x:c>
      <x:c r="N720" s="34" t="n">
        <x:v>0</x:v>
      </x:c>
      <x:c r="O720" s="34" t="n">
        <x:v>0.15</x:v>
      </x:c>
      <x:c r="P720" s="34" t="n">
        <x:v>0.1</x:v>
      </x:c>
      <x:c r="Q720" s="34" t="n">
        <x:v>0.2</x:v>
      </x:c>
      <x:c r="R720" s="34" t="n">
        <x:v>0.1</x:v>
      </x:c>
      <x:c r="S720" s="34" t="n">
        <x:v>0.01</x:v>
      </x:c>
      <x:c r="T720" s="34" t="n">
        <x:v>321.068932</x:v>
      </x:c>
      <x:c r="U720" s="34" t="str">
        <x:v>NS-EAST:BF_RELINE:2034|NS-KANSAI:BF_RELINE:2036|NS-KYUSHU:H2_DRI_EAF:2029|NS-NAGOYA:SCRAP_EAF:2032|NS-SETOUCHI:BF_RELINE:2038</x:v>
      </x:c>
      <x:c r="V720" s="34" t="str">
        <x:v>model_generated_candidate</x:v>
      </x:c>
      <x:c r="W720" s="34" t="str">
        <x:v>Generated from disclosed-path facility calendar, technology set and template contracting assumptions; not a company-announced project</x:v>
      </x:c>
    </x:row>
    <x:row r="721">
      <x:c r="A721" s="34" t="str">
        <x:v>CAND-DBD4D12002E8D2</x:v>
      </x:c>
      <x:c r="B721" s="34" t="str">
        <x:v>NIPPON_STEEL_JP</x:v>
      </x:c>
      <x:c r="C721" s="34" t="str">
        <x:v>Nippon Steel</x:v>
      </x:c>
      <x:c r="D721" s="34" t="str">
        <x:v>P1</x:v>
      </x:c>
      <x:c r="E721" s="34" t="str">
        <x:v>지연·현물조달</x:v>
      </x:c>
      <x:c r="F721" s="34" t="str">
        <x:v>PORT-EF8B17A58845</x:v>
      </x:c>
      <x:c r="G721" s="34" t="str">
        <x:v>DISCLOSED_PATH</x:v>
      </x:c>
      <x:c r="H721" s="34" t="n">
        <x:v>5</x:v>
      </x:c>
      <x:c r="I721" s="34" t="n">
        <x:v>2029</x:v>
      </x:c>
      <x:c r="J721" s="34" t="n">
        <x:v>2038</x:v>
      </x:c>
      <x:c r="K721" s="34" t="n">
        <x:v>0.161954</x:v>
      </x:c>
      <x:c r="L721" s="34" t="n">
        <x:v>0.257069</x:v>
      </x:c>
      <x:c r="M721" s="34" t="n">
        <x:v>0.580977</x:v>
      </x:c>
      <x:c r="N721" s="34" t="n">
        <x:v>0</x:v>
      </x:c>
      <x:c r="O721" s="34" t="n">
        <x:v>0</x:v>
      </x:c>
      <x:c r="P721" s="34" t="n">
        <x:v>0</x:v>
      </x:c>
      <x:c r="Q721" s="34" t="n">
        <x:v>0.1</x:v>
      </x:c>
      <x:c r="R721" s="34" t="n">
        <x:v>0</x:v>
      </x:c>
      <x:c r="S721" s="34" t="n">
        <x:v>0</x:v>
      </x:c>
      <x:c r="T721" s="34" t="n">
        <x:v>425.828938</x:v>
      </x:c>
      <x:c r="U721" s="34" t="str">
        <x:v>NS-EAST:H2_DRI_EAF:2034|NS-KANSAI:BF_RELINE:2036|NS-KYUSHU:SCRAP_EAF:2029|NS-NAGOYA:H2_DRI_EAF:2032|NS-SETOUCHI:H2_DRI_EAF:2038</x:v>
      </x:c>
      <x:c r="V721" s="34" t="str">
        <x:v>model_generated_candidate</x:v>
      </x:c>
      <x:c r="W721" s="34" t="str">
        <x:v>Generated from disclosed-path facility calendar, technology set and template contracting assumptions; not a company-announced project</x:v>
      </x:c>
    </x:row>
    <x:row r="722">
      <x:c r="A722" s="34" t="str">
        <x:v>CAND-DBF77507DB79CD</x:v>
      </x:c>
      <x:c r="B722" s="34" t="str">
        <x:v>NIPPON_STEEL_JP</x:v>
      </x:c>
      <x:c r="C722" s="34" t="str">
        <x:v>Nippon Steel</x:v>
      </x:c>
      <x:c r="D722" s="34" t="str">
        <x:v>P1</x:v>
      </x:c>
      <x:c r="E722" s="34" t="str">
        <x:v>지연·현물조달</x:v>
      </x:c>
      <x:c r="F722" s="34" t="str">
        <x:v>PORT-9B74CD51B8DB</x:v>
      </x:c>
      <x:c r="G722" s="34" t="str">
        <x:v>DISCLOSED_PATH</x:v>
      </x:c>
      <x:c r="H722" s="34" t="n">
        <x:v>5</x:v>
      </x:c>
      <x:c r="I722" s="34" t="n">
        <x:v>2029</x:v>
      </x:c>
      <x:c r="J722" s="34" t="n">
        <x:v>2038</x:v>
      </x:c>
      <x:c r="K722" s="34" t="n">
        <x:v>0.257069</x:v>
      </x:c>
      <x:c r="L722" s="34" t="n">
        <x:v>0.401028</x:v>
      </x:c>
      <x:c r="M722" s="34" t="n">
        <x:v>0.341902</x:v>
      </x:c>
      <x:c r="N722" s="34" t="n">
        <x:v>0</x:v>
      </x:c>
      <x:c r="O722" s="34" t="n">
        <x:v>0</x:v>
      </x:c>
      <x:c r="P722" s="34" t="n">
        <x:v>0</x:v>
      </x:c>
      <x:c r="Q722" s="34" t="n">
        <x:v>0.1</x:v>
      </x:c>
      <x:c r="R722" s="34" t="n">
        <x:v>0</x:v>
      </x:c>
      <x:c r="S722" s="34" t="n">
        <x:v>0</x:v>
      </x:c>
      <x:c r="T722" s="34" t="n">
        <x:v>299.503943</x:v>
      </x:c>
      <x:c r="U722" s="34" t="str">
        <x:v>NS-EAST:SCRAP_EAF:2034|NS-KANSAI:H2_DRI_EAF:2036|NS-KYUSHU:BF_RELINE:2029|NS-NAGOYA:H2_DRI_EAF:2032|NS-SETOUCHI:SCRAP_EAF:2038</x:v>
      </x:c>
      <x:c r="V722" s="34" t="str">
        <x:v>model_generated_candidate</x:v>
      </x:c>
      <x:c r="W722" s="34" t="str">
        <x:v>Generated from disclosed-path facility calendar, technology set and template contracting assumptions; not a company-announced project</x:v>
      </x:c>
    </x:row>
    <x:row r="723">
      <x:c r="A723" s="34" t="str">
        <x:v>CAND-DC0C13157A14E7</x:v>
      </x:c>
      <x:c r="B723" s="34" t="str">
        <x:v>NIPPON_STEEL_JP</x:v>
      </x:c>
      <x:c r="C723" s="34" t="str">
        <x:v>Nippon Steel</x:v>
      </x:c>
      <x:c r="D723" s="34" t="str">
        <x:v>P1</x:v>
      </x:c>
      <x:c r="E723" s="34" t="str">
        <x:v>지연·현물조달</x:v>
      </x:c>
      <x:c r="F723" s="34" t="str">
        <x:v>PORT-1B8D3CFF1438</x:v>
      </x:c>
      <x:c r="G723" s="34" t="str">
        <x:v>DISCLOSED_PATH</x:v>
      </x:c>
      <x:c r="H723" s="34" t="n">
        <x:v>5</x:v>
      </x:c>
      <x:c r="I723" s="34" t="n">
        <x:v>2029</x:v>
      </x:c>
      <x:c r="J723" s="34" t="n">
        <x:v>2038</x:v>
      </x:c>
      <x:c r="K723" s="34" t="n">
        <x:v>0.437018</x:v>
      </x:c>
      <x:c r="L723" s="34" t="n">
        <x:v>0.354756</x:v>
      </x:c>
      <x:c r="M723" s="34" t="n">
        <x:v>0.208226</x:v>
      </x:c>
      <x:c r="N723" s="34" t="n">
        <x:v>0</x:v>
      </x:c>
      <x:c r="O723" s="34" t="n">
        <x:v>0</x:v>
      </x:c>
      <x:c r="P723" s="34" t="n">
        <x:v>0</x:v>
      </x:c>
      <x:c r="Q723" s="34" t="n">
        <x:v>0.1</x:v>
      </x:c>
      <x:c r="R723" s="34" t="n">
        <x:v>0</x:v>
      </x:c>
      <x:c r="S723" s="34" t="n">
        <x:v>0</x:v>
      </x:c>
      <x:c r="T723" s="34" t="n">
        <x:v>210.243974</x:v>
      </x:c>
      <x:c r="U723" s="34" t="str">
        <x:v>NS-EAST:H2_DRI_EAF:2034|NS-KANSAI:SCRAP_EAF:2036|NS-KYUSHU:BF_RELINE:2029|NS-NAGOYA:BF_RELINE:2032|NS-SETOUCHI:SCRAP_EAF:2038</x:v>
      </x:c>
      <x:c r="V723" s="34" t="str">
        <x:v>model_generated_candidate</x:v>
      </x:c>
      <x:c r="W723" s="34" t="str">
        <x:v>Generated from disclosed-path facility calendar, technology set and template contracting assumptions; not a company-announced project</x:v>
      </x:c>
    </x:row>
    <x:row r="724">
      <x:c r="A724" s="34" t="str">
        <x:v>CAND-DC5EB107F15497</x:v>
      </x:c>
      <x:c r="B724" s="34" t="str">
        <x:v>NIPPON_STEEL_JP</x:v>
      </x:c>
      <x:c r="C724" s="34" t="str">
        <x:v>Nippon Steel</x:v>
      </x:c>
      <x:c r="D724" s="34" t="str">
        <x:v>P2</x:v>
      </x:c>
      <x:c r="E724" s="34" t="str">
        <x:v>지연·부분헤지</x:v>
      </x:c>
      <x:c r="F724" s="34" t="str">
        <x:v>PORT-41756371AE05</x:v>
      </x:c>
      <x:c r="G724" s="34" t="str">
        <x:v>DISCLOSED_PATH</x:v>
      </x:c>
      <x:c r="H724" s="34" t="n">
        <x:v>5</x:v>
      </x:c>
      <x:c r="I724" s="34" t="n">
        <x:v>2029</x:v>
      </x:c>
      <x:c r="J724" s="34" t="n">
        <x:v>2038</x:v>
      </x:c>
      <x:c r="K724" s="34" t="n">
        <x:v>0.161954</x:v>
      </x:c>
      <x:c r="L724" s="34" t="n">
        <x:v>0.449871</x:v>
      </x:c>
      <x:c r="M724" s="34" t="n">
        <x:v>0.388175</x:v>
      </x:c>
      <x:c r="N724" s="34" t="n">
        <x:v>0</x:v>
      </x:c>
      <x:c r="O724" s="34" t="n">
        <x:v>0.15</x:v>
      </x:c>
      <x:c r="P724" s="34" t="n">
        <x:v>0.1</x:v>
      </x:c>
      <x:c r="Q724" s="34" t="n">
        <x:v>0.2</x:v>
      </x:c>
      <x:c r="R724" s="34" t="n">
        <x:v>0.1</x:v>
      </x:c>
      <x:c r="S724" s="34" t="n">
        <x:v>0.01</x:v>
      </x:c>
      <x:c r="T724" s="34" t="n">
        <x:v>421.103938</x:v>
      </x:c>
      <x:c r="U724" s="34" t="str">
        <x:v>NS-EAST:H2_DRI_EAF:2034|NS-KANSAI:BF_RELINE:2036|NS-KYUSHU:SCRAP_EAF:2029|NS-NAGOYA:H2_DRI_EAF:2032|NS-SETOUCHI:SCRAP_EAF:2038</x:v>
      </x:c>
      <x:c r="V724" s="34" t="str">
        <x:v>model_generated_candidate</x:v>
      </x:c>
      <x:c r="W724" s="34" t="str">
        <x:v>Generated from disclosed-path facility calendar, technology set and template contracting assumptions; not a company-announced project</x:v>
      </x:c>
    </x:row>
    <x:row r="725">
      <x:c r="A725" s="34" t="str">
        <x:v>CAND-DCA2E6FB757F4D</x:v>
      </x:c>
      <x:c r="B725" s="34" t="str">
        <x:v>NIPPON_STEEL_JP</x:v>
      </x:c>
      <x:c r="C725" s="34" t="str">
        <x:v>Nippon Steel</x:v>
      </x:c>
      <x:c r="D725" s="34" t="str">
        <x:v>P4</x:v>
      </x:c>
      <x:c r="E725" s="34" t="str">
        <x:v>균형형 전환</x:v>
      </x:c>
      <x:c r="F725" s="34" t="str">
        <x:v>PORT-678524C3B106</x:v>
      </x:c>
      <x:c r="G725" s="34" t="str">
        <x:v>DISCLOSED_PATH</x:v>
      </x:c>
      <x:c r="H725" s="34" t="n">
        <x:v>5</x:v>
      </x:c>
      <x:c r="I725" s="34" t="n">
        <x:v>2028</x:v>
      </x:c>
      <x:c r="J725" s="34" t="n">
        <x:v>2037</x:v>
      </x:c>
      <x:c r="K725" s="34" t="n">
        <x:v>0</x:v>
      </x:c>
      <x:c r="L725" s="34" t="n">
        <x:v>0.449871</x:v>
      </x:c>
      <x:c r="M725" s="34" t="n">
        <x:v>0.550129</x:v>
      </x:c>
      <x:c r="N725" s="34" t="n">
        <x:v>0</x:v>
      </x:c>
      <x:c r="O725" s="34" t="n">
        <x:v>0.5</x:v>
      </x:c>
      <x:c r="P725" s="34" t="n">
        <x:v>0.45</x:v>
      </x:c>
      <x:c r="Q725" s="34" t="n">
        <x:v>0.5</x:v>
      </x:c>
      <x:c r="R725" s="34" t="n">
        <x:v>0.4</x:v>
      </x:c>
      <x:c r="S725" s="34" t="n">
        <x:v>0.02</x:v>
      </x:c>
      <x:c r="T725" s="34" t="n">
        <x:v>530.618941</x:v>
      </x:c>
      <x:c r="U725" s="34" t="str">
        <x:v>NS-EAST:H2_DRI_EAF:2033|NS-KANSAI:H2_DRI_EAF:2035|NS-KYUSHU:SCRAP_EAF:2028|NS-NAGOYA:H2_DRI_EAF:2031|NS-SETOUCHI:SCRAP_EAF:2037</x:v>
      </x:c>
      <x:c r="V725" s="34" t="str">
        <x:v>model_generated_candidate</x:v>
      </x:c>
      <x:c r="W725" s="34" t="str">
        <x:v>Generated from disclosed-path facility calendar, technology set and template contracting assumptions; not a company-announced project</x:v>
      </x:c>
    </x:row>
    <x:row r="726">
      <x:c r="A726" s="34" t="str">
        <x:v>CAND-DCF86E3DE6D95B</x:v>
      </x:c>
      <x:c r="B726" s="34" t="str">
        <x:v>NIPPON_STEEL_JP</x:v>
      </x:c>
      <x:c r="C726" s="34" t="str">
        <x:v>Nippon Steel</x:v>
      </x:c>
      <x:c r="D726" s="34" t="str">
        <x:v>P2</x:v>
      </x:c>
      <x:c r="E726" s="34" t="str">
        <x:v>지연·부분헤지</x:v>
      </x:c>
      <x:c r="F726" s="34" t="str">
        <x:v>PORT-1DC8D35FFDC5</x:v>
      </x:c>
      <x:c r="G726" s="34" t="str">
        <x:v>DISCLOSED_PATH</x:v>
      </x:c>
      <x:c r="H726" s="34" t="n">
        <x:v>5</x:v>
      </x:c>
      <x:c r="I726" s="34" t="n">
        <x:v>2029</x:v>
      </x:c>
      <x:c r="J726" s="34" t="n">
        <x:v>2038</x:v>
      </x:c>
      <x:c r="K726" s="34" t="n">
        <x:v>0</x:v>
      </x:c>
      <x:c r="L726" s="34" t="n">
        <x:v>0.161954</x:v>
      </x:c>
      <x:c r="M726" s="34" t="n">
        <x:v>0.838046</x:v>
      </x:c>
      <x:c r="N726" s="34" t="n">
        <x:v>0</x:v>
      </x:c>
      <x:c r="O726" s="34" t="n">
        <x:v>0.15</x:v>
      </x:c>
      <x:c r="P726" s="34" t="n">
        <x:v>0.1</x:v>
      </x:c>
      <x:c r="Q726" s="34" t="n">
        <x:v>0.2</x:v>
      </x:c>
      <x:c r="R726" s="34" t="n">
        <x:v>0.1</x:v>
      </x:c>
      <x:c r="S726" s="34" t="n">
        <x:v>0.01</x:v>
      </x:c>
      <x:c r="T726" s="34" t="n">
        <x:v>493.428943</x:v>
      </x:c>
      <x:c r="U726" s="34" t="str">
        <x:v>NS-EAST:H2_DRI_EAF:2034|NS-KANSAI:SCRAP_EAF:2036|NS-KYUSHU:H2_DRI_EAF:2029|NS-NAGOYA:H2_DRI_EAF:2032|NS-SETOUCHI:H2_DRI_EAF:2038</x:v>
      </x:c>
      <x:c r="V726" s="34" t="str">
        <x:v>model_generated_candidate</x:v>
      </x:c>
      <x:c r="W726" s="34" t="str">
        <x:v>Generated from disclosed-path facility calendar, technology set and template contracting assumptions; not a company-announced project</x:v>
      </x:c>
    </x:row>
    <x:row r="727">
      <x:c r="A727" s="34" t="str">
        <x:v>CAND-DD31BC9714F54E</x:v>
      </x:c>
      <x:c r="B727" s="34" t="str">
        <x:v>NIPPON_STEEL_JP</x:v>
      </x:c>
      <x:c r="C727" s="34" t="str">
        <x:v>Nippon Steel</x:v>
      </x:c>
      <x:c r="D727" s="34" t="str">
        <x:v>P1</x:v>
      </x:c>
      <x:c r="E727" s="34" t="str">
        <x:v>지연·현물조달</x:v>
      </x:c>
      <x:c r="F727" s="34" t="str">
        <x:v>PORT-11E9ABA45603</x:v>
      </x:c>
      <x:c r="G727" s="34" t="str">
        <x:v>DISCLOSED_PATH</x:v>
      </x:c>
      <x:c r="H727" s="34" t="n">
        <x:v>5</x:v>
      </x:c>
      <x:c r="I727" s="34" t="n">
        <x:v>2029</x:v>
      </x:c>
      <x:c r="J727" s="34" t="n">
        <x:v>2038</x:v>
      </x:c>
      <x:c r="K727" s="34" t="n">
        <x:v>0.372751</x:v>
      </x:c>
      <x:c r="L727" s="34" t="n">
        <x:v>0</x:v>
      </x:c>
      <x:c r="M727" s="34" t="n">
        <x:v>0.627249</x:v>
      </x:c>
      <x:c r="N727" s="34" t="n">
        <x:v>0</x:v>
      </x:c>
      <x:c r="O727" s="34" t="n">
        <x:v>0</x:v>
      </x:c>
      <x:c r="P727" s="34" t="n">
        <x:v>0</x:v>
      </x:c>
      <x:c r="Q727" s="34" t="n">
        <x:v>0.1</x:v>
      </x:c>
      <x:c r="R727" s="34" t="n">
        <x:v>0</x:v>
      </x:c>
      <x:c r="S727" s="34" t="n">
        <x:v>0</x:v>
      </x:c>
      <x:c r="T727" s="34" t="n">
        <x:v>373.438975</x:v>
      </x:c>
      <x:c r="U727" s="34" t="str">
        <x:v>NS-EAST:H2_DRI_EAF:2034|NS-KANSAI:H2_DRI_EAF:2036|NS-KYUSHU:H2_DRI_EAF:2029|NS-NAGOYA:BF_RELINE:2032|NS-SETOUCHI:BF_RELINE:2038</x:v>
      </x:c>
      <x:c r="V727" s="34" t="str">
        <x:v>model_generated_candidate</x:v>
      </x:c>
      <x:c r="W727" s="34" t="str">
        <x:v>Generated from disclosed-path facility calendar, technology set and template contracting assumptions; not a company-announced project</x:v>
      </x:c>
    </x:row>
    <x:row r="728">
      <x:c r="A728" s="34" t="str">
        <x:v>CAND-DD96E5530FCF01</x:v>
      </x:c>
      <x:c r="B728" s="34" t="str">
        <x:v>NIPPON_STEEL_JP</x:v>
      </x:c>
      <x:c r="C728" s="34" t="str">
        <x:v>Nippon Steel</x:v>
      </x:c>
      <x:c r="D728" s="34" t="str">
        <x:v>P1</x:v>
      </x:c>
      <x:c r="E728" s="34" t="str">
        <x:v>지연·현물조달</x:v>
      </x:c>
      <x:c r="F728" s="34" t="str">
        <x:v>PORT-523FC992190F</x:v>
      </x:c>
      <x:c r="G728" s="34" t="str">
        <x:v>DISCLOSED_PATH</x:v>
      </x:c>
      <x:c r="H728" s="34" t="n">
        <x:v>5</x:v>
      </x:c>
      <x:c r="I728" s="34" t="n">
        <x:v>2029</x:v>
      </x:c>
      <x:c r="J728" s="34" t="n">
        <x:v>2038</x:v>
      </x:c>
      <x:c r="K728" s="34" t="n">
        <x:v>0.208226</x:v>
      </x:c>
      <x:c r="L728" s="34" t="n">
        <x:v>0.192802</x:v>
      </x:c>
      <x:c r="M728" s="34" t="n">
        <x:v>0.598972</x:v>
      </x:c>
      <x:c r="N728" s="34" t="n">
        <x:v>0</x:v>
      </x:c>
      <x:c r="O728" s="34" t="n">
        <x:v>0</x:v>
      </x:c>
      <x:c r="P728" s="34" t="n">
        <x:v>0</x:v>
      </x:c>
      <x:c r="Q728" s="34" t="n">
        <x:v>0.1</x:v>
      </x:c>
      <x:c r="R728" s="34" t="n">
        <x:v>0</x:v>
      </x:c>
      <x:c r="S728" s="34" t="n">
        <x:v>0</x:v>
      </x:c>
      <x:c r="T728" s="34" t="n">
        <x:v>410.023933</x:v>
      </x:c>
      <x:c r="U728" s="34" t="str">
        <x:v>NS-EAST:BF_RELINE:2034|NS-KANSAI:H2_DRI_EAF:2036|NS-KYUSHU:H2_DRI_EAF:2029|NS-NAGOYA:H2_DRI_EAF:2032|NS-SETOUCHI:SCRAP_EAF:2038</x:v>
      </x:c>
      <x:c r="V728" s="34" t="str">
        <x:v>model_generated_candidate</x:v>
      </x:c>
      <x:c r="W728" s="34" t="str">
        <x:v>Generated from disclosed-path facility calendar, technology set and template contracting assumptions; not a company-announced project</x:v>
      </x:c>
    </x:row>
    <x:row r="729">
      <x:c r="A729" s="34" t="str">
        <x:v>CAND-DDDBFC69D8D300</x:v>
      </x:c>
      <x:c r="B729" s="34" t="str">
        <x:v>NIPPON_STEEL_JP</x:v>
      </x:c>
      <x:c r="C729" s="34" t="str">
        <x:v>Nippon Steel</x:v>
      </x:c>
      <x:c r="D729" s="34" t="str">
        <x:v>P1</x:v>
      </x:c>
      <x:c r="E729" s="34" t="str">
        <x:v>지연·현물조달</x:v>
      </x:c>
      <x:c r="F729" s="34" t="str">
        <x:v>PORT-DC98E399B19F</x:v>
      </x:c>
      <x:c r="G729" s="34" t="str">
        <x:v>DISCLOSED_PATH</x:v>
      </x:c>
      <x:c r="H729" s="34" t="n">
        <x:v>5</x:v>
      </x:c>
      <x:c r="I729" s="34" t="n">
        <x:v>2029</x:v>
      </x:c>
      <x:c r="J729" s="34" t="n">
        <x:v>2038</x:v>
      </x:c>
      <x:c r="K729" s="34" t="n">
        <x:v>0.179949</x:v>
      </x:c>
      <x:c r="L729" s="34" t="n">
        <x:v>0.449871</x:v>
      </x:c>
      <x:c r="M729" s="34" t="n">
        <x:v>0.37018</x:v>
      </x:c>
      <x:c r="N729" s="34" t="n">
        <x:v>0</x:v>
      </x:c>
      <x:c r="O729" s="34" t="n">
        <x:v>0</x:v>
      </x:c>
      <x:c r="P729" s="34" t="n">
        <x:v>0</x:v>
      </x:c>
      <x:c r="Q729" s="34" t="n">
        <x:v>0.1</x:v>
      </x:c>
      <x:c r="R729" s="34" t="n">
        <x:v>0</x:v>
      </x:c>
      <x:c r="S729" s="34" t="n">
        <x:v>0</x:v>
      </x:c>
      <x:c r="T729" s="34" t="n">
        <x:v>373.843975</x:v>
      </x:c>
      <x:c r="U729" s="34" t="str">
        <x:v>NS-EAST:H2_DRI_EAF:2034|NS-KANSAI:H2_DRI_EAF:2036|NS-KYUSHU:SCRAP_EAF:2029|NS-NAGOYA:BF_RELINE:2032|NS-SETOUCHI:SCRAP_EAF:2038</x:v>
      </x:c>
      <x:c r="V729" s="34" t="str">
        <x:v>model_generated_candidate</x:v>
      </x:c>
      <x:c r="W729" s="34" t="str">
        <x:v>Generated from disclosed-path facility calendar, technology set and template contracting assumptions; not a company-announced project</x:v>
      </x:c>
    </x:row>
    <x:row r="730">
      <x:c r="A730" s="34" t="str">
        <x:v>CAND-DE397B98AC02AB</x:v>
      </x:c>
      <x:c r="B730" s="34" t="str">
        <x:v>NIPPON_STEEL_JP</x:v>
      </x:c>
      <x:c r="C730" s="34" t="str">
        <x:v>Nippon Steel</x:v>
      </x:c>
      <x:c r="D730" s="34" t="str">
        <x:v>P3</x:v>
      </x:c>
      <x:c r="E730" s="34" t="str">
        <x:v>균형형 라이트헤지</x:v>
      </x:c>
      <x:c r="F730" s="34" t="str">
        <x:v>PORT-674311CC4C19</x:v>
      </x:c>
      <x:c r="G730" s="34" t="str">
        <x:v>DISCLOSED_PATH</x:v>
      </x:c>
      <x:c r="H730" s="34" t="n">
        <x:v>5</x:v>
      </x:c>
      <x:c r="I730" s="34" t="n">
        <x:v>2029</x:v>
      </x:c>
      <x:c r="J730" s="34" t="n">
        <x:v>2038</x:v>
      </x:c>
      <x:c r="K730" s="34" t="n">
        <x:v>0.161954</x:v>
      </x:c>
      <x:c r="L730" s="34" t="n">
        <x:v>0.372751</x:v>
      </x:c>
      <x:c r="M730" s="34" t="n">
        <x:v>0.465296</x:v>
      </x:c>
      <x:c r="N730" s="34" t="n">
        <x:v>0</x:v>
      </x:c>
      <x:c r="O730" s="34" t="n">
        <x:v>0.3</x:v>
      </x:c>
      <x:c r="P730" s="34" t="n">
        <x:v>0.25</x:v>
      </x:c>
      <x:c r="Q730" s="34" t="n">
        <x:v>0.35</x:v>
      </x:c>
      <x:c r="R730" s="34" t="n">
        <x:v>0.25</x:v>
      </x:c>
      <x:c r="S730" s="34" t="n">
        <x:v>0.015</x:v>
      </x:c>
      <x:c r="T730" s="34" t="n">
        <x:v>434.153943</x:v>
      </x:c>
      <x:c r="U730" s="34" t="str">
        <x:v>NS-EAST:H2_DRI_EAF:2034|NS-KANSAI:BF_RELINE:2036|NS-KYUSHU:H2_DRI_EAF:2029|NS-NAGOYA:SCRAP_EAF:2032|NS-SETOUCHI:SCRAP_EAF:2038</x:v>
      </x:c>
      <x:c r="V730" s="34" t="str">
        <x:v>model_generated_candidate</x:v>
      </x:c>
      <x:c r="W730" s="34" t="str">
        <x:v>Generated from disclosed-path facility calendar, technology set and template contracting assumptions; not a company-announced project</x:v>
      </x:c>
    </x:row>
    <x:row r="731">
      <x:c r="A731" s="34" t="str">
        <x:v>CAND-DE5A7849A96687</x:v>
      </x:c>
      <x:c r="B731" s="34" t="str">
        <x:v>NIPPON_STEEL_JP</x:v>
      </x:c>
      <x:c r="C731" s="34" t="str">
        <x:v>Nippon Steel</x:v>
      </x:c>
      <x:c r="D731" s="34" t="str">
        <x:v>P3</x:v>
      </x:c>
      <x:c r="E731" s="34" t="str">
        <x:v>균형형 라이트헤지</x:v>
      </x:c>
      <x:c r="F731" s="34" t="str">
        <x:v>PORT-BB5C0AB9899D</x:v>
      </x:c>
      <x:c r="G731" s="34" t="str">
        <x:v>DISCLOSED_PATH</x:v>
      </x:c>
      <x:c r="H731" s="34" t="n">
        <x:v>5</x:v>
      </x:c>
      <x:c r="I731" s="34" t="n">
        <x:v>2029</x:v>
      </x:c>
      <x:c r="J731" s="34" t="n">
        <x:v>2038</x:v>
      </x:c>
      <x:c r="K731" s="34" t="n">
        <x:v>0.257069</x:v>
      </x:c>
      <x:c r="L731" s="34" t="n">
        <x:v>0.192802</x:v>
      </x:c>
      <x:c r="M731" s="34" t="n">
        <x:v>0.550129</x:v>
      </x:c>
      <x:c r="N731" s="34" t="n">
        <x:v>0</x:v>
      </x:c>
      <x:c r="O731" s="34" t="n">
        <x:v>0.3</x:v>
      </x:c>
      <x:c r="P731" s="34" t="n">
        <x:v>0.25</x:v>
      </x:c>
      <x:c r="Q731" s="34" t="n">
        <x:v>0.35</x:v>
      </x:c>
      <x:c r="R731" s="34" t="n">
        <x:v>0.25</x:v>
      </x:c>
      <x:c r="S731" s="34" t="n">
        <x:v>0.015</x:v>
      </x:c>
      <x:c r="T731" s="34" t="n">
        <x:v>312.103944</x:v>
      </x:c>
      <x:c r="U731" s="34" t="str">
        <x:v>NS-EAST:H2_DRI_EAF:2034|NS-KANSAI:H2_DRI_EAF:2036|NS-KYUSHU:BF_RELINE:2029|NS-NAGOYA:H2_DRI_EAF:2032|NS-SETOUCHI:SCRAP_EAF:2038</x:v>
      </x:c>
      <x:c r="V731" s="34" t="str">
        <x:v>model_generated_candidate</x:v>
      </x:c>
      <x:c r="W731" s="34" t="str">
        <x:v>Generated from disclosed-path facility calendar, technology set and template contracting assumptions; not a company-announced project</x:v>
      </x:c>
    </x:row>
    <x:row r="732">
      <x:c r="A732" s="34" t="str">
        <x:v>CAND-DEF9CECA01EC28</x:v>
      </x:c>
      <x:c r="B732" s="34" t="str">
        <x:v>NIPPON_STEEL_JP</x:v>
      </x:c>
      <x:c r="C732" s="34" t="str">
        <x:v>Nippon Steel</x:v>
      </x:c>
      <x:c r="D732" s="34" t="str">
        <x:v>P5</x:v>
      </x:c>
      <x:c r="E732" s="34" t="str">
        <x:v>조기 계약형 전환</x:v>
      </x:c>
      <x:c r="F732" s="34" t="str">
        <x:v>PORT-FE782E3DCCE9</x:v>
      </x:c>
      <x:c r="G732" s="34" t="str">
        <x:v>DISCLOSED_PATH</x:v>
      </x:c>
      <x:c r="H732" s="34" t="n">
        <x:v>5</x:v>
      </x:c>
      <x:c r="I732" s="34" t="n">
        <x:v>2028</x:v>
      </x:c>
      <x:c r="J732" s="34" t="n">
        <x:v>2037</x:v>
      </x:c>
      <x:c r="K732" s="34" t="n">
        <x:v>0</x:v>
      </x:c>
      <x:c r="L732" s="34" t="n">
        <x:v>0</x:v>
      </x:c>
      <x:c r="M732" s="34" t="n">
        <x:v>1</x:v>
      </x:c>
      <x:c r="N732" s="34" t="n">
        <x:v>0</x:v>
      </x:c>
      <x:c r="O732" s="34" t="n">
        <x:v>0.7</x:v>
      </x:c>
      <x:c r="P732" s="34" t="n">
        <x:v>0.65</x:v>
      </x:c>
      <x:c r="Q732" s="34" t="n">
        <x:v>0.65</x:v>
      </x:c>
      <x:c r="R732" s="34" t="n">
        <x:v>0.6</x:v>
      </x:c>
      <x:c r="S732" s="34" t="n">
        <x:v>0.025</x:v>
      </x:c>
      <x:c r="T732" s="34" t="n">
        <x:v>566.168941</x:v>
      </x:c>
      <x:c r="U732" s="34" t="str">
        <x:v>NS-EAST:H2_DRI_EAF:2033|NS-KANSAI:H2_DRI_EAF:2035|NS-KYUSHU:H2_DRI_EAF:2028|NS-NAGOYA:H2_DRI_EAF:2031|NS-SETOUCHI:H2_DRI_EAF:2037</x:v>
      </x:c>
      <x:c r="V732" s="34" t="str">
        <x:v>model_generated_candidate</x:v>
      </x:c>
      <x:c r="W732" s="34" t="str">
        <x:v>Generated from disclosed-path facility calendar, technology set and template contracting assumptions; not a company-announced project</x:v>
      </x:c>
    </x:row>
    <x:row r="733">
      <x:c r="A733" s="34" t="str">
        <x:v>CAND-DFDF81E231C708</x:v>
      </x:c>
      <x:c r="B733" s="34" t="str">
        <x:v>NIPPON_STEEL_JP</x:v>
      </x:c>
      <x:c r="C733" s="34" t="str">
        <x:v>Nippon Steel</x:v>
      </x:c>
      <x:c r="D733" s="34" t="str">
        <x:v>P1</x:v>
      </x:c>
      <x:c r="E733" s="34" t="str">
        <x:v>지연·현물조달</x:v>
      </x:c>
      <x:c r="F733" s="34" t="str">
        <x:v>PORT-FA8F3CAC77FA</x:v>
      </x:c>
      <x:c r="G733" s="34" t="str">
        <x:v>DISCLOSED_PATH</x:v>
      </x:c>
      <x:c r="H733" s="34" t="n">
        <x:v>5</x:v>
      </x:c>
      <x:c r="I733" s="34" t="n">
        <x:v>2029</x:v>
      </x:c>
      <x:c r="J733" s="34" t="n">
        <x:v>2038</x:v>
      </x:c>
      <x:c r="K733" s="34" t="n">
        <x:v>0.465296</x:v>
      </x:c>
      <x:c r="L733" s="34" t="n">
        <x:v>0.341902</x:v>
      </x:c>
      <x:c r="M733" s="34" t="n">
        <x:v>0.192802</x:v>
      </x:c>
      <x:c r="N733" s="34" t="n">
        <x:v>0</x:v>
      </x:c>
      <x:c r="O733" s="34" t="n">
        <x:v>0</x:v>
      </x:c>
      <x:c r="P733" s="34" t="n">
        <x:v>0</x:v>
      </x:c>
      <x:c r="Q733" s="34" t="n">
        <x:v>0.1</x:v>
      </x:c>
      <x:c r="R733" s="34" t="n">
        <x:v>0</x:v>
      </x:c>
      <x:c r="S733" s="34" t="n">
        <x:v>0</x:v>
      </x:c>
      <x:c r="T733" s="34" t="n">
        <x:v>210.198937</x:v>
      </x:c>
      <x:c r="U733" s="34" t="str">
        <x:v>NS-EAST:BF_RELINE:2034|NS-KANSAI:SCRAP_EAF:2036|NS-KYUSHU:BF_RELINE:2029|NS-NAGOYA:SCRAP_EAF:2032|NS-SETOUCHI:H2_DRI_EAF:2038</x:v>
      </x:c>
      <x:c r="V733" s="34" t="str">
        <x:v>model_generated_candidate</x:v>
      </x:c>
      <x:c r="W733" s="34" t="str">
        <x:v>Generated from disclosed-path facility calendar, technology set and template contracting assumptions; not a company-announced project</x:v>
      </x:c>
    </x:row>
    <x:row r="734">
      <x:c r="A734" s="34" t="str">
        <x:v>CAND-E21C830A365AE4</x:v>
      </x:c>
      <x:c r="B734" s="34" t="str">
        <x:v>NIPPON_STEEL_JP</x:v>
      </x:c>
      <x:c r="C734" s="34" t="str">
        <x:v>Nippon Steel</x:v>
      </x:c>
      <x:c r="D734" s="34" t="str">
        <x:v>P4</x:v>
      </x:c>
      <x:c r="E734" s="34" t="str">
        <x:v>균형형 전환</x:v>
      </x:c>
      <x:c r="F734" s="34" t="str">
        <x:v>PORT-0A4F2D1AAC52</x:v>
      </x:c>
      <x:c r="G734" s="34" t="str">
        <x:v>DISCLOSED_PATH</x:v>
      </x:c>
      <x:c r="H734" s="34" t="n">
        <x:v>5</x:v>
      </x:c>
      <x:c r="I734" s="34" t="n">
        <x:v>2028</x:v>
      </x:c>
      <x:c r="J734" s="34" t="n">
        <x:v>2037</x:v>
      </x:c>
      <x:c r="K734" s="34" t="n">
        <x:v>0.401028</x:v>
      </x:c>
      <x:c r="L734" s="34" t="n">
        <x:v>0</x:v>
      </x:c>
      <x:c r="M734" s="34" t="n">
        <x:v>0.598972</x:v>
      </x:c>
      <x:c r="N734" s="34" t="n">
        <x:v>0</x:v>
      </x:c>
      <x:c r="O734" s="34" t="n">
        <x:v>0.5</x:v>
      </x:c>
      <x:c r="P734" s="34" t="n">
        <x:v>0.45</x:v>
      </x:c>
      <x:c r="Q734" s="34" t="n">
        <x:v>0.5</x:v>
      </x:c>
      <x:c r="R734" s="34" t="n">
        <x:v>0.4</x:v>
      </x:c>
      <x:c r="S734" s="34" t="n">
        <x:v>0.02</x:v>
      </x:c>
      <x:c r="T734" s="34" t="n">
        <x:v>425.408928</x:v>
      </x:c>
      <x:c r="U734" s="34" t="str">
        <x:v>NS-EAST:BF_RELINE:2033|NS-KANSAI:H2_DRI_EAF:2035|NS-KYUSHU:H2_DRI_EAF:2028|NS-NAGOYA:H2_DRI_EAF:2031|NS-SETOUCHI:BF_RELINE:2037</x:v>
      </x:c>
      <x:c r="V734" s="34" t="str">
        <x:v>model_generated_candidate</x:v>
      </x:c>
      <x:c r="W734" s="34" t="str">
        <x:v>Generated from disclosed-path facility calendar, technology set and template contracting assumptions; not a company-announced project</x:v>
      </x:c>
    </x:row>
    <x:row r="735">
      <x:c r="A735" s="34" t="str">
        <x:v>CAND-E2F5A6960B799D</x:v>
      </x:c>
      <x:c r="B735" s="34" t="str">
        <x:v>NIPPON_STEEL_JP</x:v>
      </x:c>
      <x:c r="C735" s="34" t="str">
        <x:v>Nippon Steel</x:v>
      </x:c>
      <x:c r="D735" s="34" t="str">
        <x:v>P1</x:v>
      </x:c>
      <x:c r="E735" s="34" t="str">
        <x:v>지연·현물조달</x:v>
      </x:c>
      <x:c r="F735" s="34" t="str">
        <x:v>PORT-1A4B19920DEE</x:v>
      </x:c>
      <x:c r="G735" s="34" t="str">
        <x:v>DISCLOSED_PATH</x:v>
      </x:c>
      <x:c r="H735" s="34" t="n">
        <x:v>5</x:v>
      </x:c>
      <x:c r="I735" s="34" t="n">
        <x:v>2029</x:v>
      </x:c>
      <x:c r="J735" s="34" t="n">
        <x:v>2038</x:v>
      </x:c>
      <x:c r="K735" s="34" t="n">
        <x:v>0.179949</x:v>
      </x:c>
      <x:c r="L735" s="34" t="n">
        <x:v>0.192802</x:v>
      </x:c>
      <x:c r="M735" s="34" t="n">
        <x:v>0.627249</x:v>
      </x:c>
      <x:c r="N735" s="34" t="n">
        <x:v>0</x:v>
      </x:c>
      <x:c r="O735" s="34" t="n">
        <x:v>0</x:v>
      </x:c>
      <x:c r="P735" s="34" t="n">
        <x:v>0</x:v>
      </x:c>
      <x:c r="Q735" s="34" t="n">
        <x:v>0.1</x:v>
      </x:c>
      <x:c r="R735" s="34" t="n">
        <x:v>0</x:v>
      </x:c>
      <x:c r="S735" s="34" t="n">
        <x:v>0</x:v>
      </x:c>
      <x:c r="T735" s="34" t="n">
        <x:v>400.843975</x:v>
      </x:c>
      <x:c r="U735" s="34" t="str">
        <x:v>NS-EAST:H2_DRI_EAF:2034|NS-KANSAI:H2_DRI_EAF:2036|NS-KYUSHU:H2_DRI_EAF:2029|NS-NAGOYA:BF_RELINE:2032|NS-SETOUCHI:SCRAP_EAF:2038</x:v>
      </x:c>
      <x:c r="V735" s="34" t="str">
        <x:v>model_generated_candidate</x:v>
      </x:c>
      <x:c r="W735" s="34" t="str">
        <x:v>Generated from disclosed-path facility calendar, technology set and template contracting assumptions; not a company-announced project</x:v>
      </x:c>
    </x:row>
    <x:row r="736">
      <x:c r="A736" s="34" t="str">
        <x:v>CAND-E305EEE782C913</x:v>
      </x:c>
      <x:c r="B736" s="34" t="str">
        <x:v>NIPPON_STEEL_JP</x:v>
      </x:c>
      <x:c r="C736" s="34" t="str">
        <x:v>Nippon Steel</x:v>
      </x:c>
      <x:c r="D736" s="34" t="str">
        <x:v>P1</x:v>
      </x:c>
      <x:c r="E736" s="34" t="str">
        <x:v>지연·현물조달</x:v>
      </x:c>
      <x:c r="F736" s="34" t="str">
        <x:v>PORT-A38E7AB93504</x:v>
      </x:c>
      <x:c r="G736" s="34" t="str">
        <x:v>DISCLOSED_PATH</x:v>
      </x:c>
      <x:c r="H736" s="34" t="n">
        <x:v>5</x:v>
      </x:c>
      <x:c r="I736" s="34" t="n">
        <x:v>2029</x:v>
      </x:c>
      <x:c r="J736" s="34" t="n">
        <x:v>2038</x:v>
      </x:c>
      <x:c r="K736" s="34" t="n">
        <x:v>0.208226</x:v>
      </x:c>
      <x:c r="L736" s="34" t="n">
        <x:v>0.437018</x:v>
      </x:c>
      <x:c r="M736" s="34" t="n">
        <x:v>0.354756</x:v>
      </x:c>
      <x:c r="N736" s="34" t="n">
        <x:v>0</x:v>
      </x:c>
      <x:c r="O736" s="34" t="n">
        <x:v>0</x:v>
      </x:c>
      <x:c r="P736" s="34" t="n">
        <x:v>0</x:v>
      </x:c>
      <x:c r="Q736" s="34" t="n">
        <x:v>0.1</x:v>
      </x:c>
      <x:c r="R736" s="34" t="n">
        <x:v>0</x:v>
      </x:c>
      <x:c r="S736" s="34" t="n">
        <x:v>0</x:v>
      </x:c>
      <x:c r="T736" s="34" t="n">
        <x:v>373.798938</x:v>
      </x:c>
      <x:c r="U736" s="34" t="str">
        <x:v>NS-EAST:BF_RELINE:2034|NS-KANSAI:H2_DRI_EAF:2036|NS-KYUSHU:SCRAP_EAF:2029|NS-NAGOYA:SCRAP_EAF:2032|NS-SETOUCHI:H2_DRI_EAF:2038</x:v>
      </x:c>
      <x:c r="V736" s="34" t="str">
        <x:v>model_generated_candidate</x:v>
      </x:c>
      <x:c r="W736" s="34" t="str">
        <x:v>Generated from disclosed-path facility calendar, technology set and template contracting assumptions; not a company-announced project</x:v>
      </x:c>
    </x:row>
    <x:row r="737">
      <x:c r="A737" s="34" t="str">
        <x:v>CAND-E33C2F0DC842E7</x:v>
      </x:c>
      <x:c r="B737" s="34" t="str">
        <x:v>NIPPON_STEEL_JP</x:v>
      </x:c>
      <x:c r="C737" s="34" t="str">
        <x:v>Nippon Steel</x:v>
      </x:c>
      <x:c r="D737" s="34" t="str">
        <x:v>P3</x:v>
      </x:c>
      <x:c r="E737" s="34" t="str">
        <x:v>균형형 라이트헤지</x:v>
      </x:c>
      <x:c r="F737" s="34" t="str">
        <x:v>PORT-E3577CB0E245</x:v>
      </x:c>
      <x:c r="G737" s="34" t="str">
        <x:v>DISCLOSED_PATH</x:v>
      </x:c>
      <x:c r="H737" s="34" t="n">
        <x:v>5</x:v>
      </x:c>
      <x:c r="I737" s="34" t="n">
        <x:v>2029</x:v>
      </x:c>
      <x:c r="J737" s="34" t="n">
        <x:v>2038</x:v>
      </x:c>
      <x:c r="K737" s="34" t="n">
        <x:v>0.598972</x:v>
      </x:c>
      <x:c r="L737" s="34" t="n">
        <x:v>0</x:v>
      </x:c>
      <x:c r="M737" s="34" t="n">
        <x:v>0.401028</x:v>
      </x:c>
      <x:c r="N737" s="34" t="n">
        <x:v>0</x:v>
      </x:c>
      <x:c r="O737" s="34" t="n">
        <x:v>0.3</x:v>
      </x:c>
      <x:c r="P737" s="34" t="n">
        <x:v>0.25</x:v>
      </x:c>
      <x:c r="Q737" s="34" t="n">
        <x:v>0.35</x:v>
      </x:c>
      <x:c r="R737" s="34" t="n">
        <x:v>0.25</x:v>
      </x:c>
      <x:c r="S737" s="34" t="n">
        <x:v>0.015</x:v>
      </x:c>
      <x:c r="T737" s="34" t="n">
        <x:v>174.368969</x:v>
      </x:c>
      <x:c r="U737" s="34" t="str">
        <x:v>NS-EAST:H2_DRI_EAF:2034|NS-KANSAI:BF_RELINE:2036|NS-KYUSHU:BF_RELINE:2029|NS-NAGOYA:BF_RELINE:2032|NS-SETOUCHI:H2_DRI_EAF:2038</x:v>
      </x:c>
      <x:c r="V737" s="34" t="str">
        <x:v>model_generated_candidate</x:v>
      </x:c>
      <x:c r="W737" s="34" t="str">
        <x:v>Generated from disclosed-path facility calendar, technology set and template contracting assumptions; not a company-announced project</x:v>
      </x:c>
    </x:row>
    <x:row r="738">
      <x:c r="A738" s="34" t="str">
        <x:v>CAND-E3495A4CA01528</x:v>
      </x:c>
      <x:c r="B738" s="34" t="str">
        <x:v>NIPPON_STEEL_JP</x:v>
      </x:c>
      <x:c r="C738" s="34" t="str">
        <x:v>Nippon Steel</x:v>
      </x:c>
      <x:c r="D738" s="34" t="str">
        <x:v>P1</x:v>
      </x:c>
      <x:c r="E738" s="34" t="str">
        <x:v>지연·현물조달</x:v>
      </x:c>
      <x:c r="F738" s="34" t="str">
        <x:v>PORT-7C3E7675F8C1</x:v>
      </x:c>
      <x:c r="G738" s="34" t="str">
        <x:v>DISCLOSED_PATH</x:v>
      </x:c>
      <x:c r="H738" s="34" t="n">
        <x:v>5</x:v>
      </x:c>
      <x:c r="I738" s="34" t="n">
        <x:v>2029</x:v>
      </x:c>
      <x:c r="J738" s="34" t="n">
        <x:v>2038</x:v>
      </x:c>
      <x:c r="K738" s="34" t="n">
        <x:v>0</x:v>
      </x:c>
      <x:c r="L738" s="34" t="n">
        <x:v>0.388175</x:v>
      </x:c>
      <x:c r="M738" s="34" t="n">
        <x:v>0.611825</x:v>
      </x:c>
      <x:c r="N738" s="34" t="n">
        <x:v>0</x:v>
      </x:c>
      <x:c r="O738" s="34" t="n">
        <x:v>0</x:v>
      </x:c>
      <x:c r="P738" s="34" t="n">
        <x:v>0</x:v>
      </x:c>
      <x:c r="Q738" s="34" t="n">
        <x:v>0.1</x:v>
      </x:c>
      <x:c r="R738" s="34" t="n">
        <x:v>0</x:v>
      </x:c>
      <x:c r="S738" s="34" t="n">
        <x:v>0</x:v>
      </x:c>
      <x:c r="T738" s="34" t="n">
        <x:v>473.878947</x:v>
      </x:c>
      <x:c r="U738" s="34" t="str">
        <x:v>NS-EAST:SCRAP_EAF:2034|NS-KANSAI:H2_DRI_EAF:2036|NS-KYUSHU:H2_DRI_EAF:2029|NS-NAGOYA:SCRAP_EAF:2032|NS-SETOUCHI:H2_DRI_EAF:2038</x:v>
      </x:c>
      <x:c r="V738" s="34" t="str">
        <x:v>model_generated_candidate</x:v>
      </x:c>
      <x:c r="W738" s="34" t="str">
        <x:v>Generated from disclosed-path facility calendar, technology set and template contracting assumptions; not a company-announced project</x:v>
      </x:c>
    </x:row>
    <x:row r="739">
      <x:c r="A739" s="34" t="str">
        <x:v>CAND-E4663FE3C9ECC2</x:v>
      </x:c>
      <x:c r="B739" s="34" t="str">
        <x:v>NIPPON_STEEL_JP</x:v>
      </x:c>
      <x:c r="C739" s="34" t="str">
        <x:v>Nippon Steel</x:v>
      </x:c>
      <x:c r="D739" s="34" t="str">
        <x:v>P2</x:v>
      </x:c>
      <x:c r="E739" s="34" t="str">
        <x:v>지연·부분헤지</x:v>
      </x:c>
      <x:c r="F739" s="34" t="str">
        <x:v>PORT-FBD236D8DF23</x:v>
      </x:c>
      <x:c r="G739" s="34" t="str">
        <x:v>DISCLOSED_PATH</x:v>
      </x:c>
      <x:c r="H739" s="34" t="n">
        <x:v>5</x:v>
      </x:c>
      <x:c r="I739" s="34" t="n">
        <x:v>2029</x:v>
      </x:c>
      <x:c r="J739" s="34" t="n">
        <x:v>2038</x:v>
      </x:c>
      <x:c r="K739" s="34" t="n">
        <x:v>0.179949</x:v>
      </x:c>
      <x:c r="L739" s="34" t="n">
        <x:v>0.208226</x:v>
      </x:c>
      <x:c r="M739" s="34" t="n">
        <x:v>0.611825</x:v>
      </x:c>
      <x:c r="N739" s="34" t="n">
        <x:v>0</x:v>
      </x:c>
      <x:c r="O739" s="34" t="n">
        <x:v>0.15</x:v>
      </x:c>
      <x:c r="P739" s="34" t="n">
        <x:v>0.1</x:v>
      </x:c>
      <x:c r="Q739" s="34" t="n">
        <x:v>0.2</x:v>
      </x:c>
      <x:c r="R739" s="34" t="n">
        <x:v>0.1</x:v>
      </x:c>
      <x:c r="S739" s="34" t="n">
        <x:v>0.01</x:v>
      </x:c>
      <x:c r="T739" s="34" t="n">
        <x:v>392.968973</x:v>
      </x:c>
      <x:c r="U739" s="34" t="str">
        <x:v>NS-EAST:SCRAP_EAF:2034|NS-KANSAI:H2_DRI_EAF:2036|NS-KYUSHU:H2_DRI_EAF:2029|NS-NAGOYA:BF_RELINE:2032|NS-SETOUCHI:H2_DRI_EAF:2038</x:v>
      </x:c>
      <x:c r="V739" s="34" t="str">
        <x:v>model_generated_candidate</x:v>
      </x:c>
      <x:c r="W739" s="34" t="str">
        <x:v>Generated from disclosed-path facility calendar, technology set and template contracting assumptions; not a company-announced project</x:v>
      </x:c>
    </x:row>
    <x:row r="740">
      <x:c r="A740" s="34" t="str">
        <x:v>CAND-E49F4FE9C884CE</x:v>
      </x:c>
      <x:c r="B740" s="34" t="str">
        <x:v>NIPPON_STEEL_JP</x:v>
      </x:c>
      <x:c r="C740" s="34" t="str">
        <x:v>Nippon Steel</x:v>
      </x:c>
      <x:c r="D740" s="34" t="str">
        <x:v>P4</x:v>
      </x:c>
      <x:c r="E740" s="34" t="str">
        <x:v>균형형 전환</x:v>
      </x:c>
      <x:c r="F740" s="34" t="str">
        <x:v>PORT-1DB2DF852C68</x:v>
      </x:c>
      <x:c r="G740" s="34" t="str">
        <x:v>DISCLOSED_PATH</x:v>
      </x:c>
      <x:c r="H740" s="34" t="n">
        <x:v>5</x:v>
      </x:c>
      <x:c r="I740" s="34" t="n">
        <x:v>2028</x:v>
      </x:c>
      <x:c r="J740" s="34" t="n">
        <x:v>2037</x:v>
      </x:c>
      <x:c r="K740" s="34" t="n">
        <x:v>0</x:v>
      </x:c>
      <x:c r="L740" s="34" t="n">
        <x:v>0.341902</x:v>
      </x:c>
      <x:c r="M740" s="34" t="n">
        <x:v>0.658098</x:v>
      </x:c>
      <x:c r="N740" s="34" t="n">
        <x:v>0</x:v>
      </x:c>
      <x:c r="O740" s="34" t="n">
        <x:v>0.5</x:v>
      </x:c>
      <x:c r="P740" s="34" t="n">
        <x:v>0.45</x:v>
      </x:c>
      <x:c r="Q740" s="34" t="n">
        <x:v>0.5</x:v>
      </x:c>
      <x:c r="R740" s="34" t="n">
        <x:v>0.4</x:v>
      </x:c>
      <x:c r="S740" s="34" t="n">
        <x:v>0.02</x:v>
      </x:c>
      <x:c r="T740" s="34" t="n">
        <x:v>542.268945</x:v>
      </x:c>
      <x:c r="U740" s="34" t="str">
        <x:v>NS-EAST:H2_DRI_EAF:2033|NS-KANSAI:SCRAP_EAF:2035|NS-KYUSHU:H2_DRI_EAF:2028|NS-NAGOYA:SCRAP_EAF:2031|NS-SETOUCHI:H2_DRI_EAF:2037</x:v>
      </x:c>
      <x:c r="V740" s="34" t="str">
        <x:v>model_generated_candidate</x:v>
      </x:c>
      <x:c r="W740" s="34" t="str">
        <x:v>Generated from disclosed-path facility calendar, technology set and template contracting assumptions; not a company-announced project</x:v>
      </x:c>
    </x:row>
    <x:row r="741">
      <x:c r="A741" s="34" t="str">
        <x:v>CAND-E4B395B30BE83D</x:v>
      </x:c>
      <x:c r="B741" s="34" t="str">
        <x:v>NIPPON_STEEL_JP</x:v>
      </x:c>
      <x:c r="C741" s="34" t="str">
        <x:v>Nippon Steel</x:v>
      </x:c>
      <x:c r="D741" s="34" t="str">
        <x:v>P1</x:v>
      </x:c>
      <x:c r="E741" s="34" t="str">
        <x:v>지연·현물조달</x:v>
      </x:c>
      <x:c r="F741" s="34" t="str">
        <x:v>PORT-E014E041276B</x:v>
      </x:c>
      <x:c r="G741" s="34" t="str">
        <x:v>DISCLOSED_PATH</x:v>
      </x:c>
      <x:c r="H741" s="34" t="n">
        <x:v>5</x:v>
      </x:c>
      <x:c r="I741" s="34" t="n">
        <x:v>2029</x:v>
      </x:c>
      <x:c r="J741" s="34" t="n">
        <x:v>2038</x:v>
      </x:c>
      <x:c r="K741" s="34" t="n">
        <x:v>0.161954</x:v>
      </x:c>
      <x:c r="L741" s="34" t="n">
        <x:v>0.401028</x:v>
      </x:c>
      <x:c r="M741" s="34" t="n">
        <x:v>0.437018</x:v>
      </x:c>
      <x:c r="N741" s="34" t="n">
        <x:v>0</x:v>
      </x:c>
      <x:c r="O741" s="34" t="n">
        <x:v>0</x:v>
      </x:c>
      <x:c r="P741" s="34" t="n">
        <x:v>0</x:v>
      </x:c>
      <x:c r="Q741" s="34" t="n">
        <x:v>0.1</x:v>
      </x:c>
      <x:c r="R741" s="34" t="n">
        <x:v>0</x:v>
      </x:c>
      <x:c r="S741" s="34" t="n">
        <x:v>0</x:v>
      </x:c>
      <x:c r="T741" s="34" t="n">
        <x:v>435.503937</x:v>
      </x:c>
      <x:c r="U741" s="34" t="str">
        <x:v>NS-EAST:SCRAP_EAF:2034|NS-KANSAI:BF_RELINE:2036|NS-KYUSHU:H2_DRI_EAF:2029|NS-NAGOYA:H2_DRI_EAF:2032|NS-SETOUCHI:SCRAP_EAF:2038</x:v>
      </x:c>
      <x:c r="V741" s="34" t="str">
        <x:v>model_generated_candidate</x:v>
      </x:c>
      <x:c r="W741" s="34" t="str">
        <x:v>Generated from disclosed-path facility calendar, technology set and template contracting assumptions; not a company-announced project</x:v>
      </x:c>
    </x:row>
    <x:row r="742">
      <x:c r="A742" s="34" t="str">
        <x:v>CAND-E51140240B04DC</x:v>
      </x:c>
      <x:c r="B742" s="34" t="str">
        <x:v>NIPPON_STEEL_JP</x:v>
      </x:c>
      <x:c r="C742" s="34" t="str">
        <x:v>Nippon Steel</x:v>
      </x:c>
      <x:c r="D742" s="34" t="str">
        <x:v>P2</x:v>
      </x:c>
      <x:c r="E742" s="34" t="str">
        <x:v>지연·부분헤지</x:v>
      </x:c>
      <x:c r="F742" s="34" t="str">
        <x:v>PORT-A2A3E35D3296</x:v>
      </x:c>
      <x:c r="G742" s="34" t="str">
        <x:v>DISCLOSED_PATH</x:v>
      </x:c>
      <x:c r="H742" s="34" t="n">
        <x:v>5</x:v>
      </x:c>
      <x:c r="I742" s="34" t="n">
        <x:v>2029</x:v>
      </x:c>
      <x:c r="J742" s="34" t="n">
        <x:v>2038</x:v>
      </x:c>
      <x:c r="K742" s="34" t="n">
        <x:v>0</x:v>
      </x:c>
      <x:c r="L742" s="34" t="n">
        <x:v>0.341902</x:v>
      </x:c>
      <x:c r="M742" s="34" t="n">
        <x:v>0.658098</x:v>
      </x:c>
      <x:c r="N742" s="34" t="n">
        <x:v>0</x:v>
      </x:c>
      <x:c r="O742" s="34" t="n">
        <x:v>0.15</x:v>
      </x:c>
      <x:c r="P742" s="34" t="n">
        <x:v>0.1</x:v>
      </x:c>
      <x:c r="Q742" s="34" t="n">
        <x:v>0.2</x:v>
      </x:c>
      <x:c r="R742" s="34" t="n">
        <x:v>0.1</x:v>
      </x:c>
      <x:c r="S742" s="34" t="n">
        <x:v>0.01</x:v>
      </x:c>
      <x:c r="T742" s="34" t="n">
        <x:v>479.478948</x:v>
      </x:c>
      <x:c r="U742" s="34" t="str">
        <x:v>NS-EAST:H2_DRI_EAF:2034|NS-KANSAI:SCRAP_EAF:2036|NS-KYUSHU:H2_DRI_EAF:2029|NS-NAGOYA:SCRAP_EAF:2032|NS-SETOUCHI:H2_DRI_EAF:2038</x:v>
      </x:c>
      <x:c r="V742" s="34" t="str">
        <x:v>model_generated_candidate</x:v>
      </x:c>
      <x:c r="W742" s="34" t="str">
        <x:v>Generated from disclosed-path facility calendar, technology set and template contracting assumptions; not a company-announced project</x:v>
      </x:c>
    </x:row>
    <x:row r="743">
      <x:c r="A743" s="34" t="str">
        <x:v>CAND-E55AC281B1F244</x:v>
      </x:c>
      <x:c r="B743" s="34" t="str">
        <x:v>NIPPON_STEEL_JP</x:v>
      </x:c>
      <x:c r="C743" s="34" t="str">
        <x:v>Nippon Steel</x:v>
      </x:c>
      <x:c r="D743" s="34" t="str">
        <x:v>P2</x:v>
      </x:c>
      <x:c r="E743" s="34" t="str">
        <x:v>지연·부분헤지</x:v>
      </x:c>
      <x:c r="F743" s="34" t="str">
        <x:v>PORT-FFC501C9F3BC</x:v>
      </x:c>
      <x:c r="G743" s="34" t="str">
        <x:v>DISCLOSED_PATH</x:v>
      </x:c>
      <x:c r="H743" s="34" t="n">
        <x:v>5</x:v>
      </x:c>
      <x:c r="I743" s="34" t="n">
        <x:v>2029</x:v>
      </x:c>
      <x:c r="J743" s="34" t="n">
        <x:v>2038</x:v>
      </x:c>
      <x:c r="K743" s="34" t="n">
        <x:v>0</x:v>
      </x:c>
      <x:c r="L743" s="34" t="n">
        <x:v>0.179949</x:v>
      </x:c>
      <x:c r="M743" s="34" t="n">
        <x:v>0.820051</x:v>
      </x:c>
      <x:c r="N743" s="34" t="n">
        <x:v>0</x:v>
      </x:c>
      <x:c r="O743" s="34" t="n">
        <x:v>0.15</x:v>
      </x:c>
      <x:c r="P743" s="34" t="n">
        <x:v>0.1</x:v>
      </x:c>
      <x:c r="Q743" s="34" t="n">
        <x:v>0.2</x:v>
      </x:c>
      <x:c r="R743" s="34" t="n">
        <x:v>0.1</x:v>
      </x:c>
      <x:c r="S743" s="34" t="n">
        <x:v>0.01</x:v>
      </x:c>
      <x:c r="T743" s="34" t="n">
        <x:v>486.478949</x:v>
      </x:c>
      <x:c r="U743" s="34" t="str">
        <x:v>NS-EAST:H2_DRI_EAF:2034|NS-KANSAI:H2_DRI_EAF:2036|NS-KYUSHU:H2_DRI_EAF:2029|NS-NAGOYA:SCRAP_EAF:2032|NS-SETOUCHI:H2_DRI_EAF:2038</x:v>
      </x:c>
      <x:c r="V743" s="34" t="str">
        <x:v>model_generated_candidate</x:v>
      </x:c>
      <x:c r="W743" s="34" t="str">
        <x:v>Generated from disclosed-path facility calendar, technology set and template contracting assumptions; not a company-announced project</x:v>
      </x:c>
    </x:row>
    <x:row r="744">
      <x:c r="A744" s="34" t="str">
        <x:v>CAND-E5928F5B86E86C</x:v>
      </x:c>
      <x:c r="B744" s="34" t="str">
        <x:v>NIPPON_STEEL_JP</x:v>
      </x:c>
      <x:c r="C744" s="34" t="str">
        <x:v>Nippon Steel</x:v>
      </x:c>
      <x:c r="D744" s="34" t="str">
        <x:v>P3</x:v>
      </x:c>
      <x:c r="E744" s="34" t="str">
        <x:v>균형형 라이트헤지</x:v>
      </x:c>
      <x:c r="F744" s="34" t="str">
        <x:v>PORT-060F7B7B1610</x:v>
      </x:c>
      <x:c r="G744" s="34" t="str">
        <x:v>DISCLOSED_PATH</x:v>
      </x:c>
      <x:c r="H744" s="34" t="n">
        <x:v>5</x:v>
      </x:c>
      <x:c r="I744" s="34" t="n">
        <x:v>2029</x:v>
      </x:c>
      <x:c r="J744" s="34" t="n">
        <x:v>2038</x:v>
      </x:c>
      <x:c r="K744" s="34" t="n">
        <x:v>0.465296</x:v>
      </x:c>
      <x:c r="L744" s="34" t="n">
        <x:v>0</x:v>
      </x:c>
      <x:c r="M744" s="34" t="n">
        <x:v>0.534704</x:v>
      </x:c>
      <x:c r="N744" s="34" t="n">
        <x:v>0</x:v>
      </x:c>
      <x:c r="O744" s="34" t="n">
        <x:v>0.3</x:v>
      </x:c>
      <x:c r="P744" s="34" t="n">
        <x:v>0.25</x:v>
      </x:c>
      <x:c r="Q744" s="34" t="n">
        <x:v>0.35</x:v>
      </x:c>
      <x:c r="R744" s="34" t="n">
        <x:v>0.25</x:v>
      </x:c>
      <x:c r="S744" s="34" t="n">
        <x:v>0.015</x:v>
      </x:c>
      <x:c r="T744" s="34" t="n">
        <x:v>231.148933</x:v>
      </x:c>
      <x:c r="U744" s="34" t="str">
        <x:v>NS-EAST:BF_RELINE:2034|NS-KANSAI:H2_DRI_EAF:2036|NS-KYUSHU:BF_RELINE:2029|NS-NAGOYA:H2_DRI_EAF:2032|NS-SETOUCHI:H2_DRI_EAF:2038</x:v>
      </x:c>
      <x:c r="V744" s="34" t="str">
        <x:v>model_generated_candidate</x:v>
      </x:c>
      <x:c r="W744" s="34" t="str">
        <x:v>Generated from disclosed-path facility calendar, technology set and template contracting assumptions; not a company-announced project</x:v>
      </x:c>
    </x:row>
    <x:row r="745">
      <x:c r="A745" s="34" t="str">
        <x:v>CAND-E5CF9B23075519</x:v>
      </x:c>
      <x:c r="B745" s="34" t="str">
        <x:v>NIPPON_STEEL_JP</x:v>
      </x:c>
      <x:c r="C745" s="34" t="str">
        <x:v>Nippon Steel</x:v>
      </x:c>
      <x:c r="D745" s="34" t="str">
        <x:v>P3</x:v>
      </x:c>
      <x:c r="E745" s="34" t="str">
        <x:v>균형형 라이트헤지</x:v>
      </x:c>
      <x:c r="F745" s="34" t="str">
        <x:v>PORT-D7554D828762</x:v>
      </x:c>
      <x:c r="G745" s="34" t="str">
        <x:v>DISCLOSED_PATH</x:v>
      </x:c>
      <x:c r="H745" s="34" t="n">
        <x:v>5</x:v>
      </x:c>
      <x:c r="I745" s="34" t="n">
        <x:v>2029</x:v>
      </x:c>
      <x:c r="J745" s="34" t="n">
        <x:v>2038</x:v>
      </x:c>
      <x:c r="K745" s="34" t="n">
        <x:v>0.37018</x:v>
      </x:c>
      <x:c r="L745" s="34" t="n">
        <x:v>0</x:v>
      </x:c>
      <x:c r="M745" s="34" t="n">
        <x:v>0.62982</x:v>
      </x:c>
      <x:c r="N745" s="34" t="n">
        <x:v>0</x:v>
      </x:c>
      <x:c r="O745" s="34" t="n">
        <x:v>0.3</x:v>
      </x:c>
      <x:c r="P745" s="34" t="n">
        <x:v>0.25</x:v>
      </x:c>
      <x:c r="Q745" s="34" t="n">
        <x:v>0.35</x:v>
      </x:c>
      <x:c r="R745" s="34" t="n">
        <x:v>0.25</x:v>
      </x:c>
      <x:c r="S745" s="34" t="n">
        <x:v>0.015</x:v>
      </x:c>
      <x:c r="T745" s="34" t="n">
        <x:v>367.148927</x:v>
      </x:c>
      <x:c r="U745" s="34" t="str">
        <x:v>NS-EAST:BF_RELINE:2034|NS-KANSAI:BF_RELINE:2036|NS-KYUSHU:H2_DRI_EAF:2029|NS-NAGOYA:H2_DRI_EAF:2032|NS-SETOUCHI:H2_DRI_EAF:2038</x:v>
      </x:c>
      <x:c r="V745" s="34" t="str">
        <x:v>model_generated_candidate</x:v>
      </x:c>
      <x:c r="W745" s="34" t="str">
        <x:v>Generated from disclosed-path facility calendar, technology set and template contracting assumptions; not a company-announced project</x:v>
      </x:c>
    </x:row>
    <x:row r="746">
      <x:c r="A746" s="34" t="str">
        <x:v>CAND-E5E27EFCCA1223</x:v>
      </x:c>
      <x:c r="B746" s="34" t="str">
        <x:v>NIPPON_STEEL_JP</x:v>
      </x:c>
      <x:c r="C746" s="34" t="str">
        <x:v>Nippon Steel</x:v>
      </x:c>
      <x:c r="D746" s="34" t="str">
        <x:v>P5</x:v>
      </x:c>
      <x:c r="E746" s="34" t="str">
        <x:v>조기 계약형 전환</x:v>
      </x:c>
      <x:c r="F746" s="34" t="str">
        <x:v>PORT-40EDEEC77DD5</x:v>
      </x:c>
      <x:c r="G746" s="34" t="str">
        <x:v>DISCLOSED_PATH</x:v>
      </x:c>
      <x:c r="H746" s="34" t="n">
        <x:v>5</x:v>
      </x:c>
      <x:c r="I746" s="34" t="n">
        <x:v>2028</x:v>
      </x:c>
      <x:c r="J746" s="34" t="n">
        <x:v>2037</x:v>
      </x:c>
      <x:c r="K746" s="34" t="n">
        <x:v>0.161954</x:v>
      </x:c>
      <x:c r="L746" s="34" t="n">
        <x:v>0</x:v>
      </x:c>
      <x:c r="M746" s="34" t="n">
        <x:v>0.838046</x:v>
      </x:c>
      <x:c r="N746" s="34" t="n">
        <x:v>0</x:v>
      </x:c>
      <x:c r="O746" s="34" t="n">
        <x:v>0.7</x:v>
      </x:c>
      <x:c r="P746" s="34" t="n">
        <x:v>0.65</x:v>
      </x:c>
      <x:c r="Q746" s="34" t="n">
        <x:v>0.65</x:v>
      </x:c>
      <x:c r="R746" s="34" t="n">
        <x:v>0.6</x:v>
      </x:c>
      <x:c r="S746" s="34" t="n">
        <x:v>0.025</x:v>
      </x:c>
      <x:c r="T746" s="34" t="n">
        <x:v>509.048934</x:v>
      </x:c>
      <x:c r="U746" s="34" t="str">
        <x:v>NS-EAST:H2_DRI_EAF:2033|NS-KANSAI:BF_RELINE:2035|NS-KYUSHU:H2_DRI_EAF:2028|NS-NAGOYA:H2_DRI_EAF:2031|NS-SETOUCHI:H2_DRI_EAF:2037</x:v>
      </x:c>
      <x:c r="V746" s="34" t="str">
        <x:v>model_generated_candidate</x:v>
      </x:c>
      <x:c r="W746" s="34" t="str">
        <x:v>Generated from disclosed-path facility calendar, technology set and template contracting assumptions; not a company-announced project</x:v>
      </x:c>
    </x:row>
    <x:row r="747">
      <x:c r="A747" s="34" t="str">
        <x:v>CAND-E5E8CDD04581DB</x:v>
      </x:c>
      <x:c r="B747" s="34" t="str">
        <x:v>NIPPON_STEEL_JP</x:v>
      </x:c>
      <x:c r="C747" s="34" t="str">
        <x:v>Nippon Steel</x:v>
      </x:c>
      <x:c r="D747" s="34" t="str">
        <x:v>P1</x:v>
      </x:c>
      <x:c r="E747" s="34" t="str">
        <x:v>지연·현물조달</x:v>
      </x:c>
      <x:c r="F747" s="34" t="str">
        <x:v>PORT-D71AD7929180</x:v>
      </x:c>
      <x:c r="G747" s="34" t="str">
        <x:v>DISCLOSED_PATH</x:v>
      </x:c>
      <x:c r="H747" s="34" t="n">
        <x:v>5</x:v>
      </x:c>
      <x:c r="I747" s="34" t="n">
        <x:v>2029</x:v>
      </x:c>
      <x:c r="J747" s="34" t="n">
        <x:v>2038</x:v>
      </x:c>
      <x:c r="K747" s="34" t="n">
        <x:v>0.372751</x:v>
      </x:c>
      <x:c r="L747" s="34" t="n">
        <x:v>0.161954</x:v>
      </x:c>
      <x:c r="M747" s="34" t="n">
        <x:v>0.465296</x:v>
      </x:c>
      <x:c r="N747" s="34" t="n">
        <x:v>0</x:v>
      </x:c>
      <x:c r="O747" s="34" t="n">
        <x:v>0</x:v>
      </x:c>
      <x:c r="P747" s="34" t="n">
        <x:v>0</x:v>
      </x:c>
      <x:c r="Q747" s="34" t="n">
        <x:v>0.1</x:v>
      </x:c>
      <x:c r="R747" s="34" t="n">
        <x:v>0</x:v>
      </x:c>
      <x:c r="S747" s="34" t="n">
        <x:v>0</x:v>
      </x:c>
      <x:c r="T747" s="34" t="n">
        <x:v>366.438974</x:v>
      </x:c>
      <x:c r="U747" s="34" t="str">
        <x:v>NS-EAST:H2_DRI_EAF:2034|NS-KANSAI:SCRAP_EAF:2036|NS-KYUSHU:H2_DRI_EAF:2029|NS-NAGOYA:BF_RELINE:2032|NS-SETOUCHI:BF_RELINE:2038</x:v>
      </x:c>
      <x:c r="V747" s="34" t="str">
        <x:v>model_generated_candidate</x:v>
      </x:c>
      <x:c r="W747" s="34" t="str">
        <x:v>Generated from disclosed-path facility calendar, technology set and template contracting assumptions; not a company-announced project</x:v>
      </x:c>
    </x:row>
    <x:row r="748">
      <x:c r="A748" s="34" t="str">
        <x:v>CAND-E5F67C1DAF70E2</x:v>
      </x:c>
      <x:c r="B748" s="34" t="str">
        <x:v>NIPPON_STEEL_JP</x:v>
      </x:c>
      <x:c r="C748" s="34" t="str">
        <x:v>Nippon Steel</x:v>
      </x:c>
      <x:c r="D748" s="34" t="str">
        <x:v>P3</x:v>
      </x:c>
      <x:c r="E748" s="34" t="str">
        <x:v>균형형 라이트헤지</x:v>
      </x:c>
      <x:c r="F748" s="34" t="str">
        <x:v>PORT-1DC8D35FFDC5</x:v>
      </x:c>
      <x:c r="G748" s="34" t="str">
        <x:v>DISCLOSED_PATH</x:v>
      </x:c>
      <x:c r="H748" s="34" t="n">
        <x:v>5</x:v>
      </x:c>
      <x:c r="I748" s="34" t="n">
        <x:v>2029</x:v>
      </x:c>
      <x:c r="J748" s="34" t="n">
        <x:v>2038</x:v>
      </x:c>
      <x:c r="K748" s="34" t="n">
        <x:v>0</x:v>
      </x:c>
      <x:c r="L748" s="34" t="n">
        <x:v>0.161954</x:v>
      </x:c>
      <x:c r="M748" s="34" t="n">
        <x:v>0.838046</x:v>
      </x:c>
      <x:c r="N748" s="34" t="n">
        <x:v>0</x:v>
      </x:c>
      <x:c r="O748" s="34" t="n">
        <x:v>0.3</x:v>
      </x:c>
      <x:c r="P748" s="34" t="n">
        <x:v>0.25</x:v>
      </x:c>
      <x:c r="Q748" s="34" t="n">
        <x:v>0.35</x:v>
      </x:c>
      <x:c r="R748" s="34" t="n">
        <x:v>0.25</x:v>
      </x:c>
      <x:c r="S748" s="34" t="n">
        <x:v>0.015</x:v>
      </x:c>
      <x:c r="T748" s="34" t="n">
        <x:v>493.428943</x:v>
      </x:c>
      <x:c r="U748" s="34" t="str">
        <x:v>NS-EAST:H2_DRI_EAF:2034|NS-KANSAI:SCRAP_EAF:2036|NS-KYUSHU:H2_DRI_EAF:2029|NS-NAGOYA:H2_DRI_EAF:2032|NS-SETOUCHI:H2_DRI_EAF:2038</x:v>
      </x:c>
      <x:c r="V748" s="34" t="str">
        <x:v>model_generated_candidate</x:v>
      </x:c>
      <x:c r="W748" s="34" t="str">
        <x:v>Generated from disclosed-path facility calendar, technology set and template contracting assumptions; not a company-announced project</x:v>
      </x:c>
    </x:row>
    <x:row r="749">
      <x:c r="A749" s="34" t="str">
        <x:v>CAND-E63CD88A4E2A9B</x:v>
      </x:c>
      <x:c r="B749" s="34" t="str">
        <x:v>NIPPON_STEEL_JP</x:v>
      </x:c>
      <x:c r="C749" s="34" t="str">
        <x:v>Nippon Steel</x:v>
      </x:c>
      <x:c r="D749" s="34" t="str">
        <x:v>P1</x:v>
      </x:c>
      <x:c r="E749" s="34" t="str">
        <x:v>지연·현물조달</x:v>
      </x:c>
      <x:c r="F749" s="34" t="str">
        <x:v>PORT-D248600EA55E</x:v>
      </x:c>
      <x:c r="G749" s="34" t="str">
        <x:v>DISCLOSED_PATH</x:v>
      </x:c>
      <x:c r="H749" s="34" t="n">
        <x:v>5</x:v>
      </x:c>
      <x:c r="I749" s="34" t="n">
        <x:v>2029</x:v>
      </x:c>
      <x:c r="J749" s="34" t="n">
        <x:v>2038</x:v>
      </x:c>
      <x:c r="K749" s="34" t="n">
        <x:v>0.257069</x:v>
      </x:c>
      <x:c r="L749" s="34" t="n">
        <x:v>0.179949</x:v>
      </x:c>
      <x:c r="M749" s="34" t="n">
        <x:v>0.562982</x:v>
      </x:c>
      <x:c r="N749" s="34" t="n">
        <x:v>0</x:v>
      </x:c>
      <x:c r="O749" s="34" t="n">
        <x:v>0</x:v>
      </x:c>
      <x:c r="P749" s="34" t="n">
        <x:v>0</x:v>
      </x:c>
      <x:c r="Q749" s="34" t="n">
        <x:v>0.1</x:v>
      </x:c>
      <x:c r="R749" s="34" t="n">
        <x:v>0</x:v>
      </x:c>
      <x:c r="S749" s="34" t="n">
        <x:v>0</x:v>
      </x:c>
      <x:c r="T749" s="34" t="n">
        <x:v>302.878949</x:v>
      </x:c>
      <x:c r="U749" s="34" t="str">
        <x:v>NS-EAST:H2_DRI_EAF:2034|NS-KANSAI:H2_DRI_EAF:2036|NS-KYUSHU:BF_RELINE:2029|NS-NAGOYA:SCRAP_EAF:2032|NS-SETOUCHI:H2_DRI_EAF:2038</x:v>
      </x:c>
      <x:c r="V749" s="34" t="str">
        <x:v>model_generated_candidate</x:v>
      </x:c>
      <x:c r="W749" s="34" t="str">
        <x:v>Generated from disclosed-path facility calendar, technology set and template contracting assumptions; not a company-announced project</x:v>
      </x:c>
    </x:row>
    <x:row r="750">
      <x:c r="A750" s="34" t="str">
        <x:v>CAND-E6E6E810AB390A</x:v>
      </x:c>
      <x:c r="B750" s="34" t="str">
        <x:v>NIPPON_STEEL_JP</x:v>
      </x:c>
      <x:c r="C750" s="34" t="str">
        <x:v>Nippon Steel</x:v>
      </x:c>
      <x:c r="D750" s="34" t="str">
        <x:v>P1</x:v>
      </x:c>
      <x:c r="E750" s="34" t="str">
        <x:v>지연·현물조달</x:v>
      </x:c>
      <x:c r="F750" s="34" t="str">
        <x:v>PORT-20A3A9F442CD</x:v>
      </x:c>
      <x:c r="G750" s="34" t="str">
        <x:v>DISCLOSED_PATH</x:v>
      </x:c>
      <x:c r="H750" s="34" t="n">
        <x:v>5</x:v>
      </x:c>
      <x:c r="I750" s="34" t="n">
        <x:v>2029</x:v>
      </x:c>
      <x:c r="J750" s="34" t="n">
        <x:v>2038</x:v>
      </x:c>
      <x:c r="K750" s="34" t="n">
        <x:v>0.401028</x:v>
      </x:c>
      <x:c r="L750" s="34" t="n">
        <x:v>0.437018</x:v>
      </x:c>
      <x:c r="M750" s="34" t="n">
        <x:v>0.161954</x:v>
      </x:c>
      <x:c r="N750" s="34" t="n">
        <x:v>0</x:v>
      </x:c>
      <x:c r="O750" s="34" t="n">
        <x:v>0</x:v>
      </x:c>
      <x:c r="P750" s="34" t="n">
        <x:v>0</x:v>
      </x:c>
      <x:c r="Q750" s="34" t="n">
        <x:v>0.1</x:v>
      </x:c>
      <x:c r="R750" s="34" t="n">
        <x:v>0</x:v>
      </x:c>
      <x:c r="S750" s="34" t="n">
        <x:v>0</x:v>
      </x:c>
      <x:c r="T750" s="34" t="n">
        <x:v>341.668938</x:v>
      </x:c>
      <x:c r="U750" s="34" t="str">
        <x:v>NS-EAST:BF_RELINE:2034|NS-KANSAI:H2_DRI_EAF:2036|NS-KYUSHU:SCRAP_EAF:2029|NS-NAGOYA:SCRAP_EAF:2032|NS-SETOUCHI:BF_RELINE:2038</x:v>
      </x:c>
      <x:c r="V750" s="34" t="str">
        <x:v>model_generated_candidate</x:v>
      </x:c>
      <x:c r="W750" s="34" t="str">
        <x:v>Generated from disclosed-path facility calendar, technology set and template contracting assumptions; not a company-announced project</x:v>
      </x:c>
    </x:row>
    <x:row r="751">
      <x:c r="A751" s="34" t="str">
        <x:v>CAND-E6F12FE03FE43A</x:v>
      </x:c>
      <x:c r="B751" s="34" t="str">
        <x:v>NIPPON_STEEL_JP</x:v>
      </x:c>
      <x:c r="C751" s="34" t="str">
        <x:v>Nippon Steel</x:v>
      </x:c>
      <x:c r="D751" s="34" t="str">
        <x:v>P1</x:v>
      </x:c>
      <x:c r="E751" s="34" t="str">
        <x:v>지연·현물조달</x:v>
      </x:c>
      <x:c r="F751" s="34" t="str">
        <x:v>PORT-B45DBE81353D</x:v>
      </x:c>
      <x:c r="G751" s="34" t="str">
        <x:v>DISCLOSED_PATH</x:v>
      </x:c>
      <x:c r="H751" s="34" t="n">
        <x:v>5</x:v>
      </x:c>
      <x:c r="I751" s="34" t="n">
        <x:v>2029</x:v>
      </x:c>
      <x:c r="J751" s="34" t="n">
        <x:v>2038</x:v>
      </x:c>
      <x:c r="K751" s="34" t="n">
        <x:v>0.437018</x:v>
      </x:c>
      <x:c r="L751" s="34" t="n">
        <x:v>0.37018</x:v>
      </x:c>
      <x:c r="M751" s="34" t="n">
        <x:v>0.192802</x:v>
      </x:c>
      <x:c r="N751" s="34" t="n">
        <x:v>0</x:v>
      </x:c>
      <x:c r="O751" s="34" t="n">
        <x:v>0</x:v>
      </x:c>
      <x:c r="P751" s="34" t="n">
        <x:v>0</x:v>
      </x:c>
      <x:c r="Q751" s="34" t="n">
        <x:v>0.1</x:v>
      </x:c>
      <x:c r="R751" s="34" t="n">
        <x:v>0</x:v>
      </x:c>
      <x:c r="S751" s="34" t="n">
        <x:v>0</x:v>
      </x:c>
      <x:c r="T751" s="34" t="n">
        <x:v>202.368972</x:v>
      </x:c>
      <x:c r="U751" s="34" t="str">
        <x:v>NS-EAST:SCRAP_EAF:2034|NS-KANSAI:SCRAP_EAF:2036|NS-KYUSHU:BF_RELINE:2029|NS-NAGOYA:BF_RELINE:2032|NS-SETOUCHI:H2_DRI_EAF:2038</x:v>
      </x:c>
      <x:c r="V751" s="34" t="str">
        <x:v>model_generated_candidate</x:v>
      </x:c>
      <x:c r="W751" s="34" t="str">
        <x:v>Generated from disclosed-path facility calendar, technology set and template contracting assumptions; not a company-announced project</x:v>
      </x:c>
    </x:row>
    <x:row r="752">
      <x:c r="A752" s="34" t="str">
        <x:v>CAND-E760932E023CF7</x:v>
      </x:c>
      <x:c r="B752" s="34" t="str">
        <x:v>NIPPON_STEEL_JP</x:v>
      </x:c>
      <x:c r="C752" s="34" t="str">
        <x:v>Nippon Steel</x:v>
      </x:c>
      <x:c r="D752" s="34" t="str">
        <x:v>P2</x:v>
      </x:c>
      <x:c r="E752" s="34" t="str">
        <x:v>지연·부분헤지</x:v>
      </x:c>
      <x:c r="F752" s="34" t="str">
        <x:v>PORT-D7554D828762</x:v>
      </x:c>
      <x:c r="G752" s="34" t="str">
        <x:v>DISCLOSED_PATH</x:v>
      </x:c>
      <x:c r="H752" s="34" t="n">
        <x:v>5</x:v>
      </x:c>
      <x:c r="I752" s="34" t="n">
        <x:v>2029</x:v>
      </x:c>
      <x:c r="J752" s="34" t="n">
        <x:v>2038</x:v>
      </x:c>
      <x:c r="K752" s="34" t="n">
        <x:v>0.37018</x:v>
      </x:c>
      <x:c r="L752" s="34" t="n">
        <x:v>0</x:v>
      </x:c>
      <x:c r="M752" s="34" t="n">
        <x:v>0.62982</x:v>
      </x:c>
      <x:c r="N752" s="34" t="n">
        <x:v>0</x:v>
      </x:c>
      <x:c r="O752" s="34" t="n">
        <x:v>0.15</x:v>
      </x:c>
      <x:c r="P752" s="34" t="n">
        <x:v>0.1</x:v>
      </x:c>
      <x:c r="Q752" s="34" t="n">
        <x:v>0.2</x:v>
      </x:c>
      <x:c r="R752" s="34" t="n">
        <x:v>0.1</x:v>
      </x:c>
      <x:c r="S752" s="34" t="n">
        <x:v>0.01</x:v>
      </x:c>
      <x:c r="T752" s="34" t="n">
        <x:v>367.148927</x:v>
      </x:c>
      <x:c r="U752" s="34" t="str">
        <x:v>NS-EAST:BF_RELINE:2034|NS-KANSAI:BF_RELINE:2036|NS-KYUSHU:H2_DRI_EAF:2029|NS-NAGOYA:H2_DRI_EAF:2032|NS-SETOUCHI:H2_DRI_EAF:2038</x:v>
      </x:c>
      <x:c r="V752" s="34" t="str">
        <x:v>model_generated_candidate</x:v>
      </x:c>
      <x:c r="W752" s="34" t="str">
        <x:v>Generated from disclosed-path facility calendar, technology set and template contracting assumptions; not a company-announced project</x:v>
      </x:c>
    </x:row>
    <x:row r="753">
      <x:c r="A753" s="34" t="str">
        <x:v>CAND-E7BFFBF5641997</x:v>
      </x:c>
      <x:c r="B753" s="34" t="str">
        <x:v>NIPPON_STEEL_JP</x:v>
      </x:c>
      <x:c r="C753" s="34" t="str">
        <x:v>Nippon Steel</x:v>
      </x:c>
      <x:c r="D753" s="34" t="str">
        <x:v>P3</x:v>
      </x:c>
      <x:c r="E753" s="34" t="str">
        <x:v>균형형 라이트헤지</x:v>
      </x:c>
      <x:c r="F753" s="34" t="str">
        <x:v>PORT-872DBBAC9225</x:v>
      </x:c>
      <x:c r="G753" s="34" t="str">
        <x:v>DISCLOSED_PATH</x:v>
      </x:c>
      <x:c r="H753" s="34" t="n">
        <x:v>5</x:v>
      </x:c>
      <x:c r="I753" s="34" t="n">
        <x:v>2029</x:v>
      </x:c>
      <x:c r="J753" s="34" t="n">
        <x:v>2038</x:v>
      </x:c>
      <x:c r="K753" s="34" t="n">
        <x:v>0.562982</x:v>
      </x:c>
      <x:c r="L753" s="34" t="n">
        <x:v>0</x:v>
      </x:c>
      <x:c r="M753" s="34" t="n">
        <x:v>0.437018</x:v>
      </x:c>
      <x:c r="N753" s="34" t="n">
        <x:v>0</x:v>
      </x:c>
      <x:c r="O753" s="34" t="n">
        <x:v>0.3</x:v>
      </x:c>
      <x:c r="P753" s="34" t="n">
        <x:v>0.25</x:v>
      </x:c>
      <x:c r="Q753" s="34" t="n">
        <x:v>0.35</x:v>
      </x:c>
      <x:c r="R753" s="34" t="n">
        <x:v>0.25</x:v>
      </x:c>
      <x:c r="S753" s="34" t="n">
        <x:v>0.015</x:v>
      </x:c>
      <x:c r="T753" s="34" t="n">
        <x:v>335.018927</x:v>
      </x:c>
      <x:c r="U753" s="34" t="str">
        <x:v>NS-EAST:BF_RELINE:2034|NS-KANSAI:BF_RELINE:2036|NS-KYUSHU:H2_DRI_EAF:2029|NS-NAGOYA:H2_DRI_EAF:2032|NS-SETOUCHI:BF_RELINE:2038</x:v>
      </x:c>
      <x:c r="V753" s="34" t="str">
        <x:v>model_generated_candidate</x:v>
      </x:c>
      <x:c r="W753" s="34" t="str">
        <x:v>Generated from disclosed-path facility calendar, technology set and template contracting assumptions; not a company-announced project</x:v>
      </x:c>
    </x:row>
    <x:row r="754">
      <x:c r="A754" s="34" t="str">
        <x:v>CAND-E7F16C2C0D593E</x:v>
      </x:c>
      <x:c r="B754" s="34" t="str">
        <x:v>NIPPON_STEEL_JP</x:v>
      </x:c>
      <x:c r="C754" s="34" t="str">
        <x:v>Nippon Steel</x:v>
      </x:c>
      <x:c r="D754" s="34" t="str">
        <x:v>P3</x:v>
      </x:c>
      <x:c r="E754" s="34" t="str">
        <x:v>균형형 라이트헤지</x:v>
      </x:c>
      <x:c r="F754" s="34" t="str">
        <x:v>PORT-FFC501C9F3BC</x:v>
      </x:c>
      <x:c r="G754" s="34" t="str">
        <x:v>DISCLOSED_PATH</x:v>
      </x:c>
      <x:c r="H754" s="34" t="n">
        <x:v>5</x:v>
      </x:c>
      <x:c r="I754" s="34" t="n">
        <x:v>2029</x:v>
      </x:c>
      <x:c r="J754" s="34" t="n">
        <x:v>2038</x:v>
      </x:c>
      <x:c r="K754" s="34" t="n">
        <x:v>0</x:v>
      </x:c>
      <x:c r="L754" s="34" t="n">
        <x:v>0.179949</x:v>
      </x:c>
      <x:c r="M754" s="34" t="n">
        <x:v>0.820051</x:v>
      </x:c>
      <x:c r="N754" s="34" t="n">
        <x:v>0</x:v>
      </x:c>
      <x:c r="O754" s="34" t="n">
        <x:v>0.3</x:v>
      </x:c>
      <x:c r="P754" s="34" t="n">
        <x:v>0.25</x:v>
      </x:c>
      <x:c r="Q754" s="34" t="n">
        <x:v>0.35</x:v>
      </x:c>
      <x:c r="R754" s="34" t="n">
        <x:v>0.25</x:v>
      </x:c>
      <x:c r="S754" s="34" t="n">
        <x:v>0.015</x:v>
      </x:c>
      <x:c r="T754" s="34" t="n">
        <x:v>486.478949</x:v>
      </x:c>
      <x:c r="U754" s="34" t="str">
        <x:v>NS-EAST:H2_DRI_EAF:2034|NS-KANSAI:H2_DRI_EAF:2036|NS-KYUSHU:H2_DRI_EAF:2029|NS-NAGOYA:SCRAP_EAF:2032|NS-SETOUCHI:H2_DRI_EAF:2038</x:v>
      </x:c>
      <x:c r="V754" s="34" t="str">
        <x:v>model_generated_candidate</x:v>
      </x:c>
      <x:c r="W754" s="34" t="str">
        <x:v>Generated from disclosed-path facility calendar, technology set and template contracting assumptions; not a company-announced project</x:v>
      </x:c>
    </x:row>
    <x:row r="755">
      <x:c r="A755" s="34" t="str">
        <x:v>CAND-E7FD258BF6CA59</x:v>
      </x:c>
      <x:c r="B755" s="34" t="str">
        <x:v>NIPPON_STEEL_JP</x:v>
      </x:c>
      <x:c r="C755" s="34" t="str">
        <x:v>Nippon Steel</x:v>
      </x:c>
      <x:c r="D755" s="34" t="str">
        <x:v>P2</x:v>
      </x:c>
      <x:c r="E755" s="34" t="str">
        <x:v>지연·부분헤지</x:v>
      </x:c>
      <x:c r="F755" s="34" t="str">
        <x:v>PORT-8C7EDF2A8213</x:v>
      </x:c>
      <x:c r="G755" s="34" t="str">
        <x:v>DISCLOSED_PATH</x:v>
      </x:c>
      <x:c r="H755" s="34" t="n">
        <x:v>5</x:v>
      </x:c>
      <x:c r="I755" s="34" t="n">
        <x:v>2029</x:v>
      </x:c>
      <x:c r="J755" s="34" t="n">
        <x:v>2038</x:v>
      </x:c>
      <x:c r="K755" s="34" t="n">
        <x:v>0.161954</x:v>
      </x:c>
      <x:c r="L755" s="34" t="n">
        <x:v>0.388175</x:v>
      </x:c>
      <x:c r="M755" s="34" t="n">
        <x:v>0.449871</x:v>
      </x:c>
      <x:c r="N755" s="34" t="n">
        <x:v>0</x:v>
      </x:c>
      <x:c r="O755" s="34" t="n">
        <x:v>0.15</x:v>
      </x:c>
      <x:c r="P755" s="34" t="n">
        <x:v>0.1</x:v>
      </x:c>
      <x:c r="Q755" s="34" t="n">
        <x:v>0.2</x:v>
      </x:c>
      <x:c r="R755" s="34" t="n">
        <x:v>0.1</x:v>
      </x:c>
      <x:c r="S755" s="34" t="n">
        <x:v>0.01</x:v>
      </x:c>
      <x:c r="T755" s="34" t="n">
        <x:v>426.278941</x:v>
      </x:c>
      <x:c r="U755" s="34" t="str">
        <x:v>NS-EAST:SCRAP_EAF:2034|NS-KANSAI:BF_RELINE:2036|NS-KYUSHU:H2_DRI_EAF:2029|NS-NAGOYA:SCRAP_EAF:2032|NS-SETOUCHI:H2_DRI_EAF:2038</x:v>
      </x:c>
      <x:c r="V755" s="34" t="str">
        <x:v>model_generated_candidate</x:v>
      </x:c>
      <x:c r="W755" s="34" t="str">
        <x:v>Generated from disclosed-path facility calendar, technology set and template contracting assumptions; not a company-announced project</x:v>
      </x:c>
    </x:row>
    <x:row r="756">
      <x:c r="A756" s="34" t="str">
        <x:v>CAND-E889C7DF8CAF28</x:v>
      </x:c>
      <x:c r="B756" s="34" t="str">
        <x:v>NIPPON_STEEL_JP</x:v>
      </x:c>
      <x:c r="C756" s="34" t="str">
        <x:v>Nippon Steel</x:v>
      </x:c>
      <x:c r="D756" s="34" t="str">
        <x:v>P3</x:v>
      </x:c>
      <x:c r="E756" s="34" t="str">
        <x:v>균형형 라이트헤지</x:v>
      </x:c>
      <x:c r="F756" s="34" t="str">
        <x:v>PORT-80CDBDD324C3</x:v>
      </x:c>
      <x:c r="G756" s="34" t="str">
        <x:v>DISCLOSED_PATH</x:v>
      </x:c>
      <x:c r="H756" s="34" t="n">
        <x:v>5</x:v>
      </x:c>
      <x:c r="I756" s="34" t="n">
        <x:v>2029</x:v>
      </x:c>
      <x:c r="J756" s="34" t="n">
        <x:v>2038</x:v>
      </x:c>
      <x:c r="K756" s="34" t="n">
        <x:v>0.580977</x:v>
      </x:c>
      <x:c r="L756" s="34" t="n">
        <x:v>0</x:v>
      </x:c>
      <x:c r="M756" s="34" t="n">
        <x:v>0.419023</x:v>
      </x:c>
      <x:c r="N756" s="34" t="n">
        <x:v>0</x:v>
      </x:c>
      <x:c r="O756" s="34" t="n">
        <x:v>0.3</x:v>
      </x:c>
      <x:c r="P756" s="34" t="n">
        <x:v>0.25</x:v>
      </x:c>
      <x:c r="Q756" s="34" t="n">
        <x:v>0.35</x:v>
      </x:c>
      <x:c r="R756" s="34" t="n">
        <x:v>0.25</x:v>
      </x:c>
      <x:c r="S756" s="34" t="n">
        <x:v>0.015</x:v>
      </x:c>
      <x:c r="T756" s="34" t="n">
        <x:v>287.758964</x:v>
      </x:c>
      <x:c r="U756" s="34" t="str">
        <x:v>NS-EAST:BF_RELINE:2034|NS-KANSAI:H2_DRI_EAF:2036|NS-KYUSHU:H2_DRI_EAF:2029|NS-NAGOYA:BF_RELINE:2032|NS-SETOUCHI:BF_RELINE:2038</x:v>
      </x:c>
      <x:c r="V756" s="34" t="str">
        <x:v>model_generated_candidate</x:v>
      </x:c>
      <x:c r="W756" s="34" t="str">
        <x:v>Generated from disclosed-path facility calendar, technology set and template contracting assumptions; not a company-announced project</x:v>
      </x:c>
    </x:row>
    <x:row r="757">
      <x:c r="A757" s="34" t="str">
        <x:v>CAND-E89A9ADA28E05C</x:v>
      </x:c>
      <x:c r="B757" s="34" t="str">
        <x:v>NIPPON_STEEL_JP</x:v>
      </x:c>
      <x:c r="C757" s="34" t="str">
        <x:v>Nippon Steel</x:v>
      </x:c>
      <x:c r="D757" s="34" t="str">
        <x:v>P3</x:v>
      </x:c>
      <x:c r="E757" s="34" t="str">
        <x:v>균형형 라이트헤지</x:v>
      </x:c>
      <x:c r="F757" s="34" t="str">
        <x:v>PORT-9037F7D829FB</x:v>
      </x:c>
      <x:c r="G757" s="34" t="str">
        <x:v>DISCLOSED_PATH</x:v>
      </x:c>
      <x:c r="H757" s="34" t="n">
        <x:v>5</x:v>
      </x:c>
      <x:c r="I757" s="34" t="n">
        <x:v>2029</x:v>
      </x:c>
      <x:c r="J757" s="34" t="n">
        <x:v>2038</x:v>
      </x:c>
      <x:c r="K757" s="34" t="n">
        <x:v>0.437018</x:v>
      </x:c>
      <x:c r="L757" s="34" t="n">
        <x:v>0</x:v>
      </x:c>
      <x:c r="M757" s="34" t="n">
        <x:v>0.562982</x:v>
      </x:c>
      <x:c r="N757" s="34" t="n">
        <x:v>0</x:v>
      </x:c>
      <x:c r="O757" s="34" t="n">
        <x:v>0.3</x:v>
      </x:c>
      <x:c r="P757" s="34" t="n">
        <x:v>0.25</x:v>
      </x:c>
      <x:c r="Q757" s="34" t="n">
        <x:v>0.35</x:v>
      </x:c>
      <x:c r="R757" s="34" t="n">
        <x:v>0.25</x:v>
      </x:c>
      <x:c r="S757" s="34" t="n">
        <x:v>0.015</x:v>
      </x:c>
      <x:c r="T757" s="34" t="n">
        <x:v>221.968975</x:v>
      </x:c>
      <x:c r="U757" s="34" t="str">
        <x:v>NS-EAST:H2_DRI_EAF:2034|NS-KANSAI:H2_DRI_EAF:2036|NS-KYUSHU:BF_RELINE:2029|NS-NAGOYA:BF_RELINE:2032|NS-SETOUCHI:H2_DRI_EAF:2038</x:v>
      </x:c>
      <x:c r="V757" s="34" t="str">
        <x:v>model_generated_candidate</x:v>
      </x:c>
      <x:c r="W757" s="34" t="str">
        <x:v>Generated from disclosed-path facility calendar, technology set and template contracting assumptions; not a company-announced project</x:v>
      </x:c>
    </x:row>
    <x:row r="758">
      <x:c r="A758" s="34" t="str">
        <x:v>CAND-E89F56F04ED742</x:v>
      </x:c>
      <x:c r="B758" s="34" t="str">
        <x:v>NIPPON_STEEL_JP</x:v>
      </x:c>
      <x:c r="C758" s="34" t="str">
        <x:v>Nippon Steel</x:v>
      </x:c>
      <x:c r="D758" s="34" t="str">
        <x:v>P3</x:v>
      </x:c>
      <x:c r="E758" s="34" t="str">
        <x:v>균형형 라이트헤지</x:v>
      </x:c>
      <x:c r="F758" s="34" t="str">
        <x:v>PORT-7C3E7675F8C1</x:v>
      </x:c>
      <x:c r="G758" s="34" t="str">
        <x:v>DISCLOSED_PATH</x:v>
      </x:c>
      <x:c r="H758" s="34" t="n">
        <x:v>5</x:v>
      </x:c>
      <x:c r="I758" s="34" t="n">
        <x:v>2029</x:v>
      </x:c>
      <x:c r="J758" s="34" t="n">
        <x:v>2038</x:v>
      </x:c>
      <x:c r="K758" s="34" t="n">
        <x:v>0</x:v>
      </x:c>
      <x:c r="L758" s="34" t="n">
        <x:v>0.388175</x:v>
      </x:c>
      <x:c r="M758" s="34" t="n">
        <x:v>0.611825</x:v>
      </x:c>
      <x:c r="N758" s="34" t="n">
        <x:v>0</x:v>
      </x:c>
      <x:c r="O758" s="34" t="n">
        <x:v>0.3</x:v>
      </x:c>
      <x:c r="P758" s="34" t="n">
        <x:v>0.25</x:v>
      </x:c>
      <x:c r="Q758" s="34" t="n">
        <x:v>0.35</x:v>
      </x:c>
      <x:c r="R758" s="34" t="n">
        <x:v>0.25</x:v>
      </x:c>
      <x:c r="S758" s="34" t="n">
        <x:v>0.015</x:v>
      </x:c>
      <x:c r="T758" s="34" t="n">
        <x:v>473.878947</x:v>
      </x:c>
      <x:c r="U758" s="34" t="str">
        <x:v>NS-EAST:SCRAP_EAF:2034|NS-KANSAI:H2_DRI_EAF:2036|NS-KYUSHU:H2_DRI_EAF:2029|NS-NAGOYA:SCRAP_EAF:2032|NS-SETOUCHI:H2_DRI_EAF:2038</x:v>
      </x:c>
      <x:c r="V758" s="34" t="str">
        <x:v>model_generated_candidate</x:v>
      </x:c>
      <x:c r="W758" s="34" t="str">
        <x:v>Generated from disclosed-path facility calendar, technology set and template contracting assumptions; not a company-announced project</x:v>
      </x:c>
    </x:row>
    <x:row r="759">
      <x:c r="A759" s="34" t="str">
        <x:v>CAND-E99CD205B6FD4B</x:v>
      </x:c>
      <x:c r="B759" s="34" t="str">
        <x:v>NIPPON_STEEL_JP</x:v>
      </x:c>
      <x:c r="C759" s="34" t="str">
        <x:v>Nippon Steel</x:v>
      </x:c>
      <x:c r="D759" s="34" t="str">
        <x:v>P4</x:v>
      </x:c>
      <x:c r="E759" s="34" t="str">
        <x:v>균형형 전환</x:v>
      </x:c>
      <x:c r="F759" s="34" t="str">
        <x:v>PORT-2ED3D5EC6B3F</x:v>
      </x:c>
      <x:c r="G759" s="34" t="str">
        <x:v>DISCLOSED_PATH</x:v>
      </x:c>
      <x:c r="H759" s="34" t="n">
        <x:v>5</x:v>
      </x:c>
      <x:c r="I759" s="34" t="n">
        <x:v>2028</x:v>
      </x:c>
      <x:c r="J759" s="34" t="n">
        <x:v>2037</x:v>
      </x:c>
      <x:c r="K759" s="34" t="n">
        <x:v>0.192802</x:v>
      </x:c>
      <x:c r="L759" s="34" t="n">
        <x:v>0.161954</x:v>
      </x:c>
      <x:c r="M759" s="34" t="n">
        <x:v>0.645244</x:v>
      </x:c>
      <x:c r="N759" s="34" t="n">
        <x:v>0</x:v>
      </x:c>
      <x:c r="O759" s="34" t="n">
        <x:v>0.5</x:v>
      </x:c>
      <x:c r="P759" s="34" t="n">
        <x:v>0.45</x:v>
      </x:c>
      <x:c r="Q759" s="34" t="n">
        <x:v>0.5</x:v>
      </x:c>
      <x:c r="R759" s="34" t="n">
        <x:v>0.4</x:v>
      </x:c>
      <x:c r="S759" s="34" t="n">
        <x:v>0.02</x:v>
      </x:c>
      <x:c r="T759" s="34" t="n">
        <x:v>514.92894</x:v>
      </x:c>
      <x:c r="U759" s="34" t="str">
        <x:v>NS-EAST:H2_DRI_EAF:2033|NS-KANSAI:SCRAP_EAF:2035|NS-KYUSHU:H2_DRI_EAF:2028|NS-NAGOYA:H2_DRI_EAF:2031|NS-SETOUCHI:BF_RELINE:2037</x:v>
      </x:c>
      <x:c r="V759" s="34" t="str">
        <x:v>model_generated_candidate</x:v>
      </x:c>
      <x:c r="W759" s="34" t="str">
        <x:v>Generated from disclosed-path facility calendar, technology set and template contracting assumptions; not a company-announced project</x:v>
      </x:c>
    </x:row>
    <x:row r="760">
      <x:c r="A760" s="34" t="str">
        <x:v>CAND-E9FAC19F984049</x:v>
      </x:c>
      <x:c r="B760" s="34" t="str">
        <x:v>NIPPON_STEEL_JP</x:v>
      </x:c>
      <x:c r="C760" s="34" t="str">
        <x:v>Nippon Steel</x:v>
      </x:c>
      <x:c r="D760" s="34" t="str">
        <x:v>P1</x:v>
      </x:c>
      <x:c r="E760" s="34" t="str">
        <x:v>지연·현물조달</x:v>
      </x:c>
      <x:c r="F760" s="34" t="str">
        <x:v>PORT-AA17EC0396DF</x:v>
      </x:c>
      <x:c r="G760" s="34" t="str">
        <x:v>DISCLOSED_PATH</x:v>
      </x:c>
      <x:c r="H760" s="34" t="n">
        <x:v>5</x:v>
      </x:c>
      <x:c r="I760" s="34" t="n">
        <x:v>2029</x:v>
      </x:c>
      <x:c r="J760" s="34" t="n">
        <x:v>2038</x:v>
      </x:c>
      <x:c r="K760" s="34" t="n">
        <x:v>0.161954</x:v>
      </x:c>
      <x:c r="L760" s="34" t="n">
        <x:v>0.437018</x:v>
      </x:c>
      <x:c r="M760" s="34" t="n">
        <x:v>0.401028</x:v>
      </x:c>
      <x:c r="N760" s="34" t="n">
        <x:v>0</x:v>
      </x:c>
      <x:c r="O760" s="34" t="n">
        <x:v>0</x:v>
      </x:c>
      <x:c r="P760" s="34" t="n">
        <x:v>0</x:v>
      </x:c>
      <x:c r="Q760" s="34" t="n">
        <x:v>0.1</x:v>
      </x:c>
      <x:c r="R760" s="34" t="n">
        <x:v>0</x:v>
      </x:c>
      <x:c r="S760" s="34" t="n">
        <x:v>0</x:v>
      </x:c>
      <x:c r="T760" s="34" t="n">
        <x:v>411.878943</x:v>
      </x:c>
      <x:c r="U760" s="34" t="str">
        <x:v>NS-EAST:H2_DRI_EAF:2034|NS-KANSAI:BF_RELINE:2036|NS-KYUSHU:SCRAP_EAF:2029|NS-NAGOYA:SCRAP_EAF:2032|NS-SETOUCHI:H2_DRI_EAF:2038</x:v>
      </x:c>
      <x:c r="V760" s="34" t="str">
        <x:v>model_generated_candidate</x:v>
      </x:c>
      <x:c r="W760" s="34" t="str">
        <x:v>Generated from disclosed-path facility calendar, technology set and template contracting assumptions; not a company-announced project</x:v>
      </x:c>
    </x:row>
    <x:row r="761">
      <x:c r="A761" s="34" t="str">
        <x:v>CAND-EA8683A770E2E2</x:v>
      </x:c>
      <x:c r="B761" s="34" t="str">
        <x:v>NIPPON_STEEL_JP</x:v>
      </x:c>
      <x:c r="C761" s="34" t="str">
        <x:v>Nippon Steel</x:v>
      </x:c>
      <x:c r="D761" s="34" t="str">
        <x:v>P4</x:v>
      </x:c>
      <x:c r="E761" s="34" t="str">
        <x:v>균형형 전환</x:v>
      </x:c>
      <x:c r="F761" s="34" t="str">
        <x:v>PORT-40EDEEC77DD5</x:v>
      </x:c>
      <x:c r="G761" s="34" t="str">
        <x:v>DISCLOSED_PATH</x:v>
      </x:c>
      <x:c r="H761" s="34" t="n">
        <x:v>5</x:v>
      </x:c>
      <x:c r="I761" s="34" t="n">
        <x:v>2028</x:v>
      </x:c>
      <x:c r="J761" s="34" t="n">
        <x:v>2037</x:v>
      </x:c>
      <x:c r="K761" s="34" t="n">
        <x:v>0.161954</x:v>
      </x:c>
      <x:c r="L761" s="34" t="n">
        <x:v>0</x:v>
      </x:c>
      <x:c r="M761" s="34" t="n">
        <x:v>0.838046</x:v>
      </x:c>
      <x:c r="N761" s="34" t="n">
        <x:v>0</x:v>
      </x:c>
      <x:c r="O761" s="34" t="n">
        <x:v>0.5</x:v>
      </x:c>
      <x:c r="P761" s="34" t="n">
        <x:v>0.45</x:v>
      </x:c>
      <x:c r="Q761" s="34" t="n">
        <x:v>0.5</x:v>
      </x:c>
      <x:c r="R761" s="34" t="n">
        <x:v>0.4</x:v>
      </x:c>
      <x:c r="S761" s="34" t="n">
        <x:v>0.02</x:v>
      </x:c>
      <x:c r="T761" s="34" t="n">
        <x:v>509.048934</x:v>
      </x:c>
      <x:c r="U761" s="34" t="str">
        <x:v>NS-EAST:H2_DRI_EAF:2033|NS-KANSAI:BF_RELINE:2035|NS-KYUSHU:H2_DRI_EAF:2028|NS-NAGOYA:H2_DRI_EAF:2031|NS-SETOUCHI:H2_DRI_EAF:2037</x:v>
      </x:c>
      <x:c r="V761" s="34" t="str">
        <x:v>model_generated_candidate</x:v>
      </x:c>
      <x:c r="W761" s="34" t="str">
        <x:v>Generated from disclosed-path facility calendar, technology set and template contracting assumptions; not a company-announced project</x:v>
      </x:c>
    </x:row>
    <x:row r="762">
      <x:c r="A762" s="34" t="str">
        <x:v>CAND-EAC24E3246F1BE</x:v>
      </x:c>
      <x:c r="B762" s="34" t="str">
        <x:v>NIPPON_STEEL_JP</x:v>
      </x:c>
      <x:c r="C762" s="34" t="str">
        <x:v>Nippon Steel</x:v>
      </x:c>
      <x:c r="D762" s="34" t="str">
        <x:v>P1</x:v>
      </x:c>
      <x:c r="E762" s="34" t="str">
        <x:v>지연·현물조달</x:v>
      </x:c>
      <x:c r="F762" s="34" t="str">
        <x:v>PORT-238A2183FB78</x:v>
      </x:c>
      <x:c r="G762" s="34" t="str">
        <x:v>DISCLOSED_PATH</x:v>
      </x:c>
      <x:c r="H762" s="34" t="n">
        <x:v>5</x:v>
      </x:c>
      <x:c r="I762" s="34" t="n">
        <x:v>2029</x:v>
      </x:c>
      <x:c r="J762" s="34" t="n">
        <x:v>2038</x:v>
      </x:c>
      <x:c r="K762" s="34" t="n">
        <x:v>0.449871</x:v>
      </x:c>
      <x:c r="L762" s="34" t="n">
        <x:v>0</x:v>
      </x:c>
      <x:c r="M762" s="34" t="n">
        <x:v>0.550129</x:v>
      </x:c>
      <x:c r="N762" s="34" t="n">
        <x:v>0</x:v>
      </x:c>
      <x:c r="O762" s="34" t="n">
        <x:v>0</x:v>
      </x:c>
      <x:c r="P762" s="34" t="n">
        <x:v>0</x:v>
      </x:c>
      <x:c r="Q762" s="34" t="n">
        <x:v>0.1</x:v>
      </x:c>
      <x:c r="R762" s="34" t="n">
        <x:v>0</x:v>
      </x:c>
      <x:c r="S762" s="34" t="n">
        <x:v>0</x:v>
      </x:c>
      <x:c r="T762" s="34" t="n">
        <x:v>284.698944</x:v>
      </x:c>
      <x:c r="U762" s="34" t="str">
        <x:v>NS-EAST:H2_DRI_EAF:2034|NS-KANSAI:H2_DRI_EAF:2036|NS-KYUSHU:BF_RELINE:2029|NS-NAGOYA:H2_DRI_EAF:2032|NS-SETOUCHI:BF_RELINE:2038</x:v>
      </x:c>
      <x:c r="V762" s="34" t="str">
        <x:v>model_generated_candidate</x:v>
      </x:c>
      <x:c r="W762" s="34" t="str">
        <x:v>Generated from disclosed-path facility calendar, technology set and template contracting assumptions; not a company-announced project</x:v>
      </x:c>
    </x:row>
    <x:row r="763">
      <x:c r="A763" s="34" t="str">
        <x:v>CAND-EAE48692E3502C</x:v>
      </x:c>
      <x:c r="B763" s="34" t="str">
        <x:v>NIPPON_STEEL_JP</x:v>
      </x:c>
      <x:c r="C763" s="34" t="str">
        <x:v>Nippon Steel</x:v>
      </x:c>
      <x:c r="D763" s="34" t="str">
        <x:v>P3</x:v>
      </x:c>
      <x:c r="E763" s="34" t="str">
        <x:v>균형형 라이트헤지</x:v>
      </x:c>
      <x:c r="F763" s="34" t="str">
        <x:v>PORT-3F83257DA03C</x:v>
      </x:c>
      <x:c r="G763" s="34" t="str">
        <x:v>DISCLOSED_PATH</x:v>
      </x:c>
      <x:c r="H763" s="34" t="n">
        <x:v>5</x:v>
      </x:c>
      <x:c r="I763" s="34" t="n">
        <x:v>2029</x:v>
      </x:c>
      <x:c r="J763" s="34" t="n">
        <x:v>2038</x:v>
      </x:c>
      <x:c r="K763" s="34" t="n">
        <x:v>0.161954</x:v>
      </x:c>
      <x:c r="L763" s="34" t="n">
        <x:v>0.192802</x:v>
      </x:c>
      <x:c r="M763" s="34" t="n">
        <x:v>0.645244</x:v>
      </x:c>
      <x:c r="N763" s="34" t="n">
        <x:v>0</x:v>
      </x:c>
      <x:c r="O763" s="34" t="n">
        <x:v>0.3</x:v>
      </x:c>
      <x:c r="P763" s="34" t="n">
        <x:v>0.25</x:v>
      </x:c>
      <x:c r="Q763" s="34" t="n">
        <x:v>0.35</x:v>
      </x:c>
      <x:c r="R763" s="34" t="n">
        <x:v>0.25</x:v>
      </x:c>
      <x:c r="S763" s="34" t="n">
        <x:v>0.015</x:v>
      </x:c>
      <x:c r="T763" s="34" t="n">
        <x:v>448.103938</x:v>
      </x:c>
      <x:c r="U763" s="34" t="str">
        <x:v>NS-EAST:H2_DRI_EAF:2034|NS-KANSAI:BF_RELINE:2036|NS-KYUSHU:H2_DRI_EAF:2029|NS-NAGOYA:H2_DRI_EAF:2032|NS-SETOUCHI:SCRAP_EAF:2038</x:v>
      </x:c>
      <x:c r="V763" s="34" t="str">
        <x:v>model_generated_candidate</x:v>
      </x:c>
      <x:c r="W763" s="34" t="str">
        <x:v>Generated from disclosed-path facility calendar, technology set and template contracting assumptions; not a company-announced project</x:v>
      </x:c>
    </x:row>
    <x:row r="764">
      <x:c r="A764" s="34" t="str">
        <x:v>CAND-EB82641A441550</x:v>
      </x:c>
      <x:c r="B764" s="34" t="str">
        <x:v>NIPPON_STEEL_JP</x:v>
      </x:c>
      <x:c r="C764" s="34" t="str">
        <x:v>Nippon Steel</x:v>
      </x:c>
      <x:c r="D764" s="34" t="str">
        <x:v>P2</x:v>
      </x:c>
      <x:c r="E764" s="34" t="str">
        <x:v>지연·부분헤지</x:v>
      </x:c>
      <x:c r="F764" s="34" t="str">
        <x:v>PORT-F7D0A7E47A59</x:v>
      </x:c>
      <x:c r="G764" s="34" t="str">
        <x:v>DISCLOSED_PATH</x:v>
      </x:c>
      <x:c r="H764" s="34" t="n">
        <x:v>5</x:v>
      </x:c>
      <x:c r="I764" s="34" t="n">
        <x:v>2029</x:v>
      </x:c>
      <x:c r="J764" s="34" t="n">
        <x:v>2038</x:v>
      </x:c>
      <x:c r="K764" s="34" t="n">
        <x:v>0.161954</x:v>
      </x:c>
      <x:c r="L764" s="34" t="n">
        <x:v>0.179949</x:v>
      </x:c>
      <x:c r="M764" s="34" t="n">
        <x:v>0.658098</x:v>
      </x:c>
      <x:c r="N764" s="34" t="n">
        <x:v>0</x:v>
      </x:c>
      <x:c r="O764" s="34" t="n">
        <x:v>0.15</x:v>
      </x:c>
      <x:c r="P764" s="34" t="n">
        <x:v>0.1</x:v>
      </x:c>
      <x:c r="Q764" s="34" t="n">
        <x:v>0.2</x:v>
      </x:c>
      <x:c r="R764" s="34" t="n">
        <x:v>0.1</x:v>
      </x:c>
      <x:c r="S764" s="34" t="n">
        <x:v>0.01</x:v>
      </x:c>
      <x:c r="T764" s="34" t="n">
        <x:v>438.878943</x:v>
      </x:c>
      <x:c r="U764" s="34" t="str">
        <x:v>NS-EAST:H2_DRI_EAF:2034|NS-KANSAI:BF_RELINE:2036|NS-KYUSHU:H2_DRI_EAF:2029|NS-NAGOYA:SCRAP_EAF:2032|NS-SETOUCHI:H2_DRI_EAF:2038</x:v>
      </x:c>
      <x:c r="V764" s="34" t="str">
        <x:v>model_generated_candidate</x:v>
      </x:c>
      <x:c r="W764" s="34" t="str">
        <x:v>Generated from disclosed-path facility calendar, technology set and template contracting assumptions; not a company-announced project</x:v>
      </x:c>
    </x:row>
    <x:row r="765">
      <x:c r="A765" s="34" t="str">
        <x:v>CAND-EBD30C485CEFDA</x:v>
      </x:c>
      <x:c r="B765" s="34" t="str">
        <x:v>NIPPON_STEEL_JP</x:v>
      </x:c>
      <x:c r="C765" s="34" t="str">
        <x:v>Nippon Steel</x:v>
      </x:c>
      <x:c r="D765" s="34" t="str">
        <x:v>P2</x:v>
      </x:c>
      <x:c r="E765" s="34" t="str">
        <x:v>지연·부분헤지</x:v>
      </x:c>
      <x:c r="F765" s="34" t="str">
        <x:v>PORT-9E76B3BFF9FF</x:v>
      </x:c>
      <x:c r="G765" s="34" t="str">
        <x:v>DISCLOSED_PATH</x:v>
      </x:c>
      <x:c r="H765" s="34" t="n">
        <x:v>5</x:v>
      </x:c>
      <x:c r="I765" s="34" t="n">
        <x:v>2029</x:v>
      </x:c>
      <x:c r="J765" s="34" t="n">
        <x:v>2038</x:v>
      </x:c>
      <x:c r="K765" s="34" t="n">
        <x:v>0</x:v>
      </x:c>
      <x:c r="L765" s="34" t="n">
        <x:v>0.658098</x:v>
      </x:c>
      <x:c r="M765" s="34" t="n">
        <x:v>0.341902</x:v>
      </x:c>
      <x:c r="N765" s="34" t="n">
        <x:v>0</x:v>
      </x:c>
      <x:c r="O765" s="34" t="n">
        <x:v>0.15</x:v>
      </x:c>
      <x:c r="P765" s="34" t="n">
        <x:v>0.1</x:v>
      </x:c>
      <x:c r="Q765" s="34" t="n">
        <x:v>0.2</x:v>
      </x:c>
      <x:c r="R765" s="34" t="n">
        <x:v>0.1</x:v>
      </x:c>
      <x:c r="S765" s="34" t="n">
        <x:v>0.01</x:v>
      </x:c>
      <x:c r="T765" s="34" t="n">
        <x:v>456.103943</x:v>
      </x:c>
      <x:c r="U765" s="34" t="str">
        <x:v>NS-EAST:SCRAP_EAF:2034|NS-KANSAI:H2_DRI_EAF:2036|NS-KYUSHU:SCRAP_EAF:2029|NS-NAGOYA:H2_DRI_EAF:2032|NS-SETOUCHI:SCRAP_EAF:2038</x:v>
      </x:c>
      <x:c r="V765" s="34" t="str">
        <x:v>model_generated_candidate</x:v>
      </x:c>
      <x:c r="W765" s="34" t="str">
        <x:v>Generated from disclosed-path facility calendar, technology set and template contracting assumptions; not a company-announced project</x:v>
      </x:c>
    </x:row>
    <x:row r="766">
      <x:c r="A766" s="34" t="str">
        <x:v>CAND-EBEE2C9D424D58</x:v>
      </x:c>
      <x:c r="B766" s="34" t="str">
        <x:v>NIPPON_STEEL_JP</x:v>
      </x:c>
      <x:c r="C766" s="34" t="str">
        <x:v>Nippon Steel</x:v>
      </x:c>
      <x:c r="D766" s="34" t="str">
        <x:v>P1</x:v>
      </x:c>
      <x:c r="E766" s="34" t="str">
        <x:v>지연·현물조달</x:v>
      </x:c>
      <x:c r="F766" s="34" t="str">
        <x:v>PORT-41756371AE05</x:v>
      </x:c>
      <x:c r="G766" s="34" t="str">
        <x:v>DISCLOSED_PATH</x:v>
      </x:c>
      <x:c r="H766" s="34" t="n">
        <x:v>5</x:v>
      </x:c>
      <x:c r="I766" s="34" t="n">
        <x:v>2029</x:v>
      </x:c>
      <x:c r="J766" s="34" t="n">
        <x:v>2038</x:v>
      </x:c>
      <x:c r="K766" s="34" t="n">
        <x:v>0.161954</x:v>
      </x:c>
      <x:c r="L766" s="34" t="n">
        <x:v>0.449871</x:v>
      </x:c>
      <x:c r="M766" s="34" t="n">
        <x:v>0.388175</x:v>
      </x:c>
      <x:c r="N766" s="34" t="n">
        <x:v>0</x:v>
      </x:c>
      <x:c r="O766" s="34" t="n">
        <x:v>0</x:v>
      </x:c>
      <x:c r="P766" s="34" t="n">
        <x:v>0</x:v>
      </x:c>
      <x:c r="Q766" s="34" t="n">
        <x:v>0.1</x:v>
      </x:c>
      <x:c r="R766" s="34" t="n">
        <x:v>0</x:v>
      </x:c>
      <x:c r="S766" s="34" t="n">
        <x:v>0</x:v>
      </x:c>
      <x:c r="T766" s="34" t="n">
        <x:v>421.103938</x:v>
      </x:c>
      <x:c r="U766" s="34" t="str">
        <x:v>NS-EAST:H2_DRI_EAF:2034|NS-KANSAI:BF_RELINE:2036|NS-KYUSHU:SCRAP_EAF:2029|NS-NAGOYA:H2_DRI_EAF:2032|NS-SETOUCHI:SCRAP_EAF:2038</x:v>
      </x:c>
      <x:c r="V766" s="34" t="str">
        <x:v>model_generated_candidate</x:v>
      </x:c>
      <x:c r="W766" s="34" t="str">
        <x:v>Generated from disclosed-path facility calendar, technology set and template contracting assumptions; not a company-announced project</x:v>
      </x:c>
    </x:row>
    <x:row r="767">
      <x:c r="A767" s="34" t="str">
        <x:v>CAND-EBFD77804A64A5</x:v>
      </x:c>
      <x:c r="B767" s="34" t="str">
        <x:v>NIPPON_STEEL_JP</x:v>
      </x:c>
      <x:c r="C767" s="34" t="str">
        <x:v>Nippon Steel</x:v>
      </x:c>
      <x:c r="D767" s="34" t="str">
        <x:v>P3</x:v>
      </x:c>
      <x:c r="E767" s="34" t="str">
        <x:v>균형형 라이트헤지</x:v>
      </x:c>
      <x:c r="F767" s="34" t="str">
        <x:v>PORT-7CA9F3BA0776</x:v>
      </x:c>
      <x:c r="G767" s="34" t="str">
        <x:v>DISCLOSED_PATH</x:v>
      </x:c>
      <x:c r="H767" s="34" t="n">
        <x:v>5</x:v>
      </x:c>
      <x:c r="I767" s="34" t="n">
        <x:v>2029</x:v>
      </x:c>
      <x:c r="J767" s="34" t="n">
        <x:v>2038</x:v>
      </x:c>
      <x:c r="K767" s="34" t="n">
        <x:v>0</x:v>
      </x:c>
      <x:c r="L767" s="34" t="n">
        <x:v>0.257069</x:v>
      </x:c>
      <x:c r="M767" s="34" t="n">
        <x:v>0.742931</x:v>
      </x:c>
      <x:c r="N767" s="34" t="n">
        <x:v>0</x:v>
      </x:c>
      <x:c r="O767" s="34" t="n">
        <x:v>0.3</x:v>
      </x:c>
      <x:c r="P767" s="34" t="n">
        <x:v>0.25</x:v>
      </x:c>
      <x:c r="Q767" s="34" t="n">
        <x:v>0.35</x:v>
      </x:c>
      <x:c r="R767" s="34" t="n">
        <x:v>0.25</x:v>
      </x:c>
      <x:c r="S767" s="34" t="n">
        <x:v>0.015</x:v>
      </x:c>
      <x:c r="T767" s="34" t="n">
        <x:v>473.428944</x:v>
      </x:c>
      <x:c r="U767" s="34" t="str">
        <x:v>NS-EAST:H2_DRI_EAF:2034|NS-KANSAI:H2_DRI_EAF:2036|NS-KYUSHU:SCRAP_EAF:2029|NS-NAGOYA:H2_DRI_EAF:2032|NS-SETOUCHI:H2_DRI_EAF:2038</x:v>
      </x:c>
      <x:c r="V767" s="34" t="str">
        <x:v>model_generated_candidate</x:v>
      </x:c>
      <x:c r="W767" s="34" t="str">
        <x:v>Generated from disclosed-path facility calendar, technology set and template contracting assumptions; not a company-announced project</x:v>
      </x:c>
    </x:row>
    <x:row r="768">
      <x:c r="A768" s="34" t="str">
        <x:v>CAND-EC3FE6DDFC2D5E</x:v>
      </x:c>
      <x:c r="B768" s="34" t="str">
        <x:v>NIPPON_STEEL_JP</x:v>
      </x:c>
      <x:c r="C768" s="34" t="str">
        <x:v>Nippon Steel</x:v>
      </x:c>
      <x:c r="D768" s="34" t="str">
        <x:v>P1</x:v>
      </x:c>
      <x:c r="E768" s="34" t="str">
        <x:v>지연·현물조달</x:v>
      </x:c>
      <x:c r="F768" s="34" t="str">
        <x:v>PORT-4A6E9A9D1D39</x:v>
      </x:c>
      <x:c r="G768" s="34" t="str">
        <x:v>DISCLOSED_PATH</x:v>
      </x:c>
      <x:c r="H768" s="34" t="n">
        <x:v>5</x:v>
      </x:c>
      <x:c r="I768" s="34" t="n">
        <x:v>2029</x:v>
      </x:c>
      <x:c r="J768" s="34" t="n">
        <x:v>2038</x:v>
      </x:c>
      <x:c r="K768" s="34" t="n">
        <x:v>0.179949</x:v>
      </x:c>
      <x:c r="L768" s="34" t="n">
        <x:v>0.820051</x:v>
      </x:c>
      <x:c r="M768" s="34" t="n">
        <x:v>0</x:v>
      </x:c>
      <x:c r="N768" s="34" t="n">
        <x:v>0</x:v>
      </x:c>
      <x:c r="O768" s="34" t="n">
        <x:v>0</x:v>
      </x:c>
      <x:c r="P768" s="34" t="n">
        <x:v>0</x:v>
      </x:c>
      <x:c r="Q768" s="34" t="n">
        <x:v>0.1</x:v>
      </x:c>
      <x:c r="R768" s="34" t="n">
        <x:v>0</x:v>
      </x:c>
      <x:c r="S768" s="34" t="n">
        <x:v>0</x:v>
      </x:c>
      <x:c r="T768" s="34" t="n">
        <x:v>354.243972</x:v>
      </x:c>
      <x:c r="U768" s="34" t="str">
        <x:v>NS-EAST:SCRAP_EAF:2034|NS-KANSAI:SCRAP_EAF:2036|NS-KYUSHU:SCRAP_EAF:2029|NS-NAGOYA:BF_RELINE:2032|NS-SETOUCHI:SCRAP_EAF:2038</x:v>
      </x:c>
      <x:c r="V768" s="34" t="str">
        <x:v>model_generated_candidate</x:v>
      </x:c>
      <x:c r="W768" s="34" t="str">
        <x:v>Generated from disclosed-path facility calendar, technology set and template contracting assumptions; not a company-announced project</x:v>
      </x:c>
    </x:row>
    <x:row r="769">
      <x:c r="A769" s="34" t="str">
        <x:v>CAND-ECDE521D21A461</x:v>
      </x:c>
      <x:c r="B769" s="34" t="str">
        <x:v>NIPPON_STEEL_JP</x:v>
      </x:c>
      <x:c r="C769" s="34" t="str">
        <x:v>Nippon Steel</x:v>
      </x:c>
      <x:c r="D769" s="34" t="str">
        <x:v>P2</x:v>
      </x:c>
      <x:c r="E769" s="34" t="str">
        <x:v>지연·부분헤지</x:v>
      </x:c>
      <x:c r="F769" s="34" t="str">
        <x:v>PORT-C3B77CB55FA1</x:v>
      </x:c>
      <x:c r="G769" s="34" t="str">
        <x:v>DISCLOSED_PATH</x:v>
      </x:c>
      <x:c r="H769" s="34" t="n">
        <x:v>5</x:v>
      </x:c>
      <x:c r="I769" s="34" t="n">
        <x:v>2029</x:v>
      </x:c>
      <x:c r="J769" s="34" t="n">
        <x:v>2038</x:v>
      </x:c>
      <x:c r="K769" s="34" t="n">
        <x:v>0.192802</x:v>
      </x:c>
      <x:c r="L769" s="34" t="n">
        <x:v>0.257069</x:v>
      </x:c>
      <x:c r="M769" s="34" t="n">
        <x:v>0.550129</x:v>
      </x:c>
      <x:c r="N769" s="34" t="n">
        <x:v>0</x:v>
      </x:c>
      <x:c r="O769" s="34" t="n">
        <x:v>0.15</x:v>
      </x:c>
      <x:c r="P769" s="34" t="n">
        <x:v>0.1</x:v>
      </x:c>
      <x:c r="Q769" s="34" t="n">
        <x:v>0.2</x:v>
      </x:c>
      <x:c r="R769" s="34" t="n">
        <x:v>0.1</x:v>
      </x:c>
      <x:c r="S769" s="34" t="n">
        <x:v>0.01</x:v>
      </x:c>
      <x:c r="T769" s="34" t="n">
        <x:v>441.298944</x:v>
      </x:c>
      <x:c r="U769" s="34" t="str">
        <x:v>NS-EAST:H2_DRI_EAF:2034|NS-KANSAI:H2_DRI_EAF:2036|NS-KYUSHU:SCRAP_EAF:2029|NS-NAGOYA:H2_DRI_EAF:2032|NS-SETOUCHI:BF_RELINE:2038</x:v>
      </x:c>
      <x:c r="V769" s="34" t="str">
        <x:v>model_generated_candidate</x:v>
      </x:c>
      <x:c r="W769" s="34" t="str">
        <x:v>Generated from disclosed-path facility calendar, technology set and template contracting assumptions; not a company-announced project</x:v>
      </x:c>
    </x:row>
    <x:row r="770">
      <x:c r="A770" s="34" t="str">
        <x:v>CAND-EDAD2E54C6CCC3</x:v>
      </x:c>
      <x:c r="B770" s="34" t="str">
        <x:v>NIPPON_STEEL_JP</x:v>
      </x:c>
      <x:c r="C770" s="34" t="str">
        <x:v>Nippon Steel</x:v>
      </x:c>
      <x:c r="D770" s="34" t="str">
        <x:v>P4</x:v>
      </x:c>
      <x:c r="E770" s="34" t="str">
        <x:v>균형형 전환</x:v>
      </x:c>
      <x:c r="F770" s="34" t="str">
        <x:v>PORT-0234FB14C0F3</x:v>
      </x:c>
      <x:c r="G770" s="34" t="str">
        <x:v>DISCLOSED_PATH</x:v>
      </x:c>
      <x:c r="H770" s="34" t="n">
        <x:v>5</x:v>
      </x:c>
      <x:c r="I770" s="34" t="n">
        <x:v>2028</x:v>
      </x:c>
      <x:c r="J770" s="34" t="n">
        <x:v>2037</x:v>
      </x:c>
      <x:c r="K770" s="34" t="n">
        <x:v>0.179949</x:v>
      </x:c>
      <x:c r="L770" s="34" t="n">
        <x:v>0.192802</x:v>
      </x:c>
      <x:c r="M770" s="34" t="n">
        <x:v>0.627249</x:v>
      </x:c>
      <x:c r="N770" s="34" t="n">
        <x:v>0</x:v>
      </x:c>
      <x:c r="O770" s="34" t="n">
        <x:v>0.5</x:v>
      </x:c>
      <x:c r="P770" s="34" t="n">
        <x:v>0.45</x:v>
      </x:c>
      <x:c r="Q770" s="34" t="n">
        <x:v>0.5</x:v>
      </x:c>
      <x:c r="R770" s="34" t="n">
        <x:v>0.4</x:v>
      </x:c>
      <x:c r="S770" s="34" t="n">
        <x:v>0.02</x:v>
      </x:c>
      <x:c r="T770" s="34" t="n">
        <x:v>454.468975</x:v>
      </x:c>
      <x:c r="U770" s="34" t="str">
        <x:v>NS-EAST:H2_DRI_EAF:2033|NS-KANSAI:H2_DRI_EAF:2035|NS-KYUSHU:H2_DRI_EAF:2028|NS-NAGOYA:BF_RELINE:2031|NS-SETOUCHI:SCRAP_EAF:2037</x:v>
      </x:c>
      <x:c r="V770" s="34" t="str">
        <x:v>model_generated_candidate</x:v>
      </x:c>
      <x:c r="W770" s="34" t="str">
        <x:v>Generated from disclosed-path facility calendar, technology set and template contracting assumptions; not a company-announced project</x:v>
      </x:c>
    </x:row>
    <x:row r="771">
      <x:c r="A771" s="34" t="str">
        <x:v>CAND-EDF199D553E939</x:v>
      </x:c>
      <x:c r="B771" s="34" t="str">
        <x:v>NIPPON_STEEL_JP</x:v>
      </x:c>
      <x:c r="C771" s="34" t="str">
        <x:v>Nippon Steel</x:v>
      </x:c>
      <x:c r="D771" s="34" t="str">
        <x:v>P2</x:v>
      </x:c>
      <x:c r="E771" s="34" t="str">
        <x:v>지연·부분헤지</x:v>
      </x:c>
      <x:c r="F771" s="34" t="str">
        <x:v>PORT-5ADA91EDF97F</x:v>
      </x:c>
      <x:c r="G771" s="34" t="str">
        <x:v>DISCLOSED_PATH</x:v>
      </x:c>
      <x:c r="H771" s="34" t="n">
        <x:v>5</x:v>
      </x:c>
      <x:c r="I771" s="34" t="n">
        <x:v>2029</x:v>
      </x:c>
      <x:c r="J771" s="34" t="n">
        <x:v>2038</x:v>
      </x:c>
      <x:c r="K771" s="34" t="n">
        <x:v>0.419023</x:v>
      </x:c>
      <x:c r="L771" s="34" t="n">
        <x:v>0.208226</x:v>
      </x:c>
      <x:c r="M771" s="34" t="n">
        <x:v>0.372751</x:v>
      </x:c>
      <x:c r="N771" s="34" t="n">
        <x:v>0</x:v>
      </x:c>
      <x:c r="O771" s="34" t="n">
        <x:v>0.15</x:v>
      </x:c>
      <x:c r="P771" s="34" t="n">
        <x:v>0.1</x:v>
      </x:c>
      <x:c r="Q771" s="34" t="n">
        <x:v>0.2</x:v>
      </x:c>
      <x:c r="R771" s="34" t="n">
        <x:v>0.1</x:v>
      </x:c>
      <x:c r="S771" s="34" t="n">
        <x:v>0.01</x:v>
      </x:c>
      <x:c r="T771" s="34" t="n">
        <x:v>256.628937</x:v>
      </x:c>
      <x:c r="U771" s="34" t="str">
        <x:v>NS-EAST:SCRAP_EAF:2034|NS-KANSAI:BF_RELINE:2036|NS-KYUSHU:BF_RELINE:2029|NS-NAGOYA:H2_DRI_EAF:2032|NS-SETOUCHI:H2_DRI_EAF:2038</x:v>
      </x:c>
      <x:c r="V771" s="34" t="str">
        <x:v>model_generated_candidate</x:v>
      </x:c>
      <x:c r="W771" s="34" t="str">
        <x:v>Generated from disclosed-path facility calendar, technology set and template contracting assumptions; not a company-announced project</x:v>
      </x:c>
    </x:row>
    <x:row r="772">
      <x:c r="A772" s="34" t="str">
        <x:v>CAND-EEEBBB9E212468</x:v>
      </x:c>
      <x:c r="B772" s="34" t="str">
        <x:v>NIPPON_STEEL_JP</x:v>
      </x:c>
      <x:c r="C772" s="34" t="str">
        <x:v>Nippon Steel</x:v>
      </x:c>
      <x:c r="D772" s="34" t="str">
        <x:v>P2</x:v>
      </x:c>
      <x:c r="E772" s="34" t="str">
        <x:v>지연·부분헤지</x:v>
      </x:c>
      <x:c r="F772" s="34" t="str">
        <x:v>PORT-7F2E75BEC4B8</x:v>
      </x:c>
      <x:c r="G772" s="34" t="str">
        <x:v>DISCLOSED_PATH</x:v>
      </x:c>
      <x:c r="H772" s="34" t="n">
        <x:v>5</x:v>
      </x:c>
      <x:c r="I772" s="34" t="n">
        <x:v>2029</x:v>
      </x:c>
      <x:c r="J772" s="34" t="n">
        <x:v>2038</x:v>
      </x:c>
      <x:c r="K772" s="34" t="n">
        <x:v>0.37018</x:v>
      </x:c>
      <x:c r="L772" s="34" t="n">
        <x:v>0.372751</x:v>
      </x:c>
      <x:c r="M772" s="34" t="n">
        <x:v>0.257069</x:v>
      </x:c>
      <x:c r="N772" s="34" t="n">
        <x:v>0</x:v>
      </x:c>
      <x:c r="O772" s="34" t="n">
        <x:v>0.15</x:v>
      </x:c>
      <x:c r="P772" s="34" t="n">
        <x:v>0.1</x:v>
      </x:c>
      <x:c r="Q772" s="34" t="n">
        <x:v>0.2</x:v>
      </x:c>
      <x:c r="R772" s="34" t="n">
        <x:v>0.1</x:v>
      </x:c>
      <x:c r="S772" s="34" t="n">
        <x:v>0.01</x:v>
      </x:c>
      <x:c r="T772" s="34" t="n">
        <x:v>348.473932</x:v>
      </x:c>
      <x:c r="U772" s="34" t="str">
        <x:v>NS-EAST:BF_RELINE:2034|NS-KANSAI:BF_RELINE:2036|NS-KYUSHU:H2_DRI_EAF:2029|NS-NAGOYA:SCRAP_EAF:2032|NS-SETOUCHI:SCRAP_EAF:2038</x:v>
      </x:c>
      <x:c r="V772" s="34" t="str">
        <x:v>model_generated_candidate</x:v>
      </x:c>
      <x:c r="W772" s="34" t="str">
        <x:v>Generated from disclosed-path facility calendar, technology set and template contracting assumptions; not a company-announced project</x:v>
      </x:c>
    </x:row>
    <x:row r="773">
      <x:c r="A773" s="34" t="str">
        <x:v>CAND-EF43A3C642C9B2</x:v>
      </x:c>
      <x:c r="B773" s="34" t="str">
        <x:v>NIPPON_STEEL_JP</x:v>
      </x:c>
      <x:c r="C773" s="34" t="str">
        <x:v>Nippon Steel</x:v>
      </x:c>
      <x:c r="D773" s="34" t="str">
        <x:v>P2</x:v>
      </x:c>
      <x:c r="E773" s="34" t="str">
        <x:v>지연·부분헤지</x:v>
      </x:c>
      <x:c r="F773" s="34" t="str">
        <x:v>PORT-EF8B17A58845</x:v>
      </x:c>
      <x:c r="G773" s="34" t="str">
        <x:v>DISCLOSED_PATH</x:v>
      </x:c>
      <x:c r="H773" s="34" t="n">
        <x:v>5</x:v>
      </x:c>
      <x:c r="I773" s="34" t="n">
        <x:v>2029</x:v>
      </x:c>
      <x:c r="J773" s="34" t="n">
        <x:v>2038</x:v>
      </x:c>
      <x:c r="K773" s="34" t="n">
        <x:v>0.161954</x:v>
      </x:c>
      <x:c r="L773" s="34" t="n">
        <x:v>0.257069</x:v>
      </x:c>
      <x:c r="M773" s="34" t="n">
        <x:v>0.580977</x:v>
      </x:c>
      <x:c r="N773" s="34" t="n">
        <x:v>0</x:v>
      </x:c>
      <x:c r="O773" s="34" t="n">
        <x:v>0.15</x:v>
      </x:c>
      <x:c r="P773" s="34" t="n">
        <x:v>0.1</x:v>
      </x:c>
      <x:c r="Q773" s="34" t="n">
        <x:v>0.2</x:v>
      </x:c>
      <x:c r="R773" s="34" t="n">
        <x:v>0.1</x:v>
      </x:c>
      <x:c r="S773" s="34" t="n">
        <x:v>0.01</x:v>
      </x:c>
      <x:c r="T773" s="34" t="n">
        <x:v>425.828938</x:v>
      </x:c>
      <x:c r="U773" s="34" t="str">
        <x:v>NS-EAST:H2_DRI_EAF:2034|NS-KANSAI:BF_RELINE:2036|NS-KYUSHU:SCRAP_EAF:2029|NS-NAGOYA:H2_DRI_EAF:2032|NS-SETOUCHI:H2_DRI_EAF:2038</x:v>
      </x:c>
      <x:c r="V773" s="34" t="str">
        <x:v>model_generated_candidate</x:v>
      </x:c>
      <x:c r="W773" s="34" t="str">
        <x:v>Generated from disclosed-path facility calendar, technology set and template contracting assumptions; not a company-announced project</x:v>
      </x:c>
    </x:row>
    <x:row r="774">
      <x:c r="A774" s="34" t="str">
        <x:v>CAND-EF9F86F64A1C2A</x:v>
      </x:c>
      <x:c r="B774" s="34" t="str">
        <x:v>NIPPON_STEEL_JP</x:v>
      </x:c>
      <x:c r="C774" s="34" t="str">
        <x:v>Nippon Steel</x:v>
      </x:c>
      <x:c r="D774" s="34" t="str">
        <x:v>P3</x:v>
      </x:c>
      <x:c r="E774" s="34" t="str">
        <x:v>균형형 라이트헤지</x:v>
      </x:c>
      <x:c r="F774" s="34" t="str">
        <x:v>PORT-00B029BF7478</x:v>
      </x:c>
      <x:c r="G774" s="34" t="str">
        <x:v>DISCLOSED_PATH</x:v>
      </x:c>
      <x:c r="H774" s="34" t="n">
        <x:v>5</x:v>
      </x:c>
      <x:c r="I774" s="34" t="n">
        <x:v>2029</x:v>
      </x:c>
      <x:c r="J774" s="34" t="n">
        <x:v>2038</x:v>
      </x:c>
      <x:c r="K774" s="34" t="n">
        <x:v>0</x:v>
      </x:c>
      <x:c r="L774" s="34" t="n">
        <x:v>0.437018</x:v>
      </x:c>
      <x:c r="M774" s="34" t="n">
        <x:v>0.562982</x:v>
      </x:c>
      <x:c r="N774" s="34" t="n">
        <x:v>0</x:v>
      </x:c>
      <x:c r="O774" s="34" t="n">
        <x:v>0.3</x:v>
      </x:c>
      <x:c r="P774" s="34" t="n">
        <x:v>0.25</x:v>
      </x:c>
      <x:c r="Q774" s="34" t="n">
        <x:v>0.35</x:v>
      </x:c>
      <x:c r="R774" s="34" t="n">
        <x:v>0.25</x:v>
      </x:c>
      <x:c r="S774" s="34" t="n">
        <x:v>0.015</x:v>
      </x:c>
      <x:c r="T774" s="34" t="n">
        <x:v>459.478949</x:v>
      </x:c>
      <x:c r="U774" s="34" t="str">
        <x:v>NS-EAST:H2_DRI_EAF:2034|NS-KANSAI:H2_DRI_EAF:2036|NS-KYUSHU:SCRAP_EAF:2029|NS-NAGOYA:SCRAP_EAF:2032|NS-SETOUCHI:H2_DRI_EAF:2038</x:v>
      </x:c>
      <x:c r="V774" s="34" t="str">
        <x:v>model_generated_candidate</x:v>
      </x:c>
      <x:c r="W774" s="34" t="str">
        <x:v>Generated from disclosed-path facility calendar, technology set and template contracting assumptions; not a company-announced project</x:v>
      </x:c>
    </x:row>
    <x:row r="775">
      <x:c r="A775" s="34" t="str">
        <x:v>CAND-F03355E962D887</x:v>
      </x:c>
      <x:c r="B775" s="34" t="str">
        <x:v>NIPPON_STEEL_JP</x:v>
      </x:c>
      <x:c r="C775" s="34" t="str">
        <x:v>Nippon Steel</x:v>
      </x:c>
      <x:c r="D775" s="34" t="str">
        <x:v>P1</x:v>
      </x:c>
      <x:c r="E775" s="34" t="str">
        <x:v>지연·현물조달</x:v>
      </x:c>
      <x:c r="F775" s="34" t="str">
        <x:v>PORT-9F881B0E6E71</x:v>
      </x:c>
      <x:c r="G775" s="34" t="str">
        <x:v>DISCLOSED_PATH</x:v>
      </x:c>
      <x:c r="H775" s="34" t="n">
        <x:v>5</x:v>
      </x:c>
      <x:c r="I775" s="34" t="n">
        <x:v>2029</x:v>
      </x:c>
      <x:c r="J775" s="34" t="n">
        <x:v>2038</x:v>
      </x:c>
      <x:c r="K775" s="34" t="n">
        <x:v>0.449871</x:v>
      </x:c>
      <x:c r="L775" s="34" t="n">
        <x:v>0.161954</x:v>
      </x:c>
      <x:c r="M775" s="34" t="n">
        <x:v>0.388175</x:v>
      </x:c>
      <x:c r="N775" s="34" t="n">
        <x:v>0</x:v>
      </x:c>
      <x:c r="O775" s="34" t="n">
        <x:v>0</x:v>
      </x:c>
      <x:c r="P775" s="34" t="n">
        <x:v>0</x:v>
      </x:c>
      <x:c r="Q775" s="34" t="n">
        <x:v>0.1</x:v>
      </x:c>
      <x:c r="R775" s="34" t="n">
        <x:v>0</x:v>
      </x:c>
      <x:c r="S775" s="34" t="n">
        <x:v>0</x:v>
      </x:c>
      <x:c r="T775" s="34" t="n">
        <x:v>277.698943</x:v>
      </x:c>
      <x:c r="U775" s="34" t="str">
        <x:v>NS-EAST:H2_DRI_EAF:2034|NS-KANSAI:SCRAP_EAF:2036|NS-KYUSHU:BF_RELINE:2029|NS-NAGOYA:H2_DRI_EAF:2032|NS-SETOUCHI:BF_RELINE:2038</x:v>
      </x:c>
      <x:c r="V775" s="34" t="str">
        <x:v>model_generated_candidate</x:v>
      </x:c>
      <x:c r="W775" s="34" t="str">
        <x:v>Generated from disclosed-path facility calendar, technology set and template contracting assumptions; not a company-announced project</x:v>
      </x:c>
    </x:row>
    <x:row r="776">
      <x:c r="A776" s="34" t="str">
        <x:v>CAND-F0695CE5FEF2E2</x:v>
      </x:c>
      <x:c r="B776" s="34" t="str">
        <x:v>NIPPON_STEEL_JP</x:v>
      </x:c>
      <x:c r="C776" s="34" t="str">
        <x:v>Nippon Steel</x:v>
      </x:c>
      <x:c r="D776" s="34" t="str">
        <x:v>P1</x:v>
      </x:c>
      <x:c r="E776" s="34" t="str">
        <x:v>지연·현물조달</x:v>
      </x:c>
      <x:c r="F776" s="34" t="str">
        <x:v>PORT-ABD3A701F29B</x:v>
      </x:c>
      <x:c r="G776" s="34" t="str">
        <x:v>DISCLOSED_PATH</x:v>
      </x:c>
      <x:c r="H776" s="34" t="n">
        <x:v>5</x:v>
      </x:c>
      <x:c r="I776" s="34" t="n">
        <x:v>2029</x:v>
      </x:c>
      <x:c r="J776" s="34" t="n">
        <x:v>2038</x:v>
      </x:c>
      <x:c r="K776" s="34" t="n">
        <x:v>0.449871</x:v>
      </x:c>
      <x:c r="L776" s="34" t="n">
        <x:v>0.179949</x:v>
      </x:c>
      <x:c r="M776" s="34" t="n">
        <x:v>0.37018</x:v>
      </x:c>
      <x:c r="N776" s="34" t="n">
        <x:v>0</x:v>
      </x:c>
      <x:c r="O776" s="34" t="n">
        <x:v>0</x:v>
      </x:c>
      <x:c r="P776" s="34" t="n">
        <x:v>0</x:v>
      </x:c>
      <x:c r="Q776" s="34" t="n">
        <x:v>0.1</x:v>
      </x:c>
      <x:c r="R776" s="34" t="n">
        <x:v>0</x:v>
      </x:c>
      <x:c r="S776" s="34" t="n">
        <x:v>0</x:v>
      </x:c>
      <x:c r="T776" s="34" t="n">
        <x:v>270.748949</x:v>
      </x:c>
      <x:c r="U776" s="34" t="str">
        <x:v>NS-EAST:H2_DRI_EAF:2034|NS-KANSAI:H2_DRI_EAF:2036|NS-KYUSHU:BF_RELINE:2029|NS-NAGOYA:SCRAP_EAF:2032|NS-SETOUCHI:BF_RELINE:2038</x:v>
      </x:c>
      <x:c r="V776" s="34" t="str">
        <x:v>model_generated_candidate</x:v>
      </x:c>
      <x:c r="W776" s="34" t="str">
        <x:v>Generated from disclosed-path facility calendar, technology set and template contracting assumptions; not a company-announced project</x:v>
      </x:c>
    </x:row>
    <x:row r="777">
      <x:c r="A777" s="34" t="str">
        <x:v>CAND-F085F72121C355</x:v>
      </x:c>
      <x:c r="B777" s="34" t="str">
        <x:v>NIPPON_STEEL_JP</x:v>
      </x:c>
      <x:c r="C777" s="34" t="str">
        <x:v>Nippon Steel</x:v>
      </x:c>
      <x:c r="D777" s="34" t="str">
        <x:v>P3</x:v>
      </x:c>
      <x:c r="E777" s="34" t="str">
        <x:v>균형형 라이트헤지</x:v>
      </x:c>
      <x:c r="F777" s="34" t="str">
        <x:v>PORT-1ADC37BD5A8C</x:v>
      </x:c>
      <x:c r="G777" s="34" t="str">
        <x:v>DISCLOSED_PATH</x:v>
      </x:c>
      <x:c r="H777" s="34" t="n">
        <x:v>5</x:v>
      </x:c>
      <x:c r="I777" s="34" t="n">
        <x:v>2029</x:v>
      </x:c>
      <x:c r="J777" s="34" t="n">
        <x:v>2038</x:v>
      </x:c>
      <x:c r="K777" s="34" t="n">
        <x:v>0.179949</x:v>
      </x:c>
      <x:c r="L777" s="34" t="n">
        <x:v>0.419023</x:v>
      </x:c>
      <x:c r="M777" s="34" t="n">
        <x:v>0.401028</x:v>
      </x:c>
      <x:c r="N777" s="34" t="n">
        <x:v>0</x:v>
      </x:c>
      <x:c r="O777" s="34" t="n">
        <x:v>0.3</x:v>
      </x:c>
      <x:c r="P777" s="34" t="n">
        <x:v>0.25</x:v>
      </x:c>
      <x:c r="Q777" s="34" t="n">
        <x:v>0.35</x:v>
      </x:c>
      <x:c r="R777" s="34" t="n">
        <x:v>0.25</x:v>
      </x:c>
      <x:c r="S777" s="34" t="n">
        <x:v>0.015</x:v>
      </x:c>
      <x:c r="T777" s="34" t="n">
        <x:v>371.568974</x:v>
      </x:c>
      <x:c r="U777" s="34" t="str">
        <x:v>NS-EAST:H2_DRI_EAF:2034|NS-KANSAI:SCRAP_EAF:2036|NS-KYUSHU:SCRAP_EAF:2029|NS-NAGOYA:BF_RELINE:2032|NS-SETOUCHI:H2_DRI_EAF:2038</x:v>
      </x:c>
      <x:c r="V777" s="34" t="str">
        <x:v>model_generated_candidate</x:v>
      </x:c>
      <x:c r="W777" s="34" t="str">
        <x:v>Generated from disclosed-path facility calendar, technology set and template contracting assumptions; not a company-announced project</x:v>
      </x:c>
    </x:row>
    <x:row r="778">
      <x:c r="A778" s="34" t="str">
        <x:v>CAND-F0DA1D16064D3C</x:v>
      </x:c>
      <x:c r="B778" s="34" t="str">
        <x:v>NIPPON_STEEL_JP</x:v>
      </x:c>
      <x:c r="C778" s="34" t="str">
        <x:v>Nippon Steel</x:v>
      </x:c>
      <x:c r="D778" s="34" t="str">
        <x:v>P1</x:v>
      </x:c>
      <x:c r="E778" s="34" t="str">
        <x:v>지연·현물조달</x:v>
      </x:c>
      <x:c r="F778" s="34" t="str">
        <x:v>PORT-B612393E309B</x:v>
      </x:c>
      <x:c r="G778" s="34" t="str">
        <x:v>DISCLOSED_PATH</x:v>
      </x:c>
      <x:c r="H778" s="34" t="n">
        <x:v>5</x:v>
      </x:c>
      <x:c r="I778" s="34" t="n">
        <x:v>2029</x:v>
      </x:c>
      <x:c r="J778" s="34" t="n">
        <x:v>2038</x:v>
      </x:c>
      <x:c r="K778" s="34" t="n">
        <x:v>0.449871</x:v>
      </x:c>
      <x:c r="L778" s="34" t="n">
        <x:v>0.341902</x:v>
      </x:c>
      <x:c r="M778" s="34" t="n">
        <x:v>0.208226</x:v>
      </x:c>
      <x:c r="N778" s="34" t="n">
        <x:v>0</x:v>
      </x:c>
      <x:c r="O778" s="34" t="n">
        <x:v>0</x:v>
      </x:c>
      <x:c r="P778" s="34" t="n">
        <x:v>0</x:v>
      </x:c>
      <x:c r="Q778" s="34" t="n">
        <x:v>0.1</x:v>
      </x:c>
      <x:c r="R778" s="34" t="n">
        <x:v>0</x:v>
      </x:c>
      <x:c r="S778" s="34" t="n">
        <x:v>0</x:v>
      </x:c>
      <x:c r="T778" s="34" t="n">
        <x:v>263.748948</x:v>
      </x:c>
      <x:c r="U778" s="34" t="str">
        <x:v>NS-EAST:H2_DRI_EAF:2034|NS-KANSAI:SCRAP_EAF:2036|NS-KYUSHU:BF_RELINE:2029|NS-NAGOYA:SCRAP_EAF:2032|NS-SETOUCHI:BF_RELINE:2038</x:v>
      </x:c>
      <x:c r="V778" s="34" t="str">
        <x:v>model_generated_candidate</x:v>
      </x:c>
      <x:c r="W778" s="34" t="str">
        <x:v>Generated from disclosed-path facility calendar, technology set and template contracting assumptions; not a company-announced project</x:v>
      </x:c>
    </x:row>
    <x:row r="779">
      <x:c r="A779" s="34" t="str">
        <x:v>CAND-F15522591E5526</x:v>
      </x:c>
      <x:c r="B779" s="34" t="str">
        <x:v>NIPPON_STEEL_JP</x:v>
      </x:c>
      <x:c r="C779" s="34" t="str">
        <x:v>Nippon Steel</x:v>
      </x:c>
      <x:c r="D779" s="34" t="str">
        <x:v>P3</x:v>
      </x:c>
      <x:c r="E779" s="34" t="str">
        <x:v>균형형 라이트헤지</x:v>
      </x:c>
      <x:c r="F779" s="34" t="str">
        <x:v>PORT-9D6D0AEF4524</x:v>
      </x:c>
      <x:c r="G779" s="34" t="str">
        <x:v>DISCLOSED_PATH</x:v>
      </x:c>
      <x:c r="H779" s="34" t="n">
        <x:v>5</x:v>
      </x:c>
      <x:c r="I779" s="34" t="n">
        <x:v>2029</x:v>
      </x:c>
      <x:c r="J779" s="34" t="n">
        <x:v>2038</x:v>
      </x:c>
      <x:c r="K779" s="34" t="n">
        <x:v>0</x:v>
      </x:c>
      <x:c r="L779" s="34" t="n">
        <x:v>0.372751</x:v>
      </x:c>
      <x:c r="M779" s="34" t="n">
        <x:v>0.627249</x:v>
      </x:c>
      <x:c r="N779" s="34" t="n">
        <x:v>0</x:v>
      </x:c>
      <x:c r="O779" s="34" t="n">
        <x:v>0.3</x:v>
      </x:c>
      <x:c r="P779" s="34" t="n">
        <x:v>0.25</x:v>
      </x:c>
      <x:c r="Q779" s="34" t="n">
        <x:v>0.35</x:v>
      </x:c>
      <x:c r="R779" s="34" t="n">
        <x:v>0.25</x:v>
      </x:c>
      <x:c r="S779" s="34" t="n">
        <x:v>0.015</x:v>
      </x:c>
      <x:c r="T779" s="34" t="n">
        <x:v>481.753949</x:v>
      </x:c>
      <x:c r="U779" s="34" t="str">
        <x:v>NS-EAST:H2_DRI_EAF:2034|NS-KANSAI:H2_DRI_EAF:2036|NS-KYUSHU:H2_DRI_EAF:2029|NS-NAGOYA:SCRAP_EAF:2032|NS-SETOUCHI:SCRAP_EAF:2038</x:v>
      </x:c>
      <x:c r="V779" s="34" t="str">
        <x:v>model_generated_candidate</x:v>
      </x:c>
      <x:c r="W779" s="34" t="str">
        <x:v>Generated from disclosed-path facility calendar, technology set and template contracting assumptions; not a company-announced project</x:v>
      </x:c>
    </x:row>
    <x:row r="780">
      <x:c r="A780" s="34" t="str">
        <x:v>CAND-F165B74AB4E54E</x:v>
      </x:c>
      <x:c r="B780" s="34" t="str">
        <x:v>NIPPON_STEEL_JP</x:v>
      </x:c>
      <x:c r="C780" s="34" t="str">
        <x:v>Nippon Steel</x:v>
      </x:c>
      <x:c r="D780" s="34" t="str">
        <x:v>P1</x:v>
      </x:c>
      <x:c r="E780" s="34" t="str">
        <x:v>지연·현물조달</x:v>
      </x:c>
      <x:c r="F780" s="34" t="str">
        <x:v>PORT-1D7419482A7C</x:v>
      </x:c>
      <x:c r="G780" s="34" t="str">
        <x:v>DISCLOSED_PATH</x:v>
      </x:c>
      <x:c r="H780" s="34" t="n">
        <x:v>5</x:v>
      </x:c>
      <x:c r="I780" s="34" t="n">
        <x:v>2029</x:v>
      </x:c>
      <x:c r="J780" s="34" t="n">
        <x:v>2038</x:v>
      </x:c>
      <x:c r="K780" s="34" t="n">
        <x:v>0.401028</x:v>
      </x:c>
      <x:c r="L780" s="34" t="n">
        <x:v>0</x:v>
      </x:c>
      <x:c r="M780" s="34" t="n">
        <x:v>0.598972</x:v>
      </x:c>
      <x:c r="N780" s="34" t="n">
        <x:v>0</x:v>
      </x:c>
      <x:c r="O780" s="34" t="n">
        <x:v>0</x:v>
      </x:c>
      <x:c r="P780" s="34" t="n">
        <x:v>0</x:v>
      </x:c>
      <x:c r="Q780" s="34" t="n">
        <x:v>0.1</x:v>
      </x:c>
      <x:c r="R780" s="34" t="n">
        <x:v>0</x:v>
      </x:c>
      <x:c r="S780" s="34" t="n">
        <x:v>0</x:v>
      </x:c>
      <x:c r="T780" s="34" t="n">
        <x:v>382.618933</x:v>
      </x:c>
      <x:c r="U780" s="34" t="str">
        <x:v>NS-EAST:BF_RELINE:2034|NS-KANSAI:H2_DRI_EAF:2036|NS-KYUSHU:H2_DRI_EAF:2029|NS-NAGOYA:H2_DRI_EAF:2032|NS-SETOUCHI:BF_RELINE:2038</x:v>
      </x:c>
      <x:c r="V780" s="34" t="str">
        <x:v>model_generated_candidate</x:v>
      </x:c>
      <x:c r="W780" s="34" t="str">
        <x:v>Generated from disclosed-path facility calendar, technology set and template contracting assumptions; not a company-announced project</x:v>
      </x:c>
    </x:row>
    <x:row r="781">
      <x:c r="A781" s="34" t="str">
        <x:v>CAND-F2A99A042A9470</x:v>
      </x:c>
      <x:c r="B781" s="34" t="str">
        <x:v>NIPPON_STEEL_JP</x:v>
      </x:c>
      <x:c r="C781" s="34" t="str">
        <x:v>Nippon Steel</x:v>
      </x:c>
      <x:c r="D781" s="34" t="str">
        <x:v>P1</x:v>
      </x:c>
      <x:c r="E781" s="34" t="str">
        <x:v>지연·현물조달</x:v>
      </x:c>
      <x:c r="F781" s="34" t="str">
        <x:v>PORT-17F0017D3D64</x:v>
      </x:c>
      <x:c r="G781" s="34" t="str">
        <x:v>DISCLOSED_PATH</x:v>
      </x:c>
      <x:c r="H781" s="34" t="n">
        <x:v>5</x:v>
      </x:c>
      <x:c r="I781" s="34" t="n">
        <x:v>2029</x:v>
      </x:c>
      <x:c r="J781" s="34" t="n">
        <x:v>2038</x:v>
      </x:c>
      <x:c r="K781" s="34" t="n">
        <x:v>0.257069</x:v>
      </x:c>
      <x:c r="L781" s="34" t="n">
        <x:v>0</x:v>
      </x:c>
      <x:c r="M781" s="34" t="n">
        <x:v>0.742931</x:v>
      </x:c>
      <x:c r="N781" s="34" t="n">
        <x:v>0</x:v>
      </x:c>
      <x:c r="O781" s="34" t="n">
        <x:v>0</x:v>
      </x:c>
      <x:c r="P781" s="34" t="n">
        <x:v>0</x:v>
      </x:c>
      <x:c r="Q781" s="34" t="n">
        <x:v>0.1</x:v>
      </x:c>
      <x:c r="R781" s="34" t="n">
        <x:v>0</x:v>
      </x:c>
      <x:c r="S781" s="34" t="n">
        <x:v>0</x:v>
      </x:c>
      <x:c r="T781" s="34" t="n">
        <x:v>316.828944</x:v>
      </x:c>
      <x:c r="U781" s="34" t="str">
        <x:v>NS-EAST:H2_DRI_EAF:2034|NS-KANSAI:H2_DRI_EAF:2036|NS-KYUSHU:BF_RELINE:2029|NS-NAGOYA:H2_DRI_EAF:2032|NS-SETOUCHI:H2_DRI_EAF:2038</x:v>
      </x:c>
      <x:c r="V781" s="34" t="str">
        <x:v>model_generated_candidate</x:v>
      </x:c>
      <x:c r="W781" s="34" t="str">
        <x:v>Generated from disclosed-path facility calendar, technology set and template contracting assumptions; not a company-announced project</x:v>
      </x:c>
    </x:row>
    <x:row r="782">
      <x:c r="A782" s="34" t="str">
        <x:v>CAND-F2C85FD9DBF09F</x:v>
      </x:c>
      <x:c r="B782" s="34" t="str">
        <x:v>NIPPON_STEEL_JP</x:v>
      </x:c>
      <x:c r="C782" s="34" t="str">
        <x:v>Nippon Steel</x:v>
      </x:c>
      <x:c r="D782" s="34" t="str">
        <x:v>P1</x:v>
      </x:c>
      <x:c r="E782" s="34" t="str">
        <x:v>지연·현물조달</x:v>
      </x:c>
      <x:c r="F782" s="34" t="str">
        <x:v>PORT-A4A46F7A08A6</x:v>
      </x:c>
      <x:c r="G782" s="34" t="str">
        <x:v>DISCLOSED_PATH</x:v>
      </x:c>
      <x:c r="H782" s="34" t="n">
        <x:v>5</x:v>
      </x:c>
      <x:c r="I782" s="34" t="n">
        <x:v>2029</x:v>
      </x:c>
      <x:c r="J782" s="34" t="n">
        <x:v>2038</x:v>
      </x:c>
      <x:c r="K782" s="34" t="n">
        <x:v>0.192802</x:v>
      </x:c>
      <x:c r="L782" s="34" t="n">
        <x:v>0.388175</x:v>
      </x:c>
      <x:c r="M782" s="34" t="n">
        <x:v>0.419023</x:v>
      </x:c>
      <x:c r="N782" s="34" t="n">
        <x:v>0</x:v>
      </x:c>
      <x:c r="O782" s="34" t="n">
        <x:v>0</x:v>
      </x:c>
      <x:c r="P782" s="34" t="n">
        <x:v>0</x:v>
      </x:c>
      <x:c r="Q782" s="34" t="n">
        <x:v>0.1</x:v>
      </x:c>
      <x:c r="R782" s="34" t="n">
        <x:v>0</x:v>
      </x:c>
      <x:c r="S782" s="34" t="n">
        <x:v>0</x:v>
      </x:c>
      <x:c r="T782" s="34" t="n">
        <x:v>441.748947</x:v>
      </x:c>
      <x:c r="U782" s="34" t="str">
        <x:v>NS-EAST:SCRAP_EAF:2034|NS-KANSAI:H2_DRI_EAF:2036|NS-KYUSHU:H2_DRI_EAF:2029|NS-NAGOYA:SCRAP_EAF:2032|NS-SETOUCHI:BF_RELINE:2038</x:v>
      </x:c>
      <x:c r="V782" s="34" t="str">
        <x:v>model_generated_candidate</x:v>
      </x:c>
      <x:c r="W782" s="34" t="str">
        <x:v>Generated from disclosed-path facility calendar, technology set and template contracting assumptions; not a company-announced project</x:v>
      </x:c>
    </x:row>
    <x:row r="783">
      <x:c r="A783" s="34" t="str">
        <x:v>CAND-F34D8ED8861A88</x:v>
      </x:c>
      <x:c r="B783" s="34" t="str">
        <x:v>NIPPON_STEEL_JP</x:v>
      </x:c>
      <x:c r="C783" s="34" t="str">
        <x:v>Nippon Steel</x:v>
      </x:c>
      <x:c r="D783" s="34" t="str">
        <x:v>P1</x:v>
      </x:c>
      <x:c r="E783" s="34" t="str">
        <x:v>지연·현물조달</x:v>
      </x:c>
      <x:c r="F783" s="34" t="str">
        <x:v>PORT-B837EC1770B6</x:v>
      </x:c>
      <x:c r="G783" s="34" t="str">
        <x:v>DISCLOSED_PATH</x:v>
      </x:c>
      <x:c r="H783" s="34" t="n">
        <x:v>5</x:v>
      </x:c>
      <x:c r="I783" s="34" t="n">
        <x:v>2029</x:v>
      </x:c>
      <x:c r="J783" s="34" t="n">
        <x:v>2038</x:v>
      </x:c>
      <x:c r="K783" s="34" t="n">
        <x:v>0.627249</x:v>
      </x:c>
      <x:c r="L783" s="34" t="n">
        <x:v>0.192802</x:v>
      </x:c>
      <x:c r="M783" s="34" t="n">
        <x:v>0.179949</x:v>
      </x:c>
      <x:c r="N783" s="34" t="n">
        <x:v>0</x:v>
      </x:c>
      <x:c r="O783" s="34" t="n">
        <x:v>0</x:v>
      </x:c>
      <x:c r="P783" s="34" t="n">
        <x:v>0</x:v>
      </x:c>
      <x:c r="Q783" s="34" t="n">
        <x:v>0.1</x:v>
      </x:c>
      <x:c r="R783" s="34" t="n">
        <x:v>0</x:v>
      </x:c>
      <x:c r="S783" s="34" t="n">
        <x:v>0</x:v>
      </x:c>
      <x:c r="T783" s="34" t="n">
        <x:v>178.823927</x:v>
      </x:c>
      <x:c r="U783" s="34" t="str">
        <x:v>NS-EAST:BF_RELINE:2034|NS-KANSAI:BF_RELINE:2036|NS-KYUSHU:BF_RELINE:2029|NS-NAGOYA:H2_DRI_EAF:2032|NS-SETOUCHI:SCRAP_EAF:2038</x:v>
      </x:c>
      <x:c r="V783" s="34" t="str">
        <x:v>model_generated_candidate</x:v>
      </x:c>
      <x:c r="W783" s="34" t="str">
        <x:v>Generated from disclosed-path facility calendar, technology set and template contracting assumptions; not a company-announced project</x:v>
      </x:c>
    </x:row>
    <x:row r="784">
      <x:c r="A784" s="34" t="str">
        <x:v>CAND-F3909595191750</x:v>
      </x:c>
      <x:c r="B784" s="34" t="str">
        <x:v>NIPPON_STEEL_JP</x:v>
      </x:c>
      <x:c r="C784" s="34" t="str">
        <x:v>Nippon Steel</x:v>
      </x:c>
      <x:c r="D784" s="34" t="str">
        <x:v>P2</x:v>
      </x:c>
      <x:c r="E784" s="34" t="str">
        <x:v>지연·부분헤지</x:v>
      </x:c>
      <x:c r="F784" s="34" t="str">
        <x:v>PORT-265CE4378B75</x:v>
      </x:c>
      <x:c r="G784" s="34" t="str">
        <x:v>DISCLOSED_PATH</x:v>
      </x:c>
      <x:c r="H784" s="34" t="n">
        <x:v>5</x:v>
      </x:c>
      <x:c r="I784" s="34" t="n">
        <x:v>2029</x:v>
      </x:c>
      <x:c r="J784" s="34" t="n">
        <x:v>2038</x:v>
      </x:c>
      <x:c r="K784" s="34" t="n">
        <x:v>0</x:v>
      </x:c>
      <x:c r="L784" s="34" t="n">
        <x:v>0</x:v>
      </x:c>
      <x:c r="M784" s="34" t="n">
        <x:v>1</x:v>
      </x:c>
      <x:c r="N784" s="34" t="n">
        <x:v>0</x:v>
      </x:c>
      <x:c r="O784" s="34" t="n">
        <x:v>0.15</x:v>
      </x:c>
      <x:c r="P784" s="34" t="n">
        <x:v>0.1</x:v>
      </x:c>
      <x:c r="Q784" s="34" t="n">
        <x:v>0.2</x:v>
      </x:c>
      <x:c r="R784" s="34" t="n">
        <x:v>0.1</x:v>
      </x:c>
      <x:c r="S784" s="34" t="n">
        <x:v>0.01</x:v>
      </x:c>
      <x:c r="T784" s="34" t="n">
        <x:v>500.428944</x:v>
      </x:c>
      <x:c r="U784" s="34" t="str">
        <x:v>NS-EAST:H2_DRI_EAF:2034|NS-KANSAI:H2_DRI_EAF:2036|NS-KYUSHU:H2_DRI_EAF:2029|NS-NAGOYA:H2_DRI_EAF:2032|NS-SETOUCHI:H2_DRI_EAF:2038</x:v>
      </x:c>
      <x:c r="V784" s="34" t="str">
        <x:v>model_generated_candidate</x:v>
      </x:c>
      <x:c r="W784" s="34" t="str">
        <x:v>Generated from disclosed-path facility calendar, technology set and template contracting assumptions; not a company-announced project</x:v>
      </x:c>
    </x:row>
    <x:row r="785">
      <x:c r="A785" s="34" t="str">
        <x:v>CAND-F4730A02D18127</x:v>
      </x:c>
      <x:c r="B785" s="34" t="str">
        <x:v>NIPPON_STEEL_JP</x:v>
      </x:c>
      <x:c r="C785" s="34" t="str">
        <x:v>Nippon Steel</x:v>
      </x:c>
      <x:c r="D785" s="34" t="str">
        <x:v>P1</x:v>
      </x:c>
      <x:c r="E785" s="34" t="str">
        <x:v>지연·현물조달</x:v>
      </x:c>
      <x:c r="F785" s="34" t="str">
        <x:v>PORT-872DBBAC9225</x:v>
      </x:c>
      <x:c r="G785" s="34" t="str">
        <x:v>DISCLOSED_PATH</x:v>
      </x:c>
      <x:c r="H785" s="34" t="n">
        <x:v>5</x:v>
      </x:c>
      <x:c r="I785" s="34" t="n">
        <x:v>2029</x:v>
      </x:c>
      <x:c r="J785" s="34" t="n">
        <x:v>2038</x:v>
      </x:c>
      <x:c r="K785" s="34" t="n">
        <x:v>0.562982</x:v>
      </x:c>
      <x:c r="L785" s="34" t="n">
        <x:v>0</x:v>
      </x:c>
      <x:c r="M785" s="34" t="n">
        <x:v>0.437018</x:v>
      </x:c>
      <x:c r="N785" s="34" t="n">
        <x:v>0</x:v>
      </x:c>
      <x:c r="O785" s="34" t="n">
        <x:v>0</x:v>
      </x:c>
      <x:c r="P785" s="34" t="n">
        <x:v>0</x:v>
      </x:c>
      <x:c r="Q785" s="34" t="n">
        <x:v>0.1</x:v>
      </x:c>
      <x:c r="R785" s="34" t="n">
        <x:v>0</x:v>
      </x:c>
      <x:c r="S785" s="34" t="n">
        <x:v>0</x:v>
      </x:c>
      <x:c r="T785" s="34" t="n">
        <x:v>335.018927</x:v>
      </x:c>
      <x:c r="U785" s="34" t="str">
        <x:v>NS-EAST:BF_RELINE:2034|NS-KANSAI:BF_RELINE:2036|NS-KYUSHU:H2_DRI_EAF:2029|NS-NAGOYA:H2_DRI_EAF:2032|NS-SETOUCHI:BF_RELINE:2038</x:v>
      </x:c>
      <x:c r="V785" s="34" t="str">
        <x:v>model_generated_candidate</x:v>
      </x:c>
      <x:c r="W785" s="34" t="str">
        <x:v>Generated from disclosed-path facility calendar, technology set and template contracting assumptions; not a company-announced project</x:v>
      </x:c>
    </x:row>
    <x:row r="786">
      <x:c r="A786" s="34" t="str">
        <x:v>CAND-F4A409A209287A</x:v>
      </x:c>
      <x:c r="B786" s="34" t="str">
        <x:v>NIPPON_STEEL_JP</x:v>
      </x:c>
      <x:c r="C786" s="34" t="str">
        <x:v>Nippon Steel</x:v>
      </x:c>
      <x:c r="D786" s="34" t="str">
        <x:v>P1</x:v>
      </x:c>
      <x:c r="E786" s="34" t="str">
        <x:v>지연·현물조달</x:v>
      </x:c>
      <x:c r="F786" s="34" t="str">
        <x:v>PORT-6595376D3E3B</x:v>
      </x:c>
      <x:c r="G786" s="34" t="str">
        <x:v>DISCLOSED_PATH</x:v>
      </x:c>
      <x:c r="H786" s="34" t="n">
        <x:v>5</x:v>
      </x:c>
      <x:c r="I786" s="34" t="n">
        <x:v>2029</x:v>
      </x:c>
      <x:c r="J786" s="34" t="n">
        <x:v>2038</x:v>
      </x:c>
      <x:c r="K786" s="34" t="n">
        <x:v>0</x:v>
      </x:c>
      <x:c r="L786" s="34" t="n">
        <x:v>0.37018</x:v>
      </x:c>
      <x:c r="M786" s="34" t="n">
        <x:v>0.62982</x:v>
      </x:c>
      <x:c r="N786" s="34" t="n">
        <x:v>0</x:v>
      </x:c>
      <x:c r="O786" s="34" t="n">
        <x:v>0</x:v>
      </x:c>
      <x:c r="P786" s="34" t="n">
        <x:v>0</x:v>
      </x:c>
      <x:c r="Q786" s="34" t="n">
        <x:v>0.1</x:v>
      </x:c>
      <x:c r="R786" s="34" t="n">
        <x:v>0</x:v>
      </x:c>
      <x:c r="S786" s="34" t="n">
        <x:v>0</x:v>
      </x:c>
      <x:c r="T786" s="34" t="n">
        <x:v>480.828942</x:v>
      </x:c>
      <x:c r="U786" s="34" t="str">
        <x:v>NS-EAST:SCRAP_EAF:2034|NS-KANSAI:SCRAP_EAF:2036|NS-KYUSHU:H2_DRI_EAF:2029|NS-NAGOYA:H2_DRI_EAF:2032|NS-SETOUCHI:H2_DRI_EAF:2038</x:v>
      </x:c>
      <x:c r="V786" s="34" t="str">
        <x:v>model_generated_candidate</x:v>
      </x:c>
      <x:c r="W786" s="34" t="str">
        <x:v>Generated from disclosed-path facility calendar, technology set and template contracting assumptions; not a company-announced project</x:v>
      </x:c>
    </x:row>
    <x:row r="787">
      <x:c r="A787" s="34" t="str">
        <x:v>CAND-F4CBAE57D2715E</x:v>
      </x:c>
      <x:c r="B787" s="34" t="str">
        <x:v>NIPPON_STEEL_JP</x:v>
      </x:c>
      <x:c r="C787" s="34" t="str">
        <x:v>Nippon Steel</x:v>
      </x:c>
      <x:c r="D787" s="34" t="str">
        <x:v>P2</x:v>
      </x:c>
      <x:c r="E787" s="34" t="str">
        <x:v>지연·부분헤지</x:v>
      </x:c>
      <x:c r="F787" s="34" t="str">
        <x:v>PORT-C7C771297A75</x:v>
      </x:c>
      <x:c r="G787" s="34" t="str">
        <x:v>DISCLOSED_PATH</x:v>
      </x:c>
      <x:c r="H787" s="34" t="n">
        <x:v>5</x:v>
      </x:c>
      <x:c r="I787" s="34" t="n">
        <x:v>2029</x:v>
      </x:c>
      <x:c r="J787" s="34" t="n">
        <x:v>2038</x:v>
      </x:c>
      <x:c r="K787" s="34" t="n">
        <x:v>0.179949</x:v>
      </x:c>
      <x:c r="L787" s="34" t="n">
        <x:v>0.562982</x:v>
      </x:c>
      <x:c r="M787" s="34" t="n">
        <x:v>0.257069</x:v>
      </x:c>
      <x:c r="N787" s="34" t="n">
        <x:v>0</x:v>
      </x:c>
      <x:c r="O787" s="34" t="n">
        <x:v>0.15</x:v>
      </x:c>
      <x:c r="P787" s="34" t="n">
        <x:v>0.1</x:v>
      </x:c>
      <x:c r="Q787" s="34" t="n">
        <x:v>0.2</x:v>
      </x:c>
      <x:c r="R787" s="34" t="n">
        <x:v>0.1</x:v>
      </x:c>
      <x:c r="S787" s="34" t="n">
        <x:v>0.01</x:v>
      </x:c>
      <x:c r="T787" s="34" t="n">
        <x:v>381.243972</x:v>
      </x:c>
      <x:c r="U787" s="34" t="str">
        <x:v>NS-EAST:SCRAP_EAF:2034|NS-KANSAI:SCRAP_EAF:2036|NS-KYUSHU:H2_DRI_EAF:2029|NS-NAGOYA:BF_RELINE:2032|NS-SETOUCHI:SCRAP_EAF:2038</x:v>
      </x:c>
      <x:c r="V787" s="34" t="str">
        <x:v>model_generated_candidate</x:v>
      </x:c>
      <x:c r="W787" s="34" t="str">
        <x:v>Generated from disclosed-path facility calendar, technology set and template contracting assumptions; not a company-announced project</x:v>
      </x:c>
    </x:row>
    <x:row r="788">
      <x:c r="A788" s="34" t="str">
        <x:v>CAND-F6184286A4322F</x:v>
      </x:c>
      <x:c r="B788" s="34" t="str">
        <x:v>NIPPON_STEEL_JP</x:v>
      </x:c>
      <x:c r="C788" s="34" t="str">
        <x:v>Nippon Steel</x:v>
      </x:c>
      <x:c r="D788" s="34" t="str">
        <x:v>P2</x:v>
      </x:c>
      <x:c r="E788" s="34" t="str">
        <x:v>지연·부분헤지</x:v>
      </x:c>
      <x:c r="F788" s="34" t="str">
        <x:v>PORT-6742936593A9</x:v>
      </x:c>
      <x:c r="G788" s="34" t="str">
        <x:v>DISCLOSED_PATH</x:v>
      </x:c>
      <x:c r="H788" s="34" t="n">
        <x:v>5</x:v>
      </x:c>
      <x:c r="I788" s="34" t="n">
        <x:v>2029</x:v>
      </x:c>
      <x:c r="J788" s="34" t="n">
        <x:v>2038</x:v>
      </x:c>
      <x:c r="K788" s="34" t="n">
        <x:v>0</x:v>
      </x:c>
      <x:c r="L788" s="34" t="n">
        <x:v>0.62982</x:v>
      </x:c>
      <x:c r="M788" s="34" t="n">
        <x:v>0.37018</x:v>
      </x:c>
      <x:c r="N788" s="34" t="n">
        <x:v>0</x:v>
      </x:c>
      <x:c r="O788" s="34" t="n">
        <x:v>0.15</x:v>
      </x:c>
      <x:c r="P788" s="34" t="n">
        <x:v>0.1</x:v>
      </x:c>
      <x:c r="Q788" s="34" t="n">
        <x:v>0.2</x:v>
      </x:c>
      <x:c r="R788" s="34" t="n">
        <x:v>0.1</x:v>
      </x:c>
      <x:c r="S788" s="34" t="n">
        <x:v>0.01</x:v>
      </x:c>
      <x:c r="T788" s="34" t="n">
        <x:v>454.753949</x:v>
      </x:c>
      <x:c r="U788" s="34" t="str">
        <x:v>NS-EAST:H2_DRI_EAF:2034|NS-KANSAI:H2_DRI_EAF:2036|NS-KYUSHU:SCRAP_EAF:2029|NS-NAGOYA:SCRAP_EAF:2032|NS-SETOUCHI:SCRAP_EAF:2038</x:v>
      </x:c>
      <x:c r="V788" s="34" t="str">
        <x:v>model_generated_candidate</x:v>
      </x:c>
      <x:c r="W788" s="34" t="str">
        <x:v>Generated from disclosed-path facility calendar, technology set and template contracting assumptions; not a company-announced project</x:v>
      </x:c>
    </x:row>
    <x:row r="789">
      <x:c r="A789" s="34" t="str">
        <x:v>CAND-F6EE283DA57898</x:v>
      </x:c>
      <x:c r="B789" s="34" t="str">
        <x:v>NIPPON_STEEL_JP</x:v>
      </x:c>
      <x:c r="C789" s="34" t="str">
        <x:v>Nippon Steel</x:v>
      </x:c>
      <x:c r="D789" s="34" t="str">
        <x:v>P1</x:v>
      </x:c>
      <x:c r="E789" s="34" t="str">
        <x:v>지연·현물조달</x:v>
      </x:c>
      <x:c r="F789" s="34" t="str">
        <x:v>PORT-C8F6A070F6D3</x:v>
      </x:c>
      <x:c r="G789" s="34" t="str">
        <x:v>DISCLOSED_PATH</x:v>
      </x:c>
      <x:c r="H789" s="34" t="n">
        <x:v>5</x:v>
      </x:c>
      <x:c r="I789" s="34" t="n">
        <x:v>2029</x:v>
      </x:c>
      <x:c r="J789" s="34" t="n">
        <x:v>2038</x:v>
      </x:c>
      <x:c r="K789" s="34" t="n">
        <x:v>0.257069</x:v>
      </x:c>
      <x:c r="L789" s="34" t="n">
        <x:v>0.354756</x:v>
      </x:c>
      <x:c r="M789" s="34" t="n">
        <x:v>0.388175</x:v>
      </x:c>
      <x:c r="N789" s="34" t="n">
        <x:v>0</x:v>
      </x:c>
      <x:c r="O789" s="34" t="n">
        <x:v>0</x:v>
      </x:c>
      <x:c r="P789" s="34" t="n">
        <x:v>0</x:v>
      </x:c>
      <x:c r="Q789" s="34" t="n">
        <x:v>0.1</x:v>
      </x:c>
      <x:c r="R789" s="34" t="n">
        <x:v>0</x:v>
      </x:c>
      <x:c r="S789" s="34" t="n">
        <x:v>0</x:v>
      </x:c>
      <x:c r="T789" s="34" t="n">
        <x:v>305.103943</x:v>
      </x:c>
      <x:c r="U789" s="34" t="str">
        <x:v>NS-EAST:H2_DRI_EAF:2034|NS-KANSAI:SCRAP_EAF:2036|NS-KYUSHU:BF_RELINE:2029|NS-NAGOYA:H2_DRI_EAF:2032|NS-SETOUCHI:SCRAP_EAF:2038</x:v>
      </x:c>
      <x:c r="V789" s="34" t="str">
        <x:v>model_generated_candidate</x:v>
      </x:c>
      <x:c r="W789" s="34" t="str">
        <x:v>Generated from disclosed-path facility calendar, technology set and template contracting assumptions; not a company-announced project</x:v>
      </x:c>
    </x:row>
    <x:row r="790">
      <x:c r="A790" s="34" t="str">
        <x:v>CAND-F7667943C768AB</x:v>
      </x:c>
      <x:c r="B790" s="34" t="str">
        <x:v>NIPPON_STEEL_JP</x:v>
      </x:c>
      <x:c r="C790" s="34" t="str">
        <x:v>Nippon Steel</x:v>
      </x:c>
      <x:c r="D790" s="34" t="str">
        <x:v>P2</x:v>
      </x:c>
      <x:c r="E790" s="34" t="str">
        <x:v>지연·부분헤지</x:v>
      </x:c>
      <x:c r="F790" s="34" t="str">
        <x:v>PORT-4B5687E526DA</x:v>
      </x:c>
      <x:c r="G790" s="34" t="str">
        <x:v>DISCLOSED_PATH</x:v>
      </x:c>
      <x:c r="H790" s="34" t="n">
        <x:v>5</x:v>
      </x:c>
      <x:c r="I790" s="34" t="n">
        <x:v>2029</x:v>
      </x:c>
      <x:c r="J790" s="34" t="n">
        <x:v>2038</x:v>
      </x:c>
      <x:c r="K790" s="34" t="n">
        <x:v>0.465296</x:v>
      </x:c>
      <x:c r="L790" s="34" t="n">
        <x:v>0.161954</x:v>
      </x:c>
      <x:c r="M790" s="34" t="n">
        <x:v>0.372751</x:v>
      </x:c>
      <x:c r="N790" s="34" t="n">
        <x:v>0</x:v>
      </x:c>
      <x:c r="O790" s="34" t="n">
        <x:v>0.15</x:v>
      </x:c>
      <x:c r="P790" s="34" t="n">
        <x:v>0.1</x:v>
      </x:c>
      <x:c r="Q790" s="34" t="n">
        <x:v>0.2</x:v>
      </x:c>
      <x:c r="R790" s="34" t="n">
        <x:v>0.1</x:v>
      </x:c>
      <x:c r="S790" s="34" t="n">
        <x:v>0.01</x:v>
      </x:c>
      <x:c r="T790" s="34" t="n">
        <x:v>224.148932</x:v>
      </x:c>
      <x:c r="U790" s="34" t="str">
        <x:v>NS-EAST:BF_RELINE:2034|NS-KANSAI:SCRAP_EAF:2036|NS-KYUSHU:BF_RELINE:2029|NS-NAGOYA:H2_DRI_EAF:2032|NS-SETOUCHI:H2_DRI_EAF:2038</x:v>
      </x:c>
      <x:c r="V790" s="34" t="str">
        <x:v>model_generated_candidate</x:v>
      </x:c>
      <x:c r="W790" s="34" t="str">
        <x:v>Generated from disclosed-path facility calendar, technology set and template contracting assumptions; not a company-announced project</x:v>
      </x:c>
    </x:row>
    <x:row r="791">
      <x:c r="A791" s="34" t="str">
        <x:v>CAND-F8B8AA7A9698E5</x:v>
      </x:c>
      <x:c r="B791" s="34" t="str">
        <x:v>NIPPON_STEEL_JP</x:v>
      </x:c>
      <x:c r="C791" s="34" t="str">
        <x:v>Nippon Steel</x:v>
      </x:c>
      <x:c r="D791" s="34" t="str">
        <x:v>P2</x:v>
      </x:c>
      <x:c r="E791" s="34" t="str">
        <x:v>지연·부분헤지</x:v>
      </x:c>
      <x:c r="F791" s="34" t="str">
        <x:v>PORT-EB022BB10102</x:v>
      </x:c>
      <x:c r="G791" s="34" t="str">
        <x:v>DISCLOSED_PATH</x:v>
      </x:c>
      <x:c r="H791" s="34" t="n">
        <x:v>5</x:v>
      </x:c>
      <x:c r="I791" s="34" t="n">
        <x:v>2029</x:v>
      </x:c>
      <x:c r="J791" s="34" t="n">
        <x:v>2038</x:v>
      </x:c>
      <x:c r="K791" s="34" t="n">
        <x:v>0.449871</x:v>
      </x:c>
      <x:c r="L791" s="34" t="n">
        <x:v>0.208226</x:v>
      </x:c>
      <x:c r="M791" s="34" t="n">
        <x:v>0.341902</x:v>
      </x:c>
      <x:c r="N791" s="34" t="n">
        <x:v>0</x:v>
      </x:c>
      <x:c r="O791" s="34" t="n">
        <x:v>0.15</x:v>
      </x:c>
      <x:c r="P791" s="34" t="n">
        <x:v>0.1</x:v>
      </x:c>
      <x:c r="Q791" s="34" t="n">
        <x:v>0.2</x:v>
      </x:c>
      <x:c r="R791" s="34" t="n">
        <x:v>0.1</x:v>
      </x:c>
      <x:c r="S791" s="34" t="n">
        <x:v>0.01</x:v>
      </x:c>
      <x:c r="T791" s="34" t="n">
        <x:v>272.098943</x:v>
      </x:c>
      <x:c r="U791" s="34" t="str">
        <x:v>NS-EAST:SCRAP_EAF:2034|NS-KANSAI:H2_DRI_EAF:2036|NS-KYUSHU:BF_RELINE:2029|NS-NAGOYA:H2_DRI_EAF:2032|NS-SETOUCHI:BF_RELINE:2038</x:v>
      </x:c>
      <x:c r="V791" s="34" t="str">
        <x:v>model_generated_candidate</x:v>
      </x:c>
      <x:c r="W791" s="34" t="str">
        <x:v>Generated from disclosed-path facility calendar, technology set and template contracting assumptions; not a company-announced project</x:v>
      </x:c>
    </x:row>
    <x:row r="792">
      <x:c r="A792" s="34" t="str">
        <x:v>CAND-F91D2F869F5EC9</x:v>
      </x:c>
      <x:c r="B792" s="34" t="str">
        <x:v>NIPPON_STEEL_JP</x:v>
      </x:c>
      <x:c r="C792" s="34" t="str">
        <x:v>Nippon Steel</x:v>
      </x:c>
      <x:c r="D792" s="34" t="str">
        <x:v>P1</x:v>
      </x:c>
      <x:c r="E792" s="34" t="str">
        <x:v>지연·현물조달</x:v>
      </x:c>
      <x:c r="F792" s="34" t="str">
        <x:v>PORT-052CDA750153</x:v>
      </x:c>
      <x:c r="G792" s="34" t="str">
        <x:v>DISCLOSED_PATH</x:v>
      </x:c>
      <x:c r="H792" s="34" t="n">
        <x:v>5</x:v>
      </x:c>
      <x:c r="I792" s="34" t="n">
        <x:v>2029</x:v>
      </x:c>
      <x:c r="J792" s="34" t="n">
        <x:v>2038</x:v>
      </x:c>
      <x:c r="K792" s="34" t="n">
        <x:v>0.179949</x:v>
      </x:c>
      <x:c r="L792" s="34" t="n">
        <x:v>0.627249</x:v>
      </x:c>
      <x:c r="M792" s="34" t="n">
        <x:v>0.192802</x:v>
      </x:c>
      <x:c r="N792" s="34" t="n">
        <x:v>0</x:v>
      </x:c>
      <x:c r="O792" s="34" t="n">
        <x:v>0</x:v>
      </x:c>
      <x:c r="P792" s="34" t="n">
        <x:v>0</x:v>
      </x:c>
      <x:c r="Q792" s="34" t="n">
        <x:v>0.1</x:v>
      </x:c>
      <x:c r="R792" s="34" t="n">
        <x:v>0</x:v>
      </x:c>
      <x:c r="S792" s="34" t="n">
        <x:v>0</x:v>
      </x:c>
      <x:c r="T792" s="34" t="n">
        <x:v>358.968972</x:v>
      </x:c>
      <x:c r="U792" s="34" t="str">
        <x:v>NS-EAST:SCRAP_EAF:2034|NS-KANSAI:SCRAP_EAF:2036|NS-KYUSHU:SCRAP_EAF:2029|NS-NAGOYA:BF_RELINE:2032|NS-SETOUCHI:H2_DRI_EAF:2038</x:v>
      </x:c>
      <x:c r="V792" s="34" t="str">
        <x:v>model_generated_candidate</x:v>
      </x:c>
      <x:c r="W792" s="34" t="str">
        <x:v>Generated from disclosed-path facility calendar, technology set and template contracting assumptions; not a company-announced project</x:v>
      </x:c>
    </x:row>
    <x:row r="793">
      <x:c r="A793" s="34" t="str">
        <x:v>CAND-F92DB709134AB4</x:v>
      </x:c>
      <x:c r="B793" s="34" t="str">
        <x:v>NIPPON_STEEL_JP</x:v>
      </x:c>
      <x:c r="C793" s="34" t="str">
        <x:v>Nippon Steel</x:v>
      </x:c>
      <x:c r="D793" s="34" t="str">
        <x:v>P1</x:v>
      </x:c>
      <x:c r="E793" s="34" t="str">
        <x:v>지연·현물조달</x:v>
      </x:c>
      <x:c r="F793" s="34" t="str">
        <x:v>PORT-020443F9C0DC</x:v>
      </x:c>
      <x:c r="G793" s="34" t="str">
        <x:v>DISCLOSED_PATH</x:v>
      </x:c>
      <x:c r="H793" s="34" t="n">
        <x:v>5</x:v>
      </x:c>
      <x:c r="I793" s="34" t="n">
        <x:v>2029</x:v>
      </x:c>
      <x:c r="J793" s="34" t="n">
        <x:v>2038</x:v>
      </x:c>
      <x:c r="K793" s="34" t="n">
        <x:v>0.388175</x:v>
      </x:c>
      <x:c r="L793" s="34" t="n">
        <x:v>0.419023</x:v>
      </x:c>
      <x:c r="M793" s="34" t="n">
        <x:v>0.192802</x:v>
      </x:c>
      <x:c r="N793" s="34" t="n">
        <x:v>0</x:v>
      </x:c>
      <x:c r="O793" s="34" t="n">
        <x:v>0</x:v>
      </x:c>
      <x:c r="P793" s="34" t="n">
        <x:v>0</x:v>
      </x:c>
      <x:c r="Q793" s="34" t="n">
        <x:v>0.1</x:v>
      </x:c>
      <x:c r="R793" s="34" t="n">
        <x:v>0</x:v>
      </x:c>
      <x:c r="S793" s="34" t="n">
        <x:v>0</x:v>
      </x:c>
      <x:c r="T793" s="34" t="n">
        <x:v>285.888963</x:v>
      </x:c>
      <x:c r="U793" s="34" t="str">
        <x:v>NS-EAST:BF_RELINE:2034|NS-KANSAI:SCRAP_EAF:2036|NS-KYUSHU:SCRAP_EAF:2029|NS-NAGOYA:BF_RELINE:2032|NS-SETOUCHI:H2_DRI_EAF:2038</x:v>
      </x:c>
      <x:c r="V793" s="34" t="str">
        <x:v>model_generated_candidate</x:v>
      </x:c>
      <x:c r="W793" s="34" t="str">
        <x:v>Generated from disclosed-path facility calendar, technology set and template contracting assumptions; not a company-announced project</x:v>
      </x:c>
    </x:row>
    <x:row r="794">
      <x:c r="A794" s="34" t="str">
        <x:v>CAND-F940A5016FE44E</x:v>
      </x:c>
      <x:c r="B794" s="34" t="str">
        <x:v>NIPPON_STEEL_JP</x:v>
      </x:c>
      <x:c r="C794" s="34" t="str">
        <x:v>Nippon Steel</x:v>
      </x:c>
      <x:c r="D794" s="34" t="str">
        <x:v>P1</x:v>
      </x:c>
      <x:c r="E794" s="34" t="str">
        <x:v>지연·현물조달</x:v>
      </x:c>
      <x:c r="F794" s="34" t="str">
        <x:v>PORT-00B029BF7478</x:v>
      </x:c>
      <x:c r="G794" s="34" t="str">
        <x:v>DISCLOSED_PATH</x:v>
      </x:c>
      <x:c r="H794" s="34" t="n">
        <x:v>5</x:v>
      </x:c>
      <x:c r="I794" s="34" t="n">
        <x:v>2029</x:v>
      </x:c>
      <x:c r="J794" s="34" t="n">
        <x:v>2038</x:v>
      </x:c>
      <x:c r="K794" s="34" t="n">
        <x:v>0</x:v>
      </x:c>
      <x:c r="L794" s="34" t="n">
        <x:v>0.437018</x:v>
      </x:c>
      <x:c r="M794" s="34" t="n">
        <x:v>0.562982</x:v>
      </x:c>
      <x:c r="N794" s="34" t="n">
        <x:v>0</x:v>
      </x:c>
      <x:c r="O794" s="34" t="n">
        <x:v>0</x:v>
      </x:c>
      <x:c r="P794" s="34" t="n">
        <x:v>0</x:v>
      </x:c>
      <x:c r="Q794" s="34" t="n">
        <x:v>0.1</x:v>
      </x:c>
      <x:c r="R794" s="34" t="n">
        <x:v>0</x:v>
      </x:c>
      <x:c r="S794" s="34" t="n">
        <x:v>0</x:v>
      </x:c>
      <x:c r="T794" s="34" t="n">
        <x:v>459.478949</x:v>
      </x:c>
      <x:c r="U794" s="34" t="str">
        <x:v>NS-EAST:H2_DRI_EAF:2034|NS-KANSAI:H2_DRI_EAF:2036|NS-KYUSHU:SCRAP_EAF:2029|NS-NAGOYA:SCRAP_EAF:2032|NS-SETOUCHI:H2_DRI_EAF:2038</x:v>
      </x:c>
      <x:c r="V794" s="34" t="str">
        <x:v>model_generated_candidate</x:v>
      </x:c>
      <x:c r="W794" s="34" t="str">
        <x:v>Generated from disclosed-path facility calendar, technology set and template contracting assumptions; not a company-announced project</x:v>
      </x:c>
    </x:row>
    <x:row r="795">
      <x:c r="A795" s="34" t="str">
        <x:v>CAND-F9BD6D8F213EEB</x:v>
      </x:c>
      <x:c r="B795" s="34" t="str">
        <x:v>NIPPON_STEEL_JP</x:v>
      </x:c>
      <x:c r="C795" s="34" t="str">
        <x:v>Nippon Steel</x:v>
      </x:c>
      <x:c r="D795" s="34" t="str">
        <x:v>P1</x:v>
      </x:c>
      <x:c r="E795" s="34" t="str">
        <x:v>지연·현물조달</x:v>
      </x:c>
      <x:c r="F795" s="34" t="str">
        <x:v>PORT-4C7510EE3869</x:v>
      </x:c>
      <x:c r="G795" s="34" t="str">
        <x:v>DISCLOSED_PATH</x:v>
      </x:c>
      <x:c r="H795" s="34" t="n">
        <x:v>5</x:v>
      </x:c>
      <x:c r="I795" s="34" t="n">
        <x:v>2029</x:v>
      </x:c>
      <x:c r="J795" s="34" t="n">
        <x:v>2038</x:v>
      </x:c>
      <x:c r="K795" s="34" t="n">
        <x:v>0.449871</x:v>
      </x:c>
      <x:c r="L795" s="34" t="n">
        <x:v>0.388175</x:v>
      </x:c>
      <x:c r="M795" s="34" t="n">
        <x:v>0.161954</x:v>
      </x:c>
      <x:c r="N795" s="34" t="n">
        <x:v>0</x:v>
      </x:c>
      <x:c r="O795" s="34" t="n">
        <x:v>0</x:v>
      </x:c>
      <x:c r="P795" s="34" t="n">
        <x:v>0</x:v>
      </x:c>
      <x:c r="Q795" s="34" t="n">
        <x:v>0.1</x:v>
      </x:c>
      <x:c r="R795" s="34" t="n">
        <x:v>0</x:v>
      </x:c>
      <x:c r="S795" s="34" t="n">
        <x:v>0</x:v>
      </x:c>
      <x:c r="T795" s="34" t="n">
        <x:v>258.148947</x:v>
      </x:c>
      <x:c r="U795" s="34" t="str">
        <x:v>NS-EAST:SCRAP_EAF:2034|NS-KANSAI:H2_DRI_EAF:2036|NS-KYUSHU:BF_RELINE:2029|NS-NAGOYA:SCRAP_EAF:2032|NS-SETOUCHI:BF_RELINE:2038</x:v>
      </x:c>
      <x:c r="V795" s="34" t="str">
        <x:v>model_generated_candidate</x:v>
      </x:c>
      <x:c r="W795" s="34" t="str">
        <x:v>Generated from disclosed-path facility calendar, technology set and template contracting assumptions; not a company-announced project</x:v>
      </x:c>
    </x:row>
    <x:row r="796">
      <x:c r="A796" s="34" t="str">
        <x:v>CAND-F9ECC83E7D64BB</x:v>
      </x:c>
      <x:c r="B796" s="34" t="str">
        <x:v>NIPPON_STEEL_JP</x:v>
      </x:c>
      <x:c r="C796" s="34" t="str">
        <x:v>Nippon Steel</x:v>
      </x:c>
      <x:c r="D796" s="34" t="str">
        <x:v>P4</x:v>
      </x:c>
      <x:c r="E796" s="34" t="str">
        <x:v>균형형 전환</x:v>
      </x:c>
      <x:c r="F796" s="34" t="str">
        <x:v>PORT-348643D18288</x:v>
      </x:c>
      <x:c r="G796" s="34" t="str">
        <x:v>DISCLOSED_PATH</x:v>
      </x:c>
      <x:c r="H796" s="34" t="n">
        <x:v>5</x:v>
      </x:c>
      <x:c r="I796" s="34" t="n">
        <x:v>2028</x:v>
      </x:c>
      <x:c r="J796" s="34" t="n">
        <x:v>2037</x:v>
      </x:c>
      <x:c r="K796" s="34" t="n">
        <x:v>0.354756</x:v>
      </x:c>
      <x:c r="L796" s="34" t="n">
        <x:v>0</x:v>
      </x:c>
      <x:c r="M796" s="34" t="n">
        <x:v>0.645244</x:v>
      </x:c>
      <x:c r="N796" s="34" t="n">
        <x:v>0</x:v>
      </x:c>
      <x:c r="O796" s="34" t="n">
        <x:v>0.5</x:v>
      </x:c>
      <x:c r="P796" s="34" t="n">
        <x:v>0.45</x:v>
      </x:c>
      <x:c r="Q796" s="34" t="n">
        <x:v>0.5</x:v>
      </x:c>
      <x:c r="R796" s="34" t="n">
        <x:v>0.4</x:v>
      </x:c>
      <x:c r="S796" s="34" t="n">
        <x:v>0.02</x:v>
      </x:c>
      <x:c r="T796" s="34" t="n">
        <x:v>466.208934</x:v>
      </x:c>
      <x:c r="U796" s="34" t="str">
        <x:v>NS-EAST:H2_DRI_EAF:2033|NS-KANSAI:BF_RELINE:2035|NS-KYUSHU:H2_DRI_EAF:2028|NS-NAGOYA:H2_DRI_EAF:2031|NS-SETOUCHI:BF_RELINE:2037</x:v>
      </x:c>
      <x:c r="V796" s="34" t="str">
        <x:v>model_generated_candidate</x:v>
      </x:c>
      <x:c r="W796" s="34" t="str">
        <x:v>Generated from disclosed-path facility calendar, technology set and template contracting assumptions; not a company-announced project</x:v>
      </x:c>
    </x:row>
    <x:row r="797">
      <x:c r="A797" s="34" t="str">
        <x:v>CAND-FA1A337F68C0FA</x:v>
      </x:c>
      <x:c r="B797" s="34" t="str">
        <x:v>NIPPON_STEEL_JP</x:v>
      </x:c>
      <x:c r="C797" s="34" t="str">
        <x:v>Nippon Steel</x:v>
      </x:c>
      <x:c r="D797" s="34" t="str">
        <x:v>P2</x:v>
      </x:c>
      <x:c r="E797" s="34" t="str">
        <x:v>지연·부분헤지</x:v>
      </x:c>
      <x:c r="F797" s="34" t="str">
        <x:v>PORT-BB5C0AB9899D</x:v>
      </x:c>
      <x:c r="G797" s="34" t="str">
        <x:v>DISCLOSED_PATH</x:v>
      </x:c>
      <x:c r="H797" s="34" t="n">
        <x:v>5</x:v>
      </x:c>
      <x:c r="I797" s="34" t="n">
        <x:v>2029</x:v>
      </x:c>
      <x:c r="J797" s="34" t="n">
        <x:v>2038</x:v>
      </x:c>
      <x:c r="K797" s="34" t="n">
        <x:v>0.257069</x:v>
      </x:c>
      <x:c r="L797" s="34" t="n">
        <x:v>0.192802</x:v>
      </x:c>
      <x:c r="M797" s="34" t="n">
        <x:v>0.550129</x:v>
      </x:c>
      <x:c r="N797" s="34" t="n">
        <x:v>0</x:v>
      </x:c>
      <x:c r="O797" s="34" t="n">
        <x:v>0.15</x:v>
      </x:c>
      <x:c r="P797" s="34" t="n">
        <x:v>0.1</x:v>
      </x:c>
      <x:c r="Q797" s="34" t="n">
        <x:v>0.2</x:v>
      </x:c>
      <x:c r="R797" s="34" t="n">
        <x:v>0.1</x:v>
      </x:c>
      <x:c r="S797" s="34" t="n">
        <x:v>0.01</x:v>
      </x:c>
      <x:c r="T797" s="34" t="n">
        <x:v>312.103944</x:v>
      </x:c>
      <x:c r="U797" s="34" t="str">
        <x:v>NS-EAST:H2_DRI_EAF:2034|NS-KANSAI:H2_DRI_EAF:2036|NS-KYUSHU:BF_RELINE:2029|NS-NAGOYA:H2_DRI_EAF:2032|NS-SETOUCHI:SCRAP_EAF:2038</x:v>
      </x:c>
      <x:c r="V797" s="34" t="str">
        <x:v>model_generated_candidate</x:v>
      </x:c>
      <x:c r="W797" s="34" t="str">
        <x:v>Generated from disclosed-path facility calendar, technology set and template contracting assumptions; not a company-announced project</x:v>
      </x:c>
    </x:row>
    <x:row r="798">
      <x:c r="A798" s="34" t="str">
        <x:v>CAND-FA301BC90085AC</x:v>
      </x:c>
      <x:c r="B798" s="34" t="str">
        <x:v>NIPPON_STEEL_JP</x:v>
      </x:c>
      <x:c r="C798" s="34" t="str">
        <x:v>Nippon Steel</x:v>
      </x:c>
      <x:c r="D798" s="34" t="str">
        <x:v>P3</x:v>
      </x:c>
      <x:c r="E798" s="34" t="str">
        <x:v>균형형 라이트헤지</x:v>
      </x:c>
      <x:c r="F798" s="34" t="str">
        <x:v>PORT-A4A46F7A08A6</x:v>
      </x:c>
      <x:c r="G798" s="34" t="str">
        <x:v>DISCLOSED_PATH</x:v>
      </x:c>
      <x:c r="H798" s="34" t="n">
        <x:v>5</x:v>
      </x:c>
      <x:c r="I798" s="34" t="n">
        <x:v>2029</x:v>
      </x:c>
      <x:c r="J798" s="34" t="n">
        <x:v>2038</x:v>
      </x:c>
      <x:c r="K798" s="34" t="n">
        <x:v>0.192802</x:v>
      </x:c>
      <x:c r="L798" s="34" t="n">
        <x:v>0.388175</x:v>
      </x:c>
      <x:c r="M798" s="34" t="n">
        <x:v>0.419023</x:v>
      </x:c>
      <x:c r="N798" s="34" t="n">
        <x:v>0</x:v>
      </x:c>
      <x:c r="O798" s="34" t="n">
        <x:v>0.3</x:v>
      </x:c>
      <x:c r="P798" s="34" t="n">
        <x:v>0.25</x:v>
      </x:c>
      <x:c r="Q798" s="34" t="n">
        <x:v>0.35</x:v>
      </x:c>
      <x:c r="R798" s="34" t="n">
        <x:v>0.25</x:v>
      </x:c>
      <x:c r="S798" s="34" t="n">
        <x:v>0.015</x:v>
      </x:c>
      <x:c r="T798" s="34" t="n">
        <x:v>441.748947</x:v>
      </x:c>
      <x:c r="U798" s="34" t="str">
        <x:v>NS-EAST:SCRAP_EAF:2034|NS-KANSAI:H2_DRI_EAF:2036|NS-KYUSHU:H2_DRI_EAF:2029|NS-NAGOYA:SCRAP_EAF:2032|NS-SETOUCHI:BF_RELINE:2038</x:v>
      </x:c>
      <x:c r="V798" s="34" t="str">
        <x:v>model_generated_candidate</x:v>
      </x:c>
      <x:c r="W798" s="34" t="str">
        <x:v>Generated from disclosed-path facility calendar, technology set and template contracting assumptions; not a company-announced project</x:v>
      </x:c>
    </x:row>
    <x:row r="799">
      <x:c r="A799" s="34" t="str">
        <x:v>CAND-FA4A035E0DE0CE</x:v>
      </x:c>
      <x:c r="B799" s="34" t="str">
        <x:v>NIPPON_STEEL_JP</x:v>
      </x:c>
      <x:c r="C799" s="34" t="str">
        <x:v>Nippon Steel</x:v>
      </x:c>
      <x:c r="D799" s="34" t="str">
        <x:v>P2</x:v>
      </x:c>
      <x:c r="E799" s="34" t="str">
        <x:v>지연·부분헤지</x:v>
      </x:c>
      <x:c r="F799" s="34" t="str">
        <x:v>PORT-9037F7D829FB</x:v>
      </x:c>
      <x:c r="G799" s="34" t="str">
        <x:v>DISCLOSED_PATH</x:v>
      </x:c>
      <x:c r="H799" s="34" t="n">
        <x:v>5</x:v>
      </x:c>
      <x:c r="I799" s="34" t="n">
        <x:v>2029</x:v>
      </x:c>
      <x:c r="J799" s="34" t="n">
        <x:v>2038</x:v>
      </x:c>
      <x:c r="K799" s="34" t="n">
        <x:v>0.437018</x:v>
      </x:c>
      <x:c r="L799" s="34" t="n">
        <x:v>0</x:v>
      </x:c>
      <x:c r="M799" s="34" t="n">
        <x:v>0.562982</x:v>
      </x:c>
      <x:c r="N799" s="34" t="n">
        <x:v>0</x:v>
      </x:c>
      <x:c r="O799" s="34" t="n">
        <x:v>0.15</x:v>
      </x:c>
      <x:c r="P799" s="34" t="n">
        <x:v>0.1</x:v>
      </x:c>
      <x:c r="Q799" s="34" t="n">
        <x:v>0.2</x:v>
      </x:c>
      <x:c r="R799" s="34" t="n">
        <x:v>0.1</x:v>
      </x:c>
      <x:c r="S799" s="34" t="n">
        <x:v>0.01</x:v>
      </x:c>
      <x:c r="T799" s="34" t="n">
        <x:v>221.968975</x:v>
      </x:c>
      <x:c r="U799" s="34" t="str">
        <x:v>NS-EAST:H2_DRI_EAF:2034|NS-KANSAI:H2_DRI_EAF:2036|NS-KYUSHU:BF_RELINE:2029|NS-NAGOYA:BF_RELINE:2032|NS-SETOUCHI:H2_DRI_EAF:2038</x:v>
      </x:c>
      <x:c r="V799" s="34" t="str">
        <x:v>model_generated_candidate</x:v>
      </x:c>
      <x:c r="W799" s="34" t="str">
        <x:v>Generated from disclosed-path facility calendar, technology set and template contracting assumptions; not a company-announced project</x:v>
      </x:c>
    </x:row>
    <x:row r="800">
      <x:c r="A800" s="34" t="str">
        <x:v>CAND-FB4B44F649A270</x:v>
      </x:c>
      <x:c r="B800" s="34" t="str">
        <x:v>NIPPON_STEEL_JP</x:v>
      </x:c>
      <x:c r="C800" s="34" t="str">
        <x:v>Nippon Steel</x:v>
      </x:c>
      <x:c r="D800" s="34" t="str">
        <x:v>P2</x:v>
      </x:c>
      <x:c r="E800" s="34" t="str">
        <x:v>지연·부분헤지</x:v>
      </x:c>
      <x:c r="F800" s="34" t="str">
        <x:v>PORT-921D4BD7C0AA</x:v>
      </x:c>
      <x:c r="G800" s="34" t="str">
        <x:v>DISCLOSED_PATH</x:v>
      </x:c>
      <x:c r="H800" s="34" t="n">
        <x:v>5</x:v>
      </x:c>
      <x:c r="I800" s="34" t="n">
        <x:v>2029</x:v>
      </x:c>
      <x:c r="J800" s="34" t="n">
        <x:v>2038</x:v>
      </x:c>
      <x:c r="K800" s="34" t="n">
        <x:v>0.388175</x:v>
      </x:c>
      <x:c r="L800" s="34" t="n">
        <x:v>0.161954</x:v>
      </x:c>
      <x:c r="M800" s="34" t="n">
        <x:v>0.449871</x:v>
      </x:c>
      <x:c r="N800" s="34" t="n">
        <x:v>0</x:v>
      </x:c>
      <x:c r="O800" s="34" t="n">
        <x:v>0.15</x:v>
      </x:c>
      <x:c r="P800" s="34" t="n">
        <x:v>0.1</x:v>
      </x:c>
      <x:c r="Q800" s="34" t="n">
        <x:v>0.2</x:v>
      </x:c>
      <x:c r="R800" s="34" t="n">
        <x:v>0.1</x:v>
      </x:c>
      <x:c r="S800" s="34" t="n">
        <x:v>0.01</x:v>
      </x:c>
      <x:c r="T800" s="34" t="n">
        <x:v>312.888963</x:v>
      </x:c>
      <x:c r="U800" s="34" t="str">
        <x:v>NS-EAST:BF_RELINE:2034|NS-KANSAI:SCRAP_EAF:2036|NS-KYUSHU:H2_DRI_EAF:2029|NS-NAGOYA:BF_RELINE:2032|NS-SETOUCHI:H2_DRI_EAF:2038</x:v>
      </x:c>
      <x:c r="V800" s="34" t="str">
        <x:v>model_generated_candidate</x:v>
      </x:c>
      <x:c r="W800" s="34" t="str">
        <x:v>Generated from disclosed-path facility calendar, technology set and template contracting assumptions; not a company-announced project</x:v>
      </x:c>
    </x:row>
    <x:row r="801">
      <x:c r="A801" s="34" t="str">
        <x:v>CAND-FB90377EA9C2A3</x:v>
      </x:c>
      <x:c r="B801" s="34" t="str">
        <x:v>NIPPON_STEEL_JP</x:v>
      </x:c>
      <x:c r="C801" s="34" t="str">
        <x:v>Nippon Steel</x:v>
      </x:c>
      <x:c r="D801" s="34" t="str">
        <x:v>P3</x:v>
      </x:c>
      <x:c r="E801" s="34" t="str">
        <x:v>균형형 라이트헤지</x:v>
      </x:c>
      <x:c r="F801" s="34" t="str">
        <x:v>PORT-C0F53F28CCD9</x:v>
      </x:c>
      <x:c r="G801" s="34" t="str">
        <x:v>DISCLOSED_PATH</x:v>
      </x:c>
      <x:c r="H801" s="34" t="n">
        <x:v>5</x:v>
      </x:c>
      <x:c r="I801" s="34" t="n">
        <x:v>2029</x:v>
      </x:c>
      <x:c r="J801" s="34" t="n">
        <x:v>2038</x:v>
      </x:c>
      <x:c r="K801" s="34" t="n">
        <x:v>0.437018</x:v>
      </x:c>
      <x:c r="L801" s="34" t="n">
        <x:v>0.161954</x:v>
      </x:c>
      <x:c r="M801" s="34" t="n">
        <x:v>0.401028</x:v>
      </x:c>
      <x:c r="N801" s="34" t="n">
        <x:v>0</x:v>
      </x:c>
      <x:c r="O801" s="34" t="n">
        <x:v>0.3</x:v>
      </x:c>
      <x:c r="P801" s="34" t="n">
        <x:v>0.25</x:v>
      </x:c>
      <x:c r="Q801" s="34" t="n">
        <x:v>0.35</x:v>
      </x:c>
      <x:c r="R801" s="34" t="n">
        <x:v>0.25</x:v>
      </x:c>
      <x:c r="S801" s="34" t="n">
        <x:v>0.015</x:v>
      </x:c>
      <x:c r="T801" s="34" t="n">
        <x:v>214.968974</x:v>
      </x:c>
      <x:c r="U801" s="34" t="str">
        <x:v>NS-EAST:H2_DRI_EAF:2034|NS-KANSAI:SCRAP_EAF:2036|NS-KYUSHU:BF_RELINE:2029|NS-NAGOYA:BF_RELINE:2032|NS-SETOUCHI:H2_DRI_EAF:2038</x:v>
      </x:c>
      <x:c r="V801" s="34" t="str">
        <x:v>model_generated_candidate</x:v>
      </x:c>
      <x:c r="W801" s="34" t="str">
        <x:v>Generated from disclosed-path facility calendar, technology set and template contracting assumptions; not a company-announced project</x:v>
      </x:c>
    </x:row>
    <x:row r="802">
      <x:c r="A802" s="34" t="str">
        <x:v>CAND-FBB23ACB5A77D9</x:v>
      </x:c>
      <x:c r="B802" s="34" t="str">
        <x:v>NIPPON_STEEL_JP</x:v>
      </x:c>
      <x:c r="C802" s="34" t="str">
        <x:v>Nippon Steel</x:v>
      </x:c>
      <x:c r="D802" s="34" t="str">
        <x:v>P4</x:v>
      </x:c>
      <x:c r="E802" s="34" t="str">
        <x:v>균형형 전환</x:v>
      </x:c>
      <x:c r="F802" s="34" t="str">
        <x:v>PORT-B45CD686BBC0</x:v>
      </x:c>
      <x:c r="G802" s="34" t="str">
        <x:v>DISCLOSED_PATH</x:v>
      </x:c>
      <x:c r="H802" s="34" t="n">
        <x:v>5</x:v>
      </x:c>
      <x:c r="I802" s="34" t="n">
        <x:v>2028</x:v>
      </x:c>
      <x:c r="J802" s="34" t="n">
        <x:v>2037</x:v>
      </x:c>
      <x:c r="K802" s="34" t="n">
        <x:v>0</x:v>
      </x:c>
      <x:c r="L802" s="34" t="n">
        <x:v>0.354756</x:v>
      </x:c>
      <x:c r="M802" s="34" t="n">
        <x:v>0.645244</x:v>
      </x:c>
      <x:c r="N802" s="34" t="n">
        <x:v>0</x:v>
      </x:c>
      <x:c r="O802" s="34" t="n">
        <x:v>0.5</x:v>
      </x:c>
      <x:c r="P802" s="34" t="n">
        <x:v>0.45</x:v>
      </x:c>
      <x:c r="Q802" s="34" t="n">
        <x:v>0.5</x:v>
      </x:c>
      <x:c r="R802" s="34" t="n">
        <x:v>0.4</x:v>
      </x:c>
      <x:c r="S802" s="34" t="n">
        <x:v>0.02</x:v>
      </x:c>
      <x:c r="T802" s="34" t="n">
        <x:v>551.46894</x:v>
      </x:c>
      <x:c r="U802" s="34" t="str">
        <x:v>NS-EAST:H2_DRI_EAF:2033|NS-KANSAI:SCRAP_EAF:2035|NS-KYUSHU:H2_DRI_EAF:2028|NS-NAGOYA:H2_DRI_EAF:2031|NS-SETOUCHI:SCRAP_EAF:2037</x:v>
      </x:c>
      <x:c r="V802" s="34" t="str">
        <x:v>model_generated_candidate</x:v>
      </x:c>
      <x:c r="W802" s="34" t="str">
        <x:v>Generated from disclosed-path facility calendar, technology set and template contracting assumptions; not a company-announced project</x:v>
      </x:c>
    </x:row>
    <x:row r="803">
      <x:c r="A803" s="34" t="str">
        <x:v>CAND-FBCB98C9A745C4</x:v>
      </x:c>
      <x:c r="B803" s="34" t="str">
        <x:v>NIPPON_STEEL_JP</x:v>
      </x:c>
      <x:c r="C803" s="34" t="str">
        <x:v>Nippon Steel</x:v>
      </x:c>
      <x:c r="D803" s="34" t="str">
        <x:v>P3</x:v>
      </x:c>
      <x:c r="E803" s="34" t="str">
        <x:v>균형형 라이트헤지</x:v>
      </x:c>
      <x:c r="F803" s="34" t="str">
        <x:v>PORT-AA677CCE073D</x:v>
      </x:c>
      <x:c r="G803" s="34" t="str">
        <x:v>DISCLOSED_PATH</x:v>
      </x:c>
      <x:c r="H803" s="34" t="n">
        <x:v>5</x:v>
      </x:c>
      <x:c r="I803" s="34" t="n">
        <x:v>2029</x:v>
      </x:c>
      <x:c r="J803" s="34" t="n">
        <x:v>2038</x:v>
      </x:c>
      <x:c r="K803" s="34" t="n">
        <x:v>0.534704</x:v>
      </x:c>
      <x:c r="L803" s="34" t="n">
        <x:v>0</x:v>
      </x:c>
      <x:c r="M803" s="34" t="n">
        <x:v>0.465296</x:v>
      </x:c>
      <x:c r="N803" s="34" t="n">
        <x:v>0</x:v>
      </x:c>
      <x:c r="O803" s="34" t="n">
        <x:v>0.3</x:v>
      </x:c>
      <x:c r="P803" s="34" t="n">
        <x:v>0.25</x:v>
      </x:c>
      <x:c r="Q803" s="34" t="n">
        <x:v>0.35</x:v>
      </x:c>
      <x:c r="R803" s="34" t="n">
        <x:v>0.25</x:v>
      </x:c>
      <x:c r="S803" s="34" t="n">
        <x:v>0.015</x:v>
      </x:c>
      <x:c r="T803" s="34" t="n">
        <x:v>325.838969</x:v>
      </x:c>
      <x:c r="U803" s="34" t="str">
        <x:v>NS-EAST:H2_DRI_EAF:2034|NS-KANSAI:BF_RELINE:2036|NS-KYUSHU:H2_DRI_EAF:2029|NS-NAGOYA:BF_RELINE:2032|NS-SETOUCHI:BF_RELINE:2038</x:v>
      </x:c>
      <x:c r="V803" s="34" t="str">
        <x:v>model_generated_candidate</x:v>
      </x:c>
      <x:c r="W803" s="34" t="str">
        <x:v>Generated from disclosed-path facility calendar, technology set and template contracting assumptions; not a company-announced project</x:v>
      </x:c>
    </x:row>
    <x:row r="804">
      <x:c r="A804" s="34" t="str">
        <x:v>CAND-FBDA5680EB3C78</x:v>
      </x:c>
      <x:c r="B804" s="34" t="str">
        <x:v>NIPPON_STEEL_JP</x:v>
      </x:c>
      <x:c r="C804" s="34" t="str">
        <x:v>Nippon Steel</x:v>
      </x:c>
      <x:c r="D804" s="34" t="str">
        <x:v>P1</x:v>
      </x:c>
      <x:c r="E804" s="34" t="str">
        <x:v>지연·현물조달</x:v>
      </x:c>
      <x:c r="F804" s="34" t="str">
        <x:v>PORT-FE9781D6D1D2</x:v>
      </x:c>
      <x:c r="G804" s="34" t="str">
        <x:v>DISCLOSED_PATH</x:v>
      </x:c>
      <x:c r="H804" s="34" t="n">
        <x:v>5</x:v>
      </x:c>
      <x:c r="I804" s="34" t="n">
        <x:v>2029</x:v>
      </x:c>
      <x:c r="J804" s="34" t="n">
        <x:v>2038</x:v>
      </x:c>
      <x:c r="K804" s="34" t="n">
        <x:v>0.580977</x:v>
      </x:c>
      <x:c r="L804" s="34" t="n">
        <x:v>0.257069</x:v>
      </x:c>
      <x:c r="M804" s="34" t="n">
        <x:v>0.161954</x:v>
      </x:c>
      <x:c r="N804" s="34" t="n">
        <x:v>0</x:v>
      </x:c>
      <x:c r="O804" s="34" t="n">
        <x:v>0</x:v>
      </x:c>
      <x:c r="P804" s="34" t="n">
        <x:v>0</x:v>
      </x:c>
      <x:c r="Q804" s="34" t="n">
        <x:v>0.1</x:v>
      </x:c>
      <x:c r="R804" s="34" t="n">
        <x:v>0</x:v>
      </x:c>
      <x:c r="S804" s="34" t="n">
        <x:v>0</x:v>
      </x:c>
      <x:c r="T804" s="34" t="n">
        <x:v>260.758964</x:v>
      </x:c>
      <x:c r="U804" s="34" t="str">
        <x:v>NS-EAST:BF_RELINE:2034|NS-KANSAI:H2_DRI_EAF:2036|NS-KYUSHU:SCRAP_EAF:2029|NS-NAGOYA:BF_RELINE:2032|NS-SETOUCHI:BF_RELINE:2038</x:v>
      </x:c>
      <x:c r="V804" s="34" t="str">
        <x:v>model_generated_candidate</x:v>
      </x:c>
      <x:c r="W804" s="34" t="str">
        <x:v>Generated from disclosed-path facility calendar, technology set and template contracting assumptions; not a company-announced project</x:v>
      </x:c>
    </x:row>
    <x:row r="805">
      <x:c r="A805" s="34" t="str">
        <x:v>CAND-FC02FE485DB3E8</x:v>
      </x:c>
      <x:c r="B805" s="34" t="str">
        <x:v>NIPPON_STEEL_JP</x:v>
      </x:c>
      <x:c r="C805" s="34" t="str">
        <x:v>Nippon Steel</x:v>
      </x:c>
      <x:c r="D805" s="34" t="str">
        <x:v>P2</x:v>
      </x:c>
      <x:c r="E805" s="34" t="str">
        <x:v>지연·부분헤지</x:v>
      </x:c>
      <x:c r="F805" s="34" t="str">
        <x:v>PORT-B612393E309B</x:v>
      </x:c>
      <x:c r="G805" s="34" t="str">
        <x:v>DISCLOSED_PATH</x:v>
      </x:c>
      <x:c r="H805" s="34" t="n">
        <x:v>5</x:v>
      </x:c>
      <x:c r="I805" s="34" t="n">
        <x:v>2029</x:v>
      </x:c>
      <x:c r="J805" s="34" t="n">
        <x:v>2038</x:v>
      </x:c>
      <x:c r="K805" s="34" t="n">
        <x:v>0.449871</x:v>
      </x:c>
      <x:c r="L805" s="34" t="n">
        <x:v>0.341902</x:v>
      </x:c>
      <x:c r="M805" s="34" t="n">
        <x:v>0.208226</x:v>
      </x:c>
      <x:c r="N805" s="34" t="n">
        <x:v>0</x:v>
      </x:c>
      <x:c r="O805" s="34" t="n">
        <x:v>0.15</x:v>
      </x:c>
      <x:c r="P805" s="34" t="n">
        <x:v>0.1</x:v>
      </x:c>
      <x:c r="Q805" s="34" t="n">
        <x:v>0.2</x:v>
      </x:c>
      <x:c r="R805" s="34" t="n">
        <x:v>0.1</x:v>
      </x:c>
      <x:c r="S805" s="34" t="n">
        <x:v>0.01</x:v>
      </x:c>
      <x:c r="T805" s="34" t="n">
        <x:v>263.748948</x:v>
      </x:c>
      <x:c r="U805" s="34" t="str">
        <x:v>NS-EAST:H2_DRI_EAF:2034|NS-KANSAI:SCRAP_EAF:2036|NS-KYUSHU:BF_RELINE:2029|NS-NAGOYA:SCRAP_EAF:2032|NS-SETOUCHI:BF_RELINE:2038</x:v>
      </x:c>
      <x:c r="V805" s="34" t="str">
        <x:v>model_generated_candidate</x:v>
      </x:c>
      <x:c r="W805" s="34" t="str">
        <x:v>Generated from disclosed-path facility calendar, technology set and template contracting assumptions; not a company-announced project</x:v>
      </x:c>
    </x:row>
    <x:row r="806">
      <x:c r="A806" s="34" t="str">
        <x:v>CAND-FC3A87CDF5BF47</x:v>
      </x:c>
      <x:c r="B806" s="34" t="str">
        <x:v>NIPPON_STEEL_JP</x:v>
      </x:c>
      <x:c r="C806" s="34" t="str">
        <x:v>Nippon Steel</x:v>
      </x:c>
      <x:c r="D806" s="34" t="str">
        <x:v>P1</x:v>
      </x:c>
      <x:c r="E806" s="34" t="str">
        <x:v>지연·현물조달</x:v>
      </x:c>
      <x:c r="F806" s="34" t="str">
        <x:v>PORT-FFC501C9F3BC</x:v>
      </x:c>
      <x:c r="G806" s="34" t="str">
        <x:v>DISCLOSED_PATH</x:v>
      </x:c>
      <x:c r="H806" s="34" t="n">
        <x:v>5</x:v>
      </x:c>
      <x:c r="I806" s="34" t="n">
        <x:v>2029</x:v>
      </x:c>
      <x:c r="J806" s="34" t="n">
        <x:v>2038</x:v>
      </x:c>
      <x:c r="K806" s="34" t="n">
        <x:v>0</x:v>
      </x:c>
      <x:c r="L806" s="34" t="n">
        <x:v>0.179949</x:v>
      </x:c>
      <x:c r="M806" s="34" t="n">
        <x:v>0.820051</x:v>
      </x:c>
      <x:c r="N806" s="34" t="n">
        <x:v>0</x:v>
      </x:c>
      <x:c r="O806" s="34" t="n">
        <x:v>0</x:v>
      </x:c>
      <x:c r="P806" s="34" t="n">
        <x:v>0</x:v>
      </x:c>
      <x:c r="Q806" s="34" t="n">
        <x:v>0.1</x:v>
      </x:c>
      <x:c r="R806" s="34" t="n">
        <x:v>0</x:v>
      </x:c>
      <x:c r="S806" s="34" t="n">
        <x:v>0</x:v>
      </x:c>
      <x:c r="T806" s="34" t="n">
        <x:v>486.478949</x:v>
      </x:c>
      <x:c r="U806" s="34" t="str">
        <x:v>NS-EAST:H2_DRI_EAF:2034|NS-KANSAI:H2_DRI_EAF:2036|NS-KYUSHU:H2_DRI_EAF:2029|NS-NAGOYA:SCRAP_EAF:2032|NS-SETOUCHI:H2_DRI_EAF:2038</x:v>
      </x:c>
      <x:c r="V806" s="34" t="str">
        <x:v>model_generated_candidate</x:v>
      </x:c>
      <x:c r="W806" s="34" t="str">
        <x:v>Generated from disclosed-path facility calendar, technology set and template contracting assumptions; not a company-announced project</x:v>
      </x:c>
    </x:row>
    <x:row r="807">
      <x:c r="A807" s="34" t="str">
        <x:v>CAND-FCB004D5F1721E</x:v>
      </x:c>
      <x:c r="B807" s="34" t="str">
        <x:v>NIPPON_STEEL_JP</x:v>
      </x:c>
      <x:c r="C807" s="34" t="str">
        <x:v>Nippon Steel</x:v>
      </x:c>
      <x:c r="D807" s="34" t="str">
        <x:v>P1</x:v>
      </x:c>
      <x:c r="E807" s="34" t="str">
        <x:v>지연·현물조달</x:v>
      </x:c>
      <x:c r="F807" s="34" t="str">
        <x:v>PORT-887F55152750</x:v>
      </x:c>
      <x:c r="G807" s="34" t="str">
        <x:v>DISCLOSED_PATH</x:v>
      </x:c>
      <x:c r="H807" s="34" t="n">
        <x:v>5</x:v>
      </x:c>
      <x:c r="I807" s="34" t="n">
        <x:v>2029</x:v>
      </x:c>
      <x:c r="J807" s="34" t="n">
        <x:v>2038</x:v>
      </x:c>
      <x:c r="K807" s="34" t="n">
        <x:v>0.62982</x:v>
      </x:c>
      <x:c r="L807" s="34" t="n">
        <x:v>0.161954</x:v>
      </x:c>
      <x:c r="M807" s="34" t="n">
        <x:v>0.208226</x:v>
      </x:c>
      <x:c r="N807" s="34" t="n">
        <x:v>0</x:v>
      </x:c>
      <x:c r="O807" s="34" t="n">
        <x:v>0</x:v>
      </x:c>
      <x:c r="P807" s="34" t="n">
        <x:v>0</x:v>
      </x:c>
      <x:c r="Q807" s="34" t="n">
        <x:v>0.1</x:v>
      </x:c>
      <x:c r="R807" s="34" t="n">
        <x:v>0</x:v>
      </x:c>
      <x:c r="S807" s="34" t="n">
        <x:v>0</x:v>
      </x:c>
      <x:c r="T807" s="34" t="n">
        <x:v>182.838974</x:v>
      </x:c>
      <x:c r="U807" s="34" t="str">
        <x:v>NS-EAST:H2_DRI_EAF:2034|NS-KANSAI:SCRAP_EAF:2036|NS-KYUSHU:BF_RELINE:2029|NS-NAGOYA:BF_RELINE:2032|NS-SETOUCHI:BF_RELINE:2038</x:v>
      </x:c>
      <x:c r="V807" s="34" t="str">
        <x:v>model_generated_candidate</x:v>
      </x:c>
      <x:c r="W807" s="34" t="str">
        <x:v>Generated from disclosed-path facility calendar, technology set and template contracting assumptions; not a company-announced project</x:v>
      </x:c>
    </x:row>
    <x:row r="808">
      <x:c r="A808" s="34" t="str">
        <x:v>CAND-FCEB78D7C5F4C6</x:v>
      </x:c>
      <x:c r="B808" s="34" t="str">
        <x:v>NIPPON_STEEL_JP</x:v>
      </x:c>
      <x:c r="C808" s="34" t="str">
        <x:v>Nippon Steel</x:v>
      </x:c>
      <x:c r="D808" s="34" t="str">
        <x:v>P1</x:v>
      </x:c>
      <x:c r="E808" s="34" t="str">
        <x:v>지연·현물조달</x:v>
      </x:c>
      <x:c r="F808" s="34" t="str">
        <x:v>PORT-7DCD4991144C</x:v>
      </x:c>
      <x:c r="G808" s="34" t="str">
        <x:v>DISCLOSED_PATH</x:v>
      </x:c>
      <x:c r="H808" s="34" t="n">
        <x:v>5</x:v>
      </x:c>
      <x:c r="I808" s="34" t="n">
        <x:v>2029</x:v>
      </x:c>
      <x:c r="J808" s="34" t="n">
        <x:v>2038</x:v>
      </x:c>
      <x:c r="K808" s="34" t="n">
        <x:v>0.341902</x:v>
      </x:c>
      <x:c r="L808" s="34" t="n">
        <x:v>0.658098</x:v>
      </x:c>
      <x:c r="M808" s="34" t="n">
        <x:v>0</x:v>
      </x:c>
      <x:c r="N808" s="34" t="n">
        <x:v>0</x:v>
      </x:c>
      <x:c r="O808" s="34" t="n">
        <x:v>0</x:v>
      </x:c>
      <x:c r="P808" s="34" t="n">
        <x:v>0</x:v>
      </x:c>
      <x:c r="Q808" s="34" t="n">
        <x:v>0.1</x:v>
      </x:c>
      <x:c r="R808" s="34" t="n">
        <x:v>0</x:v>
      </x:c>
      <x:c r="S808" s="34" t="n">
        <x:v>0</x:v>
      </x:c>
      <x:c r="T808" s="34" t="n">
        <x:v>313.643967</x:v>
      </x:c>
      <x:c r="U808" s="34" t="str">
        <x:v>NS-EAST:SCRAP_EAF:2034|NS-KANSAI:BF_RELINE:2036|NS-KYUSHU:SCRAP_EAF:2029|NS-NAGOYA:BF_RELINE:2032|NS-SETOUCHI:SCRAP_EAF:2038</x:v>
      </x:c>
      <x:c r="V808" s="34" t="str">
        <x:v>model_generated_candidate</x:v>
      </x:c>
      <x:c r="W808" s="34" t="str">
        <x:v>Generated from disclosed-path facility calendar, technology set and template contracting assumptions; not a company-announced project</x:v>
      </x:c>
    </x:row>
    <x:row r="809">
      <x:c r="A809" s="34" t="str">
        <x:v>CAND-FDF3F9C962708C</x:v>
      </x:c>
      <x:c r="B809" s="34" t="str">
        <x:v>NIPPON_STEEL_JP</x:v>
      </x:c>
      <x:c r="C809" s="34" t="str">
        <x:v>Nippon Steel</x:v>
      </x:c>
      <x:c r="D809" s="34" t="str">
        <x:v>P1</x:v>
      </x:c>
      <x:c r="E809" s="34" t="str">
        <x:v>지연·현물조달</x:v>
      </x:c>
      <x:c r="F809" s="34" t="str">
        <x:v>PORT-61AD11411A66</x:v>
      </x:c>
      <x:c r="G809" s="34" t="str">
        <x:v>DISCLOSED_PATH</x:v>
      </x:c>
      <x:c r="H809" s="34" t="n">
        <x:v>5</x:v>
      </x:c>
      <x:c r="I809" s="34" t="n">
        <x:v>2029</x:v>
      </x:c>
      <x:c r="J809" s="34" t="n">
        <x:v>2038</x:v>
      </x:c>
      <x:c r="K809" s="34" t="n">
        <x:v>0</x:v>
      </x:c>
      <x:c r="L809" s="34" t="n">
        <x:v>0.562982</x:v>
      </x:c>
      <x:c r="M809" s="34" t="n">
        <x:v>0.437018</x:v>
      </x:c>
      <x:c r="N809" s="34" t="n">
        <x:v>0</x:v>
      </x:c>
      <x:c r="O809" s="34" t="n">
        <x:v>0</x:v>
      </x:c>
      <x:c r="P809" s="34" t="n">
        <x:v>0</x:v>
      </x:c>
      <x:c r="Q809" s="34" t="n">
        <x:v>0.1</x:v>
      </x:c>
      <x:c r="R809" s="34" t="n">
        <x:v>0</x:v>
      </x:c>
      <x:c r="S809" s="34" t="n">
        <x:v>0</x:v>
      </x:c>
      <x:c r="T809" s="34" t="n">
        <x:v>476.103942</x:v>
      </x:c>
      <x:c r="U809" s="34" t="str">
        <x:v>NS-EAST:SCRAP_EAF:2034|NS-KANSAI:SCRAP_EAF:2036|NS-KYUSHU:H2_DRI_EAF:2029|NS-NAGOYA:H2_DRI_EAF:2032|NS-SETOUCHI:SCRAP_EAF:2038</x:v>
      </x:c>
      <x:c r="V809" s="34" t="str">
        <x:v>model_generated_candidate</x:v>
      </x:c>
      <x:c r="W809" s="34" t="str">
        <x:v>Generated from disclosed-path facility calendar, technology set and template contracting assumptions; not a company-announced project</x:v>
      </x:c>
    </x:row>
    <x:row r="810">
      <x:c r="A810" s="34" t="str">
        <x:v>CAND-FE364DAC3C0E7F</x:v>
      </x:c>
      <x:c r="B810" s="34" t="str">
        <x:v>NIPPON_STEEL_JP</x:v>
      </x:c>
      <x:c r="C810" s="34" t="str">
        <x:v>Nippon Steel</x:v>
      </x:c>
      <x:c r="D810" s="34" t="str">
        <x:v>P2</x:v>
      </x:c>
      <x:c r="E810" s="34" t="str">
        <x:v>지연·부분헤지</x:v>
      </x:c>
      <x:c r="F810" s="34" t="str">
        <x:v>PORT-0B5EB1BCB507</x:v>
      </x:c>
      <x:c r="G810" s="34" t="str">
        <x:v>DISCLOSED_PATH</x:v>
      </x:c>
      <x:c r="H810" s="34" t="n">
        <x:v>5</x:v>
      </x:c>
      <x:c r="I810" s="34" t="n">
        <x:v>2029</x:v>
      </x:c>
      <x:c r="J810" s="34" t="n">
        <x:v>2038</x:v>
      </x:c>
      <x:c r="K810" s="34" t="n">
        <x:v>0</x:v>
      </x:c>
      <x:c r="L810" s="34" t="n">
        <x:v>0.580977</x:v>
      </x:c>
      <x:c r="M810" s="34" t="n">
        <x:v>0.419023</x:v>
      </x:c>
      <x:c r="N810" s="34" t="n">
        <x:v>0</x:v>
      </x:c>
      <x:c r="O810" s="34" t="n">
        <x:v>0.15</x:v>
      </x:c>
      <x:c r="P810" s="34" t="n">
        <x:v>0.1</x:v>
      </x:c>
      <x:c r="Q810" s="34" t="n">
        <x:v>0.2</x:v>
      </x:c>
      <x:c r="R810" s="34" t="n">
        <x:v>0.1</x:v>
      </x:c>
      <x:c r="S810" s="34" t="n">
        <x:v>0.01</x:v>
      </x:c>
      <x:c r="T810" s="34" t="n">
        <x:v>469.153947</x:v>
      </x:c>
      <x:c r="U810" s="34" t="str">
        <x:v>NS-EAST:SCRAP_EAF:2034|NS-KANSAI:H2_DRI_EAF:2036|NS-KYUSHU:H2_DRI_EAF:2029|NS-NAGOYA:SCRAP_EAF:2032|NS-SETOUCHI:SCRAP_EAF:2038</x:v>
      </x:c>
      <x:c r="V810" s="34" t="str">
        <x:v>model_generated_candidate</x:v>
      </x:c>
      <x:c r="W810" s="34" t="str">
        <x:v>Generated from disclosed-path facility calendar, technology set and template contracting assumptions; not a company-announced project</x:v>
      </x:c>
    </x:row>
    <x:row r="811">
      <x:c r="A811" s="34" t="str">
        <x:v>CAND-FE464D54AC0467</x:v>
      </x:c>
      <x:c r="B811" s="34" t="str">
        <x:v>NIPPON_STEEL_JP</x:v>
      </x:c>
      <x:c r="C811" s="34" t="str">
        <x:v>Nippon Steel</x:v>
      </x:c>
      <x:c r="D811" s="34" t="str">
        <x:v>P1</x:v>
      </x:c>
      <x:c r="E811" s="34" t="str">
        <x:v>지연·현물조달</x:v>
      </x:c>
      <x:c r="F811" s="34" t="str">
        <x:v>PORT-A880789F3FB0</x:v>
      </x:c>
      <x:c r="G811" s="34" t="str">
        <x:v>DISCLOSED_PATH</x:v>
      </x:c>
      <x:c r="H811" s="34" t="n">
        <x:v>5</x:v>
      </x:c>
      <x:c r="I811" s="34" t="n">
        <x:v>2029</x:v>
      </x:c>
      <x:c r="J811" s="34" t="n">
        <x:v>2038</x:v>
      </x:c>
      <x:c r="K811" s="34" t="n">
        <x:v>0.437018</x:v>
      </x:c>
      <x:c r="L811" s="34" t="n">
        <x:v>0.192802</x:v>
      </x:c>
      <x:c r="M811" s="34" t="n">
        <x:v>0.37018</x:v>
      </x:c>
      <x:c r="N811" s="34" t="n">
        <x:v>0</x:v>
      </x:c>
      <x:c r="O811" s="34" t="n">
        <x:v>0</x:v>
      </x:c>
      <x:c r="P811" s="34" t="n">
        <x:v>0</x:v>
      </x:c>
      <x:c r="Q811" s="34" t="n">
        <x:v>0.1</x:v>
      </x:c>
      <x:c r="R811" s="34" t="n">
        <x:v>0</x:v>
      </x:c>
      <x:c r="S811" s="34" t="n">
        <x:v>0</x:v>
      </x:c>
      <x:c r="T811" s="34" t="n">
        <x:v>217.243975</x:v>
      </x:c>
      <x:c r="U811" s="34" t="str">
        <x:v>NS-EAST:H2_DRI_EAF:2034|NS-KANSAI:H2_DRI_EAF:2036|NS-KYUSHU:BF_RELINE:2029|NS-NAGOYA:BF_RELINE:2032|NS-SETOUCHI:SCRAP_EAF:2038</x:v>
      </x:c>
      <x:c r="V811" s="34" t="str">
        <x:v>model_generated_candidate</x:v>
      </x:c>
      <x:c r="W811" s="34" t="str">
        <x:v>Generated from disclosed-path facility calendar, technology set and template contracting assumptions; not a company-announced project</x:v>
      </x:c>
    </x:row>
    <x:row r="812">
      <x:c r="A812" s="34" t="str">
        <x:v>CAND-FEF751E8FFF962</x:v>
      </x:c>
      <x:c r="B812" s="34" t="str">
        <x:v>NIPPON_STEEL_JP</x:v>
      </x:c>
      <x:c r="C812" s="34" t="str">
        <x:v>Nippon Steel</x:v>
      </x:c>
      <x:c r="D812" s="34" t="str">
        <x:v>P1</x:v>
      </x:c>
      <x:c r="E812" s="34" t="str">
        <x:v>지연·현물조달</x:v>
      </x:c>
      <x:c r="F812" s="34" t="str">
        <x:v>PORT-9A7A6B9EB781</x:v>
      </x:c>
      <x:c r="G812" s="34" t="str">
        <x:v>DISCLOSED_PATH</x:v>
      </x:c>
      <x:c r="H812" s="34" t="n">
        <x:v>5</x:v>
      </x:c>
      <x:c r="I812" s="34" t="n">
        <x:v>2029</x:v>
      </x:c>
      <x:c r="J812" s="34" t="n">
        <x:v>2038</x:v>
      </x:c>
      <x:c r="K812" s="34" t="n">
        <x:v>0.257069</x:v>
      </x:c>
      <x:c r="L812" s="34" t="n">
        <x:v>0.341902</x:v>
      </x:c>
      <x:c r="M812" s="34" t="n">
        <x:v>0.401028</x:v>
      </x:c>
      <x:c r="N812" s="34" t="n">
        <x:v>0</x:v>
      </x:c>
      <x:c r="O812" s="34" t="n">
        <x:v>0</x:v>
      </x:c>
      <x:c r="P812" s="34" t="n">
        <x:v>0</x:v>
      </x:c>
      <x:c r="Q812" s="34" t="n">
        <x:v>0.1</x:v>
      </x:c>
      <x:c r="R812" s="34" t="n">
        <x:v>0</x:v>
      </x:c>
      <x:c r="S812" s="34" t="n">
        <x:v>0</x:v>
      </x:c>
      <x:c r="T812" s="34" t="n">
        <x:v>295.878948</x:v>
      </x:c>
      <x:c r="U812" s="34" t="str">
        <x:v>NS-EAST:H2_DRI_EAF:2034|NS-KANSAI:SCRAP_EAF:2036|NS-KYUSHU:BF_RELINE:2029|NS-NAGOYA:SCRAP_EAF:2032|NS-SETOUCHI:H2_DRI_EAF:2038</x:v>
      </x:c>
      <x:c r="V812" s="34" t="str">
        <x:v>model_generated_candidate</x:v>
      </x:c>
      <x:c r="W812" s="34" t="str">
        <x:v>Generated from disclosed-path facility calendar, technology set and template contracting assumptions; not a company-announced project</x:v>
      </x:c>
    </x:row>
    <x:row r="813">
      <x:c r="A813" s="34" t="str">
        <x:v>CAND-FF441489A93A0B</x:v>
      </x:c>
      <x:c r="B813" s="34" t="str">
        <x:v>NIPPON_STEEL_JP</x:v>
      </x:c>
      <x:c r="C813" s="34" t="str">
        <x:v>Nippon Steel</x:v>
      </x:c>
      <x:c r="D813" s="34" t="str">
        <x:v>P4</x:v>
      </x:c>
      <x:c r="E813" s="34" t="str">
        <x:v>균형형 전환</x:v>
      </x:c>
      <x:c r="F813" s="34" t="str">
        <x:v>PORT-5998FE391D77</x:v>
      </x:c>
      <x:c r="G813" s="34" t="str">
        <x:v>DISCLOSED_PATH</x:v>
      </x:c>
      <x:c r="H813" s="34" t="n">
        <x:v>5</x:v>
      </x:c>
      <x:c r="I813" s="34" t="n">
        <x:v>2028</x:v>
      </x:c>
      <x:c r="J813" s="34" t="n">
        <x:v>2037</x:v>
      </x:c>
      <x:c r="K813" s="34" t="n">
        <x:v>0.257069</x:v>
      </x:c>
      <x:c r="L813" s="34" t="n">
        <x:v>0</x:v>
      </x:c>
      <x:c r="M813" s="34" t="n">
        <x:v>0.742931</x:v>
      </x:c>
      <x:c r="N813" s="34" t="n">
        <x:v>0</x:v>
      </x:c>
      <x:c r="O813" s="34" t="n">
        <x:v>0.5</x:v>
      </x:c>
      <x:c r="P813" s="34" t="n">
        <x:v>0.45</x:v>
      </x:c>
      <x:c r="Q813" s="34" t="n">
        <x:v>0.5</x:v>
      </x:c>
      <x:c r="R813" s="34" t="n">
        <x:v>0.4</x:v>
      </x:c>
      <x:c r="S813" s="34" t="n">
        <x:v>0.02</x:v>
      </x:c>
      <x:c r="T813" s="34" t="n">
        <x:v>367.268941</x:v>
      </x:c>
      <x:c r="U813" s="34" t="str">
        <x:v>NS-EAST:H2_DRI_EAF:2033|NS-KANSAI:H2_DRI_EAF:2035|NS-KYUSHU:BF_RELINE:2028|NS-NAGOYA:H2_DRI_EAF:2031|NS-SETOUCHI:H2_DRI_EAF:2037</x:v>
      </x:c>
      <x:c r="V813" s="34" t="str">
        <x:v>model_generated_candidate</x:v>
      </x:c>
      <x:c r="W813" s="34" t="str">
        <x:v>Generated from disclosed-path facility calendar, technology set and template contracting assumptions; not a company-announced project</x:v>
      </x:c>
    </x:row>
    <x:row r="814">
      <x:c r="A814" s="34" t="str">
        <x:v>CAND-FF5D498452D625</x:v>
      </x:c>
      <x:c r="B814" s="34" t="str">
        <x:v>NIPPON_STEEL_JP</x:v>
      </x:c>
      <x:c r="C814" s="34" t="str">
        <x:v>Nippon Steel</x:v>
      </x:c>
      <x:c r="D814" s="34" t="str">
        <x:v>P4</x:v>
      </x:c>
      <x:c r="E814" s="34" t="str">
        <x:v>균형형 전환</x:v>
      </x:c>
      <x:c r="F814" s="34" t="str">
        <x:v>PORT-6D0E22B33B6B</x:v>
      </x:c>
      <x:c r="G814" s="34" t="str">
        <x:v>DISCLOSED_PATH</x:v>
      </x:c>
      <x:c r="H814" s="34" t="n">
        <x:v>5</x:v>
      </x:c>
      <x:c r="I814" s="34" t="n">
        <x:v>2028</x:v>
      </x:c>
      <x:c r="J814" s="34" t="n">
        <x:v>2037</x:v>
      </x:c>
      <x:c r="K814" s="34" t="n">
        <x:v>0.341902</x:v>
      </x:c>
      <x:c r="L814" s="34" t="n">
        <x:v>0</x:v>
      </x:c>
      <x:c r="M814" s="34" t="n">
        <x:v>0.658098</x:v>
      </x:c>
      <x:c r="N814" s="34" t="n">
        <x:v>0</x:v>
      </x:c>
      <x:c r="O814" s="34" t="n">
        <x:v>0.5</x:v>
      </x:c>
      <x:c r="P814" s="34" t="n">
        <x:v>0.45</x:v>
      </x:c>
      <x:c r="Q814" s="34" t="n">
        <x:v>0.5</x:v>
      </x:c>
      <x:c r="R814" s="34" t="n">
        <x:v>0.4</x:v>
      </x:c>
      <x:c r="S814" s="34" t="n">
        <x:v>0.02</x:v>
      </x:c>
      <x:c r="T814" s="34" t="n">
        <x:v>403.648968</x:v>
      </x:c>
      <x:c r="U814" s="34" t="str">
        <x:v>NS-EAST:H2_DRI_EAF:2033|NS-KANSAI:BF_RELINE:2035|NS-KYUSHU:H2_DRI_EAF:2028|NS-NAGOYA:BF_RELINE:2031|NS-SETOUCHI:H2_DRI_EAF:2037</x:v>
      </x:c>
      <x:c r="V814" s="34" t="str">
        <x:v>model_generated_candidate</x:v>
      </x:c>
      <x:c r="W814" s="34" t="str">
        <x:v>Generated from disclosed-path facility calendar, technology set and template contracting assumptions; not a company-announced project</x:v>
      </x:c>
    </x:row>
    <x:row r="815">
      <x:c r="A815" s="34" t="str">
        <x:v>CAND-FFAE832B6FE992</x:v>
      </x:c>
      <x:c r="B815" s="34" t="str">
        <x:v>NIPPON_STEEL_JP</x:v>
      </x:c>
      <x:c r="C815" s="34" t="str">
        <x:v>Nippon Steel</x:v>
      </x:c>
      <x:c r="D815" s="34" t="str">
        <x:v>P2</x:v>
      </x:c>
      <x:c r="E815" s="34" t="str">
        <x:v>지연·부분헤지</x:v>
      </x:c>
      <x:c r="F815" s="34" t="str">
        <x:v>PORT-BF29E8561588</x:v>
      </x:c>
      <x:c r="G815" s="34" t="str">
        <x:v>DISCLOSED_PATH</x:v>
      </x:c>
      <x:c r="H815" s="34" t="n">
        <x:v>5</x:v>
      </x:c>
      <x:c r="I815" s="34" t="n">
        <x:v>2029</x:v>
      </x:c>
      <x:c r="J815" s="34" t="n">
        <x:v>2038</x:v>
      </x:c>
      <x:c r="K815" s="34" t="n">
        <x:v>0.192802</x:v>
      </x:c>
      <x:c r="L815" s="34" t="n">
        <x:v>0.37018</x:v>
      </x:c>
      <x:c r="M815" s="34" t="n">
        <x:v>0.437018</x:v>
      </x:c>
      <x:c r="N815" s="34" t="n">
        <x:v>0</x:v>
      </x:c>
      <x:c r="O815" s="34" t="n">
        <x:v>0.15</x:v>
      </x:c>
      <x:c r="P815" s="34" t="n">
        <x:v>0.1</x:v>
      </x:c>
      <x:c r="Q815" s="34" t="n">
        <x:v>0.2</x:v>
      </x:c>
      <x:c r="R815" s="34" t="n">
        <x:v>0.1</x:v>
      </x:c>
      <x:c r="S815" s="34" t="n">
        <x:v>0.01</x:v>
      </x:c>
      <x:c r="T815" s="34" t="n">
        <x:v>448.698942</x:v>
      </x:c>
      <x:c r="U815" s="34" t="str">
        <x:v>NS-EAST:SCRAP_EAF:2034|NS-KANSAI:SCRAP_EAF:2036|NS-KYUSHU:H2_DRI_EAF:2029|NS-NAGOYA:H2_DRI_EAF:2032|NS-SETOUCHI:BF_RELINE:2038</x:v>
      </x:c>
      <x:c r="V815" s="34" t="str">
        <x:v>model_generated_candidate</x:v>
      </x:c>
      <x:c r="W815" s="34" t="str">
        <x:v>Generated from disclosed-path facility calendar, technology set and template contracting assumptions; not a company-announced project</x:v>
      </x:c>
    </x:row>
    <x:row r="816">
      <x:c r="A816" s="34" t="str">
        <x:v>CAND-0B566F19FFC9A2</x:v>
      </x:c>
      <x:c r="B816" s="34" t="str">
        <x:v>JFE_STEEL_JP</x:v>
      </x:c>
      <x:c r="C816" s="34" t="str">
        <x:v>JFE Steel</x:v>
      </x:c>
      <x:c r="D816" s="34" t="str">
        <x:v>P2</x:v>
      </x:c>
      <x:c r="E816" s="34" t="str">
        <x:v>지연·부분헤지</x:v>
      </x:c>
      <x:c r="F816" s="34" t="str">
        <x:v>PORT-CCD4397FA6D4</x:v>
      </x:c>
      <x:c r="G816" s="34" t="str">
        <x:v>DISCLOSED_PATH</x:v>
      </x:c>
      <x:c r="H816" s="34" t="n">
        <x:v>4</x:v>
      </x:c>
      <x:c r="I816" s="34" t="n">
        <x:v>2029</x:v>
      </x:c>
      <x:c r="J816" s="34" t="n">
        <x:v>2036</x:v>
      </x:c>
      <x:c r="K816" s="34" t="n">
        <x:v>0.25</x:v>
      </x:c>
      <x:c r="L816" s="34" t="n">
        <x:v>0.308333</x:v>
      </x:c>
      <x:c r="M816" s="34" t="n">
        <x:v>0.408333</x:v>
      </x:c>
      <x:c r="N816" s="34" t="n">
        <x:v>0.033333</x:v>
      </x:c>
      <x:c r="O816" s="34" t="n">
        <x:v>0.15</x:v>
      </x:c>
      <x:c r="P816" s="34" t="n">
        <x:v>0.1</x:v>
      </x:c>
      <x:c r="Q816" s="34" t="n">
        <x:v>0.2</x:v>
      </x:c>
      <x:c r="R816" s="34" t="n">
        <x:v>0.1</x:v>
      </x:c>
      <x:c r="S816" s="34" t="n">
        <x:v>0.01</x:v>
      </x:c>
      <x:c r="T816" s="34" t="n">
        <x:v>281.895878</x:v>
      </x:c>
      <x:c r="U816" s="34" t="str">
        <x:v>JFE-CHIBA:BF_RELINE:2036|JFE-FUKU:H2_DRI_EAF:2033|JFE-KURA:SCRAP_EAF:2029|JFE-SENDAI:EAF_RENEWABLE:2033</x:v>
      </x:c>
      <x:c r="V816" s="34" t="str">
        <x:v>model_generated_candidate</x:v>
      </x:c>
      <x:c r="W816" s="34" t="str">
        <x:v>Generated from disclosed-path facility calendar, technology set and template contracting assumptions; not a company-announced project</x:v>
      </x:c>
    </x:row>
    <x:row r="817">
      <x:c r="A817" s="34" t="str">
        <x:v>CAND-0C103CAC9E9685</x:v>
      </x:c>
      <x:c r="B817" s="34" t="str">
        <x:v>JFE_STEEL_JP</x:v>
      </x:c>
      <x:c r="C817" s="34" t="str">
        <x:v>JFE Steel</x:v>
      </x:c>
      <x:c r="D817" s="34" t="str">
        <x:v>P1</x:v>
      </x:c>
      <x:c r="E817" s="34" t="str">
        <x:v>지연·현물조달</x:v>
      </x:c>
      <x:c r="F817" s="34" t="str">
        <x:v>PORT-48EB0158352D</x:v>
      </x:c>
      <x:c r="G817" s="34" t="str">
        <x:v>DISCLOSED_PATH</x:v>
      </x:c>
      <x:c r="H817" s="34" t="n">
        <x:v>4</x:v>
      </x:c>
      <x:c r="I817" s="34" t="n">
        <x:v>2029</x:v>
      </x:c>
      <x:c r="J817" s="34" t="n">
        <x:v>2036</x:v>
      </x:c>
      <x:c r="K817" s="34" t="n">
        <x:v>0.308333</x:v>
      </x:c>
      <x:c r="L817" s="34" t="n">
        <x:v>0</x:v>
      </x:c>
      <x:c r="M817" s="34" t="n">
        <x:v>0.658333</x:v>
      </x:c>
      <x:c r="N817" s="34" t="n">
        <x:v>0.033333</x:v>
      </x:c>
      <x:c r="O817" s="34" t="n">
        <x:v>0</x:v>
      </x:c>
      <x:c r="P817" s="34" t="n">
        <x:v>0</x:v>
      </x:c>
      <x:c r="Q817" s="34" t="n">
        <x:v>0.1</x:v>
      </x:c>
      <x:c r="R817" s="34" t="n">
        <x:v>0</x:v>
      </x:c>
      <x:c r="S817" s="34" t="n">
        <x:v>0</x:v>
      </x:c>
      <x:c r="T817" s="34" t="n">
        <x:v>209.90085</x:v>
      </x:c>
      <x:c r="U817" s="34" t="str">
        <x:v>JFE-CHIBA:H2_DRI_EAF:2036|JFE-FUKU:H2_DRI_EAF:2033|JFE-KURA:BF_RELINE:2029|JFE-SENDAI:EAF_RENEWABLE:2033</x:v>
      </x:c>
      <x:c r="V817" s="34" t="str">
        <x:v>model_generated_candidate</x:v>
      </x:c>
      <x:c r="W817" s="34" t="str">
        <x:v>Generated from disclosed-path facility calendar, technology set and template contracting assumptions; not a company-announced project</x:v>
      </x:c>
    </x:row>
    <x:row r="818">
      <x:c r="A818" s="34" t="str">
        <x:v>CAND-11566829CB83FF</x:v>
      </x:c>
      <x:c r="B818" s="34" t="str">
        <x:v>JFE_STEEL_JP</x:v>
      </x:c>
      <x:c r="C818" s="34" t="str">
        <x:v>JFE Steel</x:v>
      </x:c>
      <x:c r="D818" s="34" t="str">
        <x:v>P1</x:v>
      </x:c>
      <x:c r="E818" s="34" t="str">
        <x:v>지연·현물조달</x:v>
      </x:c>
      <x:c r="F818" s="34" t="str">
        <x:v>PORT-7C1FC602A00B</x:v>
      </x:c>
      <x:c r="G818" s="34" t="str">
        <x:v>DISCLOSED_PATH</x:v>
      </x:c>
      <x:c r="H818" s="34" t="n">
        <x:v>4</x:v>
      </x:c>
      <x:c r="I818" s="34" t="n">
        <x:v>2029</x:v>
      </x:c>
      <x:c r="J818" s="34" t="n">
        <x:v>2036</x:v>
      </x:c>
      <x:c r="K818" s="34" t="n">
        <x:v>0</x:v>
      </x:c>
      <x:c r="L818" s="34" t="n">
        <x:v>0.25</x:v>
      </x:c>
      <x:c r="M818" s="34" t="n">
        <x:v>0.716667</x:v>
      </x:c>
      <x:c r="N818" s="34" t="n">
        <x:v>0.033333</x:v>
      </x:c>
      <x:c r="O818" s="34" t="n">
        <x:v>0</x:v>
      </x:c>
      <x:c r="P818" s="34" t="n">
        <x:v>0</x:v>
      </x:c>
      <x:c r="Q818" s="34" t="n">
        <x:v>0.1</x:v>
      </x:c>
      <x:c r="R818" s="34" t="n">
        <x:v>0</x:v>
      </x:c>
      <x:c r="S818" s="34" t="n">
        <x:v>0</x:v>
      </x:c>
      <x:c r="T818" s="34" t="n">
        <x:v>341.808365</x:v>
      </x:c>
      <x:c r="U818" s="34" t="str">
        <x:v>JFE-CHIBA:SCRAP_EAF:2036|JFE-FUKU:H2_DRI_EAF:2033|JFE-KURA:H2_DRI_EAF:2029|JFE-SENDAI:EAF_RENEWABLE:2033</x:v>
      </x:c>
      <x:c r="V818" s="34" t="str">
        <x:v>model_generated_candidate</x:v>
      </x:c>
      <x:c r="W818" s="34" t="str">
        <x:v>Generated from disclosed-path facility calendar, technology set and template contracting assumptions; not a company-announced project</x:v>
      </x:c>
    </x:row>
    <x:row r="819">
      <x:c r="A819" s="34" t="str">
        <x:v>CAND-12D758CC621EDD</x:v>
      </x:c>
      <x:c r="B819" s="34" t="str">
        <x:v>JFE_STEEL_JP</x:v>
      </x:c>
      <x:c r="C819" s="34" t="str">
        <x:v>JFE Steel</x:v>
      </x:c>
      <x:c r="D819" s="34" t="str">
        <x:v>P3</x:v>
      </x:c>
      <x:c r="E819" s="34" t="str">
        <x:v>균형형 라이트헤지</x:v>
      </x:c>
      <x:c r="F819" s="34" t="str">
        <x:v>PORT-04FFFE8075F6</x:v>
      </x:c>
      <x:c r="G819" s="34" t="str">
        <x:v>DISCLOSED_PATH</x:v>
      </x:c>
      <x:c r="H819" s="34" t="n">
        <x:v>4</x:v>
      </x:c>
      <x:c r="I819" s="34" t="n">
        <x:v>2029</x:v>
      </x:c>
      <x:c r="J819" s="34" t="n">
        <x:v>2036</x:v>
      </x:c>
      <x:c r="K819" s="34" t="n">
        <x:v>0</x:v>
      </x:c>
      <x:c r="L819" s="34" t="n">
        <x:v>0</x:v>
      </x:c>
      <x:c r="M819" s="34" t="n">
        <x:v>0.966667</x:v>
      </x:c>
      <x:c r="N819" s="34" t="n">
        <x:v>0.033333</x:v>
      </x:c>
      <x:c r="O819" s="34" t="n">
        <x:v>0.3</x:v>
      </x:c>
      <x:c r="P819" s="34" t="n">
        <x:v>0.25</x:v>
      </x:c>
      <x:c r="Q819" s="34" t="n">
        <x:v>0.35</x:v>
      </x:c>
      <x:c r="R819" s="34" t="n">
        <x:v>0.25</x:v>
      </x:c>
      <x:c r="S819" s="34" t="n">
        <x:v>0.015</x:v>
      </x:c>
      <x:c r="T819" s="34" t="n">
        <x:v>348.620862</x:v>
      </x:c>
      <x:c r="U819" s="34" t="str">
        <x:v>JFE-CHIBA:H2_DRI_EAF:2036|JFE-FUKU:H2_DRI_EAF:2033|JFE-KURA:H2_DRI_EAF:2029|JFE-SENDAI:EAF_RENEWABLE:2033</x:v>
      </x:c>
      <x:c r="V819" s="34" t="str">
        <x:v>model_generated_candidate</x:v>
      </x:c>
      <x:c r="W819" s="34" t="str">
        <x:v>Generated from disclosed-path facility calendar, technology set and template contracting assumptions; not a company-announced project</x:v>
      </x:c>
    </x:row>
    <x:row r="820">
      <x:c r="A820" s="34" t="str">
        <x:v>CAND-156DBD688B285D</x:v>
      </x:c>
      <x:c r="B820" s="34" t="str">
        <x:v>JFE_STEEL_JP</x:v>
      </x:c>
      <x:c r="C820" s="34" t="str">
        <x:v>JFE Steel</x:v>
      </x:c>
      <x:c r="D820" s="34" t="str">
        <x:v>P2</x:v>
      </x:c>
      <x:c r="E820" s="34" t="str">
        <x:v>지연·부분헤지</x:v>
      </x:c>
      <x:c r="F820" s="34" t="str">
        <x:v>PORT-4FBC33F20EEF</x:v>
      </x:c>
      <x:c r="G820" s="34" t="str">
        <x:v>DISCLOSED_PATH</x:v>
      </x:c>
      <x:c r="H820" s="34" t="n">
        <x:v>4</x:v>
      </x:c>
      <x:c r="I820" s="34" t="n">
        <x:v>2029</x:v>
      </x:c>
      <x:c r="J820" s="34" t="n">
        <x:v>2036</x:v>
      </x:c>
      <x:c r="K820" s="34" t="n">
        <x:v>0.308333</x:v>
      </x:c>
      <x:c r="L820" s="34" t="n">
        <x:v>0.408333</x:v>
      </x:c>
      <x:c r="M820" s="34" t="n">
        <x:v>0.25</x:v>
      </x:c>
      <x:c r="N820" s="34" t="n">
        <x:v>0.033333</x:v>
      </x:c>
      <x:c r="O820" s="34" t="n">
        <x:v>0.15</x:v>
      </x:c>
      <x:c r="P820" s="34" t="n">
        <x:v>0.1</x:v>
      </x:c>
      <x:c r="Q820" s="34" t="n">
        <x:v>0.2</x:v>
      </x:c>
      <x:c r="R820" s="34" t="n">
        <x:v>0.1</x:v>
      </x:c>
      <x:c r="S820" s="34" t="n">
        <x:v>0.01</x:v>
      </x:c>
      <x:c r="T820" s="34" t="n">
        <x:v>191.900857</x:v>
      </x:c>
      <x:c r="U820" s="34" t="str">
        <x:v>JFE-CHIBA:H2_DRI_EAF:2036|JFE-FUKU:SCRAP_EAF:2033|JFE-KURA:BF_RELINE:2029|JFE-SENDAI:EAF_RENEWABLE:2033</x:v>
      </x:c>
      <x:c r="V820" s="34" t="str">
        <x:v>model_generated_candidate</x:v>
      </x:c>
      <x:c r="W820" s="34" t="str">
        <x:v>Generated from disclosed-path facility calendar, technology set and template contracting assumptions; not a company-announced project</x:v>
      </x:c>
    </x:row>
    <x:row r="821">
      <x:c r="A821" s="34" t="str">
        <x:v>CAND-1D1CB9506368C0</x:v>
      </x:c>
      <x:c r="B821" s="34" t="str">
        <x:v>JFE_STEEL_JP</x:v>
      </x:c>
      <x:c r="C821" s="34" t="str">
        <x:v>JFE Steel</x:v>
      </x:c>
      <x:c r="D821" s="34" t="str">
        <x:v>P2</x:v>
      </x:c>
      <x:c r="E821" s="34" t="str">
        <x:v>지연·부분헤지</x:v>
      </x:c>
      <x:c r="F821" s="34" t="str">
        <x:v>PORT-0FD37D80B1EA</x:v>
      </x:c>
      <x:c r="G821" s="34" t="str">
        <x:v>DISCLOSED_PATH</x:v>
      </x:c>
      <x:c r="H821" s="34" t="n">
        <x:v>4</x:v>
      </x:c>
      <x:c r="I821" s="34" t="n">
        <x:v>2029</x:v>
      </x:c>
      <x:c r="J821" s="34" t="n">
        <x:v>2036</x:v>
      </x:c>
      <x:c r="K821" s="34" t="n">
        <x:v>0</x:v>
      </x:c>
      <x:c r="L821" s="34" t="n">
        <x:v>0.408333</x:v>
      </x:c>
      <x:c r="M821" s="34" t="n">
        <x:v>0.558333</x:v>
      </x:c>
      <x:c r="N821" s="34" t="n">
        <x:v>0.033333</x:v>
      </x:c>
      <x:c r="O821" s="34" t="n">
        <x:v>0.15</x:v>
      </x:c>
      <x:c r="P821" s="34" t="n">
        <x:v>0.1</x:v>
      </x:c>
      <x:c r="Q821" s="34" t="n">
        <x:v>0.2</x:v>
      </x:c>
      <x:c r="R821" s="34" t="n">
        <x:v>0.1</x:v>
      </x:c>
      <x:c r="S821" s="34" t="n">
        <x:v>0.01</x:v>
      </x:c>
      <x:c r="T821" s="34" t="n">
        <x:v>330.620869</x:v>
      </x:c>
      <x:c r="U821" s="34" t="str">
        <x:v>JFE-CHIBA:H2_DRI_EAF:2036|JFE-FUKU:SCRAP_EAF:2033|JFE-KURA:H2_DRI_EAF:2029|JFE-SENDAI:EAF_RENEWABLE:2033</x:v>
      </x:c>
      <x:c r="V821" s="34" t="str">
        <x:v>model_generated_candidate</x:v>
      </x:c>
      <x:c r="W821" s="34" t="str">
        <x:v>Generated from disclosed-path facility calendar, technology set and template contracting assumptions; not a company-announced project</x:v>
      </x:c>
    </x:row>
    <x:row r="822">
      <x:c r="A822" s="34" t="str">
        <x:v>CAND-2384C3F783562D</x:v>
      </x:c>
      <x:c r="B822" s="34" t="str">
        <x:v>JFE_STEEL_JP</x:v>
      </x:c>
      <x:c r="C822" s="34" t="str">
        <x:v>JFE Steel</x:v>
      </x:c>
      <x:c r="D822" s="34" t="str">
        <x:v>P2</x:v>
      </x:c>
      <x:c r="E822" s="34" t="str">
        <x:v>지연·부분헤지</x:v>
      </x:c>
      <x:c r="F822" s="34" t="str">
        <x:v>PORT-04FFFE8075F6</x:v>
      </x:c>
      <x:c r="G822" s="34" t="str">
        <x:v>DISCLOSED_PATH</x:v>
      </x:c>
      <x:c r="H822" s="34" t="n">
        <x:v>4</x:v>
      </x:c>
      <x:c r="I822" s="34" t="n">
        <x:v>2029</x:v>
      </x:c>
      <x:c r="J822" s="34" t="n">
        <x:v>2036</x:v>
      </x:c>
      <x:c r="K822" s="34" t="n">
        <x:v>0</x:v>
      </x:c>
      <x:c r="L822" s="34" t="n">
        <x:v>0</x:v>
      </x:c>
      <x:c r="M822" s="34" t="n">
        <x:v>0.966667</x:v>
      </x:c>
      <x:c r="N822" s="34" t="n">
        <x:v>0.033333</x:v>
      </x:c>
      <x:c r="O822" s="34" t="n">
        <x:v>0.15</x:v>
      </x:c>
      <x:c r="P822" s="34" t="n">
        <x:v>0.1</x:v>
      </x:c>
      <x:c r="Q822" s="34" t="n">
        <x:v>0.2</x:v>
      </x:c>
      <x:c r="R822" s="34" t="n">
        <x:v>0.1</x:v>
      </x:c>
      <x:c r="S822" s="34" t="n">
        <x:v>0.01</x:v>
      </x:c>
      <x:c r="T822" s="34" t="n">
        <x:v>348.620862</x:v>
      </x:c>
      <x:c r="U822" s="34" t="str">
        <x:v>JFE-CHIBA:H2_DRI_EAF:2036|JFE-FUKU:H2_DRI_EAF:2033|JFE-KURA:H2_DRI_EAF:2029|JFE-SENDAI:EAF_RENEWABLE:2033</x:v>
      </x:c>
      <x:c r="V822" s="34" t="str">
        <x:v>model_generated_candidate</x:v>
      </x:c>
      <x:c r="W822" s="34" t="str">
        <x:v>Generated from disclosed-path facility calendar, technology set and template contracting assumptions; not a company-announced project</x:v>
      </x:c>
    </x:row>
    <x:row r="823">
      <x:c r="A823" s="34" t="str">
        <x:v>CAND-25BA0666383526</x:v>
      </x:c>
      <x:c r="B823" s="34" t="str">
        <x:v>JFE_STEEL_JP</x:v>
      </x:c>
      <x:c r="C823" s="34" t="str">
        <x:v>JFE Steel</x:v>
      </x:c>
      <x:c r="D823" s="34" t="str">
        <x:v>P1</x:v>
      </x:c>
      <x:c r="E823" s="34" t="str">
        <x:v>지연·현물조달</x:v>
      </x:c>
      <x:c r="F823" s="34" t="str">
        <x:v>PORT-E3494C854A0D</x:v>
      </x:c>
      <x:c r="G823" s="34" t="str">
        <x:v>DISCLOSED_PATH</x:v>
      </x:c>
      <x:c r="H823" s="34" t="n">
        <x:v>4</x:v>
      </x:c>
      <x:c r="I823" s="34" t="n">
        <x:v>2029</x:v>
      </x:c>
      <x:c r="J823" s="34" t="n">
        <x:v>2036</x:v>
      </x:c>
      <x:c r="K823" s="34" t="n">
        <x:v>0</x:v>
      </x:c>
      <x:c r="L823" s="34" t="n">
        <x:v>0.658333</x:v>
      </x:c>
      <x:c r="M823" s="34" t="n">
        <x:v>0.308333</x:v>
      </x:c>
      <x:c r="N823" s="34" t="n">
        <x:v>0.033333</x:v>
      </x:c>
      <x:c r="O823" s="34" t="n">
        <x:v>0</x:v>
      </x:c>
      <x:c r="P823" s="34" t="n">
        <x:v>0</x:v>
      </x:c>
      <x:c r="Q823" s="34" t="n">
        <x:v>0.1</x:v>
      </x:c>
      <x:c r="R823" s="34" t="n">
        <x:v>0</x:v>
      </x:c>
      <x:c r="S823" s="34" t="n">
        <x:v>0</x:v>
      </x:c>
      <x:c r="T823" s="34" t="n">
        <x:v>323.808372</x:v>
      </x:c>
      <x:c r="U823" s="34" t="str">
        <x:v>JFE-CHIBA:SCRAP_EAF:2036|JFE-FUKU:SCRAP_EAF:2033|JFE-KURA:H2_DRI_EAF:2029|JFE-SENDAI:EAF_RENEWABLE:2033</x:v>
      </x:c>
      <x:c r="V823" s="34" t="str">
        <x:v>model_generated_candidate</x:v>
      </x:c>
      <x:c r="W823" s="34" t="str">
        <x:v>Generated from disclosed-path facility calendar, technology set and template contracting assumptions; not a company-announced project</x:v>
      </x:c>
    </x:row>
    <x:row r="824">
      <x:c r="A824" s="34" t="str">
        <x:v>CAND-27DEF6B976065D</x:v>
      </x:c>
      <x:c r="B824" s="34" t="str">
        <x:v>JFE_STEEL_JP</x:v>
      </x:c>
      <x:c r="C824" s="34" t="str">
        <x:v>JFE Steel</x:v>
      </x:c>
      <x:c r="D824" s="34" t="str">
        <x:v>P3</x:v>
      </x:c>
      <x:c r="E824" s="34" t="str">
        <x:v>균형형 라이트헤지</x:v>
      </x:c>
      <x:c r="F824" s="34" t="str">
        <x:v>PORT-408F044D6828</x:v>
      </x:c>
      <x:c r="G824" s="34" t="str">
        <x:v>DISCLOSED_PATH</x:v>
      </x:c>
      <x:c r="H824" s="34" t="n">
        <x:v>4</x:v>
      </x:c>
      <x:c r="I824" s="34" t="n">
        <x:v>2029</x:v>
      </x:c>
      <x:c r="J824" s="34" t="n">
        <x:v>2036</x:v>
      </x:c>
      <x:c r="K824" s="34" t="n">
        <x:v>0.25</x:v>
      </x:c>
      <x:c r="L824" s="34" t="n">
        <x:v>0</x:v>
      </x:c>
      <x:c r="M824" s="34" t="n">
        <x:v>0.716667</x:v>
      </x:c>
      <x:c r="N824" s="34" t="n">
        <x:v>0.033333</x:v>
      </x:c>
      <x:c r="O824" s="34" t="n">
        <x:v>0.3</x:v>
      </x:c>
      <x:c r="P824" s="34" t="n">
        <x:v>0.25</x:v>
      </x:c>
      <x:c r="Q824" s="34" t="n">
        <x:v>0.35</x:v>
      </x:c>
      <x:c r="R824" s="34" t="n">
        <x:v>0.25</x:v>
      </x:c>
      <x:c r="S824" s="34" t="n">
        <x:v>0.015</x:v>
      </x:c>
      <x:c r="T824" s="34" t="n">
        <x:v>302.295879</x:v>
      </x:c>
      <x:c r="U824" s="34" t="str">
        <x:v>JFE-CHIBA:BF_RELINE:2036|JFE-FUKU:H2_DRI_EAF:2033|JFE-KURA:H2_DRI_EAF:2029|JFE-SENDAI:EAF_RENEWABLE:2033</x:v>
      </x:c>
      <x:c r="V824" s="34" t="str">
        <x:v>model_generated_candidate</x:v>
      </x:c>
      <x:c r="W824" s="34" t="str">
        <x:v>Generated from disclosed-path facility calendar, technology set and template contracting assumptions; not a company-announced project</x:v>
      </x:c>
    </x:row>
    <x:row r="825">
      <x:c r="A825" s="34" t="str">
        <x:v>CAND-2AFD85912C485D</x:v>
      </x:c>
      <x:c r="B825" s="34" t="str">
        <x:v>JFE_STEEL_JP</x:v>
      </x:c>
      <x:c r="C825" s="34" t="str">
        <x:v>JFE Steel</x:v>
      </x:c>
      <x:c r="D825" s="34" t="str">
        <x:v>P5</x:v>
      </x:c>
      <x:c r="E825" s="34" t="str">
        <x:v>조기 계약형 전환</x:v>
      </x:c>
      <x:c r="F825" s="34" t="str">
        <x:v>PORT-844170813924</x:v>
      </x:c>
      <x:c r="G825" s="34" t="str">
        <x:v>DISCLOSED_PATH</x:v>
      </x:c>
      <x:c r="H825" s="34" t="n">
        <x:v>4</x:v>
      </x:c>
      <x:c r="I825" s="34" t="n">
        <x:v>2028</x:v>
      </x:c>
      <x:c r="J825" s="34" t="n">
        <x:v>2035</x:v>
      </x:c>
      <x:c r="K825" s="34" t="n">
        <x:v>0</x:v>
      </x:c>
      <x:c r="L825" s="34" t="n">
        <x:v>0.25</x:v>
      </x:c>
      <x:c r="M825" s="34" t="n">
        <x:v>0.716667</x:v>
      </x:c>
      <x:c r="N825" s="34" t="n">
        <x:v>0.033333</x:v>
      </x:c>
      <x:c r="O825" s="34" t="n">
        <x:v>0.7</x:v>
      </x:c>
      <x:c r="P825" s="34" t="n">
        <x:v>0.65</x:v>
      </x:c>
      <x:c r="Q825" s="34" t="n">
        <x:v>0.65</x:v>
      </x:c>
      <x:c r="R825" s="34" t="n">
        <x:v>0.6</x:v>
      </x:c>
      <x:c r="S825" s="34" t="n">
        <x:v>0.025</x:v>
      </x:c>
      <x:c r="T825" s="34" t="n">
        <x:v>381.425854</x:v>
      </x:c>
      <x:c r="U825" s="34" t="str">
        <x:v>JFE-CHIBA:SCRAP_EAF:2035|JFE-FUKU:H2_DRI_EAF:2032|JFE-KURA:H2_DRI_EAF:2028|JFE-SENDAI:EAF_RENEWABLE:2032</x:v>
      </x:c>
      <x:c r="V825" s="34" t="str">
        <x:v>model_generated_candidate</x:v>
      </x:c>
      <x:c r="W825" s="34" t="str">
        <x:v>Generated from disclosed-path facility calendar, technology set and template contracting assumptions; not a company-announced project</x:v>
      </x:c>
    </x:row>
    <x:row r="826">
      <x:c r="A826" s="34" t="str">
        <x:v>CAND-2DF8CF21E8720D</x:v>
      </x:c>
      <x:c r="B826" s="34" t="str">
        <x:v>JFE_STEEL_JP</x:v>
      </x:c>
      <x:c r="C826" s="34" t="str">
        <x:v>JFE Steel</x:v>
      </x:c>
      <x:c r="D826" s="34" t="str">
        <x:v>P1</x:v>
      </x:c>
      <x:c r="E826" s="34" t="str">
        <x:v>지연·현물조달</x:v>
      </x:c>
      <x:c r="F826" s="34" t="str">
        <x:v>PORT-9D97003767D5</x:v>
      </x:c>
      <x:c r="G826" s="34" t="str">
        <x:v>DISCLOSED_PATH</x:v>
      </x:c>
      <x:c r="H826" s="34" t="n">
        <x:v>4</x:v>
      </x:c>
      <x:c r="I826" s="34" t="n">
        <x:v>2029</x:v>
      </x:c>
      <x:c r="J826" s="34" t="n">
        <x:v>2036</x:v>
      </x:c>
      <x:c r="K826" s="34" t="n">
        <x:v>0.25</x:v>
      </x:c>
      <x:c r="L826" s="34" t="n">
        <x:v>0.716667</x:v>
      </x:c>
      <x:c r="M826" s="34" t="n">
        <x:v>0</x:v>
      </x:c>
      <x:c r="N826" s="34" t="n">
        <x:v>0.033333</x:v>
      </x:c>
      <x:c r="O826" s="34" t="n">
        <x:v>0</x:v>
      </x:c>
      <x:c r="P826" s="34" t="n">
        <x:v>0</x:v>
      </x:c>
      <x:c r="Q826" s="34" t="n">
        <x:v>0.1</x:v>
      </x:c>
      <x:c r="R826" s="34" t="n">
        <x:v>0</x:v>
      </x:c>
      <x:c r="S826" s="34" t="n">
        <x:v>0</x:v>
      </x:c>
      <x:c r="T826" s="34" t="n">
        <x:v>263.895884</x:v>
      </x:c>
      <x:c r="U826" s="34" t="str">
        <x:v>JFE-CHIBA:BF_RELINE:2036|JFE-FUKU:SCRAP_EAF:2033|JFE-KURA:SCRAP_EAF:2029|JFE-SENDAI:EAF_RENEWABLE:2033</x:v>
      </x:c>
      <x:c r="V826" s="34" t="str">
        <x:v>model_generated_candidate</x:v>
      </x:c>
      <x:c r="W826" s="34" t="str">
        <x:v>Generated from disclosed-path facility calendar, technology set and template contracting assumptions; not a company-announced project</x:v>
      </x:c>
    </x:row>
    <x:row r="827">
      <x:c r="A827" s="34" t="str">
        <x:v>CAND-321A1FBBC2D640</x:v>
      </x:c>
      <x:c r="B827" s="34" t="str">
        <x:v>JFE_STEEL_JP</x:v>
      </x:c>
      <x:c r="C827" s="34" t="str">
        <x:v>JFE Steel</x:v>
      </x:c>
      <x:c r="D827" s="34" t="str">
        <x:v>P1</x:v>
      </x:c>
      <x:c r="E827" s="34" t="str">
        <x:v>지연·현물조달</x:v>
      </x:c>
      <x:c r="F827" s="34" t="str">
        <x:v>PORT-CCD4397FA6D4</x:v>
      </x:c>
      <x:c r="G827" s="34" t="str">
        <x:v>DISCLOSED_PATH</x:v>
      </x:c>
      <x:c r="H827" s="34" t="n">
        <x:v>4</x:v>
      </x:c>
      <x:c r="I827" s="34" t="n">
        <x:v>2029</x:v>
      </x:c>
      <x:c r="J827" s="34" t="n">
        <x:v>2036</x:v>
      </x:c>
      <x:c r="K827" s="34" t="n">
        <x:v>0.25</x:v>
      </x:c>
      <x:c r="L827" s="34" t="n">
        <x:v>0.308333</x:v>
      </x:c>
      <x:c r="M827" s="34" t="n">
        <x:v>0.408333</x:v>
      </x:c>
      <x:c r="N827" s="34" t="n">
        <x:v>0.033333</x:v>
      </x:c>
      <x:c r="O827" s="34" t="n">
        <x:v>0</x:v>
      </x:c>
      <x:c r="P827" s="34" t="n">
        <x:v>0</x:v>
      </x:c>
      <x:c r="Q827" s="34" t="n">
        <x:v>0.1</x:v>
      </x:c>
      <x:c r="R827" s="34" t="n">
        <x:v>0</x:v>
      </x:c>
      <x:c r="S827" s="34" t="n">
        <x:v>0</x:v>
      </x:c>
      <x:c r="T827" s="34" t="n">
        <x:v>281.895878</x:v>
      </x:c>
      <x:c r="U827" s="34" t="str">
        <x:v>JFE-CHIBA:BF_RELINE:2036|JFE-FUKU:H2_DRI_EAF:2033|JFE-KURA:SCRAP_EAF:2029|JFE-SENDAI:EAF_RENEWABLE:2033</x:v>
      </x:c>
      <x:c r="V827" s="34" t="str">
        <x:v>model_generated_candidate</x:v>
      </x:c>
      <x:c r="W827" s="34" t="str">
        <x:v>Generated from disclosed-path facility calendar, technology set and template contracting assumptions; not a company-announced project</x:v>
      </x:c>
    </x:row>
    <x:row r="828">
      <x:c r="A828" s="34" t="str">
        <x:v>CAND-3785968E4E1C91</x:v>
      </x:c>
      <x:c r="B828" s="34" t="str">
        <x:v>JFE_STEEL_JP</x:v>
      </x:c>
      <x:c r="C828" s="34" t="str">
        <x:v>JFE Steel</x:v>
      </x:c>
      <x:c r="D828" s="34" t="str">
        <x:v>P1</x:v>
      </x:c>
      <x:c r="E828" s="34" t="str">
        <x:v>지연·현물조달</x:v>
      </x:c>
      <x:c r="F828" s="34" t="str">
        <x:v>PORT-4FBC33F20EEF</x:v>
      </x:c>
      <x:c r="G828" s="34" t="str">
        <x:v>DISCLOSED_PATH</x:v>
      </x:c>
      <x:c r="H828" s="34" t="n">
        <x:v>4</x:v>
      </x:c>
      <x:c r="I828" s="34" t="n">
        <x:v>2029</x:v>
      </x:c>
      <x:c r="J828" s="34" t="n">
        <x:v>2036</x:v>
      </x:c>
      <x:c r="K828" s="34" t="n">
        <x:v>0.308333</x:v>
      </x:c>
      <x:c r="L828" s="34" t="n">
        <x:v>0.408333</x:v>
      </x:c>
      <x:c r="M828" s="34" t="n">
        <x:v>0.25</x:v>
      </x:c>
      <x:c r="N828" s="34" t="n">
        <x:v>0.033333</x:v>
      </x:c>
      <x:c r="O828" s="34" t="n">
        <x:v>0</x:v>
      </x:c>
      <x:c r="P828" s="34" t="n">
        <x:v>0</x:v>
      </x:c>
      <x:c r="Q828" s="34" t="n">
        <x:v>0.1</x:v>
      </x:c>
      <x:c r="R828" s="34" t="n">
        <x:v>0</x:v>
      </x:c>
      <x:c r="S828" s="34" t="n">
        <x:v>0</x:v>
      </x:c>
      <x:c r="T828" s="34" t="n">
        <x:v>191.900857</x:v>
      </x:c>
      <x:c r="U828" s="34" t="str">
        <x:v>JFE-CHIBA:H2_DRI_EAF:2036|JFE-FUKU:SCRAP_EAF:2033|JFE-KURA:BF_RELINE:2029|JFE-SENDAI:EAF_RENEWABLE:2033</x:v>
      </x:c>
      <x:c r="V828" s="34" t="str">
        <x:v>model_generated_candidate</x:v>
      </x:c>
      <x:c r="W828" s="34" t="str">
        <x:v>Generated from disclosed-path facility calendar, technology set and template contracting assumptions; not a company-announced project</x:v>
      </x:c>
    </x:row>
    <x:row r="829">
      <x:c r="A829" s="34" t="str">
        <x:v>CAND-3BDAECB8DA1A89</x:v>
      </x:c>
      <x:c r="B829" s="34" t="str">
        <x:v>JFE_STEEL_JP</x:v>
      </x:c>
      <x:c r="C829" s="34" t="str">
        <x:v>JFE Steel</x:v>
      </x:c>
      <x:c r="D829" s="34" t="str">
        <x:v>P4</x:v>
      </x:c>
      <x:c r="E829" s="34" t="str">
        <x:v>균형형 전환</x:v>
      </x:c>
      <x:c r="F829" s="34" t="str">
        <x:v>PORT-29DB1A43C5DD</x:v>
      </x:c>
      <x:c r="G829" s="34" t="str">
        <x:v>DISCLOSED_PATH</x:v>
      </x:c>
      <x:c r="H829" s="34" t="n">
        <x:v>4</x:v>
      </x:c>
      <x:c r="I829" s="34" t="n">
        <x:v>2028</x:v>
      </x:c>
      <x:c r="J829" s="34" t="n">
        <x:v>2035</x:v>
      </x:c>
      <x:c r="K829" s="34" t="n">
        <x:v>0.308333</x:v>
      </x:c>
      <x:c r="L829" s="34" t="n">
        <x:v>0</x:v>
      </x:c>
      <x:c r="M829" s="34" t="n">
        <x:v>0.658333</x:v>
      </x:c>
      <x:c r="N829" s="34" t="n">
        <x:v>0.033333</x:v>
      </x:c>
      <x:c r="O829" s="34" t="n">
        <x:v>0.5</x:v>
      </x:c>
      <x:c r="P829" s="34" t="n">
        <x:v>0.45</x:v>
      </x:c>
      <x:c r="Q829" s="34" t="n">
        <x:v>0.5</x:v>
      </x:c>
      <x:c r="R829" s="34" t="n">
        <x:v>0.4</x:v>
      </x:c>
      <x:c r="S829" s="34" t="n">
        <x:v>0.02</x:v>
      </x:c>
      <x:c r="T829" s="34" t="n">
        <x:v>239.320837</x:v>
      </x:c>
      <x:c r="U829" s="34" t="str">
        <x:v>JFE-CHIBA:H2_DRI_EAF:2035|JFE-FUKU:H2_DRI_EAF:2032|JFE-KURA:BF_RELINE:2028|JFE-SENDAI:EAF_RENEWABLE:2032</x:v>
      </x:c>
      <x:c r="V829" s="34" t="str">
        <x:v>model_generated_candidate</x:v>
      </x:c>
      <x:c r="W829" s="34" t="str">
        <x:v>Generated from disclosed-path facility calendar, technology set and template contracting assumptions; not a company-announced project</x:v>
      </x:c>
    </x:row>
    <x:row r="830">
      <x:c r="A830" s="34" t="str">
        <x:v>CAND-3DE74006E308F9</x:v>
      </x:c>
      <x:c r="B830" s="34" t="str">
        <x:v>JFE_STEEL_JP</x:v>
      </x:c>
      <x:c r="C830" s="34" t="str">
        <x:v>JFE Steel</x:v>
      </x:c>
      <x:c r="D830" s="34" t="str">
        <x:v>P2</x:v>
      </x:c>
      <x:c r="E830" s="34" t="str">
        <x:v>지연·부분헤지</x:v>
      </x:c>
      <x:c r="F830" s="34" t="str">
        <x:v>PORT-7C1FC602A00B</x:v>
      </x:c>
      <x:c r="G830" s="34" t="str">
        <x:v>DISCLOSED_PATH</x:v>
      </x:c>
      <x:c r="H830" s="34" t="n">
        <x:v>4</x:v>
      </x:c>
      <x:c r="I830" s="34" t="n">
        <x:v>2029</x:v>
      </x:c>
      <x:c r="J830" s="34" t="n">
        <x:v>2036</x:v>
      </x:c>
      <x:c r="K830" s="34" t="n">
        <x:v>0</x:v>
      </x:c>
      <x:c r="L830" s="34" t="n">
        <x:v>0.25</x:v>
      </x:c>
      <x:c r="M830" s="34" t="n">
        <x:v>0.716667</x:v>
      </x:c>
      <x:c r="N830" s="34" t="n">
        <x:v>0.033333</x:v>
      </x:c>
      <x:c r="O830" s="34" t="n">
        <x:v>0.15</x:v>
      </x:c>
      <x:c r="P830" s="34" t="n">
        <x:v>0.1</x:v>
      </x:c>
      <x:c r="Q830" s="34" t="n">
        <x:v>0.2</x:v>
      </x:c>
      <x:c r="R830" s="34" t="n">
        <x:v>0.1</x:v>
      </x:c>
      <x:c r="S830" s="34" t="n">
        <x:v>0.01</x:v>
      </x:c>
      <x:c r="T830" s="34" t="n">
        <x:v>341.808365</x:v>
      </x:c>
      <x:c r="U830" s="34" t="str">
        <x:v>JFE-CHIBA:SCRAP_EAF:2036|JFE-FUKU:H2_DRI_EAF:2033|JFE-KURA:H2_DRI_EAF:2029|JFE-SENDAI:EAF_RENEWABLE:2033</x:v>
      </x:c>
      <x:c r="V830" s="34" t="str">
        <x:v>model_generated_candidate</x:v>
      </x:c>
      <x:c r="W830" s="34" t="str">
        <x:v>Generated from disclosed-path facility calendar, technology set and template contracting assumptions; not a company-announced project</x:v>
      </x:c>
    </x:row>
    <x:row r="831">
      <x:c r="A831" s="34" t="str">
        <x:v>CAND-44218B07FC843F</x:v>
      </x:c>
      <x:c r="B831" s="34" t="str">
        <x:v>JFE_STEEL_JP</x:v>
      </x:c>
      <x:c r="C831" s="34" t="str">
        <x:v>JFE Steel</x:v>
      </x:c>
      <x:c r="D831" s="34" t="str">
        <x:v>P2</x:v>
      </x:c>
      <x:c r="E831" s="34" t="str">
        <x:v>지연·부분헤지</x:v>
      </x:c>
      <x:c r="F831" s="34" t="str">
        <x:v>PORT-48EB0158352D</x:v>
      </x:c>
      <x:c r="G831" s="34" t="str">
        <x:v>DISCLOSED_PATH</x:v>
      </x:c>
      <x:c r="H831" s="34" t="n">
        <x:v>4</x:v>
      </x:c>
      <x:c r="I831" s="34" t="n">
        <x:v>2029</x:v>
      </x:c>
      <x:c r="J831" s="34" t="n">
        <x:v>2036</x:v>
      </x:c>
      <x:c r="K831" s="34" t="n">
        <x:v>0.308333</x:v>
      </x:c>
      <x:c r="L831" s="34" t="n">
        <x:v>0</x:v>
      </x:c>
      <x:c r="M831" s="34" t="n">
        <x:v>0.658333</x:v>
      </x:c>
      <x:c r="N831" s="34" t="n">
        <x:v>0.033333</x:v>
      </x:c>
      <x:c r="O831" s="34" t="n">
        <x:v>0.15</x:v>
      </x:c>
      <x:c r="P831" s="34" t="n">
        <x:v>0.1</x:v>
      </x:c>
      <x:c r="Q831" s="34" t="n">
        <x:v>0.2</x:v>
      </x:c>
      <x:c r="R831" s="34" t="n">
        <x:v>0.1</x:v>
      </x:c>
      <x:c r="S831" s="34" t="n">
        <x:v>0.01</x:v>
      </x:c>
      <x:c r="T831" s="34" t="n">
        <x:v>209.90085</x:v>
      </x:c>
      <x:c r="U831" s="34" t="str">
        <x:v>JFE-CHIBA:H2_DRI_EAF:2036|JFE-FUKU:H2_DRI_EAF:2033|JFE-KURA:BF_RELINE:2029|JFE-SENDAI:EAF_RENEWABLE:2033</x:v>
      </x:c>
      <x:c r="V831" s="34" t="str">
        <x:v>model_generated_candidate</x:v>
      </x:c>
      <x:c r="W831" s="34" t="str">
        <x:v>Generated from disclosed-path facility calendar, technology set and template contracting assumptions; not a company-announced project</x:v>
      </x:c>
    </x:row>
    <x:row r="832">
      <x:c r="A832" s="34" t="str">
        <x:v>CAND-4D77DB7422B451</x:v>
      </x:c>
      <x:c r="B832" s="34" t="str">
        <x:v>JFE_STEEL_JP</x:v>
      </x:c>
      <x:c r="C832" s="34" t="str">
        <x:v>JFE Steel</x:v>
      </x:c>
      <x:c r="D832" s="34" t="str">
        <x:v>P2</x:v>
      </x:c>
      <x:c r="E832" s="34" t="str">
        <x:v>지연·부분헤지</x:v>
      </x:c>
      <x:c r="F832" s="34" t="str">
        <x:v>PORT-3776FB32D8CF</x:v>
      </x:c>
      <x:c r="G832" s="34" t="str">
        <x:v>DISCLOSED_PATH</x:v>
      </x:c>
      <x:c r="H832" s="34" t="n">
        <x:v>4</x:v>
      </x:c>
      <x:c r="I832" s="34" t="n">
        <x:v>2029</x:v>
      </x:c>
      <x:c r="J832" s="34" t="n">
        <x:v>2036</x:v>
      </x:c>
      <x:c r="K832" s="34" t="n">
        <x:v>0.25</x:v>
      </x:c>
      <x:c r="L832" s="34" t="n">
        <x:v>0.408333</x:v>
      </x:c>
      <x:c r="M832" s="34" t="n">
        <x:v>0.308333</x:v>
      </x:c>
      <x:c r="N832" s="34" t="n">
        <x:v>0.033333</x:v>
      </x:c>
      <x:c r="O832" s="34" t="n">
        <x:v>0.15</x:v>
      </x:c>
      <x:c r="P832" s="34" t="n">
        <x:v>0.1</x:v>
      </x:c>
      <x:c r="Q832" s="34" t="n">
        <x:v>0.2</x:v>
      </x:c>
      <x:c r="R832" s="34" t="n">
        <x:v>0.1</x:v>
      </x:c>
      <x:c r="S832" s="34" t="n">
        <x:v>0.01</x:v>
      </x:c>
      <x:c r="T832" s="34" t="n">
        <x:v>284.295886</x:v>
      </x:c>
      <x:c r="U832" s="34" t="str">
        <x:v>JFE-CHIBA:BF_RELINE:2036|JFE-FUKU:SCRAP_EAF:2033|JFE-KURA:H2_DRI_EAF:2029|JFE-SENDAI:EAF_RENEWABLE:2033</x:v>
      </x:c>
      <x:c r="V832" s="34" t="str">
        <x:v>model_generated_candidate</x:v>
      </x:c>
      <x:c r="W832" s="34" t="str">
        <x:v>Generated from disclosed-path facility calendar, technology set and template contracting assumptions; not a company-announced project</x:v>
      </x:c>
    </x:row>
    <x:row r="833">
      <x:c r="A833" s="34" t="str">
        <x:v>CAND-53E6B469D62558</x:v>
      </x:c>
      <x:c r="B833" s="34" t="str">
        <x:v>JFE_STEEL_JP</x:v>
      </x:c>
      <x:c r="C833" s="34" t="str">
        <x:v>JFE Steel</x:v>
      </x:c>
      <x:c r="D833" s="34" t="str">
        <x:v>P1</x:v>
      </x:c>
      <x:c r="E833" s="34" t="str">
        <x:v>지연·현물조달</x:v>
      </x:c>
      <x:c r="F833" s="34" t="str">
        <x:v>PORT-33091F63E785</x:v>
      </x:c>
      <x:c r="G833" s="34" t="str">
        <x:v>DISCLOSED_PATH</x:v>
      </x:c>
      <x:c r="H833" s="34" t="n">
        <x:v>4</x:v>
      </x:c>
      <x:c r="I833" s="34" t="n">
        <x:v>2029</x:v>
      </x:c>
      <x:c r="J833" s="34" t="n">
        <x:v>2036</x:v>
      </x:c>
      <x:c r="K833" s="34" t="n">
        <x:v>0</x:v>
      </x:c>
      <x:c r="L833" s="34" t="n">
        <x:v>0.966667</x:v>
      </x:c>
      <x:c r="M833" s="34" t="n">
        <x:v>0</x:v>
      </x:c>
      <x:c r="N833" s="34" t="n">
        <x:v>0.033333</x:v>
      </x:c>
      <x:c r="O833" s="34" t="n">
        <x:v>0</x:v>
      </x:c>
      <x:c r="P833" s="34" t="n">
        <x:v>0</x:v>
      </x:c>
      <x:c r="Q833" s="34" t="n">
        <x:v>0.1</x:v>
      </x:c>
      <x:c r="R833" s="34" t="n">
        <x:v>0</x:v>
      </x:c>
      <x:c r="S833" s="34" t="n">
        <x:v>0</x:v>
      </x:c>
      <x:c r="T833" s="34" t="n">
        <x:v>303.40837</x:v>
      </x:c>
      <x:c r="U833" s="34" t="str">
        <x:v>JFE-CHIBA:SCRAP_EAF:2036|JFE-FUKU:SCRAP_EAF:2033|JFE-KURA:SCRAP_EAF:2029|JFE-SENDAI:EAF_RENEWABLE:2033</x:v>
      </x:c>
      <x:c r="V833" s="34" t="str">
        <x:v>model_generated_candidate</x:v>
      </x:c>
      <x:c r="W833" s="34" t="str">
        <x:v>Generated from disclosed-path facility calendar, technology set and template contracting assumptions; not a company-announced project</x:v>
      </x:c>
    </x:row>
    <x:row r="834">
      <x:c r="A834" s="34" t="str">
        <x:v>CAND-56A2BE8D3222E8</x:v>
      </x:c>
      <x:c r="B834" s="34" t="str">
        <x:v>JFE_STEEL_JP</x:v>
      </x:c>
      <x:c r="C834" s="34" t="str">
        <x:v>JFE Steel</x:v>
      </x:c>
      <x:c r="D834" s="34" t="str">
        <x:v>P5</x:v>
      </x:c>
      <x:c r="E834" s="34" t="str">
        <x:v>조기 계약형 전환</x:v>
      </x:c>
      <x:c r="F834" s="34" t="str">
        <x:v>PORT-29DB1A43C5DD</x:v>
      </x:c>
      <x:c r="G834" s="34" t="str">
        <x:v>DISCLOSED_PATH</x:v>
      </x:c>
      <x:c r="H834" s="34" t="n">
        <x:v>4</x:v>
      </x:c>
      <x:c r="I834" s="34" t="n">
        <x:v>2028</x:v>
      </x:c>
      <x:c r="J834" s="34" t="n">
        <x:v>2035</x:v>
      </x:c>
      <x:c r="K834" s="34" t="n">
        <x:v>0.308333</x:v>
      </x:c>
      <x:c r="L834" s="34" t="n">
        <x:v>0</x:v>
      </x:c>
      <x:c r="M834" s="34" t="n">
        <x:v>0.658333</x:v>
      </x:c>
      <x:c r="N834" s="34" t="n">
        <x:v>0.033333</x:v>
      </x:c>
      <x:c r="O834" s="34" t="n">
        <x:v>0.7</x:v>
      </x:c>
      <x:c r="P834" s="34" t="n">
        <x:v>0.65</x:v>
      </x:c>
      <x:c r="Q834" s="34" t="n">
        <x:v>0.65</x:v>
      </x:c>
      <x:c r="R834" s="34" t="n">
        <x:v>0.6</x:v>
      </x:c>
      <x:c r="S834" s="34" t="n">
        <x:v>0.025</x:v>
      </x:c>
      <x:c r="T834" s="34" t="n">
        <x:v>239.320837</x:v>
      </x:c>
      <x:c r="U834" s="34" t="str">
        <x:v>JFE-CHIBA:H2_DRI_EAF:2035|JFE-FUKU:H2_DRI_EAF:2032|JFE-KURA:BF_RELINE:2028|JFE-SENDAI:EAF_RENEWABLE:2032</x:v>
      </x:c>
      <x:c r="V834" s="34" t="str">
        <x:v>model_generated_candidate</x:v>
      </x:c>
      <x:c r="W834" s="34" t="str">
        <x:v>Generated from disclosed-path facility calendar, technology set and template contracting assumptions; not a company-announced project</x:v>
      </x:c>
    </x:row>
    <x:row r="835">
      <x:c r="A835" s="34" t="str">
        <x:v>CAND-5B53A6D662B077</x:v>
      </x:c>
      <x:c r="B835" s="34" t="str">
        <x:v>JFE_STEEL_JP</x:v>
      </x:c>
      <x:c r="C835" s="34" t="str">
        <x:v>JFE Steel</x:v>
      </x:c>
      <x:c r="D835" s="34" t="str">
        <x:v>P2</x:v>
      </x:c>
      <x:c r="E835" s="34" t="str">
        <x:v>지연·부분헤지</x:v>
      </x:c>
      <x:c r="F835" s="34" t="str">
        <x:v>PORT-BFE68456F5A9</x:v>
      </x:c>
      <x:c r="G835" s="34" t="str">
        <x:v>DISCLOSED_PATH</x:v>
      </x:c>
      <x:c r="H835" s="34" t="n">
        <x:v>4</x:v>
      </x:c>
      <x:c r="I835" s="34" t="n">
        <x:v>2029</x:v>
      </x:c>
      <x:c r="J835" s="34" t="n">
        <x:v>2036</x:v>
      </x:c>
      <x:c r="K835" s="34" t="n">
        <x:v>0.716667</x:v>
      </x:c>
      <x:c r="L835" s="34" t="n">
        <x:v>0</x:v>
      </x:c>
      <x:c r="M835" s="34" t="n">
        <x:v>0.25</x:v>
      </x:c>
      <x:c r="N835" s="34" t="n">
        <x:v>0.033333</x:v>
      </x:c>
      <x:c r="O835" s="34" t="n">
        <x:v>0.15</x:v>
      </x:c>
      <x:c r="P835" s="34" t="n">
        <x:v>0.1</x:v>
      </x:c>
      <x:c r="Q835" s="34" t="n">
        <x:v>0.2</x:v>
      </x:c>
      <x:c r="R835" s="34" t="n">
        <x:v>0.1</x:v>
      </x:c>
      <x:c r="S835" s="34" t="n">
        <x:v>0.01</x:v>
      </x:c>
      <x:c r="T835" s="34" t="n">
        <x:v>87.500896</x:v>
      </x:c>
      <x:c r="U835" s="34" t="str">
        <x:v>JFE-CHIBA:H2_DRI_EAF:2036|JFE-FUKU:BF_RELINE:2033|JFE-KURA:BF_RELINE:2029|JFE-SENDAI:EAF_RENEWABLE:2033</x:v>
      </x:c>
      <x:c r="V835" s="34" t="str">
        <x:v>model_generated_candidate</x:v>
      </x:c>
      <x:c r="W835" s="34" t="str">
        <x:v>Generated from disclosed-path facility calendar, technology set and template contracting assumptions; not a company-announced project</x:v>
      </x:c>
    </x:row>
    <x:row r="836">
      <x:c r="A836" s="34" t="str">
        <x:v>CAND-65F7157232C73A</x:v>
      </x:c>
      <x:c r="B836" s="34" t="str">
        <x:v>JFE_STEEL_JP</x:v>
      </x:c>
      <x:c r="C836" s="34" t="str">
        <x:v>JFE Steel</x:v>
      </x:c>
      <x:c r="D836" s="34" t="str">
        <x:v>P1</x:v>
      </x:c>
      <x:c r="E836" s="34" t="str">
        <x:v>지연·현물조달</x:v>
      </x:c>
      <x:c r="F836" s="34" t="str">
        <x:v>PORT-04FFFE8075F6</x:v>
      </x:c>
      <x:c r="G836" s="34" t="str">
        <x:v>DISCLOSED_PATH</x:v>
      </x:c>
      <x:c r="H836" s="34" t="n">
        <x:v>4</x:v>
      </x:c>
      <x:c r="I836" s="34" t="n">
        <x:v>2029</x:v>
      </x:c>
      <x:c r="J836" s="34" t="n">
        <x:v>2036</x:v>
      </x:c>
      <x:c r="K836" s="34" t="n">
        <x:v>0</x:v>
      </x:c>
      <x:c r="L836" s="34" t="n">
        <x:v>0</x:v>
      </x:c>
      <x:c r="M836" s="34" t="n">
        <x:v>0.966667</x:v>
      </x:c>
      <x:c r="N836" s="34" t="n">
        <x:v>0.033333</x:v>
      </x:c>
      <x:c r="O836" s="34" t="n">
        <x:v>0</x:v>
      </x:c>
      <x:c r="P836" s="34" t="n">
        <x:v>0</x:v>
      </x:c>
      <x:c r="Q836" s="34" t="n">
        <x:v>0.1</x:v>
      </x:c>
      <x:c r="R836" s="34" t="n">
        <x:v>0</x:v>
      </x:c>
      <x:c r="S836" s="34" t="n">
        <x:v>0</x:v>
      </x:c>
      <x:c r="T836" s="34" t="n">
        <x:v>348.620862</x:v>
      </x:c>
      <x:c r="U836" s="34" t="str">
        <x:v>JFE-CHIBA:H2_DRI_EAF:2036|JFE-FUKU:H2_DRI_EAF:2033|JFE-KURA:H2_DRI_EAF:2029|JFE-SENDAI:EAF_RENEWABLE:2033</x:v>
      </x:c>
      <x:c r="V836" s="34" t="str">
        <x:v>model_generated_candidate</x:v>
      </x:c>
      <x:c r="W836" s="34" t="str">
        <x:v>Generated from disclosed-path facility calendar, technology set and template contracting assumptions; not a company-announced project</x:v>
      </x:c>
    </x:row>
    <x:row r="837">
      <x:c r="A837" s="34" t="str">
        <x:v>CAND-6740F2BE1999AB</x:v>
      </x:c>
      <x:c r="B837" s="34" t="str">
        <x:v>JFE_STEEL_JP</x:v>
      </x:c>
      <x:c r="C837" s="34" t="str">
        <x:v>JFE Steel</x:v>
      </x:c>
      <x:c r="D837" s="34" t="str">
        <x:v>P2</x:v>
      </x:c>
      <x:c r="E837" s="34" t="str">
        <x:v>지연·부분헤지</x:v>
      </x:c>
      <x:c r="F837" s="34" t="str">
        <x:v>PORT-6E49C004BA31</x:v>
      </x:c>
      <x:c r="G837" s="34" t="str">
        <x:v>DISCLOSED_PATH</x:v>
      </x:c>
      <x:c r="H837" s="34" t="n">
        <x:v>4</x:v>
      </x:c>
      <x:c r="I837" s="34" t="n">
        <x:v>2029</x:v>
      </x:c>
      <x:c r="J837" s="34" t="n">
        <x:v>2036</x:v>
      </x:c>
      <x:c r="K837" s="34" t="n">
        <x:v>0.558333</x:v>
      </x:c>
      <x:c r="L837" s="34" t="n">
        <x:v>0</x:v>
      </x:c>
      <x:c r="M837" s="34" t="n">
        <x:v>0.408333</x:v>
      </x:c>
      <x:c r="N837" s="34" t="n">
        <x:v>0.033333</x:v>
      </x:c>
      <x:c r="O837" s="34" t="n">
        <x:v>0.15</x:v>
      </x:c>
      <x:c r="P837" s="34" t="n">
        <x:v>0.1</x:v>
      </x:c>
      <x:c r="Q837" s="34" t="n">
        <x:v>0.2</x:v>
      </x:c>
      <x:c r="R837" s="34" t="n">
        <x:v>0.1</x:v>
      </x:c>
      <x:c r="S837" s="34" t="n">
        <x:v>0.01</x:v>
      </x:c>
      <x:c r="T837" s="34" t="n">
        <x:v>163.575867</x:v>
      </x:c>
      <x:c r="U837" s="34" t="str">
        <x:v>JFE-CHIBA:BF_RELINE:2036|JFE-FUKU:H2_DRI_EAF:2033|JFE-KURA:BF_RELINE:2029|JFE-SENDAI:EAF_RENEWABLE:2033</x:v>
      </x:c>
      <x:c r="V837" s="34" t="str">
        <x:v>model_generated_candidate</x:v>
      </x:c>
      <x:c r="W837" s="34" t="str">
        <x:v>Generated from disclosed-path facility calendar, technology set and template contracting assumptions; not a company-announced project</x:v>
      </x:c>
    </x:row>
    <x:row r="838">
      <x:c r="A838" s="34" t="str">
        <x:v>CAND-68030B11D579DF</x:v>
      </x:c>
      <x:c r="B838" s="34" t="str">
        <x:v>JFE_STEEL_JP</x:v>
      </x:c>
      <x:c r="C838" s="34" t="str">
        <x:v>JFE Steel</x:v>
      </x:c>
      <x:c r="D838" s="34" t="str">
        <x:v>P1</x:v>
      </x:c>
      <x:c r="E838" s="34" t="str">
        <x:v>지연·현물조달</x:v>
      </x:c>
      <x:c r="F838" s="34" t="str">
        <x:v>PORT-7BA11C62DF95</x:v>
      </x:c>
      <x:c r="G838" s="34" t="str">
        <x:v>DISCLOSED_PATH</x:v>
      </x:c>
      <x:c r="H838" s="34" t="n">
        <x:v>4</x:v>
      </x:c>
      <x:c r="I838" s="34" t="n">
        <x:v>2029</x:v>
      </x:c>
      <x:c r="J838" s="34" t="n">
        <x:v>2036</x:v>
      </x:c>
      <x:c r="K838" s="34" t="n">
        <x:v>0.408333</x:v>
      </x:c>
      <x:c r="L838" s="34" t="n">
        <x:v>0.25</x:v>
      </x:c>
      <x:c r="M838" s="34" t="n">
        <x:v>0.308333</x:v>
      </x:c>
      <x:c r="N838" s="34" t="n">
        <x:v>0.033333</x:v>
      </x:c>
      <x:c r="O838" s="34" t="n">
        <x:v>0</x:v>
      </x:c>
      <x:c r="P838" s="34" t="n">
        <x:v>0</x:v>
      </x:c>
      <x:c r="Q838" s="34" t="n">
        <x:v>0.1</x:v>
      </x:c>
      <x:c r="R838" s="34" t="n">
        <x:v>0</x:v>
      </x:c>
      <x:c r="S838" s="34" t="n">
        <x:v>0</x:v>
      </x:c>
      <x:c r="T838" s="34" t="n">
        <x:v>219.408411</x:v>
      </x:c>
      <x:c r="U838" s="34" t="str">
        <x:v>JFE-CHIBA:SCRAP_EAF:2036|JFE-FUKU:BF_RELINE:2033|JFE-KURA:H2_DRI_EAF:2029|JFE-SENDAI:EAF_RENEWABLE:2033</x:v>
      </x:c>
      <x:c r="V838" s="34" t="str">
        <x:v>model_generated_candidate</x:v>
      </x:c>
      <x:c r="W838" s="34" t="str">
        <x:v>Generated from disclosed-path facility calendar, technology set and template contracting assumptions; not a company-announced project</x:v>
      </x:c>
    </x:row>
    <x:row r="839">
      <x:c r="A839" s="34" t="str">
        <x:v>CAND-74F6415EBB9977</x:v>
      </x:c>
      <x:c r="B839" s="34" t="str">
        <x:v>JFE_STEEL_JP</x:v>
      </x:c>
      <x:c r="C839" s="34" t="str">
        <x:v>JFE Steel</x:v>
      </x:c>
      <x:c r="D839" s="34" t="str">
        <x:v>P3</x:v>
      </x:c>
      <x:c r="E839" s="34" t="str">
        <x:v>균형형 라이트헤지</x:v>
      </x:c>
      <x:c r="F839" s="34" t="str">
        <x:v>PORT-E123D45B71CC</x:v>
      </x:c>
      <x:c r="G839" s="34" t="str">
        <x:v>DISCLOSED_PATH</x:v>
      </x:c>
      <x:c r="H839" s="34" t="n">
        <x:v>4</x:v>
      </x:c>
      <x:c r="I839" s="34" t="n">
        <x:v>2029</x:v>
      </x:c>
      <x:c r="J839" s="34" t="n">
        <x:v>2036</x:v>
      </x:c>
      <x:c r="K839" s="34" t="n">
        <x:v>0.408333</x:v>
      </x:c>
      <x:c r="L839" s="34" t="n">
        <x:v>0</x:v>
      </x:c>
      <x:c r="M839" s="34" t="n">
        <x:v>0.558333</x:v>
      </x:c>
      <x:c r="N839" s="34" t="n">
        <x:v>0.033333</x:v>
      </x:c>
      <x:c r="O839" s="34" t="n">
        <x:v>0.3</x:v>
      </x:c>
      <x:c r="P839" s="34" t="n">
        <x:v>0.25</x:v>
      </x:c>
      <x:c r="Q839" s="34" t="n">
        <x:v>0.35</x:v>
      </x:c>
      <x:c r="R839" s="34" t="n">
        <x:v>0.25</x:v>
      </x:c>
      <x:c r="S839" s="34" t="n">
        <x:v>0.015</x:v>
      </x:c>
      <x:c r="T839" s="34" t="n">
        <x:v>226.220909</x:v>
      </x:c>
      <x:c r="U839" s="34" t="str">
        <x:v>JFE-CHIBA:H2_DRI_EAF:2036|JFE-FUKU:BF_RELINE:2033|JFE-KURA:H2_DRI_EAF:2029|JFE-SENDAI:EAF_RENEWABLE:2033</x:v>
      </x:c>
      <x:c r="V839" s="34" t="str">
        <x:v>model_generated_candidate</x:v>
      </x:c>
      <x:c r="W839" s="34" t="str">
        <x:v>Generated from disclosed-path facility calendar, technology set and template contracting assumptions; not a company-announced project</x:v>
      </x:c>
    </x:row>
    <x:row r="840">
      <x:c r="A840" s="34" t="str">
        <x:v>CAND-8143AC9B1B780D</x:v>
      </x:c>
      <x:c r="B840" s="34" t="str">
        <x:v>JFE_STEEL_JP</x:v>
      </x:c>
      <x:c r="C840" s="34" t="str">
        <x:v>JFE Steel</x:v>
      </x:c>
      <x:c r="D840" s="34" t="str">
        <x:v>P5</x:v>
      </x:c>
      <x:c r="E840" s="34" t="str">
        <x:v>조기 계약형 전환</x:v>
      </x:c>
      <x:c r="F840" s="34" t="str">
        <x:v>PORT-0032610F15CE</x:v>
      </x:c>
      <x:c r="G840" s="34" t="str">
        <x:v>DISCLOSED_PATH</x:v>
      </x:c>
      <x:c r="H840" s="34" t="n">
        <x:v>4</x:v>
      </x:c>
      <x:c r="I840" s="34" t="n">
        <x:v>2028</x:v>
      </x:c>
      <x:c r="J840" s="34" t="n">
        <x:v>2035</x:v>
      </x:c>
      <x:c r="K840" s="34" t="n">
        <x:v>0.25</x:v>
      </x:c>
      <x:c r="L840" s="34" t="n">
        <x:v>0</x:v>
      </x:c>
      <x:c r="M840" s="34" t="n">
        <x:v>0.716667</x:v>
      </x:c>
      <x:c r="N840" s="34" t="n">
        <x:v>0.033333</x:v>
      </x:c>
      <x:c r="O840" s="34" t="n">
        <x:v>0.7</x:v>
      </x:c>
      <x:c r="P840" s="34" t="n">
        <x:v>0.65</x:v>
      </x:c>
      <x:c r="Q840" s="34" t="n">
        <x:v>0.65</x:v>
      </x:c>
      <x:c r="R840" s="34" t="n">
        <x:v>0.6</x:v>
      </x:c>
      <x:c r="S840" s="34" t="n">
        <x:v>0.025</x:v>
      </x:c>
      <x:c r="T840" s="34" t="n">
        <x:v>334.010871</x:v>
      </x:c>
      <x:c r="U840" s="34" t="str">
        <x:v>JFE-CHIBA:BF_RELINE:2035|JFE-FUKU:H2_DRI_EAF:2032|JFE-KURA:H2_DRI_EAF:2028|JFE-SENDAI:EAF_RENEWABLE:2032</x:v>
      </x:c>
      <x:c r="V840" s="34" t="str">
        <x:v>model_generated_candidate</x:v>
      </x:c>
      <x:c r="W840" s="34" t="str">
        <x:v>Generated from disclosed-path facility calendar, technology set and template contracting assumptions; not a company-announced project</x:v>
      </x:c>
    </x:row>
    <x:row r="841">
      <x:c r="A841" s="34" t="str">
        <x:v>CAND-81AEAF431DDC0A</x:v>
      </x:c>
      <x:c r="B841" s="34" t="str">
        <x:v>JFE_STEEL_JP</x:v>
      </x:c>
      <x:c r="C841" s="34" t="str">
        <x:v>JFE Steel</x:v>
      </x:c>
      <x:c r="D841" s="34" t="str">
        <x:v>P4</x:v>
      </x:c>
      <x:c r="E841" s="34" t="str">
        <x:v>균형형 전환</x:v>
      </x:c>
      <x:c r="F841" s="34" t="str">
        <x:v>PORT-844170813924</x:v>
      </x:c>
      <x:c r="G841" s="34" t="str">
        <x:v>DISCLOSED_PATH</x:v>
      </x:c>
      <x:c r="H841" s="34" t="n">
        <x:v>4</x:v>
      </x:c>
      <x:c r="I841" s="34" t="n">
        <x:v>2028</x:v>
      </x:c>
      <x:c r="J841" s="34" t="n">
        <x:v>2035</x:v>
      </x:c>
      <x:c r="K841" s="34" t="n">
        <x:v>0</x:v>
      </x:c>
      <x:c r="L841" s="34" t="n">
        <x:v>0.25</x:v>
      </x:c>
      <x:c r="M841" s="34" t="n">
        <x:v>0.716667</x:v>
      </x:c>
      <x:c r="N841" s="34" t="n">
        <x:v>0.033333</x:v>
      </x:c>
      <x:c r="O841" s="34" t="n">
        <x:v>0.5</x:v>
      </x:c>
      <x:c r="P841" s="34" t="n">
        <x:v>0.45</x:v>
      </x:c>
      <x:c r="Q841" s="34" t="n">
        <x:v>0.5</x:v>
      </x:c>
      <x:c r="R841" s="34" t="n">
        <x:v>0.4</x:v>
      </x:c>
      <x:c r="S841" s="34" t="n">
        <x:v>0.02</x:v>
      </x:c>
      <x:c r="T841" s="34" t="n">
        <x:v>381.425854</x:v>
      </x:c>
      <x:c r="U841" s="34" t="str">
        <x:v>JFE-CHIBA:SCRAP_EAF:2035|JFE-FUKU:H2_DRI_EAF:2032|JFE-KURA:H2_DRI_EAF:2028|JFE-SENDAI:EAF_RENEWABLE:2032</x:v>
      </x:c>
      <x:c r="V841" s="34" t="str">
        <x:v>model_generated_candidate</x:v>
      </x:c>
      <x:c r="W841" s="34" t="str">
        <x:v>Generated from disclosed-path facility calendar, technology set and template contracting assumptions; not a company-announced project</x:v>
      </x:c>
    </x:row>
    <x:row r="842">
      <x:c r="A842" s="34" t="str">
        <x:v>CAND-82646489D4D4D1</x:v>
      </x:c>
      <x:c r="B842" s="34" t="str">
        <x:v>JFE_STEEL_JP</x:v>
      </x:c>
      <x:c r="C842" s="34" t="str">
        <x:v>JFE Steel</x:v>
      </x:c>
      <x:c r="D842" s="34" t="str">
        <x:v>P2</x:v>
      </x:c>
      <x:c r="E842" s="34" t="str">
        <x:v>지연·부분헤지</x:v>
      </x:c>
      <x:c r="F842" s="34" t="str">
        <x:v>PORT-25A7E18292F6</x:v>
      </x:c>
      <x:c r="G842" s="34" t="str">
        <x:v>DISCLOSED_PATH</x:v>
      </x:c>
      <x:c r="H842" s="34" t="n">
        <x:v>4</x:v>
      </x:c>
      <x:c r="I842" s="34" t="n">
        <x:v>2029</x:v>
      </x:c>
      <x:c r="J842" s="34" t="n">
        <x:v>2036</x:v>
      </x:c>
      <x:c r="K842" s="34" t="n">
        <x:v>0</x:v>
      </x:c>
      <x:c r="L842" s="34" t="n">
        <x:v>0.716667</x:v>
      </x:c>
      <x:c r="M842" s="34" t="n">
        <x:v>0.25</x:v>
      </x:c>
      <x:c r="N842" s="34" t="n">
        <x:v>0.033333</x:v>
      </x:c>
      <x:c r="O842" s="34" t="n">
        <x:v>0.15</x:v>
      </x:c>
      <x:c r="P842" s="34" t="n">
        <x:v>0.1</x:v>
      </x:c>
      <x:c r="Q842" s="34" t="n">
        <x:v>0.2</x:v>
      </x:c>
      <x:c r="R842" s="34" t="n">
        <x:v>0.1</x:v>
      </x:c>
      <x:c r="S842" s="34" t="n">
        <x:v>0.01</x:v>
      </x:c>
      <x:c r="T842" s="34" t="n">
        <x:v>310.220867</x:v>
      </x:c>
      <x:c r="U842" s="34" t="str">
        <x:v>JFE-CHIBA:H2_DRI_EAF:2036|JFE-FUKU:SCRAP_EAF:2033|JFE-KURA:SCRAP_EAF:2029|JFE-SENDAI:EAF_RENEWABLE:2033</x:v>
      </x:c>
      <x:c r="V842" s="34" t="str">
        <x:v>model_generated_candidate</x:v>
      </x:c>
      <x:c r="W842" s="34" t="str">
        <x:v>Generated from disclosed-path facility calendar, technology set and template contracting assumptions; not a company-announced project</x:v>
      </x:c>
    </x:row>
    <x:row r="843">
      <x:c r="A843" s="34" t="str">
        <x:v>CAND-8A107782070451</x:v>
      </x:c>
      <x:c r="B843" s="34" t="str">
        <x:v>JFE_STEEL_JP</x:v>
      </x:c>
      <x:c r="C843" s="34" t="str">
        <x:v>JFE Steel</x:v>
      </x:c>
      <x:c r="D843" s="34" t="str">
        <x:v>P4</x:v>
      </x:c>
      <x:c r="E843" s="34" t="str">
        <x:v>균형형 전환</x:v>
      </x:c>
      <x:c r="F843" s="34" t="str">
        <x:v>PORT-0032610F15CE</x:v>
      </x:c>
      <x:c r="G843" s="34" t="str">
        <x:v>DISCLOSED_PATH</x:v>
      </x:c>
      <x:c r="H843" s="34" t="n">
        <x:v>4</x:v>
      </x:c>
      <x:c r="I843" s="34" t="n">
        <x:v>2028</x:v>
      </x:c>
      <x:c r="J843" s="34" t="n">
        <x:v>2035</x:v>
      </x:c>
      <x:c r="K843" s="34" t="n">
        <x:v>0.25</x:v>
      </x:c>
      <x:c r="L843" s="34" t="n">
        <x:v>0</x:v>
      </x:c>
      <x:c r="M843" s="34" t="n">
        <x:v>0.716667</x:v>
      </x:c>
      <x:c r="N843" s="34" t="n">
        <x:v>0.033333</x:v>
      </x:c>
      <x:c r="O843" s="34" t="n">
        <x:v>0.5</x:v>
      </x:c>
      <x:c r="P843" s="34" t="n">
        <x:v>0.45</x:v>
      </x:c>
      <x:c r="Q843" s="34" t="n">
        <x:v>0.5</x:v>
      </x:c>
      <x:c r="R843" s="34" t="n">
        <x:v>0.4</x:v>
      </x:c>
      <x:c r="S843" s="34" t="n">
        <x:v>0.02</x:v>
      </x:c>
      <x:c r="T843" s="34" t="n">
        <x:v>334.010871</x:v>
      </x:c>
      <x:c r="U843" s="34" t="str">
        <x:v>JFE-CHIBA:BF_RELINE:2035|JFE-FUKU:H2_DRI_EAF:2032|JFE-KURA:H2_DRI_EAF:2028|JFE-SENDAI:EAF_RENEWABLE:2032</x:v>
      </x:c>
      <x:c r="V843" s="34" t="str">
        <x:v>model_generated_candidate</x:v>
      </x:c>
      <x:c r="W843" s="34" t="str">
        <x:v>Generated from disclosed-path facility calendar, technology set and template contracting assumptions; not a company-announced project</x:v>
      </x:c>
    </x:row>
    <x:row r="844">
      <x:c r="A844" s="34" t="str">
        <x:v>CAND-8A2CE57122B1A0</x:v>
      </x:c>
      <x:c r="B844" s="34" t="str">
        <x:v>JFE_STEEL_JP</x:v>
      </x:c>
      <x:c r="C844" s="34" t="str">
        <x:v>JFE Steel</x:v>
      </x:c>
      <x:c r="D844" s="34" t="str">
        <x:v>P1</x:v>
      </x:c>
      <x:c r="E844" s="34" t="str">
        <x:v>지연·현물조달</x:v>
      </x:c>
      <x:c r="F844" s="34" t="str">
        <x:v>PORT-1741394F78A8</x:v>
      </x:c>
      <x:c r="G844" s="34" t="str">
        <x:v>DISCLOSED_PATH</x:v>
      </x:c>
      <x:c r="H844" s="34" t="n">
        <x:v>4</x:v>
      </x:c>
      <x:c r="I844" s="34" t="n">
        <x:v>2029</x:v>
      </x:c>
      <x:c r="J844" s="34" t="n">
        <x:v>2036</x:v>
      </x:c>
      <x:c r="K844" s="34" t="n">
        <x:v>0.408333</x:v>
      </x:c>
      <x:c r="L844" s="34" t="n">
        <x:v>0.558333</x:v>
      </x:c>
      <x:c r="M844" s="34" t="n">
        <x:v>0</x:v>
      </x:c>
      <x:c r="N844" s="34" t="n">
        <x:v>0.033333</x:v>
      </x:c>
      <x:c r="O844" s="34" t="n">
        <x:v>0</x:v>
      </x:c>
      <x:c r="P844" s="34" t="n">
        <x:v>0</x:v>
      </x:c>
      <x:c r="Q844" s="34" t="n">
        <x:v>0.1</x:v>
      </x:c>
      <x:c r="R844" s="34" t="n">
        <x:v>0</x:v>
      </x:c>
      <x:c r="S844" s="34" t="n">
        <x:v>0</x:v>
      </x:c>
      <x:c r="T844" s="34" t="n">
        <x:v>199.008409</x:v>
      </x:c>
      <x:c r="U844" s="34" t="str">
        <x:v>JFE-CHIBA:SCRAP_EAF:2036|JFE-FUKU:BF_RELINE:2033|JFE-KURA:SCRAP_EAF:2029|JFE-SENDAI:EAF_RENEWABLE:2033</x:v>
      </x:c>
      <x:c r="V844" s="34" t="str">
        <x:v>model_generated_candidate</x:v>
      </x:c>
      <x:c r="W844" s="34" t="str">
        <x:v>Generated from disclosed-path facility calendar, technology set and template contracting assumptions; not a company-announced project</x:v>
      </x:c>
    </x:row>
    <x:row r="845">
      <x:c r="A845" s="34" t="str">
        <x:v>CAND-8DC42B3C7EA2DB</x:v>
      </x:c>
      <x:c r="B845" s="34" t="str">
        <x:v>JFE_STEEL_JP</x:v>
      </x:c>
      <x:c r="C845" s="34" t="str">
        <x:v>JFE Steel</x:v>
      </x:c>
      <x:c r="D845" s="34" t="str">
        <x:v>P2</x:v>
      </x:c>
      <x:c r="E845" s="34" t="str">
        <x:v>지연·부분헤지</x:v>
      </x:c>
      <x:c r="F845" s="34" t="str">
        <x:v>PORT-E123D45B71CC</x:v>
      </x:c>
      <x:c r="G845" s="34" t="str">
        <x:v>DISCLOSED_PATH</x:v>
      </x:c>
      <x:c r="H845" s="34" t="n">
        <x:v>4</x:v>
      </x:c>
      <x:c r="I845" s="34" t="n">
        <x:v>2029</x:v>
      </x:c>
      <x:c r="J845" s="34" t="n">
        <x:v>2036</x:v>
      </x:c>
      <x:c r="K845" s="34" t="n">
        <x:v>0.408333</x:v>
      </x:c>
      <x:c r="L845" s="34" t="n">
        <x:v>0</x:v>
      </x:c>
      <x:c r="M845" s="34" t="n">
        <x:v>0.558333</x:v>
      </x:c>
      <x:c r="N845" s="34" t="n">
        <x:v>0.033333</x:v>
      </x:c>
      <x:c r="O845" s="34" t="n">
        <x:v>0.15</x:v>
      </x:c>
      <x:c r="P845" s="34" t="n">
        <x:v>0.1</x:v>
      </x:c>
      <x:c r="Q845" s="34" t="n">
        <x:v>0.2</x:v>
      </x:c>
      <x:c r="R845" s="34" t="n">
        <x:v>0.1</x:v>
      </x:c>
      <x:c r="S845" s="34" t="n">
        <x:v>0.01</x:v>
      </x:c>
      <x:c r="T845" s="34" t="n">
        <x:v>226.220909</x:v>
      </x:c>
      <x:c r="U845" s="34" t="str">
        <x:v>JFE-CHIBA:H2_DRI_EAF:2036|JFE-FUKU:BF_RELINE:2033|JFE-KURA:H2_DRI_EAF:2029|JFE-SENDAI:EAF_RENEWABLE:2033</x:v>
      </x:c>
      <x:c r="V845" s="34" t="str">
        <x:v>model_generated_candidate</x:v>
      </x:c>
      <x:c r="W845" s="34" t="str">
        <x:v>Generated from disclosed-path facility calendar, technology set and template contracting assumptions; not a company-announced project</x:v>
      </x:c>
    </x:row>
    <x:row r="846">
      <x:c r="A846" s="34" t="str">
        <x:v>CAND-8F0E9CFE80824D</x:v>
      </x:c>
      <x:c r="B846" s="34" t="str">
        <x:v>JFE_STEEL_JP</x:v>
      </x:c>
      <x:c r="C846" s="34" t="str">
        <x:v>JFE Steel</x:v>
      </x:c>
      <x:c r="D846" s="34" t="str">
        <x:v>P6</x:v>
      </x:c>
      <x:c r="E846" s="34" t="str">
        <x:v>조기 고헤지</x:v>
      </x:c>
      <x:c r="F846" s="34" t="str">
        <x:v>PORT-576B945395C2</x:v>
      </x:c>
      <x:c r="G846" s="34" t="str">
        <x:v>DISCLOSED_PATH</x:v>
      </x:c>
      <x:c r="H846" s="34" t="n">
        <x:v>4</x:v>
      </x:c>
      <x:c r="I846" s="34" t="n">
        <x:v>2028</x:v>
      </x:c>
      <x:c r="J846" s="34" t="n">
        <x:v>2034</x:v>
      </x:c>
      <x:c r="K846" s="34" t="n">
        <x:v>0</x:v>
      </x:c>
      <x:c r="L846" s="34" t="n">
        <x:v>0</x:v>
      </x:c>
      <x:c r="M846" s="34" t="n">
        <x:v>0.966667</x:v>
      </x:c>
      <x:c r="N846" s="34" t="n">
        <x:v>0.033333</x:v>
      </x:c>
      <x:c r="O846" s="34" t="n">
        <x:v>0.9</x:v>
      </x:c>
      <x:c r="P846" s="34" t="n">
        <x:v>0.85</x:v>
      </x:c>
      <x:c r="Q846" s="34" t="n">
        <x:v>0.85</x:v>
      </x:c>
      <x:c r="R846" s="34" t="n">
        <x:v>0.8</x:v>
      </x:c>
      <x:c r="S846" s="34" t="n">
        <x:v>0.035</x:v>
      </x:c>
      <x:c r="T846" s="34" t="n">
        <x:v>417.556839</x:v>
      </x:c>
      <x:c r="U846" s="34" t="str">
        <x:v>JFE-CHIBA:H2_DRI_EAF:2034|JFE-FUKU:H2_DRI_EAF:2031|JFE-KURA:H2_DRI_EAF:2028|JFE-SENDAI:EAF_RENEWABLE:2031</x:v>
      </x:c>
      <x:c r="V846" s="34" t="str">
        <x:v>model_generated_candidate</x:v>
      </x:c>
      <x:c r="W846" s="34" t="str">
        <x:v>Generated from disclosed-path facility calendar, technology set and template contracting assumptions; not a company-announced project</x:v>
      </x:c>
    </x:row>
    <x:row r="847">
      <x:c r="A847" s="34" t="str">
        <x:v>CAND-942FF71D4F4188</x:v>
      </x:c>
      <x:c r="B847" s="34" t="str">
        <x:v>JFE_STEEL_JP</x:v>
      </x:c>
      <x:c r="C847" s="34" t="str">
        <x:v>JFE Steel</x:v>
      </x:c>
      <x:c r="D847" s="34" t="str">
        <x:v>P4</x:v>
      </x:c>
      <x:c r="E847" s="34" t="str">
        <x:v>균형형 전환</x:v>
      </x:c>
      <x:c r="F847" s="34" t="str">
        <x:v>PORT-2883A9539B06</x:v>
      </x:c>
      <x:c r="G847" s="34" t="str">
        <x:v>DISCLOSED_PATH</x:v>
      </x:c>
      <x:c r="H847" s="34" t="n">
        <x:v>4</x:v>
      </x:c>
      <x:c r="I847" s="34" t="n">
        <x:v>2028</x:v>
      </x:c>
      <x:c r="J847" s="34" t="n">
        <x:v>2035</x:v>
      </x:c>
      <x:c r="K847" s="34" t="n">
        <x:v>0</x:v>
      </x:c>
      <x:c r="L847" s="34" t="n">
        <x:v>0.308333</x:v>
      </x:c>
      <x:c r="M847" s="34" t="n">
        <x:v>0.658333</x:v>
      </x:c>
      <x:c r="N847" s="34" t="n">
        <x:v>0.033333</x:v>
      </x:c>
      <x:c r="O847" s="34" t="n">
        <x:v>0.5</x:v>
      </x:c>
      <x:c r="P847" s="34" t="n">
        <x:v>0.45</x:v>
      </x:c>
      <x:c r="Q847" s="34" t="n">
        <x:v>0.5</x:v>
      </x:c>
      <x:c r="R847" s="34" t="n">
        <x:v>0.4</x:v>
      </x:c>
      <x:c r="S847" s="34" t="n">
        <x:v>0.02</x:v>
      </x:c>
      <x:c r="T847" s="34" t="n">
        <x:v>367.500849</x:v>
      </x:c>
      <x:c r="U847" s="34" t="str">
        <x:v>JFE-CHIBA:H2_DRI_EAF:2035|JFE-FUKU:H2_DRI_EAF:2032|JFE-KURA:SCRAP_EAF:2028|JFE-SENDAI:EAF_RENEWABLE:2032</x:v>
      </x:c>
      <x:c r="V847" s="34" t="str">
        <x:v>model_generated_candidate</x:v>
      </x:c>
      <x:c r="W847" s="34" t="str">
        <x:v>Generated from disclosed-path facility calendar, technology set and template contracting assumptions; not a company-announced project</x:v>
      </x:c>
    </x:row>
    <x:row r="848">
      <x:c r="A848" s="34" t="str">
        <x:v>CAND-94E38421D8FAE7</x:v>
      </x:c>
      <x:c r="B848" s="34" t="str">
        <x:v>JFE_STEEL_JP</x:v>
      </x:c>
      <x:c r="C848" s="34" t="str">
        <x:v>JFE Steel</x:v>
      </x:c>
      <x:c r="D848" s="34" t="str">
        <x:v>P1</x:v>
      </x:c>
      <x:c r="E848" s="34" t="str">
        <x:v>지연·현물조달</x:v>
      </x:c>
      <x:c r="F848" s="34" t="str">
        <x:v>PORT-36B22CA0D026</x:v>
      </x:c>
      <x:c r="G848" s="34" t="str">
        <x:v>DISCLOSED_PATH</x:v>
      </x:c>
      <x:c r="H848" s="34" t="n">
        <x:v>4</x:v>
      </x:c>
      <x:c r="I848" s="34" t="n">
        <x:v>2029</x:v>
      </x:c>
      <x:c r="J848" s="34" t="n">
        <x:v>2036</x:v>
      </x:c>
      <x:c r="K848" s="34" t="n">
        <x:v>0.658333</x:v>
      </x:c>
      <x:c r="L848" s="34" t="n">
        <x:v>0.308333</x:v>
      </x:c>
      <x:c r="M848" s="34" t="n">
        <x:v>0</x:v>
      </x:c>
      <x:c r="N848" s="34" t="n">
        <x:v>0.033333</x:v>
      </x:c>
      <x:c r="O848" s="34" t="n">
        <x:v>0</x:v>
      </x:c>
      <x:c r="P848" s="34" t="n">
        <x:v>0</x:v>
      </x:c>
      <x:c r="Q848" s="34" t="n">
        <x:v>0.1</x:v>
      </x:c>
      <x:c r="R848" s="34" t="n">
        <x:v>0</x:v>
      </x:c>
      <x:c r="S848" s="34" t="n">
        <x:v>0</x:v>
      </x:c>
      <x:c r="T848" s="34" t="n">
        <x:v>159.495924</x:v>
      </x:c>
      <x:c r="U848" s="34" t="str">
        <x:v>JFE-CHIBA:BF_RELINE:2036|JFE-FUKU:BF_RELINE:2033|JFE-KURA:SCRAP_EAF:2029|JFE-SENDAI:EAF_RENEWABLE:2033</x:v>
      </x:c>
      <x:c r="V848" s="34" t="str">
        <x:v>model_generated_candidate</x:v>
      </x:c>
      <x:c r="W848" s="34" t="str">
        <x:v>Generated from disclosed-path facility calendar, technology set and template contracting assumptions; not a company-announced project</x:v>
      </x:c>
    </x:row>
    <x:row r="849">
      <x:c r="A849" s="34" t="str">
        <x:v>CAND-953F1AFEF37202</x:v>
      </x:c>
      <x:c r="B849" s="34" t="str">
        <x:v>JFE_STEEL_JP</x:v>
      </x:c>
      <x:c r="C849" s="34" t="str">
        <x:v>JFE Steel</x:v>
      </x:c>
      <x:c r="D849" s="34" t="str">
        <x:v>P1</x:v>
      </x:c>
      <x:c r="E849" s="34" t="str">
        <x:v>지연·현물조달</x:v>
      </x:c>
      <x:c r="F849" s="34" t="str">
        <x:v>PORT-6E49C004BA31</x:v>
      </x:c>
      <x:c r="G849" s="34" t="str">
        <x:v>DISCLOSED_PATH</x:v>
      </x:c>
      <x:c r="H849" s="34" t="n">
        <x:v>4</x:v>
      </x:c>
      <x:c r="I849" s="34" t="n">
        <x:v>2029</x:v>
      </x:c>
      <x:c r="J849" s="34" t="n">
        <x:v>2036</x:v>
      </x:c>
      <x:c r="K849" s="34" t="n">
        <x:v>0.558333</x:v>
      </x:c>
      <x:c r="L849" s="34" t="n">
        <x:v>0</x:v>
      </x:c>
      <x:c r="M849" s="34" t="n">
        <x:v>0.408333</x:v>
      </x:c>
      <x:c r="N849" s="34" t="n">
        <x:v>0.033333</x:v>
      </x:c>
      <x:c r="O849" s="34" t="n">
        <x:v>0</x:v>
      </x:c>
      <x:c r="P849" s="34" t="n">
        <x:v>0</x:v>
      </x:c>
      <x:c r="Q849" s="34" t="n">
        <x:v>0.1</x:v>
      </x:c>
      <x:c r="R849" s="34" t="n">
        <x:v>0</x:v>
      </x:c>
      <x:c r="S849" s="34" t="n">
        <x:v>0</x:v>
      </x:c>
      <x:c r="T849" s="34" t="n">
        <x:v>163.575867</x:v>
      </x:c>
      <x:c r="U849" s="34" t="str">
        <x:v>JFE-CHIBA:BF_RELINE:2036|JFE-FUKU:H2_DRI_EAF:2033|JFE-KURA:BF_RELINE:2029|JFE-SENDAI:EAF_RENEWABLE:2033</x:v>
      </x:c>
      <x:c r="V849" s="34" t="str">
        <x:v>model_generated_candidate</x:v>
      </x:c>
      <x:c r="W849" s="34" t="str">
        <x:v>Generated from disclosed-path facility calendar, technology set and template contracting assumptions; not a company-announced project</x:v>
      </x:c>
    </x:row>
    <x:row r="850">
      <x:c r="A850" s="34" t="str">
        <x:v>CAND-A735954AF09420</x:v>
      </x:c>
      <x:c r="B850" s="34" t="str">
        <x:v>JFE_STEEL_JP</x:v>
      </x:c>
      <x:c r="C850" s="34" t="str">
        <x:v>JFE Steel</x:v>
      </x:c>
      <x:c r="D850" s="34" t="str">
        <x:v>P3</x:v>
      </x:c>
      <x:c r="E850" s="34" t="str">
        <x:v>균형형 라이트헤지</x:v>
      </x:c>
      <x:c r="F850" s="34" t="str">
        <x:v>PORT-CCD4397FA6D4</x:v>
      </x:c>
      <x:c r="G850" s="34" t="str">
        <x:v>DISCLOSED_PATH</x:v>
      </x:c>
      <x:c r="H850" s="34" t="n">
        <x:v>4</x:v>
      </x:c>
      <x:c r="I850" s="34" t="n">
        <x:v>2029</x:v>
      </x:c>
      <x:c r="J850" s="34" t="n">
        <x:v>2036</x:v>
      </x:c>
      <x:c r="K850" s="34" t="n">
        <x:v>0.25</x:v>
      </x:c>
      <x:c r="L850" s="34" t="n">
        <x:v>0.308333</x:v>
      </x:c>
      <x:c r="M850" s="34" t="n">
        <x:v>0.408333</x:v>
      </x:c>
      <x:c r="N850" s="34" t="n">
        <x:v>0.033333</x:v>
      </x:c>
      <x:c r="O850" s="34" t="n">
        <x:v>0.3</x:v>
      </x:c>
      <x:c r="P850" s="34" t="n">
        <x:v>0.25</x:v>
      </x:c>
      <x:c r="Q850" s="34" t="n">
        <x:v>0.35</x:v>
      </x:c>
      <x:c r="R850" s="34" t="n">
        <x:v>0.25</x:v>
      </x:c>
      <x:c r="S850" s="34" t="n">
        <x:v>0.015</x:v>
      </x:c>
      <x:c r="T850" s="34" t="n">
        <x:v>281.895878</x:v>
      </x:c>
      <x:c r="U850" s="34" t="str">
        <x:v>JFE-CHIBA:BF_RELINE:2036|JFE-FUKU:H2_DRI_EAF:2033|JFE-KURA:SCRAP_EAF:2029|JFE-SENDAI:EAF_RENEWABLE:2033</x:v>
      </x:c>
      <x:c r="V850" s="34" t="str">
        <x:v>model_generated_candidate</x:v>
      </x:c>
      <x:c r="W850" s="34" t="str">
        <x:v>Generated from disclosed-path facility calendar, technology set and template contracting assumptions; not a company-announced project</x:v>
      </x:c>
    </x:row>
    <x:row r="851">
      <x:c r="A851" s="34" t="str">
        <x:v>CAND-AE1C3F48385E3F</x:v>
      </x:c>
      <x:c r="B851" s="34" t="str">
        <x:v>JFE_STEEL_JP</x:v>
      </x:c>
      <x:c r="C851" s="34" t="str">
        <x:v>JFE Steel</x:v>
      </x:c>
      <x:c r="D851" s="34" t="str">
        <x:v>P5</x:v>
      </x:c>
      <x:c r="E851" s="34" t="str">
        <x:v>조기 계약형 전환</x:v>
      </x:c>
      <x:c r="F851" s="34" t="str">
        <x:v>PORT-2883A9539B06</x:v>
      </x:c>
      <x:c r="G851" s="34" t="str">
        <x:v>DISCLOSED_PATH</x:v>
      </x:c>
      <x:c r="H851" s="34" t="n">
        <x:v>4</x:v>
      </x:c>
      <x:c r="I851" s="34" t="n">
        <x:v>2028</x:v>
      </x:c>
      <x:c r="J851" s="34" t="n">
        <x:v>2035</x:v>
      </x:c>
      <x:c r="K851" s="34" t="n">
        <x:v>0</x:v>
      </x:c>
      <x:c r="L851" s="34" t="n">
        <x:v>0.308333</x:v>
      </x:c>
      <x:c r="M851" s="34" t="n">
        <x:v>0.658333</x:v>
      </x:c>
      <x:c r="N851" s="34" t="n">
        <x:v>0.033333</x:v>
      </x:c>
      <x:c r="O851" s="34" t="n">
        <x:v>0.7</x:v>
      </x:c>
      <x:c r="P851" s="34" t="n">
        <x:v>0.65</x:v>
      </x:c>
      <x:c r="Q851" s="34" t="n">
        <x:v>0.65</x:v>
      </x:c>
      <x:c r="R851" s="34" t="n">
        <x:v>0.6</x:v>
      </x:c>
      <x:c r="S851" s="34" t="n">
        <x:v>0.025</x:v>
      </x:c>
      <x:c r="T851" s="34" t="n">
        <x:v>367.500849</x:v>
      </x:c>
      <x:c r="U851" s="34" t="str">
        <x:v>JFE-CHIBA:H2_DRI_EAF:2035|JFE-FUKU:H2_DRI_EAF:2032|JFE-KURA:SCRAP_EAF:2028|JFE-SENDAI:EAF_RENEWABLE:2032</x:v>
      </x:c>
      <x:c r="V851" s="34" t="str">
        <x:v>model_generated_candidate</x:v>
      </x:c>
      <x:c r="W851" s="34" t="str">
        <x:v>Generated from disclosed-path facility calendar, technology set and template contracting assumptions; not a company-announced project</x:v>
      </x:c>
    </x:row>
    <x:row r="852">
      <x:c r="A852" s="34" t="str">
        <x:v>CAND-AFB45421E864E1</x:v>
      </x:c>
      <x:c r="B852" s="34" t="str">
        <x:v>JFE_STEEL_JP</x:v>
      </x:c>
      <x:c r="C852" s="34" t="str">
        <x:v>JFE Steel</x:v>
      </x:c>
      <x:c r="D852" s="34" t="str">
        <x:v>P3</x:v>
      </x:c>
      <x:c r="E852" s="34" t="str">
        <x:v>균형형 라이트헤지</x:v>
      </x:c>
      <x:c r="F852" s="34" t="str">
        <x:v>PORT-48EB0158352D</x:v>
      </x:c>
      <x:c r="G852" s="34" t="str">
        <x:v>DISCLOSED_PATH</x:v>
      </x:c>
      <x:c r="H852" s="34" t="n">
        <x:v>4</x:v>
      </x:c>
      <x:c r="I852" s="34" t="n">
        <x:v>2029</x:v>
      </x:c>
      <x:c r="J852" s="34" t="n">
        <x:v>2036</x:v>
      </x:c>
      <x:c r="K852" s="34" t="n">
        <x:v>0.308333</x:v>
      </x:c>
      <x:c r="L852" s="34" t="n">
        <x:v>0</x:v>
      </x:c>
      <x:c r="M852" s="34" t="n">
        <x:v>0.658333</x:v>
      </x:c>
      <x:c r="N852" s="34" t="n">
        <x:v>0.033333</x:v>
      </x:c>
      <x:c r="O852" s="34" t="n">
        <x:v>0.3</x:v>
      </x:c>
      <x:c r="P852" s="34" t="n">
        <x:v>0.25</x:v>
      </x:c>
      <x:c r="Q852" s="34" t="n">
        <x:v>0.35</x:v>
      </x:c>
      <x:c r="R852" s="34" t="n">
        <x:v>0.25</x:v>
      </x:c>
      <x:c r="S852" s="34" t="n">
        <x:v>0.015</x:v>
      </x:c>
      <x:c r="T852" s="34" t="n">
        <x:v>209.90085</x:v>
      </x:c>
      <x:c r="U852" s="34" t="str">
        <x:v>JFE-CHIBA:H2_DRI_EAF:2036|JFE-FUKU:H2_DRI_EAF:2033|JFE-KURA:BF_RELINE:2029|JFE-SENDAI:EAF_RENEWABLE:2033</x:v>
      </x:c>
      <x:c r="V852" s="34" t="str">
        <x:v>model_generated_candidate</x:v>
      </x:c>
      <x:c r="W852" s="34" t="str">
        <x:v>Generated from disclosed-path facility calendar, technology set and template contracting assumptions; not a company-announced project</x:v>
      </x:c>
    </x:row>
    <x:row r="853">
      <x:c r="A853" s="34" t="str">
        <x:v>CAND-B210B35AD45FF1</x:v>
      </x:c>
      <x:c r="B853" s="34" t="str">
        <x:v>JFE_STEEL_JP</x:v>
      </x:c>
      <x:c r="C853" s="34" t="str">
        <x:v>JFE Steel</x:v>
      </x:c>
      <x:c r="D853" s="34" t="str">
        <x:v>P1</x:v>
      </x:c>
      <x:c r="E853" s="34" t="str">
        <x:v>지연·현물조달</x:v>
      </x:c>
      <x:c r="F853" s="34" t="str">
        <x:v>PORT-263958B6D89F</x:v>
      </x:c>
      <x:c r="G853" s="34" t="str">
        <x:v>DISCLOSED_PATH</x:v>
      </x:c>
      <x:c r="H853" s="34" t="n">
        <x:v>4</x:v>
      </x:c>
      <x:c r="I853" s="34" t="n">
        <x:v>2029</x:v>
      </x:c>
      <x:c r="J853" s="34" t="n">
        <x:v>2036</x:v>
      </x:c>
      <x:c r="K853" s="34" t="n">
        <x:v>0.716667</x:v>
      </x:c>
      <x:c r="L853" s="34" t="n">
        <x:v>0.25</x:v>
      </x:c>
      <x:c r="M853" s="34" t="n">
        <x:v>0</x:v>
      </x:c>
      <x:c r="N853" s="34" t="n">
        <x:v>0.033333</x:v>
      </x:c>
      <x:c r="O853" s="34" t="n">
        <x:v>0</x:v>
      </x:c>
      <x:c r="P853" s="34" t="n">
        <x:v>0</x:v>
      </x:c>
      <x:c r="Q853" s="34" t="n">
        <x:v>0.1</x:v>
      </x:c>
      <x:c r="R853" s="34" t="n">
        <x:v>0</x:v>
      </x:c>
      <x:c r="S853" s="34" t="n">
        <x:v>0</x:v>
      </x:c>
      <x:c r="T853" s="34" t="n">
        <x:v>80.688399</x:v>
      </x:c>
      <x:c r="U853" s="34" t="str">
        <x:v>JFE-CHIBA:SCRAP_EAF:2036|JFE-FUKU:BF_RELINE:2033|JFE-KURA:BF_RELINE:2029|JFE-SENDAI:EAF_RENEWABLE:2033</x:v>
      </x:c>
      <x:c r="V853" s="34" t="str">
        <x:v>model_generated_candidate</x:v>
      </x:c>
      <x:c r="W853" s="34" t="str">
        <x:v>Generated from disclosed-path facility calendar, technology set and template contracting assumptions; not a company-announced project</x:v>
      </x:c>
    </x:row>
    <x:row r="854">
      <x:c r="A854" s="34" t="str">
        <x:v>CAND-B38C1D7FD5CCAE</x:v>
      </x:c>
      <x:c r="B854" s="34" t="str">
        <x:v>JFE_STEEL_JP</x:v>
      </x:c>
      <x:c r="C854" s="34" t="str">
        <x:v>JFE Steel</x:v>
      </x:c>
      <x:c r="D854" s="34" t="str">
        <x:v>P3</x:v>
      </x:c>
      <x:c r="E854" s="34" t="str">
        <x:v>균형형 라이트헤지</x:v>
      </x:c>
      <x:c r="F854" s="34" t="str">
        <x:v>PORT-7C1FC602A00B</x:v>
      </x:c>
      <x:c r="G854" s="34" t="str">
        <x:v>DISCLOSED_PATH</x:v>
      </x:c>
      <x:c r="H854" s="34" t="n">
        <x:v>4</x:v>
      </x:c>
      <x:c r="I854" s="34" t="n">
        <x:v>2029</x:v>
      </x:c>
      <x:c r="J854" s="34" t="n">
        <x:v>2036</x:v>
      </x:c>
      <x:c r="K854" s="34" t="n">
        <x:v>0</x:v>
      </x:c>
      <x:c r="L854" s="34" t="n">
        <x:v>0.25</x:v>
      </x:c>
      <x:c r="M854" s="34" t="n">
        <x:v>0.716667</x:v>
      </x:c>
      <x:c r="N854" s="34" t="n">
        <x:v>0.033333</x:v>
      </x:c>
      <x:c r="O854" s="34" t="n">
        <x:v>0.3</x:v>
      </x:c>
      <x:c r="P854" s="34" t="n">
        <x:v>0.25</x:v>
      </x:c>
      <x:c r="Q854" s="34" t="n">
        <x:v>0.35</x:v>
      </x:c>
      <x:c r="R854" s="34" t="n">
        <x:v>0.25</x:v>
      </x:c>
      <x:c r="S854" s="34" t="n">
        <x:v>0.015</x:v>
      </x:c>
      <x:c r="T854" s="34" t="n">
        <x:v>341.808365</x:v>
      </x:c>
      <x:c r="U854" s="34" t="str">
        <x:v>JFE-CHIBA:SCRAP_EAF:2036|JFE-FUKU:H2_DRI_EAF:2033|JFE-KURA:H2_DRI_EAF:2029|JFE-SENDAI:EAF_RENEWABLE:2033</x:v>
      </x:c>
      <x:c r="V854" s="34" t="str">
        <x:v>model_generated_candidate</x:v>
      </x:c>
      <x:c r="W854" s="34" t="str">
        <x:v>Generated from disclosed-path facility calendar, technology set and template contracting assumptions; not a company-announced project</x:v>
      </x:c>
    </x:row>
    <x:row r="855">
      <x:c r="A855" s="34" t="str">
        <x:v>CAND-B4CBF9F7B55581</x:v>
      </x:c>
      <x:c r="B855" s="34" t="str">
        <x:v>JFE_STEEL_JP</x:v>
      </x:c>
      <x:c r="C855" s="34" t="str">
        <x:v>JFE Steel</x:v>
      </x:c>
      <x:c r="D855" s="34" t="str">
        <x:v>P3</x:v>
      </x:c>
      <x:c r="E855" s="34" t="str">
        <x:v>균형형 라이트헤지</x:v>
      </x:c>
      <x:c r="F855" s="34" t="str">
        <x:v>PORT-7F45069F34E3</x:v>
      </x:c>
      <x:c r="G855" s="34" t="str">
        <x:v>DISCLOSED_PATH</x:v>
      </x:c>
      <x:c r="H855" s="34" t="n">
        <x:v>4</x:v>
      </x:c>
      <x:c r="I855" s="34" t="n">
        <x:v>2029</x:v>
      </x:c>
      <x:c r="J855" s="34" t="n">
        <x:v>2036</x:v>
      </x:c>
      <x:c r="K855" s="34" t="n">
        <x:v>0.308333</x:v>
      </x:c>
      <x:c r="L855" s="34" t="n">
        <x:v>0.25</x:v>
      </x:c>
      <x:c r="M855" s="34" t="n">
        <x:v>0.408333</x:v>
      </x:c>
      <x:c r="N855" s="34" t="n">
        <x:v>0.033333</x:v>
      </x:c>
      <x:c r="O855" s="34" t="n">
        <x:v>0.3</x:v>
      </x:c>
      <x:c r="P855" s="34" t="n">
        <x:v>0.25</x:v>
      </x:c>
      <x:c r="Q855" s="34" t="n">
        <x:v>0.35</x:v>
      </x:c>
      <x:c r="R855" s="34" t="n">
        <x:v>0.25</x:v>
      </x:c>
      <x:c r="S855" s="34" t="n">
        <x:v>0.015</x:v>
      </x:c>
      <x:c r="T855" s="34" t="n">
        <x:v>203.088353</x:v>
      </x:c>
      <x:c r="U855" s="34" t="str">
        <x:v>JFE-CHIBA:SCRAP_EAF:2036|JFE-FUKU:H2_DRI_EAF:2033|JFE-KURA:BF_RELINE:2029|JFE-SENDAI:EAF_RENEWABLE:2033</x:v>
      </x:c>
      <x:c r="V855" s="34" t="str">
        <x:v>model_generated_candidate</x:v>
      </x:c>
      <x:c r="W855" s="34" t="str">
        <x:v>Generated from disclosed-path facility calendar, technology set and template contracting assumptions; not a company-announced project</x:v>
      </x:c>
    </x:row>
    <x:row r="856">
      <x:c r="A856" s="34" t="str">
        <x:v>CAND-BC3B7FD8701906</x:v>
      </x:c>
      <x:c r="B856" s="34" t="str">
        <x:v>JFE_STEEL_JP</x:v>
      </x:c>
      <x:c r="C856" s="34" t="str">
        <x:v>JFE Steel</x:v>
      </x:c>
      <x:c r="D856" s="34" t="str">
        <x:v>P1</x:v>
      </x:c>
      <x:c r="E856" s="34" t="str">
        <x:v>지연·현물조달</x:v>
      </x:c>
      <x:c r="F856" s="34" t="str">
        <x:v>PORT-25A7E18292F6</x:v>
      </x:c>
      <x:c r="G856" s="34" t="str">
        <x:v>DISCLOSED_PATH</x:v>
      </x:c>
      <x:c r="H856" s="34" t="n">
        <x:v>4</x:v>
      </x:c>
      <x:c r="I856" s="34" t="n">
        <x:v>2029</x:v>
      </x:c>
      <x:c r="J856" s="34" t="n">
        <x:v>2036</x:v>
      </x:c>
      <x:c r="K856" s="34" t="n">
        <x:v>0</x:v>
      </x:c>
      <x:c r="L856" s="34" t="n">
        <x:v>0.716667</x:v>
      </x:c>
      <x:c r="M856" s="34" t="n">
        <x:v>0.25</x:v>
      </x:c>
      <x:c r="N856" s="34" t="n">
        <x:v>0.033333</x:v>
      </x:c>
      <x:c r="O856" s="34" t="n">
        <x:v>0</x:v>
      </x:c>
      <x:c r="P856" s="34" t="n">
        <x:v>0</x:v>
      </x:c>
      <x:c r="Q856" s="34" t="n">
        <x:v>0.1</x:v>
      </x:c>
      <x:c r="R856" s="34" t="n">
        <x:v>0</x:v>
      </x:c>
      <x:c r="S856" s="34" t="n">
        <x:v>0</x:v>
      </x:c>
      <x:c r="T856" s="34" t="n">
        <x:v>310.220867</x:v>
      </x:c>
      <x:c r="U856" s="34" t="str">
        <x:v>JFE-CHIBA:H2_DRI_EAF:2036|JFE-FUKU:SCRAP_EAF:2033|JFE-KURA:SCRAP_EAF:2029|JFE-SENDAI:EAF_RENEWABLE:2033</x:v>
      </x:c>
      <x:c r="V856" s="34" t="str">
        <x:v>model_generated_candidate</x:v>
      </x:c>
      <x:c r="W856" s="34" t="str">
        <x:v>Generated from disclosed-path facility calendar, technology set and template contracting assumptions; not a company-announced project</x:v>
      </x:c>
    </x:row>
    <x:row r="857">
      <x:c r="A857" s="34" t="str">
        <x:v>CAND-BD5FC0B8045E4C</x:v>
      </x:c>
      <x:c r="B857" s="34" t="str">
        <x:v>JFE_STEEL_JP</x:v>
      </x:c>
      <x:c r="C857" s="34" t="str">
        <x:v>JFE Steel</x:v>
      </x:c>
      <x:c r="D857" s="34" t="str">
        <x:v>P1</x:v>
      </x:c>
      <x:c r="E857" s="34" t="str">
        <x:v>지연·현물조달</x:v>
      </x:c>
      <x:c r="F857" s="34" t="str">
        <x:v>PORT-BFE68456F5A9</x:v>
      </x:c>
      <x:c r="G857" s="34" t="str">
        <x:v>DISCLOSED_PATH</x:v>
      </x:c>
      <x:c r="H857" s="34" t="n">
        <x:v>4</x:v>
      </x:c>
      <x:c r="I857" s="34" t="n">
        <x:v>2029</x:v>
      </x:c>
      <x:c r="J857" s="34" t="n">
        <x:v>2036</x:v>
      </x:c>
      <x:c r="K857" s="34" t="n">
        <x:v>0.716667</x:v>
      </x:c>
      <x:c r="L857" s="34" t="n">
        <x:v>0</x:v>
      </x:c>
      <x:c r="M857" s="34" t="n">
        <x:v>0.25</x:v>
      </x:c>
      <x:c r="N857" s="34" t="n">
        <x:v>0.033333</x:v>
      </x:c>
      <x:c r="O857" s="34" t="n">
        <x:v>0</x:v>
      </x:c>
      <x:c r="P857" s="34" t="n">
        <x:v>0</x:v>
      </x:c>
      <x:c r="Q857" s="34" t="n">
        <x:v>0.1</x:v>
      </x:c>
      <x:c r="R857" s="34" t="n">
        <x:v>0</x:v>
      </x:c>
      <x:c r="S857" s="34" t="n">
        <x:v>0</x:v>
      </x:c>
      <x:c r="T857" s="34" t="n">
        <x:v>87.500896</x:v>
      </x:c>
      <x:c r="U857" s="34" t="str">
        <x:v>JFE-CHIBA:H2_DRI_EAF:2036|JFE-FUKU:BF_RELINE:2033|JFE-KURA:BF_RELINE:2029|JFE-SENDAI:EAF_RENEWABLE:2033</x:v>
      </x:c>
      <x:c r="V857" s="34" t="str">
        <x:v>model_generated_candidate</x:v>
      </x:c>
      <x:c r="W857" s="34" t="str">
        <x:v>Generated from disclosed-path facility calendar, technology set and template contracting assumptions; not a company-announced project</x:v>
      </x:c>
    </x:row>
    <x:row r="858">
      <x:c r="A858" s="34" t="str">
        <x:v>CAND-BD69BDF77D11F9</x:v>
      </x:c>
      <x:c r="B858" s="34" t="str">
        <x:v>JFE_STEEL_JP</x:v>
      </x:c>
      <x:c r="C858" s="34" t="str">
        <x:v>JFE Steel</x:v>
      </x:c>
      <x:c r="D858" s="34" t="str">
        <x:v>P2</x:v>
      </x:c>
      <x:c r="E858" s="34" t="str">
        <x:v>지연·부분헤지</x:v>
      </x:c>
      <x:c r="F858" s="34" t="str">
        <x:v>PORT-1C641A2E58FD</x:v>
      </x:c>
      <x:c r="G858" s="34" t="str">
        <x:v>DISCLOSED_PATH</x:v>
      </x:c>
      <x:c r="H858" s="34" t="n">
        <x:v>4</x:v>
      </x:c>
      <x:c r="I858" s="34" t="n">
        <x:v>2029</x:v>
      </x:c>
      <x:c r="J858" s="34" t="n">
        <x:v>2036</x:v>
      </x:c>
      <x:c r="K858" s="34" t="n">
        <x:v>0.408333</x:v>
      </x:c>
      <x:c r="L858" s="34" t="n">
        <x:v>0.308333</x:v>
      </x:c>
      <x:c r="M858" s="34" t="n">
        <x:v>0.25</x:v>
      </x:c>
      <x:c r="N858" s="34" t="n">
        <x:v>0.033333</x:v>
      </x:c>
      <x:c r="O858" s="34" t="n">
        <x:v>0.15</x:v>
      </x:c>
      <x:c r="P858" s="34" t="n">
        <x:v>0.1</x:v>
      </x:c>
      <x:c r="Q858" s="34" t="n">
        <x:v>0.2</x:v>
      </x:c>
      <x:c r="R858" s="34" t="n">
        <x:v>0.1</x:v>
      </x:c>
      <x:c r="S858" s="34" t="n">
        <x:v>0.01</x:v>
      </x:c>
      <x:c r="T858" s="34" t="n">
        <x:v>205.820907</x:v>
      </x:c>
      <x:c r="U858" s="34" t="str">
        <x:v>JFE-CHIBA:H2_DRI_EAF:2036|JFE-FUKU:BF_RELINE:2033|JFE-KURA:SCRAP_EAF:2029|JFE-SENDAI:EAF_RENEWABLE:2033</x:v>
      </x:c>
      <x:c r="V858" s="34" t="str">
        <x:v>model_generated_candidate</x:v>
      </x:c>
      <x:c r="W858" s="34" t="str">
        <x:v>Generated from disclosed-path facility calendar, technology set and template contracting assumptions; not a company-announced project</x:v>
      </x:c>
    </x:row>
    <x:row r="859">
      <x:c r="A859" s="34" t="str">
        <x:v>CAND-C535F3B5D7A55A</x:v>
      </x:c>
      <x:c r="B859" s="34" t="str">
        <x:v>JFE_STEEL_JP</x:v>
      </x:c>
      <x:c r="C859" s="34" t="str">
        <x:v>JFE Steel</x:v>
      </x:c>
      <x:c r="D859" s="34" t="str">
        <x:v>P1</x:v>
      </x:c>
      <x:c r="E859" s="34" t="str">
        <x:v>지연·현물조달</x:v>
      </x:c>
      <x:c r="F859" s="34" t="str">
        <x:v>PORT-1C641A2E58FD</x:v>
      </x:c>
      <x:c r="G859" s="34" t="str">
        <x:v>DISCLOSED_PATH</x:v>
      </x:c>
      <x:c r="H859" s="34" t="n">
        <x:v>4</x:v>
      </x:c>
      <x:c r="I859" s="34" t="n">
        <x:v>2029</x:v>
      </x:c>
      <x:c r="J859" s="34" t="n">
        <x:v>2036</x:v>
      </x:c>
      <x:c r="K859" s="34" t="n">
        <x:v>0.408333</x:v>
      </x:c>
      <x:c r="L859" s="34" t="n">
        <x:v>0.308333</x:v>
      </x:c>
      <x:c r="M859" s="34" t="n">
        <x:v>0.25</x:v>
      </x:c>
      <x:c r="N859" s="34" t="n">
        <x:v>0.033333</x:v>
      </x:c>
      <x:c r="O859" s="34" t="n">
        <x:v>0</x:v>
      </x:c>
      <x:c r="P859" s="34" t="n">
        <x:v>0</x:v>
      </x:c>
      <x:c r="Q859" s="34" t="n">
        <x:v>0.1</x:v>
      </x:c>
      <x:c r="R859" s="34" t="n">
        <x:v>0</x:v>
      </x:c>
      <x:c r="S859" s="34" t="n">
        <x:v>0</x:v>
      </x:c>
      <x:c r="T859" s="34" t="n">
        <x:v>205.820907</x:v>
      </x:c>
      <x:c r="U859" s="34" t="str">
        <x:v>JFE-CHIBA:H2_DRI_EAF:2036|JFE-FUKU:BF_RELINE:2033|JFE-KURA:SCRAP_EAF:2029|JFE-SENDAI:EAF_RENEWABLE:2033</x:v>
      </x:c>
      <x:c r="V859" s="34" t="str">
        <x:v>model_generated_candidate</x:v>
      </x:c>
      <x:c r="W859" s="34" t="str">
        <x:v>Generated from disclosed-path facility calendar, technology set and template contracting assumptions; not a company-announced project</x:v>
      </x:c>
    </x:row>
    <x:row r="860">
      <x:c r="A860" s="34" t="str">
        <x:v>CAND-C973F96EA1BC5C</x:v>
      </x:c>
      <x:c r="B860" s="34" t="str">
        <x:v>JFE_STEEL_JP</x:v>
      </x:c>
      <x:c r="C860" s="34" t="str">
        <x:v>JFE Steel</x:v>
      </x:c>
      <x:c r="D860" s="34" t="str">
        <x:v>P1</x:v>
      </x:c>
      <x:c r="E860" s="34" t="str">
        <x:v>지연·현물조달</x:v>
      </x:c>
      <x:c r="F860" s="34" t="str">
        <x:v>PORT-E123D45B71CC</x:v>
      </x:c>
      <x:c r="G860" s="34" t="str">
        <x:v>DISCLOSED_PATH</x:v>
      </x:c>
      <x:c r="H860" s="34" t="n">
        <x:v>4</x:v>
      </x:c>
      <x:c r="I860" s="34" t="n">
        <x:v>2029</x:v>
      </x:c>
      <x:c r="J860" s="34" t="n">
        <x:v>2036</x:v>
      </x:c>
      <x:c r="K860" s="34" t="n">
        <x:v>0.408333</x:v>
      </x:c>
      <x:c r="L860" s="34" t="n">
        <x:v>0</x:v>
      </x:c>
      <x:c r="M860" s="34" t="n">
        <x:v>0.558333</x:v>
      </x:c>
      <x:c r="N860" s="34" t="n">
        <x:v>0.033333</x:v>
      </x:c>
      <x:c r="O860" s="34" t="n">
        <x:v>0</x:v>
      </x:c>
      <x:c r="P860" s="34" t="n">
        <x:v>0</x:v>
      </x:c>
      <x:c r="Q860" s="34" t="n">
        <x:v>0.1</x:v>
      </x:c>
      <x:c r="R860" s="34" t="n">
        <x:v>0</x:v>
      </x:c>
      <x:c r="S860" s="34" t="n">
        <x:v>0</x:v>
      </x:c>
      <x:c r="T860" s="34" t="n">
        <x:v>226.220909</x:v>
      </x:c>
      <x:c r="U860" s="34" t="str">
        <x:v>JFE-CHIBA:H2_DRI_EAF:2036|JFE-FUKU:BF_RELINE:2033|JFE-KURA:H2_DRI_EAF:2029|JFE-SENDAI:EAF_RENEWABLE:2033</x:v>
      </x:c>
      <x:c r="V860" s="34" t="str">
        <x:v>model_generated_candidate</x:v>
      </x:c>
      <x:c r="W860" s="34" t="str">
        <x:v>Generated from disclosed-path facility calendar, technology set and template contracting assumptions; not a company-announced project</x:v>
      </x:c>
    </x:row>
    <x:row r="861">
      <x:c r="A861" s="34" t="str">
        <x:v>CAND-CB30BCF3D9CF92</x:v>
      </x:c>
      <x:c r="B861" s="34" t="str">
        <x:v>JFE_STEEL_JP</x:v>
      </x:c>
      <x:c r="C861" s="34" t="str">
        <x:v>JFE Steel</x:v>
      </x:c>
      <x:c r="D861" s="34" t="str">
        <x:v>P1</x:v>
      </x:c>
      <x:c r="E861" s="34" t="str">
        <x:v>지연·현물조달</x:v>
      </x:c>
      <x:c r="F861" s="34" t="str">
        <x:v>PORT-D5A2DA370FDA</x:v>
      </x:c>
      <x:c r="G861" s="34" t="str">
        <x:v>DISCLOSED_PATH</x:v>
      </x:c>
      <x:c r="H861" s="34" t="n">
        <x:v>4</x:v>
      </x:c>
      <x:c r="I861" s="34" t="n">
        <x:v>2029</x:v>
      </x:c>
      <x:c r="J861" s="34" t="n">
        <x:v>2036</x:v>
      </x:c>
      <x:c r="K861" s="34" t="n">
        <x:v>0.308333</x:v>
      </x:c>
      <x:c r="L861" s="34" t="n">
        <x:v>0.658333</x:v>
      </x:c>
      <x:c r="M861" s="34" t="n">
        <x:v>0</x:v>
      </x:c>
      <x:c r="N861" s="34" t="n">
        <x:v>0.033333</x:v>
      </x:c>
      <x:c r="O861" s="34" t="n">
        <x:v>0</x:v>
      </x:c>
      <x:c r="P861" s="34" t="n">
        <x:v>0</x:v>
      </x:c>
      <x:c r="Q861" s="34" t="n">
        <x:v>0.1</x:v>
      </x:c>
      <x:c r="R861" s="34" t="n">
        <x:v>0</x:v>
      </x:c>
      <x:c r="S861" s="34" t="n">
        <x:v>0</x:v>
      </x:c>
      <x:c r="T861" s="34" t="n">
        <x:v>185.08836</x:v>
      </x:c>
      <x:c r="U861" s="34" t="str">
        <x:v>JFE-CHIBA:SCRAP_EAF:2036|JFE-FUKU:SCRAP_EAF:2033|JFE-KURA:BF_RELINE:2029|JFE-SENDAI:EAF_RENEWABLE:2033</x:v>
      </x:c>
      <x:c r="V861" s="34" t="str">
        <x:v>model_generated_candidate</x:v>
      </x:c>
      <x:c r="W861" s="34" t="str">
        <x:v>Generated from disclosed-path facility calendar, technology set and template contracting assumptions; not a company-announced project</x:v>
      </x:c>
    </x:row>
    <x:row r="862">
      <x:c r="A862" s="34" t="str">
        <x:v>CAND-CBE864A3B5E624</x:v>
      </x:c>
      <x:c r="B862" s="34" t="str">
        <x:v>JFE_STEEL_JP</x:v>
      </x:c>
      <x:c r="C862" s="34" t="str">
        <x:v>JFE Steel</x:v>
      </x:c>
      <x:c r="D862" s="34" t="str">
        <x:v>P2</x:v>
      </x:c>
      <x:c r="E862" s="34" t="str">
        <x:v>지연·부분헤지</x:v>
      </x:c>
      <x:c r="F862" s="34" t="str">
        <x:v>PORT-408F044D6828</x:v>
      </x:c>
      <x:c r="G862" s="34" t="str">
        <x:v>DISCLOSED_PATH</x:v>
      </x:c>
      <x:c r="H862" s="34" t="n">
        <x:v>4</x:v>
      </x:c>
      <x:c r="I862" s="34" t="n">
        <x:v>2029</x:v>
      </x:c>
      <x:c r="J862" s="34" t="n">
        <x:v>2036</x:v>
      </x:c>
      <x:c r="K862" s="34" t="n">
        <x:v>0.25</x:v>
      </x:c>
      <x:c r="L862" s="34" t="n">
        <x:v>0</x:v>
      </x:c>
      <x:c r="M862" s="34" t="n">
        <x:v>0.716667</x:v>
      </x:c>
      <x:c r="N862" s="34" t="n">
        <x:v>0.033333</x:v>
      </x:c>
      <x:c r="O862" s="34" t="n">
        <x:v>0.15</x:v>
      </x:c>
      <x:c r="P862" s="34" t="n">
        <x:v>0.1</x:v>
      </x:c>
      <x:c r="Q862" s="34" t="n">
        <x:v>0.2</x:v>
      </x:c>
      <x:c r="R862" s="34" t="n">
        <x:v>0.1</x:v>
      </x:c>
      <x:c r="S862" s="34" t="n">
        <x:v>0.01</x:v>
      </x:c>
      <x:c r="T862" s="34" t="n">
        <x:v>302.295879</x:v>
      </x:c>
      <x:c r="U862" s="34" t="str">
        <x:v>JFE-CHIBA:BF_RELINE:2036|JFE-FUKU:H2_DRI_EAF:2033|JFE-KURA:H2_DRI_EAF:2029|JFE-SENDAI:EAF_RENEWABLE:2033</x:v>
      </x:c>
      <x:c r="V862" s="34" t="str">
        <x:v>model_generated_candidate</x:v>
      </x:c>
      <x:c r="W862" s="34" t="str">
        <x:v>Generated from disclosed-path facility calendar, technology set and template contracting assumptions; not a company-announced project</x:v>
      </x:c>
    </x:row>
    <x:row r="863">
      <x:c r="A863" s="34" t="str">
        <x:v>CAND-D31DAEDCB107AF</x:v>
      </x:c>
      <x:c r="B863" s="34" t="str">
        <x:v>JFE_STEEL_JP</x:v>
      </x:c>
      <x:c r="C863" s="34" t="str">
        <x:v>JFE Steel</x:v>
      </x:c>
      <x:c r="D863" s="34" t="str">
        <x:v>P1</x:v>
      </x:c>
      <x:c r="E863" s="34" t="str">
        <x:v>지연·현물조달</x:v>
      </x:c>
      <x:c r="F863" s="34" t="str">
        <x:v>PORT-0FD37D80B1EA</x:v>
      </x:c>
      <x:c r="G863" s="34" t="str">
        <x:v>DISCLOSED_PATH</x:v>
      </x:c>
      <x:c r="H863" s="34" t="n">
        <x:v>4</x:v>
      </x:c>
      <x:c r="I863" s="34" t="n">
        <x:v>2029</x:v>
      </x:c>
      <x:c r="J863" s="34" t="n">
        <x:v>2036</x:v>
      </x:c>
      <x:c r="K863" s="34" t="n">
        <x:v>0</x:v>
      </x:c>
      <x:c r="L863" s="34" t="n">
        <x:v>0.408333</x:v>
      </x:c>
      <x:c r="M863" s="34" t="n">
        <x:v>0.558333</x:v>
      </x:c>
      <x:c r="N863" s="34" t="n">
        <x:v>0.033333</x:v>
      </x:c>
      <x:c r="O863" s="34" t="n">
        <x:v>0</x:v>
      </x:c>
      <x:c r="P863" s="34" t="n">
        <x:v>0</x:v>
      </x:c>
      <x:c r="Q863" s="34" t="n">
        <x:v>0.1</x:v>
      </x:c>
      <x:c r="R863" s="34" t="n">
        <x:v>0</x:v>
      </x:c>
      <x:c r="S863" s="34" t="n">
        <x:v>0</x:v>
      </x:c>
      <x:c r="T863" s="34" t="n">
        <x:v>330.620869</x:v>
      </x:c>
      <x:c r="U863" s="34" t="str">
        <x:v>JFE-CHIBA:H2_DRI_EAF:2036|JFE-FUKU:SCRAP_EAF:2033|JFE-KURA:H2_DRI_EAF:2029|JFE-SENDAI:EAF_RENEWABLE:2033</x:v>
      </x:c>
      <x:c r="V863" s="34" t="str">
        <x:v>model_generated_candidate</x:v>
      </x:c>
      <x:c r="W863" s="34" t="str">
        <x:v>Generated from disclosed-path facility calendar, technology set and template contracting assumptions; not a company-announced project</x:v>
      </x:c>
    </x:row>
    <x:row r="864">
      <x:c r="A864" s="34" t="str">
        <x:v>CAND-DF57CBE06564A4</x:v>
      </x:c>
      <x:c r="B864" s="34" t="str">
        <x:v>JFE_STEEL_JP</x:v>
      </x:c>
      <x:c r="C864" s="34" t="str">
        <x:v>JFE Steel</x:v>
      </x:c>
      <x:c r="D864" s="34" t="str">
        <x:v>P3</x:v>
      </x:c>
      <x:c r="E864" s="34" t="str">
        <x:v>균형형 라이트헤지</x:v>
      </x:c>
      <x:c r="F864" s="34" t="str">
        <x:v>PORT-6E49C004BA31</x:v>
      </x:c>
      <x:c r="G864" s="34" t="str">
        <x:v>DISCLOSED_PATH</x:v>
      </x:c>
      <x:c r="H864" s="34" t="n">
        <x:v>4</x:v>
      </x:c>
      <x:c r="I864" s="34" t="n">
        <x:v>2029</x:v>
      </x:c>
      <x:c r="J864" s="34" t="n">
        <x:v>2036</x:v>
      </x:c>
      <x:c r="K864" s="34" t="n">
        <x:v>0.558333</x:v>
      </x:c>
      <x:c r="L864" s="34" t="n">
        <x:v>0</x:v>
      </x:c>
      <x:c r="M864" s="34" t="n">
        <x:v>0.408333</x:v>
      </x:c>
      <x:c r="N864" s="34" t="n">
        <x:v>0.033333</x:v>
      </x:c>
      <x:c r="O864" s="34" t="n">
        <x:v>0.3</x:v>
      </x:c>
      <x:c r="P864" s="34" t="n">
        <x:v>0.25</x:v>
      </x:c>
      <x:c r="Q864" s="34" t="n">
        <x:v>0.35</x:v>
      </x:c>
      <x:c r="R864" s="34" t="n">
        <x:v>0.25</x:v>
      </x:c>
      <x:c r="S864" s="34" t="n">
        <x:v>0.015</x:v>
      </x:c>
      <x:c r="T864" s="34" t="n">
        <x:v>163.575867</x:v>
      </x:c>
      <x:c r="U864" s="34" t="str">
        <x:v>JFE-CHIBA:BF_RELINE:2036|JFE-FUKU:H2_DRI_EAF:2033|JFE-KURA:BF_RELINE:2029|JFE-SENDAI:EAF_RENEWABLE:2033</x:v>
      </x:c>
      <x:c r="V864" s="34" t="str">
        <x:v>model_generated_candidate</x:v>
      </x:c>
      <x:c r="W864" s="34" t="str">
        <x:v>Generated from disclosed-path facility calendar, technology set and template contracting assumptions; not a company-announced project</x:v>
      </x:c>
    </x:row>
    <x:row r="865">
      <x:c r="A865" s="34" t="str">
        <x:v>CAND-DFCA23D16E81A2</x:v>
      </x:c>
      <x:c r="B865" s="34" t="str">
        <x:v>JFE_STEEL_JP</x:v>
      </x:c>
      <x:c r="C865" s="34" t="str">
        <x:v>JFE Steel</x:v>
      </x:c>
      <x:c r="D865" s="34" t="str">
        <x:v>P1</x:v>
      </x:c>
      <x:c r="E865" s="34" t="str">
        <x:v>지연·현물조달</x:v>
      </x:c>
      <x:c r="F865" s="34" t="str">
        <x:v>PORT-408F044D6828</x:v>
      </x:c>
      <x:c r="G865" s="34" t="str">
        <x:v>DISCLOSED_PATH</x:v>
      </x:c>
      <x:c r="H865" s="34" t="n">
        <x:v>4</x:v>
      </x:c>
      <x:c r="I865" s="34" t="n">
        <x:v>2029</x:v>
      </x:c>
      <x:c r="J865" s="34" t="n">
        <x:v>2036</x:v>
      </x:c>
      <x:c r="K865" s="34" t="n">
        <x:v>0.25</x:v>
      </x:c>
      <x:c r="L865" s="34" t="n">
        <x:v>0</x:v>
      </x:c>
      <x:c r="M865" s="34" t="n">
        <x:v>0.716667</x:v>
      </x:c>
      <x:c r="N865" s="34" t="n">
        <x:v>0.033333</x:v>
      </x:c>
      <x:c r="O865" s="34" t="n">
        <x:v>0</x:v>
      </x:c>
      <x:c r="P865" s="34" t="n">
        <x:v>0</x:v>
      </x:c>
      <x:c r="Q865" s="34" t="n">
        <x:v>0.1</x:v>
      </x:c>
      <x:c r="R865" s="34" t="n">
        <x:v>0</x:v>
      </x:c>
      <x:c r="S865" s="34" t="n">
        <x:v>0</x:v>
      </x:c>
      <x:c r="T865" s="34" t="n">
        <x:v>302.295879</x:v>
      </x:c>
      <x:c r="U865" s="34" t="str">
        <x:v>JFE-CHIBA:BF_RELINE:2036|JFE-FUKU:H2_DRI_EAF:2033|JFE-KURA:H2_DRI_EAF:2029|JFE-SENDAI:EAF_RENEWABLE:2033</x:v>
      </x:c>
      <x:c r="V865" s="34" t="str">
        <x:v>model_generated_candidate</x:v>
      </x:c>
      <x:c r="W865" s="34" t="str">
        <x:v>Generated from disclosed-path facility calendar, technology set and template contracting assumptions; not a company-announced project</x:v>
      </x:c>
    </x:row>
    <x:row r="866">
      <x:c r="A866" s="34" t="str">
        <x:v>CAND-DFD36ABEC37623</x:v>
      </x:c>
      <x:c r="B866" s="34" t="str">
        <x:v>JFE_STEEL_JP</x:v>
      </x:c>
      <x:c r="C866" s="34" t="str">
        <x:v>JFE Steel</x:v>
      </x:c>
      <x:c r="D866" s="34" t="str">
        <x:v>P1</x:v>
      </x:c>
      <x:c r="E866" s="34" t="str">
        <x:v>지연·현물조달</x:v>
      </x:c>
      <x:c r="F866" s="34" t="str">
        <x:v>PORT-7F45069F34E3</x:v>
      </x:c>
      <x:c r="G866" s="34" t="str">
        <x:v>DISCLOSED_PATH</x:v>
      </x:c>
      <x:c r="H866" s="34" t="n">
        <x:v>4</x:v>
      </x:c>
      <x:c r="I866" s="34" t="n">
        <x:v>2029</x:v>
      </x:c>
      <x:c r="J866" s="34" t="n">
        <x:v>2036</x:v>
      </x:c>
      <x:c r="K866" s="34" t="n">
        <x:v>0.308333</x:v>
      </x:c>
      <x:c r="L866" s="34" t="n">
        <x:v>0.25</x:v>
      </x:c>
      <x:c r="M866" s="34" t="n">
        <x:v>0.408333</x:v>
      </x:c>
      <x:c r="N866" s="34" t="n">
        <x:v>0.033333</x:v>
      </x:c>
      <x:c r="O866" s="34" t="n">
        <x:v>0</x:v>
      </x:c>
      <x:c r="P866" s="34" t="n">
        <x:v>0</x:v>
      </x:c>
      <x:c r="Q866" s="34" t="n">
        <x:v>0.1</x:v>
      </x:c>
      <x:c r="R866" s="34" t="n">
        <x:v>0</x:v>
      </x:c>
      <x:c r="S866" s="34" t="n">
        <x:v>0</x:v>
      </x:c>
      <x:c r="T866" s="34" t="n">
        <x:v>203.088353</x:v>
      </x:c>
      <x:c r="U866" s="34" t="str">
        <x:v>JFE-CHIBA:SCRAP_EAF:2036|JFE-FUKU:H2_DRI_EAF:2033|JFE-KURA:BF_RELINE:2029|JFE-SENDAI:EAF_RENEWABLE:2033</x:v>
      </x:c>
      <x:c r="V866" s="34" t="str">
        <x:v>model_generated_candidate</x:v>
      </x:c>
      <x:c r="W866" s="34" t="str">
        <x:v>Generated from disclosed-path facility calendar, technology set and template contracting assumptions; not a company-announced project</x:v>
      </x:c>
    </x:row>
    <x:row r="867">
      <x:c r="A867" s="34" t="str">
        <x:v>CAND-E142C0366C78ED</x:v>
      </x:c>
      <x:c r="B867" s="34" t="str">
        <x:v>JFE_STEEL_JP</x:v>
      </x:c>
      <x:c r="C867" s="34" t="str">
        <x:v>JFE Steel</x:v>
      </x:c>
      <x:c r="D867" s="34" t="str">
        <x:v>P4</x:v>
      </x:c>
      <x:c r="E867" s="34" t="str">
        <x:v>균형형 전환</x:v>
      </x:c>
      <x:c r="F867" s="34" t="str">
        <x:v>PORT-49F18FB13125</x:v>
      </x:c>
      <x:c r="G867" s="34" t="str">
        <x:v>DISCLOSED_PATH</x:v>
      </x:c>
      <x:c r="H867" s="34" t="n">
        <x:v>4</x:v>
      </x:c>
      <x:c r="I867" s="34" t="n">
        <x:v>2028</x:v>
      </x:c>
      <x:c r="J867" s="34" t="n">
        <x:v>2035</x:v>
      </x:c>
      <x:c r="K867" s="34" t="n">
        <x:v>0</x:v>
      </x:c>
      <x:c r="L867" s="34" t="n">
        <x:v>0.408333</x:v>
      </x:c>
      <x:c r="M867" s="34" t="n">
        <x:v>0.558333</x:v>
      </x:c>
      <x:c r="N867" s="34" t="n">
        <x:v>0.033333</x:v>
      </x:c>
      <x:c r="O867" s="34" t="n">
        <x:v>0.5</x:v>
      </x:c>
      <x:c r="P867" s="34" t="n">
        <x:v>0.45</x:v>
      </x:c>
      <x:c r="Q867" s="34" t="n">
        <x:v>0.5</x:v>
      </x:c>
      <x:c r="R867" s="34" t="n">
        <x:v>0.4</x:v>
      </x:c>
      <x:c r="S867" s="34" t="n">
        <x:v>0.02</x:v>
      </x:c>
      <x:c r="T867" s="34" t="n">
        <x:v>369.350858</x:v>
      </x:c>
      <x:c r="U867" s="34" t="str">
        <x:v>JFE-CHIBA:H2_DRI_EAF:2035|JFE-FUKU:SCRAP_EAF:2032|JFE-KURA:H2_DRI_EAF:2028|JFE-SENDAI:EAF_RENEWABLE:2032</x:v>
      </x:c>
      <x:c r="V867" s="34" t="str">
        <x:v>model_generated_candidate</x:v>
      </x:c>
      <x:c r="W867" s="34" t="str">
        <x:v>Generated from disclosed-path facility calendar, technology set and template contracting assumptions; not a company-announced project</x:v>
      </x:c>
    </x:row>
    <x:row r="868">
      <x:c r="A868" s="34" t="str">
        <x:v>CAND-E1C48D333700EA</x:v>
      </x:c>
      <x:c r="B868" s="34" t="str">
        <x:v>JFE_STEEL_JP</x:v>
      </x:c>
      <x:c r="C868" s="34" t="str">
        <x:v>JFE Steel</x:v>
      </x:c>
      <x:c r="D868" s="34" t="str">
        <x:v>P7</x:v>
      </x:c>
      <x:c r="E868" s="34" t="str">
        <x:v>완전 수소·계약형</x:v>
      </x:c>
      <x:c r="F868" s="34" t="str">
        <x:v>PORT-B91429E42CEB</x:v>
      </x:c>
      <x:c r="G868" s="34" t="str">
        <x:v>DISCLOSED_PATH</x:v>
      </x:c>
      <x:c r="H868" s="34" t="n">
        <x:v>4</x:v>
      </x:c>
      <x:c r="I868" s="34" t="n">
        <x:v>2028</x:v>
      </x:c>
      <x:c r="J868" s="34" t="n">
        <x:v>2033</x:v>
      </x:c>
      <x:c r="K868" s="34" t="n">
        <x:v>0</x:v>
      </x:c>
      <x:c r="L868" s="34" t="n">
        <x:v>0</x:v>
      </x:c>
      <x:c r="M868" s="34" t="n">
        <x:v>0.966667</x:v>
      </x:c>
      <x:c r="N868" s="34" t="n">
        <x:v>0.033333</x:v>
      </x:c>
      <x:c r="O868" s="34" t="n">
        <x:v>1</x:v>
      </x:c>
      <x:c r="P868" s="34" t="n">
        <x:v>0.95</x:v>
      </x:c>
      <x:c r="Q868" s="34" t="n">
        <x:v>0.95</x:v>
      </x:c>
      <x:c r="R868" s="34" t="n">
        <x:v>0.9</x:v>
      </x:c>
      <x:c r="S868" s="34" t="n">
        <x:v>0.045</x:v>
      </x:c>
      <x:c r="T868" s="34" t="n">
        <x:v>445.512827</x:v>
      </x:c>
      <x:c r="U868" s="34" t="str">
        <x:v>JFE-CHIBA:H2_DRI_EAF:2033|JFE-FUKU:H2_DRI_EAF:2030|JFE-KURA:H2_DRI_EAF:2028|JFE-SENDAI:EAF_RENEWABLE:2030</x:v>
      </x:c>
      <x:c r="V868" s="34" t="str">
        <x:v>model_generated_candidate</x:v>
      </x:c>
      <x:c r="W868" s="34" t="str">
        <x:v>Generated from disclosed-path facility calendar, technology set and template contracting assumptions; not a company-announced project</x:v>
      </x:c>
    </x:row>
    <x:row r="869">
      <x:c r="A869" s="34" t="str">
        <x:v>CAND-E280945A557960</x:v>
      </x:c>
      <x:c r="B869" s="34" t="str">
        <x:v>JFE_STEEL_JP</x:v>
      </x:c>
      <x:c r="C869" s="34" t="str">
        <x:v>JFE Steel</x:v>
      </x:c>
      <x:c r="D869" s="34" t="str">
        <x:v>P1</x:v>
      </x:c>
      <x:c r="E869" s="34" t="str">
        <x:v>지연·현물조달</x:v>
      </x:c>
      <x:c r="F869" s="34" t="str">
        <x:v>PORT-E5F3D5116135</x:v>
      </x:c>
      <x:c r="G869" s="34" t="str">
        <x:v>DISCLOSED_PATH</x:v>
      </x:c>
      <x:c r="H869" s="34" t="n">
        <x:v>4</x:v>
      </x:c>
      <x:c r="I869" s="34" t="n">
        <x:v>2029</x:v>
      </x:c>
      <x:c r="J869" s="34" t="n">
        <x:v>2036</x:v>
      </x:c>
      <x:c r="K869" s="34" t="n">
        <x:v>0</x:v>
      </x:c>
      <x:c r="L869" s="34" t="n">
        <x:v>0.558333</x:v>
      </x:c>
      <x:c r="M869" s="34" t="n">
        <x:v>0.408333</x:v>
      </x:c>
      <x:c r="N869" s="34" t="n">
        <x:v>0.033333</x:v>
      </x:c>
      <x:c r="O869" s="34" t="n">
        <x:v>0</x:v>
      </x:c>
      <x:c r="P869" s="34" t="n">
        <x:v>0</x:v>
      </x:c>
      <x:c r="Q869" s="34" t="n">
        <x:v>0.1</x:v>
      </x:c>
      <x:c r="R869" s="34" t="n">
        <x:v>0</x:v>
      </x:c>
      <x:c r="S869" s="34" t="n">
        <x:v>0</x:v>
      </x:c>
      <x:c r="T869" s="34" t="n">
        <x:v>321.408363</x:v>
      </x:c>
      <x:c r="U869" s="34" t="str">
        <x:v>JFE-CHIBA:SCRAP_EAF:2036|JFE-FUKU:H2_DRI_EAF:2033|JFE-KURA:SCRAP_EAF:2029|JFE-SENDAI:EAF_RENEWABLE:2033</x:v>
      </x:c>
      <x:c r="V869" s="34" t="str">
        <x:v>model_generated_candidate</x:v>
      </x:c>
      <x:c r="W869" s="34" t="str">
        <x:v>Generated from disclosed-path facility calendar, technology set and template contracting assumptions; not a company-announced project</x:v>
      </x:c>
    </x:row>
    <x:row r="870">
      <x:c r="A870" s="34" t="str">
        <x:v>CAND-E2E67FC7600525</x:v>
      </x:c>
      <x:c r="B870" s="34" t="str">
        <x:v>JFE_STEEL_JP</x:v>
      </x:c>
      <x:c r="C870" s="34" t="str">
        <x:v>JFE Steel</x:v>
      </x:c>
      <x:c r="D870" s="34" t="str">
        <x:v>P2</x:v>
      </x:c>
      <x:c r="E870" s="34" t="str">
        <x:v>지연·부분헤지</x:v>
      </x:c>
      <x:c r="F870" s="34" t="str">
        <x:v>PORT-7BA11C62DF95</x:v>
      </x:c>
      <x:c r="G870" s="34" t="str">
        <x:v>DISCLOSED_PATH</x:v>
      </x:c>
      <x:c r="H870" s="34" t="n">
        <x:v>4</x:v>
      </x:c>
      <x:c r="I870" s="34" t="n">
        <x:v>2029</x:v>
      </x:c>
      <x:c r="J870" s="34" t="n">
        <x:v>2036</x:v>
      </x:c>
      <x:c r="K870" s="34" t="n">
        <x:v>0.408333</x:v>
      </x:c>
      <x:c r="L870" s="34" t="n">
        <x:v>0.25</x:v>
      </x:c>
      <x:c r="M870" s="34" t="n">
        <x:v>0.308333</x:v>
      </x:c>
      <x:c r="N870" s="34" t="n">
        <x:v>0.033333</x:v>
      </x:c>
      <x:c r="O870" s="34" t="n">
        <x:v>0.15</x:v>
      </x:c>
      <x:c r="P870" s="34" t="n">
        <x:v>0.1</x:v>
      </x:c>
      <x:c r="Q870" s="34" t="n">
        <x:v>0.2</x:v>
      </x:c>
      <x:c r="R870" s="34" t="n">
        <x:v>0.1</x:v>
      </x:c>
      <x:c r="S870" s="34" t="n">
        <x:v>0.01</x:v>
      </x:c>
      <x:c r="T870" s="34" t="n">
        <x:v>219.408411</x:v>
      </x:c>
      <x:c r="U870" s="34" t="str">
        <x:v>JFE-CHIBA:SCRAP_EAF:2036|JFE-FUKU:BF_RELINE:2033|JFE-KURA:H2_DRI_EAF:2029|JFE-SENDAI:EAF_RENEWABLE:2033</x:v>
      </x:c>
      <x:c r="V870" s="34" t="str">
        <x:v>model_generated_candidate</x:v>
      </x:c>
      <x:c r="W870" s="34" t="str">
        <x:v>Generated from disclosed-path facility calendar, technology set and template contracting assumptions; not a company-announced project</x:v>
      </x:c>
    </x:row>
    <x:row r="871">
      <x:c r="A871" s="34" t="str">
        <x:v>CAND-E5C3BE482793EF</x:v>
      </x:c>
      <x:c r="B871" s="34" t="str">
        <x:v>JFE_STEEL_JP</x:v>
      </x:c>
      <x:c r="C871" s="34" t="str">
        <x:v>JFE Steel</x:v>
      </x:c>
      <x:c r="D871" s="34" t="str">
        <x:v>P4</x:v>
      </x:c>
      <x:c r="E871" s="34" t="str">
        <x:v>균형형 전환</x:v>
      </x:c>
      <x:c r="F871" s="34" t="str">
        <x:v>PORT-4577AB24CD05</x:v>
      </x:c>
      <x:c r="G871" s="34" t="str">
        <x:v>DISCLOSED_PATH</x:v>
      </x:c>
      <x:c r="H871" s="34" t="n">
        <x:v>4</x:v>
      </x:c>
      <x:c r="I871" s="34" t="n">
        <x:v>2028</x:v>
      </x:c>
      <x:c r="J871" s="34" t="n">
        <x:v>2035</x:v>
      </x:c>
      <x:c r="K871" s="34" t="n">
        <x:v>0</x:v>
      </x:c>
      <x:c r="L871" s="34" t="n">
        <x:v>0</x:v>
      </x:c>
      <x:c r="M871" s="34" t="n">
        <x:v>0.966667</x:v>
      </x:c>
      <x:c r="N871" s="34" t="n">
        <x:v>0.033333</x:v>
      </x:c>
      <x:c r="O871" s="34" t="n">
        <x:v>0.5</x:v>
      </x:c>
      <x:c r="P871" s="34" t="n">
        <x:v>0.45</x:v>
      </x:c>
      <x:c r="Q871" s="34" t="n">
        <x:v>0.5</x:v>
      </x:c>
      <x:c r="R871" s="34" t="n">
        <x:v>0.4</x:v>
      </x:c>
      <x:c r="S871" s="34" t="n">
        <x:v>0.02</x:v>
      </x:c>
      <x:c r="T871" s="34" t="n">
        <x:v>389.600851</x:v>
      </x:c>
      <x:c r="U871" s="34" t="str">
        <x:v>JFE-CHIBA:H2_DRI_EAF:2035|JFE-FUKU:H2_DRI_EAF:2032|JFE-KURA:H2_DRI_EAF:2028|JFE-SENDAI:EAF_RENEWABLE:2032</x:v>
      </x:c>
      <x:c r="V871" s="34" t="str">
        <x:v>model_generated_candidate</x:v>
      </x:c>
      <x:c r="W871" s="34" t="str">
        <x:v>Generated from disclosed-path facility calendar, technology set and template contracting assumptions; not a company-announced project</x:v>
      </x:c>
    </x:row>
    <x:row r="872">
      <x:c r="A872" s="34" t="str">
        <x:v>CAND-E72109958C3B57</x:v>
      </x:c>
      <x:c r="B872" s="34" t="str">
        <x:v>JFE_STEEL_JP</x:v>
      </x:c>
      <x:c r="C872" s="34" t="str">
        <x:v>JFE Steel</x:v>
      </x:c>
      <x:c r="D872" s="34" t="str">
        <x:v>P2</x:v>
      </x:c>
      <x:c r="E872" s="34" t="str">
        <x:v>지연·부분헤지</x:v>
      </x:c>
      <x:c r="F872" s="34" t="str">
        <x:v>PORT-E5F3D5116135</x:v>
      </x:c>
      <x:c r="G872" s="34" t="str">
        <x:v>DISCLOSED_PATH</x:v>
      </x:c>
      <x:c r="H872" s="34" t="n">
        <x:v>4</x:v>
      </x:c>
      <x:c r="I872" s="34" t="n">
        <x:v>2029</x:v>
      </x:c>
      <x:c r="J872" s="34" t="n">
        <x:v>2036</x:v>
      </x:c>
      <x:c r="K872" s="34" t="n">
        <x:v>0</x:v>
      </x:c>
      <x:c r="L872" s="34" t="n">
        <x:v>0.558333</x:v>
      </x:c>
      <x:c r="M872" s="34" t="n">
        <x:v>0.408333</x:v>
      </x:c>
      <x:c r="N872" s="34" t="n">
        <x:v>0.033333</x:v>
      </x:c>
      <x:c r="O872" s="34" t="n">
        <x:v>0.15</x:v>
      </x:c>
      <x:c r="P872" s="34" t="n">
        <x:v>0.1</x:v>
      </x:c>
      <x:c r="Q872" s="34" t="n">
        <x:v>0.2</x:v>
      </x:c>
      <x:c r="R872" s="34" t="n">
        <x:v>0.1</x:v>
      </x:c>
      <x:c r="S872" s="34" t="n">
        <x:v>0.01</x:v>
      </x:c>
      <x:c r="T872" s="34" t="n">
        <x:v>321.408363</x:v>
      </x:c>
      <x:c r="U872" s="34" t="str">
        <x:v>JFE-CHIBA:SCRAP_EAF:2036|JFE-FUKU:H2_DRI_EAF:2033|JFE-KURA:SCRAP_EAF:2029|JFE-SENDAI:EAF_RENEWABLE:2033</x:v>
      </x:c>
      <x:c r="V872" s="34" t="str">
        <x:v>model_generated_candidate</x:v>
      </x:c>
      <x:c r="W872" s="34" t="str">
        <x:v>Generated from disclosed-path facility calendar, technology set and template contracting assumptions; not a company-announced project</x:v>
      </x:c>
    </x:row>
    <x:row r="873">
      <x:c r="A873" s="34" t="str">
        <x:v>CAND-E8FAD9BDD034A5</x:v>
      </x:c>
      <x:c r="B873" s="34" t="str">
        <x:v>JFE_STEEL_JP</x:v>
      </x:c>
      <x:c r="C873" s="34" t="str">
        <x:v>JFE Steel</x:v>
      </x:c>
      <x:c r="D873" s="34" t="str">
        <x:v>P3</x:v>
      </x:c>
      <x:c r="E873" s="34" t="str">
        <x:v>균형형 라이트헤지</x:v>
      </x:c>
      <x:c r="F873" s="34" t="str">
        <x:v>PORT-51A2628EF9C2</x:v>
      </x:c>
      <x:c r="G873" s="34" t="str">
        <x:v>DISCLOSED_PATH</x:v>
      </x:c>
      <x:c r="H873" s="34" t="n">
        <x:v>4</x:v>
      </x:c>
      <x:c r="I873" s="34" t="n">
        <x:v>2029</x:v>
      </x:c>
      <x:c r="J873" s="34" t="n">
        <x:v>2036</x:v>
      </x:c>
      <x:c r="K873" s="34" t="n">
        <x:v>0</x:v>
      </x:c>
      <x:c r="L873" s="34" t="n">
        <x:v>0.308333</x:v>
      </x:c>
      <x:c r="M873" s="34" t="n">
        <x:v>0.658333</x:v>
      </x:c>
      <x:c r="N873" s="34" t="n">
        <x:v>0.033333</x:v>
      </x:c>
      <x:c r="O873" s="34" t="n">
        <x:v>0.3</x:v>
      </x:c>
      <x:c r="P873" s="34" t="n">
        <x:v>0.25</x:v>
      </x:c>
      <x:c r="Q873" s="34" t="n">
        <x:v>0.35</x:v>
      </x:c>
      <x:c r="R873" s="34" t="n">
        <x:v>0.25</x:v>
      </x:c>
      <x:c r="S873" s="34" t="n">
        <x:v>0.015</x:v>
      </x:c>
      <x:c r="T873" s="34" t="n">
        <x:v>328.220861</x:v>
      </x:c>
      <x:c r="U873" s="34" t="str">
        <x:v>JFE-CHIBA:H2_DRI_EAF:2036|JFE-FUKU:H2_DRI_EAF:2033|JFE-KURA:SCRAP_EAF:2029|JFE-SENDAI:EAF_RENEWABLE:2033</x:v>
      </x:c>
      <x:c r="V873" s="34" t="str">
        <x:v>model_generated_candidate</x:v>
      </x:c>
      <x:c r="W873" s="34" t="str">
        <x:v>Generated from disclosed-path facility calendar, technology set and template contracting assumptions; not a company-announced project</x:v>
      </x:c>
    </x:row>
    <x:row r="874">
      <x:c r="A874" s="34" t="str">
        <x:v>CAND-E97F5B55830909</x:v>
      </x:c>
      <x:c r="B874" s="34" t="str">
        <x:v>JFE_STEEL_JP</x:v>
      </x:c>
      <x:c r="C874" s="34" t="str">
        <x:v>JFE Steel</x:v>
      </x:c>
      <x:c r="D874" s="34" t="str">
        <x:v>P1</x:v>
      </x:c>
      <x:c r="E874" s="34" t="str">
        <x:v>지연·현물조달</x:v>
      </x:c>
      <x:c r="F874" s="34" t="str">
        <x:v>PORT-A7F00CD0D5D9</x:v>
      </x:c>
      <x:c r="G874" s="34" t="str">
        <x:v>DISCLOSED_PATH</x:v>
      </x:c>
      <x:c r="H874" s="34" t="n">
        <x:v>4</x:v>
      </x:c>
      <x:c r="I874" s="34" t="n">
        <x:v>2029</x:v>
      </x:c>
      <x:c r="J874" s="34" t="n">
        <x:v>2036</x:v>
      </x:c>
      <x:c r="K874" s="34" t="n">
        <x:v>0.558333</x:v>
      </x:c>
      <x:c r="L874" s="34" t="n">
        <x:v>0.408333</x:v>
      </x:c>
      <x:c r="M874" s="34" t="n">
        <x:v>0</x:v>
      </x:c>
      <x:c r="N874" s="34" t="n">
        <x:v>0.033333</x:v>
      </x:c>
      <x:c r="O874" s="34" t="n">
        <x:v>0</x:v>
      </x:c>
      <x:c r="P874" s="34" t="n">
        <x:v>0</x:v>
      </x:c>
      <x:c r="Q874" s="34" t="n">
        <x:v>0.1</x:v>
      </x:c>
      <x:c r="R874" s="34" t="n">
        <x:v>0</x:v>
      </x:c>
      <x:c r="S874" s="34" t="n">
        <x:v>0</x:v>
      </x:c>
      <x:c r="T874" s="34" t="n">
        <x:v>145.575874</x:v>
      </x:c>
      <x:c r="U874" s="34" t="str">
        <x:v>JFE-CHIBA:BF_RELINE:2036|JFE-FUKU:SCRAP_EAF:2033|JFE-KURA:BF_RELINE:2029|JFE-SENDAI:EAF_RENEWABLE:2033</x:v>
      </x:c>
      <x:c r="V874" s="34" t="str">
        <x:v>model_generated_candidate</x:v>
      </x:c>
      <x:c r="W874" s="34" t="str">
        <x:v>Generated from disclosed-path facility calendar, technology set and template contracting assumptions; not a company-announced project</x:v>
      </x:c>
    </x:row>
    <x:row r="875">
      <x:c r="A875" s="34" t="str">
        <x:v>CAND-EBDED9A4383BD3</x:v>
      </x:c>
      <x:c r="B875" s="34" t="str">
        <x:v>JFE_STEEL_JP</x:v>
      </x:c>
      <x:c r="C875" s="34" t="str">
        <x:v>JFE Steel</x:v>
      </x:c>
      <x:c r="D875" s="34" t="str">
        <x:v>P5</x:v>
      </x:c>
      <x:c r="E875" s="34" t="str">
        <x:v>조기 계약형 전환</x:v>
      </x:c>
      <x:c r="F875" s="34" t="str">
        <x:v>PORT-4577AB24CD05</x:v>
      </x:c>
      <x:c r="G875" s="34" t="str">
        <x:v>DISCLOSED_PATH</x:v>
      </x:c>
      <x:c r="H875" s="34" t="n">
        <x:v>4</x:v>
      </x:c>
      <x:c r="I875" s="34" t="n">
        <x:v>2028</x:v>
      </x:c>
      <x:c r="J875" s="34" t="n">
        <x:v>2035</x:v>
      </x:c>
      <x:c r="K875" s="34" t="n">
        <x:v>0</x:v>
      </x:c>
      <x:c r="L875" s="34" t="n">
        <x:v>0</x:v>
      </x:c>
      <x:c r="M875" s="34" t="n">
        <x:v>0.966667</x:v>
      </x:c>
      <x:c r="N875" s="34" t="n">
        <x:v>0.033333</x:v>
      </x:c>
      <x:c r="O875" s="34" t="n">
        <x:v>0.7</x:v>
      </x:c>
      <x:c r="P875" s="34" t="n">
        <x:v>0.65</x:v>
      </x:c>
      <x:c r="Q875" s="34" t="n">
        <x:v>0.65</x:v>
      </x:c>
      <x:c r="R875" s="34" t="n">
        <x:v>0.6</x:v>
      </x:c>
      <x:c r="S875" s="34" t="n">
        <x:v>0.025</x:v>
      </x:c>
      <x:c r="T875" s="34" t="n">
        <x:v>389.600851</x:v>
      </x:c>
      <x:c r="U875" s="34" t="str">
        <x:v>JFE-CHIBA:H2_DRI_EAF:2035|JFE-FUKU:H2_DRI_EAF:2032|JFE-KURA:H2_DRI_EAF:2028|JFE-SENDAI:EAF_RENEWABLE:2032</x:v>
      </x:c>
      <x:c r="V875" s="34" t="str">
        <x:v>model_generated_candidate</x:v>
      </x:c>
      <x:c r="W875" s="34" t="str">
        <x:v>Generated from disclosed-path facility calendar, technology set and template contracting assumptions; not a company-announced project</x:v>
      </x:c>
    </x:row>
    <x:row r="876">
      <x:c r="A876" s="34" t="str">
        <x:v>CAND-ED25426FC3D2E1</x:v>
      </x:c>
      <x:c r="B876" s="34" t="str">
        <x:v>JFE_STEEL_JP</x:v>
      </x:c>
      <x:c r="C876" s="34" t="str">
        <x:v>JFE Steel</x:v>
      </x:c>
      <x:c r="D876" s="34" t="str">
        <x:v>P4</x:v>
      </x:c>
      <x:c r="E876" s="34" t="str">
        <x:v>균형형 전환</x:v>
      </x:c>
      <x:c r="F876" s="34" t="str">
        <x:v>PORT-C1D4A288CC05</x:v>
      </x:c>
      <x:c r="G876" s="34" t="str">
        <x:v>DISCLOSED_PATH</x:v>
      </x:c>
      <x:c r="H876" s="34" t="n">
        <x:v>4</x:v>
      </x:c>
      <x:c r="I876" s="34" t="n">
        <x:v>2028</x:v>
      </x:c>
      <x:c r="J876" s="34" t="n">
        <x:v>2035</x:v>
      </x:c>
      <x:c r="K876" s="34" t="n">
        <x:v>0.408333</x:v>
      </x:c>
      <x:c r="L876" s="34" t="n">
        <x:v>0</x:v>
      </x:c>
      <x:c r="M876" s="34" t="n">
        <x:v>0.558333</x:v>
      </x:c>
      <x:c r="N876" s="34" t="n">
        <x:v>0.033333</x:v>
      </x:c>
      <x:c r="O876" s="34" t="n">
        <x:v>0.5</x:v>
      </x:c>
      <x:c r="P876" s="34" t="n">
        <x:v>0.45</x:v>
      </x:c>
      <x:c r="Q876" s="34" t="n">
        <x:v>0.5</x:v>
      </x:c>
      <x:c r="R876" s="34" t="n">
        <x:v>0.4</x:v>
      </x:c>
      <x:c r="S876" s="34" t="n">
        <x:v>0.02</x:v>
      </x:c>
      <x:c r="T876" s="34" t="n">
        <x:v>251.900903</x:v>
      </x:c>
      <x:c r="U876" s="34" t="str">
        <x:v>JFE-CHIBA:H2_DRI_EAF:2035|JFE-FUKU:BF_RELINE:2032|JFE-KURA:H2_DRI_EAF:2028|JFE-SENDAI:EAF_RENEWABLE:2032</x:v>
      </x:c>
      <x:c r="V876" s="34" t="str">
        <x:v>model_generated_candidate</x:v>
      </x:c>
      <x:c r="W876" s="34" t="str">
        <x:v>Generated from disclosed-path facility calendar, technology set and template contracting assumptions; not a company-announced project</x:v>
      </x:c>
    </x:row>
    <x:row r="877">
      <x:c r="A877" s="34" t="str">
        <x:v>CAND-F1788FF7DCC7F6</x:v>
      </x:c>
      <x:c r="B877" s="34" t="str">
        <x:v>JFE_STEEL_JP</x:v>
      </x:c>
      <x:c r="C877" s="34" t="str">
        <x:v>JFE Steel</x:v>
      </x:c>
      <x:c r="D877" s="34" t="str">
        <x:v>P2</x:v>
      </x:c>
      <x:c r="E877" s="34" t="str">
        <x:v>지연·부분헤지</x:v>
      </x:c>
      <x:c r="F877" s="34" t="str">
        <x:v>PORT-E3494C854A0D</x:v>
      </x:c>
      <x:c r="G877" s="34" t="str">
        <x:v>DISCLOSED_PATH</x:v>
      </x:c>
      <x:c r="H877" s="34" t="n">
        <x:v>4</x:v>
      </x:c>
      <x:c r="I877" s="34" t="n">
        <x:v>2029</x:v>
      </x:c>
      <x:c r="J877" s="34" t="n">
        <x:v>2036</x:v>
      </x:c>
      <x:c r="K877" s="34" t="n">
        <x:v>0</x:v>
      </x:c>
      <x:c r="L877" s="34" t="n">
        <x:v>0.658333</x:v>
      </x:c>
      <x:c r="M877" s="34" t="n">
        <x:v>0.308333</x:v>
      </x:c>
      <x:c r="N877" s="34" t="n">
        <x:v>0.033333</x:v>
      </x:c>
      <x:c r="O877" s="34" t="n">
        <x:v>0.15</x:v>
      </x:c>
      <x:c r="P877" s="34" t="n">
        <x:v>0.1</x:v>
      </x:c>
      <x:c r="Q877" s="34" t="n">
        <x:v>0.2</x:v>
      </x:c>
      <x:c r="R877" s="34" t="n">
        <x:v>0.1</x:v>
      </x:c>
      <x:c r="S877" s="34" t="n">
        <x:v>0.01</x:v>
      </x:c>
      <x:c r="T877" s="34" t="n">
        <x:v>323.808372</x:v>
      </x:c>
      <x:c r="U877" s="34" t="str">
        <x:v>JFE-CHIBA:SCRAP_EAF:2036|JFE-FUKU:SCRAP_EAF:2033|JFE-KURA:H2_DRI_EAF:2029|JFE-SENDAI:EAF_RENEWABLE:2033</x:v>
      </x:c>
      <x:c r="V877" s="34" t="str">
        <x:v>model_generated_candidate</x:v>
      </x:c>
      <x:c r="W877" s="34" t="str">
        <x:v>Generated from disclosed-path facility calendar, technology set and template contracting assumptions; not a company-announced project</x:v>
      </x:c>
    </x:row>
    <x:row r="878">
      <x:c r="A878" s="34" t="str">
        <x:v>CAND-F4B6AD5FB08D71</x:v>
      </x:c>
      <x:c r="B878" s="34" t="str">
        <x:v>JFE_STEEL_JP</x:v>
      </x:c>
      <x:c r="C878" s="34" t="str">
        <x:v>JFE Steel</x:v>
      </x:c>
      <x:c r="D878" s="34" t="str">
        <x:v>P2</x:v>
      </x:c>
      <x:c r="E878" s="34" t="str">
        <x:v>지연·부분헤지</x:v>
      </x:c>
      <x:c r="F878" s="34" t="str">
        <x:v>PORT-51A2628EF9C2</x:v>
      </x:c>
      <x:c r="G878" s="34" t="str">
        <x:v>DISCLOSED_PATH</x:v>
      </x:c>
      <x:c r="H878" s="34" t="n">
        <x:v>4</x:v>
      </x:c>
      <x:c r="I878" s="34" t="n">
        <x:v>2029</x:v>
      </x:c>
      <x:c r="J878" s="34" t="n">
        <x:v>2036</x:v>
      </x:c>
      <x:c r="K878" s="34" t="n">
        <x:v>0</x:v>
      </x:c>
      <x:c r="L878" s="34" t="n">
        <x:v>0.308333</x:v>
      </x:c>
      <x:c r="M878" s="34" t="n">
        <x:v>0.658333</x:v>
      </x:c>
      <x:c r="N878" s="34" t="n">
        <x:v>0.033333</x:v>
      </x:c>
      <x:c r="O878" s="34" t="n">
        <x:v>0.15</x:v>
      </x:c>
      <x:c r="P878" s="34" t="n">
        <x:v>0.1</x:v>
      </x:c>
      <x:c r="Q878" s="34" t="n">
        <x:v>0.2</x:v>
      </x:c>
      <x:c r="R878" s="34" t="n">
        <x:v>0.1</x:v>
      </x:c>
      <x:c r="S878" s="34" t="n">
        <x:v>0.01</x:v>
      </x:c>
      <x:c r="T878" s="34" t="n">
        <x:v>328.220861</x:v>
      </x:c>
      <x:c r="U878" s="34" t="str">
        <x:v>JFE-CHIBA:H2_DRI_EAF:2036|JFE-FUKU:H2_DRI_EAF:2033|JFE-KURA:SCRAP_EAF:2029|JFE-SENDAI:EAF_RENEWABLE:2033</x:v>
      </x:c>
      <x:c r="V878" s="34" t="str">
        <x:v>model_generated_candidate</x:v>
      </x:c>
      <x:c r="W878" s="34" t="str">
        <x:v>Generated from disclosed-path facility calendar, technology set and template contracting assumptions; not a company-announced project</x:v>
      </x:c>
    </x:row>
    <x:row r="879">
      <x:c r="A879" s="34" t="str">
        <x:v>CAND-F90CEA29183281</x:v>
      </x:c>
      <x:c r="B879" s="34" t="str">
        <x:v>JFE_STEEL_JP</x:v>
      </x:c>
      <x:c r="C879" s="34" t="str">
        <x:v>JFE Steel</x:v>
      </x:c>
      <x:c r="D879" s="34" t="str">
        <x:v>P2</x:v>
      </x:c>
      <x:c r="E879" s="34" t="str">
        <x:v>지연·부분헤지</x:v>
      </x:c>
      <x:c r="F879" s="34" t="str">
        <x:v>PORT-53E6F75011D5</x:v>
      </x:c>
      <x:c r="G879" s="34" t="str">
        <x:v>DISCLOSED_PATH</x:v>
      </x:c>
      <x:c r="H879" s="34" t="n">
        <x:v>4</x:v>
      </x:c>
      <x:c r="I879" s="34" t="n">
        <x:v>2029</x:v>
      </x:c>
      <x:c r="J879" s="34" t="n">
        <x:v>2036</x:v>
      </x:c>
      <x:c r="K879" s="34" t="n">
        <x:v>0.658333</x:v>
      </x:c>
      <x:c r="L879" s="34" t="n">
        <x:v>0</x:v>
      </x:c>
      <x:c r="M879" s="34" t="n">
        <x:v>0.308333</x:v>
      </x:c>
      <x:c r="N879" s="34" t="n">
        <x:v>0.033333</x:v>
      </x:c>
      <x:c r="O879" s="34" t="n">
        <x:v>0.15</x:v>
      </x:c>
      <x:c r="P879" s="34" t="n">
        <x:v>0.1</x:v>
      </x:c>
      <x:c r="Q879" s="34" t="n">
        <x:v>0.2</x:v>
      </x:c>
      <x:c r="R879" s="34" t="n">
        <x:v>0.1</x:v>
      </x:c>
      <x:c r="S879" s="34" t="n">
        <x:v>0.01</x:v>
      </x:c>
      <x:c r="T879" s="34" t="n">
        <x:v>179.895926</x:v>
      </x:c>
      <x:c r="U879" s="34" t="str">
        <x:v>JFE-CHIBA:BF_RELINE:2036|JFE-FUKU:BF_RELINE:2033|JFE-KURA:H2_DRI_EAF:2029|JFE-SENDAI:EAF_RENEWABLE:2033</x:v>
      </x:c>
      <x:c r="V879" s="34" t="str">
        <x:v>model_generated_candidate</x:v>
      </x:c>
      <x:c r="W879" s="34" t="str">
        <x:v>Generated from disclosed-path facility calendar, technology set and template contracting assumptions; not a company-announced project</x:v>
      </x:c>
    </x:row>
    <x:row r="880">
      <x:c r="A880" s="34" t="str">
        <x:v>CAND-FA1953D51D82F3</x:v>
      </x:c>
      <x:c r="B880" s="34" t="str">
        <x:v>JFE_STEEL_JP</x:v>
      </x:c>
      <x:c r="C880" s="34" t="str">
        <x:v>JFE Steel</x:v>
      </x:c>
      <x:c r="D880" s="34" t="str">
        <x:v>P3</x:v>
      </x:c>
      <x:c r="E880" s="34" t="str">
        <x:v>균형형 라이트헤지</x:v>
      </x:c>
      <x:c r="F880" s="34" t="str">
        <x:v>PORT-0FD37D80B1EA</x:v>
      </x:c>
      <x:c r="G880" s="34" t="str">
        <x:v>DISCLOSED_PATH</x:v>
      </x:c>
      <x:c r="H880" s="34" t="n">
        <x:v>4</x:v>
      </x:c>
      <x:c r="I880" s="34" t="n">
        <x:v>2029</x:v>
      </x:c>
      <x:c r="J880" s="34" t="n">
        <x:v>2036</x:v>
      </x:c>
      <x:c r="K880" s="34" t="n">
        <x:v>0</x:v>
      </x:c>
      <x:c r="L880" s="34" t="n">
        <x:v>0.408333</x:v>
      </x:c>
      <x:c r="M880" s="34" t="n">
        <x:v>0.558333</x:v>
      </x:c>
      <x:c r="N880" s="34" t="n">
        <x:v>0.033333</x:v>
      </x:c>
      <x:c r="O880" s="34" t="n">
        <x:v>0.3</x:v>
      </x:c>
      <x:c r="P880" s="34" t="n">
        <x:v>0.25</x:v>
      </x:c>
      <x:c r="Q880" s="34" t="n">
        <x:v>0.35</x:v>
      </x:c>
      <x:c r="R880" s="34" t="n">
        <x:v>0.25</x:v>
      </x:c>
      <x:c r="S880" s="34" t="n">
        <x:v>0.015</x:v>
      </x:c>
      <x:c r="T880" s="34" t="n">
        <x:v>330.620869</x:v>
      </x:c>
      <x:c r="U880" s="34" t="str">
        <x:v>JFE-CHIBA:H2_DRI_EAF:2036|JFE-FUKU:SCRAP_EAF:2033|JFE-KURA:H2_DRI_EAF:2029|JFE-SENDAI:EAF_RENEWABLE:2033</x:v>
      </x:c>
      <x:c r="V880" s="34" t="str">
        <x:v>model_generated_candidate</x:v>
      </x:c>
      <x:c r="W880" s="34" t="str">
        <x:v>Generated from disclosed-path facility calendar, technology set and template contracting assumptions; not a company-announced project</x:v>
      </x:c>
    </x:row>
    <x:row r="881">
      <x:c r="A881" s="34" t="str">
        <x:v>CAND-FA780AD266A327</x:v>
      </x:c>
      <x:c r="B881" s="34" t="str">
        <x:v>JFE_STEEL_JP</x:v>
      </x:c>
      <x:c r="C881" s="34" t="str">
        <x:v>JFE Steel</x:v>
      </x:c>
      <x:c r="D881" s="34" t="str">
        <x:v>P1</x:v>
      </x:c>
      <x:c r="E881" s="34" t="str">
        <x:v>지연·현물조달</x:v>
      </x:c>
      <x:c r="F881" s="34" t="str">
        <x:v>PORT-53E6F75011D5</x:v>
      </x:c>
      <x:c r="G881" s="34" t="str">
        <x:v>DISCLOSED_PATH</x:v>
      </x:c>
      <x:c r="H881" s="34" t="n">
        <x:v>4</x:v>
      </x:c>
      <x:c r="I881" s="34" t="n">
        <x:v>2029</x:v>
      </x:c>
      <x:c r="J881" s="34" t="n">
        <x:v>2036</x:v>
      </x:c>
      <x:c r="K881" s="34" t="n">
        <x:v>0.658333</x:v>
      </x:c>
      <x:c r="L881" s="34" t="n">
        <x:v>0</x:v>
      </x:c>
      <x:c r="M881" s="34" t="n">
        <x:v>0.308333</x:v>
      </x:c>
      <x:c r="N881" s="34" t="n">
        <x:v>0.033333</x:v>
      </x:c>
      <x:c r="O881" s="34" t="n">
        <x:v>0</x:v>
      </x:c>
      <x:c r="P881" s="34" t="n">
        <x:v>0</x:v>
      </x:c>
      <x:c r="Q881" s="34" t="n">
        <x:v>0.1</x:v>
      </x:c>
      <x:c r="R881" s="34" t="n">
        <x:v>0</x:v>
      </x:c>
      <x:c r="S881" s="34" t="n">
        <x:v>0</x:v>
      </x:c>
      <x:c r="T881" s="34" t="n">
        <x:v>179.895926</x:v>
      </x:c>
      <x:c r="U881" s="34" t="str">
        <x:v>JFE-CHIBA:BF_RELINE:2036|JFE-FUKU:BF_RELINE:2033|JFE-KURA:H2_DRI_EAF:2029|JFE-SENDAI:EAF_RENEWABLE:2033</x:v>
      </x:c>
      <x:c r="V881" s="34" t="str">
        <x:v>model_generated_candidate</x:v>
      </x:c>
      <x:c r="W881" s="34" t="str">
        <x:v>Generated from disclosed-path facility calendar, technology set and template contracting assumptions; not a company-announced project</x:v>
      </x:c>
    </x:row>
    <x:row r="882">
      <x:c r="A882" s="34" t="str">
        <x:v>CAND-FBA2EEA416EBAD</x:v>
      </x:c>
      <x:c r="B882" s="34" t="str">
        <x:v>JFE_STEEL_JP</x:v>
      </x:c>
      <x:c r="C882" s="34" t="str">
        <x:v>JFE Steel</x:v>
      </x:c>
      <x:c r="D882" s="34" t="str">
        <x:v>P1</x:v>
      </x:c>
      <x:c r="E882" s="34" t="str">
        <x:v>지연·현물조달</x:v>
      </x:c>
      <x:c r="F882" s="34" t="str">
        <x:v>PORT-3776FB32D8CF</x:v>
      </x:c>
      <x:c r="G882" s="34" t="str">
        <x:v>DISCLOSED_PATH</x:v>
      </x:c>
      <x:c r="H882" s="34" t="n">
        <x:v>4</x:v>
      </x:c>
      <x:c r="I882" s="34" t="n">
        <x:v>2029</x:v>
      </x:c>
      <x:c r="J882" s="34" t="n">
        <x:v>2036</x:v>
      </x:c>
      <x:c r="K882" s="34" t="n">
        <x:v>0.25</x:v>
      </x:c>
      <x:c r="L882" s="34" t="n">
        <x:v>0.408333</x:v>
      </x:c>
      <x:c r="M882" s="34" t="n">
        <x:v>0.308333</x:v>
      </x:c>
      <x:c r="N882" s="34" t="n">
        <x:v>0.033333</x:v>
      </x:c>
      <x:c r="O882" s="34" t="n">
        <x:v>0</x:v>
      </x:c>
      <x:c r="P882" s="34" t="n">
        <x:v>0</x:v>
      </x:c>
      <x:c r="Q882" s="34" t="n">
        <x:v>0.1</x:v>
      </x:c>
      <x:c r="R882" s="34" t="n">
        <x:v>0</x:v>
      </x:c>
      <x:c r="S882" s="34" t="n">
        <x:v>0</x:v>
      </x:c>
      <x:c r="T882" s="34" t="n">
        <x:v>284.295886</x:v>
      </x:c>
      <x:c r="U882" s="34" t="str">
        <x:v>JFE-CHIBA:BF_RELINE:2036|JFE-FUKU:SCRAP_EAF:2033|JFE-KURA:H2_DRI_EAF:2029|JFE-SENDAI:EAF_RENEWABLE:2033</x:v>
      </x:c>
      <x:c r="V882" s="34" t="str">
        <x:v>model_generated_candidate</x:v>
      </x:c>
      <x:c r="W882" s="34" t="str">
        <x:v>Generated from disclosed-path facility calendar, technology set and template contracting assumptions; not a company-announced project</x:v>
      </x:c>
    </x:row>
    <x:row r="883">
      <x:c r="A883" s="34" t="str">
        <x:v>CAND-FC0AA3F9FE37C6</x:v>
      </x:c>
      <x:c r="B883" s="34" t="str">
        <x:v>JFE_STEEL_JP</x:v>
      </x:c>
      <x:c r="C883" s="34" t="str">
        <x:v>JFE Steel</x:v>
      </x:c>
      <x:c r="D883" s="34" t="str">
        <x:v>P3</x:v>
      </x:c>
      <x:c r="E883" s="34" t="str">
        <x:v>균형형 라이트헤지</x:v>
      </x:c>
      <x:c r="F883" s="34" t="str">
        <x:v>PORT-E5F3D5116135</x:v>
      </x:c>
      <x:c r="G883" s="34" t="str">
        <x:v>DISCLOSED_PATH</x:v>
      </x:c>
      <x:c r="H883" s="34" t="n">
        <x:v>4</x:v>
      </x:c>
      <x:c r="I883" s="34" t="n">
        <x:v>2029</x:v>
      </x:c>
      <x:c r="J883" s="34" t="n">
        <x:v>2036</x:v>
      </x:c>
      <x:c r="K883" s="34" t="n">
        <x:v>0</x:v>
      </x:c>
      <x:c r="L883" s="34" t="n">
        <x:v>0.558333</x:v>
      </x:c>
      <x:c r="M883" s="34" t="n">
        <x:v>0.408333</x:v>
      </x:c>
      <x:c r="N883" s="34" t="n">
        <x:v>0.033333</x:v>
      </x:c>
      <x:c r="O883" s="34" t="n">
        <x:v>0.3</x:v>
      </x:c>
      <x:c r="P883" s="34" t="n">
        <x:v>0.25</x:v>
      </x:c>
      <x:c r="Q883" s="34" t="n">
        <x:v>0.35</x:v>
      </x:c>
      <x:c r="R883" s="34" t="n">
        <x:v>0.25</x:v>
      </x:c>
      <x:c r="S883" s="34" t="n">
        <x:v>0.015</x:v>
      </x:c>
      <x:c r="T883" s="34" t="n">
        <x:v>321.408363</x:v>
      </x:c>
      <x:c r="U883" s="34" t="str">
        <x:v>JFE-CHIBA:SCRAP_EAF:2036|JFE-FUKU:H2_DRI_EAF:2033|JFE-KURA:SCRAP_EAF:2029|JFE-SENDAI:EAF_RENEWABLE:2033</x:v>
      </x:c>
      <x:c r="V883" s="34" t="str">
        <x:v>model_generated_candidate</x:v>
      </x:c>
      <x:c r="W883" s="34" t="str">
        <x:v>Generated from disclosed-path facility calendar, technology set and template contracting assumptions; not a company-announced project</x:v>
      </x:c>
    </x:row>
    <x:row r="884">
      <x:c r="A884" s="34" t="str">
        <x:v>CAND-FCDB7C1BD7991A</x:v>
      </x:c>
      <x:c r="B884" s="34" t="str">
        <x:v>JFE_STEEL_JP</x:v>
      </x:c>
      <x:c r="C884" s="34" t="str">
        <x:v>JFE Steel</x:v>
      </x:c>
      <x:c r="D884" s="34" t="str">
        <x:v>P1</x:v>
      </x:c>
      <x:c r="E884" s="34" t="str">
        <x:v>지연·현물조달</x:v>
      </x:c>
      <x:c r="F884" s="34" t="str">
        <x:v>PORT-51A2628EF9C2</x:v>
      </x:c>
      <x:c r="G884" s="34" t="str">
        <x:v>DISCLOSED_PATH</x:v>
      </x:c>
      <x:c r="H884" s="34" t="n">
        <x:v>4</x:v>
      </x:c>
      <x:c r="I884" s="34" t="n">
        <x:v>2029</x:v>
      </x:c>
      <x:c r="J884" s="34" t="n">
        <x:v>2036</x:v>
      </x:c>
      <x:c r="K884" s="34" t="n">
        <x:v>0</x:v>
      </x:c>
      <x:c r="L884" s="34" t="n">
        <x:v>0.308333</x:v>
      </x:c>
      <x:c r="M884" s="34" t="n">
        <x:v>0.658333</x:v>
      </x:c>
      <x:c r="N884" s="34" t="n">
        <x:v>0.033333</x:v>
      </x:c>
      <x:c r="O884" s="34" t="n">
        <x:v>0</x:v>
      </x:c>
      <x:c r="P884" s="34" t="n">
        <x:v>0</x:v>
      </x:c>
      <x:c r="Q884" s="34" t="n">
        <x:v>0.1</x:v>
      </x:c>
      <x:c r="R884" s="34" t="n">
        <x:v>0</x:v>
      </x:c>
      <x:c r="S884" s="34" t="n">
        <x:v>0</x:v>
      </x:c>
      <x:c r="T884" s="34" t="n">
        <x:v>328.220861</x:v>
      </x:c>
      <x:c r="U884" s="34" t="str">
        <x:v>JFE-CHIBA:H2_DRI_EAF:2036|JFE-FUKU:H2_DRI_EAF:2033|JFE-KURA:SCRAP_EAF:2029|JFE-SENDAI:EAF_RENEWABLE:2033</x:v>
      </x:c>
      <x:c r="V884" s="34" t="str">
        <x:v>model_generated_candidate</x:v>
      </x:c>
      <x:c r="W884" s="34" t="str">
        <x:v>Generated from disclosed-path facility calendar, technology set and template contracting assumptions; not a company-announced project</x:v>
      </x:c>
    </x:row>
    <x:row r="885">
      <x:c r="A885" s="34" t="str">
        <x:v>CAND-FEEEE79CE73C24</x:v>
      </x:c>
      <x:c r="B885" s="34" t="str">
        <x:v>JFE_STEEL_JP</x:v>
      </x:c>
      <x:c r="C885" s="34" t="str">
        <x:v>JFE Steel</x:v>
      </x:c>
      <x:c r="D885" s="34" t="str">
        <x:v>P2</x:v>
      </x:c>
      <x:c r="E885" s="34" t="str">
        <x:v>지연·부분헤지</x:v>
      </x:c>
      <x:c r="F885" s="34" t="str">
        <x:v>PORT-7F45069F34E3</x:v>
      </x:c>
      <x:c r="G885" s="34" t="str">
        <x:v>DISCLOSED_PATH</x:v>
      </x:c>
      <x:c r="H885" s="34" t="n">
        <x:v>4</x:v>
      </x:c>
      <x:c r="I885" s="34" t="n">
        <x:v>2029</x:v>
      </x:c>
      <x:c r="J885" s="34" t="n">
        <x:v>2036</x:v>
      </x:c>
      <x:c r="K885" s="34" t="n">
        <x:v>0.308333</x:v>
      </x:c>
      <x:c r="L885" s="34" t="n">
        <x:v>0.25</x:v>
      </x:c>
      <x:c r="M885" s="34" t="n">
        <x:v>0.408333</x:v>
      </x:c>
      <x:c r="N885" s="34" t="n">
        <x:v>0.033333</x:v>
      </x:c>
      <x:c r="O885" s="34" t="n">
        <x:v>0.15</x:v>
      </x:c>
      <x:c r="P885" s="34" t="n">
        <x:v>0.1</x:v>
      </x:c>
      <x:c r="Q885" s="34" t="n">
        <x:v>0.2</x:v>
      </x:c>
      <x:c r="R885" s="34" t="n">
        <x:v>0.1</x:v>
      </x:c>
      <x:c r="S885" s="34" t="n">
        <x:v>0.01</x:v>
      </x:c>
      <x:c r="T885" s="34" t="n">
        <x:v>203.088353</x:v>
      </x:c>
      <x:c r="U885" s="34" t="str">
        <x:v>JFE-CHIBA:SCRAP_EAF:2036|JFE-FUKU:H2_DRI_EAF:2033|JFE-KURA:BF_RELINE:2029|JFE-SENDAI:EAF_RENEWABLE:2033</x:v>
      </x:c>
      <x:c r="V885" s="34" t="str">
        <x:v>model_generated_candidate</x:v>
      </x:c>
      <x:c r="W885" s="34" t="str">
        <x:v>Generated from disclosed-path facility calendar, technology set and template contracting assumptions; not a company-announced project</x:v>
      </x:c>
    </x:row>
    <x:row r="886">
      <x:c r="A886" s="34" t="str">
        <x:v>CAND-FFE34BEEEA3D2A</x:v>
      </x:c>
      <x:c r="B886" s="34" t="str">
        <x:v>JFE_STEEL_JP</x:v>
      </x:c>
      <x:c r="C886" s="34" t="str">
        <x:v>JFE Steel</x:v>
      </x:c>
      <x:c r="D886" s="34" t="str">
        <x:v>P1</x:v>
      </x:c>
      <x:c r="E886" s="34" t="str">
        <x:v>지연·현물조달</x:v>
      </x:c>
      <x:c r="F886" s="34" t="str">
        <x:v>PORT-183A0BF03169</x:v>
      </x:c>
      <x:c r="G886" s="34" t="str">
        <x:v>DISCLOSED_PATH</x:v>
      </x:c>
      <x:c r="H886" s="34" t="n">
        <x:v>4</x:v>
      </x:c>
      <x:c r="I886" s="34" t="n">
        <x:v>2029</x:v>
      </x:c>
      <x:c r="J886" s="34" t="n">
        <x:v>2036</x:v>
      </x:c>
      <x:c r="K886" s="34" t="n">
        <x:v>0.966667</x:v>
      </x:c>
      <x:c r="L886" s="34" t="n">
        <x:v>0</x:v>
      </x:c>
      <x:c r="M886" s="34" t="n">
        <x:v>0</x:v>
      </x:c>
      <x:c r="N886" s="34" t="n">
        <x:v>0.033333</x:v>
      </x:c>
      <x:c r="O886" s="34" t="n">
        <x:v>0</x:v>
      </x:c>
      <x:c r="P886" s="34" t="n">
        <x:v>0</x:v>
      </x:c>
      <x:c r="Q886" s="34" t="n">
        <x:v>0.1</x:v>
      </x:c>
      <x:c r="R886" s="34" t="n">
        <x:v>0</x:v>
      </x:c>
      <x:c r="S886" s="34" t="n">
        <x:v>0</x:v>
      </x:c>
      <x:c r="T886" s="34" t="n">
        <x:v>41.175913</x:v>
      </x:c>
      <x:c r="U886" s="34" t="str">
        <x:v>JFE-CHIBA:BF_RELINE:2036|JFE-FUKU:BF_RELINE:2033|JFE-KURA:BF_RELINE:2029|JFE-SENDAI:EAF_RENEWABLE:2033</x:v>
      </x:c>
      <x:c r="V886" s="34" t="str">
        <x:v>model_generated_candidate</x:v>
      </x:c>
      <x:c r="W886" s="34" t="str">
        <x:v>Generated from disclosed-path facility calendar, technology set and template contracting assumptions; not a company-announced project</x:v>
      </x:c>
    </x:row>
    <x:row r="887">
      <x:c r="A887" s="34" t="str">
        <x:v>CAND-0E9003448A63C3</x:v>
      </x:c>
      <x:c r="B887" s="34" t="str">
        <x:v>KOBE_STEEL_JP</x:v>
      </x:c>
      <x:c r="C887" s="34" t="str">
        <x:v>Kobe Steel</x:v>
      </x:c>
      <x:c r="D887" s="34" t="str">
        <x:v>P7</x:v>
      </x:c>
      <x:c r="E887" s="34" t="str">
        <x:v>완전 수소·계약형</x:v>
      </x:c>
      <x:c r="F887" s="34" t="str">
        <x:v>PORT-F194BB679477</x:v>
      </x:c>
      <x:c r="G887" s="34" t="str">
        <x:v>DISCLOSED_PATH</x:v>
      </x:c>
      <x:c r="H887" s="34" t="n">
        <x:v>3</x:v>
      </x:c>
      <x:c r="I887" s="34" t="n">
        <x:v>2028</x:v>
      </x:c>
      <x:c r="J887" s="34" t="n">
        <x:v>2034</x:v>
      </x:c>
      <x:c r="K887" s="34" t="n">
        <x:v>0</x:v>
      </x:c>
      <x:c r="L887" s="34" t="n">
        <x:v>0</x:v>
      </x:c>
      <x:c r="M887" s="34" t="n">
        <x:v>0.977918</x:v>
      </x:c>
      <x:c r="N887" s="34" t="n">
        <x:v>0.022082</x:v>
      </x:c>
      <x:c r="O887" s="34" t="n">
        <x:v>1</x:v>
      </x:c>
      <x:c r="P887" s="34" t="n">
        <x:v>0.95</x:v>
      </x:c>
      <x:c r="Q887" s="34" t="n">
        <x:v>0.95</x:v>
      </x:c>
      <x:c r="R887" s="34" t="n">
        <x:v>0.9</x:v>
      </x:c>
      <x:c r="S887" s="34" t="n">
        <x:v>0.045</x:v>
      </x:c>
      <x:c r="T887" s="34" t="n">
        <x:v>131.48782</x:v>
      </x:c>
      <x:c r="U887" s="34" t="str">
        <x:v>KOB-BF1:H2_DRI_EAF:2028|KOB-BF3:H2_DRI_EAF:2034|KOB-TAKA:EAF_RENEWABLE:2030</x:v>
      </x:c>
      <x:c r="V887" s="34" t="str">
        <x:v>model_generated_candidate</x:v>
      </x:c>
      <x:c r="W887" s="34" t="str">
        <x:v>Generated from disclosed-path facility calendar, technology set and template contracting assumptions; not a company-announced project</x:v>
      </x:c>
    </x:row>
    <x:row r="888">
      <x:c r="A888" s="34" t="str">
        <x:v>CAND-17BC99375C7C5C</x:v>
      </x:c>
      <x:c r="B888" s="34" t="str">
        <x:v>KOBE_STEEL_JP</x:v>
      </x:c>
      <x:c r="C888" s="34" t="str">
        <x:v>Kobe Steel</x:v>
      </x:c>
      <x:c r="D888" s="34" t="str">
        <x:v>P1</x:v>
      </x:c>
      <x:c r="E888" s="34" t="str">
        <x:v>지연·현물조달</x:v>
      </x:c>
      <x:c r="F888" s="34" t="str">
        <x:v>PORT-3DA05887C62D</x:v>
      </x:c>
      <x:c r="G888" s="34" t="str">
        <x:v>DISCLOSED_PATH</x:v>
      </x:c>
      <x:c r="H888" s="34" t="n">
        <x:v>3</x:v>
      </x:c>
      <x:c r="I888" s="34" t="n">
        <x:v>2029</x:v>
      </x:c>
      <x:c r="J888" s="34" t="n">
        <x:v>2037</x:v>
      </x:c>
      <x:c r="K888" s="34" t="n">
        <x:v>0</x:v>
      </x:c>
      <x:c r="L888" s="34" t="n">
        <x:v>0.977918</x:v>
      </x:c>
      <x:c r="M888" s="34" t="n">
        <x:v>0</x:v>
      </x:c>
      <x:c r="N888" s="34" t="n">
        <x:v>0.022082</x:v>
      </x:c>
      <x:c r="O888" s="34" t="n">
        <x:v>0</x:v>
      </x:c>
      <x:c r="P888" s="34" t="n">
        <x:v>0</x:v>
      </x:c>
      <x:c r="Q888" s="34" t="n">
        <x:v>0.1</x:v>
      </x:c>
      <x:c r="R888" s="34" t="n">
        <x:v>0</x:v>
      </x:c>
      <x:c r="S888" s="34" t="n">
        <x:v>0</x:v>
      </x:c>
      <x:c r="T888" s="34" t="n">
        <x:v>93.541093</x:v>
      </x:c>
      <x:c r="U888" s="34" t="str">
        <x:v>KOB-BF1:SCRAP_EAF:2029|KOB-BF3:SCRAP_EAF:2037|KOB-TAKA:EAF_RENEWABLE:2033</x:v>
      </x:c>
      <x:c r="V888" s="34" t="str">
        <x:v>model_generated_candidate</x:v>
      </x:c>
      <x:c r="W888" s="34" t="str">
        <x:v>Generated from disclosed-path facility calendar, technology set and template contracting assumptions; not a company-announced project</x:v>
      </x:c>
    </x:row>
    <x:row r="889">
      <x:c r="A889" s="34" t="str">
        <x:v>CAND-202E0A81514742</x:v>
      </x:c>
      <x:c r="B889" s="34" t="str">
        <x:v>KOBE_STEEL_JP</x:v>
      </x:c>
      <x:c r="C889" s="34" t="str">
        <x:v>Kobe Steel</x:v>
      </x:c>
      <x:c r="D889" s="34" t="str">
        <x:v>P2</x:v>
      </x:c>
      <x:c r="E889" s="34" t="str">
        <x:v>지연·부분헤지</x:v>
      </x:c>
      <x:c r="F889" s="34" t="str">
        <x:v>PORT-5EAB84C29074</x:v>
      </x:c>
      <x:c r="G889" s="34" t="str">
        <x:v>DISCLOSED_PATH</x:v>
      </x:c>
      <x:c r="H889" s="34" t="n">
        <x:v>3</x:v>
      </x:c>
      <x:c r="I889" s="34" t="n">
        <x:v>2029</x:v>
      </x:c>
      <x:c r="J889" s="34" t="n">
        <x:v>2037</x:v>
      </x:c>
      <x:c r="K889" s="34" t="n">
        <x:v>0.481073</x:v>
      </x:c>
      <x:c r="L889" s="34" t="n">
        <x:v>0</x:v>
      </x:c>
      <x:c r="M889" s="34" t="n">
        <x:v>0.496845</x:v>
      </x:c>
      <x:c r="N889" s="34" t="n">
        <x:v>0.022082</x:v>
      </x:c>
      <x:c r="O889" s="34" t="n">
        <x:v>0.15</x:v>
      </x:c>
      <x:c r="P889" s="34" t="n">
        <x:v>0.1</x:v>
      </x:c>
      <x:c r="Q889" s="34" t="n">
        <x:v>0.2</x:v>
      </x:c>
      <x:c r="R889" s="34" t="n">
        <x:v>0.1</x:v>
      </x:c>
      <x:c r="S889" s="34" t="n">
        <x:v>0.01</x:v>
      </x:c>
      <x:c r="T889" s="34" t="n">
        <x:v>85.5131</x:v>
      </x:c>
      <x:c r="U889" s="34" t="str">
        <x:v>KOB-BF1:H2_DRI_EAF:2029|KOB-BF3:BF_RELINE:2037|KOB-TAKA:EAF_RENEWABLE:2033</x:v>
      </x:c>
      <x:c r="V889" s="34" t="str">
        <x:v>model_generated_candidate</x:v>
      </x:c>
      <x:c r="W889" s="34" t="str">
        <x:v>Generated from disclosed-path facility calendar, technology set and template contracting assumptions; not a company-announced project</x:v>
      </x:c>
    </x:row>
    <x:row r="890">
      <x:c r="A890" s="34" t="str">
        <x:v>CAND-20911E55FBB215</x:v>
      </x:c>
      <x:c r="B890" s="34" t="str">
        <x:v>KOBE_STEEL_JP</x:v>
      </x:c>
      <x:c r="C890" s="34" t="str">
        <x:v>Kobe Steel</x:v>
      </x:c>
      <x:c r="D890" s="34" t="str">
        <x:v>P3</x:v>
      </x:c>
      <x:c r="E890" s="34" t="str">
        <x:v>균형형 라이트헤지</x:v>
      </x:c>
      <x:c r="F890" s="34" t="str">
        <x:v>PORT-661396C334A7</x:v>
      </x:c>
      <x:c r="G890" s="34" t="str">
        <x:v>DISCLOSED_PATH</x:v>
      </x:c>
      <x:c r="H890" s="34" t="n">
        <x:v>3</x:v>
      </x:c>
      <x:c r="I890" s="34" t="n">
        <x:v>2029</x:v>
      </x:c>
      <x:c r="J890" s="34" t="n">
        <x:v>2037</x:v>
      </x:c>
      <x:c r="K890" s="34" t="n">
        <x:v>0.496845</x:v>
      </x:c>
      <x:c r="L890" s="34" t="n">
        <x:v>0</x:v>
      </x:c>
      <x:c r="M890" s="34" t="n">
        <x:v>0.481073</x:v>
      </x:c>
      <x:c r="N890" s="34" t="n">
        <x:v>0.022082</x:v>
      </x:c>
      <x:c r="O890" s="34" t="n">
        <x:v>0.3</x:v>
      </x:c>
      <x:c r="P890" s="34" t="n">
        <x:v>0.25</x:v>
      </x:c>
      <x:c r="Q890" s="34" t="n">
        <x:v>0.35</x:v>
      </x:c>
      <x:c r="R890" s="34" t="n">
        <x:v>0.25</x:v>
      </x:c>
      <x:c r="S890" s="34" t="n">
        <x:v>0.015</x:v>
      </x:c>
      <x:c r="T890" s="34" t="n">
        <x:v>45.121088</x:v>
      </x:c>
      <x:c r="U890" s="34" t="str">
        <x:v>KOB-BF1:BF_RELINE:2029|KOB-BF3:H2_DRI_EAF:2037|KOB-TAKA:EAF_RENEWABLE:2033</x:v>
      </x:c>
      <x:c r="V890" s="34" t="str">
        <x:v>model_generated_candidate</x:v>
      </x:c>
      <x:c r="W890" s="34" t="str">
        <x:v>Generated from disclosed-path facility calendar, technology set and template contracting assumptions; not a company-announced project</x:v>
      </x:c>
    </x:row>
    <x:row r="891">
      <x:c r="A891" s="34" t="str">
        <x:v>CAND-314B41E5534D98</x:v>
      </x:c>
      <x:c r="B891" s="34" t="str">
        <x:v>KOBE_STEEL_JP</x:v>
      </x:c>
      <x:c r="C891" s="34" t="str">
        <x:v>Kobe Steel</x:v>
      </x:c>
      <x:c r="D891" s="34" t="str">
        <x:v>P3</x:v>
      </x:c>
      <x:c r="E891" s="34" t="str">
        <x:v>균형형 라이트헤지</x:v>
      </x:c>
      <x:c r="F891" s="34" t="str">
        <x:v>PORT-9862FC05DA24</x:v>
      </x:c>
      <x:c r="G891" s="34" t="str">
        <x:v>DISCLOSED_PATH</x:v>
      </x:c>
      <x:c r="H891" s="34" t="n">
        <x:v>3</x:v>
      </x:c>
      <x:c r="I891" s="34" t="n">
        <x:v>2029</x:v>
      </x:c>
      <x:c r="J891" s="34" t="n">
        <x:v>2037</x:v>
      </x:c>
      <x:c r="K891" s="34" t="n">
        <x:v>0</x:v>
      </x:c>
      <x:c r="L891" s="34" t="n">
        <x:v>0</x:v>
      </x:c>
      <x:c r="M891" s="34" t="n">
        <x:v>0.977918</x:v>
      </x:c>
      <x:c r="N891" s="34" t="n">
        <x:v>0.022082</x:v>
      </x:c>
      <x:c r="O891" s="34" t="n">
        <x:v>0.3</x:v>
      </x:c>
      <x:c r="P891" s="34" t="n">
        <x:v>0.25</x:v>
      </x:c>
      <x:c r="Q891" s="34" t="n">
        <x:v>0.35</x:v>
      </x:c>
      <x:c r="R891" s="34" t="n">
        <x:v>0.25</x:v>
      </x:c>
      <x:c r="S891" s="34" t="n">
        <x:v>0.015</x:v>
      </x:c>
      <x:c r="T891" s="34" t="n">
        <x:v>105.301092</x:v>
      </x:c>
      <x:c r="U891" s="34" t="str">
        <x:v>KOB-BF1:H2_DRI_EAF:2029|KOB-BF3:H2_DRI_EAF:2037|KOB-TAKA:EAF_RENEWABLE:2033</x:v>
      </x:c>
      <x:c r="V891" s="34" t="str">
        <x:v>model_generated_candidate</x:v>
      </x:c>
      <x:c r="W891" s="34" t="str">
        <x:v>Generated from disclosed-path facility calendar, technology set and template contracting assumptions; not a company-announced project</x:v>
      </x:c>
    </x:row>
    <x:row r="892">
      <x:c r="A892" s="34" t="str">
        <x:v>CAND-344C7E39FA18A3</x:v>
      </x:c>
      <x:c r="B892" s="34" t="str">
        <x:v>KOBE_STEEL_JP</x:v>
      </x:c>
      <x:c r="C892" s="34" t="str">
        <x:v>Kobe Steel</x:v>
      </x:c>
      <x:c r="D892" s="34" t="str">
        <x:v>P1</x:v>
      </x:c>
      <x:c r="E892" s="34" t="str">
        <x:v>지연·현물조달</x:v>
      </x:c>
      <x:c r="F892" s="34" t="str">
        <x:v>PORT-661396C334A7</x:v>
      </x:c>
      <x:c r="G892" s="34" t="str">
        <x:v>DISCLOSED_PATH</x:v>
      </x:c>
      <x:c r="H892" s="34" t="n">
        <x:v>3</x:v>
      </x:c>
      <x:c r="I892" s="34" t="n">
        <x:v>2029</x:v>
      </x:c>
      <x:c r="J892" s="34" t="n">
        <x:v>2037</x:v>
      </x:c>
      <x:c r="K892" s="34" t="n">
        <x:v>0.496845</x:v>
      </x:c>
      <x:c r="L892" s="34" t="n">
        <x:v>0</x:v>
      </x:c>
      <x:c r="M892" s="34" t="n">
        <x:v>0.481073</x:v>
      </x:c>
      <x:c r="N892" s="34" t="n">
        <x:v>0.022082</x:v>
      </x:c>
      <x:c r="O892" s="34" t="n">
        <x:v>0</x:v>
      </x:c>
      <x:c r="P892" s="34" t="n">
        <x:v>0</x:v>
      </x:c>
      <x:c r="Q892" s="34" t="n">
        <x:v>0.1</x:v>
      </x:c>
      <x:c r="R892" s="34" t="n">
        <x:v>0</x:v>
      </x:c>
      <x:c r="S892" s="34" t="n">
        <x:v>0</x:v>
      </x:c>
      <x:c r="T892" s="34" t="n">
        <x:v>45.121088</x:v>
      </x:c>
      <x:c r="U892" s="34" t="str">
        <x:v>KOB-BF1:BF_RELINE:2029|KOB-BF3:H2_DRI_EAF:2037|KOB-TAKA:EAF_RENEWABLE:2033</x:v>
      </x:c>
      <x:c r="V892" s="34" t="str">
        <x:v>model_generated_candidate</x:v>
      </x:c>
      <x:c r="W892" s="34" t="str">
        <x:v>Generated from disclosed-path facility calendar, technology set and template contracting assumptions; not a company-announced project</x:v>
      </x:c>
    </x:row>
    <x:row r="893">
      <x:c r="A893" s="34" t="str">
        <x:v>CAND-352C3A40240600</x:v>
      </x:c>
      <x:c r="B893" s="34" t="str">
        <x:v>KOBE_STEEL_JP</x:v>
      </x:c>
      <x:c r="C893" s="34" t="str">
        <x:v>Kobe Steel</x:v>
      </x:c>
      <x:c r="D893" s="34" t="str">
        <x:v>P4</x:v>
      </x:c>
      <x:c r="E893" s="34" t="str">
        <x:v>균형형 전환</x:v>
      </x:c>
      <x:c r="F893" s="34" t="str">
        <x:v>PORT-0095E30DB97C</x:v>
      </x:c>
      <x:c r="G893" s="34" t="str">
        <x:v>DISCLOSED_PATH</x:v>
      </x:c>
      <x:c r="H893" s="34" t="n">
        <x:v>3</x:v>
      </x:c>
      <x:c r="I893" s="34" t="n">
        <x:v>2028</x:v>
      </x:c>
      <x:c r="J893" s="34" t="n">
        <x:v>2036</x:v>
      </x:c>
      <x:c r="K893" s="34" t="n">
        <x:v>0</x:v>
      </x:c>
      <x:c r="L893" s="34" t="n">
        <x:v>0</x:v>
      </x:c>
      <x:c r="M893" s="34" t="n">
        <x:v>0.977918</x:v>
      </x:c>
      <x:c r="N893" s="34" t="n">
        <x:v>0.022082</x:v>
      </x:c>
      <x:c r="O893" s="34" t="n">
        <x:v>0.5</x:v>
      </x:c>
      <x:c r="P893" s="34" t="n">
        <x:v>0.45</x:v>
      </x:c>
      <x:c r="Q893" s="34" t="n">
        <x:v>0.5</x:v>
      </x:c>
      <x:c r="R893" s="34" t="n">
        <x:v>0.4</x:v>
      </x:c>
      <x:c r="S893" s="34" t="n">
        <x:v>0.02</x:v>
      </x:c>
      <x:c r="T893" s="34" t="n">
        <x:v>118.419093</x:v>
      </x:c>
      <x:c r="U893" s="34" t="str">
        <x:v>KOB-BF1:H2_DRI_EAF:2028|KOB-BF3:H2_DRI_EAF:2036|KOB-TAKA:EAF_RENEWABLE:2032</x:v>
      </x:c>
      <x:c r="V893" s="34" t="str">
        <x:v>model_generated_candidate</x:v>
      </x:c>
      <x:c r="W893" s="34" t="str">
        <x:v>Generated from disclosed-path facility calendar, technology set and template contracting assumptions; not a company-announced project</x:v>
      </x:c>
    </x:row>
    <x:row r="894">
      <x:c r="A894" s="34" t="str">
        <x:v>CAND-4D158AE8BC3521</x:v>
      </x:c>
      <x:c r="B894" s="34" t="str">
        <x:v>KOBE_STEEL_JP</x:v>
      </x:c>
      <x:c r="C894" s="34" t="str">
        <x:v>Kobe Steel</x:v>
      </x:c>
      <x:c r="D894" s="34" t="str">
        <x:v>P3</x:v>
      </x:c>
      <x:c r="E894" s="34" t="str">
        <x:v>균형형 라이트헤지</x:v>
      </x:c>
      <x:c r="F894" s="34" t="str">
        <x:v>PORT-1144EBE63B41</x:v>
      </x:c>
      <x:c r="G894" s="34" t="str">
        <x:v>DISCLOSED_PATH</x:v>
      </x:c>
      <x:c r="H894" s="34" t="n">
        <x:v>3</x:v>
      </x:c>
      <x:c r="I894" s="34" t="n">
        <x:v>2029</x:v>
      </x:c>
      <x:c r="J894" s="34" t="n">
        <x:v>2037</x:v>
      </x:c>
      <x:c r="K894" s="34" t="n">
        <x:v>0</x:v>
      </x:c>
      <x:c r="L894" s="34" t="n">
        <x:v>0.481073</x:v>
      </x:c>
      <x:c r="M894" s="34" t="n">
        <x:v>0.496845</x:v>
      </x:c>
      <x:c r="N894" s="34" t="n">
        <x:v>0.022082</x:v>
      </x:c>
      <x:c r="O894" s="34" t="n">
        <x:v>0.3</x:v>
      </x:c>
      <x:c r="P894" s="34" t="n">
        <x:v>0.25</x:v>
      </x:c>
      <x:c r="Q894" s="34" t="n">
        <x:v>0.35</x:v>
      </x:c>
      <x:c r="R894" s="34" t="n">
        <x:v>0.25</x:v>
      </x:c>
      <x:c r="S894" s="34" t="n">
        <x:v>0.015</x:v>
      </x:c>
      <x:c r="T894" s="34" t="n">
        <x:v>102.391093</x:v>
      </x:c>
      <x:c r="U894" s="34" t="str">
        <x:v>KOB-BF1:H2_DRI_EAF:2029|KOB-BF3:SCRAP_EAF:2037|KOB-TAKA:EAF_RENEWABLE:2033</x:v>
      </x:c>
      <x:c r="V894" s="34" t="str">
        <x:v>model_generated_candidate</x:v>
      </x:c>
      <x:c r="W894" s="34" t="str">
        <x:v>Generated from disclosed-path facility calendar, technology set and template contracting assumptions; not a company-announced project</x:v>
      </x:c>
    </x:row>
    <x:row r="895">
      <x:c r="A895" s="34" t="str">
        <x:v>CAND-7994EC1E34FADB</x:v>
      </x:c>
      <x:c r="B895" s="34" t="str">
        <x:v>KOBE_STEEL_JP</x:v>
      </x:c>
      <x:c r="C895" s="34" t="str">
        <x:v>Kobe Steel</x:v>
      </x:c>
      <x:c r="D895" s="34" t="str">
        <x:v>P4</x:v>
      </x:c>
      <x:c r="E895" s="34" t="str">
        <x:v>균형형 전환</x:v>
      </x:c>
      <x:c r="F895" s="34" t="str">
        <x:v>PORT-ED997010A5D3</x:v>
      </x:c>
      <x:c r="G895" s="34" t="str">
        <x:v>DISCLOSED_PATH</x:v>
      </x:c>
      <x:c r="H895" s="34" t="n">
        <x:v>3</x:v>
      </x:c>
      <x:c r="I895" s="34" t="n">
        <x:v>2028</x:v>
      </x:c>
      <x:c r="J895" s="34" t="n">
        <x:v>2036</x:v>
      </x:c>
      <x:c r="K895" s="34" t="n">
        <x:v>0.481073</x:v>
      </x:c>
      <x:c r="L895" s="34" t="n">
        <x:v>0</x:v>
      </x:c>
      <x:c r="M895" s="34" t="n">
        <x:v>0.496845</x:v>
      </x:c>
      <x:c r="N895" s="34" t="n">
        <x:v>0.022082</x:v>
      </x:c>
      <x:c r="O895" s="34" t="n">
        <x:v>0.5</x:v>
      </x:c>
      <x:c r="P895" s="34" t="n">
        <x:v>0.45</x:v>
      </x:c>
      <x:c r="Q895" s="34" t="n">
        <x:v>0.5</x:v>
      </x:c>
      <x:c r="R895" s="34" t="n">
        <x:v>0.4</x:v>
      </x:c>
      <x:c r="S895" s="34" t="n">
        <x:v>0.02</x:v>
      </x:c>
      <x:c r="T895" s="34" t="n">
        <x:v>93.684102</x:v>
      </x:c>
      <x:c r="U895" s="34" t="str">
        <x:v>KOB-BF1:H2_DRI_EAF:2028|KOB-BF3:BF_RELINE:2036|KOB-TAKA:EAF_RENEWABLE:2032</x:v>
      </x:c>
      <x:c r="V895" s="34" t="str">
        <x:v>model_generated_candidate</x:v>
      </x:c>
      <x:c r="W895" s="34" t="str">
        <x:v>Generated from disclosed-path facility calendar, technology set and template contracting assumptions; not a company-announced project</x:v>
      </x:c>
    </x:row>
    <x:row r="896">
      <x:c r="A896" s="34" t="str">
        <x:v>CAND-7F0A690E87B72D</x:v>
      </x:c>
      <x:c r="B896" s="34" t="str">
        <x:v>KOBE_STEEL_JP</x:v>
      </x:c>
      <x:c r="C896" s="34" t="str">
        <x:v>Kobe Steel</x:v>
      </x:c>
      <x:c r="D896" s="34" t="str">
        <x:v>P2</x:v>
      </x:c>
      <x:c r="E896" s="34" t="str">
        <x:v>지연·부분헤지</x:v>
      </x:c>
      <x:c r="F896" s="34" t="str">
        <x:v>PORT-8384667F6B8E</x:v>
      </x:c>
      <x:c r="G896" s="34" t="str">
        <x:v>DISCLOSED_PATH</x:v>
      </x:c>
      <x:c r="H896" s="34" t="n">
        <x:v>3</x:v>
      </x:c>
      <x:c r="I896" s="34" t="n">
        <x:v>2029</x:v>
      </x:c>
      <x:c r="J896" s="34" t="n">
        <x:v>2037</x:v>
      </x:c>
      <x:c r="K896" s="34" t="n">
        <x:v>0</x:v>
      </x:c>
      <x:c r="L896" s="34" t="n">
        <x:v>0.496845</x:v>
      </x:c>
      <x:c r="M896" s="34" t="n">
        <x:v>0.481073</x:v>
      </x:c>
      <x:c r="N896" s="34" t="n">
        <x:v>0.022082</x:v>
      </x:c>
      <x:c r="O896" s="34" t="n">
        <x:v>0.15</x:v>
      </x:c>
      <x:c r="P896" s="34" t="n">
        <x:v>0.1</x:v>
      </x:c>
      <x:c r="Q896" s="34" t="n">
        <x:v>0.2</x:v>
      </x:c>
      <x:c r="R896" s="34" t="n">
        <x:v>0.1</x:v>
      </x:c>
      <x:c r="S896" s="34" t="n">
        <x:v>0.01</x:v>
      </x:c>
      <x:c r="T896" s="34" t="n">
        <x:v>96.451092</x:v>
      </x:c>
      <x:c r="U896" s="34" t="str">
        <x:v>KOB-BF1:SCRAP_EAF:2029|KOB-BF3:H2_DRI_EAF:2037|KOB-TAKA:EAF_RENEWABLE:2033</x:v>
      </x:c>
      <x:c r="V896" s="34" t="str">
        <x:v>model_generated_candidate</x:v>
      </x:c>
      <x:c r="W896" s="34" t="str">
        <x:v>Generated from disclosed-path facility calendar, technology set and template contracting assumptions; not a company-announced project</x:v>
      </x:c>
    </x:row>
    <x:row r="897">
      <x:c r="A897" s="34" t="str">
        <x:v>CAND-88A58A95717947</x:v>
      </x:c>
      <x:c r="B897" s="34" t="str">
        <x:v>KOBE_STEEL_JP</x:v>
      </x:c>
      <x:c r="C897" s="34" t="str">
        <x:v>Kobe Steel</x:v>
      </x:c>
      <x:c r="D897" s="34" t="str">
        <x:v>P1</x:v>
      </x:c>
      <x:c r="E897" s="34" t="str">
        <x:v>지연·현물조달</x:v>
      </x:c>
      <x:c r="F897" s="34" t="str">
        <x:v>PORT-5EAB84C29074</x:v>
      </x:c>
      <x:c r="G897" s="34" t="str">
        <x:v>DISCLOSED_PATH</x:v>
      </x:c>
      <x:c r="H897" s="34" t="n">
        <x:v>3</x:v>
      </x:c>
      <x:c r="I897" s="34" t="n">
        <x:v>2029</x:v>
      </x:c>
      <x:c r="J897" s="34" t="n">
        <x:v>2037</x:v>
      </x:c>
      <x:c r="K897" s="34" t="n">
        <x:v>0.481073</x:v>
      </x:c>
      <x:c r="L897" s="34" t="n">
        <x:v>0</x:v>
      </x:c>
      <x:c r="M897" s="34" t="n">
        <x:v>0.496845</x:v>
      </x:c>
      <x:c r="N897" s="34" t="n">
        <x:v>0.022082</x:v>
      </x:c>
      <x:c r="O897" s="34" t="n">
        <x:v>0</x:v>
      </x:c>
      <x:c r="P897" s="34" t="n">
        <x:v>0</x:v>
      </x:c>
      <x:c r="Q897" s="34" t="n">
        <x:v>0.1</x:v>
      </x:c>
      <x:c r="R897" s="34" t="n">
        <x:v>0</x:v>
      </x:c>
      <x:c r="S897" s="34" t="n">
        <x:v>0</x:v>
      </x:c>
      <x:c r="T897" s="34" t="n">
        <x:v>85.5131</x:v>
      </x:c>
      <x:c r="U897" s="34" t="str">
        <x:v>KOB-BF1:H2_DRI_EAF:2029|KOB-BF3:BF_RELINE:2037|KOB-TAKA:EAF_RENEWABLE:2033</x:v>
      </x:c>
      <x:c r="V897" s="34" t="str">
        <x:v>model_generated_candidate</x:v>
      </x:c>
      <x:c r="W897" s="34" t="str">
        <x:v>Generated from disclosed-path facility calendar, technology set and template contracting assumptions; not a company-announced project</x:v>
      </x:c>
    </x:row>
    <x:row r="898">
      <x:c r="A898" s="34" t="str">
        <x:v>CAND-8D7AF2E68805C6</x:v>
      </x:c>
      <x:c r="B898" s="34" t="str">
        <x:v>KOBE_STEEL_JP</x:v>
      </x:c>
      <x:c r="C898" s="34" t="str">
        <x:v>Kobe Steel</x:v>
      </x:c>
      <x:c r="D898" s="34" t="str">
        <x:v>P3</x:v>
      </x:c>
      <x:c r="E898" s="34" t="str">
        <x:v>균형형 라이트헤지</x:v>
      </x:c>
      <x:c r="F898" s="34" t="str">
        <x:v>PORT-5EAB84C29074</x:v>
      </x:c>
      <x:c r="G898" s="34" t="str">
        <x:v>DISCLOSED_PATH</x:v>
      </x:c>
      <x:c r="H898" s="34" t="n">
        <x:v>3</x:v>
      </x:c>
      <x:c r="I898" s="34" t="n">
        <x:v>2029</x:v>
      </x:c>
      <x:c r="J898" s="34" t="n">
        <x:v>2037</x:v>
      </x:c>
      <x:c r="K898" s="34" t="n">
        <x:v>0.481073</x:v>
      </x:c>
      <x:c r="L898" s="34" t="n">
        <x:v>0</x:v>
      </x:c>
      <x:c r="M898" s="34" t="n">
        <x:v>0.496845</x:v>
      </x:c>
      <x:c r="N898" s="34" t="n">
        <x:v>0.022082</x:v>
      </x:c>
      <x:c r="O898" s="34" t="n">
        <x:v>0.3</x:v>
      </x:c>
      <x:c r="P898" s="34" t="n">
        <x:v>0.25</x:v>
      </x:c>
      <x:c r="Q898" s="34" t="n">
        <x:v>0.35</x:v>
      </x:c>
      <x:c r="R898" s="34" t="n">
        <x:v>0.25</x:v>
      </x:c>
      <x:c r="S898" s="34" t="n">
        <x:v>0.015</x:v>
      </x:c>
      <x:c r="T898" s="34" t="n">
        <x:v>85.5131</x:v>
      </x:c>
      <x:c r="U898" s="34" t="str">
        <x:v>KOB-BF1:H2_DRI_EAF:2029|KOB-BF3:BF_RELINE:2037|KOB-TAKA:EAF_RENEWABLE:2033</x:v>
      </x:c>
      <x:c r="V898" s="34" t="str">
        <x:v>model_generated_candidate</x:v>
      </x:c>
      <x:c r="W898" s="34" t="str">
        <x:v>Generated from disclosed-path facility calendar, technology set and template contracting assumptions; not a company-announced project</x:v>
      </x:c>
    </x:row>
    <x:row r="899">
      <x:c r="A899" s="34" t="str">
        <x:v>CAND-9D068D97FB272C</x:v>
      </x:c>
      <x:c r="B899" s="34" t="str">
        <x:v>KOBE_STEEL_JP</x:v>
      </x:c>
      <x:c r="C899" s="34" t="str">
        <x:v>Kobe Steel</x:v>
      </x:c>
      <x:c r="D899" s="34" t="str">
        <x:v>P2</x:v>
      </x:c>
      <x:c r="E899" s="34" t="str">
        <x:v>지연·부분헤지</x:v>
      </x:c>
      <x:c r="F899" s="34" t="str">
        <x:v>PORT-661396C334A7</x:v>
      </x:c>
      <x:c r="G899" s="34" t="str">
        <x:v>DISCLOSED_PATH</x:v>
      </x:c>
      <x:c r="H899" s="34" t="n">
        <x:v>3</x:v>
      </x:c>
      <x:c r="I899" s="34" t="n">
        <x:v>2029</x:v>
      </x:c>
      <x:c r="J899" s="34" t="n">
        <x:v>2037</x:v>
      </x:c>
      <x:c r="K899" s="34" t="n">
        <x:v>0.496845</x:v>
      </x:c>
      <x:c r="L899" s="34" t="n">
        <x:v>0</x:v>
      </x:c>
      <x:c r="M899" s="34" t="n">
        <x:v>0.481073</x:v>
      </x:c>
      <x:c r="N899" s="34" t="n">
        <x:v>0.022082</x:v>
      </x:c>
      <x:c r="O899" s="34" t="n">
        <x:v>0.15</x:v>
      </x:c>
      <x:c r="P899" s="34" t="n">
        <x:v>0.1</x:v>
      </x:c>
      <x:c r="Q899" s="34" t="n">
        <x:v>0.2</x:v>
      </x:c>
      <x:c r="R899" s="34" t="n">
        <x:v>0.1</x:v>
      </x:c>
      <x:c r="S899" s="34" t="n">
        <x:v>0.01</x:v>
      </x:c>
      <x:c r="T899" s="34" t="n">
        <x:v>45.121088</x:v>
      </x:c>
      <x:c r="U899" s="34" t="str">
        <x:v>KOB-BF1:BF_RELINE:2029|KOB-BF3:H2_DRI_EAF:2037|KOB-TAKA:EAF_RENEWABLE:2033</x:v>
      </x:c>
      <x:c r="V899" s="34" t="str">
        <x:v>model_generated_candidate</x:v>
      </x:c>
      <x:c r="W899" s="34" t="str">
        <x:v>Generated from disclosed-path facility calendar, technology set and template contracting assumptions; not a company-announced project</x:v>
      </x:c>
    </x:row>
    <x:row r="900">
      <x:c r="A900" s="34" t="str">
        <x:v>CAND-9DD8DD0C56A40D</x:v>
      </x:c>
      <x:c r="B900" s="34" t="str">
        <x:v>KOBE_STEEL_JP</x:v>
      </x:c>
      <x:c r="C900" s="34" t="str">
        <x:v>Kobe Steel</x:v>
      </x:c>
      <x:c r="D900" s="34" t="str">
        <x:v>P3</x:v>
      </x:c>
      <x:c r="E900" s="34" t="str">
        <x:v>균형형 라이트헤지</x:v>
      </x:c>
      <x:c r="F900" s="34" t="str">
        <x:v>PORT-8384667F6B8E</x:v>
      </x:c>
      <x:c r="G900" s="34" t="str">
        <x:v>DISCLOSED_PATH</x:v>
      </x:c>
      <x:c r="H900" s="34" t="n">
        <x:v>3</x:v>
      </x:c>
      <x:c r="I900" s="34" t="n">
        <x:v>2029</x:v>
      </x:c>
      <x:c r="J900" s="34" t="n">
        <x:v>2037</x:v>
      </x:c>
      <x:c r="K900" s="34" t="n">
        <x:v>0</x:v>
      </x:c>
      <x:c r="L900" s="34" t="n">
        <x:v>0.496845</x:v>
      </x:c>
      <x:c r="M900" s="34" t="n">
        <x:v>0.481073</x:v>
      </x:c>
      <x:c r="N900" s="34" t="n">
        <x:v>0.022082</x:v>
      </x:c>
      <x:c r="O900" s="34" t="n">
        <x:v>0.3</x:v>
      </x:c>
      <x:c r="P900" s="34" t="n">
        <x:v>0.25</x:v>
      </x:c>
      <x:c r="Q900" s="34" t="n">
        <x:v>0.35</x:v>
      </x:c>
      <x:c r="R900" s="34" t="n">
        <x:v>0.25</x:v>
      </x:c>
      <x:c r="S900" s="34" t="n">
        <x:v>0.015</x:v>
      </x:c>
      <x:c r="T900" s="34" t="n">
        <x:v>96.451092</x:v>
      </x:c>
      <x:c r="U900" s="34" t="str">
        <x:v>KOB-BF1:SCRAP_EAF:2029|KOB-BF3:H2_DRI_EAF:2037|KOB-TAKA:EAF_RENEWABLE:2033</x:v>
      </x:c>
      <x:c r="V900" s="34" t="str">
        <x:v>model_generated_candidate</x:v>
      </x:c>
      <x:c r="W900" s="34" t="str">
        <x:v>Generated from disclosed-path facility calendar, technology set and template contracting assumptions; not a company-announced project</x:v>
      </x:c>
    </x:row>
    <x:row r="901">
      <x:c r="A901" s="34" t="str">
        <x:v>CAND-B3597FD7767497</x:v>
      </x:c>
      <x:c r="B901" s="34" t="str">
        <x:v>KOBE_STEEL_JP</x:v>
      </x:c>
      <x:c r="C901" s="34" t="str">
        <x:v>Kobe Steel</x:v>
      </x:c>
      <x:c r="D901" s="34" t="str">
        <x:v>P1</x:v>
      </x:c>
      <x:c r="E901" s="34" t="str">
        <x:v>지연·현물조달</x:v>
      </x:c>
      <x:c r="F901" s="34" t="str">
        <x:v>PORT-9862FC05DA24</x:v>
      </x:c>
      <x:c r="G901" s="34" t="str">
        <x:v>DISCLOSED_PATH</x:v>
      </x:c>
      <x:c r="H901" s="34" t="n">
        <x:v>3</x:v>
      </x:c>
      <x:c r="I901" s="34" t="n">
        <x:v>2029</x:v>
      </x:c>
      <x:c r="J901" s="34" t="n">
        <x:v>2037</x:v>
      </x:c>
      <x:c r="K901" s="34" t="n">
        <x:v>0</x:v>
      </x:c>
      <x:c r="L901" s="34" t="n">
        <x:v>0</x:v>
      </x:c>
      <x:c r="M901" s="34" t="n">
        <x:v>0.977918</x:v>
      </x:c>
      <x:c r="N901" s="34" t="n">
        <x:v>0.022082</x:v>
      </x:c>
      <x:c r="O901" s="34" t="n">
        <x:v>0</x:v>
      </x:c>
      <x:c r="P901" s="34" t="n">
        <x:v>0</x:v>
      </x:c>
      <x:c r="Q901" s="34" t="n">
        <x:v>0.1</x:v>
      </x:c>
      <x:c r="R901" s="34" t="n">
        <x:v>0</x:v>
      </x:c>
      <x:c r="S901" s="34" t="n">
        <x:v>0</x:v>
      </x:c>
      <x:c r="T901" s="34" t="n">
        <x:v>105.301092</x:v>
      </x:c>
      <x:c r="U901" s="34" t="str">
        <x:v>KOB-BF1:H2_DRI_EAF:2029|KOB-BF3:H2_DRI_EAF:2037|KOB-TAKA:EAF_RENEWABLE:2033</x:v>
      </x:c>
      <x:c r="V901" s="34" t="str">
        <x:v>model_generated_candidate</x:v>
      </x:c>
      <x:c r="W901" s="34" t="str">
        <x:v>Generated from disclosed-path facility calendar, technology set and template contracting assumptions; not a company-announced project</x:v>
      </x:c>
    </x:row>
    <x:row r="902">
      <x:c r="A902" s="34" t="str">
        <x:v>CAND-B51B2DE2F2D28C</x:v>
      </x:c>
      <x:c r="B902" s="34" t="str">
        <x:v>KOBE_STEEL_JP</x:v>
      </x:c>
      <x:c r="C902" s="34" t="str">
        <x:v>Kobe Steel</x:v>
      </x:c>
      <x:c r="D902" s="34" t="str">
        <x:v>P4</x:v>
      </x:c>
      <x:c r="E902" s="34" t="str">
        <x:v>균형형 전환</x:v>
      </x:c>
      <x:c r="F902" s="34" t="str">
        <x:v>PORT-8A59F01B884D</x:v>
      </x:c>
      <x:c r="G902" s="34" t="str">
        <x:v>DISCLOSED_PATH</x:v>
      </x:c>
      <x:c r="H902" s="34" t="n">
        <x:v>3</x:v>
      </x:c>
      <x:c r="I902" s="34" t="n">
        <x:v>2028</x:v>
      </x:c>
      <x:c r="J902" s="34" t="n">
        <x:v>2036</x:v>
      </x:c>
      <x:c r="K902" s="34" t="n">
        <x:v>0</x:v>
      </x:c>
      <x:c r="L902" s="34" t="n">
        <x:v>0.481073</x:v>
      </x:c>
      <x:c r="M902" s="34" t="n">
        <x:v>0.496845</x:v>
      </x:c>
      <x:c r="N902" s="34" t="n">
        <x:v>0.022082</x:v>
      </x:c>
      <x:c r="O902" s="34" t="n">
        <x:v>0.5</x:v>
      </x:c>
      <x:c r="P902" s="34" t="n">
        <x:v>0.45</x:v>
      </x:c>
      <x:c r="Q902" s="34" t="n">
        <x:v>0.5</x:v>
      </x:c>
      <x:c r="R902" s="34" t="n">
        <x:v>0.4</x:v>
      </x:c>
      <x:c r="S902" s="34" t="n">
        <x:v>0.02</x:v>
      </x:c>
      <x:c r="T902" s="34" t="n">
        <x:v>114.781594</x:v>
      </x:c>
      <x:c r="U902" s="34" t="str">
        <x:v>KOB-BF1:H2_DRI_EAF:2028|KOB-BF3:SCRAP_EAF:2036|KOB-TAKA:EAF_RENEWABLE:2032</x:v>
      </x:c>
      <x:c r="V902" s="34" t="str">
        <x:v>model_generated_candidate</x:v>
      </x:c>
      <x:c r="W902" s="34" t="str">
        <x:v>Generated from disclosed-path facility calendar, technology set and template contracting assumptions; not a company-announced project</x:v>
      </x:c>
    </x:row>
    <x:row r="903">
      <x:c r="A903" s="34" t="str">
        <x:v>CAND-B928C0FFDA3842</x:v>
      </x:c>
      <x:c r="B903" s="34" t="str">
        <x:v>KOBE_STEEL_JP</x:v>
      </x:c>
      <x:c r="C903" s="34" t="str">
        <x:v>Kobe Steel</x:v>
      </x:c>
      <x:c r="D903" s="34" t="str">
        <x:v>P1</x:v>
      </x:c>
      <x:c r="E903" s="34" t="str">
        <x:v>지연·현물조달</x:v>
      </x:c>
      <x:c r="F903" s="34" t="str">
        <x:v>PORT-D7B02E3224C4</x:v>
      </x:c>
      <x:c r="G903" s="34" t="str">
        <x:v>DISCLOSED_PATH</x:v>
      </x:c>
      <x:c r="H903" s="34" t="n">
        <x:v>3</x:v>
      </x:c>
      <x:c r="I903" s="34" t="n">
        <x:v>2029</x:v>
      </x:c>
      <x:c r="J903" s="34" t="n">
        <x:v>2037</x:v>
      </x:c>
      <x:c r="K903" s="34" t="n">
        <x:v>0.481073</x:v>
      </x:c>
      <x:c r="L903" s="34" t="n">
        <x:v>0.496845</x:v>
      </x:c>
      <x:c r="M903" s="34" t="n">
        <x:v>0</x:v>
      </x:c>
      <x:c r="N903" s="34" t="n">
        <x:v>0.022082</x:v>
      </x:c>
      <x:c r="O903" s="34" t="n">
        <x:v>0</x:v>
      </x:c>
      <x:c r="P903" s="34" t="n">
        <x:v>0</x:v>
      </x:c>
      <x:c r="Q903" s="34" t="n">
        <x:v>0.1</x:v>
      </x:c>
      <x:c r="R903" s="34" t="n">
        <x:v>0</x:v>
      </x:c>
      <x:c r="S903" s="34" t="n">
        <x:v>0</x:v>
      </x:c>
      <x:c r="T903" s="34" t="n">
        <x:v>76.663099</x:v>
      </x:c>
      <x:c r="U903" s="34" t="str">
        <x:v>KOB-BF1:SCRAP_EAF:2029|KOB-BF3:BF_RELINE:2037|KOB-TAKA:EAF_RENEWABLE:2033</x:v>
      </x:c>
      <x:c r="V903" s="34" t="str">
        <x:v>model_generated_candidate</x:v>
      </x:c>
      <x:c r="W903" s="34" t="str">
        <x:v>Generated from disclosed-path facility calendar, technology set and template contracting assumptions; not a company-announced project</x:v>
      </x:c>
    </x:row>
    <x:row r="904">
      <x:c r="A904" s="34" t="str">
        <x:v>CAND-C9A7A01CF97824</x:v>
      </x:c>
      <x:c r="B904" s="34" t="str">
        <x:v>KOBE_STEEL_JP</x:v>
      </x:c>
      <x:c r="C904" s="34" t="str">
        <x:v>Kobe Steel</x:v>
      </x:c>
      <x:c r="D904" s="34" t="str">
        <x:v>P6</x:v>
      </x:c>
      <x:c r="E904" s="34" t="str">
        <x:v>조기 고헤지</x:v>
      </x:c>
      <x:c r="F904" s="34" t="str">
        <x:v>PORT-6AF097B8F6F8</x:v>
      </x:c>
      <x:c r="G904" s="34" t="str">
        <x:v>DISCLOSED_PATH</x:v>
      </x:c>
      <x:c r="H904" s="34" t="n">
        <x:v>3</x:v>
      </x:c>
      <x:c r="I904" s="34" t="n">
        <x:v>2028</x:v>
      </x:c>
      <x:c r="J904" s="34" t="n">
        <x:v>2035</x:v>
      </x:c>
      <x:c r="K904" s="34" t="n">
        <x:v>0</x:v>
      </x:c>
      <x:c r="L904" s="34" t="n">
        <x:v>0</x:v>
      </x:c>
      <x:c r="M904" s="34" t="n">
        <x:v>0.977918</x:v>
      </x:c>
      <x:c r="N904" s="34" t="n">
        <x:v>0.022082</x:v>
      </x:c>
      <x:c r="O904" s="34" t="n">
        <x:v>0.9</x:v>
      </x:c>
      <x:c r="P904" s="34" t="n">
        <x:v>0.85</x:v>
      </x:c>
      <x:c r="Q904" s="34" t="n">
        <x:v>0.85</x:v>
      </x:c>
      <x:c r="R904" s="34" t="n">
        <x:v>0.8</x:v>
      </x:c>
      <x:c r="S904" s="34" t="n">
        <x:v>0.035</x:v>
      </x:c>
      <x:c r="T904" s="34" t="n">
        <x:v>124.953456</x:v>
      </x:c>
      <x:c r="U904" s="34" t="str">
        <x:v>KOB-BF1:H2_DRI_EAF:2028|KOB-BF3:H2_DRI_EAF:2035|KOB-TAKA:EAF_RENEWABLE:2031</x:v>
      </x:c>
      <x:c r="V904" s="34" t="str">
        <x:v>model_generated_candidate</x:v>
      </x:c>
      <x:c r="W904" s="34" t="str">
        <x:v>Generated from disclosed-path facility calendar, technology set and template contracting assumptions; not a company-announced project</x:v>
      </x:c>
    </x:row>
    <x:row r="905">
      <x:c r="A905" s="34" t="str">
        <x:v>CAND-C9EAFC0F482485</x:v>
      </x:c>
      <x:c r="B905" s="34" t="str">
        <x:v>KOBE_STEEL_JP</x:v>
      </x:c>
      <x:c r="C905" s="34" t="str">
        <x:v>Kobe Steel</x:v>
      </x:c>
      <x:c r="D905" s="34" t="str">
        <x:v>P2</x:v>
      </x:c>
      <x:c r="E905" s="34" t="str">
        <x:v>지연·부분헤지</x:v>
      </x:c>
      <x:c r="F905" s="34" t="str">
        <x:v>PORT-1144EBE63B41</x:v>
      </x:c>
      <x:c r="G905" s="34" t="str">
        <x:v>DISCLOSED_PATH</x:v>
      </x:c>
      <x:c r="H905" s="34" t="n">
        <x:v>3</x:v>
      </x:c>
      <x:c r="I905" s="34" t="n">
        <x:v>2029</x:v>
      </x:c>
      <x:c r="J905" s="34" t="n">
        <x:v>2037</x:v>
      </x:c>
      <x:c r="K905" s="34" t="n">
        <x:v>0</x:v>
      </x:c>
      <x:c r="L905" s="34" t="n">
        <x:v>0.481073</x:v>
      </x:c>
      <x:c r="M905" s="34" t="n">
        <x:v>0.496845</x:v>
      </x:c>
      <x:c r="N905" s="34" t="n">
        <x:v>0.022082</x:v>
      </x:c>
      <x:c r="O905" s="34" t="n">
        <x:v>0.15</x:v>
      </x:c>
      <x:c r="P905" s="34" t="n">
        <x:v>0.1</x:v>
      </x:c>
      <x:c r="Q905" s="34" t="n">
        <x:v>0.2</x:v>
      </x:c>
      <x:c r="R905" s="34" t="n">
        <x:v>0.1</x:v>
      </x:c>
      <x:c r="S905" s="34" t="n">
        <x:v>0.01</x:v>
      </x:c>
      <x:c r="T905" s="34" t="n">
        <x:v>102.391093</x:v>
      </x:c>
      <x:c r="U905" s="34" t="str">
        <x:v>KOB-BF1:H2_DRI_EAF:2029|KOB-BF3:SCRAP_EAF:2037|KOB-TAKA:EAF_RENEWABLE:2033</x:v>
      </x:c>
      <x:c r="V905" s="34" t="str">
        <x:v>model_generated_candidate</x:v>
      </x:c>
      <x:c r="W905" s="34" t="str">
        <x:v>Generated from disclosed-path facility calendar, technology set and template contracting assumptions; not a company-announced project</x:v>
      </x:c>
    </x:row>
    <x:row r="906">
      <x:c r="A906" s="34" t="str">
        <x:v>CAND-CE22CF7F8F72DA</x:v>
      </x:c>
      <x:c r="B906" s="34" t="str">
        <x:v>KOBE_STEEL_JP</x:v>
      </x:c>
      <x:c r="C906" s="34" t="str">
        <x:v>Kobe Steel</x:v>
      </x:c>
      <x:c r="D906" s="34" t="str">
        <x:v>P2</x:v>
      </x:c>
      <x:c r="E906" s="34" t="str">
        <x:v>지연·부분헤지</x:v>
      </x:c>
      <x:c r="F906" s="34" t="str">
        <x:v>PORT-9862FC05DA24</x:v>
      </x:c>
      <x:c r="G906" s="34" t="str">
        <x:v>DISCLOSED_PATH</x:v>
      </x:c>
      <x:c r="H906" s="34" t="n">
        <x:v>3</x:v>
      </x:c>
      <x:c r="I906" s="34" t="n">
        <x:v>2029</x:v>
      </x:c>
      <x:c r="J906" s="34" t="n">
        <x:v>2037</x:v>
      </x:c>
      <x:c r="K906" s="34" t="n">
        <x:v>0</x:v>
      </x:c>
      <x:c r="L906" s="34" t="n">
        <x:v>0</x:v>
      </x:c>
      <x:c r="M906" s="34" t="n">
        <x:v>0.977918</x:v>
      </x:c>
      <x:c r="N906" s="34" t="n">
        <x:v>0.022082</x:v>
      </x:c>
      <x:c r="O906" s="34" t="n">
        <x:v>0.15</x:v>
      </x:c>
      <x:c r="P906" s="34" t="n">
        <x:v>0.1</x:v>
      </x:c>
      <x:c r="Q906" s="34" t="n">
        <x:v>0.2</x:v>
      </x:c>
      <x:c r="R906" s="34" t="n">
        <x:v>0.1</x:v>
      </x:c>
      <x:c r="S906" s="34" t="n">
        <x:v>0.01</x:v>
      </x:c>
      <x:c r="T906" s="34" t="n">
        <x:v>105.301092</x:v>
      </x:c>
      <x:c r="U906" s="34" t="str">
        <x:v>KOB-BF1:H2_DRI_EAF:2029|KOB-BF3:H2_DRI_EAF:2037|KOB-TAKA:EAF_RENEWABLE:2033</x:v>
      </x:c>
      <x:c r="V906" s="34" t="str">
        <x:v>model_generated_candidate</x:v>
      </x:c>
      <x:c r="W906" s="34" t="str">
        <x:v>Generated from disclosed-path facility calendar, technology set and template contracting assumptions; not a company-announced project</x:v>
      </x:c>
    </x:row>
    <x:row r="907">
      <x:c r="A907" s="34" t="str">
        <x:v>CAND-D80CE96AA3B5C1</x:v>
      </x:c>
      <x:c r="B907" s="34" t="str">
        <x:v>KOBE_STEEL_JP</x:v>
      </x:c>
      <x:c r="C907" s="34" t="str">
        <x:v>Kobe Steel</x:v>
      </x:c>
      <x:c r="D907" s="34" t="str">
        <x:v>P1</x:v>
      </x:c>
      <x:c r="E907" s="34" t="str">
        <x:v>지연·현물조달</x:v>
      </x:c>
      <x:c r="F907" s="34" t="str">
        <x:v>PORT-8384667F6B8E</x:v>
      </x:c>
      <x:c r="G907" s="34" t="str">
        <x:v>DISCLOSED_PATH</x:v>
      </x:c>
      <x:c r="H907" s="34" t="n">
        <x:v>3</x:v>
      </x:c>
      <x:c r="I907" s="34" t="n">
        <x:v>2029</x:v>
      </x:c>
      <x:c r="J907" s="34" t="n">
        <x:v>2037</x:v>
      </x:c>
      <x:c r="K907" s="34" t="n">
        <x:v>0</x:v>
      </x:c>
      <x:c r="L907" s="34" t="n">
        <x:v>0.496845</x:v>
      </x:c>
      <x:c r="M907" s="34" t="n">
        <x:v>0.481073</x:v>
      </x:c>
      <x:c r="N907" s="34" t="n">
        <x:v>0.022082</x:v>
      </x:c>
      <x:c r="O907" s="34" t="n">
        <x:v>0</x:v>
      </x:c>
      <x:c r="P907" s="34" t="n">
        <x:v>0</x:v>
      </x:c>
      <x:c r="Q907" s="34" t="n">
        <x:v>0.1</x:v>
      </x:c>
      <x:c r="R907" s="34" t="n">
        <x:v>0</x:v>
      </x:c>
      <x:c r="S907" s="34" t="n">
        <x:v>0</x:v>
      </x:c>
      <x:c r="T907" s="34" t="n">
        <x:v>96.451092</x:v>
      </x:c>
      <x:c r="U907" s="34" t="str">
        <x:v>KOB-BF1:SCRAP_EAF:2029|KOB-BF3:H2_DRI_EAF:2037|KOB-TAKA:EAF_RENEWABLE:2033</x:v>
      </x:c>
      <x:c r="V907" s="34" t="str">
        <x:v>model_generated_candidate</x:v>
      </x:c>
      <x:c r="W907" s="34" t="str">
        <x:v>Generated from disclosed-path facility calendar, technology set and template contracting assumptions; not a company-announced project</x:v>
      </x:c>
    </x:row>
    <x:row r="908">
      <x:c r="A908" s="34" t="str">
        <x:v>CAND-DCD679F188D852</x:v>
      </x:c>
      <x:c r="B908" s="34" t="str">
        <x:v>KOBE_STEEL_JP</x:v>
      </x:c>
      <x:c r="C908" s="34" t="str">
        <x:v>Kobe Steel</x:v>
      </x:c>
      <x:c r="D908" s="34" t="str">
        <x:v>P1</x:v>
      </x:c>
      <x:c r="E908" s="34" t="str">
        <x:v>지연·현물조달</x:v>
      </x:c>
      <x:c r="F908" s="34" t="str">
        <x:v>PORT-1144EBE63B41</x:v>
      </x:c>
      <x:c r="G908" s="34" t="str">
        <x:v>DISCLOSED_PATH</x:v>
      </x:c>
      <x:c r="H908" s="34" t="n">
        <x:v>3</x:v>
      </x:c>
      <x:c r="I908" s="34" t="n">
        <x:v>2029</x:v>
      </x:c>
      <x:c r="J908" s="34" t="n">
        <x:v>2037</x:v>
      </x:c>
      <x:c r="K908" s="34" t="n">
        <x:v>0</x:v>
      </x:c>
      <x:c r="L908" s="34" t="n">
        <x:v>0.481073</x:v>
      </x:c>
      <x:c r="M908" s="34" t="n">
        <x:v>0.496845</x:v>
      </x:c>
      <x:c r="N908" s="34" t="n">
        <x:v>0.022082</x:v>
      </x:c>
      <x:c r="O908" s="34" t="n">
        <x:v>0</x:v>
      </x:c>
      <x:c r="P908" s="34" t="n">
        <x:v>0</x:v>
      </x:c>
      <x:c r="Q908" s="34" t="n">
        <x:v>0.1</x:v>
      </x:c>
      <x:c r="R908" s="34" t="n">
        <x:v>0</x:v>
      </x:c>
      <x:c r="S908" s="34" t="n">
        <x:v>0</x:v>
      </x:c>
      <x:c r="T908" s="34" t="n">
        <x:v>102.391093</x:v>
      </x:c>
      <x:c r="U908" s="34" t="str">
        <x:v>KOB-BF1:H2_DRI_EAF:2029|KOB-BF3:SCRAP_EAF:2037|KOB-TAKA:EAF_RENEWABLE:2033</x:v>
      </x:c>
      <x:c r="V908" s="34" t="str">
        <x:v>model_generated_candidate</x:v>
      </x:c>
      <x:c r="W908" s="34" t="str">
        <x:v>Generated from disclosed-path facility calendar, technology set and template contracting assumptions; not a company-announced project</x:v>
      </x:c>
    </x:row>
    <x:row r="909">
      <x:c r="A909" s="34" t="str">
        <x:v>CAND-DDE822F7D41D2E</x:v>
      </x:c>
      <x:c r="B909" s="34" t="str">
        <x:v>KOBE_STEEL_JP</x:v>
      </x:c>
      <x:c r="C909" s="34" t="str">
        <x:v>Kobe Steel</x:v>
      </x:c>
      <x:c r="D909" s="34" t="str">
        <x:v>P5</x:v>
      </x:c>
      <x:c r="E909" s="34" t="str">
        <x:v>조기 계약형 전환</x:v>
      </x:c>
      <x:c r="F909" s="34" t="str">
        <x:v>PORT-0095E30DB97C</x:v>
      </x:c>
      <x:c r="G909" s="34" t="str">
        <x:v>DISCLOSED_PATH</x:v>
      </x:c>
      <x:c r="H909" s="34" t="n">
        <x:v>3</x:v>
      </x:c>
      <x:c r="I909" s="34" t="n">
        <x:v>2028</x:v>
      </x:c>
      <x:c r="J909" s="34" t="n">
        <x:v>2036</x:v>
      </x:c>
      <x:c r="K909" s="34" t="n">
        <x:v>0</x:v>
      </x:c>
      <x:c r="L909" s="34" t="n">
        <x:v>0</x:v>
      </x:c>
      <x:c r="M909" s="34" t="n">
        <x:v>0.977918</x:v>
      </x:c>
      <x:c r="N909" s="34" t="n">
        <x:v>0.022082</x:v>
      </x:c>
      <x:c r="O909" s="34" t="n">
        <x:v>0.7</x:v>
      </x:c>
      <x:c r="P909" s="34" t="n">
        <x:v>0.65</x:v>
      </x:c>
      <x:c r="Q909" s="34" t="n">
        <x:v>0.65</x:v>
      </x:c>
      <x:c r="R909" s="34" t="n">
        <x:v>0.6</x:v>
      </x:c>
      <x:c r="S909" s="34" t="n">
        <x:v>0.025</x:v>
      </x:c>
      <x:c r="T909" s="34" t="n">
        <x:v>118.419093</x:v>
      </x:c>
      <x:c r="U909" s="34" t="str">
        <x:v>KOB-BF1:H2_DRI_EAF:2028|KOB-BF3:H2_DRI_EAF:2036|KOB-TAKA:EAF_RENEWABLE:2032</x:v>
      </x:c>
      <x:c r="V909" s="34" t="str">
        <x:v>model_generated_candidate</x:v>
      </x:c>
      <x:c r="W909" s="34" t="str">
        <x:v>Generated from disclosed-path facility calendar, technology set and template contracting assumptions; not a company-announced project</x:v>
      </x:c>
    </x:row>
    <x:row r="910">
      <x:c r="A910" s="34" t="str">
        <x:v>CAND-E9169FB41B03EE</x:v>
      </x:c>
      <x:c r="B910" s="34" t="str">
        <x:v>KOBE_STEEL_JP</x:v>
      </x:c>
      <x:c r="C910" s="34" t="str">
        <x:v>Kobe Steel</x:v>
      </x:c>
      <x:c r="D910" s="34" t="str">
        <x:v>P1</x:v>
      </x:c>
      <x:c r="E910" s="34" t="str">
        <x:v>지연·현물조달</x:v>
      </x:c>
      <x:c r="F910" s="34" t="str">
        <x:v>PORT-0CA13428C264</x:v>
      </x:c>
      <x:c r="G910" s="34" t="str">
        <x:v>DISCLOSED_PATH</x:v>
      </x:c>
      <x:c r="H910" s="34" t="n">
        <x:v>3</x:v>
      </x:c>
      <x:c r="I910" s="34" t="n">
        <x:v>2029</x:v>
      </x:c>
      <x:c r="J910" s="34" t="n">
        <x:v>2037</x:v>
      </x:c>
      <x:c r="K910" s="34" t="n">
        <x:v>0.496845</x:v>
      </x:c>
      <x:c r="L910" s="34" t="n">
        <x:v>0.481073</x:v>
      </x:c>
      <x:c r="M910" s="34" t="n">
        <x:v>0</x:v>
      </x:c>
      <x:c r="N910" s="34" t="n">
        <x:v>0.022082</x:v>
      </x:c>
      <x:c r="O910" s="34" t="n">
        <x:v>0</x:v>
      </x:c>
      <x:c r="P910" s="34" t="n">
        <x:v>0</x:v>
      </x:c>
      <x:c r="Q910" s="34" t="n">
        <x:v>0.1</x:v>
      </x:c>
      <x:c r="R910" s="34" t="n">
        <x:v>0</x:v>
      </x:c>
      <x:c r="S910" s="34" t="n">
        <x:v>0</x:v>
      </x:c>
      <x:c r="T910" s="34" t="n">
        <x:v>42.211089</x:v>
      </x:c>
      <x:c r="U910" s="34" t="str">
        <x:v>KOB-BF1:BF_RELINE:2029|KOB-BF3:SCRAP_EAF:2037|KOB-TAKA:EAF_RENEWABLE:2033</x:v>
      </x:c>
      <x:c r="V910" s="34" t="str">
        <x:v>model_generated_candidate</x:v>
      </x:c>
      <x:c r="W910" s="34" t="str">
        <x:v>Generated from disclosed-path facility calendar, technology set and template contracting assumptions; not a company-announced project</x:v>
      </x:c>
    </x:row>
    <x:row r="911">
      <x:c r="A911" s="35" t="str">
        <x:v>CAND-F3EC79559B1773</x:v>
      </x:c>
      <x:c r="B911" s="35" t="str">
        <x:v>KOBE_STEEL_JP</x:v>
      </x:c>
      <x:c r="C911" s="35" t="str">
        <x:v>Kobe Steel</x:v>
      </x:c>
      <x:c r="D911" s="35" t="str">
        <x:v>P1</x:v>
      </x:c>
      <x:c r="E911" s="35" t="str">
        <x:v>지연·현물조달</x:v>
      </x:c>
      <x:c r="F911" s="35" t="str">
        <x:v>PORT-B0BA3BE7A418</x:v>
      </x:c>
      <x:c r="G911" s="35" t="str">
        <x:v>DISCLOSED_PATH</x:v>
      </x:c>
      <x:c r="H911" s="35" t="n">
        <x:v>3</x:v>
      </x:c>
      <x:c r="I911" s="35" t="n">
        <x:v>2029</x:v>
      </x:c>
      <x:c r="J911" s="35" t="n">
        <x:v>2037</x:v>
      </x:c>
      <x:c r="K911" s="35" t="n">
        <x:v>0.977918</x:v>
      </x:c>
      <x:c r="L911" s="35" t="n">
        <x:v>0</x:v>
      </x:c>
      <x:c r="M911" s="35" t="n">
        <x:v>0</x:v>
      </x:c>
      <x:c r="N911" s="35" t="n">
        <x:v>0.022082</x:v>
      </x:c>
      <x:c r="O911" s="35" t="n">
        <x:v>0</x:v>
      </x:c>
      <x:c r="P911" s="35" t="n">
        <x:v>0</x:v>
      </x:c>
      <x:c r="Q911" s="35" t="n">
        <x:v>0.1</x:v>
      </x:c>
      <x:c r="R911" s="35" t="n">
        <x:v>0</x:v>
      </x:c>
      <x:c r="S911" s="35" t="n">
        <x:v>0</x:v>
      </x:c>
      <x:c r="T911" s="35" t="n">
        <x:v>25.333096</x:v>
      </x:c>
      <x:c r="U911" s="35" t="str">
        <x:v>KOB-BF1:BF_RELINE:2029|KOB-BF3:BF_RELINE:2037|KOB-TAKA:EAF_RENEWABLE:2033</x:v>
      </x:c>
      <x:c r="V911" s="35" t="str">
        <x:v>model_generated_candidate</x:v>
      </x:c>
      <x:c r="W911" s="35" t="str">
        <x:v>Generated from disclosed-path facility calendar, technology set and template contracting assumptions; not a company-announced project</x:v>
      </x:c>
    </x:row>
  </x:sheetData>
  <x:pageMargins left="0.7" right="0.7" top="0.75" bottom="0.75" header="0.3" footer="0.3"/>
</x:worksheet>
</file>

<file path=xl/worksheets/sheet25.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s>
  <x:sheetData>
    <x:row r="1" ht="28" customHeight="1">
      <x:c r="A1" s="29" t="str">
        <x:v>company_id</x:v>
      </x:c>
      <x:c r="B1" s="29" t="str">
        <x:v>company_name</x:v>
      </x:c>
      <x:c r="C1" s="29" t="str">
        <x:v>candidate_id</x:v>
      </x:c>
      <x:c r="D1" s="29" t="str">
        <x:v>template_plan_id</x:v>
      </x:c>
      <x:c r="E1" s="29" t="str">
        <x:v>physical_portfolio_id</x:v>
      </x:c>
      <x:c r="F1" s="29" t="str">
        <x:v>scenario_count</x:v>
      </x:c>
      <x:c r="G1" s="29" t="str">
        <x:v>feasible_scenario_count</x:v>
      </x:c>
      <x:c r="H1" s="29" t="str">
        <x:v>robust_feasible</x:v>
      </x:c>
      <x:c r="I1" s="29" t="str">
        <x:v>worst_case_p50_kkrw_per_tco2_mean</x:v>
      </x:c>
      <x:c r="J1" s="29" t="str">
        <x:v>worst_case_p50_kkrw_per_tco2_std</x:v>
      </x:c>
      <x:c r="K1" s="29" t="str">
        <x:v>worst_case_tcar_kkrw_per_tco2_mean</x:v>
      </x:c>
      <x:c r="L1" s="29" t="str">
        <x:v>worst_case_tcar_kkrw_per_tco2_std</x:v>
      </x:c>
      <x:c r="M1" s="29" t="str">
        <x:v>maximum_regret_p50_kkrw_per_tco2_mean</x:v>
      </x:c>
      <x:c r="N1" s="29" t="str">
        <x:v>maximum_regret_p50_kkrw_per_tco2_std</x:v>
      </x:c>
      <x:c r="O1" s="29" t="str">
        <x:v>mean_regret_p50_kkrw_per_tco2_mean</x:v>
      </x:c>
      <x:c r="P1" s="29" t="str">
        <x:v>mean_regret_p50_kkrw_per_tco2_std</x:v>
      </x:c>
      <x:c r="Q1" s="29" t="str">
        <x:v>robust_frontier_frequency_pct</x:v>
      </x:c>
      <x:c r="R1" s="29" t="str">
        <x:v>lambda_0_optimal_frequency_pct</x:v>
      </x:c>
      <x:c r="S1" s="29" t="str">
        <x:v>lambda_1_optimal_frequency_pct</x:v>
      </x:c>
      <x:c r="T1" s="29" t="str">
        <x:v>lambda_4_optimal_frequency_pct</x:v>
      </x:c>
    </x:row>
    <x:row r="2">
      <x:c r="A2" s="34" t="str">
        <x:v>JFE_STEEL_JP</x:v>
      </x:c>
      <x:c r="B2" s="34" t="str">
        <x:v>JFE Steel</x:v>
      </x:c>
      <x:c r="C2" s="34" t="str">
        <x:v>CAND-0B566F19FFC9A2</x:v>
      </x:c>
      <x:c r="D2" s="34" t="str">
        <x:v>P2</x:v>
      </x:c>
      <x:c r="E2" s="34" t="str">
        <x:v>PORT-CCD4397FA6D4</x:v>
      </x:c>
      <x:c r="F2" s="34" t="n">
        <x:v>2</x:v>
      </x:c>
      <x:c r="G2" s="34" t="n">
        <x:v>1</x:v>
      </x:c>
      <x:c r="H2" s="40" t="b">
        <x:v>0</x:v>
      </x:c>
      <x:c r="I2" s="34" t="n">
        <x:v>114.066738</x:v>
      </x:c>
      <x:c r="J2" s="34" t="n">
        <x:v>0.353626</x:v>
      </x:c>
      <x:c r="K2" s="34" t="n">
        <x:v>31.656915</x:v>
      </x:c>
      <x:c r="L2" s="34" t="n">
        <x:v>6.350605</x:v>
      </x:c>
      <x:c r="M2" s="34" t="n">
        <x:v>17.17012</x:v>
      </x:c>
      <x:c r="N2" s="34" t="n">
        <x:v>0.185096</x:v>
      </x:c>
      <x:c r="O2" s="34" t="n">
        <x:v>10.785451</x:v>
      </x:c>
      <x:c r="P2" s="34" t="n">
        <x:v>0.067376</x:v>
      </x:c>
      <x:c r="Q2" s="34" t="n">
        <x:v>0</x:v>
      </x:c>
      <x:c r="R2" s="34" t="n">
        <x:v>0</x:v>
      </x:c>
      <x:c r="S2" s="34" t="n">
        <x:v>0</x:v>
      </x:c>
      <x:c r="T2" s="34" t="n">
        <x:v>0</x:v>
      </x:c>
    </x:row>
    <x:row r="3">
      <x:c r="A3" s="34" t="str">
        <x:v>JFE_STEEL_JP</x:v>
      </x:c>
      <x:c r="B3" s="34" t="str">
        <x:v>JFE Steel</x:v>
      </x:c>
      <x:c r="C3" s="34" t="str">
        <x:v>CAND-0C103CAC9E9685</x:v>
      </x:c>
      <x:c r="D3" s="34" t="str">
        <x:v>P1</x:v>
      </x:c>
      <x:c r="E3" s="34" t="str">
        <x:v>PORT-48EB0158352D</x:v>
      </x:c>
      <x:c r="F3" s="34" t="n">
        <x:v>2</x:v>
      </x:c>
      <x:c r="G3" s="34" t="n">
        <x:v>0</x:v>
      </x:c>
      <x:c r="H3" s="40" t="b">
        <x:v>0</x:v>
      </x:c>
      <x:c r="I3" s="34" t="n">
        <x:v>195.24822</x:v>
      </x:c>
      <x:c r="J3" s="34" t="n">
        <x:v>1.41955</x:v>
      </x:c>
      <x:c r="K3" s="34" t="n">
        <x:v>57.243722</x:v>
      </x:c>
      <x:c r="L3" s="34" t="n">
        <x:v>7.147103</x:v>
      </x:c>
      <x:c r="M3" s="34" t="n">
        <x:v>105.39206</x:v>
      </x:c>
      <x:c r="N3" s="34" t="n">
        <x:v>1.475956</x:v>
      </x:c>
      <x:c r="O3" s="34" t="n">
        <x:v>95.487162</x:v>
      </x:c>
      <x:c r="P3" s="34" t="n">
        <x:v>1.584578</x:v>
      </x:c>
      <x:c r="Q3" s="34" t="n">
        <x:v>0</x:v>
      </x:c>
      <x:c r="R3" s="34" t="n">
        <x:v>0</x:v>
      </x:c>
      <x:c r="S3" s="34" t="n">
        <x:v>0</x:v>
      </x:c>
      <x:c r="T3" s="34" t="n">
        <x:v>0</x:v>
      </x:c>
    </x:row>
    <x:row r="4">
      <x:c r="A4" s="34" t="str">
        <x:v>JFE_STEEL_JP</x:v>
      </x:c>
      <x:c r="B4" s="34" t="str">
        <x:v>JFE Steel</x:v>
      </x:c>
      <x:c r="C4" s="34" t="str">
        <x:v>CAND-11566829CB83FF</x:v>
      </x:c>
      <x:c r="D4" s="34" t="str">
        <x:v>P1</x:v>
      </x:c>
      <x:c r="E4" s="34" t="str">
        <x:v>PORT-7C1FC602A00B</x:v>
      </x:c>
      <x:c r="F4" s="34" t="n">
        <x:v>2</x:v>
      </x:c>
      <x:c r="G4" s="34" t="n">
        <x:v>1</x:v>
      </x:c>
      <x:c r="H4" s="40" t="b">
        <x:v>0</x:v>
      </x:c>
      <x:c r="I4" s="34" t="n">
        <x:v>201.660938</x:v>
      </x:c>
      <x:c r="J4" s="34" t="n">
        <x:v>1.1538</x:v>
      </x:c>
      <x:c r="K4" s="34" t="n">
        <x:v>53.394871</x:v>
      </x:c>
      <x:c r="L4" s="34" t="n">
        <x:v>7.225189</x:v>
      </x:c>
      <x:c r="M4" s="34" t="n">
        <x:v>111.025245</x:v>
      </x:c>
      <x:c r="N4" s="34" t="n">
        <x:v>1.156423</x:v>
      </x:c>
      <x:c r="O4" s="34" t="n">
        <x:v>101.510113</x:v>
      </x:c>
      <x:c r="P4" s="34" t="n">
        <x:v>1.168856</x:v>
      </x:c>
      <x:c r="Q4" s="34" t="n">
        <x:v>0</x:v>
      </x:c>
      <x:c r="R4" s="34" t="n">
        <x:v>0</x:v>
      </x:c>
      <x:c r="S4" s="34" t="n">
        <x:v>0</x:v>
      </x:c>
      <x:c r="T4" s="34" t="n">
        <x:v>0</x:v>
      </x:c>
    </x:row>
    <x:row r="5">
      <x:c r="A5" s="34" t="str">
        <x:v>JFE_STEEL_JP</x:v>
      </x:c>
      <x:c r="B5" s="34" t="str">
        <x:v>JFE Steel</x:v>
      </x:c>
      <x:c r="C5" s="34" t="str">
        <x:v>CAND-12D758CC621EDD</x:v>
      </x:c>
      <x:c r="D5" s="34" t="str">
        <x:v>P3</x:v>
      </x:c>
      <x:c r="E5" s="34" t="str">
        <x:v>PORT-04FFFE8075F6</x:v>
      </x:c>
      <x:c r="F5" s="34" t="n">
        <x:v>2</x:v>
      </x:c>
      <x:c r="G5" s="34" t="n">
        <x:v>1</x:v>
      </x:c>
      <x:c r="H5" s="40" t="b">
        <x:v>0</x:v>
      </x:c>
      <x:c r="I5" s="34" t="n">
        <x:v>210.061817</x:v>
      </x:c>
      <x:c r="J5" s="34" t="n">
        <x:v>0.181976</x:v>
      </x:c>
      <x:c r="K5" s="34" t="n">
        <x:v>40.978489</x:v>
      </x:c>
      <x:c r="L5" s="34" t="n">
        <x:v>6.222528</x:v>
      </x:c>
      <x:c r="M5" s="34" t="n">
        <x:v>113.562986</x:v>
      </x:c>
      <x:c r="N5" s="34" t="n">
        <x:v>0.480132</x:v>
      </x:c>
      <x:c r="O5" s="34" t="n">
        <x:v>106.979424</x:v>
      </x:c>
      <x:c r="P5" s="34" t="n">
        <x:v>0.40456</x:v>
      </x:c>
      <x:c r="Q5" s="34" t="n">
        <x:v>0</x:v>
      </x:c>
      <x:c r="R5" s="34" t="n">
        <x:v>0</x:v>
      </x:c>
      <x:c r="S5" s="34" t="n">
        <x:v>0</x:v>
      </x:c>
      <x:c r="T5" s="34" t="n">
        <x:v>0</x:v>
      </x:c>
    </x:row>
    <x:row r="6">
      <x:c r="A6" s="34" t="str">
        <x:v>JFE_STEEL_JP</x:v>
      </x:c>
      <x:c r="B6" s="34" t="str">
        <x:v>JFE Steel</x:v>
      </x:c>
      <x:c r="C6" s="34" t="str">
        <x:v>CAND-156DBD688B285D</x:v>
      </x:c>
      <x:c r="D6" s="34" t="str">
        <x:v>P2</x:v>
      </x:c>
      <x:c r="E6" s="34" t="str">
        <x:v>PORT-4FBC33F20EEF</x:v>
      </x:c>
      <x:c r="F6" s="34" t="n">
        <x:v>2</x:v>
      </x:c>
      <x:c r="G6" s="34" t="n">
        <x:v>0</x:v>
      </x:c>
      <x:c r="H6" s="40" t="b">
        <x:v>0</x:v>
      </x:c>
      <x:c r="I6" s="34" t="n">
        <x:v>68.675945</x:v>
      </x:c>
      <x:c r="J6" s="34" t="n">
        <x:v>1.40832</x:v>
      </x:c>
      <x:c r="K6" s="34" t="n">
        <x:v>20.534127</x:v>
      </x:c>
      <x:c r="L6" s="34" t="n">
        <x:v>2.927064</x:v>
      </x:c>
      <x:c r="M6" s="34" t="n">
        <x:v>-31.038126</x:v>
      </x:c>
      <x:c r="N6" s="34" t="n">
        <x:v>1.843812</x:v>
      </x:c>
      <x:c r="O6" s="34" t="n">
        <x:v>-36.014068</x:v>
      </x:c>
      <x:c r="P6" s="34" t="n">
        <x:v>1.742782</x:v>
      </x:c>
      <x:c r="Q6" s="34" t="n">
        <x:v>0</x:v>
      </x:c>
      <x:c r="R6" s="34" t="n">
        <x:v>0</x:v>
      </x:c>
      <x:c r="S6" s="34" t="n">
        <x:v>0</x:v>
      </x:c>
      <x:c r="T6" s="34" t="n">
        <x:v>0</x:v>
      </x:c>
    </x:row>
    <x:row r="7">
      <x:c r="A7" s="34" t="str">
        <x:v>JFE_STEEL_JP</x:v>
      </x:c>
      <x:c r="B7" s="34" t="str">
        <x:v>JFE Steel</x:v>
      </x:c>
      <x:c r="C7" s="34" t="str">
        <x:v>CAND-1D1CB9506368C0</x:v>
      </x:c>
      <x:c r="D7" s="34" t="str">
        <x:v>P2</x:v>
      </x:c>
      <x:c r="E7" s="34" t="str">
        <x:v>PORT-0FD37D80B1EA</x:v>
      </x:c>
      <x:c r="F7" s="34" t="n">
        <x:v>2</x:v>
      </x:c>
      <x:c r="G7" s="34" t="n">
        <x:v>1</x:v>
      </x:c>
      <x:c r="H7" s="40" t="b">
        <x:v>0</x:v>
      </x:c>
      <x:c r="I7" s="34" t="n">
        <x:v>149.992919</x:v>
      </x:c>
      <x:c r="J7" s="34" t="n">
        <x:v>2.367414</x:v>
      </x:c>
      <x:c r="K7" s="34" t="n">
        <x:v>36.932985</x:v>
      </x:c>
      <x:c r="L7" s="34" t="n">
        <x:v>3.337135</x:v>
      </x:c>
      <x:c r="M7" s="34" t="n">
        <x:v>54.215272</x:v>
      </x:c>
      <x:c r="N7" s="34" t="n">
        <x:v>2.119326</x:v>
      </x:c>
      <x:c r="O7" s="34" t="n">
        <x:v>47.271117</x:v>
      </x:c>
      <x:c r="P7" s="34" t="n">
        <x:v>2.319366</x:v>
      </x:c>
      <x:c r="Q7" s="34" t="n">
        <x:v>0</x:v>
      </x:c>
      <x:c r="R7" s="34" t="n">
        <x:v>0</x:v>
      </x:c>
      <x:c r="S7" s="34" t="n">
        <x:v>0</x:v>
      </x:c>
      <x:c r="T7" s="34" t="n">
        <x:v>0</x:v>
      </x:c>
    </x:row>
    <x:row r="8">
      <x:c r="A8" s="34" t="str">
        <x:v>JFE_STEEL_JP</x:v>
      </x:c>
      <x:c r="B8" s="34" t="str">
        <x:v>JFE Steel</x:v>
      </x:c>
      <x:c r="C8" s="34" t="str">
        <x:v>CAND-2384C3F783562D</x:v>
      </x:c>
      <x:c r="D8" s="34" t="str">
        <x:v>P2</x:v>
      </x:c>
      <x:c r="E8" s="34" t="str">
        <x:v>PORT-04FFFE8075F6</x:v>
      </x:c>
      <x:c r="F8" s="34" t="n">
        <x:v>2</x:v>
      </x:c>
      <x:c r="G8" s="34" t="n">
        <x:v>1</x:v>
      </x:c>
      <x:c r="H8" s="40" t="b">
        <x:v>0</x:v>
      </x:c>
      <x:c r="I8" s="34" t="n">
        <x:v>219.263887</x:v>
      </x:c>
      <x:c r="J8" s="34" t="n">
        <x:v>0.267851</x:v>
      </x:c>
      <x:c r="K8" s="34" t="n">
        <x:v>53.164772</x:v>
      </x:c>
      <x:c r="L8" s="34" t="n">
        <x:v>7.990103</x:v>
      </x:c>
      <x:c r="M8" s="34" t="n">
        <x:v>127.298465</x:v>
      </x:c>
      <x:c r="N8" s="34" t="n">
        <x:v>0.648961</x:v>
      </x:c>
      <x:c r="O8" s="34" t="n">
        <x:v>118.448198</x:v>
      </x:c>
      <x:c r="P8" s="34" t="n">
        <x:v>0.511837</x:v>
      </x:c>
      <x:c r="Q8" s="34" t="n">
        <x:v>0</x:v>
      </x:c>
      <x:c r="R8" s="34" t="n">
        <x:v>0</x:v>
      </x:c>
      <x:c r="S8" s="34" t="n">
        <x:v>0</x:v>
      </x:c>
      <x:c r="T8" s="34" t="n">
        <x:v>0</x:v>
      </x:c>
    </x:row>
    <x:row r="9">
      <x:c r="A9" s="34" t="str">
        <x:v>JFE_STEEL_JP</x:v>
      </x:c>
      <x:c r="B9" s="34" t="str">
        <x:v>JFE Steel</x:v>
      </x:c>
      <x:c r="C9" s="34" t="str">
        <x:v>CAND-25BA0666383526</x:v>
      </x:c>
      <x:c r="D9" s="34" t="str">
        <x:v>P1</x:v>
      </x:c>
      <x:c r="E9" s="34" t="str">
        <x:v>PORT-E3494C854A0D</x:v>
      </x:c>
      <x:c r="F9" s="34" t="n">
        <x:v>2</x:v>
      </x:c>
      <x:c r="G9" s="34" t="n">
        <x:v>1</x:v>
      </x:c>
      <x:c r="H9" s="40" t="b">
        <x:v>0</x:v>
      </x:c>
      <x:c r="I9" s="34" t="n">
        <x:v>125.969083</x:v>
      </x:c>
      <x:c r="J9" s="34" t="n">
        <x:v>1.907488</x:v>
      </x:c>
      <x:c r="K9" s="34" t="n">
        <x:v>37.915313</x:v>
      </x:c>
      <x:c r="L9" s="34" t="n">
        <x:v>3.547626</x:v>
      </x:c>
      <x:c r="M9" s="34" t="n">
        <x:v>30.274097</x:v>
      </x:c>
      <x:c r="N9" s="34" t="n">
        <x:v>2.425833</x:v>
      </x:c>
      <x:c r="O9" s="34" t="n">
        <x:v>23.288612</x:v>
      </x:c>
      <x:c r="P9" s="34" t="n">
        <x:v>2.243353</x:v>
      </x:c>
      <x:c r="Q9" s="34" t="n">
        <x:v>0</x:v>
      </x:c>
      <x:c r="R9" s="34" t="n">
        <x:v>0</x:v>
      </x:c>
      <x:c r="S9" s="34" t="n">
        <x:v>0</x:v>
      </x:c>
      <x:c r="T9" s="34" t="n">
        <x:v>0</x:v>
      </x:c>
    </x:row>
    <x:row r="10">
      <x:c r="A10" s="34" t="str">
        <x:v>JFE_STEEL_JP</x:v>
      </x:c>
      <x:c r="B10" s="34" t="str">
        <x:v>JFE Steel</x:v>
      </x:c>
      <x:c r="C10" s="34" t="str">
        <x:v>CAND-27DEF6B976065D</x:v>
      </x:c>
      <x:c r="D10" s="34" t="str">
        <x:v>P3</x:v>
      </x:c>
      <x:c r="E10" s="34" t="str">
        <x:v>PORT-408F044D6828</x:v>
      </x:c>
      <x:c r="F10" s="34" t="n">
        <x:v>2</x:v>
      </x:c>
      <x:c r="G10" s="34" t="n">
        <x:v>0</x:v>
      </x:c>
      <x:c r="H10" s="40" t="b">
        <x:v>0</x:v>
      </x:c>
      <x:c r="I10" s="34" t="n">
        <x:v>208.218076</x:v>
      </x:c>
      <x:c r="J10" s="34" t="n">
        <x:v>1.048814</x:v>
      </x:c>
      <x:c r="K10" s="34" t="n">
        <x:v>38.670443</x:v>
      </x:c>
      <x:c r="L10" s="34" t="n">
        <x:v>5.093478</x:v>
      </x:c>
      <x:c r="M10" s="34" t="n">
        <x:v>111.819521</x:v>
      </x:c>
      <x:c r="N10" s="34" t="n">
        <x:v>0.944222</x:v>
      </x:c>
      <x:c r="O10" s="34" t="n">
        <x:v>105.18582</x:v>
      </x:c>
      <x:c r="P10" s="34" t="n">
        <x:v>1.018246</x:v>
      </x:c>
      <x:c r="Q10" s="34" t="n">
        <x:v>0</x:v>
      </x:c>
      <x:c r="R10" s="34" t="n">
        <x:v>0</x:v>
      </x:c>
      <x:c r="S10" s="34" t="n">
        <x:v>0</x:v>
      </x:c>
      <x:c r="T10" s="34" t="n">
        <x:v>0</x:v>
      </x:c>
    </x:row>
    <x:row r="11">
      <x:c r="A11" s="34" t="str">
        <x:v>JFE_STEEL_JP</x:v>
      </x:c>
      <x:c r="B11" s="34" t="str">
        <x:v>JFE Steel</x:v>
      </x:c>
      <x:c r="C11" s="34" t="str">
        <x:v>CAND-2AFD85912C485D</x:v>
      </x:c>
      <x:c r="D11" s="34" t="str">
        <x:v>P5</x:v>
      </x:c>
      <x:c r="E11" s="34" t="str">
        <x:v>PORT-844170813924</x:v>
      </x:c>
      <x:c r="F11" s="34" t="n">
        <x:v>2</x:v>
      </x:c>
      <x:c r="G11" s="34" t="n">
        <x:v>0</x:v>
      </x:c>
      <x:c r="H11" s="40" t="b">
        <x:v>0</x:v>
      </x:c>
      <x:c r="I11" s="34" t="n">
        <x:v>170.419238</x:v>
      </x:c>
      <x:c r="J11" s="34" t="n">
        <x:v>0.570405</x:v>
      </x:c>
      <x:c r="K11" s="34" t="n">
        <x:v>14.068767</x:v>
      </x:c>
      <x:c r="L11" s="34" t="n">
        <x:v>1.875608</x:v>
      </x:c>
      <x:c r="M11" s="34" t="n">
        <x:v>63.293004</x:v>
      </x:c>
      <x:c r="N11" s="34" t="n">
        <x:v>0.61476</x:v>
      </x:c>
      <x:c r="O11" s="34" t="n">
        <x:v>62.023143</x:v>
      </x:c>
      <x:c r="P11" s="34" t="n">
        <x:v>0.642228</x:v>
      </x:c>
      <x:c r="Q11" s="34" t="n">
        <x:v>0</x:v>
      </x:c>
      <x:c r="R11" s="34" t="n">
        <x:v>0</x:v>
      </x:c>
      <x:c r="S11" s="34" t="n">
        <x:v>0</x:v>
      </x:c>
      <x:c r="T11" s="34" t="n">
        <x:v>0</x:v>
      </x:c>
    </x:row>
    <x:row r="12">
      <x:c r="A12" s="34" t="str">
        <x:v>JFE_STEEL_JP</x:v>
      </x:c>
      <x:c r="B12" s="34" t="str">
        <x:v>JFE Steel</x:v>
      </x:c>
      <x:c r="C12" s="34" t="str">
        <x:v>CAND-2DF8CF21E8720D</x:v>
      </x:c>
      <x:c r="D12" s="34" t="str">
        <x:v>P1</x:v>
      </x:c>
      <x:c r="E12" s="34" t="str">
        <x:v>PORT-9D97003767D5</x:v>
      </x:c>
      <x:c r="F12" s="34" t="n">
        <x:v>2</x:v>
      </x:c>
      <x:c r="G12" s="34" t="n">
        <x:v>0</x:v>
      </x:c>
      <x:c r="H12" s="40" t="b">
        <x:v>0</x:v>
      </x:c>
      <x:c r="I12" s="34" t="n">
        <x:v>21.231125</x:v>
      </x:c>
      <x:c r="J12" s="34" t="n">
        <x:v>0.820356</x:v>
      </x:c>
      <x:c r="K12" s="34" t="n">
        <x:v>11.483622</x:v>
      </x:c>
      <x:c r="L12" s="34" t="n">
        <x:v>0.98142</x:v>
      </x:c>
      <x:c r="M12" s="34" t="n">
        <x:v>-80.88738</x:v>
      </x:c>
      <x:c r="N12" s="34" t="n">
        <x:v>0.702844</x:v>
      </x:c>
      <x:c r="O12" s="34" t="n">
        <x:v>-84.661106</x:v>
      </x:c>
      <x:c r="P12" s="34" t="n">
        <x:v>0.620308</x:v>
      </x:c>
      <x:c r="Q12" s="34" t="n">
        <x:v>0</x:v>
      </x:c>
      <x:c r="R12" s="34" t="n">
        <x:v>0</x:v>
      </x:c>
      <x:c r="S12" s="34" t="n">
        <x:v>0</x:v>
      </x:c>
      <x:c r="T12" s="34" t="n">
        <x:v>0</x:v>
      </x:c>
    </x:row>
    <x:row r="13">
      <x:c r="A13" s="34" t="str">
        <x:v>JFE_STEEL_JP</x:v>
      </x:c>
      <x:c r="B13" s="34" t="str">
        <x:v>JFE Steel</x:v>
      </x:c>
      <x:c r="C13" s="34" t="str">
        <x:v>CAND-321A1FBBC2D640</x:v>
      </x:c>
      <x:c r="D13" s="34" t="str">
        <x:v>P1</x:v>
      </x:c>
      <x:c r="E13" s="34" t="str">
        <x:v>PORT-CCD4397FA6D4</x:v>
      </x:c>
      <x:c r="F13" s="34" t="n">
        <x:v>2</x:v>
      </x:c>
      <x:c r="G13" s="34" t="n">
        <x:v>1</x:v>
      </x:c>
      <x:c r="H13" s="40" t="b">
        <x:v>0</x:v>
      </x:c>
      <x:c r="I13" s="34" t="n">
        <x:v>117.188254</x:v>
      </x:c>
      <x:c r="J13" s="34" t="n">
        <x:v>0.402329</x:v>
      </x:c>
      <x:c r="K13" s="34" t="n">
        <x:v>37.103824</x:v>
      </x:c>
      <x:c r="L13" s="34" t="n">
        <x:v>7.398396</x:v>
      </x:c>
      <x:c r="M13" s="34" t="n">
        <x:v>21.656799</x:v>
      </x:c>
      <x:c r="N13" s="34" t="n">
        <x:v>0.190662</x:v>
      </x:c>
      <x:c r="O13" s="34" t="n">
        <x:v>14.589548</x:v>
      </x:c>
      <x:c r="P13" s="34" t="n">
        <x:v>0.015585</x:v>
      </x:c>
      <x:c r="Q13" s="34" t="n">
        <x:v>0</x:v>
      </x:c>
      <x:c r="R13" s="34" t="n">
        <x:v>0</x:v>
      </x:c>
      <x:c r="S13" s="34" t="n">
        <x:v>0</x:v>
      </x:c>
      <x:c r="T13" s="34" t="n">
        <x:v>0</x:v>
      </x:c>
    </x:row>
    <x:row r="14">
      <x:c r="A14" s="34" t="str">
        <x:v>JFE_STEEL_JP</x:v>
      </x:c>
      <x:c r="B14" s="34" t="str">
        <x:v>JFE Steel</x:v>
      </x:c>
      <x:c r="C14" s="34" t="str">
        <x:v>CAND-3785968E4E1C91</x:v>
      </x:c>
      <x:c r="D14" s="34" t="str">
        <x:v>P1</x:v>
      </x:c>
      <x:c r="E14" s="34" t="str">
        <x:v>PORT-4FBC33F20EEF</x:v>
      </x:c>
      <x:c r="F14" s="34" t="n">
        <x:v>2</x:v>
      </x:c>
      <x:c r="G14" s="34" t="n">
        <x:v>0</x:v>
      </x:c>
      <x:c r="H14" s="40" t="b">
        <x:v>0</x:v>
      </x:c>
      <x:c r="I14" s="34" t="n">
        <x:v>70.397337</x:v>
      </x:c>
      <x:c r="J14" s="34" t="n">
        <x:v>1.669853</x:v>
      </x:c>
      <x:c r="K14" s="34" t="n">
        <x:v>24.205479</x:v>
      </x:c>
      <x:c r="L14" s="34" t="n">
        <x:v>3.1854</x:v>
      </x:c>
      <x:c r="M14" s="34" t="n">
        <x:v>-28.629137</x:v>
      </x:c>
      <x:c r="N14" s="34" t="n">
        <x:v>2.160472</x:v>
      </x:c>
      <x:c r="O14" s="34" t="n">
        <x:v>-33.948878</x:v>
      </x:c>
      <x:c r="P14" s="34" t="n">
        <x:v>2.030934</x:v>
      </x:c>
      <x:c r="Q14" s="34" t="n">
        <x:v>0</x:v>
      </x:c>
      <x:c r="R14" s="34" t="n">
        <x:v>0</x:v>
      </x:c>
      <x:c r="S14" s="34" t="n">
        <x:v>0</x:v>
      </x:c>
      <x:c r="T14" s="34" t="n">
        <x:v>0</x:v>
      </x:c>
    </x:row>
    <x:row r="15">
      <x:c r="A15" s="34" t="str">
        <x:v>JFE_STEEL_JP</x:v>
      </x:c>
      <x:c r="B15" s="34" t="str">
        <x:v>JFE Steel</x:v>
      </x:c>
      <x:c r="C15" s="34" t="str">
        <x:v>CAND-3BDAECB8DA1A89</x:v>
      </x:c>
      <x:c r="D15" s="34" t="str">
        <x:v>P4</x:v>
      </x:c>
      <x:c r="E15" s="34" t="str">
        <x:v>PORT-29DB1A43C5DD</x:v>
      </x:c>
      <x:c r="F15" s="34" t="n">
        <x:v>2</x:v>
      </x:c>
      <x:c r="G15" s="34" t="n">
        <x:v>0</x:v>
      </x:c>
      <x:c r="H15" s="40" t="b">
        <x:v>0</x:v>
      </x:c>
      <x:c r="I15" s="34" t="n">
        <x:v>177.710166</x:v>
      </x:c>
      <x:c r="J15" s="34" t="n">
        <x:v>0.461038</x:v>
      </x:c>
      <x:c r="K15" s="34" t="n">
        <x:v>24.798826</x:v>
      </x:c>
      <x:c r="L15" s="34" t="n">
        <x:v>2.987686</x:v>
      </x:c>
      <x:c r="M15" s="34" t="n">
        <x:v>77.109509</x:v>
      </x:c>
      <x:c r="N15" s="34" t="n">
        <x:v>0.357403</x:v>
      </x:c>
      <x:c r="O15" s="34" t="n">
        <x:v>72.576859</x:v>
      </x:c>
      <x:c r="P15" s="34" t="n">
        <x:v>0.441831</x:v>
      </x:c>
      <x:c r="Q15" s="34" t="n">
        <x:v>0</x:v>
      </x:c>
      <x:c r="R15" s="34" t="n">
        <x:v>0</x:v>
      </x:c>
      <x:c r="S15" s="34" t="n">
        <x:v>0</x:v>
      </x:c>
      <x:c r="T15" s="34" t="n">
        <x:v>0</x:v>
      </x:c>
    </x:row>
    <x:row r="16">
      <x:c r="A16" s="34" t="str">
        <x:v>JFE_STEEL_JP</x:v>
      </x:c>
      <x:c r="B16" s="34" t="str">
        <x:v>JFE Steel</x:v>
      </x:c>
      <x:c r="C16" s="34" t="str">
        <x:v>CAND-3DE74006E308F9</x:v>
      </x:c>
      <x:c r="D16" s="34" t="str">
        <x:v>P2</x:v>
      </x:c>
      <x:c r="E16" s="34" t="str">
        <x:v>PORT-7C1FC602A00B</x:v>
      </x:c>
      <x:c r="F16" s="34" t="n">
        <x:v>2</x:v>
      </x:c>
      <x:c r="G16" s="34" t="n">
        <x:v>1</x:v>
      </x:c>
      <x:c r="H16" s="40" t="b">
        <x:v>0</x:v>
      </x:c>
      <x:c r="I16" s="34" t="n">
        <x:v>195.886323</x:v>
      </x:c>
      <x:c r="J16" s="34" t="n">
        <x:v>1.03076</x:v>
      </x:c>
      <x:c r="K16" s="34" t="n">
        <x:v>45.507619</x:v>
      </x:c>
      <x:c r="L16" s="34" t="n">
        <x:v>6.028424</x:v>
      </x:c>
      <x:c r="M16" s="34" t="n">
        <x:v>102.613417</x:v>
      </x:c>
      <x:c r="N16" s="34" t="n">
        <x:v>0.955587</x:v>
      </x:c>
      <x:c r="O16" s="34" t="n">
        <x:v>94.416892</x:v>
      </x:c>
      <x:c r="P16" s="34" t="n">
        <x:v>1.004644</x:v>
      </x:c>
      <x:c r="Q16" s="34" t="n">
        <x:v>0</x:v>
      </x:c>
      <x:c r="R16" s="34" t="n">
        <x:v>0</x:v>
      </x:c>
      <x:c r="S16" s="34" t="n">
        <x:v>0</x:v>
      </x:c>
      <x:c r="T16" s="34" t="n">
        <x:v>0</x:v>
      </x:c>
    </x:row>
    <x:row r="17">
      <x:c r="A17" s="34" t="str">
        <x:v>JFE_STEEL_JP</x:v>
      </x:c>
      <x:c r="B17" s="34" t="str">
        <x:v>JFE Steel</x:v>
      </x:c>
      <x:c r="C17" s="34" t="str">
        <x:v>CAND-44218B07FC843F</x:v>
      </x:c>
      <x:c r="D17" s="34" t="str">
        <x:v>P2</x:v>
      </x:c>
      <x:c r="E17" s="34" t="str">
        <x:v>PORT-48EB0158352D</x:v>
      </x:c>
      <x:c r="F17" s="34" t="n">
        <x:v>2</x:v>
      </x:c>
      <x:c r="G17" s="34" t="n">
        <x:v>0</x:v>
      </x:c>
      <x:c r="H17" s="40" t="b">
        <x:v>0</x:v>
      </x:c>
      <x:c r="I17" s="34" t="n">
        <x:v>189.838903</x:v>
      </x:c>
      <x:c r="J17" s="34" t="n">
        <x:v>1.24996</x:v>
      </x:c>
      <x:c r="K17" s="34" t="n">
        <x:v>48.758823</x:v>
      </x:c>
      <x:c r="L17" s="34" t="n">
        <x:v>6.019707</x:v>
      </x:c>
      <x:c r="M17" s="34" t="n">
        <x:v>97.248903</x:v>
      </x:c>
      <x:c r="N17" s="34" t="n">
        <x:v>1.215795</x:v>
      </x:c>
      <x:c r="O17" s="34" t="n">
        <x:v>88.710925</x:v>
      </x:c>
      <x:c r="P17" s="34" t="n">
        <x:v>1.372331</x:v>
      </x:c>
      <x:c r="Q17" s="34" t="n">
        <x:v>0</x:v>
      </x:c>
      <x:c r="R17" s="34" t="n">
        <x:v>0</x:v>
      </x:c>
      <x:c r="S17" s="34" t="n">
        <x:v>0</x:v>
      </x:c>
      <x:c r="T17" s="34" t="n">
        <x:v>0</x:v>
      </x:c>
    </x:row>
    <x:row r="18">
      <x:c r="A18" s="34" t="str">
        <x:v>JFE_STEEL_JP</x:v>
      </x:c>
      <x:c r="B18" s="34" t="str">
        <x:v>JFE Steel</x:v>
      </x:c>
      <x:c r="C18" s="34" t="str">
        <x:v>CAND-4D77DB7422B451</x:v>
      </x:c>
      <x:c r="D18" s="34" t="str">
        <x:v>P2</x:v>
      </x:c>
      <x:c r="E18" s="34" t="str">
        <x:v>PORT-3776FB32D8CF</x:v>
      </x:c>
      <x:c r="F18" s="34" t="n">
        <x:v>2</x:v>
      </x:c>
      <x:c r="G18" s="34" t="n">
        <x:v>0</x:v>
      </x:c>
      <x:c r="H18" s="40" t="b">
        <x:v>0</x:v>
      </x:c>
      <x:c r="I18" s="34" t="n">
        <x:v>135.443618</x:v>
      </x:c>
      <x:c r="J18" s="34" t="n">
        <x:v>1.285465</x:v>
      </x:c>
      <x:c r="K18" s="34" t="n">
        <x:v>35.759135</x:v>
      </x:c>
      <x:c r="L18" s="34" t="n">
        <x:v>4.444572</x:v>
      </x:c>
      <x:c r="M18" s="34" t="n">
        <x:v>38.687802</x:v>
      </x:c>
      <x:c r="N18" s="34" t="n">
        <x:v>1.854358</x:v>
      </x:c>
      <x:c r="O18" s="34" t="n">
        <x:v>32.232732</x:v>
      </x:c>
      <x:c r="P18" s="34" t="n">
        <x:v>1.675737</x:v>
      </x:c>
      <x:c r="Q18" s="34" t="n">
        <x:v>0</x:v>
      </x:c>
      <x:c r="R18" s="34" t="n">
        <x:v>0</x:v>
      </x:c>
      <x:c r="S18" s="34" t="n">
        <x:v>0</x:v>
      </x:c>
      <x:c r="T18" s="34" t="n">
        <x:v>0</x:v>
      </x:c>
    </x:row>
    <x:row r="19">
      <x:c r="A19" s="34" t="str">
        <x:v>JFE_STEEL_JP</x:v>
      </x:c>
      <x:c r="B19" s="34" t="str">
        <x:v>JFE Steel</x:v>
      </x:c>
      <x:c r="C19" s="34" t="str">
        <x:v>CAND-53E6B469D62558</x:v>
      </x:c>
      <x:c r="D19" s="34" t="str">
        <x:v>P1</x:v>
      </x:c>
      <x:c r="E19" s="34" t="str">
        <x:v>PORT-33091F63E785</x:v>
      </x:c>
      <x:c r="F19" s="34" t="n">
        <x:v>2</x:v>
      </x:c>
      <x:c r="G19" s="34" t="n">
        <x:v>0</x:v>
      </x:c>
      <x:c r="H19" s="40" t="b">
        <x:v>0</x:v>
      </x:c>
      <x:c r="I19" s="34" t="n">
        <x:v>21.953546</x:v>
      </x:c>
      <x:c r="J19" s="34" t="n">
        <x:v>0.285873</x:v>
      </x:c>
      <x:c r="K19" s="34" t="n">
        <x:v>11.836214</x:v>
      </x:c>
      <x:c r="L19" s="34" t="n">
        <x:v>0.811757</x:v>
      </x:c>
      <x:c r="M19" s="34" t="n">
        <x:v>-80.393882</x:v>
      </x:c>
      <x:c r="N19" s="34" t="n">
        <x:v>0.096259</x:v>
      </x:c>
      <x:c r="O19" s="34" t="n">
        <x:v>-84.053147</x:v>
      </x:c>
      <x:c r="P19" s="34" t="n">
        <x:v>0.036937</x:v>
      </x:c>
      <x:c r="Q19" s="34" t="n">
        <x:v>0</x:v>
      </x:c>
      <x:c r="R19" s="34" t="n">
        <x:v>0</x:v>
      </x:c>
      <x:c r="S19" s="34" t="n">
        <x:v>0</x:v>
      </x:c>
      <x:c r="T19" s="34" t="n">
        <x:v>0</x:v>
      </x:c>
    </x:row>
    <x:row r="20">
      <x:c r="A20" s="34" t="str">
        <x:v>JFE_STEEL_JP</x:v>
      </x:c>
      <x:c r="B20" s="34" t="str">
        <x:v>JFE Steel</x:v>
      </x:c>
      <x:c r="C20" s="34" t="str">
        <x:v>CAND-56A2BE8D3222E8</x:v>
      </x:c>
      <x:c r="D20" s="34" t="str">
        <x:v>P5</x:v>
      </x:c>
      <x:c r="E20" s="34" t="str">
        <x:v>PORT-29DB1A43C5DD</x:v>
      </x:c>
      <x:c r="F20" s="34" t="n">
        <x:v>2</x:v>
      </x:c>
      <x:c r="G20" s="34" t="n">
        <x:v>0</x:v>
      </x:c>
      <x:c r="H20" s="40" t="b">
        <x:v>0</x:v>
      </x:c>
      <x:c r="I20" s="34" t="n">
        <x:v>167.646727</x:v>
      </x:c>
      <x:c r="J20" s="34" t="n">
        <x:v>0.252426</x:v>
      </x:c>
      <x:c r="K20" s="34" t="n">
        <x:v>14.298513</x:v>
      </x:c>
      <x:c r="L20" s="34" t="n">
        <x:v>1.799159</x:v>
      </x:c>
      <x:c r="M20" s="34" t="n">
        <x:v>61.516917</x:v>
      </x:c>
      <x:c r="N20" s="34" t="n">
        <x:v>0.155225</x:v>
      </x:c>
      <x:c r="O20" s="34" t="n">
        <x:v>59.748844</x:v>
      </x:c>
      <x:c r="P20" s="34" t="n">
        <x:v>0.170765</x:v>
      </x:c>
      <x:c r="Q20" s="34" t="n">
        <x:v>0</x:v>
      </x:c>
      <x:c r="R20" s="34" t="n">
        <x:v>0</x:v>
      </x:c>
      <x:c r="S20" s="34" t="n">
        <x:v>0</x:v>
      </x:c>
      <x:c r="T20" s="34" t="n">
        <x:v>0</x:v>
      </x:c>
    </x:row>
    <x:row r="21">
      <x:c r="A21" s="34" t="str">
        <x:v>JFE_STEEL_JP</x:v>
      </x:c>
      <x:c r="B21" s="34" t="str">
        <x:v>JFE Steel</x:v>
      </x:c>
      <x:c r="C21" s="34" t="str">
        <x:v>CAND-5B53A6D662B077</x:v>
      </x:c>
      <x:c r="D21" s="34" t="str">
        <x:v>P2</x:v>
      </x:c>
      <x:c r="E21" s="34" t="str">
        <x:v>PORT-BFE68456F5A9</x:v>
      </x:c>
      <x:c r="F21" s="34" t="n">
        <x:v>2</x:v>
      </x:c>
      <x:c r="G21" s="34" t="n">
        <x:v>0</x:v>
      </x:c>
      <x:c r="H21" s="40" t="b">
        <x:v>0</x:v>
      </x:c>
      <x:c r="I21" s="34" t="n">
        <x:v>121.781609</x:v>
      </x:c>
      <x:c r="J21" s="34" t="n">
        <x:v>2.243562</x:v>
      </x:c>
      <x:c r="K21" s="34" t="n">
        <x:v>31.671278</x:v>
      </x:c>
      <x:c r="L21" s="34" t="n">
        <x:v>6.378134</x:v>
      </x:c>
      <x:c r="M21" s="34" t="n">
        <x:v>25.076919</x:v>
      </x:c>
      <x:c r="N21" s="34" t="n">
        <x:v>2.343901</x:v>
      </x:c>
      <x:c r="O21" s="34" t="n">
        <x:v>18.596286</x:v>
      </x:c>
      <x:c r="P21" s="34" t="n">
        <x:v>2.433449</x:v>
      </x:c>
      <x:c r="Q21" s="34" t="n">
        <x:v>0</x:v>
      </x:c>
      <x:c r="R21" s="34" t="n">
        <x:v>0</x:v>
      </x:c>
      <x:c r="S21" s="34" t="n">
        <x:v>0</x:v>
      </x:c>
      <x:c r="T21" s="34" t="n">
        <x:v>0</x:v>
      </x:c>
    </x:row>
    <x:row r="22">
      <x:c r="A22" s="34" t="str">
        <x:v>JFE_STEEL_JP</x:v>
      </x:c>
      <x:c r="B22" s="34" t="str">
        <x:v>JFE Steel</x:v>
      </x:c>
      <x:c r="C22" s="34" t="str">
        <x:v>CAND-65F7157232C73A</x:v>
      </x:c>
      <x:c r="D22" s="34" t="str">
        <x:v>P1</x:v>
      </x:c>
      <x:c r="E22" s="34" t="str">
        <x:v>PORT-04FFFE8075F6</x:v>
      </x:c>
      <x:c r="F22" s="34" t="n">
        <x:v>2</x:v>
      </x:c>
      <x:c r="G22" s="34" t="n">
        <x:v>1</x:v>
      </x:c>
      <x:c r="H22" s="40" t="b">
        <x:v>0</x:v>
      </x:c>
      <x:c r="I22" s="34" t="n">
        <x:v>225.672401</x:v>
      </x:c>
      <x:c r="J22" s="34" t="n">
        <x:v>0.322264</x:v>
      </x:c>
      <x:c r="K22" s="34" t="n">
        <x:v>62.472196</x:v>
      </x:c>
      <x:c r="L22" s="34" t="n">
        <x:v>9.348723</x:v>
      </x:c>
      <x:c r="M22" s="34" t="n">
        <x:v>136.659667</x:v>
      </x:c>
      <x:c r="N22" s="34" t="n">
        <x:v>0.817139</x:v>
      </x:c>
      <x:c r="O22" s="34" t="n">
        <x:v>126.296229</x:v>
      </x:c>
      <x:c r="P22" s="34" t="n">
        <x:v>0.631714</x:v>
      </x:c>
      <x:c r="Q22" s="34" t="n">
        <x:v>0</x:v>
      </x:c>
      <x:c r="R22" s="34" t="n">
        <x:v>0</x:v>
      </x:c>
      <x:c r="S22" s="34" t="n">
        <x:v>0</x:v>
      </x:c>
      <x:c r="T22" s="34" t="n">
        <x:v>0</x:v>
      </x:c>
    </x:row>
    <x:row r="23">
      <x:c r="A23" s="34" t="str">
        <x:v>JFE_STEEL_JP</x:v>
      </x:c>
      <x:c r="B23" s="34" t="str">
        <x:v>JFE Steel</x:v>
      </x:c>
      <x:c r="C23" s="34" t="str">
        <x:v>CAND-6740F2BE1999AB</x:v>
      </x:c>
      <x:c r="D23" s="34" t="str">
        <x:v>P2</x:v>
      </x:c>
      <x:c r="E23" s="34" t="str">
        <x:v>PORT-6E49C004BA31</x:v>
      </x:c>
      <x:c r="F23" s="34" t="n">
        <x:v>2</x:v>
      </x:c>
      <x:c r="G23" s="34" t="n">
        <x:v>0</x:v>
      </x:c>
      <x:c r="H23" s="40" t="b">
        <x:v>0</x:v>
      </x:c>
      <x:c r="I23" s="34" t="n">
        <x:v>177.656226</x:v>
      </x:c>
      <x:c r="J23" s="34" t="n">
        <x:v>0.631279</x:v>
      </x:c>
      <x:c r="K23" s="34" t="n">
        <x:v>47.558982</x:v>
      </x:c>
      <x:c r="L23" s="34" t="n">
        <x:v>8.283035</x:v>
      </x:c>
      <x:c r="M23" s="34" t="n">
        <x:v>83.86282</x:v>
      </x:c>
      <x:c r="N23" s="34" t="n">
        <x:v>0.422183</x:v>
      </x:c>
      <x:c r="O23" s="34" t="n">
        <x:v>75.926545</x:v>
      </x:c>
      <x:c r="P23" s="34" t="n">
        <x:v>0.541249</x:v>
      </x:c>
      <x:c r="Q23" s="34" t="n">
        <x:v>0</x:v>
      </x:c>
      <x:c r="R23" s="34" t="n">
        <x:v>0</x:v>
      </x:c>
      <x:c r="S23" s="34" t="n">
        <x:v>0</x:v>
      </x:c>
      <x:c r="T23" s="34" t="n">
        <x:v>0</x:v>
      </x:c>
    </x:row>
    <x:row r="24">
      <x:c r="A24" s="34" t="str">
        <x:v>JFE_STEEL_JP</x:v>
      </x:c>
      <x:c r="B24" s="34" t="str">
        <x:v>JFE Steel</x:v>
      </x:c>
      <x:c r="C24" s="34" t="str">
        <x:v>CAND-68030B11D579DF</x:v>
      </x:c>
      <x:c r="D24" s="34" t="str">
        <x:v>P1</x:v>
      </x:c>
      <x:c r="E24" s="34" t="str">
        <x:v>PORT-7BA11C62DF95</x:v>
      </x:c>
      <x:c r="F24" s="34" t="n">
        <x:v>2</x:v>
      </x:c>
      <x:c r="G24" s="34" t="n">
        <x:v>0</x:v>
      </x:c>
      <x:c r="H24" s="40" t="b">
        <x:v>0</x:v>
      </x:c>
      <x:c r="I24" s="34" t="n">
        <x:v>173.712263</x:v>
      </x:c>
      <x:c r="J24" s="34" t="n">
        <x:v>2.222145</x:v>
      </x:c>
      <x:c r="K24" s="34" t="n">
        <x:v>49.391107</x:v>
      </x:c>
      <x:c r="L24" s="34" t="n">
        <x:v>4.443414</x:v>
      </x:c>
      <x:c r="M24" s="34" t="n">
        <x:v>81.019837</x:v>
      </x:c>
      <x:c r="N24" s="34" t="n">
        <x:v>2.358955</x:v>
      </x:c>
      <x:c r="O24" s="34" t="n">
        <x:v>72.533072</x:v>
      </x:c>
      <x:c r="P24" s="34" t="n">
        <x:v>2.401227</x:v>
      </x:c>
      <x:c r="Q24" s="34" t="n">
        <x:v>0</x:v>
      </x:c>
      <x:c r="R24" s="34" t="n">
        <x:v>0</x:v>
      </x:c>
      <x:c r="S24" s="34" t="n">
        <x:v>0</x:v>
      </x:c>
      <x:c r="T24" s="34" t="n">
        <x:v>0</x:v>
      </x:c>
    </x:row>
    <x:row r="25">
      <x:c r="A25" s="34" t="str">
        <x:v>JFE_STEEL_JP</x:v>
      </x:c>
      <x:c r="B25" s="34" t="str">
        <x:v>JFE Steel</x:v>
      </x:c>
      <x:c r="C25" s="34" t="str">
        <x:v>CAND-74F6415EBB9977</x:v>
      </x:c>
      <x:c r="D25" s="34" t="str">
        <x:v>P3</x:v>
      </x:c>
      <x:c r="E25" s="34" t="str">
        <x:v>PORT-E123D45B71CC</x:v>
      </x:c>
      <x:c r="F25" s="34" t="n">
        <x:v>2</x:v>
      </x:c>
      <x:c r="G25" s="34" t="n">
        <x:v>0</x:v>
      </x:c>
      <x:c r="H25" s="40" t="b">
        <x:v>0</x:v>
      </x:c>
      <x:c r="I25" s="34" t="n">
        <x:v>198.752323</x:v>
      </x:c>
      <x:c r="J25" s="34" t="n">
        <x:v>2.762346</x:v>
      </x:c>
      <x:c r="K25" s="34" t="n">
        <x:v>38.568377</x:v>
      </x:c>
      <x:c r="L25" s="34" t="n">
        <x:v>3.803847</x:v>
      </x:c>
      <x:c r="M25" s="34" t="n">
        <x:v>101.572393</x:v>
      </x:c>
      <x:c r="N25" s="34" t="n">
        <x:v>2.749246</x:v>
      </x:c>
      <x:c r="O25" s="34" t="n">
        <x:v>95.32938</x:v>
      </x:c>
      <x:c r="P25" s="34" t="n">
        <x:v>2.842331</x:v>
      </x:c>
      <x:c r="Q25" s="34" t="n">
        <x:v>0</x:v>
      </x:c>
      <x:c r="R25" s="34" t="n">
        <x:v>0</x:v>
      </x:c>
      <x:c r="S25" s="34" t="n">
        <x:v>0</x:v>
      </x:c>
      <x:c r="T25" s="34" t="n">
        <x:v>0</x:v>
      </x:c>
    </x:row>
    <x:row r="26">
      <x:c r="A26" s="34" t="str">
        <x:v>JFE_STEEL_JP</x:v>
      </x:c>
      <x:c r="B26" s="34" t="str">
        <x:v>JFE Steel</x:v>
      </x:c>
      <x:c r="C26" s="34" t="str">
        <x:v>CAND-8143AC9B1B780D</x:v>
      </x:c>
      <x:c r="D26" s="34" t="str">
        <x:v>P5</x:v>
      </x:c>
      <x:c r="E26" s="34" t="str">
        <x:v>PORT-0032610F15CE</x:v>
      </x:c>
      <x:c r="F26" s="34" t="n">
        <x:v>2</x:v>
      </x:c>
      <x:c r="G26" s="34" t="n">
        <x:v>0</x:v>
      </x:c>
      <x:c r="H26" s="40" t="b">
        <x:v>0</x:v>
      </x:c>
      <x:c r="I26" s="34" t="n">
        <x:v>190.838104</x:v>
      </x:c>
      <x:c r="J26" s="34" t="n">
        <x:v>0.570289</x:v>
      </x:c>
      <x:c r="K26" s="34" t="n">
        <x:v>15.717593</x:v>
      </x:c>
      <x:c r="L26" s="34" t="n">
        <x:v>2.052226</x:v>
      </x:c>
      <x:c r="M26" s="34" t="n">
        <x:v>83.020298</x:v>
      </x:c>
      <x:c r="N26" s="34" t="n">
        <x:v>0.687526</x:v>
      </x:c>
      <x:c r="O26" s="34" t="n">
        <x:v>82.096223</x:v>
      </x:c>
      <x:c r="P26" s="34" t="n">
        <x:v>0.68523</x:v>
      </x:c>
      <x:c r="Q26" s="34" t="n">
        <x:v>0</x:v>
      </x:c>
      <x:c r="R26" s="34" t="n">
        <x:v>0</x:v>
      </x:c>
      <x:c r="S26" s="34" t="n">
        <x:v>0</x:v>
      </x:c>
      <x:c r="T26" s="34" t="n">
        <x:v>0</x:v>
      </x:c>
    </x:row>
    <x:row r="27">
      <x:c r="A27" s="34" t="str">
        <x:v>JFE_STEEL_JP</x:v>
      </x:c>
      <x:c r="B27" s="34" t="str">
        <x:v>JFE Steel</x:v>
      </x:c>
      <x:c r="C27" s="34" t="str">
        <x:v>CAND-81AEAF431DDC0A</x:v>
      </x:c>
      <x:c r="D27" s="34" t="str">
        <x:v>P4</x:v>
      </x:c>
      <x:c r="E27" s="34" t="str">
        <x:v>PORT-844170813924</x:v>
      </x:c>
      <x:c r="F27" s="34" t="n">
        <x:v>2</x:v>
      </x:c>
      <x:c r="G27" s="34" t="n">
        <x:v>0</x:v>
      </x:c>
      <x:c r="H27" s="40" t="b">
        <x:v>0</x:v>
      </x:c>
      <x:c r="I27" s="34" t="n">
        <x:v>180.693895</x:v>
      </x:c>
      <x:c r="J27" s="34" t="n">
        <x:v>0.934736</x:v>
      </x:c>
      <x:c r="K27" s="34" t="n">
        <x:v>24.329041</x:v>
      </x:c>
      <x:c r="L27" s="34" t="n">
        <x:v>3.2262</x:v>
      </x:c>
      <x:c r="M27" s="34" t="n">
        <x:v>79.152063</x:v>
      </x:c>
      <x:c r="N27" s="34" t="n">
        <x:v>1.045408</x:v>
      </x:c>
      <x:c r="O27" s="34" t="n">
        <x:v>75.090001</x:v>
      </x:c>
      <x:c r="P27" s="34" t="n">
        <x:v>1.060008</x:v>
      </x:c>
      <x:c r="Q27" s="34" t="n">
        <x:v>0</x:v>
      </x:c>
      <x:c r="R27" s="34" t="n">
        <x:v>0</x:v>
      </x:c>
      <x:c r="S27" s="34" t="n">
        <x:v>0</x:v>
      </x:c>
      <x:c r="T27" s="34" t="n">
        <x:v>0</x:v>
      </x:c>
    </x:row>
    <x:row r="28">
      <x:c r="A28" s="34" t="str">
        <x:v>JFE_STEEL_JP</x:v>
      </x:c>
      <x:c r="B28" s="34" t="str">
        <x:v>JFE Steel</x:v>
      </x:c>
      <x:c r="C28" s="34" t="str">
        <x:v>CAND-82646489D4D4D1</x:v>
      </x:c>
      <x:c r="D28" s="34" t="str">
        <x:v>P2</x:v>
      </x:c>
      <x:c r="E28" s="34" t="str">
        <x:v>PORT-25A7E18292F6</x:v>
      </x:c>
      <x:c r="F28" s="34" t="n">
        <x:v>2</x:v>
      </x:c>
      <x:c r="G28" s="34" t="n">
        <x:v>0</x:v>
      </x:c>
      <x:c r="H28" s="40" t="b">
        <x:v>0</x:v>
      </x:c>
      <x:c r="I28" s="34" t="n">
        <x:v>52.263974</x:v>
      </x:c>
      <x:c r="J28" s="34" t="n">
        <x:v>0.381396</x:v>
      </x:c>
      <x:c r="K28" s="34" t="n">
        <x:v>16.378194</x:v>
      </x:c>
      <x:c r="L28" s="34" t="n">
        <x:v>1.422829</x:v>
      </x:c>
      <x:c r="M28" s="34" t="n">
        <x:v>-47.916518</x:v>
      </x:c>
      <x:c r="N28" s="34" t="n">
        <x:v>0.722739</x:v>
      </x:c>
      <x:c r="O28" s="34" t="n">
        <x:v>-52.659251</x:v>
      </x:c>
      <x:c r="P28" s="34" t="n">
        <x:v>0.6646</x:v>
      </x:c>
      <x:c r="Q28" s="34" t="n">
        <x:v>0</x:v>
      </x:c>
      <x:c r="R28" s="34" t="n">
        <x:v>0</x:v>
      </x:c>
      <x:c r="S28" s="34" t="n">
        <x:v>0</x:v>
      </x:c>
      <x:c r="T28" s="34" t="n">
        <x:v>0</x:v>
      </x:c>
    </x:row>
    <x:row r="29">
      <x:c r="A29" s="34" t="str">
        <x:v>JFE_STEEL_JP</x:v>
      </x:c>
      <x:c r="B29" s="34" t="str">
        <x:v>JFE Steel</x:v>
      </x:c>
      <x:c r="C29" s="34" t="str">
        <x:v>CAND-8A107782070451</x:v>
      </x:c>
      <x:c r="D29" s="34" t="str">
        <x:v>P4</x:v>
      </x:c>
      <x:c r="E29" s="34" t="str">
        <x:v>PORT-0032610F15CE</x:v>
      </x:c>
      <x:c r="F29" s="34" t="n">
        <x:v>2</x:v>
      </x:c>
      <x:c r="G29" s="34" t="n">
        <x:v>0</x:v>
      </x:c>
      <x:c r="H29" s="40" t="b">
        <x:v>0</x:v>
      </x:c>
      <x:c r="I29" s="34" t="n">
        <x:v>202.411872</x:v>
      </x:c>
      <x:c r="J29" s="34" t="n">
        <x:v>0.968195</x:v>
      </x:c>
      <x:c r="K29" s="34" t="n">
        <x:v>26.973728</x:v>
      </x:c>
      <x:c r="L29" s="34" t="n">
        <x:v>3.699536</x:v>
      </x:c>
      <x:c r="M29" s="34" t="n">
        <x:v>101.062104</x:v>
      </x:c>
      <x:c r="N29" s="34" t="n">
        <x:v>1.208237</x:v>
      </x:c>
      <x:c r="O29" s="34" t="n">
        <x:v>96.90401</x:v>
      </x:c>
      <x:c r="P29" s="34" t="n">
        <x:v>1.155716</x:v>
      </x:c>
      <x:c r="Q29" s="34" t="n">
        <x:v>0</x:v>
      </x:c>
      <x:c r="R29" s="34" t="n">
        <x:v>0</x:v>
      </x:c>
      <x:c r="S29" s="34" t="n">
        <x:v>0</x:v>
      </x:c>
      <x:c r="T29" s="34" t="n">
        <x:v>0</x:v>
      </x:c>
    </x:row>
    <x:row r="30">
      <x:c r="A30" s="34" t="str">
        <x:v>JFE_STEEL_JP</x:v>
      </x:c>
      <x:c r="B30" s="34" t="str">
        <x:v>JFE Steel</x:v>
      </x:c>
      <x:c r="C30" s="34" t="str">
        <x:v>CAND-8A2CE57122B1A0</x:v>
      </x:c>
      <x:c r="D30" s="34" t="str">
        <x:v>P1</x:v>
      </x:c>
      <x:c r="E30" s="34" t="str">
        <x:v>PORT-1741394F78A8</x:v>
      </x:c>
      <x:c r="F30" s="34" t="n">
        <x:v>2</x:v>
      </x:c>
      <x:c r="G30" s="34" t="n">
        <x:v>0</x:v>
      </x:c>
      <x:c r="H30" s="40" t="b">
        <x:v>0</x:v>
      </x:c>
      <x:c r="I30" s="34" t="n">
        <x:v>20.550159</x:v>
      </x:c>
      <x:c r="J30" s="34" t="n">
        <x:v>0.399049</x:v>
      </x:c>
      <x:c r="K30" s="34" t="n">
        <x:v>11.533435</x:v>
      </x:c>
      <x:c r="L30" s="34" t="n">
        <x:v>1.074719</x:v>
      </x:c>
      <x:c r="M30" s="34" t="n">
        <x:v>-81.921957</x:v>
      </x:c>
      <x:c r="N30" s="34" t="n">
        <x:v>0.312411</x:v>
      </x:c>
      <x:c r="O30" s="34" t="n">
        <x:v>-85.518877</x:v>
      </x:c>
      <x:c r="P30" s="34" t="n">
        <x:v>0.252043</x:v>
      </x:c>
      <x:c r="Q30" s="34" t="n">
        <x:v>0</x:v>
      </x:c>
      <x:c r="R30" s="34" t="n">
        <x:v>0</x:v>
      </x:c>
      <x:c r="S30" s="34" t="n">
        <x:v>0</x:v>
      </x:c>
      <x:c r="T30" s="34" t="n">
        <x:v>0</x:v>
      </x:c>
    </x:row>
    <x:row r="31">
      <x:c r="A31" s="34" t="str">
        <x:v>JFE_STEEL_JP</x:v>
      </x:c>
      <x:c r="B31" s="34" t="str">
        <x:v>JFE Steel</x:v>
      </x:c>
      <x:c r="C31" s="34" t="str">
        <x:v>CAND-8DC42B3C7EA2DB</x:v>
      </x:c>
      <x:c r="D31" s="34" t="str">
        <x:v>P2</x:v>
      </x:c>
      <x:c r="E31" s="34" t="str">
        <x:v>PORT-E123D45B71CC</x:v>
      </x:c>
      <x:c r="F31" s="34" t="n">
        <x:v>2</x:v>
      </x:c>
      <x:c r="G31" s="34" t="n">
        <x:v>0</x:v>
      </x:c>
      <x:c r="H31" s="40" t="b">
        <x:v>0</x:v>
      </x:c>
      <x:c r="I31" s="34" t="n">
        <x:v>207.445338</x:v>
      </x:c>
      <x:c r="J31" s="34" t="n">
        <x:v>3.454359</x:v>
      </x:c>
      <x:c r="K31" s="34" t="n">
        <x:v>49.524784</x:v>
      </x:c>
      <x:c r="L31" s="34" t="n">
        <x:v>4.563645</x:v>
      </x:c>
      <x:c r="M31" s="34" t="n">
        <x:v>114.6116</x:v>
      </x:c>
      <x:c r="N31" s="34" t="n">
        <x:v>3.553208</x:v>
      </x:c>
      <x:c r="O31" s="34" t="n">
        <x:v>106.195491</x:v>
      </x:c>
      <x:c r="P31" s="34" t="n">
        <x:v>3.591057</x:v>
      </x:c>
      <x:c r="Q31" s="34" t="n">
        <x:v>0</x:v>
      </x:c>
      <x:c r="R31" s="34" t="n">
        <x:v>0</x:v>
      </x:c>
      <x:c r="S31" s="34" t="n">
        <x:v>0</x:v>
      </x:c>
      <x:c r="T31" s="34" t="n">
        <x:v>0</x:v>
      </x:c>
    </x:row>
    <x:row r="32">
      <x:c r="A32" s="34" t="str">
        <x:v>JFE_STEEL_JP</x:v>
      </x:c>
      <x:c r="B32" s="34" t="str">
        <x:v>JFE Steel</x:v>
      </x:c>
      <x:c r="C32" s="34" t="str">
        <x:v>CAND-8F0E9CFE80824D</x:v>
      </x:c>
      <x:c r="D32" s="34" t="str">
        <x:v>P6</x:v>
      </x:c>
      <x:c r="E32" s="34" t="str">
        <x:v>PORT-576B945395C2</x:v>
      </x:c>
      <x:c r="F32" s="34" t="n">
        <x:v>2</x:v>
      </x:c>
      <x:c r="G32" s="34" t="n">
        <x:v>0</x:v>
      </x:c>
      <x:c r="H32" s="40" t="b">
        <x:v>0</x:v>
      </x:c>
      <x:c r="I32" s="34" t="n">
        <x:v>183.123498</x:v>
      </x:c>
      <x:c r="J32" s="34" t="n">
        <x:v>0.279156</x:v>
      </x:c>
      <x:c r="K32" s="34" t="n">
        <x:v>6.075346</x:v>
      </x:c>
      <x:c r="L32" s="34" t="n">
        <x:v>0.625403</x:v>
      </x:c>
      <x:c r="M32" s="34" t="n">
        <x:v>73.457542</x:v>
      </x:c>
      <x:c r="N32" s="34" t="n">
        <x:v>0.369935</x:v>
      </x:c>
      <x:c r="O32" s="34" t="n">
        <x:v>71.123382</x:v>
      </x:c>
      <x:c r="P32" s="34" t="n">
        <x:v>0.36023</x:v>
      </x:c>
      <x:c r="Q32" s="34" t="n">
        <x:v>0</x:v>
      </x:c>
      <x:c r="R32" s="34" t="n">
        <x:v>0</x:v>
      </x:c>
      <x:c r="S32" s="34" t="n">
        <x:v>0</x:v>
      </x:c>
      <x:c r="T32" s="34" t="n">
        <x:v>0</x:v>
      </x:c>
    </x:row>
    <x:row r="33">
      <x:c r="A33" s="34" t="str">
        <x:v>JFE_STEEL_JP</x:v>
      </x:c>
      <x:c r="B33" s="34" t="str">
        <x:v>JFE Steel</x:v>
      </x:c>
      <x:c r="C33" s="34" t="str">
        <x:v>CAND-942FF71D4F4188</x:v>
      </x:c>
      <x:c r="D33" s="34" t="str">
        <x:v>P4</x:v>
      </x:c>
      <x:c r="E33" s="34" t="str">
        <x:v>PORT-2883A9539B06</x:v>
      </x:c>
      <x:c r="F33" s="34" t="n">
        <x:v>2</x:v>
      </x:c>
      <x:c r="G33" s="34" t="n">
        <x:v>1</x:v>
      </x:c>
      <x:c r="H33" s="40" t="b">
        <x:v>0</x:v>
      </x:c>
      <x:c r="I33" s="34" t="n">
        <x:v>125.21507</x:v>
      </x:c>
      <x:c r="J33" s="34" t="n">
        <x:v>0.407783</x:v>
      </x:c>
      <x:c r="K33" s="34" t="n">
        <x:v>17.84461</x:v>
      </x:c>
      <x:c r="L33" s="34" t="n">
        <x:v>2.631699</x:v>
      </x:c>
      <x:c r="M33" s="34" t="n">
        <x:v>24.551402</x:v>
      </x:c>
      <x:c r="N33" s="34" t="n">
        <x:v>0.271823</x:v>
      </x:c>
      <x:c r="O33" s="34" t="n">
        <x:v>20.050258</x:v>
      </x:c>
      <x:c r="P33" s="34" t="n">
        <x:v>0.267773</x:v>
      </x:c>
      <x:c r="Q33" s="34" t="n">
        <x:v>0</x:v>
      </x:c>
      <x:c r="R33" s="34" t="n">
        <x:v>0</x:v>
      </x:c>
      <x:c r="S33" s="34" t="n">
        <x:v>0</x:v>
      </x:c>
      <x:c r="T33" s="34" t="n">
        <x:v>0</x:v>
      </x:c>
    </x:row>
    <x:row r="34">
      <x:c r="A34" s="34" t="str">
        <x:v>JFE_STEEL_JP</x:v>
      </x:c>
      <x:c r="B34" s="34" t="str">
        <x:v>JFE Steel</x:v>
      </x:c>
      <x:c r="C34" s="34" t="str">
        <x:v>CAND-94E38421D8FAE7</x:v>
      </x:c>
      <x:c r="D34" s="34" t="str">
        <x:v>P1</x:v>
      </x:c>
      <x:c r="E34" s="34" t="str">
        <x:v>PORT-36B22CA0D026</x:v>
      </x:c>
      <x:c r="F34" s="34" t="n">
        <x:v>2</x:v>
      </x:c>
      <x:c r="G34" s="34" t="n">
        <x:v>0</x:v>
      </x:c>
      <x:c r="H34" s="40" t="b">
        <x:v>0</x:v>
      </x:c>
      <x:c r="I34" s="34" t="n">
        <x:v>18.498708</x:v>
      </x:c>
      <x:c r="J34" s="34" t="n">
        <x:v>0.083964</x:v>
      </x:c>
      <x:c r="K34" s="34" t="n">
        <x:v>11.713365</x:v>
      </x:c>
      <x:c r="L34" s="34" t="n">
        <x:v>1.508735</x:v>
      </x:c>
      <x:c r="M34" s="34" t="n">
        <x:v>-83.669034</x:v>
      </x:c>
      <x:c r="N34" s="34" t="n">
        <x:v>0.262859</x:v>
      </x:c>
      <x:c r="O34" s="34" t="n">
        <x:v>-87.418142</x:v>
      </x:c>
      <x:c r="P34" s="34" t="n">
        <x:v>0.192282</x:v>
      </x:c>
      <x:c r="Q34" s="34" t="n">
        <x:v>0</x:v>
      </x:c>
      <x:c r="R34" s="34" t="n">
        <x:v>0</x:v>
      </x:c>
      <x:c r="S34" s="34" t="n">
        <x:v>0</x:v>
      </x:c>
      <x:c r="T34" s="34" t="n">
        <x:v>0</x:v>
      </x:c>
    </x:row>
    <x:row r="35">
      <x:c r="A35" s="34" t="str">
        <x:v>JFE_STEEL_JP</x:v>
      </x:c>
      <x:c r="B35" s="34" t="str">
        <x:v>JFE Steel</x:v>
      </x:c>
      <x:c r="C35" s="34" t="str">
        <x:v>CAND-953F1AFEF37202</x:v>
      </x:c>
      <x:c r="D35" s="34" t="str">
        <x:v>P1</x:v>
      </x:c>
      <x:c r="E35" s="34" t="str">
        <x:v>PORT-6E49C004BA31</x:v>
      </x:c>
      <x:c r="F35" s="34" t="n">
        <x:v>2</x:v>
      </x:c>
      <x:c r="G35" s="34" t="n">
        <x:v>0</x:v>
      </x:c>
      <x:c r="H35" s="40" t="b">
        <x:v>0</x:v>
      </x:c>
      <x:c r="I35" s="34" t="n">
        <x:v>182.762654</x:v>
      </x:c>
      <x:c r="J35" s="34" t="n">
        <x:v>0.737752</x:v>
      </x:c>
      <x:c r="K35" s="34" t="n">
        <x:v>55.859404</x:v>
      </x:c>
      <x:c r="L35" s="34" t="n">
        <x:v>9.844282</x:v>
      </x:c>
      <x:c r="M35" s="34" t="n">
        <x:v>91.336018</x:v>
      </x:c>
      <x:c r="N35" s="34" t="n">
        <x:v>0.548812</x:v>
      </x:c>
      <x:c r="O35" s="34" t="n">
        <x:v>82.216358</x:v>
      </x:c>
      <x:c r="P35" s="34" t="n">
        <x:v>0.65837</x:v>
      </x:c>
      <x:c r="Q35" s="34" t="n">
        <x:v>0</x:v>
      </x:c>
      <x:c r="R35" s="34" t="n">
        <x:v>0</x:v>
      </x:c>
      <x:c r="S35" s="34" t="n">
        <x:v>0</x:v>
      </x:c>
      <x:c r="T35" s="34" t="n">
        <x:v>0</x:v>
      </x:c>
    </x:row>
    <x:row r="36">
      <x:c r="A36" s="34" t="str">
        <x:v>JFE_STEEL_JP</x:v>
      </x:c>
      <x:c r="B36" s="34" t="str">
        <x:v>JFE Steel</x:v>
      </x:c>
      <x:c r="C36" s="34" t="str">
        <x:v>CAND-A735954AF09420</x:v>
      </x:c>
      <x:c r="D36" s="34" t="str">
        <x:v>P3</x:v>
      </x:c>
      <x:c r="E36" s="34" t="str">
        <x:v>PORT-CCD4397FA6D4</x:v>
      </x:c>
      <x:c r="F36" s="34" t="n">
        <x:v>2</x:v>
      </x:c>
      <x:c r="G36" s="34" t="n">
        <x:v>1</x:v>
      </x:c>
      <x:c r="H36" s="40" t="b">
        <x:v>0</x:v>
      </x:c>
      <x:c r="I36" s="34" t="n">
        <x:v>109.665956</x:v>
      </x:c>
      <x:c r="J36" s="34" t="n">
        <x:v>0.284249</x:v>
      </x:c>
      <x:c r="K36" s="34" t="n">
        <x:v>24.683145</x:v>
      </x:c>
      <x:c r="L36" s="34" t="n">
        <x:v>4.993768</x:v>
      </x:c>
      <x:c r="M36" s="34" t="n">
        <x:v>10.678183</x:v>
      </x:c>
      <x:c r="N36" s="34" t="n">
        <x:v>0.171682</x:v>
      </x:c>
      <x:c r="O36" s="34" t="n">
        <x:v>5.339092</x:v>
      </x:c>
      <x:c r="P36" s="34" t="n">
        <x:v>0.085841</x:v>
      </x:c>
      <x:c r="Q36" s="34" t="n">
        <x:v>0</x:v>
      </x:c>
      <x:c r="R36" s="34" t="n">
        <x:v>0</x:v>
      </x:c>
      <x:c r="S36" s="34" t="n">
        <x:v>0</x:v>
      </x:c>
      <x:c r="T36" s="34" t="n">
        <x:v>0</x:v>
      </x:c>
    </x:row>
    <x:row r="37">
      <x:c r="A37" s="34" t="str">
        <x:v>JFE_STEEL_JP</x:v>
      </x:c>
      <x:c r="B37" s="34" t="str">
        <x:v>JFE Steel</x:v>
      </x:c>
      <x:c r="C37" s="34" t="str">
        <x:v>CAND-AE1C3F48385E3F</x:v>
      </x:c>
      <x:c r="D37" s="34" t="str">
        <x:v>P5</x:v>
      </x:c>
      <x:c r="E37" s="34" t="str">
        <x:v>PORT-2883A9539B06</x:v>
      </x:c>
      <x:c r="F37" s="34" t="n">
        <x:v>2</x:v>
      </x:c>
      <x:c r="G37" s="34" t="n">
        <x:v>1</x:v>
      </x:c>
      <x:c r="H37" s="40" t="b">
        <x:v>0</x:v>
      </x:c>
      <x:c r="I37" s="34" t="n">
        <x:v>118.574471</x:v>
      </x:c>
      <x:c r="J37" s="34" t="n">
        <x:v>0.212004</x:v>
      </x:c>
      <x:c r="K37" s="34" t="n">
        <x:v>10.203848</x:v>
      </x:c>
      <x:c r="L37" s="34" t="n">
        <x:v>1.561684</x:v>
      </x:c>
      <x:c r="M37" s="34" t="n">
        <x:v>14.448076</x:v>
      </x:c>
      <x:c r="N37" s="34" t="n">
        <x:v>0.065984</x:v>
      </x:c>
      <x:c r="O37" s="34" t="n">
        <x:v>11.678295</x:v>
      </x:c>
      <x:c r="P37" s="34" t="n">
        <x:v>0.105869</x:v>
      </x:c>
      <x:c r="Q37" s="34" t="n">
        <x:v>0</x:v>
      </x:c>
      <x:c r="R37" s="34" t="n">
        <x:v>0</x:v>
      </x:c>
      <x:c r="S37" s="34" t="n">
        <x:v>0</x:v>
      </x:c>
      <x:c r="T37" s="34" t="n">
        <x:v>0</x:v>
      </x:c>
    </x:row>
    <x:row r="38">
      <x:c r="A38" s="34" t="str">
        <x:v>JFE_STEEL_JP</x:v>
      </x:c>
      <x:c r="B38" s="34" t="str">
        <x:v>JFE Steel</x:v>
      </x:c>
      <x:c r="C38" s="34" t="str">
        <x:v>CAND-AFB45421E864E1</x:v>
      </x:c>
      <x:c r="D38" s="34" t="str">
        <x:v>P3</x:v>
      </x:c>
      <x:c r="E38" s="34" t="str">
        <x:v>PORT-48EB0158352D</x:v>
      </x:c>
      <x:c r="F38" s="34" t="n">
        <x:v>2</x:v>
      </x:c>
      <x:c r="G38" s="34" t="n">
        <x:v>0</x:v>
      </x:c>
      <x:c r="H38" s="40" t="b">
        <x:v>0</x:v>
      </x:c>
      <x:c r="I38" s="34" t="n">
        <x:v>182.029022</x:v>
      </x:c>
      <x:c r="J38" s="34" t="n">
        <x:v>1.010302</x:v>
      </x:c>
      <x:c r="K38" s="34" t="n">
        <x:v>37.571242</x:v>
      </x:c>
      <x:c r="L38" s="34" t="n">
        <x:v>4.607202</x:v>
      </x:c>
      <x:c r="M38" s="34" t="n">
        <x:v>85.460629</x:v>
      </x:c>
      <x:c r="N38" s="34" t="n">
        <x:v>0.990525</x:v>
      </x:c>
      <x:c r="O38" s="34" t="n">
        <x:v>78.911847</x:v>
      </x:c>
      <x:c r="P38" s="34" t="n">
        <x:v>1.138779</x:v>
      </x:c>
      <x:c r="Q38" s="34" t="n">
        <x:v>0</x:v>
      </x:c>
      <x:c r="R38" s="34" t="n">
        <x:v>0</x:v>
      </x:c>
      <x:c r="S38" s="34" t="n">
        <x:v>0</x:v>
      </x:c>
      <x:c r="T38" s="34" t="n">
        <x:v>0</x:v>
      </x:c>
    </x:row>
    <x:row r="39">
      <x:c r="A39" s="34" t="str">
        <x:v>JFE_STEEL_JP</x:v>
      </x:c>
      <x:c r="B39" s="34" t="str">
        <x:v>JFE Steel</x:v>
      </x:c>
      <x:c r="C39" s="34" t="str">
        <x:v>CAND-B210B35AD45FF1</x:v>
      </x:c>
      <x:c r="D39" s="34" t="str">
        <x:v>P1</x:v>
      </x:c>
      <x:c r="E39" s="34" t="str">
        <x:v>PORT-263958B6D89F</x:v>
      </x:c>
      <x:c r="F39" s="34" t="n">
        <x:v>2</x:v>
      </x:c>
      <x:c r="G39" s="34" t="n">
        <x:v>0</x:v>
      </x:c>
      <x:c r="H39" s="40" t="b">
        <x:v>0</x:v>
      </x:c>
      <x:c r="I39" s="34" t="n">
        <x:v>11.41902</x:v>
      </x:c>
      <x:c r="J39" s="34" t="n">
        <x:v>0.234685</x:v>
      </x:c>
      <x:c r="K39" s="34" t="n">
        <x:v>8.414972</x:v>
      </x:c>
      <x:c r="L39" s="34" t="n">
        <x:v>1.50473</x:v>
      </x:c>
      <x:c r="M39" s="34" t="n">
        <x:v>-92.231283</x:v>
      </x:c>
      <x:c r="N39" s="34" t="n">
        <x:v>0.055094</x:v>
      </x:c>
      <x:c r="O39" s="34" t="n">
        <x:v>-95.239109</x:v>
      </x:c>
      <x:c r="P39" s="34" t="n">
        <x:v>0.068939</x:v>
      </x:c>
      <x:c r="Q39" s="34" t="n">
        <x:v>0</x:v>
      </x:c>
      <x:c r="R39" s="34" t="n">
        <x:v>0</x:v>
      </x:c>
      <x:c r="S39" s="34" t="n">
        <x:v>0</x:v>
      </x:c>
      <x:c r="T39" s="34" t="n">
        <x:v>0</x:v>
      </x:c>
    </x:row>
    <x:row r="40">
      <x:c r="A40" s="34" t="str">
        <x:v>JFE_STEEL_JP</x:v>
      </x:c>
      <x:c r="B40" s="34" t="str">
        <x:v>JFE Steel</x:v>
      </x:c>
      <x:c r="C40" s="34" t="str">
        <x:v>CAND-B38C1D7FD5CCAE</x:v>
      </x:c>
      <x:c r="D40" s="34" t="str">
        <x:v>P3</x:v>
      </x:c>
      <x:c r="E40" s="34" t="str">
        <x:v>PORT-7C1FC602A00B</x:v>
      </x:c>
      <x:c r="F40" s="34" t="n">
        <x:v>2</x:v>
      </x:c>
      <x:c r="G40" s="34" t="n">
        <x:v>1</x:v>
      </x:c>
      <x:c r="H40" s="40" t="b">
        <x:v>0</x:v>
      </x:c>
      <x:c r="I40" s="34" t="n">
        <x:v>187.559654</x:v>
      </x:c>
      <x:c r="J40" s="34" t="n">
        <x:v>0.835179</x:v>
      </x:c>
      <x:c r="K40" s="34" t="n">
        <x:v>35.286521</x:v>
      </x:c>
      <x:c r="L40" s="34" t="n">
        <x:v>4.553007</x:v>
      </x:c>
      <x:c r="M40" s="34" t="n">
        <x:v>90.230499</x:v>
      </x:c>
      <x:c r="N40" s="34" t="n">
        <x:v>0.771535</x:v>
      </x:c>
      <x:c r="O40" s="34" t="n">
        <x:v>84.062098</x:v>
      </x:c>
      <x:c r="P40" s="34" t="n">
        <x:v>0.809889</x:v>
      </x:c>
      <x:c r="Q40" s="34" t="n">
        <x:v>0</x:v>
      </x:c>
      <x:c r="R40" s="34" t="n">
        <x:v>0</x:v>
      </x:c>
      <x:c r="S40" s="34" t="n">
        <x:v>0</x:v>
      </x:c>
      <x:c r="T40" s="34" t="n">
        <x:v>0</x:v>
      </x:c>
    </x:row>
    <x:row r="41">
      <x:c r="A41" s="34" t="str">
        <x:v>JFE_STEEL_JP</x:v>
      </x:c>
      <x:c r="B41" s="34" t="str">
        <x:v>JFE Steel</x:v>
      </x:c>
      <x:c r="C41" s="34" t="str">
        <x:v>CAND-B4CBF9F7B55581</x:v>
      </x:c>
      <x:c r="D41" s="34" t="str">
        <x:v>P3</x:v>
      </x:c>
      <x:c r="E41" s="34" t="str">
        <x:v>PORT-7F45069F34E3</x:v>
      </x:c>
      <x:c r="F41" s="34" t="n">
        <x:v>2</x:v>
      </x:c>
      <x:c r="G41" s="34" t="n">
        <x:v>0</x:v>
      </x:c>
      <x:c r="H41" s="40" t="b">
        <x:v>0</x:v>
      </x:c>
      <x:c r="I41" s="34" t="n">
        <x:v>142.564171</x:v>
      </x:c>
      <x:c r="J41" s="34" t="n">
        <x:v>0.357487</x:v>
      </x:c>
      <x:c r="K41" s="34" t="n">
        <x:v>30.895285</x:v>
      </x:c>
      <x:c r="L41" s="34" t="n">
        <x:v>5.064727</x:v>
      </x:c>
      <x:c r="M41" s="34" t="n">
        <x:v>44.210273</x:v>
      </x:c>
      <x:c r="N41" s="34" t="n">
        <x:v>0.379679</x:v>
      </x:c>
      <x:c r="O41" s="34" t="n">
        <x:v>38.554244</x:v>
      </x:c>
      <x:c r="P41" s="34" t="n">
        <x:v>0.364348</x:v>
      </x:c>
      <x:c r="Q41" s="34" t="n">
        <x:v>0</x:v>
      </x:c>
      <x:c r="R41" s="34" t="n">
        <x:v>0</x:v>
      </x:c>
      <x:c r="S41" s="34" t="n">
        <x:v>0</x:v>
      </x:c>
      <x:c r="T41" s="34" t="n">
        <x:v>0</x:v>
      </x:c>
    </x:row>
    <x:row r="42">
      <x:c r="A42" s="34" t="str">
        <x:v>JFE_STEEL_JP</x:v>
      </x:c>
      <x:c r="B42" s="34" t="str">
        <x:v>JFE Steel</x:v>
      </x:c>
      <x:c r="C42" s="34" t="str">
        <x:v>CAND-BC3B7FD8701906</x:v>
      </x:c>
      <x:c r="D42" s="34" t="str">
        <x:v>P1</x:v>
      </x:c>
      <x:c r="E42" s="34" t="str">
        <x:v>PORT-25A7E18292F6</x:v>
      </x:c>
      <x:c r="F42" s="34" t="n">
        <x:v>2</x:v>
      </x:c>
      <x:c r="G42" s="34" t="n">
        <x:v>0</x:v>
      </x:c>
      <x:c r="H42" s="40" t="b">
        <x:v>0</x:v>
      </x:c>
      <x:c r="I42" s="34" t="n">
        <x:v>53.427711</x:v>
      </x:c>
      <x:c r="J42" s="34" t="n">
        <x:v>0.458292</x:v>
      </x:c>
      <x:c r="K42" s="34" t="n">
        <x:v>19.267823</x:v>
      </x:c>
      <x:c r="L42" s="34" t="n">
        <x:v>1.611048</x:v>
      </x:c>
      <x:c r="M42" s="34" t="n">
        <x:v>-46.337178</x:v>
      </x:c>
      <x:c r="N42" s="34" t="n">
        <x:v>0.837264</x:v>
      </x:c>
      <x:c r="O42" s="34" t="n">
        <x:v>-51.287712</x:v>
      </x:c>
      <x:c r="P42" s="34" t="n">
        <x:v>0.739421</x:v>
      </x:c>
      <x:c r="Q42" s="34" t="n">
        <x:v>0</x:v>
      </x:c>
      <x:c r="R42" s="34" t="n">
        <x:v>0</x:v>
      </x:c>
      <x:c r="S42" s="34" t="n">
        <x:v>0</x:v>
      </x:c>
      <x:c r="T42" s="34" t="n">
        <x:v>0</x:v>
      </x:c>
    </x:row>
    <x:row r="43">
      <x:c r="A43" s="34" t="str">
        <x:v>JFE_STEEL_JP</x:v>
      </x:c>
      <x:c r="B43" s="34" t="str">
        <x:v>JFE Steel</x:v>
      </x:c>
      <x:c r="C43" s="34" t="str">
        <x:v>CAND-BD5FC0B8045E4C</x:v>
      </x:c>
      <x:c r="D43" s="34" t="str">
        <x:v>P1</x:v>
      </x:c>
      <x:c r="E43" s="34" t="str">
        <x:v>PORT-BFE68456F5A9</x:v>
      </x:c>
      <x:c r="F43" s="34" t="n">
        <x:v>2</x:v>
      </x:c>
      <x:c r="G43" s="34" t="n">
        <x:v>0</x:v>
      </x:c>
      <x:c r="H43" s="40" t="b">
        <x:v>0</x:v>
      </x:c>
      <x:c r="I43" s="34" t="n">
        <x:v>125.385469</x:v>
      </x:c>
      <x:c r="J43" s="34" t="n">
        <x:v>2.533015</x:v>
      </x:c>
      <x:c r="K43" s="34" t="n">
        <x:v>37.109272</x:v>
      </x:c>
      <x:c r="L43" s="34" t="n">
        <x:v>7.421672</x:v>
      </x:c>
      <x:c r="M43" s="34" t="n">
        <x:v>30.254777</x:v>
      </x:c>
      <x:c r="N43" s="34" t="n">
        <x:v>2.697217</x:v>
      </x:c>
      <x:c r="O43" s="34" t="n">
        <x:v>22.987145</x:v>
      </x:c>
      <x:c r="P43" s="34" t="n">
        <x:v>2.753659</x:v>
      </x:c>
      <x:c r="Q43" s="34" t="n">
        <x:v>0</x:v>
      </x:c>
      <x:c r="R43" s="34" t="n">
        <x:v>0</x:v>
      </x:c>
      <x:c r="S43" s="34" t="n">
        <x:v>0</x:v>
      </x:c>
      <x:c r="T43" s="34" t="n">
        <x:v>0</x:v>
      </x:c>
    </x:row>
    <x:row r="44">
      <x:c r="A44" s="34" t="str">
        <x:v>JFE_STEEL_JP</x:v>
      </x:c>
      <x:c r="B44" s="34" t="str">
        <x:v>JFE Steel</x:v>
      </x:c>
      <x:c r="C44" s="34" t="str">
        <x:v>CAND-BD69BDF77D11F9</x:v>
      </x:c>
      <x:c r="D44" s="34" t="str">
        <x:v>P2</x:v>
      </x:c>
      <x:c r="E44" s="34" t="str">
        <x:v>PORT-1C641A2E58FD</x:v>
      </x:c>
      <x:c r="F44" s="34" t="n">
        <x:v>2</x:v>
      </x:c>
      <x:c r="G44" s="34" t="n">
        <x:v>0</x:v>
      </x:c>
      <x:c r="H44" s="40" t="b">
        <x:v>0</x:v>
      </x:c>
      <x:c r="I44" s="34" t="n">
        <x:v>66.557264</x:v>
      </x:c>
      <x:c r="J44" s="34" t="n">
        <x:v>1.076068</x:v>
      </x:c>
      <x:c r="K44" s="34" t="n">
        <x:v>18.740831</x:v>
      </x:c>
      <x:c r="L44" s="34" t="n">
        <x:v>2.340035</x:v>
      </x:c>
      <x:c r="M44" s="34" t="n">
        <x:v>-32.599095</x:v>
      </x:c>
      <x:c r="N44" s="34" t="n">
        <x:v>1.320447</x:v>
      </x:c>
      <x:c r="O44" s="34" t="n">
        <x:v>-37.853894</x:v>
      </x:c>
      <x:c r="P44" s="34" t="n">
        <x:v>1.309425</x:v>
      </x:c>
      <x:c r="Q44" s="34" t="n">
        <x:v>0</x:v>
      </x:c>
      <x:c r="R44" s="34" t="n">
        <x:v>0</x:v>
      </x:c>
      <x:c r="S44" s="34" t="n">
        <x:v>0</x:v>
      </x:c>
      <x:c r="T44" s="34" t="n">
        <x:v>0</x:v>
      </x:c>
    </x:row>
    <x:row r="45">
      <x:c r="A45" s="34" t="str">
        <x:v>JFE_STEEL_JP</x:v>
      </x:c>
      <x:c r="B45" s="34" t="str">
        <x:v>JFE Steel</x:v>
      </x:c>
      <x:c r="C45" s="34" t="str">
        <x:v>CAND-C535F3B5D7A55A</x:v>
      </x:c>
      <x:c r="D45" s="34" t="str">
        <x:v>P1</x:v>
      </x:c>
      <x:c r="E45" s="34" t="str">
        <x:v>PORT-1C641A2E58FD</x:v>
      </x:c>
      <x:c r="F45" s="34" t="n">
        <x:v>2</x:v>
      </x:c>
      <x:c r="G45" s="34" t="n">
        <x:v>0</x:v>
      </x:c>
      <x:c r="H45" s="40" t="b">
        <x:v>0</x:v>
      </x:c>
      <x:c r="I45" s="34" t="n">
        <x:v>68.177816</x:v>
      </x:c>
      <x:c r="J45" s="34" t="n">
        <x:v>1.251987</x:v>
      </x:c>
      <x:c r="K45" s="34" t="n">
        <x:v>22.063983</x:v>
      </x:c>
      <x:c r="L45" s="34" t="n">
        <x:v>2.744228</x:v>
      </x:c>
      <x:c r="M45" s="34" t="n">
        <x:v>-30.265836</x:v>
      </x:c>
      <x:c r="N45" s="34" t="n">
        <x:v>1.567923</x:v>
      </x:c>
      <x:c r="O45" s="34" t="n">
        <x:v>-35.876987</x:v>
      </x:c>
      <x:c r="P45" s="34" t="n">
        <x:v>1.515427</x:v>
      </x:c>
      <x:c r="Q45" s="34" t="n">
        <x:v>0</x:v>
      </x:c>
      <x:c r="R45" s="34" t="n">
        <x:v>0</x:v>
      </x:c>
      <x:c r="S45" s="34" t="n">
        <x:v>0</x:v>
      </x:c>
      <x:c r="T45" s="34" t="n">
        <x:v>0</x:v>
      </x:c>
    </x:row>
    <x:row r="46">
      <x:c r="A46" s="34" t="str">
        <x:v>JFE_STEEL_JP</x:v>
      </x:c>
      <x:c r="B46" s="34" t="str">
        <x:v>JFE Steel</x:v>
      </x:c>
      <x:c r="C46" s="34" t="str">
        <x:v>CAND-C973F96EA1BC5C</x:v>
      </x:c>
      <x:c r="D46" s="34" t="str">
        <x:v>P1</x:v>
      </x:c>
      <x:c r="E46" s="34" t="str">
        <x:v>PORT-E123D45B71CC</x:v>
      </x:c>
      <x:c r="F46" s="34" t="n">
        <x:v>2</x:v>
      </x:c>
      <x:c r="G46" s="34" t="n">
        <x:v>0</x:v>
      </x:c>
      <x:c r="H46" s="40" t="b">
        <x:v>0</x:v>
      </x:c>
      <x:c r="I46" s="34" t="n">
        <x:v>213.4355</x:v>
      </x:c>
      <x:c r="J46" s="34" t="n">
        <x:v>3.944993</x:v>
      </x:c>
      <x:c r="K46" s="34" t="n">
        <x:v>58.102284</x:v>
      </x:c>
      <x:c r="L46" s="34" t="n">
        <x:v>5.262413</x:v>
      </x:c>
      <x:c r="M46" s="34" t="n">
        <x:v>123.505082</x:v>
      </x:c>
      <x:c r="N46" s="34" t="n">
        <x:v>4.159011</x:v>
      </x:c>
      <x:c r="O46" s="34" t="n">
        <x:v>113.637313</x:v>
      </x:c>
      <x:c r="P46" s="34" t="n">
        <x:v>4.14189</x:v>
      </x:c>
      <x:c r="Q46" s="34" t="n">
        <x:v>0</x:v>
      </x:c>
      <x:c r="R46" s="34" t="n">
        <x:v>0</x:v>
      </x:c>
      <x:c r="S46" s="34" t="n">
        <x:v>0</x:v>
      </x:c>
      <x:c r="T46" s="34" t="n">
        <x:v>0</x:v>
      </x:c>
    </x:row>
    <x:row r="47">
      <x:c r="A47" s="34" t="str">
        <x:v>JFE_STEEL_JP</x:v>
      </x:c>
      <x:c r="B47" s="34" t="str">
        <x:v>JFE Steel</x:v>
      </x:c>
      <x:c r="C47" s="34" t="str">
        <x:v>CAND-CB30BCF3D9CF92</x:v>
      </x:c>
      <x:c r="D47" s="34" t="str">
        <x:v>P1</x:v>
      </x:c>
      <x:c r="E47" s="34" t="str">
        <x:v>PORT-D5A2DA370FDA</x:v>
      </x:c>
      <x:c r="F47" s="34" t="n">
        <x:v>2</x:v>
      </x:c>
      <x:c r="G47" s="34" t="n">
        <x:v>0</x:v>
      </x:c>
      <x:c r="H47" s="40" t="b">
        <x:v>0</x:v>
      </x:c>
      <x:c r="I47" s="34" t="n">
        <x:v>18.91555</x:v>
      </x:c>
      <x:c r="J47" s="34" t="n">
        <x:v>0.429319</x:v>
      </x:c>
      <x:c r="K47" s="34" t="n">
        <x:v>10.842028</x:v>
      </x:c>
      <x:c r="L47" s="34" t="n">
        <x:v>1.387837</x:v>
      </x:c>
      <x:c r="M47" s="34" t="n">
        <x:v>-83.870205</x:v>
      </x:c>
      <x:c r="N47" s="34" t="n">
        <x:v>0.468007</x:v>
      </x:c>
      <x:c r="O47" s="34" t="n">
        <x:v>-87.310305</x:v>
      </x:c>
      <x:c r="P47" s="34" t="n">
        <x:v>0.437583</x:v>
      </x:c>
      <x:c r="Q47" s="34" t="n">
        <x:v>0</x:v>
      </x:c>
      <x:c r="R47" s="34" t="n">
        <x:v>0</x:v>
      </x:c>
      <x:c r="S47" s="34" t="n">
        <x:v>0</x:v>
      </x:c>
      <x:c r="T47" s="34" t="n">
        <x:v>0</x:v>
      </x:c>
    </x:row>
    <x:row r="48">
      <x:c r="A48" s="34" t="str">
        <x:v>JFE_STEEL_JP</x:v>
      </x:c>
      <x:c r="B48" s="34" t="str">
        <x:v>JFE Steel</x:v>
      </x:c>
      <x:c r="C48" s="34" t="str">
        <x:v>CAND-CBE864A3B5E624</x:v>
      </x:c>
      <x:c r="D48" s="34" t="str">
        <x:v>P2</x:v>
      </x:c>
      <x:c r="E48" s="34" t="str">
        <x:v>PORT-408F044D6828</x:v>
      </x:c>
      <x:c r="F48" s="34" t="n">
        <x:v>2</x:v>
      </x:c>
      <x:c r="G48" s="34" t="n">
        <x:v>0</x:v>
      </x:c>
      <x:c r="H48" s="40" t="b">
        <x:v>0</x:v>
      </x:c>
      <x:c r="I48" s="34" t="n">
        <x:v>217.546955</x:v>
      </x:c>
      <x:c r="J48" s="34" t="n">
        <x:v>1.29979</x:v>
      </x:c>
      <x:c r="K48" s="34" t="n">
        <x:v>49.953634</x:v>
      </x:c>
      <x:c r="L48" s="34" t="n">
        <x:v>6.665263</x:v>
      </x:c>
      <x:c r="M48" s="34" t="n">
        <x:v>125.767672</x:v>
      </x:c>
      <x:c r="N48" s="34" t="n">
        <x:v>1.25191</x:v>
      </x:c>
      <x:c r="O48" s="34" t="n">
        <x:v>116.824336</x:v>
      </x:c>
      <x:c r="P48" s="34" t="n">
        <x:v>1.295424</x:v>
      </x:c>
      <x:c r="Q48" s="34" t="n">
        <x:v>0</x:v>
      </x:c>
      <x:c r="R48" s="34" t="n">
        <x:v>0</x:v>
      </x:c>
      <x:c r="S48" s="34" t="n">
        <x:v>0</x:v>
      </x:c>
      <x:c r="T48" s="34" t="n">
        <x:v>0</x:v>
      </x:c>
    </x:row>
    <x:row r="49">
      <x:c r="A49" s="34" t="str">
        <x:v>JFE_STEEL_JP</x:v>
      </x:c>
      <x:c r="B49" s="34" t="str">
        <x:v>JFE Steel</x:v>
      </x:c>
      <x:c r="C49" s="34" t="str">
        <x:v>CAND-D31DAEDCB107AF</x:v>
      </x:c>
      <x:c r="D49" s="34" t="str">
        <x:v>P1</x:v>
      </x:c>
      <x:c r="E49" s="34" t="str">
        <x:v>PORT-0FD37D80B1EA</x:v>
      </x:c>
      <x:c r="F49" s="34" t="n">
        <x:v>2</x:v>
      </x:c>
      <x:c r="G49" s="34" t="n">
        <x:v>1</x:v>
      </x:c>
      <x:c r="H49" s="40" t="b">
        <x:v>0</x:v>
      </x:c>
      <x:c r="I49" s="34" t="n">
        <x:v>154.238046</x:v>
      </x:c>
      <x:c r="J49" s="34" t="n">
        <x:v>2.718884</x:v>
      </x:c>
      <x:c r="K49" s="34" t="n">
        <x:v>43.46758</x:v>
      </x:c>
      <x:c r="L49" s="34" t="n">
        <x:v>3.970571</x:v>
      </x:c>
      <x:c r="M49" s="34" t="n">
        <x:v>60.447105</x:v>
      </x:c>
      <x:c r="N49" s="34" t="n">
        <x:v>2.464843</x:v>
      </x:c>
      <x:c r="O49" s="34" t="n">
        <x:v>52.509598</x:v>
      </x:c>
      <x:c r="P49" s="34" t="n">
        <x:v>2.669053</x:v>
      </x:c>
      <x:c r="Q49" s="34" t="n">
        <x:v>0</x:v>
      </x:c>
      <x:c r="R49" s="34" t="n">
        <x:v>0</x:v>
      </x:c>
      <x:c r="S49" s="34" t="n">
        <x:v>0</x:v>
      </x:c>
      <x:c r="T49" s="34" t="n">
        <x:v>0</x:v>
      </x:c>
    </x:row>
    <x:row r="50">
      <x:c r="A50" s="34" t="str">
        <x:v>JFE_STEEL_JP</x:v>
      </x:c>
      <x:c r="B50" s="34" t="str">
        <x:v>JFE Steel</x:v>
      </x:c>
      <x:c r="C50" s="34" t="str">
        <x:v>CAND-DF57CBE06564A4</x:v>
      </x:c>
      <x:c r="D50" s="34" t="str">
        <x:v>P3</x:v>
      </x:c>
      <x:c r="E50" s="34" t="str">
        <x:v>PORT-6E49C004BA31</x:v>
      </x:c>
      <x:c r="F50" s="34" t="n">
        <x:v>2</x:v>
      </x:c>
      <x:c r="G50" s="34" t="n">
        <x:v>0</x:v>
      </x:c>
      <x:c r="H50" s="40" t="b">
        <x:v>0</x:v>
      </x:c>
      <x:c r="I50" s="34" t="n">
        <x:v>170.25562</x:v>
      </x:c>
      <x:c r="J50" s="34" t="n">
        <x:v>0.504108</x:v>
      </x:c>
      <x:c r="K50" s="34" t="n">
        <x:v>36.672348</x:v>
      </x:c>
      <x:c r="L50" s="34" t="n">
        <x:v>6.348455</x:v>
      </x:c>
      <x:c r="M50" s="34" t="n">
        <x:v>72.895706</x:v>
      </x:c>
      <x:c r="N50" s="34" t="n">
        <x:v>0.306578</x:v>
      </x:c>
      <x:c r="O50" s="34" t="n">
        <x:v>66.742685</x:v>
      </x:c>
      <x:c r="P50" s="34" t="n">
        <x:v>0.435323</x:v>
      </x:c>
      <x:c r="Q50" s="34" t="n">
        <x:v>0</x:v>
      </x:c>
      <x:c r="R50" s="34" t="n">
        <x:v>0</x:v>
      </x:c>
      <x:c r="S50" s="34" t="n">
        <x:v>0</x:v>
      </x:c>
      <x:c r="T50" s="34" t="n">
        <x:v>0</x:v>
      </x:c>
    </x:row>
    <x:row r="51">
      <x:c r="A51" s="34" t="str">
        <x:v>JFE_STEEL_JP</x:v>
      </x:c>
      <x:c r="B51" s="34" t="str">
        <x:v>JFE Steel</x:v>
      </x:c>
      <x:c r="C51" s="34" t="str">
        <x:v>CAND-DFCA23D16E81A2</x:v>
      </x:c>
      <x:c r="D51" s="34" t="str">
        <x:v>P1</x:v>
      </x:c>
      <x:c r="E51" s="34" t="str">
        <x:v>PORT-408F044D6828</x:v>
      </x:c>
      <x:c r="F51" s="34" t="n">
        <x:v>2</x:v>
      </x:c>
      <x:c r="G51" s="34" t="n">
        <x:v>0</x:v>
      </x:c>
      <x:c r="H51" s="40" t="b">
        <x:v>0</x:v>
      </x:c>
      <x:c r="I51" s="34" t="n">
        <x:v>224.006738</x:v>
      </x:c>
      <x:c r="J51" s="34" t="n">
        <x:v>1.471917</x:v>
      </x:c>
      <x:c r="K51" s="34" t="n">
        <x:v>58.568806</x:v>
      </x:c>
      <x:c r="L51" s="34" t="n">
        <x:v>7.923594</x:v>
      </x:c>
      <x:c r="M51" s="34" t="n">
        <x:v>135.26804</x:v>
      </x:c>
      <x:c r="N51" s="34" t="n">
        <x:v>1.497076</x:v>
      </x:c>
      <x:c r="O51" s="34" t="n">
        <x:v>124.804411</x:v>
      </x:c>
      <x:c r="P51" s="34" t="n">
        <x:v>1.503541</x:v>
      </x:c>
      <x:c r="Q51" s="34" t="n">
        <x:v>0</x:v>
      </x:c>
      <x:c r="R51" s="34" t="n">
        <x:v>0</x:v>
      </x:c>
      <x:c r="S51" s="34" t="n">
        <x:v>0</x:v>
      </x:c>
      <x:c r="T51" s="34" t="n">
        <x:v>0</x:v>
      </x:c>
    </x:row>
    <x:row r="52">
      <x:c r="A52" s="34" t="str">
        <x:v>JFE_STEEL_JP</x:v>
      </x:c>
      <x:c r="B52" s="34" t="str">
        <x:v>JFE Steel</x:v>
      </x:c>
      <x:c r="C52" s="34" t="str">
        <x:v>CAND-DFD36ABEC37623</x:v>
      </x:c>
      <x:c r="D52" s="34" t="str">
        <x:v>P1</x:v>
      </x:c>
      <x:c r="E52" s="34" t="str">
        <x:v>PORT-7F45069F34E3</x:v>
      </x:c>
      <x:c r="F52" s="34" t="n">
        <x:v>2</x:v>
      </x:c>
      <x:c r="G52" s="34" t="n">
        <x:v>0</x:v>
      </x:c>
      <x:c r="H52" s="40" t="b">
        <x:v>0</x:v>
      </x:c>
      <x:c r="I52" s="34" t="n">
        <x:v>152.655567</x:v>
      </x:c>
      <x:c r="J52" s="34" t="n">
        <x:v>0.565703</x:v>
      </x:c>
      <x:c r="K52" s="34" t="n">
        <x:v>46.864893</x:v>
      </x:c>
      <x:c r="L52" s="34" t="n">
        <x:v>8.048618</x:v>
      </x:c>
      <x:c r="M52" s="34" t="n">
        <x:v>59.29764</x:v>
      </x:c>
      <x:c r="N52" s="34" t="n">
        <x:v>0.934283</x:v>
      </x:c>
      <x:c r="O52" s="34" t="n">
        <x:v>51.143626</x:v>
      </x:c>
      <x:c r="P52" s="34" t="n">
        <x:v>0.743987</x:v>
      </x:c>
      <x:c r="Q52" s="34" t="n">
        <x:v>0</x:v>
      </x:c>
      <x:c r="R52" s="34" t="n">
        <x:v>0</x:v>
      </x:c>
      <x:c r="S52" s="34" t="n">
        <x:v>0</x:v>
      </x:c>
      <x:c r="T52" s="34" t="n">
        <x:v>0</x:v>
      </x:c>
    </x:row>
    <x:row r="53">
      <x:c r="A53" s="34" t="str">
        <x:v>JFE_STEEL_JP</x:v>
      </x:c>
      <x:c r="B53" s="34" t="str">
        <x:v>JFE Steel</x:v>
      </x:c>
      <x:c r="C53" s="34" t="str">
        <x:v>CAND-E142C0366C78ED</x:v>
      </x:c>
      <x:c r="D53" s="34" t="str">
        <x:v>P4</x:v>
      </x:c>
      <x:c r="E53" s="34" t="str">
        <x:v>PORT-49F18FB13125</x:v>
      </x:c>
      <x:c r="F53" s="34" t="n">
        <x:v>2</x:v>
      </x:c>
      <x:c r="G53" s="34" t="n">
        <x:v>0</x:v>
      </x:c>
      <x:c r="H53" s="40" t="b">
        <x:v>0</x:v>
      </x:c>
      <x:c r="I53" s="34" t="n">
        <x:v>139.649192</x:v>
      </x:c>
      <x:c r="J53" s="34" t="n">
        <x:v>1.200564</x:v>
      </x:c>
      <x:c r="K53" s="34" t="n">
        <x:v>20.436383</x:v>
      </x:c>
      <x:c r="L53" s="34" t="n">
        <x:v>2.533899</x:v>
      </x:c>
      <x:c r="M53" s="34" t="n">
        <x:v>37.951289</x:v>
      </x:c>
      <x:c r="N53" s="34" t="n">
        <x:v>1.450824</x:v>
      </x:c>
      <x:c r="O53" s="34" t="n">
        <x:v>33.967262</x:v>
      </x:c>
      <x:c r="P53" s="34" t="n">
        <x:v>1.375316</x:v>
      </x:c>
      <x:c r="Q53" s="34" t="n">
        <x:v>0</x:v>
      </x:c>
      <x:c r="R53" s="34" t="n">
        <x:v>0</x:v>
      </x:c>
      <x:c r="S53" s="34" t="n">
        <x:v>0</x:v>
      </x:c>
      <x:c r="T53" s="34" t="n">
        <x:v>0</x:v>
      </x:c>
    </x:row>
    <x:row r="54">
      <x:c r="A54" s="34" t="str">
        <x:v>JFE_STEEL_JP</x:v>
      </x:c>
      <x:c r="B54" s="34" t="str">
        <x:v>JFE Steel</x:v>
      </x:c>
      <x:c r="C54" s="34" t="str">
        <x:v>CAND-E1C48D333700EA</x:v>
      </x:c>
      <x:c r="D54" s="34" t="str">
        <x:v>P7</x:v>
      </x:c>
      <x:c r="E54" s="34" t="str">
        <x:v>PORT-B91429E42CEB</x:v>
      </x:c>
      <x:c r="F54" s="34" t="n">
        <x:v>2</x:v>
      </x:c>
      <x:c r="G54" s="34" t="n">
        <x:v>0</x:v>
      </x:c>
      <x:c r="H54" s="40" t="b">
        <x:v>0</x:v>
      </x:c>
      <x:c r="I54" s="34" t="n">
        <x:v>180.486193</x:v>
      </x:c>
      <x:c r="J54" s="34" t="n">
        <x:v>0.120817</x:v>
      </x:c>
      <x:c r="K54" s="34" t="n">
        <x:v>1.880083</x:v>
      </x:c>
      <x:c r="L54" s="34" t="n">
        <x:v>0.34844</x:v>
      </x:c>
      <x:c r="M54" s="34" t="n">
        <x:v>70.820237</x:v>
      </x:c>
      <x:c r="N54" s="34" t="n">
        <x:v>0.352696</x:v>
      </x:c>
      <x:c r="O54" s="34" t="n">
        <x:v>66.509341</x:v>
      </x:c>
      <x:c r="P54" s="34" t="n">
        <x:v>0.284801</x:v>
      </x:c>
      <x:c r="Q54" s="34" t="n">
        <x:v>0</x:v>
      </x:c>
      <x:c r="R54" s="34" t="n">
        <x:v>0</x:v>
      </x:c>
      <x:c r="S54" s="34" t="n">
        <x:v>0</x:v>
      </x:c>
      <x:c r="T54" s="34" t="n">
        <x:v>0</x:v>
      </x:c>
    </x:row>
    <x:row r="55">
      <x:c r="A55" s="34" t="str">
        <x:v>JFE_STEEL_JP</x:v>
      </x:c>
      <x:c r="B55" s="34" t="str">
        <x:v>JFE Steel</x:v>
      </x:c>
      <x:c r="C55" s="34" t="str">
        <x:v>CAND-E280945A557960</x:v>
      </x:c>
      <x:c r="D55" s="34" t="str">
        <x:v>P1</x:v>
      </x:c>
      <x:c r="E55" s="34" t="str">
        <x:v>PORT-E5F3D5116135</x:v>
      </x:c>
      <x:c r="F55" s="34" t="n">
        <x:v>2</x:v>
      </x:c>
      <x:c r="G55" s="34" t="n">
        <x:v>1</x:v>
      </x:c>
      <x:c r="H55" s="40" t="b">
        <x:v>0</x:v>
      </x:c>
      <x:c r="I55" s="34" t="n">
        <x:v>105.933051</x:v>
      </x:c>
      <x:c r="J55" s="34" t="n">
        <x:v>0.235558</x:v>
      </x:c>
      <x:c r="K55" s="34" t="n">
        <x:v>34.122883</x:v>
      </x:c>
      <x:c r="L55" s="34" t="n">
        <x:v>6.984199</x:v>
      </x:c>
      <x:c r="M55" s="34" t="n">
        <x:v>9.663954</x:v>
      </x:c>
      <x:c r="N55" s="34" t="n">
        <x:v>0.194719</x:v>
      </x:c>
      <x:c r="O55" s="34" t="n">
        <x:v>2.965524</x:v>
      </x:c>
      <x:c r="P55" s="34" t="n">
        <x:v>0.096928</x:v>
      </x:c>
      <x:c r="Q55" s="34" t="n">
        <x:v>0</x:v>
      </x:c>
      <x:c r="R55" s="34" t="n">
        <x:v>0</x:v>
      </x:c>
      <x:c r="S55" s="34" t="n">
        <x:v>0</x:v>
      </x:c>
      <x:c r="T55" s="34" t="n">
        <x:v>0</x:v>
      </x:c>
    </x:row>
    <x:row r="56">
      <x:c r="A56" s="34" t="str">
        <x:v>JFE_STEEL_JP</x:v>
      </x:c>
      <x:c r="B56" s="34" t="str">
        <x:v>JFE Steel</x:v>
      </x:c>
      <x:c r="C56" s="34" t="str">
        <x:v>CAND-E2E67FC7600525</x:v>
      </x:c>
      <x:c r="D56" s="34" t="str">
        <x:v>P2</x:v>
      </x:c>
      <x:c r="E56" s="34" t="str">
        <x:v>PORT-7BA11C62DF95</x:v>
      </x:c>
      <x:c r="F56" s="34" t="n">
        <x:v>2</x:v>
      </x:c>
      <x:c r="G56" s="34" t="n">
        <x:v>0</x:v>
      </x:c>
      <x:c r="H56" s="40" t="b">
        <x:v>0</x:v>
      </x:c>
      <x:c r="I56" s="34" t="n">
        <x:v>168.96556</x:v>
      </x:c>
      <x:c r="J56" s="34" t="n">
        <x:v>1.901836</x:v>
      </x:c>
      <x:c r="K56" s="34" t="n">
        <x:v>42.147706</x:v>
      </x:c>
      <x:c r="L56" s="34" t="n">
        <x:v>3.948831</x:v>
      </x:c>
      <x:c r="M56" s="34" t="n">
        <x:v>73.88162</x:v>
      </x:c>
      <x:c r="N56" s="34" t="n">
        <x:v>2.051688</x:v>
      </x:c>
      <x:c r="O56" s="34" t="n">
        <x:v>66.590612</x:v>
      </x:c>
      <x:c r="P56" s="34" t="n">
        <x:v>2.087153</x:v>
      </x:c>
      <x:c r="Q56" s="34" t="n">
        <x:v>0</x:v>
      </x:c>
      <x:c r="R56" s="34" t="n">
        <x:v>0</x:v>
      </x:c>
      <x:c r="S56" s="34" t="n">
        <x:v>0</x:v>
      </x:c>
      <x:c r="T56" s="34" t="n">
        <x:v>0</x:v>
      </x:c>
    </x:row>
    <x:row r="57">
      <x:c r="A57" s="34" t="str">
        <x:v>JFE_STEEL_JP</x:v>
      </x:c>
      <x:c r="B57" s="34" t="str">
        <x:v>JFE Steel</x:v>
      </x:c>
      <x:c r="C57" s="34" t="str">
        <x:v>CAND-E5C3BE482793EF</x:v>
      </x:c>
      <x:c r="D57" s="34" t="str">
        <x:v>P4</x:v>
      </x:c>
      <x:c r="E57" s="34" t="str">
        <x:v>PORT-4577AB24CD05</x:v>
      </x:c>
      <x:c r="F57" s="34" t="n">
        <x:v>2</x:v>
      </x:c>
      <x:c r="G57" s="34" t="n">
        <x:v>0</x:v>
      </x:c>
      <x:c r="H57" s="40" t="b">
        <x:v>0</x:v>
      </x:c>
      <x:c r="I57" s="34" t="n">
        <x:v>204.78087</x:v>
      </x:c>
      <x:c r="J57" s="34" t="n">
        <x:v>0.8733</x:v>
      </x:c>
      <x:c r="K57" s="34" t="n">
        <x:v>26.839447</x:v>
      </x:c>
      <x:c r="L57" s="34" t="n">
        <x:v>4.418958</x:v>
      </x:c>
      <x:c r="M57" s="34" t="n">
        <x:v>103.664629</x:v>
      </x:c>
      <x:c r="N57" s="34" t="n">
        <x:v>1.035329</x:v>
      </x:c>
      <x:c r="O57" s="34" t="n">
        <x:v>99.389772</x:v>
      </x:c>
      <x:c r="P57" s="34" t="n">
        <x:v>1.0087</x:v>
      </x:c>
      <x:c r="Q57" s="34" t="n">
        <x:v>0</x:v>
      </x:c>
      <x:c r="R57" s="34" t="n">
        <x:v>0</x:v>
      </x:c>
      <x:c r="S57" s="34" t="n">
        <x:v>0</x:v>
      </x:c>
      <x:c r="T57" s="34" t="n">
        <x:v>0</x:v>
      </x:c>
    </x:row>
    <x:row r="58">
      <x:c r="A58" s="34" t="str">
        <x:v>JFE_STEEL_JP</x:v>
      </x:c>
      <x:c r="B58" s="34" t="str">
        <x:v>JFE Steel</x:v>
      </x:c>
      <x:c r="C58" s="34" t="str">
        <x:v>CAND-E72109958C3B57</x:v>
      </x:c>
      <x:c r="D58" s="34" t="str">
        <x:v>P2</x:v>
      </x:c>
      <x:c r="E58" s="34" t="str">
        <x:v>PORT-E5F3D5116135</x:v>
      </x:c>
      <x:c r="F58" s="34" t="n">
        <x:v>2</x:v>
      </x:c>
      <x:c r="G58" s="34" t="n">
        <x:v>1</x:v>
      </x:c>
      <x:c r="H58" s="40" t="b">
        <x:v>0</x:v>
      </x:c>
      <x:c r="I58" s="34" t="n">
        <x:v>103.268977</x:v>
      </x:c>
      <x:c r="J58" s="34" t="n">
        <x:v>0.24399</x:v>
      </x:c>
      <x:c r="K58" s="34" t="n">
        <x:v>29.070037</x:v>
      </x:c>
      <x:c r="L58" s="34" t="n">
        <x:v>5.805933</x:v>
      </x:c>
      <x:c r="M58" s="34" t="n">
        <x:v>5.699799</x:v>
      </x:c>
      <x:c r="N58" s="34" t="n">
        <x:v>0.103499</x:v>
      </x:c>
      <x:c r="O58" s="34" t="n">
        <x:v>-0.34859</x:v>
      </x:c>
      <x:c r="P58" s="34" t="n">
        <x:v>0.051288</x:v>
      </x:c>
      <x:c r="Q58" s="34" t="n">
        <x:v>0</x:v>
      </x:c>
      <x:c r="R58" s="34" t="n">
        <x:v>0</x:v>
      </x:c>
      <x:c r="S58" s="34" t="n">
        <x:v>0</x:v>
      </x:c>
      <x:c r="T58" s="34" t="n">
        <x:v>0</x:v>
      </x:c>
    </x:row>
    <x:row r="59">
      <x:c r="A59" s="34" t="str">
        <x:v>JFE_STEEL_JP</x:v>
      </x:c>
      <x:c r="B59" s="34" t="str">
        <x:v>JFE Steel</x:v>
      </x:c>
      <x:c r="C59" s="34" t="str">
        <x:v>CAND-E8FAD9BDD034A5</x:v>
      </x:c>
      <x:c r="D59" s="34" t="str">
        <x:v>P3</x:v>
      </x:c>
      <x:c r="E59" s="34" t="str">
        <x:v>PORT-51A2628EF9C2</x:v>
      </x:c>
      <x:c r="F59" s="34" t="n">
        <x:v>2</x:v>
      </x:c>
      <x:c r="G59" s="34" t="n">
        <x:v>2</x:v>
      </x:c>
      <x:c r="H59" s="40" t="b">
        <x:v>1</x:v>
      </x:c>
      <x:c r="I59" s="34" t="n">
        <x:v>125.802228</x:v>
      </x:c>
      <x:c r="J59" s="34" t="n">
        <x:v>1.088515</x:v>
      </x:c>
      <x:c r="K59" s="34" t="n">
        <x:v>26.390995</x:v>
      </x:c>
      <x:c r="L59" s="34" t="n">
        <x:v>4.857584</x:v>
      </x:c>
      <x:c r="M59" s="34" t="n">
        <x:v>27.936653</x:v>
      </x:c>
      <x:c r="N59" s="34" t="n">
        <x:v>1.456895</x:v>
      </x:c>
      <x:c r="O59" s="34" t="n">
        <x:v>22.036463</x:v>
      </x:c>
      <x:c r="P59" s="34" t="n">
        <x:v>1.4135</x:v>
      </x:c>
      <x:c r="Q59" s="34" t="n">
        <x:v>100</x:v>
      </x:c>
      <x:c r="R59" s="34" t="n">
        <x:v>100</x:v>
      </x:c>
      <x:c r="S59" s="34" t="n">
        <x:v>100</x:v>
      </x:c>
      <x:c r="T59" s="34" t="n">
        <x:v>100</x:v>
      </x:c>
    </x:row>
    <x:row r="60">
      <x:c r="A60" s="34" t="str">
        <x:v>JFE_STEEL_JP</x:v>
      </x:c>
      <x:c r="B60" s="34" t="str">
        <x:v>JFE Steel</x:v>
      </x:c>
      <x:c r="C60" s="34" t="str">
        <x:v>CAND-E97F5B55830909</x:v>
      </x:c>
      <x:c r="D60" s="34" t="str">
        <x:v>P1</x:v>
      </x:c>
      <x:c r="E60" s="34" t="str">
        <x:v>PORT-A7F00CD0D5D9</x:v>
      </x:c>
      <x:c r="F60" s="34" t="n">
        <x:v>2</x:v>
      </x:c>
      <x:c r="G60" s="34" t="n">
        <x:v>0</x:v>
      </x:c>
      <x:c r="H60" s="40" t="b">
        <x:v>0</x:v>
      </x:c>
      <x:c r="I60" s="34" t="n">
        <x:v>16.268073</x:v>
      </x:c>
      <x:c r="J60" s="34" t="n">
        <x:v>0.718295</x:v>
      </x:c>
      <x:c r="K60" s="34" t="n">
        <x:v>11.422488</x:v>
      </x:c>
      <x:c r="L60" s="34" t="n">
        <x:v>2.113673</x:v>
      </x:c>
      <x:c r="M60" s="34" t="n">
        <x:v>-86.717924</x:v>
      </x:c>
      <x:c r="N60" s="34" t="n">
        <x:v>0.623979</x:v>
      </x:c>
      <x:c r="O60" s="34" t="n">
        <x:v>-90.057903</x:v>
      </x:c>
      <x:c r="P60" s="34" t="n">
        <x:v>0.595015</x:v>
      </x:c>
      <x:c r="Q60" s="34" t="n">
        <x:v>0</x:v>
      </x:c>
      <x:c r="R60" s="34" t="n">
        <x:v>0</x:v>
      </x:c>
      <x:c r="S60" s="34" t="n">
        <x:v>0</x:v>
      </x:c>
      <x:c r="T60" s="34" t="n">
        <x:v>0</x:v>
      </x:c>
    </x:row>
    <x:row r="61">
      <x:c r="A61" s="34" t="str">
        <x:v>JFE_STEEL_JP</x:v>
      </x:c>
      <x:c r="B61" s="34" t="str">
        <x:v>JFE Steel</x:v>
      </x:c>
      <x:c r="C61" s="34" t="str">
        <x:v>CAND-F1788FF7DCC7F6</x:v>
      </x:c>
      <x:c r="D61" s="34" t="str">
        <x:v>P2</x:v>
      </x:c>
      <x:c r="E61" s="34" t="str">
        <x:v>PORT-E3494C854A0D</x:v>
      </x:c>
      <x:c r="F61" s="34" t="n">
        <x:v>2</x:v>
      </x:c>
      <x:c r="G61" s="34" t="n">
        <x:v>1</x:v>
      </x:c>
      <x:c r="H61" s="40" t="b">
        <x:v>0</x:v>
      </x:c>
      <x:c r="I61" s="34" t="n">
        <x:v>122.661518</x:v>
      </x:c>
      <x:c r="J61" s="34" t="n">
        <x:v>1.627167</x:v>
      </x:c>
      <x:c r="K61" s="34" t="n">
        <x:v>32.340082</x:v>
      </x:c>
      <x:c r="L61" s="34" t="n">
        <x:v>3.166148</x:v>
      </x:c>
      <x:c r="M61" s="34" t="n">
        <x:v>25.337797</x:v>
      </x:c>
      <x:c r="N61" s="34" t="n">
        <x:v>2.08301</x:v>
      </x:c>
      <x:c r="O61" s="34" t="n">
        <x:v>19.166679</x:v>
      </x:c>
      <x:c r="P61" s="34" t="n">
        <x:v>1.931886</x:v>
      </x:c>
      <x:c r="Q61" s="34" t="n">
        <x:v>0</x:v>
      </x:c>
      <x:c r="R61" s="34" t="n">
        <x:v>0</x:v>
      </x:c>
      <x:c r="S61" s="34" t="n">
        <x:v>0</x:v>
      </x:c>
      <x:c r="T61" s="34" t="n">
        <x:v>0</x:v>
      </x:c>
    </x:row>
    <x:row r="62">
      <x:c r="A62" s="34" t="str">
        <x:v>JFE_STEEL_JP</x:v>
      </x:c>
      <x:c r="B62" s="34" t="str">
        <x:v>JFE Steel</x:v>
      </x:c>
      <x:c r="C62" s="34" t="str">
        <x:v>CAND-F4B6AD5FB08D71</x:v>
      </x:c>
      <x:c r="D62" s="34" t="str">
        <x:v>P2</x:v>
      </x:c>
      <x:c r="E62" s="34" t="str">
        <x:v>PORT-51A2628EF9C2</x:v>
      </x:c>
      <x:c r="F62" s="34" t="n">
        <x:v>2</x:v>
      </x:c>
      <x:c r="G62" s="34" t="n">
        <x:v>2</x:v>
      </x:c>
      <x:c r="H62" s="40" t="b">
        <x:v>1</x:v>
      </x:c>
      <x:c r="I62" s="34" t="n">
        <x:v>130.952819</x:v>
      </x:c>
      <x:c r="J62" s="34" t="n">
        <x:v>1.446844</x:v>
      </x:c>
      <x:c r="K62" s="34" t="n">
        <x:v>33.988065</x:v>
      </x:c>
      <x:c r="L62" s="34" t="n">
        <x:v>6.310715</x:v>
      </x:c>
      <x:c r="M62" s="34" t="n">
        <x:v>35.626461</x:v>
      </x:c>
      <x:c r="N62" s="34" t="n">
        <x:v>1.822522</x:v>
      </x:c>
      <x:c r="O62" s="34" t="n">
        <x:v>28.456662</x:v>
      </x:c>
      <x:c r="P62" s="34" t="n">
        <x:v>1.773708</x:v>
      </x:c>
      <x:c r="Q62" s="34" t="n">
        <x:v>0</x:v>
      </x:c>
      <x:c r="R62" s="34" t="n">
        <x:v>0</x:v>
      </x:c>
      <x:c r="S62" s="34" t="n">
        <x:v>0</x:v>
      </x:c>
      <x:c r="T62" s="34" t="n">
        <x:v>0</x:v>
      </x:c>
    </x:row>
    <x:row r="63">
      <x:c r="A63" s="34" t="str">
        <x:v>JFE_STEEL_JP</x:v>
      </x:c>
      <x:c r="B63" s="34" t="str">
        <x:v>JFE Steel</x:v>
      </x:c>
      <x:c r="C63" s="34" t="str">
        <x:v>CAND-FA1953D51D82F3</x:v>
      </x:c>
      <x:c r="D63" s="34" t="str">
        <x:v>P3</x:v>
      </x:c>
      <x:c r="E63" s="34" t="str">
        <x:v>PORT-0FD37D80B1EA</x:v>
      </x:c>
      <x:c r="F63" s="34" t="n">
        <x:v>2</x:v>
      </x:c>
      <x:c r="G63" s="34" t="n">
        <x:v>1</x:v>
      </x:c>
      <x:c r="H63" s="40" t="b">
        <x:v>0</x:v>
      </x:c>
      <x:c r="I63" s="34" t="n">
        <x:v>143.894114</x:v>
      </x:c>
      <x:c r="J63" s="34" t="n">
        <x:v>1.880934</x:v>
      </x:c>
      <x:c r="K63" s="34" t="n">
        <x:v>28.695501</x:v>
      </x:c>
      <x:c r="L63" s="34" t="n">
        <x:v>2.567212</x:v>
      </x:c>
      <x:c r="M63" s="34" t="n">
        <x:v>45.162124</x:v>
      </x:c>
      <x:c r="N63" s="34" t="n">
        <x:v>1.675237</x:v>
      </x:c>
      <x:c r="O63" s="34" t="n">
        <x:v>39.695141</x:v>
      </x:c>
      <x:c r="P63" s="34" t="n">
        <x:v>1.853927</x:v>
      </x:c>
      <x:c r="Q63" s="34" t="n">
        <x:v>0</x:v>
      </x:c>
      <x:c r="R63" s="34" t="n">
        <x:v>0</x:v>
      </x:c>
      <x:c r="S63" s="34" t="n">
        <x:v>0</x:v>
      </x:c>
      <x:c r="T63" s="34" t="n">
        <x:v>0</x:v>
      </x:c>
    </x:row>
    <x:row r="64">
      <x:c r="A64" s="34" t="str">
        <x:v>JFE_STEEL_JP</x:v>
      </x:c>
      <x:c r="B64" s="34" t="str">
        <x:v>JFE Steel</x:v>
      </x:c>
      <x:c r="C64" s="34" t="str">
        <x:v>CAND-FC0AA3F9FE37C6</x:v>
      </x:c>
      <x:c r="D64" s="34" t="str">
        <x:v>P3</x:v>
      </x:c>
      <x:c r="E64" s="34" t="str">
        <x:v>PORT-E5F3D5116135</x:v>
      </x:c>
      <x:c r="F64" s="34" t="n">
        <x:v>2</x:v>
      </x:c>
      <x:c r="G64" s="34" t="n">
        <x:v>1</x:v>
      </x:c>
      <x:c r="H64" s="40" t="b">
        <x:v>0</x:v>
      </x:c>
      <x:c r="I64" s="34" t="n">
        <x:v>99.422157</x:v>
      </x:c>
      <x:c r="J64" s="34" t="n">
        <x:v>0.227119</x:v>
      </x:c>
      <x:c r="K64" s="34" t="n">
        <x:v>22.735135</x:v>
      </x:c>
      <x:c r="L64" s="34" t="n">
        <x:v>4.373881</x:v>
      </x:c>
      <x:c r="M64" s="34" t="n">
        <x:v>0</x:v>
      </x:c>
      <x:c r="N64" s="34" t="n">
        <x:v>0</x:v>
      </x:c>
      <x:c r="O64" s="34" t="n">
        <x:v>-5.121899</x:v>
      </x:c>
      <x:c r="P64" s="34" t="n">
        <x:v>0.034036</x:v>
      </x:c>
      <x:c r="Q64" s="34" t="n">
        <x:v>0</x:v>
      </x:c>
      <x:c r="R64" s="34" t="n">
        <x:v>0</x:v>
      </x:c>
      <x:c r="S64" s="34" t="n">
        <x:v>0</x:v>
      </x:c>
      <x:c r="T64" s="34" t="n">
        <x:v>0</x:v>
      </x:c>
    </x:row>
    <x:row r="65">
      <x:c r="A65" s="34" t="str">
        <x:v>JFE_STEEL_JP</x:v>
      </x:c>
      <x:c r="B65" s="34" t="str">
        <x:v>JFE Steel</x:v>
      </x:c>
      <x:c r="C65" s="34" t="str">
        <x:v>CAND-FCDB7C1BD7991A</x:v>
      </x:c>
      <x:c r="D65" s="34" t="str">
        <x:v>P1</x:v>
      </x:c>
      <x:c r="E65" s="34" t="str">
        <x:v>PORT-51A2628EF9C2</x:v>
      </x:c>
      <x:c r="F65" s="34" t="n">
        <x:v>2</x:v>
      </x:c>
      <x:c r="G65" s="34" t="n">
        <x:v>2</x:v>
      </x:c>
      <x:c r="H65" s="40" t="b">
        <x:v>1</x:v>
      </x:c>
      <x:c r="I65" s="34" t="n">
        <x:v>134.573909</x:v>
      </x:c>
      <x:c r="J65" s="34" t="n">
        <x:v>1.660896</x:v>
      </x:c>
      <x:c r="K65" s="34" t="n">
        <x:v>39.899946</x:v>
      </x:c>
      <x:c r="L65" s="34" t="n">
        <x:v>7.521743</x:v>
      </x:c>
      <x:c r="M65" s="34" t="n">
        <x:v>40.987987</x:v>
      </x:c>
      <x:c r="N65" s="34" t="n">
        <x:v>2.079496</x:v>
      </x:c>
      <x:c r="O65" s="34" t="n">
        <x:v>32.94797</x:v>
      </x:c>
      <x:c r="P65" s="34" t="n">
        <x:v>2.008176</x:v>
      </x:c>
      <x:c r="Q65" s="34" t="n">
        <x:v>0</x:v>
      </x:c>
      <x:c r="R65" s="34" t="n">
        <x:v>0</x:v>
      </x:c>
      <x:c r="S65" s="34" t="n">
        <x:v>0</x:v>
      </x:c>
      <x:c r="T65" s="34" t="n">
        <x:v>0</x:v>
      </x:c>
    </x:row>
    <x:row r="66">
      <x:c r="A66" s="34" t="str">
        <x:v>KOBE_STEEL_JP</x:v>
      </x:c>
      <x:c r="B66" s="34" t="str">
        <x:v>Kobe Steel</x:v>
      </x:c>
      <x:c r="C66" s="34" t="str">
        <x:v>CAND-0E9003448A63C3</x:v>
      </x:c>
      <x:c r="D66" s="34" t="str">
        <x:v>P7</x:v>
      </x:c>
      <x:c r="E66" s="34" t="str">
        <x:v>PORT-F194BB679477</x:v>
      </x:c>
      <x:c r="F66" s="34" t="n">
        <x:v>2</x:v>
      </x:c>
      <x:c r="G66" s="34" t="n">
        <x:v>1</x:v>
      </x:c>
      <x:c r="H66" s="40" t="b">
        <x:v>0</x:v>
      </x:c>
      <x:c r="I66" s="34" t="n">
        <x:v>151.061683</x:v>
      </x:c>
      <x:c r="J66" s="34" t="n">
        <x:v>0.050172</x:v>
      </x:c>
      <x:c r="K66" s="34" t="n">
        <x:v>1.566667</x:v>
      </x:c>
      <x:c r="L66" s="34" t="n">
        <x:v>0.254436</x:v>
      </x:c>
      <x:c r="M66" s="34" t="n">
        <x:v>97.505064</x:v>
      </x:c>
      <x:c r="N66" s="34" t="n">
        <x:v>0.914399</x:v>
      </x:c>
      <x:c r="O66" s="34" t="n">
        <x:v>48.869775</x:v>
      </x:c>
      <x:c r="P66" s="34" t="n">
        <x:v>0.561835</x:v>
      </x:c>
      <x:c r="Q66" s="34" t="n">
        <x:v>0</x:v>
      </x:c>
      <x:c r="R66" s="34" t="n">
        <x:v>0</x:v>
      </x:c>
      <x:c r="S66" s="34" t="n">
        <x:v>0</x:v>
      </x:c>
      <x:c r="T66" s="34" t="n">
        <x:v>0</x:v>
      </x:c>
    </x:row>
    <x:row r="67">
      <x:c r="A67" s="34" t="str">
        <x:v>KOBE_STEEL_JP</x:v>
      </x:c>
      <x:c r="B67" s="34" t="str">
        <x:v>Kobe Steel</x:v>
      </x:c>
      <x:c r="C67" s="34" t="str">
        <x:v>CAND-17BC99375C7C5C</x:v>
      </x:c>
      <x:c r="D67" s="34" t="str">
        <x:v>P1</x:v>
      </x:c>
      <x:c r="E67" s="34" t="str">
        <x:v>PORT-3DA05887C62D</x:v>
      </x:c>
      <x:c r="F67" s="34" t="n">
        <x:v>2</x:v>
      </x:c>
      <x:c r="G67" s="34" t="n">
        <x:v>0</x:v>
      </x:c>
      <x:c r="H67" s="40" t="b">
        <x:v>0</x:v>
      </x:c>
      <x:c r="I67" s="34" t="n">
        <x:v>13.394798</x:v>
      </x:c>
      <x:c r="J67" s="34" t="n">
        <x:v>0.120995</x:v>
      </x:c>
      <x:c r="K67" s="34" t="n">
        <x:v>9.60769</x:v>
      </x:c>
      <x:c r="L67" s="34" t="n">
        <x:v>1.080349</x:v>
      </x:c>
      <x:c r="M67" s="34" t="n">
        <x:v>-40.161821</x:v>
      </x:c>
      <x:c r="N67" s="34" t="n">
        <x:v>0.848586</x:v>
      </x:c>
      <x:c r="O67" s="34" t="n">
        <x:v>-82.644887</x:v>
      </x:c>
      <x:c r="P67" s="34" t="n">
        <x:v>0.475142</x:v>
      </x:c>
      <x:c r="Q67" s="34" t="n">
        <x:v>0</x:v>
      </x:c>
      <x:c r="R67" s="34" t="n">
        <x:v>0</x:v>
      </x:c>
      <x:c r="S67" s="34" t="n">
        <x:v>0</x:v>
      </x:c>
      <x:c r="T67" s="34" t="n">
        <x:v>0</x:v>
      </x:c>
    </x:row>
    <x:row r="68">
      <x:c r="A68" s="34" t="str">
        <x:v>KOBE_STEEL_JP</x:v>
      </x:c>
      <x:c r="B68" s="34" t="str">
        <x:v>Kobe Steel</x:v>
      </x:c>
      <x:c r="C68" s="34" t="str">
        <x:v>CAND-202E0A81514742</x:v>
      </x:c>
      <x:c r="D68" s="34" t="str">
        <x:v>P2</x:v>
      </x:c>
      <x:c r="E68" s="34" t="str">
        <x:v>PORT-5EAB84C29074</x:v>
      </x:c>
      <x:c r="F68" s="34" t="n">
        <x:v>2</x:v>
      </x:c>
      <x:c r="G68" s="34" t="n">
        <x:v>0</x:v>
      </x:c>
      <x:c r="H68" s="40" t="b">
        <x:v>0</x:v>
      </x:c>
      <x:c r="I68" s="34" t="n">
        <x:v>176.199738</x:v>
      </x:c>
      <x:c r="J68" s="34" t="n">
        <x:v>1.197432</x:v>
      </x:c>
      <x:c r="K68" s="34" t="n">
        <x:v>44.521434</x:v>
      </x:c>
      <x:c r="L68" s="34" t="n">
        <x:v>4.045532</x:v>
      </x:c>
      <x:c r="M68" s="34" t="n">
        <x:v>122.643119</x:v>
      </x:c>
      <x:c r="N68" s="34" t="n">
        <x:v>0.237558</x:v>
      </x:c>
      <x:c r="O68" s="34" t="n">
        <x:v>84.227076</x:v>
      </x:c>
      <x:c r="P68" s="34" t="n">
        <x:v>0.944247</x:v>
      </x:c>
      <x:c r="Q68" s="34" t="n">
        <x:v>0</x:v>
      </x:c>
      <x:c r="R68" s="34" t="n">
        <x:v>0</x:v>
      </x:c>
      <x:c r="S68" s="34" t="n">
        <x:v>0</x:v>
      </x:c>
      <x:c r="T68" s="34" t="n">
        <x:v>0</x:v>
      </x:c>
    </x:row>
    <x:row r="69">
      <x:c r="A69" s="34" t="str">
        <x:v>KOBE_STEEL_JP</x:v>
      </x:c>
      <x:c r="B69" s="34" t="str">
        <x:v>Kobe Steel</x:v>
      </x:c>
      <x:c r="C69" s="34" t="str">
        <x:v>CAND-20911E55FBB215</x:v>
      </x:c>
      <x:c r="D69" s="34" t="str">
        <x:v>P3</x:v>
      </x:c>
      <x:c r="E69" s="34" t="str">
        <x:v>PORT-661396C334A7</x:v>
      </x:c>
      <x:c r="F69" s="34" t="n">
        <x:v>2</x:v>
      </x:c>
      <x:c r="G69" s="34" t="n">
        <x:v>0</x:v>
      </x:c>
      <x:c r="H69" s="40" t="b">
        <x:v>0</x:v>
      </x:c>
      <x:c r="I69" s="34" t="n">
        <x:v>83.742133</x:v>
      </x:c>
      <x:c r="J69" s="34" t="n">
        <x:v>2.482377</x:v>
      </x:c>
      <x:c r="K69" s="34" t="n">
        <x:v>20.966553</x:v>
      </x:c>
      <x:c r="L69" s="34" t="n">
        <x:v>2.150569</x:v>
      </x:c>
      <x:c r="M69" s="34" t="n">
        <x:v>30.185514</x:v>
      </x:c>
      <x:c r="N69" s="34" t="n">
        <x:v>1.520495</x:v>
      </x:c>
      <x:c r="O69" s="34" t="n">
        <x:v>-11.149673</x:v>
      </x:c>
      <x:c r="P69" s="34" t="n">
        <x:v>2.150072</x:v>
      </x:c>
      <x:c r="Q69" s="34" t="n">
        <x:v>0</x:v>
      </x:c>
      <x:c r="R69" s="34" t="n">
        <x:v>0</x:v>
      </x:c>
      <x:c r="S69" s="34" t="n">
        <x:v>0</x:v>
      </x:c>
      <x:c r="T69" s="34" t="n">
        <x:v>0</x:v>
      </x:c>
    </x:row>
    <x:row r="70">
      <x:c r="A70" s="34" t="str">
        <x:v>KOBE_STEEL_JP</x:v>
      </x:c>
      <x:c r="B70" s="34" t="str">
        <x:v>Kobe Steel</x:v>
      </x:c>
      <x:c r="C70" s="34" t="str">
        <x:v>CAND-314B41E5534D98</x:v>
      </x:c>
      <x:c r="D70" s="34" t="str">
        <x:v>P3</x:v>
      </x:c>
      <x:c r="E70" s="34" t="str">
        <x:v>PORT-9862FC05DA24</x:v>
      </x:c>
      <x:c r="F70" s="34" t="n">
        <x:v>2</x:v>
      </x:c>
      <x:c r="G70" s="34" t="n">
        <x:v>2</x:v>
      </x:c>
      <x:c r="H70" s="40" t="b">
        <x:v>1</x:v>
      </x:c>
      <x:c r="I70" s="34" t="n">
        <x:v>179.744947</x:v>
      </x:c>
      <x:c r="J70" s="34" t="n">
        <x:v>1.620432</x:v>
      </x:c>
      <x:c r="K70" s="34" t="n">
        <x:v>34.300981</x:v>
      </x:c>
      <x:c r="L70" s="34" t="n">
        <x:v>3.392287</x:v>
      </x:c>
      <x:c r="M70" s="34" t="n">
        <x:v>126.188328</x:v>
      </x:c>
      <x:c r="N70" s="34" t="n">
        <x:v>0.878382</x:v>
      </x:c>
      <x:c r="O70" s="34" t="n">
        <x:v>86.18078</x:v>
      </x:c>
      <x:c r="P70" s="34" t="n">
        <x:v>1.118926</x:v>
      </x:c>
      <x:c r="Q70" s="34" t="n">
        <x:v>0</x:v>
      </x:c>
      <x:c r="R70" s="34" t="n">
        <x:v>0</x:v>
      </x:c>
      <x:c r="S70" s="34" t="n">
        <x:v>0</x:v>
      </x:c>
      <x:c r="T70" s="34" t="n">
        <x:v>0</x:v>
      </x:c>
    </x:row>
    <x:row r="71">
      <x:c r="A71" s="34" t="str">
        <x:v>KOBE_STEEL_JP</x:v>
      </x:c>
      <x:c r="B71" s="34" t="str">
        <x:v>Kobe Steel</x:v>
      </x:c>
      <x:c r="C71" s="34" t="str">
        <x:v>CAND-344C7E39FA18A3</x:v>
      </x:c>
      <x:c r="D71" s="34" t="str">
        <x:v>P1</x:v>
      </x:c>
      <x:c r="E71" s="34" t="str">
        <x:v>PORT-661396C334A7</x:v>
      </x:c>
      <x:c r="F71" s="34" t="n">
        <x:v>2</x:v>
      </x:c>
      <x:c r="G71" s="34" t="n">
        <x:v>0</x:v>
      </x:c>
      <x:c r="H71" s="40" t="b">
        <x:v>0</x:v>
      </x:c>
      <x:c r="I71" s="34" t="n">
        <x:v>90.128063</x:v>
      </x:c>
      <x:c r="J71" s="34" t="n">
        <x:v>3.719031</x:v>
      </x:c>
      <x:c r="K71" s="34" t="n">
        <x:v>31.759052</x:v>
      </x:c>
      <x:c r="L71" s="34" t="n">
        <x:v>3.302446</x:v>
      </x:c>
      <x:c r="M71" s="34" t="n">
        <x:v>36.571444</x:v>
      </x:c>
      <x:c r="N71" s="34" t="n">
        <x:v>2.758391</x:v>
      </x:c>
      <x:c r="O71" s="34" t="n">
        <x:v>-3.248478</x:v>
      </x:c>
      <x:c r="P71" s="34" t="n">
        <x:v>3.549402</x:v>
      </x:c>
      <x:c r="Q71" s="34" t="n">
        <x:v>0</x:v>
      </x:c>
      <x:c r="R71" s="34" t="n">
        <x:v>0</x:v>
      </x:c>
      <x:c r="S71" s="34" t="n">
        <x:v>0</x:v>
      </x:c>
      <x:c r="T71" s="34" t="n">
        <x:v>0</x:v>
      </x:c>
    </x:row>
    <x:row r="72">
      <x:c r="A72" s="34" t="str">
        <x:v>KOBE_STEEL_JP</x:v>
      </x:c>
      <x:c r="B72" s="34" t="str">
        <x:v>Kobe Steel</x:v>
      </x:c>
      <x:c r="C72" s="34" t="str">
        <x:v>CAND-352C3A40240600</x:v>
      </x:c>
      <x:c r="D72" s="34" t="str">
        <x:v>P4</x:v>
      </x:c>
      <x:c r="E72" s="34" t="str">
        <x:v>PORT-0095E30DB97C</x:v>
      </x:c>
      <x:c r="F72" s="34" t="n">
        <x:v>2</x:v>
      </x:c>
      <x:c r="G72" s="34" t="n">
        <x:v>1</x:v>
      </x:c>
      <x:c r="H72" s="40" t="b">
        <x:v>0</x:v>
      </x:c>
      <x:c r="I72" s="34" t="n">
        <x:v>174.948214</x:v>
      </x:c>
      <x:c r="J72" s="34" t="n">
        <x:v>1.547055</x:v>
      </x:c>
      <x:c r="K72" s="34" t="n">
        <x:v>23.479475</x:v>
      </x:c>
      <x:c r="L72" s="34" t="n">
        <x:v>1.020938</x:v>
      </x:c>
      <x:c r="M72" s="34" t="n">
        <x:v>121.391595</x:v>
      </x:c>
      <x:c r="N72" s="34" t="n">
        <x:v>1.472545</x:v>
      </x:c>
      <x:c r="O72" s="34" t="n">
        <x:v>79.452357</x:v>
      </x:c>
      <x:c r="P72" s="34" t="n">
        <x:v>1.152488</x:v>
      </x:c>
      <x:c r="Q72" s="34" t="n">
        <x:v>0</x:v>
      </x:c>
      <x:c r="R72" s="34" t="n">
        <x:v>0</x:v>
      </x:c>
      <x:c r="S72" s="34" t="n">
        <x:v>0</x:v>
      </x:c>
      <x:c r="T72" s="34" t="n">
        <x:v>0</x:v>
      </x:c>
    </x:row>
    <x:row r="73">
      <x:c r="A73" s="34" t="str">
        <x:v>KOBE_STEEL_JP</x:v>
      </x:c>
      <x:c r="B73" s="34" t="str">
        <x:v>Kobe Steel</x:v>
      </x:c>
      <x:c r="C73" s="34" t="str">
        <x:v>CAND-4D158AE8BC3521</x:v>
      </x:c>
      <x:c r="D73" s="34" t="str">
        <x:v>P3</x:v>
      </x:c>
      <x:c r="E73" s="34" t="str">
        <x:v>PORT-1144EBE63B41</x:v>
      </x:c>
      <x:c r="F73" s="34" t="n">
        <x:v>2</x:v>
      </x:c>
      <x:c r="G73" s="34" t="n">
        <x:v>2</x:v>
      </x:c>
      <x:c r="H73" s="40" t="b">
        <x:v>1</x:v>
      </x:c>
      <x:c r="I73" s="34" t="n">
        <x:v>145.683451</x:v>
      </x:c>
      <x:c r="J73" s="34" t="n">
        <x:v>1.288062</x:v>
      </x:c>
      <x:c r="K73" s="34" t="n">
        <x:v>30.220799</x:v>
      </x:c>
      <x:c r="L73" s="34" t="n">
        <x:v>2.104605</x:v>
      </x:c>
      <x:c r="M73" s="34" t="n">
        <x:v>92.126832</x:v>
      </x:c>
      <x:c r="N73" s="34" t="n">
        <x:v>0.403771</x:v>
      </x:c>
      <x:c r="O73" s="34" t="n">
        <x:v>51.47321</x:v>
      </x:c>
      <x:c r="P73" s="34" t="n">
        <x:v>0.638236</x:v>
      </x:c>
      <x:c r="Q73" s="34" t="n">
        <x:v>100</x:v>
      </x:c>
      <x:c r="R73" s="34" t="n">
        <x:v>100</x:v>
      </x:c>
      <x:c r="S73" s="34" t="n">
        <x:v>100</x:v>
      </x:c>
      <x:c r="T73" s="34" t="n">
        <x:v>100</x:v>
      </x:c>
    </x:row>
    <x:row r="74">
      <x:c r="A74" s="34" t="str">
        <x:v>KOBE_STEEL_JP</x:v>
      </x:c>
      <x:c r="B74" s="34" t="str">
        <x:v>Kobe Steel</x:v>
      </x:c>
      <x:c r="C74" s="34" t="str">
        <x:v>CAND-7994EC1E34FADB</x:v>
      </x:c>
      <x:c r="D74" s="34" t="str">
        <x:v>P4</x:v>
      </x:c>
      <x:c r="E74" s="34" t="str">
        <x:v>PORT-ED997010A5D3</x:v>
      </x:c>
      <x:c r="F74" s="34" t="n">
        <x:v>2</x:v>
      </x:c>
      <x:c r="G74" s="34" t="n">
        <x:v>0</x:v>
      </x:c>
      <x:c r="H74" s="40" t="b">
        <x:v>0</x:v>
      </x:c>
      <x:c r="I74" s="34" t="n">
        <x:v>164.230071</x:v>
      </x:c>
      <x:c r="J74" s="34" t="n">
        <x:v>0.883852</x:v>
      </x:c>
      <x:c r="K74" s="34" t="n">
        <x:v>22.588361</x:v>
      </x:c>
      <x:c r="L74" s="34" t="n">
        <x:v>2.647141</x:v>
      </x:c>
      <x:c r="M74" s="34" t="n">
        <x:v>110.673452</x:v>
      </x:c>
      <x:c r="N74" s="34" t="n">
        <x:v>0.563427</x:v>
      </x:c>
      <x:c r="O74" s="34" t="n">
        <x:v>68.267527</x:v>
      </x:c>
      <x:c r="P74" s="34" t="n">
        <x:v>0.355467</x:v>
      </x:c>
      <x:c r="Q74" s="34" t="n">
        <x:v>0</x:v>
      </x:c>
      <x:c r="R74" s="34" t="n">
        <x:v>0</x:v>
      </x:c>
      <x:c r="S74" s="34" t="n">
        <x:v>0</x:v>
      </x:c>
      <x:c r="T74" s="34" t="n">
        <x:v>0</x:v>
      </x:c>
    </x:row>
    <x:row r="75">
      <x:c r="A75" s="34" t="str">
        <x:v>KOBE_STEEL_JP</x:v>
      </x:c>
      <x:c r="B75" s="34" t="str">
        <x:v>Kobe Steel</x:v>
      </x:c>
      <x:c r="C75" s="34" t="str">
        <x:v>CAND-7F0A690E87B72D</x:v>
      </x:c>
      <x:c r="D75" s="34" t="str">
        <x:v>P2</x:v>
      </x:c>
      <x:c r="E75" s="34" t="str">
        <x:v>PORT-8384667F6B8E</x:v>
      </x:c>
      <x:c r="F75" s="34" t="n">
        <x:v>2</x:v>
      </x:c>
      <x:c r="G75" s="34" t="n">
        <x:v>1</x:v>
      </x:c>
      <x:c r="H75" s="40" t="b">
        <x:v>0</x:v>
      </x:c>
      <x:c r="I75" s="34" t="n">
        <x:v>55.524957</x:v>
      </x:c>
      <x:c r="J75" s="34" t="n">
        <x:v>1.202042</x:v>
      </x:c>
      <x:c r="K75" s="34" t="n">
        <x:v>17.204511</x:v>
      </x:c>
      <x:c r="L75" s="34" t="n">
        <x:v>2.710288</x:v>
      </x:c>
      <x:c r="M75" s="34" t="n">
        <x:v>1.968338</x:v>
      </x:c>
      <x:c r="N75" s="34" t="n">
        <x:v>0.240251</x:v>
      </x:c>
      <x:c r="O75" s="34" t="n">
        <x:v>-39.241208</x:v>
      </x:c>
      <x:c r="P75" s="34" t="n">
        <x:v>0.786739</x:v>
      </x:c>
      <x:c r="Q75" s="34" t="n">
        <x:v>0</x:v>
      </x:c>
      <x:c r="R75" s="34" t="n">
        <x:v>0</x:v>
      </x:c>
      <x:c r="S75" s="34" t="n">
        <x:v>0</x:v>
      </x:c>
      <x:c r="T75" s="34" t="n">
        <x:v>0</x:v>
      </x:c>
    </x:row>
    <x:row r="76">
      <x:c r="A76" s="34" t="str">
        <x:v>KOBE_STEEL_JP</x:v>
      </x:c>
      <x:c r="B76" s="34" t="str">
        <x:v>Kobe Steel</x:v>
      </x:c>
      <x:c r="C76" s="34" t="str">
        <x:v>CAND-88A58A95717947</x:v>
      </x:c>
      <x:c r="D76" s="34" t="str">
        <x:v>P1</x:v>
      </x:c>
      <x:c r="E76" s="34" t="str">
        <x:v>PORT-5EAB84C29074</x:v>
      </x:c>
      <x:c r="F76" s="34" t="n">
        <x:v>2</x:v>
      </x:c>
      <x:c r="G76" s="34" t="n">
        <x:v>0</x:v>
      </x:c>
      <x:c r="H76" s="40" t="b">
        <x:v>0</x:v>
      </x:c>
      <x:c r="I76" s="34" t="n">
        <x:v>181.276038</x:v>
      </x:c>
      <x:c r="J76" s="34" t="n">
        <x:v>1.393755</x:v>
      </x:c>
      <x:c r="K76" s="34" t="n">
        <x:v>52.149782</x:v>
      </x:c>
      <x:c r="L76" s="34" t="n">
        <x:v>4.709723</x:v>
      </x:c>
      <x:c r="M76" s="34" t="n">
        <x:v>127.719419</x:v>
      </x:c>
      <x:c r="N76" s="34" t="n">
        <x:v>0.434109</x:v>
      </x:c>
      <x:c r="O76" s="34" t="n">
        <x:v>90.57093</x:v>
      </x:c>
      <x:c r="P76" s="34" t="n">
        <x:v>1.186027</x:v>
      </x:c>
      <x:c r="Q76" s="34" t="n">
        <x:v>0</x:v>
      </x:c>
      <x:c r="R76" s="34" t="n">
        <x:v>0</x:v>
      </x:c>
      <x:c r="S76" s="34" t="n">
        <x:v>0</x:v>
      </x:c>
      <x:c r="T76" s="34" t="n">
        <x:v>0</x:v>
      </x:c>
    </x:row>
    <x:row r="77">
      <x:c r="A77" s="34" t="str">
        <x:v>KOBE_STEEL_JP</x:v>
      </x:c>
      <x:c r="B77" s="34" t="str">
        <x:v>Kobe Steel</x:v>
      </x:c>
      <x:c r="C77" s="34" t="str">
        <x:v>CAND-8D7AF2E68805C6</x:v>
      </x:c>
      <x:c r="D77" s="34" t="str">
        <x:v>P3</x:v>
      </x:c>
      <x:c r="E77" s="34" t="str">
        <x:v>PORT-5EAB84C29074</x:v>
      </x:c>
      <x:c r="F77" s="34" t="n">
        <x:v>2</x:v>
      </x:c>
      <x:c r="G77" s="34" t="n">
        <x:v>0</x:v>
      </x:c>
      <x:c r="H77" s="40" t="b">
        <x:v>0</x:v>
      </x:c>
      <x:c r="I77" s="34" t="n">
        <x:v>168.833485</x:v>
      </x:c>
      <x:c r="J77" s="34" t="n">
        <x:v>0.946241</x:v>
      </x:c>
      <x:c r="K77" s="34" t="n">
        <x:v>34.454254</x:v>
      </x:c>
      <x:c r="L77" s="34" t="n">
        <x:v>3.162846</x:v>
      </x:c>
      <x:c r="M77" s="34" t="n">
        <x:v>115.276866</x:v>
      </x:c>
      <x:c r="N77" s="34" t="n">
        <x:v>0.022537</x:v>
      </x:c>
      <x:c r="O77" s="34" t="n">
        <x:v>74.982129</x:v>
      </x:c>
      <x:c r="P77" s="34" t="n">
        <x:v>0.626733</x:v>
      </x:c>
      <x:c r="Q77" s="34" t="n">
        <x:v>0</x:v>
      </x:c>
      <x:c r="R77" s="34" t="n">
        <x:v>0</x:v>
      </x:c>
      <x:c r="S77" s="34" t="n">
        <x:v>0</x:v>
      </x:c>
      <x:c r="T77" s="34" t="n">
        <x:v>0</x:v>
      </x:c>
    </x:row>
    <x:row r="78">
      <x:c r="A78" s="34" t="str">
        <x:v>KOBE_STEEL_JP</x:v>
      </x:c>
      <x:c r="B78" s="34" t="str">
        <x:v>Kobe Steel</x:v>
      </x:c>
      <x:c r="C78" s="34" t="str">
        <x:v>CAND-9D068D97FB272C</x:v>
      </x:c>
      <x:c r="D78" s="34" t="str">
        <x:v>P2</x:v>
      </x:c>
      <x:c r="E78" s="34" t="str">
        <x:v>PORT-661396C334A7</x:v>
      </x:c>
      <x:c r="F78" s="34" t="n">
        <x:v>2</x:v>
      </x:c>
      <x:c r="G78" s="34" t="n">
        <x:v>0</x:v>
      </x:c>
      <x:c r="H78" s="40" t="b">
        <x:v>0</x:v>
      </x:c>
      <x:c r="I78" s="34" t="n">
        <x:v>87.503679</x:v>
      </x:c>
      <x:c r="J78" s="34" t="n">
        <x:v>3.17488</x:v>
      </x:c>
      <x:c r="K78" s="34" t="n">
        <x:v>27.121758</x:v>
      </x:c>
      <x:c r="L78" s="34" t="n">
        <x:v>2.823722</x:v>
      </x:c>
      <x:c r="M78" s="34" t="n">
        <x:v>33.94706</x:v>
      </x:c>
      <x:c r="N78" s="34" t="n">
        <x:v>2.213437</x:v>
      </x:c>
      <x:c r="O78" s="34" t="n">
        <x:v>-6.492159</x:v>
      </x:c>
      <x:c r="P78" s="34" t="n">
        <x:v>2.944597</x:v>
      </x:c>
      <x:c r="Q78" s="34" t="n">
        <x:v>0</x:v>
      </x:c>
      <x:c r="R78" s="34" t="n">
        <x:v>0</x:v>
      </x:c>
      <x:c r="S78" s="34" t="n">
        <x:v>0</x:v>
      </x:c>
      <x:c r="T78" s="34" t="n">
        <x:v>0</x:v>
      </x:c>
    </x:row>
    <x:row r="79">
      <x:c r="A79" s="34" t="str">
        <x:v>KOBE_STEEL_JP</x:v>
      </x:c>
      <x:c r="B79" s="34" t="str">
        <x:v>Kobe Steel</x:v>
      </x:c>
      <x:c r="C79" s="34" t="str">
        <x:v>CAND-9DD8DD0C56A40D</x:v>
      </x:c>
      <x:c r="D79" s="34" t="str">
        <x:v>P3</x:v>
      </x:c>
      <x:c r="E79" s="34" t="str">
        <x:v>PORT-8384667F6B8E</x:v>
      </x:c>
      <x:c r="F79" s="34" t="n">
        <x:v>2</x:v>
      </x:c>
      <x:c r="G79" s="34" t="n">
        <x:v>1</x:v>
      </x:c>
      <x:c r="H79" s="40" t="b">
        <x:v>0</x:v>
      </x:c>
      <x:c r="I79" s="34" t="n">
        <x:v>53.556619</x:v>
      </x:c>
      <x:c r="J79" s="34" t="n">
        <x:v>0.96204</x:v>
      </x:c>
      <x:c r="K79" s="34" t="n">
        <x:v>13.626602</x:v>
      </x:c>
      <x:c r="L79" s="34" t="n">
        <x:v>2.142097</x:v>
      </x:c>
      <x:c r="M79" s="34" t="n">
        <x:v>0</x:v>
      </x:c>
      <x:c r="N79" s="34" t="n">
        <x:v>0</x:v>
      </x:c>
      <x:c r="O79" s="34" t="n">
        <x:v>-41.615653</x:v>
      </x:c>
      <x:c r="P79" s="34" t="n">
        <x:v>0.523757</x:v>
      </x:c>
      <x:c r="Q79" s="34" t="n">
        <x:v>0</x:v>
      </x:c>
      <x:c r="R79" s="34" t="n">
        <x:v>0</x:v>
      </x:c>
      <x:c r="S79" s="34" t="n">
        <x:v>0</x:v>
      </x:c>
      <x:c r="T79" s="34" t="n">
        <x:v>0</x:v>
      </x:c>
    </x:row>
    <x:row r="80">
      <x:c r="A80" s="34" t="str">
        <x:v>KOBE_STEEL_JP</x:v>
      </x:c>
      <x:c r="B80" s="34" t="str">
        <x:v>Kobe Steel</x:v>
      </x:c>
      <x:c r="C80" s="34" t="str">
        <x:v>CAND-B3597FD7767497</x:v>
      </x:c>
      <x:c r="D80" s="34" t="str">
        <x:v>P1</x:v>
      </x:c>
      <x:c r="E80" s="34" t="str">
        <x:v>PORT-9862FC05DA24</x:v>
      </x:c>
      <x:c r="F80" s="34" t="n">
        <x:v>2</x:v>
      </x:c>
      <x:c r="G80" s="34" t="n">
        <x:v>2</x:v>
      </x:c>
      <x:c r="H80" s="40" t="b">
        <x:v>1</x:v>
      </x:c>
      <x:c r="I80" s="34" t="n">
        <x:v>192.953452</x:v>
      </x:c>
      <x:c r="J80" s="34" t="n">
        <x:v>2.375997</x:v>
      </x:c>
      <x:c r="K80" s="34" t="n">
        <x:v>51.935179</x:v>
      </x:c>
      <x:c r="L80" s="34" t="n">
        <x:v>5.502072</x:v>
      </x:c>
      <x:c r="M80" s="34" t="n">
        <x:v>139.396833</x:v>
      </x:c>
      <x:c r="N80" s="34" t="n">
        <x:v>1.561073</x:v>
      </x:c>
      <x:c r="O80" s="34" t="n">
        <x:v>102.513262</x:v>
      </x:c>
      <x:c r="P80" s="34" t="n">
        <x:v>2.005025</x:v>
      </x:c>
      <x:c r="Q80" s="34" t="n">
        <x:v>0</x:v>
      </x:c>
      <x:c r="R80" s="34" t="n">
        <x:v>0</x:v>
      </x:c>
      <x:c r="S80" s="34" t="n">
        <x:v>0</x:v>
      </x:c>
      <x:c r="T80" s="34" t="n">
        <x:v>0</x:v>
      </x:c>
    </x:row>
    <x:row r="81">
      <x:c r="A81" s="34" t="str">
        <x:v>KOBE_STEEL_JP</x:v>
      </x:c>
      <x:c r="B81" s="34" t="str">
        <x:v>Kobe Steel</x:v>
      </x:c>
      <x:c r="C81" s="34" t="str">
        <x:v>CAND-B51B2DE2F2D28C</x:v>
      </x:c>
      <x:c r="D81" s="34" t="str">
        <x:v>P4</x:v>
      </x:c>
      <x:c r="E81" s="34" t="str">
        <x:v>PORT-8A59F01B884D</x:v>
      </x:c>
      <x:c r="F81" s="34" t="n">
        <x:v>2</x:v>
      </x:c>
      <x:c r="G81" s="34" t="n">
        <x:v>1</x:v>
      </x:c>
      <x:c r="H81" s="40" t="b">
        <x:v>0</x:v>
      </x:c>
      <x:c r="I81" s="34" t="n">
        <x:v>139.006399</x:v>
      </x:c>
      <x:c r="J81" s="34" t="n">
        <x:v>1.257699</x:v>
      </x:c>
      <x:c r="K81" s="34" t="n">
        <x:v>19.226574</x:v>
      </x:c>
      <x:c r="L81" s="34" t="n">
        <x:v>2.51278</x:v>
      </x:c>
      <x:c r="M81" s="34" t="n">
        <x:v>85.44978</x:v>
      </x:c>
      <x:c r="N81" s="34" t="n">
        <x:v>0.469165</x:v>
      </x:c>
      <x:c r="O81" s="34" t="n">
        <x:v>43.11423</x:v>
      </x:c>
      <x:c r="P81" s="34" t="n">
        <x:v>0.791866</x:v>
      </x:c>
      <x:c r="Q81" s="34" t="n">
        <x:v>0</x:v>
      </x:c>
      <x:c r="R81" s="34" t="n">
        <x:v>0</x:v>
      </x:c>
      <x:c r="S81" s="34" t="n">
        <x:v>0</x:v>
      </x:c>
      <x:c r="T81" s="34" t="n">
        <x:v>0</x:v>
      </x:c>
    </x:row>
    <x:row r="82">
      <x:c r="A82" s="34" t="str">
        <x:v>KOBE_STEEL_JP</x:v>
      </x:c>
      <x:c r="B82" s="34" t="str">
        <x:v>Kobe Steel</x:v>
      </x:c>
      <x:c r="C82" s="34" t="str">
        <x:v>CAND-B928C0FFDA3842</x:v>
      </x:c>
      <x:c r="D82" s="34" t="str">
        <x:v>P1</x:v>
      </x:c>
      <x:c r="E82" s="34" t="str">
        <x:v>PORT-D7B02E3224C4</x:v>
      </x:c>
      <x:c r="F82" s="34" t="n">
        <x:v>2</x:v>
      </x:c>
      <x:c r="G82" s="34" t="n">
        <x:v>0</x:v>
      </x:c>
      <x:c r="H82" s="40" t="b">
        <x:v>0</x:v>
      </x:c>
      <x:c r="I82" s="34" t="n">
        <x:v>9.862589</x:v>
      </x:c>
      <x:c r="J82" s="34" t="n">
        <x:v>0.052781</x:v>
      </x:c>
      <x:c r="K82" s="34" t="n">
        <x:v>10.175199</x:v>
      </x:c>
      <x:c r="L82" s="34" t="n">
        <x:v>1.437294</x:v>
      </x:c>
      <x:c r="M82" s="34" t="n">
        <x:v>-43.69403</x:v>
      </x:c>
      <x:c r="N82" s="34" t="n">
        <x:v>1.014208</x:v>
      </x:c>
      <x:c r="O82" s="34" t="n">
        <x:v>-86.280438</x:v>
      </x:c>
      <x:c r="P82" s="34" t="n">
        <x:v>0.538821</x:v>
      </x:c>
      <x:c r="Q82" s="34" t="n">
        <x:v>0</x:v>
      </x:c>
      <x:c r="R82" s="34" t="n">
        <x:v>0</x:v>
      </x:c>
      <x:c r="S82" s="34" t="n">
        <x:v>0</x:v>
      </x:c>
      <x:c r="T82" s="34" t="n">
        <x:v>0</x:v>
      </x:c>
    </x:row>
    <x:row r="83">
      <x:c r="A83" s="34" t="str">
        <x:v>KOBE_STEEL_JP</x:v>
      </x:c>
      <x:c r="B83" s="34" t="str">
        <x:v>Kobe Steel</x:v>
      </x:c>
      <x:c r="C83" s="34" t="str">
        <x:v>CAND-C9A7A01CF97824</x:v>
      </x:c>
      <x:c r="D83" s="34" t="str">
        <x:v>P6</x:v>
      </x:c>
      <x:c r="E83" s="34" t="str">
        <x:v>PORT-6AF097B8F6F8</x:v>
      </x:c>
      <x:c r="F83" s="34" t="n">
        <x:v>2</x:v>
      </x:c>
      <x:c r="G83" s="34" t="n">
        <x:v>1</x:v>
      </x:c>
      <x:c r="H83" s="40" t="b">
        <x:v>0</x:v>
      </x:c>
      <x:c r="I83" s="34" t="n">
        <x:v>154.988211</x:v>
      </x:c>
      <x:c r="J83" s="34" t="n">
        <x:v>0.341351</x:v>
      </x:c>
      <x:c r="K83" s="34" t="n">
        <x:v>5.448699</x:v>
      </x:c>
      <x:c r="L83" s="34" t="n">
        <x:v>0.681383</x:v>
      </x:c>
      <x:c r="M83" s="34" t="n">
        <x:v>101.431592</x:v>
      </x:c>
      <x:c r="N83" s="34" t="n">
        <x:v>0.777911</x:v>
      </x:c>
      <x:c r="O83" s="34" t="n">
        <x:v>54.247196</x:v>
      </x:c>
      <x:c r="P83" s="34" t="n">
        <x:v>0.374762</x:v>
      </x:c>
      <x:c r="Q83" s="34" t="n">
        <x:v>0</x:v>
      </x:c>
      <x:c r="R83" s="34" t="n">
        <x:v>0</x:v>
      </x:c>
      <x:c r="S83" s="34" t="n">
        <x:v>0</x:v>
      </x:c>
      <x:c r="T83" s="34" t="n">
        <x:v>0</x:v>
      </x:c>
    </x:row>
    <x:row r="84">
      <x:c r="A84" s="34" t="str">
        <x:v>KOBE_STEEL_JP</x:v>
      </x:c>
      <x:c r="B84" s="34" t="str">
        <x:v>Kobe Steel</x:v>
      </x:c>
      <x:c r="C84" s="34" t="str">
        <x:v>CAND-C9EAFC0F482485</x:v>
      </x:c>
      <x:c r="D84" s="34" t="str">
        <x:v>P2</x:v>
      </x:c>
      <x:c r="E84" s="34" t="str">
        <x:v>PORT-1144EBE63B41</x:v>
      </x:c>
      <x:c r="F84" s="34" t="n">
        <x:v>2</x:v>
      </x:c>
      <x:c r="G84" s="34" t="n">
        <x:v>2</x:v>
      </x:c>
      <x:c r="H84" s="40" t="b">
        <x:v>1</x:v>
      </x:c>
      <x:c r="I84" s="34" t="n">
        <x:v>151.818504</x:v>
      </x:c>
      <x:c r="J84" s="34" t="n">
        <x:v>1.632221</x:v>
      </x:c>
      <x:c r="K84" s="34" t="n">
        <x:v>38.830361</x:v>
      </x:c>
      <x:c r="L84" s="34" t="n">
        <x:v>2.680829</x:v>
      </x:c>
      <x:c r="M84" s="34" t="n">
        <x:v>98.261885</x:v>
      </x:c>
      <x:c r="N84" s="34" t="n">
        <x:v>0.715785</x:v>
      </x:c>
      <x:c r="O84" s="34" t="n">
        <x:v>59.199698</x:v>
      </x:c>
      <x:c r="P84" s="34" t="n">
        <x:v>1.001219</x:v>
      </x:c>
      <x:c r="Q84" s="34" t="n">
        <x:v>0</x:v>
      </x:c>
      <x:c r="R84" s="34" t="n">
        <x:v>0</x:v>
      </x:c>
      <x:c r="S84" s="34" t="n">
        <x:v>0</x:v>
      </x:c>
      <x:c r="T84" s="34" t="n">
        <x:v>0</x:v>
      </x:c>
    </x:row>
    <x:row r="85">
      <x:c r="A85" s="34" t="str">
        <x:v>KOBE_STEEL_JP</x:v>
      </x:c>
      <x:c r="B85" s="34" t="str">
        <x:v>Kobe Steel</x:v>
      </x:c>
      <x:c r="C85" s="34" t="str">
        <x:v>CAND-CE22CF7F8F72DA</x:v>
      </x:c>
      <x:c r="D85" s="34" t="str">
        <x:v>P2</x:v>
      </x:c>
      <x:c r="E85" s="34" t="str">
        <x:v>PORT-9862FC05DA24</x:v>
      </x:c>
      <x:c r="F85" s="34" t="n">
        <x:v>2</x:v>
      </x:c>
      <x:c r="G85" s="34" t="n">
        <x:v>2</x:v>
      </x:c>
      <x:c r="H85" s="40" t="b">
        <x:v>1</x:v>
      </x:c>
      <x:c r="I85" s="34" t="n">
        <x:v>187.568507</x:v>
      </x:c>
      <x:c r="J85" s="34" t="n">
        <x:v>2.034904</x:v>
      </x:c>
      <x:c r="K85" s="34" t="n">
        <x:v>44.315989</x:v>
      </x:c>
      <x:c r="L85" s="34" t="n">
        <x:v>4.554776</x:v>
      </x:c>
      <x:c r="M85" s="34" t="n">
        <x:v>134.011888</x:v>
      </x:c>
      <x:c r="N85" s="34" t="n">
        <x:v>1.241575</x:v>
      </x:c>
      <x:c r="O85" s="34" t="n">
        <x:v>95.871842</x:v>
      </x:c>
      <x:c r="P85" s="34" t="n">
        <x:v>1.610319</x:v>
      </x:c>
      <x:c r="Q85" s="34" t="n">
        <x:v>0</x:v>
      </x:c>
      <x:c r="R85" s="34" t="n">
        <x:v>0</x:v>
      </x:c>
      <x:c r="S85" s="34" t="n">
        <x:v>0</x:v>
      </x:c>
      <x:c r="T85" s="34" t="n">
        <x:v>0</x:v>
      </x:c>
    </x:row>
    <x:row r="86">
      <x:c r="A86" s="34" t="str">
        <x:v>KOBE_STEEL_JP</x:v>
      </x:c>
      <x:c r="B86" s="34" t="str">
        <x:v>Kobe Steel</x:v>
      </x:c>
      <x:c r="C86" s="34" t="str">
        <x:v>CAND-D80CE96AA3B5C1</x:v>
      </x:c>
      <x:c r="D86" s="34" t="str">
        <x:v>P1</x:v>
      </x:c>
      <x:c r="E86" s="34" t="str">
        <x:v>PORT-8384667F6B8E</x:v>
      </x:c>
      <x:c r="F86" s="34" t="n">
        <x:v>2</x:v>
      </x:c>
      <x:c r="G86" s="34" t="n">
        <x:v>1</x:v>
      </x:c>
      <x:c r="H86" s="40" t="b">
        <x:v>0</x:v>
      </x:c>
      <x:c r="I86" s="34" t="n">
        <x:v>56.994798</x:v>
      </x:c>
      <x:c r="J86" s="34" t="n">
        <x:v>1.369991</x:v>
      </x:c>
      <x:c r="K86" s="34" t="n">
        <x:v>20.162987</x:v>
      </x:c>
      <x:c r="L86" s="34" t="n">
        <x:v>3.180177</x:v>
      </x:c>
      <x:c r="M86" s="34" t="n">
        <x:v>3.438179</x:v>
      </x:c>
      <x:c r="N86" s="34" t="n">
        <x:v>0.409805</x:v>
      </x:c>
      <x:c r="O86" s="34" t="n">
        <x:v>-37.509291</x:v>
      </x:c>
      <x:c r="P86" s="34" t="n">
        <x:v>1.028714</x:v>
      </x:c>
      <x:c r="Q86" s="34" t="n">
        <x:v>0</x:v>
      </x:c>
      <x:c r="R86" s="34" t="n">
        <x:v>0</x:v>
      </x:c>
      <x:c r="S86" s="34" t="n">
        <x:v>0</x:v>
      </x:c>
      <x:c r="T86" s="34" t="n">
        <x:v>0</x:v>
      </x:c>
    </x:row>
    <x:row r="87">
      <x:c r="A87" s="34" t="str">
        <x:v>KOBE_STEEL_JP</x:v>
      </x:c>
      <x:c r="B87" s="34" t="str">
        <x:v>Kobe Steel</x:v>
      </x:c>
      <x:c r="C87" s="34" t="str">
        <x:v>CAND-DCD679F188D852</x:v>
      </x:c>
      <x:c r="D87" s="34" t="str">
        <x:v>P1</x:v>
      </x:c>
      <x:c r="E87" s="34" t="str">
        <x:v>PORT-1144EBE63B41</x:v>
      </x:c>
      <x:c r="F87" s="34" t="n">
        <x:v>2</x:v>
      </x:c>
      <x:c r="G87" s="34" t="n">
        <x:v>2</x:v>
      </x:c>
      <x:c r="H87" s="40" t="b">
        <x:v>1</x:v>
      </x:c>
      <x:c r="I87" s="34" t="n">
        <x:v>156.070758</x:v>
      </x:c>
      <x:c r="J87" s="34" t="n">
        <x:v>1.89275</x:v>
      </x:c>
      <x:c r="K87" s="34" t="n">
        <x:v>45.397409</x:v>
      </x:c>
      <x:c r="L87" s="34" t="n">
        <x:v>3.081007</x:v>
      </x:c>
      <x:c r="M87" s="34" t="n">
        <x:v>102.514139</x:v>
      </x:c>
      <x:c r="N87" s="34" t="n">
        <x:v>0.96151</x:v>
      </x:c>
      <x:c r="O87" s="34" t="n">
        <x:v>64.508041</x:v>
      </x:c>
      <x:c r="P87" s="34" t="n">
        <x:v>1.25494</x:v>
      </x:c>
      <x:c r="Q87" s="34" t="n">
        <x:v>0</x:v>
      </x:c>
      <x:c r="R87" s="34" t="n">
        <x:v>0</x:v>
      </x:c>
      <x:c r="S87" s="34" t="n">
        <x:v>0</x:v>
      </x:c>
      <x:c r="T87" s="34" t="n">
        <x:v>0</x:v>
      </x:c>
    </x:row>
    <x:row r="88">
      <x:c r="A88" s="34" t="str">
        <x:v>KOBE_STEEL_JP</x:v>
      </x:c>
      <x:c r="B88" s="34" t="str">
        <x:v>Kobe Steel</x:v>
      </x:c>
      <x:c r="C88" s="34" t="str">
        <x:v>CAND-DDE822F7D41D2E</x:v>
      </x:c>
      <x:c r="D88" s="34" t="str">
        <x:v>P5</x:v>
      </x:c>
      <x:c r="E88" s="34" t="str">
        <x:v>PORT-0095E30DB97C</x:v>
      </x:c>
      <x:c r="F88" s="34" t="n">
        <x:v>2</x:v>
      </x:c>
      <x:c r="G88" s="34" t="n">
        <x:v>1</x:v>
      </x:c>
      <x:c r="H88" s="40" t="b">
        <x:v>0</x:v>
      </x:c>
      <x:c r="I88" s="34" t="n">
        <x:v>164.968139</x:v>
      </x:c>
      <x:c r="J88" s="34" t="n">
        <x:v>0.97442</x:v>
      </x:c>
      <x:c r="K88" s="34" t="n">
        <x:v>13.389486</x:v>
      </x:c>
      <x:c r="L88" s="34" t="n">
        <x:v>0.730866</x:v>
      </x:c>
      <x:c r="M88" s="34" t="n">
        <x:v>111.41152</x:v>
      </x:c>
      <x:c r="N88" s="34" t="n">
        <x:v>1.164253</x:v>
      </x:c>
      <x:c r="O88" s="34" t="n">
        <x:v>66.868457</x:v>
      </x:c>
      <x:c r="P88" s="34" t="n">
        <x:v>0.736757</x:v>
      </x:c>
      <x:c r="Q88" s="34" t="n">
        <x:v>0</x:v>
      </x:c>
      <x:c r="R88" s="34" t="n">
        <x:v>0</x:v>
      </x:c>
      <x:c r="S88" s="34" t="n">
        <x:v>0</x:v>
      </x:c>
      <x:c r="T88" s="34" t="n">
        <x:v>0</x:v>
      </x:c>
    </x:row>
    <x:row r="89">
      <x:c r="A89" s="34" t="str">
        <x:v>KOBE_STEEL_JP</x:v>
      </x:c>
      <x:c r="B89" s="34" t="str">
        <x:v>Kobe Steel</x:v>
      </x:c>
      <x:c r="C89" s="34" t="str">
        <x:v>CAND-E9169FB41B03EE</x:v>
      </x:c>
      <x:c r="D89" s="34" t="str">
        <x:v>P1</x:v>
      </x:c>
      <x:c r="E89" s="34" t="str">
        <x:v>PORT-0CA13428C264</x:v>
      </x:c>
      <x:c r="F89" s="34" t="n">
        <x:v>2</x:v>
      </x:c>
      <x:c r="G89" s="34" t="n">
        <x:v>0</x:v>
      </x:c>
      <x:c r="H89" s="40" t="b">
        <x:v>0</x:v>
      </x:c>
      <x:c r="I89" s="34" t="n">
        <x:v>-2.609721</x:v>
      </x:c>
      <x:c r="J89" s="34" t="n">
        <x:v>0.306275</x:v>
      </x:c>
      <x:c r="K89" s="34" t="n">
        <x:v>6.973366</x:v>
      </x:c>
      <x:c r="L89" s="34" t="n">
        <x:v>0.90865</x:v>
      </x:c>
      <x:c r="M89" s="34" t="n">
        <x:v>-56.16634</x:v>
      </x:c>
      <x:c r="N89" s="34" t="n">
        <x:v>0.658592</x:v>
      </x:c>
      <x:c r="O89" s="34" t="n">
        <x:v>-99.517358</x:v>
      </x:c>
      <x:c r="P89" s="34" t="n">
        <x:v>0.2968</x:v>
      </x:c>
      <x:c r="Q89" s="34" t="n">
        <x:v>0</x:v>
      </x:c>
      <x:c r="R89" s="34" t="n">
        <x:v>0</x:v>
      </x:c>
      <x:c r="S89" s="34" t="n">
        <x:v>0</x:v>
      </x:c>
      <x:c r="T89" s="34" t="n">
        <x:v>0</x:v>
      </x:c>
    </x:row>
    <x:row r="90">
      <x:c r="A90" s="34" t="str">
        <x:v>KOBE_STEEL_JP</x:v>
      </x:c>
      <x:c r="B90" s="34" t="str">
        <x:v>Kobe Steel</x:v>
      </x:c>
      <x:c r="C90" s="34" t="str">
        <x:v>CAND-F3EC79559B1773</x:v>
      </x:c>
      <x:c r="D90" s="34" t="str">
        <x:v>P1</x:v>
      </x:c>
      <x:c r="E90" s="34" t="str">
        <x:v>PORT-B0BA3BE7A418</x:v>
      </x:c>
      <x:c r="F90" s="34" t="n">
        <x:v>2</x:v>
      </x:c>
      <x:c r="G90" s="34" t="n">
        <x:v>0</x:v>
      </x:c>
      <x:c r="H90" s="40" t="b">
        <x:v>0</x:v>
      </x:c>
      <x:c r="I90" s="34" t="n">
        <x:v>-24.150782</x:v>
      </x:c>
      <x:c r="J90" s="34" t="n">
        <x:v>0.129421</x:v>
      </x:c>
      <x:c r="K90" s="34" t="n">
        <x:v>1.969771</x:v>
      </x:c>
      <x:c r="L90" s="34" t="n">
        <x:v>0.553158</x:v>
      </x:c>
      <x:c r="M90" s="34" t="n">
        <x:v>-77.707401</x:v>
      </x:c>
      <x:c r="N90" s="34" t="n">
        <x:v>1.026359</x:v>
      </x:c>
      <x:c r="O90" s="34" t="n">
        <x:v>-121.356459</x:v>
      </x:c>
      <x:c r="P90" s="34" t="n">
        <x:v>0.631721</x:v>
      </x:c>
      <x:c r="Q90" s="34" t="n">
        <x:v>0</x:v>
      </x:c>
      <x:c r="R90" s="34" t="n">
        <x:v>0</x:v>
      </x:c>
      <x:c r="S90" s="34" t="n">
        <x:v>0</x:v>
      </x:c>
      <x:c r="T90" s="34" t="n">
        <x:v>0</x:v>
      </x:c>
    </x:row>
    <x:row r="91">
      <x:c r="A91" s="34" t="str">
        <x:v>NIPPON_STEEL_JP</x:v>
      </x:c>
      <x:c r="B91" s="34" t="str">
        <x:v>Nippon Steel</x:v>
      </x:c>
      <x:c r="C91" s="34" t="str">
        <x:v>CAND-004C84C918F9F0</x:v>
      </x:c>
      <x:c r="D91" s="34" t="str">
        <x:v>P2</x:v>
      </x:c>
      <x:c r="E91" s="34" t="str">
        <x:v>PORT-7DC6DDA55D96</x:v>
      </x:c>
      <x:c r="F91" s="34" t="n">
        <x:v>2</x:v>
      </x:c>
      <x:c r="G91" s="34" t="n">
        <x:v>0</x:v>
      </x:c>
      <x:c r="H91" s="40" t="b">
        <x:v>0</x:v>
      </x:c>
      <x:c r="I91" s="34" t="n">
        <x:v>99.669773</x:v>
      </x:c>
      <x:c r="J91" s="34" t="n">
        <x:v>3.085706</x:v>
      </x:c>
      <x:c r="K91" s="34" t="n">
        <x:v>26.506668</x:v>
      </x:c>
      <x:c r="L91" s="34" t="n">
        <x:v>3.926377</x:v>
      </x:c>
      <x:c r="M91" s="34" t="n">
        <x:v>76.87714</x:v>
      </x:c>
      <x:c r="N91" s="34" t="n">
        <x:v>3.179411</x:v>
      </x:c>
      <x:c r="O91" s="34" t="n">
        <x:v>65.978708</x:v>
      </x:c>
      <x:c r="P91" s="34" t="n">
        <x:v>3.018995</x:v>
      </x:c>
      <x:c r="Q91" s="34" t="n">
        <x:v>0</x:v>
      </x:c>
      <x:c r="R91" s="34" t="n">
        <x:v>0</x:v>
      </x:c>
      <x:c r="S91" s="34" t="n">
        <x:v>0</x:v>
      </x:c>
      <x:c r="T91" s="34" t="n">
        <x:v>0</x:v>
      </x:c>
    </x:row>
    <x:row r="92">
      <x:c r="A92" s="34" t="str">
        <x:v>NIPPON_STEEL_JP</x:v>
      </x:c>
      <x:c r="B92" s="34" t="str">
        <x:v>Nippon Steel</x:v>
      </x:c>
      <x:c r="C92" s="34" t="str">
        <x:v>CAND-005FE12044C08C</x:v>
      </x:c>
      <x:c r="D92" s="34" t="str">
        <x:v>P2</x:v>
      </x:c>
      <x:c r="E92" s="34" t="str">
        <x:v>PORT-91584DA203D9</x:v>
      </x:c>
      <x:c r="F92" s="34" t="n">
        <x:v>2</x:v>
      </x:c>
      <x:c r="G92" s="34" t="n">
        <x:v>0</x:v>
      </x:c>
      <x:c r="H92" s="40" t="b">
        <x:v>0</x:v>
      </x:c>
      <x:c r="I92" s="34" t="n">
        <x:v>99.848373</x:v>
      </x:c>
      <x:c r="J92" s="34" t="n">
        <x:v>0.396201</x:v>
      </x:c>
      <x:c r="K92" s="34" t="n">
        <x:v>27.803177</x:v>
      </x:c>
      <x:c r="L92" s="34" t="n">
        <x:v>3.641477</x:v>
      </x:c>
      <x:c r="M92" s="34" t="n">
        <x:v>77.05574</x:v>
      </x:c>
      <x:c r="N92" s="34" t="n">
        <x:v>0.313333</x:v>
      </x:c>
      <x:c r="O92" s="34" t="n">
        <x:v>66.278081</x:v>
      </x:c>
      <x:c r="P92" s="34" t="n">
        <x:v>0.281799</x:v>
      </x:c>
      <x:c r="Q92" s="34" t="n">
        <x:v>0</x:v>
      </x:c>
      <x:c r="R92" s="34" t="n">
        <x:v>0</x:v>
      </x:c>
      <x:c r="S92" s="34" t="n">
        <x:v>0</x:v>
      </x:c>
      <x:c r="T92" s="34" t="n">
        <x:v>0</x:v>
      </x:c>
    </x:row>
    <x:row r="93">
      <x:c r="A93" s="34" t="str">
        <x:v>NIPPON_STEEL_JP</x:v>
      </x:c>
      <x:c r="B93" s="34" t="str">
        <x:v>Nippon Steel</x:v>
      </x:c>
      <x:c r="C93" s="34" t="str">
        <x:v>CAND-009A19D2863AA5</x:v>
      </x:c>
      <x:c r="D93" s="34" t="str">
        <x:v>P1</x:v>
      </x:c>
      <x:c r="E93" s="34" t="str">
        <x:v>PORT-1411E33E415A</x:v>
      </x:c>
      <x:c r="F93" s="34" t="n">
        <x:v>2</x:v>
      </x:c>
      <x:c r="G93" s="34" t="n">
        <x:v>1</x:v>
      </x:c>
      <x:c r="H93" s="40" t="b">
        <x:v>0</x:v>
      </x:c>
      <x:c r="I93" s="34" t="n">
        <x:v>65.526624</x:v>
      </x:c>
      <x:c r="J93" s="34" t="n">
        <x:v>0.584253</x:v>
      </x:c>
      <x:c r="K93" s="34" t="n">
        <x:v>21.933938</x:v>
      </x:c>
      <x:c r="L93" s="34" t="n">
        <x:v>3.200528</x:v>
      </x:c>
      <x:c r="M93" s="34" t="n">
        <x:v>42.733991</x:v>
      </x:c>
      <x:c r="N93" s="34" t="n">
        <x:v>0.454625</x:v>
      </x:c>
      <x:c r="O93" s="34" t="n">
        <x:v>31.453153</x:v>
      </x:c>
      <x:c r="P93" s="34" t="n">
        <x:v>0.441258</x:v>
      </x:c>
      <x:c r="Q93" s="34" t="n">
        <x:v>0</x:v>
      </x:c>
      <x:c r="R93" s="34" t="n">
        <x:v>0</x:v>
      </x:c>
      <x:c r="S93" s="34" t="n">
        <x:v>0</x:v>
      </x:c>
      <x:c r="T93" s="34" t="n">
        <x:v>0</x:v>
      </x:c>
    </x:row>
    <x:row r="94">
      <x:c r="A94" s="34" t="str">
        <x:v>NIPPON_STEEL_JP</x:v>
      </x:c>
      <x:c r="B94" s="34" t="str">
        <x:v>Nippon Steel</x:v>
      </x:c>
      <x:c r="C94" s="34" t="str">
        <x:v>CAND-0902F4B4859A1C</x:v>
      </x:c>
      <x:c r="D94" s="34" t="str">
        <x:v>P2</x:v>
      </x:c>
      <x:c r="E94" s="34" t="str">
        <x:v>PORT-1411E33E415A</x:v>
      </x:c>
      <x:c r="F94" s="34" t="n">
        <x:v>2</x:v>
      </x:c>
      <x:c r="G94" s="34" t="n">
        <x:v>1</x:v>
      </x:c>
      <x:c r="H94" s="40" t="b">
        <x:v>0</x:v>
      </x:c>
      <x:c r="I94" s="34" t="n">
        <x:v>64.096696</x:v>
      </x:c>
      <x:c r="J94" s="34" t="n">
        <x:v>0.523056</x:v>
      </x:c>
      <x:c r="K94" s="34" t="n">
        <x:v>18.539196</x:v>
      </x:c>
      <x:c r="L94" s="34" t="n">
        <x:v>2.537333</x:v>
      </x:c>
      <x:c r="M94" s="34" t="n">
        <x:v>41.304063</x:v>
      </x:c>
      <x:c r="N94" s="34" t="n">
        <x:v>0.392107</x:v>
      </x:c>
      <x:c r="O94" s="34" t="n">
        <x:v>29.71245</x:v>
      </x:c>
      <x:c r="P94" s="34" t="n">
        <x:v>0.474762</x:v>
      </x:c>
      <x:c r="Q94" s="34" t="n">
        <x:v>0</x:v>
      </x:c>
      <x:c r="R94" s="34" t="n">
        <x:v>0</x:v>
      </x:c>
      <x:c r="S94" s="34" t="n">
        <x:v>0</x:v>
      </x:c>
      <x:c r="T94" s="34" t="n">
        <x:v>0</x:v>
      </x:c>
    </x:row>
    <x:row r="95">
      <x:c r="A95" s="34" t="str">
        <x:v>NIPPON_STEEL_JP</x:v>
      </x:c>
      <x:c r="B95" s="34" t="str">
        <x:v>Nippon Steel</x:v>
      </x:c>
      <x:c r="C95" s="34" t="str">
        <x:v>CAND-0B64D3C56ED2FD</x:v>
      </x:c>
      <x:c r="D95" s="34" t="str">
        <x:v>P1</x:v>
      </x:c>
      <x:c r="E95" s="34" t="str">
        <x:v>PORT-93BA44A86FDE</x:v>
      </x:c>
      <x:c r="F95" s="34" t="n">
        <x:v>2</x:v>
      </x:c>
      <x:c r="G95" s="34" t="n">
        <x:v>2</x:v>
      </x:c>
      <x:c r="H95" s="40" t="b">
        <x:v>1</x:v>
      </x:c>
      <x:c r="I95" s="34" t="n">
        <x:v>131.129747</x:v>
      </x:c>
      <x:c r="J95" s="34" t="n">
        <x:v>0.326863</x:v>
      </x:c>
      <x:c r="K95" s="34" t="n">
        <x:v>38.995356</x:v>
      </x:c>
      <x:c r="L95" s="34" t="n">
        <x:v>5.37826</x:v>
      </x:c>
      <x:c r="M95" s="34" t="n">
        <x:v>108.337114</x:v>
      </x:c>
      <x:c r="N95" s="34" t="n">
        <x:v>0.404905</x:v>
      </x:c>
      <x:c r="O95" s="34" t="n">
        <x:v>99.457555</x:v>
      </x:c>
      <x:c r="P95" s="34" t="n">
        <x:v>0.420862</x:v>
      </x:c>
      <x:c r="Q95" s="34" t="n">
        <x:v>0</x:v>
      </x:c>
      <x:c r="R95" s="34" t="n">
        <x:v>0</x:v>
      </x:c>
      <x:c r="S95" s="34" t="n">
        <x:v>0</x:v>
      </x:c>
      <x:c r="T95" s="34" t="n">
        <x:v>0</x:v>
      </x:c>
    </x:row>
    <x:row r="96">
      <x:c r="A96" s="34" t="str">
        <x:v>NIPPON_STEEL_JP</x:v>
      </x:c>
      <x:c r="B96" s="34" t="str">
        <x:v>Nippon Steel</x:v>
      </x:c>
      <x:c r="C96" s="34" t="str">
        <x:v>CAND-0CCB31C64DEB2F</x:v>
      </x:c>
      <x:c r="D96" s="34" t="str">
        <x:v>P1</x:v>
      </x:c>
      <x:c r="E96" s="34" t="str">
        <x:v>PORT-4025A7B6BA3A</x:v>
      </x:c>
      <x:c r="F96" s="34" t="n">
        <x:v>2</x:v>
      </x:c>
      <x:c r="G96" s="34" t="n">
        <x:v>1</x:v>
      </x:c>
      <x:c r="H96" s="40" t="b">
        <x:v>0</x:v>
      </x:c>
      <x:c r="I96" s="34" t="n">
        <x:v>71.41289</x:v>
      </x:c>
      <x:c r="J96" s="34" t="n">
        <x:v>0.832257</x:v>
      </x:c>
      <x:c r="K96" s="34" t="n">
        <x:v>23.30133</x:v>
      </x:c>
      <x:c r="L96" s="34" t="n">
        <x:v>3.557895</x:v>
      </x:c>
      <x:c r="M96" s="34" t="n">
        <x:v>48.620257</x:v>
      </x:c>
      <x:c r="N96" s="34" t="n">
        <x:v>0.737509</x:v>
      </x:c>
      <x:c r="O96" s="34" t="n">
        <x:v>37.513498</x:v>
      </x:c>
      <x:c r="P96" s="34" t="n">
        <x:v>1.052482</x:v>
      </x:c>
      <x:c r="Q96" s="34" t="n">
        <x:v>0</x:v>
      </x:c>
      <x:c r="R96" s="34" t="n">
        <x:v>0</x:v>
      </x:c>
      <x:c r="S96" s="34" t="n">
        <x:v>0</x:v>
      </x:c>
      <x:c r="T96" s="34" t="n">
        <x:v>0</x:v>
      </x:c>
    </x:row>
    <x:row r="97">
      <x:c r="A97" s="34" t="str">
        <x:v>NIPPON_STEEL_JP</x:v>
      </x:c>
      <x:c r="B97" s="34" t="str">
        <x:v>Nippon Steel</x:v>
      </x:c>
      <x:c r="C97" s="34" t="str">
        <x:v>CAND-0E307C2CAB5D7A</x:v>
      </x:c>
      <x:c r="D97" s="34" t="str">
        <x:v>P2</x:v>
      </x:c>
      <x:c r="E97" s="34" t="str">
        <x:v>PORT-792EEE640306</x:v>
      </x:c>
      <x:c r="F97" s="34" t="n">
        <x:v>2</x:v>
      </x:c>
      <x:c r="G97" s="34" t="n">
        <x:v>1</x:v>
      </x:c>
      <x:c r="H97" s="40" t="b">
        <x:v>0</x:v>
      </x:c>
      <x:c r="I97" s="34" t="n">
        <x:v>75.576958</x:v>
      </x:c>
      <x:c r="J97" s="34" t="n">
        <x:v>0.522821</x:v>
      </x:c>
      <x:c r="K97" s="34" t="n">
        <x:v>20.778351</x:v>
      </x:c>
      <x:c r="L97" s="34" t="n">
        <x:v>2.948417</x:v>
      </x:c>
      <x:c r="M97" s="34" t="n">
        <x:v>52.784325</x:v>
      </x:c>
      <x:c r="N97" s="34" t="n">
        <x:v>0.397119</x:v>
      </x:c>
      <x:c r="O97" s="34" t="n">
        <x:v>41.550271</x:v>
      </x:c>
      <x:c r="P97" s="34" t="n">
        <x:v>0.540704</x:v>
      </x:c>
      <x:c r="Q97" s="34" t="n">
        <x:v>0</x:v>
      </x:c>
      <x:c r="R97" s="34" t="n">
        <x:v>0</x:v>
      </x:c>
      <x:c r="S97" s="34" t="n">
        <x:v>0</x:v>
      </x:c>
      <x:c r="T97" s="34" t="n">
        <x:v>0</x:v>
      </x:c>
    </x:row>
    <x:row r="98">
      <x:c r="A98" s="34" t="str">
        <x:v>NIPPON_STEEL_JP</x:v>
      </x:c>
      <x:c r="B98" s="34" t="str">
        <x:v>Nippon Steel</x:v>
      </x:c>
      <x:c r="C98" s="34" t="str">
        <x:v>CAND-185224D49A1B91</x:v>
      </x:c>
      <x:c r="D98" s="34" t="str">
        <x:v>P1</x:v>
      </x:c>
      <x:c r="E98" s="34" t="str">
        <x:v>PORT-3391EE4132D6</x:v>
      </x:c>
      <x:c r="F98" s="34" t="n">
        <x:v>2</x:v>
      </x:c>
      <x:c r="G98" s="34" t="n">
        <x:v>1</x:v>
      </x:c>
      <x:c r="H98" s="40" t="b">
        <x:v>0</x:v>
      </x:c>
      <x:c r="I98" s="34" t="n">
        <x:v>86.433429</x:v>
      </x:c>
      <x:c r="J98" s="34" t="n">
        <x:v>0.867918</x:v>
      </x:c>
      <x:c r="K98" s="34" t="n">
        <x:v>25.473705</x:v>
      </x:c>
      <x:c r="L98" s="34" t="n">
        <x:v>2.549809</x:v>
      </x:c>
      <x:c r="M98" s="34" t="n">
        <x:v>63.640796</x:v>
      </x:c>
      <x:c r="N98" s="34" t="n">
        <x:v>0.744191</x:v>
      </x:c>
      <x:c r="O98" s="34" t="n">
        <x:v>53.155352</x:v>
      </x:c>
      <x:c r="P98" s="34" t="n">
        <x:v>1.026054</x:v>
      </x:c>
      <x:c r="Q98" s="34" t="n">
        <x:v>0</x:v>
      </x:c>
      <x:c r="R98" s="34" t="n">
        <x:v>0</x:v>
      </x:c>
      <x:c r="S98" s="34" t="n">
        <x:v>0</x:v>
      </x:c>
      <x:c r="T98" s="34" t="n">
        <x:v>0</x:v>
      </x:c>
    </x:row>
    <x:row r="99">
      <x:c r="A99" s="34" t="str">
        <x:v>NIPPON_STEEL_JP</x:v>
      </x:c>
      <x:c r="B99" s="34" t="str">
        <x:v>Nippon Steel</x:v>
      </x:c>
      <x:c r="C99" s="34" t="str">
        <x:v>CAND-18F73BD54A9F34</x:v>
      </x:c>
      <x:c r="D99" s="34" t="str">
        <x:v>P1</x:v>
      </x:c>
      <x:c r="E99" s="34" t="str">
        <x:v>PORT-6742936593A9</x:v>
      </x:c>
      <x:c r="F99" s="34" t="n">
        <x:v>2</x:v>
      </x:c>
      <x:c r="G99" s="34" t="n">
        <x:v>2</x:v>
      </x:c>
      <x:c r="H99" s="40" t="b">
        <x:v>1</x:v>
      </x:c>
      <x:c r="I99" s="34" t="n">
        <x:v>86.971336</x:v>
      </x:c>
      <x:c r="J99" s="34" t="n">
        <x:v>0.938995</x:v>
      </x:c>
      <x:c r="K99" s="34" t="n">
        <x:v>27.494276</x:v>
      </x:c>
      <x:c r="L99" s="34" t="n">
        <x:v>3.738901</x:v>
      </x:c>
      <x:c r="M99" s="34" t="n">
        <x:v>64.178704</x:v>
      </x:c>
      <x:c r="N99" s="34" t="n">
        <x:v>1.049595</x:v>
      </x:c>
      <x:c r="O99" s="34" t="n">
        <x:v>53.691759</x:v>
      </x:c>
      <x:c r="P99" s="34" t="n">
        <x:v>1.07318</x:v>
      </x:c>
      <x:c r="Q99" s="34" t="n">
        <x:v>0</x:v>
      </x:c>
      <x:c r="R99" s="34" t="n">
        <x:v>0</x:v>
      </x:c>
      <x:c r="S99" s="34" t="n">
        <x:v>0</x:v>
      </x:c>
      <x:c r="T99" s="34" t="n">
        <x:v>0</x:v>
      </x:c>
    </x:row>
    <x:row r="100">
      <x:c r="A100" s="34" t="str">
        <x:v>NIPPON_STEEL_JP</x:v>
      </x:c>
      <x:c r="B100" s="34" t="str">
        <x:v>Nippon Steel</x:v>
      </x:c>
      <x:c r="C100" s="34" t="str">
        <x:v>CAND-1D35A6D7D808A4</x:v>
      </x:c>
      <x:c r="D100" s="34" t="str">
        <x:v>P1</x:v>
      </x:c>
      <x:c r="E100" s="34" t="str">
        <x:v>PORT-5DE4D9A04480</x:v>
      </x:c>
      <x:c r="F100" s="34" t="n">
        <x:v>2</x:v>
      </x:c>
      <x:c r="G100" s="34" t="n">
        <x:v>2</x:v>
      </x:c>
      <x:c r="H100" s="40" t="b">
        <x:v>1</x:v>
      </x:c>
      <x:c r="I100" s="34" t="n">
        <x:v>110.553458</x:v>
      </x:c>
      <x:c r="J100" s="34" t="n">
        <x:v>0.435265</x:v>
      </x:c>
      <x:c r="K100" s="34" t="n">
        <x:v>33.231947</x:v>
      </x:c>
      <x:c r="L100" s="34" t="n">
        <x:v>5.762284</x:v>
      </x:c>
      <x:c r="M100" s="34" t="n">
        <x:v>87.760825</x:v>
      </x:c>
      <x:c r="N100" s="34" t="n">
        <x:v>0.348155</x:v>
      </x:c>
      <x:c r="O100" s="34" t="n">
        <x:v>78.21904</x:v>
      </x:c>
      <x:c r="P100" s="34" t="n">
        <x:v>0.899462</x:v>
      </x:c>
      <x:c r="Q100" s="34" t="n">
        <x:v>0</x:v>
      </x:c>
      <x:c r="R100" s="34" t="n">
        <x:v>0</x:v>
      </x:c>
      <x:c r="S100" s="34" t="n">
        <x:v>0</x:v>
      </x:c>
      <x:c r="T100" s="34" t="n">
        <x:v>0</x:v>
      </x:c>
    </x:row>
    <x:row r="101">
      <x:c r="A101" s="34" t="str">
        <x:v>NIPPON_STEEL_JP</x:v>
      </x:c>
      <x:c r="B101" s="34" t="str">
        <x:v>Nippon Steel</x:v>
      </x:c>
      <x:c r="C101" s="34" t="str">
        <x:v>CAND-1F99EBB5AE8665</x:v>
      </x:c>
      <x:c r="D101" s="34" t="str">
        <x:v>P3</x:v>
      </x:c>
      <x:c r="E101" s="34" t="str">
        <x:v>PORT-05EE518306D9</x:v>
      </x:c>
      <x:c r="F101" s="34" t="n">
        <x:v>2</x:v>
      </x:c>
      <x:c r="G101" s="34" t="n">
        <x:v>2</x:v>
      </x:c>
      <x:c r="H101" s="40" t="b">
        <x:v>1</x:v>
      </x:c>
      <x:c r="I101" s="34" t="n">
        <x:v>101.201034</x:v>
      </x:c>
      <x:c r="J101" s="34" t="n">
        <x:v>0.618443</x:v>
      </x:c>
      <x:c r="K101" s="34" t="n">
        <x:v>19.99223</x:v>
      </x:c>
      <x:c r="L101" s="34" t="n">
        <x:v>1.944611</x:v>
      </x:c>
      <x:c r="M101" s="34" t="n">
        <x:v>78.408401</x:v>
      </x:c>
      <x:c r="N101" s="34" t="n">
        <x:v>0.608774</x:v>
      </x:c>
      <x:c r="O101" s="34" t="n">
        <x:v>67.129787</x:v>
      </x:c>
      <x:c r="P101" s="34" t="n">
        <x:v>0.258285</x:v>
      </x:c>
      <x:c r="Q101" s="34" t="n">
        <x:v>0</x:v>
      </x:c>
      <x:c r="R101" s="34" t="n">
        <x:v>0</x:v>
      </x:c>
      <x:c r="S101" s="34" t="n">
        <x:v>0</x:v>
      </x:c>
      <x:c r="T101" s="34" t="n">
        <x:v>0</x:v>
      </x:c>
    </x:row>
    <x:row r="102">
      <x:c r="A102" s="34" t="str">
        <x:v>NIPPON_STEEL_JP</x:v>
      </x:c>
      <x:c r="B102" s="34" t="str">
        <x:v>Nippon Steel</x:v>
      </x:c>
      <x:c r="C102" s="34" t="str">
        <x:v>CAND-1FF01FDB28F13A</x:v>
      </x:c>
      <x:c r="D102" s="34" t="str">
        <x:v>P4</x:v>
      </x:c>
      <x:c r="E102" s="34" t="str">
        <x:v>PORT-D74D023C0D05</x:v>
      </x:c>
      <x:c r="F102" s="34" t="n">
        <x:v>2</x:v>
      </x:c>
      <x:c r="G102" s="34" t="n">
        <x:v>1</x:v>
      </x:c>
      <x:c r="H102" s="40" t="b">
        <x:v>0</x:v>
      </x:c>
      <x:c r="I102" s="34" t="n">
        <x:v>95.94557</x:v>
      </x:c>
      <x:c r="J102" s="34" t="n">
        <x:v>0.854384</x:v>
      </x:c>
      <x:c r="K102" s="34" t="n">
        <x:v>14.516822</x:v>
      </x:c>
      <x:c r="L102" s="34" t="n">
        <x:v>1.980835</x:v>
      </x:c>
      <x:c r="M102" s="34" t="n">
        <x:v>73.152937</x:v>
      </x:c>
      <x:c r="N102" s="34" t="n">
        <x:v>0.945688</x:v>
      </x:c>
      <x:c r="O102" s="34" t="n">
        <x:v>61.16747</x:v>
      </x:c>
      <x:c r="P102" s="34" t="n">
        <x:v>0.693289</x:v>
      </x:c>
      <x:c r="Q102" s="34" t="n">
        <x:v>0</x:v>
      </x:c>
      <x:c r="R102" s="34" t="n">
        <x:v>0</x:v>
      </x:c>
      <x:c r="S102" s="34" t="n">
        <x:v>0</x:v>
      </x:c>
      <x:c r="T102" s="34" t="n">
        <x:v>0</x:v>
      </x:c>
    </x:row>
    <x:row r="103">
      <x:c r="A103" s="34" t="str">
        <x:v>NIPPON_STEEL_JP</x:v>
      </x:c>
      <x:c r="B103" s="34" t="str">
        <x:v>Nippon Steel</x:v>
      </x:c>
      <x:c r="C103" s="34" t="str">
        <x:v>CAND-23459FF23C9DCD</x:v>
      </x:c>
      <x:c r="D103" s="34" t="str">
        <x:v>P1</x:v>
      </x:c>
      <x:c r="E103" s="34" t="str">
        <x:v>PORT-032FE0BDCFB5</x:v>
      </x:c>
      <x:c r="F103" s="34" t="n">
        <x:v>2</x:v>
      </x:c>
      <x:c r="G103" s="34" t="n">
        <x:v>1</x:v>
      </x:c>
      <x:c r="H103" s="40" t="b">
        <x:v>0</x:v>
      </x:c>
      <x:c r="I103" s="34" t="n">
        <x:v>44.100142</x:v>
      </x:c>
      <x:c r="J103" s="34" t="n">
        <x:v>0.162461</x:v>
      </x:c>
      <x:c r="K103" s="34" t="n">
        <x:v>15.210231</x:v>
      </x:c>
      <x:c r="L103" s="34" t="n">
        <x:v>1.676402</x:v>
      </x:c>
      <x:c r="M103" s="34" t="n">
        <x:v>21.307509</x:v>
      </x:c>
      <x:c r="N103" s="34" t="n">
        <x:v>0.265939</x:v>
      </x:c>
      <x:c r="O103" s="34" t="n">
        <x:v>9.246642</x:v>
      </x:c>
      <x:c r="P103" s="34" t="n">
        <x:v>0.324876</x:v>
      </x:c>
      <x:c r="Q103" s="34" t="n">
        <x:v>0</x:v>
      </x:c>
      <x:c r="R103" s="34" t="n">
        <x:v>0</x:v>
      </x:c>
      <x:c r="S103" s="34" t="n">
        <x:v>0</x:v>
      </x:c>
      <x:c r="T103" s="34" t="n">
        <x:v>0</x:v>
      </x:c>
    </x:row>
    <x:row r="104">
      <x:c r="A104" s="34" t="str">
        <x:v>NIPPON_STEEL_JP</x:v>
      </x:c>
      <x:c r="B104" s="34" t="str">
        <x:v>Nippon Steel</x:v>
      </x:c>
      <x:c r="C104" s="34" t="str">
        <x:v>CAND-2E3E235F5F3F44</x:v>
      </x:c>
      <x:c r="D104" s="34" t="str">
        <x:v>P2</x:v>
      </x:c>
      <x:c r="E104" s="34" t="str">
        <x:v>PORT-0ACD636A8AEE</x:v>
      </x:c>
      <x:c r="F104" s="34" t="n">
        <x:v>2</x:v>
      </x:c>
      <x:c r="G104" s="34" t="n">
        <x:v>1</x:v>
      </x:c>
      <x:c r="H104" s="40" t="b">
        <x:v>0</x:v>
      </x:c>
      <x:c r="I104" s="34" t="n">
        <x:v>60.534061</x:v>
      </x:c>
      <x:c r="J104" s="34" t="n">
        <x:v>0.944893</x:v>
      </x:c>
      <x:c r="K104" s="34" t="n">
        <x:v>17.627606</x:v>
      </x:c>
      <x:c r="L104" s="34" t="n">
        <x:v>1.592789</x:v>
      </x:c>
      <x:c r="M104" s="34" t="n">
        <x:v>37.741428</x:v>
      </x:c>
      <x:c r="N104" s="34" t="n">
        <x:v>1.022605</x:v>
      </x:c>
      <x:c r="O104" s="34" t="n">
        <x:v>26.118475</x:v>
      </x:c>
      <x:c r="P104" s="34" t="n">
        <x:v>0.766353</x:v>
      </x:c>
      <x:c r="Q104" s="34" t="n">
        <x:v>0</x:v>
      </x:c>
      <x:c r="R104" s="34" t="n">
        <x:v>0</x:v>
      </x:c>
      <x:c r="S104" s="34" t="n">
        <x:v>0</x:v>
      </x:c>
      <x:c r="T104" s="34" t="n">
        <x:v>0</x:v>
      </x:c>
    </x:row>
    <x:row r="105">
      <x:c r="A105" s="34" t="str">
        <x:v>NIPPON_STEEL_JP</x:v>
      </x:c>
      <x:c r="B105" s="34" t="str">
        <x:v>Nippon Steel</x:v>
      </x:c>
      <x:c r="C105" s="34" t="str">
        <x:v>CAND-32B1C4DEC95227</x:v>
      </x:c>
      <x:c r="D105" s="34" t="str">
        <x:v>P3</x:v>
      </x:c>
      <x:c r="E105" s="34" t="str">
        <x:v>PORT-0ACD636A8AEE</x:v>
      </x:c>
      <x:c r="F105" s="34" t="n">
        <x:v>2</x:v>
      </x:c>
      <x:c r="G105" s="34" t="n">
        <x:v>1</x:v>
      </x:c>
      <x:c r="H105" s="40" t="b">
        <x:v>0</x:v>
      </x:c>
      <x:c r="I105" s="34" t="n">
        <x:v>58.676159</x:v>
      </x:c>
      <x:c r="J105" s="34" t="n">
        <x:v>0.736033</x:v>
      </x:c>
      <x:c r="K105" s="34" t="n">
        <x:v>13.977432</x:v>
      </x:c>
      <x:c r="L105" s="34" t="n">
        <x:v>1.244386</x:v>
      </x:c>
      <x:c r="M105" s="34" t="n">
        <x:v>35.883527</x:v>
      </x:c>
      <x:c r="N105" s="34" t="n">
        <x:v>0.811553</x:v>
      </x:c>
      <x:c r="O105" s="34" t="n">
        <x:v>23.874053</x:v>
      </x:c>
      <x:c r="P105" s="34" t="n">
        <x:v>0.549908</x:v>
      </x:c>
      <x:c r="Q105" s="34" t="n">
        <x:v>0</x:v>
      </x:c>
      <x:c r="R105" s="34" t="n">
        <x:v>0</x:v>
      </x:c>
      <x:c r="S105" s="34" t="n">
        <x:v>0</x:v>
      </x:c>
      <x:c r="T105" s="34" t="n">
        <x:v>0</x:v>
      </x:c>
    </x:row>
    <x:row r="106">
      <x:c r="A106" s="34" t="str">
        <x:v>NIPPON_STEEL_JP</x:v>
      </x:c>
      <x:c r="B106" s="34" t="str">
        <x:v>Nippon Steel</x:v>
      </x:c>
      <x:c r="C106" s="34" t="str">
        <x:v>CAND-33480771F67BD6</x:v>
      </x:c>
      <x:c r="D106" s="34" t="str">
        <x:v>P2</x:v>
      </x:c>
      <x:c r="E106" s="34" t="str">
        <x:v>PORT-5DE4D9A04480</x:v>
      </x:c>
      <x:c r="F106" s="34" t="n">
        <x:v>2</x:v>
      </x:c>
      <x:c r="G106" s="34" t="n">
        <x:v>2</x:v>
      </x:c>
      <x:c r="H106" s="40" t="b">
        <x:v>1</x:v>
      </x:c>
      <x:c r="I106" s="34" t="n">
        <x:v>107.704028</x:v>
      </x:c>
      <x:c r="J106" s="34" t="n">
        <x:v>0.363298</x:v>
      </x:c>
      <x:c r="K106" s="34" t="n">
        <x:v>28.42341</x:v>
      </x:c>
      <x:c r="L106" s="34" t="n">
        <x:v>4.871577</x:v>
      </x:c>
      <x:c r="M106" s="34" t="n">
        <x:v>84.911396</x:v>
      </x:c>
      <x:c r="N106" s="34" t="n">
        <x:v>0.258451</x:v>
      </x:c>
      <x:c r="O106" s="34" t="n">
        <x:v>74.709454</x:v>
      </x:c>
      <x:c r="P106" s="34" t="n">
        <x:v>0.794705</x:v>
      </x:c>
      <x:c r="Q106" s="34" t="n">
        <x:v>0</x:v>
      </x:c>
      <x:c r="R106" s="34" t="n">
        <x:v>0</x:v>
      </x:c>
      <x:c r="S106" s="34" t="n">
        <x:v>0</x:v>
      </x:c>
      <x:c r="T106" s="34" t="n">
        <x:v>0</x:v>
      </x:c>
    </x:row>
    <x:row r="107">
      <x:c r="A107" s="34" t="str">
        <x:v>NIPPON_STEEL_JP</x:v>
      </x:c>
      <x:c r="B107" s="34" t="str">
        <x:v>Nippon Steel</x:v>
      </x:c>
      <x:c r="C107" s="34" t="str">
        <x:v>CAND-3DE8D6197F9834</x:v>
      </x:c>
      <x:c r="D107" s="34" t="str">
        <x:v>P3</x:v>
      </x:c>
      <x:c r="E107" s="34" t="str">
        <x:v>PORT-7F141003EFD9</x:v>
      </x:c>
      <x:c r="F107" s="34" t="n">
        <x:v>2</x:v>
      </x:c>
      <x:c r="G107" s="34" t="n">
        <x:v>2</x:v>
      </x:c>
      <x:c r="H107" s="40" t="b">
        <x:v>1</x:v>
      </x:c>
      <x:c r="I107" s="34" t="n">
        <x:v>116.87874</x:v>
      </x:c>
      <x:c r="J107" s="34" t="n">
        <x:v>0.46492</x:v>
      </x:c>
      <x:c r="K107" s="34" t="n">
        <x:v>23.484185</x:v>
      </x:c>
      <x:c r="L107" s="34" t="n">
        <x:v>4.414549</x:v>
      </x:c>
      <x:c r="M107" s="34" t="n">
        <x:v>94.086108</x:v>
      </x:c>
      <x:c r="N107" s="34" t="n">
        <x:v>0.363262</x:v>
      </x:c>
      <x:c r="O107" s="34" t="n">
        <x:v>83.110852</x:v>
      </x:c>
      <x:c r="P107" s="34" t="n">
        <x:v>0.795214</x:v>
      </x:c>
      <x:c r="Q107" s="34" t="n">
        <x:v>0</x:v>
      </x:c>
      <x:c r="R107" s="34" t="n">
        <x:v>0</x:v>
      </x:c>
      <x:c r="S107" s="34" t="n">
        <x:v>0</x:v>
      </x:c>
      <x:c r="T107" s="34" t="n">
        <x:v>0</x:v>
      </x:c>
    </x:row>
    <x:row r="108">
      <x:c r="A108" s="34" t="str">
        <x:v>NIPPON_STEEL_JP</x:v>
      </x:c>
      <x:c r="B108" s="34" t="str">
        <x:v>Nippon Steel</x:v>
      </x:c>
      <x:c r="C108" s="34" t="str">
        <x:v>CAND-43ED54F71B5B31</x:v>
      </x:c>
      <x:c r="D108" s="34" t="str">
        <x:v>P2</x:v>
      </x:c>
      <x:c r="E108" s="34" t="str">
        <x:v>PORT-00A7244DC13E</x:v>
      </x:c>
      <x:c r="F108" s="34" t="n">
        <x:v>2</x:v>
      </x:c>
      <x:c r="G108" s="34" t="n">
        <x:v>1</x:v>
      </x:c>
      <x:c r="H108" s="40" t="b">
        <x:v>0</x:v>
      </x:c>
      <x:c r="I108" s="34" t="n">
        <x:v>73.049665</x:v>
      </x:c>
      <x:c r="J108" s="34" t="n">
        <x:v>0.374516</x:v>
      </x:c>
      <x:c r="K108" s="34" t="n">
        <x:v>19.875952</x:v>
      </x:c>
      <x:c r="L108" s="34" t="n">
        <x:v>2.738963</x:v>
      </x:c>
      <x:c r="M108" s="34" t="n">
        <x:v>50.257033</x:v>
      </x:c>
      <x:c r="N108" s="34" t="n">
        <x:v>0.273004</x:v>
      </x:c>
      <x:c r="O108" s="34" t="n">
        <x:v>38.820986</x:v>
      </x:c>
      <x:c r="P108" s="34" t="n">
        <x:v>0.075788</x:v>
      </x:c>
      <x:c r="Q108" s="34" t="n">
        <x:v>0</x:v>
      </x:c>
      <x:c r="R108" s="34" t="n">
        <x:v>0</x:v>
      </x:c>
      <x:c r="S108" s="34" t="n">
        <x:v>0</x:v>
      </x:c>
      <x:c r="T108" s="34" t="n">
        <x:v>0</x:v>
      </x:c>
    </x:row>
    <x:row r="109">
      <x:c r="A109" s="34" t="str">
        <x:v>NIPPON_STEEL_JP</x:v>
      </x:c>
      <x:c r="B109" s="34" t="str">
        <x:v>Nippon Steel</x:v>
      </x:c>
      <x:c r="C109" s="34" t="str">
        <x:v>CAND-450CB289C8C9D2</x:v>
      </x:c>
      <x:c r="D109" s="34" t="str">
        <x:v>P1</x:v>
      </x:c>
      <x:c r="E109" s="34" t="str">
        <x:v>PORT-00A7244DC13E</x:v>
      </x:c>
      <x:c r="F109" s="34" t="n">
        <x:v>2</x:v>
      </x:c>
      <x:c r="G109" s="34" t="n">
        <x:v>1</x:v>
      </x:c>
      <x:c r="H109" s="40" t="b">
        <x:v>0</x:v>
      </x:c>
      <x:c r="I109" s="34" t="n">
        <x:v>74.834733</x:v>
      </x:c>
      <x:c r="J109" s="34" t="n">
        <x:v>0.40211</x:v>
      </x:c>
      <x:c r="K109" s="34" t="n">
        <x:v>23.511457</x:v>
      </x:c>
      <x:c r="L109" s="34" t="n">
        <x:v>3.505838</x:v>
      </x:c>
      <x:c r="M109" s="34" t="n">
        <x:v>52.042101</x:v>
      </x:c>
      <x:c r="N109" s="34" t="n">
        <x:v>0.312754</x:v>
      </x:c>
      <x:c r="O109" s="34" t="n">
        <x:v>40.954366</x:v>
      </x:c>
      <x:c r="P109" s="34" t="n">
        <x:v>0.071565</x:v>
      </x:c>
      <x:c r="Q109" s="34" t="n">
        <x:v>0</x:v>
      </x:c>
      <x:c r="R109" s="34" t="n">
        <x:v>0</x:v>
      </x:c>
      <x:c r="S109" s="34" t="n">
        <x:v>0</x:v>
      </x:c>
      <x:c r="T109" s="34" t="n">
        <x:v>0</x:v>
      </x:c>
    </x:row>
    <x:row r="110">
      <x:c r="A110" s="34" t="str">
        <x:v>NIPPON_STEEL_JP</x:v>
      </x:c>
      <x:c r="B110" s="34" t="str">
        <x:v>Nippon Steel</x:v>
      </x:c>
      <x:c r="C110" s="34" t="str">
        <x:v>CAND-45605758418B60</x:v>
      </x:c>
      <x:c r="D110" s="34" t="str">
        <x:v>P2</x:v>
      </x:c>
      <x:c r="E110" s="34" t="str">
        <x:v>PORT-3391EE4132D6</x:v>
      </x:c>
      <x:c r="F110" s="34" t="n">
        <x:v>2</x:v>
      </x:c>
      <x:c r="G110" s="34" t="n">
        <x:v>1</x:v>
      </x:c>
      <x:c r="H110" s="40" t="b">
        <x:v>0</x:v>
      </x:c>
      <x:c r="I110" s="34" t="n">
        <x:v>84.302557</x:v>
      </x:c>
      <x:c r="J110" s="34" t="n">
        <x:v>0.759297</x:v>
      </x:c>
      <x:c r="K110" s="34" t="n">
        <x:v>21.641942</x:v>
      </x:c>
      <x:c r="L110" s="34" t="n">
        <x:v>2.02797</x:v>
      </x:c>
      <x:c r="M110" s="34" t="n">
        <x:v>61.509924</x:v>
      </x:c>
      <x:c r="N110" s="34" t="n">
        <x:v>0.633975</x:v>
      </x:c>
      <x:c r="O110" s="34" t="n">
        <x:v>50.531175</x:v>
      </x:c>
      <x:c r="P110" s="34" t="n">
        <x:v>0.918128</x:v>
      </x:c>
      <x:c r="Q110" s="34" t="n">
        <x:v>0</x:v>
      </x:c>
      <x:c r="R110" s="34" t="n">
        <x:v>0</x:v>
      </x:c>
      <x:c r="S110" s="34" t="n">
        <x:v>0</x:v>
      </x:c>
      <x:c r="T110" s="34" t="n">
        <x:v>0</x:v>
      </x:c>
    </x:row>
    <x:row r="111">
      <x:c r="A111" s="34" t="str">
        <x:v>NIPPON_STEEL_JP</x:v>
      </x:c>
      <x:c r="B111" s="34" t="str">
        <x:v>Nippon Steel</x:v>
      </x:c>
      <x:c r="C111" s="34" t="str">
        <x:v>CAND-478F19D65CB3E6</x:v>
      </x:c>
      <x:c r="D111" s="34" t="str">
        <x:v>P2</x:v>
      </x:c>
      <x:c r="E111" s="34" t="str">
        <x:v>PORT-760BEDA2ECE0</x:v>
      </x:c>
      <x:c r="F111" s="34" t="n">
        <x:v>2</x:v>
      </x:c>
      <x:c r="G111" s="34" t="n">
        <x:v>1</x:v>
      </x:c>
      <x:c r="H111" s="40" t="b">
        <x:v>0</x:v>
      </x:c>
      <x:c r="I111" s="34" t="n">
        <x:v>78.414584</x:v>
      </x:c>
      <x:c r="J111" s="34" t="n">
        <x:v>0.448751</x:v>
      </x:c>
      <x:c r="K111" s="34" t="n">
        <x:v>21.304202</x:v>
      </x:c>
      <x:c r="L111" s="34" t="n">
        <x:v>3.177097</x:v>
      </x:c>
      <x:c r="M111" s="34" t="n">
        <x:v>55.621952</x:v>
      </x:c>
      <x:c r="N111" s="34" t="n">
        <x:v>0.318406</x:v>
      </x:c>
      <x:c r="O111" s="34" t="n">
        <x:v>44.435565</x:v>
      </x:c>
      <x:c r="P111" s="34" t="n">
        <x:v>0.449183</x:v>
      </x:c>
      <x:c r="Q111" s="34" t="n">
        <x:v>0</x:v>
      </x:c>
      <x:c r="R111" s="34" t="n">
        <x:v>0</x:v>
      </x:c>
      <x:c r="S111" s="34" t="n">
        <x:v>0</x:v>
      </x:c>
      <x:c r="T111" s="34" t="n">
        <x:v>0</x:v>
      </x:c>
    </x:row>
    <x:row r="112">
      <x:c r="A112" s="34" t="str">
        <x:v>NIPPON_STEEL_JP</x:v>
      </x:c>
      <x:c r="B112" s="34" t="str">
        <x:v>Nippon Steel</x:v>
      </x:c>
      <x:c r="C112" s="34" t="str">
        <x:v>CAND-4C03DDE7A8F948</x:v>
      </x:c>
      <x:c r="D112" s="34" t="str">
        <x:v>P3</x:v>
      </x:c>
      <x:c r="E112" s="34" t="str">
        <x:v>PORT-42FD0857B83C</x:v>
      </x:c>
      <x:c r="F112" s="34" t="n">
        <x:v>2</x:v>
      </x:c>
      <x:c r="G112" s="34" t="n">
        <x:v>1</x:v>
      </x:c>
      <x:c r="H112" s="40" t="b">
        <x:v>0</x:v>
      </x:c>
      <x:c r="I112" s="34" t="n">
        <x:v>75.724867</x:v>
      </x:c>
      <x:c r="J112" s="34" t="n">
        <x:v>0.560029</x:v>
      </x:c>
      <x:c r="K112" s="34" t="n">
        <x:v>17.077638</x:v>
      </x:c>
      <x:c r="L112" s="34" t="n">
        <x:v>1.966295</x:v>
      </x:c>
      <x:c r="M112" s="34" t="n">
        <x:v>52.932234</x:v>
      </x:c>
      <x:c r="N112" s="34" t="n">
        <x:v>0.641596</x:v>
      </x:c>
      <x:c r="O112" s="34" t="n">
        <x:v>41.151053</x:v>
      </x:c>
      <x:c r="P112" s="34" t="n">
        <x:v>0.641737</x:v>
      </x:c>
      <x:c r="Q112" s="34" t="n">
        <x:v>0</x:v>
      </x:c>
      <x:c r="R112" s="34" t="n">
        <x:v>0</x:v>
      </x:c>
      <x:c r="S112" s="34" t="n">
        <x:v>0</x:v>
      </x:c>
      <x:c r="T112" s="34" t="n">
        <x:v>0</x:v>
      </x:c>
    </x:row>
    <x:row r="113">
      <x:c r="A113" s="34" t="str">
        <x:v>NIPPON_STEEL_JP</x:v>
      </x:c>
      <x:c r="B113" s="34" t="str">
        <x:v>Nippon Steel</x:v>
      </x:c>
      <x:c r="C113" s="34" t="str">
        <x:v>CAND-505DC50EEE65AA</x:v>
      </x:c>
      <x:c r="D113" s="34" t="str">
        <x:v>P2</x:v>
      </x:c>
      <x:c r="E113" s="34" t="str">
        <x:v>PORT-93BA44A86FDE</x:v>
      </x:c>
      <x:c r="F113" s="34" t="n">
        <x:v>2</x:v>
      </x:c>
      <x:c r="G113" s="34" t="n">
        <x:v>2</x:v>
      </x:c>
      <x:c r="H113" s="40" t="b">
        <x:v>1</x:v>
      </x:c>
      <x:c r="I113" s="34" t="n">
        <x:v>127.698167</x:v>
      </x:c>
      <x:c r="J113" s="34" t="n">
        <x:v>0.260007</x:v>
      </x:c>
      <x:c r="K113" s="34" t="n">
        <x:v>33.279471</x:v>
      </x:c>
      <x:c r="L113" s="34" t="n">
        <x:v>4.590662</x:v>
      </x:c>
      <x:c r="M113" s="34" t="n">
        <x:v>104.905534</x:v>
      </x:c>
      <x:c r="N113" s="34" t="n">
        <x:v>0.349778</x:v>
      </x:c>
      <x:c r="O113" s="34" t="n">
        <x:v>95.187321</x:v>
      </x:c>
      <x:c r="P113" s="34" t="n">
        <x:v>0.320223</x:v>
      </x:c>
      <x:c r="Q113" s="34" t="n">
        <x:v>0</x:v>
      </x:c>
      <x:c r="R113" s="34" t="n">
        <x:v>0</x:v>
      </x:c>
      <x:c r="S113" s="34" t="n">
        <x:v>0</x:v>
      </x:c>
      <x:c r="T113" s="34" t="n">
        <x:v>0</x:v>
      </x:c>
    </x:row>
    <x:row r="114">
      <x:c r="A114" s="34" t="str">
        <x:v>NIPPON_STEEL_JP</x:v>
      </x:c>
      <x:c r="B114" s="34" t="str">
        <x:v>Nippon Steel</x:v>
      </x:c>
      <x:c r="C114" s="34" t="str">
        <x:v>CAND-51563CC4DFE733</x:v>
      </x:c>
      <x:c r="D114" s="34" t="str">
        <x:v>P1</x:v>
      </x:c>
      <x:c r="E114" s="34" t="str">
        <x:v>PORT-792EEE640306</x:v>
      </x:c>
      <x:c r="F114" s="34" t="n">
        <x:v>2</x:v>
      </x:c>
      <x:c r="G114" s="34" t="n">
        <x:v>1</x:v>
      </x:c>
      <x:c r="H114" s="40" t="b">
        <x:v>0</x:v>
      </x:c>
      <x:c r="I114" s="34" t="n">
        <x:v>77.448664</x:v>
      </x:c>
      <x:c r="J114" s="34" t="n">
        <x:v>0.539839</x:v>
      </x:c>
      <x:c r="K114" s="34" t="n">
        <x:v>24.444844</x:v>
      </x:c>
      <x:c r="L114" s="34" t="n">
        <x:v>3.494901</x:v>
      </x:c>
      <x:c r="M114" s="34" t="n">
        <x:v>54.656032</x:v>
      </x:c>
      <x:c r="N114" s="34" t="n">
        <x:v>0.415586</x:v>
      </x:c>
      <x:c r="O114" s="34" t="n">
        <x:v>43.798618</x:v>
      </x:c>
      <x:c r="P114" s="34" t="n">
        <x:v>0.500995</x:v>
      </x:c>
      <x:c r="Q114" s="34" t="n">
        <x:v>0</x:v>
      </x:c>
      <x:c r="R114" s="34" t="n">
        <x:v>0</x:v>
      </x:c>
      <x:c r="S114" s="34" t="n">
        <x:v>0</x:v>
      </x:c>
      <x:c r="T114" s="34" t="n">
        <x:v>0</x:v>
      </x:c>
    </x:row>
    <x:row r="115">
      <x:c r="A115" s="34" t="str">
        <x:v>NIPPON_STEEL_JP</x:v>
      </x:c>
      <x:c r="B115" s="34" t="str">
        <x:v>Nippon Steel</x:v>
      </x:c>
      <x:c r="C115" s="34" t="str">
        <x:v>CAND-54996F21D43414</x:v>
      </x:c>
      <x:c r="D115" s="34" t="str">
        <x:v>P2</x:v>
      </x:c>
      <x:c r="E115" s="34" t="str">
        <x:v>PORT-4025A7B6BA3A</x:v>
      </x:c>
      <x:c r="F115" s="34" t="n">
        <x:v>2</x:v>
      </x:c>
      <x:c r="G115" s="34" t="n">
        <x:v>1</x:v>
      </x:c>
      <x:c r="H115" s="40" t="b">
        <x:v>0</x:v>
      </x:c>
      <x:c r="I115" s="34" t="n">
        <x:v>69.704086</x:v>
      </x:c>
      <x:c r="J115" s="34" t="n">
        <x:v>0.744517</x:v>
      </x:c>
      <x:c r="K115" s="34" t="n">
        <x:v>19.843993</x:v>
      </x:c>
      <x:c r="L115" s="34" t="n">
        <x:v>3.012822</x:v>
      </x:c>
      <x:c r="M115" s="34" t="n">
        <x:v>46.911453</x:v>
      </x:c>
      <x:c r="N115" s="34" t="n">
        <x:v>0.659571</x:v>
      </x:c>
      <x:c r="O115" s="34" t="n">
        <x:v>35.491262</x:v>
      </x:c>
      <x:c r="P115" s="34" t="n">
        <x:v>0.987528</x:v>
      </x:c>
      <x:c r="Q115" s="34" t="n">
        <x:v>0</x:v>
      </x:c>
      <x:c r="R115" s="34" t="n">
        <x:v>0</x:v>
      </x:c>
      <x:c r="S115" s="34" t="n">
        <x:v>0</x:v>
      </x:c>
      <x:c r="T115" s="34" t="n">
        <x:v>0</x:v>
      </x:c>
    </x:row>
    <x:row r="116">
      <x:c r="A116" s="34" t="str">
        <x:v>NIPPON_STEEL_JP</x:v>
      </x:c>
      <x:c r="B116" s="34" t="str">
        <x:v>Nippon Steel</x:v>
      </x:c>
      <x:c r="C116" s="34" t="str">
        <x:v>CAND-59D7A6AFC21669</x:v>
      </x:c>
      <x:c r="D116" s="34" t="str">
        <x:v>P2</x:v>
      </x:c>
      <x:c r="E116" s="34" t="str">
        <x:v>PORT-9961527CE1F4</x:v>
      </x:c>
      <x:c r="F116" s="34" t="n">
        <x:v>2</x:v>
      </x:c>
      <x:c r="G116" s="34" t="n">
        <x:v>1</x:v>
      </x:c>
      <x:c r="H116" s="40" t="b">
        <x:v>0</x:v>
      </x:c>
      <x:c r="I116" s="34" t="n">
        <x:v>67.583884</x:v>
      </x:c>
      <x:c r="J116" s="34" t="n">
        <x:v>0.621288</x:v>
      </x:c>
      <x:c r="K116" s="34" t="n">
        <x:v>19.623912</x:v>
      </x:c>
      <x:c r="L116" s="34" t="n">
        <x:v>3.09755</x:v>
      </x:c>
      <x:c r="M116" s="34" t="n">
        <x:v>44.791251</x:v>
      </x:c>
      <x:c r="N116" s="34" t="n">
        <x:v>0.502067</x:v>
      </x:c>
      <x:c r="O116" s="34" t="n">
        <x:v>33.306987</x:v>
      </x:c>
      <x:c r="P116" s="34" t="n">
        <x:v>0.704169</x:v>
      </x:c>
      <x:c r="Q116" s="34" t="n">
        <x:v>0</x:v>
      </x:c>
      <x:c r="R116" s="34" t="n">
        <x:v>0</x:v>
      </x:c>
      <x:c r="S116" s="34" t="n">
        <x:v>0</x:v>
      </x:c>
      <x:c r="T116" s="34" t="n">
        <x:v>0</x:v>
      </x:c>
    </x:row>
    <x:row r="117">
      <x:c r="A117" s="34" t="str">
        <x:v>NIPPON_STEEL_JP</x:v>
      </x:c>
      <x:c r="B117" s="34" t="str">
        <x:v>Nippon Steel</x:v>
      </x:c>
      <x:c r="C117" s="34" t="str">
        <x:v>CAND-61C6F8AE75933E</x:v>
      </x:c>
      <x:c r="D117" s="34" t="str">
        <x:v>P3</x:v>
      </x:c>
      <x:c r="E117" s="34" t="str">
        <x:v>PORT-3391EE4132D6</x:v>
      </x:c>
      <x:c r="F117" s="34" t="n">
        <x:v>2</x:v>
      </x:c>
      <x:c r="G117" s="34" t="n">
        <x:v>1</x:v>
      </x:c>
      <x:c r="H117" s="40" t="b">
        <x:v>0</x:v>
      </x:c>
      <x:c r="I117" s="34" t="n">
        <x:v>81.327087</x:v>
      </x:c>
      <x:c r="J117" s="34" t="n">
        <x:v>0.623096</x:v>
      </x:c>
      <x:c r="K117" s="34" t="n">
        <x:v>16.999686</x:v>
      </x:c>
      <x:c r="L117" s="34" t="n">
        <x:v>1.500719</x:v>
      </x:c>
      <x:c r="M117" s="34" t="n">
        <x:v>58.534454</x:v>
      </x:c>
      <x:c r="N117" s="34" t="n">
        <x:v>0.496623</x:v>
      </x:c>
      <x:c r="O117" s="34" t="n">
        <x:v>46.858293</x:v>
      </x:c>
      <x:c r="P117" s="34" t="n">
        <x:v>0.790907</x:v>
      </x:c>
      <x:c r="Q117" s="34" t="n">
        <x:v>0</x:v>
      </x:c>
      <x:c r="R117" s="34" t="n">
        <x:v>0</x:v>
      </x:c>
      <x:c r="S117" s="34" t="n">
        <x:v>0</x:v>
      </x:c>
      <x:c r="T117" s="34" t="n">
        <x:v>0</x:v>
      </x:c>
    </x:row>
    <x:row r="118">
      <x:c r="A118" s="34" t="str">
        <x:v>NIPPON_STEEL_JP</x:v>
      </x:c>
      <x:c r="B118" s="34" t="str">
        <x:v>Nippon Steel</x:v>
      </x:c>
      <x:c r="C118" s="34" t="str">
        <x:v>CAND-62B732F24FF616</x:v>
      </x:c>
      <x:c r="D118" s="34" t="str">
        <x:v>P1</x:v>
      </x:c>
      <x:c r="E118" s="34" t="str">
        <x:v>PORT-92BAA222AC4A</x:v>
      </x:c>
      <x:c r="F118" s="34" t="n">
        <x:v>2</x:v>
      </x:c>
      <x:c r="G118" s="34" t="n">
        <x:v>1</x:v>
      </x:c>
      <x:c r="H118" s="40" t="b">
        <x:v>0</x:v>
      </x:c>
      <x:c r="I118" s="34" t="n">
        <x:v>69.998113</x:v>
      </x:c>
      <x:c r="J118" s="34" t="n">
        <x:v>1.255007</x:v>
      </x:c>
      <x:c r="K118" s="34" t="n">
        <x:v>22.626939</x:v>
      </x:c>
      <x:c r="L118" s="34" t="n">
        <x:v>2.788249</x:v>
      </x:c>
      <x:c r="M118" s="34" t="n">
        <x:v>47.205481</x:v>
      </x:c>
      <x:c r="N118" s="34" t="n">
        <x:v>1.352061</x:v>
      </x:c>
      <x:c r="O118" s="34" t="n">
        <x:v>36.135542</x:v>
      </x:c>
      <x:c r="P118" s="34" t="n">
        <x:v>1.152616</x:v>
      </x:c>
      <x:c r="Q118" s="34" t="n">
        <x:v>0</x:v>
      </x:c>
      <x:c r="R118" s="34" t="n">
        <x:v>0</x:v>
      </x:c>
      <x:c r="S118" s="34" t="n">
        <x:v>0</x:v>
      </x:c>
      <x:c r="T118" s="34" t="n">
        <x:v>0</x:v>
      </x:c>
    </x:row>
    <x:row r="119">
      <x:c r="A119" s="34" t="str">
        <x:v>NIPPON_STEEL_JP</x:v>
      </x:c>
      <x:c r="B119" s="34" t="str">
        <x:v>Nippon Steel</x:v>
      </x:c>
      <x:c r="C119" s="34" t="str">
        <x:v>CAND-67842A89ECECE4</x:v>
      </x:c>
      <x:c r="D119" s="34" t="str">
        <x:v>P2</x:v>
      </x:c>
      <x:c r="E119" s="34" t="str">
        <x:v>PORT-A38E7AB93504</x:v>
      </x:c>
      <x:c r="F119" s="34" t="n">
        <x:v>2</x:v>
      </x:c>
      <x:c r="G119" s="34" t="n">
        <x:v>1</x:v>
      </x:c>
      <x:c r="H119" s="40" t="b">
        <x:v>0</x:v>
      </x:c>
      <x:c r="I119" s="34" t="n">
        <x:v>67.502084</x:v>
      </x:c>
      <x:c r="J119" s="34" t="n">
        <x:v>0.826225</x:v>
      </x:c>
      <x:c r="K119" s="34" t="n">
        <x:v>18.876555</x:v>
      </x:c>
      <x:c r="L119" s="34" t="n">
        <x:v>2.006494</x:v>
      </x:c>
      <x:c r="M119" s="34" t="n">
        <x:v>44.709451</x:v>
      </x:c>
      <x:c r="N119" s="34" t="n">
        <x:v>0.906232</x:v>
      </x:c>
      <x:c r="O119" s="34" t="n">
        <x:v>33.297341</x:v>
      </x:c>
      <x:c r="P119" s="34" t="n">
        <x:v>0.611165</x:v>
      </x:c>
      <x:c r="Q119" s="34" t="n">
        <x:v>0</x:v>
      </x:c>
      <x:c r="R119" s="34" t="n">
        <x:v>0</x:v>
      </x:c>
      <x:c r="S119" s="34" t="n">
        <x:v>0</x:v>
      </x:c>
      <x:c r="T119" s="34" t="n">
        <x:v>0</x:v>
      </x:c>
    </x:row>
    <x:row r="120">
      <x:c r="A120" s="34" t="str">
        <x:v>NIPPON_STEEL_JP</x:v>
      </x:c>
      <x:c r="B120" s="34" t="str">
        <x:v>Nippon Steel</x:v>
      </x:c>
      <x:c r="C120" s="34" t="str">
        <x:v>CAND-73FBF939F237E6</x:v>
      </x:c>
      <x:c r="D120" s="34" t="str">
        <x:v>P2</x:v>
      </x:c>
      <x:c r="E120" s="34" t="str">
        <x:v>PORT-92BAA222AC4A</x:v>
      </x:c>
      <x:c r="F120" s="34" t="n">
        <x:v>2</x:v>
      </x:c>
      <x:c r="G120" s="34" t="n">
        <x:v>1</x:v>
      </x:c>
      <x:c r="H120" s="40" t="b">
        <x:v>0</x:v>
      </x:c>
      <x:c r="I120" s="34" t="n">
        <x:v>68.409602</x:v>
      </x:c>
      <x:c r="J120" s="34" t="n">
        <x:v>1.147163</x:v>
      </x:c>
      <x:c r="K120" s="34" t="n">
        <x:v>19.142221</x:v>
      </x:c>
      <x:c r="L120" s="34" t="n">
        <x:v>2.265219</x:v>
      </x:c>
      <x:c r="M120" s="34" t="n">
        <x:v>45.616969</x:v>
      </x:c>
      <x:c r="N120" s="34" t="n">
        <x:v>1.245737</x:v>
      </x:c>
      <x:c r="O120" s="34" t="n">
        <x:v>34.215464</x:v>
      </x:c>
      <x:c r="P120" s="34" t="n">
        <x:v>0.973591</x:v>
      </x:c>
      <x:c r="Q120" s="34" t="n">
        <x:v>0</x:v>
      </x:c>
      <x:c r="R120" s="34" t="n">
        <x:v>0</x:v>
      </x:c>
      <x:c r="S120" s="34" t="n">
        <x:v>0</x:v>
      </x:c>
      <x:c r="T120" s="34" t="n">
        <x:v>0</x:v>
      </x:c>
    </x:row>
    <x:row r="121">
      <x:c r="A121" s="34" t="str">
        <x:v>NIPPON_STEEL_JP</x:v>
      </x:c>
      <x:c r="B121" s="34" t="str">
        <x:v>Nippon Steel</x:v>
      </x:c>
      <x:c r="C121" s="34" t="str">
        <x:v>CAND-7400D0EA735D98</x:v>
      </x:c>
      <x:c r="D121" s="34" t="str">
        <x:v>P3</x:v>
      </x:c>
      <x:c r="E121" s="34" t="str">
        <x:v>PORT-6742936593A9</x:v>
      </x:c>
      <x:c r="F121" s="34" t="n">
        <x:v>2</x:v>
      </x:c>
      <x:c r="G121" s="34" t="n">
        <x:v>2</x:v>
      </x:c>
      <x:c r="H121" s="40" t="b">
        <x:v>1</x:v>
      </x:c>
      <x:c r="I121" s="34" t="n">
        <x:v>81.950744</x:v>
      </x:c>
      <x:c r="J121" s="34" t="n">
        <x:v>0.547997</x:v>
      </x:c>
      <x:c r="K121" s="34" t="n">
        <x:v>18.205449</x:v>
      </x:c>
      <x:c r="L121" s="34" t="n">
        <x:v>2.330039</x:v>
      </x:c>
      <x:c r="M121" s="34" t="n">
        <x:v>59.158111</x:v>
      </x:c>
      <x:c r="N121" s="34" t="n">
        <x:v>0.651294</x:v>
      </x:c>
      <x:c r="O121" s="34" t="n">
        <x:v>47.529526</x:v>
      </x:c>
      <x:c r="P121" s="34" t="n">
        <x:v>0.613292</x:v>
      </x:c>
      <x:c r="Q121" s="34" t="n">
        <x:v>100</x:v>
      </x:c>
      <x:c r="R121" s="34" t="n">
        <x:v>100</x:v>
      </x:c>
      <x:c r="S121" s="34" t="n">
        <x:v>100</x:v>
      </x:c>
      <x:c r="T121" s="34" t="n">
        <x:v>100</x:v>
      </x:c>
    </x:row>
    <x:row r="122">
      <x:c r="A122" s="34" t="str">
        <x:v>NIPPON_STEEL_JP</x:v>
      </x:c>
      <x:c r="B122" s="34" t="str">
        <x:v>Nippon Steel</x:v>
      </x:c>
      <x:c r="C122" s="34" t="str">
        <x:v>CAND-7431CBC596FC03</x:v>
      </x:c>
      <x:c r="D122" s="34" t="str">
        <x:v>P1</x:v>
      </x:c>
      <x:c r="E122" s="34" t="str">
        <x:v>PORT-7CA9F3BA0776</x:v>
      </x:c>
      <x:c r="F122" s="34" t="n">
        <x:v>2</x:v>
      </x:c>
      <x:c r="G122" s="34" t="n">
        <x:v>2</x:v>
      </x:c>
      <x:c r="H122" s="40" t="b">
        <x:v>1</x:v>
      </x:c>
      <x:c r="I122" s="34" t="n">
        <x:v>144.864197</x:v>
      </x:c>
      <x:c r="J122" s="34" t="n">
        <x:v>1.64447</x:v>
      </x:c>
      <x:c r="K122" s="34" t="n">
        <x:v>40.621544</x:v>
      </x:c>
      <x:c r="L122" s="34" t="n">
        <x:v>6.820079</x:v>
      </x:c>
      <x:c r="M122" s="34" t="n">
        <x:v>122.071565</x:v>
      </x:c>
      <x:c r="N122" s="34" t="n">
        <x:v>1.747855</x:v>
      </x:c>
      <x:c r="O122" s="34" t="n">
        <x:v>113.728634</x:v>
      </x:c>
      <x:c r="P122" s="34" t="n">
        <x:v>1.678145</x:v>
      </x:c>
      <x:c r="Q122" s="34" t="n">
        <x:v>0</x:v>
      </x:c>
      <x:c r="R122" s="34" t="n">
        <x:v>0</x:v>
      </x:c>
      <x:c r="S122" s="34" t="n">
        <x:v>0</x:v>
      </x:c>
      <x:c r="T122" s="34" t="n">
        <x:v>0</x:v>
      </x:c>
    </x:row>
    <x:row r="123">
      <x:c r="A123" s="34" t="str">
        <x:v>NIPPON_STEEL_JP</x:v>
      </x:c>
      <x:c r="B123" s="34" t="str">
        <x:v>Nippon Steel</x:v>
      </x:c>
      <x:c r="C123" s="34" t="str">
        <x:v>CAND-7BA4793B4CD2AC</x:v>
      </x:c>
      <x:c r="D123" s="34" t="str">
        <x:v>P2</x:v>
      </x:c>
      <x:c r="E123" s="34" t="str">
        <x:v>PORT-05EE518306D9</x:v>
      </x:c>
      <x:c r="F123" s="34" t="n">
        <x:v>2</x:v>
      </x:c>
      <x:c r="G123" s="34" t="n">
        <x:v>2</x:v>
      </x:c>
      <x:c r="H123" s="40" t="b">
        <x:v>1</x:v>
      </x:c>
      <x:c r="I123" s="34" t="n">
        <x:v>105.211607</x:v>
      </x:c>
      <x:c r="J123" s="34" t="n">
        <x:v>0.747712</x:v>
      </x:c>
      <x:c r="K123" s="34" t="n">
        <x:v>25.570247</x:v>
      </x:c>
      <x:c r="L123" s="34" t="n">
        <x:v>2.814213</x:v>
      </x:c>
      <x:c r="M123" s="34" t="n">
        <x:v>82.418974</x:v>
      </x:c>
      <x:c r="N123" s="34" t="n">
        <x:v>0.739978</x:v>
      </x:c>
      <x:c r="O123" s="34" t="n">
        <x:v>72.033457</x:v>
      </x:c>
      <x:c r="P123" s="34" t="n">
        <x:v>0.452483</x:v>
      </x:c>
      <x:c r="Q123" s="34" t="n">
        <x:v>0</x:v>
      </x:c>
      <x:c r="R123" s="34" t="n">
        <x:v>0</x:v>
      </x:c>
      <x:c r="S123" s="34" t="n">
        <x:v>0</x:v>
      </x:c>
      <x:c r="T123" s="34" t="n">
        <x:v>0</x:v>
      </x:c>
    </x:row>
    <x:row r="124">
      <x:c r="A124" s="34" t="str">
        <x:v>NIPPON_STEEL_JP</x:v>
      </x:c>
      <x:c r="B124" s="34" t="str">
        <x:v>Nippon Steel</x:v>
      </x:c>
      <x:c r="C124" s="34" t="str">
        <x:v>CAND-7C97E5CB4322B2</x:v>
      </x:c>
      <x:c r="D124" s="34" t="str">
        <x:v>P3</x:v>
      </x:c>
      <x:c r="E124" s="34" t="str">
        <x:v>PORT-A38E7AB93504</x:v>
      </x:c>
      <x:c r="F124" s="34" t="n">
        <x:v>2</x:v>
      </x:c>
      <x:c r="G124" s="34" t="n">
        <x:v>1</x:v>
      </x:c>
      <x:c r="H124" s="40" t="b">
        <x:v>0</x:v>
      </x:c>
      <x:c r="I124" s="34" t="n">
        <x:v>65.305758</x:v>
      </x:c>
      <x:c r="J124" s="34" t="n">
        <x:v>0.649966</x:v>
      </x:c>
      <x:c r="K124" s="34" t="n">
        <x:v>14.820693</x:v>
      </x:c>
      <x:c r="L124" s="34" t="n">
        <x:v>1.495576</x:v>
      </x:c>
      <x:c r="M124" s="34" t="n">
        <x:v>42.513125</x:v>
      </x:c>
      <x:c r="N124" s="34" t="n">
        <x:v>0.732703</x:v>
      </x:c>
      <x:c r="O124" s="34" t="n">
        <x:v>30.645911</x:v>
      </x:c>
      <x:c r="P124" s="34" t="n">
        <x:v>0.474483</x:v>
      </x:c>
      <x:c r="Q124" s="34" t="n">
        <x:v>0</x:v>
      </x:c>
      <x:c r="R124" s="34" t="n">
        <x:v>0</x:v>
      </x:c>
      <x:c r="S124" s="34" t="n">
        <x:v>0</x:v>
      </x:c>
      <x:c r="T124" s="34" t="n">
        <x:v>0</x:v>
      </x:c>
    </x:row>
    <x:row r="125">
      <x:c r="A125" s="34" t="str">
        <x:v>NIPPON_STEEL_JP</x:v>
      </x:c>
      <x:c r="B125" s="34" t="str">
        <x:v>Nippon Steel</x:v>
      </x:c>
      <x:c r="C125" s="34" t="str">
        <x:v>CAND-7F68777647A3B1</x:v>
      </x:c>
      <x:c r="D125" s="34" t="str">
        <x:v>P1</x:v>
      </x:c>
      <x:c r="E125" s="34" t="str">
        <x:v>PORT-7F141003EFD9</x:v>
      </x:c>
      <x:c r="F125" s="34" t="n">
        <x:v>2</x:v>
      </x:c>
      <x:c r="G125" s="34" t="n">
        <x:v>2</x:v>
      </x:c>
      <x:c r="H125" s="40" t="b">
        <x:v>1</x:v>
      </x:c>
      <x:c r="I125" s="34" t="n">
        <x:v>124.805762</x:v>
      </x:c>
      <x:c r="J125" s="34" t="n">
        <x:v>0.652369</x:v>
      </x:c>
      <x:c r="K125" s="34" t="n">
        <x:v>35.810356</x:v>
      </x:c>
      <x:c r="L125" s="34" t="n">
        <x:v>6.879616</x:v>
      </x:c>
      <x:c r="M125" s="34" t="n">
        <x:v>102.013129</x:v>
      </x:c>
      <x:c r="N125" s="34" t="n">
        <x:v>0.56241</x:v>
      </x:c>
      <x:c r="O125" s="34" t="n">
        <x:v>92.81999</x:v>
      </x:c>
      <x:c r="P125" s="34" t="n">
        <x:v>0.925986</x:v>
      </x:c>
      <x:c r="Q125" s="34" t="n">
        <x:v>0</x:v>
      </x:c>
      <x:c r="R125" s="34" t="n">
        <x:v>0</x:v>
      </x:c>
      <x:c r="S125" s="34" t="n">
        <x:v>0</x:v>
      </x:c>
      <x:c r="T125" s="34" t="n">
        <x:v>0</x:v>
      </x:c>
    </x:row>
    <x:row r="126">
      <x:c r="A126" s="34" t="str">
        <x:v>NIPPON_STEEL_JP</x:v>
      </x:c>
      <x:c r="B126" s="34" t="str">
        <x:v>Nippon Steel</x:v>
      </x:c>
      <x:c r="C126" s="34" t="str">
        <x:v>CAND-7F997B0F0381A1</x:v>
      </x:c>
      <x:c r="D126" s="34" t="str">
        <x:v>P1</x:v>
      </x:c>
      <x:c r="E126" s="34" t="str">
        <x:v>PORT-85B082834E97</x:v>
      </x:c>
      <x:c r="F126" s="34" t="n">
        <x:v>2</x:v>
      </x:c>
      <x:c r="G126" s="34" t="n">
        <x:v>1</x:v>
      </x:c>
      <x:c r="H126" s="40" t="b">
        <x:v>0</x:v>
      </x:c>
      <x:c r="I126" s="34" t="n">
        <x:v>44.413507</x:v>
      </x:c>
      <x:c r="J126" s="34" t="n">
        <x:v>0.557878</x:v>
      </x:c>
      <x:c r="K126" s="34" t="n">
        <x:v>15.545487</x:v>
      </x:c>
      <x:c r="L126" s="34" t="n">
        <x:v>1.452808</x:v>
      </x:c>
      <x:c r="M126" s="34" t="n">
        <x:v>21.620874</x:v>
      </x:c>
      <x:c r="N126" s="34" t="n">
        <x:v>0.658045</x:v>
      </x:c>
      <x:c r="O126" s="34" t="n">
        <x:v>9.575655</x:v>
      </x:c>
      <x:c r="P126" s="34" t="n">
        <x:v>0.42106</x:v>
      </x:c>
      <x:c r="Q126" s="34" t="n">
        <x:v>0</x:v>
      </x:c>
      <x:c r="R126" s="34" t="n">
        <x:v>0</x:v>
      </x:c>
      <x:c r="S126" s="34" t="n">
        <x:v>0</x:v>
      </x:c>
      <x:c r="T126" s="34" t="n">
        <x:v>0</x:v>
      </x:c>
    </x:row>
    <x:row r="127">
      <x:c r="A127" s="34" t="str">
        <x:v>NIPPON_STEEL_JP</x:v>
      </x:c>
      <x:c r="B127" s="34" t="str">
        <x:v>Nippon Steel</x:v>
      </x:c>
      <x:c r="C127" s="34" t="str">
        <x:v>CAND-87B9435721978E</x:v>
      </x:c>
      <x:c r="D127" s="34" t="str">
        <x:v>P1</x:v>
      </x:c>
      <x:c r="E127" s="34" t="str">
        <x:v>PORT-5CFD50239439</x:v>
      </x:c>
      <x:c r="F127" s="34" t="n">
        <x:v>2</x:v>
      </x:c>
      <x:c r="G127" s="34" t="n">
        <x:v>1</x:v>
      </x:c>
      <x:c r="H127" s="40" t="b">
        <x:v>0</x:v>
      </x:c>
      <x:c r="I127" s="34" t="n">
        <x:v>23.062233</x:v>
      </x:c>
      <x:c r="J127" s="34" t="n">
        <x:v>0.56017</x:v>
      </x:c>
      <x:c r="K127" s="34" t="n">
        <x:v>11.511306</x:v>
      </x:c>
      <x:c r="L127" s="34" t="n">
        <x:v>0.838014</x:v>
      </x:c>
      <x:c r="M127" s="34" t="n">
        <x:v>0.2696</x:v>
      </x:c>
      <x:c r="N127" s="34" t="n">
        <x:v>0.429232</x:v>
      </x:c>
      <x:c r="O127" s="34" t="n">
        <x:v>-12.480133</x:v>
      </x:c>
      <x:c r="P127" s="34" t="n">
        <x:v>0.699563</x:v>
      </x:c>
      <x:c r="Q127" s="34" t="n">
        <x:v>0</x:v>
      </x:c>
      <x:c r="R127" s="34" t="n">
        <x:v>0</x:v>
      </x:c>
      <x:c r="S127" s="34" t="n">
        <x:v>0</x:v>
      </x:c>
      <x:c r="T127" s="34" t="n">
        <x:v>0</x:v>
      </x:c>
    </x:row>
    <x:row r="128">
      <x:c r="A128" s="34" t="str">
        <x:v>NIPPON_STEEL_JP</x:v>
      </x:c>
      <x:c r="B128" s="34" t="str">
        <x:v>Nippon Steel</x:v>
      </x:c>
      <x:c r="C128" s="34" t="str">
        <x:v>CAND-8A32EE77ABBE07</x:v>
      </x:c>
      <x:c r="D128" s="34" t="str">
        <x:v>P1</x:v>
      </x:c>
      <x:c r="E128" s="34" t="str">
        <x:v>PORT-0ACD636A8AEE</x:v>
      </x:c>
      <x:c r="F128" s="34" t="n">
        <x:v>2</x:v>
      </x:c>
      <x:c r="G128" s="34" t="n">
        <x:v>1</x:v>
      </x:c>
      <x:c r="H128" s="40" t="b">
        <x:v>0</x:v>
      </x:c>
      <x:c r="I128" s="34" t="n">
        <x:v>61.8539</x:v>
      </x:c>
      <x:c r="J128" s="34" t="n">
        <x:v>1.090414</x:v>
      </x:c>
      <x:c r="K128" s="34" t="n">
        <x:v>20.686246</x:v>
      </x:c>
      <x:c r="L128" s="34" t="n">
        <x:v>1.875008</x:v>
      </x:c>
      <x:c r="M128" s="34" t="n">
        <x:v>39.061268</x:v>
      </x:c>
      <x:c r="N128" s="34" t="n">
        <x:v>1.17222</x:v>
      </x:c>
      <x:c r="O128" s="34" t="n">
        <x:v>27.716964</x:v>
      </x:c>
      <x:c r="P128" s="34" t="n">
        <x:v>0.941995</x:v>
      </x:c>
      <x:c r="Q128" s="34" t="n">
        <x:v>0</x:v>
      </x:c>
      <x:c r="R128" s="34" t="n">
        <x:v>0</x:v>
      </x:c>
      <x:c r="S128" s="34" t="n">
        <x:v>0</x:v>
      </x:c>
      <x:c r="T128" s="34" t="n">
        <x:v>0</x:v>
      </x:c>
    </x:row>
    <x:row r="129">
      <x:c r="A129" s="34" t="str">
        <x:v>NIPPON_STEEL_JP</x:v>
      </x:c>
      <x:c r="B129" s="34" t="str">
        <x:v>Nippon Steel</x:v>
      </x:c>
      <x:c r="C129" s="34" t="str">
        <x:v>CAND-91BB5A02A7A61F</x:v>
      </x:c>
      <x:c r="D129" s="34" t="str">
        <x:v>P2</x:v>
      </x:c>
      <x:c r="E129" s="34" t="str">
        <x:v>PORT-42FD0857B83C</x:v>
      </x:c>
      <x:c r="F129" s="34" t="n">
        <x:v>2</x:v>
      </x:c>
      <x:c r="G129" s="34" t="n">
        <x:v>1</x:v>
      </x:c>
      <x:c r="H129" s="40" t="b">
        <x:v>0</x:v>
      </x:c>
      <x:c r="I129" s="34" t="n">
        <x:v>78.428899</x:v>
      </x:c>
      <x:c r="J129" s="34" t="n">
        <x:v>0.723961</x:v>
      </x:c>
      <x:c r="K129" s="34" t="n">
        <x:v>21.830447</x:v>
      </x:c>
      <x:c r="L129" s="34" t="n">
        <x:v>2.441906</x:v>
      </x:c>
      <x:c r="M129" s="34" t="n">
        <x:v>55.636266</x:v>
      </x:c>
      <x:c r="N129" s="34" t="n">
        <x:v>0.810715</x:v>
      </x:c>
      <x:c r="O129" s="34" t="n">
        <x:v>44.340944</x:v>
      </x:c>
      <x:c r="P129" s="34" t="n">
        <x:v>0.913438</x:v>
      </x:c>
      <x:c r="Q129" s="34" t="n">
        <x:v>0</x:v>
      </x:c>
      <x:c r="R129" s="34" t="n">
        <x:v>0</x:v>
      </x:c>
      <x:c r="S129" s="34" t="n">
        <x:v>0</x:v>
      </x:c>
      <x:c r="T129" s="34" t="n">
        <x:v>0</x:v>
      </x:c>
    </x:row>
    <x:row r="130">
      <x:c r="A130" s="34" t="str">
        <x:v>NIPPON_STEEL_JP</x:v>
      </x:c>
      <x:c r="B130" s="34" t="str">
        <x:v>Nippon Steel</x:v>
      </x:c>
      <x:c r="C130" s="34" t="str">
        <x:v>CAND-97FAAFFD87E907</x:v>
      </x:c>
      <x:c r="D130" s="34" t="str">
        <x:v>P1</x:v>
      </x:c>
      <x:c r="E130" s="34" t="str">
        <x:v>PORT-160DD6C4A97F</x:v>
      </x:c>
      <x:c r="F130" s="34" t="n">
        <x:v>2</x:v>
      </x:c>
      <x:c r="G130" s="34" t="n">
        <x:v>1</x:v>
      </x:c>
      <x:c r="H130" s="40" t="b">
        <x:v>0</x:v>
      </x:c>
      <x:c r="I130" s="34" t="n">
        <x:v>46.802908</x:v>
      </x:c>
      <x:c r="J130" s="34" t="n">
        <x:v>0.613168</x:v>
      </x:c>
      <x:c r="K130" s="34" t="n">
        <x:v>16.934715</x:v>
      </x:c>
      <x:c r="L130" s="34" t="n">
        <x:v>1.363758</x:v>
      </x:c>
      <x:c r="M130" s="34" t="n">
        <x:v>24.010276</x:v>
      </x:c>
      <x:c r="N130" s="34" t="n">
        <x:v>0.579022</x:v>
      </x:c>
      <x:c r="O130" s="34" t="n">
        <x:v>12.005138</x:v>
      </x:c>
      <x:c r="P130" s="34" t="n">
        <x:v>0.289511</x:v>
      </x:c>
      <x:c r="Q130" s="34" t="n">
        <x:v>0</x:v>
      </x:c>
      <x:c r="R130" s="34" t="n">
        <x:v>0</x:v>
      </x:c>
      <x:c r="S130" s="34" t="n">
        <x:v>0</x:v>
      </x:c>
      <x:c r="T130" s="34" t="n">
        <x:v>0</x:v>
      </x:c>
    </x:row>
    <x:row r="131">
      <x:c r="A131" s="34" t="str">
        <x:v>NIPPON_STEEL_JP</x:v>
      </x:c>
      <x:c r="B131" s="34" t="str">
        <x:v>Nippon Steel</x:v>
      </x:c>
      <x:c r="C131" s="34" t="str">
        <x:v>CAND-9EF16DBB46004F</x:v>
      </x:c>
      <x:c r="D131" s="34" t="str">
        <x:v>P1</x:v>
      </x:c>
      <x:c r="E131" s="34" t="str">
        <x:v>PORT-833EEC5002A6</x:v>
      </x:c>
      <x:c r="F131" s="34" t="n">
        <x:v>2</x:v>
      </x:c>
      <x:c r="G131" s="34" t="n">
        <x:v>1</x:v>
      </x:c>
      <x:c r="H131" s="40" t="b">
        <x:v>0</x:v>
      </x:c>
      <x:c r="I131" s="34" t="n">
        <x:v>50.652642</x:v>
      </x:c>
      <x:c r="J131" s="34" t="n">
        <x:v>0.617154</x:v>
      </x:c>
      <x:c r="K131" s="34" t="n">
        <x:v>17.940786</x:v>
      </x:c>
      <x:c r="L131" s="34" t="n">
        <x:v>1.921363</x:v>
      </x:c>
      <x:c r="M131" s="34" t="n">
        <x:v>27.860009</x:v>
      </x:c>
      <x:c r="N131" s="34" t="n">
        <x:v>0.639797</x:v>
      </x:c>
      <x:c r="O131" s="34" t="n">
        <x:v>16.065747</x:v>
      </x:c>
      <x:c r="P131" s="34" t="n">
        <x:v>0.363445</x:v>
      </x:c>
      <x:c r="Q131" s="34" t="n">
        <x:v>0</x:v>
      </x:c>
      <x:c r="R131" s="34" t="n">
        <x:v>0</x:v>
      </x:c>
      <x:c r="S131" s="34" t="n">
        <x:v>0</x:v>
      </x:c>
      <x:c r="T131" s="34" t="n">
        <x:v>0</x:v>
      </x:c>
    </x:row>
    <x:row r="132">
      <x:c r="A132" s="34" t="str">
        <x:v>NIPPON_STEEL_JP</x:v>
      </x:c>
      <x:c r="B132" s="34" t="str">
        <x:v>Nippon Steel</x:v>
      </x:c>
      <x:c r="C132" s="34" t="str">
        <x:v>CAND-B22DEBDE0F4599</x:v>
      </x:c>
      <x:c r="D132" s="34" t="str">
        <x:v>P1</x:v>
      </x:c>
      <x:c r="E132" s="34" t="str">
        <x:v>PORT-9961527CE1F4</x:v>
      </x:c>
      <x:c r="F132" s="34" t="n">
        <x:v>2</x:v>
      </x:c>
      <x:c r="G132" s="34" t="n">
        <x:v>1</x:v>
      </x:c>
      <x:c r="H132" s="40" t="b">
        <x:v>0</x:v>
      </x:c>
      <x:c r="I132" s="34" t="n">
        <x:v>69.116765</x:v>
      </x:c>
      <x:c r="J132" s="34" t="n">
        <x:v>0.678755</x:v>
      </x:c>
      <x:c r="K132" s="34" t="n">
        <x:v>23.0785</x:v>
      </x:c>
      <x:c r="L132" s="34" t="n">
        <x:v>3.62988</x:v>
      </x:c>
      <x:c r="M132" s="34" t="n">
        <x:v>46.324133</x:v>
      </x:c>
      <x:c r="N132" s="34" t="n">
        <x:v>0.556189</x:v>
      </x:c>
      <x:c r="O132" s="34" t="n">
        <x:v>35.191791</x:v>
      </x:c>
      <x:c r="P132" s="34" t="n">
        <x:v>0.726866</x:v>
      </x:c>
      <x:c r="Q132" s="34" t="n">
        <x:v>0</x:v>
      </x:c>
      <x:c r="R132" s="34" t="n">
        <x:v>0</x:v>
      </x:c>
      <x:c r="S132" s="34" t="n">
        <x:v>0</x:v>
      </x:c>
      <x:c r="T132" s="34" t="n">
        <x:v>0</x:v>
      </x:c>
    </x:row>
    <x:row r="133">
      <x:c r="A133" s="34" t="str">
        <x:v>NIPPON_STEEL_JP</x:v>
      </x:c>
      <x:c r="B133" s="34" t="str">
        <x:v>Nippon Steel</x:v>
      </x:c>
      <x:c r="C133" s="34" t="str">
        <x:v>CAND-BB1980A1B6CB5D</x:v>
      </x:c>
      <x:c r="D133" s="34" t="str">
        <x:v>P1</x:v>
      </x:c>
      <x:c r="E133" s="34" t="str">
        <x:v>PORT-0650AB6C64AE</x:v>
      </x:c>
      <x:c r="F133" s="34" t="n">
        <x:v>2</x:v>
      </x:c>
      <x:c r="G133" s="34" t="n">
        <x:v>1</x:v>
      </x:c>
      <x:c r="H133" s="40" t="b">
        <x:v>0</x:v>
      </x:c>
      <x:c r="I133" s="34" t="n">
        <x:v>76.391519</x:v>
      </x:c>
      <x:c r="J133" s="34" t="n">
        <x:v>0.94139</x:v>
      </x:c>
      <x:c r="K133" s="34" t="n">
        <x:v>24.170628</x:v>
      </x:c>
      <x:c r="L133" s="34" t="n">
        <x:v>3.674215</x:v>
      </x:c>
      <x:c r="M133" s="34" t="n">
        <x:v>53.598887</x:v>
      </x:c>
      <x:c r="N133" s="34" t="n">
        <x:v>0.834231</x:v>
      </x:c>
      <x:c r="O133" s="34" t="n">
        <x:v>42.723003</x:v>
      </x:c>
      <x:c r="P133" s="34" t="n">
        <x:v>1.393698</x:v>
      </x:c>
      <x:c r="Q133" s="34" t="n">
        <x:v>0</x:v>
      </x:c>
      <x:c r="R133" s="34" t="n">
        <x:v>0</x:v>
      </x:c>
      <x:c r="S133" s="34" t="n">
        <x:v>0</x:v>
      </x:c>
      <x:c r="T133" s="34" t="n">
        <x:v>0</x:v>
      </x:c>
    </x:row>
    <x:row r="134">
      <x:c r="A134" s="34" t="str">
        <x:v>NIPPON_STEEL_JP</x:v>
      </x:c>
      <x:c r="B134" s="34" t="str">
        <x:v>Nippon Steel</x:v>
      </x:c>
      <x:c r="C134" s="34" t="str">
        <x:v>CAND-BCE0067D428D60</x:v>
      </x:c>
      <x:c r="D134" s="34" t="str">
        <x:v>P2</x:v>
      </x:c>
      <x:c r="E134" s="34" t="str">
        <x:v>PORT-00B029BF7478</x:v>
      </x:c>
      <x:c r="F134" s="34" t="n">
        <x:v>2</x:v>
      </x:c>
      <x:c r="G134" s="34" t="n">
        <x:v>2</x:v>
      </x:c>
      <x:c r="H134" s="40" t="b">
        <x:v>1</x:v>
      </x:c>
      <x:c r="I134" s="34" t="n">
        <x:v>98.556933</x:v>
      </x:c>
      <x:c r="J134" s="34" t="n">
        <x:v>2.275468</x:v>
      </x:c>
      <x:c r="K134" s="34" t="n">
        <x:v>26.354008</x:v>
      </x:c>
      <x:c r="L134" s="34" t="n">
        <x:v>3.191867</x:v>
      </x:c>
      <x:c r="M134" s="34" t="n">
        <x:v>75.7643</x:v>
      </x:c>
      <x:c r="N134" s="34" t="n">
        <x:v>2.378563</x:v>
      </x:c>
      <x:c r="O134" s="34" t="n">
        <x:v>65.303128</x:v>
      </x:c>
      <x:c r="P134" s="34" t="n">
        <x:v>2.05194</x:v>
      </x:c>
      <x:c r="Q134" s="34" t="n">
        <x:v>0</x:v>
      </x:c>
      <x:c r="R134" s="34" t="n">
        <x:v>0</x:v>
      </x:c>
      <x:c r="S134" s="34" t="n">
        <x:v>0</x:v>
      </x:c>
      <x:c r="T134" s="34" t="n">
        <x:v>0</x:v>
      </x:c>
    </x:row>
    <x:row r="135">
      <x:c r="A135" s="34" t="str">
        <x:v>NIPPON_STEEL_JP</x:v>
      </x:c>
      <x:c r="B135" s="34" t="str">
        <x:v>Nippon Steel</x:v>
      </x:c>
      <x:c r="C135" s="34" t="str">
        <x:v>CAND-BE3632C0C6EBCB</x:v>
      </x:c>
      <x:c r="D135" s="34" t="str">
        <x:v>P1</x:v>
      </x:c>
      <x:c r="E135" s="34" t="str">
        <x:v>PORT-28AC80454322</x:v>
      </x:c>
      <x:c r="F135" s="34" t="n">
        <x:v>2</x:v>
      </x:c>
      <x:c r="G135" s="34" t="n">
        <x:v>1</x:v>
      </x:c>
      <x:c r="H135" s="40" t="b">
        <x:v>0</x:v>
      </x:c>
      <x:c r="I135" s="34" t="n">
        <x:v>71.968984</x:v>
      </x:c>
      <x:c r="J135" s="34" t="n">
        <x:v>1.109358</x:v>
      </x:c>
      <x:c r="K135" s="34" t="n">
        <x:v>23.385478</x:v>
      </x:c>
      <x:c r="L135" s="34" t="n">
        <x:v>3.745291</x:v>
      </x:c>
      <x:c r="M135" s="34" t="n">
        <x:v>49.176351</x:v>
      </x:c>
      <x:c r="N135" s="34" t="n">
        <x:v>0.991591</x:v>
      </x:c>
      <x:c r="O135" s="34" t="n">
        <x:v>38.165833</x:v>
      </x:c>
      <x:c r="P135" s="34" t="n">
        <x:v>1.57944</x:v>
      </x:c>
      <x:c r="Q135" s="34" t="n">
        <x:v>0</x:v>
      </x:c>
      <x:c r="R135" s="34" t="n">
        <x:v>0</x:v>
      </x:c>
      <x:c r="S135" s="34" t="n">
        <x:v>0</x:v>
      </x:c>
      <x:c r="T135" s="34" t="n">
        <x:v>0</x:v>
      </x:c>
    </x:row>
    <x:row r="136">
      <x:c r="A136" s="34" t="str">
        <x:v>NIPPON_STEEL_JP</x:v>
      </x:c>
      <x:c r="B136" s="34" t="str">
        <x:v>Nippon Steel</x:v>
      </x:c>
      <x:c r="C136" s="34" t="str">
        <x:v>CAND-BF06102F6003FE</x:v>
      </x:c>
      <x:c r="D136" s="34" t="str">
        <x:v>P2</x:v>
      </x:c>
      <x:c r="E136" s="34" t="str">
        <x:v>PORT-7CA9F3BA0776</x:v>
      </x:c>
      <x:c r="F136" s="34" t="n">
        <x:v>2</x:v>
      </x:c>
      <x:c r="G136" s="34" t="n">
        <x:v>2</x:v>
      </x:c>
      <x:c r="H136" s="40" t="b">
        <x:v>1</x:v>
      </x:c>
      <x:c r="I136" s="34" t="n">
        <x:v>141.012409</x:v>
      </x:c>
      <x:c r="J136" s="34" t="n">
        <x:v>1.462821</x:v>
      </x:c>
      <x:c r="K136" s="34" t="n">
        <x:v>34.54446</x:v>
      </x:c>
      <x:c r="L136" s="34" t="n">
        <x:v>5.774552</x:v>
      </x:c>
      <x:c r="M136" s="34" t="n">
        <x:v>118.219776</x:v>
      </x:c>
      <x:c r="N136" s="34" t="n">
        <x:v>1.563114</x:v>
      </x:c>
      <x:c r="O136" s="34" t="n">
        <x:v>108.968822</x:v>
      </x:c>
      <x:c r="P136" s="34" t="n">
        <x:v>1.467763</x:v>
      </x:c>
      <x:c r="Q136" s="34" t="n">
        <x:v>0</x:v>
      </x:c>
      <x:c r="R136" s="34" t="n">
        <x:v>0</x:v>
      </x:c>
      <x:c r="S136" s="34" t="n">
        <x:v>0</x:v>
      </x:c>
      <x:c r="T136" s="34" t="n">
        <x:v>0</x:v>
      </x:c>
    </x:row>
    <x:row r="137">
      <x:c r="A137" s="34" t="str">
        <x:v>NIPPON_STEEL_JP</x:v>
      </x:c>
      <x:c r="B137" s="34" t="str">
        <x:v>Nippon Steel</x:v>
      </x:c>
      <x:c r="C137" s="34" t="str">
        <x:v>CAND-BF076556907246</x:v>
      </x:c>
      <x:c r="D137" s="34" t="str">
        <x:v>P1</x:v>
      </x:c>
      <x:c r="E137" s="34" t="str">
        <x:v>PORT-10D90F59290D</x:v>
      </x:c>
      <x:c r="F137" s="34" t="n">
        <x:v>2</x:v>
      </x:c>
      <x:c r="G137" s="34" t="n">
        <x:v>1</x:v>
      </x:c>
      <x:c r="H137" s="40" t="b">
        <x:v>0</x:v>
      </x:c>
      <x:c r="I137" s="34" t="n">
        <x:v>51.714439</x:v>
      </x:c>
      <x:c r="J137" s="34" t="n">
        <x:v>0.652319</x:v>
      </x:c>
      <x:c r="K137" s="34" t="n">
        <x:v>17.734972</x:v>
      </x:c>
      <x:c r="L137" s="34" t="n">
        <x:v>1.880221</x:v>
      </x:c>
      <x:c r="M137" s="34" t="n">
        <x:v>28.921806</x:v>
      </x:c>
      <x:c r="N137" s="34" t="n">
        <x:v>0.734602</x:v>
      </x:c>
      <x:c r="O137" s="34" t="n">
        <x:v>17.042336</x:v>
      </x:c>
      <x:c r="P137" s="34" t="n">
        <x:v>0.603634</x:v>
      </x:c>
      <x:c r="Q137" s="34" t="n">
        <x:v>0</x:v>
      </x:c>
      <x:c r="R137" s="34" t="n">
        <x:v>0</x:v>
      </x:c>
      <x:c r="S137" s="34" t="n">
        <x:v>0</x:v>
      </x:c>
      <x:c r="T137" s="34" t="n">
        <x:v>0</x:v>
      </x:c>
    </x:row>
    <x:row r="138">
      <x:c r="A138" s="34" t="str">
        <x:v>NIPPON_STEEL_JP</x:v>
      </x:c>
      <x:c r="B138" s="34" t="str">
        <x:v>Nippon Steel</x:v>
      </x:c>
      <x:c r="C138" s="34" t="str">
        <x:v>CAND-C0EAED81BD41EE</x:v>
      </x:c>
      <x:c r="D138" s="34" t="str">
        <x:v>P1</x:v>
      </x:c>
      <x:c r="E138" s="34" t="str">
        <x:v>PORT-42FD0857B83C</x:v>
      </x:c>
      <x:c r="F138" s="34" t="n">
        <x:v>2</x:v>
      </x:c>
      <x:c r="G138" s="34" t="n">
        <x:v>1</x:v>
      </x:c>
      <x:c r="H138" s="40" t="b">
        <x:v>0</x:v>
      </x:c>
      <x:c r="I138" s="34" t="n">
        <x:v>80.350308</x:v>
      </x:c>
      <x:c r="J138" s="34" t="n">
        <x:v>0.862216</x:v>
      </x:c>
      <x:c r="K138" s="34" t="n">
        <x:v>25.69178</x:v>
      </x:c>
      <x:c r="L138" s="34" t="n">
        <x:v>2.834808</x:v>
      </x:c>
      <x:c r="M138" s="34" t="n">
        <x:v>57.557676</x:v>
      </x:c>
      <x:c r="N138" s="34" t="n">
        <x:v>0.957111</x:v>
      </x:c>
      <x:c r="O138" s="34" t="n">
        <x:v>46.590427</x:v>
      </x:c>
      <x:c r="P138" s="34" t="n">
        <x:v>1.178898</x:v>
      </x:c>
      <x:c r="Q138" s="34" t="n">
        <x:v>0</x:v>
      </x:c>
      <x:c r="R138" s="34" t="n">
        <x:v>0</x:v>
      </x:c>
      <x:c r="S138" s="34" t="n">
        <x:v>0</x:v>
      </x:c>
      <x:c r="T138" s="34" t="n">
        <x:v>0</x:v>
      </x:c>
    </x:row>
    <x:row r="139">
      <x:c r="A139" s="34" t="str">
        <x:v>NIPPON_STEEL_JP</x:v>
      </x:c>
      <x:c r="B139" s="34" t="str">
        <x:v>Nippon Steel</x:v>
      </x:c>
      <x:c r="C139" s="34" t="str">
        <x:v>CAND-C1AAA9A0078119</x:v>
      </x:c>
      <x:c r="D139" s="34" t="str">
        <x:v>P1</x:v>
      </x:c>
      <x:c r="E139" s="34" t="str">
        <x:v>PORT-9E76B3BFF9FF</x:v>
      </x:c>
      <x:c r="F139" s="34" t="n">
        <x:v>2</x:v>
      </x:c>
      <x:c r="G139" s="34" t="n">
        <x:v>2</x:v>
      </x:c>
      <x:c r="H139" s="40" t="b">
        <x:v>1</x:v>
      </x:c>
      <x:c r="I139" s="34" t="n">
        <x:v>93.44573</x:v>
      </x:c>
      <x:c r="J139" s="34" t="n">
        <x:v>0.357383</x:v>
      </x:c>
      <x:c r="K139" s="34" t="n">
        <x:v>28.543116</x:v>
      </x:c>
      <x:c r="L139" s="34" t="n">
        <x:v>4.27961</x:v>
      </x:c>
      <x:c r="M139" s="34" t="n">
        <x:v>70.653098</x:v>
      </x:c>
      <x:c r="N139" s="34" t="n">
        <x:v>0.257788</x:v>
      </x:c>
      <x:c r="O139" s="34" t="n">
        <x:v>60.401327</x:v>
      </x:c>
      <x:c r="P139" s="34" t="n">
        <x:v>0.224941</x:v>
      </x:c>
      <x:c r="Q139" s="34" t="n">
        <x:v>0</x:v>
      </x:c>
      <x:c r="R139" s="34" t="n">
        <x:v>0</x:v>
      </x:c>
      <x:c r="S139" s="34" t="n">
        <x:v>0</x:v>
      </x:c>
      <x:c r="T139" s="34" t="n">
        <x:v>0</x:v>
      </x:c>
    </x:row>
    <x:row r="140">
      <x:c r="A140" s="34" t="str">
        <x:v>NIPPON_STEEL_JP</x:v>
      </x:c>
      <x:c r="B140" s="34" t="str">
        <x:v>Nippon Steel</x:v>
      </x:c>
      <x:c r="C140" s="34" t="str">
        <x:v>CAND-C4C9319CE1829D</x:v>
      </x:c>
      <x:c r="D140" s="34" t="str">
        <x:v>P2</x:v>
      </x:c>
      <x:c r="E140" s="34" t="str">
        <x:v>PORT-7F141003EFD9</x:v>
      </x:c>
      <x:c r="F140" s="34" t="n">
        <x:v>2</x:v>
      </x:c>
      <x:c r="G140" s="34" t="n">
        <x:v>2</x:v>
      </x:c>
      <x:c r="H140" s="40" t="b">
        <x:v>1</x:v>
      </x:c>
      <x:c r="I140" s="34" t="n">
        <x:v>121.521464</x:v>
      </x:c>
      <x:c r="J140" s="34" t="n">
        <x:v>0.575543</x:v>
      </x:c>
      <x:c r="K140" s="34" t="n">
        <x:v>30.333071</x:v>
      </x:c>
      <x:c r="L140" s="34" t="n">
        <x:v>5.786869</x:v>
      </x:c>
      <x:c r="M140" s="34" t="n">
        <x:v>98.728832</x:v>
      </x:c>
      <x:c r="N140" s="34" t="n">
        <x:v>0.48033</x:v>
      </x:c>
      <x:c r="O140" s="34" t="n">
        <x:v>88.834025</x:v>
      </x:c>
      <x:c r="P140" s="34" t="n">
        <x:v>0.875626</x:v>
      </x:c>
      <x:c r="Q140" s="34" t="n">
        <x:v>0</x:v>
      </x:c>
      <x:c r="R140" s="34" t="n">
        <x:v>0</x:v>
      </x:c>
      <x:c r="S140" s="34" t="n">
        <x:v>0</x:v>
      </x:c>
      <x:c r="T140" s="34" t="n">
        <x:v>0</x:v>
      </x:c>
    </x:row>
    <x:row r="141">
      <x:c r="A141" s="34" t="str">
        <x:v>NIPPON_STEEL_JP</x:v>
      </x:c>
      <x:c r="B141" s="34" t="str">
        <x:v>Nippon Steel</x:v>
      </x:c>
      <x:c r="C141" s="34" t="str">
        <x:v>CAND-C51D410B54BFD5</x:v>
      </x:c>
      <x:c r="D141" s="34" t="str">
        <x:v>P3</x:v>
      </x:c>
      <x:c r="E141" s="34" t="str">
        <x:v>PORT-5DE4D9A04480</x:v>
      </x:c>
      <x:c r="F141" s="34" t="n">
        <x:v>2</x:v>
      </x:c>
      <x:c r="G141" s="34" t="n">
        <x:v>2</x:v>
      </x:c>
      <x:c r="H141" s="40" t="b">
        <x:v>1</x:v>
      </x:c>
      <x:c r="I141" s="34" t="n">
        <x:v>103.694241</x:v>
      </x:c>
      <x:c r="J141" s="34" t="n">
        <x:v>0.305308</x:v>
      </x:c>
      <x:c r="K141" s="34" t="n">
        <x:v>22.274989</x:v>
      </x:c>
      <x:c r="L141" s="34" t="n">
        <x:v>3.791617</x:v>
      </x:c>
      <x:c r="M141" s="34" t="n">
        <x:v>80.901608</x:v>
      </x:c>
      <x:c r="N141" s="34" t="n">
        <x:v>0.191488</x:v>
      </x:c>
      <x:c r="O141" s="34" t="n">
        <x:v>69.706076</x:v>
      </x:c>
      <x:c r="P141" s="34" t="n">
        <x:v>0.703758</x:v>
      </x:c>
      <x:c r="Q141" s="34" t="n">
        <x:v>0</x:v>
      </x:c>
      <x:c r="R141" s="34" t="n">
        <x:v>0</x:v>
      </x:c>
      <x:c r="S141" s="34" t="n">
        <x:v>0</x:v>
      </x:c>
      <x:c r="T141" s="34" t="n">
        <x:v>0</x:v>
      </x:c>
    </x:row>
    <x:row r="142">
      <x:c r="A142" s="34" t="str">
        <x:v>NIPPON_STEEL_JP</x:v>
      </x:c>
      <x:c r="B142" s="34" t="str">
        <x:v>Nippon Steel</x:v>
      </x:c>
      <x:c r="C142" s="34" t="str">
        <x:v>CAND-CA2E4138D9BC07</x:v>
      </x:c>
      <x:c r="D142" s="34" t="str">
        <x:v>P1</x:v>
      </x:c>
      <x:c r="E142" s="34" t="str">
        <x:v>PORT-05EE518306D9</x:v>
      </x:c>
      <x:c r="F142" s="34" t="n">
        <x:v>2</x:v>
      </x:c>
      <x:c r="G142" s="34" t="n">
        <x:v>2</x:v>
      </x:c>
      <x:c r="H142" s="40" t="b">
        <x:v>1</x:v>
      </x:c>
      <x:c r="I142" s="34" t="n">
        <x:v>108.106269</x:v>
      </x:c>
      <x:c r="J142" s="34" t="n">
        <x:v>0.854534</x:v>
      </x:c>
      <x:c r="K142" s="34" t="n">
        <x:v>30.021151</x:v>
      </x:c>
      <x:c r="L142" s="34" t="n">
        <x:v>3.58261</x:v>
      </x:c>
      <x:c r="M142" s="34" t="n">
        <x:v>85.313636</x:v>
      </x:c>
      <x:c r="N142" s="34" t="n">
        <x:v>0.839225</x:v>
      </x:c>
      <x:c r="O142" s="34" t="n">
        <x:v>75.512851</x:v>
      </x:c>
      <x:c r="P142" s="34" t="n">
        <x:v>0.594366</x:v>
      </x:c>
      <x:c r="Q142" s="34" t="n">
        <x:v>0</x:v>
      </x:c>
      <x:c r="R142" s="34" t="n">
        <x:v>0</x:v>
      </x:c>
      <x:c r="S142" s="34" t="n">
        <x:v>0</x:v>
      </x:c>
      <x:c r="T142" s="34" t="n">
        <x:v>0</x:v>
      </x:c>
    </x:row>
    <x:row r="143">
      <x:c r="A143" s="34" t="str">
        <x:v>NIPPON_STEEL_JP</x:v>
      </x:c>
      <x:c r="B143" s="34" t="str">
        <x:v>Nippon Steel</x:v>
      </x:c>
      <x:c r="C143" s="34" t="str">
        <x:v>CAND-CDFE2587E5584F</x:v>
      </x:c>
      <x:c r="D143" s="34" t="str">
        <x:v>P4</x:v>
      </x:c>
      <x:c r="E143" s="34" t="str">
        <x:v>PORT-34AD95AD1263</x:v>
      </x:c>
      <x:c r="F143" s="34" t="n">
        <x:v>2</x:v>
      </x:c>
      <x:c r="G143" s="34" t="n">
        <x:v>1</x:v>
      </x:c>
      <x:c r="H143" s="40" t="b">
        <x:v>0</x:v>
      </x:c>
      <x:c r="I143" s="34" t="n">
        <x:v>100.550684</x:v>
      </x:c>
      <x:c r="J143" s="34" t="n">
        <x:v>0.423133</x:v>
      </x:c>
      <x:c r="K143" s="34" t="n">
        <x:v>14.663882</x:v>
      </x:c>
      <x:c r="L143" s="34" t="n">
        <x:v>1.79258</x:v>
      </x:c>
      <x:c r="M143" s="34" t="n">
        <x:v>77.758052</x:v>
      </x:c>
      <x:c r="N143" s="34" t="n">
        <x:v>0.313865</x:v>
      </x:c>
      <x:c r="O143" s="34" t="n">
        <x:v>65.571496</x:v>
      </x:c>
      <x:c r="P143" s="34" t="n">
        <x:v>0.34538</x:v>
      </x:c>
      <x:c r="Q143" s="34" t="n">
        <x:v>0</x:v>
      </x:c>
      <x:c r="R143" s="34" t="n">
        <x:v>0</x:v>
      </x:c>
      <x:c r="S143" s="34" t="n">
        <x:v>0</x:v>
      </x:c>
      <x:c r="T143" s="34" t="n">
        <x:v>0</x:v>
      </x:c>
    </x:row>
    <x:row r="144">
      <x:c r="A144" s="34" t="str">
        <x:v>NIPPON_STEEL_JP</x:v>
      </x:c>
      <x:c r="B144" s="34" t="str">
        <x:v>Nippon Steel</x:v>
      </x:c>
      <x:c r="C144" s="34" t="str">
        <x:v>CAND-D42C7F372720F7</x:v>
      </x:c>
      <x:c r="D144" s="34" t="str">
        <x:v>P3</x:v>
      </x:c>
      <x:c r="E144" s="34" t="str">
        <x:v>PORT-92BAA222AC4A</x:v>
      </x:c>
      <x:c r="F144" s="34" t="n">
        <x:v>2</x:v>
      </x:c>
      <x:c r="G144" s="34" t="n">
        <x:v>1</x:v>
      </x:c>
      <x:c r="H144" s="40" t="b">
        <x:v>0</x:v>
      </x:c>
      <x:c r="I144" s="34" t="n">
        <x:v>66.180723</x:v>
      </x:c>
      <x:c r="J144" s="34" t="n">
        <x:v>0.92531</x:v>
      </x:c>
      <x:c r="K144" s="34" t="n">
        <x:v>15.107482</x:v>
      </x:c>
      <x:c r="L144" s="34" t="n">
        <x:v>1.729521</x:v>
      </x:c>
      <x:c r="M144" s="34" t="n">
        <x:v>43.38809</x:v>
      </x:c>
      <x:c r="N144" s="34" t="n">
        <x:v>1.028451</x:v>
      </x:c>
      <x:c r="O144" s="34" t="n">
        <x:v>31.488715</x:v>
      </x:c>
      <x:c r="P144" s="34" t="n">
        <x:v>0.7363</x:v>
      </x:c>
      <x:c r="Q144" s="34" t="n">
        <x:v>0</x:v>
      </x:c>
      <x:c r="R144" s="34" t="n">
        <x:v>0</x:v>
      </x:c>
      <x:c r="S144" s="34" t="n">
        <x:v>0</x:v>
      </x:c>
      <x:c r="T144" s="34" t="n">
        <x:v>0</x:v>
      </x:c>
    </x:row>
    <x:row r="145">
      <x:c r="A145" s="34" t="str">
        <x:v>NIPPON_STEEL_JP</x:v>
      </x:c>
      <x:c r="B145" s="34" t="str">
        <x:v>Nippon Steel</x:v>
      </x:c>
      <x:c r="C145" s="34" t="str">
        <x:v>CAND-D5FFDB7EE708DF</x:v>
      </x:c>
      <x:c r="D145" s="34" t="str">
        <x:v>P1</x:v>
      </x:c>
      <x:c r="E145" s="34" t="str">
        <x:v>PORT-FFBC6AEA16BA</x:v>
      </x:c>
      <x:c r="F145" s="34" t="n">
        <x:v>2</x:v>
      </x:c>
      <x:c r="G145" s="34" t="n">
        <x:v>1</x:v>
      </x:c>
      <x:c r="H145" s="40" t="b">
        <x:v>0</x:v>
      </x:c>
      <x:c r="I145" s="34" t="n">
        <x:v>52.65728</x:v>
      </x:c>
      <x:c r="J145" s="34" t="n">
        <x:v>0.325337</x:v>
      </x:c>
      <x:c r="K145" s="34" t="n">
        <x:v>18.304434</x:v>
      </x:c>
      <x:c r="L145" s="34" t="n">
        <x:v>1.863206</x:v>
      </x:c>
      <x:c r="M145" s="34" t="n">
        <x:v>29.864648</x:v>
      </x:c>
      <x:c r="N145" s="34" t="n">
        <x:v>0.339687</x:v>
      </x:c>
      <x:c r="O145" s="34" t="n">
        <x:v>18.17699</x:v>
      </x:c>
      <x:c r="P145" s="34" t="n">
        <x:v>0.125858</x:v>
      </x:c>
      <x:c r="Q145" s="34" t="n">
        <x:v>0</x:v>
      </x:c>
      <x:c r="R145" s="34" t="n">
        <x:v>0</x:v>
      </x:c>
      <x:c r="S145" s="34" t="n">
        <x:v>0</x:v>
      </x:c>
      <x:c r="T145" s="34" t="n">
        <x:v>0</x:v>
      </x:c>
    </x:row>
    <x:row r="146">
      <x:c r="A146" s="34" t="str">
        <x:v>NIPPON_STEEL_JP</x:v>
      </x:c>
      <x:c r="B146" s="34" t="str">
        <x:v>Nippon Steel</x:v>
      </x:c>
      <x:c r="C146" s="34" t="str">
        <x:v>CAND-D862A4AE5F72FA</x:v>
      </x:c>
      <x:c r="D146" s="34" t="str">
        <x:v>P3</x:v>
      </x:c>
      <x:c r="E146" s="34" t="str">
        <x:v>PORT-93BA44A86FDE</x:v>
      </x:c>
      <x:c r="F146" s="34" t="n">
        <x:v>2</x:v>
      </x:c>
      <x:c r="G146" s="34" t="n">
        <x:v>2</x:v>
      </x:c>
      <x:c r="H146" s="40" t="b">
        <x:v>1</x:v>
      </x:c>
      <x:c r="I146" s="34" t="n">
        <x:v>122.748453</x:v>
      </x:c>
      <x:c r="J146" s="34" t="n">
        <x:v>0.191306</x:v>
      </x:c>
      <x:c r="K146" s="34" t="n">
        <x:v>25.939316</x:v>
      </x:c>
      <x:c r="L146" s="34" t="n">
        <x:v>3.595504</x:v>
      </x:c>
      <x:c r="M146" s="34" t="n">
        <x:v>99.955821</x:v>
      </x:c>
      <x:c r="N146" s="34" t="n">
        <x:v>0.26189</x:v>
      </x:c>
      <x:c r="O146" s="34" t="n">
        <x:v>89.049477</x:v>
      </x:c>
      <x:c r="P146" s="34" t="n">
        <x:v>0.189035</x:v>
      </x:c>
      <x:c r="Q146" s="34" t="n">
        <x:v>0</x:v>
      </x:c>
      <x:c r="R146" s="34" t="n">
        <x:v>0</x:v>
      </x:c>
      <x:c r="S146" s="34" t="n">
        <x:v>0</x:v>
      </x:c>
      <x:c r="T146" s="34" t="n">
        <x:v>0</x:v>
      </x:c>
    </x:row>
    <x:row r="147">
      <x:c r="A147" s="34" t="str">
        <x:v>NIPPON_STEEL_JP</x:v>
      </x:c>
      <x:c r="B147" s="34" t="str">
        <x:v>Nippon Steel</x:v>
      </x:c>
      <x:c r="C147" s="34" t="str">
        <x:v>CAND-E305EEE782C913</x:v>
      </x:c>
      <x:c r="D147" s="34" t="str">
        <x:v>P1</x:v>
      </x:c>
      <x:c r="E147" s="34" t="str">
        <x:v>PORT-A38E7AB93504</x:v>
      </x:c>
      <x:c r="F147" s="34" t="n">
        <x:v>2</x:v>
      </x:c>
      <x:c r="G147" s="34" t="n">
        <x:v>1</x:v>
      </x:c>
      <x:c r="H147" s="40" t="b">
        <x:v>0</x:v>
      </x:c>
      <x:c r="I147" s="34" t="n">
        <x:v>69.104582</x:v>
      </x:c>
      <x:c r="J147" s="34" t="n">
        <x:v>0.930271</x:v>
      </x:c>
      <x:c r="K147" s="34" t="n">
        <x:v>22.171154</x:v>
      </x:c>
      <x:c r="L147" s="34" t="n">
        <x:v>2.285347</x:v>
      </x:c>
      <x:c r="M147" s="34" t="n">
        <x:v>46.311949</x:v>
      </x:c>
      <x:c r="N147" s="34" t="n">
        <x:v>1.012465</x:v>
      </x:c>
      <x:c r="O147" s="34" t="n">
        <x:v>35.20067</x:v>
      </x:c>
      <x:c r="P147" s="34" t="n">
        <x:v>0.724623</x:v>
      </x:c>
      <x:c r="Q147" s="34" t="n">
        <x:v>0</x:v>
      </x:c>
      <x:c r="R147" s="34" t="n">
        <x:v>0</x:v>
      </x:c>
      <x:c r="S147" s="34" t="n">
        <x:v>0</x:v>
      </x:c>
      <x:c r="T147" s="34" t="n">
        <x:v>0</x:v>
      </x:c>
    </x:row>
    <x:row r="148">
      <x:c r="A148" s="34" t="str">
        <x:v>NIPPON_STEEL_JP</x:v>
      </x:c>
      <x:c r="B148" s="34" t="str">
        <x:v>Nippon Steel</x:v>
      </x:c>
      <x:c r="C148" s="34" t="str">
        <x:v>CAND-E6E6E810AB390A</x:v>
      </x:c>
      <x:c r="D148" s="34" t="str">
        <x:v>P1</x:v>
      </x:c>
      <x:c r="E148" s="34" t="str">
        <x:v>PORT-20A3A9F442CD</x:v>
      </x:c>
      <x:c r="F148" s="34" t="n">
        <x:v>2</x:v>
      </x:c>
      <x:c r="G148" s="34" t="n">
        <x:v>1</x:v>
      </x:c>
      <x:c r="H148" s="40" t="b">
        <x:v>0</x:v>
      </x:c>
      <x:c r="I148" s="34" t="n">
        <x:v>51.633028</x:v>
      </x:c>
      <x:c r="J148" s="34" t="n">
        <x:v>0.66454</x:v>
      </x:c>
      <x:c r="K148" s="34" t="n">
        <x:v>18.611695</x:v>
      </x:c>
      <x:c r="L148" s="34" t="n">
        <x:v>1.834468</x:v>
      </x:c>
      <x:c r="M148" s="34" t="n">
        <x:v>28.840395</x:v>
      </x:c>
      <x:c r="N148" s="34" t="n">
        <x:v>0.576339</x:v>
      </x:c>
      <x:c r="O148" s="34" t="n">
        <x:v>17.131436</x:v>
      </x:c>
      <x:c r="P148" s="34" t="n">
        <x:v>0.266722</x:v>
      </x:c>
      <x:c r="Q148" s="34" t="n">
        <x:v>0</x:v>
      </x:c>
      <x:c r="R148" s="34" t="n">
        <x:v>0</x:v>
      </x:c>
      <x:c r="S148" s="34" t="n">
        <x:v>0</x:v>
      </x:c>
      <x:c r="T148" s="34" t="n">
        <x:v>0</x:v>
      </x:c>
    </x:row>
    <x:row r="149">
      <x:c r="A149" s="34" t="str">
        <x:v>NIPPON_STEEL_JP</x:v>
      </x:c>
      <x:c r="B149" s="34" t="str">
        <x:v>Nippon Steel</x:v>
      </x:c>
      <x:c r="C149" s="34" t="str">
        <x:v>CAND-EBD30C485CEFDA</x:v>
      </x:c>
      <x:c r="D149" s="34" t="str">
        <x:v>P2</x:v>
      </x:c>
      <x:c r="E149" s="34" t="str">
        <x:v>PORT-9E76B3BFF9FF</x:v>
      </x:c>
      <x:c r="F149" s="34" t="n">
        <x:v>2</x:v>
      </x:c>
      <x:c r="G149" s="34" t="n">
        <x:v>2</x:v>
      </x:c>
      <x:c r="H149" s="40" t="b">
        <x:v>1</x:v>
      </x:c>
      <x:c r="I149" s="34" t="n">
        <x:v>91.058069</x:v>
      </x:c>
      <x:c r="J149" s="34" t="n">
        <x:v>0.353611</x:v>
      </x:c>
      <x:c r="K149" s="34" t="n">
        <x:v>24.202907</x:v>
      </x:c>
      <x:c r="L149" s="34" t="n">
        <x:v>3.565937</x:v>
      </x:c>
      <x:c r="M149" s="34" t="n">
        <x:v>68.265436</x:v>
      </x:c>
      <x:c r="N149" s="34" t="n">
        <x:v>0.257567</x:v>
      </x:c>
      <x:c r="O149" s="34" t="n">
        <x:v>57.51311</x:v>
      </x:c>
      <x:c r="P149" s="34" t="n">
        <x:v>0.250153</x:v>
      </x:c>
      <x:c r="Q149" s="34" t="n">
        <x:v>0</x:v>
      </x:c>
      <x:c r="R149" s="34" t="n">
        <x:v>0</x:v>
      </x:c>
      <x:c r="S149" s="34" t="n">
        <x:v>0</x:v>
      </x:c>
      <x:c r="T149" s="34" t="n">
        <x:v>0</x:v>
      </x:c>
    </x:row>
    <x:row r="150">
      <x:c r="A150" s="34" t="str">
        <x:v>NIPPON_STEEL_JP</x:v>
      </x:c>
      <x:c r="B150" s="34" t="str">
        <x:v>Nippon Steel</x:v>
      </x:c>
      <x:c r="C150" s="34" t="str">
        <x:v>CAND-EBFD77804A64A5</x:v>
      </x:c>
      <x:c r="D150" s="34" t="str">
        <x:v>P3</x:v>
      </x:c>
      <x:c r="E150" s="34" t="str">
        <x:v>PORT-7CA9F3BA0776</x:v>
      </x:c>
      <x:c r="F150" s="34" t="n">
        <x:v>2</x:v>
      </x:c>
      <x:c r="G150" s="34" t="n">
        <x:v>2</x:v>
      </x:c>
      <x:c r="H150" s="40" t="b">
        <x:v>1</x:v>
      </x:c>
      <x:c r="I150" s="34" t="n">
        <x:v>135.550041</x:v>
      </x:c>
      <x:c r="J150" s="34" t="n">
        <x:v>1.141539</x:v>
      </x:c>
      <x:c r="K150" s="34" t="n">
        <x:v>26.747682</x:v>
      </x:c>
      <x:c r="L150" s="34" t="n">
        <x:v>4.494062</x:v>
      </x:c>
      <x:c r="M150" s="34" t="n">
        <x:v>112.757408</x:v>
      </x:c>
      <x:c r="N150" s="34" t="n">
        <x:v>1.243572</x:v>
      </x:c>
      <x:c r="O150" s="34" t="n">
        <x:v>102.131407</x:v>
      </x:c>
      <x:c r="P150" s="34" t="n">
        <x:v>1.146308</x:v>
      </x:c>
      <x:c r="Q150" s="34" t="n">
        <x:v>0</x:v>
      </x:c>
      <x:c r="R150" s="34" t="n">
        <x:v>0</x:v>
      </x:c>
      <x:c r="S150" s="34" t="n">
        <x:v>0</x:v>
      </x:c>
      <x:c r="T150" s="34" t="n">
        <x:v>0</x:v>
      </x:c>
    </x:row>
    <x:row r="151">
      <x:c r="A151" s="34" t="str">
        <x:v>NIPPON_STEEL_JP</x:v>
      </x:c>
      <x:c r="B151" s="34" t="str">
        <x:v>Nippon Steel</x:v>
      </x:c>
      <x:c r="C151" s="34" t="str">
        <x:v>CAND-EF9F86F64A1C2A</x:v>
      </x:c>
      <x:c r="D151" s="34" t="str">
        <x:v>P3</x:v>
      </x:c>
      <x:c r="E151" s="34" t="str">
        <x:v>PORT-00B029BF7478</x:v>
      </x:c>
      <x:c r="F151" s="34" t="n">
        <x:v>2</x:v>
      </x:c>
      <x:c r="G151" s="34" t="n">
        <x:v>2</x:v>
      </x:c>
      <x:c r="H151" s="40" t="b">
        <x:v>1</x:v>
      </x:c>
      <x:c r="I151" s="34" t="n">
        <x:v>95.041325</x:v>
      </x:c>
      <x:c r="J151" s="34" t="n">
        <x:v>1.819981</x:v>
      </x:c>
      <x:c r="K151" s="34" t="n">
        <x:v>20.585411</x:v>
      </x:c>
      <x:c r="L151" s="34" t="n">
        <x:v>2.4065</x:v>
      </x:c>
      <x:c r="M151" s="34" t="n">
        <x:v>72.248692</x:v>
      </x:c>
      <x:c r="N151" s="34" t="n">
        <x:v>1.923534</x:v>
      </x:c>
      <x:c r="O151" s="34" t="n">
        <x:v>60.964348</x:v>
      </x:c>
      <x:c r="P151" s="34" t="n">
        <x:v>1.57309</x:v>
      </x:c>
      <x:c r="Q151" s="34" t="n">
        <x:v>0</x:v>
      </x:c>
      <x:c r="R151" s="34" t="n">
        <x:v>0</x:v>
      </x:c>
      <x:c r="S151" s="34" t="n">
        <x:v>0</x:v>
      </x:c>
      <x:c r="T151" s="34" t="n">
        <x:v>0</x:v>
      </x:c>
    </x:row>
    <x:row r="152">
      <x:c r="A152" s="34" t="str">
        <x:v>NIPPON_STEEL_JP</x:v>
      </x:c>
      <x:c r="B152" s="34" t="str">
        <x:v>Nippon Steel</x:v>
      </x:c>
      <x:c r="C152" s="34" t="str">
        <x:v>CAND-F6184286A4322F</x:v>
      </x:c>
      <x:c r="D152" s="34" t="str">
        <x:v>P2</x:v>
      </x:c>
      <x:c r="E152" s="34" t="str">
        <x:v>PORT-6742936593A9</x:v>
      </x:c>
      <x:c r="F152" s="34" t="n">
        <x:v>2</x:v>
      </x:c>
      <x:c r="G152" s="34" t="n">
        <x:v>2</x:v>
      </x:c>
      <x:c r="H152" s="40" t="b">
        <x:v>1</x:v>
      </x:c>
      <x:c r="I152" s="34" t="n">
        <x:v>84.912942</x:v>
      </x:c>
      <x:c r="J152" s="34" t="n">
        <x:v>0.762156</x:v>
      </x:c>
      <x:c r="K152" s="34" t="n">
        <x:v>23.324736</x:v>
      </x:c>
      <x:c r="L152" s="34" t="n">
        <x:v>3.057602</x:v>
      </x:c>
      <x:c r="M152" s="34" t="n">
        <x:v>62.120309</x:v>
      </x:c>
      <x:c r="N152" s="34" t="n">
        <x:v>0.869267</x:v>
      </x:c>
      <x:c r="O152" s="34" t="n">
        <x:v>51.150133</x:v>
      </x:c>
      <x:c r="P152" s="34" t="n">
        <x:v>0.848688</x:v>
      </x:c>
      <x:c r="Q152" s="34" t="n">
        <x:v>0</x:v>
      </x:c>
      <x:c r="R152" s="34" t="n">
        <x:v>0</x:v>
      </x:c>
      <x:c r="S152" s="34" t="n">
        <x:v>0</x:v>
      </x:c>
      <x:c r="T152" s="34" t="n">
        <x:v>0</x:v>
      </x:c>
    </x:row>
    <x:row r="153">
      <x:c r="A153" s="34" t="str">
        <x:v>NIPPON_STEEL_JP</x:v>
      </x:c>
      <x:c r="B153" s="34" t="str">
        <x:v>Nippon Steel</x:v>
      </x:c>
      <x:c r="C153" s="34" t="str">
        <x:v>CAND-F940A5016FE44E</x:v>
      </x:c>
      <x:c r="D153" s="34" t="str">
        <x:v>P1</x:v>
      </x:c>
      <x:c r="E153" s="34" t="str">
        <x:v>PORT-00B029BF7478</x:v>
      </x:c>
      <x:c r="F153" s="34" t="n">
        <x:v>2</x:v>
      </x:c>
      <x:c r="G153" s="34" t="n">
        <x:v>2</x:v>
      </x:c>
      <x:c r="H153" s="40" t="b">
        <x:v>1</x:v>
      </x:c>
      <x:c r="I153" s="34" t="n">
        <x:v>101.005497</x:v>
      </x:c>
      <x:c r="J153" s="34" t="n">
        <x:v>2.600465</x:v>
      </x:c>
      <x:c r="K153" s="34" t="n">
        <x:v>30.866664</x:v>
      </x:c>
      <x:c r="L153" s="34" t="n">
        <x:v>3.824684</x:v>
      </x:c>
      <x:c r="M153" s="34" t="n">
        <x:v>78.212864</x:v>
      </x:c>
      <x:c r="N153" s="34" t="n">
        <x:v>2.7006</x:v>
      </x:c>
      <x:c r="O153" s="34" t="n">
        <x:v>68.331107</x:v>
      </x:c>
      <x:c r="P153" s="34" t="n">
        <x:v>2.402613</x:v>
      </x:c>
      <x:c r="Q153" s="34" t="n">
        <x:v>0</x:v>
      </x:c>
      <x:c r="R153" s="34" t="n">
        <x:v>0</x:v>
      </x:c>
      <x:c r="S153" s="34" t="n">
        <x:v>0</x:v>
      </x:c>
      <x:c r="T153" s="34" t="n">
        <x:v>0</x:v>
      </x:c>
    </x:row>
    <x:row r="154">
      <x:c r="A154" s="34" t="str">
        <x:v>NIPPON_STEEL_JP</x:v>
      </x:c>
      <x:c r="B154" s="34" t="str">
        <x:v>Nippon Steel</x:v>
      </x:c>
      <x:c r="C154" s="34" t="str">
        <x:v>CAND-FCEB78D7C5F4C6</x:v>
      </x:c>
      <x:c r="D154" s="34" t="str">
        <x:v>P1</x:v>
      </x:c>
      <x:c r="E154" s="34" t="str">
        <x:v>PORT-7DCD4991144C</x:v>
      </x:c>
      <x:c r="F154" s="34" t="n">
        <x:v>2</x:v>
      </x:c>
      <x:c r="G154" s="34" t="n">
        <x:v>1</x:v>
      </x:c>
      <x:c r="H154" s="40" t="b">
        <x:v>0</x:v>
      </x:c>
      <x:c r="I154" s="34" t="n">
        <x:v>22.79683</x:v>
      </x:c>
      <x:c r="J154" s="34" t="n">
        <x:v>0.127037</x:v>
      </x:c>
      <x:c r="K154" s="34" t="n">
        <x:v>11.084551</x:v>
      </x:c>
      <x:c r="L154" s="34" t="n">
        <x:v>1.827881</x:v>
      </x:c>
      <x:c r="M154" s="34" t="n">
        <x:v>0.004198</x:v>
      </x:c>
      <x:c r="N154" s="34" t="n">
        <x:v>0.007271</x:v>
      </x:c>
      <x:c r="O154" s="34" t="n">
        <x:v>-12.716207</x:v>
      </x:c>
      <x:c r="P154" s="34" t="n">
        <x:v>0.463269</x:v>
      </x:c>
      <x:c r="Q154" s="34" t="n">
        <x:v>0</x:v>
      </x:c>
      <x:c r="R154" s="34" t="n">
        <x:v>0</x:v>
      </x:c>
      <x:c r="S154" s="34" t="n">
        <x:v>0</x:v>
      </x:c>
      <x:c r="T154" s="34" t="n">
        <x:v>0</x:v>
      </x:c>
    </x:row>
    <x:row r="155">
      <x:c r="A155" s="34" t="str">
        <x:v>POSCO_KR</x:v>
      </x:c>
      <x:c r="B155" s="34" t="str">
        <x:v>POSCO</x:v>
      </x:c>
      <x:c r="C155" s="34" t="str">
        <x:v>CAND-00B5592B22DA24</x:v>
      </x:c>
      <x:c r="D155" s="34" t="str">
        <x:v>P4</x:v>
      </x:c>
      <x:c r="E155" s="34" t="str">
        <x:v>PORT-66E75B54664A</x:v>
      </x:c>
      <x:c r="F155" s="34" t="n">
        <x:v>2</x:v>
      </x:c>
      <x:c r="G155" s="34" t="n">
        <x:v>2</x:v>
      </x:c>
      <x:c r="H155" s="40" t="b">
        <x:v>1</x:v>
      </x:c>
      <x:c r="I155" s="34" t="n">
        <x:v>96.043861</x:v>
      </x:c>
      <x:c r="J155" s="34" t="n">
        <x:v>0.412909</x:v>
      </x:c>
      <x:c r="K155" s="34" t="n">
        <x:v>13.562316</x:v>
      </x:c>
      <x:c r="L155" s="34" t="n">
        <x:v>1.683413</x:v>
      </x:c>
      <x:c r="M155" s="34" t="n">
        <x:v>86.784038</x:v>
      </x:c>
      <x:c r="N155" s="34" t="n">
        <x:v>0.576088</x:v>
      </x:c>
      <x:c r="O155" s="34" t="n">
        <x:v>75.061602</x:v>
      </x:c>
      <x:c r="P155" s="34" t="n">
        <x:v>0.445239</x:v>
      </x:c>
      <x:c r="Q155" s="34" t="n">
        <x:v>0</x:v>
      </x:c>
      <x:c r="R155" s="34" t="n">
        <x:v>0</x:v>
      </x:c>
      <x:c r="S155" s="34" t="n">
        <x:v>0</x:v>
      </x:c>
      <x:c r="T155" s="34" t="n">
        <x:v>0</x:v>
      </x:c>
    </x:row>
    <x:row r="156">
      <x:c r="A156" s="34" t="str">
        <x:v>POSCO_KR</x:v>
      </x:c>
      <x:c r="B156" s="34" t="str">
        <x:v>POSCO</x:v>
      </x:c>
      <x:c r="C156" s="34" t="str">
        <x:v>CAND-014834EFF571CA</x:v>
      </x:c>
      <x:c r="D156" s="34" t="str">
        <x:v>P2</x:v>
      </x:c>
      <x:c r="E156" s="34" t="str">
        <x:v>PORT-26982033AA0F</x:v>
      </x:c>
      <x:c r="F156" s="34" t="n">
        <x:v>2</x:v>
      </x:c>
      <x:c r="G156" s="34" t="n">
        <x:v>0</x:v>
      </x:c>
      <x:c r="H156" s="40" t="b">
        <x:v>0</x:v>
      </x:c>
      <x:c r="I156" s="34" t="n">
        <x:v>115.926559</x:v>
      </x:c>
      <x:c r="J156" s="34" t="n">
        <x:v>1.059127</x:v>
      </x:c>
      <x:c r="K156" s="34" t="n">
        <x:v>27.878033</x:v>
      </x:c>
      <x:c r="L156" s="34" t="n">
        <x:v>3.655075</x:v>
      </x:c>
      <x:c r="M156" s="34" t="n">
        <x:v>106.666736</x:v>
      </x:c>
      <x:c r="N156" s="34" t="n">
        <x:v>0.525488</x:v>
      </x:c>
      <x:c r="O156" s="34" t="n">
        <x:v>96.730635</x:v>
      </x:c>
      <x:c r="P156" s="34" t="n">
        <x:v>1.232521</x:v>
      </x:c>
      <x:c r="Q156" s="34" t="n">
        <x:v>0</x:v>
      </x:c>
      <x:c r="R156" s="34" t="n">
        <x:v>0</x:v>
      </x:c>
      <x:c r="S156" s="34" t="n">
        <x:v>0</x:v>
      </x:c>
      <x:c r="T156" s="34" t="n">
        <x:v>0</x:v>
      </x:c>
    </x:row>
    <x:row r="157">
      <x:c r="A157" s="34" t="str">
        <x:v>POSCO_KR</x:v>
      </x:c>
      <x:c r="B157" s="34" t="str">
        <x:v>POSCO</x:v>
      </x:c>
      <x:c r="C157" s="34" t="str">
        <x:v>CAND-022C4C9D65C291</x:v>
      </x:c>
      <x:c r="D157" s="34" t="str">
        <x:v>P2</x:v>
      </x:c>
      <x:c r="E157" s="34" t="str">
        <x:v>PORT-3D4DF75A91D4</x:v>
      </x:c>
      <x:c r="F157" s="34" t="n">
        <x:v>2</x:v>
      </x:c>
      <x:c r="G157" s="34" t="n">
        <x:v>1</x:v>
      </x:c>
      <x:c r="H157" s="40" t="b">
        <x:v>0</x:v>
      </x:c>
      <x:c r="I157" s="34" t="n">
        <x:v>133.588009</x:v>
      </x:c>
      <x:c r="J157" s="34" t="n">
        <x:v>0.114972</x:v>
      </x:c>
      <x:c r="K157" s="34" t="n">
        <x:v>31.398517</x:v>
      </x:c>
      <x:c r="L157" s="34" t="n">
        <x:v>3.662289</x:v>
      </x:c>
      <x:c r="M157" s="34" t="n">
        <x:v>124.328186</x:v>
      </x:c>
      <x:c r="N157" s="34" t="n">
        <x:v>0.532005</x:v>
      </x:c>
      <x:c r="O157" s="34" t="n">
        <x:v>114.675813</x:v>
      </x:c>
      <x:c r="P157" s="34" t="n">
        <x:v>0.255359</x:v>
      </x:c>
      <x:c r="Q157" s="34" t="n">
        <x:v>0</x:v>
      </x:c>
      <x:c r="R157" s="34" t="n">
        <x:v>0</x:v>
      </x:c>
      <x:c r="S157" s="34" t="n">
        <x:v>0</x:v>
      </x:c>
      <x:c r="T157" s="34" t="n">
        <x:v>0</x:v>
      </x:c>
    </x:row>
    <x:row r="158">
      <x:c r="A158" s="34" t="str">
        <x:v>POSCO_KR</x:v>
      </x:c>
      <x:c r="B158" s="34" t="str">
        <x:v>POSCO</x:v>
      </x:c>
      <x:c r="C158" s="34" t="str">
        <x:v>CAND-03F5DDC22322D9</x:v>
      </x:c>
      <x:c r="D158" s="34" t="str">
        <x:v>P1</x:v>
      </x:c>
      <x:c r="E158" s="34" t="str">
        <x:v>PORT-2E4122B1D61A</x:v>
      </x:c>
      <x:c r="F158" s="34" t="n">
        <x:v>2</x:v>
      </x:c>
      <x:c r="G158" s="34" t="n">
        <x:v>0</x:v>
      </x:c>
      <x:c r="H158" s="40" t="b">
        <x:v>0</x:v>
      </x:c>
      <x:c r="I158" s="34" t="n">
        <x:v>149.667411</x:v>
      </x:c>
      <x:c r="J158" s="34" t="n">
        <x:v>0.643913</x:v>
      </x:c>
      <x:c r="K158" s="34" t="n">
        <x:v>39.906298</x:v>
      </x:c>
      <x:c r="L158" s="34" t="n">
        <x:v>4.084614</x:v>
      </x:c>
      <x:c r="M158" s="34" t="n">
        <x:v>140.407588</x:v>
      </x:c>
      <x:c r="N158" s="34" t="n">
        <x:v>1.106757</x:v>
      </x:c>
      <x:c r="O158" s="34" t="n">
        <x:v>132.127318</x:v>
      </x:c>
      <x:c r="P158" s="34" t="n">
        <x:v>0.700303</x:v>
      </x:c>
      <x:c r="Q158" s="34" t="n">
        <x:v>0</x:v>
      </x:c>
      <x:c r="R158" s="34" t="n">
        <x:v>0</x:v>
      </x:c>
      <x:c r="S158" s="34" t="n">
        <x:v>0</x:v>
      </x:c>
      <x:c r="T158" s="34" t="n">
        <x:v>0</x:v>
      </x:c>
    </x:row>
    <x:row r="159">
      <x:c r="A159" s="34" t="str">
        <x:v>POSCO_KR</x:v>
      </x:c>
      <x:c r="B159" s="34" t="str">
        <x:v>POSCO</x:v>
      </x:c>
      <x:c r="C159" s="34" t="str">
        <x:v>CAND-0792E2DF105A73</x:v>
      </x:c>
      <x:c r="D159" s="34" t="str">
        <x:v>P5</x:v>
      </x:c>
      <x:c r="E159" s="34" t="str">
        <x:v>PORT-C07B5FF15869</x:v>
      </x:c>
      <x:c r="F159" s="34" t="n">
        <x:v>2</x:v>
      </x:c>
      <x:c r="G159" s="34" t="n">
        <x:v>1</x:v>
      </x:c>
      <x:c r="H159" s="40" t="b">
        <x:v>0</x:v>
      </x:c>
      <x:c r="I159" s="34" t="n">
        <x:v>124.436291</x:v>
      </x:c>
      <x:c r="J159" s="34" t="n">
        <x:v>0.267729</x:v>
      </x:c>
      <x:c r="K159" s="34" t="n">
        <x:v>9.711197</x:v>
      </x:c>
      <x:c r="L159" s="34" t="n">
        <x:v>0.915914</x:v>
      </x:c>
      <x:c r="M159" s="34" t="n">
        <x:v>115.176467</x:v>
      </x:c>
      <x:c r="N159" s="34" t="n">
        <x:v>0.63179</x:v>
      </x:c>
      <x:c r="O159" s="34" t="n">
        <x:v>102.06389</x:v>
      </x:c>
      <x:c r="P159" s="34" t="n">
        <x:v>0.261324</x:v>
      </x:c>
      <x:c r="Q159" s="34" t="n">
        <x:v>0</x:v>
      </x:c>
      <x:c r="R159" s="34" t="n">
        <x:v>0</x:v>
      </x:c>
      <x:c r="S159" s="34" t="n">
        <x:v>0</x:v>
      </x:c>
      <x:c r="T159" s="34" t="n">
        <x:v>0</x:v>
      </x:c>
    </x:row>
    <x:row r="160">
      <x:c r="A160" s="34" t="str">
        <x:v>POSCO_KR</x:v>
      </x:c>
      <x:c r="B160" s="34" t="str">
        <x:v>POSCO</x:v>
      </x:c>
      <x:c r="C160" s="34" t="str">
        <x:v>CAND-0A4190A420448F</x:v>
      </x:c>
      <x:c r="D160" s="34" t="str">
        <x:v>P1</x:v>
      </x:c>
      <x:c r="E160" s="34" t="str">
        <x:v>PORT-92AEBEABC7A8</x:v>
      </x:c>
      <x:c r="F160" s="34" t="n">
        <x:v>2</x:v>
      </x:c>
      <x:c r="G160" s="34" t="n">
        <x:v>1</x:v>
      </x:c>
      <x:c r="H160" s="40" t="b">
        <x:v>0</x:v>
      </x:c>
      <x:c r="I160" s="34" t="n">
        <x:v>73.546769</x:v>
      </x:c>
      <x:c r="J160" s="34" t="n">
        <x:v>0.499124</x:v>
      </x:c>
      <x:c r="K160" s="34" t="n">
        <x:v>22.973274</x:v>
      </x:c>
      <x:c r="L160" s="34" t="n">
        <x:v>2.504331</x:v>
      </x:c>
      <x:c r="M160" s="34" t="n">
        <x:v>64.286946</x:v>
      </x:c>
      <x:c r="N160" s="34" t="n">
        <x:v>1.030562</x:v>
      </x:c>
      <x:c r="O160" s="34" t="n">
        <x:v>53.465603</x:v>
      </x:c>
      <x:c r="P160" s="34" t="n">
        <x:v>0.559294</x:v>
      </x:c>
      <x:c r="Q160" s="34" t="n">
        <x:v>0</x:v>
      </x:c>
      <x:c r="R160" s="34" t="n">
        <x:v>0</x:v>
      </x:c>
      <x:c r="S160" s="34" t="n">
        <x:v>0</x:v>
      </x:c>
      <x:c r="T160" s="34" t="n">
        <x:v>0</x:v>
      </x:c>
    </x:row>
    <x:row r="161">
      <x:c r="A161" s="34" t="str">
        <x:v>POSCO_KR</x:v>
      </x:c>
      <x:c r="B161" s="34" t="str">
        <x:v>POSCO</x:v>
      </x:c>
      <x:c r="C161" s="34" t="str">
        <x:v>CAND-0B0DF7CC24CCF4</x:v>
      </x:c>
      <x:c r="D161" s="34" t="str">
        <x:v>P3</x:v>
      </x:c>
      <x:c r="E161" s="34" t="str">
        <x:v>PORT-7DC46150E6EE</x:v>
      </x:c>
      <x:c r="F161" s="34" t="n">
        <x:v>2</x:v>
      </x:c>
      <x:c r="G161" s="34" t="n">
        <x:v>0</x:v>
      </x:c>
      <x:c r="H161" s="40" t="b">
        <x:v>0</x:v>
      </x:c>
      <x:c r="I161" s="34" t="n">
        <x:v>113.256264</x:v>
      </x:c>
      <x:c r="J161" s="34" t="n">
        <x:v>0.666489</x:v>
      </x:c>
      <x:c r="K161" s="34" t="n">
        <x:v>22.114647</x:v>
      </x:c>
      <x:c r="L161" s="34" t="n">
        <x:v>3.012629</x:v>
      </x:c>
      <x:c r="M161" s="34" t="n">
        <x:v>103.996441</x:v>
      </x:c>
      <x:c r="N161" s="34" t="n">
        <x:v>0.979235</x:v>
      </x:c>
      <x:c r="O161" s="34" t="n">
        <x:v>93.074854</x:v>
      </x:c>
      <x:c r="P161" s="34" t="n">
        <x:v>0.753048</x:v>
      </x:c>
      <x:c r="Q161" s="34" t="n">
        <x:v>0</x:v>
      </x:c>
      <x:c r="R161" s="34" t="n">
        <x:v>0</x:v>
      </x:c>
      <x:c r="S161" s="34" t="n">
        <x:v>0</x:v>
      </x:c>
      <x:c r="T161" s="34" t="n">
        <x:v>0</x:v>
      </x:c>
    </x:row>
    <x:row r="162">
      <x:c r="A162" s="34" t="str">
        <x:v>POSCO_KR</x:v>
      </x:c>
      <x:c r="B162" s="34" t="str">
        <x:v>POSCO</x:v>
      </x:c>
      <x:c r="C162" s="34" t="str">
        <x:v>CAND-0BE357EA5504BE</x:v>
      </x:c>
      <x:c r="D162" s="34" t="str">
        <x:v>P2</x:v>
      </x:c>
      <x:c r="E162" s="34" t="str">
        <x:v>PORT-4FCB78A64B21</x:v>
      </x:c>
      <x:c r="F162" s="34" t="n">
        <x:v>2</x:v>
      </x:c>
      <x:c r="G162" s="34" t="n">
        <x:v>1</x:v>
      </x:c>
      <x:c r="H162" s="40" t="b">
        <x:v>0</x:v>
      </x:c>
      <x:c r="I162" s="34" t="n">
        <x:v>44.784331</x:v>
      </x:c>
      <x:c r="J162" s="34" t="n">
        <x:v>0.304729</x:v>
      </x:c>
      <x:c r="K162" s="34" t="n">
        <x:v>14.548841</x:v>
      </x:c>
      <x:c r="L162" s="34" t="n">
        <x:v>2.395379</x:v>
      </x:c>
      <x:c r="M162" s="34" t="n">
        <x:v>35.524508</x:v>
      </x:c>
      <x:c r="N162" s="34" t="n">
        <x:v>0.838137</x:v>
      </x:c>
      <x:c r="O162" s="34" t="n">
        <x:v>23.429695</x:v>
      </x:c>
      <x:c r="P162" s="34" t="n">
        <x:v>0.481788</x:v>
      </x:c>
      <x:c r="Q162" s="34" t="n">
        <x:v>0</x:v>
      </x:c>
      <x:c r="R162" s="34" t="n">
        <x:v>0</x:v>
      </x:c>
      <x:c r="S162" s="34" t="n">
        <x:v>0</x:v>
      </x:c>
      <x:c r="T162" s="34" t="n">
        <x:v>0</x:v>
      </x:c>
    </x:row>
    <x:row r="163">
      <x:c r="A163" s="34" t="str">
        <x:v>POSCO_KR</x:v>
      </x:c>
      <x:c r="B163" s="34" t="str">
        <x:v>POSCO</x:v>
      </x:c>
      <x:c r="C163" s="34" t="str">
        <x:v>CAND-0CC63FAC54D3C0</x:v>
      </x:c>
      <x:c r="D163" s="34" t="str">
        <x:v>P2</x:v>
      </x:c>
      <x:c r="E163" s="34" t="str">
        <x:v>PORT-A620DB8F058C</x:v>
      </x:c>
      <x:c r="F163" s="34" t="n">
        <x:v>2</x:v>
      </x:c>
      <x:c r="G163" s="34" t="n">
        <x:v>2</x:v>
      </x:c>
      <x:c r="H163" s="40" t="b">
        <x:v>1</x:v>
      </x:c>
      <x:c r="I163" s="34" t="n">
        <x:v>80.451623</x:v>
      </x:c>
      <x:c r="J163" s="34" t="n">
        <x:v>0.46176</x:v>
      </x:c>
      <x:c r="K163" s="34" t="n">
        <x:v>21.817808</x:v>
      </x:c>
      <x:c r="L163" s="34" t="n">
        <x:v>3.27259</x:v>
      </x:c>
      <x:c r="M163" s="34" t="n">
        <x:v>71.1918</x:v>
      </x:c>
      <x:c r="N163" s="34" t="n">
        <x:v>0.866718</x:v>
      </x:c>
      <x:c r="O163" s="34" t="n">
        <x:v>60.334783</x:v>
      </x:c>
      <x:c r="P163" s="34" t="n">
        <x:v>0.455105</x:v>
      </x:c>
      <x:c r="Q163" s="34" t="n">
        <x:v>0</x:v>
      </x:c>
      <x:c r="R163" s="34" t="n">
        <x:v>0</x:v>
      </x:c>
      <x:c r="S163" s="34" t="n">
        <x:v>0</x:v>
      </x:c>
      <x:c r="T163" s="34" t="n">
        <x:v>0</x:v>
      </x:c>
    </x:row>
    <x:row r="164">
      <x:c r="A164" s="34" t="str">
        <x:v>POSCO_KR</x:v>
      </x:c>
      <x:c r="B164" s="34" t="str">
        <x:v>POSCO</x:v>
      </x:c>
      <x:c r="C164" s="34" t="str">
        <x:v>CAND-0CC93D992FF190</x:v>
      </x:c>
      <x:c r="D164" s="34" t="str">
        <x:v>P3</x:v>
      </x:c>
      <x:c r="E164" s="34" t="str">
        <x:v>PORT-531039DEA968</x:v>
      </x:c>
      <x:c r="F164" s="34" t="n">
        <x:v>2</x:v>
      </x:c>
      <x:c r="G164" s="34" t="n">
        <x:v>1</x:v>
      </x:c>
      <x:c r="H164" s="40" t="b">
        <x:v>0</x:v>
      </x:c>
      <x:c r="I164" s="34" t="n">
        <x:v>94.07951</x:v>
      </x:c>
      <x:c r="J164" s="34" t="n">
        <x:v>0.804391</x:v>
      </x:c>
      <x:c r="K164" s="34" t="n">
        <x:v>19.675389</x:v>
      </x:c>
      <x:c r="L164" s="34" t="n">
        <x:v>2.178953</x:v>
      </x:c>
      <x:c r="M164" s="34" t="n">
        <x:v>84.819687</x:v>
      </x:c>
      <x:c r="N164" s="34" t="n">
        <x:v>1.31818</x:v>
      </x:c>
      <x:c r="O164" s="34" t="n">
        <x:v>73.445957</x:v>
      </x:c>
      <x:c r="P164" s="34" t="n">
        <x:v>0.606162</x:v>
      </x:c>
      <x:c r="Q164" s="34" t="n">
        <x:v>0</x:v>
      </x:c>
      <x:c r="R164" s="34" t="n">
        <x:v>0</x:v>
      </x:c>
      <x:c r="S164" s="34" t="n">
        <x:v>0</x:v>
      </x:c>
      <x:c r="T164" s="34" t="n">
        <x:v>0</x:v>
      </x:c>
    </x:row>
    <x:row r="165">
      <x:c r="A165" s="34" t="str">
        <x:v>POSCO_KR</x:v>
      </x:c>
      <x:c r="B165" s="34" t="str">
        <x:v>POSCO</x:v>
      </x:c>
      <x:c r="C165" s="34" t="str">
        <x:v>CAND-0D9DBFAFAC1A93</x:v>
      </x:c>
      <x:c r="D165" s="34" t="str">
        <x:v>P2</x:v>
      </x:c>
      <x:c r="E165" s="34" t="str">
        <x:v>PORT-1CB3B12B9B60</x:v>
      </x:c>
      <x:c r="F165" s="34" t="n">
        <x:v>2</x:v>
      </x:c>
      <x:c r="G165" s="34" t="n">
        <x:v>1</x:v>
      </x:c>
      <x:c r="H165" s="40" t="b">
        <x:v>0</x:v>
      </x:c>
      <x:c r="I165" s="34" t="n">
        <x:v>124.489978</x:v>
      </x:c>
      <x:c r="J165" s="34" t="n">
        <x:v>1.105488</x:v>
      </x:c>
      <x:c r="K165" s="34" t="n">
        <x:v>27.575237</x:v>
      </x:c>
      <x:c r="L165" s="34" t="n">
        <x:v>3.108757</x:v>
      </x:c>
      <x:c r="M165" s="34" t="n">
        <x:v>115.230155</x:v>
      </x:c>
      <x:c r="N165" s="34" t="n">
        <x:v>0.760907</x:v>
      </x:c>
      <x:c r="O165" s="34" t="n">
        <x:v>105.403381</x:v>
      </x:c>
      <x:c r="P165" s="34" t="n">
        <x:v>1.267933</x:v>
      </x:c>
      <x:c r="Q165" s="34" t="n">
        <x:v>0</x:v>
      </x:c>
      <x:c r="R165" s="34" t="n">
        <x:v>0</x:v>
      </x:c>
      <x:c r="S165" s="34" t="n">
        <x:v>0</x:v>
      </x:c>
      <x:c r="T165" s="34" t="n">
        <x:v>0</x:v>
      </x:c>
    </x:row>
    <x:row r="166">
      <x:c r="A166" s="34" t="str">
        <x:v>POSCO_KR</x:v>
      </x:c>
      <x:c r="B166" s="34" t="str">
        <x:v>POSCO</x:v>
      </x:c>
      <x:c r="C166" s="34" t="str">
        <x:v>CAND-0F7926E25C7DDC</x:v>
      </x:c>
      <x:c r="D166" s="34" t="str">
        <x:v>P2</x:v>
      </x:c>
      <x:c r="E166" s="34" t="str">
        <x:v>PORT-B0374F687394</x:v>
      </x:c>
      <x:c r="F166" s="34" t="n">
        <x:v>2</x:v>
      </x:c>
      <x:c r="G166" s="34" t="n">
        <x:v>1</x:v>
      </x:c>
      <x:c r="H166" s="40" t="b">
        <x:v>0</x:v>
      </x:c>
      <x:c r="I166" s="34" t="n">
        <x:v>57.553507</x:v>
      </x:c>
      <x:c r="J166" s="34" t="n">
        <x:v>1.061242</x:v>
      </x:c>
      <x:c r="K166" s="34" t="n">
        <x:v>16.691177</x:v>
      </x:c>
      <x:c r="L166" s="34" t="n">
        <x:v>2.097867</x:v>
      </x:c>
      <x:c r="M166" s="34" t="n">
        <x:v>48.293684</x:v>
      </x:c>
      <x:c r="N166" s="34" t="n">
        <x:v>0.620199</x:v>
      </x:c>
      <x:c r="O166" s="34" t="n">
        <x:v>36.980702</x:v>
      </x:c>
      <x:c r="P166" s="34" t="n">
        <x:v>1.024933</x:v>
      </x:c>
      <x:c r="Q166" s="34" t="n">
        <x:v>0</x:v>
      </x:c>
      <x:c r="R166" s="34" t="n">
        <x:v>0</x:v>
      </x:c>
      <x:c r="S166" s="34" t="n">
        <x:v>0</x:v>
      </x:c>
      <x:c r="T166" s="34" t="n">
        <x:v>0</x:v>
      </x:c>
    </x:row>
    <x:row r="167">
      <x:c r="A167" s="34" t="str">
        <x:v>POSCO_KR</x:v>
      </x:c>
      <x:c r="B167" s="34" t="str">
        <x:v>POSCO</x:v>
      </x:c>
      <x:c r="C167" s="34" t="str">
        <x:v>CAND-11A200804B1E4C</x:v>
      </x:c>
      <x:c r="D167" s="34" t="str">
        <x:v>P1</x:v>
      </x:c>
      <x:c r="E167" s="34" t="str">
        <x:v>PORT-9341B5E9E1AE</x:v>
      </x:c>
      <x:c r="F167" s="34" t="n">
        <x:v>2</x:v>
      </x:c>
      <x:c r="G167" s="34" t="n">
        <x:v>0</x:v>
      </x:c>
      <x:c r="H167" s="40" t="b">
        <x:v>0</x:v>
      </x:c>
      <x:c r="I167" s="34" t="n">
        <x:v>10.899881</x:v>
      </x:c>
      <x:c r="J167" s="34" t="n">
        <x:v>0.351753</x:v>
      </x:c>
      <x:c r="K167" s="34" t="n">
        <x:v>7.99002</x:v>
      </x:c>
      <x:c r="L167" s="34" t="n">
        <x:v>1.238119</x:v>
      </x:c>
      <x:c r="M167" s="34" t="n">
        <x:v>1.640058</x:v>
      </x:c>
      <x:c r="N167" s="34" t="n">
        <x:v>0.183664</x:v>
      </x:c>
      <x:c r="O167" s="34" t="n">
        <x:v>-11.293308</x:v>
      </x:c>
      <x:c r="P167" s="34" t="n">
        <x:v>0.345205</x:v>
      </x:c>
      <x:c r="Q167" s="34" t="n">
        <x:v>0</x:v>
      </x:c>
      <x:c r="R167" s="34" t="n">
        <x:v>0</x:v>
      </x:c>
      <x:c r="S167" s="34" t="n">
        <x:v>0</x:v>
      </x:c>
      <x:c r="T167" s="34" t="n">
        <x:v>0</x:v>
      </x:c>
    </x:row>
    <x:row r="168">
      <x:c r="A168" s="34" t="str">
        <x:v>POSCO_KR</x:v>
      </x:c>
      <x:c r="B168" s="34" t="str">
        <x:v>POSCO</x:v>
      </x:c>
      <x:c r="C168" s="34" t="str">
        <x:v>CAND-1205E8D72A4654</x:v>
      </x:c>
      <x:c r="D168" s="34" t="str">
        <x:v>P3</x:v>
      </x:c>
      <x:c r="E168" s="34" t="str">
        <x:v>PORT-A620DB8F058C</x:v>
      </x:c>
      <x:c r="F168" s="34" t="n">
        <x:v>2</x:v>
      </x:c>
      <x:c r="G168" s="34" t="n">
        <x:v>2</x:v>
      </x:c>
      <x:c r="H168" s="40" t="b">
        <x:v>1</x:v>
      </x:c>
      <x:c r="I168" s="34" t="n">
        <x:v>77.753124</x:v>
      </x:c>
      <x:c r="J168" s="34" t="n">
        <x:v>0.375492</x:v>
      </x:c>
      <x:c r="K168" s="34" t="n">
        <x:v>17.108135</x:v>
      </x:c>
      <x:c r="L168" s="34" t="n">
        <x:v>2.582662</x:v>
      </x:c>
      <x:c r="M168" s="34" t="n">
        <x:v>68.4933</x:v>
      </x:c>
      <x:c r="N168" s="34" t="n">
        <x:v>0.780573</x:v>
      </x:c>
      <x:c r="O168" s="34" t="n">
        <x:v>57.035224</x:v>
      </x:c>
      <x:c r="P168" s="34" t="n">
        <x:v>0.348987</x:v>
      </x:c>
      <x:c r="Q168" s="34" t="n">
        <x:v>0</x:v>
      </x:c>
      <x:c r="R168" s="34" t="n">
        <x:v>0</x:v>
      </x:c>
      <x:c r="S168" s="34" t="n">
        <x:v>0</x:v>
      </x:c>
      <x:c r="T168" s="34" t="n">
        <x:v>0</x:v>
      </x:c>
    </x:row>
    <x:row r="169">
      <x:c r="A169" s="34" t="str">
        <x:v>POSCO_KR</x:v>
      </x:c>
      <x:c r="B169" s="34" t="str">
        <x:v>POSCO</x:v>
      </x:c>
      <x:c r="C169" s="34" t="str">
        <x:v>CAND-12C017BA38B922</x:v>
      </x:c>
      <x:c r="D169" s="34" t="str">
        <x:v>P1</x:v>
      </x:c>
      <x:c r="E169" s="34" t="str">
        <x:v>PORT-D42DEB3BDB60</x:v>
      </x:c>
      <x:c r="F169" s="34" t="n">
        <x:v>2</x:v>
      </x:c>
      <x:c r="G169" s="34" t="n">
        <x:v>1</x:v>
      </x:c>
      <x:c r="H169" s="40" t="b">
        <x:v>0</x:v>
      </x:c>
      <x:c r="I169" s="34" t="n">
        <x:v>49.843405</x:v>
      </x:c>
      <x:c r="J169" s="34" t="n">
        <x:v>0.298365</x:v>
      </x:c>
      <x:c r="K169" s="34" t="n">
        <x:v>17.317295</x:v>
      </x:c>
      <x:c r="L169" s="34" t="n">
        <x:v>1.592386</x:v>
      </x:c>
      <x:c r="M169" s="34" t="n">
        <x:v>40.583581</x:v>
      </x:c>
      <x:c r="N169" s="34" t="n">
        <x:v>0.810462</x:v>
      </x:c>
      <x:c r="O169" s="34" t="n">
        <x:v>29.150782</x:v>
      </x:c>
      <x:c r="P169" s="34" t="n">
        <x:v>0.379183</x:v>
      </x:c>
      <x:c r="Q169" s="34" t="n">
        <x:v>0</x:v>
      </x:c>
      <x:c r="R169" s="34" t="n">
        <x:v>0</x:v>
      </x:c>
      <x:c r="S169" s="34" t="n">
        <x:v>0</x:v>
      </x:c>
      <x:c r="T169" s="34" t="n">
        <x:v>0</x:v>
      </x:c>
    </x:row>
    <x:row r="170">
      <x:c r="A170" s="34" t="str">
        <x:v>POSCO_KR</x:v>
      </x:c>
      <x:c r="B170" s="34" t="str">
        <x:v>POSCO</x:v>
      </x:c>
      <x:c r="C170" s="34" t="str">
        <x:v>CAND-13A3A87B46A419</x:v>
      </x:c>
      <x:c r="D170" s="34" t="str">
        <x:v>P4</x:v>
      </x:c>
      <x:c r="E170" s="34" t="str">
        <x:v>PORT-C9ABA0ED93B4</x:v>
      </x:c>
      <x:c r="F170" s="34" t="n">
        <x:v>2</x:v>
      </x:c>
      <x:c r="G170" s="34" t="n">
        <x:v>1</x:v>
      </x:c>
      <x:c r="H170" s="40" t="b">
        <x:v>0</x:v>
      </x:c>
      <x:c r="I170" s="34" t="n">
        <x:v>85.236674</x:v>
      </x:c>
      <x:c r="J170" s="34" t="n">
        <x:v>0.729511</x:v>
      </x:c>
      <x:c r="K170" s="34" t="n">
        <x:v>11.761225</x:v>
      </x:c>
      <x:c r="L170" s="34" t="n">
        <x:v>0.950464</x:v>
      </x:c>
      <x:c r="M170" s="34" t="n">
        <x:v>75.97685</x:v>
      </x:c>
      <x:c r="N170" s="34" t="n">
        <x:v>0.97018</x:v>
      </x:c>
      <x:c r="O170" s="34" t="n">
        <x:v>63.782048</x:v>
      </x:c>
      <x:c r="P170" s="34" t="n">
        <x:v>0.709665</x:v>
      </x:c>
      <x:c r="Q170" s="34" t="n">
        <x:v>0</x:v>
      </x:c>
      <x:c r="R170" s="34" t="n">
        <x:v>0</x:v>
      </x:c>
      <x:c r="S170" s="34" t="n">
        <x:v>0</x:v>
      </x:c>
      <x:c r="T170" s="34" t="n">
        <x:v>0</x:v>
      </x:c>
    </x:row>
    <x:row r="171">
      <x:c r="A171" s="34" t="str">
        <x:v>POSCO_KR</x:v>
      </x:c>
      <x:c r="B171" s="34" t="str">
        <x:v>POSCO</x:v>
      </x:c>
      <x:c r="C171" s="34" t="str">
        <x:v>CAND-1452ABFC21BA3C</x:v>
      </x:c>
      <x:c r="D171" s="34" t="str">
        <x:v>P3</x:v>
      </x:c>
      <x:c r="E171" s="34" t="str">
        <x:v>PORT-2E4122B1D61A</x:v>
      </x:c>
      <x:c r="F171" s="34" t="n">
        <x:v>2</x:v>
      </x:c>
      <x:c r="G171" s="34" t="n">
        <x:v>0</x:v>
      </x:c>
      <x:c r="H171" s="40" t="b">
        <x:v>0</x:v>
      </x:c>
      <x:c r="I171" s="34" t="n">
        <x:v>140.536213</x:v>
      </x:c>
      <x:c r="J171" s="34" t="n">
        <x:v>0.432377</x:v>
      </x:c>
      <x:c r="K171" s="34" t="n">
        <x:v>26.663763</x:v>
      </x:c>
      <x:c r="L171" s="34" t="n">
        <x:v>2.768276</x:v>
      </x:c>
      <x:c r="M171" s="34" t="n">
        <x:v>131.27639</x:v>
      </x:c>
      <x:c r="N171" s="34" t="n">
        <x:v>0.857986</x:v>
      </x:c>
      <x:c r="O171" s="34" t="n">
        <x:v>120.800411</x:v>
      </x:c>
      <x:c r="P171" s="34" t="n">
        <x:v>0.446554</x:v>
      </x:c>
      <x:c r="Q171" s="34" t="n">
        <x:v>0</x:v>
      </x:c>
      <x:c r="R171" s="34" t="n">
        <x:v>0</x:v>
      </x:c>
      <x:c r="S171" s="34" t="n">
        <x:v>0</x:v>
      </x:c>
      <x:c r="T171" s="34" t="n">
        <x:v>0</x:v>
      </x:c>
    </x:row>
    <x:row r="172">
      <x:c r="A172" s="34" t="str">
        <x:v>POSCO_KR</x:v>
      </x:c>
      <x:c r="B172" s="34" t="str">
        <x:v>POSCO</x:v>
      </x:c>
      <x:c r="C172" s="34" t="str">
        <x:v>CAND-149176B54DA5B1</x:v>
      </x:c>
      <x:c r="D172" s="34" t="str">
        <x:v>P2</x:v>
      </x:c>
      <x:c r="E172" s="34" t="str">
        <x:v>PORT-58F96F629E32</x:v>
      </x:c>
      <x:c r="F172" s="34" t="n">
        <x:v>2</x:v>
      </x:c>
      <x:c r="G172" s="34" t="n">
        <x:v>1</x:v>
      </x:c>
      <x:c r="H172" s="40" t="b">
        <x:v>0</x:v>
      </x:c>
      <x:c r="I172" s="34" t="n">
        <x:v>49.746187</x:v>
      </x:c>
      <x:c r="J172" s="34" t="n">
        <x:v>0.901274</x:v>
      </x:c>
      <x:c r="K172" s="34" t="n">
        <x:v>14.740938</x:v>
      </x:c>
      <x:c r="L172" s="34" t="n">
        <x:v>2.135068</x:v>
      </x:c>
      <x:c r="M172" s="34" t="n">
        <x:v>40.486364</x:v>
      </x:c>
      <x:c r="N172" s="34" t="n">
        <x:v>1.408451</x:v>
      </x:c>
      <x:c r="O172" s="34" t="n">
        <x:v>28.858299</x:v>
      </x:c>
      <x:c r="P172" s="34" t="n">
        <x:v>0.947867</x:v>
      </x:c>
      <x:c r="Q172" s="34" t="n">
        <x:v>0</x:v>
      </x:c>
      <x:c r="R172" s="34" t="n">
        <x:v>0</x:v>
      </x:c>
      <x:c r="S172" s="34" t="n">
        <x:v>0</x:v>
      </x:c>
      <x:c r="T172" s="34" t="n">
        <x:v>0</x:v>
      </x:c>
    </x:row>
    <x:row r="173">
      <x:c r="A173" s="34" t="str">
        <x:v>POSCO_KR</x:v>
      </x:c>
      <x:c r="B173" s="34" t="str">
        <x:v>POSCO</x:v>
      </x:c>
      <x:c r="C173" s="34" t="str">
        <x:v>CAND-16671384F832DB</x:v>
      </x:c>
      <x:c r="D173" s="34" t="str">
        <x:v>P4</x:v>
      </x:c>
      <x:c r="E173" s="34" t="str">
        <x:v>PORT-A7B7FDCF1108</x:v>
      </x:c>
      <x:c r="F173" s="34" t="n">
        <x:v>2</x:v>
      </x:c>
      <x:c r="G173" s="34" t="n">
        <x:v>1</x:v>
      </x:c>
      <x:c r="H173" s="40" t="b">
        <x:v>0</x:v>
      </x:c>
      <x:c r="I173" s="34" t="n">
        <x:v>138.458064</x:v>
      </x:c>
      <x:c r="J173" s="34" t="n">
        <x:v>0.476663</x:v>
      </x:c>
      <x:c r="K173" s="34" t="n">
        <x:v>17.053406</x:v>
      </x:c>
      <x:c r="L173" s="34" t="n">
        <x:v>2.567878</x:v>
      </x:c>
      <x:c r="M173" s="34" t="n">
        <x:v>129.198241</x:v>
      </x:c>
      <x:c r="N173" s="34" t="n">
        <x:v>0.548701</x:v>
      </x:c>
      <x:c r="O173" s="34" t="n">
        <x:v>117.468329</x:v>
      </x:c>
      <x:c r="P173" s="34" t="n">
        <x:v>0.554447</x:v>
      </x:c>
      <x:c r="Q173" s="34" t="n">
        <x:v>0</x:v>
      </x:c>
      <x:c r="R173" s="34" t="n">
        <x:v>0</x:v>
      </x:c>
      <x:c r="S173" s="34" t="n">
        <x:v>0</x:v>
      </x:c>
      <x:c r="T173" s="34" t="n">
        <x:v>0</x:v>
      </x:c>
    </x:row>
    <x:row r="174">
      <x:c r="A174" s="34" t="str">
        <x:v>POSCO_KR</x:v>
      </x:c>
      <x:c r="B174" s="34" t="str">
        <x:v>POSCO</x:v>
      </x:c>
      <x:c r="C174" s="34" t="str">
        <x:v>CAND-16DADA55DF87CF</x:v>
      </x:c>
      <x:c r="D174" s="34" t="str">
        <x:v>P2</x:v>
      </x:c>
      <x:c r="E174" s="34" t="str">
        <x:v>PORT-F7156CC53AF8</x:v>
      </x:c>
      <x:c r="F174" s="34" t="n">
        <x:v>2</x:v>
      </x:c>
      <x:c r="G174" s="34" t="n">
        <x:v>0</x:v>
      </x:c>
      <x:c r="H174" s="40" t="b">
        <x:v>0</x:v>
      </x:c>
      <x:c r="I174" s="34" t="n">
        <x:v>124.820862</x:v>
      </x:c>
      <x:c r="J174" s="34" t="n">
        <x:v>1.04929</x:v>
      </x:c>
      <x:c r="K174" s="34" t="n">
        <x:v>28.59149</x:v>
      </x:c>
      <x:c r="L174" s="34" t="n">
        <x:v>3.145283</x:v>
      </x:c>
      <x:c r="M174" s="34" t="n">
        <x:v>115.561039</x:v>
      </x:c>
      <x:c r="N174" s="34" t="n">
        <x:v>0.835957</x:v>
      </x:c>
      <x:c r="O174" s="34" t="n">
        <x:v>105.546021</x:v>
      </x:c>
      <x:c r="P174" s="34" t="n">
        <x:v>1.104739</x:v>
      </x:c>
      <x:c r="Q174" s="34" t="n">
        <x:v>0</x:v>
      </x:c>
      <x:c r="R174" s="34" t="n">
        <x:v>0</x:v>
      </x:c>
      <x:c r="S174" s="34" t="n">
        <x:v>0</x:v>
      </x:c>
      <x:c r="T174" s="34" t="n">
        <x:v>0</x:v>
      </x:c>
    </x:row>
    <x:row r="175">
      <x:c r="A175" s="34" t="str">
        <x:v>POSCO_KR</x:v>
      </x:c>
      <x:c r="B175" s="34" t="str">
        <x:v>POSCO</x:v>
      </x:c>
      <x:c r="C175" s="34" t="str">
        <x:v>CAND-19A0EC6A18A011</x:v>
      </x:c>
      <x:c r="D175" s="34" t="str">
        <x:v>P1</x:v>
      </x:c>
      <x:c r="E175" s="34" t="str">
        <x:v>PORT-0EE037EBD6C8</x:v>
      </x:c>
      <x:c r="F175" s="34" t="n">
        <x:v>2</x:v>
      </x:c>
      <x:c r="G175" s="34" t="n">
        <x:v>0</x:v>
      </x:c>
      <x:c r="H175" s="40" t="b">
        <x:v>0</x:v>
      </x:c>
      <x:c r="I175" s="34" t="n">
        <x:v>116.278289</x:v>
      </x:c>
      <x:c r="J175" s="34" t="n">
        <x:v>1.623647</x:v>
      </x:c>
      <x:c r="K175" s="34" t="n">
        <x:v>31.291057</x:v>
      </x:c>
      <x:c r="L175" s="34" t="n">
        <x:v>3.505569</x:v>
      </x:c>
      <x:c r="M175" s="34" t="n">
        <x:v>107.018466</x:v>
      </x:c>
      <x:c r="N175" s="34" t="n">
        <x:v>1.693972</x:v>
      </x:c>
      <x:c r="O175" s="34" t="n">
        <x:v>97.581544</x:v>
      </x:c>
      <x:c r="P175" s="34" t="n">
        <x:v>1.58078</x:v>
      </x:c>
      <x:c r="Q175" s="34" t="n">
        <x:v>0</x:v>
      </x:c>
      <x:c r="R175" s="34" t="n">
        <x:v>0</x:v>
      </x:c>
      <x:c r="S175" s="34" t="n">
        <x:v>0</x:v>
      </x:c>
      <x:c r="T175" s="34" t="n">
        <x:v>0</x:v>
      </x:c>
    </x:row>
    <x:row r="176">
      <x:c r="A176" s="34" t="str">
        <x:v>POSCO_KR</x:v>
      </x:c>
      <x:c r="B176" s="34" t="str">
        <x:v>POSCO</x:v>
      </x:c>
      <x:c r="C176" s="34" t="str">
        <x:v>CAND-19C362AB4D3239</x:v>
      </x:c>
      <x:c r="D176" s="34" t="str">
        <x:v>P1</x:v>
      </x:c>
      <x:c r="E176" s="34" t="str">
        <x:v>PORT-CA761749FFB1</x:v>
      </x:c>
      <x:c r="F176" s="34" t="n">
        <x:v>2</x:v>
      </x:c>
      <x:c r="G176" s="34" t="n">
        <x:v>1</x:v>
      </x:c>
      <x:c r="H176" s="40" t="b">
        <x:v>0</x:v>
      </x:c>
      <x:c r="I176" s="34" t="n">
        <x:v>62.628241</x:v>
      </x:c>
      <x:c r="J176" s="34" t="n">
        <x:v>1.17887</x:v>
      </x:c>
      <x:c r="K176" s="34" t="n">
        <x:v>20.469736</x:v>
      </x:c>
      <x:c r="L176" s="34" t="n">
        <x:v>2.578597</x:v>
      </x:c>
      <x:c r="M176" s="34" t="n">
        <x:v>53.368417</x:v>
      </x:c>
      <x:c r="N176" s="34" t="n">
        <x:v>1.710118</x:v>
      </x:c>
      <x:c r="O176" s="34" t="n">
        <x:v>42.141212</x:v>
      </x:c>
      <x:c r="P176" s="34" t="n">
        <x:v>1.308867</x:v>
      </x:c>
      <x:c r="Q176" s="34" t="n">
        <x:v>0</x:v>
      </x:c>
      <x:c r="R176" s="34" t="n">
        <x:v>0</x:v>
      </x:c>
      <x:c r="S176" s="34" t="n">
        <x:v>0</x:v>
      </x:c>
      <x:c r="T176" s="34" t="n">
        <x:v>0</x:v>
      </x:c>
    </x:row>
    <x:row r="177">
      <x:c r="A177" s="34" t="str">
        <x:v>POSCO_KR</x:v>
      </x:c>
      <x:c r="B177" s="34" t="str">
        <x:v>POSCO</x:v>
      </x:c>
      <x:c r="C177" s="34" t="str">
        <x:v>CAND-1F4761E26DC6B1</x:v>
      </x:c>
      <x:c r="D177" s="34" t="str">
        <x:v>P2</x:v>
      </x:c>
      <x:c r="E177" s="34" t="str">
        <x:v>PORT-15CB4F8207C5</x:v>
      </x:c>
      <x:c r="F177" s="34" t="n">
        <x:v>2</x:v>
      </x:c>
      <x:c r="G177" s="34" t="n">
        <x:v>1</x:v>
      </x:c>
      <x:c r="H177" s="40" t="b">
        <x:v>0</x:v>
      </x:c>
      <x:c r="I177" s="34" t="n">
        <x:v>139.422775</x:v>
      </x:c>
      <x:c r="J177" s="34" t="n">
        <x:v>2.091365</x:v>
      </x:c>
      <x:c r="K177" s="34" t="n">
        <x:v>33.364084</x:v>
      </x:c>
      <x:c r="L177" s="34" t="n">
        <x:v>4.010757</x:v>
      </x:c>
      <x:c r="M177" s="34" t="n">
        <x:v>130.162951</x:v>
      </x:c>
      <x:c r="N177" s="34" t="n">
        <x:v>2.614772</x:v>
      </x:c>
      <x:c r="O177" s="34" t="n">
        <x:v>120.756578</x:v>
      </x:c>
      <x:c r="P177" s="34" t="n">
        <x:v>2.123257</x:v>
      </x:c>
      <x:c r="Q177" s="34" t="n">
        <x:v>0</x:v>
      </x:c>
      <x:c r="R177" s="34" t="n">
        <x:v>0</x:v>
      </x:c>
      <x:c r="S177" s="34" t="n">
        <x:v>0</x:v>
      </x:c>
      <x:c r="T177" s="34" t="n">
        <x:v>0</x:v>
      </x:c>
    </x:row>
    <x:row r="178">
      <x:c r="A178" s="34" t="str">
        <x:v>POSCO_KR</x:v>
      </x:c>
      <x:c r="B178" s="34" t="str">
        <x:v>POSCO</x:v>
      </x:c>
      <x:c r="C178" s="34" t="str">
        <x:v>CAND-25E596C7BBF514</x:v>
      </x:c>
      <x:c r="D178" s="34" t="str">
        <x:v>P1</x:v>
      </x:c>
      <x:c r="E178" s="34" t="str">
        <x:v>PORT-2038E8D6C481</x:v>
      </x:c>
      <x:c r="F178" s="34" t="n">
        <x:v>2</x:v>
      </x:c>
      <x:c r="G178" s="34" t="n">
        <x:v>1</x:v>
      </x:c>
      <x:c r="H178" s="40" t="b">
        <x:v>0</x:v>
      </x:c>
      <x:c r="I178" s="34" t="n">
        <x:v>72.347188</x:v>
      </x:c>
      <x:c r="J178" s="34" t="n">
        <x:v>0.888822</x:v>
      </x:c>
      <x:c r="K178" s="34" t="n">
        <x:v>22.048422</x:v>
      </x:c>
      <x:c r="L178" s="34" t="n">
        <x:v>2.425792</x:v>
      </x:c>
      <x:c r="M178" s="34" t="n">
        <x:v>63.087365</x:v>
      </x:c>
      <x:c r="N178" s="34" t="n">
        <x:v>0.980891</x:v>
      </x:c>
      <x:c r="O178" s="34" t="n">
        <x:v>51.892272</x:v>
      </x:c>
      <x:c r="P178" s="34" t="n">
        <x:v>0.891167</x:v>
      </x:c>
      <x:c r="Q178" s="34" t="n">
        <x:v>0</x:v>
      </x:c>
      <x:c r="R178" s="34" t="n">
        <x:v>0</x:v>
      </x:c>
      <x:c r="S178" s="34" t="n">
        <x:v>0</x:v>
      </x:c>
      <x:c r="T178" s="34" t="n">
        <x:v>0</x:v>
      </x:c>
    </x:row>
    <x:row r="179">
      <x:c r="A179" s="34" t="str">
        <x:v>POSCO_KR</x:v>
      </x:c>
      <x:c r="B179" s="34" t="str">
        <x:v>POSCO</x:v>
      </x:c>
      <x:c r="C179" s="34" t="str">
        <x:v>CAND-2775122CBD1438</x:v>
      </x:c>
      <x:c r="D179" s="34" t="str">
        <x:v>P1</x:v>
      </x:c>
      <x:c r="E179" s="34" t="str">
        <x:v>PORT-34425DFA5633</x:v>
      </x:c>
      <x:c r="F179" s="34" t="n">
        <x:v>2</x:v>
      </x:c>
      <x:c r="G179" s="34" t="n">
        <x:v>1</x:v>
      </x:c>
      <x:c r="H179" s="40" t="b">
        <x:v>0</x:v>
      </x:c>
      <x:c r="I179" s="34" t="n">
        <x:v>55.507136</x:v>
      </x:c>
      <x:c r="J179" s="34" t="n">
        <x:v>0.992431</x:v>
      </x:c>
      <x:c r="K179" s="34" t="n">
        <x:v>18.462842</x:v>
      </x:c>
      <x:c r="L179" s="34" t="n">
        <x:v>1.734689</x:v>
      </x:c>
      <x:c r="M179" s="34" t="n">
        <x:v>46.247313</x:v>
      </x:c>
      <x:c r="N179" s="34" t="n">
        <x:v>1.51175</x:v>
      </x:c>
      <x:c r="O179" s="34" t="n">
        <x:v>34.841272</x:v>
      </x:c>
      <x:c r="P179" s="34" t="n">
        <x:v>1.16415</x:v>
      </x:c>
      <x:c r="Q179" s="34" t="n">
        <x:v>0</x:v>
      </x:c>
      <x:c r="R179" s="34" t="n">
        <x:v>0</x:v>
      </x:c>
      <x:c r="S179" s="34" t="n">
        <x:v>0</x:v>
      </x:c>
      <x:c r="T179" s="34" t="n">
        <x:v>0</x:v>
      </x:c>
    </x:row>
    <x:row r="180">
      <x:c r="A180" s="34" t="str">
        <x:v>POSCO_KR</x:v>
      </x:c>
      <x:c r="B180" s="34" t="str">
        <x:v>POSCO</x:v>
      </x:c>
      <x:c r="C180" s="34" t="str">
        <x:v>CAND-27EB06146B7A52</x:v>
      </x:c>
      <x:c r="D180" s="34" t="str">
        <x:v>P3</x:v>
      </x:c>
      <x:c r="E180" s="34" t="str">
        <x:v>PORT-13C60822C05B</x:v>
      </x:c>
      <x:c r="F180" s="34" t="n">
        <x:v>2</x:v>
      </x:c>
      <x:c r="G180" s="34" t="n">
        <x:v>1</x:v>
      </x:c>
      <x:c r="H180" s="40" t="b">
        <x:v>0</x:v>
      </x:c>
      <x:c r="I180" s="34" t="n">
        <x:v>87.951639</x:v>
      </x:c>
      <x:c r="J180" s="34" t="n">
        <x:v>0.457674</x:v>
      </x:c>
      <x:c r="K180" s="34" t="n">
        <x:v>16.532871</x:v>
      </x:c>
      <x:c r="L180" s="34" t="n">
        <x:v>2.176919</x:v>
      </x:c>
      <x:c r="M180" s="34" t="n">
        <x:v>78.691815</x:v>
      </x:c>
      <x:c r="N180" s="34" t="n">
        <x:v>0.663541</x:v>
      </x:c>
      <x:c r="O180" s="34" t="n">
        <x:v>67.271777</x:v>
      </x:c>
      <x:c r="P180" s="34" t="n">
        <x:v>0.50394</x:v>
      </x:c>
      <x:c r="Q180" s="34" t="n">
        <x:v>0</x:v>
      </x:c>
      <x:c r="R180" s="34" t="n">
        <x:v>0</x:v>
      </x:c>
      <x:c r="S180" s="34" t="n">
        <x:v>0</x:v>
      </x:c>
      <x:c r="T180" s="34" t="n">
        <x:v>0</x:v>
      </x:c>
    </x:row>
    <x:row r="181">
      <x:c r="A181" s="34" t="str">
        <x:v>POSCO_KR</x:v>
      </x:c>
      <x:c r="B181" s="34" t="str">
        <x:v>POSCO</x:v>
      </x:c>
      <x:c r="C181" s="34" t="str">
        <x:v>CAND-2EAFEFF65EF371</x:v>
      </x:c>
      <x:c r="D181" s="34" t="str">
        <x:v>P1</x:v>
      </x:c>
      <x:c r="E181" s="34" t="str">
        <x:v>PORT-39601EAF8865</x:v>
      </x:c>
      <x:c r="F181" s="34" t="n">
        <x:v>2</x:v>
      </x:c>
      <x:c r="G181" s="34" t="n">
        <x:v>1</x:v>
      </x:c>
      <x:c r="H181" s="40" t="b">
        <x:v>0</x:v>
      </x:c>
      <x:c r="I181" s="34" t="n">
        <x:v>62.639896</x:v>
      </x:c>
      <x:c r="J181" s="34" t="n">
        <x:v>1.777982</x:v>
      </x:c>
      <x:c r="K181" s="34" t="n">
        <x:v>19.694406</x:v>
      </x:c>
      <x:c r="L181" s="34" t="n">
        <x:v>3.402739</x:v>
      </x:c>
      <x:c r="M181" s="34" t="n">
        <x:v>53.380073</x:v>
      </x:c>
      <x:c r="N181" s="34" t="n">
        <x:v>2.310106</x:v>
      </x:c>
      <x:c r="O181" s="34" t="n">
        <x:v>41.771191</x:v>
      </x:c>
      <x:c r="P181" s="34" t="n">
        <x:v>1.922817</x:v>
      </x:c>
      <x:c r="Q181" s="34" t="n">
        <x:v>0</x:v>
      </x:c>
      <x:c r="R181" s="34" t="n">
        <x:v>0</x:v>
      </x:c>
      <x:c r="S181" s="34" t="n">
        <x:v>0</x:v>
      </x:c>
      <x:c r="T181" s="34" t="n">
        <x:v>0</x:v>
      </x:c>
    </x:row>
    <x:row r="182">
      <x:c r="A182" s="34" t="str">
        <x:v>POSCO_KR</x:v>
      </x:c>
      <x:c r="B182" s="34" t="str">
        <x:v>POSCO</x:v>
      </x:c>
      <x:c r="C182" s="34" t="str">
        <x:v>CAND-2F5D03A613EDBE</x:v>
      </x:c>
      <x:c r="D182" s="34" t="str">
        <x:v>P1</x:v>
      </x:c>
      <x:c r="E182" s="34" t="str">
        <x:v>PORT-0E469489028A</x:v>
      </x:c>
      <x:c r="F182" s="34" t="n">
        <x:v>2</x:v>
      </x:c>
      <x:c r="G182" s="34" t="n">
        <x:v>1</x:v>
      </x:c>
      <x:c r="H182" s="40" t="b">
        <x:v>0</x:v>
      </x:c>
      <x:c r="I182" s="34" t="n">
        <x:v>9.259823</x:v>
      </x:c>
      <x:c r="J182" s="34" t="n">
        <x:v>0.533682</x:v>
      </x:c>
      <x:c r="K182" s="34" t="n">
        <x:v>8.472262</x:v>
      </x:c>
      <x:c r="L182" s="34" t="n">
        <x:v>0.87803</x:v>
      </x:c>
      <x:c r="M182" s="34" t="n">
        <x:v>0</x:v>
      </x:c>
      <x:c r="N182" s="34" t="n">
        <x:v>0</x:v>
      </x:c>
      <x:c r="O182" s="34" t="n">
        <x:v>-12.795002</x:v>
      </x:c>
      <x:c r="P182" s="34" t="n">
        <x:v>0.54126</x:v>
      </x:c>
      <x:c r="Q182" s="34" t="n">
        <x:v>0</x:v>
      </x:c>
      <x:c r="R182" s="34" t="n">
        <x:v>0</x:v>
      </x:c>
      <x:c r="S182" s="34" t="n">
        <x:v>0</x:v>
      </x:c>
      <x:c r="T182" s="34" t="n">
        <x:v>0</x:v>
      </x:c>
    </x:row>
    <x:row r="183">
      <x:c r="A183" s="34" t="str">
        <x:v>POSCO_KR</x:v>
      </x:c>
      <x:c r="B183" s="34" t="str">
        <x:v>POSCO</x:v>
      </x:c>
      <x:c r="C183" s="34" t="str">
        <x:v>CAND-2FCEDED2C189C1</x:v>
      </x:c>
      <x:c r="D183" s="34" t="str">
        <x:v>P4</x:v>
      </x:c>
      <x:c r="E183" s="34" t="str">
        <x:v>PORT-08632101CCF5</x:v>
      </x:c>
      <x:c r="F183" s="34" t="n">
        <x:v>2</x:v>
      </x:c>
      <x:c r="G183" s="34" t="n">
        <x:v>1</x:v>
      </x:c>
      <x:c r="H183" s="40" t="b">
        <x:v>0</x:v>
      </x:c>
      <x:c r="I183" s="34" t="n">
        <x:v>64.373527</x:v>
      </x:c>
      <x:c r="J183" s="34" t="n">
        <x:v>0.285539</x:v>
      </x:c>
      <x:c r="K183" s="34" t="n">
        <x:v>10.112579</x:v>
      </x:c>
      <x:c r="L183" s="34" t="n">
        <x:v>1.174298</x:v>
      </x:c>
      <x:c r="M183" s="34" t="n">
        <x:v>55.113703</x:v>
      </x:c>
      <x:c r="N183" s="34" t="n">
        <x:v>0.704578</x:v>
      </x:c>
      <x:c r="O183" s="34" t="n">
        <x:v>43.123563</x:v>
      </x:c>
      <x:c r="P183" s="34" t="n">
        <x:v>0.253338</x:v>
      </x:c>
      <x:c r="Q183" s="34" t="n">
        <x:v>0</x:v>
      </x:c>
      <x:c r="R183" s="34" t="n">
        <x:v>0</x:v>
      </x:c>
      <x:c r="S183" s="34" t="n">
        <x:v>0</x:v>
      </x:c>
      <x:c r="T183" s="34" t="n">
        <x:v>0</x:v>
      </x:c>
    </x:row>
    <x:row r="184">
      <x:c r="A184" s="34" t="str">
        <x:v>POSCO_KR</x:v>
      </x:c>
      <x:c r="B184" s="34" t="str">
        <x:v>POSCO</x:v>
      </x:c>
      <x:c r="C184" s="34" t="str">
        <x:v>CAND-3C2E939294CFA6</x:v>
      </x:c>
      <x:c r="D184" s="34" t="str">
        <x:v>P1</x:v>
      </x:c>
      <x:c r="E184" s="34" t="str">
        <x:v>PORT-0DA980ACBA29</x:v>
      </x:c>
      <x:c r="F184" s="34" t="n">
        <x:v>2</x:v>
      </x:c>
      <x:c r="G184" s="34" t="n">
        <x:v>1</x:v>
      </x:c>
      <x:c r="H184" s="40" t="b">
        <x:v>0</x:v>
      </x:c>
      <x:c r="I184" s="34" t="n">
        <x:v>54.694696</x:v>
      </x:c>
      <x:c r="J184" s="34" t="n">
        <x:v>0.824485</x:v>
      </x:c>
      <x:c r="K184" s="34" t="n">
        <x:v>18.695479</x:v>
      </x:c>
      <x:c r="L184" s="34" t="n">
        <x:v>2.276853</x:v>
      </x:c>
      <x:c r="M184" s="34" t="n">
        <x:v>45.434872</x:v>
      </x:c>
      <x:c r="N184" s="34" t="n">
        <x:v>0.511786</x:v>
      </x:c>
      <x:c r="O184" s="34" t="n">
        <x:v>34.280754</x:v>
      </x:c>
      <x:c r="P184" s="34" t="n">
        <x:v>0.944439</x:v>
      </x:c>
      <x:c r="Q184" s="34" t="n">
        <x:v>0</x:v>
      </x:c>
      <x:c r="R184" s="34" t="n">
        <x:v>0</x:v>
      </x:c>
      <x:c r="S184" s="34" t="n">
        <x:v>0</x:v>
      </x:c>
      <x:c r="T184" s="34" t="n">
        <x:v>0</x:v>
      </x:c>
    </x:row>
    <x:row r="185">
      <x:c r="A185" s="34" t="str">
        <x:v>POSCO_KR</x:v>
      </x:c>
      <x:c r="B185" s="34" t="str">
        <x:v>POSCO</x:v>
      </x:c>
      <x:c r="C185" s="34" t="str">
        <x:v>CAND-44C957BBFA61A4</x:v>
      </x:c>
      <x:c r="D185" s="34" t="str">
        <x:v>P1</x:v>
      </x:c>
      <x:c r="E185" s="34" t="str">
        <x:v>PORT-96133A6427FE</x:v>
      </x:c>
      <x:c r="F185" s="34" t="n">
        <x:v>2</x:v>
      </x:c>
      <x:c r="G185" s="34" t="n">
        <x:v>2</x:v>
      </x:c>
      <x:c r="H185" s="40" t="b">
        <x:v>1</x:v>
      </x:c>
      <x:c r="I185" s="34" t="n">
        <x:v>72.174569</x:v>
      </x:c>
      <x:c r="J185" s="34" t="n">
        <x:v>0.870611</x:v>
      </x:c>
      <x:c r="K185" s="34" t="n">
        <x:v>22.113624</x:v>
      </x:c>
      <x:c r="L185" s="34" t="n">
        <x:v>1.16816</x:v>
      </x:c>
      <x:c r="M185" s="34" t="n">
        <x:v>62.914746</x:v>
      </x:c>
      <x:c r="N185" s="34" t="n">
        <x:v>1.136789</x:v>
      </x:c>
      <x:c r="O185" s="34" t="n">
        <x:v>52.0651</x:v>
      </x:c>
      <x:c r="P185" s="34" t="n">
        <x:v>0.932183</x:v>
      </x:c>
      <x:c r="Q185" s="34" t="n">
        <x:v>0</x:v>
      </x:c>
      <x:c r="R185" s="34" t="n">
        <x:v>0</x:v>
      </x:c>
      <x:c r="S185" s="34" t="n">
        <x:v>0</x:v>
      </x:c>
      <x:c r="T185" s="34" t="n">
        <x:v>0</x:v>
      </x:c>
    </x:row>
    <x:row r="186">
      <x:c r="A186" s="34" t="str">
        <x:v>POSCO_KR</x:v>
      </x:c>
      <x:c r="B186" s="34" t="str">
        <x:v>POSCO</x:v>
      </x:c>
      <x:c r="C186" s="34" t="str">
        <x:v>CAND-455C0CE17360E6</x:v>
      </x:c>
      <x:c r="D186" s="34" t="str">
        <x:v>P1</x:v>
      </x:c>
      <x:c r="E186" s="34" t="str">
        <x:v>PORT-DE64C6FAC717</x:v>
      </x:c>
      <x:c r="F186" s="34" t="n">
        <x:v>2</x:v>
      </x:c>
      <x:c r="G186" s="34" t="n">
        <x:v>1</x:v>
      </x:c>
      <x:c r="H186" s="40" t="b">
        <x:v>0</x:v>
      </x:c>
      <x:c r="I186" s="34" t="n">
        <x:v>12.098239</x:v>
      </x:c>
      <x:c r="J186" s="34" t="n">
        <x:v>0.348551</x:v>
      </x:c>
      <x:c r="K186" s="34" t="n">
        <x:v>9.449126</x:v>
      </x:c>
      <x:c r="L186" s="34" t="n">
        <x:v>2.005386</x:v>
      </x:c>
      <x:c r="M186" s="34" t="n">
        <x:v>2.838415</x:v>
      </x:c>
      <x:c r="N186" s="34" t="n">
        <x:v>0.88124</x:v>
      </x:c>
      <x:c r="O186" s="34" t="n">
        <x:v>-10.218343</x:v>
      </x:c>
      <x:c r="P186" s="34" t="n">
        <x:v>0.408492</x:v>
      </x:c>
      <x:c r="Q186" s="34" t="n">
        <x:v>0</x:v>
      </x:c>
      <x:c r="R186" s="34" t="n">
        <x:v>0</x:v>
      </x:c>
      <x:c r="S186" s="34" t="n">
        <x:v>0</x:v>
      </x:c>
      <x:c r="T186" s="34" t="n">
        <x:v>0</x:v>
      </x:c>
    </x:row>
    <x:row r="187">
      <x:c r="A187" s="34" t="str">
        <x:v>POSCO_KR</x:v>
      </x:c>
      <x:c r="B187" s="34" t="str">
        <x:v>POSCO</x:v>
      </x:c>
      <x:c r="C187" s="34" t="str">
        <x:v>CAND-466C04961ED513</x:v>
      </x:c>
      <x:c r="D187" s="34" t="str">
        <x:v>P2</x:v>
      </x:c>
      <x:c r="E187" s="34" t="str">
        <x:v>PORT-7ED23B40E316</x:v>
      </x:c>
      <x:c r="F187" s="34" t="n">
        <x:v>2</x:v>
      </x:c>
      <x:c r="G187" s="34" t="n">
        <x:v>1</x:v>
      </x:c>
      <x:c r="H187" s="40" t="b">
        <x:v>0</x:v>
      </x:c>
      <x:c r="I187" s="34" t="n">
        <x:v>33.271175</x:v>
      </x:c>
      <x:c r="J187" s="34" t="n">
        <x:v>0.575424</x:v>
      </x:c>
      <x:c r="K187" s="34" t="n">
        <x:v>11.234372</x:v>
      </x:c>
      <x:c r="L187" s="34" t="n">
        <x:v>1.787017</x:v>
      </x:c>
      <x:c r="M187" s="34" t="n">
        <x:v>24.011352</x:v>
      </x:c>
      <x:c r="N187" s="34" t="n">
        <x:v>1.108182</x:v>
      </x:c>
      <x:c r="O187" s="34" t="n">
        <x:v>12.005676</x:v>
      </x:c>
      <x:c r="P187" s="34" t="n">
        <x:v>0.554091</x:v>
      </x:c>
      <x:c r="Q187" s="34" t="n">
        <x:v>0</x:v>
      </x:c>
      <x:c r="R187" s="34" t="n">
        <x:v>0</x:v>
      </x:c>
      <x:c r="S187" s="34" t="n">
        <x:v>0</x:v>
      </x:c>
      <x:c r="T187" s="34" t="n">
        <x:v>0</x:v>
      </x:c>
    </x:row>
    <x:row r="188">
      <x:c r="A188" s="34" t="str">
        <x:v>POSCO_KR</x:v>
      </x:c>
      <x:c r="B188" s="34" t="str">
        <x:v>POSCO</x:v>
      </x:c>
      <x:c r="C188" s="34" t="str">
        <x:v>CAND-4EF614D30D6D91</x:v>
      </x:c>
      <x:c r="D188" s="34" t="str">
        <x:v>P2</x:v>
      </x:c>
      <x:c r="E188" s="34" t="str">
        <x:v>PORT-96133A6427FE</x:v>
      </x:c>
      <x:c r="F188" s="34" t="n">
        <x:v>2</x:v>
      </x:c>
      <x:c r="G188" s="34" t="n">
        <x:v>2</x:v>
      </x:c>
      <x:c r="H188" s="40" t="b">
        <x:v>1</x:v>
      </x:c>
      <x:c r="I188" s="34" t="n">
        <x:v>70.433802</x:v>
      </x:c>
      <x:c r="J188" s="34" t="n">
        <x:v>0.746698</x:v>
      </x:c>
      <x:c r="K188" s="34" t="n">
        <x:v>18.918366</x:v>
      </x:c>
      <x:c r="L188" s="34" t="n">
        <x:v>1.039707</x:v>
      </x:c>
      <x:c r="M188" s="34" t="n">
        <x:v>61.173979</x:v>
      </x:c>
      <x:c r="N188" s="34" t="n">
        <x:v>1.008223</x:v>
      </x:c>
      <x:c r="O188" s="34" t="n">
        <x:v>50.0175</x:v>
      </x:c>
      <x:c r="P188" s="34" t="n">
        <x:v>0.80567</x:v>
      </x:c>
      <x:c r="Q188" s="34" t="n">
        <x:v>0</x:v>
      </x:c>
      <x:c r="R188" s="34" t="n">
        <x:v>0</x:v>
      </x:c>
      <x:c r="S188" s="34" t="n">
        <x:v>0</x:v>
      </x:c>
      <x:c r="T188" s="34" t="n">
        <x:v>0</x:v>
      </x:c>
    </x:row>
    <x:row r="189">
      <x:c r="A189" s="34" t="str">
        <x:v>POSCO_KR</x:v>
      </x:c>
      <x:c r="B189" s="34" t="str">
        <x:v>POSCO</x:v>
      </x:c>
      <x:c r="C189" s="34" t="str">
        <x:v>CAND-6339E6B83A8408</x:v>
      </x:c>
      <x:c r="D189" s="34" t="str">
        <x:v>P3</x:v>
      </x:c>
      <x:c r="E189" s="34" t="str">
        <x:v>PORT-8826D0B469EE</x:v>
      </x:c>
      <x:c r="F189" s="34" t="n">
        <x:v>2</x:v>
      </x:c>
      <x:c r="G189" s="34" t="n">
        <x:v>2</x:v>
      </x:c>
      <x:c r="H189" s="40" t="b">
        <x:v>1</x:v>
      </x:c>
      <x:c r="I189" s="34" t="n">
        <x:v>64.091199</x:v>
      </x:c>
      <x:c r="J189" s="34" t="n">
        <x:v>1.262515</x:v>
      </x:c>
      <x:c r="K189" s="34" t="n">
        <x:v>14.242383</x:v>
      </x:c>
      <x:c r="L189" s="34" t="n">
        <x:v>2.248122</x:v>
      </x:c>
      <x:c r="M189" s="34" t="n">
        <x:v>54.831376</x:v>
      </x:c>
      <x:c r="N189" s="34" t="n">
        <x:v>1.796149</x:v>
      </x:c>
      <x:c r="O189" s="34" t="n">
        <x:v>43.088553</x:v>
      </x:c>
      <x:c r="P189" s="34" t="n">
        <x:v>1.290219</x:v>
      </x:c>
      <x:c r="Q189" s="34" t="n">
        <x:v>100</x:v>
      </x:c>
      <x:c r="R189" s="34" t="n">
        <x:v>100</x:v>
      </x:c>
      <x:c r="S189" s="34" t="n">
        <x:v>100</x:v>
      </x:c>
      <x:c r="T189" s="34" t="n">
        <x:v>66.7</x:v>
      </x:c>
    </x:row>
    <x:row r="190">
      <x:c r="A190" s="34" t="str">
        <x:v>POSCO_KR</x:v>
      </x:c>
      <x:c r="B190" s="34" t="str">
        <x:v>POSCO</x:v>
      </x:c>
      <x:c r="C190" s="34" t="str">
        <x:v>CAND-63781C106D5099</x:v>
      </x:c>
      <x:c r="D190" s="34" t="str">
        <x:v>P1</x:v>
      </x:c>
      <x:c r="E190" s="34" t="str">
        <x:v>PORT-41705C04BF44</x:v>
      </x:c>
      <x:c r="F190" s="34" t="n">
        <x:v>2</x:v>
      </x:c>
      <x:c r="G190" s="34" t="n">
        <x:v>1</x:v>
      </x:c>
      <x:c r="H190" s="40" t="b">
        <x:v>0</x:v>
      </x:c>
      <x:c r="I190" s="34" t="n">
        <x:v>10.776952</x:v>
      </x:c>
      <x:c r="J190" s="34" t="n">
        <x:v>0.310645</x:v>
      </x:c>
      <x:c r="K190" s="34" t="n">
        <x:v>7.831361</x:v>
      </x:c>
      <x:c r="L190" s="34" t="n">
        <x:v>0.375781</x:v>
      </x:c>
      <x:c r="M190" s="34" t="n">
        <x:v>1.517129</x:v>
      </x:c>
      <x:c r="N190" s="34" t="n">
        <x:v>0.239105</x:v>
      </x:c>
      <x:c r="O190" s="34" t="n">
        <x:v>-11.266394</x:v>
      </x:c>
      <x:c r="P190" s="34" t="n">
        <x:v>0.406072</x:v>
      </x:c>
      <x:c r="Q190" s="34" t="n">
        <x:v>0</x:v>
      </x:c>
      <x:c r="R190" s="34" t="n">
        <x:v>0</x:v>
      </x:c>
      <x:c r="S190" s="34" t="n">
        <x:v>0</x:v>
      </x:c>
      <x:c r="T190" s="34" t="n">
        <x:v>0</x:v>
      </x:c>
    </x:row>
    <x:row r="191">
      <x:c r="A191" s="34" t="str">
        <x:v>POSCO_KR</x:v>
      </x:c>
      <x:c r="B191" s="34" t="str">
        <x:v>POSCO</x:v>
      </x:c>
      <x:c r="C191" s="34" t="str">
        <x:v>CAND-688976C946D330</x:v>
      </x:c>
      <x:c r="D191" s="34" t="str">
        <x:v>P1</x:v>
      </x:c>
      <x:c r="E191" s="34" t="str">
        <x:v>PORT-B0374F687394</x:v>
      </x:c>
      <x:c r="F191" s="34" t="n">
        <x:v>2</x:v>
      </x:c>
      <x:c r="G191" s="34" t="n">
        <x:v>1</x:v>
      </x:c>
      <x:c r="H191" s="40" t="b">
        <x:v>0</x:v>
      </x:c>
      <x:c r="I191" s="34" t="n">
        <x:v>58.905241</x:v>
      </x:c>
      <x:c r="J191" s="34" t="n">
        <x:v>1.154296</x:v>
      </x:c>
      <x:c r="K191" s="34" t="n">
        <x:v>19.338386</x:v>
      </x:c>
      <x:c r="L191" s="34" t="n">
        <x:v>2.615523</x:v>
      </x:c>
      <x:c r="M191" s="34" t="n">
        <x:v>49.645417</x:v>
      </x:c>
      <x:c r="N191" s="34" t="n">
        <x:v>0.684729</x:v>
      </x:c>
      <x:c r="O191" s="34" t="n">
        <x:v>38.666385</x:v>
      </x:c>
      <x:c r="P191" s="34" t="n">
        <x:v>1.151689</x:v>
      </x:c>
      <x:c r="Q191" s="34" t="n">
        <x:v>0</x:v>
      </x:c>
      <x:c r="R191" s="34" t="n">
        <x:v>0</x:v>
      </x:c>
      <x:c r="S191" s="34" t="n">
        <x:v>0</x:v>
      </x:c>
      <x:c r="T191" s="34" t="n">
        <x:v>0</x:v>
      </x:c>
    </x:row>
    <x:row r="192">
      <x:c r="A192" s="34" t="str">
        <x:v>POSCO_KR</x:v>
      </x:c>
      <x:c r="B192" s="34" t="str">
        <x:v>POSCO</x:v>
      </x:c>
      <x:c r="C192" s="34" t="str">
        <x:v>CAND-717F18DFAF78F1</x:v>
      </x:c>
      <x:c r="D192" s="34" t="str">
        <x:v>P4</x:v>
      </x:c>
      <x:c r="E192" s="34" t="str">
        <x:v>PORT-C68307188813</x:v>
      </x:c>
      <x:c r="F192" s="34" t="n">
        <x:v>2</x:v>
      </x:c>
      <x:c r="G192" s="34" t="n">
        <x:v>1</x:v>
      </x:c>
      <x:c r="H192" s="40" t="b">
        <x:v>0</x:v>
      </x:c>
      <x:c r="I192" s="34" t="n">
        <x:v>93.801628</x:v>
      </x:c>
      <x:c r="J192" s="34" t="n">
        <x:v>0.526562</x:v>
      </x:c>
      <x:c r="K192" s="34" t="n">
        <x:v>12.906985</x:v>
      </x:c>
      <x:c r="L192" s="34" t="n">
        <x:v>1.114657</x:v>
      </x:c>
      <x:c r="M192" s="34" t="n">
        <x:v>84.541805</x:v>
      </x:c>
      <x:c r="N192" s="34" t="n">
        <x:v>0.396618</x:v>
      </x:c>
      <x:c r="O192" s="34" t="n">
        <x:v>72.33173</x:v>
      </x:c>
      <x:c r="P192" s="34" t="n">
        <x:v>0.678308</x:v>
      </x:c>
      <x:c r="Q192" s="34" t="n">
        <x:v>0</x:v>
      </x:c>
      <x:c r="R192" s="34" t="n">
        <x:v>0</x:v>
      </x:c>
      <x:c r="S192" s="34" t="n">
        <x:v>0</x:v>
      </x:c>
      <x:c r="T192" s="34" t="n">
        <x:v>0</x:v>
      </x:c>
    </x:row>
    <x:row r="193">
      <x:c r="A193" s="34" t="str">
        <x:v>POSCO_KR</x:v>
      </x:c>
      <x:c r="B193" s="34" t="str">
        <x:v>POSCO</x:v>
      </x:c>
      <x:c r="C193" s="34" t="str">
        <x:v>CAND-720A05CD8AE3E2</x:v>
      </x:c>
      <x:c r="D193" s="34" t="str">
        <x:v>P1</x:v>
      </x:c>
      <x:c r="E193" s="34" t="str">
        <x:v>PORT-802EEF341C7A</x:v>
      </x:c>
      <x:c r="F193" s="34" t="n">
        <x:v>2</x:v>
      </x:c>
      <x:c r="G193" s="34" t="n">
        <x:v>1</x:v>
      </x:c>
      <x:c r="H193" s="40" t="b">
        <x:v>0</x:v>
      </x:c>
      <x:c r="I193" s="34" t="n">
        <x:v>40.944828</x:v>
      </x:c>
      <x:c r="J193" s="34" t="n">
        <x:v>1.340472</x:v>
      </x:c>
      <x:c r="K193" s="34" t="n">
        <x:v>15.144727</x:v>
      </x:c>
      <x:c r="L193" s="34" t="n">
        <x:v>2.480018</x:v>
      </x:c>
      <x:c r="M193" s="34" t="n">
        <x:v>31.685005</x:v>
      </x:c>
      <x:c r="N193" s="34" t="n">
        <x:v>1.867346</x:v>
      </x:c>
      <x:c r="O193" s="34" t="n">
        <x:v>19.792502</x:v>
      </x:c>
      <x:c r="P193" s="34" t="n">
        <x:v>1.310307</x:v>
      </x:c>
      <x:c r="Q193" s="34" t="n">
        <x:v>0</x:v>
      </x:c>
      <x:c r="R193" s="34" t="n">
        <x:v>0</x:v>
      </x:c>
      <x:c r="S193" s="34" t="n">
        <x:v>0</x:v>
      </x:c>
      <x:c r="T193" s="34" t="n">
        <x:v>0</x:v>
      </x:c>
    </x:row>
    <x:row r="194">
      <x:c r="A194" s="34" t="str">
        <x:v>POSCO_KR</x:v>
      </x:c>
      <x:c r="B194" s="34" t="str">
        <x:v>POSCO</x:v>
      </x:c>
      <x:c r="C194" s="34" t="str">
        <x:v>CAND-78797020DAE1ED</x:v>
      </x:c>
      <x:c r="D194" s="34" t="str">
        <x:v>P1</x:v>
      </x:c>
      <x:c r="E194" s="34" t="str">
        <x:v>PORT-13C60822C05B</x:v>
      </x:c>
      <x:c r="F194" s="34" t="n">
        <x:v>2</x:v>
      </x:c>
      <x:c r="G194" s="34" t="n">
        <x:v>1</x:v>
      </x:c>
      <x:c r="H194" s="40" t="b">
        <x:v>0</x:v>
      </x:c>
      <x:c r="I194" s="34" t="n">
        <x:v>93.488178</x:v>
      </x:c>
      <x:c r="J194" s="34" t="n">
        <x:v>0.632505</x:v>
      </x:c>
      <x:c r="K194" s="34" t="n">
        <x:v>24.775436</x:v>
      </x:c>
      <x:c r="L194" s="34" t="n">
        <x:v>3.196193</x:v>
      </x:c>
      <x:c r="M194" s="34" t="n">
        <x:v>84.228355</x:v>
      </x:c>
      <x:c r="N194" s="34" t="n">
        <x:v>0.751111</x:v>
      </x:c>
      <x:c r="O194" s="34" t="n">
        <x:v>74.046952</x:v>
      </x:c>
      <x:c r="P194" s="34" t="n">
        <x:v>0.649142</x:v>
      </x:c>
      <x:c r="Q194" s="34" t="n">
        <x:v>0</x:v>
      </x:c>
      <x:c r="R194" s="34" t="n">
        <x:v>0</x:v>
      </x:c>
      <x:c r="S194" s="34" t="n">
        <x:v>0</x:v>
      </x:c>
      <x:c r="T194" s="34" t="n">
        <x:v>0</x:v>
      </x:c>
    </x:row>
    <x:row r="195">
      <x:c r="A195" s="34" t="str">
        <x:v>POSCO_KR</x:v>
      </x:c>
      <x:c r="B195" s="34" t="str">
        <x:v>POSCO</x:v>
      </x:c>
      <x:c r="C195" s="34" t="str">
        <x:v>CAND-7BC738434560A6</x:v>
      </x:c>
      <x:c r="D195" s="34" t="str">
        <x:v>P1</x:v>
      </x:c>
      <x:c r="E195" s="34" t="str">
        <x:v>PORT-7ED23B40E316</x:v>
      </x:c>
      <x:c r="F195" s="34" t="n">
        <x:v>2</x:v>
      </x:c>
      <x:c r="G195" s="34" t="n">
        <x:v>1</x:v>
      </x:c>
      <x:c r="H195" s="40" t="b">
        <x:v>0</x:v>
      </x:c>
      <x:c r="I195" s="34" t="n">
        <x:v>34.000784</x:v>
      </x:c>
      <x:c r="J195" s="34" t="n">
        <x:v>0.616645</x:v>
      </x:c>
      <x:c r="K195" s="34" t="n">
        <x:v>13.245833</x:v>
      </x:c>
      <x:c r="L195" s="34" t="n">
        <x:v>2.028616</x:v>
      </x:c>
      <x:c r="M195" s="34" t="n">
        <x:v>24.740961</x:v>
      </x:c>
      <x:c r="N195" s="34" t="n">
        <x:v>1.150292</x:v>
      </x:c>
      <x:c r="O195" s="34" t="n">
        <x:v>12.822231</x:v>
      </x:c>
      <x:c r="P195" s="34" t="n">
        <x:v>0.668244</x:v>
      </x:c>
      <x:c r="Q195" s="34" t="n">
        <x:v>0</x:v>
      </x:c>
      <x:c r="R195" s="34" t="n">
        <x:v>0</x:v>
      </x:c>
      <x:c r="S195" s="34" t="n">
        <x:v>0</x:v>
      </x:c>
      <x:c r="T195" s="34" t="n">
        <x:v>0</x:v>
      </x:c>
    </x:row>
    <x:row r="196">
      <x:c r="A196" s="34" t="str">
        <x:v>POSCO_KR</x:v>
      </x:c>
      <x:c r="B196" s="34" t="str">
        <x:v>POSCO</x:v>
      </x:c>
      <x:c r="C196" s="34" t="str">
        <x:v>CAND-7D117A922A194C</x:v>
      </x:c>
      <x:c r="D196" s="34" t="str">
        <x:v>P5</x:v>
      </x:c>
      <x:c r="E196" s="34" t="str">
        <x:v>PORT-66E75B54664A</x:v>
      </x:c>
      <x:c r="F196" s="34" t="n">
        <x:v>2</x:v>
      </x:c>
      <x:c r="G196" s="34" t="n">
        <x:v>2</x:v>
      </x:c>
      <x:c r="H196" s="40" t="b">
        <x:v>1</x:v>
      </x:c>
      <x:c r="I196" s="34" t="n">
        <x:v>91.700034</x:v>
      </x:c>
      <x:c r="J196" s="34" t="n">
        <x:v>0.281305</x:v>
      </x:c>
      <x:c r="K196" s="34" t="n">
        <x:v>7.743145</x:v>
      </x:c>
      <x:c r="L196" s="34" t="n">
        <x:v>0.743824</x:v>
      </x:c>
      <x:c r="M196" s="34" t="n">
        <x:v>82.440211</x:v>
      </x:c>
      <x:c r="N196" s="34" t="n">
        <x:v>0.526615</x:v>
      </x:c>
      <x:c r="O196" s="34" t="n">
        <x:v>69.570062</x:v>
      </x:c>
      <x:c r="P196" s="34" t="n">
        <x:v>0.324244</x:v>
      </x:c>
      <x:c r="Q196" s="34" t="n">
        <x:v>100</x:v>
      </x:c>
      <x:c r="R196" s="34" t="n">
        <x:v>0</x:v>
      </x:c>
      <x:c r="S196" s="34" t="n">
        <x:v>0</x:v>
      </x:c>
      <x:c r="T196" s="34" t="n">
        <x:v>33.3</x:v>
      </x:c>
    </x:row>
    <x:row r="197">
      <x:c r="A197" s="34" t="str">
        <x:v>POSCO_KR</x:v>
      </x:c>
      <x:c r="B197" s="34" t="str">
        <x:v>POSCO</x:v>
      </x:c>
      <x:c r="C197" s="34" t="str">
        <x:v>CAND-7D54A929A881B5</x:v>
      </x:c>
      <x:c r="D197" s="34" t="str">
        <x:v>P2</x:v>
      </x:c>
      <x:c r="E197" s="34" t="str">
        <x:v>PORT-34425DFA5633</x:v>
      </x:c>
      <x:c r="F197" s="34" t="n">
        <x:v>2</x:v>
      </x:c>
      <x:c r="G197" s="34" t="n">
        <x:v>1</x:v>
      </x:c>
      <x:c r="H197" s="40" t="b">
        <x:v>0</x:v>
      </x:c>
      <x:c r="I197" s="34" t="n">
        <x:v>54.285091</x:v>
      </x:c>
      <x:c r="J197" s="34" t="n">
        <x:v>0.833485</x:v>
      </x:c>
      <x:c r="K197" s="34" t="n">
        <x:v>15.836429</x:v>
      </x:c>
      <x:c r="L197" s="34" t="n">
        <x:v>1.45932</x:v>
      </x:c>
      <x:c r="M197" s="34" t="n">
        <x:v>45.025268</x:v>
      </x:c>
      <x:c r="N197" s="34" t="n">
        <x:v>1.355135</x:v>
      </x:c>
      <x:c r="O197" s="34" t="n">
        <x:v>33.385782</x:v>
      </x:c>
      <x:c r="P197" s="34" t="n">
        <x:v>0.939597</x:v>
      </x:c>
      <x:c r="Q197" s="34" t="n">
        <x:v>0</x:v>
      </x:c>
      <x:c r="R197" s="34" t="n">
        <x:v>0</x:v>
      </x:c>
      <x:c r="S197" s="34" t="n">
        <x:v>0</x:v>
      </x:c>
      <x:c r="T197" s="34" t="n">
        <x:v>0</x:v>
      </x:c>
    </x:row>
    <x:row r="198">
      <x:c r="A198" s="34" t="str">
        <x:v>POSCO_KR</x:v>
      </x:c>
      <x:c r="B198" s="34" t="str">
        <x:v>POSCO</x:v>
      </x:c>
      <x:c r="C198" s="34" t="str">
        <x:v>CAND-82FF2AA13BA34C</x:v>
      </x:c>
      <x:c r="D198" s="34" t="str">
        <x:v>P2</x:v>
      </x:c>
      <x:c r="E198" s="34" t="str">
        <x:v>PORT-8826D0B469EE</x:v>
      </x:c>
      <x:c r="F198" s="34" t="n">
        <x:v>2</x:v>
      </x:c>
      <x:c r="G198" s="34" t="n">
        <x:v>2</x:v>
      </x:c>
      <x:c r="H198" s="40" t="b">
        <x:v>1</x:v>
      </x:c>
      <x:c r="I198" s="34" t="n">
        <x:v>66.285789</x:v>
      </x:c>
      <x:c r="J198" s="34" t="n">
        <x:v>1.638885</x:v>
      </x:c>
      <x:c r="K198" s="34" t="n">
        <x:v>17.976236</x:v>
      </x:c>
      <x:c r="L198" s="34" t="n">
        <x:v>2.80571</x:v>
      </x:c>
      <x:c r="M198" s="34" t="n">
        <x:v>57.025965</x:v>
      </x:c>
      <x:c r="N198" s="34" t="n">
        <x:v>2.172567</x:v>
      </x:c>
      <x:c r="O198" s="34" t="n">
        <x:v>45.713249</x:v>
      </x:c>
      <x:c r="P198" s="34" t="n">
        <x:v>1.692592</x:v>
      </x:c>
      <x:c r="Q198" s="34" t="n">
        <x:v>0</x:v>
      </x:c>
      <x:c r="R198" s="34" t="n">
        <x:v>0</x:v>
      </x:c>
      <x:c r="S198" s="34" t="n">
        <x:v>0</x:v>
      </x:c>
      <x:c r="T198" s="34" t="n">
        <x:v>0</x:v>
      </x:c>
    </x:row>
    <x:row r="199">
      <x:c r="A199" s="34" t="str">
        <x:v>POSCO_KR</x:v>
      </x:c>
      <x:c r="B199" s="34" t="str">
        <x:v>POSCO</x:v>
      </x:c>
      <x:c r="C199" s="34" t="str">
        <x:v>CAND-921D50D4015721</x:v>
      </x:c>
      <x:c r="D199" s="34" t="str">
        <x:v>P3</x:v>
      </x:c>
      <x:c r="E199" s="34" t="str">
        <x:v>PORT-96133A6427FE</x:v>
      </x:c>
      <x:c r="F199" s="34" t="n">
        <x:v>2</x:v>
      </x:c>
      <x:c r="G199" s="34" t="n">
        <x:v>2</x:v>
      </x:c>
      <x:c r="H199" s="40" t="b">
        <x:v>1</x:v>
      </x:c>
      <x:c r="I199" s="34" t="n">
        <x:v>68.029299</x:v>
      </x:c>
      <x:c r="J199" s="34" t="n">
        <x:v>0.603578</x:v>
      </x:c>
      <x:c r="K199" s="34" t="n">
        <x:v>14.872273</x:v>
      </x:c>
      <x:c r="L199" s="34" t="n">
        <x:v>0.855763</x:v>
      </x:c>
      <x:c r="M199" s="34" t="n">
        <x:v>58.769476</x:v>
      </x:c>
      <x:c r="N199" s="34" t="n">
        <x:v>0.883576</x:v>
      </x:c>
      <x:c r="O199" s="34" t="n">
        <x:v>47.10715</x:v>
      </x:c>
      <x:c r="P199" s="34" t="n">
        <x:v>0.656164</x:v>
      </x:c>
      <x:c r="Q199" s="34" t="n">
        <x:v>33.3</x:v>
      </x:c>
      <x:c r="R199" s="34" t="n">
        <x:v>0</x:v>
      </x:c>
      <x:c r="S199" s="34" t="n">
        <x:v>0</x:v>
      </x:c>
      <x:c r="T199" s="34" t="n">
        <x:v>0</x:v>
      </x:c>
    </x:row>
    <x:row r="200">
      <x:c r="A200" s="34" t="str">
        <x:v>POSCO_KR</x:v>
      </x:c>
      <x:c r="B200" s="34" t="str">
        <x:v>POSCO</x:v>
      </x:c>
      <x:c r="C200" s="34" t="str">
        <x:v>CAND-92409F72DEE5B3</x:v>
      </x:c>
      <x:c r="D200" s="34" t="str">
        <x:v>P1</x:v>
      </x:c>
      <x:c r="E200" s="34" t="str">
        <x:v>PORT-58F96F629E32</x:v>
      </x:c>
      <x:c r="F200" s="34" t="n">
        <x:v>2</x:v>
      </x:c>
      <x:c r="G200" s="34" t="n">
        <x:v>1</x:v>
      </x:c>
      <x:c r="H200" s="40" t="b">
        <x:v>0</x:v>
      </x:c>
      <x:c r="I200" s="34" t="n">
        <x:v>50.849245</x:v>
      </x:c>
      <x:c r="J200" s="34" t="n">
        <x:v>1.157473</x:v>
      </x:c>
      <x:c r="K200" s="34" t="n">
        <x:v>17.238566</x:v>
      </x:c>
      <x:c r="L200" s="34" t="n">
        <x:v>2.419033</x:v>
      </x:c>
      <x:c r="M200" s="34" t="n">
        <x:v>41.589421</x:v>
      </x:c>
      <x:c r="N200" s="34" t="n">
        <x:v>1.67463</x:v>
      </x:c>
      <x:c r="O200" s="34" t="n">
        <x:v>30.195574</x:v>
      </x:c>
      <x:c r="P200" s="34" t="n">
        <x:v>1.200208</x:v>
      </x:c>
      <x:c r="Q200" s="34" t="n">
        <x:v>0</x:v>
      </x:c>
      <x:c r="R200" s="34" t="n">
        <x:v>0</x:v>
      </x:c>
      <x:c r="S200" s="34" t="n">
        <x:v>0</x:v>
      </x:c>
      <x:c r="T200" s="34" t="n">
        <x:v>0</x:v>
      </x:c>
    </x:row>
    <x:row r="201">
      <x:c r="A201" s="34" t="str">
        <x:v>POSCO_KR</x:v>
      </x:c>
      <x:c r="B201" s="34" t="str">
        <x:v>POSCO</x:v>
      </x:c>
      <x:c r="C201" s="34" t="str">
        <x:v>CAND-9863577C4A48D7</x:v>
      </x:c>
      <x:c r="D201" s="34" t="str">
        <x:v>P2</x:v>
      </x:c>
      <x:c r="E201" s="34" t="str">
        <x:v>PORT-CEF57596D771</x:v>
      </x:c>
      <x:c r="F201" s="34" t="n">
        <x:v>2</x:v>
      </x:c>
      <x:c r="G201" s="34" t="n">
        <x:v>1</x:v>
      </x:c>
      <x:c r="H201" s="40" t="b">
        <x:v>0</x:v>
      </x:c>
      <x:c r="I201" s="34" t="n">
        <x:v>38.890749</x:v>
      </x:c>
      <x:c r="J201" s="34" t="n">
        <x:v>0.608257</x:v>
      </x:c>
      <x:c r="K201" s="34" t="n">
        <x:v>12.433045</x:v>
      </x:c>
      <x:c r="L201" s="34" t="n">
        <x:v>1.799463</x:v>
      </x:c>
      <x:c r="M201" s="34" t="n">
        <x:v>29.630926</x:v>
      </x:c>
      <x:c r="N201" s="34" t="n">
        <x:v>1.139803</x:v>
      </x:c>
      <x:c r="O201" s="34" t="n">
        <x:v>17.720763</x:v>
      </x:c>
      <x:c r="P201" s="34" t="n">
        <x:v>0.57694</x:v>
      </x:c>
      <x:c r="Q201" s="34" t="n">
        <x:v>0</x:v>
      </x:c>
      <x:c r="R201" s="34" t="n">
        <x:v>0</x:v>
      </x:c>
      <x:c r="S201" s="34" t="n">
        <x:v>0</x:v>
      </x:c>
      <x:c r="T201" s="34" t="n">
        <x:v>0</x:v>
      </x:c>
    </x:row>
    <x:row r="202">
      <x:c r="A202" s="34" t="str">
        <x:v>POSCO_KR</x:v>
      </x:c>
      <x:c r="B202" s="34" t="str">
        <x:v>POSCO</x:v>
      </x:c>
      <x:c r="C202" s="34" t="str">
        <x:v>CAND-9DAADB965AABF6</x:v>
      </x:c>
      <x:c r="D202" s="34" t="str">
        <x:v>P2</x:v>
      </x:c>
      <x:c r="E202" s="34" t="str">
        <x:v>PORT-2038E8D6C481</x:v>
      </x:c>
      <x:c r="F202" s="34" t="n">
        <x:v>2</x:v>
      </x:c>
      <x:c r="G202" s="34" t="n">
        <x:v>1</x:v>
      </x:c>
      <x:c r="H202" s="40" t="b">
        <x:v>0</x:v>
      </x:c>
      <x:c r="I202" s="34" t="n">
        <x:v>70.63091</x:v>
      </x:c>
      <x:c r="J202" s="34" t="n">
        <x:v>0.817591</x:v>
      </x:c>
      <x:c r="K202" s="34" t="n">
        <x:v>18.830397</x:v>
      </x:c>
      <x:c r="L202" s="34" t="n">
        <x:v>2.097227</x:v>
      </x:c>
      <x:c r="M202" s="34" t="n">
        <x:v>61.371087</x:v>
      </x:c>
      <x:c r="N202" s="34" t="n">
        <x:v>0.876559</x:v>
      </x:c>
      <x:c r="O202" s="34" t="n">
        <x:v>49.823434</x:v>
      </x:c>
      <x:c r="P202" s="34" t="n">
        <x:v>0.792672</x:v>
      </x:c>
      <x:c r="Q202" s="34" t="n">
        <x:v>0</x:v>
      </x:c>
      <x:c r="R202" s="34" t="n">
        <x:v>0</x:v>
      </x:c>
      <x:c r="S202" s="34" t="n">
        <x:v>0</x:v>
      </x:c>
      <x:c r="T202" s="34" t="n">
        <x:v>0</x:v>
      </x:c>
    </x:row>
    <x:row r="203">
      <x:c r="A203" s="34" t="str">
        <x:v>POSCO_KR</x:v>
      </x:c>
      <x:c r="B203" s="34" t="str">
        <x:v>POSCO</x:v>
      </x:c>
      <x:c r="C203" s="34" t="str">
        <x:v>CAND-9F98CFC8518527</x:v>
      </x:c>
      <x:c r="D203" s="34" t="str">
        <x:v>P2</x:v>
      </x:c>
      <x:c r="E203" s="34" t="str">
        <x:v>PORT-13C60822C05B</x:v>
      </x:c>
      <x:c r="F203" s="34" t="n">
        <x:v>2</x:v>
      </x:c>
      <x:c r="G203" s="34" t="n">
        <x:v>1</x:v>
      </x:c>
      <x:c r="H203" s="40" t="b">
        <x:v>0</x:v>
      </x:c>
      <x:c r="I203" s="34" t="n">
        <x:v>91.192717</x:v>
      </x:c>
      <x:c r="J203" s="34" t="n">
        <x:v>0.563377</x:v>
      </x:c>
      <x:c r="K203" s="34" t="n">
        <x:v>21.13171</x:v>
      </x:c>
      <x:c r="L203" s="34" t="n">
        <x:v>2.720294</x:v>
      </x:c>
      <x:c r="M203" s="34" t="n">
        <x:v>81.932894</x:v>
      </x:c>
      <x:c r="N203" s="34" t="n">
        <x:v>0.740875</x:v>
      </x:c>
      <x:c r="O203" s="34" t="n">
        <x:v>71.25381</x:v>
      </x:c>
      <x:c r="P203" s="34" t="n">
        <x:v>0.596941</x:v>
      </x:c>
      <x:c r="Q203" s="34" t="n">
        <x:v>0</x:v>
      </x:c>
      <x:c r="R203" s="34" t="n">
        <x:v>0</x:v>
      </x:c>
      <x:c r="S203" s="34" t="n">
        <x:v>0</x:v>
      </x:c>
      <x:c r="T203" s="34" t="n">
        <x:v>0</x:v>
      </x:c>
    </x:row>
    <x:row r="204">
      <x:c r="A204" s="34" t="str">
        <x:v>POSCO_KR</x:v>
      </x:c>
      <x:c r="B204" s="34" t="str">
        <x:v>POSCO</x:v>
      </x:c>
      <x:c r="C204" s="34" t="str">
        <x:v>CAND-A6713428AA1463</x:v>
      </x:c>
      <x:c r="D204" s="34" t="str">
        <x:v>P1</x:v>
      </x:c>
      <x:c r="E204" s="34" t="str">
        <x:v>PORT-077F7C54FB04</x:v>
      </x:c>
      <x:c r="F204" s="34" t="n">
        <x:v>2</x:v>
      </x:c>
      <x:c r="G204" s="34" t="n">
        <x:v>2</x:v>
      </x:c>
      <x:c r="H204" s="40" t="b">
        <x:v>1</x:v>
      </x:c>
      <x:c r="I204" s="34" t="n">
        <x:v>102.789169</x:v>
      </x:c>
      <x:c r="J204" s="34" t="n">
        <x:v>1.314839</x:v>
      </x:c>
      <x:c r="K204" s="34" t="n">
        <x:v>29.92135</x:v>
      </x:c>
      <x:c r="L204" s="34" t="n">
        <x:v>3.839265</x:v>
      </x:c>
      <x:c r="M204" s="34" t="n">
        <x:v>93.529345</x:v>
      </x:c>
      <x:c r="N204" s="34" t="n">
        <x:v>1.848505</x:v>
      </x:c>
      <x:c r="O204" s="34" t="n">
        <x:v>83.873298</x:v>
      </x:c>
      <x:c r="P204" s="34" t="n">
        <x:v>1.384535</x:v>
      </x:c>
      <x:c r="Q204" s="34" t="n">
        <x:v>0</x:v>
      </x:c>
      <x:c r="R204" s="34" t="n">
        <x:v>0</x:v>
      </x:c>
      <x:c r="S204" s="34" t="n">
        <x:v>0</x:v>
      </x:c>
      <x:c r="T204" s="34" t="n">
        <x:v>0</x:v>
      </x:c>
    </x:row>
    <x:row r="205">
      <x:c r="A205" s="34" t="str">
        <x:v>POSCO_KR</x:v>
      </x:c>
      <x:c r="B205" s="34" t="str">
        <x:v>POSCO</x:v>
      </x:c>
      <x:c r="C205" s="34" t="str">
        <x:v>CAND-B90A406E3BDA97</x:v>
      </x:c>
      <x:c r="D205" s="34" t="str">
        <x:v>P2</x:v>
      </x:c>
      <x:c r="E205" s="34" t="str">
        <x:v>PORT-D42DEB3BDB60</x:v>
      </x:c>
      <x:c r="F205" s="34" t="n">
        <x:v>2</x:v>
      </x:c>
      <x:c r="G205" s="34" t="n">
        <x:v>1</x:v>
      </x:c>
      <x:c r="H205" s="40" t="b">
        <x:v>0</x:v>
      </x:c>
      <x:c r="I205" s="34" t="n">
        <x:v>48.779246</x:v>
      </x:c>
      <x:c r="J205" s="34" t="n">
        <x:v>0.22235</x:v>
      </x:c>
      <x:c r="K205" s="34" t="n">
        <x:v>14.850688</x:v>
      </x:c>
      <x:c r="L205" s="34" t="n">
        <x:v>1.305986</x:v>
      </x:c>
      <x:c r="M205" s="34" t="n">
        <x:v>39.519422</x:v>
      </x:c>
      <x:c r="N205" s="34" t="n">
        <x:v>0.741989</x:v>
      </x:c>
      <x:c r="O205" s="34" t="n">
        <x:v>27.850321</x:v>
      </x:c>
      <x:c r="P205" s="34" t="n">
        <x:v>0.288625</x:v>
      </x:c>
      <x:c r="Q205" s="34" t="n">
        <x:v>0</x:v>
      </x:c>
      <x:c r="R205" s="34" t="n">
        <x:v>0</x:v>
      </x:c>
      <x:c r="S205" s="34" t="n">
        <x:v>0</x:v>
      </x:c>
      <x:c r="T205" s="34" t="n">
        <x:v>0</x:v>
      </x:c>
    </x:row>
    <x:row r="206">
      <x:c r="A206" s="34" t="str">
        <x:v>POSCO_KR</x:v>
      </x:c>
      <x:c r="B206" s="34" t="str">
        <x:v>POSCO</x:v>
      </x:c>
      <x:c r="C206" s="34" t="str">
        <x:v>CAND-BBFDE735F87B40</x:v>
      </x:c>
      <x:c r="D206" s="34" t="str">
        <x:v>P1</x:v>
      </x:c>
      <x:c r="E206" s="34" t="str">
        <x:v>PORT-7827D72F6A22</x:v>
      </x:c>
      <x:c r="F206" s="34" t="n">
        <x:v>2</x:v>
      </x:c>
      <x:c r="G206" s="34" t="n">
        <x:v>1</x:v>
      </x:c>
      <x:c r="H206" s="40" t="b">
        <x:v>0</x:v>
      </x:c>
      <x:c r="I206" s="34" t="n">
        <x:v>45.800037</x:v>
      </x:c>
      <x:c r="J206" s="34" t="n">
        <x:v>0.431773</x:v>
      </x:c>
      <x:c r="K206" s="34" t="n">
        <x:v>16.116217</x:v>
      </x:c>
      <x:c r="L206" s="34" t="n">
        <x:v>1.933745</x:v>
      </x:c>
      <x:c r="M206" s="34" t="n">
        <x:v>36.540214</x:v>
      </x:c>
      <x:c r="N206" s="34" t="n">
        <x:v>0.963422</x:v>
      </x:c>
      <x:c r="O206" s="34" t="n">
        <x:v>24.838478</x:v>
      </x:c>
      <x:c r="P206" s="34" t="n">
        <x:v>0.584624</x:v>
      </x:c>
      <x:c r="Q206" s="34" t="n">
        <x:v>0</x:v>
      </x:c>
      <x:c r="R206" s="34" t="n">
        <x:v>0</x:v>
      </x:c>
      <x:c r="S206" s="34" t="n">
        <x:v>0</x:v>
      </x:c>
      <x:c r="T206" s="34" t="n">
        <x:v>0</x:v>
      </x:c>
    </x:row>
    <x:row r="207">
      <x:c r="A207" s="34" t="str">
        <x:v>POSCO_KR</x:v>
      </x:c>
      <x:c r="B207" s="34" t="str">
        <x:v>POSCO</x:v>
      </x:c>
      <x:c r="C207" s="34" t="str">
        <x:v>CAND-BEF797E7835E02</x:v>
      </x:c>
      <x:c r="D207" s="34" t="str">
        <x:v>P2</x:v>
      </x:c>
      <x:c r="E207" s="34" t="str">
        <x:v>PORT-7827D72F6A22</x:v>
      </x:c>
      <x:c r="F207" s="34" t="n">
        <x:v>2</x:v>
      </x:c>
      <x:c r="G207" s="34" t="n">
        <x:v>1</x:v>
      </x:c>
      <x:c r="H207" s="40" t="b">
        <x:v>0</x:v>
      </x:c>
      <x:c r="I207" s="34" t="n">
        <x:v>44.775492</x:v>
      </x:c>
      <x:c r="J207" s="34" t="n">
        <x:v>0.345147</x:v>
      </x:c>
      <x:c r="K207" s="34" t="n">
        <x:v>13.809071</x:v>
      </x:c>
      <x:c r="L207" s="34" t="n">
        <x:v>1.593793</x:v>
      </x:c>
      <x:c r="M207" s="34" t="n">
        <x:v>35.515669</x:v>
      </x:c>
      <x:c r="N207" s="34" t="n">
        <x:v>0.870525</x:v>
      </x:c>
      <x:c r="O207" s="34" t="n">
        <x:v>23.651491</x:v>
      </x:c>
      <x:c r="P207" s="34" t="n">
        <x:v>0.458595</x:v>
      </x:c>
      <x:c r="Q207" s="34" t="n">
        <x:v>0</x:v>
      </x:c>
      <x:c r="R207" s="34" t="n">
        <x:v>0</x:v>
      </x:c>
      <x:c r="S207" s="34" t="n">
        <x:v>0</x:v>
      </x:c>
      <x:c r="T207" s="34" t="n">
        <x:v>0</x:v>
      </x:c>
    </x:row>
    <x:row r="208">
      <x:c r="A208" s="34" t="str">
        <x:v>POSCO_KR</x:v>
      </x:c>
      <x:c r="B208" s="34" t="str">
        <x:v>POSCO</x:v>
      </x:c>
      <x:c r="C208" s="34" t="str">
        <x:v>CAND-C5C95C9095B035</x:v>
      </x:c>
      <x:c r="D208" s="34" t="str">
        <x:v>P2</x:v>
      </x:c>
      <x:c r="E208" s="34" t="str">
        <x:v>PORT-0DA980ACBA29</x:v>
      </x:c>
      <x:c r="F208" s="34" t="n">
        <x:v>2</x:v>
      </x:c>
      <x:c r="G208" s="34" t="n">
        <x:v>1</x:v>
      </x:c>
      <x:c r="H208" s="40" t="b">
        <x:v>0</x:v>
      </x:c>
      <x:c r="I208" s="34" t="n">
        <x:v>53.422081</x:v>
      </x:c>
      <x:c r="J208" s="34" t="n">
        <x:v>0.704454</x:v>
      </x:c>
      <x:c r="K208" s="34" t="n">
        <x:v>16.082879</x:v>
      </x:c>
      <x:c r="L208" s="34" t="n">
        <x:v>1.960644</x:v>
      </x:c>
      <x:c r="M208" s="34" t="n">
        <x:v>44.162257</x:v>
      </x:c>
      <x:c r="N208" s="34" t="n">
        <x:v>0.414709</x:v>
      </x:c>
      <x:c r="O208" s="34" t="n">
        <x:v>32.719325</x:v>
      </x:c>
      <x:c r="P208" s="34" t="n">
        <x:v>0.818245</x:v>
      </x:c>
      <x:c r="Q208" s="34" t="n">
        <x:v>0</x:v>
      </x:c>
      <x:c r="R208" s="34" t="n">
        <x:v>0</x:v>
      </x:c>
      <x:c r="S208" s="34" t="n">
        <x:v>0</x:v>
      </x:c>
      <x:c r="T208" s="34" t="n">
        <x:v>0</x:v>
      </x:c>
    </x:row>
    <x:row r="209">
      <x:c r="A209" s="34" t="str">
        <x:v>POSCO_KR</x:v>
      </x:c>
      <x:c r="B209" s="34" t="str">
        <x:v>POSCO</x:v>
      </x:c>
      <x:c r="C209" s="34" t="str">
        <x:v>CAND-C8332513BB985B</x:v>
      </x:c>
      <x:c r="D209" s="34" t="str">
        <x:v>P2</x:v>
      </x:c>
      <x:c r="E209" s="34" t="str">
        <x:v>PORT-CA761749FFB1</x:v>
      </x:c>
      <x:c r="F209" s="34" t="n">
        <x:v>2</x:v>
      </x:c>
      <x:c r="G209" s="34" t="n">
        <x:v>1</x:v>
      </x:c>
      <x:c r="H209" s="40" t="b">
        <x:v>0</x:v>
      </x:c>
      <x:c r="I209" s="34" t="n">
        <x:v>61.192274</x:v>
      </x:c>
      <x:c r="J209" s="34" t="n">
        <x:v>1.012026</x:v>
      </x:c>
      <x:c r="K209" s="34" t="n">
        <x:v>17.56075</x:v>
      </x:c>
      <x:c r="L209" s="34" t="n">
        <x:v>2.245759</x:v>
      </x:c>
      <x:c r="M209" s="34" t="n">
        <x:v>51.932451</x:v>
      </x:c>
      <x:c r="N209" s="34" t="n">
        <x:v>1.54289</x:v>
      </x:c>
      <x:c r="O209" s="34" t="n">
        <x:v>40.411167</x:v>
      </x:c>
      <x:c r="P209" s="34" t="n">
        <x:v>1.105341</x:v>
      </x:c>
      <x:c r="Q209" s="34" t="n">
        <x:v>0</x:v>
      </x:c>
      <x:c r="R209" s="34" t="n">
        <x:v>0</x:v>
      </x:c>
      <x:c r="S209" s="34" t="n">
        <x:v>0</x:v>
      </x:c>
      <x:c r="T209" s="34" t="n">
        <x:v>0</x:v>
      </x:c>
    </x:row>
    <x:row r="210">
      <x:c r="A210" s="34" t="str">
        <x:v>POSCO_KR</x:v>
      </x:c>
      <x:c r="B210" s="34" t="str">
        <x:v>POSCO</x:v>
      </x:c>
      <x:c r="C210" s="34" t="str">
        <x:v>CAND-C9724A8933A429</x:v>
      </x:c>
      <x:c r="D210" s="34" t="str">
        <x:v>P1</x:v>
      </x:c>
      <x:c r="E210" s="34" t="str">
        <x:v>PORT-8826D0B469EE</x:v>
      </x:c>
      <x:c r="F210" s="34" t="n">
        <x:v>2</x:v>
      </x:c>
      <x:c r="G210" s="34" t="n">
        <x:v>2</x:v>
      </x:c>
      <x:c r="H210" s="40" t="b">
        <x:v>1</x:v>
      </x:c>
      <x:c r="I210" s="34" t="n">
        <x:v>67.824232</x:v>
      </x:c>
      <x:c r="J210" s="34" t="n">
        <x:v>1.88301</x:v>
      </x:c>
      <x:c r="K210" s="34" t="n">
        <x:v>20.953059</x:v>
      </x:c>
      <x:c r="L210" s="34" t="n">
        <x:v>3.330083</x:v>
      </x:c>
      <x:c r="M210" s="34" t="n">
        <x:v>58.564408</x:v>
      </x:c>
      <x:c r="N210" s="34" t="n">
        <x:v>2.416638</x:v>
      </x:c>
      <x:c r="O210" s="34" t="n">
        <x:v>47.528572</x:v>
      </x:c>
      <x:c r="P210" s="34" t="n">
        <x:v>1.982776</x:v>
      </x:c>
      <x:c r="Q210" s="34" t="n">
        <x:v>0</x:v>
      </x:c>
      <x:c r="R210" s="34" t="n">
        <x:v>0</x:v>
      </x:c>
      <x:c r="S210" s="34" t="n">
        <x:v>0</x:v>
      </x:c>
      <x:c r="T210" s="34" t="n">
        <x:v>0</x:v>
      </x:c>
    </x:row>
    <x:row r="211">
      <x:c r="A211" s="34" t="str">
        <x:v>POSCO_KR</x:v>
      </x:c>
      <x:c r="B211" s="34" t="str">
        <x:v>POSCO</x:v>
      </x:c>
      <x:c r="C211" s="34" t="str">
        <x:v>CAND-CD94A69F094896</x:v>
      </x:c>
      <x:c r="D211" s="34" t="str">
        <x:v>P2</x:v>
      </x:c>
      <x:c r="E211" s="34" t="str">
        <x:v>PORT-8378A8ACBA64</x:v>
      </x:c>
      <x:c r="F211" s="34" t="n">
        <x:v>2</x:v>
      </x:c>
      <x:c r="G211" s="34" t="n">
        <x:v>1</x:v>
      </x:c>
      <x:c r="H211" s="40" t="b">
        <x:v>0</x:v>
      </x:c>
      <x:c r="I211" s="34" t="n">
        <x:v>61.662241</x:v>
      </x:c>
      <x:c r="J211" s="34" t="n">
        <x:v>0.623055</x:v>
      </x:c>
      <x:c r="K211" s="34" t="n">
        <x:v>17.744796</x:v>
      </x:c>
      <x:c r="L211" s="34" t="n">
        <x:v>2.071759</x:v>
      </x:c>
      <x:c r="M211" s="34" t="n">
        <x:v>52.402417</x:v>
      </x:c>
      <x:c r="N211" s="34" t="n">
        <x:v>1.142209</x:v>
      </x:c>
      <x:c r="O211" s="34" t="n">
        <x:v>41.108518</x:v>
      </x:c>
      <x:c r="P211" s="34" t="n">
        <x:v>0.699593</x:v>
      </x:c>
      <x:c r="Q211" s="34" t="n">
        <x:v>0</x:v>
      </x:c>
      <x:c r="R211" s="34" t="n">
        <x:v>0</x:v>
      </x:c>
      <x:c r="S211" s="34" t="n">
        <x:v>0</x:v>
      </x:c>
      <x:c r="T211" s="34" t="n">
        <x:v>0</x:v>
      </x:c>
    </x:row>
    <x:row r="212">
      <x:c r="A212" s="34" t="str">
        <x:v>POSCO_KR</x:v>
      </x:c>
      <x:c r="B212" s="34" t="str">
        <x:v>POSCO</x:v>
      </x:c>
      <x:c r="C212" s="34" t="str">
        <x:v>CAND-D474BBC66D4C3C</x:v>
      </x:c>
      <x:c r="D212" s="34" t="str">
        <x:v>P1</x:v>
      </x:c>
      <x:c r="E212" s="34" t="str">
        <x:v>PORT-CEF57596D771</x:v>
      </x:c>
      <x:c r="F212" s="34" t="n">
        <x:v>2</x:v>
      </x:c>
      <x:c r="G212" s="34" t="n">
        <x:v>1</x:v>
      </x:c>
      <x:c r="H212" s="40" t="b">
        <x:v>0</x:v>
      </x:c>
      <x:c r="I212" s="34" t="n">
        <x:v>39.778464</x:v>
      </x:c>
      <x:c r="J212" s="34" t="n">
        <x:v>0.740421</x:v>
      </x:c>
      <x:c r="K212" s="34" t="n">
        <x:v>14.537118</x:v>
      </x:c>
      <x:c r="L212" s="34" t="n">
        <x:v>2.098099</x:v>
      </x:c>
      <x:c r="M212" s="34" t="n">
        <x:v>30.518641</x:v>
      </x:c>
      <x:c r="N212" s="34" t="n">
        <x:v>1.26415</x:v>
      </x:c>
      <x:c r="O212" s="34" t="n">
        <x:v>18.74962</x:v>
      </x:c>
      <x:c r="P212" s="34" t="n">
        <x:v>0.756936</x:v>
      </x:c>
      <x:c r="Q212" s="34" t="n">
        <x:v>0</x:v>
      </x:c>
      <x:c r="R212" s="34" t="n">
        <x:v>0</x:v>
      </x:c>
      <x:c r="S212" s="34" t="n">
        <x:v>0</x:v>
      </x:c>
      <x:c r="T212" s="34" t="n">
        <x:v>0</x:v>
      </x:c>
    </x:row>
    <x:row r="213">
      <x:c r="A213" s="34" t="str">
        <x:v>POSCO_KR</x:v>
      </x:c>
      <x:c r="B213" s="34" t="str">
        <x:v>POSCO</x:v>
      </x:c>
      <x:c r="C213" s="34" t="str">
        <x:v>CAND-DA7B74C24222D6</x:v>
      </x:c>
      <x:c r="D213" s="34" t="str">
        <x:v>P2</x:v>
      </x:c>
      <x:c r="E213" s="34" t="str">
        <x:v>PORT-802EEF341C7A</x:v>
      </x:c>
      <x:c r="F213" s="34" t="n">
        <x:v>2</x:v>
      </x:c>
      <x:c r="G213" s="34" t="n">
        <x:v>1</x:v>
      </x:c>
      <x:c r="H213" s="40" t="b">
        <x:v>0</x:v>
      </x:c>
      <x:c r="I213" s="34" t="n">
        <x:v>40.114084</x:v>
      </x:c>
      <x:c r="J213" s="34" t="n">
        <x:v>1.16207</x:v>
      </x:c>
      <x:c r="K213" s="34" t="n">
        <x:v>12.966353</x:v>
      </x:c>
      <x:c r="L213" s="34" t="n">
        <x:v>2.10108</x:v>
      </x:c>
      <x:c r="M213" s="34" t="n">
        <x:v>30.854261</x:v>
      </x:c>
      <x:c r="N213" s="34" t="n">
        <x:v>1.690607</x:v>
      </x:c>
      <x:c r="O213" s="34" t="n">
        <x:v>18.800476</x:v>
      </x:c>
      <x:c r="P213" s="34" t="n">
        <x:v>1.114252</x:v>
      </x:c>
      <x:c r="Q213" s="34" t="n">
        <x:v>0</x:v>
      </x:c>
      <x:c r="R213" s="34" t="n">
        <x:v>0</x:v>
      </x:c>
      <x:c r="S213" s="34" t="n">
        <x:v>0</x:v>
      </x:c>
      <x:c r="T213" s="34" t="n">
        <x:v>0</x:v>
      </x:c>
    </x:row>
    <x:row r="214">
      <x:c r="A214" s="34" t="str">
        <x:v>POSCO_KR</x:v>
      </x:c>
      <x:c r="B214" s="34" t="str">
        <x:v>POSCO</x:v>
      </x:c>
      <x:c r="C214" s="34" t="str">
        <x:v>CAND-DDC1E605504409</x:v>
      </x:c>
      <x:c r="D214" s="34" t="str">
        <x:v>P3</x:v>
      </x:c>
      <x:c r="E214" s="34" t="str">
        <x:v>PORT-077F7C54FB04</x:v>
      </x:c>
      <x:c r="F214" s="34" t="n">
        <x:v>2</x:v>
      </x:c>
      <x:c r="G214" s="34" t="n">
        <x:v>2</x:v>
      </x:c>
      <x:c r="H214" s="40" t="b">
        <x:v>1</x:v>
      </x:c>
      <x:c r="I214" s="34" t="n">
        <x:v>96.905535</x:v>
      </x:c>
      <x:c r="J214" s="34" t="n">
        <x:v>0.910496</x:v>
      </x:c>
      <x:c r="K214" s="34" t="n">
        <x:v>20.008408</x:v>
      </x:c>
      <x:c r="L214" s="34" t="n">
        <x:v>2.55979</x:v>
      </x:c>
      <x:c r="M214" s="34" t="n">
        <x:v>87.645712</x:v>
      </x:c>
      <x:c r="N214" s="34" t="n">
        <x:v>1.443709</x:v>
      </x:c>
      <x:c r="O214" s="34" t="n">
        <x:v>76.672424</x:v>
      </x:c>
      <x:c r="P214" s="34" t="n">
        <x:v>0.917553</x:v>
      </x:c>
      <x:c r="Q214" s="34" t="n">
        <x:v>0</x:v>
      </x:c>
      <x:c r="R214" s="34" t="n">
        <x:v>0</x:v>
      </x:c>
      <x:c r="S214" s="34" t="n">
        <x:v>0</x:v>
      </x:c>
      <x:c r="T214" s="34" t="n">
        <x:v>0</x:v>
      </x:c>
    </x:row>
    <x:row r="215">
      <x:c r="A215" s="34" t="str">
        <x:v>POSCO_KR</x:v>
      </x:c>
      <x:c r="B215" s="34" t="str">
        <x:v>POSCO</x:v>
      </x:c>
      <x:c r="C215" s="34" t="str">
        <x:v>CAND-E3FBD935777392</x:v>
      </x:c>
      <x:c r="D215" s="34" t="str">
        <x:v>P2</x:v>
      </x:c>
      <x:c r="E215" s="34" t="str">
        <x:v>PORT-077F7C54FB04</x:v>
      </x:c>
      <x:c r="F215" s="34" t="n">
        <x:v>2</x:v>
      </x:c>
      <x:c r="G215" s="34" t="n">
        <x:v>2</x:v>
      </x:c>
      <x:c r="H215" s="40" t="b">
        <x:v>1</x:v>
      </x:c>
      <x:c r="I215" s="34" t="n">
        <x:v>100.362203</x:v>
      </x:c>
      <x:c r="J215" s="34" t="n">
        <x:v>1.154661</x:v>
      </x:c>
      <x:c r="K215" s="34" t="n">
        <x:v>25.626739</x:v>
      </x:c>
      <x:c r="L215" s="34" t="n">
        <x:v>3.270044</x:v>
      </x:c>
      <x:c r="M215" s="34" t="n">
        <x:v>91.10238</x:v>
      </x:c>
      <x:c r="N215" s="34" t="n">
        <x:v>1.688325</x:v>
      </x:c>
      <x:c r="O215" s="34" t="n">
        <x:v>80.908117</x:v>
      </x:c>
      <x:c r="P215" s="34" t="n">
        <x:v>1.19959</x:v>
      </x:c>
      <x:c r="Q215" s="34" t="n">
        <x:v>0</x:v>
      </x:c>
      <x:c r="R215" s="34" t="n">
        <x:v>0</x:v>
      </x:c>
      <x:c r="S215" s="34" t="n">
        <x:v>0</x:v>
      </x:c>
      <x:c r="T215" s="34" t="n">
        <x:v>0</x:v>
      </x:c>
    </x:row>
    <x:row r="216">
      <x:c r="A216" s="34" t="str">
        <x:v>POSCO_KR</x:v>
      </x:c>
      <x:c r="B216" s="34" t="str">
        <x:v>POSCO</x:v>
      </x:c>
      <x:c r="C216" s="34" t="str">
        <x:v>CAND-E5548226AF9F6B</x:v>
      </x:c>
      <x:c r="D216" s="34" t="str">
        <x:v>P2</x:v>
      </x:c>
      <x:c r="E216" s="34" t="str">
        <x:v>PORT-39601EAF8865</x:v>
      </x:c>
      <x:c r="F216" s="34" t="n">
        <x:v>2</x:v>
      </x:c>
      <x:c r="G216" s="34" t="n">
        <x:v>1</x:v>
      </x:c>
      <x:c r="H216" s="40" t="b">
        <x:v>0</x:v>
      </x:c>
      <x:c r="I216" s="34" t="n">
        <x:v>61.321533</x:v>
      </x:c>
      <x:c r="J216" s="34" t="n">
        <x:v>1.532964</x:v>
      </x:c>
      <x:c r="K216" s="34" t="n">
        <x:v>17.11122</x:v>
      </x:c>
      <x:c r="L216" s="34" t="n">
        <x:v>3.003804</x:v>
      </x:c>
      <x:c r="M216" s="34" t="n">
        <x:v>52.06171</x:v>
      </x:c>
      <x:c r="N216" s="34" t="n">
        <x:v>2.065952</x:v>
      </x:c>
      <x:c r="O216" s="34" t="n">
        <x:v>40.124058</x:v>
      </x:c>
      <x:c r="P216" s="34" t="n">
        <x:v>1.623798</x:v>
      </x:c>
      <x:c r="Q216" s="34" t="n">
        <x:v>0</x:v>
      </x:c>
      <x:c r="R216" s="34" t="n">
        <x:v>0</x:v>
      </x:c>
      <x:c r="S216" s="34" t="n">
        <x:v>0</x:v>
      </x:c>
      <x:c r="T216" s="34" t="n">
        <x:v>0</x:v>
      </x:c>
    </x:row>
    <x:row r="217">
      <x:c r="A217" s="34" t="str">
        <x:v>POSCO_KR</x:v>
      </x:c>
      <x:c r="B217" s="34" t="str">
        <x:v>POSCO</x:v>
      </x:c>
      <x:c r="C217" s="34" t="str">
        <x:v>CAND-F43ACAB6E7F085</x:v>
      </x:c>
      <x:c r="D217" s="34" t="str">
        <x:v>P1</x:v>
      </x:c>
      <x:c r="E217" s="34" t="str">
        <x:v>PORT-4FCB78A64B21</x:v>
      </x:c>
      <x:c r="F217" s="34" t="n">
        <x:v>2</x:v>
      </x:c>
      <x:c r="G217" s="34" t="n">
        <x:v>1</x:v>
      </x:c>
      <x:c r="H217" s="40" t="b">
        <x:v>0</x:v>
      </x:c>
      <x:c r="I217" s="34" t="n">
        <x:v>45.800189</x:v>
      </x:c>
      <x:c r="J217" s="34" t="n">
        <x:v>0.430515</x:v>
      </x:c>
      <x:c r="K217" s="34" t="n">
        <x:v>17.002586</x:v>
      </x:c>
      <x:c r="L217" s="34" t="n">
        <x:v>2.678808</x:v>
      </x:c>
      <x:c r="M217" s="34" t="n">
        <x:v>36.540366</x:v>
      </x:c>
      <x:c r="N217" s="34" t="n">
        <x:v>0.954351</x:v>
      </x:c>
      <x:c r="O217" s="34" t="n">
        <x:v>24.58314</x:v>
      </x:c>
      <x:c r="P217" s="34" t="n">
        <x:v>0.696925</x:v>
      </x:c>
      <x:c r="Q217" s="34" t="n">
        <x:v>0</x:v>
      </x:c>
      <x:c r="R217" s="34" t="n">
        <x:v>0</x:v>
      </x:c>
      <x:c r="S217" s="34" t="n">
        <x:v>0</x:v>
      </x:c>
      <x:c r="T217" s="34" t="n">
        <x:v>0</x:v>
      </x:c>
    </x:row>
    <x:row r="218">
      <x:c r="A218" s="35" t="str">
        <x:v>POSCO_KR</x:v>
      </x:c>
      <x:c r="B218" s="35" t="str">
        <x:v>POSCO</x:v>
      </x:c>
      <x:c r="C218" s="35" t="str">
        <x:v>CAND-F5CF3CBE63EF2D</x:v>
      </x:c>
      <x:c r="D218" s="35" t="str">
        <x:v>P1</x:v>
      </x:c>
      <x:c r="E218" s="35" t="str">
        <x:v>PORT-A620DB8F058C</x:v>
      </x:c>
      <x:c r="F218" s="35" t="n">
        <x:v>2</x:v>
      </x:c>
      <x:c r="G218" s="35" t="n">
        <x:v>2</x:v>
      </x:c>
      <x:c r="H218" s="41" t="b">
        <x:v>1</x:v>
      </x:c>
      <x:c r="I218" s="35" t="n">
        <x:v>82.325685</x:v>
      </x:c>
      <x:c r="J218" s="35" t="n">
        <x:v>0.522972</x:v>
      </x:c>
      <x:c r="K218" s="35" t="n">
        <x:v>25.525997</x:v>
      </x:c>
      <x:c r="L218" s="35" t="n">
        <x:v>3.777505</x:v>
      </x:c>
      <x:c r="M218" s="35" t="n">
        <x:v>73.065861</x:v>
      </x:c>
      <x:c r="N218" s="35" t="n">
        <x:v>0.926261</x:v>
      </x:c>
      <x:c r="O218" s="35" t="n">
        <x:v>62.611901</x:v>
      </x:c>
      <x:c r="P218" s="35" t="n">
        <x:v>0.545381</x:v>
      </x:c>
      <x:c r="Q218" s="35" t="n">
        <x:v>0</x:v>
      </x:c>
      <x:c r="R218" s="35" t="n">
        <x:v>0</x:v>
      </x:c>
      <x:c r="S218" s="35" t="n">
        <x:v>0</x:v>
      </x:c>
      <x:c r="T218" s="35" t="n">
        <x:v>0</x:v>
      </x:c>
    </x:row>
  </x:sheetData>
  <x:pageMargins left="0.7" right="0.7" top="0.75" bottom="0.75" header="0.3" footer="0.3"/>
</x:worksheet>
</file>

<file path=xl/worksheets/sheet26.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0" hidden="0" customWidth="1"/>
    <x:col min="24" max="24" width="20" hidden="0" customWidth="1"/>
    <x:col min="25" max="25" width="20" hidden="0" customWidth="1"/>
    <x:col min="26" max="26" width="20" hidden="0" customWidth="1"/>
    <x:col min="27" max="27" width="20" hidden="0" customWidth="1"/>
  </x:cols>
  <x:sheetData>
    <x:row r="1" ht="28" customHeight="1">
      <x:c r="A1" s="29" t="str">
        <x:v>company_id</x:v>
      </x:c>
      <x:c r="B1" s="29" t="str">
        <x:v>company_name</x:v>
      </x:c>
      <x:c r="C1" s="29" t="str">
        <x:v>candidate_id</x:v>
      </x:c>
      <x:c r="D1" s="29" t="str">
        <x:v>template_plan_id</x:v>
      </x:c>
      <x:c r="E1" s="29" t="str">
        <x:v>physical_portfolio_id</x:v>
      </x:c>
      <x:c r="F1" s="29" t="str">
        <x:v>from_scenario_id</x:v>
      </x:c>
      <x:c r="G1" s="29" t="str">
        <x:v>to_scenario_id</x:v>
      </x:c>
      <x:c r="H1" s="29" t="str">
        <x:v>from_scenario_feasible</x:v>
      </x:c>
      <x:c r="I1" s="29" t="str">
        <x:v>to_scenario_feasible</x:v>
      </x:c>
      <x:c r="J1" s="29" t="str">
        <x:v>same_physical_portfolio</x:v>
      </x:c>
      <x:c r="K1" s="29" t="str">
        <x:v>common_avoided_emissions_mtco2</x:v>
      </x:c>
      <x:c r="L1" s="29" t="str">
        <x:v>delta_p50_common_kkrw_per_tco2_mean</x:v>
      </x:c>
      <x:c r="M1" s="29" t="str">
        <x:v>delta_p50_common_kkrw_per_tco2_std</x:v>
      </x:c>
      <x:c r="N1" s="29" t="str">
        <x:v>delta_tcar_kkrw_per_tco2_mean</x:v>
      </x:c>
      <x:c r="O1" s="29" t="str">
        <x:v>delta_tcar_kkrw_per_tco2_std</x:v>
      </x:c>
      <x:c r="P1" s="29" t="str">
        <x:v>delta_absolute_npv_p50_bn_krw_mean</x:v>
      </x:c>
      <x:c r="Q1" s="29" t="str">
        <x:v>delta_absolute_npv_p50_bn_krw_std</x:v>
      </x:c>
      <x:c r="R1" s="29" t="str">
        <x:v>delta_absolute_npv_p90_bn_krw_mean</x:v>
      </x:c>
      <x:c r="S1" s="29" t="str">
        <x:v>delta_absolute_npv_p90_bn_krw_std</x:v>
      </x:c>
      <x:c r="T1" s="29" t="str">
        <x:v>delta_aligned_capex_bn_krw_mean</x:v>
      </x:c>
      <x:c r="U1" s="29" t="str">
        <x:v>delta_aligned_capex_bn_krw_std</x:v>
      </x:c>
      <x:c r="V1" s="29" t="str">
        <x:v>delta_net_cash_cost_p50_bn_krw_mean</x:v>
      </x:c>
      <x:c r="W1" s="29" t="str">
        <x:v>delta_net_cash_cost_p50_bn_krw_std</x:v>
      </x:c>
      <x:c r="X1" s="29" t="str">
        <x:v>delta_avoided_carbon_value_p50_bn_krw_mean</x:v>
      </x:c>
      <x:c r="Y1" s="29" t="str">
        <x:v>delta_avoided_carbon_value_p50_bn_krw_std</x:v>
      </x:c>
      <x:c r="Z1" s="29" t="str">
        <x:v>delta_policy_support_value_p50_bn_krw_mean</x:v>
      </x:c>
      <x:c r="AA1" s="29" t="str">
        <x:v>delta_policy_support_value_p50_bn_krw_std</x:v>
      </x:c>
    </x:row>
    <x:row r="2">
      <x:c r="A2" s="34" t="str">
        <x:v>JFE_STEEL_JP</x:v>
      </x:c>
      <x:c r="B2" s="34" t="str">
        <x:v>JFE Steel</x:v>
      </x:c>
      <x:c r="C2" s="34" t="str">
        <x:v>CAND-0B566F19FFC9A2</x:v>
      </x:c>
      <x:c r="D2" s="34" t="str">
        <x:v>P2</x:v>
      </x:c>
      <x:c r="E2" s="34" t="str">
        <x:v>PORT-CCD4397FA6D4</x:v>
      </x:c>
      <x:c r="F2" s="34" t="str">
        <x:v>ACCELERATED_15C</x:v>
      </x:c>
      <x:c r="G2" s="34" t="str">
        <x:v>DISCLOSED_PATH</x:v>
      </x:c>
      <x:c r="H2" s="40" t="b">
        <x:v>0</x:v>
      </x:c>
      <x:c r="I2" s="40" t="b">
        <x:v>1</x:v>
      </x:c>
      <x:c r="J2" s="40" t="b">
        <x:v>1</x:v>
      </x:c>
      <x:c r="K2" s="34" t="n">
        <x:v>281.895878</x:v>
      </x:c>
      <x:c r="L2" s="34" t="n">
        <x:v>8.386058</x:v>
      </x:c>
      <x:c r="M2" s="34" t="n">
        <x:v>0.346301</x:v>
      </x:c>
      <x:c r="N2" s="34" t="n">
        <x:v>-2.521908</x:v>
      </x:c>
      <x:c r="O2" s="34" t="n">
        <x:v>0.848026</x:v>
      </x:c>
      <x:c r="P2" s="34" t="n">
        <x:v>2363.995</x:v>
      </x:c>
      <x:c r="Q2" s="34" t="n">
        <x:v>97.621233</x:v>
      </x:c>
      <x:c r="R2" s="34" t="n">
        <x:v>1653.079667</x:v>
      </x:c>
      <x:c r="S2" s="34" t="n">
        <x:v>151.901158</x:v>
      </x:c>
      <x:c r="T2" s="34" t="n">
        <x:v>0</x:v>
      </x:c>
      <x:c r="U2" s="34" t="n">
        <x:v>0</x:v>
      </x:c>
      <x:c r="V2" s="34" t="n">
        <x:v>-2297.781</x:v>
      </x:c>
      <x:c r="W2" s="34" t="n">
        <x:v>97.621233</x:v>
      </x:c>
      <x:c r="X2" s="34" t="n">
        <x:v>-4661.776</x:v>
      </x:c>
      <x:c r="Y2" s="34" t="n">
        <x:v>0</x:v>
      </x:c>
      <x:c r="Z2" s="34" t="n">
        <x:v>-898.692667</x:v>
      </x:c>
      <x:c r="AA2" s="34" t="n">
        <x:v>20.352515</x:v>
      </x:c>
    </x:row>
    <x:row r="3">
      <x:c r="A3" s="34" t="str">
        <x:v>JFE_STEEL_JP</x:v>
      </x:c>
      <x:c r="B3" s="34" t="str">
        <x:v>JFE Steel</x:v>
      </x:c>
      <x:c r="C3" s="34" t="str">
        <x:v>CAND-0C103CAC9E9685</x:v>
      </x:c>
      <x:c r="D3" s="34" t="str">
        <x:v>P1</x:v>
      </x:c>
      <x:c r="E3" s="34" t="str">
        <x:v>PORT-48EB0158352D</x:v>
      </x:c>
      <x:c r="F3" s="34" t="str">
        <x:v>ACCELERATED_15C</x:v>
      </x:c>
      <x:c r="G3" s="34" t="str">
        <x:v>DISCLOSED_PATH</x:v>
      </x:c>
      <x:c r="H3" s="40" t="b">
        <x:v>0</x:v>
      </x:c>
      <x:c r="I3" s="40" t="b">
        <x:v>0</x:v>
      </x:c>
      <x:c r="J3" s="40" t="b">
        <x:v>1</x:v>
      </x:c>
      <x:c r="K3" s="34" t="n">
        <x:v>209.90085</x:v>
      </x:c>
      <x:c r="L3" s="34" t="n">
        <x:v>1.345598</x:v>
      </x:c>
      <x:c r="M3" s="34" t="n">
        <x:v>0.120832</x:v>
      </x:c>
      <x:c r="N3" s="34" t="n">
        <x:v>-6.007878</x:v>
      </x:c>
      <x:c r="O3" s="34" t="n">
        <x:v>0.808607</x:v>
      </x:c>
      <x:c r="P3" s="34" t="n">
        <x:v>282.442333</x:v>
      </x:c>
      <x:c r="Q3" s="34" t="n">
        <x:v>25.362367</x:v>
      </x:c>
      <x:c r="R3" s="34" t="n">
        <x:v>-978.616333</x:v>
      </x:c>
      <x:c r="S3" s="34" t="n">
        <x:v>194.53334</x:v>
      </x:c>
      <x:c r="T3" s="34" t="n">
        <x:v>0</x:v>
      </x:c>
      <x:c r="U3" s="34" t="n">
        <x:v>0</x:v>
      </x:c>
      <x:c r="V3" s="34" t="n">
        <x:v>-3281.81</x:v>
      </x:c>
      <x:c r="W3" s="34" t="n">
        <x:v>25.362731</x:v>
      </x:c>
      <x:c r="X3" s="34" t="n">
        <x:v>-3564.253</x:v>
      </x:c>
      <x:c r="Y3" s="34" t="n">
        <x:v>0</x:v>
      </x:c>
      <x:c r="Z3" s="34" t="n">
        <x:v>-539.704</x:v>
      </x:c>
      <x:c r="AA3" s="34" t="n">
        <x:v>23.322765</x:v>
      </x:c>
    </x:row>
    <x:row r="4">
      <x:c r="A4" s="34" t="str">
        <x:v>JFE_STEEL_JP</x:v>
      </x:c>
      <x:c r="B4" s="34" t="str">
        <x:v>JFE Steel</x:v>
      </x:c>
      <x:c r="C4" s="34" t="str">
        <x:v>CAND-11566829CB83FF</x:v>
      </x:c>
      <x:c r="D4" s="34" t="str">
        <x:v>P1</x:v>
      </x:c>
      <x:c r="E4" s="34" t="str">
        <x:v>PORT-7C1FC602A00B</x:v>
      </x:c>
      <x:c r="F4" s="34" t="str">
        <x:v>ACCELERATED_15C</x:v>
      </x:c>
      <x:c r="G4" s="34" t="str">
        <x:v>DISCLOSED_PATH</x:v>
      </x:c>
      <x:c r="H4" s="40" t="b">
        <x:v>1</x:v>
      </x:c>
      <x:c r="I4" s="40" t="b">
        <x:v>0</x:v>
      </x:c>
      <x:c r="J4" s="40" t="b">
        <x:v>1</x:v>
      </x:c>
      <x:c r="K4" s="34" t="n">
        <x:v>341.808365</x:v>
      </x:c>
      <x:c r="L4" s="34" t="n">
        <x:v>2.125132</x:v>
      </x:c>
      <x:c r="M4" s="34" t="n">
        <x:v>0.184823</x:v>
      </x:c>
      <x:c r="N4" s="34" t="n">
        <x:v>-5.069278</x:v>
      </x:c>
      <x:c r="O4" s="34" t="n">
        <x:v>2.13517</x:v>
      </x:c>
      <x:c r="P4" s="34" t="n">
        <x:v>726.388333</x:v>
      </x:c>
      <x:c r="Q4" s="34" t="n">
        <x:v>63.173304</x:v>
      </x:c>
      <x:c r="R4" s="34" t="n">
        <x:v>-1006.333333</x:v>
      </x:c>
      <x:c r="S4" s="34" t="n">
        <x:v>669.31093</x:v>
      </x:c>
      <x:c r="T4" s="34" t="n">
        <x:v>0</x:v>
      </x:c>
      <x:c r="U4" s="34" t="n">
        <x:v>0</x:v>
      </x:c>
      <x:c r="V4" s="34" t="n">
        <x:v>-4942.959667</x:v>
      </x:c>
      <x:c r="W4" s="34" t="n">
        <x:v>63.174254</x:v>
      </x:c>
      <x:c r="X4" s="34" t="n">
        <x:v>-5669.347</x:v>
      </x:c>
      <x:c r="Y4" s="34" t="n">
        <x:v>0</x:v>
      </x:c>
      <x:c r="Z4" s="34" t="n">
        <x:v>-746.442667</x:v>
      </x:c>
      <x:c r="AA4" s="34" t="n">
        <x:v>16.993372</x:v>
      </x:c>
    </x:row>
    <x:row r="5">
      <x:c r="A5" s="34" t="str">
        <x:v>JFE_STEEL_JP</x:v>
      </x:c>
      <x:c r="B5" s="34" t="str">
        <x:v>JFE Steel</x:v>
      </x:c>
      <x:c r="C5" s="34" t="str">
        <x:v>CAND-12D758CC621EDD</x:v>
      </x:c>
      <x:c r="D5" s="34" t="str">
        <x:v>P3</x:v>
      </x:c>
      <x:c r="E5" s="34" t="str">
        <x:v>PORT-04FFFE8075F6</x:v>
      </x:c>
      <x:c r="F5" s="34" t="str">
        <x:v>ACCELERATED_15C</x:v>
      </x:c>
      <x:c r="G5" s="34" t="str">
        <x:v>DISCLOSED_PATH</x:v>
      </x:c>
      <x:c r="H5" s="40" t="b">
        <x:v>1</x:v>
      </x:c>
      <x:c r="I5" s="40" t="b">
        <x:v>0</x:v>
      </x:c>
      <x:c r="J5" s="40" t="b">
        <x:v>1</x:v>
      </x:c>
      <x:c r="K5" s="34" t="n">
        <x:v>348.620862</x:v>
      </x:c>
      <x:c r="L5" s="34" t="n">
        <x:v>7.98827</x:v>
      </x:c>
      <x:c r="M5" s="34" t="n">
        <x:v>0.35007</x:v>
      </x:c>
      <x:c r="N5" s="34" t="n">
        <x:v>-2.748217</x:v>
      </x:c>
      <x:c r="O5" s="34" t="n">
        <x:v>1.120549</x:v>
      </x:c>
      <x:c r="P5" s="34" t="n">
        <x:v>2784.877667</x:v>
      </x:c>
      <x:c r="Q5" s="34" t="n">
        <x:v>122.041563</x:v>
      </x:c>
      <x:c r="R5" s="34" t="n">
        <x:v>1826.791333</x:v>
      </x:c>
      <x:c r="S5" s="34" t="n">
        <x:v>296.178478</x:v>
      </x:c>
      <x:c r="T5" s="34" t="n">
        <x:v>0</x:v>
      </x:c>
      <x:c r="U5" s="34" t="n">
        <x:v>0</x:v>
      </x:c>
      <x:c r="V5" s="34" t="n">
        <x:v>-3001.839</x:v>
      </x:c>
      <x:c r="W5" s="34" t="n">
        <x:v>122.041474</x:v>
      </x:c>
      <x:c r="X5" s="34" t="n">
        <x:v>-5786.717</x:v>
      </x:c>
      <x:c r="Y5" s="34" t="n">
        <x:v>0</x:v>
      </x:c>
      <x:c r="Z5" s="34" t="n">
        <x:v>-3607.456</x:v>
      </x:c>
      <x:c r="AA5" s="34" t="n">
        <x:v>28.582847</x:v>
      </x:c>
    </x:row>
    <x:row r="6">
      <x:c r="A6" s="34" t="str">
        <x:v>JFE_STEEL_JP</x:v>
      </x:c>
      <x:c r="B6" s="34" t="str">
        <x:v>JFE Steel</x:v>
      </x:c>
      <x:c r="C6" s="34" t="str">
        <x:v>CAND-156DBD688B285D</x:v>
      </x:c>
      <x:c r="D6" s="34" t="str">
        <x:v>P2</x:v>
      </x:c>
      <x:c r="E6" s="34" t="str">
        <x:v>PORT-4FBC33F20EEF</x:v>
      </x:c>
      <x:c r="F6" s="34" t="str">
        <x:v>ACCELERATED_15C</x:v>
      </x:c>
      <x:c r="G6" s="34" t="str">
        <x:v>DISCLOSED_PATH</x:v>
      </x:c>
      <x:c r="H6" s="40" t="b">
        <x:v>0</x:v>
      </x:c>
      <x:c r="I6" s="40" t="b">
        <x:v>0</x:v>
      </x:c>
      <x:c r="J6" s="40" t="b">
        <x:v>1</x:v>
      </x:c>
      <x:c r="K6" s="34" t="n">
        <x:v>191.900857</x:v>
      </x:c>
      <x:c r="L6" s="34" t="n">
        <x:v>11.20351</x:v>
      </x:c>
      <x:c r="M6" s="34" t="n">
        <x:v>0.293656</x:v>
      </x:c>
      <x:c r="N6" s="34" t="n">
        <x:v>-1.567967</x:v>
      </x:c>
      <x:c r="O6" s="34" t="n">
        <x:v>0.116527</x:v>
      </x:c>
      <x:c r="P6" s="34" t="n">
        <x:v>2149.963</x:v>
      </x:c>
      <x:c r="Q6" s="34" t="n">
        <x:v>56.352818</x:v>
      </x:c>
      <x:c r="R6" s="34" t="n">
        <x:v>1849.068333</x:v>
      </x:c>
      <x:c r="S6" s="34" t="n">
        <x:v>78.499017</x:v>
      </x:c>
      <x:c r="T6" s="34" t="n">
        <x:v>0</x:v>
      </x:c>
      <x:c r="U6" s="34" t="n">
        <x:v>0</x:v>
      </x:c>
      <x:c r="V6" s="34" t="n">
        <x:v>-1108.134</x:v>
      </x:c>
      <x:c r="W6" s="34" t="n">
        <x:v>56.352818</x:v>
      </x:c>
      <x:c r="X6" s="34" t="n">
        <x:v>-3258.097</x:v>
      </x:c>
      <x:c r="Y6" s="34" t="n">
        <x:v>0</x:v>
      </x:c>
      <x:c r="Z6" s="34" t="n">
        <x:v>-454.074333</x:v>
      </x:c>
      <x:c r="AA6" s="34" t="n">
        <x:v>5.093987</x:v>
      </x:c>
    </x:row>
    <x:row r="7">
      <x:c r="A7" s="34" t="str">
        <x:v>JFE_STEEL_JP</x:v>
      </x:c>
      <x:c r="B7" s="34" t="str">
        <x:v>JFE Steel</x:v>
      </x:c>
      <x:c r="C7" s="34" t="str">
        <x:v>CAND-1D1CB9506368C0</x:v>
      </x:c>
      <x:c r="D7" s="34" t="str">
        <x:v>P2</x:v>
      </x:c>
      <x:c r="E7" s="34" t="str">
        <x:v>PORT-0FD37D80B1EA</x:v>
      </x:c>
      <x:c r="F7" s="34" t="str">
        <x:v>ACCELERATED_15C</x:v>
      </x:c>
      <x:c r="G7" s="34" t="str">
        <x:v>DISCLOSED_PATH</x:v>
      </x:c>
      <x:c r="H7" s="40" t="b">
        <x:v>1</x:v>
      </x:c>
      <x:c r="I7" s="40" t="b">
        <x:v>0</x:v>
      </x:c>
      <x:c r="J7" s="40" t="b">
        <x:v>1</x:v>
      </x:c>
      <x:c r="K7" s="34" t="n">
        <x:v>330.620869</x:v>
      </x:c>
      <x:c r="L7" s="34" t="n">
        <x:v>7.267086</x:v>
      </x:c>
      <x:c r="M7" s="34" t="n">
        <x:v>0.537586</x:v>
      </x:c>
      <x:c r="N7" s="34" t="n">
        <x:v>-3.002821</x:v>
      </x:c>
      <x:c r="O7" s="34" t="n">
        <x:v>2.007653</x:v>
      </x:c>
      <x:c r="P7" s="34" t="n">
        <x:v>2402.65</x:v>
      </x:c>
      <x:c r="Q7" s="34" t="n">
        <x:v>177.737142</x:v>
      </x:c>
      <x:c r="R7" s="34" t="n">
        <x:v>1409.855</x:v>
      </x:c>
      <x:c r="S7" s="34" t="n">
        <x:v>486.265252</x:v>
      </x:c>
      <x:c r="T7" s="34" t="n">
        <x:v>0</x:v>
      </x:c>
      <x:c r="U7" s="34" t="n">
        <x:v>0</x:v>
      </x:c>
      <x:c r="V7" s="34" t="n">
        <x:v>-3077.910667</x:v>
      </x:c>
      <x:c r="W7" s="34" t="n">
        <x:v>177.737402</x:v>
      </x:c>
      <x:c r="X7" s="34" t="n">
        <x:v>-5480.561</x:v>
      </x:c>
      <x:c r="Y7" s="34" t="n">
        <x:v>0</x:v>
      </x:c>
      <x:c r="Z7" s="34" t="n">
        <x:v>-1321.931</x:v>
      </x:c>
      <x:c r="AA7" s="34" t="n">
        <x:v>15.572002</x:v>
      </x:c>
    </x:row>
    <x:row r="8">
      <x:c r="A8" s="34" t="str">
        <x:v>JFE_STEEL_JP</x:v>
      </x:c>
      <x:c r="B8" s="34" t="str">
        <x:v>JFE Steel</x:v>
      </x:c>
      <x:c r="C8" s="34" t="str">
        <x:v>CAND-2384C3F783562D</x:v>
      </x:c>
      <x:c r="D8" s="34" t="str">
        <x:v>P2</x:v>
      </x:c>
      <x:c r="E8" s="34" t="str">
        <x:v>PORT-04FFFE8075F6</x:v>
      </x:c>
      <x:c r="F8" s="34" t="str">
        <x:v>ACCELERATED_15C</x:v>
      </x:c>
      <x:c r="G8" s="34" t="str">
        <x:v>DISCLOSED_PATH</x:v>
      </x:c>
      <x:c r="H8" s="40" t="b">
        <x:v>1</x:v>
      </x:c>
      <x:c r="I8" s="40" t="b">
        <x:v>0</x:v>
      </x:c>
      <x:c r="J8" s="40" t="b">
        <x:v>1</x:v>
      </x:c>
      <x:c r="K8" s="34" t="n">
        <x:v>348.620862</x:v>
      </x:c>
      <x:c r="L8" s="34" t="n">
        <x:v>3.45486</x:v>
      </x:c>
      <x:c r="M8" s="34" t="n">
        <x:v>0.498957</x:v>
      </x:c>
      <x:c r="N8" s="34" t="n">
        <x:v>-4.883806</x:v>
      </x:c>
      <x:c r="O8" s="34" t="n">
        <x:v>1.55962</x:v>
      </x:c>
      <x:c r="P8" s="34" t="n">
        <x:v>1204.436333</x:v>
      </x:c>
      <x:c r="Q8" s="34" t="n">
        <x:v>173.94653</x:v>
      </x:c>
      <x:c r="R8" s="34" t="n">
        <x:v>-498.16</x:v>
      </x:c>
      <x:c r="S8" s="34" t="n">
        <x:v>417.816667</x:v>
      </x:c>
      <x:c r="T8" s="34" t="n">
        <x:v>0</x:v>
      </x:c>
      <x:c r="U8" s="34" t="n">
        <x:v>0</x:v>
      </x:c>
      <x:c r="V8" s="34" t="n">
        <x:v>-4582.279667</x:v>
      </x:c>
      <x:c r="W8" s="34" t="n">
        <x:v>173.94653</x:v>
      </x:c>
      <x:c r="X8" s="34" t="n">
        <x:v>-5786.717</x:v>
      </x:c>
      <x:c r="Y8" s="34" t="n">
        <x:v>0</x:v>
      </x:c>
      <x:c r="Z8" s="34" t="n">
        <x:v>-1977.226</x:v>
      </x:c>
      <x:c r="AA8" s="34" t="n">
        <x:v>58.744569</x:v>
      </x:c>
    </x:row>
    <x:row r="9">
      <x:c r="A9" s="34" t="str">
        <x:v>JFE_STEEL_JP</x:v>
      </x:c>
      <x:c r="B9" s="34" t="str">
        <x:v>JFE Steel</x:v>
      </x:c>
      <x:c r="C9" s="34" t="str">
        <x:v>CAND-25BA0666383526</x:v>
      </x:c>
      <x:c r="D9" s="34" t="str">
        <x:v>P1</x:v>
      </x:c>
      <x:c r="E9" s="34" t="str">
        <x:v>PORT-E3494C854A0D</x:v>
      </x:c>
      <x:c r="F9" s="34" t="str">
        <x:v>ACCELERATED_15C</x:v>
      </x:c>
      <x:c r="G9" s="34" t="str">
        <x:v>DISCLOSED_PATH</x:v>
      </x:c>
      <x:c r="H9" s="40" t="b">
        <x:v>1</x:v>
      </x:c>
      <x:c r="I9" s="40" t="b">
        <x:v>0</x:v>
      </x:c>
      <x:c r="J9" s="40" t="b">
        <x:v>1</x:v>
      </x:c>
      <x:c r="K9" s="34" t="n">
        <x:v>323.808372</x:v>
      </x:c>
      <x:c r="L9" s="34" t="n">
        <x:v>7.184425</x:v>
      </x:c>
      <x:c r="M9" s="34" t="n">
        <x:v>0.390082</x:v>
      </x:c>
      <x:c r="N9" s="34" t="n">
        <x:v>-2.874172</x:v>
      </x:c>
      <x:c r="O9" s="34" t="n">
        <x:v>0.580115</x:v>
      </x:c>
      <x:c r="P9" s="34" t="n">
        <x:v>2326.377333</x:v>
      </x:c>
      <x:c r="Q9" s="34" t="n">
        <x:v>126.312225</x:v>
      </x:c>
      <x:c r="R9" s="34" t="n">
        <x:v>1395.696333</x:v>
      </x:c>
      <x:c r="S9" s="34" t="n">
        <x:v>268.313976</x:v>
      </x:c>
      <x:c r="T9" s="34" t="n">
        <x:v>0</x:v>
      </x:c>
      <x:c r="U9" s="34" t="n">
        <x:v>0</x:v>
      </x:c>
      <x:c r="V9" s="34" t="n">
        <x:v>-3036.815</x:v>
      </x:c>
      <x:c r="W9" s="34" t="n">
        <x:v>126.311697</x:v>
      </x:c>
      <x:c r="X9" s="34" t="n">
        <x:v>-5363.192</x:v>
      </x:c>
      <x:c r="Y9" s="34" t="n">
        <x:v>0</x:v>
      </x:c>
      <x:c r="Z9" s="34" t="n">
        <x:v>-517.328</x:v>
      </x:c>
      <x:c r="AA9" s="34" t="n">
        <x:v>13.05233</x:v>
      </x:c>
    </x:row>
    <x:row r="10">
      <x:c r="A10" s="34" t="str">
        <x:v>JFE_STEEL_JP</x:v>
      </x:c>
      <x:c r="B10" s="34" t="str">
        <x:v>JFE Steel</x:v>
      </x:c>
      <x:c r="C10" s="34" t="str">
        <x:v>CAND-27DEF6B976065D</x:v>
      </x:c>
      <x:c r="D10" s="34" t="str">
        <x:v>P3</x:v>
      </x:c>
      <x:c r="E10" s="34" t="str">
        <x:v>PORT-408F044D6828</x:v>
      </x:c>
      <x:c r="F10" s="34" t="str">
        <x:v>ACCELERATED_15C</x:v>
      </x:c>
      <x:c r="G10" s="34" t="str">
        <x:v>DISCLOSED_PATH</x:v>
      </x:c>
      <x:c r="H10" s="40" t="b">
        <x:v>0</x:v>
      </x:c>
      <x:c r="I10" s="40" t="b">
        <x:v>0</x:v>
      </x:c>
      <x:c r="J10" s="40" t="b">
        <x:v>1</x:v>
      </x:c>
      <x:c r="K10" s="34" t="n">
        <x:v>302.295879</x:v>
      </x:c>
      <x:c r="L10" s="34" t="n">
        <x:v>7.887994</x:v>
      </x:c>
      <x:c r="M10" s="34" t="n">
        <x:v>0.206061</x:v>
      </x:c>
      <x:c r="N10" s="34" t="n">
        <x:v>-1.420762</x:v>
      </x:c>
      <x:c r="O10" s="34" t="n">
        <x:v>1.463979</x:v>
      </x:c>
      <x:c r="P10" s="34" t="n">
        <x:v>2384.507667</x:v>
      </x:c>
      <x:c r="Q10" s="34" t="n">
        <x:v>62.291985</x:v>
      </x:c>
      <x:c r="R10" s="34" t="n">
        <x:v>1955.018</x:v>
      </x:c>
      <x:c r="S10" s="34" t="n">
        <x:v>394.959393</x:v>
      </x:c>
      <x:c r="T10" s="34" t="n">
        <x:v>0</x:v>
      </x:c>
      <x:c r="U10" s="34" t="n">
        <x:v>0</x:v>
      </x:c>
      <x:c r="V10" s="34" t="n">
        <x:v>-2604.102</x:v>
      </x:c>
      <x:c r="W10" s="34" t="n">
        <x:v>62.291412</x:v>
      </x:c>
      <x:c r="X10" s="34" t="n">
        <x:v>-4988.609</x:v>
      </x:c>
      <x:c r="Y10" s="34" t="n">
        <x:v>0</x:v>
      </x:c>
      <x:c r="Z10" s="34" t="n">
        <x:v>-3030.824667</x:v>
      </x:c>
      <x:c r="AA10" s="34" t="n">
        <x:v>64.50744</x:v>
      </x:c>
    </x:row>
    <x:row r="11">
      <x:c r="A11" s="34" t="str">
        <x:v>JFE_STEEL_JP</x:v>
      </x:c>
      <x:c r="B11" s="34" t="str">
        <x:v>JFE Steel</x:v>
      </x:c>
      <x:c r="C11" s="34" t="str">
        <x:v>CAND-2AFD85912C485D</x:v>
      </x:c>
      <x:c r="D11" s="34" t="str">
        <x:v>P5</x:v>
      </x:c>
      <x:c r="E11" s="34" t="str">
        <x:v>PORT-844170813924</x:v>
      </x:c>
      <x:c r="F11" s="34" t="str">
        <x:v>ACCELERATED_15C</x:v>
      </x:c>
      <x:c r="G11" s="34" t="str">
        <x:v>DISCLOSED_PATH</x:v>
      </x:c>
      <x:c r="H11" s="40" t="b">
        <x:v>0</x:v>
      </x:c>
      <x:c r="I11" s="40" t="b">
        <x:v>0</x:v>
      </x:c>
      <x:c r="J11" s="40" t="b">
        <x:v>1</x:v>
      </x:c>
      <x:c r="K11" s="34" t="n">
        <x:v>381.425854</x:v>
      </x:c>
      <x:c r="L11" s="34" t="n">
        <x:v>18.615673</x:v>
      </x:c>
      <x:c r="M11" s="34" t="n">
        <x:v>0.134424</x:v>
      </x:c>
      <x:c r="N11" s="34" t="n">
        <x:v>0.243928</x:v>
      </x:c>
      <x:c r="O11" s="34" t="n">
        <x:v>0.083525</x:v>
      </x:c>
      <x:c r="P11" s="34" t="n">
        <x:v>7100.499</x:v>
      </x:c>
      <x:c r="Q11" s="34" t="n">
        <x:v>51.273101</x:v>
      </x:c>
      <x:c r="R11" s="34" t="n">
        <x:v>7193.539333</x:v>
      </x:c>
      <x:c r="S11" s="34" t="n">
        <x:v>62.67026</x:v>
      </x:c>
      <x:c r="T11" s="34" t="n">
        <x:v>0</x:v>
      </x:c>
      <x:c r="U11" s="34" t="n">
        <x:v>0</x:v>
      </x:c>
      <x:c r="V11" s="34" t="n">
        <x:v>867.530333</x:v>
      </x:c>
      <x:c r="W11" s="34" t="n">
        <x:v>51.273069</x:v>
      </x:c>
      <x:c r="X11" s="34" t="n">
        <x:v>-6232.969</x:v>
      </x:c>
      <x:c r="Y11" s="34" t="n">
        <x:v>0</x:v>
      </x:c>
      <x:c r="Z11" s="34" t="n">
        <x:v>-7182.727667</x:v>
      </x:c>
      <x:c r="AA11" s="34" t="n">
        <x:v>61.22547</x:v>
      </x:c>
    </x:row>
    <x:row r="12">
      <x:c r="A12" s="34" t="str">
        <x:v>JFE_STEEL_JP</x:v>
      </x:c>
      <x:c r="B12" s="34" t="str">
        <x:v>JFE Steel</x:v>
      </x:c>
      <x:c r="C12" s="34" t="str">
        <x:v>CAND-2DF8CF21E8720D</x:v>
      </x:c>
      <x:c r="D12" s="34" t="str">
        <x:v>P1</x:v>
      </x:c>
      <x:c r="E12" s="34" t="str">
        <x:v>PORT-9D97003767D5</x:v>
      </x:c>
      <x:c r="F12" s="34" t="str">
        <x:v>ACCELERATED_15C</x:v>
      </x:c>
      <x:c r="G12" s="34" t="str">
        <x:v>DISCLOSED_PATH</x:v>
      </x:c>
      <x:c r="H12" s="40" t="b">
        <x:v>0</x:v>
      </x:c>
      <x:c r="I12" s="40" t="b">
        <x:v>0</x:v>
      </x:c>
      <x:c r="J12" s="40" t="b">
        <x:v>1</x:v>
      </x:c>
      <x:c r="K12" s="34" t="n">
        <x:v>263.895884</x:v>
      </x:c>
      <x:c r="L12" s="34" t="n">
        <x:v>13.607943</x:v>
      </x:c>
      <x:c r="M12" s="34" t="n">
        <x:v>0.071072</x:v>
      </x:c>
      <x:c r="N12" s="34" t="n">
        <x:v>-0.742686</x:v>
      </x:c>
      <x:c r="O12" s="34" t="n">
        <x:v>0.490108</x:v>
      </x:c>
      <x:c r="P12" s="34" t="n">
        <x:v>3591.080333</x:v>
      </x:c>
      <x:c r="Q12" s="34" t="n">
        <x:v>18.755291</x:v>
      </x:c>
      <x:c r="R12" s="34" t="n">
        <x:v>3395.088667</x:v>
      </x:c>
      <x:c r="S12" s="34" t="n">
        <x:v>138.271542</x:v>
      </x:c>
      <x:c r="T12" s="34" t="n">
        <x:v>0</x:v>
      </x:c>
      <x:c r="U12" s="34" t="n">
        <x:v>0</x:v>
      </x:c>
      <x:c r="V12" s="34" t="n">
        <x:v>-764.540667</x:v>
      </x:c>
      <x:c r="W12" s="34" t="n">
        <x:v>18.755517</x:v>
      </x:c>
      <x:c r="X12" s="34" t="n">
        <x:v>-4355.621</x:v>
      </x:c>
      <x:c r="Y12" s="34" t="n">
        <x:v>0</x:v>
      </x:c>
      <x:c r="Z12" s="34" t="n">
        <x:v>-252.21</x:v>
      </x:c>
      <x:c r="AA12" s="34" t="n">
        <x:v>6.11258</x:v>
      </x:c>
    </x:row>
    <x:row r="13">
      <x:c r="A13" s="34" t="str">
        <x:v>JFE_STEEL_JP</x:v>
      </x:c>
      <x:c r="B13" s="34" t="str">
        <x:v>JFE Steel</x:v>
      </x:c>
      <x:c r="C13" s="34" t="str">
        <x:v>CAND-321A1FBBC2D640</x:v>
      </x:c>
      <x:c r="D13" s="34" t="str">
        <x:v>P1</x:v>
      </x:c>
      <x:c r="E13" s="34" t="str">
        <x:v>PORT-CCD4397FA6D4</x:v>
      </x:c>
      <x:c r="F13" s="34" t="str">
        <x:v>ACCELERATED_15C</x:v>
      </x:c>
      <x:c r="G13" s="34" t="str">
        <x:v>DISCLOSED_PATH</x:v>
      </x:c>
      <x:c r="H13" s="40" t="b">
        <x:v>0</x:v>
      </x:c>
      <x:c r="I13" s="40" t="b">
        <x:v>1</x:v>
      </x:c>
      <x:c r="J13" s="40" t="b">
        <x:v>1</x:v>
      </x:c>
      <x:c r="K13" s="34" t="n">
        <x:v>281.895878</x:v>
      </x:c>
      <x:c r="L13" s="34" t="n">
        <x:v>7.020894</x:v>
      </x:c>
      <x:c r="M13" s="34" t="n">
        <x:v>0.42531</x:v>
      </x:c>
      <x:c r="N13" s="34" t="n">
        <x:v>-3.411138</x:v>
      </x:c>
      <x:c r="O13" s="34" t="n">
        <x:v>0.687018</x:v>
      </x:c>
      <x:c r="P13" s="34" t="n">
        <x:v>1979.161333</x:v>
      </x:c>
      <x:c r="Q13" s="34" t="n">
        <x:v>119.893013</x:v>
      </x:c>
      <x:c r="R13" s="34" t="n">
        <x:v>1017.575667</x:v>
      </x:c>
      <x:c r="S13" s="34" t="n">
        <x:v>131.64391</x:v>
      </x:c>
      <x:c r="T13" s="34" t="n">
        <x:v>0</x:v>
      </x:c>
      <x:c r="U13" s="34" t="n">
        <x:v>0</x:v>
      </x:c>
      <x:c r="V13" s="34" t="n">
        <x:v>-2682.615333</x:v>
      </x:c>
      <x:c r="W13" s="34" t="n">
        <x:v>119.893262</x:v>
      </x:c>
      <x:c r="X13" s="34" t="n">
        <x:v>-4661.776</x:v>
      </x:c>
      <x:c r="Y13" s="34" t="n">
        <x:v>0</x:v>
      </x:c>
      <x:c r="Z13" s="34" t="n">
        <x:v>-477.422</x:v>
      </x:c>
      <x:c r="AA13" s="34" t="n">
        <x:v>14.297311</x:v>
      </x:c>
    </x:row>
    <x:row r="14">
      <x:c r="A14" s="34" t="str">
        <x:v>JFE_STEEL_JP</x:v>
      </x:c>
      <x:c r="B14" s="34" t="str">
        <x:v>JFE Steel</x:v>
      </x:c>
      <x:c r="C14" s="34" t="str">
        <x:v>CAND-3785968E4E1C91</x:v>
      </x:c>
      <x:c r="D14" s="34" t="str">
        <x:v>P1</x:v>
      </x:c>
      <x:c r="E14" s="34" t="str">
        <x:v>PORT-4FBC33F20EEF</x:v>
      </x:c>
      <x:c r="F14" s="34" t="str">
        <x:v>ACCELERATED_15C</x:v>
      </x:c>
      <x:c r="G14" s="34" t="str">
        <x:v>DISCLOSED_PATH</x:v>
      </x:c>
      <x:c r="H14" s="40" t="b">
        <x:v>0</x:v>
      </x:c>
      <x:c r="I14" s="40" t="b">
        <x:v>0</x:v>
      </x:c>
      <x:c r="J14" s="40" t="b">
        <x:v>1</x:v>
      </x:c>
      <x:c r="K14" s="34" t="n">
        <x:v>191.900857</x:v>
      </x:c>
      <x:c r="L14" s="34" t="n">
        <x:v>10.515912</x:v>
      </x:c>
      <x:c r="M14" s="34" t="n">
        <x:v>0.347703</x:v>
      </x:c>
      <x:c r="N14" s="34" t="n">
        <x:v>-2.027923</x:v>
      </x:c>
      <x:c r="O14" s="34" t="n">
        <x:v>0.156843</x:v>
      </x:c>
      <x:c r="P14" s="34" t="n">
        <x:v>2018.012</x:v>
      </x:c>
      <x:c r="Q14" s="34" t="n">
        <x:v>66.724467</x:v>
      </x:c>
      <x:c r="R14" s="34" t="n">
        <x:v>1628.852</x:v>
      </x:c>
      <x:c r="S14" s="34" t="n">
        <x:v>96.773223</x:v>
      </x:c>
      <x:c r="T14" s="34" t="n">
        <x:v>0</x:v>
      </x:c>
      <x:c r="U14" s="34" t="n">
        <x:v>0</x:v>
      </x:c>
      <x:c r="V14" s="34" t="n">
        <x:v>-1240.084333</x:v>
      </x:c>
      <x:c r="W14" s="34" t="n">
        <x:v>66.724102</x:v>
      </x:c>
      <x:c r="X14" s="34" t="n">
        <x:v>-3258.097</x:v>
      </x:c>
      <x:c r="Y14" s="34" t="n">
        <x:v>0</x:v>
      </x:c>
      <x:c r="Z14" s="34" t="n">
        <x:v>-313.755333</x:v>
      </x:c>
      <x:c r="AA14" s="34" t="n">
        <x:v>7.857342</x:v>
      </x:c>
    </x:row>
    <x:row r="15">
      <x:c r="A15" s="34" t="str">
        <x:v>JFE_STEEL_JP</x:v>
      </x:c>
      <x:c r="B15" s="34" t="str">
        <x:v>JFE Steel</x:v>
      </x:c>
      <x:c r="C15" s="34" t="str">
        <x:v>CAND-3BDAECB8DA1A89</x:v>
      </x:c>
      <x:c r="D15" s="34" t="str">
        <x:v>P4</x:v>
      </x:c>
      <x:c r="E15" s="34" t="str">
        <x:v>PORT-29DB1A43C5DD</x:v>
      </x:c>
      <x:c r="F15" s="34" t="str">
        <x:v>ACCELERATED_15C</x:v>
      </x:c>
      <x:c r="G15" s="34" t="str">
        <x:v>DISCLOSED_PATH</x:v>
      </x:c>
      <x:c r="H15" s="40" t="b">
        <x:v>0</x:v>
      </x:c>
      <x:c r="I15" s="40" t="b">
        <x:v>0</x:v>
      </x:c>
      <x:c r="J15" s="40" t="b">
        <x:v>1</x:v>
      </x:c>
      <x:c r="K15" s="34" t="n">
        <x:v>239.320837</x:v>
      </x:c>
      <x:c r="L15" s="34" t="n">
        <x:v>12.090096</x:v>
      </x:c>
      <x:c r="M15" s="34" t="n">
        <x:v>0.114369</x:v>
      </x:c>
      <x:c r="N15" s="34" t="n">
        <x:v>-0.408801</x:v>
      </x:c>
      <x:c r="O15" s="34" t="n">
        <x:v>0.121762</x:v>
      </x:c>
      <x:c r="P15" s="34" t="n">
        <x:v>2893.411667</x:v>
      </x:c>
      <x:c r="Q15" s="34" t="n">
        <x:v>27.370737</x:v>
      </x:c>
      <x:c r="R15" s="34" t="n">
        <x:v>2795.577</x:v>
      </x:c>
      <x:c r="S15" s="34" t="n">
        <x:v>44.348986</x:v>
      </x:c>
      <x:c r="T15" s="34" t="n">
        <x:v>0</x:v>
      </x:c>
      <x:c r="U15" s="34" t="n">
        <x:v>0</x:v>
      </x:c>
      <x:c r="V15" s="34" t="n">
        <x:v>-1135.965</x:v>
      </x:c>
      <x:c r="W15" s="34" t="n">
        <x:v>27.371042</x:v>
      </x:c>
      <x:c r="X15" s="34" t="n">
        <x:v>-4029.377</x:v>
      </x:c>
      <x:c r="Y15" s="34" t="n">
        <x:v>0</x:v>
      </x:c>
      <x:c r="Z15" s="34" t="n">
        <x:v>-3205.642667</x:v>
      </x:c>
      <x:c r="AA15" s="34" t="n">
        <x:v>61.658715</x:v>
      </x:c>
    </x:row>
    <x:row r="16">
      <x:c r="A16" s="34" t="str">
        <x:v>JFE_STEEL_JP</x:v>
      </x:c>
      <x:c r="B16" s="34" t="str">
        <x:v>JFE Steel</x:v>
      </x:c>
      <x:c r="C16" s="34" t="str">
        <x:v>CAND-3DE74006E308F9</x:v>
      </x:c>
      <x:c r="D16" s="34" t="str">
        <x:v>P2</x:v>
      </x:c>
      <x:c r="E16" s="34" t="str">
        <x:v>PORT-7C1FC602A00B</x:v>
      </x:c>
      <x:c r="F16" s="34" t="str">
        <x:v>ACCELERATED_15C</x:v>
      </x:c>
      <x:c r="G16" s="34" t="str">
        <x:v>DISCLOSED_PATH</x:v>
      </x:c>
      <x:c r="H16" s="40" t="b">
        <x:v>1</x:v>
      </x:c>
      <x:c r="I16" s="40" t="b">
        <x:v>0</x:v>
      </x:c>
      <x:c r="J16" s="40" t="b">
        <x:v>1</x:v>
      </x:c>
      <x:c r="K16" s="34" t="n">
        <x:v>341.808365</x:v>
      </x:c>
      <x:c r="L16" s="34" t="n">
        <x:v>4.762345</x:v>
      </x:c>
      <x:c r="M16" s="34" t="n">
        <x:v>0.177943</x:v>
      </x:c>
      <x:c r="N16" s="34" t="n">
        <x:v>-3.648537</x:v>
      </x:c>
      <x:c r="O16" s="34" t="n">
        <x:v>1.764571</x:v>
      </x:c>
      <x:c r="P16" s="34" t="n">
        <x:v>1627.809</x:v>
      </x:c>
      <x:c r="Q16" s="34" t="n">
        <x:v>60.822742</x:v>
      </x:c>
      <x:c r="R16" s="34" t="n">
        <x:v>380.709</x:v>
      </x:c>
      <x:c r="S16" s="34" t="n">
        <x:v>545.146078</x:v>
      </x:c>
      <x:c r="T16" s="34" t="n">
        <x:v>0</x:v>
      </x:c>
      <x:c r="U16" s="34" t="n">
        <x:v>0</x:v>
      </x:c>
      <x:c r="V16" s="34" t="n">
        <x:v>-4041.538333</x:v>
      </x:c>
      <x:c r="W16" s="34" t="n">
        <x:v>60.822365</x:v>
      </x:c>
      <x:c r="X16" s="34" t="n">
        <x:v>-5669.347</x:v>
      </x:c>
      <x:c r="Y16" s="34" t="n">
        <x:v>0</x:v>
      </x:c>
      <x:c r="Z16" s="34" t="n">
        <x:v>-1714.603</x:v>
      </x:c>
      <x:c r="AA16" s="34" t="n">
        <x:v>42.205355</x:v>
      </x:c>
    </x:row>
    <x:row r="17">
      <x:c r="A17" s="34" t="str">
        <x:v>JFE_STEEL_JP</x:v>
      </x:c>
      <x:c r="B17" s="34" t="str">
        <x:v>JFE Steel</x:v>
      </x:c>
      <x:c r="C17" s="34" t="str">
        <x:v>CAND-44218B07FC843F</x:v>
      </x:c>
      <x:c r="D17" s="34" t="str">
        <x:v>P2</x:v>
      </x:c>
      <x:c r="E17" s="34" t="str">
        <x:v>PORT-48EB0158352D</x:v>
      </x:c>
      <x:c r="F17" s="34" t="str">
        <x:v>ACCELERATED_15C</x:v>
      </x:c>
      <x:c r="G17" s="34" t="str">
        <x:v>DISCLOSED_PATH</x:v>
      </x:c>
      <x:c r="H17" s="40" t="b">
        <x:v>0</x:v>
      </x:c>
      <x:c r="I17" s="40" t="b">
        <x:v>0</x:v>
      </x:c>
      <x:c r="J17" s="40" t="b">
        <x:v>1</x:v>
      </x:c>
      <x:c r="K17" s="34" t="n">
        <x:v>209.90085</x:v>
      </x:c>
      <x:c r="L17" s="34" t="n">
        <x:v>4.079438</x:v>
      </x:c>
      <x:c r="M17" s="34" t="n">
        <x:v>0.135582</x:v>
      </x:c>
      <x:c r="N17" s="34" t="n">
        <x:v>-4.391794</x:v>
      </x:c>
      <x:c r="O17" s="34" t="n">
        <x:v>0.557662</x:v>
      </x:c>
      <x:c r="P17" s="34" t="n">
        <x:v>856.278</x:v>
      </x:c>
      <x:c r="Q17" s="34" t="n">
        <x:v>28.458868</x:v>
      </x:c>
      <x:c r="R17" s="34" t="n">
        <x:v>-65.564</x:v>
      </x:c>
      <x:c r="S17" s="34" t="n">
        <x:v>129.869266</x:v>
      </x:c>
      <x:c r="T17" s="34" t="n">
        <x:v>0</x:v>
      </x:c>
      <x:c r="U17" s="34" t="n">
        <x:v>0</x:v>
      </x:c>
      <x:c r="V17" s="34" t="n">
        <x:v>-2707.975</x:v>
      </x:c>
      <x:c r="W17" s="34" t="n">
        <x:v>28.458868</x:v>
      </x:c>
      <x:c r="X17" s="34" t="n">
        <x:v>-3564.253</x:v>
      </x:c>
      <x:c r="Y17" s="34" t="n">
        <x:v>0</x:v>
      </x:c>
      <x:c r="Z17" s="34" t="n">
        <x:v>-1125.765</x:v>
      </x:c>
      <x:c r="AA17" s="34" t="n">
        <x:v>27.834552</x:v>
      </x:c>
    </x:row>
    <x:row r="18">
      <x:c r="A18" s="34" t="str">
        <x:v>JFE_STEEL_JP</x:v>
      </x:c>
      <x:c r="B18" s="34" t="str">
        <x:v>JFE Steel</x:v>
      </x:c>
      <x:c r="C18" s="34" t="str">
        <x:v>CAND-4D77DB7422B451</x:v>
      </x:c>
      <x:c r="D18" s="34" t="str">
        <x:v>P2</x:v>
      </x:c>
      <x:c r="E18" s="34" t="str">
        <x:v>PORT-3776FB32D8CF</x:v>
      </x:c>
      <x:c r="F18" s="34" t="str">
        <x:v>ACCELERATED_15C</x:v>
      </x:c>
      <x:c r="G18" s="34" t="str">
        <x:v>DISCLOSED_PATH</x:v>
      </x:c>
      <x:c r="H18" s="40" t="b">
        <x:v>0</x:v>
      </x:c>
      <x:c r="I18" s="40" t="b">
        <x:v>0</x:v>
      </x:c>
      <x:c r="J18" s="40" t="b">
        <x:v>1</x:v>
      </x:c>
      <x:c r="K18" s="34" t="n">
        <x:v>284.295886</x:v>
      </x:c>
      <x:c r="L18" s="34" t="n">
        <x:v>8.245254</x:v>
      </x:c>
      <x:c r="M18" s="34" t="n">
        <x:v>0.423592</x:v>
      </x:c>
      <x:c r="N18" s="34" t="n">
        <x:v>-2.43784</x:v>
      </x:c>
      <x:c r="O18" s="34" t="n">
        <x:v>0.672914</x:v>
      </x:c>
      <x:c r="P18" s="34" t="n">
        <x:v>2344.091667</x:v>
      </x:c>
      <x:c r="Q18" s="34" t="n">
        <x:v>120.425276</x:v>
      </x:c>
      <x:c r="R18" s="34" t="n">
        <x:v>1651.024</x:v>
      </x:c>
      <x:c r="S18" s="34" t="n">
        <x:v>202.764649</x:v>
      </x:c>
      <x:c r="T18" s="34" t="n">
        <x:v>0</x:v>
      </x:c>
      <x:c r="U18" s="34" t="n">
        <x:v>0</x:v>
      </x:c>
      <x:c r="V18" s="34" t="n">
        <x:v>-2338.362</x:v>
      </x:c>
      <x:c r="W18" s="34" t="n">
        <x:v>120.425494</x:v>
      </x:c>
      <x:c r="X18" s="34" t="n">
        <x:v>-4682.454</x:v>
      </x:c>
      <x:c r="Y18" s="34" t="n">
        <x:v>0</x:v>
      </x:c>
      <x:c r="Z18" s="34" t="n">
        <x:v>-989.557</x:v>
      </x:c>
      <x:c r="AA18" s="34" t="n">
        <x:v>11.447302</x:v>
      </x:c>
    </x:row>
    <x:row r="19">
      <x:c r="A19" s="34" t="str">
        <x:v>JFE_STEEL_JP</x:v>
      </x:c>
      <x:c r="B19" s="34" t="str">
        <x:v>JFE Steel</x:v>
      </x:c>
      <x:c r="C19" s="34" t="str">
        <x:v>CAND-53E6B469D62558</x:v>
      </x:c>
      <x:c r="D19" s="34" t="str">
        <x:v>P1</x:v>
      </x:c>
      <x:c r="E19" s="34" t="str">
        <x:v>PORT-33091F63E785</x:v>
      </x:c>
      <x:c r="F19" s="34" t="str">
        <x:v>ACCELERATED_15C</x:v>
      </x:c>
      <x:c r="G19" s="34" t="str">
        <x:v>DISCLOSED_PATH</x:v>
      </x:c>
      <x:c r="H19" s="40" t="b">
        <x:v>0</x:v>
      </x:c>
      <x:c r="I19" s="40" t="b">
        <x:v>0</x:v>
      </x:c>
      <x:c r="J19" s="40" t="b">
        <x:v>1</x:v>
      </x:c>
      <x:c r="K19" s="34" t="n">
        <x:v>303.40837</x:v>
      </x:c>
      <x:c r="L19" s="34" t="n">
        <x:v>13.836867</x:v>
      </x:c>
      <x:c r="M19" s="34" t="n">
        <x:v>0.101343</x:v>
      </x:c>
      <x:c r="N19" s="34" t="n">
        <x:v>-0.898819</x:v>
      </x:c>
      <x:c r="O19" s="34" t="n">
        <x:v>0.262768</x:v>
      </x:c>
      <x:c r="P19" s="34" t="n">
        <x:v>4198.221333</x:v>
      </x:c>
      <x:c r="Q19" s="34" t="n">
        <x:v>30.748761</x:v>
      </x:c>
      <x:c r="R19" s="34" t="n">
        <x:v>3925.512</x:v>
      </x:c>
      <x:c r="S19" s="34" t="n">
        <x:v>90.40836</x:v>
      </x:c>
      <x:c r="T19" s="34" t="n">
        <x:v>0</x:v>
      </x:c>
      <x:c r="U19" s="34" t="n">
        <x:v>0</x:v>
      </x:c>
      <x:c r="V19" s="34" t="n">
        <x:v>-838.138333</x:v>
      </x:c>
      <x:c r="W19" s="34" t="n">
        <x:v>30.748799</x:v>
      </x:c>
      <x:c r="X19" s="34" t="n">
        <x:v>-5036.36</x:v>
      </x:c>
      <x:c r="Y19" s="34" t="n">
        <x:v>0</x:v>
      </x:c>
      <x:c r="Z19" s="34" t="n">
        <x:v>-317.394333</x:v>
      </x:c>
      <x:c r="AA19" s="34" t="n">
        <x:v>7.581793</x:v>
      </x:c>
    </x:row>
    <x:row r="20">
      <x:c r="A20" s="34" t="str">
        <x:v>JFE_STEEL_JP</x:v>
      </x:c>
      <x:c r="B20" s="34" t="str">
        <x:v>JFE Steel</x:v>
      </x:c>
      <x:c r="C20" s="34" t="str">
        <x:v>CAND-56A2BE8D3222E8</x:v>
      </x:c>
      <x:c r="D20" s="34" t="str">
        <x:v>P5</x:v>
      </x:c>
      <x:c r="E20" s="34" t="str">
        <x:v>PORT-29DB1A43C5DD</x:v>
      </x:c>
      <x:c r="F20" s="34" t="str">
        <x:v>ACCELERATED_15C</x:v>
      </x:c>
      <x:c r="G20" s="34" t="str">
        <x:v>DISCLOSED_PATH</x:v>
      </x:c>
      <x:c r="H20" s="40" t="b">
        <x:v>0</x:v>
      </x:c>
      <x:c r="I20" s="40" t="b">
        <x:v>0</x:v>
      </x:c>
      <x:c r="J20" s="40" t="b">
        <x:v>1</x:v>
      </x:c>
      <x:c r="K20" s="34" t="n">
        <x:v>239.320837</x:v>
      </x:c>
      <x:c r="L20" s="34" t="n">
        <x:v>17.619249</x:v>
      </x:c>
      <x:c r="M20" s="34" t="n">
        <x:v>0.163786</x:v>
      </x:c>
      <x:c r="N20" s="34" t="n">
        <x:v>0.386143</x:v>
      </x:c>
      <x:c r="O20" s="34" t="n">
        <x:v>0.027535</x:v>
      </x:c>
      <x:c r="P20" s="34" t="n">
        <x:v>4216.654</x:v>
      </x:c>
      <x:c r="Q20" s="34" t="n">
        <x:v>39.197639</x:v>
      </x:c>
      <x:c r="R20" s="34" t="n">
        <x:v>4309.066</x:v>
      </x:c>
      <x:c r="S20" s="34" t="n">
        <x:v>38.427523</x:v>
      </x:c>
      <x:c r="T20" s="34" t="n">
        <x:v>0</x:v>
      </x:c>
      <x:c r="U20" s="34" t="n">
        <x:v>0</x:v>
      </x:c>
      <x:c r="V20" s="34" t="n">
        <x:v>187.277333</x:v>
      </x:c>
      <x:c r="W20" s="34" t="n">
        <x:v>39.197337</x:v>
      </x:c>
      <x:c r="X20" s="34" t="n">
        <x:v>-4029.377</x:v>
      </x:c>
      <x:c r="Y20" s="34" t="n">
        <x:v>0</x:v>
      </x:c>
      <x:c r="Z20" s="34" t="n">
        <x:v>-4518.023</x:v>
      </x:c>
      <x:c r="AA20" s="34" t="n">
        <x:v>15.228186</x:v>
      </x:c>
    </x:row>
    <x:row r="21">
      <x:c r="A21" s="34" t="str">
        <x:v>JFE_STEEL_JP</x:v>
      </x:c>
      <x:c r="B21" s="34" t="str">
        <x:v>JFE Steel</x:v>
      </x:c>
      <x:c r="C21" s="34" t="str">
        <x:v>CAND-5B53A6D662B077</x:v>
      </x:c>
      <x:c r="D21" s="34" t="str">
        <x:v>P2</x:v>
      </x:c>
      <x:c r="E21" s="34" t="str">
        <x:v>PORT-BFE68456F5A9</x:v>
      </x:c>
      <x:c r="F21" s="34" t="str">
        <x:v>ACCELERATED_15C</x:v>
      </x:c>
      <x:c r="G21" s="34" t="str">
        <x:v>DISCLOSED_PATH</x:v>
      </x:c>
      <x:c r="H21" s="40" t="b">
        <x:v>0</x:v>
      </x:c>
      <x:c r="I21" s="40" t="b">
        <x:v>0</x:v>
      </x:c>
      <x:c r="J21" s="40" t="b">
        <x:v>1</x:v>
      </x:c>
      <x:c r="K21" s="34" t="n">
        <x:v>87.500896</x:v>
      </x:c>
      <x:c r="L21" s="34" t="n">
        <x:v>8.19413</x:v>
      </x:c>
      <x:c r="M21" s="34" t="n">
        <x:v>0.033367</x:v>
      </x:c>
      <x:c r="N21" s="34" t="n">
        <x:v>-2.575682</x:v>
      </x:c>
      <x:c r="O21" s="34" t="n">
        <x:v>1.290029</x:v>
      </x:c>
      <x:c r="P21" s="34" t="n">
        <x:v>716.993667</x:v>
      </x:c>
      <x:c r="Q21" s="34" t="n">
        <x:v>2.919732</x:v>
      </x:c>
      <x:c r="R21" s="34" t="n">
        <x:v>491.619</x:v>
      </x:c>
      <x:c r="S21" s="34" t="n">
        <x:v>110.60868</x:v>
      </x:c>
      <x:c r="T21" s="34" t="n">
        <x:v>0</x:v>
      </x:c>
      <x:c r="U21" s="34" t="n">
        <x:v>0</x:v>
      </x:c>
      <x:c r="V21" s="34" t="n">
        <x:v>-765.402</x:v>
      </x:c>
      <x:c r="W21" s="34" t="n">
        <x:v>2.919497</x:v>
      </x:c>
      <x:c r="X21" s="34" t="n">
        <x:v>-1482.396</x:v>
      </x:c>
      <x:c r="Y21" s="34" t="n">
        <x:v>0</x:v>
      </x:c>
      <x:c r="Z21" s="34" t="n">
        <x:v>-328.418</x:v>
      </x:c>
      <x:c r="AA21" s="34" t="n">
        <x:v>4.948851</x:v>
      </x:c>
    </x:row>
    <x:row r="22">
      <x:c r="A22" s="34" t="str">
        <x:v>JFE_STEEL_JP</x:v>
      </x:c>
      <x:c r="B22" s="34" t="str">
        <x:v>JFE Steel</x:v>
      </x:c>
      <x:c r="C22" s="34" t="str">
        <x:v>CAND-65F7157232C73A</x:v>
      </x:c>
      <x:c r="D22" s="34" t="str">
        <x:v>P1</x:v>
      </x:c>
      <x:c r="E22" s="34" t="str">
        <x:v>PORT-04FFFE8075F6</x:v>
      </x:c>
      <x:c r="F22" s="34" t="str">
        <x:v>ACCELERATED_15C</x:v>
      </x:c>
      <x:c r="G22" s="34" t="str">
        <x:v>DISCLOSED_PATH</x:v>
      </x:c>
      <x:c r="H22" s="40" t="b">
        <x:v>1</x:v>
      </x:c>
      <x:c r="I22" s="40" t="b">
        <x:v>0</x:v>
      </x:c>
      <x:c r="J22" s="40" t="b">
        <x:v>1</x:v>
      </x:c>
      <x:c r="K22" s="34" t="n">
        <x:v>348.620862</x:v>
      </x:c>
      <x:c r="L22" s="34" t="n">
        <x:v>0.428519</x:v>
      </x:c>
      <x:c r="M22" s="34" t="n">
        <x:v>0.618404</x:v>
      </x:c>
      <x:c r="N22" s="34" t="n">
        <x:v>-6.645685</x:v>
      </x:c>
      <x:c r="O22" s="34" t="n">
        <x:v>1.885395</x:v>
      </x:c>
      <x:c r="P22" s="34" t="n">
        <x:v>149.390667</x:v>
      </x:c>
      <x:c r="Q22" s="34" t="n">
        <x:v>215.58833</x:v>
      </x:c>
      <x:c r="R22" s="34" t="n">
        <x:v>-2167.433667</x:v>
      </x:c>
      <x:c r="S22" s="34" t="n">
        <x:v>512.287123</x:v>
      </x:c>
      <x:c r="T22" s="34" t="n">
        <x:v>0</x:v>
      </x:c>
      <x:c r="U22" s="34" t="n">
        <x:v>0</x:v>
      </x:c>
      <x:c r="V22" s="34" t="n">
        <x:v>-5637.325667</x:v>
      </x:c>
      <x:c r="W22" s="34" t="n">
        <x:v>215.588855</x:v>
      </x:c>
      <x:c r="X22" s="34" t="n">
        <x:v>-5786.717</x:v>
      </x:c>
      <x:c r="Y22" s="34" t="n">
        <x:v>0</x:v>
      </x:c>
      <x:c r="Z22" s="34" t="n">
        <x:v>-859.658667</x:v>
      </x:c>
      <x:c r="AA22" s="34" t="n">
        <x:v>20.702302</x:v>
      </x:c>
    </x:row>
    <x:row r="23">
      <x:c r="A23" s="34" t="str">
        <x:v>JFE_STEEL_JP</x:v>
      </x:c>
      <x:c r="B23" s="34" t="str">
        <x:v>JFE Steel</x:v>
      </x:c>
      <x:c r="C23" s="34" t="str">
        <x:v>CAND-6740F2BE1999AB</x:v>
      </x:c>
      <x:c r="D23" s="34" t="str">
        <x:v>P2</x:v>
      </x:c>
      <x:c r="E23" s="34" t="str">
        <x:v>PORT-6E49C004BA31</x:v>
      </x:c>
      <x:c r="F23" s="34" t="str">
        <x:v>ACCELERATED_15C</x:v>
      </x:c>
      <x:c r="G23" s="34" t="str">
        <x:v>DISCLOSED_PATH</x:v>
      </x:c>
      <x:c r="H23" s="40" t="b">
        <x:v>0</x:v>
      </x:c>
      <x:c r="I23" s="40" t="b">
        <x:v>0</x:v>
      </x:c>
      <x:c r="J23" s="40" t="b">
        <x:v>1</x:v>
      </x:c>
      <x:c r="K23" s="34" t="n">
        <x:v>163.575867</x:v>
      </x:c>
      <x:c r="L23" s="34" t="n">
        <x:v>5.282845</x:v>
      </x:c>
      <x:c r="M23" s="34" t="n">
        <x:v>0.505237</x:v>
      </x:c>
      <x:c r="N23" s="34" t="n">
        <x:v>-3.454369</x:v>
      </x:c>
      <x:c r="O23" s="34" t="n">
        <x:v>0.560867</x:v>
      </x:c>
      <x:c r="P23" s="34" t="n">
        <x:v>864.146</x:v>
      </x:c>
      <x:c r="Q23" s="34" t="n">
        <x:v>82.644836</x:v>
      </x:c>
      <x:c r="R23" s="34" t="n">
        <x:v>299.094333</x:v>
      </x:c>
      <x:c r="S23" s="34" t="n">
        <x:v>27.925314</x:v>
      </x:c>
      <x:c r="T23" s="34" t="n">
        <x:v>0</x:v>
      </x:c>
      <x:c r="U23" s="34" t="n">
        <x:v>0</x:v>
      </x:c>
      <x:c r="V23" s="34" t="n">
        <x:v>-1901.999</x:v>
      </x:c>
      <x:c r="W23" s="34" t="n">
        <x:v>82.644836</x:v>
      </x:c>
      <x:c r="X23" s="34" t="n">
        <x:v>-2766.145</x:v>
      </x:c>
      <x:c r="Y23" s="34" t="n">
        <x:v>0</x:v>
      </x:c>
      <x:c r="Z23" s="34" t="n">
        <x:v>-780.85</x:v>
      </x:c>
      <x:c r="AA23" s="34" t="n">
        <x:v>38.696462</x:v>
      </x:c>
    </x:row>
    <x:row r="24">
      <x:c r="A24" s="34" t="str">
        <x:v>JFE_STEEL_JP</x:v>
      </x:c>
      <x:c r="B24" s="34" t="str">
        <x:v>JFE Steel</x:v>
      </x:c>
      <x:c r="C24" s="34" t="str">
        <x:v>CAND-68030B11D579DF</x:v>
      </x:c>
      <x:c r="D24" s="34" t="str">
        <x:v>P1</x:v>
      </x:c>
      <x:c r="E24" s="34" t="str">
        <x:v>PORT-7BA11C62DF95</x:v>
      </x:c>
      <x:c r="F24" s="34" t="str">
        <x:v>ACCELERATED_15C</x:v>
      </x:c>
      <x:c r="G24" s="34" t="str">
        <x:v>DISCLOSED_PATH</x:v>
      </x:c>
      <x:c r="H24" s="40" t="b">
        <x:v>0</x:v>
      </x:c>
      <x:c r="I24" s="40" t="b">
        <x:v>0</x:v>
      </x:c>
      <x:c r="J24" s="40" t="b">
        <x:v>1</x:v>
      </x:c>
      <x:c r="K24" s="34" t="n">
        <x:v>219.408411</x:v>
      </x:c>
      <x:c r="L24" s="34" t="n">
        <x:v>4.181865</x:v>
      </x:c>
      <x:c r="M24" s="34" t="n">
        <x:v>0.01059</x:v>
      </x:c>
      <x:c r="N24" s="34" t="n">
        <x:v>-4.21892</x:v>
      </x:c>
      <x:c r="O24" s="34" t="n">
        <x:v>0.582401</x:v>
      </x:c>
      <x:c r="P24" s="34" t="n">
        <x:v>917.536333</x:v>
      </x:c>
      <x:c r="Q24" s="34" t="n">
        <x:v>2.323505</x:v>
      </x:c>
      <x:c r="R24" s="34" t="n">
        <x:v>-8.13</x:v>
      </x:c>
      <x:c r="S24" s="34" t="n">
        <x:v>125.694361</x:v>
      </x:c>
      <x:c r="T24" s="34" t="n">
        <x:v>0</x:v>
      </x:c>
      <x:c r="U24" s="34" t="n">
        <x:v>0</x:v>
      </x:c>
      <x:c r="V24" s="34" t="n">
        <x:v>-2669.955</x:v>
      </x:c>
      <x:c r="W24" s="34" t="n">
        <x:v>2.323037</x:v>
      </x:c>
      <x:c r="X24" s="34" t="n">
        <x:v>-3587.491</x:v>
      </x:c>
      <x:c r="Y24" s="34" t="n">
        <x:v>0</x:v>
      </x:c>
      <x:c r="Z24" s="34" t="n">
        <x:v>-396.498667</x:v>
      </x:c>
      <x:c r="AA24" s="34" t="n">
        <x:v>8.148499</x:v>
      </x:c>
    </x:row>
    <x:row r="25">
      <x:c r="A25" s="34" t="str">
        <x:v>JFE_STEEL_JP</x:v>
      </x:c>
      <x:c r="B25" s="34" t="str">
        <x:v>JFE Steel</x:v>
      </x:c>
      <x:c r="C25" s="34" t="str">
        <x:v>CAND-74F6415EBB9977</x:v>
      </x:c>
      <x:c r="D25" s="34" t="str">
        <x:v>P3</x:v>
      </x:c>
      <x:c r="E25" s="34" t="str">
        <x:v>PORT-E123D45B71CC</x:v>
      </x:c>
      <x:c r="F25" s="34" t="str">
        <x:v>ACCELERATED_15C</x:v>
      </x:c>
      <x:c r="G25" s="34" t="str">
        <x:v>DISCLOSED_PATH</x:v>
      </x:c>
      <x:c r="H25" s="40" t="b">
        <x:v>0</x:v>
      </x:c>
      <x:c r="I25" s="40" t="b">
        <x:v>0</x:v>
      </x:c>
      <x:c r="J25" s="40" t="b">
        <x:v>1</x:v>
      </x:c>
      <x:c r="K25" s="34" t="n">
        <x:v>226.220909</x:v>
      </x:c>
      <x:c r="L25" s="34" t="n">
        <x:v>8.669369</x:v>
      </x:c>
      <x:c r="M25" s="34" t="n">
        <x:v>0.393137</x:v>
      </x:c>
      <x:c r="N25" s="34" t="n">
        <x:v>-1.637045</x:v>
      </x:c>
      <x:c r="O25" s="34" t="n">
        <x:v>2.243482</x:v>
      </x:c>
      <x:c r="P25" s="34" t="n">
        <x:v>1961.192333</x:v>
      </x:c>
      <x:c r="Q25" s="34" t="n">
        <x:v>88.935389</x:v>
      </x:c>
      <x:c r="R25" s="34" t="n">
        <x:v>1590.858667</x:v>
      </x:c>
      <x:c r="S25" s="34" t="n">
        <x:v>421.526166</x:v>
      </x:c>
      <x:c r="T25" s="34" t="n">
        <x:v>0</x:v>
      </x:c>
      <x:c r="U25" s="34" t="n">
        <x:v>0</x:v>
      </x:c>
      <x:c r="V25" s="34" t="n">
        <x:v>-1743.667333</x:v>
      </x:c>
      <x:c r="W25" s="34" t="n">
        <x:v>88.935471</x:v>
      </x:c>
      <x:c r="X25" s="34" t="n">
        <x:v>-3704.86</x:v>
      </x:c>
      <x:c r="Y25" s="34" t="n">
        <x:v>0</x:v>
      </x:c>
      <x:c r="Z25" s="34" t="n">
        <x:v>-2196.129</x:v>
      </x:c>
      <x:c r="AA25" s="34" t="n">
        <x:v>38.986418</x:v>
      </x:c>
    </x:row>
    <x:row r="26">
      <x:c r="A26" s="34" t="str">
        <x:v>JFE_STEEL_JP</x:v>
      </x:c>
      <x:c r="B26" s="34" t="str">
        <x:v>JFE Steel</x:v>
      </x:c>
      <x:c r="C26" s="34" t="str">
        <x:v>CAND-8143AC9B1B780D</x:v>
      </x:c>
      <x:c r="D26" s="34" t="str">
        <x:v>P5</x:v>
      </x:c>
      <x:c r="E26" s="34" t="str">
        <x:v>PORT-0032610F15CE</x:v>
      </x:c>
      <x:c r="F26" s="34" t="str">
        <x:v>ACCELERATED_15C</x:v>
      </x:c>
      <x:c r="G26" s="34" t="str">
        <x:v>DISCLOSED_PATH</x:v>
      </x:c>
      <x:c r="H26" s="40" t="b">
        <x:v>0</x:v>
      </x:c>
      <x:c r="I26" s="40" t="b">
        <x:v>0</x:v>
      </x:c>
      <x:c r="J26" s="40" t="b">
        <x:v>1</x:v>
      </x:c>
      <x:c r="K26" s="34" t="n">
        <x:v>334.010871</x:v>
      </x:c>
      <x:c r="L26" s="34" t="n">
        <x:v>19.307245</x:v>
      </x:c>
      <x:c r="M26" s="34" t="n">
        <x:v>0.133878</x:v>
      </x:c>
      <x:c r="N26" s="34" t="n">
        <x:v>0.469501</x:v>
      </x:c>
      <x:c r="O26" s="34" t="n">
        <x:v>0.380005</x:v>
      </x:c>
      <x:c r="P26" s="34" t="n">
        <x:v>6448.829667</x:v>
      </x:c>
      <x:c r="Q26" s="34" t="n">
        <x:v>44.717526</x:v>
      </x:c>
      <x:c r="R26" s="34" t="n">
        <x:v>6605.648333</x:v>
      </x:c>
      <x:c r="S26" s="34" t="n">
        <x:v>98.584767</x:v>
      </x:c>
      <x:c r="T26" s="34" t="n">
        <x:v>0</x:v>
      </x:c>
      <x:c r="U26" s="34" t="n">
        <x:v>0</x:v>
      </x:c>
      <x:c r="V26" s="34" t="n">
        <x:v>1031.921</x:v>
      </x:c>
      <x:c r="W26" s="34" t="n">
        <x:v>44.717232</x:v>
      </x:c>
      <x:c r="X26" s="34" t="n">
        <x:v>-5416.909</x:v>
      </x:c>
      <x:c r="Y26" s="34" t="n">
        <x:v>0</x:v>
      </x:c>
      <x:c r="Z26" s="34" t="n">
        <x:v>-7114.442333</x:v>
      </x:c>
      <x:c r="AA26" s="34" t="n">
        <x:v>61.842158</x:v>
      </x:c>
    </x:row>
    <x:row r="27">
      <x:c r="A27" s="34" t="str">
        <x:v>JFE_STEEL_JP</x:v>
      </x:c>
      <x:c r="B27" s="34" t="str">
        <x:v>JFE Steel</x:v>
      </x:c>
      <x:c r="C27" s="34" t="str">
        <x:v>CAND-81AEAF431DDC0A</x:v>
      </x:c>
      <x:c r="D27" s="34" t="str">
        <x:v>P4</x:v>
      </x:c>
      <x:c r="E27" s="34" t="str">
        <x:v>PORT-844170813924</x:v>
      </x:c>
      <x:c r="F27" s="34" t="str">
        <x:v>ACCELERATED_15C</x:v>
      </x:c>
      <x:c r="G27" s="34" t="str">
        <x:v>DISCLOSED_PATH</x:v>
      </x:c>
      <x:c r="H27" s="40" t="b">
        <x:v>0</x:v>
      </x:c>
      <x:c r="I27" s="40" t="b">
        <x:v>0</x:v>
      </x:c>
      <x:c r="J27" s="40" t="b">
        <x:v>1</x:v>
      </x:c>
      <x:c r="K27" s="34" t="n">
        <x:v>381.425854</x:v>
      </x:c>
      <x:c r="L27" s="34" t="n">
        <x:v>13.031272</x:v>
      </x:c>
      <x:c r="M27" s="34" t="n">
        <x:v>0.210124</x:v>
      </x:c>
      <x:c r="N27" s="34" t="n">
        <x:v>-0.504509</x:v>
      </x:c>
      <x:c r="O27" s="34" t="n">
        <x:v>0.110271</x:v>
      </x:c>
      <x:c r="P27" s="34" t="n">
        <x:v>4970.463333</x:v>
      </x:c>
      <x:c r="Q27" s="34" t="n">
        <x:v>80.146497</x:v>
      </x:c>
      <x:c r="R27" s="34" t="n">
        <x:v>4778.030667</x:v>
      </x:c>
      <x:c r="S27" s="34" t="n">
        <x:v>72.371707</x:v>
      </x:c>
      <x:c r="T27" s="34" t="n">
        <x:v>0</x:v>
      </x:c>
      <x:c r="U27" s="34" t="n">
        <x:v>0</x:v>
      </x:c>
      <x:c r="V27" s="34" t="n">
        <x:v>-1262.504333</x:v>
      </x:c>
      <x:c r="W27" s="34" t="n">
        <x:v>80.147063</x:v>
      </x:c>
      <x:c r="X27" s="34" t="n">
        <x:v>-6232.969</x:v>
      </x:c>
      <x:c r="Y27" s="34" t="n">
        <x:v>0</x:v>
      </x:c>
      <x:c r="Z27" s="34" t="n">
        <x:v>-5070.11</x:v>
      </x:c>
      <x:c r="AA27" s="34" t="n">
        <x:v>47.895939</x:v>
      </x:c>
    </x:row>
    <x:row r="28">
      <x:c r="A28" s="34" t="str">
        <x:v>JFE_STEEL_JP</x:v>
      </x:c>
      <x:c r="B28" s="34" t="str">
        <x:v>JFE Steel</x:v>
      </x:c>
      <x:c r="C28" s="34" t="str">
        <x:v>CAND-82646489D4D4D1</x:v>
      </x:c>
      <x:c r="D28" s="34" t="str">
        <x:v>P2</x:v>
      </x:c>
      <x:c r="E28" s="34" t="str">
        <x:v>PORT-25A7E18292F6</x:v>
      </x:c>
      <x:c r="F28" s="34" t="str">
        <x:v>ACCELERATED_15C</x:v>
      </x:c>
      <x:c r="G28" s="34" t="str">
        <x:v>DISCLOSED_PATH</x:v>
      </x:c>
      <x:c r="H28" s="40" t="b">
        <x:v>0</x:v>
      </x:c>
      <x:c r="I28" s="40" t="b">
        <x:v>0</x:v>
      </x:c>
      <x:c r="J28" s="40" t="b">
        <x:v>1</x:v>
      </x:c>
      <x:c r="K28" s="34" t="n">
        <x:v>310.220867</x:v>
      </x:c>
      <x:c r="L28" s="34" t="n">
        <x:v>11.669931</x:v>
      </x:c>
      <x:c r="M28" s="34" t="n">
        <x:v>0.196305</x:v>
      </x:c>
      <x:c r="N28" s="34" t="n">
        <x:v>-1.241763</x:v>
      </x:c>
      <x:c r="O28" s="34" t="n">
        <x:v>0.150008</x:v>
      </x:c>
      <x:c r="P28" s="34" t="n">
        <x:v>3620.256333</x:v>
      </x:c>
      <x:c r="Q28" s="34" t="n">
        <x:v>60.898071</x:v>
      </x:c>
      <x:c r="R28" s="34" t="n">
        <x:v>3235.034667</x:v>
      </x:c>
      <x:c r="S28" s="34" t="n">
        <x:v>106.725688</x:v>
      </x:c>
      <x:c r="T28" s="34" t="n">
        <x:v>0</x:v>
      </x:c>
      <x:c r="U28" s="34" t="n">
        <x:v>0</x:v>
      </x:c>
      <x:c r="V28" s="34" t="n">
        <x:v>-1533.472</x:v>
      </x:c>
      <x:c r="W28" s="34" t="n">
        <x:v>60.897759</x:v>
      </x:c>
      <x:c r="X28" s="34" t="n">
        <x:v>-5153.728</x:v>
      </x:c>
      <x:c r="Y28" s="34" t="n">
        <x:v>0</x:v>
      </x:c>
      <x:c r="Z28" s="34" t="n">
        <x:v>-557.324333</x:v>
      </x:c>
      <x:c r="AA28" s="34" t="n">
        <x:v>7.251374</x:v>
      </x:c>
    </x:row>
    <x:row r="29">
      <x:c r="A29" s="34" t="str">
        <x:v>JFE_STEEL_JP</x:v>
      </x:c>
      <x:c r="B29" s="34" t="str">
        <x:v>JFE Steel</x:v>
      </x:c>
      <x:c r="C29" s="34" t="str">
        <x:v>CAND-8A107782070451</x:v>
      </x:c>
      <x:c r="D29" s="34" t="str">
        <x:v>P4</x:v>
      </x:c>
      <x:c r="E29" s="34" t="str">
        <x:v>PORT-0032610F15CE</x:v>
      </x:c>
      <x:c r="F29" s="34" t="str">
        <x:v>ACCELERATED_15C</x:v>
      </x:c>
      <x:c r="G29" s="34" t="str">
        <x:v>DISCLOSED_PATH</x:v>
      </x:c>
      <x:c r="H29" s="40" t="b">
        <x:v>0</x:v>
      </x:c>
      <x:c r="I29" s="40" t="b">
        <x:v>0</x:v>
      </x:c>
      <x:c r="J29" s="40" t="b">
        <x:v>1</x:v>
      </x:c>
      <x:c r="K29" s="34" t="n">
        <x:v>334.010871</x:v>
      </x:c>
      <x:c r="L29" s="34" t="n">
        <x:v>12.839207</x:v>
      </x:c>
      <x:c r="M29" s="34" t="n">
        <x:v>0.287862</x:v>
      </x:c>
      <x:c r="N29" s="34" t="n">
        <x:v>-0.479974</x:v>
      </x:c>
      <x:c r="O29" s="34" t="n">
        <x:v>0.458431</x:v>
      </x:c>
      <x:c r="P29" s="34" t="n">
        <x:v>4288.434333</x:v>
      </x:c>
      <x:c r="Q29" s="34" t="n">
        <x:v>96.148785</x:v>
      </x:c>
      <x:c r="R29" s="34" t="n">
        <x:v>4128.118333</x:v>
      </x:c>
      <x:c r="S29" s="34" t="n">
        <x:v>76.615886</x:v>
      </x:c>
      <x:c r="T29" s="34" t="n">
        <x:v>0</x:v>
      </x:c>
      <x:c r="U29" s="34" t="n">
        <x:v>0</x:v>
      </x:c>
      <x:c r="V29" s="34" t="n">
        <x:v>-1128.474667</x:v>
      </x:c>
      <x:c r="W29" s="34" t="n">
        <x:v>96.148785</x:v>
      </x:c>
      <x:c r="X29" s="34" t="n">
        <x:v>-5416.909</x:v>
      </x:c>
      <x:c r="Y29" s="34" t="n">
        <x:v>0</x:v>
      </x:c>
      <x:c r="Z29" s="34" t="n">
        <x:v>-5005.235</x:v>
      </x:c>
      <x:c r="AA29" s="34" t="n">
        <x:v>68.563367</x:v>
      </x:c>
    </x:row>
    <x:row r="30">
      <x:c r="A30" s="34" t="str">
        <x:v>JFE_STEEL_JP</x:v>
      </x:c>
      <x:c r="B30" s="34" t="str">
        <x:v>JFE Steel</x:v>
      </x:c>
      <x:c r="C30" s="34" t="str">
        <x:v>CAND-8A2CE57122B1A0</x:v>
      </x:c>
      <x:c r="D30" s="34" t="str">
        <x:v>P1</x:v>
      </x:c>
      <x:c r="E30" s="34" t="str">
        <x:v>PORT-1741394F78A8</x:v>
      </x:c>
      <x:c r="F30" s="34" t="str">
        <x:v>ACCELERATED_15C</x:v>
      </x:c>
      <x:c r="G30" s="34" t="str">
        <x:v>DISCLOSED_PATH</x:v>
      </x:c>
      <x:c r="H30" s="40" t="b">
        <x:v>0</x:v>
      </x:c>
      <x:c r="I30" s="40" t="b">
        <x:v>0</x:v>
      </x:c>
      <x:c r="J30" s="40" t="b">
        <x:v>1</x:v>
      </x:c>
      <x:c r="K30" s="34" t="n">
        <x:v>199.008409</x:v>
      </x:c>
      <x:c r="L30" s="34" t="n">
        <x:v>13.961555</x:v>
      </x:c>
      <x:c r="M30" s="34" t="n">
        <x:v>0.192164</x:v>
      </x:c>
      <x:c r="N30" s="34" t="n">
        <x:v>-1.158285</x:v>
      </x:c>
      <x:c r="O30" s="34" t="n">
        <x:v>0.450675</x:v>
      </x:c>
      <x:c r="P30" s="34" t="n">
        <x:v>2778.466667</x:v>
      </x:c>
      <x:c r="Q30" s="34" t="n">
        <x:v>38.241661</x:v>
      </x:c>
      <x:c r="R30" s="34" t="n">
        <x:v>2547.958667</x:v>
      </x:c>
      <x:c r="S30" s="34" t="n">
        <x:v>54.369007</x:v>
      </x:c>
      <x:c r="T30" s="34" t="n">
        <x:v>0</x:v>
      </x:c>
      <x:c r="U30" s="34" t="n">
        <x:v>0</x:v>
      </x:c>
      <x:c r="V30" s="34" t="n">
        <x:v>-482.191667</x:v>
      </x:c>
      <x:c r="W30" s="34" t="n">
        <x:v>38.24219</x:v>
      </x:c>
      <x:c r="X30" s="34" t="n">
        <x:v>-3260.658</x:v>
      </x:c>
      <x:c r="Y30" s="34" t="n">
        <x:v>0</x:v>
      </x:c>
      <x:c r="Z30" s="34" t="n">
        <x:v>-189.636333</x:v>
      </x:c>
      <x:c r="AA30" s="34" t="n">
        <x:v>5.000562</x:v>
      </x:c>
    </x:row>
    <x:row r="31">
      <x:c r="A31" s="34" t="str">
        <x:v>JFE_STEEL_JP</x:v>
      </x:c>
      <x:c r="B31" s="34" t="str">
        <x:v>JFE Steel</x:v>
      </x:c>
      <x:c r="C31" s="34" t="str">
        <x:v>CAND-8DC42B3C7EA2DB</x:v>
      </x:c>
      <x:c r="D31" s="34" t="str">
        <x:v>P2</x:v>
      </x:c>
      <x:c r="E31" s="34" t="str">
        <x:v>PORT-E123D45B71CC</x:v>
      </x:c>
      <x:c r="F31" s="34" t="str">
        <x:v>ACCELERATED_15C</x:v>
      </x:c>
      <x:c r="G31" s="34" t="str">
        <x:v>DISCLOSED_PATH</x:v>
      </x:c>
      <x:c r="H31" s="40" t="b">
        <x:v>0</x:v>
      </x:c>
      <x:c r="I31" s="40" t="b">
        <x:v>0</x:v>
      </x:c>
      <x:c r="J31" s="40" t="b">
        <x:v>1</x:v>
      </x:c>
      <x:c r="K31" s="34" t="n">
        <x:v>226.220909</x:v>
      </x:c>
      <x:c r="L31" s="34" t="n">
        <x:v>4.323178</x:v>
      </x:c>
      <x:c r="M31" s="34" t="n">
        <x:v>0.45909</x:v>
      </x:c>
      <x:c r="N31" s="34" t="n">
        <x:v>-3.369521</x:v>
      </x:c>
      <x:c r="O31" s="34" t="n">
        <x:v>2.862406</x:v>
      </x:c>
      <x:c r="P31" s="34" t="n">
        <x:v>977.993667</x:v>
      </x:c>
      <x:c r="Q31" s="34" t="n">
        <x:v>103.85563</x:v>
      </x:c>
      <x:c r="R31" s="34" t="n">
        <x:v>215.737333</x:v>
      </x:c>
      <x:c r="S31" s="34" t="n">
        <x:v>557.609322</x:v>
      </x:c>
      <x:c r="T31" s="34" t="n">
        <x:v>0</x:v>
      </x:c>
      <x:c r="U31" s="34" t="n">
        <x:v>0</x:v>
      </x:c>
      <x:c r="V31" s="34" t="n">
        <x:v>-2726.866667</x:v>
      </x:c>
      <x:c r="W31" s="34" t="n">
        <x:v>103.855713</x:v>
      </x:c>
      <x:c r="X31" s="34" t="n">
        <x:v>-3704.86</x:v>
      </x:c>
      <x:c r="Y31" s="34" t="n">
        <x:v>0</x:v>
      </x:c>
      <x:c r="Z31" s="34" t="n">
        <x:v>-1208.744667</x:v>
      </x:c>
      <x:c r="AA31" s="34" t="n">
        <x:v>23.613934</x:v>
      </x:c>
    </x:row>
    <x:row r="32">
      <x:c r="A32" s="34" t="str">
        <x:v>JFE_STEEL_JP</x:v>
      </x:c>
      <x:c r="B32" s="34" t="str">
        <x:v>JFE Steel</x:v>
      </x:c>
      <x:c r="C32" s="34" t="str">
        <x:v>CAND-8F0E9CFE80824D</x:v>
      </x:c>
      <x:c r="D32" s="34" t="str">
        <x:v>P6</x:v>
      </x:c>
      <x:c r="E32" s="34" t="str">
        <x:v>PORT-576B945395C2</x:v>
      </x:c>
      <x:c r="F32" s="34" t="str">
        <x:v>ACCELERATED_15C</x:v>
      </x:c>
      <x:c r="G32" s="34" t="str">
        <x:v>DISCLOSED_PATH</x:v>
      </x:c>
      <x:c r="H32" s="40" t="b">
        <x:v>0</x:v>
      </x:c>
      <x:c r="I32" s="40" t="b">
        <x:v>0</x:v>
      </x:c>
      <x:c r="J32" s="40" t="b">
        <x:v>1</x:v>
      </x:c>
      <x:c r="K32" s="34" t="n">
        <x:v>417.556839</x:v>
      </x:c>
      <x:c r="L32" s="34" t="n">
        <x:v>25.823717</x:v>
      </x:c>
      <x:c r="M32" s="34" t="n">
        <x:v>0.027745</x:v>
      </x:c>
      <x:c r="N32" s="34" t="n">
        <x:v>0.481627</x:v>
      </x:c>
      <x:c r="O32" s="34" t="n">
        <x:v>0.0462</x:v>
      </x:c>
      <x:c r="P32" s="34" t="n">
        <x:v>10782.869667</x:v>
      </x:c>
      <x:c r="Q32" s="34" t="n">
        <x:v>11.585394</x:v>
      </x:c>
      <x:c r="R32" s="34" t="n">
        <x:v>10983.976</x:v>
      </x:c>
      <x:c r="S32" s="34" t="n">
        <x:v>7.765662</x:v>
      </x:c>
      <x:c r="T32" s="34" t="n">
        <x:v>0</x:v>
      </x:c>
      <x:c r="U32" s="34" t="n">
        <x:v>0</x:v>
      </x:c>
      <x:c r="V32" s="34" t="n">
        <x:v>3977.863</x:v>
      </x:c>
      <x:c r="W32" s="34" t="n">
        <x:v>11.585109</x:v>
      </x:c>
      <x:c r="X32" s="34" t="n">
        <x:v>-6805.006</x:v>
      </x:c>
      <x:c r="Y32" s="34" t="n">
        <x:v>0</x:v>
      </x:c>
      <x:c r="Z32" s="34" t="n">
        <x:v>-11893.134333</x:v>
      </x:c>
      <x:c r="AA32" s="34" t="n">
        <x:v>38.130085</x:v>
      </x:c>
    </x:row>
    <x:row r="33">
      <x:c r="A33" s="34" t="str">
        <x:v>JFE_STEEL_JP</x:v>
      </x:c>
      <x:c r="B33" s="34" t="str">
        <x:v>JFE Steel</x:v>
      </x:c>
      <x:c r="C33" s="34" t="str">
        <x:v>CAND-942FF71D4F4188</x:v>
      </x:c>
      <x:c r="D33" s="34" t="str">
        <x:v>P4</x:v>
      </x:c>
      <x:c r="E33" s="34" t="str">
        <x:v>PORT-2883A9539B06</x:v>
      </x:c>
      <x:c r="F33" s="34" t="str">
        <x:v>ACCELERATED_15C</x:v>
      </x:c>
      <x:c r="G33" s="34" t="str">
        <x:v>DISCLOSED_PATH</x:v>
      </x:c>
      <x:c r="H33" s="40" t="b">
        <x:v>1</x:v>
      </x:c>
      <x:c r="I33" s="40" t="b">
        <x:v>0</x:v>
      </x:c>
      <x:c r="J33" s="40" t="b">
        <x:v>1</x:v>
      </x:c>
      <x:c r="K33" s="34" t="n">
        <x:v>367.500849</x:v>
      </x:c>
      <x:c r="L33" s="34" t="n">
        <x:v>12.153107</x:v>
      </x:c>
      <x:c r="M33" s="34" t="n">
        <x:v>0.070969</x:v>
      </x:c>
      <x:c r="N33" s="34" t="n">
        <x:v>-0.53096</x:v>
      </x:c>
      <x:c r="O33" s="34" t="n">
        <x:v>0.06372</x:v>
      </x:c>
      <x:c r="P33" s="34" t="n">
        <x:v>4466.277</x:v>
      </x:c>
      <x:c r="Q33" s="34" t="n">
        <x:v>26.081077</x:v>
      </x:c>
      <x:c r="R33" s="34" t="n">
        <x:v>4271.148333</x:v>
      </x:c>
      <x:c r="S33" s="34" t="n">
        <x:v>45.148683</x:v>
      </x:c>
      <x:c r="T33" s="34" t="n">
        <x:v>0</x:v>
      </x:c>
      <x:c r="U33" s="34" t="n">
        <x:v>0</x:v>
      </x:c>
      <x:c r="V33" s="34" t="n">
        <x:v>-1562.642667</x:v>
      </x:c>
      <x:c r="W33" s="34" t="n">
        <x:v>26.080968</x:v>
      </x:c>
      <x:c r="X33" s="34" t="n">
        <x:v>-6028.919</x:v>
      </x:c>
      <x:c r="Y33" s="34" t="n">
        <x:v>0</x:v>
      </x:c>
      <x:c r="Z33" s="34" t="n">
        <x:v>-3255.418</x:v>
      </x:c>
      <x:c r="AA33" s="34" t="n">
        <x:v>66.200614</x:v>
      </x:c>
    </x:row>
    <x:row r="34">
      <x:c r="A34" s="34" t="str">
        <x:v>JFE_STEEL_JP</x:v>
      </x:c>
      <x:c r="B34" s="34" t="str">
        <x:v>JFE Steel</x:v>
      </x:c>
      <x:c r="C34" s="34" t="str">
        <x:v>CAND-94E38421D8FAE7</x:v>
      </x:c>
      <x:c r="D34" s="34" t="str">
        <x:v>P1</x:v>
      </x:c>
      <x:c r="E34" s="34" t="str">
        <x:v>PORT-36B22CA0D026</x:v>
      </x:c>
      <x:c r="F34" s="34" t="str">
        <x:v>ACCELERATED_15C</x:v>
      </x:c>
      <x:c r="G34" s="34" t="str">
        <x:v>DISCLOSED_PATH</x:v>
      </x:c>
      <x:c r="H34" s="40" t="b">
        <x:v>0</x:v>
      </x:c>
      <x:c r="I34" s="40" t="b">
        <x:v>0</x:v>
      </x:c>
      <x:c r="J34" s="40" t="b">
        <x:v>1</x:v>
      </x:c>
      <x:c r="K34" s="34" t="n">
        <x:v>159.495924</x:v>
      </x:c>
      <x:c r="L34" s="34" t="n">
        <x:v>13.657181</x:v>
      </x:c>
      <x:c r="M34" s="34" t="n">
        <x:v>0.201652</x:v>
      </x:c>
      <x:c r="N34" s="34" t="n">
        <x:v>-0.825673</x:v>
      </x:c>
      <x:c r="O34" s="34" t="n">
        <x:v>0.467709</x:v>
      </x:c>
      <x:c r="P34" s="34" t="n">
        <x:v>2178.264333</x:v>
      </x:c>
      <x:c r="Q34" s="34" t="n">
        <x:v>32.162454</x:v>
      </x:c>
      <x:c r="R34" s="34" t="n">
        <x:v>2046.573667</x:v>
      </x:c>
      <x:c r="S34" s="34" t="n">
        <x:v>59.368032</x:v>
      </x:c>
      <x:c r="T34" s="34" t="n">
        <x:v>0</x:v>
      </x:c>
      <x:c r="U34" s="34" t="n">
        <x:v>0</x:v>
      </x:c>
      <x:c r="V34" s="34" t="n">
        <x:v>-401.655667</x:v>
      </x:c>
      <x:c r="W34" s="34" t="n">
        <x:v>32.162454</x:v>
      </x:c>
      <x:c r="X34" s="34" t="n">
        <x:v>-2579.92</x:v>
      </x:c>
      <x:c r="Y34" s="34" t="n">
        <x:v>0</x:v>
      </x:c>
      <x:c r="Z34" s="34" t="n">
        <x:v>-121.834667</x:v>
      </x:c>
      <x:c r="AA34" s="34" t="n">
        <x:v>2.73505</x:v>
      </x:c>
    </x:row>
    <x:row r="35">
      <x:c r="A35" s="34" t="str">
        <x:v>JFE_STEEL_JP</x:v>
      </x:c>
      <x:c r="B35" s="34" t="str">
        <x:v>JFE Steel</x:v>
      </x:c>
      <x:c r="C35" s="34" t="str">
        <x:v>CAND-953F1AFEF37202</x:v>
      </x:c>
      <x:c r="D35" s="34" t="str">
        <x:v>P1</x:v>
      </x:c>
      <x:c r="E35" s="34" t="str">
        <x:v>PORT-6E49C004BA31</x:v>
      </x:c>
      <x:c r="F35" s="34" t="str">
        <x:v>ACCELERATED_15C</x:v>
      </x:c>
      <x:c r="G35" s="34" t="str">
        <x:v>DISCLOSED_PATH</x:v>
      </x:c>
      <x:c r="H35" s="40" t="b">
        <x:v>0</x:v>
      </x:c>
      <x:c r="I35" s="40" t="b">
        <x:v>0</x:v>
      </x:c>
      <x:c r="J35" s="40" t="b">
        <x:v>1</x:v>
      </x:c>
      <x:c r="K35" s="34" t="n">
        <x:v>163.575867</x:v>
      </x:c>
      <x:c r="L35" s="34" t="n">
        <x:v>2.916075</x:v>
      </x:c>
      <x:c r="M35" s="34" t="n">
        <x:v>0.509989</x:v>
      </x:c>
      <x:c r="N35" s="34" t="n">
        <x:v>-5.044705</x:v>
      </x:c>
      <x:c r="O35" s="34" t="n">
        <x:v>0.497885</x:v>
      </x:c>
      <x:c r="P35" s="34" t="n">
        <x:v>476.999667</x:v>
      </x:c>
      <x:c r="Q35" s="34" t="n">
        <x:v>83.422217</x:v>
      </x:c>
      <x:c r="R35" s="34" t="n">
        <x:v>-348.192333</x:v>
      </x:c>
      <x:c r="S35" s="34" t="n">
        <x:v>18.937705</x:v>
      </x:c>
      <x:c r="T35" s="34" t="n">
        <x:v>0</x:v>
      </x:c>
      <x:c r="U35" s="34" t="n">
        <x:v>0</x:v>
      </x:c>
      <x:c r="V35" s="34" t="n">
        <x:v>-2289.145667</x:v>
      </x:c>
      <x:c r="W35" s="34" t="n">
        <x:v>83.421181</x:v>
      </x:c>
      <x:c r="X35" s="34" t="n">
        <x:v>-2766.145</x:v>
      </x:c>
      <x:c r="Y35" s="34" t="n">
        <x:v>0</x:v>
      </x:c>
      <x:c r="Z35" s="34" t="n">
        <x:v>-353.508</x:v>
      </x:c>
      <x:c r="AA35" s="34" t="n">
        <x:v>15.42058</x:v>
      </x:c>
    </x:row>
    <x:row r="36">
      <x:c r="A36" s="34" t="str">
        <x:v>JFE_STEEL_JP</x:v>
      </x:c>
      <x:c r="B36" s="34" t="str">
        <x:v>JFE Steel</x:v>
      </x:c>
      <x:c r="C36" s="34" t="str">
        <x:v>CAND-A735954AF09420</x:v>
      </x:c>
      <x:c r="D36" s="34" t="str">
        <x:v>P3</x:v>
      </x:c>
      <x:c r="E36" s="34" t="str">
        <x:v>PORT-CCD4397FA6D4</x:v>
      </x:c>
      <x:c r="F36" s="34" t="str">
        <x:v>ACCELERATED_15C</x:v>
      </x:c>
      <x:c r="G36" s="34" t="str">
        <x:v>DISCLOSED_PATH</x:v>
      </x:c>
      <x:c r="H36" s="40" t="b">
        <x:v>0</x:v>
      </x:c>
      <x:c r="I36" s="40" t="b">
        <x:v>1</x:v>
      </x:c>
      <x:c r="J36" s="40" t="b">
        <x:v>1</x:v>
      </x:c>
      <x:c r="K36" s="34" t="n">
        <x:v>281.895878</x:v>
      </x:c>
      <x:c r="L36" s="34" t="n">
        <x:v>10.477212</x:v>
      </x:c>
      <x:c r="M36" s="34" t="n">
        <x:v>0.243133</x:v>
      </x:c>
      <x:c r="N36" s="34" t="n">
        <x:v>-1.502612</x:v>
      </x:c>
      <x:c r="O36" s="34" t="n">
        <x:v>0.793736</x:v>
      </x:c>
      <x:c r="P36" s="34" t="n">
        <x:v>2953.483</x:v>
      </x:c>
      <x:c r="Q36" s="34" t="n">
        <x:v>68.537876</x:v>
      </x:c>
      <x:c r="R36" s="34" t="n">
        <x:v>2529.903</x:v>
      </x:c>
      <x:c r="S36" s="34" t="n">
        <x:v>157.138684</x:v>
      </x:c>
      <x:c r="T36" s="34" t="n">
        <x:v>0</x:v>
      </x:c>
      <x:c r="U36" s="34" t="n">
        <x:v>0</x:v>
      </x:c>
      <x:c r="V36" s="34" t="n">
        <x:v>-1708.293333</x:v>
      </x:c>
      <x:c r="W36" s="34" t="n">
        <x:v>68.538424</x:v>
      </x:c>
      <x:c r="X36" s="34" t="n">
        <x:v>-4661.776</x:v>
      </x:c>
      <x:c r="Y36" s="34" t="n">
        <x:v>0</x:v>
      </x:c>
      <x:c r="Z36" s="34" t="n">
        <x:v>-1455.076667</x:v>
      </x:c>
      <x:c r="AA36" s="34" t="n">
        <x:v>22.423829</x:v>
      </x:c>
    </x:row>
    <x:row r="37">
      <x:c r="A37" s="34" t="str">
        <x:v>JFE_STEEL_JP</x:v>
      </x:c>
      <x:c r="B37" s="34" t="str">
        <x:v>JFE Steel</x:v>
      </x:c>
      <x:c r="C37" s="34" t="str">
        <x:v>CAND-AE1C3F48385E3F</x:v>
      </x:c>
      <x:c r="D37" s="34" t="str">
        <x:v>P5</x:v>
      </x:c>
      <x:c r="E37" s="34" t="str">
        <x:v>PORT-2883A9539B06</x:v>
      </x:c>
      <x:c r="F37" s="34" t="str">
        <x:v>ACCELERATED_15C</x:v>
      </x:c>
      <x:c r="G37" s="34" t="str">
        <x:v>DISCLOSED_PATH</x:v>
      </x:c>
      <x:c r="H37" s="40" t="b">
        <x:v>1</x:v>
      </x:c>
      <x:c r="I37" s="40" t="b">
        <x:v>0</x:v>
      </x:c>
      <x:c r="J37" s="40" t="b">
        <x:v>1</x:v>
      </x:c>
      <x:c r="K37" s="34" t="n">
        <x:v>367.500849</x:v>
      </x:c>
      <x:c r="L37" s="34" t="n">
        <x:v>15.615834</x:v>
      </x:c>
      <x:c r="M37" s="34" t="n">
        <x:v>0.06266</x:v>
      </x:c>
      <x:c r="N37" s="34" t="n">
        <x:v>0.049684</x:v>
      </x:c>
      <x:c r="O37" s="34" t="n">
        <x:v>0.213349</x:v>
      </x:c>
      <x:c r="P37" s="34" t="n">
        <x:v>5738.832333</x:v>
      </x:c>
      <x:c r="Q37" s="34" t="n">
        <x:v>23.027707</x:v>
      </x:c>
      <x:c r="R37" s="34" t="n">
        <x:v>5757.091667</x:v>
      </x:c>
      <x:c r="S37" s="34" t="n">
        <x:v>86.412615</x:v>
      </x:c>
      <x:c r="T37" s="34" t="n">
        <x:v>0</x:v>
      </x:c>
      <x:c r="U37" s="34" t="n">
        <x:v>0</x:v>
      </x:c>
      <x:c r="V37" s="34" t="n">
        <x:v>-290.087</x:v>
      </x:c>
      <x:c r="W37" s="34" t="n">
        <x:v>23.028072</x:v>
      </x:c>
      <x:c r="X37" s="34" t="n">
        <x:v>-6028.919</x:v>
      </x:c>
      <x:c r="Y37" s="34" t="n">
        <x:v>0</x:v>
      </x:c>
      <x:c r="Z37" s="34" t="n">
        <x:v>-4566.316</x:v>
      </x:c>
      <x:c r="AA37" s="34" t="n">
        <x:v>15.774092</x:v>
      </x:c>
    </x:row>
    <x:row r="38">
      <x:c r="A38" s="34" t="str">
        <x:v>JFE_STEEL_JP</x:v>
      </x:c>
      <x:c r="B38" s="34" t="str">
        <x:v>JFE Steel</x:v>
      </x:c>
      <x:c r="C38" s="34" t="str">
        <x:v>CAND-AFB45421E864E1</x:v>
      </x:c>
      <x:c r="D38" s="34" t="str">
        <x:v>P3</x:v>
      </x:c>
      <x:c r="E38" s="34" t="str">
        <x:v>PORT-48EB0158352D</x:v>
      </x:c>
      <x:c r="F38" s="34" t="str">
        <x:v>ACCELERATED_15C</x:v>
      </x:c>
      <x:c r="G38" s="34" t="str">
        <x:v>DISCLOSED_PATH</x:v>
      </x:c>
      <x:c r="H38" s="40" t="b">
        <x:v>0</x:v>
      </x:c>
      <x:c r="I38" s="40" t="b">
        <x:v>0</x:v>
      </x:c>
      <x:c r="J38" s="40" t="b">
        <x:v>1</x:v>
      </x:c>
      <x:c r="K38" s="34" t="n">
        <x:v>209.90085</x:v>
      </x:c>
      <x:c r="L38" s="34" t="n">
        <x:v>8.057831</x:v>
      </x:c>
      <x:c r="M38" s="34" t="n">
        <x:v>0.132725</x:v>
      </x:c>
      <x:c r="N38" s="34" t="n">
        <x:v>-2.336439</x:v>
      </x:c>
      <x:c r="O38" s="34" t="n">
        <x:v>0.177851</x:v>
      </x:c>
      <x:c r="P38" s="34" t="n">
        <x:v>1691.345667</x:v>
      </x:c>
      <x:c r="Q38" s="34" t="n">
        <x:v>27.858968</x:v>
      </x:c>
      <x:c r="R38" s="34" t="n">
        <x:v>1200.926</x:v>
      </x:c>
      <x:c r="S38" s="34" t="n">
        <x:v>53.281157</x:v>
      </x:c>
      <x:c r="T38" s="34" t="n">
        <x:v>0</x:v>
      </x:c>
      <x:c r="U38" s="34" t="n">
        <x:v>0</x:v>
      </x:c>
      <x:c r="V38" s="34" t="n">
        <x:v>-1872.906667</x:v>
      </x:c>
      <x:c r="W38" s="34" t="n">
        <x:v>27.858709</x:v>
      </x:c>
      <x:c r="X38" s="34" t="n">
        <x:v>-3564.253</x:v>
      </x:c>
      <x:c r="Y38" s="34" t="n">
        <x:v>0</x:v>
      </x:c>
      <x:c r="Z38" s="34" t="n">
        <x:v>-1959.168333</x:v>
      </x:c>
      <x:c r="AA38" s="34" t="n">
        <x:v>30.265551</x:v>
      </x:c>
    </x:row>
    <x:row r="39">
      <x:c r="A39" s="34" t="str">
        <x:v>JFE_STEEL_JP</x:v>
      </x:c>
      <x:c r="B39" s="34" t="str">
        <x:v>JFE Steel</x:v>
      </x:c>
      <x:c r="C39" s="34" t="str">
        <x:v>CAND-B210B35AD45FF1</x:v>
      </x:c>
      <x:c r="D39" s="34" t="str">
        <x:v>P1</x:v>
      </x:c>
      <x:c r="E39" s="34" t="str">
        <x:v>PORT-263958B6D89F</x:v>
      </x:c>
      <x:c r="F39" s="34" t="str">
        <x:v>ACCELERATED_15C</x:v>
      </x:c>
      <x:c r="G39" s="34" t="str">
        <x:v>DISCLOSED_PATH</x:v>
      </x:c>
      <x:c r="H39" s="40" t="b">
        <x:v>0</x:v>
      </x:c>
      <x:c r="I39" s="40" t="b">
        <x:v>0</x:v>
      </x:c>
      <x:c r="J39" s="40" t="b">
        <x:v>1</x:v>
      </x:c>
      <x:c r="K39" s="34" t="n">
        <x:v>80.688399</x:v>
      </x:c>
      <x:c r="L39" s="34" t="n">
        <x:v>15.139742</x:v>
      </x:c>
      <x:c r="M39" s="34" t="n">
        <x:v>0.122474</x:v>
      </x:c>
      <x:c r="N39" s="34" t="n">
        <x:v>-0.570437</x:v>
      </x:c>
      <x:c r="O39" s="34" t="n">
        <x:v>0.222176</x:v>
      </x:c>
      <x:c r="P39" s="34" t="n">
        <x:v>1221.601667</x:v>
      </x:c>
      <x:c r="Q39" s="34" t="n">
        <x:v>9.882904</x:v>
      </x:c>
      <x:c r="R39" s="34" t="n">
        <x:v>1175.574</x:v>
      </x:c>
      <x:c r="S39" s="34" t="n">
        <x:v>11.561017</x:v>
      </x:c>
      <x:c r="T39" s="34" t="n">
        <x:v>0</x:v>
      </x:c>
      <x:c r="U39" s="34" t="n">
        <x:v>0</x:v>
      </x:c>
      <x:c r="V39" s="34" t="n">
        <x:v>-143.425333</x:v>
      </x:c>
      <x:c r="W39" s="34" t="n">
        <x:v>9.881913</x:v>
      </x:c>
      <x:c r="X39" s="34" t="n">
        <x:v>-1365.028</x:v>
      </x:c>
      <x:c r="Y39" s="34" t="n">
        <x:v>0</x:v>
      </x:c>
      <x:c r="Z39" s="34" t="n">
        <x:v>-68.446667</x:v>
      </x:c>
      <x:c r="AA39" s="34" t="n">
        <x:v>0.77808</x:v>
      </x:c>
    </x:row>
    <x:row r="40">
      <x:c r="A40" s="34" t="str">
        <x:v>JFE_STEEL_JP</x:v>
      </x:c>
      <x:c r="B40" s="34" t="str">
        <x:v>JFE Steel</x:v>
      </x:c>
      <x:c r="C40" s="34" t="str">
        <x:v>CAND-B38C1D7FD5CCAE</x:v>
      </x:c>
      <x:c r="D40" s="34" t="str">
        <x:v>P3</x:v>
      </x:c>
      <x:c r="E40" s="34" t="str">
        <x:v>PORT-7C1FC602A00B</x:v>
      </x:c>
      <x:c r="F40" s="34" t="str">
        <x:v>ACCELERATED_15C</x:v>
      </x:c>
      <x:c r="G40" s="34" t="str">
        <x:v>DISCLOSED_PATH</x:v>
      </x:c>
      <x:c r="H40" s="40" t="b">
        <x:v>1</x:v>
      </x:c>
      <x:c r="I40" s="40" t="b">
        <x:v>0</x:v>
      </x:c>
      <x:c r="J40" s="40" t="b">
        <x:v>1</x:v>
      </x:c>
      <x:c r="K40" s="34" t="n">
        <x:v>341.808365</x:v>
      </x:c>
      <x:c r="L40" s="34" t="n">
        <x:v>8.818594</x:v>
      </x:c>
      <x:c r="M40" s="34" t="n">
        <x:v>0.154758</x:v>
      </x:c>
      <x:c r="N40" s="34" t="n">
        <x:v>-2.022852</x:v>
      </x:c>
      <x:c r="O40" s="34" t="n">
        <x:v>1.298015</x:v>
      </x:c>
      <x:c r="P40" s="34" t="n">
        <x:v>3014.269</x:v>
      </x:c>
      <x:c r="Q40" s="34" t="n">
        <x:v>52.897668</x:v>
      </x:c>
      <x:c r="R40" s="34" t="n">
        <x:v>2322.841667</x:v>
      </x:c>
      <x:c r="S40" s="34" t="n">
        <x:v>403.014554</x:v>
      </x:c>
      <x:c r="T40" s="34" t="n">
        <x:v>0</x:v>
      </x:c>
      <x:c r="U40" s="34" t="n">
        <x:v>0</x:v>
      </x:c>
      <x:c r="V40" s="34" t="n">
        <x:v>-2655.078333</x:v>
      </x:c>
      <x:c r="W40" s="34" t="n">
        <x:v>52.897248</x:v>
      </x:c>
      <x:c r="X40" s="34" t="n">
        <x:v>-5669.347</x:v>
      </x:c>
      <x:c r="Y40" s="34" t="n">
        <x:v>0</x:v>
      </x:c>
      <x:c r="Z40" s="34" t="n">
        <x:v>-3105.796</x:v>
      </x:c>
      <x:c r="AA40" s="34" t="n">
        <x:v>68.360451</x:v>
      </x:c>
    </x:row>
    <x:row r="41">
      <x:c r="A41" s="34" t="str">
        <x:v>JFE_STEEL_JP</x:v>
      </x:c>
      <x:c r="B41" s="34" t="str">
        <x:v>JFE Steel</x:v>
      </x:c>
      <x:c r="C41" s="34" t="str">
        <x:v>CAND-B4CBF9F7B55581</x:v>
      </x:c>
      <x:c r="D41" s="34" t="str">
        <x:v>P3</x:v>
      </x:c>
      <x:c r="E41" s="34" t="str">
        <x:v>PORT-7F45069F34E3</x:v>
      </x:c>
      <x:c r="F41" s="34" t="str">
        <x:v>ACCELERATED_15C</x:v>
      </x:c>
      <x:c r="G41" s="34" t="str">
        <x:v>DISCLOSED_PATH</x:v>
      </x:c>
      <x:c r="H41" s="40" t="b">
        <x:v>0</x:v>
      </x:c>
      <x:c r="I41" s="40" t="b">
        <x:v>0</x:v>
      </x:c>
      <x:c r="J41" s="40" t="b">
        <x:v>1</x:v>
      </x:c>
      <x:c r="K41" s="34" t="n">
        <x:v>203.088353</x:v>
      </x:c>
      <x:c r="L41" s="34" t="n">
        <x:v>9.843337</x:v>
      </x:c>
      <x:c r="M41" s="34" t="n">
        <x:v>0.230247</x:v>
      </x:c>
      <x:c r="N41" s="34" t="n">
        <x:v>-1.67274</x:v>
      </x:c>
      <x:c r="O41" s="34" t="n">
        <x:v>0.251307</x:v>
      </x:c>
      <x:c r="P41" s="34" t="n">
        <x:v>1999.066667</x:v>
      </x:c>
      <x:c r="Q41" s="34" t="n">
        <x:v>46.761276</x:v>
      </x:c>
      <x:c r="R41" s="34" t="n">
        <x:v>1659.353</x:v>
      </x:c>
      <x:c r="S41" s="34" t="n">
        <x:v>8.148696</x:v>
      </x:c>
      <x:c r="T41" s="34" t="n">
        <x:v>0</x:v>
      </x:c>
      <x:c r="U41" s="34" t="n">
        <x:v>0</x:v>
      </x:c>
      <x:c r="V41" s="34" t="n">
        <x:v>-1447.816667</x:v>
      </x:c>
      <x:c r="W41" s="34" t="n">
        <x:v>46.7607</x:v>
      </x:c>
      <x:c r="X41" s="34" t="n">
        <x:v>-3446.883</x:v>
      </x:c>
      <x:c r="Y41" s="34" t="n">
        <x:v>0</x:v>
      </x:c>
      <x:c r="Z41" s="34" t="n">
        <x:v>-1451.456</x:v>
      </x:c>
      <x:c r="AA41" s="34" t="n">
        <x:v>30.592843</x:v>
      </x:c>
    </x:row>
    <x:row r="42">
      <x:c r="A42" s="34" t="str">
        <x:v>JFE_STEEL_JP</x:v>
      </x:c>
      <x:c r="B42" s="34" t="str">
        <x:v>JFE Steel</x:v>
      </x:c>
      <x:c r="C42" s="34" t="str">
        <x:v>CAND-BC3B7FD8701906</x:v>
      </x:c>
      <x:c r="D42" s="34" t="str">
        <x:v>P1</x:v>
      </x:c>
      <x:c r="E42" s="34" t="str">
        <x:v>PORT-25A7E18292F6</x:v>
      </x:c>
      <x:c r="F42" s="34" t="str">
        <x:v>ACCELERATED_15C</x:v>
      </x:c>
      <x:c r="G42" s="34" t="str">
        <x:v>DISCLOSED_PATH</x:v>
      </x:c>
      <x:c r="H42" s="40" t="b">
        <x:v>0</x:v>
      </x:c>
      <x:c r="I42" s="40" t="b">
        <x:v>0</x:v>
      </x:c>
      <x:c r="J42" s="40" t="b">
        <x:v>1</x:v>
      </x:c>
      <x:c r="K42" s="34" t="n">
        <x:v>310.220867</x:v>
      </x:c>
      <x:c r="L42" s="34" t="n">
        <x:v>11.254329</x:v>
      </x:c>
      <x:c r="M42" s="34" t="n">
        <x:v>0.306351</x:v>
      </x:c>
      <x:c r="N42" s="34" t="n">
        <x:v>-1.615011</x:v>
      </x:c>
      <x:c r="O42" s="34" t="n">
        <x:v>0.128308</x:v>
      </x:c>
      <x:c r="P42" s="34" t="n">
        <x:v>3491.327667</x:v>
      </x:c>
      <x:c r="Q42" s="34" t="n">
        <x:v>95.03672</x:v>
      </x:c>
      <x:c r="R42" s="34" t="n">
        <x:v>2990.318</x:v>
      </x:c>
      <x:c r="S42" s="34" t="n">
        <x:v>112.903269</x:v>
      </x:c>
      <x:c r="T42" s="34" t="n">
        <x:v>0</x:v>
      </x:c>
      <x:c r="U42" s="34" t="n">
        <x:v>0</x:v>
      </x:c>
      <x:c r="V42" s="34" t="n">
        <x:v>-1662.400333</x:v>
      </x:c>
      <x:c r="W42" s="34" t="n">
        <x:v>95.035725</x:v>
      </x:c>
      <x:c r="X42" s="34" t="n">
        <x:v>-5153.728</x:v>
      </x:c>
      <x:c r="Y42" s="34" t="n">
        <x:v>0</x:v>
      </x:c>
      <x:c r="Z42" s="34" t="n">
        <x:v>-434.402667</x:v>
      </x:c>
      <x:c r="AA42" s="34" t="n">
        <x:v>10.292418</x:v>
      </x:c>
    </x:row>
    <x:row r="43">
      <x:c r="A43" s="34" t="str">
        <x:v>JFE_STEEL_JP</x:v>
      </x:c>
      <x:c r="B43" s="34" t="str">
        <x:v>JFE Steel</x:v>
      </x:c>
      <x:c r="C43" s="34" t="str">
        <x:v>CAND-BD5FC0B8045E4C</x:v>
      </x:c>
      <x:c r="D43" s="34" t="str">
        <x:v>P1</x:v>
      </x:c>
      <x:c r="E43" s="34" t="str">
        <x:v>PORT-BFE68456F5A9</x:v>
      </x:c>
      <x:c r="F43" s="34" t="str">
        <x:v>ACCELERATED_15C</x:v>
      </x:c>
      <x:c r="G43" s="34" t="str">
        <x:v>DISCLOSED_PATH</x:v>
      </x:c>
      <x:c r="H43" s="40" t="b">
        <x:v>0</x:v>
      </x:c>
      <x:c r="I43" s="40" t="b">
        <x:v>0</x:v>
      </x:c>
      <x:c r="J43" s="40" t="b">
        <x:v>1</x:v>
      </x:c>
      <x:c r="K43" s="34" t="n">
        <x:v>87.500896</x:v>
      </x:c>
      <x:c r="L43" s="34" t="n">
        <x:v>6.62013</x:v>
      </x:c>
      <x:c r="M43" s="34" t="n">
        <x:v>0.063216</x:v>
      </x:c>
      <x:c r="N43" s="34" t="n">
        <x:v>-3.53348</x:v>
      </x:c>
      <x:c r="O43" s="34" t="n">
        <x:v>1.518421</x:v>
      </x:c>
      <x:c r="P43" s="34" t="n">
        <x:v>579.267333</x:v>
      </x:c>
      <x:c r="Q43" s="34" t="n">
        <x:v>5.531537</x:v>
      </x:c>
      <x:c r="R43" s="34" t="n">
        <x:v>270.085</x:v>
      </x:c>
      <x:c r="S43" s="34" t="n">
        <x:v>138.38666</x:v>
      </x:c>
      <x:c r="T43" s="34" t="n">
        <x:v>0</x:v>
      </x:c>
      <x:c r="U43" s="34" t="n">
        <x:v>0</x:v>
      </x:c>
      <x:c r="V43" s="34" t="n">
        <x:v>-903.128667</x:v>
      </x:c>
      <x:c r="W43" s="34" t="n">
        <x:v>5.531537</x:v>
      </x:c>
      <x:c r="X43" s="34" t="n">
        <x:v>-1482.396</x:v>
      </x:c>
      <x:c r="Y43" s="34" t="n">
        <x:v>0</x:v>
      </x:c>
      <x:c r="Z43" s="34" t="n">
        <x:v>-182.236</x:v>
      </x:c>
      <x:c r="AA43" s="34" t="n">
        <x:v>1.38729</x:v>
      </x:c>
    </x:row>
    <x:row r="44">
      <x:c r="A44" s="34" t="str">
        <x:v>JFE_STEEL_JP</x:v>
      </x:c>
      <x:c r="B44" s="34" t="str">
        <x:v>JFE Steel</x:v>
      </x:c>
      <x:c r="C44" s="34" t="str">
        <x:v>CAND-BD69BDF77D11F9</x:v>
      </x:c>
      <x:c r="D44" s="34" t="str">
        <x:v>P2</x:v>
      </x:c>
      <x:c r="E44" s="34" t="str">
        <x:v>PORT-1C641A2E58FD</x:v>
      </x:c>
      <x:c r="F44" s="34" t="str">
        <x:v>ACCELERATED_15C</x:v>
      </x:c>
      <x:c r="G44" s="34" t="str">
        <x:v>DISCLOSED_PATH</x:v>
      </x:c>
      <x:c r="H44" s="40" t="b">
        <x:v>0</x:v>
      </x:c>
      <x:c r="I44" s="40" t="b">
        <x:v>0</x:v>
      </x:c>
      <x:c r="J44" s="40" t="b">
        <x:v>1</x:v>
      </x:c>
      <x:c r="K44" s="34" t="n">
        <x:v>205.820907</x:v>
      </x:c>
      <x:c r="L44" s="34" t="n">
        <x:v>10.645798</x:v>
      </x:c>
      <x:c r="M44" s="34" t="n">
        <x:v>0.461674</x:v>
      </x:c>
      <x:c r="N44" s="34" t="n">
        <x:v>-1.54039</x:v>
      </x:c>
      <x:c r="O44" s="34" t="n">
        <x:v>0.359318</x:v>
      </x:c>
      <x:c r="P44" s="34" t="n">
        <x:v>2191.127667</x:v>
      </x:c>
      <x:c r="Q44" s="34" t="n">
        <x:v>95.021637</x:v>
      </x:c>
      <x:c r="R44" s="34" t="n">
        <x:v>1874.083</x:v>
      </x:c>
      <x:c r="S44" s="34" t="n">
        <x:v>21.52279</x:v>
      </x:c>
      <x:c r="T44" s="34" t="n">
        <x:v>0</x:v>
      </x:c>
      <x:c r="U44" s="34" t="n">
        <x:v>0</x:v>
      </x:c>
      <x:c r="V44" s="34" t="n">
        <x:v>-1186.899</x:v>
      </x:c>
      <x:c r="W44" s="34" t="n">
        <x:v>95.022156</x:v>
      </x:c>
      <x:c r="X44" s="34" t="n">
        <x:v>-3378.027</x:v>
      </x:c>
      <x:c r="Y44" s="34" t="n">
        <x:v>0</x:v>
      </x:c>
      <x:c r="Z44" s="34" t="n">
        <x:v>-447.123667</x:v>
      </x:c>
      <x:c r="AA44" s="34" t="n">
        <x:v>7.635111</x:v>
      </x:c>
    </x:row>
    <x:row r="45">
      <x:c r="A45" s="34" t="str">
        <x:v>JFE_STEEL_JP</x:v>
      </x:c>
      <x:c r="B45" s="34" t="str">
        <x:v>JFE Steel</x:v>
      </x:c>
      <x:c r="C45" s="34" t="str">
        <x:v>CAND-C535F3B5D7A55A</x:v>
      </x:c>
      <x:c r="D45" s="34" t="str">
        <x:v>P1</x:v>
      </x:c>
      <x:c r="E45" s="34" t="str">
        <x:v>PORT-1C641A2E58FD</x:v>
      </x:c>
      <x:c r="F45" s="34" t="str">
        <x:v>ACCELERATED_15C</x:v>
      </x:c>
      <x:c r="G45" s="34" t="str">
        <x:v>DISCLOSED_PATH</x:v>
      </x:c>
      <x:c r="H45" s="40" t="b">
        <x:v>0</x:v>
      </x:c>
      <x:c r="I45" s="40" t="b">
        <x:v>0</x:v>
      </x:c>
      <x:c r="J45" s="40" t="b">
        <x:v>1</x:v>
      </x:c>
      <x:c r="K45" s="34" t="n">
        <x:v>205.820907</x:v>
      </x:c>
      <x:c r="L45" s="34" t="n">
        <x:v>9.933091</x:v>
      </x:c>
      <x:c r="M45" s="34" t="n">
        <x:v>0.579855</x:v>
      </x:c>
      <x:c r="N45" s="34" t="n">
        <x:v>-1.899599</x:v>
      </x:c>
      <x:c r="O45" s="34" t="n">
        <x:v>0.506608</x:v>
      </x:c>
      <x:c r="P45" s="34" t="n">
        <x:v>2044.437667</x:v>
      </x:c>
      <x:c r="Q45" s="34" t="n">
        <x:v>119.345982</x:v>
      </x:c>
      <x:c r="R45" s="34" t="n">
        <x:v>1653.461</x:v>
      </x:c>
      <x:c r="S45" s="34" t="n">
        <x:v>22.622064</x:v>
      </x:c>
      <x:c r="T45" s="34" t="n">
        <x:v>0</x:v>
      </x:c>
      <x:c r="U45" s="34" t="n">
        <x:v>0</x:v>
      </x:c>
      <x:c r="V45" s="34" t="n">
        <x:v>-1333.589667</x:v>
      </x:c>
      <x:c r="W45" s="34" t="n">
        <x:v>119.346474</x:v>
      </x:c>
      <x:c r="X45" s="34" t="n">
        <x:v>-3378.027</x:v>
      </x:c>
      <x:c r="Y45" s="34" t="n">
        <x:v>0</x:v>
      </x:c>
      <x:c r="Z45" s="34" t="n">
        <x:v>-307.442</x:v>
      </x:c>
      <x:c r="AA45" s="34" t="n">
        <x:v>8.370347</x:v>
      </x:c>
    </x:row>
    <x:row r="46">
      <x:c r="A46" s="34" t="str">
        <x:v>JFE_STEEL_JP</x:v>
      </x:c>
      <x:c r="B46" s="34" t="str">
        <x:v>JFE Steel</x:v>
      </x:c>
      <x:c r="C46" s="34" t="str">
        <x:v>CAND-C973F96EA1BC5C</x:v>
      </x:c>
      <x:c r="D46" s="34" t="str">
        <x:v>P1</x:v>
      </x:c>
      <x:c r="E46" s="34" t="str">
        <x:v>PORT-E123D45B71CC</x:v>
      </x:c>
      <x:c r="F46" s="34" t="str">
        <x:v>ACCELERATED_15C</x:v>
      </x:c>
      <x:c r="G46" s="34" t="str">
        <x:v>DISCLOSED_PATH</x:v>
      </x:c>
      <x:c r="H46" s="40" t="b">
        <x:v>0</x:v>
      </x:c>
      <x:c r="I46" s="40" t="b">
        <x:v>0</x:v>
      </x:c>
      <x:c r="J46" s="40" t="b">
        <x:v>1</x:v>
      </x:c>
      <x:c r="K46" s="34" t="n">
        <x:v>226.220909</x:v>
      </x:c>
      <x:c r="L46" s="34" t="n">
        <x:v>1.419857</x:v>
      </x:c>
      <x:c r="M46" s="34" t="n">
        <x:v>0.482664</x:v>
      </x:c>
      <x:c r="N46" s="34" t="n">
        <x:v>-4.815917</x:v>
      </x:c>
      <x:c r="O46" s="34" t="n">
        <x:v>3.278702</x:v>
      </x:c>
      <x:c r="P46" s="34" t="n">
        <x:v>321.201</x:v>
      </x:c>
      <x:c r="Q46" s="34" t="n">
        <x:v>109.188483</x:v>
      </x:c>
      <x:c r="R46" s="34" t="n">
        <x:v>-768.259667</x:v>
      </x:c>
      <x:c r="S46" s="34" t="n">
        <x:v>660.612482</x:v>
      </x:c>
      <x:c r="T46" s="34" t="n">
        <x:v>0</x:v>
      </x:c>
      <x:c r="U46" s="34" t="n">
        <x:v>0</x:v>
      </x:c>
      <x:c r="V46" s="34" t="n">
        <x:v>-3383.658333</x:v>
      </x:c>
      <x:c r="W46" s="34" t="n">
        <x:v>109.18869</x:v>
      </x:c>
      <x:c r="X46" s="34" t="n">
        <x:v>-3704.86</x:v>
      </x:c>
      <x:c r="Y46" s="34" t="n">
        <x:v>0</x:v>
      </x:c>
      <x:c r="Z46" s="34" t="n">
        <x:v>-512.545</x:v>
      </x:c>
      <x:c r="AA46" s="34" t="n">
        <x:v>13.168994</x:v>
      </x:c>
    </x:row>
    <x:row r="47">
      <x:c r="A47" s="34" t="str">
        <x:v>JFE_STEEL_JP</x:v>
      </x:c>
      <x:c r="B47" s="34" t="str">
        <x:v>JFE Steel</x:v>
      </x:c>
      <x:c r="C47" s="34" t="str">
        <x:v>CAND-CB30BCF3D9CF92</x:v>
      </x:c>
      <x:c r="D47" s="34" t="str">
        <x:v>P1</x:v>
      </x:c>
      <x:c r="E47" s="34" t="str">
        <x:v>PORT-D5A2DA370FDA</x:v>
      </x:c>
      <x:c r="F47" s="34" t="str">
        <x:v>ACCELERATED_15C</x:v>
      </x:c>
      <x:c r="G47" s="34" t="str">
        <x:v>DISCLOSED_PATH</x:v>
      </x:c>
      <x:c r="H47" s="40" t="b">
        <x:v>0</x:v>
      </x:c>
      <x:c r="I47" s="40" t="b">
        <x:v>0</x:v>
      </x:c>
      <x:c r="J47" s="40" t="b">
        <x:v>1</x:v>
      </x:c>
      <x:c r="K47" s="34" t="n">
        <x:v>185.08836</x:v>
      </x:c>
      <x:c r="L47" s="34" t="n">
        <x:v>14.275194</x:v>
      </x:c>
      <x:c r="M47" s="34" t="n">
        <x:v>0.070028</x:v>
      </x:c>
      <x:c r="N47" s="34" t="n">
        <x:v>-0.570898</x:v>
      </x:c>
      <x:c r="O47" s="34" t="n">
        <x:v>0.058871</x:v>
      </x:c>
      <x:c r="P47" s="34" t="n">
        <x:v>2642.172333</x:v>
      </x:c>
      <x:c r="Q47" s="34" t="n">
        <x:v>12.961554</x:v>
      </x:c>
      <x:c r="R47" s="34" t="n">
        <x:v>2536.505333</x:v>
      </x:c>
      <x:c r="S47" s="34" t="n">
        <x:v>19.056014</x:v>
      </x:c>
      <x:c r="T47" s="34" t="n">
        <x:v>0</x:v>
      </x:c>
      <x:c r="U47" s="34" t="n">
        <x:v>0</x:v>
      </x:c>
      <x:c r="V47" s="34" t="n">
        <x:v>-498.556333</x:v>
      </x:c>
      <x:c r="W47" s="34" t="n">
        <x:v>12.961349</x:v>
      </x:c>
      <x:c r="X47" s="34" t="n">
        <x:v>-3140.728</x:v>
      </x:c>
      <x:c r="Y47" s="34" t="n">
        <x:v>0</x:v>
      </x:c>
      <x:c r="Z47" s="34" t="n">
        <x:v>-199.665333</x:v>
      </x:c>
      <x:c r="AA47" s="34" t="n">
        <x:v>8.64613</x:v>
      </x:c>
    </x:row>
    <x:row r="48">
      <x:c r="A48" s="34" t="str">
        <x:v>JFE_STEEL_JP</x:v>
      </x:c>
      <x:c r="B48" s="34" t="str">
        <x:v>JFE Steel</x:v>
      </x:c>
      <x:c r="C48" s="34" t="str">
        <x:v>CAND-CBE864A3B5E624</x:v>
      </x:c>
      <x:c r="D48" s="34" t="str">
        <x:v>P2</x:v>
      </x:c>
      <x:c r="E48" s="34" t="str">
        <x:v>PORT-408F044D6828</x:v>
      </x:c>
      <x:c r="F48" s="34" t="str">
        <x:v>ACCELERATED_15C</x:v>
      </x:c>
      <x:c r="G48" s="34" t="str">
        <x:v>DISCLOSED_PATH</x:v>
      </x:c>
      <x:c r="H48" s="40" t="b">
        <x:v>0</x:v>
      </x:c>
      <x:c r="I48" s="40" t="b">
        <x:v>0</x:v>
      </x:c>
      <x:c r="J48" s="40" t="b">
        <x:v>1</x:v>
      </x:c>
      <x:c r="K48" s="34" t="n">
        <x:v>302.295879</x:v>
      </x:c>
      <x:c r="L48" s="34" t="n">
        <x:v>3.268722</x:v>
      </x:c>
      <x:c r="M48" s="34" t="n">
        <x:v>0.157629</x:v>
      </x:c>
      <x:c r="N48" s="34" t="n">
        <x:v>-3.105735</x:v>
      </x:c>
      <x:c r="O48" s="34" t="n">
        <x:v>1.998911</x:v>
      </x:c>
      <x:c r="P48" s="34" t="n">
        <x:v>988.120667</x:v>
      </x:c>
      <x:c r="Q48" s="34" t="n">
        <x:v>47.650513</x:v>
      </x:c>
      <x:c r="R48" s="34" t="n">
        <x:v>49.270333</x:v>
      </x:c>
      <x:c r="S48" s="34" t="n">
        <x:v>562.88955</x:v>
      </x:c>
      <x:c r="T48" s="34" t="n">
        <x:v>0</x:v>
      </x:c>
      <x:c r="U48" s="34" t="n">
        <x:v>0</x:v>
      </x:c>
      <x:c r="V48" s="34" t="n">
        <x:v>-4000.488333</x:v>
      </x:c>
      <x:c r="W48" s="34" t="n">
        <x:v>47.650513</x:v>
      </x:c>
      <x:c r="X48" s="34" t="n">
        <x:v>-4988.609</x:v>
      </x:c>
      <x:c r="Y48" s="34" t="n">
        <x:v>0</x:v>
      </x:c>
      <x:c r="Z48" s="34" t="n">
        <x:v>-1659.612667</x:v>
      </x:c>
      <x:c r="AA48" s="34" t="n">
        <x:v>37.613391</x:v>
      </x:c>
    </x:row>
    <x:row r="49">
      <x:c r="A49" s="34" t="str">
        <x:v>JFE_STEEL_JP</x:v>
      </x:c>
      <x:c r="B49" s="34" t="str">
        <x:v>JFE Steel</x:v>
      </x:c>
      <x:c r="C49" s="34" t="str">
        <x:v>CAND-D31DAEDCB107AF</x:v>
      </x:c>
      <x:c r="D49" s="34" t="str">
        <x:v>P1</x:v>
      </x:c>
      <x:c r="E49" s="34" t="str">
        <x:v>PORT-0FD37D80B1EA</x:v>
      </x:c>
      <x:c r="F49" s="34" t="str">
        <x:v>ACCELERATED_15C</x:v>
      </x:c>
      <x:c r="G49" s="34" t="str">
        <x:v>DISCLOSED_PATH</x:v>
      </x:c>
      <x:c r="H49" s="40" t="b">
        <x:v>1</x:v>
      </x:c>
      <x:c r="I49" s="40" t="b">
        <x:v>0</x:v>
      </x:c>
      <x:c r="J49" s="40" t="b">
        <x:v>1</x:v>
      </x:c>
      <x:c r="K49" s="34" t="n">
        <x:v>330.620869</x:v>
      </x:c>
      <x:c r="L49" s="34" t="n">
        <x:v>5.28038</x:v>
      </x:c>
      <x:c r="M49" s="34" t="n">
        <x:v>0.623291</x:v>
      </x:c>
      <x:c r="N49" s="34" t="n">
        <x:v>-4.18132</x:v>
      </x:c>
      <x:c r="O49" s="34" t="n">
        <x:v>2.180687</x:v>
      </x:c>
      <x:c r="P49" s="34" t="n">
        <x:v>1745.804</x:v>
      </x:c>
      <x:c r="Q49" s="34" t="n">
        <x:v>206.073325</x:v>
      </x:c>
      <x:c r="R49" s="34" t="n">
        <x:v>363.372</x:v>
      </x:c>
      <x:c r="S49" s="34" t="n">
        <x:v>514.909734</x:v>
      </x:c>
      <x:c r="T49" s="34" t="n">
        <x:v>0</x:v>
      </x:c>
      <x:c r="U49" s="34" t="n">
        <x:v>0</x:v>
      </x:c>
      <x:c r="V49" s="34" t="n">
        <x:v>-3734.757</x:v>
      </x:c>
      <x:c r="W49" s="34" t="n">
        <x:v>206.072532</x:v>
      </x:c>
      <x:c r="X49" s="34" t="n">
        <x:v>-5480.561</x:v>
      </x:c>
      <x:c r="Y49" s="34" t="n">
        <x:v>0</x:v>
      </x:c>
      <x:c r="Z49" s="34" t="n">
        <x:v>-637.913333</x:v>
      </x:c>
      <x:c r="AA49" s="34" t="n">
        <x:v>15.584936</x:v>
      </x:c>
    </x:row>
    <x:row r="50">
      <x:c r="A50" s="34" t="str">
        <x:v>JFE_STEEL_JP</x:v>
      </x:c>
      <x:c r="B50" s="34" t="str">
        <x:v>JFE Steel</x:v>
      </x:c>
      <x:c r="C50" s="34" t="str">
        <x:v>CAND-DF57CBE06564A4</x:v>
      </x:c>
      <x:c r="D50" s="34" t="str">
        <x:v>P3</x:v>
      </x:c>
      <x:c r="E50" s="34" t="str">
        <x:v>PORT-6E49C004BA31</x:v>
      </x:c>
      <x:c r="F50" s="34" t="str">
        <x:v>ACCELERATED_15C</x:v>
      </x:c>
      <x:c r="G50" s="34" t="str">
        <x:v>DISCLOSED_PATH</x:v>
      </x:c>
      <x:c r="H50" s="40" t="b">
        <x:v>0</x:v>
      </x:c>
      <x:c r="I50" s="40" t="b">
        <x:v>0</x:v>
      </x:c>
      <x:c r="J50" s="40" t="b">
        <x:v>1</x:v>
      </x:c>
      <x:c r="K50" s="34" t="n">
        <x:v>163.575867</x:v>
      </x:c>
      <x:c r="L50" s="34" t="n">
        <x:v>8.849353</x:v>
      </x:c>
      <x:c r="M50" s="34" t="n">
        <x:v>0.429362</x:v>
      </x:c>
      <x:c r="N50" s="34" t="n">
        <x:v>-1.615277</x:v>
      </x:c>
      <x:c r="O50" s="34" t="n">
        <x:v>0.698735</x:v>
      </x:c>
      <x:c r="P50" s="34" t="n">
        <x:v>1447.540667</x:v>
      </x:c>
      <x:c r="Q50" s="34" t="n">
        <x:v>70.233082</x:v>
      </x:c>
      <x:c r="R50" s="34" t="n">
        <x:v>1183.32</x:v>
      </x:c>
      <x:c r="S50" s="34" t="n">
        <x:v>62.693563</x:v>
      </x:c>
      <x:c r="T50" s="34" t="n">
        <x:v>0</x:v>
      </x:c>
      <x:c r="U50" s="34" t="n">
        <x:v>0</x:v>
      </x:c>
      <x:c r="V50" s="34" t="n">
        <x:v>-1318.604667</x:v>
      </x:c>
      <x:c r="W50" s="34" t="n">
        <x:v>70.233305</x:v>
      </x:c>
      <x:c r="X50" s="34" t="n">
        <x:v>-2766.145</x:v>
      </x:c>
      <x:c r="Y50" s="34" t="n">
        <x:v>0</x:v>
      </x:c>
      <x:c r="Z50" s="34" t="n">
        <x:v>-1376.97</x:v>
      </x:c>
      <x:c r="AA50" s="34" t="n">
        <x:v>21.35416</x:v>
      </x:c>
    </x:row>
    <x:row r="51">
      <x:c r="A51" s="34" t="str">
        <x:v>JFE_STEEL_JP</x:v>
      </x:c>
      <x:c r="B51" s="34" t="str">
        <x:v>JFE Steel</x:v>
      </x:c>
      <x:c r="C51" s="34" t="str">
        <x:v>CAND-DFCA23D16E81A2</x:v>
      </x:c>
      <x:c r="D51" s="34" t="str">
        <x:v>P1</x:v>
      </x:c>
      <x:c r="E51" s="34" t="str">
        <x:v>PORT-408F044D6828</x:v>
      </x:c>
      <x:c r="F51" s="34" t="str">
        <x:v>ACCELERATED_15C</x:v>
      </x:c>
      <x:c r="G51" s="34" t="str">
        <x:v>DISCLOSED_PATH</x:v>
      </x:c>
      <x:c r="H51" s="40" t="b">
        <x:v>0</x:v>
      </x:c>
      <x:c r="I51" s="40" t="b">
        <x:v>0</x:v>
      </x:c>
      <x:c r="J51" s="40" t="b">
        <x:v>1</x:v>
      </x:c>
      <x:c r="K51" s="34" t="n">
        <x:v>302.295879</x:v>
      </x:c>
      <x:c r="L51" s="34" t="n">
        <x:v>0.228137</x:v>
      </x:c>
      <x:c r="M51" s="34" t="n">
        <x:v>0.152406</x:v>
      </x:c>
      <x:c r="N51" s="34" t="n">
        <x:v>-4.586089</x:v>
      </x:c>
      <x:c r="O51" s="34" t="n">
        <x:v>2.494648</x:v>
      </x:c>
      <x:c r="P51" s="34" t="n">
        <x:v>68.965</x:v>
      </x:c>
      <x:c r="Q51" s="34" t="n">
        <x:v>46.071506</x:v>
      </x:c>
      <x:c r="R51" s="34" t="n">
        <x:v>-1317.391</x:v>
      </x:c>
      <x:c r="S51" s="34" t="n">
        <x:v>708.346908</x:v>
      </x:c>
      <x:c r="T51" s="34" t="n">
        <x:v>0</x:v>
      </x:c>
      <x:c r="U51" s="34" t="n">
        <x:v>0</x:v>
      </x:c>
      <x:c r="V51" s="34" t="n">
        <x:v>-4919.644</x:v>
      </x:c>
      <x:c r="W51" s="34" t="n">
        <x:v>46.071506</x:v>
      </x:c>
      <x:c r="X51" s="34" t="n">
        <x:v>-4988.609</x:v>
      </x:c>
      <x:c r="Y51" s="34" t="n">
        <x:v>0</x:v>
      </x:c>
      <x:c r="Z51" s="34" t="n">
        <x:v>-682.456</x:v>
      </x:c>
      <x:c r="AA51" s="34" t="n">
        <x:v>16.851264</x:v>
      </x:c>
    </x:row>
    <x:row r="52">
      <x:c r="A52" s="34" t="str">
        <x:v>JFE_STEEL_JP</x:v>
      </x:c>
      <x:c r="B52" s="34" t="str">
        <x:v>JFE Steel</x:v>
      </x:c>
      <x:c r="C52" s="34" t="str">
        <x:v>CAND-DFD36ABEC37623</x:v>
      </x:c>
      <x:c r="D52" s="34" t="str">
        <x:v>P1</x:v>
      </x:c>
      <x:c r="E52" s="34" t="str">
        <x:v>PORT-7F45069F34E3</x:v>
      </x:c>
      <x:c r="F52" s="34" t="str">
        <x:v>ACCELERATED_15C</x:v>
      </x:c>
      <x:c r="G52" s="34" t="str">
        <x:v>DISCLOSED_PATH</x:v>
      </x:c>
      <x:c r="H52" s="40" t="b">
        <x:v>0</x:v>
      </x:c>
      <x:c r="I52" s="40" t="b">
        <x:v>0</x:v>
      </x:c>
      <x:c r="J52" s="40" t="b">
        <x:v>1</x:v>
      </x:c>
      <x:c r="K52" s="34" t="n">
        <x:v>203.088353</x:v>
      </x:c>
      <x:c r="L52" s="34" t="n">
        <x:v>4.847366</x:v>
      </x:c>
      <x:c r="M52" s="34" t="n">
        <x:v>0.601941</x:v>
      </x:c>
      <x:c r="N52" s="34" t="n">
        <x:v>-4.341487</x:v>
      </x:c>
      <x:c r="O52" s="34" t="n">
        <x:v>1.175001</x:v>
      </x:c>
      <x:c r="P52" s="34" t="n">
        <x:v>984.444</x:v>
      </x:c>
      <x:c r="Q52" s="34" t="n">
        <x:v>122.247282</x:v>
      </x:c>
      <x:c r="R52" s="34" t="n">
        <x:v>102.738</x:v>
      </x:c>
      <x:c r="S52" s="34" t="n">
        <x:v>117.114698</x:v>
      </x:c>
      <x:c r="T52" s="34" t="n">
        <x:v>0</x:v>
      </x:c>
      <x:c r="U52" s="34" t="n">
        <x:v>0</x:v>
      </x:c>
      <x:c r="V52" s="34" t="n">
        <x:v>-2462.44</x:v>
      </x:c>
      <x:c r="W52" s="34" t="n">
        <x:v>122.247282</x:v>
      </x:c>
      <x:c r="X52" s="34" t="n">
        <x:v>-3446.883</x:v>
      </x:c>
      <x:c r="Y52" s="34" t="n">
        <x:v>0</x:v>
      </x:c>
      <x:c r="Z52" s="34" t="n">
        <x:v>-418.785667</x:v>
      </x:c>
      <x:c r="AA52" s="34" t="n">
        <x:v>16.476915</x:v>
      </x:c>
    </x:row>
    <x:row r="53">
      <x:c r="A53" s="34" t="str">
        <x:v>JFE_STEEL_JP</x:v>
      </x:c>
      <x:c r="B53" s="34" t="str">
        <x:v>JFE Steel</x:v>
      </x:c>
      <x:c r="C53" s="34" t="str">
        <x:v>CAND-E142C0366C78ED</x:v>
      </x:c>
      <x:c r="D53" s="34" t="str">
        <x:v>P4</x:v>
      </x:c>
      <x:c r="E53" s="34" t="str">
        <x:v>PORT-49F18FB13125</x:v>
      </x:c>
      <x:c r="F53" s="34" t="str">
        <x:v>ACCELERATED_15C</x:v>
      </x:c>
      <x:c r="G53" s="34" t="str">
        <x:v>DISCLOSED_PATH</x:v>
      </x:c>
      <x:c r="H53" s="40" t="b">
        <x:v>0</x:v>
      </x:c>
      <x:c r="I53" s="40" t="b">
        <x:v>0</x:v>
      </x:c>
      <x:c r="J53" s="40" t="b">
        <x:v>1</x:v>
      </x:c>
      <x:c r="K53" s="34" t="n">
        <x:v>369.350858</x:v>
      </x:c>
      <x:c r="L53" s="34" t="n">
        <x:v>13.187342</x:v>
      </x:c>
      <x:c r="M53" s="34" t="n">
        <x:v>0.210976</x:v>
      </x:c>
      <x:c r="N53" s="34" t="n">
        <x:v>-0.558506</x:v>
      </x:c>
      <x:c r="O53" s="34" t="n">
        <x:v>0.235317</x:v>
      </x:c>
      <x:c r="P53" s="34" t="n">
        <x:v>4870.756</x:v>
      </x:c>
      <x:c r="Q53" s="34" t="n">
        <x:v>77.924456</x:v>
      </x:c>
      <x:c r="R53" s="34" t="n">
        <x:v>4664.471333</x:v>
      </x:c>
      <x:c r="S53" s="34" t="n">
        <x:v>137.361384</x:v>
      </x:c>
      <x:c r="T53" s="34" t="n">
        <x:v>0</x:v>
      </x:c>
      <x:c r="U53" s="34" t="n">
        <x:v>0</x:v>
      </x:c>
      <x:c r="V53" s="34" t="n">
        <x:v>-1161.955</x:v>
      </x:c>
      <x:c r="W53" s="34" t="n">
        <x:v>77.924456</x:v>
      </x:c>
      <x:c r="X53" s="34" t="n">
        <x:v>-6032.711</x:v>
      </x:c>
      <x:c r="Y53" s="34" t="n">
        <x:v>0</x:v>
      </x:c>
      <x:c r="Z53" s="34" t="n">
        <x:v>-3731.450333</x:v>
      </x:c>
      <x:c r="AA53" s="34" t="n">
        <x:v>51.579454</x:v>
      </x:c>
    </x:row>
    <x:row r="54">
      <x:c r="A54" s="34" t="str">
        <x:v>JFE_STEEL_JP</x:v>
      </x:c>
      <x:c r="B54" s="34" t="str">
        <x:v>JFE Steel</x:v>
      </x:c>
      <x:c r="C54" s="34" t="str">
        <x:v>CAND-E1C48D333700EA</x:v>
      </x:c>
      <x:c r="D54" s="34" t="str">
        <x:v>P7</x:v>
      </x:c>
      <x:c r="E54" s="34" t="str">
        <x:v>PORT-B91429E42CEB</x:v>
      </x:c>
      <x:c r="F54" s="34" t="str">
        <x:v>ACCELERATED_15C</x:v>
      </x:c>
      <x:c r="G54" s="34" t="str">
        <x:v>DISCLOSED_PATH</x:v>
      </x:c>
      <x:c r="H54" s="40" t="b">
        <x:v>0</x:v>
      </x:c>
      <x:c r="I54" s="40" t="b">
        <x:v>0</x:v>
      </x:c>
      <x:c r="J54" s="40" t="b">
        <x:v>1</x:v>
      </x:c>
      <x:c r="K54" s="34" t="n">
        <x:v>445.512827</x:v>
      </x:c>
      <x:c r="L54" s="34" t="n">
        <x:v>29.777188</x:v>
      </x:c>
      <x:c r="M54" s="34" t="n">
        <x:v>0.021421</x:v>
      </x:c>
      <x:c r="N54" s="34" t="n">
        <x:v>0.236771</x:v>
      </x:c>
      <x:c r="O54" s="34" t="n">
        <x:v>0.060623</x:v>
      </x:c>
      <x:c r="P54" s="34" t="n">
        <x:v>13266.119333</x:v>
      </x:c>
      <x:c r="Q54" s="34" t="n">
        <x:v>9.543566</x:v>
      </x:c>
      <x:c r="R54" s="34" t="n">
        <x:v>13371.603667</x:v>
      </x:c>
      <x:c r="S54" s="34" t="n">
        <x:v>17.622069</x:v>
      </x:c>
      <x:c r="T54" s="34" t="n">
        <x:v>0</x:v>
      </x:c>
      <x:c r="U54" s="34" t="n">
        <x:v>0</x:v>
      </x:c>
      <x:c r="V54" s="34" t="n">
        <x:v>6051.512667</x:v>
      </x:c>
      <x:c r="W54" s="34" t="n">
        <x:v>9.543496</x:v>
      </x:c>
      <x:c r="X54" s="34" t="n">
        <x:v>-7214.607</x:v>
      </x:c>
      <x:c r="Y54" s="34" t="n">
        <x:v>0</x:v>
      </x:c>
      <x:c r="Z54" s="34" t="n">
        <x:v>-14497.013667</x:v>
      </x:c>
      <x:c r="AA54" s="34" t="n">
        <x:v>7.990707</x:v>
      </x:c>
    </x:row>
    <x:row r="55">
      <x:c r="A55" s="34" t="str">
        <x:v>JFE_STEEL_JP</x:v>
      </x:c>
      <x:c r="B55" s="34" t="str">
        <x:v>JFE Steel</x:v>
      </x:c>
      <x:c r="C55" s="34" t="str">
        <x:v>CAND-E280945A557960</x:v>
      </x:c>
      <x:c r="D55" s="34" t="str">
        <x:v>P1</x:v>
      </x:c>
      <x:c r="E55" s="34" t="str">
        <x:v>PORT-E5F3D5116135</x:v>
      </x:c>
      <x:c r="F55" s="34" t="str">
        <x:v>ACCELERATED_15C</x:v>
      </x:c>
      <x:c r="G55" s="34" t="str">
        <x:v>DISCLOSED_PATH</x:v>
      </x:c>
      <x:c r="H55" s="40" t="b">
        <x:v>1</x:v>
      </x:c>
      <x:c r="I55" s="40" t="b">
        <x:v>0</x:v>
      </x:c>
      <x:c r="J55" s="40" t="b">
        <x:v>1</x:v>
      </x:c>
      <x:c r="K55" s="34" t="n">
        <x:v>321.408363</x:v>
      </x:c>
      <x:c r="L55" s="34" t="n">
        <x:v>7.758536</x:v>
      </x:c>
      <x:c r="M55" s="34" t="n">
        <x:v>0.324437</x:v>
      </x:c>
      <x:c r="N55" s="34" t="n">
        <x:v>-3.17433</x:v>
      </x:c>
      <x:c r="O55" s="34" t="n">
        <x:v>1.238836</x:v>
      </x:c>
      <x:c r="P55" s="34" t="n">
        <x:v>2493.658333</x:v>
      </x:c>
      <x:c r="Q55" s="34" t="n">
        <x:v>104.277084</x:v>
      </x:c>
      <x:c r="R55" s="34" t="n">
        <x:v>1473.402333</x:v>
      </x:c>
      <x:c r="S55" s="34" t="n">
        <x:v>318.294877</x:v>
      </x:c>
      <x:c r="T55" s="34" t="n">
        <x:v>0</x:v>
      </x:c>
      <x:c r="U55" s="34" t="n">
        <x:v>0</x:v>
      </x:c>
      <x:c r="V55" s="34" t="n">
        <x:v>-2848.856333</x:v>
      </x:c>
      <x:c r="W55" s="34" t="n">
        <x:v>104.27654</x:v>
      </x:c>
      <x:c r="X55" s="34" t="n">
        <x:v>-5342.515</x:v>
      </x:c>
      <x:c r="Y55" s="34" t="n">
        <x:v>0</x:v>
      </x:c>
      <x:c r="Z55" s="34" t="n">
        <x:v>-541.052333</x:v>
      </x:c>
      <x:c r="AA55" s="34" t="n">
        <x:v>18.450198</x:v>
      </x:c>
    </x:row>
    <x:row r="56">
      <x:c r="A56" s="34" t="str">
        <x:v>JFE_STEEL_JP</x:v>
      </x:c>
      <x:c r="B56" s="34" t="str">
        <x:v>JFE Steel</x:v>
      </x:c>
      <x:c r="C56" s="34" t="str">
        <x:v>CAND-E2E67FC7600525</x:v>
      </x:c>
      <x:c r="D56" s="34" t="str">
        <x:v>P2</x:v>
      </x:c>
      <x:c r="E56" s="34" t="str">
        <x:v>PORT-7BA11C62DF95</x:v>
      </x:c>
      <x:c r="F56" s="34" t="str">
        <x:v>ACCELERATED_15C</x:v>
      </x:c>
      <x:c r="G56" s="34" t="str">
        <x:v>DISCLOSED_PATH</x:v>
      </x:c>
      <x:c r="H56" s="40" t="b">
        <x:v>0</x:v>
      </x:c>
      <x:c r="I56" s="40" t="b">
        <x:v>0</x:v>
      </x:c>
      <x:c r="J56" s="40" t="b">
        <x:v>1</x:v>
      </x:c>
      <x:c r="K56" s="34" t="n">
        <x:v>219.408411</x:v>
      </x:c>
      <x:c r="L56" s="34" t="n">
        <x:v>6.573379</x:v>
      </x:c>
      <x:c r="M56" s="34" t="n">
        <x:v>0.062145</x:v>
      </x:c>
      <x:c r="N56" s="34" t="n">
        <x:v>-3.097931</x:v>
      </x:c>
      <x:c r="O56" s="34" t="n">
        <x:v>0.511535</x:v>
      </x:c>
      <x:c r="P56" s="34" t="n">
        <x:v>1442.254333</x:v>
      </x:c>
      <x:c r="Q56" s="34" t="n">
        <x:v>13.635292</x:v>
      </x:c>
      <x:c r="R56" s="34" t="n">
        <x:v>762.542667</x:v>
      </x:c>
      <x:c r="S56" s="34" t="n">
        <x:v>100.683877</x:v>
      </x:c>
      <x:c r="T56" s="34" t="n">
        <x:v>0</x:v>
      </x:c>
      <x:c r="U56" s="34" t="n">
        <x:v>0</x:v>
      </x:c>
      <x:c r="V56" s="34" t="n">
        <x:v>-2145.236667</x:v>
      </x:c>
      <x:c r="W56" s="34" t="n">
        <x:v>13.635292</x:v>
      </x:c>
      <x:c r="X56" s="34" t="n">
        <x:v>-3587.491</x:v>
      </x:c>
      <x:c r="Y56" s="34" t="n">
        <x:v>0</x:v>
      </x:c>
      <x:c r="Z56" s="34" t="n">
        <x:v>-925.293333</x:v>
      </x:c>
      <x:c r="AA56" s="34" t="n">
        <x:v>11.282006</x:v>
      </x:c>
    </x:row>
    <x:row r="57">
      <x:c r="A57" s="34" t="str">
        <x:v>JFE_STEEL_JP</x:v>
      </x:c>
      <x:c r="B57" s="34" t="str">
        <x:v>JFE Steel</x:v>
      </x:c>
      <x:c r="C57" s="34" t="str">
        <x:v>CAND-E5C3BE482793EF</x:v>
      </x:c>
      <x:c r="D57" s="34" t="str">
        <x:v>P4</x:v>
      </x:c>
      <x:c r="E57" s="34" t="str">
        <x:v>PORT-4577AB24CD05</x:v>
      </x:c>
      <x:c r="F57" s="34" t="str">
        <x:v>ACCELERATED_15C</x:v>
      </x:c>
      <x:c r="G57" s="34" t="str">
        <x:v>DISCLOSED_PATH</x:v>
      </x:c>
      <x:c r="H57" s="40" t="b">
        <x:v>0</x:v>
      </x:c>
      <x:c r="I57" s="40" t="b">
        <x:v>0</x:v>
      </x:c>
      <x:c r="J57" s="40" t="b">
        <x:v>1</x:v>
      </x:c>
      <x:c r="K57" s="34" t="n">
        <x:v>389.600851</x:v>
      </x:c>
      <x:c r="L57" s="34" t="n">
        <x:v>12.60568</x:v>
      </x:c>
      <x:c r="M57" s="34" t="n">
        <x:v>0.233175</x:v>
      </x:c>
      <x:c r="N57" s="34" t="n">
        <x:v>-0.236805</x:v>
      </x:c>
      <x:c r="O57" s="34" t="n">
        <x:v>0.550278</x:v>
      </x:c>
      <x:c r="P57" s="34" t="n">
        <x:v>4911.183667</x:v>
      </x:c>
      <x:c r="Q57" s="34" t="n">
        <x:v>90.845147</x:v>
      </x:c>
      <x:c r="R57" s="34" t="n">
        <x:v>4818.923667</x:v>
      </x:c>
      <x:c r="S57" s="34" t="n">
        <x:v>192.393397</x:v>
      </x:c>
      <x:c r="T57" s="34" t="n">
        <x:v>0</x:v>
      </x:c>
      <x:c r="U57" s="34" t="n">
        <x:v>0</x:v>
      </x:c>
      <x:c r="V57" s="34" t="n">
        <x:v>-1462.484667</x:v>
      </x:c>
      <x:c r="W57" s="34" t="n">
        <x:v>90.844896</x:v>
      </x:c>
      <x:c r="X57" s="34" t="n">
        <x:v>-6373.669</x:v>
      </x:c>
      <x:c r="Y57" s="34" t="n">
        <x:v>0</x:v>
      </x:c>
      <x:c r="Z57" s="34" t="n">
        <x:v>-5929.422333</x:v>
      </x:c>
      <x:c r="AA57" s="34" t="n">
        <x:v>133.572806</x:v>
      </x:c>
    </x:row>
    <x:row r="58">
      <x:c r="A58" s="34" t="str">
        <x:v>JFE_STEEL_JP</x:v>
      </x:c>
      <x:c r="B58" s="34" t="str">
        <x:v>JFE Steel</x:v>
      </x:c>
      <x:c r="C58" s="34" t="str">
        <x:v>CAND-E72109958C3B57</x:v>
      </x:c>
      <x:c r="D58" s="34" t="str">
        <x:v>P2</x:v>
      </x:c>
      <x:c r="E58" s="34" t="str">
        <x:v>PORT-E5F3D5116135</x:v>
      </x:c>
      <x:c r="F58" s="34" t="str">
        <x:v>ACCELERATED_15C</x:v>
      </x:c>
      <x:c r="G58" s="34" t="str">
        <x:v>DISCLOSED_PATH</x:v>
      </x:c>
      <x:c r="H58" s="40" t="b">
        <x:v>1</x:v>
      </x:c>
      <x:c r="I58" s="40" t="b">
        <x:v>0</x:v>
      </x:c>
      <x:c r="J58" s="40" t="b">
        <x:v>1</x:v>
      </x:c>
      <x:c r="K58" s="34" t="n">
        <x:v>321.408363</x:v>
      </x:c>
      <x:c r="L58" s="34" t="n">
        <x:v>9.058616</x:v>
      </x:c>
      <x:c r="M58" s="34" t="n">
        <x:v>0.252747</x:v>
      </x:c>
      <x:c r="N58" s="34" t="n">
        <x:v>-2.40181</x:v>
      </x:c>
      <x:c r="O58" s="34" t="n">
        <x:v>1.050461</x:v>
      </x:c>
      <x:c r="P58" s="34" t="n">
        <x:v>2911.515</x:v>
      </x:c>
      <x:c r="Q58" s="34" t="n">
        <x:v>81.235072</x:v>
      </x:c>
      <x:c r="R58" s="34" t="n">
        <x:v>2139.553667</x:v>
      </x:c>
      <x:c r="S58" s="34" t="n">
        <x:v>275.155755</x:v>
      </x:c>
      <x:c r="T58" s="34" t="n">
        <x:v>0</x:v>
      </x:c>
      <x:c r="U58" s="34" t="n">
        <x:v>0</x:v>
      </x:c>
      <x:c r="V58" s="34" t="n">
        <x:v>-2430.999333</x:v>
      </x:c>
      <x:c r="W58" s="34" t="n">
        <x:v>81.234574</x:v>
      </x:c>
      <x:c r="X58" s="34" t="n">
        <x:v>-5342.515</x:v>
      </x:c>
      <x:c r="Y58" s="34" t="n">
        <x:v>0</x:v>
      </x:c>
      <x:c r="Z58" s="34" t="n">
        <x:v>-942.684333</x:v>
      </x:c>
      <x:c r="AA58" s="34" t="n">
        <x:v>15.159919</x:v>
      </x:c>
    </x:row>
    <x:row r="59">
      <x:c r="A59" s="34" t="str">
        <x:v>JFE_STEEL_JP</x:v>
      </x:c>
      <x:c r="B59" s="34" t="str">
        <x:v>JFE Steel</x:v>
      </x:c>
      <x:c r="C59" s="34" t="str">
        <x:v>CAND-E8FAD9BDD034A5</x:v>
      </x:c>
      <x:c r="D59" s="34" t="str">
        <x:v>P3</x:v>
      </x:c>
      <x:c r="E59" s="34" t="str">
        <x:v>PORT-51A2628EF9C2</x:v>
      </x:c>
      <x:c r="F59" s="34" t="str">
        <x:v>ACCELERATED_15C</x:v>
      </x:c>
      <x:c r="G59" s="34" t="str">
        <x:v>DISCLOSED_PATH</x:v>
      </x:c>
      <x:c r="H59" s="40" t="b">
        <x:v>1</x:v>
      </x:c>
      <x:c r="I59" s="40" t="b">
        <x:v>1</x:v>
      </x:c>
      <x:c r="J59" s="40" t="b">
        <x:v>1</x:v>
      </x:c>
      <x:c r="K59" s="34" t="n">
        <x:v>328.220861</x:v>
      </x:c>
      <x:c r="L59" s="34" t="n">
        <x:v>9.355015</x:v>
      </x:c>
      <x:c r="M59" s="34" t="n">
        <x:v>0.262009</x:v>
      </x:c>
      <x:c r="N59" s="34" t="n">
        <x:v>-1.416115</x:v>
      </x:c>
      <x:c r="O59" s="34" t="n">
        <x:v>0.640949</x:v>
      </x:c>
      <x:c r="P59" s="34" t="n">
        <x:v>3070.510667</x:v>
      </x:c>
      <x:c r="Q59" s="34" t="n">
        <x:v>85.996686</x:v>
      </x:c>
      <x:c r="R59" s="34" t="n">
        <x:v>2605.712333</x:v>
      </x:c>
      <x:c r="S59" s="34" t="n">
        <x:v>125.406057</x:v>
      </x:c>
      <x:c r="T59" s="34" t="n">
        <x:v>0</x:v>
      </x:c>
      <x:c r="U59" s="34" t="n">
        <x:v>0</x:v>
      </x:c>
      <x:c r="V59" s="34" t="n">
        <x:v>-2389.372333</x:v>
      </x:c>
      <x:c r="W59" s="34" t="n">
        <x:v>85.996686</x:v>
      </x:c>
      <x:c r="X59" s="34" t="n">
        <x:v>-5459.883</x:v>
      </x:c>
      <x:c r="Y59" s="34" t="n">
        <x:v>0</x:v>
      </x:c>
      <x:c r="Z59" s="34" t="n">
        <x:v>-2045.187333</x:v>
      </x:c>
      <x:c r="AA59" s="34" t="n">
        <x:v>42.977284</x:v>
      </x:c>
    </x:row>
    <x:row r="60">
      <x:c r="A60" s="34" t="str">
        <x:v>JFE_STEEL_JP</x:v>
      </x:c>
      <x:c r="B60" s="34" t="str">
        <x:v>JFE Steel</x:v>
      </x:c>
      <x:c r="C60" s="34" t="str">
        <x:v>CAND-E97F5B55830909</x:v>
      </x:c>
      <x:c r="D60" s="34" t="str">
        <x:v>P1</x:v>
      </x:c>
      <x:c r="E60" s="34" t="str">
        <x:v>PORT-A7F00CD0D5D9</x:v>
      </x:c>
      <x:c r="F60" s="34" t="str">
        <x:v>ACCELERATED_15C</x:v>
      </x:c>
      <x:c r="G60" s="34" t="str">
        <x:v>DISCLOSED_PATH</x:v>
      </x:c>
      <x:c r="H60" s="40" t="b">
        <x:v>0</x:v>
      </x:c>
      <x:c r="I60" s="40" t="b">
        <x:v>0</x:v>
      </x:c>
      <x:c r="J60" s="40" t="b">
        <x:v>1</x:v>
      </x:c>
      <x:c r="K60" s="34" t="n">
        <x:v>145.575874</x:v>
      </x:c>
      <x:c r="L60" s="34" t="n">
        <x:v>14.475435</x:v>
      </x:c>
      <x:c r="M60" s="34" t="n">
        <x:v>0.181889</x:v>
      </x:c>
      <x:c r="N60" s="34" t="n">
        <x:v>-0.974999</x:v>
      </x:c>
      <x:c r="O60" s="34" t="n">
        <x:v>0.57452</x:v>
      </x:c>
      <x:c r="P60" s="34" t="n">
        <x:v>2107.274</x:v>
      </x:c>
      <x:c r="Q60" s="34" t="n">
        <x:v>26.478689</x:v>
      </x:c>
      <x:c r="R60" s="34" t="n">
        <x:v>1965.338</x:v>
      </x:c>
      <x:c r="S60" s="34" t="n">
        <x:v>58.643858</x:v>
      </x:c>
      <x:c r="T60" s="34" t="n">
        <x:v>0</x:v>
      </x:c>
      <x:c r="U60" s="34" t="n">
        <x:v>0</x:v>
      </x:c>
      <x:c r="V60" s="34" t="n">
        <x:v>-352.715333</x:v>
      </x:c>
      <x:c r="W60" s="34" t="n">
        <x:v>26.478818</x:v>
      </x:c>
      <x:c r="X60" s="34" t="n">
        <x:v>-2459.99</x:v>
      </x:c>
      <x:c r="Y60" s="34" t="n">
        <x:v>0</x:v>
      </x:c>
      <x:c r="Z60" s="34" t="n">
        <x:v>-131.340667</x:v>
      </x:c>
      <x:c r="AA60" s="34" t="n">
        <x:v>5.729512</x:v>
      </x:c>
    </x:row>
    <x:row r="61">
      <x:c r="A61" s="34" t="str">
        <x:v>JFE_STEEL_JP</x:v>
      </x:c>
      <x:c r="B61" s="34" t="str">
        <x:v>JFE Steel</x:v>
      </x:c>
      <x:c r="C61" s="34" t="str">
        <x:v>CAND-F1788FF7DCC7F6</x:v>
      </x:c>
      <x:c r="D61" s="34" t="str">
        <x:v>P2</x:v>
      </x:c>
      <x:c r="E61" s="34" t="str">
        <x:v>PORT-E3494C854A0D</x:v>
      </x:c>
      <x:c r="F61" s="34" t="str">
        <x:v>ACCELERATED_15C</x:v>
      </x:c>
      <x:c r="G61" s="34" t="str">
        <x:v>DISCLOSED_PATH</x:v>
      </x:c>
      <x:c r="H61" s="40" t="b">
        <x:v>1</x:v>
      </x:c>
      <x:c r="I61" s="40" t="b">
        <x:v>0</x:v>
      </x:c>
      <x:c r="J61" s="40" t="b">
        <x:v>1</x:v>
      </x:c>
      <x:c r="K61" s="34" t="n">
        <x:v>323.808372</x:v>
      </x:c>
      <x:c r="L61" s="34" t="n">
        <x:v>8.813159</x:v>
      </x:c>
      <x:c r="M61" s="34" t="n">
        <x:v>0.3194</x:v>
      </x:c>
      <x:c r="N61" s="34" t="n">
        <x:v>-2.186618</x:v>
      </x:c>
      <x:c r="O61" s="34" t="n">
        <x:v>0.343896</x:v>
      </x:c>
      <x:c r="P61" s="34" t="n">
        <x:v>2853.774667</x:v>
      </x:c>
      <x:c r="Q61" s="34" t="n">
        <x:v>103.424384</x:v>
      </x:c>
      <x:c r="R61" s="34" t="n">
        <x:v>2145.729333</x:v>
      </x:c>
      <x:c r="S61" s="34" t="n">
        <x:v>209.201857</x:v>
      </x:c>
      <x:c r="T61" s="34" t="n">
        <x:v>0</x:v>
      </x:c>
      <x:c r="U61" s="34" t="n">
        <x:v>0</x:v>
      </x:c>
      <x:c r="V61" s="34" t="n">
        <x:v>-2509.417</x:v>
      </x:c>
      <x:c r="W61" s="34" t="n">
        <x:v>103.423853</x:v>
      </x:c>
      <x:c r="X61" s="34" t="n">
        <x:v>-5363.192</x:v>
      </x:c>
      <x:c r="Y61" s="34" t="n">
        <x:v>0</x:v>
      </x:c>
      <x:c r="Z61" s="34" t="n">
        <x:v>-1054.366667</x:v>
      </x:c>
      <x:c r="AA61" s="34" t="n">
        <x:v>12.918567</x:v>
      </x:c>
    </x:row>
    <x:row r="62">
      <x:c r="A62" s="34" t="str">
        <x:v>JFE_STEEL_JP</x:v>
      </x:c>
      <x:c r="B62" s="34" t="str">
        <x:v>JFE Steel</x:v>
      </x:c>
      <x:c r="C62" s="34" t="str">
        <x:v>CAND-F4B6AD5FB08D71</x:v>
      </x:c>
      <x:c r="D62" s="34" t="str">
        <x:v>P2</x:v>
      </x:c>
      <x:c r="E62" s="34" t="str">
        <x:v>PORT-51A2628EF9C2</x:v>
      </x:c>
      <x:c r="F62" s="34" t="str">
        <x:v>ACCELERATED_15C</x:v>
      </x:c>
      <x:c r="G62" s="34" t="str">
        <x:v>DISCLOSED_PATH</x:v>
      </x:c>
      <x:c r="H62" s="40" t="b">
        <x:v>1</x:v>
      </x:c>
      <x:c r="I62" s="40" t="b">
        <x:v>1</x:v>
      </x:c>
      <x:c r="J62" s="40" t="b">
        <x:v>1</x:v>
      </x:c>
      <x:c r="K62" s="34" t="n">
        <x:v>328.220861</x:v>
      </x:c>
      <x:c r="L62" s="34" t="n">
        <x:v>6.815797</x:v>
      </x:c>
      <x:c r="M62" s="34" t="n">
        <x:v>0.282225</x:v>
      </x:c>
      <x:c r="N62" s="34" t="n">
        <x:v>-2.56467</x:v>
      </x:c>
      <x:c r="O62" s="34" t="n">
        <x:v>0.87245</x:v>
      </x:c>
      <x:c r="P62" s="34" t="n">
        <x:v>2237.087</x:v>
      </x:c>
      <x:c r="Q62" s="34" t="n">
        <x:v>92.631767</x:v>
      </x:c>
      <x:c r="R62" s="34" t="n">
        <x:v>1395.308667</x:v>
      </x:c>
      <x:c r="S62" s="34" t="n">
        <x:v>204.852135</x:v>
      </x:c>
      <x:c r="T62" s="34" t="n">
        <x:v>0</x:v>
      </x:c>
      <x:c r="U62" s="34" t="n">
        <x:v>0</x:v>
      </x:c>
      <x:c r="V62" s="34" t="n">
        <x:v>-3222.796667</x:v>
      </x:c>
      <x:c r="W62" s="34" t="n">
        <x:v>92.631832</x:v>
      </x:c>
      <x:c r="X62" s="34" t="n">
        <x:v>-5459.883</x:v>
      </x:c>
      <x:c r="Y62" s="34" t="n">
        <x:v>0</x:v>
      </x:c>
      <x:c r="Z62" s="34" t="n">
        <x:v>-1226.073</x:v>
      </x:c>
      <x:c r="AA62" s="34" t="n">
        <x:v>8.447113</x:v>
      </x:c>
    </x:row>
    <x:row r="63">
      <x:c r="A63" s="34" t="str">
        <x:v>JFE_STEEL_JP</x:v>
      </x:c>
      <x:c r="B63" s="34" t="str">
        <x:v>JFE Steel</x:v>
      </x:c>
      <x:c r="C63" s="34" t="str">
        <x:v>CAND-FA1953D51D82F3</x:v>
      </x:c>
      <x:c r="D63" s="34" t="str">
        <x:v>P3</x:v>
      </x:c>
      <x:c r="E63" s="34" t="str">
        <x:v>PORT-0FD37D80B1EA</x:v>
      </x:c>
      <x:c r="F63" s="34" t="str">
        <x:v>ACCELERATED_15C</x:v>
      </x:c>
      <x:c r="G63" s="34" t="str">
        <x:v>DISCLOSED_PATH</x:v>
      </x:c>
      <x:c r="H63" s="40" t="b">
        <x:v>1</x:v>
      </x:c>
      <x:c r="I63" s="40" t="b">
        <x:v>0</x:v>
      </x:c>
      <x:c r="J63" s="40" t="b">
        <x:v>1</x:v>
      </x:c>
      <x:c r="K63" s="34" t="n">
        <x:v>330.620869</x:v>
      </x:c>
      <x:c r="L63" s="34" t="n">
        <x:v>10.221429</x:v>
      </x:c>
      <x:c r="M63" s="34" t="n">
        <x:v>0.42287</x:v>
      </x:c>
      <x:c r="N63" s="34" t="n">
        <x:v>-1.685503</x:v>
      </x:c>
      <x:c r="O63" s="34" t="n">
        <x:v>1.632417</x:v>
      </x:c>
      <x:c r="P63" s="34" t="n">
        <x:v>3379.417333</x:v>
      </x:c>
      <x:c r="Q63" s="34" t="n">
        <x:v>139.809319</x:v>
      </x:c>
      <x:c r="R63" s="34" t="n">
        <x:v>2822.155333</x:v>
      </x:c>
      <x:c r="S63" s="34" t="n">
        <x:v>401.34317</x:v>
      </x:c>
      <x:c r="T63" s="34" t="n">
        <x:v>0</x:v>
      </x:c>
      <x:c r="U63" s="34" t="n">
        <x:v>0</x:v>
      </x:c>
      <x:c r="V63" s="34" t="n">
        <x:v>-2101.143667</x:v>
      </x:c>
      <x:c r="W63" s="34" t="n">
        <x:v>139.809319</x:v>
      </x:c>
      <x:c r="X63" s="34" t="n">
        <x:v>-5480.561</x:v>
      </x:c>
      <x:c r="Y63" s="34" t="n">
        <x:v>0</x:v>
      </x:c>
      <x:c r="Z63" s="34" t="n">
        <x:v>-2315.995333</x:v>
      </x:c>
      <x:c r="AA63" s="34" t="n">
        <x:v>47.034202</x:v>
      </x:c>
    </x:row>
    <x:row r="64">
      <x:c r="A64" s="34" t="str">
        <x:v>JFE_STEEL_JP</x:v>
      </x:c>
      <x:c r="B64" s="34" t="str">
        <x:v>JFE Steel</x:v>
      </x:c>
      <x:c r="C64" s="34" t="str">
        <x:v>CAND-FC0AA3F9FE37C6</x:v>
      </x:c>
      <x:c r="D64" s="34" t="str">
        <x:v>P3</x:v>
      </x:c>
      <x:c r="E64" s="34" t="str">
        <x:v>PORT-E5F3D5116135</x:v>
      </x:c>
      <x:c r="F64" s="34" t="str">
        <x:v>ACCELERATED_15C</x:v>
      </x:c>
      <x:c r="G64" s="34" t="str">
        <x:v>DISCLOSED_PATH</x:v>
      </x:c>
      <x:c r="H64" s="40" t="b">
        <x:v>1</x:v>
      </x:c>
      <x:c r="I64" s="40" t="b">
        <x:v>0</x:v>
      </x:c>
      <x:c r="J64" s="40" t="b">
        <x:v>1</x:v>
      </x:c>
      <x:c r="K64" s="34" t="n">
        <x:v>321.408363</x:v>
      </x:c>
      <x:c r="L64" s="34" t="n">
        <x:v>10.911596</x:v>
      </x:c>
      <x:c r="M64" s="34" t="n">
        <x:v>0.16547</x:v>
      </x:c>
      <x:c r="N64" s="34" t="n">
        <x:v>-1.519592</x:v>
      </x:c>
      <x:c r="O64" s="34" t="n">
        <x:v>0.692564</x:v>
      </x:c>
      <x:c r="P64" s="34" t="n">
        <x:v>3507.078</x:v>
      </x:c>
      <x:c r="Q64" s="34" t="n">
        <x:v>53.183347</x:v>
      </x:c>
      <x:c r="R64" s="34" t="n">
        <x:v>3018.668667</x:v>
      </x:c>
      <x:c r="S64" s="34" t="n">
        <x:v>182.11546</x:v>
      </x:c>
      <x:c r="T64" s="34" t="n">
        <x:v>0</x:v>
      </x:c>
      <x:c r="U64" s="34" t="n">
        <x:v>0</x:v>
      </x:c>
      <x:c r="V64" s="34" t="n">
        <x:v>-1835.436667</x:v>
      </x:c>
      <x:c r="W64" s="34" t="n">
        <x:v>53.183277</x:v>
      </x:c>
      <x:c r="X64" s="34" t="n">
        <x:v>-5342.515</x:v>
      </x:c>
      <x:c r="Y64" s="34" t="n">
        <x:v>0</x:v>
      </x:c>
      <x:c r="Z64" s="34" t="n">
        <x:v>-1553.162</x:v>
      </x:c>
      <x:c r="AA64" s="34" t="n">
        <x:v>11.946727</x:v>
      </x:c>
    </x:row>
    <x:row r="65">
      <x:c r="A65" s="34" t="str">
        <x:v>JFE_STEEL_JP</x:v>
      </x:c>
      <x:c r="B65" s="34" t="str">
        <x:v>JFE Steel</x:v>
      </x:c>
      <x:c r="C65" s="34" t="str">
        <x:v>CAND-FCDB7C1BD7991A</x:v>
      </x:c>
      <x:c r="D65" s="34" t="str">
        <x:v>P1</x:v>
      </x:c>
      <x:c r="E65" s="34" t="str">
        <x:v>PORT-51A2628EF9C2</x:v>
      </x:c>
      <x:c r="F65" s="34" t="str">
        <x:v>ACCELERATED_15C</x:v>
      </x:c>
      <x:c r="G65" s="34" t="str">
        <x:v>DISCLOSED_PATH</x:v>
      </x:c>
      <x:c r="H65" s="40" t="b">
        <x:v>1</x:v>
      </x:c>
      <x:c r="I65" s="40" t="b">
        <x:v>1</x:v>
      </x:c>
      <x:c r="J65" s="40" t="b">
        <x:v>1</x:v>
      </x:c>
      <x:c r="K65" s="34" t="n">
        <x:v>328.220861</x:v>
      </x:c>
      <x:c r="L65" s="34" t="n">
        <x:v>5.075361</x:v>
      </x:c>
      <x:c r="M65" s="34" t="n">
        <x:v>0.33783</x:v>
      </x:c>
      <x:c r="N65" s="34" t="n">
        <x:v>-3.495476</x:v>
      </x:c>
      <x:c r="O65" s="34" t="n">
        <x:v>1.129645</x:v>
      </x:c>
      <x:c r="P65" s="34" t="n">
        <x:v>1665.839333</x:v>
      </x:c>
      <x:c r="Q65" s="34" t="n">
        <x:v>110.882265</x:v>
      </x:c>
      <x:c r="R65" s="34" t="n">
        <x:v>518.550667</x:v>
      </x:c>
      <x:c r="S65" s="34" t="n">
        <x:v>277.00105</x:v>
      </x:c>
      <x:c r="T65" s="34" t="n">
        <x:v>0</x:v>
      </x:c>
      <x:c r="U65" s="34" t="n">
        <x:v>0</x:v>
      </x:c>
      <x:c r="V65" s="34" t="n">
        <x:v>-3794.043667</x:v>
      </x:c>
      <x:c r="W65" s="34" t="n">
        <x:v>110.882265</x:v>
      </x:c>
      <x:c r="X65" s="34" t="n">
        <x:v>-5459.883</x:v>
      </x:c>
      <x:c r="Y65" s="34" t="n">
        <x:v>0</x:v>
      </x:c>
      <x:c r="Z65" s="34" t="n">
        <x:v>-656.715333</x:v>
      </x:c>
      <x:c r="AA65" s="34" t="n">
        <x:v>18.12343</x:v>
      </x:c>
    </x:row>
    <x:row r="66">
      <x:c r="A66" s="34" t="str">
        <x:v>KOBE_STEEL_JP</x:v>
      </x:c>
      <x:c r="B66" s="34" t="str">
        <x:v>Kobe Steel</x:v>
      </x:c>
      <x:c r="C66" s="34" t="str">
        <x:v>CAND-0E9003448A63C3</x:v>
      </x:c>
      <x:c r="D66" s="34" t="str">
        <x:v>P7</x:v>
      </x:c>
      <x:c r="E66" s="34" t="str">
        <x:v>PORT-F194BB679477</x:v>
      </x:c>
      <x:c r="F66" s="34" t="str">
        <x:v>ACCELERATED_15C</x:v>
      </x:c>
      <x:c r="G66" s="34" t="str">
        <x:v>DISCLOSED_PATH</x:v>
      </x:c>
      <x:c r="H66" s="40" t="b">
        <x:v>1</x:v>
      </x:c>
      <x:c r="I66" s="40" t="b">
        <x:v>0</x:v>
      </x:c>
      <x:c r="J66" s="40" t="b">
        <x:v>1</x:v>
      </x:c>
      <x:c r="K66" s="34" t="n">
        <x:v>131.48782</x:v>
      </x:c>
      <x:c r="L66" s="34" t="n">
        <x:v>26.087305</x:v>
      </x:c>
      <x:c r="M66" s="34" t="n">
        <x:v>0.014166</x:v>
      </x:c>
      <x:c r="N66" s="34" t="n">
        <x:v>0.190361</x:v>
      </x:c>
      <x:c r="O66" s="34" t="n">
        <x:v>0.05481</x:v>
      </x:c>
      <x:c r="P66" s="34" t="n">
        <x:v>3430.162667</x:v>
      </x:c>
      <x:c r="Q66" s="34" t="n">
        <x:v>1.862582</x:v>
      </x:c>
      <x:c r="R66" s="34" t="n">
        <x:v>3455.193333</x:v>
      </x:c>
      <x:c r="S66" s="34" t="n">
        <x:v>5.580839</x:v>
      </x:c>
      <x:c r="T66" s="34" t="n">
        <x:v>0</x:v>
      </x:c>
      <x:c r="U66" s="34" t="n">
        <x:v>0</x:v>
      </x:c>
      <x:c r="V66" s="34" t="n">
        <x:v>1308.897667</x:v>
      </x:c>
      <x:c r="W66" s="34" t="n">
        <x:v>1.862582</x:v>
      </x:c>
      <x:c r="X66" s="34" t="n">
        <x:v>-2121.265</x:v>
      </x:c>
      <x:c r="Y66" s="34" t="n">
        <x:v>0</x:v>
      </x:c>
      <x:c r="Z66" s="34" t="n">
        <x:v>-3454.495667</x:v>
      </x:c>
      <x:c r="AA66" s="34" t="n">
        <x:v>2.101261</x:v>
      </x:c>
    </x:row>
    <x:row r="67">
      <x:c r="A67" s="34" t="str">
        <x:v>KOBE_STEEL_JP</x:v>
      </x:c>
      <x:c r="B67" s="34" t="str">
        <x:v>Kobe Steel</x:v>
      </x:c>
      <x:c r="C67" s="34" t="str">
        <x:v>CAND-17BC99375C7C5C</x:v>
      </x:c>
      <x:c r="D67" s="34" t="str">
        <x:v>P1</x:v>
      </x:c>
      <x:c r="E67" s="34" t="str">
        <x:v>PORT-3DA05887C62D</x:v>
      </x:c>
      <x:c r="F67" s="34" t="str">
        <x:v>ACCELERATED_15C</x:v>
      </x:c>
      <x:c r="G67" s="34" t="str">
        <x:v>DISCLOSED_PATH</x:v>
      </x:c>
      <x:c r="H67" s="40" t="b">
        <x:v>0</x:v>
      </x:c>
      <x:c r="I67" s="40" t="b">
        <x:v>0</x:v>
      </x:c>
      <x:c r="J67" s="40" t="b">
        <x:v>1</x:v>
      </x:c>
      <x:c r="K67" s="34" t="n">
        <x:v>93.541093</x:v>
      </x:c>
      <x:c r="L67" s="34" t="n">
        <x:v>13.782858</x:v>
      </x:c>
      <x:c r="M67" s="34" t="n">
        <x:v>0.094861</x:v>
      </x:c>
      <x:c r="N67" s="34" t="n">
        <x:v>-0.23699</x:v>
      </x:c>
      <x:c r="O67" s="34" t="n">
        <x:v>0.178316</x:v>
      </x:c>
      <x:c r="P67" s="34" t="n">
        <x:v>1289.263667</x:v>
      </x:c>
      <x:c r="Q67" s="34" t="n">
        <x:v>8.873768</x:v>
      </x:c>
      <x:c r="R67" s="34" t="n">
        <x:v>1267.095333</x:v>
      </x:c>
      <x:c r="S67" s="34" t="n">
        <x:v>8.863607</x:v>
      </x:c>
      <x:c r="T67" s="34" t="n">
        <x:v>0</x:v>
      </x:c>
      <x:c r="U67" s="34" t="n">
        <x:v>0</x:v>
      </x:c>
      <x:c r="V67" s="34" t="n">
        <x:v>-237.533333</x:v>
      </x:c>
      <x:c r="W67" s="34" t="n">
        <x:v>8.872809</x:v>
      </x:c>
      <x:c r="X67" s="34" t="n">
        <x:v>-1526.797</x:v>
      </x:c>
      <x:c r="Y67" s="34" t="n">
        <x:v>0</x:v>
      </x:c>
      <x:c r="Z67" s="34" t="n">
        <x:v>-84.662667</x:v>
      </x:c>
      <x:c r="AA67" s="34" t="n">
        <x:v>0.741778</x:v>
      </x:c>
    </x:row>
    <x:row r="68">
      <x:c r="A68" s="34" t="str">
        <x:v>KOBE_STEEL_JP</x:v>
      </x:c>
      <x:c r="B68" s="34" t="str">
        <x:v>Kobe Steel</x:v>
      </x:c>
      <x:c r="C68" s="34" t="str">
        <x:v>CAND-202E0A81514742</x:v>
      </x:c>
      <x:c r="D68" s="34" t="str">
        <x:v>P2</x:v>
      </x:c>
      <x:c r="E68" s="34" t="str">
        <x:v>PORT-5EAB84C29074</x:v>
      </x:c>
      <x:c r="F68" s="34" t="str">
        <x:v>ACCELERATED_15C</x:v>
      </x:c>
      <x:c r="G68" s="34" t="str">
        <x:v>DISCLOSED_PATH</x:v>
      </x:c>
      <x:c r="H68" s="40" t="b">
        <x:v>0</x:v>
      </x:c>
      <x:c r="I68" s="40" t="b">
        <x:v>0</x:v>
      </x:c>
      <x:c r="J68" s="40" t="b">
        <x:v>1</x:v>
      </x:c>
      <x:c r="K68" s="34" t="n">
        <x:v>85.5131</x:v>
      </x:c>
      <x:c r="L68" s="34" t="n">
        <x:v>5.64881</x:v>
      </x:c>
      <x:c r="M68" s="34" t="n">
        <x:v>0.565957</x:v>
      </x:c>
      <x:c r="N68" s="34" t="n">
        <x:v>-2.537041</x:v>
      </x:c>
      <x:c r="O68" s="34" t="n">
        <x:v>0.367644</x:v>
      </x:c>
      <x:c r="P68" s="34" t="n">
        <x:v>483.047333</x:v>
      </x:c>
      <x:c r="Q68" s="34" t="n">
        <x:v>48.3961</x:v>
      </x:c>
      <x:c r="R68" s="34" t="n">
        <x:v>266.097</x:v>
      </x:c>
      <x:c r="S68" s="34" t="n">
        <x:v>57.100528</x:v>
      </x:c>
      <x:c r="T68" s="34" t="n">
        <x:v>0</x:v>
      </x:c>
      <x:c r="U68" s="34" t="n">
        <x:v>0</x:v>
      </x:c>
      <x:c r="V68" s="34" t="n">
        <x:v>-894.763</x:v>
      </x:c>
      <x:c r="W68" s="34" t="n">
        <x:v>48.397201</x:v>
      </x:c>
      <x:c r="X68" s="34" t="n">
        <x:v>-1377.81</x:v>
      </x:c>
      <x:c r="Y68" s="34" t="n">
        <x:v>0</x:v>
      </x:c>
      <x:c r="Z68" s="34" t="n">
        <x:v>-352.817</x:v>
      </x:c>
      <x:c r="AA68" s="34" t="n">
        <x:v>4.636409</x:v>
      </x:c>
    </x:row>
    <x:row r="69">
      <x:c r="A69" s="34" t="str">
        <x:v>KOBE_STEEL_JP</x:v>
      </x:c>
      <x:c r="B69" s="34" t="str">
        <x:v>Kobe Steel</x:v>
      </x:c>
      <x:c r="C69" s="34" t="str">
        <x:v>CAND-20911E55FBB215</x:v>
      </x:c>
      <x:c r="D69" s="34" t="str">
        <x:v>P3</x:v>
      </x:c>
      <x:c r="E69" s="34" t="str">
        <x:v>PORT-661396C334A7</x:v>
      </x:c>
      <x:c r="F69" s="34" t="str">
        <x:v>ACCELERATED_15C</x:v>
      </x:c>
      <x:c r="G69" s="34" t="str">
        <x:v>DISCLOSED_PATH</x:v>
      </x:c>
      <x:c r="H69" s="40" t="b">
        <x:v>0</x:v>
      </x:c>
      <x:c r="I69" s="40" t="b">
        <x:v>0</x:v>
      </x:c>
      <x:c r="J69" s="40" t="b">
        <x:v>1</x:v>
      </x:c>
      <x:c r="K69" s="34" t="n">
        <x:v>45.121088</x:v>
      </x:c>
      <x:c r="L69" s="34" t="n">
        <x:v>11.487099</x:v>
      </x:c>
      <x:c r="M69" s="34" t="n">
        <x:v>0.487458</x:v>
      </x:c>
      <x:c r="N69" s="34" t="n">
        <x:v>-1.299652</x:v>
      </x:c>
      <x:c r="O69" s="34" t="n">
        <x:v>0.529017</x:v>
      </x:c>
      <x:c r="P69" s="34" t="n">
        <x:v>518.310667</x:v>
      </x:c>
      <x:c r="Q69" s="34" t="n">
        <x:v>21.994089</x:v>
      </x:c>
      <x:c r="R69" s="34" t="n">
        <x:v>459.668667</x:v>
      </x:c>
      <x:c r="S69" s="34" t="n">
        <x:v>2.827249</x:v>
      </x:c>
      <x:c r="T69" s="34" t="n">
        <x:v>0</x:v>
      </x:c>
      <x:c r="U69" s="34" t="n">
        <x:v>0</x:v>
      </x:c>
      <x:c r="V69" s="34" t="n">
        <x:v>-236.250667</x:v>
      </x:c>
      <x:c r="W69" s="34" t="n">
        <x:v>21.994172</x:v>
      </x:c>
      <x:c r="X69" s="34" t="n">
        <x:v>-754.561</x:v>
      </x:c>
      <x:c r="Y69" s="34" t="n">
        <x:v>0</x:v>
      </x:c>
      <x:c r="Z69" s="34" t="n">
        <x:v>-227.945</x:v>
      </x:c>
      <x:c r="AA69" s="34" t="n">
        <x:v>6.53478</x:v>
      </x:c>
    </x:row>
    <x:row r="70">
      <x:c r="A70" s="34" t="str">
        <x:v>KOBE_STEEL_JP</x:v>
      </x:c>
      <x:c r="B70" s="34" t="str">
        <x:v>Kobe Steel</x:v>
      </x:c>
      <x:c r="C70" s="34" t="str">
        <x:v>CAND-314B41E5534D98</x:v>
      </x:c>
      <x:c r="D70" s="34" t="str">
        <x:v>P3</x:v>
      </x:c>
      <x:c r="E70" s="34" t="str">
        <x:v>PORT-9862FC05DA24</x:v>
      </x:c>
      <x:c r="F70" s="34" t="str">
        <x:v>ACCELERATED_15C</x:v>
      </x:c>
      <x:c r="G70" s="34" t="str">
        <x:v>DISCLOSED_PATH</x:v>
      </x:c>
      <x:c r="H70" s="40" t="b">
        <x:v>1</x:v>
      </x:c>
      <x:c r="I70" s="40" t="b">
        <x:v>1</x:v>
      </x:c>
      <x:c r="J70" s="40" t="b">
        <x:v>1</x:v>
      </x:c>
      <x:c r="K70" s="34" t="n">
        <x:v>105.301092</x:v>
      </x:c>
      <x:c r="L70" s="34" t="n">
        <x:v>8.831822</x:v>
      </x:c>
      <x:c r="M70" s="34" t="n">
        <x:v>0.192652</x:v>
      </x:c>
      <x:c r="N70" s="34" t="n">
        <x:v>-1.750928</x:v>
      </x:c>
      <x:c r="O70" s="34" t="n">
        <x:v>1.150998</x:v>
      </x:c>
      <x:c r="P70" s="34" t="n">
        <x:v>930.000667</x:v>
      </x:c>
      <x:c r="Q70" s="34" t="n">
        <x:v>20.286484</x:v>
      </x:c>
      <x:c r="R70" s="34" t="n">
        <x:v>745.626</x:v>
      </x:c>
      <x:c r="S70" s="34" t="n">
        <x:v>117.517012</x:v>
      </x:c>
      <x:c r="T70" s="34" t="n">
        <x:v>0</x:v>
      </x:c>
      <x:c r="U70" s="34" t="n">
        <x:v>0</x:v>
      </x:c>
      <x:c r="V70" s="34" t="n">
        <x:v>-788.718</x:v>
      </x:c>
      <x:c r="W70" s="34" t="n">
        <x:v>20.286603</x:v>
      </x:c>
      <x:c r="X70" s="34" t="n">
        <x:v>-1718.719</x:v>
      </x:c>
      <x:c r="Y70" s="34" t="n">
        <x:v>0</x:v>
      </x:c>
      <x:c r="Z70" s="34" t="n">
        <x:v>-895.964</x:v>
      </x:c>
      <x:c r="AA70" s="34" t="n">
        <x:v>6.823734</x:v>
      </x:c>
    </x:row>
    <x:row r="71">
      <x:c r="A71" s="34" t="str">
        <x:v>KOBE_STEEL_JP</x:v>
      </x:c>
      <x:c r="B71" s="34" t="str">
        <x:v>Kobe Steel</x:v>
      </x:c>
      <x:c r="C71" s="34" t="str">
        <x:v>CAND-344C7E39FA18A3</x:v>
      </x:c>
      <x:c r="D71" s="34" t="str">
        <x:v>P1</x:v>
      </x:c>
      <x:c r="E71" s="34" t="str">
        <x:v>PORT-661396C334A7</x:v>
      </x:c>
      <x:c r="F71" s="34" t="str">
        <x:v>ACCELERATED_15C</x:v>
      </x:c>
      <x:c r="G71" s="34" t="str">
        <x:v>DISCLOSED_PATH</x:v>
      </x:c>
      <x:c r="H71" s="40" t="b">
        <x:v>0</x:v>
      </x:c>
      <x:c r="I71" s="40" t="b">
        <x:v>0</x:v>
      </x:c>
      <x:c r="J71" s="40" t="b">
        <x:v>1</x:v>
      </x:c>
      <x:c r="K71" s="34" t="n">
        <x:v>45.121088</x:v>
      </x:c>
      <x:c r="L71" s="34" t="n">
        <x:v>8.456572</x:v>
      </x:c>
      <x:c r="M71" s="34" t="n">
        <x:v>0.809632</x:v>
      </x:c>
      <x:c r="N71" s="34" t="n">
        <x:v>-3.254051</x:v>
      </x:c>
      <x:c r="O71" s="34" t="n">
        <x:v>0.690097</x:v>
      </x:c>
      <x:c r="P71" s="34" t="n">
        <x:v>381.569333</x:v>
      </x:c>
      <x:c r="Q71" s="34" t="n">
        <x:v>36.531462</x:v>
      </x:c>
      <x:c r="R71" s="34" t="n">
        <x:v>234.743</x:v>
      </x:c>
      <x:c r="S71" s="34" t="n">
        <x:v>8.698862</x:v>
      </x:c>
      <x:c r="T71" s="34" t="n">
        <x:v>0</x:v>
      </x:c>
      <x:c r="U71" s="34" t="n">
        <x:v>0</x:v>
      </x:c>
      <x:c r="V71" s="34" t="n">
        <x:v>-372.991667</x:v>
      </x:c>
      <x:c r="W71" s="34" t="n">
        <x:v>36.531462</x:v>
      </x:c>
      <x:c r="X71" s="34" t="n">
        <x:v>-754.561</x:v>
      </x:c>
      <x:c r="Y71" s="34" t="n">
        <x:v>0</x:v>
      </x:c>
      <x:c r="Z71" s="34" t="n">
        <x:v>-89.125667</x:v>
      </x:c>
      <x:c r="AA71" s="34" t="n">
        <x:v>0.986317</x:v>
      </x:c>
    </x:row>
    <x:row r="72">
      <x:c r="A72" s="34" t="str">
        <x:v>KOBE_STEEL_JP</x:v>
      </x:c>
      <x:c r="B72" s="34" t="str">
        <x:v>Kobe Steel</x:v>
      </x:c>
      <x:c r="C72" s="34" t="str">
        <x:v>CAND-352C3A40240600</x:v>
      </x:c>
      <x:c r="D72" s="34" t="str">
        <x:v>P4</x:v>
      </x:c>
      <x:c r="E72" s="34" t="str">
        <x:v>PORT-0095E30DB97C</x:v>
      </x:c>
      <x:c r="F72" s="34" t="str">
        <x:v>ACCELERATED_15C</x:v>
      </x:c>
      <x:c r="G72" s="34" t="str">
        <x:v>DISCLOSED_PATH</x:v>
      </x:c>
      <x:c r="H72" s="40" t="b">
        <x:v>1</x:v>
      </x:c>
      <x:c r="I72" s="40" t="b">
        <x:v>0</x:v>
      </x:c>
      <x:c r="J72" s="40" t="b">
        <x:v>1</x:v>
      </x:c>
      <x:c r="K72" s="34" t="n">
        <x:v>118.419093</x:v>
      </x:c>
      <x:c r="L72" s="34" t="n">
        <x:v>12.695203</x:v>
      </x:c>
      <x:c r="M72" s="34" t="n">
        <x:v>0.193601</x:v>
      </x:c>
      <x:c r="N72" s="34" t="n">
        <x:v>-0.620068</x:v>
      </x:c>
      <x:c r="O72" s="34" t="n">
        <x:v>0.573713</x:v>
      </x:c>
      <x:c r="P72" s="34" t="n">
        <x:v>1503.354667</x:v>
      </x:c>
      <x:c r="Q72" s="34" t="n">
        <x:v>22.925965</x:v>
      </x:c>
      <x:c r="R72" s="34" t="n">
        <x:v>1429.926333</x:v>
      </x:c>
      <x:c r="S72" s="34" t="n">
        <x:v>47.992221</x:v>
      </x:c>
      <x:c r="T72" s="34" t="n">
        <x:v>0</x:v>
      </x:c>
      <x:c r="U72" s="34" t="n">
        <x:v>0</x:v>
      </x:c>
      <x:c r="V72" s="34" t="n">
        <x:v>-397.264</x:v>
      </x:c>
      <x:c r="W72" s="34" t="n">
        <x:v>22.925699</x:v>
      </x:c>
      <x:c r="X72" s="34" t="n">
        <x:v>-1900.618</x:v>
      </x:c>
      <x:c r="Y72" s="34" t="n">
        <x:v>0</x:v>
      </x:c>
      <x:c r="Z72" s="34" t="n">
        <x:v>-1492.515667</x:v>
      </x:c>
      <x:c r="AA72" s="34" t="n">
        <x:v>27.08035</x:v>
      </x:c>
    </x:row>
    <x:row r="73">
      <x:c r="A73" s="34" t="str">
        <x:v>KOBE_STEEL_JP</x:v>
      </x:c>
      <x:c r="B73" s="34" t="str">
        <x:v>Kobe Steel</x:v>
      </x:c>
      <x:c r="C73" s="34" t="str">
        <x:v>CAND-4D158AE8BC3521</x:v>
      </x:c>
      <x:c r="D73" s="34" t="str">
        <x:v>P3</x:v>
      </x:c>
      <x:c r="E73" s="34" t="str">
        <x:v>PORT-1144EBE63B41</x:v>
      </x:c>
      <x:c r="F73" s="34" t="str">
        <x:v>ACCELERATED_15C</x:v>
      </x:c>
      <x:c r="G73" s="34" t="str">
        <x:v>DISCLOSED_PATH</x:v>
      </x:c>
      <x:c r="H73" s="40" t="b">
        <x:v>1</x:v>
      </x:c>
      <x:c r="I73" s="40" t="b">
        <x:v>1</x:v>
      </x:c>
      <x:c r="J73" s="40" t="b">
        <x:v>1</x:v>
      </x:c>
      <x:c r="K73" s="34" t="n">
        <x:v>102.391093</x:v>
      </x:c>
      <x:c r="L73" s="34" t="n">
        <x:v>10.12397</x:v>
      </x:c>
      <x:c r="M73" s="34" t="n">
        <x:v>0.103277</x:v>
      </x:c>
      <x:c r="N73" s="34" t="n">
        <x:v>-1.422822</x:v>
      </x:c>
      <x:c r="O73" s="34" t="n">
        <x:v>0.564522</x:v>
      </x:c>
      <x:c r="P73" s="34" t="n">
        <x:v>1036.604333</x:v>
      </x:c>
      <x:c r="Q73" s="34" t="n">
        <x:v>10.575115</x:v>
      </x:c>
      <x:c r="R73" s="34" t="n">
        <x:v>890.92</x:v>
      </x:c>
      <x:c r="S73" s="34" t="n">
        <x:v>52.606646</x:v>
      </x:c>
      <x:c r="T73" s="34" t="n">
        <x:v>0</x:v>
      </x:c>
      <x:c r="U73" s="34" t="n">
        <x:v>0</x:v>
      </x:c>
      <x:c r="V73" s="34" t="n">
        <x:v>-631.980667</x:v>
      </x:c>
      <x:c r="W73" s="34" t="n">
        <x:v>10.575115</x:v>
      </x:c>
      <x:c r="X73" s="34" t="n">
        <x:v>-1668.585</x:v>
      </x:c>
      <x:c r="Y73" s="34" t="n">
        <x:v>0</x:v>
      </x:c>
      <x:c r="Z73" s="34" t="n">
        <x:v>-702.523333</x:v>
      </x:c>
      <x:c r="AA73" s="34" t="n">
        <x:v>6.885145</x:v>
      </x:c>
    </x:row>
    <x:row r="74">
      <x:c r="A74" s="34" t="str">
        <x:v>KOBE_STEEL_JP</x:v>
      </x:c>
      <x:c r="B74" s="34" t="str">
        <x:v>Kobe Steel</x:v>
      </x:c>
      <x:c r="C74" s="34" t="str">
        <x:v>CAND-7994EC1E34FADB</x:v>
      </x:c>
      <x:c r="D74" s="34" t="str">
        <x:v>P4</x:v>
      </x:c>
      <x:c r="E74" s="34" t="str">
        <x:v>PORT-ED997010A5D3</x:v>
      </x:c>
      <x:c r="F74" s="34" t="str">
        <x:v>ACCELERATED_15C</x:v>
      </x:c>
      <x:c r="G74" s="34" t="str">
        <x:v>DISCLOSED_PATH</x:v>
      </x:c>
      <x:c r="H74" s="40" t="b">
        <x:v>0</x:v>
      </x:c>
      <x:c r="I74" s="40" t="b">
        <x:v>0</x:v>
      </x:c>
      <x:c r="J74" s="40" t="b">
        <x:v>1</x:v>
      </x:c>
      <x:c r="K74" s="34" t="n">
        <x:v>93.684102</x:v>
      </x:c>
      <x:c r="L74" s="34" t="n">
        <x:v>13.628577</x:v>
      </x:c>
      <x:c r="M74" s="34" t="n">
        <x:v>0.297947</x:v>
      </x:c>
      <x:c r="N74" s="34" t="n">
        <x:v>-0.488729</x:v>
      </x:c>
      <x:c r="O74" s="34" t="n">
        <x:v>0.950579</x:v>
      </x:c>
      <x:c r="P74" s="34" t="n">
        <x:v>1276.781</x:v>
      </x:c>
      <x:c r="Q74" s="34" t="n">
        <x:v>27.91252</x:v>
      </x:c>
      <x:c r="R74" s="34" t="n">
        <x:v>1230.995</x:v>
      </x:c>
      <x:c r="S74" s="34" t="n">
        <x:v>65.032548</x:v>
      </x:c>
      <x:c r="T74" s="34" t="n">
        <x:v>0</x:v>
      </x:c>
      <x:c r="U74" s="34" t="n">
        <x:v>0</x:v>
      </x:c>
      <x:c r="V74" s="34" t="n">
        <x:v>-197.691667</x:v>
      </x:c>
      <x:c r="W74" s="34" t="n">
        <x:v>27.91307</x:v>
      </x:c>
      <x:c r="X74" s="34" t="n">
        <x:v>-1474.473</x:v>
      </x:c>
      <x:c r="Y74" s="34" t="n">
        <x:v>0</x:v>
      </x:c>
      <x:c r="Z74" s="34" t="n">
        <x:v>-1108.418667</x:v>
      </x:c>
      <x:c r="AA74" s="34" t="n">
        <x:v>11.274835</x:v>
      </x:c>
    </x:row>
    <x:row r="75">
      <x:c r="A75" s="34" t="str">
        <x:v>KOBE_STEEL_JP</x:v>
      </x:c>
      <x:c r="B75" s="34" t="str">
        <x:v>Kobe Steel</x:v>
      </x:c>
      <x:c r="C75" s="34" t="str">
        <x:v>CAND-7F0A690E87B72D</x:v>
      </x:c>
      <x:c r="D75" s="34" t="str">
        <x:v>P2</x:v>
      </x:c>
      <x:c r="E75" s="34" t="str">
        <x:v>PORT-8384667F6B8E</x:v>
      </x:c>
      <x:c r="F75" s="34" t="str">
        <x:v>ACCELERATED_15C</x:v>
      </x:c>
      <x:c r="G75" s="34" t="str">
        <x:v>DISCLOSED_PATH</x:v>
      </x:c>
      <x:c r="H75" s="40" t="b">
        <x:v>0</x:v>
      </x:c>
      <x:c r="I75" s="40" t="b">
        <x:v>1</x:v>
      </x:c>
      <x:c r="J75" s="40" t="b">
        <x:v>1</x:v>
      </x:c>
      <x:c r="K75" s="34" t="n">
        <x:v>96.451092</x:v>
      </x:c>
      <x:c r="L75" s="34" t="n">
        <x:v>11.235818</x:v>
      </x:c>
      <x:c r="M75" s="34" t="n">
        <x:v>0.2554</x:v>
      </x:c>
      <x:c r="N75" s="34" t="n">
        <x:v>-1.454157</x:v>
      </x:c>
      <x:c r="O75" s="34" t="n">
        <x:v>0.293133</x:v>
      </x:c>
      <x:c r="P75" s="34" t="n">
        <x:v>1083.707333</x:v>
      </x:c>
      <x:c r="Q75" s="34" t="n">
        <x:v>24.633182</x:v>
      </x:c>
      <x:c r="R75" s="34" t="n">
        <x:v>943.452</x:v>
      </x:c>
      <x:c r="S75" s="34" t="n">
        <x:v>10.21214</x:v>
      </x:c>
      <x:c r="T75" s="34" t="n">
        <x:v>0</x:v>
      </x:c>
      <x:c r="U75" s="34" t="n">
        <x:v>0</x:v>
      </x:c>
      <x:c r="V75" s="34" t="n">
        <x:v>-493.224</x:v>
      </x:c>
      <x:c r="W75" s="34" t="n">
        <x:v>24.633318</x:v>
      </x:c>
      <x:c r="X75" s="34" t="n">
        <x:v>-1576.93</x:v>
      </x:c>
      <x:c r="Y75" s="34" t="n">
        <x:v>0</x:v>
      </x:c>
      <x:c r="Z75" s="34" t="n">
        <x:v>-195.107667</x:v>
      </x:c>
      <x:c r="AA75" s="34" t="n">
        <x:v>5.094776</x:v>
      </x:c>
    </x:row>
    <x:row r="76">
      <x:c r="A76" s="34" t="str">
        <x:v>KOBE_STEEL_JP</x:v>
      </x:c>
      <x:c r="B76" s="34" t="str">
        <x:v>Kobe Steel</x:v>
      </x:c>
      <x:c r="C76" s="34" t="str">
        <x:v>CAND-88A58A95717947</x:v>
      </x:c>
      <x:c r="D76" s="34" t="str">
        <x:v>P1</x:v>
      </x:c>
      <x:c r="E76" s="34" t="str">
        <x:v>PORT-5EAB84C29074</x:v>
      </x:c>
      <x:c r="F76" s="34" t="str">
        <x:v>ACCELERATED_15C</x:v>
      </x:c>
      <x:c r="G76" s="34" t="str">
        <x:v>DISCLOSED_PATH</x:v>
      </x:c>
      <x:c r="H76" s="40" t="b">
        <x:v>0</x:v>
      </x:c>
      <x:c r="I76" s="40" t="b">
        <x:v>0</x:v>
      </x:c>
      <x:c r="J76" s="40" t="b">
        <x:v>1</x:v>
      </x:c>
      <x:c r="K76" s="34" t="n">
        <x:v>85.5131</x:v>
      </x:c>
      <x:c r="L76" s="34" t="n">
        <x:v>3.113704</x:v>
      </x:c>
      <x:c r="M76" s="34" t="n">
        <x:v>0.665651</x:v>
      </x:c>
      <x:c r="N76" s="34" t="n">
        <x:v>-3.688983</x:v>
      </x:c>
      <x:c r="O76" s="34" t="n">
        <x:v>0.309309</x:v>
      </x:c>
      <x:c r="P76" s="34" t="n">
        <x:v>266.262333</x:v>
      </x:c>
      <x:c r="Q76" s="34" t="n">
        <x:v>56.921712</x:v>
      </x:c>
      <x:c r="R76" s="34" t="n">
        <x:v>-49.193667</x:v>
      </x:c>
      <x:c r="S76" s="34" t="n">
        <x:v>64.331234</x:v>
      </x:c>
      <x:c r="T76" s="34" t="n">
        <x:v>0</x:v>
      </x:c>
      <x:c r="U76" s="34" t="n">
        <x:v>0</x:v>
      </x:c>
      <x:c r="V76" s="34" t="n">
        <x:v>-1111.547333</x:v>
      </x:c>
      <x:c r="W76" s="34" t="n">
        <x:v>56.92164</x:v>
      </x:c>
      <x:c r="X76" s="34" t="n">
        <x:v>-1377.81</x:v>
      </x:c>
      <x:c r="Y76" s="34" t="n">
        <x:v>0</x:v>
      </x:c>
      <x:c r="Z76" s="34" t="n">
        <x:v>-138.824</x:v>
      </x:c>
      <x:c r="AA76" s="34" t="n">
        <x:v>3.022716</x:v>
      </x:c>
    </x:row>
    <x:row r="77">
      <x:c r="A77" s="34" t="str">
        <x:v>KOBE_STEEL_JP</x:v>
      </x:c>
      <x:c r="B77" s="34" t="str">
        <x:v>Kobe Steel</x:v>
      </x:c>
      <x:c r="C77" s="34" t="str">
        <x:v>CAND-8D7AF2E68805C6</x:v>
      </x:c>
      <x:c r="D77" s="34" t="str">
        <x:v>P3</x:v>
      </x:c>
      <x:c r="E77" s="34" t="str">
        <x:v>PORT-5EAB84C29074</x:v>
      </x:c>
      <x:c r="F77" s="34" t="str">
        <x:v>ACCELERATED_15C</x:v>
      </x:c>
      <x:c r="G77" s="34" t="str">
        <x:v>DISCLOSED_PATH</x:v>
      </x:c>
      <x:c r="H77" s="40" t="b">
        <x:v>0</x:v>
      </x:c>
      <x:c r="I77" s="40" t="b">
        <x:v>0</x:v>
      </x:c>
      <x:c r="J77" s="40" t="b">
        <x:v>1</x:v>
      </x:c>
      <x:c r="K77" s="34" t="n">
        <x:v>85.5131</x:v>
      </x:c>
      <x:c r="L77" s="34" t="n">
        <x:v>9.406201</x:v>
      </x:c>
      <x:c r="M77" s="34" t="n">
        <x:v>0.394773</x:v>
      </x:c>
      <x:c r="N77" s="34" t="n">
        <x:v>-1.147843</x:v>
      </x:c>
      <x:c r="O77" s="34" t="n">
        <x:v>0.371293</x:v>
      </x:c>
      <x:c r="P77" s="34" t="n">
        <x:v>804.353667</x:v>
      </x:c>
      <x:c r="Q77" s="34" t="n">
        <x:v>33.75846</x:v>
      </x:c>
      <x:c r="R77" s="34" t="n">
        <x:v>706.197667</x:v>
      </x:c>
      <x:c r="S77" s="34" t="n">
        <x:v>46.278418</x:v>
      </x:c>
      <x:c r="T77" s="34" t="n">
        <x:v>0</x:v>
      </x:c>
      <x:c r="U77" s="34" t="n">
        <x:v>0</x:v>
      </x:c>
      <x:c r="V77" s="34" t="n">
        <x:v>-573.456667</x:v>
      </x:c>
      <x:c r="W77" s="34" t="n">
        <x:v>33.757899</x:v>
      </x:c>
      <x:c r="X77" s="34" t="n">
        <x:v>-1377.81</x:v>
      </x:c>
      <x:c r="Y77" s="34" t="n">
        <x:v>0</x:v>
      </x:c>
      <x:c r="Z77" s="34" t="n">
        <x:v>-670.875667</x:v>
      </x:c>
      <x:c r="AA77" s="34" t="n">
        <x:v>9.5145</x:v>
      </x:c>
    </x:row>
    <x:row r="78">
      <x:c r="A78" s="34" t="str">
        <x:v>KOBE_STEEL_JP</x:v>
      </x:c>
      <x:c r="B78" s="34" t="str">
        <x:v>Kobe Steel</x:v>
      </x:c>
      <x:c r="C78" s="34" t="str">
        <x:v>CAND-9D068D97FB272C</x:v>
      </x:c>
      <x:c r="D78" s="34" t="str">
        <x:v>P2</x:v>
      </x:c>
      <x:c r="E78" s="34" t="str">
        <x:v>PORT-661396C334A7</x:v>
      </x:c>
      <x:c r="F78" s="34" t="str">
        <x:v>ACCELERATED_15C</x:v>
      </x:c>
      <x:c r="G78" s="34" t="str">
        <x:v>DISCLOSED_PATH</x:v>
      </x:c>
      <x:c r="H78" s="40" t="b">
        <x:v>0</x:v>
      </x:c>
      <x:c r="I78" s="40" t="b">
        <x:v>0</x:v>
      </x:c>
      <x:c r="J78" s="40" t="b">
        <x:v>1</x:v>
      </x:c>
      <x:c r="K78" s="34" t="n">
        <x:v>45.121088</x:v>
      </x:c>
      <x:c r="L78" s="34" t="n">
        <x:v>9.695165</x:v>
      </x:c>
      <x:c r="M78" s="34" t="n">
        <x:v>0.701765</x:v>
      </x:c>
      <x:c r="N78" s="34" t="n">
        <x:v>-2.383699</x:v>
      </x:c>
      <x:c r="O78" s="34" t="n">
        <x:v>0.661714</x:v>
      </x:c>
      <x:c r="P78" s="34" t="n">
        <x:v>437.456667</x:v>
      </x:c>
      <x:c r="Q78" s="34" t="n">
        <x:v>31.664382</x:v>
      </x:c>
      <x:c r="R78" s="34" t="n">
        <x:v>329.901333</x:v>
      </x:c>
      <x:c r="S78" s="34" t="n">
        <x:v>2.938752</x:v>
      </x:c>
      <x:c r="T78" s="34" t="n">
        <x:v>0</x:v>
      </x:c>
      <x:c r="U78" s="34" t="n">
        <x:v>0</x:v>
      </x:c>
      <x:c r="V78" s="34" t="n">
        <x:v>-317.105</x:v>
      </x:c>
      <x:c r="W78" s="34" t="n">
        <x:v>31.66431</x:v>
      </x:c>
      <x:c r="X78" s="34" t="n">
        <x:v>-754.561</x:v>
      </x:c>
      <x:c r="Y78" s="34" t="n">
        <x:v>0</x:v>
      </x:c>
      <x:c r="Z78" s="34" t="n">
        <x:v>-145.816333</x:v>
      </x:c>
      <x:c r="AA78" s="34" t="n">
        <x:v>6.340058</x:v>
      </x:c>
    </x:row>
    <x:row r="79">
      <x:c r="A79" s="34" t="str">
        <x:v>KOBE_STEEL_JP</x:v>
      </x:c>
      <x:c r="B79" s="34" t="str">
        <x:v>Kobe Steel</x:v>
      </x:c>
      <x:c r="C79" s="34" t="str">
        <x:v>CAND-9DD8DD0C56A40D</x:v>
      </x:c>
      <x:c r="D79" s="34" t="str">
        <x:v>P3</x:v>
      </x:c>
      <x:c r="E79" s="34" t="str">
        <x:v>PORT-8384667F6B8E</x:v>
      </x:c>
      <x:c r="F79" s="34" t="str">
        <x:v>ACCELERATED_15C</x:v>
      </x:c>
      <x:c r="G79" s="34" t="str">
        <x:v>DISCLOSED_PATH</x:v>
      </x:c>
      <x:c r="H79" s="40" t="b">
        <x:v>0</x:v>
      </x:c>
      <x:c r="I79" s="40" t="b">
        <x:v>1</x:v>
      </x:c>
      <x:c r="J79" s="40" t="b">
        <x:v>1</x:v>
      </x:c>
      <x:c r="K79" s="34" t="n">
        <x:v>96.451092</x:v>
      </x:c>
      <x:c r="L79" s="34" t="n">
        <x:v>12.048032</x:v>
      </x:c>
      <x:c r="M79" s="34" t="n">
        <x:v>0.176275</x:v>
      </x:c>
      <x:c r="N79" s="34" t="n">
        <x:v>-1.034512</x:v>
      </x:c>
      <x:c r="O79" s="34" t="n">
        <x:v>0.231787</x:v>
      </x:c>
      <x:c r="P79" s="34" t="n">
        <x:v>1162.045667</x:v>
      </x:c>
      <x:c r="Q79" s="34" t="n">
        <x:v>17.00149</x:v>
      </x:c>
      <x:c r="R79" s="34" t="n">
        <x:v>1062.266333</x:v>
      </x:c>
      <x:c r="S79" s="34" t="n">
        <x:v>6.773762</x:v>
      </x:c>
      <x:c r="T79" s="34" t="n">
        <x:v>0</x:v>
      </x:c>
      <x:c r="U79" s="34" t="n">
        <x:v>0</x:v>
      </x:c>
      <x:c r="V79" s="34" t="n">
        <x:v>-414.885333</x:v>
      </x:c>
      <x:c r="W79" s="34" t="n">
        <x:v>17.002448</x:v>
      </x:c>
      <x:c r="X79" s="34" t="n">
        <x:v>-1576.93</x:v>
      </x:c>
      <x:c r="Y79" s="34" t="n">
        <x:v>0</x:v>
      </x:c>
      <x:c r="Z79" s="34" t="n">
        <x:v>-272.486</x:v>
      </x:c>
      <x:c r="AA79" s="34" t="n">
        <x:v>10.338166</x:v>
      </x:c>
    </x:row>
    <x:row r="80">
      <x:c r="A80" s="34" t="str">
        <x:v>KOBE_STEEL_JP</x:v>
      </x:c>
      <x:c r="B80" s="34" t="str">
        <x:v>Kobe Steel</x:v>
      </x:c>
      <x:c r="C80" s="34" t="str">
        <x:v>CAND-B3597FD7767497</x:v>
      </x:c>
      <x:c r="D80" s="34" t="str">
        <x:v>P1</x:v>
      </x:c>
      <x:c r="E80" s="34" t="str">
        <x:v>PORT-9862FC05DA24</x:v>
      </x:c>
      <x:c r="F80" s="34" t="str">
        <x:v>ACCELERATED_15C</x:v>
      </x:c>
      <x:c r="G80" s="34" t="str">
        <x:v>DISCLOSED_PATH</x:v>
      </x:c>
      <x:c r="H80" s="40" t="b">
        <x:v>1</x:v>
      </x:c>
      <x:c r="I80" s="40" t="b">
        <x:v>1</x:v>
      </x:c>
      <x:c r="J80" s="40" t="b">
        <x:v>1</x:v>
      </x:c>
      <x:c r="K80" s="34" t="n">
        <x:v>105.301092</x:v>
      </x:c>
      <x:c r="L80" s="34" t="n">
        <x:v>2.583868</x:v>
      </x:c>
      <x:c r="M80" s="34" t="n">
        <x:v>0.461554</x:v>
      </x:c>
      <x:c r="N80" s="34" t="n">
        <x:v>-4.623913</x:v>
      </x:c>
      <x:c r="O80" s="34" t="n">
        <x:v>2.034533</x:v>
      </x:c>
      <x:c r="P80" s="34" t="n">
        <x:v>272.084</x:v>
      </x:c>
      <x:c r="Q80" s="34" t="n">
        <x:v>48.602011</x:v>
      </x:c>
      <x:c r="R80" s="34" t="n">
        <x:v>-214.819</x:v>
      </x:c>
      <x:c r="S80" s="34" t="n">
        <x:v>208.166373</x:v>
      </x:c>
      <x:c r="T80" s="34" t="n">
        <x:v>0</x:v>
      </x:c>
      <x:c r="U80" s="34" t="n">
        <x:v>0</x:v>
      </x:c>
      <x:c r="V80" s="34" t="n">
        <x:v>-1446.634333</x:v>
      </x:c>
      <x:c r="W80" s="34" t="n">
        <x:v>48.601906</x:v>
      </x:c>
      <x:c r="X80" s="34" t="n">
        <x:v>-1718.719</x:v>
      </x:c>
      <x:c r="Y80" s="34" t="n">
        <x:v>0</x:v>
      </x:c>
      <x:c r="Z80" s="34" t="n">
        <x:v>-229.731333</x:v>
      </x:c>
      <x:c r="AA80" s="34" t="n">
        <x:v>1.907961</x:v>
      </x:c>
    </x:row>
    <x:row r="81">
      <x:c r="A81" s="34" t="str">
        <x:v>KOBE_STEEL_JP</x:v>
      </x:c>
      <x:c r="B81" s="34" t="str">
        <x:v>Kobe Steel</x:v>
      </x:c>
      <x:c r="C81" s="34" t="str">
        <x:v>CAND-B51B2DE2F2D28C</x:v>
      </x:c>
      <x:c r="D81" s="34" t="str">
        <x:v>P4</x:v>
      </x:c>
      <x:c r="E81" s="34" t="str">
        <x:v>PORT-8A59F01B884D</x:v>
      </x:c>
      <x:c r="F81" s="34" t="str">
        <x:v>ACCELERATED_15C</x:v>
      </x:c>
      <x:c r="G81" s="34" t="str">
        <x:v>DISCLOSED_PATH</x:v>
      </x:c>
      <x:c r="H81" s="40" t="b">
        <x:v>1</x:v>
      </x:c>
      <x:c r="I81" s="40" t="b">
        <x:v>0</x:v>
      </x:c>
      <x:c r="J81" s="40" t="b">
        <x:v>1</x:v>
      </x:c>
      <x:c r="K81" s="34" t="n">
        <x:v>114.781594</x:v>
      </x:c>
      <x:c r="L81" s="34" t="n">
        <x:v>13.487827</x:v>
      </x:c>
      <x:c r="M81" s="34" t="n">
        <x:v>0.312565</x:v>
      </x:c>
      <x:c r="N81" s="34" t="n">
        <x:v>-0.218457</x:v>
      </x:c>
      <x:c r="O81" s="34" t="n">
        <x:v>0.085062</x:v>
      </x:c>
      <x:c r="P81" s="34" t="n">
        <x:v>1548.154333</x:v>
      </x:c>
      <x:c r="Q81" s="34" t="n">
        <x:v>35.876567</x:v>
      </x:c>
      <x:c r="R81" s="34" t="n">
        <x:v>1523.079667</x:v>
      </x:c>
      <x:c r="S81" s="34" t="n">
        <x:v>32.337502</x:v>
      </x:c>
      <x:c r="T81" s="34" t="n">
        <x:v>0</x:v>
      </x:c>
      <x:c r="U81" s="34" t="n">
        <x:v>0</x:v>
      </x:c>
      <x:c r="V81" s="34" t="n">
        <x:v>-289.795333</x:v>
      </x:c>
      <x:c r="W81" s="34" t="n">
        <x:v>35.877107</x:v>
      </x:c>
      <x:c r="X81" s="34" t="n">
        <x:v>-1837.95</x:v>
      </x:c>
      <x:c r="Y81" s="34" t="n">
        <x:v>0</x:v>
      </x:c>
      <x:c r="Z81" s="34" t="n">
        <x:v>-1137.235</x:v>
      </x:c>
      <x:c r="AA81" s="34" t="n">
        <x:v>9.739842</x:v>
      </x:c>
    </x:row>
    <x:row r="82">
      <x:c r="A82" s="34" t="str">
        <x:v>KOBE_STEEL_JP</x:v>
      </x:c>
      <x:c r="B82" s="34" t="str">
        <x:v>Kobe Steel</x:v>
      </x:c>
      <x:c r="C82" s="34" t="str">
        <x:v>CAND-B928C0FFDA3842</x:v>
      </x:c>
      <x:c r="D82" s="34" t="str">
        <x:v>P1</x:v>
      </x:c>
      <x:c r="E82" s="34" t="str">
        <x:v>PORT-D7B02E3224C4</x:v>
      </x:c>
      <x:c r="F82" s="34" t="str">
        <x:v>ACCELERATED_15C</x:v>
      </x:c>
      <x:c r="G82" s="34" t="str">
        <x:v>DISCLOSED_PATH</x:v>
      </x:c>
      <x:c r="H82" s="40" t="b">
        <x:v>0</x:v>
      </x:c>
      <x:c r="I82" s="40" t="b">
        <x:v>0</x:v>
      </x:c>
      <x:c r="J82" s="40" t="b">
        <x:v>1</x:v>
      </x:c>
      <x:c r="K82" s="34" t="n">
        <x:v>76.663099</x:v>
      </x:c>
      <x:c r="L82" s="34" t="n">
        <x:v>13.989542</x:v>
      </x:c>
      <x:c r="M82" s="34" t="n">
        <x:v>0.252748</x:v>
      </x:c>
      <x:c r="N82" s="34" t="n">
        <x:v>-0.591455</x:v>
      </x:c>
      <x:c r="O82" s="34" t="n">
        <x:v>0.647824</x:v>
      </x:c>
      <x:c r="P82" s="34" t="n">
        <x:v>1072.481667</x:v>
      </x:c>
      <x:c r="Q82" s="34" t="n">
        <x:v>19.376344</x:v>
      </x:c>
      <x:c r="R82" s="34" t="n">
        <x:v>1027.138667</x:v>
      </x:c>
      <x:c r="S82" s="34" t="n">
        <x:v>30.470757</x:v>
      </x:c>
      <x:c r="T82" s="34" t="n">
        <x:v>0</x:v>
      </x:c>
      <x:c r="U82" s="34" t="n">
        <x:v>0</x:v>
      </x:c>
      <x:c r="V82" s="34" t="n">
        <x:v>-163.541</x:v>
      </x:c>
      <x:c r="W82" s="34" t="n">
        <x:v>19.376569</x:v>
      </x:c>
      <x:c r="X82" s="34" t="n">
        <x:v>-1236.022</x:v>
      </x:c>
      <x:c r="Y82" s="34" t="n">
        <x:v>0</x:v>
      </x:c>
      <x:c r="Z82" s="34" t="n">
        <x:v>-51.257</x:v>
      </x:c>
      <x:c r="AA82" s="34" t="n">
        <x:v>1.122547</x:v>
      </x:c>
    </x:row>
    <x:row r="83">
      <x:c r="A83" s="34" t="str">
        <x:v>KOBE_STEEL_JP</x:v>
      </x:c>
      <x:c r="B83" s="34" t="str">
        <x:v>Kobe Steel</x:v>
      </x:c>
      <x:c r="C83" s="34" t="str">
        <x:v>CAND-C9A7A01CF97824</x:v>
      </x:c>
      <x:c r="D83" s="34" t="str">
        <x:v>P6</x:v>
      </x:c>
      <x:c r="E83" s="34" t="str">
        <x:v>PORT-6AF097B8F6F8</x:v>
      </x:c>
      <x:c r="F83" s="34" t="str">
        <x:v>ACCELERATED_15C</x:v>
      </x:c>
      <x:c r="G83" s="34" t="str">
        <x:v>DISCLOSED_PATH</x:v>
      </x:c>
      <x:c r="H83" s="40" t="b">
        <x:v>1</x:v>
      </x:c>
      <x:c r="I83" s="40" t="b">
        <x:v>0</x:v>
      </x:c>
      <x:c r="J83" s="40" t="b">
        <x:v>1</x:v>
      </x:c>
      <x:c r="K83" s="34" t="n">
        <x:v>124.953456</x:v>
      </x:c>
      <x:c r="L83" s="34" t="n">
        <x:v>23.185518</x:v>
      </x:c>
      <x:c r="M83" s="34" t="n">
        <x:v>0.04906</x:v>
      </x:c>
      <x:c r="N83" s="34" t="n">
        <x:v>0.536108</x:v>
      </x:c>
      <x:c r="O83" s="34" t="n">
        <x:v>0.206067</x:v>
      </x:c>
      <x:c r="P83" s="34" t="n">
        <x:v>2897.110333</x:v>
      </x:c>
      <x:c r="Q83" s="34" t="n">
        <x:v>6.130325</x:v>
      </x:c>
      <x:c r="R83" s="34" t="n">
        <x:v>2964.099</x:v>
      </x:c>
      <x:c r="S83" s="34" t="n">
        <x:v>21.588851</x:v>
      </x:c>
      <x:c r="T83" s="34" t="n">
        <x:v>0</x:v>
      </x:c>
      <x:c r="U83" s="34" t="n">
        <x:v>0</x:v>
      </x:c>
      <x:c r="V83" s="34" t="n">
        <x:v>884.696333</x:v>
      </x:c>
      <x:c r="W83" s="34" t="n">
        <x:v>6.130325</x:v>
      </x:c>
      <x:c r="X83" s="34" t="n">
        <x:v>-2012.414</x:v>
      </x:c>
      <x:c r="Y83" s="34" t="n">
        <x:v>0</x:v>
      </x:c>
      <x:c r="Z83" s="34" t="n">
        <x:v>-2909.858</x:v>
      </x:c>
      <x:c r="AA83" s="34" t="n">
        <x:v>10.848713</x:v>
      </x:c>
    </x:row>
    <x:row r="84">
      <x:c r="A84" s="34" t="str">
        <x:v>KOBE_STEEL_JP</x:v>
      </x:c>
      <x:c r="B84" s="34" t="str">
        <x:v>Kobe Steel</x:v>
      </x:c>
      <x:c r="C84" s="34" t="str">
        <x:v>CAND-C9EAFC0F482485</x:v>
      </x:c>
      <x:c r="D84" s="34" t="str">
        <x:v>P2</x:v>
      </x:c>
      <x:c r="E84" s="34" t="str">
        <x:v>PORT-1144EBE63B41</x:v>
      </x:c>
      <x:c r="F84" s="34" t="str">
        <x:v>ACCELERATED_15C</x:v>
      </x:c>
      <x:c r="G84" s="34" t="str">
        <x:v>DISCLOSED_PATH</x:v>
      </x:c>
      <x:c r="H84" s="40" t="b">
        <x:v>1</x:v>
      </x:c>
      <x:c r="I84" s="40" t="b">
        <x:v>1</x:v>
      </x:c>
      <x:c r="J84" s="40" t="b">
        <x:v>1</x:v>
      </x:c>
      <x:c r="K84" s="34" t="n">
        <x:v>102.391093</x:v>
      </x:c>
      <x:c r="L84" s="34" t="n">
        <x:v>6.941099</x:v>
      </x:c>
      <x:c r="M84" s="34" t="n">
        <x:v>0.068103</x:v>
      </x:c>
      <x:c r="N84" s="34" t="n">
        <x:v>-2.577462</x:v>
      </x:c>
      <x:c r="O84" s="34" t="n">
        <x:v>0.734815</x:v>
      </x:c>
      <x:c r="P84" s="34" t="n">
        <x:v>710.706333</x:v>
      </x:c>
      <x:c r="Q84" s="34" t="n">
        <x:v>6.973358</x:v>
      </x:c>
      <x:c r="R84" s="34" t="n">
        <x:v>446.797333</x:v>
      </x:c>
      <x:c r="S84" s="34" t="n">
        <x:v>70.467781</x:v>
      </x:c>
      <x:c r="T84" s="34" t="n">
        <x:v>0</x:v>
      </x:c>
      <x:c r="U84" s="34" t="n">
        <x:v>0</x:v>
      </x:c>
      <x:c r="V84" s="34" t="n">
        <x:v>-957.878667</x:v>
      </x:c>
      <x:c r="W84" s="34" t="n">
        <x:v>6.973358</x:v>
      </x:c>
      <x:c r="X84" s="34" t="n">
        <x:v>-1668.585</x:v>
      </x:c>
      <x:c r="Y84" s="34" t="n">
        <x:v>0</x:v>
      </x:c>
      <x:c r="Z84" s="34" t="n">
        <x:v>-388.306333</x:v>
      </x:c>
      <x:c r="AA84" s="34" t="n">
        <x:v>7.679017</x:v>
      </x:c>
    </x:row>
    <x:row r="85">
      <x:c r="A85" s="34" t="str">
        <x:v>KOBE_STEEL_JP</x:v>
      </x:c>
      <x:c r="B85" s="34" t="str">
        <x:v>Kobe Steel</x:v>
      </x:c>
      <x:c r="C85" s="34" t="str">
        <x:v>CAND-CE22CF7F8F72DA</x:v>
      </x:c>
      <x:c r="D85" s="34" t="str">
        <x:v>P2</x:v>
      </x:c>
      <x:c r="E85" s="34" t="str">
        <x:v>PORT-9862FC05DA24</x:v>
      </x:c>
      <x:c r="F85" s="34" t="str">
        <x:v>ACCELERATED_15C</x:v>
      </x:c>
      <x:c r="G85" s="34" t="str">
        <x:v>DISCLOSED_PATH</x:v>
      </x:c>
      <x:c r="H85" s="40" t="b">
        <x:v>1</x:v>
      </x:c>
      <x:c r="I85" s="40" t="b">
        <x:v>1</x:v>
      </x:c>
      <x:c r="J85" s="40" t="b">
        <x:v>1</x:v>
      </x:c>
      <x:c r="K85" s="34" t="n">
        <x:v>105.301092</x:v>
      </x:c>
      <x:c r="L85" s="34" t="n">
        <x:v>5.096819</x:v>
      </x:c>
      <x:c r="M85" s="34" t="n">
        <x:v>0.351976</x:v>
      </x:c>
      <x:c r="N85" s="34" t="n">
        <x:v>-3.317156</x:v>
      </x:c>
      <x:c r="O85" s="34" t="n">
        <x:v>1.64754</x:v>
      </x:c>
      <x:c r="P85" s="34" t="n">
        <x:v>536.700667</x:v>
      </x:c>
      <x:c r="Q85" s="34" t="n">
        <x:v>37.063313</x:v>
      </x:c>
      <x:c r="R85" s="34" t="n">
        <x:v>187.4</x:v>
      </x:c>
      <x:c r="S85" s="34" t="n">
        <x:v>169.411239</x:v>
      </x:c>
      <x:c r="T85" s="34" t="n">
        <x:v>0</x:v>
      </x:c>
      <x:c r="U85" s="34" t="n">
        <x:v>0</x:v>
      </x:c>
      <x:c r="V85" s="34" t="n">
        <x:v>-1182.018</x:v>
      </x:c>
      <x:c r="W85" s="34" t="n">
        <x:v>37.063759</x:v>
      </x:c>
      <x:c r="X85" s="34" t="n">
        <x:v>-1718.719</x:v>
      </x:c>
      <x:c r="Y85" s="34" t="n">
        <x:v>0</x:v>
      </x:c>
      <x:c r="Z85" s="34" t="n">
        <x:v>-505.324333</x:v>
      </x:c>
      <x:c r="AA85" s="34" t="n">
        <x:v>4.969027</x:v>
      </x:c>
    </x:row>
    <x:row r="86">
      <x:c r="A86" s="34" t="str">
        <x:v>KOBE_STEEL_JP</x:v>
      </x:c>
      <x:c r="B86" s="34" t="str">
        <x:v>Kobe Steel</x:v>
      </x:c>
      <x:c r="C86" s="34" t="str">
        <x:v>CAND-D80CE96AA3B5C1</x:v>
      </x:c>
      <x:c r="D86" s="34" t="str">
        <x:v>P1</x:v>
      </x:c>
      <x:c r="E86" s="34" t="str">
        <x:v>PORT-8384667F6B8E</x:v>
      </x:c>
      <x:c r="F86" s="34" t="str">
        <x:v>ACCELERATED_15C</x:v>
      </x:c>
      <x:c r="G86" s="34" t="str">
        <x:v>DISCLOSED_PATH</x:v>
      </x:c>
      <x:c r="H86" s="40" t="b">
        <x:v>0</x:v>
      </x:c>
      <x:c r="I86" s="40" t="b">
        <x:v>1</x:v>
      </x:c>
      <x:c r="J86" s="40" t="b">
        <x:v>1</x:v>
      </x:c>
      <x:c r="K86" s="34" t="n">
        <x:v>96.451092</x:v>
      </x:c>
      <x:c r="L86" s="34" t="n">
        <x:v>10.711667</x:v>
      </x:c>
      <x:c r="M86" s="34" t="n">
        <x:v>0.39098</x:v>
      </x:c>
      <x:c r="N86" s="34" t="n">
        <x:v>-1.879745</x:v>
      </x:c>
      <x:c r="O86" s="34" t="n">
        <x:v>0.285132</x:v>
      </x:c>
      <x:c r="P86" s="34" t="n">
        <x:v>1033.152</x:v>
      </x:c>
      <x:c r="Q86" s="34" t="n">
        <x:v>37.710298</x:v>
      </x:c>
      <x:c r="R86" s="34" t="n">
        <x:v>851.848333</x:v>
      </x:c>
      <x:c r="S86" s="34" t="n">
        <x:v>22.088552</x:v>
      </x:c>
      <x:c r="T86" s="34" t="n">
        <x:v>0</x:v>
      </x:c>
      <x:c r="U86" s="34" t="n">
        <x:v>0</x:v>
      </x:c>
      <x:c r="V86" s="34" t="n">
        <x:v>-543.778333</x:v>
      </x:c>
      <x:c r="W86" s="34" t="n">
        <x:v>37.710818</x:v>
      </x:c>
      <x:c r="X86" s="34" t="n">
        <x:v>-1576.93</x:v>
      </x:c>
      <x:c r="Y86" s="34" t="n">
        <x:v>0</x:v>
      </x:c>
      <x:c r="Z86" s="34" t="n">
        <x:v>-141.374</x:v>
      </x:c>
      <x:c r="AA86" s="34" t="n">
        <x:v>0.266466</x:v>
      </x:c>
    </x:row>
    <x:row r="87">
      <x:c r="A87" s="34" t="str">
        <x:v>KOBE_STEEL_JP</x:v>
      </x:c>
      <x:c r="B87" s="34" t="str">
        <x:v>Kobe Steel</x:v>
      </x:c>
      <x:c r="C87" s="34" t="str">
        <x:v>CAND-DCD679F188D852</x:v>
      </x:c>
      <x:c r="D87" s="34" t="str">
        <x:v>P1</x:v>
      </x:c>
      <x:c r="E87" s="34" t="str">
        <x:v>PORT-1144EBE63B41</x:v>
      </x:c>
      <x:c r="F87" s="34" t="str">
        <x:v>ACCELERATED_15C</x:v>
      </x:c>
      <x:c r="G87" s="34" t="str">
        <x:v>DISCLOSED_PATH</x:v>
      </x:c>
      <x:c r="H87" s="40" t="b">
        <x:v>1</x:v>
      </x:c>
      <x:c r="I87" s="40" t="b">
        <x:v>1</x:v>
      </x:c>
      <x:c r="J87" s="40" t="b">
        <x:v>1</x:v>
      </x:c>
      <x:c r="K87" s="34" t="n">
        <x:v>102.391093</x:v>
      </x:c>
      <x:c r="L87" s="34" t="n">
        <x:v>4.828922</x:v>
      </x:c>
      <x:c r="M87" s="34" t="n">
        <x:v>0.085199</x:v>
      </x:c>
      <x:c r="N87" s="34" t="n">
        <x:v>-3.49316</x:v>
      </x:c>
      <x:c r="O87" s="34" t="n">
        <x:v>0.681271</x:v>
      </x:c>
      <x:c r="P87" s="34" t="n">
        <x:v>494.438667</x:v>
      </x:c>
      <x:c r="Q87" s="34" t="n">
        <x:v>8.723504</x:v>
      </x:c>
      <x:c r="R87" s="34" t="n">
        <x:v>136.77</x:v>
      </x:c>
      <x:c r="S87" s="34" t="n">
        <x:v>63.787842</x:v>
      </x:c>
      <x:c r="T87" s="34" t="n">
        <x:v>0</x:v>
      </x:c>
      <x:c r="U87" s="34" t="n">
        <x:v>0</x:v>
      </x:c>
      <x:c r="V87" s="34" t="n">
        <x:v>-1174.146333</x:v>
      </x:c>
      <x:c r="W87" s="34" t="n">
        <x:v>8.723504</x:v>
      </x:c>
      <x:c r="X87" s="34" t="n">
        <x:v>-1668.585</x:v>
      </x:c>
      <x:c r="Y87" s="34" t="n">
        <x:v>0</x:v>
      </x:c>
      <x:c r="Z87" s="34" t="n">
        <x:v>-171.446</x:v>
      </x:c>
      <x:c r="AA87" s="34" t="n">
        <x:v>0.701496</x:v>
      </x:c>
    </x:row>
    <x:row r="88">
      <x:c r="A88" s="34" t="str">
        <x:v>KOBE_STEEL_JP</x:v>
      </x:c>
      <x:c r="B88" s="34" t="str">
        <x:v>Kobe Steel</x:v>
      </x:c>
      <x:c r="C88" s="34" t="str">
        <x:v>CAND-DDE822F7D41D2E</x:v>
      </x:c>
      <x:c r="D88" s="34" t="str">
        <x:v>P5</x:v>
      </x:c>
      <x:c r="E88" s="34" t="str">
        <x:v>PORT-0095E30DB97C</x:v>
      </x:c>
      <x:c r="F88" s="34" t="str">
        <x:v>ACCELERATED_15C</x:v>
      </x:c>
      <x:c r="G88" s="34" t="str">
        <x:v>DISCLOSED_PATH</x:v>
      </x:c>
      <x:c r="H88" s="40" t="b">
        <x:v>1</x:v>
      </x:c>
      <x:c r="I88" s="40" t="b">
        <x:v>0</x:v>
      </x:c>
      <x:c r="J88" s="40" t="b">
        <x:v>1</x:v>
      </x:c>
      <x:c r="K88" s="34" t="n">
        <x:v>118.419093</x:v>
      </x:c>
      <x:c r="L88" s="34" t="n">
        <x:v>17.902852</x:v>
      </x:c>
      <x:c r="M88" s="34" t="n">
        <x:v>0.127587</x:v>
      </x:c>
      <x:c r="N88" s="34" t="n">
        <x:v>0.254978</x:v>
      </x:c>
      <x:c r="O88" s="34" t="n">
        <x:v>0.290009</x:v>
      </x:c>
      <x:c r="P88" s="34" t="n">
        <x:v>2120.039</x:v>
      </x:c>
      <x:c r="Q88" s="34" t="n">
        <x:v>15.108454</x:v>
      </x:c>
      <x:c r="R88" s="34" t="n">
        <x:v>2150.233667</x:v>
      </x:c>
      <x:c r="S88" s="34" t="n">
        <x:v>21.965946</x:v>
      </x:c>
      <x:c r="T88" s="34" t="n">
        <x:v>0</x:v>
      </x:c>
      <x:c r="U88" s="34" t="n">
        <x:v>0</x:v>
      </x:c>
      <x:c r="V88" s="34" t="n">
        <x:v>219.421667</x:v>
      </x:c>
      <x:c r="W88" s="34" t="n">
        <x:v>15.108757</x:v>
      </x:c>
      <x:c r="X88" s="34" t="n">
        <x:v>-1900.618</x:v>
      </x:c>
      <x:c r="Y88" s="34" t="n">
        <x:v>0</x:v>
      </x:c>
      <x:c r="Z88" s="34" t="n">
        <x:v>-2122.596333</x:v>
      </x:c>
      <x:c r="AA88" s="34" t="n">
        <x:v>18.433115</x:v>
      </x:c>
    </x:row>
    <x:row r="89">
      <x:c r="A89" s="34" t="str">
        <x:v>KOBE_STEEL_JP</x:v>
      </x:c>
      <x:c r="B89" s="34" t="str">
        <x:v>Kobe Steel</x:v>
      </x:c>
      <x:c r="C89" s="34" t="str">
        <x:v>CAND-E9169FB41B03EE</x:v>
      </x:c>
      <x:c r="D89" s="34" t="str">
        <x:v>P1</x:v>
      </x:c>
      <x:c r="E89" s="34" t="str">
        <x:v>PORT-0CA13428C264</x:v>
      </x:c>
      <x:c r="F89" s="34" t="str">
        <x:v>ACCELERATED_15C</x:v>
      </x:c>
      <x:c r="G89" s="34" t="str">
        <x:v>DISCLOSED_PATH</x:v>
      </x:c>
      <x:c r="H89" s="40" t="b">
        <x:v>0</x:v>
      </x:c>
      <x:c r="I89" s="40" t="b">
        <x:v>0</x:v>
      </x:c>
      <x:c r="J89" s="40" t="b">
        <x:v>1</x:v>
      </x:c>
      <x:c r="K89" s="34" t="n">
        <x:v>42.211089</x:v>
      </x:c>
      <x:c r="L89" s="34" t="n">
        <x:v>15.518762</x:v>
      </x:c>
      <x:c r="M89" s="34" t="n">
        <x:v>0.118447</x:v>
      </x:c>
      <x:c r="N89" s="34" t="n">
        <x:v>-0.226862</x:v>
      </x:c>
      <x:c r="O89" s="34" t="n">
        <x:v>0.252464</x:v>
      </x:c>
      <x:c r="P89" s="34" t="n">
        <x:v>655.064</x:v>
      </x:c>
      <x:c r="Q89" s="34" t="n">
        <x:v>4.999515</x:v>
      </x:c>
      <x:c r="R89" s="34" t="n">
        <x:v>645.487333</x:v>
      </x:c>
      <x:c r="S89" s="34" t="n">
        <x:v>15.404955</x:v>
      </x:c>
      <x:c r="T89" s="34" t="n">
        <x:v>0</x:v>
      </x:c>
      <x:c r="U89" s="34" t="n">
        <x:v>0</x:v>
      </x:c>
      <x:c r="V89" s="34" t="n">
        <x:v>-49.364</x:v>
      </x:c>
      <x:c r="W89" s="34" t="n">
        <x:v>4.999515</x:v>
      </x:c>
      <x:c r="X89" s="34" t="n">
        <x:v>-704.428</x:v>
      </x:c>
      <x:c r="Y89" s="34" t="n">
        <x:v>0</x:v>
      </x:c>
      <x:c r="Z89" s="34" t="n">
        <x:v>-32.990333</x:v>
      </x:c>
      <x:c r="AA89" s="34" t="n">
        <x:v>0.358851</x:v>
      </x:c>
    </x:row>
    <x:row r="90">
      <x:c r="A90" s="34" t="str">
        <x:v>KOBE_STEEL_JP</x:v>
      </x:c>
      <x:c r="B90" s="34" t="str">
        <x:v>Kobe Steel</x:v>
      </x:c>
      <x:c r="C90" s="34" t="str">
        <x:v>CAND-F3EC79559B1773</x:v>
      </x:c>
      <x:c r="D90" s="34" t="str">
        <x:v>P1</x:v>
      </x:c>
      <x:c r="E90" s="34" t="str">
        <x:v>PORT-B0BA3BE7A418</x:v>
      </x:c>
      <x:c r="F90" s="34" t="str">
        <x:v>ACCELERATED_15C</x:v>
      </x:c>
      <x:c r="G90" s="34" t="str">
        <x:v>DISCLOSED_PATH</x:v>
      </x:c>
      <x:c r="H90" s="40" t="b">
        <x:v>0</x:v>
      </x:c>
      <x:c r="I90" s="40" t="b">
        <x:v>0</x:v>
      </x:c>
      <x:c r="J90" s="40" t="b">
        <x:v>1</x:v>
      </x:c>
      <x:c r="K90" s="34" t="n">
        <x:v>25.333096</x:v>
      </x:c>
      <x:c r="L90" s="34" t="n">
        <x:v>16.114843</x:v>
      </x:c>
      <x:c r="M90" s="34" t="n">
        <x:v>0.013437</x:v>
      </x:c>
      <x:c r="N90" s="34" t="n">
        <x:v>-0.015327</x:v>
      </x:c>
      <x:c r="O90" s="34" t="n">
        <x:v>0.014627</x:v>
      </x:c>
      <x:c r="P90" s="34" t="n">
        <x:v>408.239</x:v>
      </x:c>
      <x:c r="Q90" s="34" t="n">
        <x:v>0.340219</x:v>
      </x:c>
      <x:c r="R90" s="34" t="n">
        <x:v>407.850333</x:v>
      </x:c>
      <x:c r="S90" s="34" t="n">
        <x:v>0.708419</x:v>
      </x:c>
      <x:c r="T90" s="34" t="n">
        <x:v>0</x:v>
      </x:c>
      <x:c r="U90" s="34" t="n">
        <x:v>0</x:v>
      </x:c>
      <x:c r="V90" s="34" t="n">
        <x:v>-5.413667</x:v>
      </x:c>
      <x:c r="W90" s="34" t="n">
        <x:v>0.340788</x:v>
      </x:c>
      <x:c r="X90" s="34" t="n">
        <x:v>-413.653</x:v>
      </x:c>
      <x:c r="Y90" s="34" t="n">
        <x:v>0</x:v>
      </x:c>
      <x:c r="Z90" s="34" t="n">
        <x:v>-0.409667</x:v>
      </x:c>
      <x:c r="AA90" s="34" t="n">
        <x:v>0.018475</x:v>
      </x:c>
    </x:row>
    <x:row r="91">
      <x:c r="A91" s="34" t="str">
        <x:v>NIPPON_STEEL_JP</x:v>
      </x:c>
      <x:c r="B91" s="34" t="str">
        <x:v>Nippon Steel</x:v>
      </x:c>
      <x:c r="C91" s="34" t="str">
        <x:v>CAND-004C84C918F9F0</x:v>
      </x:c>
      <x:c r="D91" s="34" t="str">
        <x:v>P2</x:v>
      </x:c>
      <x:c r="E91" s="34" t="str">
        <x:v>PORT-7DC6DDA55D96</x:v>
      </x:c>
      <x:c r="F91" s="34" t="str">
        <x:v>ACCELERATED_15C</x:v>
      </x:c>
      <x:c r="G91" s="34" t="str">
        <x:v>DISCLOSED_PATH</x:v>
      </x:c>
      <x:c r="H91" s="40" t="b">
        <x:v>0</x:v>
      </x:c>
      <x:c r="I91" s="40" t="b">
        <x:v>0</x:v>
      </x:c>
      <x:c r="J91" s="40" t="b">
        <x:v>1</x:v>
      </x:c>
      <x:c r="K91" s="34" t="n">
        <x:v>209.368973</x:v>
      </x:c>
      <x:c r="L91" s="34" t="n">
        <x:v>9.992974</x:v>
      </x:c>
      <x:c r="M91" s="34" t="n">
        <x:v>0.434369</x:v>
      </x:c>
      <x:c r="N91" s="34" t="n">
        <x:v>-1.831257</x:v>
      </x:c>
      <x:c r="O91" s="34" t="n">
        <x:v>0.132387</x:v>
      </x:c>
      <x:c r="P91" s="34" t="n">
        <x:v>2092.218667</x:v>
      </x:c>
      <x:c r="Q91" s="34" t="n">
        <x:v>90.943237</x:v>
      </x:c>
      <x:c r="R91" s="34" t="n">
        <x:v>1708.81</x:v>
      </x:c>
      <x:c r="S91" s="34" t="n">
        <x:v>104.747659</x:v>
      </x:c>
      <x:c r="T91" s="34" t="n">
        <x:v>0</x:v>
      </x:c>
      <x:c r="U91" s="34" t="n">
        <x:v>0</x:v>
      </x:c>
      <x:c r="V91" s="34" t="n">
        <x:v>-1473.405</x:v>
      </x:c>
      <x:c r="W91" s="34" t="n">
        <x:v>90.943486</x:v>
      </x:c>
      <x:c r="X91" s="34" t="n">
        <x:v>-3565.623</x:v>
      </x:c>
      <x:c r="Y91" s="34" t="n">
        <x:v>0</x:v>
      </x:c>
      <x:c r="Z91" s="34" t="n">
        <x:v>-761.416667</x:v>
      </x:c>
      <x:c r="AA91" s="34" t="n">
        <x:v>27.521959</x:v>
      </x:c>
    </x:row>
    <x:row r="92">
      <x:c r="A92" s="34" t="str">
        <x:v>NIPPON_STEEL_JP</x:v>
      </x:c>
      <x:c r="B92" s="34" t="str">
        <x:v>Nippon Steel</x:v>
      </x:c>
      <x:c r="C92" s="34" t="str">
        <x:v>CAND-005FE12044C08C</x:v>
      </x:c>
      <x:c r="D92" s="34" t="str">
        <x:v>P2</x:v>
      </x:c>
      <x:c r="E92" s="34" t="str">
        <x:v>PORT-91584DA203D9</x:v>
      </x:c>
      <x:c r="F92" s="34" t="str">
        <x:v>ACCELERATED_15C</x:v>
      </x:c>
      <x:c r="G92" s="34" t="str">
        <x:v>DISCLOSED_PATH</x:v>
      </x:c>
      <x:c r="H92" s="40" t="b">
        <x:v>0</x:v>
      </x:c>
      <x:c r="I92" s="40" t="b">
        <x:v>0</x:v>
      </x:c>
      <x:c r="J92" s="40" t="b">
        <x:v>1</x:v>
      </x:c>
      <x:c r="K92" s="34" t="n">
        <x:v>223.148943</x:v>
      </x:c>
      <x:c r="L92" s="34" t="n">
        <x:v>9.751429</x:v>
      </x:c>
      <x:c r="M92" s="34" t="n">
        <x:v>0.588124</x:v>
      </x:c>
      <x:c r="N92" s="34" t="n">
        <x:v>-2.560188</x:v>
      </x:c>
      <x:c r="O92" s="34" t="n">
        <x:v>0.705026</x:v>
      </x:c>
      <x:c r="P92" s="34" t="n">
        <x:v>2176.021</x:v>
      </x:c>
      <x:c r="Q92" s="34" t="n">
        <x:v>131.238994</x:v>
      </x:c>
      <x:c r="R92" s="34" t="n">
        <x:v>1604.718333</x:v>
      </x:c>
      <x:c r="S92" s="34" t="n">
        <x:v>155.439188</x:v>
      </x:c>
      <x:c r="T92" s="34" t="n">
        <x:v>0</x:v>
      </x:c>
      <x:c r="U92" s="34" t="n">
        <x:v>0</x:v>
      </x:c>
      <x:c r="V92" s="34" t="n">
        <x:v>-1594.739</x:v>
      </x:c>
      <x:c r="W92" s="34" t="n">
        <x:v>131.239992</x:v>
      </x:c>
      <x:c r="X92" s="34" t="n">
        <x:v>-3770.761</x:v>
      </x:c>
      <x:c r="Y92" s="34" t="n">
        <x:v>0</x:v>
      </x:c>
      <x:c r="Z92" s="34" t="n">
        <x:v>-643.342</x:v>
      </x:c>
      <x:c r="AA92" s="34" t="n">
        <x:v>14.532647</x:v>
      </x:c>
    </x:row>
    <x:row r="93">
      <x:c r="A93" s="34" t="str">
        <x:v>NIPPON_STEEL_JP</x:v>
      </x:c>
      <x:c r="B93" s="34" t="str">
        <x:v>Nippon Steel</x:v>
      </x:c>
      <x:c r="C93" s="34" t="str">
        <x:v>CAND-009A19D2863AA5</x:v>
      </x:c>
      <x:c r="D93" s="34" t="str">
        <x:v>P1</x:v>
      </x:c>
      <x:c r="E93" s="34" t="str">
        <x:v>PORT-1411E33E415A</x:v>
      </x:c>
      <x:c r="F93" s="34" t="str">
        <x:v>ACCELERATED_15C</x:v>
      </x:c>
      <x:c r="G93" s="34" t="str">
        <x:v>DISCLOSED_PATH</x:v>
      </x:c>
      <x:c r="H93" s="40" t="b">
        <x:v>1</x:v>
      </x:c>
      <x:c r="I93" s="40" t="b">
        <x:v>0</x:v>
      </x:c>
      <x:c r="J93" s="40" t="b">
        <x:v>1</x:v>
      </x:c>
      <x:c r="K93" s="34" t="n">
        <x:v>447.753948</x:v>
      </x:c>
      <x:c r="L93" s="34" t="n">
        <x:v>10.757786</x:v>
      </x:c>
      <x:c r="M93" s="34" t="n">
        <x:v>0.475393</x:v>
      </x:c>
      <x:c r="N93" s="34" t="n">
        <x:v>-2.286599</x:v>
      </x:c>
      <x:c r="O93" s="34" t="n">
        <x:v>0.71056</x:v>
      </x:c>
      <x:c r="P93" s="34" t="n">
        <x:v>4816.841</x:v>
      </x:c>
      <x:c r="Q93" s="34" t="n">
        <x:v>212.859028</x:v>
      </x:c>
      <x:c r="R93" s="34" t="n">
        <x:v>3793.006667</x:v>
      </x:c>
      <x:c r="S93" s="34" t="n">
        <x:v>187.268263</x:v>
      </x:c>
      <x:c r="T93" s="34" t="n">
        <x:v>0</x:v>
      </x:c>
      <x:c r="U93" s="34" t="n">
        <x:v>0</x:v>
      </x:c>
      <x:c r="V93" s="34" t="n">
        <x:v>-2633.991</x:v>
      </x:c>
      <x:c r="W93" s="34" t="n">
        <x:v>212.859028</x:v>
      </x:c>
      <x:c r="X93" s="34" t="n">
        <x:v>-7450.833</x:v>
      </x:c>
      <x:c r="Y93" s="34" t="n">
        <x:v>0</x:v>
      </x:c>
      <x:c r="Z93" s="34" t="n">
        <x:v>-677.677667</x:v>
      </x:c>
      <x:c r="AA93" s="34" t="n">
        <x:v>18.530258</x:v>
      </x:c>
    </x:row>
    <x:row r="94">
      <x:c r="A94" s="34" t="str">
        <x:v>NIPPON_STEEL_JP</x:v>
      </x:c>
      <x:c r="B94" s="34" t="str">
        <x:v>Nippon Steel</x:v>
      </x:c>
      <x:c r="C94" s="34" t="str">
        <x:v>CAND-0902F4B4859A1C</x:v>
      </x:c>
      <x:c r="D94" s="34" t="str">
        <x:v>P2</x:v>
      </x:c>
      <x:c r="E94" s="34" t="str">
        <x:v>PORT-1411E33E415A</x:v>
      </x:c>
      <x:c r="F94" s="34" t="str">
        <x:v>ACCELERATED_15C</x:v>
      </x:c>
      <x:c r="G94" s="34" t="str">
        <x:v>DISCLOSED_PATH</x:v>
      </x:c>
      <x:c r="H94" s="40" t="b">
        <x:v>1</x:v>
      </x:c>
      <x:c r="I94" s="40" t="b">
        <x:v>0</x:v>
      </x:c>
      <x:c r="J94" s="40" t="b">
        <x:v>1</x:v>
      </x:c>
      <x:c r="K94" s="34" t="n">
        <x:v>447.753948</x:v>
      </x:c>
      <x:c r="L94" s="34" t="n">
        <x:v>11.379336</x:v>
      </x:c>
      <x:c r="M94" s="34" t="n">
        <x:v>0.41332</x:v>
      </x:c>
      <x:c r="N94" s="34" t="n">
        <x:v>-1.853888</x:v>
      </x:c>
      <x:c r="O94" s="34" t="n">
        <x:v>0.553013</x:v>
      </x:c>
      <x:c r="P94" s="34" t="n">
        <x:v>5095.142667</x:v>
      </x:c>
      <x:c r="Q94" s="34" t="n">
        <x:v>185.065434</x:v>
      </x:c>
      <x:c r="R94" s="34" t="n">
        <x:v>4265.056333</x:v>
      </x:c>
      <x:c r="S94" s="34" t="n">
        <x:v>137.568595</x:v>
      </x:c>
      <x:c r="T94" s="34" t="n">
        <x:v>0</x:v>
      </x:c>
      <x:c r="U94" s="34" t="n">
        <x:v>0</x:v>
      </x:c>
      <x:c r="V94" s="34" t="n">
        <x:v>-2355.69</x:v>
      </x:c>
      <x:c r="W94" s="34" t="n">
        <x:v>185.065734</x:v>
      </x:c>
      <x:c r="X94" s="34" t="n">
        <x:v>-7450.833</x:v>
      </x:c>
      <x:c r="Y94" s="34" t="n">
        <x:v>0</x:v>
      </x:c>
      <x:c r="Z94" s="34" t="n">
        <x:v>-937.576667</x:v>
      </x:c>
      <x:c r="AA94" s="34" t="n">
        <x:v>6.73878</x:v>
      </x:c>
    </x:row>
    <x:row r="95">
      <x:c r="A95" s="34" t="str">
        <x:v>NIPPON_STEEL_JP</x:v>
      </x:c>
      <x:c r="B95" s="34" t="str">
        <x:v>Nippon Steel</x:v>
      </x:c>
      <x:c r="C95" s="34" t="str">
        <x:v>CAND-0B64D3C56ED2FD</x:v>
      </x:c>
      <x:c r="D95" s="34" t="str">
        <x:v>P1</x:v>
      </x:c>
      <x:c r="E95" s="34" t="str">
        <x:v>PORT-93BA44A86FDE</x:v>
      </x:c>
      <x:c r="F95" s="34" t="str">
        <x:v>ACCELERATED_15C</x:v>
      </x:c>
      <x:c r="G95" s="34" t="str">
        <x:v>DISCLOSED_PATH</x:v>
      </x:c>
      <x:c r="H95" s="40" t="b">
        <x:v>1</x:v>
      </x:c>
      <x:c r="I95" s="40" t="b">
        <x:v>1</x:v>
      </x:c>
      <x:c r="J95" s="40" t="b">
        <x:v>1</x:v>
      </x:c>
      <x:c r="K95" s="34" t="n">
        <x:v>468.703944</x:v>
      </x:c>
      <x:c r="L95" s="34" t="n">
        <x:v>5.955229</x:v>
      </x:c>
      <x:c r="M95" s="34" t="n">
        <x:v>0.710696</x:v>
      </x:c>
      <x:c r="N95" s="34" t="n">
        <x:v>-3.473667</x:v>
      </x:c>
      <x:c r="O95" s="34" t="n">
        <x:v>0.083349</x:v>
      </x:c>
      <x:c r="P95" s="34" t="n">
        <x:v>2791.239</x:v>
      </x:c>
      <x:c r="Q95" s="34" t="n">
        <x:v>333.106079</x:v>
      </x:c>
      <x:c r="R95" s="34" t="n">
        <x:v>1163.118</x:v>
      </x:c>
      <x:c r="S95" s="34" t="n">
        <x:v>346.307947</x:v>
      </x:c>
      <x:c r="T95" s="34" t="n">
        <x:v>0</x:v>
      </x:c>
      <x:c r="U95" s="34" t="n">
        <x:v>0</x:v>
      </x:c>
      <x:c r="V95" s="34" t="n">
        <x:v>-5015.074</x:v>
      </x:c>
      <x:c r="W95" s="34" t="n">
        <x:v>333.106079</x:v>
      </x:c>
      <x:c r="X95" s="34" t="n">
        <x:v>-7806.313</x:v>
      </x:c>
      <x:c r="Y95" s="34" t="n">
        <x:v>0</x:v>
      </x:c>
      <x:c r="Z95" s="34" t="n">
        <x:v>-968.220333</x:v>
      </x:c>
      <x:c r="AA95" s="34" t="n">
        <x:v>26.105065</x:v>
      </x:c>
    </x:row>
    <x:row r="96">
      <x:c r="A96" s="34" t="str">
        <x:v>NIPPON_STEEL_JP</x:v>
      </x:c>
      <x:c r="B96" s="34" t="str">
        <x:v>Nippon Steel</x:v>
      </x:c>
      <x:c r="C96" s="34" t="str">
        <x:v>CAND-0CCB31C64DEB2F</x:v>
      </x:c>
      <x:c r="D96" s="34" t="str">
        <x:v>P1</x:v>
      </x:c>
      <x:c r="E96" s="34" t="str">
        <x:v>PORT-4025A7B6BA3A</x:v>
      </x:c>
      <x:c r="F96" s="34" t="str">
        <x:v>ACCELERATED_15C</x:v>
      </x:c>
      <x:c r="G96" s="34" t="str">
        <x:v>DISCLOSED_PATH</x:v>
      </x:c>
      <x:c r="H96" s="40" t="b">
        <x:v>0</x:v>
      </x:c>
      <x:c r="I96" s="40" t="b">
        <x:v>1</x:v>
      </x:c>
      <x:c r="J96" s="40" t="b">
        <x:v>1</x:v>
      </x:c>
      <x:c r="K96" s="34" t="n">
        <x:v>379.748943</x:v>
      </x:c>
      <x:c r="L96" s="34" t="n">
        <x:v>10.409628</x:v>
      </x:c>
      <x:c r="M96" s="34" t="n">
        <x:v>0.19472</x:v>
      </x:c>
      <x:c r="N96" s="34" t="n">
        <x:v>-2.211557</x:v>
      </x:c>
      <x:c r="O96" s="34" t="n">
        <x:v>0.120163</x:v>
      </x:c>
      <x:c r="P96" s="34" t="n">
        <x:v>3953.045667</x:v>
      </x:c>
      <x:c r="Q96" s="34" t="n">
        <x:v>73.94486</x:v>
      </x:c>
      <x:c r="R96" s="34" t="n">
        <x:v>3113.209</x:v>
      </x:c>
      <x:c r="S96" s="34" t="n">
        <x:v>53.518662</x:v>
      </x:c>
      <x:c r="T96" s="34" t="n">
        <x:v>0</x:v>
      </x:c>
      <x:c r="U96" s="34" t="n">
        <x:v>0</x:v>
      </x:c>
      <x:c r="V96" s="34" t="n">
        <x:v>-2326.638667</x:v>
      </x:c>
      <x:c r="W96" s="34" t="n">
        <x:v>73.944562</x:v>
      </x:c>
      <x:c r="X96" s="34" t="n">
        <x:v>-6279.684</x:v>
      </x:c>
      <x:c r="Y96" s="34" t="n">
        <x:v>0</x:v>
      </x:c>
      <x:c r="Z96" s="34" t="n">
        <x:v>-538.366667</x:v>
      </x:c>
      <x:c r="AA96" s="34" t="n">
        <x:v>11.690348</x:v>
      </x:c>
    </x:row>
    <x:row r="97">
      <x:c r="A97" s="34" t="str">
        <x:v>NIPPON_STEEL_JP</x:v>
      </x:c>
      <x:c r="B97" s="34" t="str">
        <x:v>Nippon Steel</x:v>
      </x:c>
      <x:c r="C97" s="34" t="str">
        <x:v>CAND-0E307C2CAB5D7A</x:v>
      </x:c>
      <x:c r="D97" s="34" t="str">
        <x:v>P2</x:v>
      </x:c>
      <x:c r="E97" s="34" t="str">
        <x:v>PORT-792EEE640306</x:v>
      </x:c>
      <x:c r="F97" s="34" t="str">
        <x:v>ACCELERATED_15C</x:v>
      </x:c>
      <x:c r="G97" s="34" t="str">
        <x:v>DISCLOSED_PATH</x:v>
      </x:c>
      <x:c r="H97" s="40" t="b">
        <x:v>0</x:v>
      </x:c>
      <x:c r="I97" s="40" t="b">
        <x:v>1</x:v>
      </x:c>
      <x:c r="J97" s="40" t="b">
        <x:v>1</x:v>
      </x:c>
      <x:c r="K97" s="34" t="n">
        <x:v>339.438974</x:v>
      </x:c>
      <x:c r="L97" s="34" t="n">
        <x:v>10.664218</x:v>
      </x:c>
      <x:c r="M97" s="34" t="n">
        <x:v>0.406819</x:v>
      </x:c>
      <x:c r="N97" s="34" t="n">
        <x:v>-1.821289</x:v>
      </x:c>
      <x:c r="O97" s="34" t="n">
        <x:v>0.179183</x:v>
      </x:c>
      <x:c r="P97" s="34" t="n">
        <x:v>3619.851333</x:v>
      </x:c>
      <x:c r="Q97" s="34" t="n">
        <x:v>138.090421</x:v>
      </x:c>
      <x:c r="R97" s="34" t="n">
        <x:v>3001.635</x:v>
      </x:c>
      <x:c r="S97" s="34" t="n">
        <x:v>77.6065</x:v>
      </x:c>
      <x:c r="T97" s="34" t="n">
        <x:v>0</x:v>
      </x:c>
      <x:c r="U97" s="34" t="n">
        <x:v>0</x:v>
      </x:c>
      <x:c r="V97" s="34" t="n">
        <x:v>-1996.995333</x:v>
      </x:c>
      <x:c r="W97" s="34" t="n">
        <x:v>138.089846</x:v>
      </x:c>
      <x:c r="X97" s="34" t="n">
        <x:v>-5616.846</x:v>
      </x:c>
      <x:c r="Y97" s="34" t="n">
        <x:v>0</x:v>
      </x:c>
      <x:c r="Z97" s="34" t="n">
        <x:v>-778.897333</x:v>
      </x:c>
      <x:c r="AA97" s="34" t="n">
        <x:v>16.657445</x:v>
      </x:c>
    </x:row>
    <x:row r="98">
      <x:c r="A98" s="34" t="str">
        <x:v>NIPPON_STEEL_JP</x:v>
      </x:c>
      <x:c r="B98" s="34" t="str">
        <x:v>Nippon Steel</x:v>
      </x:c>
      <x:c r="C98" s="34" t="str">
        <x:v>CAND-185224D49A1B91</x:v>
      </x:c>
      <x:c r="D98" s="34" t="str">
        <x:v>P1</x:v>
      </x:c>
      <x:c r="E98" s="34" t="str">
        <x:v>PORT-3391EE4132D6</x:v>
      </x:c>
      <x:c r="F98" s="34" t="str">
        <x:v>ACCELERATED_15C</x:v>
      </x:c>
      <x:c r="G98" s="34" t="str">
        <x:v>DISCLOSED_PATH</x:v>
      </x:c>
      <x:c r="H98" s="40" t="b">
        <x:v>1</x:v>
      </x:c>
      <x:c r="I98" s="40" t="b">
        <x:v>0</x:v>
      </x:c>
      <x:c r="J98" s="40" t="b">
        <x:v>1</x:v>
      </x:c>
      <x:c r="K98" s="34" t="n">
        <x:v>453.828942</x:v>
      </x:c>
      <x:c r="L98" s="34" t="n">
        <x:v>9.166998</x:v>
      </x:c>
      <x:c r="M98" s="34" t="n">
        <x:v>0.146044</x:v>
      </x:c>
      <x:c r="N98" s="34" t="n">
        <x:v>-2.436525</x:v>
      </x:c>
      <x:c r="O98" s="34" t="n">
        <x:v>0.442524</x:v>
      </x:c>
      <x:c r="P98" s="34" t="n">
        <x:v>4160.248667</x:v>
      </x:c>
      <x:c r="Q98" s="34" t="n">
        <x:v>66.278997</x:v>
      </x:c>
      <x:c r="R98" s="34" t="n">
        <x:v>3054.483333</x:v>
      </x:c>
      <x:c r="S98" s="34" t="n">
        <x:v>170.778507</x:v>
      </x:c>
      <x:c r="T98" s="34" t="n">
        <x:v>0</x:v>
      </x:c>
      <x:c r="U98" s="34" t="n">
        <x:v>0</x:v>
      </x:c>
      <x:c r="V98" s="34" t="n">
        <x:v>-3390.892667</x:v>
      </x:c>
      <x:c r="W98" s="34" t="n">
        <x:v>66.279059</x:v>
      </x:c>
      <x:c r="X98" s="34" t="n">
        <x:v>-7551.142</x:v>
      </x:c>
      <x:c r="Y98" s="34" t="n">
        <x:v>0</x:v>
      </x:c>
      <x:c r="Z98" s="34" t="n">
        <x:v>-807.196333</x:v>
      </x:c>
      <x:c r="AA98" s="34" t="n">
        <x:v>15.63418</x:v>
      </x:c>
    </x:row>
    <x:row r="99">
      <x:c r="A99" s="34" t="str">
        <x:v>NIPPON_STEEL_JP</x:v>
      </x:c>
      <x:c r="B99" s="34" t="str">
        <x:v>Nippon Steel</x:v>
      </x:c>
      <x:c r="C99" s="34" t="str">
        <x:v>CAND-18F73BD54A9F34</x:v>
      </x:c>
      <x:c r="D99" s="34" t="str">
        <x:v>P1</x:v>
      </x:c>
      <x:c r="E99" s="34" t="str">
        <x:v>PORT-6742936593A9</x:v>
      </x:c>
      <x:c r="F99" s="34" t="str">
        <x:v>ACCELERATED_15C</x:v>
      </x:c>
      <x:c r="G99" s="34" t="str">
        <x:v>DISCLOSED_PATH</x:v>
      </x:c>
      <x:c r="H99" s="40" t="b">
        <x:v>1</x:v>
      </x:c>
      <x:c r="I99" s="40" t="b">
        <x:v>1</x:v>
      </x:c>
      <x:c r="J99" s="40" t="b">
        <x:v>1</x:v>
      </x:c>
      <x:c r="K99" s="34" t="n">
        <x:v>454.753949</x:v>
      </x:c>
      <x:c r="L99" s="34" t="n">
        <x:v>9.169999</x:v>
      </x:c>
      <x:c r="M99" s="34" t="n">
        <x:v>0.596253</x:v>
      </x:c>
      <x:c r="N99" s="34" t="n">
        <x:v>-3.038641</x:v>
      </x:c>
      <x:c r="O99" s="34" t="n">
        <x:v>0.658842</x:v>
      </x:c>
      <x:c r="P99" s="34" t="n">
        <x:v>4170.093333</x:v>
      </x:c>
      <x:c r="Q99" s="34" t="n">
        <x:v>271.148542</x:v>
      </x:c>
      <x:c r="R99" s="34" t="n">
        <x:v>2788.259667</x:v>
      </x:c>
      <x:c r="S99" s="34" t="n">
        <x:v>181.196066</x:v>
      </x:c>
      <x:c r="T99" s="34" t="n">
        <x:v>0</x:v>
      </x:c>
      <x:c r="U99" s="34" t="n">
        <x:v>0</x:v>
      </x:c>
      <x:c r="V99" s="34" t="n">
        <x:v>-3401.338333</x:v>
      </x:c>
      <x:c r="W99" s="34" t="n">
        <x:v>271.148019</x:v>
      </x:c>
      <x:c r="X99" s="34" t="n">
        <x:v>-7571.432</x:v>
      </x:c>
      <x:c r="Y99" s="34" t="n">
        <x:v>0</x:v>
      </x:c>
      <x:c r="Z99" s="34" t="n">
        <x:v>-799.379</x:v>
      </x:c>
      <x:c r="AA99" s="34" t="n">
        <x:v>22.695407</x:v>
      </x:c>
    </x:row>
    <x:row r="100">
      <x:c r="A100" s="34" t="str">
        <x:v>NIPPON_STEEL_JP</x:v>
      </x:c>
      <x:c r="B100" s="34" t="str">
        <x:v>Nippon Steel</x:v>
      </x:c>
      <x:c r="C100" s="34" t="str">
        <x:v>CAND-1D35A6D7D808A4</x:v>
      </x:c>
      <x:c r="D100" s="34" t="str">
        <x:v>P1</x:v>
      </x:c>
      <x:c r="E100" s="34" t="str">
        <x:v>PORT-5DE4D9A04480</x:v>
      </x:c>
      <x:c r="F100" s="34" t="str">
        <x:v>ACCELERATED_15C</x:v>
      </x:c>
      <x:c r="G100" s="34" t="str">
        <x:v>DISCLOSED_PATH</x:v>
      </x:c>
      <x:c r="H100" s="40" t="b">
        <x:v>1</x:v>
      </x:c>
      <x:c r="I100" s="40" t="b">
        <x:v>1</x:v>
      </x:c>
      <x:c r="J100" s="40" t="b">
        <x:v>1</x:v>
      </x:c>
      <x:c r="K100" s="34" t="n">
        <x:v>461.703943</x:v>
      </x:c>
      <x:c r="L100" s="34" t="n">
        <x:v>7.279681</x:v>
      </x:c>
      <x:c r="M100" s="34" t="n">
        <x:v>0.376989</x:v>
      </x:c>
      <x:c r="N100" s="34" t="n">
        <x:v>-2.245447</x:v>
      </x:c>
      <x:c r="O100" s="34" t="n">
        <x:v>0.335129</x:v>
      </x:c>
      <x:c r="P100" s="34" t="n">
        <x:v>3361.057667</x:v>
      </x:c>
      <x:c r="Q100" s="34" t="n">
        <x:v>174.057847</x:v>
      </x:c>
      <x:c r="R100" s="34" t="n">
        <x:v>2324.326</x:v>
      </x:c>
      <x:c r="S100" s="34" t="n">
        <x:v>34.636051</x:v>
      </x:c>
      <x:c r="T100" s="34" t="n">
        <x:v>0</x:v>
      </x:c>
      <x:c r="U100" s="34" t="n">
        <x:v>0</x:v>
      </x:c>
      <x:c r="V100" s="34" t="n">
        <x:v>-4324.656333</x:v>
      </x:c>
      <x:c r="W100" s="34" t="n">
        <x:v>174.057847</x:v>
      </x:c>
      <x:c r="X100" s="34" t="n">
        <x:v>-7685.714</x:v>
      </x:c>
      <x:c r="Y100" s="34" t="n">
        <x:v>0</x:v>
      </x:c>
      <x:c r="Z100" s="34" t="n">
        <x:v>-848.344333</x:v>
      </x:c>
      <x:c r="AA100" s="34" t="n">
        <x:v>18.593054</x:v>
      </x:c>
    </x:row>
    <x:row r="101">
      <x:c r="A101" s="34" t="str">
        <x:v>NIPPON_STEEL_JP</x:v>
      </x:c>
      <x:c r="B101" s="34" t="str">
        <x:v>Nippon Steel</x:v>
      </x:c>
      <x:c r="C101" s="34" t="str">
        <x:v>CAND-1F99EBB5AE8665</x:v>
      </x:c>
      <x:c r="D101" s="34" t="str">
        <x:v>P3</x:v>
      </x:c>
      <x:c r="E101" s="34" t="str">
        <x:v>PORT-05EE518306D9</x:v>
      </x:c>
      <x:c r="F101" s="34" t="str">
        <x:v>ACCELERATED_15C</x:v>
      </x:c>
      <x:c r="G101" s="34" t="str">
        <x:v>DISCLOSED_PATH</x:v>
      </x:c>
      <x:c r="H101" s="40" t="b">
        <x:v>1</x:v>
      </x:c>
      <x:c r="I101" s="40" t="b">
        <x:v>1</x:v>
      </x:c>
      <x:c r="J101" s="40" t="b">
        <x:v>1</x:v>
      </x:c>
      <x:c r="K101" s="34" t="n">
        <x:v>460.828943</x:v>
      </x:c>
      <x:c r="L101" s="34" t="n">
        <x:v>10.753337</x:v>
      </x:c>
      <x:c r="M101" s="34" t="n">
        <x:v>0.370011</x:v>
      </x:c>
      <x:c r="N101" s="34" t="n">
        <x:v>-0.863245</x:v>
      </x:c>
      <x:c r="O101" s="34" t="n">
        <x:v>0.278242</x:v>
      </x:c>
      <x:c r="P101" s="34" t="n">
        <x:v>4955.449</x:v>
      </x:c>
      <x:c r="Q101" s="34" t="n">
        <x:v>170.51116</x:v>
      </x:c>
      <x:c r="R101" s="34" t="n">
        <x:v>4557.641</x:v>
      </x:c>
      <x:c r="S101" s="34" t="n">
        <x:v>79.466284</x:v>
      </x:c>
      <x:c r="T101" s="34" t="n">
        <x:v>0</x:v>
      </x:c>
      <x:c r="U101" s="34" t="n">
        <x:v>0</x:v>
      </x:c>
      <x:c r="V101" s="34" t="n">
        <x:v>-2716.291</x:v>
      </x:c>
      <x:c r="W101" s="34" t="n">
        <x:v>170.51116</x:v>
      </x:c>
      <x:c r="X101" s="34" t="n">
        <x:v>-7671.74</x:v>
      </x:c>
      <x:c r="Y101" s="34" t="n">
        <x:v>0</x:v>
      </x:c>
      <x:c r="Z101" s="34" t="n">
        <x:v>-2290.089</x:v>
      </x:c>
      <x:c r="AA101" s="34" t="n">
        <x:v>24.95497</x:v>
      </x:c>
    </x:row>
    <x:row r="102">
      <x:c r="A102" s="34" t="str">
        <x:v>NIPPON_STEEL_JP</x:v>
      </x:c>
      <x:c r="B102" s="34" t="str">
        <x:v>Nippon Steel</x:v>
      </x:c>
      <x:c r="C102" s="34" t="str">
        <x:v>CAND-1FF01FDB28F13A</x:v>
      </x:c>
      <x:c r="D102" s="34" t="str">
        <x:v>P4</x:v>
      </x:c>
      <x:c r="E102" s="34" t="str">
        <x:v>PORT-D74D023C0D05</x:v>
      </x:c>
      <x:c r="F102" s="34" t="str">
        <x:v>ACCELERATED_15C</x:v>
      </x:c>
      <x:c r="G102" s="34" t="str">
        <x:v>DISCLOSED_PATH</x:v>
      </x:c>
      <x:c r="H102" s="40" t="b">
        <x:v>1</x:v>
      </x:c>
      <x:c r="I102" s="40" t="b">
        <x:v>0</x:v>
      </x:c>
      <x:c r="J102" s="40" t="b">
        <x:v>1</x:v>
      </x:c>
      <x:c r="K102" s="34" t="n">
        <x:v>521.418946</x:v>
      </x:c>
      <x:c r="L102" s="34" t="n">
        <x:v>12.167045</x:v>
      </x:c>
      <x:c r="M102" s="34" t="n">
        <x:v>0.149313</x:v>
      </x:c>
      <x:c r="N102" s="34" t="n">
        <x:v>-0.659583</x:v>
      </x:c>
      <x:c r="O102" s="34" t="n">
        <x:v>0.206489</x:v>
      </x:c>
      <x:c r="P102" s="34" t="n">
        <x:v>6344.127667</x:v>
      </x:c>
      <x:c r="Q102" s="34" t="n">
        <x:v>77.854382</x:v>
      </x:c>
      <x:c r="R102" s="34" t="n">
        <x:v>6000.208333</x:v>
      </x:c>
      <x:c r="S102" s="34" t="n">
        <x:v>39.749661</x:v>
      </x:c>
      <x:c r="T102" s="34" t="n">
        <x:v>0</x:v>
      </x:c>
      <x:c r="U102" s="34" t="n">
        <x:v>0</x:v>
      </x:c>
      <x:c r="V102" s="34" t="n">
        <x:v>-2233.428</x:v>
      </x:c>
      <x:c r="W102" s="34" t="n">
        <x:v>77.854946</x:v>
      </x:c>
      <x:c r="X102" s="34" t="n">
        <x:v>-8577.556</x:v>
      </x:c>
      <x:c r="Y102" s="34" t="n">
        <x:v>0</x:v>
      </x:c>
      <x:c r="Z102" s="34" t="n">
        <x:v>-3465.184667</x:v>
      </x:c>
      <x:c r="AA102" s="34" t="n">
        <x:v>63.987288</x:v>
      </x:c>
    </x:row>
    <x:row r="103">
      <x:c r="A103" s="34" t="str">
        <x:v>NIPPON_STEEL_JP</x:v>
      </x:c>
      <x:c r="B103" s="34" t="str">
        <x:v>Nippon Steel</x:v>
      </x:c>
      <x:c r="C103" s="34" t="str">
        <x:v>CAND-23459FF23C9DCD</x:v>
      </x:c>
      <x:c r="D103" s="34" t="str">
        <x:v>P1</x:v>
      </x:c>
      <x:c r="E103" s="34" t="str">
        <x:v>PORT-032FE0BDCFB5</x:v>
      </x:c>
      <x:c r="F103" s="34" t="str">
        <x:v>ACCELERATED_15C</x:v>
      </x:c>
      <x:c r="G103" s="34" t="str">
        <x:v>DISCLOSED_PATH</x:v>
      </x:c>
      <x:c r="H103" s="40" t="b">
        <x:v>0</x:v>
      </x:c>
      <x:c r="I103" s="40" t="b">
        <x:v>1</x:v>
      </x:c>
      <x:c r="J103" s="40" t="b">
        <x:v>1</x:v>
      </x:c>
      <x:c r="K103" s="34" t="n">
        <x:v>326.198932</x:v>
      </x:c>
      <x:c r="L103" s="34" t="n">
        <x:v>12.317844</x:v>
      </x:c>
      <x:c r="M103" s="34" t="n">
        <x:v>0.111388</x:v>
      </x:c>
      <x:c r="N103" s="34" t="n">
        <x:v>-1.171389</x:v>
      </x:c>
      <x:c r="O103" s="34" t="n">
        <x:v>0.287141</x:v>
      </x:c>
      <x:c r="P103" s="34" t="n">
        <x:v>4018.067667</x:v>
      </x:c>
      <x:c r="Q103" s="34" t="n">
        <x:v>36.334298</x:v>
      </x:c>
      <x:c r="R103" s="34" t="n">
        <x:v>3635.962</x:v>
      </x:c>
      <x:c r="S103" s="34" t="n">
        <x:v>57.59311</x:v>
      </x:c>
      <x:c r="T103" s="34" t="n">
        <x:v>0</x:v>
      </x:c>
      <x:c r="U103" s="34" t="n">
        <x:v>0</x:v>
      </x:c>
      <x:c r="V103" s="34" t="n">
        <x:v>-1346.522667</x:v>
      </x:c>
      <x:c r="W103" s="34" t="n">
        <x:v>36.33484</x:v>
      </x:c>
      <x:c r="X103" s="34" t="n">
        <x:v>-5364.591</x:v>
      </x:c>
      <x:c r="Y103" s="34" t="n">
        <x:v>0</x:v>
      </x:c>
      <x:c r="Z103" s="34" t="n">
        <x:v>-466.736</x:v>
      </x:c>
      <x:c r="AA103" s="34" t="n">
        <x:v>3.101647</x:v>
      </x:c>
    </x:row>
    <x:row r="104">
      <x:c r="A104" s="34" t="str">
        <x:v>NIPPON_STEEL_JP</x:v>
      </x:c>
      <x:c r="B104" s="34" t="str">
        <x:v>Nippon Steel</x:v>
      </x:c>
      <x:c r="C104" s="34" t="str">
        <x:v>CAND-2E3E235F5F3F44</x:v>
      </x:c>
      <x:c r="D104" s="34" t="str">
        <x:v>P2</x:v>
      </x:c>
      <x:c r="E104" s="34" t="str">
        <x:v>PORT-0ACD636A8AEE</x:v>
      </x:c>
      <x:c r="F104" s="34" t="str">
        <x:v>ACCELERATED_15C</x:v>
      </x:c>
      <x:c r="G104" s="34" t="str">
        <x:v>DISCLOSED_PATH</x:v>
      </x:c>
      <x:c r="H104" s="40" t="b">
        <x:v>1</x:v>
      </x:c>
      <x:c r="I104" s="40" t="b">
        <x:v>0</x:v>
      </x:c>
      <x:c r="J104" s="40" t="b">
        <x:v>1</x:v>
      </x:c>
      <x:c r="K104" s="34" t="n">
        <x:v>446.878947</x:v>
      </x:c>
      <x:c r="L104" s="34" t="n">
        <x:v>11.442017</x:v>
      </x:c>
      <x:c r="M104" s="34" t="n">
        <x:v>0.253699</x:v>
      </x:c>
      <x:c r="N104" s="34" t="n">
        <x:v>-1.58204</x:v>
      </x:c>
      <x:c r="O104" s="34" t="n">
        <x:v>0.460308</x:v>
      </x:c>
      <x:c r="P104" s="34" t="n">
        <x:v>5113.196333</x:v>
      </x:c>
      <x:c r="Q104" s="34" t="n">
        <x:v>113.372992</x:v>
      </x:c>
      <x:c r="R104" s="34" t="n">
        <x:v>4406.216333</x:v>
      </x:c>
      <x:c r="S104" s="34" t="n">
        <x:v>242.355593</x:v>
      </x:c>
      <x:c r="T104" s="34" t="n">
        <x:v>0</x:v>
      </x:c>
      <x:c r="U104" s="34" t="n">
        <x:v>0</x:v>
      </x:c>
      <x:c r="V104" s="34" t="n">
        <x:v>-2323.662333</x:v>
      </x:c>
      <x:c r="W104" s="34" t="n">
        <x:v>113.372689</x:v>
      </x:c>
      <x:c r="X104" s="34" t="n">
        <x:v>-7436.859</x:v>
      </x:c>
      <x:c r="Y104" s="34" t="n">
        <x:v>0</x:v>
      </x:c>
      <x:c r="Z104" s="34" t="n">
        <x:v>-993.827667</x:v>
      </x:c>
      <x:c r="AA104" s="34" t="n">
        <x:v>22.157012</x:v>
      </x:c>
    </x:row>
    <x:row r="105">
      <x:c r="A105" s="34" t="str">
        <x:v>NIPPON_STEEL_JP</x:v>
      </x:c>
      <x:c r="B105" s="34" t="str">
        <x:v>Nippon Steel</x:v>
      </x:c>
      <x:c r="C105" s="34" t="str">
        <x:v>CAND-32B1C4DEC95227</x:v>
      </x:c>
      <x:c r="D105" s="34" t="str">
        <x:v>P3</x:v>
      </x:c>
      <x:c r="E105" s="34" t="str">
        <x:v>PORT-0ACD636A8AEE</x:v>
      </x:c>
      <x:c r="F105" s="34" t="str">
        <x:v>ACCELERATED_15C</x:v>
      </x:c>
      <x:c r="G105" s="34" t="str">
        <x:v>DISCLOSED_PATH</x:v>
      </x:c>
      <x:c r="H105" s="40" t="b">
        <x:v>1</x:v>
      </x:c>
      <x:c r="I105" s="40" t="b">
        <x:v>0</x:v>
      </x:c>
      <x:c r="J105" s="40" t="b">
        <x:v>1</x:v>
      </x:c>
      <x:c r="K105" s="34" t="n">
        <x:v>446.878947</x:v>
      </x:c>
      <x:c r="L105" s="34" t="n">
        <x:v>12.215058</x:v>
      </x:c>
      <x:c r="M105" s="34" t="n">
        <x:v>0.200866</x:v>
      </x:c>
      <x:c r="N105" s="34" t="n">
        <x:v>-1.211274</x:v>
      </x:c>
      <x:c r="O105" s="34" t="n">
        <x:v>0.310731</x:v>
      </x:c>
      <x:c r="P105" s="34" t="n">
        <x:v>5458.652667</x:v>
      </x:c>
      <x:c r="Q105" s="34" t="n">
        <x:v>89.763114</x:v>
      </x:c>
      <x:c r="R105" s="34" t="n">
        <x:v>4917.36</x:v>
      </x:c>
      <x:c r="S105" s="34" t="n">
        <x:v>169.3403</x:v>
      </x:c>
      <x:c r="T105" s="34" t="n">
        <x:v>0</x:v>
      </x:c>
      <x:c r="U105" s="34" t="n">
        <x:v>0</x:v>
      </x:c>
      <x:c r="V105" s="34" t="n">
        <x:v>-1978.206667</x:v>
      </x:c>
      <x:c r="W105" s="34" t="n">
        <x:v>89.763364</x:v>
      </x:c>
      <x:c r="X105" s="34" t="n">
        <x:v>-7436.859</x:v>
      </x:c>
      <x:c r="Y105" s="34" t="n">
        <x:v>0</x:v>
      </x:c>
      <x:c r="Z105" s="34" t="n">
        <x:v>-1308.768333</x:v>
      </x:c>
      <x:c r="AA105" s="34" t="n">
        <x:v>6.270603</x:v>
      </x:c>
    </x:row>
    <x:row r="106">
      <x:c r="A106" s="34" t="str">
        <x:v>NIPPON_STEEL_JP</x:v>
      </x:c>
      <x:c r="B106" s="34" t="str">
        <x:v>Nippon Steel</x:v>
      </x:c>
      <x:c r="C106" s="34" t="str">
        <x:v>CAND-33480771F67BD6</x:v>
      </x:c>
      <x:c r="D106" s="34" t="str">
        <x:v>P2</x:v>
      </x:c>
      <x:c r="E106" s="34" t="str">
        <x:v>PORT-5DE4D9A04480</x:v>
      </x:c>
      <x:c r="F106" s="34" t="str">
        <x:v>ACCELERATED_15C</x:v>
      </x:c>
      <x:c r="G106" s="34" t="str">
        <x:v>DISCLOSED_PATH</x:v>
      </x:c>
      <x:c r="H106" s="40" t="b">
        <x:v>1</x:v>
      </x:c>
      <x:c r="I106" s="40" t="b">
        <x:v>1</x:v>
      </x:c>
      <x:c r="J106" s="40" t="b">
        <x:v>1</x:v>
      </x:c>
      <x:c r="K106" s="34" t="n">
        <x:v>461.703943</x:v>
      </x:c>
      <x:c r="L106" s="34" t="n">
        <x:v>8.599993</x:v>
      </x:c>
      <x:c r="M106" s="34" t="n">
        <x:v>0.313264</x:v>
      </x:c>
      <x:c r="N106" s="34" t="n">
        <x:v>-1.654029</x:v>
      </x:c>
      <x:c r="O106" s="34" t="n">
        <x:v>0.323536</x:v>
      </x:c>
      <x:c r="P106" s="34" t="n">
        <x:v>3970.650333</x:v>
      </x:c>
      <x:c r="Q106" s="34" t="n">
        <x:v>144.63494</x:v>
      </x:c>
      <x:c r="R106" s="34" t="n">
        <x:v>3206.979667</x:v>
      </x:c>
      <x:c r="S106" s="34" t="n">
        <x:v>32.104463</x:v>
      </x:c>
      <x:c r="T106" s="34" t="n">
        <x:v>0</x:v>
      </x:c>
      <x:c r="U106" s="34" t="n">
        <x:v>0</x:v>
      </x:c>
      <x:c r="V106" s="34" t="n">
        <x:v>-3715.062667</x:v>
      </x:c>
      <x:c r="W106" s="34" t="n">
        <x:v>144.63494</x:v>
      </x:c>
      <x:c r="X106" s="34" t="n">
        <x:v>-7685.714</x:v>
      </x:c>
      <x:c r="Y106" s="34" t="n">
        <x:v>0</x:v>
      </x:c>
      <x:c r="Z106" s="34" t="n">
        <x:v>-1457.295333</x:v>
      </x:c>
      <x:c r="AA106" s="34" t="n">
        <x:v>45.584654</x:v>
      </x:c>
    </x:row>
    <x:row r="107">
      <x:c r="A107" s="34" t="str">
        <x:v>NIPPON_STEEL_JP</x:v>
      </x:c>
      <x:c r="B107" s="34" t="str">
        <x:v>Nippon Steel</x:v>
      </x:c>
      <x:c r="C107" s="34" t="str">
        <x:v>CAND-3DE8D6197F9834</x:v>
      </x:c>
      <x:c r="D107" s="34" t="str">
        <x:v>P3</x:v>
      </x:c>
      <x:c r="E107" s="34" t="str">
        <x:v>PORT-7F141003EFD9</x:v>
      </x:c>
      <x:c r="F107" s="34" t="str">
        <x:v>ACCELERATED_15C</x:v>
      </x:c>
      <x:c r="G107" s="34" t="str">
        <x:v>DISCLOSED_PATH</x:v>
      </x:c>
      <x:c r="H107" s="40" t="b">
        <x:v>1</x:v>
      </x:c>
      <x:c r="I107" s="40" t="b">
        <x:v>1</x:v>
      </x:c>
      <x:c r="J107" s="40" t="b">
        <x:v>1</x:v>
      </x:c>
      <x:c r="K107" s="34" t="n">
        <x:v>466.428943</x:v>
      </x:c>
      <x:c r="L107" s="34" t="n">
        <x:v>10.146621</x:v>
      </x:c>
      <x:c r="M107" s="34" t="n">
        <x:v>0.445523</x:v>
      </x:c>
      <x:c r="N107" s="34" t="n">
        <x:v>-1.146383</x:v>
      </x:c>
      <x:c r="O107" s="34" t="n">
        <x:v>0.841939</x:v>
      </x:c>
      <x:c r="P107" s="34" t="n">
        <x:v>4732.677333</x:v>
      </x:c>
      <x:c r="Q107" s="34" t="n">
        <x:v>207.804719</x:v>
      </x:c>
      <x:c r="R107" s="34" t="n">
        <x:v>4197.971</x:v>
      </x:c>
      <x:c r="S107" s="34" t="n">
        <x:v>204.550164</x:v>
      </x:c>
      <x:c r="T107" s="34" t="n">
        <x:v>0</x:v>
      </x:c>
      <x:c r="U107" s="34" t="n">
        <x:v>0</x:v>
      </x:c>
      <x:c r="V107" s="34" t="n">
        <x:v>-3034.359333</x:v>
      </x:c>
      <x:c r="W107" s="34" t="n">
        <x:v>207.804239</x:v>
      </x:c>
      <x:c r="X107" s="34" t="n">
        <x:v>-7767.037</x:v>
      </x:c>
      <x:c r="Y107" s="34" t="n">
        <x:v>0</x:v>
      </x:c>
      <x:c r="Z107" s="34" t="n">
        <x:v>-2698.463667</x:v>
      </x:c>
      <x:c r="AA107" s="34" t="n">
        <x:v>34.40279</x:v>
      </x:c>
    </x:row>
    <x:row r="108">
      <x:c r="A108" s="34" t="str">
        <x:v>NIPPON_STEEL_JP</x:v>
      </x:c>
      <x:c r="B108" s="34" t="str">
        <x:v>Nippon Steel</x:v>
      </x:c>
      <x:c r="C108" s="34" t="str">
        <x:v>CAND-43ED54F71B5B31</x:v>
      </x:c>
      <x:c r="D108" s="34" t="str">
        <x:v>P2</x:v>
      </x:c>
      <x:c r="E108" s="34" t="str">
        <x:v>PORT-00A7244DC13E</x:v>
      </x:c>
      <x:c r="F108" s="34" t="str">
        <x:v>ACCELERATED_15C</x:v>
      </x:c>
      <x:c r="G108" s="34" t="str">
        <x:v>DISCLOSED_PATH</x:v>
      </x:c>
      <x:c r="H108" s="40" t="b">
        <x:v>0</x:v>
      </x:c>
      <x:c r="I108" s="40" t="b">
        <x:v>1</x:v>
      </x:c>
      <x:c r="J108" s="40" t="b">
        <x:v>1</x:v>
      </x:c>
      <x:c r="K108" s="34" t="n">
        <x:v>366.843974</x:v>
      </x:c>
      <x:c r="L108" s="34" t="n">
        <x:v>11.068203</x:v>
      </x:c>
      <x:c r="M108" s="34" t="n">
        <x:v>0.616415</x:v>
      </x:c>
      <x:c r="N108" s="34" t="n">
        <x:v>-2.123595</x:v>
      </x:c>
      <x:c r="O108" s="34" t="n">
        <x:v>0.786859</x:v>
      </x:c>
      <x:c r="P108" s="34" t="n">
        <x:v>4060.303333</x:v>
      </x:c>
      <x:c r="Q108" s="34" t="n">
        <x:v>226.128748</x:v>
      </x:c>
      <x:c r="R108" s="34" t="n">
        <x:v>3281.275</x:v>
      </x:c>
      <x:c r="S108" s="34" t="n">
        <x:v>116.391245</x:v>
      </x:c>
      <x:c r="T108" s="34" t="n">
        <x:v>0</x:v>
      </x:c>
      <x:c r="U108" s="34" t="n">
        <x:v>0</x:v>
      </x:c>
      <x:c r="V108" s="34" t="n">
        <x:v>-2028.217</x:v>
      </x:c>
      <x:c r="W108" s="34" t="n">
        <x:v>226.128323</x:v>
      </x:c>
      <x:c r="X108" s="34" t="n">
        <x:v>-6088.521</x:v>
      </x:c>
      <x:c r="Y108" s="34" t="n">
        <x:v>0</x:v>
      </x:c>
      <x:c r="Z108" s="34" t="n">
        <x:v>-862.622667</x:v>
      </x:c>
      <x:c r="AA108" s="34" t="n">
        <x:v>14.287902</x:v>
      </x:c>
    </x:row>
    <x:row r="109">
      <x:c r="A109" s="34" t="str">
        <x:v>NIPPON_STEEL_JP</x:v>
      </x:c>
      <x:c r="B109" s="34" t="str">
        <x:v>Nippon Steel</x:v>
      </x:c>
      <x:c r="C109" s="34" t="str">
        <x:v>CAND-450CB289C8C9D2</x:v>
      </x:c>
      <x:c r="D109" s="34" t="str">
        <x:v>P1</x:v>
      </x:c>
      <x:c r="E109" s="34" t="str">
        <x:v>PORT-00A7244DC13E</x:v>
      </x:c>
      <x:c r="F109" s="34" t="str">
        <x:v>ACCELERATED_15C</x:v>
      </x:c>
      <x:c r="G109" s="34" t="str">
        <x:v>DISCLOSED_PATH</x:v>
      </x:c>
      <x:c r="H109" s="40" t="b">
        <x:v>0</x:v>
      </x:c>
      <x:c r="I109" s="40" t="b">
        <x:v>1</x:v>
      </x:c>
      <x:c r="J109" s="40" t="b">
        <x:v>1</x:v>
      </x:c>
      <x:c r="K109" s="34" t="n">
        <x:v>366.843974</x:v>
      </x:c>
      <x:c r="L109" s="34" t="n">
        <x:v>10.37158</x:v>
      </x:c>
      <x:c r="M109" s="34" t="n">
        <x:v>0.783111</x:v>
      </x:c>
      <x:c r="N109" s="34" t="n">
        <x:v>-2.690894</x:v>
      </x:c>
      <x:c r="O109" s="34" t="n">
        <x:v>1.07029</x:v>
      </x:c>
      <x:c r="P109" s="34" t="n">
        <x:v>3804.751667</x:v>
      </x:c>
      <x:c r="Q109" s="34" t="n">
        <x:v>287.279915</x:v>
      </x:c>
      <x:c r="R109" s="34" t="n">
        <x:v>2817.613333</x:v>
      </x:c>
      <x:c r="S109" s="34" t="n">
        <x:v>166.043427</x:v>
      </x:c>
      <x:c r="T109" s="34" t="n">
        <x:v>0</x:v>
      </x:c>
      <x:c r="U109" s="34" t="n">
        <x:v>0</x:v>
      </x:c>
      <x:c r="V109" s="34" t="n">
        <x:v>-2283.769</x:v>
      </x:c>
      <x:c r="W109" s="34" t="n">
        <x:v>287.279389</x:v>
      </x:c>
      <x:c r="X109" s="34" t="n">
        <x:v>-6088.521</x:v>
      </x:c>
      <x:c r="Y109" s="34" t="n">
        <x:v>0</x:v>
      </x:c>
      <x:c r="Z109" s="34" t="n">
        <x:v>-581.723333</x:v>
      </x:c>
      <x:c r="AA109" s="34" t="n">
        <x:v>10.179887</x:v>
      </x:c>
    </x:row>
    <x:row r="110">
      <x:c r="A110" s="34" t="str">
        <x:v>NIPPON_STEEL_JP</x:v>
      </x:c>
      <x:c r="B110" s="34" t="str">
        <x:v>Nippon Steel</x:v>
      </x:c>
      <x:c r="C110" s="34" t="str">
        <x:v>CAND-45605758418B60</x:v>
      </x:c>
      <x:c r="D110" s="34" t="str">
        <x:v>P2</x:v>
      </x:c>
      <x:c r="E110" s="34" t="str">
        <x:v>PORT-3391EE4132D6</x:v>
      </x:c>
      <x:c r="F110" s="34" t="str">
        <x:v>ACCELERATED_15C</x:v>
      </x:c>
      <x:c r="G110" s="34" t="str">
        <x:v>DISCLOSED_PATH</x:v>
      </x:c>
      <x:c r="H110" s="40" t="b">
        <x:v>1</x:v>
      </x:c>
      <x:c r="I110" s="40" t="b">
        <x:v>0</x:v>
      </x:c>
      <x:c r="J110" s="40" t="b">
        <x:v>1</x:v>
      </x:c>
      <x:c r="K110" s="34" t="n">
        <x:v>453.828942</x:v>
      </x:c>
      <x:c r="L110" s="34" t="n">
        <x:v>10.153609</x:v>
      </x:c>
      <x:c r="M110" s="34" t="n">
        <x:v>0.177222</x:v>
      </x:c>
      <x:c r="N110" s="34" t="n">
        <x:v>-1.886753</x:v>
      </x:c>
      <x:c r="O110" s="34" t="n">
        <x:v>0.380897</x:v>
      </x:c>
      <x:c r="P110" s="34" t="n">
        <x:v>4608.001333</x:v>
      </x:c>
      <x:c r="Q110" s="34" t="n">
        <x:v>80.42852</x:v>
      </x:c>
      <x:c r="R110" s="34" t="n">
        <x:v>3751.738333</x:v>
      </x:c>
      <x:c r="S110" s="34" t="n">
        <x:v>125.208523</x:v>
      </x:c>
      <x:c r="T110" s="34" t="n">
        <x:v>0</x:v>
      </x:c>
      <x:c r="U110" s="34" t="n">
        <x:v>0</x:v>
      </x:c>
      <x:c r="V110" s="34" t="n">
        <x:v>-2943.14</x:v>
      </x:c>
      <x:c r="W110" s="34" t="n">
        <x:v>80.428667</x:v>
      </x:c>
      <x:c r="X110" s="34" t="n">
        <x:v>-7551.142</x:v>
      </x:c>
      <x:c r="Y110" s="34" t="n">
        <x:v>0</x:v>
      </x:c>
      <x:c r="Z110" s="34" t="n">
        <x:v>-1229.697333</x:v>
      </x:c>
      <x:c r="AA110" s="34" t="n">
        <x:v>25.142109</x:v>
      </x:c>
    </x:row>
    <x:row r="111">
      <x:c r="A111" s="34" t="str">
        <x:v>NIPPON_STEEL_JP</x:v>
      </x:c>
      <x:c r="B111" s="34" t="str">
        <x:v>Nippon Steel</x:v>
      </x:c>
      <x:c r="C111" s="34" t="str">
        <x:v>CAND-478F19D65CB3E6</x:v>
      </x:c>
      <x:c r="D111" s="34" t="str">
        <x:v>P2</x:v>
      </x:c>
      <x:c r="E111" s="34" t="str">
        <x:v>PORT-760BEDA2ECE0</x:v>
      </x:c>
      <x:c r="F111" s="34" t="str">
        <x:v>ACCELERATED_15C</x:v>
      </x:c>
      <x:c r="G111" s="34" t="str">
        <x:v>DISCLOSED_PATH</x:v>
      </x:c>
      <x:c r="H111" s="40" t="b">
        <x:v>0</x:v>
      </x:c>
      <x:c r="I111" s="40" t="b">
        <x:v>1</x:v>
      </x:c>
      <x:c r="J111" s="40" t="b">
        <x:v>1</x:v>
      </x:c>
      <x:c r="K111" s="34" t="n">
        <x:v>326.243969</x:v>
      </x:c>
      <x:c r="L111" s="34" t="n">
        <x:v>10.568884</x:v>
      </x:c>
      <x:c r="M111" s="34" t="n">
        <x:v>0.372949</x:v>
      </x:c>
      <x:c r="N111" s="34" t="n">
        <x:v>-2.102185</x:v>
      </x:c>
      <x:c r="O111" s="34" t="n">
        <x:v>0.566398</x:v>
      </x:c>
      <x:c r="P111" s="34" t="n">
        <x:v>3448.035</x:v>
      </x:c>
      <x:c r="Q111" s="34" t="n">
        <x:v>121.67259</x:v>
      </x:c>
      <x:c r="R111" s="34" t="n">
        <x:v>2762.21</x:v>
      </x:c>
      <x:c r="S111" s="34" t="n">
        <x:v>119.798678</x:v>
      </x:c>
      <x:c r="T111" s="34" t="n">
        <x:v>0</x:v>
      </x:c>
      <x:c r="U111" s="34" t="n">
        <x:v>0</x:v>
      </x:c>
      <x:c r="V111" s="34" t="n">
        <x:v>-1941.011</x:v>
      </x:c>
      <x:c r="W111" s="34" t="n">
        <x:v>121.672695</x:v>
      </x:c>
      <x:c r="X111" s="34" t="n">
        <x:v>-5389.046</x:v>
      </x:c>
      <x:c r="Y111" s="34" t="n">
        <x:v>0</x:v>
      </x:c>
      <x:c r="Z111" s="34" t="n">
        <x:v>-782.369</x:v>
      </x:c>
      <x:c r="AA111" s="34" t="n">
        <x:v>14.42674</x:v>
      </x:c>
    </x:row>
    <x:row r="112">
      <x:c r="A112" s="34" t="str">
        <x:v>NIPPON_STEEL_JP</x:v>
      </x:c>
      <x:c r="B112" s="34" t="str">
        <x:v>Nippon Steel</x:v>
      </x:c>
      <x:c r="C112" s="34" t="str">
        <x:v>CAND-4C03DDE7A8F948</x:v>
      </x:c>
      <x:c r="D112" s="34" t="str">
        <x:v>P3</x:v>
      </x:c>
      <x:c r="E112" s="34" t="str">
        <x:v>PORT-42FD0857B83C</x:v>
      </x:c>
      <x:c r="F112" s="34" t="str">
        <x:v>ACCELERATED_15C</x:v>
      </x:c>
      <x:c r="G112" s="34" t="str">
        <x:v>DISCLOSED_PATH</x:v>
      </x:c>
      <x:c r="H112" s="40" t="b">
        <x:v>1</x:v>
      </x:c>
      <x:c r="I112" s="40" t="b">
        <x:v>0</x:v>
      </x:c>
      <x:c r="J112" s="40" t="b">
        <x:v>1</x:v>
      </x:c>
      <x:c r="K112" s="34" t="n">
        <x:v>452.478948</x:v>
      </x:c>
      <x:c r="L112" s="34" t="n">
        <x:v>11.758472</x:v>
      </x:c>
      <x:c r="M112" s="34" t="n">
        <x:v>0.605269</x:v>
      </x:c>
      <x:c r="N112" s="34" t="n">
        <x:v>-1.172633</x:v>
      </x:c>
      <x:c r="O112" s="34" t="n">
        <x:v>0.379536</x:v>
      </x:c>
      <x:c r="P112" s="34" t="n">
        <x:v>5320.461</x:v>
      </x:c>
      <x:c r="Q112" s="34" t="n">
        <x:v>273.871625</x:v>
      </x:c>
      <x:c r="R112" s="34" t="n">
        <x:v>4789.869333</x:v>
      </x:c>
      <x:c r="S112" s="34" t="n">
        <x:v>132.757381</x:v>
      </x:c>
      <x:c r="T112" s="34" t="n">
        <x:v>0</x:v>
      </x:c>
      <x:c r="U112" s="34" t="n">
        <x:v>0</x:v>
      </x:c>
      <x:c r="V112" s="34" t="n">
        <x:v>-2211.694333</x:v>
      </x:c>
      <x:c r="W112" s="34" t="n">
        <x:v>273.871862</x:v>
      </x:c>
      <x:c r="X112" s="34" t="n">
        <x:v>-7532.156</x:v>
      </x:c>
      <x:c r="Y112" s="34" t="n">
        <x:v>0</x:v>
      </x:c>
      <x:c r="Z112" s="34" t="n">
        <x:v>-1717.461</x:v>
      </x:c>
      <x:c r="AA112" s="34" t="n">
        <x:v>19.40972</x:v>
      </x:c>
    </x:row>
    <x:row r="113">
      <x:c r="A113" s="34" t="str">
        <x:v>NIPPON_STEEL_JP</x:v>
      </x:c>
      <x:c r="B113" s="34" t="str">
        <x:v>Nippon Steel</x:v>
      </x:c>
      <x:c r="C113" s="34" t="str">
        <x:v>CAND-505DC50EEE65AA</x:v>
      </x:c>
      <x:c r="D113" s="34" t="str">
        <x:v>P2</x:v>
      </x:c>
      <x:c r="E113" s="34" t="str">
        <x:v>PORT-93BA44A86FDE</x:v>
      </x:c>
      <x:c r="F113" s="34" t="str">
        <x:v>ACCELERATED_15C</x:v>
      </x:c>
      <x:c r="G113" s="34" t="str">
        <x:v>DISCLOSED_PATH</x:v>
      </x:c>
      <x:c r="H113" s="40" t="b">
        <x:v>1</x:v>
      </x:c>
      <x:c r="I113" s="40" t="b">
        <x:v>1</x:v>
      </x:c>
      <x:c r="J113" s="40" t="b">
        <x:v>1</x:v>
      </x:c>
      <x:c r="K113" s="34" t="n">
        <x:v>468.703944</x:v>
      </x:c>
      <x:c r="L113" s="34" t="n">
        <x:v>7.632537</x:v>
      </x:c>
      <x:c r="M113" s="34" t="n">
        <x:v>0.613857</x:v>
      </x:c>
      <x:c r="N113" s="34" t="n">
        <x:v>-2.638769</x:v>
      </x:c>
      <x:c r="O113" s="34" t="n">
        <x:v>0.202807</x:v>
      </x:c>
      <x:c r="P113" s="34" t="n">
        <x:v>3577.400333</x:v>
      </x:c>
      <x:c r="Q113" s="34" t="n">
        <x:v>287.716593</x:v>
      </x:c>
      <x:c r="R113" s="34" t="n">
        <x:v>2340.598667</x:v>
      </x:c>
      <x:c r="S113" s="34" t="n">
        <x:v>308.08862</x:v>
      </x:c>
      <x:c r="T113" s="34" t="n">
        <x:v>0</x:v>
      </x:c>
      <x:c r="U113" s="34" t="n">
        <x:v>0</x:v>
      </x:c>
      <x:c r="V113" s="34" t="n">
        <x:v>-4228.912667</x:v>
      </x:c>
      <x:c r="W113" s="34" t="n">
        <x:v>287.716593</x:v>
      </x:c>
      <x:c r="X113" s="34" t="n">
        <x:v>-7806.313</x:v>
      </x:c>
      <x:c r="Y113" s="34" t="n">
        <x:v>0</x:v>
      </x:c>
      <x:c r="Z113" s="34" t="n">
        <x:v>-1721.019333</x:v>
      </x:c>
      <x:c r="AA113" s="34" t="n">
        <x:v>69.619585</x:v>
      </x:c>
    </x:row>
    <x:row r="114">
      <x:c r="A114" s="34" t="str">
        <x:v>NIPPON_STEEL_JP</x:v>
      </x:c>
      <x:c r="B114" s="34" t="str">
        <x:v>Nippon Steel</x:v>
      </x:c>
      <x:c r="C114" s="34" t="str">
        <x:v>CAND-51563CC4DFE733</x:v>
      </x:c>
      <x:c r="D114" s="34" t="str">
        <x:v>P1</x:v>
      </x:c>
      <x:c r="E114" s="34" t="str">
        <x:v>PORT-792EEE640306</x:v>
      </x:c>
      <x:c r="F114" s="34" t="str">
        <x:v>ACCELERATED_15C</x:v>
      </x:c>
      <x:c r="G114" s="34" t="str">
        <x:v>DISCLOSED_PATH</x:v>
      </x:c>
      <x:c r="H114" s="40" t="b">
        <x:v>0</x:v>
      </x:c>
      <x:c r="I114" s="40" t="b">
        <x:v>1</x:v>
      </x:c>
      <x:c r="J114" s="40" t="b">
        <x:v>1</x:v>
      </x:c>
      <x:c r="K114" s="34" t="n">
        <x:v>339.438974</x:v>
      </x:c>
      <x:c r="L114" s="34" t="n">
        <x:v>9.910937</x:v>
      </x:c>
      <x:c r="M114" s="34" t="n">
        <x:v>0.545084</x:v>
      </x:c>
      <x:c r="N114" s="34" t="n">
        <x:v>-2.277607</x:v>
      </x:c>
      <x:c r="O114" s="34" t="n">
        <x:v>0.209438</x:v>
      </x:c>
      <x:c r="P114" s="34" t="n">
        <x:v>3364.158333</x:v>
      </x:c>
      <x:c r="Q114" s="34" t="n">
        <x:v>185.022836</x:v>
      </x:c>
      <x:c r="R114" s="34" t="n">
        <x:v>2591.049333</x:v>
      </x:c>
      <x:c r="S114" s="34" t="n">
        <x:v>129.237123</x:v>
      </x:c>
      <x:c r="T114" s="34" t="n">
        <x:v>0</x:v>
      </x:c>
      <x:c r="U114" s="34" t="n">
        <x:v>0</x:v>
      </x:c>
      <x:c r="V114" s="34" t="n">
        <x:v>-2252.688333</x:v>
      </x:c>
      <x:c r="W114" s="34" t="n">
        <x:v>185.022292</x:v>
      </x:c>
      <x:c r="X114" s="34" t="n">
        <x:v>-5616.846</x:v>
      </x:c>
      <x:c r="Y114" s="34" t="n">
        <x:v>0</x:v>
      </x:c>
      <x:c r="Z114" s="34" t="n">
        <x:v>-504.722333</x:v>
      </x:c>
      <x:c r="AA114" s="34" t="n">
        <x:v>13.519757</x:v>
      </x:c>
    </x:row>
    <x:row r="115">
      <x:c r="A115" s="34" t="str">
        <x:v>NIPPON_STEEL_JP</x:v>
      </x:c>
      <x:c r="B115" s="34" t="str">
        <x:v>Nippon Steel</x:v>
      </x:c>
      <x:c r="C115" s="34" t="str">
        <x:v>CAND-54996F21D43414</x:v>
      </x:c>
      <x:c r="D115" s="34" t="str">
        <x:v>P2</x:v>
      </x:c>
      <x:c r="E115" s="34" t="str">
        <x:v>PORT-4025A7B6BA3A</x:v>
      </x:c>
      <x:c r="F115" s="34" t="str">
        <x:v>ACCELERATED_15C</x:v>
      </x:c>
      <x:c r="G115" s="34" t="str">
        <x:v>DISCLOSED_PATH</x:v>
      </x:c>
      <x:c r="H115" s="40" t="b">
        <x:v>0</x:v>
      </x:c>
      <x:c r="I115" s="40" t="b">
        <x:v>1</x:v>
      </x:c>
      <x:c r="J115" s="40" t="b">
        <x:v>1</x:v>
      </x:c>
      <x:c r="K115" s="34" t="n">
        <x:v>379.748943</x:v>
      </x:c>
      <x:c r="L115" s="34" t="n">
        <x:v>11.036493</x:v>
      </x:c>
      <x:c r="M115" s="34" t="n">
        <x:v>0.210446</x:v>
      </x:c>
      <x:c r="N115" s="34" t="n">
        <x:v>-1.70606</x:v>
      </x:c>
      <x:c r="O115" s="34" t="n">
        <x:v>0.224028</x:v>
      </x:c>
      <x:c r="P115" s="34" t="n">
        <x:v>4191.097</x:v>
      </x:c>
      <x:c r="Q115" s="34" t="n">
        <x:v>79.916462</x:v>
      </x:c>
      <x:c r="R115" s="34" t="n">
        <x:v>3543.222</x:v>
      </x:c>
      <x:c r="S115" s="34" t="n">
        <x:v>41.740416</x:v>
      </x:c>
      <x:c r="T115" s="34" t="n">
        <x:v>0</x:v>
      </x:c>
      <x:c r="U115" s="34" t="n">
        <x:v>0</x:v>
      </x:c>
      <x:c r="V115" s="34" t="n">
        <x:v>-2088.587</x:v>
      </x:c>
      <x:c r="W115" s="34" t="n">
        <x:v>79.916462</x:v>
      </x:c>
      <x:c r="X115" s="34" t="n">
        <x:v>-6279.684</x:v>
      </x:c>
      <x:c r="Y115" s="34" t="n">
        <x:v>0</x:v>
      </x:c>
      <x:c r="Z115" s="34" t="n">
        <x:v>-786.14</x:v>
      </x:c>
      <x:c r="AA115" s="34" t="n">
        <x:v>17.530214</x:v>
      </x:c>
    </x:row>
    <x:row r="116">
      <x:c r="A116" s="34" t="str">
        <x:v>NIPPON_STEEL_JP</x:v>
      </x:c>
      <x:c r="B116" s="34" t="str">
        <x:v>Nippon Steel</x:v>
      </x:c>
      <x:c r="C116" s="34" t="str">
        <x:v>CAND-59D7A6AFC21669</x:v>
      </x:c>
      <x:c r="D116" s="34" t="str">
        <x:v>P2</x:v>
      </x:c>
      <x:c r="E116" s="34" t="str">
        <x:v>PORT-9961527CE1F4</x:v>
      </x:c>
      <x:c r="F116" s="34" t="str">
        <x:v>ACCELERATED_15C</x:v>
      </x:c>
      <x:c r="G116" s="34" t="str">
        <x:v>DISCLOSED_PATH</x:v>
      </x:c>
      <x:c r="H116" s="40" t="b">
        <x:v>0</x:v>
      </x:c>
      <x:c r="I116" s="40" t="b">
        <x:v>1</x:v>
      </x:c>
      <x:c r="J116" s="40" t="b">
        <x:v>1</x:v>
      </x:c>
      <x:c r="K116" s="34" t="n">
        <x:v>407.153943</x:v>
      </x:c>
      <x:c r="L116" s="34" t="n">
        <x:v>11.164639</x:v>
      </x:c>
      <x:c r="M116" s="34" t="n">
        <x:v>0.330031</x:v>
      </x:c>
      <x:c r="N116" s="34" t="n">
        <x:v>-1.909644</x:v>
      </x:c>
      <x:c r="O116" s="34" t="n">
        <x:v>0.554035</x:v>
      </x:c>
      <x:c r="P116" s="34" t="n">
        <x:v>4545.726333</x:v>
      </x:c>
      <x:c r="Q116" s="34" t="n">
        <x:v>134.37381</x:v>
      </x:c>
      <x:c r="R116" s="34" t="n">
        <x:v>3768.208</x:v>
      </x:c>
      <x:c r="S116" s="34" t="n">
        <x:v>140.728549</x:v>
      </x:c>
      <x:c r="T116" s="34" t="n">
        <x:v>0</x:v>
      </x:c>
      <x:c r="U116" s="34" t="n">
        <x:v>0</x:v>
      </x:c>
      <x:c r="V116" s="34" t="n">
        <x:v>-2205.631</x:v>
      </x:c>
      <x:c r="W116" s="34" t="n">
        <x:v>134.373515</x:v>
      </x:c>
      <x:c r="X116" s="34" t="n">
        <x:v>-6751.357</x:v>
      </x:c>
      <x:c r="Y116" s="34" t="n">
        <x:v>0</x:v>
      </x:c>
      <x:c r="Z116" s="34" t="n">
        <x:v>-869.858333</x:v>
      </x:c>
      <x:c r="AA116" s="34" t="n">
        <x:v>22.456585</x:v>
      </x:c>
    </x:row>
    <x:row r="117">
      <x:c r="A117" s="34" t="str">
        <x:v>NIPPON_STEEL_JP</x:v>
      </x:c>
      <x:c r="B117" s="34" t="str">
        <x:v>Nippon Steel</x:v>
      </x:c>
      <x:c r="C117" s="34" t="str">
        <x:v>CAND-61C6F8AE75933E</x:v>
      </x:c>
      <x:c r="D117" s="34" t="str">
        <x:v>P3</x:v>
      </x:c>
      <x:c r="E117" s="34" t="str">
        <x:v>PORT-3391EE4132D6</x:v>
      </x:c>
      <x:c r="F117" s="34" t="str">
        <x:v>ACCELERATED_15C</x:v>
      </x:c>
      <x:c r="G117" s="34" t="str">
        <x:v>DISCLOSED_PATH</x:v>
      </x:c>
      <x:c r="H117" s="40" t="b">
        <x:v>1</x:v>
      </x:c>
      <x:c r="I117" s="40" t="b">
        <x:v>0</x:v>
      </x:c>
      <x:c r="J117" s="40" t="b">
        <x:v>1</x:v>
      </x:c>
      <x:c r="K117" s="34" t="n">
        <x:v>453.828942</x:v>
      </x:c>
      <x:c r="L117" s="34" t="n">
        <x:v>11.548432</x:v>
      </x:c>
      <x:c r="M117" s="34" t="n">
        <x:v>0.1568</x:v>
      </x:c>
      <x:c r="N117" s="34" t="n">
        <x:v>-1.231594</x:v>
      </x:c>
      <x:c r="O117" s="34" t="n">
        <x:v>0.284901</x:v>
      </x:c>
      <x:c r="P117" s="34" t="n">
        <x:v>5241.012667</x:v>
      </x:c>
      <x:c r="Q117" s="34" t="n">
        <x:v>71.160695</x:v>
      </x:c>
      <x:c r="R117" s="34" t="n">
        <x:v>4682.079333</x:v>
      </x:c>
      <x:c r="S117" s="34" t="n">
        <x:v>63.925467</x:v>
      </x:c>
      <x:c r="T117" s="34" t="n">
        <x:v>0</x:v>
      </x:c>
      <x:c r="U117" s="34" t="n">
        <x:v>0</x:v>
      </x:c>
      <x:c r="V117" s="34" t="n">
        <x:v>-2310.129333</x:v>
      </x:c>
      <x:c r="W117" s="34" t="n">
        <x:v>71.160695</x:v>
      </x:c>
      <x:c r="X117" s="34" t="n">
        <x:v>-7551.142</x:v>
      </x:c>
      <x:c r="Y117" s="34" t="n">
        <x:v>0</x:v>
      </x:c>
      <x:c r="Z117" s="34" t="n">
        <x:v>-1813.608667</x:v>
      </x:c>
      <x:c r="AA117" s="34" t="n">
        <x:v>8.307493</x:v>
      </x:c>
    </x:row>
    <x:row r="118">
      <x:c r="A118" s="34" t="str">
        <x:v>NIPPON_STEEL_JP</x:v>
      </x:c>
      <x:c r="B118" s="34" t="str">
        <x:v>Nippon Steel</x:v>
      </x:c>
      <x:c r="C118" s="34" t="str">
        <x:v>CAND-62B732F24FF616</x:v>
      </x:c>
      <x:c r="D118" s="34" t="str">
        <x:v>P1</x:v>
      </x:c>
      <x:c r="E118" s="34" t="str">
        <x:v>PORT-92BAA222AC4A</x:v>
      </x:c>
      <x:c r="F118" s="34" t="str">
        <x:v>ACCELERATED_15C</x:v>
      </x:c>
      <x:c r="G118" s="34" t="str">
        <x:v>DISCLOSED_PATH</x:v>
      </x:c>
      <x:c r="H118" s="40" t="b">
        <x:v>0</x:v>
      </x:c>
      <x:c r="I118" s="40" t="b">
        <x:v>1</x:v>
      </x:c>
      <x:c r="J118" s="40" t="b">
        <x:v>1</x:v>
      </x:c>
      <x:c r="K118" s="34" t="n">
        <x:v>365.968973</x:v>
      </x:c>
      <x:c r="L118" s="34" t="n">
        <x:v>10.335986</x:v>
      </x:c>
      <x:c r="M118" s="34" t="n">
        <x:v>0.277328</x:v>
      </x:c>
      <x:c r="N118" s="34" t="n">
        <x:v>-2.264886</x:v>
      </x:c>
      <x:c r="O118" s="34" t="n">
        <x:v>0.496979</x:v>
      </x:c>
      <x:c r="P118" s="34" t="n">
        <x:v>3782.65</x:v>
      </x:c>
      <x:c r="Q118" s="34" t="n">
        <x:v>101.492991</x:v>
      </x:c>
      <x:c r="R118" s="34" t="n">
        <x:v>2953.772333</x:v>
      </x:c>
      <x:c r="S118" s="34" t="n">
        <x:v>95.137579</x:v>
      </x:c>
      <x:c r="T118" s="34" t="n">
        <x:v>0</x:v>
      </x:c>
      <x:c r="U118" s="34" t="n">
        <x:v>0</x:v>
      </x:c>
      <x:c r="V118" s="34" t="n">
        <x:v>-2291.896667</x:v>
      </x:c>
      <x:c r="W118" s="34" t="n">
        <x:v>101.493566</x:v>
      </x:c>
      <x:c r="X118" s="34" t="n">
        <x:v>-6074.547</x:v>
      </x:c>
      <x:c r="Y118" s="34" t="n">
        <x:v>0</x:v>
      </x:c>
      <x:c r="Z118" s="34" t="n">
        <x:v>-657.647667</x:v>
      </x:c>
      <x:c r="AA118" s="34" t="n">
        <x:v>6.642615</x:v>
      </x:c>
    </x:row>
    <x:row r="119">
      <x:c r="A119" s="34" t="str">
        <x:v>NIPPON_STEEL_JP</x:v>
      </x:c>
      <x:c r="B119" s="34" t="str">
        <x:v>Nippon Steel</x:v>
      </x:c>
      <x:c r="C119" s="34" t="str">
        <x:v>CAND-67842A89ECECE4</x:v>
      </x:c>
      <x:c r="D119" s="34" t="str">
        <x:v>P2</x:v>
      </x:c>
      <x:c r="E119" s="34" t="str">
        <x:v>PORT-A38E7AB93504</x:v>
      </x:c>
      <x:c r="F119" s="34" t="str">
        <x:v>ACCELERATED_15C</x:v>
      </x:c>
      <x:c r="G119" s="34" t="str">
        <x:v>DISCLOSED_PATH</x:v>
      </x:c>
      <x:c r="H119" s="40" t="b">
        <x:v>0</x:v>
      </x:c>
      <x:c r="I119" s="40" t="b">
        <x:v>1</x:v>
      </x:c>
      <x:c r="J119" s="40" t="b">
        <x:v>1</x:v>
      </x:c>
      <x:c r="K119" s="34" t="n">
        <x:v>373.798938</x:v>
      </x:c>
      <x:c r="L119" s="34" t="n">
        <x:v>11.020331</x:v>
      </x:c>
      <x:c r="M119" s="34" t="n">
        <x:v>0.222685</x:v>
      </x:c>
      <x:c r="N119" s="34" t="n">
        <x:v>-1.72393</x:v>
      </x:c>
      <x:c r="O119" s="34" t="n">
        <x:v>0.597039</x:v>
      </x:c>
      <x:c r="P119" s="34" t="n">
        <x:v>4119.388</x:v>
      </x:c>
      <x:c r="Q119" s="34" t="n">
        <x:v>83.239484</x:v>
      </x:c>
      <x:c r="R119" s="34" t="n">
        <x:v>3474.984667</x:v>
      </x:c>
      <x:c r="S119" s="34" t="n">
        <x:v>151.318886</x:v>
      </x:c>
      <x:c r="T119" s="34" t="n">
        <x:v>0</x:v>
      </x:c>
      <x:c r="U119" s="34" t="n">
        <x:v>0</x:v>
      </x:c>
      <x:c r="V119" s="34" t="n">
        <x:v>-2065.276333</x:v>
      </x:c>
      <x:c r="W119" s="34" t="n">
        <x:v>83.239387</x:v>
      </x:c>
      <x:c r="X119" s="34" t="n">
        <x:v>-6184.664</x:v>
      </x:c>
      <x:c r="Y119" s="34" t="n">
        <x:v>0</x:v>
      </x:c>
      <x:c r="Z119" s="34" t="n">
        <x:v>-875.58</x:v>
      </x:c>
      <x:c r="AA119" s="34" t="n">
        <x:v>4.006972</x:v>
      </x:c>
    </x:row>
    <x:row r="120">
      <x:c r="A120" s="34" t="str">
        <x:v>NIPPON_STEEL_JP</x:v>
      </x:c>
      <x:c r="B120" s="34" t="str">
        <x:v>Nippon Steel</x:v>
      </x:c>
      <x:c r="C120" s="34" t="str">
        <x:v>CAND-73FBF939F237E6</x:v>
      </x:c>
      <x:c r="D120" s="34" t="str">
        <x:v>P2</x:v>
      </x:c>
      <x:c r="E120" s="34" t="str">
        <x:v>PORT-92BAA222AC4A</x:v>
      </x:c>
      <x:c r="F120" s="34" t="str">
        <x:v>ACCELERATED_15C</x:v>
      </x:c>
      <x:c r="G120" s="34" t="str">
        <x:v>DISCLOSED_PATH</x:v>
      </x:c>
      <x:c r="H120" s="40" t="b">
        <x:v>0</x:v>
      </x:c>
      <x:c r="I120" s="40" t="b">
        <x:v>1</x:v>
      </x:c>
      <x:c r="J120" s="40" t="b">
        <x:v>1</x:v>
      </x:c>
      <x:c r="K120" s="34" t="n">
        <x:v>365.968973</x:v>
      </x:c>
      <x:c r="L120" s="34" t="n">
        <x:v>10.99912</x:v>
      </x:c>
      <x:c r="M120" s="34" t="n">
        <x:v>0.082826</x:v>
      </x:c>
      <x:c r="N120" s="34" t="n">
        <x:v>-1.78864</x:v>
      </x:c>
      <x:c r="O120" s="34" t="n">
        <x:v>0.233892</x:v>
      </x:c>
      <x:c r="P120" s="34" t="n">
        <x:v>4025.336667</x:v>
      </x:c>
      <x:c r="Q120" s="34" t="n">
        <x:v>30.3112</x:v>
      </x:c>
      <x:c r="R120" s="34" t="n">
        <x:v>3370.75</x:v>
      </x:c>
      <x:c r="S120" s="34" t="n">
        <x:v>68.610426</x:v>
      </x:c>
      <x:c r="T120" s="34" t="n">
        <x:v>0</x:v>
      </x:c>
      <x:c r="U120" s="34" t="n">
        <x:v>0</x:v>
      </x:c>
      <x:c r="V120" s="34" t="n">
        <x:v>-2049.210667</x:v>
      </x:c>
      <x:c r="W120" s="34" t="n">
        <x:v>30.311278</x:v>
      </x:c>
      <x:c r="X120" s="34" t="n">
        <x:v>-6074.547</x:v>
      </x:c>
      <x:c r="Y120" s="34" t="n">
        <x:v>0</x:v>
      </x:c>
      <x:c r="Z120" s="34" t="n">
        <x:v>-902.363333</x:v>
      </x:c>
      <x:c r="AA120" s="34" t="n">
        <x:v>15.40208</x:v>
      </x:c>
    </x:row>
    <x:row r="121">
      <x:c r="A121" s="34" t="str">
        <x:v>NIPPON_STEEL_JP</x:v>
      </x:c>
      <x:c r="B121" s="34" t="str">
        <x:v>Nippon Steel</x:v>
      </x:c>
      <x:c r="C121" s="34" t="str">
        <x:v>CAND-7400D0EA735D98</x:v>
      </x:c>
      <x:c r="D121" s="34" t="str">
        <x:v>P3</x:v>
      </x:c>
      <x:c r="E121" s="34" t="str">
        <x:v>PORT-6742936593A9</x:v>
      </x:c>
      <x:c r="F121" s="34" t="str">
        <x:v>ACCELERATED_15C</x:v>
      </x:c>
      <x:c r="G121" s="34" t="str">
        <x:v>DISCLOSED_PATH</x:v>
      </x:c>
      <x:c r="H121" s="40" t="b">
        <x:v>1</x:v>
      </x:c>
      <x:c r="I121" s="40" t="b">
        <x:v>1</x:v>
      </x:c>
      <x:c r="J121" s="40" t="b">
        <x:v>1</x:v>
      </x:c>
      <x:c r="K121" s="34" t="n">
        <x:v>454.753949</x:v>
      </x:c>
      <x:c r="L121" s="34" t="n">
        <x:v>11.453281</x:v>
      </x:c>
      <x:c r="M121" s="34" t="n">
        <x:v>0.371119</x:v>
      </x:c>
      <x:c r="N121" s="34" t="n">
        <x:v>-1.528461</x:v>
      </x:c>
      <x:c r="O121" s="34" t="n">
        <x:v>0.305959</x:v>
      </x:c>
      <x:c r="P121" s="34" t="n">
        <x:v>5208.424333</x:v>
      </x:c>
      <x:c r="Q121" s="34" t="n">
        <x:v>168.767528</x:v>
      </x:c>
      <x:c r="R121" s="34" t="n">
        <x:v>4513.350667</x:v>
      </x:c>
      <x:c r="S121" s="34" t="n">
        <x:v>62.95879</x:v>
      </x:c>
      <x:c r="T121" s="34" t="n">
        <x:v>0</x:v>
      </x:c>
      <x:c r="U121" s="34" t="n">
        <x:v>0</x:v>
      </x:c>
      <x:c r="V121" s="34" t="n">
        <x:v>-2363.006667</x:v>
      </x:c>
      <x:c r="W121" s="34" t="n">
        <x:v>168.767528</x:v>
      </x:c>
      <x:c r="X121" s="34" t="n">
        <x:v>-7571.432</x:v>
      </x:c>
      <x:c r="Y121" s="34" t="n">
        <x:v>0</x:v>
      </x:c>
      <x:c r="Z121" s="34" t="n">
        <x:v>-1838.685667</x:v>
      </x:c>
      <x:c r="AA121" s="34" t="n">
        <x:v>35.730634</x:v>
      </x:c>
    </x:row>
    <x:row r="122">
      <x:c r="A122" s="34" t="str">
        <x:v>NIPPON_STEEL_JP</x:v>
      </x:c>
      <x:c r="B122" s="34" t="str">
        <x:v>Nippon Steel</x:v>
      </x:c>
      <x:c r="C122" s="34" t="str">
        <x:v>CAND-7431CBC596FC03</x:v>
      </x:c>
      <x:c r="D122" s="34" t="str">
        <x:v>P1</x:v>
      </x:c>
      <x:c r="E122" s="34" t="str">
        <x:v>PORT-7CA9F3BA0776</x:v>
      </x:c>
      <x:c r="F122" s="34" t="str">
        <x:v>ACCELERATED_15C</x:v>
      </x:c>
      <x:c r="G122" s="34" t="str">
        <x:v>DISCLOSED_PATH</x:v>
      </x:c>
      <x:c r="H122" s="40" t="b">
        <x:v>1</x:v>
      </x:c>
      <x:c r="I122" s="40" t="b">
        <x:v>1</x:v>
      </x:c>
      <x:c r="J122" s="40" t="b">
        <x:v>1</x:v>
      </x:c>
      <x:c r="K122" s="34" t="n">
        <x:v>473.428944</x:v>
      </x:c>
      <x:c r="L122" s="34" t="n">
        <x:v>4.881972</x:v>
      </x:c>
      <x:c r="M122" s="34" t="n">
        <x:v>0.546429</x:v>
      </x:c>
      <x:c r="N122" s="34" t="n">
        <x:v>-3.842861</x:v>
      </x:c>
      <x:c r="O122" s="34" t="n">
        <x:v>1.264582</x:v>
      </x:c>
      <x:c r="P122" s="34" t="n">
        <x:v>2311.266333</x:v>
      </x:c>
      <x:c r="Q122" s="34" t="n">
        <x:v>258.695106</x:v>
      </x:c>
      <x:c r="R122" s="34" t="n">
        <x:v>491.945</x:v>
      </x:c>
      <x:c r="S122" s="34" t="n">
        <x:v>390.219375</x:v>
      </x:c>
      <x:c r="T122" s="34" t="n">
        <x:v>0</x:v>
      </x:c>
      <x:c r="U122" s="34" t="n">
        <x:v>0</x:v>
      </x:c>
      <x:c r="V122" s="34" t="n">
        <x:v>-5576.369667</x:v>
      </x:c>
      <x:c r="W122" s="34" t="n">
        <x:v>258.695106</x:v>
      </x:c>
      <x:c r="X122" s="34" t="n">
        <x:v>-7887.636</x:v>
      </x:c>
      <x:c r="Y122" s="34" t="n">
        <x:v>0</x:v>
      </x:c>
      <x:c r="Z122" s="34" t="n">
        <x:v>-1094.989</x:v>
      </x:c>
      <x:c r="AA122" s="34" t="n">
        <x:v>26.999064</x:v>
      </x:c>
    </x:row>
    <x:row r="123">
      <x:c r="A123" s="34" t="str">
        <x:v>NIPPON_STEEL_JP</x:v>
      </x:c>
      <x:c r="B123" s="34" t="str">
        <x:v>Nippon Steel</x:v>
      </x:c>
      <x:c r="C123" s="34" t="str">
        <x:v>CAND-7BA4793B4CD2AC</x:v>
      </x:c>
      <x:c r="D123" s="34" t="str">
        <x:v>P2</x:v>
      </x:c>
      <x:c r="E123" s="34" t="str">
        <x:v>PORT-05EE518306D9</x:v>
      </x:c>
      <x:c r="F123" s="34" t="str">
        <x:v>ACCELERATED_15C</x:v>
      </x:c>
      <x:c r="G123" s="34" t="str">
        <x:v>DISCLOSED_PATH</x:v>
      </x:c>
      <x:c r="H123" s="40" t="b">
        <x:v>1</x:v>
      </x:c>
      <x:c r="I123" s="40" t="b">
        <x:v>1</x:v>
      </x:c>
      <x:c r="J123" s="40" t="b">
        <x:v>1</x:v>
      </x:c>
      <x:c r="K123" s="34" t="n">
        <x:v>460.828943</x:v>
      </x:c>
      <x:c r="L123" s="34" t="n">
        <x:v>8.967145</x:v>
      </x:c>
      <x:c r="M123" s="34" t="n">
        <x:v>0.607714</x:v>
      </x:c>
      <x:c r="N123" s="34" t="n">
        <x:v>-1.643487</x:v>
      </x:c>
      <x:c r="O123" s="34" t="n">
        <x:v>0.680698</x:v>
      </x:c>
      <x:c r="P123" s="34" t="n">
        <x:v>4132.32</x:v>
      </x:c>
      <x:c r="Q123" s="34" t="n">
        <x:v>280.051969</x:v>
      </x:c>
      <x:c r="R123" s="34" t="n">
        <x:v>3374.953667</x:v>
      </x:c>
      <x:c r="S123" s="34" t="n">
        <x:v>130.66239</x:v>
      </x:c>
      <x:c r="T123" s="34" t="n">
        <x:v>0</x:v>
      </x:c>
      <x:c r="U123" s="34" t="n">
        <x:v>0</x:v>
      </x:c>
      <x:c r="V123" s="34" t="n">
        <x:v>-3539.420333</x:v>
      </x:c>
      <x:c r="W123" s="34" t="n">
        <x:v>280.052113</x:v>
      </x:c>
      <x:c r="X123" s="34" t="n">
        <x:v>-7671.74</x:v>
      </x:c>
      <x:c r="Y123" s="34" t="n">
        <x:v>0</x:v>
      </x:c>
      <x:c r="Z123" s="34" t="n">
        <x:v>-1489.743667</x:v>
      </x:c>
      <x:c r="AA123" s="34" t="n">
        <x:v>11.979949</x:v>
      </x:c>
    </x:row>
    <x:row r="124">
      <x:c r="A124" s="34" t="str">
        <x:v>NIPPON_STEEL_JP</x:v>
      </x:c>
      <x:c r="B124" s="34" t="str">
        <x:v>Nippon Steel</x:v>
      </x:c>
      <x:c r="C124" s="34" t="str">
        <x:v>CAND-7C97E5CB4322B2</x:v>
      </x:c>
      <x:c r="D124" s="34" t="str">
        <x:v>P3</x:v>
      </x:c>
      <x:c r="E124" s="34" t="str">
        <x:v>PORT-A38E7AB93504</x:v>
      </x:c>
      <x:c r="F124" s="34" t="str">
        <x:v>ACCELERATED_15C</x:v>
      </x:c>
      <x:c r="G124" s="34" t="str">
        <x:v>DISCLOSED_PATH</x:v>
      </x:c>
      <x:c r="H124" s="40" t="b">
        <x:v>0</x:v>
      </x:c>
      <x:c r="I124" s="40" t="b">
        <x:v>1</x:v>
      </x:c>
      <x:c r="J124" s="40" t="b">
        <x:v>1</x:v>
      </x:c>
      <x:c r="K124" s="34" t="n">
        <x:v>373.798938</x:v>
      </x:c>
      <x:c r="L124" s="34" t="n">
        <x:v>11.930539</x:v>
      </x:c>
      <x:c r="M124" s="34" t="n">
        <x:v>0.160448</x:v>
      </x:c>
      <x:c r="N124" s="34" t="n">
        <x:v>-1.150309</x:v>
      </x:c>
      <x:c r="O124" s="34" t="n">
        <x:v>0.341238</x:v>
      </x:c>
      <x:c r="P124" s="34" t="n">
        <x:v>4459.622667</x:v>
      </x:c>
      <x:c r="Q124" s="34" t="n">
        <x:v>59.974875</x:v>
      </x:c>
      <x:c r="R124" s="34" t="n">
        <x:v>4029.639</x:v>
      </x:c>
      <x:c r="S124" s="34" t="n">
        <x:v>82.475614</x:v>
      </x:c>
      <x:c r="T124" s="34" t="n">
        <x:v>0</x:v>
      </x:c>
      <x:c r="U124" s="34" t="n">
        <x:v>0</x:v>
      </x:c>
      <x:c r="V124" s="34" t="n">
        <x:v>-1725.041667</x:v>
      </x:c>
      <x:c r="W124" s="34" t="n">
        <x:v>59.975389</x:v>
      </x:c>
      <x:c r="X124" s="34" t="n">
        <x:v>-6184.664</x:v>
      </x:c>
      <x:c r="Y124" s="34" t="n">
        <x:v>0</x:v>
      </x:c>
      <x:c r="Z124" s="34" t="n">
        <x:v>-1223.642</x:v>
      </x:c>
      <x:c r="AA124" s="34" t="n">
        <x:v>18.11701</x:v>
      </x:c>
    </x:row>
    <x:row r="125">
      <x:c r="A125" s="34" t="str">
        <x:v>NIPPON_STEEL_JP</x:v>
      </x:c>
      <x:c r="B125" s="34" t="str">
        <x:v>Nippon Steel</x:v>
      </x:c>
      <x:c r="C125" s="34" t="str">
        <x:v>CAND-7F68777647A3B1</x:v>
      </x:c>
      <x:c r="D125" s="34" t="str">
        <x:v>P1</x:v>
      </x:c>
      <x:c r="E125" s="34" t="str">
        <x:v>PORT-7F141003EFD9</x:v>
      </x:c>
      <x:c r="F125" s="34" t="str">
        <x:v>ACCELERATED_15C</x:v>
      </x:c>
      <x:c r="G125" s="34" t="str">
        <x:v>DISCLOSED_PATH</x:v>
      </x:c>
      <x:c r="H125" s="40" t="b">
        <x:v>1</x:v>
      </x:c>
      <x:c r="I125" s="40" t="b">
        <x:v>1</x:v>
      </x:c>
      <x:c r="J125" s="40" t="b">
        <x:v>1</x:v>
      </x:c>
      <x:c r="K125" s="34" t="n">
        <x:v>466.428943</x:v>
      </x:c>
      <x:c r="L125" s="34" t="n">
        <x:v>6.582388</x:v>
      </x:c>
      <x:c r="M125" s="34" t="n">
        <x:v>0.661346</x:v>
      </x:c>
      <x:c r="N125" s="34" t="n">
        <x:v>-3.348627</x:v>
      </x:c>
      <x:c r="O125" s="34" t="n">
        <x:v>1.405965</x:v>
      </x:c>
      <x:c r="P125" s="34" t="n">
        <x:v>3070.216</x:v>
      </x:c>
      <x:c r="Q125" s="34" t="n">
        <x:v>308.470393</x:v>
      </x:c>
      <x:c r="R125" s="34" t="n">
        <x:v>1508.320333</x:v>
      </x:c>
      <x:c r="S125" s="34" t="n">
        <x:v>355.399521</x:v>
      </x:c>
      <x:c r="T125" s="34" t="n">
        <x:v>0</x:v>
      </x:c>
      <x:c r="U125" s="34" t="n">
        <x:v>0</x:v>
      </x:c>
      <x:c r="V125" s="34" t="n">
        <x:v>-4696.820667</x:v>
      </x:c>
      <x:c r="W125" s="34" t="n">
        <x:v>308.470959</x:v>
      </x:c>
      <x:c r="X125" s="34" t="n">
        <x:v>-7767.037</x:v>
      </x:c>
      <x:c r="Y125" s="34" t="n">
        <x:v>0</x:v>
      </x:c>
      <x:c r="Z125" s="34" t="n">
        <x:v>-976.587</x:v>
      </x:c>
      <x:c r="AA125" s="34" t="n">
        <x:v>31.410926</x:v>
      </x:c>
    </x:row>
    <x:row r="126">
      <x:c r="A126" s="34" t="str">
        <x:v>NIPPON_STEEL_JP</x:v>
      </x:c>
      <x:c r="B126" s="34" t="str">
        <x:v>Nippon Steel</x:v>
      </x:c>
      <x:c r="C126" s="34" t="str">
        <x:v>CAND-7F997B0F0381A1</x:v>
      </x:c>
      <x:c r="D126" s="34" t="str">
        <x:v>P1</x:v>
      </x:c>
      <x:c r="E126" s="34" t="str">
        <x:v>PORT-85B082834E97</x:v>
      </x:c>
      <x:c r="F126" s="34" t="str">
        <x:v>ACCELERATED_15C</x:v>
      </x:c>
      <x:c r="G126" s="34" t="str">
        <x:v>DISCLOSED_PATH</x:v>
      </x:c>
      <x:c r="H126" s="40" t="b">
        <x:v>0</x:v>
      </x:c>
      <x:c r="I126" s="40" t="b">
        <x:v>1</x:v>
      </x:c>
      <x:c r="J126" s="40" t="b">
        <x:v>1</x:v>
      </x:c>
      <x:c r="K126" s="34" t="n">
        <x:v>318.368967</x:v>
      </x:c>
      <x:c r="L126" s="34" t="n">
        <x:v>12.286547</x:v>
      </x:c>
      <x:c r="M126" s="34" t="n">
        <x:v>0.064911</x:v>
      </x:c>
      <x:c r="N126" s="34" t="n">
        <x:v>-1.275702</x:v>
      </x:c>
      <x:c r="O126" s="34" t="n">
        <x:v>0.289258</x:v>
      </x:c>
      <x:c r="P126" s="34" t="n">
        <x:v>3911.655333</x:v>
      </x:c>
      <x:c r="Q126" s="34" t="n">
        <x:v>20.665099</x:v>
      </x:c>
      <x:c r="R126" s="34" t="n">
        <x:v>3505.511667</x:v>
      </x:c>
      <x:c r="S126" s="34" t="n">
        <x:v>73.20154</x:v>
      </x:c>
      <x:c r="T126" s="34" t="n">
        <x:v>0</x:v>
      </x:c>
      <x:c r="U126" s="34" t="n">
        <x:v>0</x:v>
      </x:c>
      <x:c r="V126" s="34" t="n">
        <x:v>-1342.818</x:v>
      </x:c>
      <x:c r="W126" s="34" t="n">
        <x:v>20.665532</x:v>
      </x:c>
      <x:c r="X126" s="34" t="n">
        <x:v>-5254.474</x:v>
      </x:c>
      <x:c r="Y126" s="34" t="n">
        <x:v>0</x:v>
      </x:c>
      <x:c r="Z126" s="34" t="n">
        <x:v>-470.339333</x:v>
      </x:c>
      <x:c r="AA126" s="34" t="n">
        <x:v>3.53181</x:v>
      </x:c>
    </x:row>
    <x:row r="127">
      <x:c r="A127" s="34" t="str">
        <x:v>NIPPON_STEEL_JP</x:v>
      </x:c>
      <x:c r="B127" s="34" t="str">
        <x:v>Nippon Steel</x:v>
      </x:c>
      <x:c r="C127" s="34" t="str">
        <x:v>CAND-87B9435721978E</x:v>
      </x:c>
      <x:c r="D127" s="34" t="str">
        <x:v>P1</x:v>
      </x:c>
      <x:c r="E127" s="34" t="str">
        <x:v>PORT-5CFD50239439</x:v>
      </x:c>
      <x:c r="F127" s="34" t="str">
        <x:v>ACCELERATED_15C</x:v>
      </x:c>
      <x:c r="G127" s="34" t="str">
        <x:v>DISCLOSED_PATH</x:v>
      </x:c>
      <x:c r="H127" s="40" t="b">
        <x:v>0</x:v>
      </x:c>
      <x:c r="I127" s="40" t="b">
        <x:v>1</x:v>
      </x:c>
      <x:c r="J127" s="40" t="b">
        <x:v>1</x:v>
      </x:c>
      <x:c r="K127" s="34" t="n">
        <x:v>321.473932</x:v>
      </x:c>
      <x:c r="L127" s="34" t="n">
        <x:v>13.695576</x:v>
      </x:c>
      <x:c r="M127" s="34" t="n">
        <x:v>0.120533</x:v>
      </x:c>
      <x:c r="N127" s="34" t="n">
        <x:v>-0.77604</x:v>
      </x:c>
      <x:c r="O127" s="34" t="n">
        <x:v>0.449787</x:v>
      </x:c>
      <x:c r="P127" s="34" t="n">
        <x:v>4402.770333</x:v>
      </x:c>
      <x:c r="Q127" s="34" t="n">
        <x:v>38.748141</x:v>
      </x:c>
      <x:c r="R127" s="34" t="n">
        <x:v>4153.294</x:v>
      </x:c>
      <x:c r="S127" s="34" t="n">
        <x:v>125.904386</x:v>
      </x:c>
      <x:c r="T127" s="34" t="n">
        <x:v>0</x:v>
      </x:c>
      <x:c r="U127" s="34" t="n">
        <x:v>0</x:v>
      </x:c>
      <x:c r="V127" s="34" t="n">
        <x:v>-880.497</x:v>
      </x:c>
      <x:c r="W127" s="34" t="n">
        <x:v>38.747871</x:v>
      </x:c>
      <x:c r="X127" s="34" t="n">
        <x:v>-5283.268</x:v>
      </x:c>
      <x:c r="Y127" s="34" t="n">
        <x:v>0</x:v>
      </x:c>
      <x:c r="Z127" s="34" t="n">
        <x:v>-335.487667</x:v>
      </x:c>
      <x:c r="AA127" s="34" t="n">
        <x:v>5.330514</x:v>
      </x:c>
    </x:row>
    <x:row r="128">
      <x:c r="A128" s="34" t="str">
        <x:v>NIPPON_STEEL_JP</x:v>
      </x:c>
      <x:c r="B128" s="34" t="str">
        <x:v>Nippon Steel</x:v>
      </x:c>
      <x:c r="C128" s="34" t="str">
        <x:v>CAND-8A32EE77ABBE07</x:v>
      </x:c>
      <x:c r="D128" s="34" t="str">
        <x:v>P1</x:v>
      </x:c>
      <x:c r="E128" s="34" t="str">
        <x:v>PORT-0ACD636A8AEE</x:v>
      </x:c>
      <x:c r="F128" s="34" t="str">
        <x:v>ACCELERATED_15C</x:v>
      </x:c>
      <x:c r="G128" s="34" t="str">
        <x:v>DISCLOSED_PATH</x:v>
      </x:c>
      <x:c r="H128" s="40" t="b">
        <x:v>1</x:v>
      </x:c>
      <x:c r="I128" s="40" t="b">
        <x:v>0</x:v>
      </x:c>
      <x:c r="J128" s="40" t="b">
        <x:v>1</x:v>
      </x:c>
      <x:c r="K128" s="34" t="n">
        <x:v>446.878947</x:v>
      </x:c>
      <x:c r="L128" s="34" t="n">
        <x:v>10.884717</x:v>
      </x:c>
      <x:c r="M128" s="34" t="n">
        <x:v>0.284943</x:v>
      </x:c>
      <x:c r="N128" s="34" t="n">
        <x:v>-1.711921</x:v>
      </x:c>
      <x:c r="O128" s="34" t="n">
        <x:v>0.543784</x:v>
      </x:c>
      <x:c r="P128" s="34" t="n">
        <x:v>4864.151</x:v>
      </x:c>
      <x:c r="Q128" s="34" t="n">
        <x:v>127.33479</x:v>
      </x:c>
      <x:c r="R128" s="34" t="n">
        <x:v>4099.129</x:v>
      </x:c>
      <x:c r="S128" s="34" t="n">
        <x:v>315.273211</x:v>
      </x:c>
      <x:c r="T128" s="34" t="n">
        <x:v>0</x:v>
      </x:c>
      <x:c r="U128" s="34" t="n">
        <x:v>0</x:v>
      </x:c>
      <x:c r="V128" s="34" t="n">
        <x:v>-2572.708</x:v>
      </x:c>
      <x:c r="W128" s="34" t="n">
        <x:v>127.33479</x:v>
      </x:c>
      <x:c r="X128" s="34" t="n">
        <x:v>-7436.859</x:v>
      </x:c>
      <x:c r="Y128" s="34" t="n">
        <x:v>0</x:v>
      </x:c>
      <x:c r="Z128" s="34" t="n">
        <x:v>-761.917</x:v>
      </x:c>
      <x:c r="AA128" s="34" t="n">
        <x:v>17.625496</x:v>
      </x:c>
    </x:row>
    <x:row r="129">
      <x:c r="A129" s="34" t="str">
        <x:v>NIPPON_STEEL_JP</x:v>
      </x:c>
      <x:c r="B129" s="34" t="str">
        <x:v>Nippon Steel</x:v>
      </x:c>
      <x:c r="C129" s="34" t="str">
        <x:v>CAND-91BB5A02A7A61F</x:v>
      </x:c>
      <x:c r="D129" s="34" t="str">
        <x:v>P2</x:v>
      </x:c>
      <x:c r="E129" s="34" t="str">
        <x:v>PORT-42FD0857B83C</x:v>
      </x:c>
      <x:c r="F129" s="34" t="str">
        <x:v>ACCELERATED_15C</x:v>
      </x:c>
      <x:c r="G129" s="34" t="str">
        <x:v>DISCLOSED_PATH</x:v>
      </x:c>
      <x:c r="H129" s="40" t="b">
        <x:v>1</x:v>
      </x:c>
      <x:c r="I129" s="40" t="b">
        <x:v>0</x:v>
      </x:c>
      <x:c r="J129" s="40" t="b">
        <x:v>1</x:v>
      </x:c>
      <x:c r="K129" s="34" t="n">
        <x:v>452.478948</x:v>
      </x:c>
      <x:c r="L129" s="34" t="n">
        <x:v>10.786753</x:v>
      </x:c>
      <x:c r="M129" s="34" t="n">
        <x:v>0.848879</x:v>
      </x:c>
      <x:c r="N129" s="34" t="n">
        <x:v>-1.910775</x:v>
      </x:c>
      <x:c r="O129" s="34" t="n">
        <x:v>0.562777</x:v>
      </x:c>
      <x:c r="P129" s="34" t="n">
        <x:v>4880.778667</x:v>
      </x:c>
      <x:c r="Q129" s="34" t="n">
        <x:v>384.100085</x:v>
      </x:c>
      <x:c r="R129" s="34" t="n">
        <x:v>4016.193333</x:v>
      </x:c>
      <x:c r="S129" s="34" t="n">
        <x:v>172.90073</x:v>
      </x:c>
      <x:c r="T129" s="34" t="n">
        <x:v>0</x:v>
      </x:c>
      <x:c r="U129" s="34" t="n">
        <x:v>0</x:v>
      </x:c>
      <x:c r="V129" s="34" t="n">
        <x:v>-2651.377</x:v>
      </x:c>
      <x:c r="W129" s="34" t="n">
        <x:v>384.099642</x:v>
      </x:c>
      <x:c r="X129" s="34" t="n">
        <x:v>-7532.156</x:v>
      </x:c>
      <x:c r="Y129" s="34" t="n">
        <x:v>0</x:v>
      </x:c>
      <x:c r="Z129" s="34" t="n">
        <x:v>-1184.075</x:v>
      </x:c>
      <x:c r="AA129" s="34" t="n">
        <x:v>34.433262</x:v>
      </x:c>
    </x:row>
    <x:row r="130">
      <x:c r="A130" s="34" t="str">
        <x:v>NIPPON_STEEL_JP</x:v>
      </x:c>
      <x:c r="B130" s="34" t="str">
        <x:v>Nippon Steel</x:v>
      </x:c>
      <x:c r="C130" s="34" t="str">
        <x:v>CAND-97FAAFFD87E907</x:v>
      </x:c>
      <x:c r="D130" s="34" t="str">
        <x:v>P1</x:v>
      </x:c>
      <x:c r="E130" s="34" t="str">
        <x:v>PORT-160DD6C4A97F</x:v>
      </x:c>
      <x:c r="F130" s="34" t="str">
        <x:v>ACCELERATED_15C</x:v>
      </x:c>
      <x:c r="G130" s="34" t="str">
        <x:v>DISCLOSED_PATH</x:v>
      </x:c>
      <x:c r="H130" s="40" t="b">
        <x:v>1</x:v>
      </x:c>
      <x:c r="I130" s="40" t="b">
        <x:v>0</x:v>
      </x:c>
      <x:c r="J130" s="40" t="b">
        <x:v>1</x:v>
      </x:c>
      <x:c r="K130" s="34" t="n">
        <x:v>442.153947</x:v>
      </x:c>
      <x:c r="L130" s="34" t="n">
        <x:v>12.206386</x:v>
      </x:c>
      <x:c r="M130" s="34" t="n">
        <x:v>0.422309</x:v>
      </x:c>
      <x:c r="N130" s="34" t="n">
        <x:v>-1.671541</x:v>
      </x:c>
      <x:c r="O130" s="34" t="n">
        <x:v>0.333927</x:v>
      </x:c>
      <x:c r="P130" s="34" t="n">
        <x:v>5397.101667</x:v>
      </x:c>
      <x:c r="Q130" s="34" t="n">
        <x:v>186.725131</x:v>
      </x:c>
      <x:c r="R130" s="34" t="n">
        <x:v>4658.023</x:v>
      </x:c>
      <x:c r="S130" s="34" t="n">
        <x:v>41.181686</x:v>
      </x:c>
      <x:c r="T130" s="34" t="n">
        <x:v>0</x:v>
      </x:c>
      <x:c r="U130" s="34" t="n">
        <x:v>0</x:v>
      </x:c>
      <x:c r="V130" s="34" t="n">
        <x:v>-1958.434</x:v>
      </x:c>
      <x:c r="W130" s="34" t="n">
        <x:v>186.725558</x:v>
      </x:c>
      <x:c r="X130" s="34" t="n">
        <x:v>-7355.536</x:v>
      </x:c>
      <x:c r="Y130" s="34" t="n">
        <x:v>0</x:v>
      </x:c>
      <x:c r="Z130" s="34" t="n">
        <x:v>-632.328667</x:v>
      </x:c>
      <x:c r="AA130" s="34" t="n">
        <x:v>18.683158</x:v>
      </x:c>
    </x:row>
    <x:row r="131">
      <x:c r="A131" s="34" t="str">
        <x:v>NIPPON_STEEL_JP</x:v>
      </x:c>
      <x:c r="B131" s="34" t="str">
        <x:v>Nippon Steel</x:v>
      </x:c>
      <x:c r="C131" s="34" t="str">
        <x:v>CAND-9EF16DBB46004F</x:v>
      </x:c>
      <x:c r="D131" s="34" t="str">
        <x:v>P1</x:v>
      </x:c>
      <x:c r="E131" s="34" t="str">
        <x:v>PORT-833EEC5002A6</x:v>
      </x:c>
      <x:c r="F131" s="34" t="str">
        <x:v>ACCELERATED_15C</x:v>
      </x:c>
      <x:c r="G131" s="34" t="str">
        <x:v>DISCLOSED_PATH</x:v>
      </x:c>
      <x:c r="H131" s="40" t="b">
        <x:v>0</x:v>
      </x:c>
      <x:c r="I131" s="40" t="b">
        <x:v>1</x:v>
      </x:c>
      <x:c r="J131" s="40" t="b">
        <x:v>1</x:v>
      </x:c>
      <x:c r="K131" s="34" t="n">
        <x:v>369.073938</x:v>
      </x:c>
      <x:c r="L131" s="34" t="n">
        <x:v>11.784636</x:v>
      </x:c>
      <x:c r="M131" s="34" t="n">
        <x:v>0.408966</x:v>
      </x:c>
      <x:c r="N131" s="34" t="n">
        <x:v>-1.850869</x:v>
      </x:c>
      <x:c r="O131" s="34" t="n">
        <x:v>0.301943</x:v>
      </x:c>
      <x:c r="P131" s="34" t="n">
        <x:v>4349.401667</x:v>
      </x:c>
      <x:c r="Q131" s="34" t="n">
        <x:v>150.93871</x:v>
      </x:c>
      <x:c r="R131" s="34" t="n">
        <x:v>3666.294</x:v>
      </x:c>
      <x:c r="S131" s="34" t="n">
        <x:v>92.191099</x:v>
      </x:c>
      <x:c r="T131" s="34" t="n">
        <x:v>0</x:v>
      </x:c>
      <x:c r="U131" s="34" t="n">
        <x:v>0</x:v>
      </x:c>
      <x:c r="V131" s="34" t="n">
        <x:v>-1753.939333</x:v>
      </x:c>
      <x:c r="W131" s="34" t="n">
        <x:v>150.93871</x:v>
      </x:c>
      <x:c r="X131" s="34" t="n">
        <x:v>-6103.341</x:v>
      </x:c>
      <x:c r="Y131" s="34" t="n">
        <x:v>0</x:v>
      </x:c>
      <x:c r="Z131" s="34" t="n">
        <x:v>-531.117</x:v>
      </x:c>
      <x:c r="AA131" s="34" t="n">
        <x:v>9.167633</x:v>
      </x:c>
    </x:row>
    <x:row r="132">
      <x:c r="A132" s="34" t="str">
        <x:v>NIPPON_STEEL_JP</x:v>
      </x:c>
      <x:c r="B132" s="34" t="str">
        <x:v>Nippon Steel</x:v>
      </x:c>
      <x:c r="C132" s="34" t="str">
        <x:v>CAND-B22DEBDE0F4599</x:v>
      </x:c>
      <x:c r="D132" s="34" t="str">
        <x:v>P1</x:v>
      </x:c>
      <x:c r="E132" s="34" t="str">
        <x:v>PORT-9961527CE1F4</x:v>
      </x:c>
      <x:c r="F132" s="34" t="str">
        <x:v>ACCELERATED_15C</x:v>
      </x:c>
      <x:c r="G132" s="34" t="str">
        <x:v>DISCLOSED_PATH</x:v>
      </x:c>
      <x:c r="H132" s="40" t="b">
        <x:v>0</x:v>
      </x:c>
      <x:c r="I132" s="40" t="b">
        <x:v>1</x:v>
      </x:c>
      <x:c r="J132" s="40" t="b">
        <x:v>1</x:v>
      </x:c>
      <x:c r="K132" s="34" t="n">
        <x:v>407.153943</x:v>
      </x:c>
      <x:c r="L132" s="34" t="n">
        <x:v>10.460794</x:v>
      </x:c>
      <x:c r="M132" s="34" t="n">
        <x:v>0.360725</x:v>
      </x:c>
      <x:c r="N132" s="34" t="n">
        <x:v>-2.27935</x:v>
      </x:c>
      <x:c r="O132" s="34" t="n">
        <x:v>0.481448</x:v>
      </x:c>
      <x:c r="P132" s="34" t="n">
        <x:v>4259.153333</x:v>
      </x:c>
      <x:c r="Q132" s="34" t="n">
        <x:v>146.870557</x:v>
      </x:c>
      <x:c r="R132" s="34" t="n">
        <x:v>3331.107333</x:v>
      </x:c>
      <x:c r="S132" s="34" t="n">
        <x:v>128.542711</x:v>
      </x:c>
      <x:c r="T132" s="34" t="n">
        <x:v>0</x:v>
      </x:c>
      <x:c r="U132" s="34" t="n">
        <x:v>0</x:v>
      </x:c>
      <x:c r="V132" s="34" t="n">
        <x:v>-2492.204</x:v>
      </x:c>
      <x:c r="W132" s="34" t="n">
        <x:v>146.871135</x:v>
      </x:c>
      <x:c r="X132" s="34" t="n">
        <x:v>-6751.357</x:v>
      </x:c>
      <x:c r="Y132" s="34" t="n">
        <x:v>0</x:v>
      </x:c>
      <x:c r="Z132" s="34" t="n">
        <x:v>-605.553667</x:v>
      </x:c>
      <x:c r="AA132" s="34" t="n">
        <x:v>16.07025</x:v>
      </x:c>
    </x:row>
    <x:row r="133">
      <x:c r="A133" s="34" t="str">
        <x:v>NIPPON_STEEL_JP</x:v>
      </x:c>
      <x:c r="B133" s="34" t="str">
        <x:v>Nippon Steel</x:v>
      </x:c>
      <x:c r="C133" s="34" t="str">
        <x:v>CAND-BB1980A1B6CB5D</x:v>
      </x:c>
      <x:c r="D133" s="34" t="str">
        <x:v>P1</x:v>
      </x:c>
      <x:c r="E133" s="34" t="str">
        <x:v>PORT-0650AB6C64AE</x:v>
      </x:c>
      <x:c r="F133" s="34" t="str">
        <x:v>ACCELERATED_15C</x:v>
      </x:c>
      <x:c r="G133" s="34" t="str">
        <x:v>DISCLOSED_PATH</x:v>
      </x:c>
      <x:c r="H133" s="40" t="b">
        <x:v>0</x:v>
      </x:c>
      <x:c r="I133" s="40" t="b">
        <x:v>1</x:v>
      </x:c>
      <x:c r="J133" s="40" t="b">
        <x:v>1</x:v>
      </x:c>
      <x:c r="K133" s="34" t="n">
        <x:v>408.503937</x:v>
      </x:c>
      <x:c r="L133" s="34" t="n">
        <x:v>9.947878</x:v>
      </x:c>
      <x:c r="M133" s="34" t="n">
        <x:v>0.408573</x:v>
      </x:c>
      <x:c r="N133" s="34" t="n">
        <x:v>-2.232024</x:v>
      </x:c>
      <x:c r="O133" s="34" t="n">
        <x:v>0.64765</x:v>
      </x:c>
      <x:c r="P133" s="34" t="n">
        <x:v>4063.747</x:v>
      </x:c>
      <x:c r="Q133" s="34" t="n">
        <x:v>166.903856</x:v>
      </x:c>
      <x:c r="R133" s="34" t="n">
        <x:v>3151.956667</x:v>
      </x:c>
      <x:c r="S133" s="34" t="n">
        <x:v>320.289971</x:v>
      </x:c>
      <x:c r="T133" s="34" t="n">
        <x:v>0</x:v>
      </x:c>
      <x:c r="U133" s="34" t="n">
        <x:v>0</x:v>
      </x:c>
      <x:c r="V133" s="34" t="n">
        <x:v>-2706.596333</x:v>
      </x:c>
      <x:c r="W133" s="34" t="n">
        <x:v>166.903445</x:v>
      </x:c>
      <x:c r="X133" s="34" t="n">
        <x:v>-6770.344</x:v>
      </x:c>
      <x:c r="Y133" s="34" t="n">
        <x:v>0</x:v>
      </x:c>
      <x:c r="Z133" s="34" t="n">
        <x:v>-601.958333</x:v>
      </x:c>
      <x:c r="AA133" s="34" t="n">
        <x:v>17.822696</x:v>
      </x:c>
    </x:row>
    <x:row r="134">
      <x:c r="A134" s="34" t="str">
        <x:v>NIPPON_STEEL_JP</x:v>
      </x:c>
      <x:c r="B134" s="34" t="str">
        <x:v>Nippon Steel</x:v>
      </x:c>
      <x:c r="C134" s="34" t="str">
        <x:v>CAND-BCE0067D428D60</x:v>
      </x:c>
      <x:c r="D134" s="34" t="str">
        <x:v>P2</x:v>
      </x:c>
      <x:c r="E134" s="34" t="str">
        <x:v>PORT-00B029BF7478</x:v>
      </x:c>
      <x:c r="F134" s="34" t="str">
        <x:v>ACCELERATED_15C</x:v>
      </x:c>
      <x:c r="G134" s="34" t="str">
        <x:v>DISCLOSED_PATH</x:v>
      </x:c>
      <x:c r="H134" s="40" t="b">
        <x:v>1</x:v>
      </x:c>
      <x:c r="I134" s="40" t="b">
        <x:v>1</x:v>
      </x:c>
      <x:c r="J134" s="40" t="b">
        <x:v>1</x:v>
      </x:c>
      <x:c r="K134" s="34" t="n">
        <x:v>459.478949</x:v>
      </x:c>
      <x:c r="L134" s="34" t="n">
        <x:v>9.118455</x:v>
      </x:c>
      <x:c r="M134" s="34" t="n">
        <x:v>0.137587</x:v>
      </x:c>
      <x:c r="N134" s="34" t="n">
        <x:v>-1.727727</x:v>
      </x:c>
      <x:c r="O134" s="34" t="n">
        <x:v>0.039575</x:v>
      </x:c>
      <x:c r="P134" s="34" t="n">
        <x:v>4189.738</x:v>
      </x:c>
      <x:c r="Q134" s="34" t="n">
        <x:v>63.218536</x:v>
      </x:c>
      <x:c r="R134" s="34" t="n">
        <x:v>3395.883667</x:v>
      </x:c>
      <x:c r="S134" s="34" t="n">
        <x:v>50.3754</x:v>
      </x:c>
      <x:c r="T134" s="34" t="n">
        <x:v>0</x:v>
      </x:c>
      <x:c r="U134" s="34" t="n">
        <x:v>0</x:v>
      </x:c>
      <x:c r="V134" s="34" t="n">
        <x:v>-3463.016667</x:v>
      </x:c>
      <x:c r="W134" s="34" t="n">
        <x:v>63.218268</x:v>
      </x:c>
      <x:c r="X134" s="34" t="n">
        <x:v>-7652.755</x:v>
      </x:c>
      <x:c r="Y134" s="34" t="n">
        <x:v>0</x:v>
      </x:c>
      <x:c r="Z134" s="34" t="n">
        <x:v>-1460.855</x:v>
      </x:c>
      <x:c r="AA134" s="34" t="n">
        <x:v>33.879222</x:v>
      </x:c>
    </x:row>
    <x:row r="135">
      <x:c r="A135" s="34" t="str">
        <x:v>NIPPON_STEEL_JP</x:v>
      </x:c>
      <x:c r="B135" s="34" t="str">
        <x:v>Nippon Steel</x:v>
      </x:c>
      <x:c r="C135" s="34" t="str">
        <x:v>CAND-BE3632C0C6EBCB</x:v>
      </x:c>
      <x:c r="D135" s="34" t="str">
        <x:v>P1</x:v>
      </x:c>
      <x:c r="E135" s="34" t="str">
        <x:v>PORT-28AC80454322</x:v>
      </x:c>
      <x:c r="F135" s="34" t="str">
        <x:v>ACCELERATED_15C</x:v>
      </x:c>
      <x:c r="G135" s="34" t="str">
        <x:v>DISCLOSED_PATH</x:v>
      </x:c>
      <x:c r="H135" s="40" t="b">
        <x:v>1</x:v>
      </x:c>
      <x:c r="I135" s="40" t="b">
        <x:v>0</x:v>
      </x:c>
      <x:c r="J135" s="40" t="b">
        <x:v>1</x:v>
      </x:c>
      <x:c r="K135" s="34" t="n">
        <x:v>449.103942</x:v>
      </x:c>
      <x:c r="L135" s="34" t="n">
        <x:v>10.217147</x:v>
      </x:c>
      <x:c r="M135" s="34" t="n">
        <x:v>0.513531</x:v>
      </x:c>
      <x:c r="N135" s="34" t="n">
        <x:v>-2.111275</x:v>
      </x:c>
      <x:c r="O135" s="34" t="n">
        <x:v>0.631017</x:v>
      </x:c>
      <x:c r="P135" s="34" t="n">
        <x:v>4588.561</x:v>
      </x:c>
      <x:c r="Q135" s="34" t="n">
        <x:v>230.628323</x:v>
      </x:c>
      <x:c r="R135" s="34" t="n">
        <x:v>3640.379</x:v>
      </x:c>
      <x:c r="S135" s="34" t="n">
        <x:v>291.71269</x:v>
      </x:c>
      <x:c r="T135" s="34" t="n">
        <x:v>0</x:v>
      </x:c>
      <x:c r="U135" s="34" t="n">
        <x:v>0</x:v>
      </x:c>
      <x:c r="V135" s="34" t="n">
        <x:v>-2881.257333</x:v>
      </x:c>
      <x:c r="W135" s="34" t="n">
        <x:v>230.628541</x:v>
      </x:c>
      <x:c r="X135" s="34" t="n">
        <x:v>-7469.819</x:v>
      </x:c>
      <x:c r="Y135" s="34" t="n">
        <x:v>0</x:v>
      </x:c>
      <x:c r="Z135" s="34" t="n">
        <x:v>-674.713333</x:v>
      </x:c>
      <x:c r="AA135" s="34" t="n">
        <x:v>11.767266</x:v>
      </x:c>
    </x:row>
    <x:row r="136">
      <x:c r="A136" s="34" t="str">
        <x:v>NIPPON_STEEL_JP</x:v>
      </x:c>
      <x:c r="B136" s="34" t="str">
        <x:v>Nippon Steel</x:v>
      </x:c>
      <x:c r="C136" s="34" t="str">
        <x:v>CAND-BF06102F6003FE</x:v>
      </x:c>
      <x:c r="D136" s="34" t="str">
        <x:v>P2</x:v>
      </x:c>
      <x:c r="E136" s="34" t="str">
        <x:v>PORT-7CA9F3BA0776</x:v>
      </x:c>
      <x:c r="F136" s="34" t="str">
        <x:v>ACCELERATED_15C</x:v>
      </x:c>
      <x:c r="G136" s="34" t="str">
        <x:v>DISCLOSED_PATH</x:v>
      </x:c>
      <x:c r="H136" s="40" t="b">
        <x:v>1</x:v>
      </x:c>
      <x:c r="I136" s="40" t="b">
        <x:v>1</x:v>
      </x:c>
      <x:c r="J136" s="40" t="b">
        <x:v>1</x:v>
      </x:c>
      <x:c r="K136" s="34" t="n">
        <x:v>473.428944</x:v>
      </x:c>
      <x:c r="L136" s="34" t="n">
        <x:v>6.698019</x:v>
      </x:c>
      <x:c r="M136" s="34" t="n">
        <x:v>0.53077</x:v>
      </x:c>
      <x:c r="N136" s="34" t="n">
        <x:v>-2.812085</x:v>
      </x:c>
      <x:c r="O136" s="34" t="n">
        <x:v>1.098761</x:v>
      </x:c>
      <x:c r="P136" s="34" t="n">
        <x:v>3171.036333</x:v>
      </x:c>
      <x:c r="Q136" s="34" t="n">
        <x:v>251.28175</x:v>
      </x:c>
      <x:c r="R136" s="34" t="n">
        <x:v>1839.713333</x:v>
      </x:c>
      <x:c r="S136" s="34" t="n">
        <x:v>306.462325</x:v>
      </x:c>
      <x:c r="T136" s="34" t="n">
        <x:v>0</x:v>
      </x:c>
      <x:c r="U136" s="34" t="n">
        <x:v>0</x:v>
      </x:c>
      <x:c r="V136" s="34" t="n">
        <x:v>-4716.600333</x:v>
      </x:c>
      <x:c r="W136" s="34" t="n">
        <x:v>251.282311</x:v>
      </x:c>
      <x:c r="X136" s="34" t="n">
        <x:v>-7887.636</x:v>
      </x:c>
      <x:c r="Y136" s="34" t="n">
        <x:v>0</x:v>
      </x:c>
      <x:c r="Z136" s="34" t="n">
        <x:v>-1963.672333</x:v>
      </x:c>
      <x:c r="AA136" s="34" t="n">
        <x:v>41.867096</x:v>
      </x:c>
    </x:row>
    <x:row r="137">
      <x:c r="A137" s="34" t="str">
        <x:v>NIPPON_STEEL_JP</x:v>
      </x:c>
      <x:c r="B137" s="34" t="str">
        <x:v>Nippon Steel</x:v>
      </x:c>
      <x:c r="C137" s="34" t="str">
        <x:v>CAND-BF076556907246</x:v>
      </x:c>
      <x:c r="D137" s="34" t="str">
        <x:v>P1</x:v>
      </x:c>
      <x:c r="E137" s="34" t="str">
        <x:v>PORT-10D90F59290D</x:v>
      </x:c>
      <x:c r="F137" s="34" t="str">
        <x:v>ACCELERATED_15C</x:v>
      </x:c>
      <x:c r="G137" s="34" t="str">
        <x:v>DISCLOSED_PATH</x:v>
      </x:c>
      <x:c r="H137" s="40" t="b">
        <x:v>0</x:v>
      </x:c>
      <x:c r="I137" s="40" t="b">
        <x:v>1</x:v>
      </x:c>
      <x:c r="J137" s="40" t="b">
        <x:v>1</x:v>
      </x:c>
      <x:c r="K137" s="34" t="n">
        <x:v>361.243973</x:v>
      </x:c>
      <x:c r="L137" s="34" t="n">
        <x:v>11.955051</x:v>
      </x:c>
      <x:c r="M137" s="34" t="n">
        <x:v>0.405754</x:v>
      </x:c>
      <x:c r="N137" s="34" t="n">
        <x:v>-1.828125</x:v>
      </x:c>
      <x:c r="O137" s="34" t="n">
        <x:v>0.406301</x:v>
      </x:c>
      <x:c r="P137" s="34" t="n">
        <x:v>4318.690333</x:v>
      </x:c>
      <x:c r="Q137" s="34" t="n">
        <x:v>146.576357</x:v>
      </x:c>
      <x:c r="R137" s="34" t="n">
        <x:v>3658.291</x:v>
      </x:c>
      <x:c r="S137" s="34" t="n">
        <x:v>55.693527</x:v>
      </x:c>
      <x:c r="T137" s="34" t="n">
        <x:v>0</x:v>
      </x:c>
      <x:c r="U137" s="34" t="n">
        <x:v>0</x:v>
      </x:c>
      <x:c r="V137" s="34" t="n">
        <x:v>-1674.534333</x:v>
      </x:c>
      <x:c r="W137" s="34" t="n">
        <x:v>146.576389</x:v>
      </x:c>
      <x:c r="X137" s="34" t="n">
        <x:v>-5993.224</x:v>
      </x:c>
      <x:c r="Y137" s="34" t="n">
        <x:v>0</x:v>
      </x:c>
      <x:c r="Z137" s="34" t="n">
        <x:v>-535.583333</x:v>
      </x:c>
      <x:c r="AA137" s="34" t="n">
        <x:v>10.742328</x:v>
      </x:c>
    </x:row>
    <x:row r="138">
      <x:c r="A138" s="34" t="str">
        <x:v>NIPPON_STEEL_JP</x:v>
      </x:c>
      <x:c r="B138" s="34" t="str">
        <x:v>Nippon Steel</x:v>
      </x:c>
      <x:c r="C138" s="34" t="str">
        <x:v>CAND-C0EAED81BD41EE</x:v>
      </x:c>
      <x:c r="D138" s="34" t="str">
        <x:v>P1</x:v>
      </x:c>
      <x:c r="E138" s="34" t="str">
        <x:v>PORT-42FD0857B83C</x:v>
      </x:c>
      <x:c r="F138" s="34" t="str">
        <x:v>ACCELERATED_15C</x:v>
      </x:c>
      <x:c r="G138" s="34" t="str">
        <x:v>DISCLOSED_PATH</x:v>
      </x:c>
      <x:c r="H138" s="40" t="b">
        <x:v>1</x:v>
      </x:c>
      <x:c r="I138" s="40" t="b">
        <x:v>0</x:v>
      </x:c>
      <x:c r="J138" s="40" t="b">
        <x:v>1</x:v>
      </x:c>
      <x:c r="K138" s="34" t="n">
        <x:v>452.478948</x:v>
      </x:c>
      <x:c r="L138" s="34" t="n">
        <x:v>10.130608</x:v>
      </x:c>
      <x:c r="M138" s="34" t="n">
        <x:v>1.06969</x:v>
      </x:c>
      <x:c r="N138" s="34" t="n">
        <x:v>-2.570216</x:v>
      </x:c>
      <x:c r="O138" s="34" t="n">
        <x:v>0.638763</x:v>
      </x:c>
      <x:c r="P138" s="34" t="n">
        <x:v>4583.886667</x:v>
      </x:c>
      <x:c r="Q138" s="34" t="n">
        <x:v>484.012202</x:v>
      </x:c>
      <x:c r="R138" s="34" t="n">
        <x:v>3420.918</x:v>
      </x:c>
      <x:c r="S138" s="34" t="n">
        <x:v>227.498989</x:v>
      </x:c>
      <x:c r="T138" s="34" t="n">
        <x:v>0</x:v>
      </x:c>
      <x:c r="U138" s="34" t="n">
        <x:v>0</x:v>
      </x:c>
      <x:c r="V138" s="34" t="n">
        <x:v>-2948.269</x:v>
      </x:c>
      <x:c r="W138" s="34" t="n">
        <x:v>484.011729</x:v>
      </x:c>
      <x:c r="X138" s="34" t="n">
        <x:v>-7532.156</x:v>
      </x:c>
      <x:c r="Y138" s="34" t="n">
        <x:v>0</x:v>
      </x:c>
      <x:c r="Z138" s="34" t="n">
        <x:v>-806.966</x:v>
      </x:c>
      <x:c r="AA138" s="34" t="n">
        <x:v>18.234029</x:v>
      </x:c>
    </x:row>
    <x:row r="139">
      <x:c r="A139" s="34" t="str">
        <x:v>NIPPON_STEEL_JP</x:v>
      </x:c>
      <x:c r="B139" s="34" t="str">
        <x:v>Nippon Steel</x:v>
      </x:c>
      <x:c r="C139" s="34" t="str">
        <x:v>CAND-C1AAA9A0078119</x:v>
      </x:c>
      <x:c r="D139" s="34" t="str">
        <x:v>P1</x:v>
      </x:c>
      <x:c r="E139" s="34" t="str">
        <x:v>PORT-9E76B3BFF9FF</x:v>
      </x:c>
      <x:c r="F139" s="34" t="str">
        <x:v>ACCELERATED_15C</x:v>
      </x:c>
      <x:c r="G139" s="34" t="str">
        <x:v>DISCLOSED_PATH</x:v>
      </x:c>
      <x:c r="H139" s="40" t="b">
        <x:v>1</x:v>
      </x:c>
      <x:c r="I139" s="40" t="b">
        <x:v>1</x:v>
      </x:c>
      <x:c r="J139" s="40" t="b">
        <x:v>1</x:v>
      </x:c>
      <x:c r="K139" s="34" t="n">
        <x:v>456.103943</x:v>
      </x:c>
      <x:c r="L139" s="34" t="n">
        <x:v>8.699652</x:v>
      </x:c>
      <x:c r="M139" s="34" t="n">
        <x:v>0.27699</x:v>
      </x:c>
      <x:c r="N139" s="34" t="n">
        <x:v>-2.767627</x:v>
      </x:c>
      <x:c r="O139" s="34" t="n">
        <x:v>0.728925</x:v>
      </x:c>
      <x:c r="P139" s="34" t="n">
        <x:v>3967.945667</x:v>
      </x:c>
      <x:c r="Q139" s="34" t="n">
        <x:v>126.335531</x:v>
      </x:c>
      <x:c r="R139" s="34" t="n">
        <x:v>2705.62</x:v>
      </x:c>
      <x:c r="S139" s="34" t="n">
        <x:v>269.751112</x:v>
      </x:c>
      <x:c r="T139" s="34" t="n">
        <x:v>0</x:v>
      </x:c>
      <x:c r="U139" s="34" t="n">
        <x:v>0</x:v>
      </x:c>
      <x:c r="V139" s="34" t="n">
        <x:v>-3622.471667</x:v>
      </x:c>
      <x:c r="W139" s="34" t="n">
        <x:v>126.336055</x:v>
      </x:c>
      <x:c r="X139" s="34" t="n">
        <x:v>-7590.417</x:v>
      </x:c>
      <x:c r="Y139" s="34" t="n">
        <x:v>0</x:v>
      </x:c>
      <x:c r="Z139" s="34" t="n">
        <x:v>-793.848</x:v>
      </x:c>
      <x:c r="AA139" s="34" t="n">
        <x:v>20.148788</x:v>
      </x:c>
    </x:row>
    <x:row r="140">
      <x:c r="A140" s="34" t="str">
        <x:v>NIPPON_STEEL_JP</x:v>
      </x:c>
      <x:c r="B140" s="34" t="str">
        <x:v>Nippon Steel</x:v>
      </x:c>
      <x:c r="C140" s="34" t="str">
        <x:v>CAND-C4C9319CE1829D</x:v>
      </x:c>
      <x:c r="D140" s="34" t="str">
        <x:v>P2</x:v>
      </x:c>
      <x:c r="E140" s="34" t="str">
        <x:v>PORT-7F141003EFD9</x:v>
      </x:c>
      <x:c r="F140" s="34" t="str">
        <x:v>ACCELERATED_15C</x:v>
      </x:c>
      <x:c r="G140" s="34" t="str">
        <x:v>DISCLOSED_PATH</x:v>
      </x:c>
      <x:c r="H140" s="40" t="b">
        <x:v>1</x:v>
      </x:c>
      <x:c r="I140" s="40" t="b">
        <x:v>1</x:v>
      </x:c>
      <x:c r="J140" s="40" t="b">
        <x:v>1</x:v>
      </x:c>
      <x:c r="K140" s="34" t="n">
        <x:v>466.428943</x:v>
      </x:c>
      <x:c r="L140" s="34" t="n">
        <x:v>7.985722</x:v>
      </x:c>
      <x:c r="M140" s="34" t="n">
        <x:v>0.59176</x:v>
      </x:c>
      <x:c r="N140" s="34" t="n">
        <x:v>-2.265498</x:v>
      </x:c>
      <x:c r="O140" s="34" t="n">
        <x:v>1.197438</x:v>
      </x:c>
      <x:c r="P140" s="34" t="n">
        <x:v>3724.771667</x:v>
      </x:c>
      <x:c r="Q140" s="34" t="n">
        <x:v>276.01417</x:v>
      </x:c>
      <x:c r="R140" s="34" t="n">
        <x:v>2668.078667</x:v>
      </x:c>
      <x:c r="S140" s="34" t="n">
        <x:v>283.753355</x:v>
      </x:c>
      <x:c r="T140" s="34" t="n">
        <x:v>0</x:v>
      </x:c>
      <x:c r="U140" s="34" t="n">
        <x:v>0</x:v>
      </x:c>
      <x:c r="V140" s="34" t="n">
        <x:v>-4042.264667</x:v>
      </x:c>
      <x:c r="W140" s="34" t="n">
        <x:v>276.013618</x:v>
      </x:c>
      <x:c r="X140" s="34" t="n">
        <x:v>-7767.037</x:v>
      </x:c>
      <x:c r="Y140" s="34" t="n">
        <x:v>0</x:v>
      </x:c>
      <x:c r="Z140" s="34" t="n">
        <x:v>-1688.806</x:v>
      </x:c>
      <x:c r="AA140" s="34" t="n">
        <x:v>31.307199</x:v>
      </x:c>
    </x:row>
    <x:row r="141">
      <x:c r="A141" s="34" t="str">
        <x:v>NIPPON_STEEL_JP</x:v>
      </x:c>
      <x:c r="B141" s="34" t="str">
        <x:v>Nippon Steel</x:v>
      </x:c>
      <x:c r="C141" s="34" t="str">
        <x:v>CAND-C51D410B54BFD5</x:v>
      </x:c>
      <x:c r="D141" s="34" t="str">
        <x:v>P3</x:v>
      </x:c>
      <x:c r="E141" s="34" t="str">
        <x:v>PORT-5DE4D9A04480</x:v>
      </x:c>
      <x:c r="F141" s="34" t="str">
        <x:v>ACCELERATED_15C</x:v>
      </x:c>
      <x:c r="G141" s="34" t="str">
        <x:v>DISCLOSED_PATH</x:v>
      </x:c>
      <x:c r="H141" s="40" t="b">
        <x:v>1</x:v>
      </x:c>
      <x:c r="I141" s="40" t="b">
        <x:v>1</x:v>
      </x:c>
      <x:c r="J141" s="40" t="b">
        <x:v>1</x:v>
      </x:c>
      <x:c r="K141" s="34" t="n">
        <x:v>461.703943</x:v>
      </x:c>
      <x:c r="L141" s="34" t="n">
        <x:v>10.587173</x:v>
      </x:c>
      <x:c r="M141" s="34" t="n">
        <x:v>0.220976</x:v>
      </x:c>
      <x:c r="N141" s="34" t="n">
        <x:v>-0.966214</x:v>
      </x:c>
      <x:c r="O141" s="34" t="n">
        <x:v>0.307392</x:v>
      </x:c>
      <x:c r="P141" s="34" t="n">
        <x:v>4888.139667</x:v>
      </x:c>
      <x:c r="Q141" s="34" t="n">
        <x:v>102.025205</x:v>
      </x:c>
      <x:c r="R141" s="34" t="n">
        <x:v>4442.035</x:v>
      </x:c>
      <x:c r="S141" s="34" t="n">
        <x:v>65.331571</x:v>
      </x:c>
      <x:c r="T141" s="34" t="n">
        <x:v>0</x:v>
      </x:c>
      <x:c r="U141" s="34" t="n">
        <x:v>0</x:v>
      </x:c>
      <x:c r="V141" s="34" t="n">
        <x:v>-2797.574333</x:v>
      </x:c>
      <x:c r="W141" s="34" t="n">
        <x:v>102.025205</x:v>
      </x:c>
      <x:c r="X141" s="34" t="n">
        <x:v>-7685.714</x:v>
      </x:c>
      <x:c r="Y141" s="34" t="n">
        <x:v>0</x:v>
      </x:c>
      <x:c r="Z141" s="34" t="n">
        <x:v>-2350.083667</x:v>
      </x:c>
      <x:c r="AA141" s="34" t="n">
        <x:v>27.049938</x:v>
      </x:c>
    </x:row>
    <x:row r="142">
      <x:c r="A142" s="34" t="str">
        <x:v>NIPPON_STEEL_JP</x:v>
      </x:c>
      <x:c r="B142" s="34" t="str">
        <x:v>Nippon Steel</x:v>
      </x:c>
      <x:c r="C142" s="34" t="str">
        <x:v>CAND-CA2E4138D9BC07</x:v>
      </x:c>
      <x:c r="D142" s="34" t="str">
        <x:v>P1</x:v>
      </x:c>
      <x:c r="E142" s="34" t="str">
        <x:v>PORT-05EE518306D9</x:v>
      </x:c>
      <x:c r="F142" s="34" t="str">
        <x:v>ACCELERATED_15C</x:v>
      </x:c>
      <x:c r="G142" s="34" t="str">
        <x:v>DISCLOSED_PATH</x:v>
      </x:c>
      <x:c r="H142" s="40" t="b">
        <x:v>1</x:v>
      </x:c>
      <x:c r="I142" s="40" t="b">
        <x:v>1</x:v>
      </x:c>
      <x:c r="J142" s="40" t="b">
        <x:v>1</x:v>
      </x:c>
      <x:c r="K142" s="34" t="n">
        <x:v>460.828943</x:v>
      </x:c>
      <x:c r="L142" s="34" t="n">
        <x:v>7.797682</x:v>
      </x:c>
      <x:c r="M142" s="34" t="n">
        <x:v>0.818099</x:v>
      </x:c>
      <x:c r="N142" s="34" t="n">
        <x:v>-2.442895</x:v>
      </x:c>
      <x:c r="O142" s="34" t="n">
        <x:v>1.170678</x:v>
      </x:c>
      <x:c r="P142" s="34" t="n">
        <x:v>3593.397667</x:v>
      </x:c>
      <x:c r="Q142" s="34" t="n">
        <x:v>377.003034</x:v>
      </x:c>
      <x:c r="R142" s="34" t="n">
        <x:v>2467.641</x:v>
      </x:c>
      <x:c r="S142" s="34" t="n">
        <x:v>242.39714</x:v>
      </x:c>
      <x:c r="T142" s="34" t="n">
        <x:v>0</x:v>
      </x:c>
      <x:c r="U142" s="34" t="n">
        <x:v>0</x:v>
      </x:c>
      <x:c r="V142" s="34" t="n">
        <x:v>-4078.343</x:v>
      </x:c>
      <x:c r="W142" s="34" t="n">
        <x:v>377.003589</x:v>
      </x:c>
      <x:c r="X142" s="34" t="n">
        <x:v>-7671.74</x:v>
      </x:c>
      <x:c r="Y142" s="34" t="n">
        <x:v>0</x:v>
      </x:c>
      <x:c r="Z142" s="34" t="n">
        <x:v>-924.204667</x:v>
      </x:c>
      <x:c r="AA142" s="34" t="n">
        <x:v>19.272723</x:v>
      </x:c>
    </x:row>
    <x:row r="143">
      <x:c r="A143" s="34" t="str">
        <x:v>NIPPON_STEEL_JP</x:v>
      </x:c>
      <x:c r="B143" s="34" t="str">
        <x:v>Nippon Steel</x:v>
      </x:c>
      <x:c r="C143" s="34" t="str">
        <x:v>CAND-CDFE2587E5584F</x:v>
      </x:c>
      <x:c r="D143" s="34" t="str">
        <x:v>P4</x:v>
      </x:c>
      <x:c r="E143" s="34" t="str">
        <x:v>PORT-34AD95AD1263</x:v>
      </x:c>
      <x:c r="F143" s="34" t="str">
        <x:v>ACCELERATED_15C</x:v>
      </x:c>
      <x:c r="G143" s="34" t="str">
        <x:v>DISCLOSED_PATH</x:v>
      </x:c>
      <x:c r="H143" s="40" t="b">
        <x:v>1</x:v>
      </x:c>
      <x:c r="I143" s="40" t="b">
        <x:v>0</x:v>
      </x:c>
      <x:c r="J143" s="40" t="b">
        <x:v>1</x:v>
      </x:c>
      <x:c r="K143" s="34" t="n">
        <x:v>522.518939</x:v>
      </x:c>
      <x:c r="L143" s="34" t="n">
        <x:v>12.569222</x:v>
      </x:c>
      <x:c r="M143" s="34" t="n">
        <x:v>0.244324</x:v>
      </x:c>
      <x:c r="N143" s="34" t="n">
        <x:v>-0.689608</x:v>
      </x:c>
      <x:c r="O143" s="34" t="n">
        <x:v>0.301241</x:v>
      </x:c>
      <x:c r="P143" s="34" t="n">
        <x:v>6567.656333</x:v>
      </x:c>
      <x:c r="Q143" s="34" t="n">
        <x:v>127.663997</x:v>
      </x:c>
      <x:c r="R143" s="34" t="n">
        <x:v>6207.323333</x:v>
      </x:c>
      <x:c r="S143" s="34" t="n">
        <x:v>77.145882</x:v>
      </x:c>
      <x:c r="T143" s="34" t="n">
        <x:v>0</x:v>
      </x:c>
      <x:c r="U143" s="34" t="n">
        <x:v>0</x:v>
      </x:c>
      <x:c r="V143" s="34" t="n">
        <x:v>-2022.62</x:v>
      </x:c>
      <x:c r="W143" s="34" t="n">
        <x:v>127.663572</x:v>
      </x:c>
      <x:c r="X143" s="34" t="n">
        <x:v>-8590.276</x:v>
      </x:c>
      <x:c r="Y143" s="34" t="n">
        <x:v>0</x:v>
      </x:c>
      <x:c r="Z143" s="34" t="n">
        <x:v>-3665.387333</x:v>
      </x:c>
      <x:c r="AA143" s="34" t="n">
        <x:v>19.444902</x:v>
      </x:c>
    </x:row>
    <x:row r="144">
      <x:c r="A144" s="34" t="str">
        <x:v>NIPPON_STEEL_JP</x:v>
      </x:c>
      <x:c r="B144" s="34" t="str">
        <x:v>Nippon Steel</x:v>
      </x:c>
      <x:c r="C144" s="34" t="str">
        <x:v>CAND-D42C7F372720F7</x:v>
      </x:c>
      <x:c r="D144" s="34" t="str">
        <x:v>P3</x:v>
      </x:c>
      <x:c r="E144" s="34" t="str">
        <x:v>PORT-92BAA222AC4A</x:v>
      </x:c>
      <x:c r="F144" s="34" t="str">
        <x:v>ACCELERATED_15C</x:v>
      </x:c>
      <x:c r="G144" s="34" t="str">
        <x:v>DISCLOSED_PATH</x:v>
      </x:c>
      <x:c r="H144" s="40" t="b">
        <x:v>0</x:v>
      </x:c>
      <x:c r="I144" s="40" t="b">
        <x:v>1</x:v>
      </x:c>
      <x:c r="J144" s="40" t="b">
        <x:v>1</x:v>
      </x:c>
      <x:c r="K144" s="34" t="n">
        <x:v>365.968973</x:v>
      </x:c>
      <x:c r="L144" s="34" t="n">
        <x:v>11.994861</x:v>
      </x:c>
      <x:c r="M144" s="34" t="n">
        <x:v>0.070757</x:v>
      </x:c>
      <x:c r="N144" s="34" t="n">
        <x:v>-1.305548</x:v>
      </x:c>
      <x:c r="O144" s="34" t="n">
        <x:v>0.08294</x:v>
      </x:c>
      <x:c r="P144" s="34" t="n">
        <x:v>4389.746333</x:v>
      </x:c>
      <x:c r="Q144" s="34" t="n">
        <x:v>25.895369</x:v>
      </x:c>
      <x:c r="R144" s="34" t="n">
        <x:v>3911.957</x:v>
      </x:c>
      <x:c r="S144" s="34" t="n">
        <x:v>46.481667</x:v>
      </x:c>
      <x:c r="T144" s="34" t="n">
        <x:v>0</x:v>
      </x:c>
      <x:c r="U144" s="34" t="n">
        <x:v>0</x:v>
      </x:c>
      <x:c r="V144" s="34" t="n">
        <x:v>-1684.800333</x:v>
      </x:c>
      <x:c r="W144" s="34" t="n">
        <x:v>25.895038</x:v>
      </x:c>
      <x:c r="X144" s="34" t="n">
        <x:v>-6074.547</x:v>
      </x:c>
      <x:c r="Y144" s="34" t="n">
        <x:v>0</x:v>
      </x:c>
      <x:c r="Z144" s="34" t="n">
        <x:v>-1219.909333</x:v>
      </x:c>
      <x:c r="AA144" s="34" t="n">
        <x:v>29.767669</x:v>
      </x:c>
    </x:row>
    <x:row r="145">
      <x:c r="A145" s="34" t="str">
        <x:v>NIPPON_STEEL_JP</x:v>
      </x:c>
      <x:c r="B145" s="34" t="str">
        <x:v>Nippon Steel</x:v>
      </x:c>
      <x:c r="C145" s="34" t="str">
        <x:v>CAND-D5FFDB7EE708DF</x:v>
      </x:c>
      <x:c r="D145" s="34" t="str">
        <x:v>P1</x:v>
      </x:c>
      <x:c r="E145" s="34" t="str">
        <x:v>PORT-FFBC6AEA16BA</x:v>
      </x:c>
      <x:c r="F145" s="34" t="str">
        <x:v>ACCELERATED_15C</x:v>
      </x:c>
      <x:c r="G145" s="34" t="str">
        <x:v>DISCLOSED_PATH</x:v>
      </x:c>
      <x:c r="H145" s="40" t="b">
        <x:v>0</x:v>
      </x:c>
      <x:c r="I145" s="40" t="b">
        <x:v>1</x:v>
      </x:c>
      <x:c r="J145" s="40" t="b">
        <x:v>1</x:v>
      </x:c>
      <x:c r="K145" s="34" t="n">
        <x:v>333.838973</x:v>
      </x:c>
      <x:c r="L145" s="34" t="n">
        <x:v>11.571426</x:v>
      </x:c>
      <x:c r="M145" s="34" t="n">
        <x:v>0.345982</x:v>
      </x:c>
      <x:c r="N145" s="34" t="n">
        <x:v>-1.853751</x:v>
      </x:c>
      <x:c r="O145" s="34" t="n">
        <x:v>0.271062</x:v>
      </x:c>
      <x:c r="P145" s="34" t="n">
        <x:v>3862.993</x:v>
      </x:c>
      <x:c r="Q145" s="34" t="n">
        <x:v>115.502461</x:v>
      </x:c>
      <x:c r="R145" s="34" t="n">
        <x:v>3244.138667</x:v>
      </x:c>
      <x:c r="S145" s="34" t="n">
        <x:v>41.758667</x:v>
      </x:c>
      <x:c r="T145" s="34" t="n">
        <x:v>0</x:v>
      </x:c>
      <x:c r="U145" s="34" t="n">
        <x:v>0</x:v>
      </x:c>
      <x:c r="V145" s="34" t="n">
        <x:v>-1658.557</x:v>
      </x:c>
      <x:c r="W145" s="34" t="n">
        <x:v>115.502461</x:v>
      </x:c>
      <x:c r="X145" s="34" t="n">
        <x:v>-5521.55</x:v>
      </x:c>
      <x:c r="Y145" s="34" t="n">
        <x:v>0</x:v>
      </x:c>
      <x:c r="Z145" s="34" t="n">
        <x:v>-457.832667</x:v>
      </x:c>
      <x:c r="AA145" s="34" t="n">
        <x:v>15.311646</x:v>
      </x:c>
    </x:row>
    <x:row r="146">
      <x:c r="A146" s="34" t="str">
        <x:v>NIPPON_STEEL_JP</x:v>
      </x:c>
      <x:c r="B146" s="34" t="str">
        <x:v>Nippon Steel</x:v>
      </x:c>
      <x:c r="C146" s="34" t="str">
        <x:v>CAND-D862A4AE5F72FA</x:v>
      </x:c>
      <x:c r="D146" s="34" t="str">
        <x:v>P3</x:v>
      </x:c>
      <x:c r="E146" s="34" t="str">
        <x:v>PORT-93BA44A86FDE</x:v>
      </x:c>
      <x:c r="F146" s="34" t="str">
        <x:v>ACCELERATED_15C</x:v>
      </x:c>
      <x:c r="G146" s="34" t="str">
        <x:v>DISCLOSED_PATH</x:v>
      </x:c>
      <x:c r="H146" s="40" t="b">
        <x:v>1</x:v>
      </x:c>
      <x:c r="I146" s="40" t="b">
        <x:v>1</x:v>
      </x:c>
      <x:c r="J146" s="40" t="b">
        <x:v>1</x:v>
      </x:c>
      <x:c r="K146" s="34" t="n">
        <x:v>468.703944</x:v>
      </x:c>
      <x:c r="L146" s="34" t="n">
        <x:v>10.008798</x:v>
      </x:c>
      <x:c r="M146" s="34" t="n">
        <x:v>0.43324</x:v>
      </x:c>
      <x:c r="N146" s="34" t="n">
        <x:v>-1.572796</x:v>
      </x:c>
      <x:c r="O146" s="34" t="n">
        <x:v>0.208793</x:v>
      </x:c>
      <x:c r="P146" s="34" t="n">
        <x:v>4691.163333</x:v>
      </x:c>
      <x:c r="Q146" s="34" t="n">
        <x:v>203.061245</x:v>
      </x:c>
      <x:c r="R146" s="34" t="n">
        <x:v>3953.987333</x:v>
      </x:c>
      <x:c r="S146" s="34" t="n">
        <x:v>254.989741</x:v>
      </x:c>
      <x:c r="T146" s="34" t="n">
        <x:v>0</x:v>
      </x:c>
      <x:c r="U146" s="34" t="n">
        <x:v>0</x:v>
      </x:c>
      <x:c r="V146" s="34" t="n">
        <x:v>-3115.149667</x:v>
      </x:c>
      <x:c r="W146" s="34" t="n">
        <x:v>203.061245</x:v>
      </x:c>
      <x:c r="X146" s="34" t="n">
        <x:v>-7806.313</x:v>
      </x:c>
      <x:c r="Y146" s="34" t="n">
        <x:v>0</x:v>
      </x:c>
      <x:c r="Z146" s="34" t="n">
        <x:v>-2832.032</x:v>
      </x:c>
      <x:c r="AA146" s="34" t="n">
        <x:v>47.166757</x:v>
      </x:c>
    </x:row>
    <x:row r="147">
      <x:c r="A147" s="34" t="str">
        <x:v>NIPPON_STEEL_JP</x:v>
      </x:c>
      <x:c r="B147" s="34" t="str">
        <x:v>Nippon Steel</x:v>
      </x:c>
      <x:c r="C147" s="34" t="str">
        <x:v>CAND-E305EEE782C913</x:v>
      </x:c>
      <x:c r="D147" s="34" t="str">
        <x:v>P1</x:v>
      </x:c>
      <x:c r="E147" s="34" t="str">
        <x:v>PORT-A38E7AB93504</x:v>
      </x:c>
      <x:c r="F147" s="34" t="str">
        <x:v>ACCELERATED_15C</x:v>
      </x:c>
      <x:c r="G147" s="34" t="str">
        <x:v>DISCLOSED_PATH</x:v>
      </x:c>
      <x:c r="H147" s="40" t="b">
        <x:v>0</x:v>
      </x:c>
      <x:c r="I147" s="40" t="b">
        <x:v>1</x:v>
      </x:c>
      <x:c r="J147" s="40" t="b">
        <x:v>1</x:v>
      </x:c>
      <x:c r="K147" s="34" t="n">
        <x:v>373.798938</x:v>
      </x:c>
      <x:c r="L147" s="34" t="n">
        <x:v>10.418668</x:v>
      </x:c>
      <x:c r="M147" s="34" t="n">
        <x:v>0.194453</x:v>
      </x:c>
      <x:c r="N147" s="34" t="n">
        <x:v>-2.087778</x:v>
      </x:c>
      <x:c r="O147" s="34" t="n">
        <x:v>0.784076</x:v>
      </x:c>
      <x:c r="P147" s="34" t="n">
        <x:v>3894.487</x:v>
      </x:c>
      <x:c r="Q147" s="34" t="n">
        <x:v>72.686563</x:v>
      </x:c>
      <x:c r="R147" s="34" t="n">
        <x:v>3114.077667</x:v>
      </x:c>
      <x:c r="S147" s="34" t="n">
        <x:v>267.919508</x:v>
      </x:c>
      <x:c r="T147" s="34" t="n">
        <x:v>0</x:v>
      </x:c>
      <x:c r="U147" s="34" t="n">
        <x:v>0</x:v>
      </x:c>
      <x:c r="V147" s="34" t="n">
        <x:v>-2290.177667</x:v>
      </x:c>
      <x:c r="W147" s="34" t="n">
        <x:v>72.686106</x:v>
      </x:c>
      <x:c r="X147" s="34" t="n">
        <x:v>-6184.664</x:v>
      </x:c>
      <x:c r="Y147" s="34" t="n">
        <x:v>0</x:v>
      </x:c>
      <x:c r="Z147" s="34" t="n">
        <x:v>-657.752667</x:v>
      </x:c>
      <x:c r="AA147" s="34" t="n">
        <x:v>9.113724</x:v>
      </x:c>
    </x:row>
    <x:row r="148">
      <x:c r="A148" s="34" t="str">
        <x:v>NIPPON_STEEL_JP</x:v>
      </x:c>
      <x:c r="B148" s="34" t="str">
        <x:v>Nippon Steel</x:v>
      </x:c>
      <x:c r="C148" s="34" t="str">
        <x:v>CAND-E6E6E810AB390A</x:v>
      </x:c>
      <x:c r="D148" s="34" t="str">
        <x:v>P1</x:v>
      </x:c>
      <x:c r="E148" s="34" t="str">
        <x:v>PORT-20A3A9F442CD</x:v>
      </x:c>
      <x:c r="F148" s="34" t="str">
        <x:v>ACCELERATED_15C</x:v>
      </x:c>
      <x:c r="G148" s="34" t="str">
        <x:v>DISCLOSED_PATH</x:v>
      </x:c>
      <x:c r="H148" s="40" t="b">
        <x:v>0</x:v>
      </x:c>
      <x:c r="I148" s="40" t="b">
        <x:v>1</x:v>
      </x:c>
      <x:c r="J148" s="40" t="b">
        <x:v>1</x:v>
      </x:c>
      <x:c r="K148" s="34" t="n">
        <x:v>341.668938</x:v>
      </x:c>
      <x:c r="L148" s="34" t="n">
        <x:v>11.614029</x:v>
      </x:c>
      <x:c r="M148" s="34" t="n">
        <x:v>0.400152</x:v>
      </x:c>
      <x:c r="N148" s="34" t="n">
        <x:v>-1.837938</x:v>
      </x:c>
      <x:c r="O148" s="34" t="n">
        <x:v>0.452903</x:v>
      </x:c>
      <x:c r="P148" s="34" t="n">
        <x:v>3968.153</x:v>
      </x:c>
      <x:c r="Q148" s="34" t="n">
        <x:v>136.71891</x:v>
      </x:c>
      <x:c r="R148" s="34" t="n">
        <x:v>3340.186667</x:v>
      </x:c>
      <x:c r="S148" s="34" t="n">
        <x:v>35.081745</x:v>
      </x:c>
      <x:c r="T148" s="34" t="n">
        <x:v>0</x:v>
      </x:c>
      <x:c r="U148" s="34" t="n">
        <x:v>0</x:v>
      </x:c>
      <x:c r="V148" s="34" t="n">
        <x:v>-1663.514</x:v>
      </x:c>
      <x:c r="W148" s="34" t="n">
        <x:v>136.719846</x:v>
      </x:c>
      <x:c r="X148" s="34" t="n">
        <x:v>-5631.667</x:v>
      </x:c>
      <x:c r="Y148" s="34" t="n">
        <x:v>0</x:v>
      </x:c>
      <x:c r="Z148" s="34" t="n">
        <x:v>-455.021667</x:v>
      </x:c>
      <x:c r="AA148" s="34" t="n">
        <x:v>13.511745</x:v>
      </x:c>
    </x:row>
    <x:row r="149">
      <x:c r="A149" s="34" t="str">
        <x:v>NIPPON_STEEL_JP</x:v>
      </x:c>
      <x:c r="B149" s="34" t="str">
        <x:v>Nippon Steel</x:v>
      </x:c>
      <x:c r="C149" s="34" t="str">
        <x:v>CAND-EBD30C485CEFDA</x:v>
      </x:c>
      <x:c r="D149" s="34" t="str">
        <x:v>P2</x:v>
      </x:c>
      <x:c r="E149" s="34" t="str">
        <x:v>PORT-9E76B3BFF9FF</x:v>
      </x:c>
      <x:c r="F149" s="34" t="str">
        <x:v>ACCELERATED_15C</x:v>
      </x:c>
      <x:c r="G149" s="34" t="str">
        <x:v>DISCLOSED_PATH</x:v>
      </x:c>
      <x:c r="H149" s="40" t="b">
        <x:v>1</x:v>
      </x:c>
      <x:c r="I149" s="40" t="b">
        <x:v>1</x:v>
      </x:c>
      <x:c r="J149" s="40" t="b">
        <x:v>1</x:v>
      </x:c>
      <x:c r="K149" s="34" t="n">
        <x:v>456.103943</x:v>
      </x:c>
      <x:c r="L149" s="34" t="n">
        <x:v>9.700762</x:v>
      </x:c>
      <x:c r="M149" s="34" t="n">
        <x:v>0.230069</x:v>
      </x:c>
      <x:c r="N149" s="34" t="n">
        <x:v>-2.061072</x:v>
      </x:c>
      <x:c r="O149" s="34" t="n">
        <x:v>0.622474</x:v>
      </x:c>
      <x:c r="P149" s="34" t="n">
        <x:v>4424.556</x:v>
      </x:c>
      <x:c r="Q149" s="34" t="n">
        <x:v>104.934871</x:v>
      </x:c>
      <x:c r="R149" s="34" t="n">
        <x:v>3484.493333</x:v>
      </x:c>
      <x:c r="S149" s="34" t="n">
        <x:v>207.674244</x:v>
      </x:c>
      <x:c r="T149" s="34" t="n">
        <x:v>0</x:v>
      </x:c>
      <x:c r="U149" s="34" t="n">
        <x:v>0</x:v>
      </x:c>
      <x:c r="V149" s="34" t="n">
        <x:v>-3165.861667</x:v>
      </x:c>
      <x:c r="W149" s="34" t="n">
        <x:v>104.935675</x:v>
      </x:c>
      <x:c r="X149" s="34" t="n">
        <x:v>-7590.417</x:v>
      </x:c>
      <x:c r="Y149" s="34" t="n">
        <x:v>0</x:v>
      </x:c>
      <x:c r="Z149" s="34" t="n">
        <x:v>-1268.2</x:v>
      </x:c>
      <x:c r="AA149" s="34" t="n">
        <x:v>24.059455</x:v>
      </x:c>
    </x:row>
    <x:row r="150">
      <x:c r="A150" s="34" t="str">
        <x:v>NIPPON_STEEL_JP</x:v>
      </x:c>
      <x:c r="B150" s="34" t="str">
        <x:v>Nippon Steel</x:v>
      </x:c>
      <x:c r="C150" s="34" t="str">
        <x:v>CAND-EBFD77804A64A5</x:v>
      </x:c>
      <x:c r="D150" s="34" t="str">
        <x:v>P3</x:v>
      </x:c>
      <x:c r="E150" s="34" t="str">
        <x:v>PORT-7CA9F3BA0776</x:v>
      </x:c>
      <x:c r="F150" s="34" t="str">
        <x:v>ACCELERATED_15C</x:v>
      </x:c>
      <x:c r="G150" s="34" t="str">
        <x:v>DISCLOSED_PATH</x:v>
      </x:c>
      <x:c r="H150" s="40" t="b">
        <x:v>1</x:v>
      </x:c>
      <x:c r="I150" s="40" t="b">
        <x:v>1</x:v>
      </x:c>
      <x:c r="J150" s="40" t="b">
        <x:v>1</x:v>
      </x:c>
      <x:c r="K150" s="34" t="n">
        <x:v>473.428944</x:v>
      </x:c>
      <x:c r="L150" s="34" t="n">
        <x:v>9.448113</x:v>
      </x:c>
      <x:c r="M150" s="34" t="n">
        <x:v>0.440444</x:v>
      </x:c>
      <x:c r="N150" s="34" t="n">
        <x:v>-1.639527</x:v>
      </x:c>
      <x:c r="O150" s="34" t="n">
        <x:v>0.789848</x:v>
      </x:c>
      <x:c r="P150" s="34" t="n">
        <x:v>4473.010667</x:v>
      </x:c>
      <x:c r="Q150" s="34" t="n">
        <x:v>208.51882</x:v>
      </x:c>
      <x:c r="R150" s="34" t="n">
        <x:v>3696.810667</x:v>
      </x:c>
      <x:c r="S150" s="34" t="n">
        <x:v>199.384238</x:v>
      </x:c>
      <x:c r="T150" s="34" t="n">
        <x:v>0</x:v>
      </x:c>
      <x:c r="U150" s="34" t="n">
        <x:v>0</x:v>
      </x:c>
      <x:c r="V150" s="34" t="n">
        <x:v>-3414.626333</x:v>
      </x:c>
      <x:c r="W150" s="34" t="n">
        <x:v>208.51882</x:v>
      </x:c>
      <x:c r="X150" s="34" t="n">
        <x:v>-7887.636</x:v>
      </x:c>
      <x:c r="Y150" s="34" t="n">
        <x:v>0</x:v>
      </x:c>
      <x:c r="Z150" s="34" t="n">
        <x:v>-3211.906333</x:v>
      </x:c>
      <x:c r="AA150" s="34" t="n">
        <x:v>51.128169</x:v>
      </x:c>
    </x:row>
    <x:row r="151">
      <x:c r="A151" s="34" t="str">
        <x:v>NIPPON_STEEL_JP</x:v>
      </x:c>
      <x:c r="B151" s="34" t="str">
        <x:v>Nippon Steel</x:v>
      </x:c>
      <x:c r="C151" s="34" t="str">
        <x:v>CAND-EF9F86F64A1C2A</x:v>
      </x:c>
      <x:c r="D151" s="34" t="str">
        <x:v>P3</x:v>
      </x:c>
      <x:c r="E151" s="34" t="str">
        <x:v>PORT-00B029BF7478</x:v>
      </x:c>
      <x:c r="F151" s="34" t="str">
        <x:v>ACCELERATED_15C</x:v>
      </x:c>
      <x:c r="G151" s="34" t="str">
        <x:v>DISCLOSED_PATH</x:v>
      </x:c>
      <x:c r="H151" s="40" t="b">
        <x:v>1</x:v>
      </x:c>
      <x:c r="I151" s="40" t="b">
        <x:v>1</x:v>
      </x:c>
      <x:c r="J151" s="40" t="b">
        <x:v>1</x:v>
      </x:c>
      <x:c r="K151" s="34" t="n">
        <x:v>459.478949</x:v>
      </x:c>
      <x:c r="L151" s="34" t="n">
        <x:v>10.764799</x:v>
      </x:c>
      <x:c r="M151" s="34" t="n">
        <x:v>0.154727</x:v>
      </x:c>
      <x:c r="N151" s="34" t="n">
        <x:v>-0.952426</x:v>
      </x:c>
      <x:c r="O151" s="34" t="n">
        <x:v>0.195973</x:v>
      </x:c>
      <x:c r="P151" s="34" t="n">
        <x:v>4946.198667</x:v>
      </x:c>
      <x:c r="Q151" s="34" t="n">
        <x:v>71.093823</x:v>
      </x:c>
      <x:c r="R151" s="34" t="n">
        <x:v>4508.578667</x:v>
      </x:c>
      <x:c r="S151" s="34" t="n">
        <x:v>40.127102</x:v>
      </x:c>
      <x:c r="T151" s="34" t="n">
        <x:v>0</x:v>
      </x:c>
      <x:c r="U151" s="34" t="n">
        <x:v>0</x:v>
      </x:c>
      <x:c r="V151" s="34" t="n">
        <x:v>-2706.556333</x:v>
      </x:c>
      <x:c r="W151" s="34" t="n">
        <x:v>71.093823</x:v>
      </x:c>
      <x:c r="X151" s="34" t="n">
        <x:v>-7652.755</x:v>
      </x:c>
      <x:c r="Y151" s="34" t="n">
        <x:v>0</x:v>
      </x:c>
      <x:c r="Z151" s="34" t="n">
        <x:v>-2200.775</x:v>
      </x:c>
      <x:c r="AA151" s="34" t="n">
        <x:v>23.878998</x:v>
      </x:c>
    </x:row>
    <x:row r="152">
      <x:c r="A152" s="34" t="str">
        <x:v>NIPPON_STEEL_JP</x:v>
      </x:c>
      <x:c r="B152" s="34" t="str">
        <x:v>Nippon Steel</x:v>
      </x:c>
      <x:c r="C152" s="34" t="str">
        <x:v>CAND-F6184286A4322F</x:v>
      </x:c>
      <x:c r="D152" s="34" t="str">
        <x:v>P2</x:v>
      </x:c>
      <x:c r="E152" s="34" t="str">
        <x:v>PORT-6742936593A9</x:v>
      </x:c>
      <x:c r="F152" s="34" t="str">
        <x:v>ACCELERATED_15C</x:v>
      </x:c>
      <x:c r="G152" s="34" t="str">
        <x:v>DISCLOSED_PATH</x:v>
      </x:c>
      <x:c r="H152" s="40" t="b">
        <x:v>1</x:v>
      </x:c>
      <x:c r="I152" s="40" t="b">
        <x:v>1</x:v>
      </x:c>
      <x:c r="J152" s="40" t="b">
        <x:v>1</x:v>
      </x:c>
      <x:c r="K152" s="34" t="n">
        <x:v>454.753949</x:v>
      </x:c>
      <x:c r="L152" s="34" t="n">
        <x:v>10.136463</x:v>
      </x:c>
      <x:c r="M152" s="34" t="n">
        <x:v>0.46418</x:v>
      </x:c>
      <x:c r="N152" s="34" t="n">
        <x:v>-2.347012</x:v>
      </x:c>
      <x:c r="O152" s="34" t="n">
        <x:v>0.482908</x:v>
      </x:c>
      <x:c r="P152" s="34" t="n">
        <x:v>4609.596333</x:v>
      </x:c>
      <x:c r="Q152" s="34" t="n">
        <x:v>211.088121</x:v>
      </x:c>
      <x:c r="R152" s="34" t="n">
        <x:v>3542.283667</x:v>
      </x:c>
      <x:c r="S152" s="34" t="n">
        <x:v>105.285923</x:v>
      </x:c>
      <x:c r="T152" s="34" t="n">
        <x:v>0</x:v>
      </x:c>
      <x:c r="U152" s="34" t="n">
        <x:v>0</x:v>
      </x:c>
      <x:c r="V152" s="34" t="n">
        <x:v>-2961.835</x:v>
      </x:c>
      <x:c r="W152" s="34" t="n">
        <x:v>211.087591</x:v>
      </x:c>
      <x:c r="X152" s="34" t="n">
        <x:v>-7571.432</x:v>
      </x:c>
      <x:c r="Y152" s="34" t="n">
        <x:v>0</x:v>
      </x:c>
      <x:c r="Z152" s="34" t="n">
        <x:v>-1203.366667</x:v>
      </x:c>
      <x:c r="AA152" s="34" t="n">
        <x:v>31.003584</x:v>
      </x:c>
    </x:row>
    <x:row r="153">
      <x:c r="A153" s="34" t="str">
        <x:v>NIPPON_STEEL_JP</x:v>
      </x:c>
      <x:c r="B153" s="34" t="str">
        <x:v>Nippon Steel</x:v>
      </x:c>
      <x:c r="C153" s="34" t="str">
        <x:v>CAND-F940A5016FE44E</x:v>
      </x:c>
      <x:c r="D153" s="34" t="str">
        <x:v>P1</x:v>
      </x:c>
      <x:c r="E153" s="34" t="str">
        <x:v>PORT-00B029BF7478</x:v>
      </x:c>
      <x:c r="F153" s="34" t="str">
        <x:v>ACCELERATED_15C</x:v>
      </x:c>
      <x:c r="G153" s="34" t="str">
        <x:v>DISCLOSED_PATH</x:v>
      </x:c>
      <x:c r="H153" s="40" t="b">
        <x:v>1</x:v>
      </x:c>
      <x:c r="I153" s="40" t="b">
        <x:v>1</x:v>
      </x:c>
      <x:c r="J153" s="40" t="b">
        <x:v>1</x:v>
      </x:c>
      <x:c r="K153" s="34" t="n">
        <x:v>459.478949</x:v>
      </x:c>
      <x:c r="L153" s="34" t="n">
        <x:v>7.959624</x:v>
      </x:c>
      <x:c r="M153" s="34" t="n">
        <x:v>0.085767</x:v>
      </x:c>
      <x:c r="N153" s="34" t="n">
        <x:v>-2.365477</x:v>
      </x:c>
      <x:c r="O153" s="34" t="n">
        <x:v>0.199366</x:v>
      </x:c>
      <x:c r="P153" s="34" t="n">
        <x:v>3657.28</x:v>
      </x:c>
      <x:c r="Q153" s="34" t="n">
        <x:v>39.408181</x:v>
      </x:c>
      <x:c r="R153" s="34" t="n">
        <x:v>2570.392</x:v>
      </x:c>
      <x:c r="S153" s="34" t="n">
        <x:v>87.004877</x:v>
      </x:c>
      <x:c r="T153" s="34" t="n">
        <x:v>0</x:v>
      </x:c>
      <x:c r="U153" s="34" t="n">
        <x:v>0</x:v>
      </x:c>
      <x:c r="V153" s="34" t="n">
        <x:v>-3995.475333</x:v>
      </x:c>
      <x:c r="W153" s="34" t="n">
        <x:v>39.407762</x:v>
      </x:c>
      <x:c r="X153" s="34" t="n">
        <x:v>-7652.755</x:v>
      </x:c>
      <x:c r="Y153" s="34" t="n">
        <x:v>0</x:v>
      </x:c>
      <x:c r="Z153" s="34" t="n">
        <x:v>-934.496</x:v>
      </x:c>
      <x:c r="AA153" s="34" t="n">
        <x:v>24.949411</x:v>
      </x:c>
    </x:row>
    <x:row r="154">
      <x:c r="A154" s="34" t="str">
        <x:v>NIPPON_STEEL_JP</x:v>
      </x:c>
      <x:c r="B154" s="34" t="str">
        <x:v>Nippon Steel</x:v>
      </x:c>
      <x:c r="C154" s="34" t="str">
        <x:v>CAND-FCEB78D7C5F4C6</x:v>
      </x:c>
      <x:c r="D154" s="34" t="str">
        <x:v>P1</x:v>
      </x:c>
      <x:c r="E154" s="34" t="str">
        <x:v>PORT-7DCD4991144C</x:v>
      </x:c>
      <x:c r="F154" s="34" t="str">
        <x:v>ACCELERATED_15C</x:v>
      </x:c>
      <x:c r="G154" s="34" t="str">
        <x:v>DISCLOSED_PATH</x:v>
      </x:c>
      <x:c r="H154" s="40" t="b">
        <x:v>0</x:v>
      </x:c>
      <x:c r="I154" s="40" t="b">
        <x:v>1</x:v>
      </x:c>
      <x:c r="J154" s="40" t="b">
        <x:v>1</x:v>
      </x:c>
      <x:c r="K154" s="34" t="n">
        <x:v>313.643967</x:v>
      </x:c>
      <x:c r="L154" s="34" t="n">
        <x:v>13.63692</x:v>
      </x:c>
      <x:c r="M154" s="34" t="n">
        <x:v>0.104713</x:v>
      </x:c>
      <x:c r="N154" s="34" t="n">
        <x:v>-0.547031</x:v>
      </x:c>
      <x:c r="O154" s="34" t="n">
        <x:v>0.499034</x:v>
      </x:c>
      <x:c r="P154" s="34" t="n">
        <x:v>4277.138</x:v>
      </x:c>
      <x:c r="Q154" s="34" t="n">
        <x:v>32.843071</x:v>
      </x:c>
      <x:c r="R154" s="34" t="n">
        <x:v>4105.564667</x:v>
      </x:c>
      <x:c r="S154" s="34" t="n">
        <x:v>188.844139</x:v>
      </x:c>
      <x:c r="T154" s="34" t="n">
        <x:v>0</x:v>
      </x:c>
      <x:c r="U154" s="34" t="n">
        <x:v>0</x:v>
      </x:c>
      <x:c r="V154" s="34" t="n">
        <x:v>-896.012333</x:v>
      </x:c>
      <x:c r="W154" s="34" t="n">
        <x:v>32.841935</x:v>
      </x:c>
      <x:c r="X154" s="34" t="n">
        <x:v>-5173.151</x:v>
      </x:c>
      <x:c r="Y154" s="34" t="n">
        <x:v>0</x:v>
      </x:c>
      <x:c r="Z154" s="34" t="n">
        <x:v>-336.294667</x:v>
      </x:c>
      <x:c r="AA154" s="34" t="n">
        <x:v>2.191338</x:v>
      </x:c>
    </x:row>
    <x:row r="155">
      <x:c r="A155" s="34" t="str">
        <x:v>POSCO_KR</x:v>
      </x:c>
      <x:c r="B155" s="34" t="str">
        <x:v>POSCO</x:v>
      </x:c>
      <x:c r="C155" s="34" t="str">
        <x:v>CAND-00B5592B22DA24</x:v>
      </x:c>
      <x:c r="D155" s="34" t="str">
        <x:v>P4</x:v>
      </x:c>
      <x:c r="E155" s="34" t="str">
        <x:v>PORT-66E75B54664A</x:v>
      </x:c>
      <x:c r="F155" s="34" t="str">
        <x:v>ACCELERATED_15C</x:v>
      </x:c>
      <x:c r="G155" s="34" t="str">
        <x:v>DISCLOSED_PATH</x:v>
      </x:c>
      <x:c r="H155" s="40" t="b">
        <x:v>1</x:v>
      </x:c>
      <x:c r="I155" s="40" t="b">
        <x:v>1</x:v>
      </x:c>
      <x:c r="J155" s="40" t="b">
        <x:v>1</x:v>
      </x:c>
      <x:c r="K155" s="34" t="n">
        <x:v>505.60626</x:v>
      </x:c>
      <x:c r="L155" s="34" t="n">
        <x:v>12.767004</x:v>
      </x:c>
      <x:c r="M155" s="34" t="n">
        <x:v>0.150273</x:v>
      </x:c>
      <x:c r="N155" s="34" t="n">
        <x:v>-0.60717</x:v>
      </x:c>
      <x:c r="O155" s="34" t="n">
        <x:v>0.305014</x:v>
      </x:c>
      <x:c r="P155" s="34" t="n">
        <x:v>6455.077333</x:v>
      </x:c>
      <x:c r="Q155" s="34" t="n">
        <x:v>75.978842</x:v>
      </x:c>
      <x:c r="R155" s="34" t="n">
        <x:v>6148.088</x:v>
      </x:c>
      <x:c r="S155" s="34" t="n">
        <x:v>90.750288</x:v>
      </x:c>
      <x:c r="T155" s="34" t="n">
        <x:v>0</x:v>
      </x:c>
      <x:c r="U155" s="34" t="n">
        <x:v>0</x:v>
      </x:c>
      <x:c r="V155" s="34" t="n">
        <x:v>-1903.661</x:v>
      </x:c>
      <x:c r="W155" s="34" t="n">
        <x:v>75.979244</x:v>
      </x:c>
      <x:c r="X155" s="34" t="n">
        <x:v>-8358.739</x:v>
      </x:c>
      <x:c r="Y155" s="34" t="n">
        <x:v>0</x:v>
      </x:c>
      <x:c r="Z155" s="34" t="n">
        <x:v>-3354.076667</x:v>
      </x:c>
      <x:c r="AA155" s="34" t="n">
        <x:v>22.322686</x:v>
      </x:c>
    </x:row>
    <x:row r="156">
      <x:c r="A156" s="34" t="str">
        <x:v>POSCO_KR</x:v>
      </x:c>
      <x:c r="B156" s="34" t="str">
        <x:v>POSCO</x:v>
      </x:c>
      <x:c r="C156" s="34" t="str">
        <x:v>CAND-014834EFF571CA</x:v>
      </x:c>
      <x:c r="D156" s="34" t="str">
        <x:v>P2</x:v>
      </x:c>
      <x:c r="E156" s="34" t="str">
        <x:v>PORT-26982033AA0F</x:v>
      </x:c>
      <x:c r="F156" s="34" t="str">
        <x:v>ACCELERATED_15C</x:v>
      </x:c>
      <x:c r="G156" s="34" t="str">
        <x:v>DISCLOSED_PATH</x:v>
      </x:c>
      <x:c r="H156" s="40" t="b">
        <x:v>0</x:v>
      </x:c>
      <x:c r="I156" s="40" t="b">
        <x:v>0</x:v>
      </x:c>
      <x:c r="J156" s="40" t="b">
        <x:v>1</x:v>
      </x:c>
      <x:c r="K156" s="34" t="n">
        <x:v>150.693902</x:v>
      </x:c>
      <x:c r="L156" s="34" t="n">
        <x:v>9.194333</x:v>
      </x:c>
      <x:c r="M156" s="34" t="n">
        <x:v>0.216787</x:v>
      </x:c>
      <x:c r="N156" s="34" t="n">
        <x:v>-1.462579</x:v>
      </x:c>
      <x:c r="O156" s="34" t="n">
        <x:v>0.253458</x:v>
      </x:c>
      <x:c r="P156" s="34" t="n">
        <x:v>1385.53</x:v>
      </x:c>
      <x:c r="Q156" s="34" t="n">
        <x:v>32.668762</x:v>
      </x:c>
      <x:c r="R156" s="34" t="n">
        <x:v>1165.128</x:v>
      </x:c>
      <x:c r="S156" s="34" t="n">
        <x:v>41.732412</x:v>
      </x:c>
      <x:c r="T156" s="34" t="n">
        <x:v>0</x:v>
      </x:c>
      <x:c r="U156" s="34" t="n">
        <x:v>0</x:v>
      </x:c>
      <x:c r="V156" s="34" t="n">
        <x:v>-1145.576</x:v>
      </x:c>
      <x:c r="W156" s="34" t="n">
        <x:v>32.667835</x:v>
      </x:c>
      <x:c r="X156" s="34" t="n">
        <x:v>-2531.106</x:v>
      </x:c>
      <x:c r="Y156" s="34" t="n">
        <x:v>0</x:v>
      </x:c>
      <x:c r="Z156" s="34" t="n">
        <x:v>-492.016333</x:v>
      </x:c>
      <x:c r="AA156" s="34" t="n">
        <x:v>11.884967</x:v>
      </x:c>
    </x:row>
    <x:row r="157">
      <x:c r="A157" s="34" t="str">
        <x:v>POSCO_KR</x:v>
      </x:c>
      <x:c r="B157" s="34" t="str">
        <x:v>POSCO</x:v>
      </x:c>
      <x:c r="C157" s="34" t="str">
        <x:v>CAND-022C4C9D65C291</x:v>
      </x:c>
      <x:c r="D157" s="34" t="str">
        <x:v>P2</x:v>
      </x:c>
      <x:c r="E157" s="34" t="str">
        <x:v>PORT-3D4DF75A91D4</x:v>
      </x:c>
      <x:c r="F157" s="34" t="str">
        <x:v>ACCELERATED_15C</x:v>
      </x:c>
      <x:c r="G157" s="34" t="str">
        <x:v>DISCLOSED_PATH</x:v>
      </x:c>
      <x:c r="H157" s="40" t="b">
        <x:v>0</x:v>
      </x:c>
      <x:c r="I157" s="40" t="b">
        <x:v>1</x:v>
      </x:c>
      <x:c r="J157" s="40" t="b">
        <x:v>1</x:v>
      </x:c>
      <x:c r="K157" s="34" t="n">
        <x:v>247.593892</x:v>
      </x:c>
      <x:c r="L157" s="34" t="n">
        <x:v>8.626878</x:v>
      </x:c>
      <x:c r="M157" s="34" t="n">
        <x:v>0.595026</x:v>
      </x:c>
      <x:c r="N157" s="34" t="n">
        <x:v>-2.684827</x:v>
      </x:c>
      <x:c r="O157" s="34" t="n">
        <x:v>0.189407</x:v>
      </x:c>
      <x:c r="P157" s="34" t="n">
        <x:v>2135.962333</x:v>
      </x:c>
      <x:c r="Q157" s="34" t="n">
        <x:v>147.324908</x:v>
      </x:c>
      <x:c r="R157" s="34" t="n">
        <x:v>1471.215667</x:v>
      </x:c>
      <x:c r="S157" s="34" t="n">
        <x:v>138.867179</x:v>
      </x:c>
      <x:c r="T157" s="34" t="n">
        <x:v>0</x:v>
      </x:c>
      <x:c r="U157" s="34" t="n">
        <x:v>0</x:v>
      </x:c>
      <x:c r="V157" s="34" t="n">
        <x:v>-2062.889667</x:v>
      </x:c>
      <x:c r="W157" s="34" t="n">
        <x:v>147.325201</x:v>
      </x:c>
      <x:c r="X157" s="34" t="n">
        <x:v>-4198.852</x:v>
      </x:c>
      <x:c r="Y157" s="34" t="n">
        <x:v>0</x:v>
      </x:c>
      <x:c r="Z157" s="34" t="n">
        <x:v>-1003.651</x:v>
      </x:c>
      <x:c r="AA157" s="34" t="n">
        <x:v>13.882328</x:v>
      </x:c>
    </x:row>
    <x:row r="158">
      <x:c r="A158" s="34" t="str">
        <x:v>POSCO_KR</x:v>
      </x:c>
      <x:c r="B158" s="34" t="str">
        <x:v>POSCO</x:v>
      </x:c>
      <x:c r="C158" s="34" t="str">
        <x:v>CAND-03F5DDC22322D9</x:v>
      </x:c>
      <x:c r="D158" s="34" t="str">
        <x:v>P1</x:v>
      </x:c>
      <x:c r="E158" s="34" t="str">
        <x:v>PORT-2E4122B1D61A</x:v>
      </x:c>
      <x:c r="F158" s="34" t="str">
        <x:v>ACCELERATED_15C</x:v>
      </x:c>
      <x:c r="G158" s="34" t="str">
        <x:v>DISCLOSED_PATH</x:v>
      </x:c>
      <x:c r="H158" s="40" t="b">
        <x:v>0</x:v>
      </x:c>
      <x:c r="I158" s="40" t="b">
        <x:v>0</x:v>
      </x:c>
      <x:c r="J158" s="40" t="b">
        <x:v>1</x:v>
      </x:c>
      <x:c r="K158" s="34" t="n">
        <x:v>305.733857</x:v>
      </x:c>
      <x:c r="L158" s="34" t="n">
        <x:v>5.882674</x:v>
      </x:c>
      <x:c r="M158" s="34" t="n">
        <x:v>0.280342</x:v>
      </x:c>
      <x:c r="N158" s="34" t="n">
        <x:v>-3.262836</x:v>
      </x:c>
      <x:c r="O158" s="34" t="n">
        <x:v>0.738662</x:v>
      </x:c>
      <x:c r="P158" s="34" t="n">
        <x:v>1798.532333</x:v>
      </x:c>
      <x:c r="Q158" s="34" t="n">
        <x:v>85.710249</x:v>
      </x:c>
      <x:c r="R158" s="34" t="n">
        <x:v>800.973</x:v>
      </x:c>
      <x:c r="S158" s="34" t="n">
        <x:v>189.738088</x:v>
      </x:c>
      <x:c r="T158" s="34" t="n">
        <x:v>0</x:v>
      </x:c>
      <x:c r="U158" s="34" t="n">
        <x:v>0</x:v>
      </x:c>
      <x:c r="V158" s="34" t="n">
        <x:v>-3216.502667</x:v>
      </x:c>
      <x:c r="W158" s="34" t="n">
        <x:v>85.710249</x:v>
      </x:c>
      <x:c r="X158" s="34" t="n">
        <x:v>-5015.036</x:v>
      </x:c>
      <x:c r="Y158" s="34" t="n">
        <x:v>0</x:v>
      </x:c>
      <x:c r="Z158" s="34" t="n">
        <x:v>-666.744667</x:v>
      </x:c>
      <x:c r="AA158" s="34" t="n">
        <x:v>20.561249</x:v>
      </x:c>
    </x:row>
    <x:row r="159">
      <x:c r="A159" s="34" t="str">
        <x:v>POSCO_KR</x:v>
      </x:c>
      <x:c r="B159" s="34" t="str">
        <x:v>POSCO</x:v>
      </x:c>
      <x:c r="C159" s="34" t="str">
        <x:v>CAND-0792E2DF105A73</x:v>
      </x:c>
      <x:c r="D159" s="34" t="str">
        <x:v>P5</x:v>
      </x:c>
      <x:c r="E159" s="34" t="str">
        <x:v>PORT-C07B5FF15869</x:v>
      </x:c>
      <x:c r="F159" s="34" t="str">
        <x:v>ACCELERATED_15C</x:v>
      </x:c>
      <x:c r="G159" s="34" t="str">
        <x:v>DISCLOSED_PATH</x:v>
      </x:c>
      <x:c r="H159" s="40" t="b">
        <x:v>0</x:v>
      </x:c>
      <x:c r="I159" s="40" t="b">
        <x:v>1</x:v>
      </x:c>
      <x:c r="J159" s="40" t="b">
        <x:v>1</x:v>
      </x:c>
      <x:c r="K159" s="34" t="n">
        <x:v>362.346302</x:v>
      </x:c>
      <x:c r="L159" s="34" t="n">
        <x:v>15.547287</x:v>
      </x:c>
      <x:c r="M159" s="34" t="n">
        <x:v>0.052768</x:v>
      </x:c>
      <x:c r="N159" s="34" t="n">
        <x:v>0.068774</x:v>
      </x:c>
      <x:c r="O159" s="34" t="n">
        <x:v>0.08837</x:v>
      </x:c>
      <x:c r="P159" s="34" t="n">
        <x:v>5633.502</x:v>
      </x:c>
      <x:c r="Q159" s="34" t="n">
        <x:v>19.120565</x:v>
      </x:c>
      <x:c r="R159" s="34" t="n">
        <x:v>5658.422</x:v>
      </x:c>
      <x:c r="S159" s="34" t="n">
        <x:v>30.91564</x:v>
      </x:c>
      <x:c r="T159" s="34" t="n">
        <x:v>0</x:v>
      </x:c>
      <x:c r="U159" s="34" t="n">
        <x:v>0</x:v>
      </x:c>
      <x:c r="V159" s="34" t="n">
        <x:v>-490.453333</x:v>
      </x:c>
      <x:c r="W159" s="34" t="n">
        <x:v>19.120522</x:v>
      </x:c>
      <x:c r="X159" s="34" t="n">
        <x:v>-6123.955</x:v>
      </x:c>
      <x:c r="Y159" s="34" t="n">
        <x:v>0</x:v>
      </x:c>
      <x:c r="Z159" s="34" t="n">
        <x:v>-4313.194667</x:v>
      </x:c>
      <x:c r="AA159" s="34" t="n">
        <x:v>19.276988</x:v>
      </x:c>
    </x:row>
    <x:row r="160">
      <x:c r="A160" s="34" t="str">
        <x:v>POSCO_KR</x:v>
      </x:c>
      <x:c r="B160" s="34" t="str">
        <x:v>POSCO</x:v>
      </x:c>
      <x:c r="C160" s="34" t="str">
        <x:v>CAND-0A4190A420448F</x:v>
      </x:c>
      <x:c r="D160" s="34" t="str">
        <x:v>P1</x:v>
      </x:c>
      <x:c r="E160" s="34" t="str">
        <x:v>PORT-92AEBEABC7A8</x:v>
      </x:c>
      <x:c r="F160" s="34" t="str">
        <x:v>ACCELERATED_15C</x:v>
      </x:c>
      <x:c r="G160" s="34" t="str">
        <x:v>DISCLOSED_PATH</x:v>
      </x:c>
      <x:c r="H160" s="40" t="b">
        <x:v>0</x:v>
      </x:c>
      <x:c r="I160" s="40" t="b">
        <x:v>1</x:v>
      </x:c>
      <x:c r="J160" s="40" t="b">
        <x:v>1</x:v>
      </x:c>
      <x:c r="K160" s="34" t="n">
        <x:v>232.293891</x:v>
      </x:c>
      <x:c r="L160" s="34" t="n">
        <x:v>10.964819</x:v>
      </x:c>
      <x:c r="M160" s="34" t="n">
        <x:v>0.349078</x:v>
      </x:c>
      <x:c r="N160" s="34" t="n">
        <x:v>-2.320883</x:v>
      </x:c>
      <x:c r="O160" s="34" t="n">
        <x:v>0.58964</x:v>
      </x:c>
      <x:c r="P160" s="34" t="n">
        <x:v>2547.060667</x:v>
      </x:c>
      <x:c r="Q160" s="34" t="n">
        <x:v>81.088717</x:v>
      </x:c>
      <x:c r="R160" s="34" t="n">
        <x:v>2007.933667</x:v>
      </x:c>
      <x:c r="S160" s="34" t="n">
        <x:v>181.149089</x:v>
      </x:c>
      <x:c r="T160" s="34" t="n">
        <x:v>0</x:v>
      </x:c>
      <x:c r="U160" s="34" t="n">
        <x:v>0</x:v>
      </x:c>
      <x:c r="V160" s="34" t="n">
        <x:v>-1394.179667</x:v>
      </x:c>
      <x:c r="W160" s="34" t="n">
        <x:v>81.089031</x:v>
      </x:c>
      <x:c r="X160" s="34" t="n">
        <x:v>-3941.24</x:v>
      </x:c>
      <x:c r="Y160" s="34" t="n">
        <x:v>0</x:v>
      </x:c>
      <x:c r="Z160" s="34" t="n">
        <x:v>-436.038667</x:v>
      </x:c>
      <x:c r="AA160" s="34" t="n">
        <x:v>7.774149</x:v>
      </x:c>
    </x:row>
    <x:row r="161">
      <x:c r="A161" s="34" t="str">
        <x:v>POSCO_KR</x:v>
      </x:c>
      <x:c r="B161" s="34" t="str">
        <x:v>POSCO</x:v>
      </x:c>
      <x:c r="C161" s="34" t="str">
        <x:v>CAND-0B0DF7CC24CCF4</x:v>
      </x:c>
      <x:c r="D161" s="34" t="str">
        <x:v>P3</x:v>
      </x:c>
      <x:c r="E161" s="34" t="str">
        <x:v>PORT-7DC46150E6EE</x:v>
      </x:c>
      <x:c r="F161" s="34" t="str">
        <x:v>ACCELERATED_15C</x:v>
      </x:c>
      <x:c r="G161" s="34" t="str">
        <x:v>DISCLOSED_PATH</x:v>
      </x:c>
      <x:c r="H161" s="40" t="b">
        <x:v>0</x:v>
      </x:c>
      <x:c r="I161" s="40" t="b">
        <x:v>0</x:v>
      </x:c>
      <x:c r="J161" s="40" t="b">
        <x:v>1</x:v>
      </x:c>
      <x:c r="K161" s="34" t="n">
        <x:v>388.383849</x:v>
      </x:c>
      <x:c r="L161" s="34" t="n">
        <x:v>11.165306</x:v>
      </x:c>
      <x:c r="M161" s="34" t="n">
        <x:v>0.231262</x:v>
      </x:c>
      <x:c r="N161" s="34" t="n">
        <x:v>-1.030159</x:v>
      </x:c>
      <x:c r="O161" s="34" t="n">
        <x:v>0.529077</x:v>
      </x:c>
      <x:c r="P161" s="34" t="n">
        <x:v>4336.424667</x:v>
      </x:c>
      <x:c r="Q161" s="34" t="n">
        <x:v>89.818336</x:v>
      </x:c>
      <x:c r="R161" s="34" t="n">
        <x:v>3936.328</x:v>
      </x:c>
      <x:c r="S161" s="34" t="n">
        <x:v>235.12848</x:v>
      </x:c>
      <x:c r="T161" s="34" t="n">
        <x:v>0</x:v>
      </x:c>
      <x:c r="U161" s="34" t="n">
        <x:v>0</x:v>
      </x:c>
      <x:c r="V161" s="34" t="n">
        <x:v>-2101.100333</x:v>
      </x:c>
      <x:c r="W161" s="34" t="n">
        <x:v>89.818336</x:v>
      </x:c>
      <x:c r="X161" s="34" t="n">
        <x:v>-6437.525</x:v>
      </x:c>
      <x:c r="Y161" s="34" t="n">
        <x:v>0</x:v>
      </x:c>
      <x:c r="Z161" s="34" t="n">
        <x:v>-2063.481667</x:v>
      </x:c>
      <x:c r="AA161" s="34" t="n">
        <x:v>30.672909</x:v>
      </x:c>
    </x:row>
    <x:row r="162">
      <x:c r="A162" s="34" t="str">
        <x:v>POSCO_KR</x:v>
      </x:c>
      <x:c r="B162" s="34" t="str">
        <x:v>POSCO</x:v>
      </x:c>
      <x:c r="C162" s="34" t="str">
        <x:v>CAND-0BE357EA5504BE</x:v>
      </x:c>
      <x:c r="D162" s="34" t="str">
        <x:v>P2</x:v>
      </x:c>
      <x:c r="E162" s="34" t="str">
        <x:v>PORT-4FCB78A64B21</x:v>
      </x:c>
      <x:c r="F162" s="34" t="str">
        <x:v>ACCELERATED_15C</x:v>
      </x:c>
      <x:c r="G162" s="34" t="str">
        <x:v>DISCLOSED_PATH</x:v>
      </x:c>
      <x:c r="H162" s="40" t="b">
        <x:v>0</x:v>
      </x:c>
      <x:c r="I162" s="40" t="b">
        <x:v>1</x:v>
      </x:c>
      <x:c r="J162" s="40" t="b">
        <x:v>1</x:v>
      </x:c>
      <x:c r="K162" s="34" t="n">
        <x:v>282.664267</x:v>
      </x:c>
      <x:c r="L162" s="34" t="n">
        <x:v>13.511759</x:v>
      </x:c>
      <x:c r="M162" s="34" t="n">
        <x:v>0.527951</x:v>
      </x:c>
      <x:c r="N162" s="34" t="n">
        <x:v>-1.099351</x:v>
      </x:c>
      <x:c r="O162" s="34" t="n">
        <x:v>0.563076</x:v>
      </x:c>
      <x:c r="P162" s="34" t="n">
        <x:v>3819.291667</x:v>
      </x:c>
      <x:c r="Q162" s="34" t="n">
        <x:v>149.233368</x:v>
      </x:c>
      <x:c r="R162" s="34" t="n">
        <x:v>3508.544</x:v>
      </x:c>
      <x:c r="S162" s="34" t="n">
        <x:v>64.952179</x:v>
      </x:c>
      <x:c r="T162" s="34" t="n">
        <x:v>0</x:v>
      </x:c>
      <x:c r="U162" s="34" t="n">
        <x:v>0</x:v>
      </x:c>
      <x:c r="V162" s="34" t="n">
        <x:v>-989.975</x:v>
      </x:c>
      <x:c r="W162" s="34" t="n">
        <x:v>149.232792</x:v>
      </x:c>
      <x:c r="X162" s="34" t="n">
        <x:v>-4809.267</x:v>
      </x:c>
      <x:c r="Y162" s="34" t="n">
        <x:v>0</x:v>
      </x:c>
      <x:c r="Z162" s="34" t="n">
        <x:v>-625.499</x:v>
      </x:c>
      <x:c r="AA162" s="34" t="n">
        <x:v>11.952163</x:v>
      </x:c>
    </x:row>
    <x:row r="163">
      <x:c r="A163" s="34" t="str">
        <x:v>POSCO_KR</x:v>
      </x:c>
      <x:c r="B163" s="34" t="str">
        <x:v>POSCO</x:v>
      </x:c>
      <x:c r="C163" s="34" t="str">
        <x:v>CAND-0CC63FAC54D3C0</x:v>
      </x:c>
      <x:c r="D163" s="34" t="str">
        <x:v>P2</x:v>
      </x:c>
      <x:c r="E163" s="34" t="str">
        <x:v>PORT-A620DB8F058C</x:v>
      </x:c>
      <x:c r="F163" s="34" t="str">
        <x:v>ACCELERATED_15C</x:v>
      </x:c>
      <x:c r="G163" s="34" t="str">
        <x:v>DISCLOSED_PATH</x:v>
      </x:c>
      <x:c r="H163" s="40" t="b">
        <x:v>1</x:v>
      </x:c>
      <x:c r="I163" s="40" t="b">
        <x:v>1</x:v>
      </x:c>
      <x:c r="J163" s="40" t="b">
        <x:v>1</x:v>
      </x:c>
      <x:c r="K163" s="34" t="n">
        <x:v>434.951232</x:v>
      </x:c>
      <x:c r="L163" s="34" t="n">
        <x:v>11.036167</x:v>
      </x:c>
      <x:c r="M163" s="34" t="n">
        <x:v>0.48336</x:v>
      </x:c>
      <x:c r="N163" s="34" t="n">
        <x:v>-1.817451</x:v>
      </x:c>
      <x:c r="O163" s="34" t="n">
        <x:v>0.430706</x:v>
      </x:c>
      <x:c r="P163" s="34" t="n">
        <x:v>4800.194667</x:v>
      </x:c>
      <x:c r="Q163" s="34" t="n">
        <x:v>210.237889</x:v>
      </x:c>
      <x:c r="R163" s="34" t="n">
        <x:v>4009.691667</x:v>
      </x:c>
      <x:c r="S163" s="34" t="n">
        <x:v>66.384981</x:v>
      </x:c>
      <x:c r="T163" s="34" t="n">
        <x:v>0</x:v>
      </x:c>
      <x:c r="U163" s="34" t="n">
        <x:v>0</x:v>
      </x:c>
      <x:c r="V163" s="34" t="n">
        <x:v>-2466.868667</x:v>
      </x:c>
      <x:c r="W163" s="34" t="n">
        <x:v>210.238216</x:v>
      </x:c>
      <x:c r="X163" s="34" t="n">
        <x:v>-7267.063</x:v>
      </x:c>
      <x:c r="Y163" s="34" t="n">
        <x:v>0</x:v>
      </x:c>
      <x:c r="Z163" s="34" t="n">
        <x:v>-1208.348333</x:v>
      </x:c>
      <x:c r="AA163" s="34" t="n">
        <x:v>18.468649</x:v>
      </x:c>
    </x:row>
    <x:row r="164">
      <x:c r="A164" s="34" t="str">
        <x:v>POSCO_KR</x:v>
      </x:c>
      <x:c r="B164" s="34" t="str">
        <x:v>POSCO</x:v>
      </x:c>
      <x:c r="C164" s="34" t="str">
        <x:v>CAND-0CC93D992FF190</x:v>
      </x:c>
      <x:c r="D164" s="34" t="str">
        <x:v>P3</x:v>
      </x:c>
      <x:c r="E164" s="34" t="str">
        <x:v>PORT-531039DEA968</x:v>
      </x:c>
      <x:c r="F164" s="34" t="str">
        <x:v>ACCELERATED_15C</x:v>
      </x:c>
      <x:c r="G164" s="34" t="str">
        <x:v>DISCLOSED_PATH</x:v>
      </x:c>
      <x:c r="H164" s="40" t="b">
        <x:v>0</x:v>
      </x:c>
      <x:c r="I164" s="40" t="b">
        <x:v>1</x:v>
      </x:c>
      <x:c r="J164" s="40" t="b">
        <x:v>1</x:v>
      </x:c>
      <x:c r="K164" s="34" t="n">
        <x:v>297.964268</x:v>
      </x:c>
      <x:c r="L164" s="34" t="n">
        <x:v>12.069592</x:v>
      </x:c>
      <x:c r="M164" s="34" t="n">
        <x:v>0.258212</x:v>
      </x:c>
      <x:c r="N164" s="34" t="n">
        <x:v>-1.28898</x:v>
      </x:c>
      <x:c r="O164" s="34" t="n">
        <x:v>0.396</x:v>
      </x:c>
      <x:c r="P164" s="34" t="n">
        <x:v>3596.307333</x:v>
      </x:c>
      <x:c r="Q164" s="34" t="n">
        <x:v>76.937938</x:v>
      </x:c>
      <x:c r="R164" s="34" t="n">
        <x:v>3212.237</x:v>
      </x:c>
      <x:c r="S164" s="34" t="n">
        <x:v>45.923634</x:v>
      </x:c>
      <x:c r="T164" s="34" t="n">
        <x:v>0</x:v>
      </x:c>
      <x:c r="U164" s="34" t="n">
        <x:v>0</x:v>
      </x:c>
      <x:c r="V164" s="34" t="n">
        <x:v>-1470.571</x:v>
      </x:c>
      <x:c r="W164" s="34" t="n">
        <x:v>76.938228</x:v>
      </x:c>
      <x:c r="X164" s="34" t="n">
        <x:v>-5066.878</x:v>
      </x:c>
      <x:c r="Y164" s="34" t="n">
        <x:v>0</x:v>
      </x:c>
      <x:c r="Z164" s="34" t="n">
        <x:v>-1459.993333</x:v>
      </x:c>
      <x:c r="AA164" s="34" t="n">
        <x:v>44.29003</x:v>
      </x:c>
    </x:row>
    <x:row r="165">
      <x:c r="A165" s="34" t="str">
        <x:v>POSCO_KR</x:v>
      </x:c>
      <x:c r="B165" s="34" t="str">
        <x:v>POSCO</x:v>
      </x:c>
      <x:c r="C165" s="34" t="str">
        <x:v>CAND-0D9DBFAFAC1A93</x:v>
      </x:c>
      <x:c r="D165" s="34" t="str">
        <x:v>P2</x:v>
      </x:c>
      <x:c r="E165" s="34" t="str">
        <x:v>PORT-1CB3B12B9B60</x:v>
      </x:c>
      <x:c r="F165" s="34" t="str">
        <x:v>ACCELERATED_15C</x:v>
      </x:c>
      <x:c r="G165" s="34" t="str">
        <x:v>DISCLOSED_PATH</x:v>
      </x:c>
      <x:c r="H165" s="40" t="b">
        <x:v>1</x:v>
      </x:c>
      <x:c r="I165" s="40" t="b">
        <x:v>0</x:v>
      </x:c>
      <x:c r="J165" s="40" t="b">
        <x:v>1</x:v>
      </x:c>
      <x:c r="K165" s="34" t="n">
        <x:v>453.004224</x:v>
      </x:c>
      <x:c r="L165" s="34" t="n">
        <x:v>8.975681</x:v>
      </x:c>
      <x:c r="M165" s="34" t="n">
        <x:v>0.346495</x:v>
      </x:c>
      <x:c r="N165" s="34" t="n">
        <x:v>-2.115386</x:v>
      </x:c>
      <x:c r="O165" s="34" t="n">
        <x:v>1.316788</x:v>
      </x:c>
      <x:c r="P165" s="34" t="n">
        <x:v>4066.021667</x:v>
      </x:c>
      <x:c r="Q165" s="34" t="n">
        <x:v>156.963987</x:v>
      </x:c>
      <x:c r="R165" s="34" t="n">
        <x:v>3107.742333</x:v>
      </x:c>
      <x:c r="S165" s="34" t="n">
        <x:v>461.287171</x:v>
      </x:c>
      <x:c r="T165" s="34" t="n">
        <x:v>0</x:v>
      </x:c>
      <x:c r="U165" s="34" t="n">
        <x:v>0</x:v>
      </x:c>
      <x:c r="V165" s="34" t="n">
        <x:v>-3484.786667</x:v>
      </x:c>
      <x:c r="W165" s="34" t="n">
        <x:v>156.963411</x:v>
      </x:c>
      <x:c r="X165" s="34" t="n">
        <x:v>-7550.808</x:v>
      </x:c>
      <x:c r="Y165" s="34" t="n">
        <x:v>0</x:v>
      </x:c>
      <x:c r="Z165" s="34" t="n">
        <x:v>-1720.295667</x:v>
      </x:c>
      <x:c r="AA165" s="34" t="n">
        <x:v>20.78766</x:v>
      </x:c>
    </x:row>
    <x:row r="166">
      <x:c r="A166" s="34" t="str">
        <x:v>POSCO_KR</x:v>
      </x:c>
      <x:c r="B166" s="34" t="str">
        <x:v>POSCO</x:v>
      </x:c>
      <x:c r="C166" s="34" t="str">
        <x:v>CAND-0F7926E25C7DDC</x:v>
      </x:c>
      <x:c r="D166" s="34" t="str">
        <x:v>P2</x:v>
      </x:c>
      <x:c r="E166" s="34" t="str">
        <x:v>PORT-B0374F687394</x:v>
      </x:c>
      <x:c r="F166" s="34" t="str">
        <x:v>ACCELERATED_15C</x:v>
      </x:c>
      <x:c r="G166" s="34" t="str">
        <x:v>DISCLOSED_PATH</x:v>
      </x:c>
      <x:c r="H166" s="40" t="b">
        <x:v>0</x:v>
      </x:c>
      <x:c r="I166" s="40" t="b">
        <x:v>1</x:v>
      </x:c>
      <x:c r="J166" s="40" t="b">
        <x:v>1</x:v>
      </x:c>
      <x:c r="K166" s="34" t="n">
        <x:v>338.051243</x:v>
      </x:c>
      <x:c r="L166" s="34" t="n">
        <x:v>11.948096</x:v>
      </x:c>
      <x:c r="M166" s="34" t="n">
        <x:v>0.406795</x:v>
      </x:c>
      <x:c r="N166" s="34" t="n">
        <x:v>-1.074917</x:v>
      </x:c>
      <x:c r="O166" s="34" t="n">
        <x:v>1.003132</x:v>
      </x:c>
      <x:c r="P166" s="34" t="n">
        <x:v>4039.068667</x:v>
      </x:c>
      <x:c r="Q166" s="34" t="n">
        <x:v>137.517269</x:v>
      </x:c>
      <x:c r="R166" s="34" t="n">
        <x:v>3675.691667</x:v>
      </x:c>
      <x:c r="S166" s="34" t="n">
        <x:v>205.770093</x:v>
      </x:c>
      <x:c r="T166" s="34" t="n">
        <x:v>0</x:v>
      </x:c>
      <x:c r="U166" s="34" t="n">
        <x:v>0</x:v>
      </x:c>
      <x:c r="V166" s="34" t="n">
        <x:v>-1560.248</x:v>
      </x:c>
      <x:c r="W166" s="34" t="n">
        <x:v>137.517349</x:v>
      </x:c>
      <x:c r="X166" s="34" t="n">
        <x:v>-5599.317</x:v>
      </x:c>
      <x:c r="Y166" s="34" t="n">
        <x:v>0</x:v>
      </x:c>
      <x:c r="Z166" s="34" t="n">
        <x:v>-710.279667</x:v>
      </x:c>
      <x:c r="AA166" s="34" t="n">
        <x:v>25.027612</x:v>
      </x:c>
    </x:row>
    <x:row r="167">
      <x:c r="A167" s="34" t="str">
        <x:v>POSCO_KR</x:v>
      </x:c>
      <x:c r="B167" s="34" t="str">
        <x:v>POSCO</x:v>
      </x:c>
      <x:c r="C167" s="34" t="str">
        <x:v>CAND-11A200804B1E4C</x:v>
      </x:c>
      <x:c r="D167" s="34" t="str">
        <x:v>P1</x:v>
      </x:c>
      <x:c r="E167" s="34" t="str">
        <x:v>PORT-9341B5E9E1AE</x:v>
      </x:c>
      <x:c r="F167" s="34" t="str">
        <x:v>ACCELERATED_15C</x:v>
      </x:c>
      <x:c r="G167" s="34" t="str">
        <x:v>DISCLOSED_PATH</x:v>
      </x:c>
      <x:c r="H167" s="40" t="b">
        <x:v>0</x:v>
      </x:c>
      <x:c r="I167" s="40" t="b">
        <x:v>0</x:v>
      </x:c>
      <x:c r="J167" s="40" t="b">
        <x:v>1</x:v>
      </x:c>
      <x:c r="K167" s="34" t="n">
        <x:v>190.511279</x:v>
      </x:c>
      <x:c r="L167" s="34" t="n">
        <x:v>15.188863</x:v>
      </x:c>
      <x:c r="M167" s="34" t="n">
        <x:v>0.205035</x:v>
      </x:c>
      <x:c r="N167" s="34" t="n">
        <x:v>-0.267045</x:v>
      </x:c>
      <x:c r="O167" s="34" t="n">
        <x:v>0.207065</x:v>
      </x:c>
      <x:c r="P167" s="34" t="n">
        <x:v>2893.65</x:v>
      </x:c>
      <x:c r="Q167" s="34" t="n">
        <x:v>39.061606</x:v>
      </x:c>
      <x:c r="R167" s="34" t="n">
        <x:v>2842.774667</x:v>
      </x:c>
      <x:c r="S167" s="34" t="n">
        <x:v>7.261835</x:v>
      </x:c>
      <x:c r="T167" s="34" t="n">
        <x:v>0</x:v>
      </x:c>
      <x:c r="U167" s="34" t="n">
        <x:v>0</x:v>
      </x:c>
      <x:c r="V167" s="34" t="n">
        <x:v>-329.409333</x:v>
      </x:c>
      <x:c r="W167" s="34" t="n">
        <x:v>39.061388</x:v>
      </x:c>
      <x:c r="X167" s="34" t="n">
        <x:v>-3223.059</x:v>
      </x:c>
      <x:c r="Y167" s="34" t="n">
        <x:v>0</x:v>
      </x:c>
      <x:c r="Z167" s="34" t="n">
        <x:v>-199.364</x:v>
      </x:c>
      <x:c r="AA167" s="34" t="n">
        <x:v>5.482129</x:v>
      </x:c>
    </x:row>
    <x:row r="168">
      <x:c r="A168" s="34" t="str">
        <x:v>POSCO_KR</x:v>
      </x:c>
      <x:c r="B168" s="34" t="str">
        <x:v>POSCO</x:v>
      </x:c>
      <x:c r="C168" s="34" t="str">
        <x:v>CAND-1205E8D72A4654</x:v>
      </x:c>
      <x:c r="D168" s="34" t="str">
        <x:v>P3</x:v>
      </x:c>
      <x:c r="E168" s="34" t="str">
        <x:v>PORT-A620DB8F058C</x:v>
      </x:c>
      <x:c r="F168" s="34" t="str">
        <x:v>ACCELERATED_15C</x:v>
      </x:c>
      <x:c r="G168" s="34" t="str">
        <x:v>DISCLOSED_PATH</x:v>
      </x:c>
      <x:c r="H168" s="40" t="b">
        <x:v>1</x:v>
      </x:c>
      <x:c r="I168" s="40" t="b">
        <x:v>1</x:v>
      </x:c>
      <x:c r="J168" s="40" t="b">
        <x:v>1</x:v>
      </x:c>
      <x:c r="K168" s="34" t="n">
        <x:v>434.951232</x:v>
      </x:c>
      <x:c r="L168" s="34" t="n">
        <x:v>12.238286</x:v>
      </x:c>
      <x:c r="M168" s="34" t="n">
        <x:v>0.369686</x:v>
      </x:c>
      <x:c r="N168" s="34" t="n">
        <x:v>-1.151116</x:v>
      </x:c>
      <x:c r="O168" s="34" t="n">
        <x:v>0.354247</x:v>
      </x:c>
      <x:c r="P168" s="34" t="n">
        <x:v>5323.057667</x:v>
      </x:c>
      <x:c r="Q168" s="34" t="n">
        <x:v>160.795469</x:v>
      </x:c>
      <x:c r="R168" s="34" t="n">
        <x:v>4822.378</x:v>
      </x:c>
      <x:c r="S168" s="34" t="n">
        <x:v>37.845875</x:v>
      </x:c>
      <x:c r="T168" s="34" t="n">
        <x:v>0</x:v>
      </x:c>
      <x:c r="U168" s="34" t="n">
        <x:v>0</x:v>
      </x:c>
      <x:c r="V168" s="34" t="n">
        <x:v>-1944.005333</x:v>
      </x:c>
      <x:c r="W168" s="34" t="n">
        <x:v>160.795391</x:v>
      </x:c>
      <x:c r="X168" s="34" t="n">
        <x:v>-7267.063</x:v>
      </x:c>
      <x:c r="Y168" s="34" t="n">
        <x:v>0</x:v>
      </x:c>
      <x:c r="Z168" s="34" t="n">
        <x:v>-1746.902667</x:v>
      </x:c>
      <x:c r="AA168" s="34" t="n">
        <x:v>20.361095</x:v>
      </x:c>
    </x:row>
    <x:row r="169">
      <x:c r="A169" s="34" t="str">
        <x:v>POSCO_KR</x:v>
      </x:c>
      <x:c r="B169" s="34" t="str">
        <x:v>POSCO</x:v>
      </x:c>
      <x:c r="C169" s="34" t="str">
        <x:v>CAND-12C017BA38B922</x:v>
      </x:c>
      <x:c r="D169" s="34" t="str">
        <x:v>P1</x:v>
      </x:c>
      <x:c r="E169" s="34" t="str">
        <x:v>PORT-D42DEB3BDB60</x:v>
      </x:c>
      <x:c r="F169" s="34" t="str">
        <x:v>ACCELERATED_15C</x:v>
      </x:c>
      <x:c r="G169" s="34" t="str">
        <x:v>DISCLOSED_PATH</x:v>
      </x:c>
      <x:c r="H169" s="40" t="b">
        <x:v>0</x:v>
      </x:c>
      <x:c r="I169" s="40" t="b">
        <x:v>1</x:v>
      </x:c>
      <x:c r="J169" s="40" t="b">
        <x:v>1</x:v>
      </x:c>
      <x:c r="K169" s="34" t="n">
        <x:v>364.533852</x:v>
      </x:c>
      <x:c r="L169" s="34" t="n">
        <x:v>12.18773</x:v>
      </x:c>
      <x:c r="M169" s="34" t="n">
        <x:v>0.331148</x:v>
      </x:c>
      <x:c r="N169" s="34" t="n">
        <x:v>-1.692605</x:v>
      </x:c>
      <x:c r="O169" s="34" t="n">
        <x:v>0.022883</x:v>
      </x:c>
      <x:c r="P169" s="34" t="n">
        <x:v>4442.840667</x:v>
      </x:c>
      <x:c r="Q169" s="34" t="n">
        <x:v>120.714697</x:v>
      </x:c>
      <x:c r="R169" s="34" t="n">
        <x:v>3825.828333</x:v>
      </x:c>
      <x:c r="S169" s="34" t="n">
        <x:v>117.713635</x:v>
      </x:c>
      <x:c r="T169" s="34" t="n">
        <x:v>0</x:v>
      </x:c>
      <x:c r="U169" s="34" t="n">
        <x:v>0</x:v>
      </x:c>
      <x:c r="V169" s="34" t="n">
        <x:v>-1617.045333</x:v>
      </x:c>
      <x:c r="W169" s="34" t="n">
        <x:v>120.714697</x:v>
      </x:c>
      <x:c r="X169" s="34" t="n">
        <x:v>-6059.886</x:v>
      </x:c>
      <x:c r="Y169" s="34" t="n">
        <x:v>0</x:v>
      </x:c>
      <x:c r="Z169" s="34" t="n">
        <x:v>-558.269667</x:v>
      </x:c>
      <x:c r="AA169" s="34" t="n">
        <x:v>14.948634</x:v>
      </x:c>
    </x:row>
    <x:row r="170">
      <x:c r="A170" s="34" t="str">
        <x:v>POSCO_KR</x:v>
      </x:c>
      <x:c r="B170" s="34" t="str">
        <x:v>POSCO</x:v>
      </x:c>
      <x:c r="C170" s="34" t="str">
        <x:v>CAND-13A3A87B46A419</x:v>
      </x:c>
      <x:c r="D170" s="34" t="str">
        <x:v>P4</x:v>
      </x:c>
      <x:c r="E170" s="34" t="str">
        <x:v>PORT-C9ABA0ED93B4</x:v>
      </x:c>
      <x:c r="F170" s="34" t="str">
        <x:v>ACCELERATED_15C</x:v>
      </x:c>
      <x:c r="G170" s="34" t="str">
        <x:v>DISCLOSED_PATH</x:v>
      </x:c>
      <x:c r="H170" s="40" t="b">
        <x:v>1</x:v>
      </x:c>
      <x:c r="I170" s="40" t="b">
        <x:v>0</x:v>
      </x:c>
      <x:c r="J170" s="40" t="b">
        <x:v>1</x:v>
      </x:c>
      <x:c r="K170" s="34" t="n">
        <x:v>496.681253</x:v>
      </x:c>
      <x:c r="L170" s="34" t="n">
        <x:v>13.711738</x:v>
      </x:c>
      <x:c r="M170" s="34" t="n">
        <x:v>0.077224</x:v>
      </x:c>
      <x:c r="N170" s="34" t="n">
        <x:v>-0.196244</x:v>
      </x:c>
      <x:c r="O170" s="34" t="n">
        <x:v>0.203021</x:v>
      </x:c>
      <x:c r="P170" s="34" t="n">
        <x:v>6810.363333</x:v>
      </x:c>
      <x:c r="Q170" s="34" t="n">
        <x:v>38.354959</x:v>
      </x:c>
      <x:c r="R170" s="34" t="n">
        <x:v>6712.892667</x:v>
      </x:c>
      <x:c r="S170" s="34" t="n">
        <x:v>74.022761</x:v>
      </x:c>
      <x:c r="T170" s="34" t="n">
        <x:v>0</x:v>
      </x:c>
      <x:c r="U170" s="34" t="n">
        <x:v>0</x:v>
      </x:c>
      <x:c r="V170" s="34" t="n">
        <x:v>-1366.241667</x:v>
      </x:c>
      <x:c r="W170" s="34" t="n">
        <x:v>38.355925</x:v>
      </x:c>
      <x:c r="X170" s="34" t="n">
        <x:v>-8176.604</x:v>
      </x:c>
      <x:c r="Y170" s="34" t="n">
        <x:v>0</x:v>
      </x:c>
      <x:c r="Z170" s="34" t="n">
        <x:v>-2891.390333</x:v>
      </x:c>
      <x:c r="AA170" s="34" t="n">
        <x:v>7.58713</x:v>
      </x:c>
    </x:row>
    <x:row r="171">
      <x:c r="A171" s="34" t="str">
        <x:v>POSCO_KR</x:v>
      </x:c>
      <x:c r="B171" s="34" t="str">
        <x:v>POSCO</x:v>
      </x:c>
      <x:c r="C171" s="34" t="str">
        <x:v>CAND-1452ABFC21BA3C</x:v>
      </x:c>
      <x:c r="D171" s="34" t="str">
        <x:v>P3</x:v>
      </x:c>
      <x:c r="E171" s="34" t="str">
        <x:v>PORT-2E4122B1D61A</x:v>
      </x:c>
      <x:c r="F171" s="34" t="str">
        <x:v>ACCELERATED_15C</x:v>
      </x:c>
      <x:c r="G171" s="34" t="str">
        <x:v>DISCLOSED_PATH</x:v>
      </x:c>
      <x:c r="H171" s="40" t="b">
        <x:v>0</x:v>
      </x:c>
      <x:c r="I171" s="40" t="b">
        <x:v>0</x:v>
      </x:c>
      <x:c r="J171" s="40" t="b">
        <x:v>1</x:v>
      </x:c>
      <x:c r="K171" s="34" t="n">
        <x:v>305.733857</x:v>
      </x:c>
      <x:c r="L171" s="34" t="n">
        <x:v>10.274089</x:v>
      </x:c>
      <x:c r="M171" s="34" t="n">
        <x:v>0.211325</x:v>
      </x:c>
      <x:c r="N171" s="34" t="n">
        <x:v>-1.346983</x:v>
      </x:c>
      <x:c r="O171" s="34" t="n">
        <x:v>0.420095</x:v>
      </x:c>
      <x:c r="P171" s="34" t="n">
        <x:v>3141.137</x:v>
      </x:c>
      <x:c r="Q171" s="34" t="n">
        <x:v>64.609035</x:v>
      </x:c>
      <x:c r="R171" s="34" t="n">
        <x:v>2729.318333</x:v>
      </x:c>
      <x:c r="S171" s="34" t="n">
        <x:v>95.069134</x:v>
      </x:c>
      <x:c r="T171" s="34" t="n">
        <x:v>0</x:v>
      </x:c>
      <x:c r="U171" s="34" t="n">
        <x:v>0</x:v>
      </x:c>
      <x:c r="V171" s="34" t="n">
        <x:v>-1873.898333</x:v>
      </x:c>
      <x:c r="W171" s="34" t="n">
        <x:v>64.609535</x:v>
      </x:c>
      <x:c r="X171" s="34" t="n">
        <x:v>-5015.036</x:v>
      </x:c>
      <x:c r="Y171" s="34" t="n">
        <x:v>0</x:v>
      </x:c>
      <x:c r="Z171" s="34" t="n">
        <x:v>-1943.506</x:v>
      </x:c>
      <x:c r="AA171" s="34" t="n">
        <x:v>27.386657</x:v>
      </x:c>
    </x:row>
    <x:row r="172">
      <x:c r="A172" s="34" t="str">
        <x:v>POSCO_KR</x:v>
      </x:c>
      <x:c r="B172" s="34" t="str">
        <x:v>POSCO</x:v>
      </x:c>
      <x:c r="C172" s="34" t="str">
        <x:v>CAND-149176B54DA5B1</x:v>
      </x:c>
      <x:c r="D172" s="34" t="str">
        <x:v>P2</x:v>
      </x:c>
      <x:c r="E172" s="34" t="str">
        <x:v>PORT-58F96F629E32</x:v>
      </x:c>
      <x:c r="F172" s="34" t="str">
        <x:v>ACCELERATED_15C</x:v>
      </x:c>
      <x:c r="G172" s="34" t="str">
        <x:v>DISCLOSED_PATH</x:v>
      </x:c>
      <x:c r="H172" s="40" t="b">
        <x:v>0</x:v>
      </x:c>
      <x:c r="I172" s="40" t="b">
        <x:v>1</x:v>
      </x:c>
      <x:c r="J172" s="40" t="b">
        <x:v>1</x:v>
      </x:c>
      <x:c r="K172" s="34" t="n">
        <x:v>243.51423</x:v>
      </x:c>
      <x:c r="L172" s="34" t="n">
        <x:v>12.578263</x:v>
      </x:c>
      <x:c r="M172" s="34" t="n">
        <x:v>0.626826</x:v>
      </x:c>
      <x:c r="N172" s="34" t="n">
        <x:v>-1.289737</x:v>
      </x:c>
      <x:c r="O172" s="34" t="n">
        <x:v>0.737235</x:v>
      </x:c>
      <x:c r="P172" s="34" t="n">
        <x:v>3062.986</x:v>
      </x:c>
      <x:c r="Q172" s="34" t="n">
        <x:v>152.64119</x:v>
      </x:c>
      <x:c r="R172" s="34" t="n">
        <x:v>2748.916667</x:v>
      </x:c>
      <x:c r="S172" s="34" t="n">
        <x:v>39.475391</x:v>
      </x:c>
      <x:c r="T172" s="34" t="n">
        <x:v>0</x:v>
      </x:c>
      <x:c r="U172" s="34" t="n">
        <x:v>0</x:v>
      </x:c>
      <x:c r="V172" s="34" t="n">
        <x:v>-948.288</x:v>
      </x:c>
      <x:c r="W172" s="34" t="n">
        <x:v>152.64119</x:v>
      </x:c>
      <x:c r="X172" s="34" t="n">
        <x:v>-4011.274</x:v>
      </x:c>
      <x:c r="Y172" s="34" t="n">
        <x:v>0</x:v>
      </x:c>
      <x:c r="Z172" s="34" t="n">
        <x:v>-544.66</x:v>
      </x:c>
      <x:c r="AA172" s="34" t="n">
        <x:v>5.115694</x:v>
      </x:c>
    </x:row>
    <x:row r="173">
      <x:c r="A173" s="34" t="str">
        <x:v>POSCO_KR</x:v>
      </x:c>
      <x:c r="B173" s="34" t="str">
        <x:v>POSCO</x:v>
      </x:c>
      <x:c r="C173" s="34" t="str">
        <x:v>CAND-16671384F832DB</x:v>
      </x:c>
      <x:c r="D173" s="34" t="str">
        <x:v>P4</x:v>
      </x:c>
      <x:c r="E173" s="34" t="str">
        <x:v>PORT-A7B7FDCF1108</x:v>
      </x:c>
      <x:c r="F173" s="34" t="str">
        <x:v>ACCELERATED_15C</x:v>
      </x:c>
      <x:c r="G173" s="34" t="str">
        <x:v>DISCLOSED_PATH</x:v>
      </x:c>
      <x:c r="H173" s="40" t="b">
        <x:v>1</x:v>
      </x:c>
      <x:c r="I173" s="40" t="b">
        <x:v>0</x:v>
      </x:c>
      <x:c r="J173" s="40" t="b">
        <x:v>1</x:v>
      </x:c>
      <x:c r="K173" s="34" t="n">
        <x:v>414.706243</x:v>
      </x:c>
      <x:c r="L173" s="34" t="n">
        <x:v>12.781956</x:v>
      </x:c>
      <x:c r="M173" s="34" t="n">
        <x:v>0.076751</x:v>
      </x:c>
      <x:c r="N173" s="34" t="n">
        <x:v>-0.437064</x:v>
      </x:c>
      <x:c r="O173" s="34" t="n">
        <x:v>0.329548</x:v>
      </x:c>
      <x:c r="P173" s="34" t="n">
        <x:v>5300.757</x:v>
      </x:c>
      <x:c r="Q173" s="34" t="n">
        <x:v>31.829176</x:v>
      </x:c>
      <x:c r="R173" s="34" t="n">
        <x:v>5119.504</x:v>
      </x:c>
      <x:c r="S173" s="34" t="n">
        <x:v>133.540961</x:v>
      </x:c>
      <x:c r="T173" s="34" t="n">
        <x:v>0</x:v>
      </x:c>
      <x:c r="U173" s="34" t="n">
        <x:v>0</x:v>
      </x:c>
      <x:c r="V173" s="34" t="n">
        <x:v>-1521.755</x:v>
      </x:c>
      <x:c r="W173" s="34" t="n">
        <x:v>31.829176</x:v>
      </x:c>
      <x:c r="X173" s="34" t="n">
        <x:v>-6822.511</x:v>
      </x:c>
      <x:c r="Y173" s="34" t="n">
        <x:v>0</x:v>
      </x:c>
      <x:c r="Z173" s="34" t="n">
        <x:v>-3832.468333</x:v>
      </x:c>
      <x:c r="AA173" s="34" t="n">
        <x:v>32.566079</x:v>
      </x:c>
    </x:row>
    <x:row r="174">
      <x:c r="A174" s="34" t="str">
        <x:v>POSCO_KR</x:v>
      </x:c>
      <x:c r="B174" s="34" t="str">
        <x:v>POSCO</x:v>
      </x:c>
      <x:c r="C174" s="34" t="str">
        <x:v>CAND-16DADA55DF87CF</x:v>
      </x:c>
      <x:c r="D174" s="34" t="str">
        <x:v>P2</x:v>
      </x:c>
      <x:c r="E174" s="34" t="str">
        <x:v>PORT-F7156CC53AF8</x:v>
      </x:c>
      <x:c r="F174" s="34" t="str">
        <x:v>ACCELERATED_15C</x:v>
      </x:c>
      <x:c r="G174" s="34" t="str">
        <x:v>DISCLOSED_PATH</x:v>
      </x:c>
      <x:c r="H174" s="40" t="b">
        <x:v>0</x:v>
      </x:c>
      <x:c r="I174" s="40" t="b">
        <x:v>0</x:v>
      </x:c>
      <x:c r="J174" s="40" t="b">
        <x:v>1</x:v>
      </x:c>
      <x:c r="K174" s="34" t="n">
        <x:v>353.711217</x:v>
      </x:c>
      <x:c r="L174" s="34" t="n">
        <x:v>9.352168</x:v>
      </x:c>
      <x:c r="M174" s="34" t="n">
        <x:v>0.13066</x:v>
      </x:c>
      <x:c r="N174" s="34" t="n">
        <x:v>-2.55627</x:v>
      </x:c>
      <x:c r="O174" s="34" t="n">
        <x:v>0.419734</x:v>
      </x:c>
      <x:c r="P174" s="34" t="n">
        <x:v>3307.966667</x:v>
      </x:c>
      <x:c r="Q174" s="34" t="n">
        <x:v>46.215681</x:v>
      </x:c>
      <x:c r="R174" s="34" t="n">
        <x:v>2403.785</x:v>
      </x:c>
      <x:c r="S174" s="34" t="n">
        <x:v>136.623928</x:v>
      </x:c>
      <x:c r="T174" s="34" t="n">
        <x:v>0</x:v>
      </x:c>
      <x:c r="U174" s="34" t="n">
        <x:v>0</x:v>
      </x:c>
      <x:c r="V174" s="34" t="n">
        <x:v>-2572.619</x:v>
      </x:c>
      <x:c r="W174" s="34" t="n">
        <x:v>46.215859</x:v>
      </x:c>
      <x:c r="X174" s="34" t="n">
        <x:v>-5880.586</x:v>
      </x:c>
      <x:c r="Y174" s="34" t="n">
        <x:v>0</x:v>
      </x:c>
      <x:c r="Z174" s="34" t="n">
        <x:v>-1327.884667</x:v>
      </x:c>
      <x:c r="AA174" s="34" t="n">
        <x:v>28.121869</x:v>
      </x:c>
    </x:row>
    <x:row r="175">
      <x:c r="A175" s="34" t="str">
        <x:v>POSCO_KR</x:v>
      </x:c>
      <x:c r="B175" s="34" t="str">
        <x:v>POSCO</x:v>
      </x:c>
      <x:c r="C175" s="34" t="str">
        <x:v>CAND-19A0EC6A18A011</x:v>
      </x:c>
      <x:c r="D175" s="34" t="str">
        <x:v>P1</x:v>
      </x:c>
      <x:c r="E175" s="34" t="str">
        <x:v>PORT-0EE037EBD6C8</x:v>
      </x:c>
      <x:c r="F175" s="34" t="str">
        <x:v>ACCELERATED_15C</x:v>
      </x:c>
      <x:c r="G175" s="34" t="str">
        <x:v>DISCLOSED_PATH</x:v>
      </x:c>
      <x:c r="H175" s="40" t="b">
        <x:v>0</x:v>
      </x:c>
      <x:c r="I175" s="40" t="b">
        <x:v>0</x:v>
      </x:c>
      <x:c r="J175" s="40" t="b">
        <x:v>1</x:v>
      </x:c>
      <x:c r="K175" s="34" t="n">
        <x:v>387.333846</x:v>
      </x:c>
      <x:c r="L175" s="34" t="n">
        <x:v>8.195976</x:v>
      </x:c>
      <x:c r="M175" s="34" t="n">
        <x:v>0.223262</x:v>
      </x:c>
      <x:c r="N175" s="34" t="n">
        <x:v>-2.777592</x:v>
      </x:c>
      <x:c r="O175" s="34" t="n">
        <x:v>0.476883</x:v>
      </x:c>
      <x:c r="P175" s="34" t="n">
        <x:v>3174.579</x:v>
      </x:c>
      <x:c r="Q175" s="34" t="n">
        <x:v>86.476398</x:v>
      </x:c>
      <x:c r="R175" s="34" t="n">
        <x:v>2098.723</x:v>
      </x:c>
      <x:c r="S175" s="34" t="n">
        <x:v>184.461239</x:v>
      </x:c>
      <x:c r="T175" s="34" t="n">
        <x:v>0</x:v>
      </x:c>
      <x:c r="U175" s="34" t="n">
        <x:v>0</x:v>
      </x:c>
      <x:c r="V175" s="34" t="n">
        <x:v>-3250.591</x:v>
      </x:c>
      <x:c r="W175" s="34" t="n">
        <x:v>86.476398</x:v>
      </x:c>
      <x:c r="X175" s="34" t="n">
        <x:v>-6425.17</x:v>
      </x:c>
      <x:c r="Y175" s="34" t="n">
        <x:v>0</x:v>
      </x:c>
      <x:c r="Z175" s="34" t="n">
        <x:v>-815.296</x:v>
      </x:c>
      <x:c r="AA175" s="34" t="n">
        <x:v>17.406725</x:v>
      </x:c>
    </x:row>
    <x:row r="176">
      <x:c r="A176" s="34" t="str">
        <x:v>POSCO_KR</x:v>
      </x:c>
      <x:c r="B176" s="34" t="str">
        <x:v>POSCO</x:v>
      </x:c>
      <x:c r="C176" s="34" t="str">
        <x:v>CAND-19C362AB4D3239</x:v>
      </x:c>
      <x:c r="D176" s="34" t="str">
        <x:v>P1</x:v>
      </x:c>
      <x:c r="E176" s="34" t="str">
        <x:v>PORT-CA761749FFB1</x:v>
      </x:c>
      <x:c r="F176" s="34" t="str">
        <x:v>ACCELERATED_15C</x:v>
      </x:c>
      <x:c r="G176" s="34" t="str">
        <x:v>DISCLOSED_PATH</x:v>
      </x:c>
      <x:c r="H176" s="40" t="b">
        <x:v>0</x:v>
      </x:c>
      <x:c r="I176" s="40" t="b">
        <x:v>1</x:v>
      </x:c>
      <x:c r="J176" s="40" t="b">
        <x:v>1</x:v>
      </x:c>
      <x:c r="K176" s="34" t="n">
        <x:v>287.411269</x:v>
      </x:c>
      <x:c r="L176" s="34" t="n">
        <x:v>11.776543</x:v>
      </x:c>
      <x:c r="M176" s="34" t="n">
        <x:v>0.425376</x:v>
      </x:c>
      <x:c r="N176" s="34" t="n">
        <x:v>-1.798786</x:v>
      </x:c>
      <x:c r="O176" s="34" t="n">
        <x:v>0.100135</x:v>
      </x:c>
      <x:c r="P176" s="34" t="n">
        <x:v>3384.711667</x:v>
      </x:c>
      <x:c r="Q176" s="34" t="n">
        <x:v>122.258244</x:v>
      </x:c>
      <x:c r="R176" s="34" t="n">
        <x:v>2867.720333</x:v>
      </x:c>
      <x:c r="S176" s="34" t="n">
        <x:v>93.980958</x:v>
      </x:c>
      <x:c r="T176" s="34" t="n">
        <x:v>0</x:v>
      </x:c>
      <x:c r="U176" s="34" t="n">
        <x:v>0</x:v>
      </x:c>
      <x:c r="V176" s="34" t="n">
        <x:v>-1506.094333</x:v>
      </x:c>
      <x:c r="W176" s="34" t="n">
        <x:v>122.258244</x:v>
      </x:c>
      <x:c r="X176" s="34" t="n">
        <x:v>-4890.806</x:v>
      </x:c>
      <x:c r="Y176" s="34" t="n">
        <x:v>0</x:v>
      </x:c>
      <x:c r="Z176" s="34" t="n">
        <x:v>-534.827667</x:v>
      </x:c>
      <x:c r="AA176" s="34" t="n">
        <x:v>6.927225</x:v>
      </x:c>
    </x:row>
    <x:row r="177">
      <x:c r="A177" s="34" t="str">
        <x:v>POSCO_KR</x:v>
      </x:c>
      <x:c r="B177" s="34" t="str">
        <x:v>POSCO</x:v>
      </x:c>
      <x:c r="C177" s="34" t="str">
        <x:v>CAND-1F4761E26DC6B1</x:v>
      </x:c>
      <x:c r="D177" s="34" t="str">
        <x:v>P2</x:v>
      </x:c>
      <x:c r="E177" s="34" t="str">
        <x:v>PORT-15CB4F8207C5</x:v>
      </x:c>
      <x:c r="F177" s="34" t="str">
        <x:v>ACCELERATED_15C</x:v>
      </x:c>
      <x:c r="G177" s="34" t="str">
        <x:v>DISCLOSED_PATH</x:v>
      </x:c>
      <x:c r="H177" s="40" t="b">
        <x:v>0</x:v>
      </x:c>
      <x:c r="I177" s="40" t="b">
        <x:v>1</x:v>
      </x:c>
      <x:c r="J177" s="40" t="b">
        <x:v>1</x:v>
      </x:c>
      <x:c r="K177" s="34" t="n">
        <x:v>312.214267</x:v>
      </x:c>
      <x:c r="L177" s="34" t="n">
        <x:v>8.134879</x:v>
      </x:c>
      <x:c r="M177" s="34" t="n">
        <x:v>0.231273</x:v>
      </x:c>
      <x:c r="N177" s="34" t="n">
        <x:v>-2.087978</x:v>
      </x:c>
      <x:c r="O177" s="34" t="n">
        <x:v>0.541204</x:v>
      </x:c>
      <x:c r="P177" s="34" t="n">
        <x:v>2539.825</x:v>
      </x:c>
      <x:c r="Q177" s="34" t="n">
        <x:v>72.20656</x:v>
      </x:c>
      <x:c r="R177" s="34" t="n">
        <x:v>1887.929</x:v>
      </x:c>
      <x:c r="S177" s="34" t="n">
        <x:v>159.414491</x:v>
      </x:c>
      <x:c r="T177" s="34" t="n">
        <x:v>0</x:v>
      </x:c>
      <x:c r="U177" s="34" t="n">
        <x:v>0</x:v>
      </x:c>
      <x:c r="V177" s="34" t="n">
        <x:v>-2772.310333</x:v>
      </x:c>
      <x:c r="W177" s="34" t="n">
        <x:v>72.206155</x:v>
      </x:c>
      <x:c r="X177" s="34" t="n">
        <x:v>-5312.135</x:v>
      </x:c>
      <x:c r="Y177" s="34" t="n">
        <x:v>0</x:v>
      </x:c>
      <x:c r="Z177" s="34" t="n">
        <x:v>-1407.361333</x:v>
      </x:c>
      <x:c r="AA177" s="34" t="n">
        <x:v>37.502616</x:v>
      </x:c>
    </x:row>
    <x:row r="178">
      <x:c r="A178" s="34" t="str">
        <x:v>POSCO_KR</x:v>
      </x:c>
      <x:c r="B178" s="34" t="str">
        <x:v>POSCO</x:v>
      </x:c>
      <x:c r="C178" s="34" t="str">
        <x:v>CAND-25E596C7BBF514</x:v>
      </x:c>
      <x:c r="D178" s="34" t="str">
        <x:v>P1</x:v>
      </x:c>
      <x:c r="E178" s="34" t="str">
        <x:v>PORT-2038E8D6C481</x:v>
      </x:c>
      <x:c r="F178" s="34" t="str">
        <x:v>ACCELERATED_15C</x:v>
      </x:c>
      <x:c r="G178" s="34" t="str">
        <x:v>DISCLOSED_PATH</x:v>
      </x:c>
      <x:c r="H178" s="40" t="b">
        <x:v>1</x:v>
      </x:c>
      <x:c r="I178" s="40" t="b">
        <x:v>0</x:v>
      </x:c>
      <x:c r="J178" s="40" t="b">
        <x:v>1</x:v>
      </x:c>
      <x:c r="K178" s="34" t="n">
        <x:v>428.201226</x:v>
      </x:c>
      <x:c r="L178" s="34" t="n">
        <x:v>11.712318</x:v>
      </x:c>
      <x:c r="M178" s="34" t="n">
        <x:v>0.666959</x:v>
      </x:c>
      <x:c r="N178" s="34" t="n">
        <x:v>-2.135853</x:v>
      </x:c>
      <x:c r="O178" s="34" t="n">
        <x:v>0.250416</x:v>
      </x:c>
      <x:c r="P178" s="34" t="n">
        <x:v>5015.229</x:v>
      </x:c>
      <x:c r="Q178" s="34" t="n">
        <x:v>285.592963</x:v>
      </x:c>
      <x:c r="R178" s="34" t="n">
        <x:v>4100.653667</x:v>
      </x:c>
      <x:c r="S178" s="34" t="n">
        <x:v>195.098164</x:v>
      </x:c>
      <x:c r="T178" s="34" t="n">
        <x:v>0</x:v>
      </x:c>
      <x:c r="U178" s="34" t="n">
        <x:v>0</x:v>
      </x:c>
      <x:c r="V178" s="34" t="n">
        <x:v>-2114.249</x:v>
      </x:c>
      <x:c r="W178" s="34" t="n">
        <x:v>285.592963</x:v>
      </x:c>
      <x:c r="X178" s="34" t="n">
        <x:v>-7129.478</x:v>
      </x:c>
      <x:c r="Y178" s="34" t="n">
        <x:v>0</x:v>
      </x:c>
      <x:c r="Z178" s="34" t="n">
        <x:v>-678.992</x:v>
      </x:c>
      <x:c r="AA178" s="34" t="n">
        <x:v>17.873078</x:v>
      </x:c>
    </x:row>
    <x:row r="179">
      <x:c r="A179" s="34" t="str">
        <x:v>POSCO_KR</x:v>
      </x:c>
      <x:c r="B179" s="34" t="str">
        <x:v>POSCO</x:v>
      </x:c>
      <x:c r="C179" s="34" t="str">
        <x:v>CAND-2775122CBD1438</x:v>
      </x:c>
      <x:c r="D179" s="34" t="str">
        <x:v>P1</x:v>
      </x:c>
      <x:c r="E179" s="34" t="str">
        <x:v>PORT-34425DFA5633</x:v>
      </x:c>
      <x:c r="F179" s="34" t="str">
        <x:v>ACCELERATED_15C</x:v>
      </x:c>
      <x:c r="G179" s="34" t="str">
        <x:v>DISCLOSED_PATH</x:v>
      </x:c>
      <x:c r="H179" s="40" t="b">
        <x:v>0</x:v>
      </x:c>
      <x:c r="I179" s="40" t="b">
        <x:v>1</x:v>
      </x:c>
      <x:c r="J179" s="40" t="b">
        <x:v>1</x:v>
      </x:c>
      <x:c r="K179" s="34" t="n">
        <x:v>330.911223</x:v>
      </x:c>
      <x:c r="L179" s="34" t="n">
        <x:v>12.134215</x:v>
      </x:c>
      <x:c r="M179" s="34" t="n">
        <x:v>0.556135</x:v>
      </x:c>
      <x:c r="N179" s="34" t="n">
        <x:v>-1.665336</x:v>
      </x:c>
      <x:c r="O179" s="34" t="n">
        <x:v>0.306972</x:v>
      </x:c>
      <x:c r="P179" s="34" t="n">
        <x:v>4015.348</x:v>
      </x:c>
      <x:c r="Q179" s="34" t="n">
        <x:v>184.031426</x:v>
      </x:c>
      <x:c r="R179" s="34" t="n">
        <x:v>3464.269667</x:v>
      </x:c>
      <x:c r="S179" s="34" t="n">
        <x:v>106.904154</x:v>
      </x:c>
      <x:c r="T179" s="34" t="n">
        <x:v>0</x:v>
      </x:c>
      <x:c r="U179" s="34" t="n">
        <x:v>0</x:v>
      </x:c>
      <x:c r="V179" s="34" t="n">
        <x:v>-1499.954</x:v>
      </x:c>
      <x:c r="W179" s="34" t="n">
        <x:v>184.031426</x:v>
      </x:c>
      <x:c r="X179" s="34" t="n">
        <x:v>-5515.302</x:v>
      </x:c>
      <x:c r="Y179" s="34" t="n">
        <x:v>0</x:v>
      </x:c>
      <x:c r="Z179" s="34" t="n">
        <x:v>-564.934333</x:v>
      </x:c>
      <x:c r="AA179" s="34" t="n">
        <x:v>14.03038</x:v>
      </x:c>
    </x:row>
    <x:row r="180">
      <x:c r="A180" s="34" t="str">
        <x:v>POSCO_KR</x:v>
      </x:c>
      <x:c r="B180" s="34" t="str">
        <x:v>POSCO</x:v>
      </x:c>
      <x:c r="C180" s="34" t="str">
        <x:v>CAND-27EB06146B7A52</x:v>
      </x:c>
      <x:c r="D180" s="34" t="str">
        <x:v>P3</x:v>
      </x:c>
      <x:c r="E180" s="34" t="str">
        <x:v>PORT-13C60822C05B</x:v>
      </x:c>
      <x:c r="F180" s="34" t="str">
        <x:v>ACCELERATED_15C</x:v>
      </x:c>
      <x:c r="G180" s="34" t="str">
        <x:v>DISCLOSED_PATH</x:v>
      </x:c>
      <x:c r="H180" s="40" t="b">
        <x:v>1</x:v>
      </x:c>
      <x:c r="I180" s="40" t="b">
        <x:v>0</x:v>
      </x:c>
      <x:c r="J180" s="40" t="b">
        <x:v>1</x:v>
      </x:c>
      <x:c r="K180" s="34" t="n">
        <x:v>437.704222</x:v>
      </x:c>
      <x:c r="L180" s="34" t="n">
        <x:v>12.162208</x:v>
      </x:c>
      <x:c r="M180" s="34" t="n">
        <x:v>0.213899</x:v>
      </x:c>
      <x:c r="N180" s="34" t="n">
        <x:v>-0.921676</x:v>
      </x:c>
      <x:c r="O180" s="34" t="n">
        <x:v>0.37941</x:v>
      </x:c>
      <x:c r="P180" s="34" t="n">
        <x:v>5323.45</x:v>
      </x:c>
      <x:c r="Q180" s="34" t="n">
        <x:v>93.625002</x:v>
      </x:c>
      <x:c r="R180" s="34" t="n">
        <x:v>4920.028333</x:v>
      </x:c>
      <x:c r="S180" s="34" t="n">
        <x:v>230.062674</x:v>
      </x:c>
      <x:c r="T180" s="34" t="n">
        <x:v>0</x:v>
      </x:c>
      <x:c r="U180" s="34" t="n">
        <x:v>0</x:v>
      </x:c>
      <x:c r="V180" s="34" t="n">
        <x:v>-1969.746667</x:v>
      </x:c>
      <x:c r="W180" s="34" t="n">
        <x:v>93.624626</x:v>
      </x:c>
      <x:c r="X180" s="34" t="n">
        <x:v>-7293.196</x:v>
      </x:c>
      <x:c r="Y180" s="34" t="n">
        <x:v>0</x:v>
      </x:c>
      <x:c r="Z180" s="34" t="n">
        <x:v>-1956.073</x:v>
      </x:c>
      <x:c r="AA180" s="34" t="n">
        <x:v>16.778585</x:v>
      </x:c>
    </x:row>
    <x:row r="181">
      <x:c r="A181" s="34" t="str">
        <x:v>POSCO_KR</x:v>
      </x:c>
      <x:c r="B181" s="34" t="str">
        <x:v>POSCO</x:v>
      </x:c>
      <x:c r="C181" s="34" t="str">
        <x:v>CAND-2EAFEFF65EF371</x:v>
      </x:c>
      <x:c r="D181" s="34" t="str">
        <x:v>P1</x:v>
      </x:c>
      <x:c r="E181" s="34" t="str">
        <x:v>PORT-39601EAF8865</x:v>
      </x:c>
      <x:c r="F181" s="34" t="str">
        <x:v>ACCELERATED_15C</x:v>
      </x:c>
      <x:c r="G181" s="34" t="str">
        <x:v>DISCLOSED_PATH</x:v>
      </x:c>
      <x:c r="H181" s="40" t="b">
        <x:v>0</x:v>
      </x:c>
      <x:c r="I181" s="40" t="b">
        <x:v>1</x:v>
      </x:c>
      <x:c r="J181" s="40" t="b">
        <x:v>1</x:v>
      </x:c>
      <x:c r="K181" s="34" t="n">
        <x:v>193.924259</x:v>
      </x:c>
      <x:c r="L181" s="34" t="n">
        <x:v>12.539896</x:v>
      </x:c>
      <x:c r="M181" s="34" t="n">
        <x:v>0.485241</x:v>
      </x:c>
      <x:c r="N181" s="34" t="n">
        <x:v>-1.560618</x:v>
      </x:c>
      <x:c r="O181" s="34" t="n">
        <x:v>0.726106</x:v>
      </x:c>
      <x:c r="P181" s="34" t="n">
        <x:v>2431.79</x:v>
      </x:c>
      <x:c r="Q181" s="34" t="n">
        <x:v>94.100374</x:v>
      </x:c>
      <x:c r="R181" s="34" t="n">
        <x:v>2129.148333</x:v>
      </x:c>
      <x:c r="S181" s="34" t="n">
        <x:v>66.69652</x:v>
      </x:c>
      <x:c r="T181" s="34" t="n">
        <x:v>0</x:v>
      </x:c>
      <x:c r="U181" s="34" t="n">
        <x:v>0</x:v>
      </x:c>
      <x:c r="V181" s="34" t="n">
        <x:v>-883.327333</x:v>
      </x:c>
      <x:c r="W181" s="34" t="n">
        <x:v>94.100051</x:v>
      </x:c>
      <x:c r="X181" s="34" t="n">
        <x:v>-3315.117</x:v>
      </x:c>
      <x:c r="Y181" s="34" t="n">
        <x:v>0</x:v>
      </x:c>
      <x:c r="Z181" s="34" t="n">
        <x:v>-423.755333</x:v>
      </x:c>
      <x:c r="AA181" s="34" t="n">
        <x:v>4.542469</x:v>
      </x:c>
    </x:row>
    <x:row r="182">
      <x:c r="A182" s="34" t="str">
        <x:v>POSCO_KR</x:v>
      </x:c>
      <x:c r="B182" s="34" t="str">
        <x:v>POSCO</x:v>
      </x:c>
      <x:c r="C182" s="34" t="str">
        <x:v>CAND-2F5D03A613EDBE</x:v>
      </x:c>
      <x:c r="D182" s="34" t="str">
        <x:v>P1</x:v>
      </x:c>
      <x:c r="E182" s="34" t="str">
        <x:v>PORT-0E469489028A</x:v>
      </x:c>
      <x:c r="F182" s="34" t="str">
        <x:v>ACCELERATED_15C</x:v>
      </x:c>
      <x:c r="G182" s="34" t="str">
        <x:v>DISCLOSED_PATH</x:v>
      </x:c>
      <x:c r="H182" s="40" t="b">
        <x:v>0</x:v>
      </x:c>
      <x:c r="I182" s="40" t="b">
        <x:v>1</x:v>
      </x:c>
      <x:c r="J182" s="40" t="b">
        <x:v>1</x:v>
      </x:c>
      <x:c r="K182" s="34" t="n">
        <x:v>261.543846</x:v>
      </x:c>
      <x:c r="L182" s="34" t="n">
        <x:v>14.912137</x:v>
      </x:c>
      <x:c r="M182" s="34" t="n">
        <x:v>0.176782</x:v>
      </x:c>
      <x:c r="N182" s="34" t="n">
        <x:v>-0.650781</x:v>
      </x:c>
      <x:c r="O182" s="34" t="n">
        <x:v>0.254517</x:v>
      </x:c>
      <x:c r="P182" s="34" t="n">
        <x:v>3900.177667</x:v>
      </x:c>
      <x:c r="Q182" s="34" t="n">
        <x:v>46.236089</x:v>
      </x:c>
      <x:c r="R182" s="34" t="n">
        <x:v>3729.970333</x:v>
      </x:c>
      <x:c r="S182" s="34" t="n">
        <x:v>60.877439</x:v>
      </x:c>
      <x:c r="T182" s="34" t="n">
        <x:v>0</x:v>
      </x:c>
      <x:c r="U182" s="34" t="n">
        <x:v>0</x:v>
      </x:c>
      <x:c r="V182" s="34" t="n">
        <x:v>-420.302333</x:v>
      </x:c>
      <x:c r="W182" s="34" t="n">
        <x:v>46.236089</x:v>
      </x:c>
      <x:c r="X182" s="34" t="n">
        <x:v>-4320.48</x:v>
      </x:c>
      <x:c r="Y182" s="34" t="n">
        <x:v>0</x:v>
      </x:c>
      <x:c r="Z182" s="34" t="n">
        <x:v>-233.456333</x:v>
      </x:c>
      <x:c r="AA182" s="34" t="n">
        <x:v>5.425893</x:v>
      </x:c>
    </x:row>
    <x:row r="183">
      <x:c r="A183" s="34" t="str">
        <x:v>POSCO_KR</x:v>
      </x:c>
      <x:c r="B183" s="34" t="str">
        <x:v>POSCO</x:v>
      </x:c>
      <x:c r="C183" s="34" t="str">
        <x:v>CAND-2FCEDED2C189C1</x:v>
      </x:c>
      <x:c r="D183" s="34" t="str">
        <x:v>P4</x:v>
      </x:c>
      <x:c r="E183" s="34" t="str">
        <x:v>PORT-08632101CCF5</x:v>
      </x:c>
      <x:c r="F183" s="34" t="str">
        <x:v>ACCELERATED_15C</x:v>
      </x:c>
      <x:c r="G183" s="34" t="str">
        <x:v>DISCLOSED_PATH</x:v>
      </x:c>
      <x:c r="H183" s="40" t="b">
        <x:v>1</x:v>
      </x:c>
      <x:c r="I183" s="40" t="b">
        <x:v>0</x:v>
      </x:c>
      <x:c r="J183" s="40" t="b">
        <x:v>1</x:v>
      </x:c>
      <x:c r="K183" s="34" t="n">
        <x:v>488.606259</x:v>
      </x:c>
      <x:c r="L183" s="34" t="n">
        <x:v>13.302414</x:v>
      </x:c>
      <x:c r="M183" s="34" t="n">
        <x:v>0.103572</x:v>
      </x:c>
      <x:c r="N183" s="34" t="n">
        <x:v>-0.4985</x:v>
      </x:c>
      <x:c r="O183" s="34" t="n">
        <x:v>0.100595</x:v>
      </x:c>
      <x:c r="P183" s="34" t="n">
        <x:v>6499.642333</x:v>
      </x:c>
      <x:c r="Q183" s="34" t="n">
        <x:v>50.606274</x:v>
      </x:c>
      <x:c r="R183" s="34" t="n">
        <x:v>6256.072333</x:v>
      </x:c>
      <x:c r="S183" s="34" t="n">
        <x:v>8.469733</x:v>
      </x:c>
      <x:c r="T183" s="34" t="n">
        <x:v>0</x:v>
      </x:c>
      <x:c r="U183" s="34" t="n">
        <x:v>0</x:v>
      </x:c>
      <x:c r="V183" s="34" t="n">
        <x:v>-1576.516667</x:v>
      </x:c>
      <x:c r="W183" s="34" t="n">
        <x:v>50.606274</x:v>
      </x:c>
      <x:c r="X183" s="34" t="n">
        <x:v>-8076.16</x:v>
      </x:c>
      <x:c r="Y183" s="34" t="n">
        <x:v>0</x:v>
      </x:c>
      <x:c r="Z183" s="34" t="n">
        <x:v>-2241.748333</x:v>
      </x:c>
      <x:c r="AA183" s="34" t="n">
        <x:v>8.86951</x:v>
      </x:c>
    </x:row>
    <x:row r="184">
      <x:c r="A184" s="34" t="str">
        <x:v>POSCO_KR</x:v>
      </x:c>
      <x:c r="B184" s="34" t="str">
        <x:v>POSCO</x:v>
      </x:c>
      <x:c r="C184" s="34" t="str">
        <x:v>CAND-3C2E939294CFA6</x:v>
      </x:c>
      <x:c r="D184" s="34" t="str">
        <x:v>P1</x:v>
      </x:c>
      <x:c r="E184" s="34" t="str">
        <x:v>PORT-0DA980ACBA29</x:v>
      </x:c>
      <x:c r="F184" s="34" t="str">
        <x:v>ACCELERATED_15C</x:v>
      </x:c>
      <x:c r="G184" s="34" t="str">
        <x:v>DISCLOSED_PATH</x:v>
      </x:c>
      <x:c r="H184" s="40" t="b">
        <x:v>0</x:v>
      </x:c>
      <x:c r="I184" s="40" t="b">
        <x:v>1</x:v>
      </x:c>
      <x:c r="J184" s="40" t="b">
        <x:v>1</x:v>
      </x:c>
      <x:c r="K184" s="34" t="n">
        <x:v>365.583855</x:v>
      </x:c>
      <x:c r="L184" s="34" t="n">
        <x:v>11.630368</x:v>
      </x:c>
      <x:c r="M184" s="34" t="n">
        <x:v>0.216192</x:v>
      </x:c>
      <x:c r="N184" s="34" t="n">
        <x:v>-1.399558</x:v>
      </x:c>
      <x:c r="O184" s="34" t="n">
        <x:v>0.392681</x:v>
      </x:c>
      <x:c r="P184" s="34" t="n">
        <x:v>4251.874333</x:v>
      </x:c>
      <x:c r="Q184" s="34" t="n">
        <x:v>79.036039</x:v>
      </x:c>
      <x:c r="R184" s="34" t="n">
        <x:v>3740.219</x:v>
      </x:c>
      <x:c r="S184" s="34" t="n">
        <x:v>166.053612</x:v>
      </x:c>
      <x:c r="T184" s="34" t="n">
        <x:v>0</x:v>
      </x:c>
      <x:c r="U184" s="34" t="n">
        <x:v>0</x:v>
      </x:c>
      <x:c r="V184" s="34" t="n">
        <x:v>-1820.366333</x:v>
      </x:c>
      <x:c r="W184" s="34" t="n">
        <x:v>79.036608</x:v>
      </x:c>
      <x:c r="X184" s="34" t="n">
        <x:v>-6072.242</x:v>
      </x:c>
      <x:c r="Y184" s="34" t="n">
        <x:v>0</x:v>
      </x:c>
      <x:c r="Z184" s="34" t="n">
        <x:v>-521.429333</x:v>
      </x:c>
      <x:c r="AA184" s="34" t="n">
        <x:v>14.087865</x:v>
      </x:c>
    </x:row>
    <x:row r="185">
      <x:c r="A185" s="34" t="str">
        <x:v>POSCO_KR</x:v>
      </x:c>
      <x:c r="B185" s="34" t="str">
        <x:v>POSCO</x:v>
      </x:c>
      <x:c r="C185" s="34" t="str">
        <x:v>CAND-44C957BBFA61A4</x:v>
      </x:c>
      <x:c r="D185" s="34" t="str">
        <x:v>P1</x:v>
      </x:c>
      <x:c r="E185" s="34" t="str">
        <x:v>PORT-96133A6427FE</x:v>
      </x:c>
      <x:c r="F185" s="34" t="str">
        <x:v>ACCELERATED_15C</x:v>
      </x:c>
      <x:c r="G185" s="34" t="str">
        <x:v>DISCLOSED_PATH</x:v>
      </x:c>
      <x:c r="H185" s="40" t="b">
        <x:v>1</x:v>
      </x:c>
      <x:c r="I185" s="40" t="b">
        <x:v>1</x:v>
      </x:c>
      <x:c r="J185" s="40" t="b">
        <x:v>1</x:v>
      </x:c>
      <x:c r="K185" s="34" t="n">
        <x:v>430.20423</x:v>
      </x:c>
      <x:c r="L185" s="34" t="n">
        <x:v>11.021423</x:v>
      </x:c>
      <x:c r="M185" s="34" t="n">
        <x:v>0.134225</x:v>
      </x:c>
      <x:c r="N185" s="34" t="n">
        <x:v>-1.956909</x:v>
      </x:c>
      <x:c r="O185" s="34" t="n">
        <x:v>0.486419</x:v>
      </x:c>
      <x:c r="P185" s="34" t="n">
        <x:v>4741.463333</x:v>
      </x:c>
      <x:c r="Q185" s="34" t="n">
        <x:v>57.743639</x:v>
      </x:c>
      <x:c r="R185" s="34" t="n">
        <x:v>3899.592667</x:v>
      </x:c>
      <x:c r="S185" s="34" t="n">
        <x:v>159.650125</x:v>
      </x:c>
      <x:c r="T185" s="34" t="n">
        <x:v>0</x:v>
      </x:c>
      <x:c r="U185" s="34" t="n">
        <x:v>0</x:v>
      </x:c>
      <x:c r="V185" s="34" t="n">
        <x:v>-2444.062</x:v>
      </x:c>
      <x:c r="W185" s="34" t="n">
        <x:v>57.743893</x:v>
      </x:c>
      <x:c r="X185" s="34" t="n">
        <x:v>-7185.524</x:v>
      </x:c>
      <x:c r="Y185" s="34" t="n">
        <x:v>0</x:v>
      </x:c>
      <x:c r="Z185" s="34" t="n">
        <x:v>-847.231667</x:v>
      </x:c>
      <x:c r="AA185" s="34" t="n">
        <x:v>18.426016</x:v>
      </x:c>
    </x:row>
    <x:row r="186">
      <x:c r="A186" s="34" t="str">
        <x:v>POSCO_KR</x:v>
      </x:c>
      <x:c r="B186" s="34" t="str">
        <x:v>POSCO</x:v>
      </x:c>
      <x:c r="C186" s="34" t="str">
        <x:v>CAND-455C0CE17360E6</x:v>
      </x:c>
      <x:c r="D186" s="34" t="str">
        <x:v>P1</x:v>
      </x:c>
      <x:c r="E186" s="34" t="str">
        <x:v>PORT-DE64C6FAC717</x:v>
      </x:c>
      <x:c r="F186" s="34" t="str">
        <x:v>ACCELERATED_15C</x:v>
      </x:c>
      <x:c r="G186" s="34" t="str">
        <x:v>DISCLOSED_PATH</x:v>
      </x:c>
      <x:c r="H186" s="40" t="b">
        <x:v>0</x:v>
      </x:c>
      <x:c r="I186" s="40" t="b">
        <x:v>1</x:v>
      </x:c>
      <x:c r="J186" s="40" t="b">
        <x:v>1</x:v>
      </x:c>
      <x:c r="K186" s="34" t="n">
        <x:v>184.421263</x:v>
      </x:c>
      <x:c r="L186" s="34" t="n">
        <x:v>15.435649</x:v>
      </x:c>
      <x:c r="M186" s="34" t="n">
        <x:v>0.343455</x:v>
      </x:c>
      <x:c r="N186" s="34" t="n">
        <x:v>-0.127076</x:v>
      </x:c>
      <x:c r="O186" s="34" t="n">
        <x:v>0.698659</x:v>
      </x:c>
      <x:c r="P186" s="34" t="n">
        <x:v>2846.662</x:v>
      </x:c>
      <x:c r="Q186" s="34" t="n">
        <x:v>63.339856</x:v>
      </x:c>
      <x:c r="R186" s="34" t="n">
        <x:v>2823.226667</x:v>
      </x:c>
      <x:c r="S186" s="34" t="n">
        <x:v>85.041604</x:v>
      </x:c>
      <x:c r="T186" s="34" t="n">
        <x:v>0</x:v>
      </x:c>
      <x:c r="U186" s="34" t="n">
        <x:v>0</x:v>
      </x:c>
      <x:c r="V186" s="34" t="n">
        <x:v>-304.737333</x:v>
      </x:c>
      <x:c r="W186" s="34" t="n">
        <x:v>63.34014</x:v>
      </x:c>
      <x:c r="X186" s="34" t="n">
        <x:v>-3151.399</x:v>
      </x:c>
      <x:c r="Y186" s="34" t="n">
        <x:v>0</x:v>
      </x:c>
      <x:c r="Z186" s="34" t="n">
        <x:v>-213.884667</x:v>
      </x:c>
      <x:c r="AA186" s="34" t="n">
        <x:v>3.282087</x:v>
      </x:c>
    </x:row>
    <x:row r="187">
      <x:c r="A187" s="34" t="str">
        <x:v>POSCO_KR</x:v>
      </x:c>
      <x:c r="B187" s="34" t="str">
        <x:v>POSCO</x:v>
      </x:c>
      <x:c r="C187" s="34" t="str">
        <x:v>CAND-466C04961ED513</x:v>
      </x:c>
      <x:c r="D187" s="34" t="str">
        <x:v>P2</x:v>
      </x:c>
      <x:c r="E187" s="34" t="str">
        <x:v>PORT-7ED23B40E316</x:v>
      </x:c>
      <x:c r="F187" s="34" t="str">
        <x:v>ACCELERATED_15C</x:v>
      </x:c>
      <x:c r="G187" s="34" t="str">
        <x:v>DISCLOSED_PATH</x:v>
      </x:c>
      <x:c r="H187" s="40" t="b">
        <x:v>1</x:v>
      </x:c>
      <x:c r="I187" s="40" t="b">
        <x:v>0</x:v>
      </x:c>
      <x:c r="J187" s="40" t="b">
        <x:v>1</x:v>
      </x:c>
      <x:c r="K187" s="34" t="n">
        <x:v>414.904229</x:v>
      </x:c>
      <x:c r="L187" s="34" t="n">
        <x:v>13.333484</x:v>
      </x:c>
      <x:c r="M187" s="34" t="n">
        <x:v>0.121227</x:v>
      </x:c>
      <x:c r="N187" s="34" t="n">
        <x:v>-0.694604</x:v>
      </x:c>
      <x:c r="O187" s="34" t="n">
        <x:v>0.051056</x:v>
      </x:c>
      <x:c r="P187" s="34" t="n">
        <x:v>5532.119333</x:v>
      </x:c>
      <x:c r="Q187" s="34" t="n">
        <x:v>50.29815</x:v>
      </x:c>
      <x:c r="R187" s="34" t="n">
        <x:v>5243.925</x:v>
      </x:c>
      <x:c r="S187" s="34" t="n">
        <x:v>71.47713</x:v>
      </x:c>
      <x:c r="T187" s="34" t="n">
        <x:v>0</x:v>
      </x:c>
      <x:c r="U187" s="34" t="n">
        <x:v>0</x:v>
      </x:c>
      <x:c r="V187" s="34" t="n">
        <x:v>-1395.793</x:v>
      </x:c>
      <x:c r="W187" s="34" t="n">
        <x:v>50.29776</x:v>
      </x:c>
      <x:c r="X187" s="34" t="n">
        <x:v>-6927.912</x:v>
      </x:c>
      <x:c r="Y187" s="34" t="n">
        <x:v>0</x:v>
      </x:c>
      <x:c r="Z187" s="34" t="n">
        <x:v>-743.800667</x:v>
      </x:c>
      <x:c r="AA187" s="34" t="n">
        <x:v>10.586978</x:v>
      </x:c>
    </x:row>
    <x:row r="188">
      <x:c r="A188" s="34" t="str">
        <x:v>POSCO_KR</x:v>
      </x:c>
      <x:c r="B188" s="34" t="str">
        <x:v>POSCO</x:v>
      </x:c>
      <x:c r="C188" s="34" t="str">
        <x:v>CAND-4EF614D30D6D91</x:v>
      </x:c>
      <x:c r="D188" s="34" t="str">
        <x:v>P2</x:v>
      </x:c>
      <x:c r="E188" s="34" t="str">
        <x:v>PORT-96133A6427FE</x:v>
      </x:c>
      <x:c r="F188" s="34" t="str">
        <x:v>ACCELERATED_15C</x:v>
      </x:c>
      <x:c r="G188" s="34" t="str">
        <x:v>DISCLOSED_PATH</x:v>
      </x:c>
      <x:c r="H188" s="40" t="b">
        <x:v>1</x:v>
      </x:c>
      <x:c r="I188" s="40" t="b">
        <x:v>1</x:v>
      </x:c>
      <x:c r="J188" s="40" t="b">
        <x:v>1</x:v>
      </x:c>
      <x:c r="K188" s="34" t="n">
        <x:v>430.20423</x:v>
      </x:c>
      <x:c r="L188" s="34" t="n">
        <x:v>11.635091</x:v>
      </x:c>
      <x:c r="M188" s="34" t="n">
        <x:v>0.118905</x:v>
      </x:c>
      <x:c r="N188" s="34" t="n">
        <x:v>-1.357039</x:v>
      </x:c>
      <x:c r="O188" s="34" t="n">
        <x:v>0.351871</x:v>
      </x:c>
      <x:c r="P188" s="34" t="n">
        <x:v>5005.465333</x:v>
      </x:c>
      <x:c r="Q188" s="34" t="n">
        <x:v>51.153687</x:v>
      </x:c>
      <x:c r="R188" s="34" t="n">
        <x:v>4421.661333</x:v>
      </x:c>
      <x:c r="S188" s="34" t="n">
        <x:v>115.923933</x:v>
      </x:c>
      <x:c r="T188" s="34" t="n">
        <x:v>0</x:v>
      </x:c>
      <x:c r="U188" s="34" t="n">
        <x:v>0</x:v>
      </x:c>
      <x:c r="V188" s="34" t="n">
        <x:v>-2180.059</x:v>
      </x:c>
      <x:c r="W188" s="34" t="n">
        <x:v>51.15311</x:v>
      </x:c>
      <x:c r="X188" s="34" t="n">
        <x:v>-7185.524</x:v>
      </x:c>
      <x:c r="Y188" s="34" t="n">
        <x:v>0</x:v>
      </x:c>
      <x:c r="Z188" s="34" t="n">
        <x:v>-1134.263333</x:v>
      </x:c>
      <x:c r="AA188" s="34" t="n">
        <x:v>22.574208</x:v>
      </x:c>
    </x:row>
    <x:row r="189">
      <x:c r="A189" s="34" t="str">
        <x:v>POSCO_KR</x:v>
      </x:c>
      <x:c r="B189" s="34" t="str">
        <x:v>POSCO</x:v>
      </x:c>
      <x:c r="C189" s="34" t="str">
        <x:v>CAND-6339E6B83A8408</x:v>
      </x:c>
      <x:c r="D189" s="34" t="str">
        <x:v>P3</x:v>
      </x:c>
      <x:c r="E189" s="34" t="str">
        <x:v>PORT-8826D0B469EE</x:v>
      </x:c>
      <x:c r="F189" s="34" t="str">
        <x:v>ACCELERATED_15C</x:v>
      </x:c>
      <x:c r="G189" s="34" t="str">
        <x:v>DISCLOSED_PATH</x:v>
      </x:c>
      <x:c r="H189" s="40" t="b">
        <x:v>1</x:v>
      </x:c>
      <x:c r="I189" s="40" t="b">
        <x:v>1</x:v>
      </x:c>
      <x:c r="J189" s="40" t="b">
        <x:v>1</x:v>
      </x:c>
      <x:c r="K189" s="34" t="n">
        <x:v>429.154227</x:v>
      </x:c>
      <x:c r="L189" s="34" t="n">
        <x:v>12.807779</x:v>
      </x:c>
      <x:c r="M189" s="34" t="n">
        <x:v>0.218989</x:v>
      </x:c>
      <x:c r="N189" s="34" t="n">
        <x:v>-0.804797</x:v>
      </x:c>
      <x:c r="O189" s="34" t="n">
        <x:v>0.14072</x:v>
      </x:c>
      <x:c r="P189" s="34" t="n">
        <x:v>5496.512667</x:v>
      </x:c>
      <x:c r="Q189" s="34" t="n">
        <x:v>93.980306</x:v>
      </x:c>
      <x:c r="R189" s="34" t="n">
        <x:v>5151.13</x:v>
      </x:c>
      <x:c r="S189" s="34" t="n">
        <x:v>54.306523</x:v>
      </x:c>
      <x:c r="T189" s="34" t="n">
        <x:v>0</x:v>
      </x:c>
      <x:c r="U189" s="34" t="n">
        <x:v>0</x:v>
      </x:c>
      <x:c r="V189" s="34" t="n">
        <x:v>-1676.657333</x:v>
      </x:c>
      <x:c r="W189" s="34" t="n">
        <x:v>93.980306</x:v>
      </x:c>
      <x:c r="X189" s="34" t="n">
        <x:v>-7173.169</x:v>
      </x:c>
      <x:c r="Y189" s="34" t="n">
        <x:v>0</x:v>
      </x:c>
      <x:c r="Z189" s="34" t="n">
        <x:v>-1551.372</x:v>
      </x:c>
      <x:c r="AA189" s="34" t="n">
        <x:v>23.653447</x:v>
      </x:c>
    </x:row>
    <x:row r="190">
      <x:c r="A190" s="34" t="str">
        <x:v>POSCO_KR</x:v>
      </x:c>
      <x:c r="B190" s="34" t="str">
        <x:v>POSCO</x:v>
      </x:c>
      <x:c r="C190" s="34" t="str">
        <x:v>CAND-63781C106D5099</x:v>
      </x:c>
      <x:c r="D190" s="34" t="str">
        <x:v>P1</x:v>
      </x:c>
      <x:c r="E190" s="34" t="str">
        <x:v>PORT-41705C04BF44</x:v>
      </x:c>
      <x:c r="F190" s="34" t="str">
        <x:v>ACCELERATED_15C</x:v>
      </x:c>
      <x:c r="G190" s="34" t="str">
        <x:v>DISCLOSED_PATH</x:v>
      </x:c>
      <x:c r="H190" s="40" t="b">
        <x:v>0</x:v>
      </x:c>
      <x:c r="I190" s="40" t="b">
        <x:v>1</x:v>
      </x:c>
      <x:c r="J190" s="40" t="b">
        <x:v>1</x:v>
      </x:c>
      <x:c r="K190" s="34" t="n">
        <x:v>234.011233</x:v>
      </x:c>
      <x:c r="L190" s="34" t="n">
        <x:v>14.889177</x:v>
      </x:c>
      <x:c r="M190" s="34" t="n">
        <x:v>0.032591</x:v>
      </x:c>
      <x:c r="N190" s="34" t="n">
        <x:v>-0.765181</x:v>
      </x:c>
      <x:c r="O190" s="34" t="n">
        <x:v>0.218539</x:v>
      </x:c>
      <x:c r="P190" s="34" t="n">
        <x:v>3484.234667</x:v>
      </x:c>
      <x:c r="Q190" s="34" t="n">
        <x:v>7.627262</x:v>
      </x:c>
      <x:c r="R190" s="34" t="n">
        <x:v>3305.174</x:v>
      </x:c>
      <x:c r="S190" s="34" t="n">
        <x:v>58.610317</x:v>
      </x:c>
      <x:c r="T190" s="34" t="n">
        <x:v>0</x:v>
      </x:c>
      <x:c r="U190" s="34" t="n">
        <x:v>0</x:v>
      </x:c>
      <x:c r="V190" s="34" t="n">
        <x:v>-363.321333</x:v>
      </x:c>
      <x:c r="W190" s="34" t="n">
        <x:v>7.626406</x:v>
      </x:c>
      <x:c r="X190" s="34" t="n">
        <x:v>-3847.556</x:v>
      </x:c>
      <x:c r="Y190" s="34" t="n">
        <x:v>0</x:v>
      </x:c>
      <x:c r="Z190" s="34" t="n">
        <x:v>-225.776667</x:v>
      </x:c>
      <x:c r="AA190" s="34" t="n">
        <x:v>3.079336</x:v>
      </x:c>
    </x:row>
    <x:row r="191">
      <x:c r="A191" s="34" t="str">
        <x:v>POSCO_KR</x:v>
      </x:c>
      <x:c r="B191" s="34" t="str">
        <x:v>POSCO</x:v>
      </x:c>
      <x:c r="C191" s="34" t="str">
        <x:v>CAND-688976C946D330</x:v>
      </x:c>
      <x:c r="D191" s="34" t="str">
        <x:v>P1</x:v>
      </x:c>
      <x:c r="E191" s="34" t="str">
        <x:v>PORT-B0374F687394</x:v>
      </x:c>
      <x:c r="F191" s="34" t="str">
        <x:v>ACCELERATED_15C</x:v>
      </x:c>
      <x:c r="G191" s="34" t="str">
        <x:v>DISCLOSED_PATH</x:v>
      </x:c>
      <x:c r="H191" s="40" t="b">
        <x:v>0</x:v>
      </x:c>
      <x:c r="I191" s="40" t="b">
        <x:v>1</x:v>
      </x:c>
      <x:c r="J191" s="40" t="b">
        <x:v>1</x:v>
      </x:c>
      <x:c r="K191" s="34" t="n">
        <x:v>338.051243</x:v>
      </x:c>
      <x:c r="L191" s="34" t="n">
        <x:v>11.280198</x:v>
      </x:c>
      <x:c r="M191" s="34" t="n">
        <x:v>0.430573</x:v>
      </x:c>
      <x:c r="N191" s="34" t="n">
        <x:v>-1.348791</x:v>
      </x:c>
      <x:c r="O191" s="34" t="n">
        <x:v>1.19865</x:v>
      </x:c>
      <x:c r="P191" s="34" t="n">
        <x:v>3813.285</x:v>
      </x:c>
      <x:c r="Q191" s="34" t="n">
        <x:v>145.555625</x:v>
      </x:c>
      <x:c r="R191" s="34" t="n">
        <x:v>3357.324667</x:v>
      </x:c>
      <x:c r="S191" s="34" t="n">
        <x:v>266.652488</x:v>
      </x:c>
      <x:c r="T191" s="34" t="n">
        <x:v>0</x:v>
      </x:c>
      <x:c r="U191" s="34" t="n">
        <x:v>0</x:v>
      </x:c>
      <x:c r="V191" s="34" t="n">
        <x:v>-1786.031667</x:v>
      </x:c>
      <x:c r="W191" s="34" t="n">
        <x:v>145.556026</x:v>
      </x:c>
      <x:c r="X191" s="34" t="n">
        <x:v>-5599.317</x:v>
      </x:c>
      <x:c r="Y191" s="34" t="n">
        <x:v>0</x:v>
      </x:c>
      <x:c r="Z191" s="34" t="n">
        <x:v>-516.325667</x:v>
      </x:c>
      <x:c r="AA191" s="34" t="n">
        <x:v>10.075743</x:v>
      </x:c>
    </x:row>
    <x:row r="192">
      <x:c r="A192" s="34" t="str">
        <x:v>POSCO_KR</x:v>
      </x:c>
      <x:c r="B192" s="34" t="str">
        <x:v>POSCO</x:v>
      </x:c>
      <x:c r="C192" s="34" t="str">
        <x:v>CAND-717F18DFAF78F1</x:v>
      </x:c>
      <x:c r="D192" s="34" t="str">
        <x:v>P4</x:v>
      </x:c>
      <x:c r="E192" s="34" t="str">
        <x:v>PORT-C68307188813</x:v>
      </x:c>
      <x:c r="F192" s="34" t="str">
        <x:v>ACCELERATED_15C</x:v>
      </x:c>
      <x:c r="G192" s="34" t="str">
        <x:v>DISCLOSED_PATH</x:v>
      </x:c>
      <x:c r="H192" s="40" t="b">
        <x:v>1</x:v>
      </x:c>
      <x:c r="I192" s="40" t="b">
        <x:v>0</x:v>
      </x:c>
      <x:c r="J192" s="40" t="b">
        <x:v>1</x:v>
      </x:c>
      <x:c r="K192" s="34" t="n">
        <x:v>501.427506</x:v>
      </x:c>
      <x:c r="L192" s="34" t="n">
        <x:v>13.742282</x:v>
      </x:c>
      <x:c r="M192" s="34" t="n">
        <x:v>0.20851</x:v>
      </x:c>
      <x:c r="N192" s="34" t="n">
        <x:v>-0.411266</x:v>
      </x:c>
      <x:c r="O192" s="34" t="n">
        <x:v>0.327124</x:v>
      </x:c>
      <x:c r="P192" s="34" t="n">
        <x:v>6890.759</x:v>
      </x:c>
      <x:c r="Q192" s="34" t="n">
        <x:v>104.55232</x:v>
      </x:c>
      <x:c r="R192" s="34" t="n">
        <x:v>6684.538667</x:v>
      </x:c>
      <x:c r="S192" s="34" t="n">
        <x:v>203.347048</x:v>
      </x:c>
      <x:c r="T192" s="34" t="n">
        <x:v>0</x:v>
      </x:c>
      <x:c r="U192" s="34" t="n">
        <x:v>0</x:v>
      </x:c>
      <x:c r="V192" s="34" t="n">
        <x:v>-1366.056333</x:v>
      </x:c>
      <x:c r="W192" s="34" t="n">
        <x:v>104.553415</x:v>
      </x:c>
      <x:c r="X192" s="34" t="n">
        <x:v>-8256.814</x:v>
      </x:c>
      <x:c r="Y192" s="34" t="n">
        <x:v>0</x:v>
      </x:c>
      <x:c r="Z192" s="34" t="n">
        <x:v>-3192.242667</x:v>
      </x:c>
      <x:c r="AA192" s="34" t="n">
        <x:v>12.359826</x:v>
      </x:c>
    </x:row>
    <x:row r="193">
      <x:c r="A193" s="34" t="str">
        <x:v>POSCO_KR</x:v>
      </x:c>
      <x:c r="B193" s="34" t="str">
        <x:v>POSCO</x:v>
      </x:c>
      <x:c r="C193" s="34" t="str">
        <x:v>CAND-720A05CD8AE3E2</x:v>
      </x:c>
      <x:c r="D193" s="34" t="str">
        <x:v>P1</x:v>
      </x:c>
      <x:c r="E193" s="34" t="str">
        <x:v>PORT-802EEF341C7A</x:v>
      </x:c>
      <x:c r="F193" s="34" t="str">
        <x:v>ACCELERATED_15C</x:v>
      </x:c>
      <x:c r="G193" s="34" t="str">
        <x:v>DISCLOSED_PATH</x:v>
      </x:c>
      <x:c r="H193" s="40" t="b">
        <x:v>0</x:v>
      </x:c>
      <x:c r="I193" s="40" t="b">
        <x:v>1</x:v>
      </x:c>
      <x:c r="J193" s="40" t="b">
        <x:v>1</x:v>
      </x:c>
      <x:c r="K193" s="34" t="n">
        <x:v>326.164221</x:v>
      </x:c>
      <x:c r="L193" s="34" t="n">
        <x:v>13.107139</x:v>
      </x:c>
      <x:c r="M193" s="34" t="n">
        <x:v>0.241255</x:v>
      </x:c>
      <x:c r="N193" s="34" t="n">
        <x:v>-1.593408</x:v>
      </x:c>
      <x:c r="O193" s="34" t="n">
        <x:v>0.622446</x:v>
      </x:c>
      <x:c r="P193" s="34" t="n">
        <x:v>4275.080333</x:v>
      </x:c>
      <x:c r="Q193" s="34" t="n">
        <x:v>78.688713</x:v>
      </x:c>
      <x:c r="R193" s="34" t="n">
        <x:v>3755.367333</x:v>
      </x:c>
      <x:c r="S193" s="34" t="n">
        <x:v>136.881817</x:v>
      </x:c>
      <x:c r="T193" s="34" t="n">
        <x:v>0</x:v>
      </x:c>
      <x:c r="U193" s="34" t="n">
        <x:v>0</x:v>
      </x:c>
      <x:c r="V193" s="34" t="n">
        <x:v>-1158.683333</x:v>
      </x:c>
      <x:c r="W193" s="34" t="n">
        <x:v>78.68867</x:v>
      </x:c>
      <x:c r="X193" s="34" t="n">
        <x:v>-5433.763</x:v>
      </x:c>
      <x:c r="Y193" s="34" t="n">
        <x:v>0</x:v>
      </x:c>
      <x:c r="Z193" s="34" t="n">
        <x:v>-546.007</x:v>
      </x:c>
      <x:c r="AA193" s="34" t="n">
        <x:v>5.822377</x:v>
      </x:c>
    </x:row>
    <x:row r="194">
      <x:c r="A194" s="34" t="str">
        <x:v>POSCO_KR</x:v>
      </x:c>
      <x:c r="B194" s="34" t="str">
        <x:v>POSCO</x:v>
      </x:c>
      <x:c r="C194" s="34" t="str">
        <x:v>CAND-78797020DAE1ED</x:v>
      </x:c>
      <x:c r="D194" s="34" t="str">
        <x:v>P1</x:v>
      </x:c>
      <x:c r="E194" s="34" t="str">
        <x:v>PORT-13C60822C05B</x:v>
      </x:c>
      <x:c r="F194" s="34" t="str">
        <x:v>ACCELERATED_15C</x:v>
      </x:c>
      <x:c r="G194" s="34" t="str">
        <x:v>DISCLOSED_PATH</x:v>
      </x:c>
      <x:c r="H194" s="40" t="b">
        <x:v>1</x:v>
      </x:c>
      <x:c r="I194" s="40" t="b">
        <x:v>0</x:v>
      </x:c>
      <x:c r="J194" s="40" t="b">
        <x:v>1</x:v>
      </x:c>
      <x:c r="K194" s="34" t="n">
        <x:v>437.704222</x:v>
      </x:c>
      <x:c r="L194" s="34" t="n">
        <x:v>9.68494</x:v>
      </x:c>
      <x:c r="M194" s="34" t="n">
        <x:v>0.234983</x:v>
      </x:c>
      <x:c r="N194" s="34" t="n">
        <x:v>-2.362344</x:v>
      </x:c>
      <x:c r="O194" s="34" t="n">
        <x:v>0.684924</x:v>
      </x:c>
      <x:c r="P194" s="34" t="n">
        <x:v>4239.139333</x:v>
      </x:c>
      <x:c r="Q194" s="34" t="n">
        <x:v>102.853084</x:v>
      </x:c>
      <x:c r="R194" s="34" t="n">
        <x:v>3205.131</x:v>
      </x:c>
      <x:c r="S194" s="34" t="n">
        <x:v>289.804376</x:v>
      </x:c>
      <x:c r="T194" s="34" t="n">
        <x:v>0</x:v>
      </x:c>
      <x:c r="U194" s="34" t="n">
        <x:v>0</x:v>
      </x:c>
      <x:c r="V194" s="34" t="n">
        <x:v>-3054.056667</x:v>
      </x:c>
      <x:c r="W194" s="34" t="n">
        <x:v>102.853084</x:v>
      </x:c>
      <x:c r="X194" s="34" t="n">
        <x:v>-7293.196</x:v>
      </x:c>
      <x:c r="Y194" s="34" t="n">
        <x:v>0</x:v>
      </x:c>
      <x:c r="Z194" s="34" t="n">
        <x:v>-902.217</x:v>
      </x:c>
      <x:c r="AA194" s="34" t="n">
        <x:v>18.39214</x:v>
      </x:c>
    </x:row>
    <x:row r="195">
      <x:c r="A195" s="34" t="str">
        <x:v>POSCO_KR</x:v>
      </x:c>
      <x:c r="B195" s="34" t="str">
        <x:v>POSCO</x:v>
      </x:c>
      <x:c r="C195" s="34" t="str">
        <x:v>CAND-7BC738434560A6</x:v>
      </x:c>
      <x:c r="D195" s="34" t="str">
        <x:v>P1</x:v>
      </x:c>
      <x:c r="E195" s="34" t="str">
        <x:v>PORT-7ED23B40E316</x:v>
      </x:c>
      <x:c r="F195" s="34" t="str">
        <x:v>ACCELERATED_15C</x:v>
      </x:c>
      <x:c r="G195" s="34" t="str">
        <x:v>DISCLOSED_PATH</x:v>
      </x:c>
      <x:c r="H195" s="40" t="b">
        <x:v>1</x:v>
      </x:c>
      <x:c r="I195" s="40" t="b">
        <x:v>0</x:v>
      </x:c>
      <x:c r="J195" s="40" t="b">
        <x:v>1</x:v>
      </x:c>
      <x:c r="K195" s="34" t="n">
        <x:v>414.904229</x:v>
      </x:c>
      <x:c r="L195" s="34" t="n">
        <x:v>13.159593</x:v>
      </x:c>
      <x:c r="M195" s="34" t="n">
        <x:v>0.272697</x:v>
      </x:c>
      <x:c r="N195" s="34" t="n">
        <x:v>-1.090917</x:v>
      </x:c>
      <x:c r="O195" s="34" t="n">
        <x:v>0.170597</x:v>
      </x:c>
      <x:c r="P195" s="34" t="n">
        <x:v>5459.970333</x:v>
      </x:c>
      <x:c r="Q195" s="34" t="n">
        <x:v>113.1433</x:v>
      </x:c>
      <x:c r="R195" s="34" t="n">
        <x:v>5007.344667</x:v>
      </x:c>
      <x:c r="S195" s="34" t="n">
        <x:v>58.391038</x:v>
      </x:c>
      <x:c r="T195" s="34" t="n">
        <x:v>0</x:v>
      </x:c>
      <x:c r="U195" s="34" t="n">
        <x:v>0</x:v>
      </x:c>
      <x:c r="V195" s="34" t="n">
        <x:v>-1467.941667</x:v>
      </x:c>
      <x:c r="W195" s="34" t="n">
        <x:v>113.1433</x:v>
      </x:c>
      <x:c r="X195" s="34" t="n">
        <x:v>-6927.912</x:v>
      </x:c>
      <x:c r="Y195" s="34" t="n">
        <x:v>0</x:v>
      </x:c>
      <x:c r="Z195" s="34" t="n">
        <x:v>-641.284</x:v>
      </x:c>
      <x:c r="AA195" s="34" t="n">
        <x:v>7.602228</x:v>
      </x:c>
    </x:row>
    <x:row r="196">
      <x:c r="A196" s="34" t="str">
        <x:v>POSCO_KR</x:v>
      </x:c>
      <x:c r="B196" s="34" t="str">
        <x:v>POSCO</x:v>
      </x:c>
      <x:c r="C196" s="34" t="str">
        <x:v>CAND-7D117A922A194C</x:v>
      </x:c>
      <x:c r="D196" s="34" t="str">
        <x:v>P5</x:v>
      </x:c>
      <x:c r="E196" s="34" t="str">
        <x:v>PORT-66E75B54664A</x:v>
      </x:c>
      <x:c r="F196" s="34" t="str">
        <x:v>ACCELERATED_15C</x:v>
      </x:c>
      <x:c r="G196" s="34" t="str">
        <x:v>DISCLOSED_PATH</x:v>
      </x:c>
      <x:c r="H196" s="40" t="b">
        <x:v>1</x:v>
      </x:c>
      <x:c r="I196" s="40" t="b">
        <x:v>1</x:v>
      </x:c>
      <x:c r="J196" s="40" t="b">
        <x:v>1</x:v>
      </x:c>
      <x:c r="K196" s="34" t="n">
        <x:v>505.60626</x:v>
      </x:c>
      <x:c r="L196" s="34" t="n">
        <x:v>15.06243</x:v>
      </x:c>
      <x:c r="M196" s="34" t="n">
        <x:v>0.046907</x:v>
      </x:c>
      <x:c r="N196" s="34" t="n">
        <x:v>-0.098603</x:v>
      </x:c>
      <x:c r="O196" s="34" t="n">
        <x:v>0.102666</x:v>
      </x:c>
      <x:c r="P196" s="34" t="n">
        <x:v>7615.658667</x:v>
      </x:c>
      <x:c r="Q196" s="34" t="n">
        <x:v>23.716527</x:v>
      </x:c>
      <x:c r="R196" s="34" t="n">
        <x:v>7565.804333</x:v>
      </x:c>
      <x:c r="S196" s="34" t="n">
        <x:v>74.410815</x:v>
      </x:c>
      <x:c r="T196" s="34" t="n">
        <x:v>0</x:v>
      </x:c>
      <x:c r="U196" s="34" t="n">
        <x:v>0</x:v>
      </x:c>
      <x:c r="V196" s="34" t="n">
        <x:v>-743.079333</x:v>
      </x:c>
      <x:c r="W196" s="34" t="n">
        <x:v>23.716339</x:v>
      </x:c>
      <x:c r="X196" s="34" t="n">
        <x:v>-8358.739</x:v>
      </x:c>
      <x:c r="Y196" s="34" t="n">
        <x:v>0</x:v>
      </x:c>
      <x:c r="Z196" s="34" t="n">
        <x:v>-4444.742333</x:v>
      </x:c>
      <x:c r="AA196" s="34" t="n">
        <x:v>24.033519</x:v>
      </x:c>
    </x:row>
    <x:row r="197">
      <x:c r="A197" s="34" t="str">
        <x:v>POSCO_KR</x:v>
      </x:c>
      <x:c r="B197" s="34" t="str">
        <x:v>POSCO</x:v>
      </x:c>
      <x:c r="C197" s="34" t="str">
        <x:v>CAND-7D54A929A881B5</x:v>
      </x:c>
      <x:c r="D197" s="34" t="str">
        <x:v>P2</x:v>
      </x:c>
      <x:c r="E197" s="34" t="str">
        <x:v>PORT-34425DFA5633</x:v>
      </x:c>
      <x:c r="F197" s="34" t="str">
        <x:v>ACCELERATED_15C</x:v>
      </x:c>
      <x:c r="G197" s="34" t="str">
        <x:v>DISCLOSED_PATH</x:v>
      </x:c>
      <x:c r="H197" s="40" t="b">
        <x:v>0</x:v>
      </x:c>
      <x:c r="I197" s="40" t="b">
        <x:v>1</x:v>
      </x:c>
      <x:c r="J197" s="40" t="b">
        <x:v>1</x:v>
      </x:c>
      <x:c r="K197" s="34" t="n">
        <x:v>330.911223</x:v>
      </x:c>
      <x:c r="L197" s="34" t="n">
        <x:v>12.601103</x:v>
      </x:c>
      <x:c r="M197" s="34" t="n">
        <x:v>0.399154</x:v>
      </x:c>
      <x:c r="N197" s="34" t="n">
        <x:v>-1.307536</x:v>
      </x:c>
      <x:c r="O197" s="34" t="n">
        <x:v>0.13471</x:v>
      </x:c>
      <x:c r="P197" s="34" t="n">
        <x:v>4169.846333</x:v>
      </x:c>
      <x:c r="Q197" s="34" t="n">
        <x:v>132.084247</x:v>
      </x:c>
      <x:c r="R197" s="34" t="n">
        <x:v>3737.168333</x:v>
      </x:c>
      <x:c r="S197" s="34" t="n">
        <x:v>111.572941</x:v>
      </x:c>
      <x:c r="T197" s="34" t="n">
        <x:v>0</x:v>
      </x:c>
      <x:c r="U197" s="34" t="n">
        <x:v>0</x:v>
      </x:c>
      <x:c r="V197" s="34" t="n">
        <x:v>-1345.455667</x:v>
      </x:c>
      <x:c r="W197" s="34" t="n">
        <x:v>132.084247</x:v>
      </x:c>
      <x:c r="X197" s="34" t="n">
        <x:v>-5515.302</x:v>
      </x:c>
      <x:c r="Y197" s="34" t="n">
        <x:v>0</x:v>
      </x:c>
      <x:c r="Z197" s="34" t="n">
        <x:v>-737.824</x:v>
      </x:c>
      <x:c r="AA197" s="34" t="n">
        <x:v>13.605543</x:v>
      </x:c>
    </x:row>
    <x:row r="198">
      <x:c r="A198" s="34" t="str">
        <x:v>POSCO_KR</x:v>
      </x:c>
      <x:c r="B198" s="34" t="str">
        <x:v>POSCO</x:v>
      </x:c>
      <x:c r="C198" s="34" t="str">
        <x:v>CAND-82FF2AA13BA34C</x:v>
      </x:c>
      <x:c r="D198" s="34" t="str">
        <x:v>P2</x:v>
      </x:c>
      <x:c r="E198" s="34" t="str">
        <x:v>PORT-8826D0B469EE</x:v>
      </x:c>
      <x:c r="F198" s="34" t="str">
        <x:v>ACCELERATED_15C</x:v>
      </x:c>
      <x:c r="G198" s="34" t="str">
        <x:v>DISCLOSED_PATH</x:v>
      </x:c>
      <x:c r="H198" s="40" t="b">
        <x:v>1</x:v>
      </x:c>
      <x:c r="I198" s="40" t="b">
        <x:v>1</x:v>
      </x:c>
      <x:c r="J198" s="40" t="b">
        <x:v>1</x:v>
      </x:c>
      <x:c r="K198" s="34" t="n">
        <x:v>429.154227</x:v>
      </x:c>
      <x:c r="L198" s="34" t="n">
        <x:v>11.947565</x:v>
      </x:c>
      <x:c r="M198" s="34" t="n">
        <x:v>0.266823</x:v>
      </x:c>
      <x:c r="N198" s="34" t="n">
        <x:v>-1.224121</x:v>
      </x:c>
      <x:c r="O198" s="34" t="n">
        <x:v>0.042716</x:v>
      </x:c>
      <x:c r="P198" s="34" t="n">
        <x:v>5127.348333</x:v>
      </x:c>
      <x:c r="Q198" s="34" t="n">
        <x:v>114.508272</x:v>
      </x:c>
      <x:c r="R198" s="34" t="n">
        <x:v>4602.010667</x:v>
      </x:c>
      <x:c r="S198" s="34" t="n">
        <x:v>101.77624</x:v>
      </x:c>
      <x:c r="T198" s="34" t="n">
        <x:v>0</x:v>
      </x:c>
      <x:c r="U198" s="34" t="n">
        <x:v>0</x:v>
      </x:c>
      <x:c r="V198" s="34" t="n">
        <x:v>-2045.821333</x:v>
      </x:c>
      <x:c r="W198" s="34" t="n">
        <x:v>114.508745</x:v>
      </x:c>
      <x:c r="X198" s="34" t="n">
        <x:v>-7173.169</x:v>
      </x:c>
      <x:c r="Y198" s="34" t="n">
        <x:v>0</x:v>
      </x:c>
      <x:c r="Z198" s="34" t="n">
        <x:v>-1164.986667</x:v>
      </x:c>
      <x:c r="AA198" s="34" t="n">
        <x:v>10.014778</x:v>
      </x:c>
    </x:row>
    <x:row r="199">
      <x:c r="A199" s="34" t="str">
        <x:v>POSCO_KR</x:v>
      </x:c>
      <x:c r="B199" s="34" t="str">
        <x:v>POSCO</x:v>
      </x:c>
      <x:c r="C199" s="34" t="str">
        <x:v>CAND-921D50D4015721</x:v>
      </x:c>
      <x:c r="D199" s="34" t="str">
        <x:v>P3</x:v>
      </x:c>
      <x:c r="E199" s="34" t="str">
        <x:v>PORT-96133A6427FE</x:v>
      </x:c>
      <x:c r="F199" s="34" t="str">
        <x:v>ACCELERATED_15C</x:v>
      </x:c>
      <x:c r="G199" s="34" t="str">
        <x:v>DISCLOSED_PATH</x:v>
      </x:c>
      <x:c r="H199" s="40" t="b">
        <x:v>1</x:v>
      </x:c>
      <x:c r="I199" s="40" t="b">
        <x:v>1</x:v>
      </x:c>
      <x:c r="J199" s="40" t="b">
        <x:v>1</x:v>
      </x:c>
      <x:c r="K199" s="34" t="n">
        <x:v>430.20423</x:v>
      </x:c>
      <x:c r="L199" s="34" t="n">
        <x:v>12.646784</x:v>
      </x:c>
      <x:c r="M199" s="34" t="n">
        <x:v>0.107574</x:v>
      </x:c>
      <x:c r="N199" s="34" t="n">
        <x:v>-0.767932</x:v>
      </x:c>
      <x:c r="O199" s="34" t="n">
        <x:v>0.230961</x:v>
      </x:c>
      <x:c r="P199" s="34" t="n">
        <x:v>5440.7</x:v>
      </x:c>
      <x:c r="Q199" s="34" t="n">
        <x:v>46.27873</x:v>
      </x:c>
      <x:c r="R199" s="34" t="n">
        <x:v>5110.332333</x:v>
      </x:c>
      <x:c r="S199" s="34" t="n">
        <x:v>83.980403</x:v>
      </x:c>
      <x:c r="T199" s="34" t="n">
        <x:v>0</x:v>
      </x:c>
      <x:c r="U199" s="34" t="n">
        <x:v>0</x:v>
      </x:c>
      <x:c r="V199" s="34" t="n">
        <x:v>-1744.824</x:v>
      </x:c>
      <x:c r="W199" s="34" t="n">
        <x:v>46.27873</x:v>
      </x:c>
      <x:c r="X199" s="34" t="n">
        <x:v>-7185.524</x:v>
      </x:c>
      <x:c r="Y199" s="34" t="n">
        <x:v>0</x:v>
      </x:c>
      <x:c r="Z199" s="34" t="n">
        <x:v>-1577.035</x:v>
      </x:c>
      <x:c r="AA199" s="34" t="n">
        <x:v>15.497318</x:v>
      </x:c>
    </x:row>
    <x:row r="200">
      <x:c r="A200" s="34" t="str">
        <x:v>POSCO_KR</x:v>
      </x:c>
      <x:c r="B200" s="34" t="str">
        <x:v>POSCO</x:v>
      </x:c>
      <x:c r="C200" s="34" t="str">
        <x:v>CAND-92409F72DEE5B3</x:v>
      </x:c>
      <x:c r="D200" s="34" t="str">
        <x:v>P1</x:v>
      </x:c>
      <x:c r="E200" s="34" t="str">
        <x:v>PORT-58F96F629E32</x:v>
      </x:c>
      <x:c r="F200" s="34" t="str">
        <x:v>ACCELERATED_15C</x:v>
      </x:c>
      <x:c r="G200" s="34" t="str">
        <x:v>DISCLOSED_PATH</x:v>
      </x:c>
      <x:c r="H200" s="40" t="b">
        <x:v>0</x:v>
      </x:c>
      <x:c r="I200" s="40" t="b">
        <x:v>1</x:v>
      </x:c>
      <x:c r="J200" s="40" t="b">
        <x:v>1</x:v>
      </x:c>
      <x:c r="K200" s="34" t="n">
        <x:v>243.51423</x:v>
      </x:c>
      <x:c r="L200" s="34" t="n">
        <x:v>12.109827</x:v>
      </x:c>
      <x:c r="M200" s="34" t="n">
        <x:v>0.718292</x:v>
      </x:c>
      <x:c r="N200" s="34" t="n">
        <x:v>-1.69436</x:v>
      </x:c>
      <x:c r="O200" s="34" t="n">
        <x:v>0.72416</x:v>
      </x:c>
      <x:c r="P200" s="34" t="n">
        <x:v>2948.915333</x:v>
      </x:c>
      <x:c r="Q200" s="34" t="n">
        <x:v>174.914393</x:v>
      </x:c>
      <x:c r="R200" s="34" t="n">
        <x:v>2536.314667</x:v>
      </x:c>
      <x:c r="S200" s="34" t="n">
        <x:v>22.573683</x:v>
      </x:c>
      <x:c r="T200" s="34" t="n">
        <x:v>0</x:v>
      </x:c>
      <x:c r="U200" s="34" t="n">
        <x:v>0</x:v>
      </x:c>
      <x:c r="V200" s="34" t="n">
        <x:v>-1062.358667</x:v>
      </x:c>
      <x:c r="W200" s="34" t="n">
        <x:v>174.914393</x:v>
      </x:c>
      <x:c r="X200" s="34" t="n">
        <x:v>-4011.274</x:v>
      </x:c>
      <x:c r="Y200" s="34" t="n">
        <x:v>0</x:v>
      </x:c>
      <x:c r="Z200" s="34" t="n">
        <x:v>-435.677333</x:v>
      </x:c>
      <x:c r="AA200" s="34" t="n">
        <x:v>4.545978</x:v>
      </x:c>
    </x:row>
    <x:row r="201">
      <x:c r="A201" s="34" t="str">
        <x:v>POSCO_KR</x:v>
      </x:c>
      <x:c r="B201" s="34" t="str">
        <x:v>POSCO</x:v>
      </x:c>
      <x:c r="C201" s="34" t="str">
        <x:v>CAND-9863577C4A48D7</x:v>
      </x:c>
      <x:c r="D201" s="34" t="str">
        <x:v>P2</x:v>
      </x:c>
      <x:c r="E201" s="34" t="str">
        <x:v>PORT-CEF57596D771</x:v>
      </x:c>
      <x:c r="F201" s="34" t="str">
        <x:v>ACCELERATED_15C</x:v>
      </x:c>
      <x:c r="G201" s="34" t="str">
        <x:v>DISCLOSED_PATH</x:v>
      </x:c>
      <x:c r="H201" s="40" t="b">
        <x:v>0</x:v>
      </x:c>
      <x:c r="I201" s="40" t="b">
        <x:v>1</x:v>
      </x:c>
      <x:c r="J201" s="40" t="b">
        <x:v>1</x:v>
      </x:c>
      <x:c r="K201" s="34" t="n">
        <x:v>332.254237</x:v>
      </x:c>
      <x:c r="L201" s="34" t="n">
        <x:v>13.142459</x:v>
      </x:c>
      <x:c r="M201" s="34" t="n">
        <x:v>0.105156</x:v>
      </x:c>
      <x:c r="N201" s="34" t="n">
        <x:v>-0.870071</x:v>
      </x:c>
      <x:c r="O201" s="34" t="n">
        <x:v>0.443529</x:v>
      </x:c>
      <x:c r="P201" s="34" t="n">
        <x:v>4366.637667</x:v>
      </x:c>
      <x:c r="Q201" s="34" t="n">
        <x:v>34.938149</x:v>
      </x:c>
      <x:c r="R201" s="34" t="n">
        <x:v>4077.552667</x:v>
      </x:c>
      <x:c r="S201" s="34" t="n">
        <x:v>131.165295</x:v>
      </x:c>
      <x:c r="T201" s="34" t="n">
        <x:v>0</x:v>
      </x:c>
      <x:c r="U201" s="34" t="n">
        <x:v>0</x:v>
      </x:c>
      <x:c r="V201" s="34" t="n">
        <x:v>-1138.786</x:v>
      </x:c>
      <x:c r="W201" s="34" t="n">
        <x:v>34.938579</x:v>
      </x:c>
      <x:c r="X201" s="34" t="n">
        <x:v>-5505.423</x:v>
      </x:c>
      <x:c r="Y201" s="34" t="n">
        <x:v>0</x:v>
      </x:c>
      <x:c r="Z201" s="34" t="n">
        <x:v>-636.296667</x:v>
      </x:c>
      <x:c r="AA201" s="34" t="n">
        <x:v>13.978118</x:v>
      </x:c>
    </x:row>
    <x:row r="202">
      <x:c r="A202" s="34" t="str">
        <x:v>POSCO_KR</x:v>
      </x:c>
      <x:c r="B202" s="34" t="str">
        <x:v>POSCO</x:v>
      </x:c>
      <x:c r="C202" s="34" t="str">
        <x:v>CAND-9DAADB965AABF6</x:v>
      </x:c>
      <x:c r="D202" s="34" t="str">
        <x:v>P2</x:v>
      </x:c>
      <x:c r="E202" s="34" t="str">
        <x:v>PORT-2038E8D6C481</x:v>
      </x:c>
      <x:c r="F202" s="34" t="str">
        <x:v>ACCELERATED_15C</x:v>
      </x:c>
      <x:c r="G202" s="34" t="str">
        <x:v>DISCLOSED_PATH</x:v>
      </x:c>
      <x:c r="H202" s="40" t="b">
        <x:v>1</x:v>
      </x:c>
      <x:c r="I202" s="40" t="b">
        <x:v>0</x:v>
      </x:c>
      <x:c r="J202" s="40" t="b">
        <x:v>1</x:v>
      </x:c>
      <x:c r="K202" s="34" t="n">
        <x:v>428.201226</x:v>
      </x:c>
      <x:c r="L202" s="34" t="n">
        <x:v>12.41744</x:v>
      </x:c>
      <x:c r="M202" s="34" t="n">
        <x:v>0.578199</x:v>
      </x:c>
      <x:c r="N202" s="34" t="n">
        <x:v>-1.636634</x:v>
      </x:c>
      <x:c r="O202" s="34" t="n">
        <x:v>0.310399</x:v>
      </x:c>
      <x:c r="P202" s="34" t="n">
        <x:v>5317.162667</x:v>
      </x:c>
      <x:c r="Q202" s="34" t="n">
        <x:v>247.585252</x:v>
      </x:c>
      <x:c r="R202" s="34" t="n">
        <x:v>4616.354</x:v>
      </x:c>
      <x:c r="S202" s="34" t="n">
        <x:v>135.236176</x:v>
      </x:c>
      <x:c r="T202" s="34" t="n">
        <x:v>0</x:v>
      </x:c>
      <x:c r="U202" s="34" t="n">
        <x:v>0</x:v>
      </x:c>
      <x:c r="V202" s="34" t="n">
        <x:v>-1812.315667</x:v>
      </x:c>
      <x:c r="W202" s="34" t="n">
        <x:v>247.585769</x:v>
      </x:c>
      <x:c r="X202" s="34" t="n">
        <x:v>-7129.478</x:v>
      </x:c>
      <x:c r="Y202" s="34" t="n">
        <x:v>0</x:v>
      </x:c>
      <x:c r="Z202" s="34" t="n">
        <x:v>-1007.590333</x:v>
      </x:c>
      <x:c r="AA202" s="34" t="n">
        <x:v>17.835285</x:v>
      </x:c>
    </x:row>
    <x:row r="203">
      <x:c r="A203" s="34" t="str">
        <x:v>POSCO_KR</x:v>
      </x:c>
      <x:c r="B203" s="34" t="str">
        <x:v>POSCO</x:v>
      </x:c>
      <x:c r="C203" s="34" t="str">
        <x:v>CAND-9F98CFC8518527</x:v>
      </x:c>
      <x:c r="D203" s="34" t="str">
        <x:v>P2</x:v>
      </x:c>
      <x:c r="E203" s="34" t="str">
        <x:v>PORT-13C60822C05B</x:v>
      </x:c>
      <x:c r="F203" s="34" t="str">
        <x:v>ACCELERATED_15C</x:v>
      </x:c>
      <x:c r="G203" s="34" t="str">
        <x:v>DISCLOSED_PATH</x:v>
      </x:c>
      <x:c r="H203" s="40" t="b">
        <x:v>1</x:v>
      </x:c>
      <x:c r="I203" s="40" t="b">
        <x:v>0</x:v>
      </x:c>
      <x:c r="J203" s="40" t="b">
        <x:v>1</x:v>
      </x:c>
      <x:c r="K203" s="34" t="n">
        <x:v>437.704222</x:v>
      </x:c>
      <x:c r="L203" s="34" t="n">
        <x:v>10.680301</x:v>
      </x:c>
      <x:c r="M203" s="34" t="n">
        <x:v>0.27344</x:v>
      </x:c>
      <x:c r="N203" s="34" t="n">
        <x:v>-1.660218</x:v>
      </x:c>
      <x:c r="O203" s="34" t="n">
        <x:v>0.507454</x:v>
      </x:c>
      <x:c r="P203" s="34" t="n">
        <x:v>4674.812667</x:v>
      </x:c>
      <x:c r="Q203" s="34" t="n">
        <x:v>119.685947</x:v>
      </x:c>
      <x:c r="R203" s="34" t="n">
        <x:v>3948.128</x:v>
      </x:c>
      <x:c r="S203" s="34" t="n">
        <x:v>270.760325</x:v>
      </x:c>
      <x:c r="T203" s="34" t="n">
        <x:v>0</x:v>
      </x:c>
      <x:c r="U203" s="34" t="n">
        <x:v>0</x:v>
      </x:c>
      <x:c r="V203" s="34" t="n">
        <x:v>-2618.383333</x:v>
      </x:c>
      <x:c r="W203" s="34" t="n">
        <x:v>119.685947</x:v>
      </x:c>
      <x:c r="X203" s="34" t="n">
        <x:v>-7293.196</x:v>
      </x:c>
      <x:c r="Y203" s="34" t="n">
        <x:v>0</x:v>
      </x:c>
      <x:c r="Z203" s="34" t="n">
        <x:v>-1322.399667</x:v>
      </x:c>
      <x:c r="AA203" s="34" t="n">
        <x:v>26.11591</x:v>
      </x:c>
    </x:row>
    <x:row r="204">
      <x:c r="A204" s="34" t="str">
        <x:v>POSCO_KR</x:v>
      </x:c>
      <x:c r="B204" s="34" t="str">
        <x:v>POSCO</x:v>
      </x:c>
      <x:c r="C204" s="34" t="str">
        <x:v>CAND-A6713428AA1463</x:v>
      </x:c>
      <x:c r="D204" s="34" t="str">
        <x:v>P1</x:v>
      </x:c>
      <x:c r="E204" s="34" t="str">
        <x:v>PORT-077F7C54FB04</x:v>
      </x:c>
      <x:c r="F204" s="34" t="str">
        <x:v>ACCELERATED_15C</x:v>
      </x:c>
      <x:c r="G204" s="34" t="str">
        <x:v>DISCLOSED_PATH</x:v>
      </x:c>
      <x:c r="H204" s="40" t="b">
        <x:v>1</x:v>
      </x:c>
      <x:c r="I204" s="40" t="b">
        <x:v>1</x:v>
      </x:c>
      <x:c r="J204" s="40" t="b">
        <x:v>1</x:v>
      </x:c>
      <x:c r="K204" s="34" t="n">
        <x:v>444.454229</x:v>
      </x:c>
      <x:c r="L204" s="34" t="n">
        <x:v>8.634227</x:v>
      </x:c>
      <x:c r="M204" s="34" t="n">
        <x:v>0.301288</x:v>
      </x:c>
      <x:c r="N204" s="34" t="n">
        <x:v>-2.704312</x:v>
      </x:c>
      <x:c r="O204" s="34" t="n">
        <x:v>0.289111</x:v>
      </x:c>
      <x:c r="P204" s="34" t="n">
        <x:v>3837.518667</x:v>
      </x:c>
      <x:c r="Q204" s="34" t="n">
        <x:v>133.909115</x:v>
      </x:c>
      <x:c r="R204" s="34" t="n">
        <x:v>2635.575333</x:v>
      </x:c>
      <x:c r="S204" s="34" t="n">
        <x:v>201.906306</x:v>
      </x:c>
      <x:c r="T204" s="34" t="n">
        <x:v>0</x:v>
      </x:c>
      <x:c r="U204" s="34" t="n">
        <x:v>0</x:v>
      </x:c>
      <x:c r="V204" s="34" t="n">
        <x:v>-3593.262333</x:v>
      </x:c>
      <x:c r="W204" s="34" t="n">
        <x:v>133.909115</x:v>
      </x:c>
      <x:c r="X204" s="34" t="n">
        <x:v>-7430.781</x:v>
      </x:c>
      <x:c r="Y204" s="34" t="n">
        <x:v>0</x:v>
      </x:c>
      <x:c r="Z204" s="34" t="n">
        <x:v>-1078.931</x:v>
      </x:c>
      <x:c r="AA204" s="34" t="n">
        <x:v>20.327558</x:v>
      </x:c>
    </x:row>
    <x:row r="205">
      <x:c r="A205" s="34" t="str">
        <x:v>POSCO_KR</x:v>
      </x:c>
      <x:c r="B205" s="34" t="str">
        <x:v>POSCO</x:v>
      </x:c>
      <x:c r="C205" s="34" t="str">
        <x:v>CAND-B90A406E3BDA97</x:v>
      </x:c>
      <x:c r="D205" s="34" t="str">
        <x:v>P2</x:v>
      </x:c>
      <x:c r="E205" s="34" t="str">
        <x:v>PORT-D42DEB3BDB60</x:v>
      </x:c>
      <x:c r="F205" s="34" t="str">
        <x:v>ACCELERATED_15C</x:v>
      </x:c>
      <x:c r="G205" s="34" t="str">
        <x:v>DISCLOSED_PATH</x:v>
      </x:c>
      <x:c r="H205" s="40" t="b">
        <x:v>0</x:v>
      </x:c>
      <x:c r="I205" s="40" t="b">
        <x:v>1</x:v>
      </x:c>
      <x:c r="J205" s="40" t="b">
        <x:v>1</x:v>
      </x:c>
      <x:c r="K205" s="34" t="n">
        <x:v>364.533852</x:v>
      </x:c>
      <x:c r="L205" s="34" t="n">
        <x:v>12.660336</x:v>
      </x:c>
      <x:c r="M205" s="34" t="n">
        <x:v>0.263194</x:v>
      </x:c>
      <x:c r="N205" s="34" t="n">
        <x:v>-1.35782</x:v>
      </x:c>
      <x:c r="O205" s="34" t="n">
        <x:v>0.16774</x:v>
      </x:c>
      <x:c r="P205" s="34" t="n">
        <x:v>4615.121333</x:v>
      </x:c>
      <x:c r="Q205" s="34" t="n">
        <x:v>95.943022</x:v>
      </x:c>
      <x:c r="R205" s="34" t="n">
        <x:v>4120.149667</x:v>
      </x:c>
      <x:c r="S205" s="34" t="n">
        <x:v>78.101614</x:v>
      </x:c>
      <x:c r="T205" s="34" t="n">
        <x:v>0</x:v>
      </x:c>
      <x:c r="U205" s="34" t="n">
        <x:v>0</x:v>
      </x:c>
      <x:c r="V205" s="34" t="n">
        <x:v>-1444.764667</x:v>
      </x:c>
      <x:c r="W205" s="34" t="n">
        <x:v>95.943022</x:v>
      </x:c>
      <x:c r="X205" s="34" t="n">
        <x:v>-6059.886</x:v>
      </x:c>
      <x:c r="Y205" s="34" t="n">
        <x:v>0</x:v>
      </x:c>
      <x:c r="Z205" s="34" t="n">
        <x:v>-736.391667</x:v>
      </x:c>
      <x:c r="AA205" s="34" t="n">
        <x:v>19.635786</x:v>
      </x:c>
    </x:row>
    <x:row r="206">
      <x:c r="A206" s="34" t="str">
        <x:v>POSCO_KR</x:v>
      </x:c>
      <x:c r="B206" s="34" t="str">
        <x:v>POSCO</x:v>
      </x:c>
      <x:c r="C206" s="34" t="str">
        <x:v>CAND-BBFDE735F87B40</x:v>
      </x:c>
      <x:c r="D206" s="34" t="str">
        <x:v>P1</x:v>
      </x:c>
      <x:c r="E206" s="34" t="str">
        <x:v>PORT-7827D72F6A22</x:v>
      </x:c>
      <x:c r="F206" s="34" t="str">
        <x:v>ACCELERATED_15C</x:v>
      </x:c>
      <x:c r="G206" s="34" t="str">
        <x:v>DISCLOSED_PATH</x:v>
      </x:c>
      <x:c r="H206" s="40" t="b">
        <x:v>1</x:v>
      </x:c>
      <x:c r="I206" s="40" t="b">
        <x:v>0</x:v>
      </x:c>
      <x:c r="J206" s="40" t="b">
        <x:v>1</x:v>
      </x:c>
      <x:c r="K206" s="34" t="n">
        <x:v>419.651231</x:v>
      </x:c>
      <x:c r="L206" s="34" t="n">
        <x:v>12.725606</x:v>
      </x:c>
      <x:c r="M206" s="34" t="n">
        <x:v>0.566036</x:v>
      </x:c>
      <x:c r="N206" s="34" t="n">
        <x:v>-1.527173</x:v>
      </x:c>
      <x:c r="O206" s="34" t="n">
        <x:v>0.489985</x:v>
      </x:c>
      <x:c r="P206" s="34" t="n">
        <x:v>5340.316667</x:v>
      </x:c>
      <x:c r="Q206" s="34" t="n">
        <x:v>237.538165</x:v>
      </x:c>
      <x:c r="R206" s="34" t="n">
        <x:v>4699.436333</x:v>
      </x:c>
      <x:c r="S206" s="34" t="n">
        <x:v>61.943626</x:v>
      </x:c>
      <x:c r="T206" s="34" t="n">
        <x:v>0</x:v>
      </x:c>
      <x:c r="U206" s="34" t="n">
        <x:v>0</x:v>
      </x:c>
      <x:c r="V206" s="34" t="n">
        <x:v>-1669.134333</x:v>
      </x:c>
      <x:c r="W206" s="34" t="n">
        <x:v>237.537308</x:v>
      </x:c>
      <x:c r="X206" s="34" t="n">
        <x:v>-7009.451</x:v>
      </x:c>
      <x:c r="Y206" s="34" t="n">
        <x:v>0</x:v>
      </x:c>
      <x:c r="Z206" s="34" t="n">
        <x:v>-660.591333</x:v>
      </x:c>
      <x:c r="AA206" s="34" t="n">
        <x:v>16.386635</x:v>
      </x:c>
    </x:row>
    <x:row r="207">
      <x:c r="A207" s="34" t="str">
        <x:v>POSCO_KR</x:v>
      </x:c>
      <x:c r="B207" s="34" t="str">
        <x:v>POSCO</x:v>
      </x:c>
      <x:c r="C207" s="34" t="str">
        <x:v>CAND-BEF797E7835E02</x:v>
      </x:c>
      <x:c r="D207" s="34" t="str">
        <x:v>P2</x:v>
      </x:c>
      <x:c r="E207" s="34" t="str">
        <x:v>PORT-7827D72F6A22</x:v>
      </x:c>
      <x:c r="F207" s="34" t="str">
        <x:v>ACCELERATED_15C</x:v>
      </x:c>
      <x:c r="G207" s="34" t="str">
        <x:v>DISCLOSED_PATH</x:v>
      </x:c>
      <x:c r="H207" s="40" t="b">
        <x:v>1</x:v>
      </x:c>
      <x:c r="I207" s="40" t="b">
        <x:v>0</x:v>
      </x:c>
      <x:c r="J207" s="40" t="b">
        <x:v>1</x:v>
      </x:c>
      <x:c r="K207" s="34" t="n">
        <x:v>419.651231</x:v>
      </x:c>
      <x:c r="L207" s="34" t="n">
        <x:v>13.050489</x:v>
      </x:c>
      <x:c r="M207" s="34" t="n">
        <x:v>0.500717</x:v>
      </x:c>
      <x:c r="N207" s="34" t="n">
        <x:v>-1.127318</x:v>
      </x:c>
      <x:c r="O207" s="34" t="n">
        <x:v>0.409825</x:v>
      </x:c>
      <x:c r="P207" s="34" t="n">
        <x:v>5476.653667</x:v>
      </x:c>
      <x:c r="Q207" s="34" t="n">
        <x:v>210.126889</x:v>
      </x:c>
      <x:c r="R207" s="34" t="n">
        <x:v>5003.573333</x:v>
      </x:c>
      <x:c r="S207" s="34" t="n">
        <x:v>51.552051</x:v>
      </x:c>
      <x:c r="T207" s="34" t="n">
        <x:v>0</x:v>
      </x:c>
      <x:c r="U207" s="34" t="n">
        <x:v>0</x:v>
      </x:c>
      <x:c r="V207" s="34" t="n">
        <x:v>-1532.797333</x:v>
      </x:c>
      <x:c r="W207" s="34" t="n">
        <x:v>210.126889</x:v>
      </x:c>
      <x:c r="X207" s="34" t="n">
        <x:v>-7009.451</x:v>
      </x:c>
      <x:c r="Y207" s="34" t="n">
        <x:v>0</x:v>
      </x:c>
      <x:c r="Z207" s="34" t="n">
        <x:v>-829.834333</x:v>
      </x:c>
      <x:c r="AA207" s="34" t="n">
        <x:v>15.462443</x:v>
      </x:c>
    </x:row>
    <x:row r="208">
      <x:c r="A208" s="34" t="str">
        <x:v>POSCO_KR</x:v>
      </x:c>
      <x:c r="B208" s="34" t="str">
        <x:v>POSCO</x:v>
      </x:c>
      <x:c r="C208" s="34" t="str">
        <x:v>CAND-C5C95C9095B035</x:v>
      </x:c>
      <x:c r="D208" s="34" t="str">
        <x:v>P2</x:v>
      </x:c>
      <x:c r="E208" s="34" t="str">
        <x:v>PORT-0DA980ACBA29</x:v>
      </x:c>
      <x:c r="F208" s="34" t="str">
        <x:v>ACCELERATED_15C</x:v>
      </x:c>
      <x:c r="G208" s="34" t="str">
        <x:v>DISCLOSED_PATH</x:v>
      </x:c>
      <x:c r="H208" s="40" t="b">
        <x:v>0</x:v>
      </x:c>
      <x:c r="I208" s="40" t="b">
        <x:v>1</x:v>
      </x:c>
      <x:c r="J208" s="40" t="b">
        <x:v>1</x:v>
      </x:c>
      <x:c r="K208" s="34" t="n">
        <x:v>365.583855</x:v>
      </x:c>
      <x:c r="L208" s="34" t="n">
        <x:v>12.207998</x:v>
      </x:c>
      <x:c r="M208" s="34" t="n">
        <x:v>0.140107</x:v>
      </x:c>
      <x:c r="N208" s="34" t="n">
        <x:v>-1.149831</x:v>
      </x:c>
      <x:c r="O208" s="34" t="n">
        <x:v>0.350006</x:v>
      </x:c>
      <x:c r="P208" s="34" t="n">
        <x:v>4463.047</x:v>
      </x:c>
      <x:c r="Q208" s="34" t="n">
        <x:v>51.221093</x:v>
      </x:c>
      <x:c r="R208" s="34" t="n">
        <x:v>4042.687</x:v>
      </x:c>
      <x:c r="S208" s="34" t="n">
        <x:v>140.389151</x:v>
      </x:c>
      <x:c r="T208" s="34" t="n">
        <x:v>0</x:v>
      </x:c>
      <x:c r="U208" s="34" t="n">
        <x:v>0</x:v>
      </x:c>
      <x:c r="V208" s="34" t="n">
        <x:v>-1609.194667</x:v>
      </x:c>
      <x:c r="W208" s="34" t="n">
        <x:v>51.220799</x:v>
      </x:c>
      <x:c r="X208" s="34" t="n">
        <x:v>-6072.242</x:v>
      </x:c>
      <x:c r="Y208" s="34" t="n">
        <x:v>0</x:v>
      </x:c>
      <x:c r="Z208" s="34" t="n">
        <x:v>-722.296333</x:v>
      </x:c>
      <x:c r="AA208" s="34" t="n">
        <x:v>13.168054</x:v>
      </x:c>
    </x:row>
    <x:row r="209">
      <x:c r="A209" s="34" t="str">
        <x:v>POSCO_KR</x:v>
      </x:c>
      <x:c r="B209" s="34" t="str">
        <x:v>POSCO</x:v>
      </x:c>
      <x:c r="C209" s="34" t="str">
        <x:v>CAND-C8332513BB985B</x:v>
      </x:c>
      <x:c r="D209" s="34" t="str">
        <x:v>P2</x:v>
      </x:c>
      <x:c r="E209" s="34" t="str">
        <x:v>PORT-CA761749FFB1</x:v>
      </x:c>
      <x:c r="F209" s="34" t="str">
        <x:v>ACCELERATED_15C</x:v>
      </x:c>
      <x:c r="G209" s="34" t="str">
        <x:v>DISCLOSED_PATH</x:v>
      </x:c>
      <x:c r="H209" s="40" t="b">
        <x:v>0</x:v>
      </x:c>
      <x:c r="I209" s="40" t="b">
        <x:v>1</x:v>
      </x:c>
      <x:c r="J209" s="40" t="b">
        <x:v>1</x:v>
      </x:c>
      <x:c r="K209" s="34" t="n">
        <x:v>287.411269</x:v>
      </x:c>
      <x:c r="L209" s="34" t="n">
        <x:v>12.364699</x:v>
      </x:c>
      <x:c r="M209" s="34" t="n">
        <x:v>0.351792</x:v>
      </x:c>
      <x:c r="N209" s="34" t="n">
        <x:v>-1.324085</x:v>
      </x:c>
      <x:c r="O209" s="34" t="n">
        <x:v>0.150667</x:v>
      </x:c>
      <x:c r="P209" s="34" t="n">
        <x:v>3553.753667</x:v>
      </x:c>
      <x:c r="Q209" s="34" t="n">
        <x:v>101.109384</x:v>
      </x:c>
      <x:c r="R209" s="34" t="n">
        <x:v>3173.196667</x:v>
      </x:c>
      <x:c r="S209" s="34" t="n">
        <x:v>62.988532</x:v>
      </x:c>
      <x:c r="T209" s="34" t="n">
        <x:v>0</x:v>
      </x:c>
      <x:c r="U209" s="34" t="n">
        <x:v>0</x:v>
      </x:c>
      <x:c r="V209" s="34" t="n">
        <x:v>-1337.051333</x:v>
      </x:c>
      <x:c r="W209" s="34" t="n">
        <x:v>101.109037</x:v>
      </x:c>
      <x:c r="X209" s="34" t="n">
        <x:v>-4890.806</x:v>
      </x:c>
      <x:c r="Y209" s="34" t="n">
        <x:v>0</x:v>
      </x:c>
      <x:c r="Z209" s="34" t="n">
        <x:v>-715.685667</x:v>
      </x:c>
      <x:c r="AA209" s="34" t="n">
        <x:v>19.135001</x:v>
      </x:c>
    </x:row>
    <x:row r="210">
      <x:c r="A210" s="34" t="str">
        <x:v>POSCO_KR</x:v>
      </x:c>
      <x:c r="B210" s="34" t="str">
        <x:v>POSCO</x:v>
      </x:c>
      <x:c r="C210" s="34" t="str">
        <x:v>CAND-C9724A8933A429</x:v>
      </x:c>
      <x:c r="D210" s="34" t="str">
        <x:v>P1</x:v>
      </x:c>
      <x:c r="E210" s="34" t="str">
        <x:v>PORT-8826D0B469EE</x:v>
      </x:c>
      <x:c r="F210" s="34" t="str">
        <x:v>ACCELERATED_15C</x:v>
      </x:c>
      <x:c r="G210" s="34" t="str">
        <x:v>DISCLOSED_PATH</x:v>
      </x:c>
      <x:c r="H210" s="40" t="b">
        <x:v>1</x:v>
      </x:c>
      <x:c r="I210" s="40" t="b">
        <x:v>1</x:v>
      </x:c>
      <x:c r="J210" s="40" t="b">
        <x:v>1</x:v>
      </x:c>
      <x:c r="K210" s="34" t="n">
        <x:v>429.154227</x:v>
      </x:c>
      <x:c r="L210" s="34" t="n">
        <x:v>11.393806</x:v>
      </x:c>
      <x:c r="M210" s="34" t="n">
        <x:v>0.359106</x:v>
      </x:c>
      <x:c r="N210" s="34" t="n">
        <x:v>-1.632055</x:v>
      </x:c>
      <x:c r="O210" s="34" t="n">
        <x:v>0.041079</x:v>
      </x:c>
      <x:c r="P210" s="34" t="n">
        <x:v>4889.7</x:v>
      </x:c>
      <x:c r="Q210" s="34" t="n">
        <x:v>154.111834</x:v>
      </x:c>
      <x:c r="R210" s="34" t="n">
        <x:v>4189.296</x:v>
      </x:c>
      <x:c r="S210" s="34" t="n">
        <x:v>154.167848</x:v>
      </x:c>
      <x:c r="T210" s="34" t="n">
        <x:v>0</x:v>
      </x:c>
      <x:c r="U210" s="34" t="n">
        <x:v>0</x:v>
      </x:c>
      <x:c r="V210" s="34" t="n">
        <x:v>-2283.469667</x:v>
      </x:c>
      <x:c r="W210" s="34" t="n">
        <x:v>154.11171</x:v>
      </x:c>
      <x:c r="X210" s="34" t="n">
        <x:v>-7173.169</x:v>
      </x:c>
      <x:c r="Y210" s="34" t="n">
        <x:v>0</x:v>
      </x:c>
      <x:c r="Z210" s="34" t="n">
        <x:v>-873.605</x:v>
      </x:c>
      <x:c r="AA210" s="34" t="n">
        <x:v>16.958978</x:v>
      </x:c>
    </x:row>
    <x:row r="211">
      <x:c r="A211" s="34" t="str">
        <x:v>POSCO_KR</x:v>
      </x:c>
      <x:c r="B211" s="34" t="str">
        <x:v>POSCO</x:v>
      </x:c>
      <x:c r="C211" s="34" t="str">
        <x:v>CAND-CD94A69F094896</x:v>
      </x:c>
      <x:c r="D211" s="34" t="str">
        <x:v>P2</x:v>
      </x:c>
      <x:c r="E211" s="34" t="str">
        <x:v>PORT-8378A8ACBA64</x:v>
      </x:c>
      <x:c r="F211" s="34" t="str">
        <x:v>ACCELERATED_15C</x:v>
      </x:c>
      <x:c r="G211" s="34" t="str">
        <x:v>DISCLOSED_PATH</x:v>
      </x:c>
      <x:c r="H211" s="40" t="b">
        <x:v>0</x:v>
      </x:c>
      <x:c r="I211" s="40" t="b">
        <x:v>1</x:v>
      </x:c>
      <x:c r="J211" s="40" t="b">
        <x:v>1</x:v>
      </x:c>
      <x:c r="K211" s="34" t="n">
        <x:v>275.793845</x:v>
      </x:c>
      <x:c r="L211" s="34" t="n">
        <x:v>11.909931</x:v>
      </x:c>
      <x:c r="M211" s="34" t="n">
        <x:v>0.313522</x:v>
      </x:c>
      <x:c r="N211" s="34" t="n">
        <x:v>-1.740471</x:v>
      </x:c>
      <x:c r="O211" s="34" t="n">
        <x:v>0.468912</x:v>
      </x:c>
      <x:c r="P211" s="34" t="n">
        <x:v>3284.685667</x:v>
      </x:c>
      <x:c r="Q211" s="34" t="n">
        <x:v>86.467326</x:v>
      </x:c>
      <x:c r="R211" s="34" t="n">
        <x:v>2804.674333</x:v>
      </x:c>
      <x:c r="S211" s="34" t="n">
        <x:v>82.035319</x:v>
      </x:c>
      <x:c r="T211" s="34" t="n">
        <x:v>0</x:v>
      </x:c>
      <x:c r="U211" s="34" t="n">
        <x:v>0</x:v>
      </x:c>
      <x:c r="V211" s="34" t="n">
        <x:v>-1281.051333</x:v>
      </x:c>
      <x:c r="W211" s="34" t="n">
        <x:v>86.467326</x:v>
      </x:c>
      <x:c r="X211" s="34" t="n">
        <x:v>-4565.737</x:v>
      </x:c>
      <x:c r="Y211" s="34" t="n">
        <x:v>0</x:v>
      </x:c>
      <x:c r="Z211" s="34" t="n">
        <x:v>-630.981333</x:v>
      </x:c>
      <x:c r="AA211" s="34" t="n">
        <x:v>5.93477</x:v>
      </x:c>
    </x:row>
    <x:row r="212">
      <x:c r="A212" s="34" t="str">
        <x:v>POSCO_KR</x:v>
      </x:c>
      <x:c r="B212" s="34" t="str">
        <x:v>POSCO</x:v>
      </x:c>
      <x:c r="C212" s="34" t="str">
        <x:v>CAND-D474BBC66D4C3C</x:v>
      </x:c>
      <x:c r="D212" s="34" t="str">
        <x:v>P1</x:v>
      </x:c>
      <x:c r="E212" s="34" t="str">
        <x:v>PORT-CEF57596D771</x:v>
      </x:c>
      <x:c r="F212" s="34" t="str">
        <x:v>ACCELERATED_15C</x:v>
      </x:c>
      <x:c r="G212" s="34" t="str">
        <x:v>DISCLOSED_PATH</x:v>
      </x:c>
      <x:c r="H212" s="40" t="b">
        <x:v>0</x:v>
      </x:c>
      <x:c r="I212" s="40" t="b">
        <x:v>1</x:v>
      </x:c>
      <x:c r="J212" s="40" t="b">
        <x:v>1</x:v>
      </x:c>
      <x:c r="K212" s="34" t="n">
        <x:v>332.254237</x:v>
      </x:c>
      <x:c r="L212" s="34" t="n">
        <x:v>12.860174</x:v>
      </x:c>
      <x:c r="M212" s="34" t="n">
        <x:v>0.179985</x:v>
      </x:c>
      <x:c r="N212" s="34" t="n">
        <x:v>-1.234059</x:v>
      </x:c>
      <x:c r="O212" s="34" t="n">
        <x:v>0.634751</x:v>
      </x:c>
      <x:c r="P212" s="34" t="n">
        <x:v>4272.847333</x:v>
      </x:c>
      <x:c r="Q212" s="34" t="n">
        <x:v>59.800994</x:v>
      </x:c>
      <x:c r="R212" s="34" t="n">
        <x:v>3862.826</x:v>
      </x:c>
      <x:c r="S212" s="34" t="n">
        <x:v>152.775028</x:v>
      </x:c>
      <x:c r="T212" s="34" t="n">
        <x:v>0</x:v>
      </x:c>
      <x:c r="U212" s="34" t="n">
        <x:v>0</x:v>
      </x:c>
      <x:c r="V212" s="34" t="n">
        <x:v>-1232.575667</x:v>
      </x:c>
      <x:c r="W212" s="34" t="n">
        <x:v>59.800994</x:v>
      </x:c>
      <x:c r="X212" s="34" t="n">
        <x:v>-5505.423</x:v>
      </x:c>
      <x:c r="Y212" s="34" t="n">
        <x:v>0</x:v>
      </x:c>
      <x:c r="Z212" s="34" t="n">
        <x:v>-531.205667</x:v>
      </x:c>
      <x:c r="AA212" s="34" t="n">
        <x:v>7.252486</x:v>
      </x:c>
    </x:row>
    <x:row r="213">
      <x:c r="A213" s="34" t="str">
        <x:v>POSCO_KR</x:v>
      </x:c>
      <x:c r="B213" s="34" t="str">
        <x:v>POSCO</x:v>
      </x:c>
      <x:c r="C213" s="34" t="str">
        <x:v>CAND-DA7B74C24222D6</x:v>
      </x:c>
      <x:c r="D213" s="34" t="str">
        <x:v>P2</x:v>
      </x:c>
      <x:c r="E213" s="34" t="str">
        <x:v>PORT-802EEF341C7A</x:v>
      </x:c>
      <x:c r="F213" s="34" t="str">
        <x:v>ACCELERATED_15C</x:v>
      </x:c>
      <x:c r="G213" s="34" t="str">
        <x:v>DISCLOSED_PATH</x:v>
      </x:c>
      <x:c r="H213" s="40" t="b">
        <x:v>0</x:v>
      </x:c>
      <x:c r="I213" s="40" t="b">
        <x:v>1</x:v>
      </x:c>
      <x:c r="J213" s="40" t="b">
        <x:v>1</x:v>
      </x:c>
      <x:c r="K213" s="34" t="n">
        <x:v>326.164221</x:v>
      </x:c>
      <x:c r="L213" s="34" t="n">
        <x:v>13.429703</x:v>
      </x:c>
      <x:c r="M213" s="34" t="n">
        <x:v>0.122677</x:v>
      </x:c>
      <x:c r="N213" s="34" t="n">
        <x:v>-1.375419</x:v>
      </x:c>
      <x:c r="O213" s="34" t="n">
        <x:v>0.377145</x:v>
      </x:c>
      <x:c r="P213" s="34" t="n">
        <x:v>4380.288333</x:v>
      </x:c>
      <x:c r="Q213" s="34" t="n">
        <x:v>40.012568</x:v>
      </x:c>
      <x:c r="R213" s="34" t="n">
        <x:v>3931.676</x:v>
      </x:c>
      <x:c r="S213" s="34" t="n">
        <x:v>86.683618</x:v>
      </x:c>
      <x:c r="T213" s="34" t="n">
        <x:v>0</x:v>
      </x:c>
      <x:c r="U213" s="34" t="n">
        <x:v>0</x:v>
      </x:c>
      <x:c r="V213" s="34" t="n">
        <x:v>-1053.475</x:v>
      </x:c>
      <x:c r="W213" s="34" t="n">
        <x:v>40.012536</x:v>
      </x:c>
      <x:c r="X213" s="34" t="n">
        <x:v>-5433.763</x:v>
      </x:c>
      <x:c r="Y213" s="34" t="n">
        <x:v>0</x:v>
      </x:c>
      <x:c r="Z213" s="34" t="n">
        <x:v>-653.419667</x:v>
      </x:c>
      <x:c r="AA213" s="34" t="n">
        <x:v>8.311057</x:v>
      </x:c>
    </x:row>
    <x:row r="214">
      <x:c r="A214" s="34" t="str">
        <x:v>POSCO_KR</x:v>
      </x:c>
      <x:c r="B214" s="34" t="str">
        <x:v>POSCO</x:v>
      </x:c>
      <x:c r="C214" s="34" t="str">
        <x:v>CAND-DDC1E605504409</x:v>
      </x:c>
      <x:c r="D214" s="34" t="str">
        <x:v>P3</x:v>
      </x:c>
      <x:c r="E214" s="34" t="str">
        <x:v>PORT-077F7C54FB04</x:v>
      </x:c>
      <x:c r="F214" s="34" t="str">
        <x:v>ACCELERATED_15C</x:v>
      </x:c>
      <x:c r="G214" s="34" t="str">
        <x:v>DISCLOSED_PATH</x:v>
      </x:c>
      <x:c r="H214" s="40" t="b">
        <x:v>1</x:v>
      </x:c>
      <x:c r="I214" s="40" t="b">
        <x:v>1</x:v>
      </x:c>
      <x:c r="J214" s="40" t="b">
        <x:v>1</x:v>
      </x:c>
      <x:c r="K214" s="34" t="n">
        <x:v>444.454229</x:v>
      </x:c>
      <x:c r="L214" s="34" t="n">
        <x:v>11.268709</x:v>
      </x:c>
      <x:c r="M214" s="34" t="n">
        <x:v>0.239323</x:v>
      </x:c>
      <x:c r="N214" s="34" t="n">
        <x:v>-1.062857</x:v>
      </x:c>
      <x:c r="O214" s="34" t="n">
        <x:v>0.22846</x:v>
      </x:c>
      <x:c r="P214" s="34" t="n">
        <x:v>5008.424667</x:v>
      </x:c>
      <x:c r="Q214" s="34" t="n">
        <x:v>106.367814</x:v>
      </x:c>
      <x:c r="R214" s="34" t="n">
        <x:v>4536.034</x:v>
      </x:c>
      <x:c r="S214" s="34" t="n">
        <x:v>163.036592</x:v>
      </x:c>
      <x:c r="T214" s="34" t="n">
        <x:v>0</x:v>
      </x:c>
      <x:c r="U214" s="34" t="n">
        <x:v>0</x:v>
      </x:c>
      <x:c r="V214" s="34" t="n">
        <x:v>-2422.356333</x:v>
      </x:c>
      <x:c r="W214" s="34" t="n">
        <x:v>106.367814</x:v>
      </x:c>
      <x:c r="X214" s="34" t="n">
        <x:v>-7430.781</x:v>
      </x:c>
      <x:c r="Y214" s="34" t="n">
        <x:v>0</x:v>
      </x:c>
      <x:c r="Z214" s="34" t="n">
        <x:v>-2228.828667</x:v>
      </x:c>
      <x:c r="AA214" s="34" t="n">
        <x:v>52.574594</x:v>
      </x:c>
    </x:row>
    <x:row r="215">
      <x:c r="A215" s="34" t="str">
        <x:v>POSCO_KR</x:v>
      </x:c>
      <x:c r="B215" s="34" t="str">
        <x:v>POSCO</x:v>
      </x:c>
      <x:c r="C215" s="34" t="str">
        <x:v>CAND-E3FBD935777392</x:v>
      </x:c>
      <x:c r="D215" s="34" t="str">
        <x:v>P2</x:v>
      </x:c>
      <x:c r="E215" s="34" t="str">
        <x:v>PORT-077F7C54FB04</x:v>
      </x:c>
      <x:c r="F215" s="34" t="str">
        <x:v>ACCELERATED_15C</x:v>
      </x:c>
      <x:c r="G215" s="34" t="str">
        <x:v>DISCLOSED_PATH</x:v>
      </x:c>
      <x:c r="H215" s="40" t="b">
        <x:v>1</x:v>
      </x:c>
      <x:c r="I215" s="40" t="b">
        <x:v>1</x:v>
      </x:c>
      <x:c r="J215" s="40" t="b">
        <x:v>1</x:v>
      </x:c>
      <x:c r="K215" s="34" t="n">
        <x:v>444.454229</x:v>
      </x:c>
      <x:c r="L215" s="34" t="n">
        <x:v>9.710658</x:v>
      </x:c>
      <x:c r="M215" s="34" t="n">
        <x:v>0.264621</x:v>
      </x:c>
      <x:c r="N215" s="34" t="n">
        <x:v>-1.942967</x:v>
      </x:c>
      <x:c r="O215" s="34" t="n">
        <x:v>0.24124</x:v>
      </x:c>
      <x:c r="P215" s="34" t="n">
        <x:v>4315.943</x:v>
      </x:c>
      <x:c r="Q215" s="34" t="n">
        <x:v>117.611494</x:v>
      </x:c>
      <x:c r="R215" s="34" t="n">
        <x:v>3452.383</x:v>
      </x:c>
      <x:c r="S215" s="34" t="n">
        <x:v>190.380118</x:v>
      </x:c>
      <x:c r="T215" s="34" t="n">
        <x:v>0</x:v>
      </x:c>
      <x:c r="U215" s="34" t="n">
        <x:v>0</x:v>
      </x:c>
      <x:c r="V215" s="34" t="n">
        <x:v>-3114.838333</x:v>
      </x:c>
      <x:c r="W215" s="34" t="n">
        <x:v>117.611921</x:v>
      </x:c>
      <x:c r="X215" s="34" t="n">
        <x:v>-7430.781</x:v>
      </x:c>
      <x:c r="Y215" s="34" t="n">
        <x:v>0</x:v>
      </x:c>
      <x:c r="Z215" s="34" t="n">
        <x:v>-1527.036</x:v>
      </x:c>
      <x:c r="AA215" s="34" t="n">
        <x:v>29.779952</x:v>
      </x:c>
    </x:row>
    <x:row r="216">
      <x:c r="A216" s="34" t="str">
        <x:v>POSCO_KR</x:v>
      </x:c>
      <x:c r="B216" s="34" t="str">
        <x:v>POSCO</x:v>
      </x:c>
      <x:c r="C216" s="34" t="str">
        <x:v>CAND-E5548226AF9F6B</x:v>
      </x:c>
      <x:c r="D216" s="34" t="str">
        <x:v>P2</x:v>
      </x:c>
      <x:c r="E216" s="34" t="str">
        <x:v>PORT-39601EAF8865</x:v>
      </x:c>
      <x:c r="F216" s="34" t="str">
        <x:v>ACCELERATED_15C</x:v>
      </x:c>
      <x:c r="G216" s="34" t="str">
        <x:v>DISCLOSED_PATH</x:v>
      </x:c>
      <x:c r="H216" s="40" t="b">
        <x:v>0</x:v>
      </x:c>
      <x:c r="I216" s="40" t="b">
        <x:v>1</x:v>
      </x:c>
      <x:c r="J216" s="40" t="b">
        <x:v>1</x:v>
      </x:c>
      <x:c r="K216" s="34" t="n">
        <x:v>193.924259</x:v>
      </x:c>
      <x:c r="L216" s="34" t="n">
        <x:v>13.197437</x:v>
      </x:c>
      <x:c r="M216" s="34" t="n">
        <x:v>0.374907</x:v>
      </x:c>
      <x:c r="N216" s="34" t="n">
        <x:v>-1.446872</x:v>
      </x:c>
      <x:c r="O216" s="34" t="n">
        <x:v>0.540771</x:v>
      </x:c>
      <x:c r="P216" s="34" t="n">
        <x:v>2559.303</x:v>
      </x:c>
      <x:c r="Q216" s="34" t="n">
        <x:v>72.703717</x:v>
      </x:c>
      <x:c r="R216" s="34" t="n">
        <x:v>2278.719333</x:v>
      </x:c>
      <x:c r="S216" s="34" t="n">
        <x:v>43.080604</x:v>
      </x:c>
      <x:c r="T216" s="34" t="n">
        <x:v>0</x:v>
      </x:c>
      <x:c r="U216" s="34" t="n">
        <x:v>0</x:v>
      </x:c>
      <x:c r="V216" s="34" t="n">
        <x:v>-755.814333</x:v>
      </x:c>
      <x:c r="W216" s="34" t="n">
        <x:v>72.703429</x:v>
      </x:c>
      <x:c r="X216" s="34" t="n">
        <x:v>-3315.117</x:v>
      </x:c>
      <x:c r="Y216" s="34" t="n">
        <x:v>0</x:v>
      </x:c>
      <x:c r="Z216" s="34" t="n">
        <x:v>-529.968</x:v>
      </x:c>
      <x:c r="AA216" s="34" t="n">
        <x:v>8.11641</x:v>
      </x:c>
    </x:row>
    <x:row r="217">
      <x:c r="A217" s="34" t="str">
        <x:v>POSCO_KR</x:v>
      </x:c>
      <x:c r="B217" s="34" t="str">
        <x:v>POSCO</x:v>
      </x:c>
      <x:c r="C217" s="34" t="str">
        <x:v>CAND-F43ACAB6E7F085</x:v>
      </x:c>
      <x:c r="D217" s="34" t="str">
        <x:v>P1</x:v>
      </x:c>
      <x:c r="E217" s="34" t="str">
        <x:v>PORT-4FCB78A64B21</x:v>
      </x:c>
      <x:c r="F217" s="34" t="str">
        <x:v>ACCELERATED_15C</x:v>
      </x:c>
      <x:c r="G217" s="34" t="str">
        <x:v>DISCLOSED_PATH</x:v>
      </x:c>
      <x:c r="H217" s="40" t="b">
        <x:v>0</x:v>
      </x:c>
      <x:c r="I217" s="40" t="b">
        <x:v>1</x:v>
      </x:c>
      <x:c r="J217" s="40" t="b">
        <x:v>1</x:v>
      </x:c>
      <x:c r="K217" s="34" t="n">
        <x:v>282.664267</x:v>
      </x:c>
      <x:c r="L217" s="34" t="n">
        <x:v>13.236583</x:v>
      </x:c>
      <x:c r="M217" s="34" t="n">
        <x:v>0.821744</x:v>
      </x:c>
      <x:c r="N217" s="34" t="n">
        <x:v>-1.487409</x:v>
      </x:c>
      <x:c r="O217" s="34" t="n">
        <x:v>0.888728</x:v>
      </x:c>
      <x:c r="P217" s="34" t="n">
        <x:v>3741.508667</x:v>
      </x:c>
      <x:c r="Q217" s="34" t="n">
        <x:v>232.277518</x:v>
      </x:c>
      <x:c r="R217" s="34" t="n">
        <x:v>3321.071667</x:v>
      </x:c>
      <x:c r="S217" s="34" t="n">
        <x:v>66.608344</x:v>
      </x:c>
      <x:c r="T217" s="34" t="n">
        <x:v>0</x:v>
      </x:c>
      <x:c r="U217" s="34" t="n">
        <x:v>0</x:v>
      </x:c>
      <x:c r="V217" s="34" t="n">
        <x:v>-1067.757333</x:v>
      </x:c>
      <x:c r="W217" s="34" t="n">
        <x:v>232.277518</x:v>
      </x:c>
      <x:c r="X217" s="34" t="n">
        <x:v>-4809.267</x:v>
      </x:c>
      <x:c r="Y217" s="34" t="n">
        <x:v>0</x:v>
      </x:c>
      <x:c r="Z217" s="34" t="n">
        <x:v>-517.521333</x:v>
      </x:c>
      <x:c r="AA217" s="34" t="n">
        <x:v>11.675699</x:v>
      </x:c>
    </x:row>
    <x:row r="218">
      <x:c r="A218" s="35" t="str">
        <x:v>POSCO_KR</x:v>
      </x:c>
      <x:c r="B218" s="35" t="str">
        <x:v>POSCO</x:v>
      </x:c>
      <x:c r="C218" s="35" t="str">
        <x:v>CAND-F5CF3CBE63EF2D</x:v>
      </x:c>
      <x:c r="D218" s="35" t="str">
        <x:v>P1</x:v>
      </x:c>
      <x:c r="E218" s="35" t="str">
        <x:v>PORT-A620DB8F058C</x:v>
      </x:c>
      <x:c r="F218" s="35" t="str">
        <x:v>ACCELERATED_15C</x:v>
      </x:c>
      <x:c r="G218" s="35" t="str">
        <x:v>DISCLOSED_PATH</x:v>
      </x:c>
      <x:c r="H218" s="41" t="b">
        <x:v>1</x:v>
      </x:c>
      <x:c r="I218" s="41" t="b">
        <x:v>1</x:v>
      </x:c>
      <x:c r="J218" s="41" t="b">
        <x:v>1</x:v>
      </x:c>
      <x:c r="K218" s="35" t="n">
        <x:v>434.951232</x:v>
      </x:c>
      <x:c r="L218" s="35" t="n">
        <x:v>10.230052</x:v>
      </x:c>
      <x:c r="M218" s="35" t="n">
        <x:v>0.579541</x:v>
      </x:c>
      <x:c r="N218" s="35" t="n">
        <x:v>-2.342604</x:v>
      </x:c>
      <x:c r="O218" s="35" t="n">
        <x:v>0.456989</x:v>
      </x:c>
      <x:c r="P218" s="35" t="n">
        <x:v>4449.574</x:v>
      </x:c>
      <x:c r="Q218" s="35" t="n">
        <x:v>252.072073</x:v>
      </x:c>
      <x:c r="R218" s="35" t="n">
        <x:v>3430.655667</x:v>
      </x:c>
      <x:c r="S218" s="35" t="n">
        <x:v>92.062006</x:v>
      </x:c>
      <x:c r="T218" s="35" t="n">
        <x:v>0</x:v>
      </x:c>
      <x:c r="U218" s="35" t="n">
        <x:v>0</x:v>
      </x:c>
      <x:c r="V218" s="35" t="n">
        <x:v>-2817.489333</x:v>
      </x:c>
      <x:c r="W218" s="35" t="n">
        <x:v>252.071621</x:v>
      </x:c>
      <x:c r="X218" s="35" t="n">
        <x:v>-7267.063</x:v>
      </x:c>
      <x:c r="Y218" s="35" t="n">
        <x:v>0</x:v>
      </x:c>
      <x:c r="Z218" s="35" t="n">
        <x:v>-861.202</x:v>
      </x:c>
      <x:c r="AA218" s="35" t="n">
        <x:v>24.050468</x:v>
      </x:c>
    </x:row>
  </x:sheetData>
  <x:pageMargins left="0.7" right="0.7" top="0.75" bottom="0.75" header="0.3" footer="0.3"/>
</x:worksheet>
</file>

<file path=xl/worksheets/sheet27.xml><?xml version="1.0" encoding="utf-8"?>
<x:worksheet xmlns:x="http://schemas.openxmlformats.org/spreadsheetml/2006/main">
  <x:sheetViews>
    <x:sheetView showGridLines="0" workbookViewId="0"/>
  </x:sheetViews>
  <x:sheetFormatPr defaultRowHeight="15"/>
  <x:cols>
    <x:col min="1" max="1" width="20" hidden="0" customWidth="1"/>
    <x:col min="2" max="2" width="24" hidden="0" customWidth="1"/>
    <x:col min="3" max="3" width="12" hidden="0" customWidth="1"/>
    <x:col min="4" max="4" width="16" hidden="0" customWidth="1"/>
    <x:col min="5" max="5" width="16" hidden="0" customWidth="1"/>
    <x:col min="6" max="6" width="15" hidden="0" customWidth="1"/>
    <x:col min="7" max="7" width="21" hidden="0" customWidth="1"/>
    <x:col min="8" max="8" width="15" hidden="0" customWidth="1"/>
    <x:col min="9" max="9" width="15" hidden="0" customWidth="1"/>
    <x:col min="10" max="10" width="17" hidden="0" customWidth="1"/>
    <x:col min="11" max="11" width="17" hidden="0" customWidth="1"/>
    <x:col min="12" max="12" width="18" hidden="0" customWidth="1"/>
    <x:col min="13" max="13" width="15" hidden="0" customWidth="1"/>
    <x:col min="14" max="14" width="19" hidden="0" customWidth="1"/>
    <x:col min="15" max="15" width="20" hidden="0" customWidth="1"/>
    <x:col min="16" max="16" width="24" hidden="0" customWidth="1"/>
  </x:cols>
  <x:sheetData>
    <x:row r="1">
      <x:c r="A1" s="49" t="str">
        <x:v>정밀 강건후보 의사결정 요약 — 고정 shortlist / 3 seeds × 요청 전체 경로</x:v>
      </x:c>
      <x:c r="B1" s="49"/>
      <x:c r="C1" s="49"/>
      <x:c r="D1" s="49"/>
      <x:c r="E1" s="49"/>
      <x:c r="F1" s="49"/>
      <x:c r="G1" s="49"/>
      <x:c r="H1" s="49"/>
      <x:c r="I1" s="49"/>
      <x:c r="J1" s="49"/>
      <x:c r="K1" s="49"/>
      <x:c r="L1" s="49"/>
      <x:c r="M1" s="49"/>
      <x:c r="N1" s="49"/>
      <x:c r="O1" s="49"/>
      <x:c r="P1" s="49"/>
    </x:row>
    <x:row r="2">
      <x:c r="A2" s="49"/>
      <x:c r="B2" s="49"/>
      <x:c r="C2" s="49"/>
      <x:c r="D2" s="49"/>
      <x:c r="E2" s="49"/>
      <x:c r="F2" s="49"/>
      <x:c r="G2" s="49"/>
      <x:c r="H2" s="49"/>
      <x:c r="I2" s="49"/>
      <x:c r="J2" s="49"/>
      <x:c r="K2" s="49"/>
      <x:c r="L2" s="49"/>
      <x:c r="M2" s="49"/>
      <x:c r="N2" s="49"/>
      <x:c r="O2" s="49"/>
      <x:c r="P2" s="49"/>
    </x:row>
    <x:row r="4">
      <x:c r="A4" s="62" t="str">
        <x:v>λ=1 추천빈도가 가장 높은 후보를 표시한다. 최대후회 기준점은 전체 910개가 아니라 중앙가격으로 고정한 정밀 shortlist 안의 시나리오별 최저 적격안이다. 요인비중은 같은 공통난수로 모든 8개 요인부분집합을 평가한 정확한 3요인 Shapley 분산배분이며 총비용 구성비가 아니다.</x:v>
      </x:c>
      <x:c r="B4" s="62"/>
      <x:c r="C4" s="62"/>
      <x:c r="D4" s="62"/>
      <x:c r="E4" s="62"/>
      <x:c r="F4" s="62"/>
      <x:c r="G4" s="62"/>
      <x:c r="H4" s="62"/>
      <x:c r="I4" s="62"/>
      <x:c r="J4" s="62"/>
      <x:c r="K4" s="62"/>
      <x:c r="L4" s="62"/>
      <x:c r="M4" s="62"/>
      <x:c r="N4" s="62"/>
      <x:c r="O4" s="62"/>
      <x:c r="P4" s="62"/>
    </x:row>
    <x:row r="5">
      <x:c r="A5" s="62"/>
      <x:c r="B5" s="62"/>
      <x:c r="C5" s="62"/>
      <x:c r="D5" s="62"/>
      <x:c r="E5" s="62"/>
      <x:c r="F5" s="62"/>
      <x:c r="G5" s="62"/>
      <x:c r="H5" s="62"/>
      <x:c r="I5" s="62"/>
      <x:c r="J5" s="62"/>
      <x:c r="K5" s="62"/>
      <x:c r="L5" s="62"/>
      <x:c r="M5" s="62"/>
      <x:c r="N5" s="62"/>
      <x:c r="O5" s="62"/>
      <x:c r="P5" s="62"/>
    </x:row>
    <x:row r="7" ht="28" customHeight="1">
      <x:c r="A7" s="29" t="str">
        <x:v>company</x:v>
      </x:c>
      <x:c r="B7" s="29" t="str">
        <x:v>λ=1 candidate</x:v>
      </x:c>
      <x:c r="C7" s="29" t="str">
        <x:v>template</x:v>
      </x:c>
      <x:c r="D7" s="29" t="str">
        <x:v>λ=1 frequency</x:v>
      </x:c>
      <x:c r="E7" s="29" t="str">
        <x:v>max regret</x:v>
      </x:c>
      <x:c r="F7" s="29" t="str">
        <x:v>worst TCaR</x:v>
      </x:c>
      <x:c r="G7" s="29" t="str">
        <x:v>worst scenario</x:v>
      </x:c>
      <x:c r="H7" s="29" t="str">
        <x:v>scenario P50</x:v>
      </x:c>
      <x:c r="I7" s="29" t="str">
        <x:v>scenario TCaR</x:v>
      </x:c>
      <x:c r="J7" s="29" t="str">
        <x:v>electricity risk</x:v>
      </x:c>
      <x:c r="K7" s="29" t="str">
        <x:v>H₂-input risk</x:v>
      </x:c>
      <x:c r="L7" s="29" t="str">
        <x:v>construction risk</x:v>
      </x:c>
      <x:c r="M7" s="29" t="str">
        <x:v>facility blocks</x:v>
      </x:c>
      <x:c r="N7" s="29" t="str">
        <x:v>aligned CAPEX bn</x:v>
      </x:c>
      <x:c r="O7" s="29" t="str">
        <x:v>annual abatement Mt</x:v>
      </x:c>
      <x:c r="P7" s="29" t="str">
        <x:v>peak scrap / H₂ / grid</x:v>
      </x:c>
    </x:row>
    <x:row r="8">
      <x:c r="A8" s="34" t="str">
        <x:v>JFE Steel</x:v>
      </x:c>
      <x:c r="B8" s="34" t="str">
        <x:v>CAND-E8FAD9BDD034A5</x:v>
      </x:c>
      <x:c r="C8" s="34" t="str">
        <x:v>P3</x:v>
      </x:c>
      <x:c r="D8" s="70" t="n">
        <x:v>1</x:v>
      </x:c>
      <x:c r="E8" s="52" t="n">
        <x:v>27.203741</x:v>
      </x:c>
      <x:c r="F8" s="52" t="n">
        <x:v>27.504166</x:v>
      </x:c>
      <x:c r="G8" s="34" t="str">
        <x:v>ACCELERATED_15C</x:v>
      </x:c>
      <x:c r="H8" s="52" t="n">
        <x:v>116.012678</x:v>
      </x:c>
      <x:c r="I8" s="52" t="n">
        <x:v>27.504166</x:v>
      </x:c>
      <x:c r="J8" s="56" t="n">
        <x:v>0.939683998</x:v>
      </x:c>
      <x:c r="K8" s="56" t="n">
        <x:v>0.028895691</x:v>
      </x:c>
      <x:c r="L8" s="56" t="n">
        <x:v>0.031420311</x:v>
      </x:c>
      <x:c r="M8" s="34" t="n">
        <x:v>4</x:v>
      </x:c>
      <x:c r="N8" s="44" t="n">
        <x:v>20429.2</x:v>
      </x:c>
      <x:c r="O8" s="44" t="n">
        <x:v>39.279987</x:v>
      </x:c>
      <x:c r="P8" s="34" t="str">
        <x:v>70% / 39% / 71%</x:v>
      </x:c>
    </x:row>
    <x:row r="9">
      <x:c r="A9" s="34" t="str">
        <x:v>Kobe Steel</x:v>
      </x:c>
      <x:c r="B9" s="34" t="str">
        <x:v>CAND-4D158AE8BC3521</x:v>
      </x:c>
      <x:c r="C9" s="34" t="str">
        <x:v>P3</x:v>
      </x:c>
      <x:c r="D9" s="70" t="n">
        <x:v>1</x:v>
      </x:c>
      <x:c r="E9" s="52" t="n">
        <x:v>94.087173</x:v>
      </x:c>
      <x:c r="F9" s="52" t="n">
        <x:v>27.243151</x:v>
      </x:c>
      <x:c r="G9" s="34" t="str">
        <x:v>ACCELERATED_15C</x:v>
      </x:c>
      <x:c r="H9" s="52" t="n">
        <x:v>136.736835</x:v>
      </x:c>
      <x:c r="I9" s="52" t="n">
        <x:v>27.243151</x:v>
      </x:c>
      <x:c r="J9" s="56" t="n">
        <x:v>0.938119118</x:v>
      </x:c>
      <x:c r="K9" s="56" t="n">
        <x:v>0.036311347</x:v>
      </x:c>
      <x:c r="L9" s="56" t="n">
        <x:v>0.025569534</x:v>
      </x:c>
      <x:c r="M9" s="34" t="n">
        <x:v>3</x:v>
      </x:c>
      <x:c r="N9" s="44" t="n">
        <x:v>5037.34</x:v>
      </x:c>
      <x:c r="O9" s="44" t="n">
        <x:v>12.3905</x:v>
      </x:c>
      <x:c r="P9" s="34" t="str">
        <x:v>58% / 46% / 64%</x:v>
      </x:c>
    </x:row>
    <x:row r="10">
      <x:c r="A10" s="34" t="str">
        <x:v>Nippon Steel</x:v>
      </x:c>
      <x:c r="B10" s="34" t="str">
        <x:v>CAND-7400D0EA735D98</x:v>
      </x:c>
      <x:c r="C10" s="34" t="str">
        <x:v>P3</x:v>
      </x:c>
      <x:c r="D10" s="70" t="n">
        <x:v>1</x:v>
      </x:c>
      <x:c r="E10" s="52" t="n">
        <x:v>58.992743</x:v>
      </x:c>
      <x:c r="F10" s="52" t="n">
        <x:v>18.718051</x:v>
      </x:c>
      <x:c r="G10" s="34" t="str">
        <x:v>ACCELERATED_15C</x:v>
      </x:c>
      <x:c r="H10" s="52" t="n">
        <x:v>70.354443</x:v>
      </x:c>
      <x:c r="I10" s="52" t="n">
        <x:v>18.718051</x:v>
      </x:c>
      <x:c r="J10" s="56" t="n">
        <x:v>0.929071365</x:v>
      </x:c>
      <x:c r="K10" s="56" t="n">
        <x:v>0.023302792</x:v>
      </x:c>
      <x:c r="L10" s="56" t="n">
        <x:v>0.047625844</x:v>
      </x:c>
      <x:c r="M10" s="34" t="n">
        <x:v>5</x:v>
      </x:c>
      <x:c r="N10" s="44" t="n">
        <x:v>29348</x:v>
      </x:c>
      <x:c r="O10" s="44" t="n">
        <x:v>60.364996</x:v>
      </x:c>
      <x:c r="P10" s="34" t="str">
        <x:v>78% / 24% / 66%</x:v>
      </x:c>
    </x:row>
    <x:row r="11">
      <x:c r="A11" s="35" t="str">
        <x:v>POSCO</x:v>
      </x:c>
      <x:c r="B11" s="35" t="str">
        <x:v>CAND-6339E6B83A8408</x:v>
      </x:c>
      <x:c r="C11" s="35" t="str">
        <x:v>P3</x:v>
      </x:c>
      <x:c r="D11" s="71" t="n">
        <x:v>1</x:v>
      </x:c>
      <x:c r="E11" s="53" t="n">
        <x:v>54.171665</x:v>
      </x:c>
      <x:c r="F11" s="53" t="n">
        <x:v>15.263214</x:v>
      </x:c>
      <x:c r="G11" s="35" t="str">
        <x:v>ACCELERATED_15C</x:v>
      </x:c>
      <x:c r="H11" s="53" t="n">
        <x:v>50.659107</x:v>
      </x:c>
      <x:c r="I11" s="53" t="n">
        <x:v>15.263214</x:v>
      </x:c>
      <x:c r="J11" s="57" t="n">
        <x:v>0.884536678</x:v>
      </x:c>
      <x:c r="K11" s="57" t="n">
        <x:v>0.037345666</x:v>
      </x:c>
      <x:c r="L11" s="57" t="n">
        <x:v>0.078117656</x:v>
      </x:c>
      <x:c r="M11" s="35" t="n">
        <x:v>5</x:v>
      </x:c>
      <x:c r="N11" s="45" t="n">
        <x:v>27588</x:v>
      </x:c>
      <x:c r="O11" s="45" t="n">
        <x:v>59.452031</x:v>
      </x:c>
      <x:c r="P11" s="35" t="str">
        <x:v>71% / 36% / 69%</x:v>
      </x:c>
    </x:row>
  </x:sheetData>
  <x:mergeCells>
    <x:mergeCell ref="A1:P2"/>
    <x:mergeCell ref="A4:P5"/>
  </x:mergeCells>
  <x:pageMargins left="0.7" right="0.7" top="0.75" bottom="0.75" header="0.3" footer="0.3"/>
</x:worksheet>
</file>

<file path=xl/worksheets/sheet28.xml><?xml version="1.0" encoding="utf-8"?>
<x:worksheet xmlns:x="http://schemas.openxmlformats.org/spreadsheetml/2006/main">
  <x:sheetViews>
    <x:sheetView showGridLines="0" workbookViewId="0"/>
  </x:sheetViews>
  <x:sheetFormatPr defaultRowHeight="15"/>
  <x:cols>
    <x:col min="1" max="1" width="21" hidden="0" customWidth="1"/>
    <x:col min="2" max="2" width="21" hidden="0" customWidth="1"/>
    <x:col min="3" max="3" width="21" hidden="0" customWidth="1"/>
    <x:col min="4" max="4" width="21" hidden="0" customWidth="1"/>
    <x:col min="5" max="5" width="21" hidden="0" customWidth="1"/>
    <x:col min="6" max="6" width="21" hidden="0" customWidth="1"/>
    <x:col min="7" max="7" width="21"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 min="32" max="32" width="16" hidden="0" customWidth="1"/>
    <x:col min="33" max="33" width="16" hidden="0" customWidth="1"/>
    <x:col min="34" max="34" width="16" hidden="0" customWidth="1"/>
    <x:col min="35" max="35" width="16" hidden="0" customWidth="1"/>
    <x:col min="36" max="36" width="16"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6" hidden="0" customWidth="1"/>
    <x:col min="47" max="47" width="16" hidden="0" customWidth="1"/>
    <x:col min="48" max="48" width="16" hidden="0" customWidth="1"/>
  </x:cols>
  <x:sheetData>
    <x:row r="1" ht="28" customHeight="1">
      <x:c r="A1" s="29" t="str">
        <x:v>company_id</x:v>
      </x:c>
      <x:c r="B1" s="29" t="str">
        <x:v>company_name</x:v>
      </x:c>
      <x:c r="C1" s="29" t="str">
        <x:v>candidate_id</x:v>
      </x:c>
      <x:c r="D1" s="29" t="str">
        <x:v>template_plan_id</x:v>
      </x:c>
      <x:c r="E1" s="29" t="str">
        <x:v>physical_portfolio_id</x:v>
      </x:c>
      <x:c r="F1" s="29" t="str">
        <x:v>scenario_id</x:v>
      </x:c>
      <x:c r="G1" s="29" t="str">
        <x:v>scenario_feasible</x:v>
      </x:c>
      <x:c r="H1" s="29" t="str">
        <x:v>carbon_budget_feasible</x:v>
      </x:c>
      <x:c r="I1" s="29" t="str">
        <x:v>physical_constraints_feasible</x:v>
      </x:c>
      <x:c r="J1" s="29" t="str">
        <x:v>common_avoided_emissions_mtco2</x:v>
      </x:c>
      <x:c r="K1" s="29" t="str">
        <x:v>candidate_path_count</x:v>
      </x:c>
      <x:c r="L1" s="29" t="str">
        <x:v>expected_cost_p50_kkrw_per_tco2_mean</x:v>
      </x:c>
      <x:c r="M1" s="29" t="str">
        <x:v>expected_cost_p50_kkrw_per_tco2_std</x:v>
      </x:c>
      <x:c r="N1" s="29" t="str">
        <x:v>net_economic_cost_p50_kkrw_per_tco2_common_denominator_mean</x:v>
      </x:c>
      <x:c r="O1" s="29" t="str">
        <x:v>net_economic_cost_p50_kkrw_per_tco2_common_denominator_std</x:v>
      </x:c>
      <x:c r="P1" s="29" t="str">
        <x:v>tcar_kkrw_per_tco2_mean</x:v>
      </x:c>
      <x:c r="Q1" s="29" t="str">
        <x:v>tcar_kkrw_per_tco2_std</x:v>
      </x:c>
      <x:c r="R1" s="29" t="str">
        <x:v>absolute_npv_p50_bn_krw_mean</x:v>
      </x:c>
      <x:c r="S1" s="29" t="str">
        <x:v>absolute_npv_p50_bn_krw_std</x:v>
      </x:c>
      <x:c r="T1" s="29" t="str">
        <x:v>absolute_npv_p90_bn_krw_mean</x:v>
      </x:c>
      <x:c r="U1" s="29" t="str">
        <x:v>absolute_npv_p90_bn_krw_std</x:v>
      </x:c>
      <x:c r="V1" s="29" t="str">
        <x:v>aligned_capex_bn_krw_mean</x:v>
      </x:c>
      <x:c r="W1" s="29" t="str">
        <x:v>aligned_capex_bn_krw_std</x:v>
      </x:c>
      <x:c r="X1" s="29" t="str">
        <x:v>net_cash_cost_after_support_p50_bn_krw_mean</x:v>
      </x:c>
      <x:c r="Y1" s="29" t="str">
        <x:v>net_cash_cost_after_support_p50_bn_krw_std</x:v>
      </x:c>
      <x:c r="Z1" s="29" t="str">
        <x:v>avoided_carbon_cost_value_p50_bn_krw_mean</x:v>
      </x:c>
      <x:c r="AA1" s="29" t="str">
        <x:v>avoided_carbon_cost_value_p50_bn_krw_std</x:v>
      </x:c>
      <x:c r="AB1" s="29" t="str">
        <x:v>policy_support_value_p50_bn_krw_mean</x:v>
      </x:c>
      <x:c r="AC1" s="29" t="str">
        <x:v>policy_support_value_p50_bn_krw_std</x:v>
      </x:c>
      <x:c r="AD1" s="29" t="str">
        <x:v>scenario_regret_p50_kkrw_per_tco2_mean</x:v>
      </x:c>
      <x:c r="AE1" s="29" t="str">
        <x:v>scenario_regret_p50_kkrw_per_tco2_std</x:v>
      </x:c>
      <x:c r="AF1" s="29" t="str">
        <x:v>electricity_variance_share_mean</x:v>
      </x:c>
      <x:c r="AG1" s="29" t="str">
        <x:v>electricity_variance_share_std</x:v>
      </x:c>
      <x:c r="AH1" s="29" t="str">
        <x:v>hydrogen_variance_share_mean</x:v>
      </x:c>
      <x:c r="AI1" s="29" t="str">
        <x:v>hydrogen_variance_share_std</x:v>
      </x:c>
      <x:c r="AJ1" s="29" t="str">
        <x:v>capex_variance_share_mean</x:v>
      </x:c>
      <x:c r="AK1" s="29" t="str">
        <x:v>capex_variance_share_std</x:v>
      </x:c>
      <x:c r="AL1" s="29" t="str">
        <x:v>electricity_shapley_variance_share_mean</x:v>
      </x:c>
      <x:c r="AM1" s="29" t="str">
        <x:v>electricity_shapley_variance_share_std</x:v>
      </x:c>
      <x:c r="AN1" s="29" t="str">
        <x:v>hydrogen_shapley_variance_share_mean</x:v>
      </x:c>
      <x:c r="AO1" s="29" t="str">
        <x:v>hydrogen_shapley_variance_share_std</x:v>
      </x:c>
      <x:c r="AP1" s="29" t="str">
        <x:v>capex_shapley_variance_share_mean</x:v>
      </x:c>
      <x:c r="AQ1" s="29" t="str">
        <x:v>capex_shapley_variance_share_std</x:v>
      </x:c>
      <x:c r="AR1" s="29" t="str">
        <x:v>shapley_full_variance_mean</x:v>
      </x:c>
      <x:c r="AS1" s="29" t="str">
        <x:v>shapley_full_variance_std</x:v>
      </x:c>
      <x:c r="AT1" s="29" t="str">
        <x:v>shapley_reconciliation_delta_mean</x:v>
      </x:c>
      <x:c r="AU1" s="29" t="str">
        <x:v>shapley_reconciliation_delta_std</x:v>
      </x:c>
      <x:c r="AV1" s="29" t="str">
        <x:v>risk_decomposition_method</x:v>
      </x:c>
    </x:row>
    <x:row r="2">
      <x:c r="A2" s="34" t="str">
        <x:v>POSCO_KR</x:v>
      </x:c>
      <x:c r="B2" s="34" t="str">
        <x:v>POSCO</x:v>
      </x:c>
      <x:c r="C2" s="34" t="str">
        <x:v>CAND-6339E6B83A8408</x:v>
      </x:c>
      <x:c r="D2" s="34" t="str">
        <x:v>P3</x:v>
      </x:c>
      <x:c r="E2" s="34" t="str">
        <x:v>PORT-8826D0B469EE</x:v>
      </x:c>
      <x:c r="F2" s="34" t="str">
        <x:v>DISCLOSED_PATH</x:v>
      </x:c>
      <x:c r="G2" s="40" t="b">
        <x:v>1</x:v>
      </x:c>
      <x:c r="H2" s="40" t="b">
        <x:v>1</x:v>
      </x:c>
      <x:c r="I2" s="40" t="b">
        <x:v>1</x:v>
      </x:c>
      <x:c r="J2" s="34" t="n">
        <x:v>429.154227</x:v>
      </x:c>
      <x:c r="K2" s="34" t="n">
        <x:v>1000</x:v>
      </x:c>
      <x:c r="L2" s="34" t="n">
        <x:v>63.344755</x:v>
      </x:c>
      <x:c r="M2" s="34" t="n">
        <x:v>0.221324</x:v>
      </x:c>
      <x:c r="N2" s="34" t="n">
        <x:v>63.344755</x:v>
      </x:c>
      <x:c r="O2" s="34" t="n">
        <x:v>0.221324</x:v>
      </x:c>
      <x:c r="P2" s="34" t="n">
        <x:v>14.335236</x:v>
      </x:c>
      <x:c r="Q2" s="34" t="n">
        <x:v>0.660609</x:v>
      </x:c>
      <x:c r="R2" s="34" t="n">
        <x:v>27184.669333</x:v>
      </x:c>
      <x:c r="S2" s="34" t="n">
        <x:v>94.982174</x:v>
      </x:c>
      <x:c r="T2" s="34" t="n">
        <x:v>33336.697</x:v>
      </x:c>
      <x:c r="U2" s="34" t="n">
        <x:v>267.822459</x:v>
      </x:c>
      <x:c r="V2" s="34" t="n">
        <x:v>27588</x:v>
      </x:c>
      <x:c r="W2" s="34" t="n">
        <x:v>0</x:v>
      </x:c>
      <x:c r="X2" s="34" t="n">
        <x:v>42740.961333</x:v>
      </x:c>
      <x:c r="Y2" s="34" t="n">
        <x:v>94.982174</x:v>
      </x:c>
      <x:c r="Z2" s="34" t="n">
        <x:v>15556.292</x:v>
      </x:c>
      <x:c r="AA2" s="34" t="n">
        <x:v>0</x:v>
      </x:c>
      <x:c r="AB2" s="34" t="n">
        <x:v>3876.653333</x:v>
      </x:c>
      <x:c r="AC2" s="34" t="n">
        <x:v>15.885712</x:v>
      </x:c>
      <x:c r="AD2" s="34" t="n">
        <x:v>54.171665</x:v>
      </x:c>
      <x:c r="AE2" s="34" t="n">
        <x:v>0.185855</x:v>
      </x:c>
      <x:c r="AF2" s="34" t="n">
        <x:v>0.92185</x:v>
      </x:c>
      <x:c r="AG2" s="34" t="n">
        <x:v>0.002539</x:v>
      </x:c>
      <x:c r="AH2" s="34" t="n">
        <x:v>0.006709</x:v>
      </x:c>
      <x:c r="AI2" s="34" t="n">
        <x:v>0.000196</x:v>
      </x:c>
      <x:c r="AJ2" s="34" t="n">
        <x:v>0.07144</x:v>
      </x:c>
      <x:c r="AK2" s="34" t="n">
        <x:v>0.002346</x:v>
      </x:c>
      <x:c r="AL2" s="34" t="n">
        <x:v>0.852528293</x:v>
      </x:c>
      <x:c r="AM2" s="34" t="n">
        <x:v>0.005346129</x:v>
      </x:c>
      <x:c r="AN2" s="34" t="n">
        <x:v>0.046806481</x:v>
      </x:c>
      <x:c r="AO2" s="34" t="n">
        <x:v>0.001458791</x:v>
      </x:c>
      <x:c r="AP2" s="34" t="n">
        <x:v>0.100665226</x:v>
      </x:c>
      <x:c r="AQ2" s="34" t="n">
        <x:v>0.006722347</x:v>
      </x:c>
      <x:c r="AR2" s="34" t="n">
        <x:v>104.969523835</x:v>
      </x:c>
      <x:c r="AS2" s="34" t="n">
        <x:v>4.848663169</x:v>
      </x:c>
      <x:c r="AT2" s="34" t="n">
        <x:v>0</x:v>
      </x:c>
      <x:c r="AU2" s="34" t="n">
        <x:v>0</x:v>
      </x:c>
      <x:c r="AV2" s="34" t="str">
        <x:v>variance_game_shapley_common_random_numbers</x:v>
      </x:c>
    </x:row>
    <x:row r="3">
      <x:c r="A3" s="34" t="str">
        <x:v>POSCO_KR</x:v>
      </x:c>
      <x:c r="B3" s="34" t="str">
        <x:v>POSCO</x:v>
      </x:c>
      <x:c r="C3" s="34" t="str">
        <x:v>CAND-6339E6B83A8408</x:v>
      </x:c>
      <x:c r="D3" s="34" t="str">
        <x:v>P3</x:v>
      </x:c>
      <x:c r="E3" s="34" t="str">
        <x:v>PORT-8826D0B469EE</x:v>
      </x:c>
      <x:c r="F3" s="34" t="str">
        <x:v>ACCELERATED_15C</x:v>
      </x:c>
      <x:c r="G3" s="40" t="b">
        <x:v>1</x:v>
      </x:c>
      <x:c r="H3" s="40" t="b">
        <x:v>1</x:v>
      </x:c>
      <x:c r="I3" s="40" t="b">
        <x:v>1</x:v>
      </x:c>
      <x:c r="J3" s="34" t="n">
        <x:v>429.154227</x:v>
      </x:c>
      <x:c r="K3" s="34" t="n">
        <x:v>1000</x:v>
      </x:c>
      <x:c r="L3" s="34" t="n">
        <x:v>50.659107</x:v>
      </x:c>
      <x:c r="M3" s="34" t="n">
        <x:v>0.25095</x:v>
      </x:c>
      <x:c r="N3" s="34" t="n">
        <x:v>50.659107</x:v>
      </x:c>
      <x:c r="O3" s="34" t="n">
        <x:v>0.25095</x:v>
      </x:c>
      <x:c r="P3" s="34" t="n">
        <x:v>15.263214</x:v>
      </x:c>
      <x:c r="Q3" s="34" t="n">
        <x:v>0.82809</x:v>
      </x:c>
      <x:c r="R3" s="34" t="n">
        <x:v>21740.569667</x:v>
      </x:c>
      <x:c r="S3" s="34" t="n">
        <x:v>107.696468</x:v>
      </x:c>
      <x:c r="T3" s="34" t="n">
        <x:v>28290.843</x:v>
      </x:c>
      <x:c r="U3" s="34" t="n">
        <x:v>347.639612</x:v>
      </x:c>
      <x:c r="V3" s="34" t="n">
        <x:v>27588</x:v>
      </x:c>
      <x:c r="W3" s="34" t="n">
        <x:v>0</x:v>
      </x:c>
      <x:c r="X3" s="34" t="n">
        <x:v>44470.030667</x:v>
      </x:c>
      <x:c r="Y3" s="34" t="n">
        <x:v>107.696468</x:v>
      </x:c>
      <x:c r="Z3" s="34" t="n">
        <x:v>22729.461</x:v>
      </x:c>
      <x:c r="AA3" s="34" t="n">
        <x:v>0</x:v>
      </x:c>
      <x:c r="AB3" s="34" t="n">
        <x:v>5409.118</x:v>
      </x:c>
      <x:c r="AC3" s="34" t="n">
        <x:v>24.013611</x:v>
      </x:c>
      <x:c r="AD3" s="34" t="n">
        <x:v>31.417934</x:v>
      </x:c>
      <x:c r="AE3" s="34" t="n">
        <x:v>0.094773</x:v>
      </x:c>
      <x:c r="AF3" s="34" t="n">
        <x:v>0.945129</x:v>
      </x:c>
      <x:c r="AG3" s="34" t="n">
        <x:v>0.001803</x:v>
      </x:c>
      <x:c r="AH3" s="34" t="n">
        <x:v>0.004287</x:v>
      </x:c>
      <x:c r="AI3" s="34" t="n">
        <x:v>0.000129</x:v>
      </x:c>
      <x:c r="AJ3" s="34" t="n">
        <x:v>0.050583</x:v>
      </x:c>
      <x:c r="AK3" s="34" t="n">
        <x:v>0.001675</x:v>
      </x:c>
      <x:c r="AL3" s="34" t="n">
        <x:v>0.884536678</x:v>
      </x:c>
      <x:c r="AM3" s="34" t="n">
        <x:v>0.004720573</x:v>
      </x:c>
      <x:c r="AN3" s="34" t="n">
        <x:v>0.037345666</x:v>
      </x:c>
      <x:c r="AO3" s="34" t="n">
        <x:v>0.001253235</x:v>
      </x:c>
      <x:c r="AP3" s="34" t="n">
        <x:v>0.078117656</x:v>
      </x:c>
      <x:c r="AQ3" s="34" t="n">
        <x:v>0.005870571</x:v>
      </x:c>
      <x:c r="AR3" s="34" t="n">
        <x:v>119.272005392</x:v>
      </x:c>
      <x:c r="AS3" s="34" t="n">
        <x:v>5.605031712</x:v>
      </x:c>
      <x:c r="AT3" s="34" t="n">
        <x:v>0</x:v>
      </x:c>
      <x:c r="AU3" s="34" t="n">
        <x:v>0</x:v>
      </x:c>
      <x:c r="AV3" s="34" t="str">
        <x:v>variance_game_shapley_common_random_numbers</x:v>
      </x:c>
    </x:row>
    <x:row r="4">
      <x:c r="A4" s="34" t="str">
        <x:v>POSCO_KR</x:v>
      </x:c>
      <x:c r="B4" s="34" t="str">
        <x:v>POSCO</x:v>
      </x:c>
      <x:c r="C4" s="34" t="str">
        <x:v>CAND-82FF2AA13BA34C</x:v>
      </x:c>
      <x:c r="D4" s="34" t="str">
        <x:v>P2</x:v>
      </x:c>
      <x:c r="E4" s="34" t="str">
        <x:v>PORT-8826D0B469EE</x:v>
      </x:c>
      <x:c r="F4" s="34" t="str">
        <x:v>DISCLOSED_PATH</x:v>
      </x:c>
      <x:c r="G4" s="40" t="b">
        <x:v>1</x:v>
      </x:c>
      <x:c r="H4" s="40" t="b">
        <x:v>1</x:v>
      </x:c>
      <x:c r="I4" s="40" t="b">
        <x:v>1</x:v>
      </x:c>
      <x:c r="J4" s="34" t="n">
        <x:v>429.154227</x:v>
      </x:c>
      <x:c r="K4" s="34" t="n">
        <x:v>1000</x:v>
      </x:c>
      <x:c r="L4" s="34" t="n">
        <x:v>65.35953</x:v>
      </x:c>
      <x:c r="M4" s="34" t="n">
        <x:v>0.296371</x:v>
      </x:c>
      <x:c r="N4" s="34" t="n">
        <x:v>65.35953</x:v>
      </x:c>
      <x:c r="O4" s="34" t="n">
        <x:v>0.296371</x:v>
      </x:c>
      <x:c r="P4" s="34" t="n">
        <x:v>17.863095</x:v>
      </x:c>
      <x:c r="Q4" s="34" t="n">
        <x:v>0.822847</x:v>
      </x:c>
      <x:c r="R4" s="34" t="n">
        <x:v>28049.318333</x:v>
      </x:c>
      <x:c r="S4" s="34" t="n">
        <x:v>127.188606</x:v>
      </x:c>
      <x:c r="T4" s="34" t="n">
        <x:v>35715.341</x:v>
      </x:c>
      <x:c r="U4" s="34" t="n">
        <x:v>345.309695</x:v>
      </x:c>
      <x:c r="V4" s="34" t="n">
        <x:v>27588</x:v>
      </x:c>
      <x:c r="W4" s="34" t="n">
        <x:v>0</x:v>
      </x:c>
      <x:c r="X4" s="34" t="n">
        <x:v>43605.61</x:v>
      </x:c>
      <x:c r="Y4" s="34" t="n">
        <x:v>127.188997</x:v>
      </x:c>
      <x:c r="Z4" s="34" t="n">
        <x:v>15556.292</x:v>
      </x:c>
      <x:c r="AA4" s="34" t="n">
        <x:v>0</x:v>
      </x:c>
      <x:c r="AB4" s="34" t="n">
        <x:v>3015.249333</x:v>
      </x:c>
      <x:c r="AC4" s="34" t="n">
        <x:v>10.632666</x:v>
      </x:c>
      <x:c r="AD4" s="34" t="n">
        <x:v>56.18644</x:v>
      </x:c>
      <x:c r="AE4" s="34" t="n">
        <x:v>0.226035</x:v>
      </x:c>
      <x:c r="AF4" s="34" t="n">
        <x:v>0.92377</x:v>
      </x:c>
      <x:c r="AG4" s="34" t="n">
        <x:v>0.002463</x:v>
      </x:c>
      <x:c r="AH4" s="34" t="n">
        <x:v>0.006774</x:v>
      </x:c>
      <x:c r="AI4" s="34" t="n">
        <x:v>0.000197</x:v>
      </x:c>
      <x:c r="AJ4" s="34" t="n">
        <x:v>0.069457</x:v>
      </x:c>
      <x:c r="AK4" s="34" t="n">
        <x:v>0.002268</x:v>
      </x:c>
      <x:c r="AL4" s="34" t="n">
        <x:v>0.854461045</x:v>
      </x:c>
      <x:c r="AM4" s="34" t="n">
        <x:v>0.005272801</x:v>
      </x:c>
      <x:c r="AN4" s="34" t="n">
        <x:v>0.047069284</x:v>
      </x:c>
      <x:c r="AO4" s="34" t="n">
        <x:v>0.001474824</x:v>
      </x:c>
      <x:c r="AP4" s="34" t="n">
        <x:v>0.09846967</x:v>
      </x:c>
      <x:c r="AQ4" s="34" t="n">
        <x:v>0.006659494</x:v>
      </x:c>
      <x:c r="AR4" s="34" t="n">
        <x:v>163.42364224</x:v>
      </x:c>
      <x:c r="AS4" s="34" t="n">
        <x:v>7.53735179</x:v>
      </x:c>
      <x:c r="AT4" s="34" t="n">
        <x:v>0</x:v>
      </x:c>
      <x:c r="AU4" s="34" t="n">
        <x:v>0</x:v>
      </x:c>
      <x:c r="AV4" s="34" t="str">
        <x:v>variance_game_shapley_common_random_numbers</x:v>
      </x:c>
    </x:row>
    <x:row r="5">
      <x:c r="A5" s="34" t="str">
        <x:v>POSCO_KR</x:v>
      </x:c>
      <x:c r="B5" s="34" t="str">
        <x:v>POSCO</x:v>
      </x:c>
      <x:c r="C5" s="34" t="str">
        <x:v>CAND-82FF2AA13BA34C</x:v>
      </x:c>
      <x:c r="D5" s="34" t="str">
        <x:v>P2</x:v>
      </x:c>
      <x:c r="E5" s="34" t="str">
        <x:v>PORT-8826D0B469EE</x:v>
      </x:c>
      <x:c r="F5" s="34" t="str">
        <x:v>ACCELERATED_15C</x:v>
      </x:c>
      <x:c r="G5" s="40" t="b">
        <x:v>1</x:v>
      </x:c>
      <x:c r="H5" s="40" t="b">
        <x:v>1</x:v>
      </x:c>
      <x:c r="I5" s="40" t="b">
        <x:v>1</x:v>
      </x:c>
      <x:c r="J5" s="34" t="n">
        <x:v>429.154227</x:v>
      </x:c>
      <x:c r="K5" s="34" t="n">
        <x:v>1000</x:v>
      </x:c>
      <x:c r="L5" s="34" t="n">
        <x:v>53.623801</x:v>
      </x:c>
      <x:c r="M5" s="34" t="n">
        <x:v>0.361372</x:v>
      </x:c>
      <x:c r="N5" s="34" t="n">
        <x:v>53.623801</x:v>
      </x:c>
      <x:c r="O5" s="34" t="n">
        <x:v>0.361372</x:v>
      </x:c>
      <x:c r="P5" s="34" t="n">
        <x:v>19.288764</x:v>
      </x:c>
      <x:c r="Q5" s="34" t="n">
        <x:v>0.974728</x:v>
      </x:c>
      <x:c r="R5" s="34" t="n">
        <x:v>23012.880667</x:v>
      </x:c>
      <x:c r="S5" s="34" t="n">
        <x:v>155.083948</x:v>
      </x:c>
      <x:c r="T5" s="34" t="n">
        <x:v>31290.735333</x:v>
      </x:c>
      <x:c r="U5" s="34" t="n">
        <x:v>439.077578</x:v>
      </x:c>
      <x:c r="V5" s="34" t="n">
        <x:v>27588</x:v>
      </x:c>
      <x:c r="W5" s="34" t="n">
        <x:v>0</x:v>
      </x:c>
      <x:c r="X5" s="34" t="n">
        <x:v>45742.342</x:v>
      </x:c>
      <x:c r="Y5" s="34" t="n">
        <x:v>155.0845</x:v>
      </x:c>
      <x:c r="Z5" s="34" t="n">
        <x:v>22729.461</x:v>
      </x:c>
      <x:c r="AA5" s="34" t="n">
        <x:v>0</x:v>
      </x:c>
      <x:c r="AB5" s="34" t="n">
        <x:v>4144.491</x:v>
      </x:c>
      <x:c r="AC5" s="34" t="n">
        <x:v>18.32582</x:v>
      </x:c>
      <x:c r="AD5" s="34" t="n">
        <x:v>34.382628</x:v>
      </x:c>
      <x:c r="AE5" s="34" t="n">
        <x:v>0.144318</x:v>
      </x:c>
      <x:c r="AF5" s="34" t="n">
        <x:v>0.948254</x:v>
      </x:c>
      <x:c r="AG5" s="34" t="n">
        <x:v>0.001681</x:v>
      </x:c>
      <x:c r="AH5" s="34" t="n">
        <x:v>0.004373</x:v>
      </x:c>
      <x:c r="AI5" s="34" t="n">
        <x:v>0.00013</x:v>
      </x:c>
      <x:c r="AJ5" s="34" t="n">
        <x:v>0.047373</x:v>
      </x:c>
      <x:c r="AK5" s="34" t="n">
        <x:v>0.001553</x:v>
      </x:c>
      <x:c r="AL5" s="34" t="n">
        <x:v>0.887960458</x:v>
      </x:c>
      <x:c r="AM5" s="34" t="n">
        <x:v>0.004571923</x:v>
      </x:c>
      <x:c r="AN5" s="34" t="n">
        <x:v>0.03776885</x:v>
      </x:c>
      <x:c r="AO5" s="34" t="n">
        <x:v>0.001279757</x:v>
      </x:c>
      <x:c r="AP5" s="34" t="n">
        <x:v>0.074270692</x:v>
      </x:c>
      <x:c r="AQ5" s="34" t="n">
        <x:v>0.005736588</x:v>
      </x:c>
      <x:c r="AR5" s="34" t="n">
        <x:v>192.598856073</x:v>
      </x:c>
      <x:c r="AS5" s="34" t="n">
        <x:v>9.027535495</x:v>
      </x:c>
      <x:c r="AT5" s="34" t="n">
        <x:v>0</x:v>
      </x:c>
      <x:c r="AU5" s="34" t="n">
        <x:v>0</x:v>
      </x:c>
      <x:c r="AV5" s="34" t="str">
        <x:v>variance_game_shapley_common_random_numbers</x:v>
      </x:c>
    </x:row>
    <x:row r="6">
      <x:c r="A6" s="34" t="str">
        <x:v>POSCO_KR</x:v>
      </x:c>
      <x:c r="B6" s="34" t="str">
        <x:v>POSCO</x:v>
      </x:c>
      <x:c r="C6" s="34" t="str">
        <x:v>CAND-C9724A8933A429</x:v>
      </x:c>
      <x:c r="D6" s="34" t="str">
        <x:v>P1</x:v>
      </x:c>
      <x:c r="E6" s="34" t="str">
        <x:v>PORT-8826D0B469EE</x:v>
      </x:c>
      <x:c r="F6" s="34" t="str">
        <x:v>DISCLOSED_PATH</x:v>
      </x:c>
      <x:c r="G6" s="40" t="b">
        <x:v>1</x:v>
      </x:c>
      <x:c r="H6" s="40" t="b">
        <x:v>1</x:v>
      </x:c>
      <x:c r="I6" s="40" t="b">
        <x:v>1</x:v>
      </x:c>
      <x:c r="J6" s="34" t="n">
        <x:v>429.154227</x:v>
      </x:c>
      <x:c r="K6" s="34" t="n">
        <x:v>1000</x:v>
      </x:c>
      <x:c r="L6" s="34" t="n">
        <x:v>66.793851</x:v>
      </x:c>
      <x:c r="M6" s="34" t="n">
        <x:v>0.363941</x:v>
      </x:c>
      <x:c r="N6" s="34" t="n">
        <x:v>66.793851</x:v>
      </x:c>
      <x:c r="O6" s="34" t="n">
        <x:v>0.363941</x:v>
      </x:c>
      <x:c r="P6" s="34" t="n">
        <x:v>20.597008</x:v>
      </x:c>
      <x:c r="Q6" s="34" t="n">
        <x:v>1.005314</x:v>
      </x:c>
      <x:c r="R6" s="34" t="n">
        <x:v>28664.863667</x:v>
      </x:c>
      <x:c r="S6" s="34" t="n">
        <x:v>156.187148</x:v>
      </x:c>
      <x:c r="T6" s="34" t="n">
        <x:v>37504.156667</x:v>
      </x:c>
      <x:c r="U6" s="34" t="n">
        <x:v>424.02014</x:v>
      </x:c>
      <x:c r="V6" s="34" t="n">
        <x:v>27588</x:v>
      </x:c>
      <x:c r="W6" s="34" t="n">
        <x:v>0</x:v>
      </x:c>
      <x:c r="X6" s="34" t="n">
        <x:v>44221.155667</x:v>
      </x:c>
      <x:c r="Y6" s="34" t="n">
        <x:v>156.187148</x:v>
      </x:c>
      <x:c r="Z6" s="34" t="n">
        <x:v>15556.292</x:v>
      </x:c>
      <x:c r="AA6" s="34" t="n">
        <x:v>0</x:v>
      </x:c>
      <x:c r="AB6" s="34" t="n">
        <x:v>2426.220667</x:v>
      </x:c>
      <x:c r="AC6" s="34" t="n">
        <x:v>14.556911</x:v>
      </x:c>
      <x:c r="AD6" s="34" t="n">
        <x:v>57.620762</x:v>
      </x:c>
      <x:c r="AE6" s="34" t="n">
        <x:v>0.292891</x:v>
      </x:c>
      <x:c r="AF6" s="34" t="n">
        <x:v>0.9274</x:v>
      </x:c>
      <x:c r="AG6" s="34" t="n">
        <x:v>0.002368</x:v>
      </x:c>
      <x:c r="AH6" s="34" t="n">
        <x:v>0.006642</x:v>
      </x:c>
      <x:c r="AI6" s="34" t="n">
        <x:v>0.000195</x:v>
      </x:c>
      <x:c r="AJ6" s="34" t="n">
        <x:v>0.065959</x:v>
      </x:c>
      <x:c r="AK6" s="34" t="n">
        <x:v>0.002176</x:v>
      </x:c>
      <x:c r="AL6" s="34" t="n">
        <x:v>0.858548023</x:v>
      </x:c>
      <x:c r="AM6" s="34" t="n">
        <x:v>0.005148646</x:v>
      </x:c>
      <x:c r="AN6" s="34" t="n">
        <x:v>0.046622739</x:v>
      </x:c>
      <x:c r="AO6" s="34" t="n">
        <x:v>0.001456626</x:v>
      </x:c>
      <x:c r="AP6" s="34" t="n">
        <x:v>0.094829237</x:v>
      </x:c>
      <x:c r="AQ6" s="34" t="n">
        <x:v>0.006516148</x:v>
      </x:c>
      <x:c r="AR6" s="34" t="n">
        <x:v>217.282375264</x:v>
      </x:c>
      <x:c r="AS6" s="34" t="n">
        <x:v>10.117133938</x:v>
      </x:c>
      <x:c r="AT6" s="34" t="n">
        <x:v>0</x:v>
      </x:c>
      <x:c r="AU6" s="34" t="n">
        <x:v>0</x:v>
      </x:c>
      <x:c r="AV6" s="34" t="str">
        <x:v>variance_game_shapley_common_random_numbers</x:v>
      </x:c>
    </x:row>
    <x:row r="7">
      <x:c r="A7" s="34" t="str">
        <x:v>POSCO_KR</x:v>
      </x:c>
      <x:c r="B7" s="34" t="str">
        <x:v>POSCO</x:v>
      </x:c>
      <x:c r="C7" s="34" t="str">
        <x:v>CAND-C9724A8933A429</x:v>
      </x:c>
      <x:c r="D7" s="34" t="str">
        <x:v>P1</x:v>
      </x:c>
      <x:c r="E7" s="34" t="str">
        <x:v>PORT-8826D0B469EE</x:v>
      </x:c>
      <x:c r="F7" s="34" t="str">
        <x:v>ACCELERATED_15C</x:v>
      </x:c>
      <x:c r="G7" s="40" t="b">
        <x:v>1</x:v>
      </x:c>
      <x:c r="H7" s="40" t="b">
        <x:v>1</x:v>
      </x:c>
      <x:c r="I7" s="40" t="b">
        <x:v>1</x:v>
      </x:c>
      <x:c r="J7" s="34" t="n">
        <x:v>429.154227</x:v>
      </x:c>
      <x:c r="K7" s="34" t="n">
        <x:v>1000</x:v>
      </x:c>
      <x:c r="L7" s="34" t="n">
        <x:v>55.664543</x:v>
      </x:c>
      <x:c r="M7" s="34" t="n">
        <x:v>0.405427</x:v>
      </x:c>
      <x:c r="N7" s="34" t="n">
        <x:v>55.664543</x:v>
      </x:c>
      <x:c r="O7" s="34" t="n">
        <x:v>0.405427</x:v>
      </x:c>
      <x:c r="P7" s="34" t="n">
        <x:v>22.570132</x:v>
      </x:c>
      <x:c r="Q7" s="34" t="n">
        <x:v>1.098313</x:v>
      </x:c>
      <x:c r="R7" s="34" t="n">
        <x:v>23888.674</x:v>
      </x:c>
      <x:c r="S7" s="34" t="n">
        <x:v>173.990391</x:v>
      </x:c>
      <x:c r="T7" s="34" t="n">
        <x:v>33574.741333</x:v>
      </x:c>
      <x:c r="U7" s="34" t="n">
        <x:v>505.142697</x:v>
      </x:c>
      <x:c r="V7" s="34" t="n">
        <x:v>27588</x:v>
      </x:c>
      <x:c r="W7" s="34" t="n">
        <x:v>0</x:v>
      </x:c>
      <x:c r="X7" s="34" t="n">
        <x:v>46618.135</x:v>
      </x:c>
      <x:c r="Y7" s="34" t="n">
        <x:v>173.990391</x:v>
      </x:c>
      <x:c r="Z7" s="34" t="n">
        <x:v>22729.461</x:v>
      </x:c>
      <x:c r="AA7" s="34" t="n">
        <x:v>0</x:v>
      </x:c>
      <x:c r="AB7" s="34" t="n">
        <x:v>3289.554333</x:v>
      </x:c>
      <x:c r="AC7" s="34" t="n">
        <x:v>20.023282</x:v>
      </x:c>
      <x:c r="AD7" s="34" t="n">
        <x:v>36.42337</x:v>
      </x:c>
      <x:c r="AE7" s="34" t="n">
        <x:v>0.184079</x:v>
      </x:c>
      <x:c r="AF7" s="34" t="n">
        <x:v>0.951757</x:v>
      </x:c>
      <x:c r="AG7" s="34" t="n">
        <x:v>0.001576</x:v>
      </x:c>
      <x:c r="AH7" s="34" t="n">
        <x:v>0.00431</x:v>
      </x:c>
      <x:c r="AI7" s="34" t="n">
        <x:v>0.000129</x:v>
      </x:c>
      <x:c r="AJ7" s="34" t="n">
        <x:v>0.043932</x:v>
      </x:c>
      <x:c r="AK7" s="34" t="n">
        <x:v>0.001448</x:v>
      </x:c>
      <x:c r="AL7" s="34" t="n">
        <x:v>0.892190275</x:v>
      </x:c>
      <x:c r="AM7" s="34" t="n">
        <x:v>0.004404682</x:v>
      </x:c>
      <x:c r="AN7" s="34" t="n">
        <x:v>0.0375167</x:v>
      </x:c>
      <x:c r="AO7" s="34" t="n">
        <x:v>0.001271452</x:v>
      </x:c>
      <x:c r="AP7" s="34" t="n">
        <x:v>0.070293025</x:v>
      </x:c>
      <x:c r="AQ7" s="34" t="n">
        <x:v>0.005556431</x:v>
      </x:c>
      <x:c r="AR7" s="34" t="n">
        <x:v>262.150996859</x:v>
      </x:c>
      <x:c r="AS7" s="34" t="n">
        <x:v>12.385228626</x:v>
      </x:c>
      <x:c r="AT7" s="34" t="n">
        <x:v>0</x:v>
      </x:c>
      <x:c r="AU7" s="34" t="n">
        <x:v>0</x:v>
      </x:c>
      <x:c r="AV7" s="34" t="str">
        <x:v>variance_game_shapley_common_random_numbers</x:v>
      </x:c>
    </x:row>
    <x:row r="8">
      <x:c r="A8" s="34" t="str">
        <x:v>POSCO_KR</x:v>
      </x:c>
      <x:c r="B8" s="34" t="str">
        <x:v>POSCO</x:v>
      </x:c>
      <x:c r="C8" s="34" t="str">
        <x:v>CAND-921D50D4015721</x:v>
      </x:c>
      <x:c r="D8" s="34" t="str">
        <x:v>P3</x:v>
      </x:c>
      <x:c r="E8" s="34" t="str">
        <x:v>PORT-96133A6427FE</x:v>
      </x:c>
      <x:c r="F8" s="34" t="str">
        <x:v>DISCLOSED_PATH</x:v>
      </x:c>
      <x:c r="G8" s="40" t="b">
        <x:v>1</x:v>
      </x:c>
      <x:c r="H8" s="40" t="b">
        <x:v>1</x:v>
      </x:c>
      <x:c r="I8" s="40" t="b">
        <x:v>1</x:v>
      </x:c>
      <x:c r="J8" s="34" t="n">
        <x:v>430.20423</x:v>
      </x:c>
      <x:c r="K8" s="34" t="n">
        <x:v>1000</x:v>
      </x:c>
      <x:c r="L8" s="34" t="n">
        <x:v>67.512379</x:v>
      </x:c>
      <x:c r="M8" s="34" t="n">
        <x:v>0.268709</x:v>
      </x:c>
      <x:c r="N8" s="34" t="n">
        <x:v>67.512379</x:v>
      </x:c>
      <x:c r="O8" s="34" t="n">
        <x:v>0.268709</x:v>
      </x:c>
      <x:c r="P8" s="34" t="n">
        <x:v>14.292049</x:v>
      </x:c>
      <x:c r="Q8" s="34" t="n">
        <x:v>0.749571</x:v>
      </x:c>
      <x:c r="R8" s="34" t="n">
        <x:v>29044.111</x:v>
      </x:c>
      <x:c r="S8" s="34" t="n">
        <x:v>115.600125</x:v>
      </x:c>
      <x:c r="T8" s="34" t="n">
        <x:v>35192.611</x:v>
      </x:c>
      <x:c r="U8" s="34" t="n">
        <x:v>328.184122</x:v>
      </x:c>
      <x:c r="V8" s="34" t="n">
        <x:v>26602</x:v>
      </x:c>
      <x:c r="W8" s="34" t="n">
        <x:v>0</x:v>
      </x:c>
      <x:c r="X8" s="34" t="n">
        <x:v>44642.048</x:v>
      </x:c>
      <x:c r="Y8" s="34" t="n">
        <x:v>115.600125</x:v>
      </x:c>
      <x:c r="Z8" s="34" t="n">
        <x:v>15597.937</x:v>
      </x:c>
      <x:c r="AA8" s="34" t="n">
        <x:v>0</x:v>
      </x:c>
      <x:c r="AB8" s="34" t="n">
        <x:v>3942.167667</x:v>
      </x:c>
      <x:c r="AC8" s="34" t="n">
        <x:v>12.872081</x:v>
      </x:c>
      <x:c r="AD8" s="34" t="n">
        <x:v>58.339289</x:v>
      </x:c>
      <x:c r="AE8" s="34" t="n">
        <x:v>0.102563</x:v>
      </x:c>
      <x:c r="AF8" s="34" t="n">
        <x:v>0.926137</x:v>
      </x:c>
      <x:c r="AG8" s="34" t="n">
        <x:v>0.003609</x:v>
      </x:c>
      <x:c r="AH8" s="34" t="n">
        <x:v>0.00709</x:v>
      </x:c>
      <x:c r="AI8" s="34" t="n">
        <x:v>0.000413</x:v>
      </x:c>
      <x:c r="AJ8" s="34" t="n">
        <x:v>0.066773</x:v>
      </x:c>
      <x:c r="AK8" s="34" t="n">
        <x:v>0.003228</x:v>
      </x:c>
      <x:c r="AL8" s="34" t="n">
        <x:v>0.853807941</x:v>
      </x:c>
      <x:c r="AM8" s="34" t="n">
        <x:v>0.005322925</x:v>
      </x:c>
      <x:c r="AN8" s="34" t="n">
        <x:v>0.048458831</x:v>
      </x:c>
      <x:c r="AO8" s="34" t="n">
        <x:v>0.001172923</x:v>
      </x:c>
      <x:c r="AP8" s="34" t="n">
        <x:v>0.097733229</x:v>
      </x:c>
      <x:c r="AQ8" s="34" t="n">
        <x:v>0.006206617</x:v>
      </x:c>
      <x:c r="AR8" s="34" t="n">
        <x:v>101.838369667</x:v>
      </x:c>
      <x:c r="AS8" s="34" t="n">
        <x:v>5.860719959</x:v>
      </x:c>
      <x:c r="AT8" s="34" t="n">
        <x:v>0</x:v>
      </x:c>
      <x:c r="AU8" s="34" t="n">
        <x:v>0</x:v>
      </x:c>
      <x:c r="AV8" s="34" t="str">
        <x:v>variance_game_shapley_common_random_numbers</x:v>
      </x:c>
    </x:row>
    <x:row r="9">
      <x:c r="A9" s="34" t="str">
        <x:v>POSCO_KR</x:v>
      </x:c>
      <x:c r="B9" s="34" t="str">
        <x:v>POSCO</x:v>
      </x:c>
      <x:c r="C9" s="34" t="str">
        <x:v>CAND-921D50D4015721</x:v>
      </x:c>
      <x:c r="D9" s="34" t="str">
        <x:v>P3</x:v>
      </x:c>
      <x:c r="E9" s="34" t="str">
        <x:v>PORT-96133A6427FE</x:v>
      </x:c>
      <x:c r="F9" s="34" t="str">
        <x:v>ACCELERATED_15C</x:v>
      </x:c>
      <x:c r="G9" s="40" t="b">
        <x:v>1</x:v>
      </x:c>
      <x:c r="H9" s="40" t="b">
        <x:v>1</x:v>
      </x:c>
      <x:c r="I9" s="40" t="b">
        <x:v>1</x:v>
      </x:c>
      <x:c r="J9" s="34" t="n">
        <x:v>430.20423</x:v>
      </x:c>
      <x:c r="K9" s="34" t="n">
        <x:v>1000</x:v>
      </x:c>
      <x:c r="L9" s="34" t="n">
        <x:v>54.900062</x:v>
      </x:c>
      <x:c r="M9" s="34" t="n">
        <x:v>0.325891</x:v>
      </x:c>
      <x:c r="N9" s="34" t="n">
        <x:v>54.900062</x:v>
      </x:c>
      <x:c r="O9" s="34" t="n">
        <x:v>0.325891</x:v>
      </x:c>
      <x:c r="P9" s="34" t="n">
        <x:v>15.136815</x:v>
      </x:c>
      <x:c r="Q9" s="34" t="n">
        <x:v>0.920379</x:v>
      </x:c>
      <x:c r="R9" s="34" t="n">
        <x:v>23618.239</x:v>
      </x:c>
      <x:c r="S9" s="34" t="n">
        <x:v>140.19977</x:v>
      </x:c>
      <x:c r="T9" s="34" t="n">
        <x:v>30130.161</x:v>
      </x:c>
      <x:c r="U9" s="34" t="n">
        <x:v>411.900474</x:v>
      </x:c>
      <x:c r="V9" s="34" t="n">
        <x:v>26602</x:v>
      </x:c>
      <x:c r="W9" s="34" t="n">
        <x:v>0</x:v>
      </x:c>
      <x:c r="X9" s="34" t="n">
        <x:v>46401.700333</x:v>
      </x:c>
      <x:c r="Y9" s="34" t="n">
        <x:v>140.199197</x:v>
      </x:c>
      <x:c r="Z9" s="34" t="n">
        <x:v>22783.461</x:v>
      </x:c>
      <x:c r="AA9" s="34" t="n">
        <x:v>0</x:v>
      </x:c>
      <x:c r="AB9" s="34" t="n">
        <x:v>5510.203</x:v>
      </x:c>
      <x:c r="AC9" s="34" t="n">
        <x:v>14.539029</x:v>
      </x:c>
      <x:c r="AD9" s="34" t="n">
        <x:v>35.658889</x:v>
      </x:c>
      <x:c r="AE9" s="34" t="n">
        <x:v>0.309963</x:v>
      </x:c>
      <x:c r="AF9" s="34" t="n">
        <x:v>0.947386</x:v>
      </x:c>
      <x:c r="AG9" s="34" t="n">
        <x:v>0.002568</x:v>
      </x:c>
      <x:c r="AH9" s="34" t="n">
        <x:v>0.004634</x:v>
      </x:c>
      <x:c r="AI9" s="34" t="n">
        <x:v>0.000277</x:v>
      </x:c>
      <x:c r="AJ9" s="34" t="n">
        <x:v>0.04798</x:v>
      </x:c>
      <x:c r="AK9" s="34" t="n">
        <x:v>0.002316</x:v>
      </x:c>
      <x:c r="AL9" s="34" t="n">
        <x:v>0.884034402</x:v>
      </x:c>
      <x:c r="AM9" s="34" t="n">
        <x:v>0.004664413</x:v>
      </x:c>
      <x:c r="AN9" s="34" t="n">
        <x:v>0.038993459</x:v>
      </x:c>
      <x:c r="AO9" s="34" t="n">
        <x:v>0.001106512</x:v>
      </x:c>
      <x:c r="AP9" s="34" t="n">
        <x:v>0.076972139</x:v>
      </x:c>
      <x:c r="AQ9" s="34" t="n">
        <x:v>0.005400194</x:v>
      </x:c>
      <x:c r="AR9" s="34" t="n">
        <x:v>115.067959606</x:v>
      </x:c>
      <x:c r="AS9" s="34" t="n">
        <x:v>6.643746099</x:v>
      </x:c>
      <x:c r="AT9" s="34" t="n">
        <x:v>0</x:v>
      </x:c>
      <x:c r="AU9" s="34" t="n">
        <x:v>0</x:v>
      </x:c>
      <x:c r="AV9" s="34" t="str">
        <x:v>variance_game_shapley_common_random_numbers</x:v>
      </x:c>
    </x:row>
    <x:row r="10">
      <x:c r="A10" s="34" t="str">
        <x:v>POSCO_KR</x:v>
      </x:c>
      <x:c r="B10" s="34" t="str">
        <x:v>POSCO</x:v>
      </x:c>
      <x:c r="C10" s="34" t="str">
        <x:v>CAND-4EF614D30D6D91</x:v>
      </x:c>
      <x:c r="D10" s="34" t="str">
        <x:v>P2</x:v>
      </x:c>
      <x:c r="E10" s="34" t="str">
        <x:v>PORT-96133A6427FE</x:v>
      </x:c>
      <x:c r="F10" s="34" t="str">
        <x:v>DISCLOSED_PATH</x:v>
      </x:c>
      <x:c r="G10" s="40" t="b">
        <x:v>1</x:v>
      </x:c>
      <x:c r="H10" s="40" t="b">
        <x:v>1</x:v>
      </x:c>
      <x:c r="I10" s="40" t="b">
        <x:v>1</x:v>
      </x:c>
      <x:c r="J10" s="34" t="n">
        <x:v>430.20423</x:v>
      </x:c>
      <x:c r="K10" s="34" t="n">
        <x:v>1000</x:v>
      </x:c>
      <x:c r="L10" s="34" t="n">
        <x:v>69.806176</x:v>
      </x:c>
      <x:c r="M10" s="34" t="n">
        <x:v>0.346749</x:v>
      </x:c>
      <x:c r="N10" s="34" t="n">
        <x:v>69.806176</x:v>
      </x:c>
      <x:c r="O10" s="34" t="n">
        <x:v>0.346749</x:v>
      </x:c>
      <x:c r="P10" s="34" t="n">
        <x:v>17.787609</x:v>
      </x:c>
      <x:c r="Q10" s="34" t="n">
        <x:v>0.955771</x:v>
      </x:c>
      <x:c r="R10" s="34" t="n">
        <x:v>30030.912</x:v>
      </x:c>
      <x:c r="S10" s="34" t="n">
        <x:v>149.172943</x:v>
      </x:c>
      <x:c r="T10" s="34" t="n">
        <x:v>37683.216333</x:v>
      </x:c>
      <x:c r="U10" s="34" t="n">
        <x:v>409.550211</x:v>
      </x:c>
      <x:c r="V10" s="34" t="n">
        <x:v>26602</x:v>
      </x:c>
      <x:c r="W10" s="34" t="n">
        <x:v>0</x:v>
      </x:c>
      <x:c r="X10" s="34" t="n">
        <x:v>45628.849</x:v>
      </x:c>
      <x:c r="Y10" s="34" t="n">
        <x:v>149.172943</x:v>
      </x:c>
      <x:c r="Z10" s="34" t="n">
        <x:v>15597.937</x:v>
      </x:c>
      <x:c r="AA10" s="34" t="n">
        <x:v>0</x:v>
      </x:c>
      <x:c r="AB10" s="34" t="n">
        <x:v>2984.058667</x:v>
      </x:c>
      <x:c r="AC10" s="34" t="n">
        <x:v>10.511225</x:v>
      </x:c>
      <x:c r="AD10" s="34" t="n">
        <x:v>60.633086</x:v>
      </x:c>
      <x:c r="AE10" s="34" t="n">
        <x:v>0.183357</x:v>
      </x:c>
      <x:c r="AF10" s="34" t="n">
        <x:v>0.927856</x:v>
      </x:c>
      <x:c r="AG10" s="34" t="n">
        <x:v>0.003525</x:v>
      </x:c>
      <x:c r="AH10" s="34" t="n">
        <x:v>0.007165</x:v>
      </x:c>
      <x:c r="AI10" s="34" t="n">
        <x:v>0.000418</x:v>
      </x:c>
      <x:c r="AJ10" s="34" t="n">
        <x:v>0.064979</x:v>
      </x:c>
      <x:c r="AK10" s="34" t="n">
        <x:v>0.003141</x:v>
      </x:c>
      <x:c r="AL10" s="34" t="n">
        <x:v>0.855511651</x:v>
      </x:c>
      <x:c r="AM10" s="34" t="n">
        <x:v>0.005246597</x:v>
      </x:c>
      <x:c r="AN10" s="34" t="n">
        <x:v>0.04873563</x:v>
      </x:c>
      <x:c r="AO10" s="34" t="n">
        <x:v>0.001184132</x:v>
      </x:c>
      <x:c r="AP10" s="34" t="n">
        <x:v>0.09575272</x:v>
      </x:c>
      <x:c r="AQ10" s="34" t="n">
        <x:v>0.006133115</x:v>
      </x:c>
      <x:c r="AR10" s="34" t="n">
        <x:v>158.427633829</x:v>
      </x:c>
      <x:c r="AS10" s="34" t="n">
        <x:v>9.120145333</x:v>
      </x:c>
      <x:c r="AT10" s="34" t="n">
        <x:v>0</x:v>
      </x:c>
      <x:c r="AU10" s="34" t="n">
        <x:v>0</x:v>
      </x:c>
      <x:c r="AV10" s="34" t="str">
        <x:v>variance_game_shapley_common_random_numbers</x:v>
      </x:c>
    </x:row>
    <x:row r="11">
      <x:c r="A11" s="34" t="str">
        <x:v>POSCO_KR</x:v>
      </x:c>
      <x:c r="B11" s="34" t="str">
        <x:v>POSCO</x:v>
      </x:c>
      <x:c r="C11" s="34" t="str">
        <x:v>CAND-4EF614D30D6D91</x:v>
      </x:c>
      <x:c r="D11" s="34" t="str">
        <x:v>P2</x:v>
      </x:c>
      <x:c r="E11" s="34" t="str">
        <x:v>PORT-96133A6427FE</x:v>
      </x:c>
      <x:c r="F11" s="34" t="str">
        <x:v>ACCELERATED_15C</x:v>
      </x:c>
      <x:c r="G11" s="40" t="b">
        <x:v>1</x:v>
      </x:c>
      <x:c r="H11" s="40" t="b">
        <x:v>1</x:v>
      </x:c>
      <x:c r="I11" s="40" t="b">
        <x:v>1</x:v>
      </x:c>
      <x:c r="J11" s="34" t="n">
        <x:v>430.20423</x:v>
      </x:c>
      <x:c r="K11" s="34" t="n">
        <x:v>1000</x:v>
      </x:c>
      <x:c r="L11" s="34" t="n">
        <x:v>58.192472</x:v>
      </x:c>
      <x:c r="M11" s="34" t="n">
        <x:v>0.4161</x:v>
      </x:c>
      <x:c r="N11" s="34" t="n">
        <x:v>58.192472</x:v>
      </x:c>
      <x:c r="O11" s="34" t="n">
        <x:v>0.4161</x:v>
      </x:c>
      <x:c r="P11" s="34" t="n">
        <x:v>19.287707</x:v>
      </x:c>
      <x:c r="Q11" s="34" t="n">
        <x:v>1.236752</x:v>
      </x:c>
      <x:c r="R11" s="34" t="n">
        <x:v>25034.647667</x:v>
      </x:c>
      <x:c r="S11" s="34" t="n">
        <x:v>179.008091</x:v>
      </x:c>
      <x:c r="T11" s="34" t="n">
        <x:v>33332.301</x:v>
      </x:c>
      <x:c r="U11" s="34" t="n">
        <x:v>563.714257</x:v>
      </x:c>
      <x:c r="V11" s="34" t="n">
        <x:v>26602</x:v>
      </x:c>
      <x:c r="W11" s="34" t="n">
        <x:v>0</x:v>
      </x:c>
      <x:c r="X11" s="34" t="n">
        <x:v>47818.109333</x:v>
      </x:c>
      <x:c r="Y11" s="34" t="n">
        <x:v>179.007863</x:v>
      </x:c>
      <x:c r="Z11" s="34" t="n">
        <x:v>22783.461</x:v>
      </x:c>
      <x:c r="AA11" s="34" t="n">
        <x:v>0</x:v>
      </x:c>
      <x:c r="AB11" s="34" t="n">
        <x:v>4108.463667</x:v>
      </x:c>
      <x:c r="AC11" s="34" t="n">
        <x:v>18.648559</x:v>
      </x:c>
      <x:c r="AD11" s="34" t="n">
        <x:v>38.951299</x:v>
      </x:c>
      <x:c r="AE11" s="34" t="n">
        <x:v>0.369689</x:v>
      </x:c>
      <x:c r="AF11" s="34" t="n">
        <x:v>0.950237</x:v>
      </x:c>
      <x:c r="AG11" s="34" t="n">
        <x:v>0.002431</x:v>
      </x:c>
      <x:c r="AH11" s="34" t="n">
        <x:v>0.004737</x:v>
      </x:c>
      <x:c r="AI11" s="34" t="n">
        <x:v>0.000282</x:v>
      </x:c>
      <x:c r="AJ11" s="34" t="n">
        <x:v>0.045026</x:v>
      </x:c>
      <x:c r="AK11" s="34" t="n">
        <x:v>0.002173</x:v>
      </x:c>
      <x:c r="AL11" s="34" t="n">
        <x:v>0.887113053</x:v>
      </x:c>
      <x:c r="AM11" s="34" t="n">
        <x:v>0.004518083</x:v>
      </x:c>
      <x:c r="AN11" s="34" t="n">
        <x:v>0.03944835</x:v>
      </x:c>
      <x:c r="AO11" s="34" t="n">
        <x:v>0.001129023</x:v>
      </x:c>
      <x:c r="AP11" s="34" t="n">
        <x:v>0.073438597</x:v>
      </x:c>
      <x:c r="AQ11" s="34" t="n">
        <x:v>0.005255501</x:v>
      </x:c>
      <x:c r="AR11" s="34" t="n">
        <x:v>185.479940067</x:v>
      </x:c>
      <x:c r="AS11" s="34" t="n">
        <x:v>10.717247744</x:v>
      </x:c>
      <x:c r="AT11" s="34" t="n">
        <x:v>0</x:v>
      </x:c>
      <x:c r="AU11" s="34" t="n">
        <x:v>0</x:v>
      </x:c>
      <x:c r="AV11" s="34" t="str">
        <x:v>variance_game_shapley_common_random_numbers</x:v>
      </x:c>
    </x:row>
    <x:row r="12">
      <x:c r="A12" s="34" t="str">
        <x:v>POSCO_KR</x:v>
      </x:c>
      <x:c r="B12" s="34" t="str">
        <x:v>POSCO</x:v>
      </x:c>
      <x:c r="C12" s="34" t="str">
        <x:v>CAND-44C957BBFA61A4</x:v>
      </x:c>
      <x:c r="D12" s="34" t="str">
        <x:v>P1</x:v>
      </x:c>
      <x:c r="E12" s="34" t="str">
        <x:v>PORT-96133A6427FE</x:v>
      </x:c>
      <x:c r="F12" s="34" t="str">
        <x:v>DISCLOSED_PATH</x:v>
      </x:c>
      <x:c r="G12" s="40" t="b">
        <x:v>1</x:v>
      </x:c>
      <x:c r="H12" s="40" t="b">
        <x:v>1</x:v>
      </x:c>
      <x:c r="I12" s="40" t="b">
        <x:v>1</x:v>
      </x:c>
      <x:c r="J12" s="34" t="n">
        <x:v>430.20423</x:v>
      </x:c>
      <x:c r="K12" s="34" t="n">
        <x:v>1000</x:v>
      </x:c>
      <x:c r="L12" s="34" t="n">
        <x:v>71.430095</x:v>
      </x:c>
      <x:c r="M12" s="34" t="n">
        <x:v>0.405296</x:v>
      </x:c>
      <x:c r="N12" s="34" t="n">
        <x:v>71.430095</x:v>
      </x:c>
      <x:c r="O12" s="34" t="n">
        <x:v>0.405296</x:v>
      </x:c>
      <x:c r="P12" s="34" t="n">
        <x:v>20.508618</x:v>
      </x:c>
      <x:c r="Q12" s="34" t="n">
        <x:v>1.138262</x:v>
      </x:c>
      <x:c r="R12" s="34" t="n">
        <x:v>30729.529</x:v>
      </x:c>
      <x:c r="S12" s="34" t="n">
        <x:v>174.359857</x:v>
      </x:c>
      <x:c r="T12" s="34" t="n">
        <x:v>39552.423</x:v>
      </x:c>
      <x:c r="U12" s="34" t="n">
        <x:v>485.848297</x:v>
      </x:c>
      <x:c r="V12" s="34" t="n">
        <x:v>26602</x:v>
      </x:c>
      <x:c r="W12" s="34" t="n">
        <x:v>0</x:v>
      </x:c>
      <x:c r="X12" s="34" t="n">
        <x:v>46327.466</x:v>
      </x:c>
      <x:c r="Y12" s="34" t="n">
        <x:v>174.359857</x:v>
      </x:c>
      <x:c r="Z12" s="34" t="n">
        <x:v>15597.937</x:v>
      </x:c>
      <x:c r="AA12" s="34" t="n">
        <x:v>0</x:v>
      </x:c>
      <x:c r="AB12" s="34" t="n">
        <x:v>2342.203667</x:v>
      </x:c>
      <x:c r="AC12" s="34" t="n">
        <x:v>5.193625</x:v>
      </x:c>
      <x:c r="AD12" s="34" t="n">
        <x:v>62.257006</x:v>
      </x:c>
      <x:c r="AE12" s="34" t="n">
        <x:v>0.244249</x:v>
      </x:c>
      <x:c r="AF12" s="34" t="n">
        <x:v>0.931335</x:v>
      </x:c>
      <x:c r="AG12" s="34" t="n">
        <x:v>0.003375</x:v>
      </x:c>
      <x:c r="AH12" s="34" t="n">
        <x:v>0.007018</x:v>
      </x:c>
      <x:c r="AI12" s="34" t="n">
        <x:v>0.000411</x:v>
      </x:c>
      <x:c r="AJ12" s="34" t="n">
        <x:v>0.061646</x:v>
      </x:c>
      <x:c r="AK12" s="34" t="n">
        <x:v>0.002997</x:v>
      </x:c>
      <x:c r="AL12" s="34" t="n">
        <x:v>0.859585171</x:v>
      </x:c>
      <x:c r="AM12" s="34" t="n">
        <x:v>0.005127202</x:v>
      </x:c>
      <x:c r="AN12" s="34" t="n">
        <x:v>0.048243223</x:v>
      </x:c>
      <x:c r="AO12" s="34" t="n">
        <x:v>0.00117504</x:v>
      </x:c>
      <x:c r="AP12" s="34" t="n">
        <x:v>0.092171607</x:v>
      </x:c>
      <x:c r="AQ12" s="34" t="n">
        <x:v>0.005991643</x:v>
      </x:c>
      <x:c r="AR12" s="34" t="n">
        <x:v>210.787752382</x:v>
      </x:c>
      <x:c r="AS12" s="34" t="n">
        <x:v>12.198052223</x:v>
      </x:c>
      <x:c r="AT12" s="34" t="n">
        <x:v>0</x:v>
      </x:c>
      <x:c r="AU12" s="34" t="n">
        <x:v>0</x:v>
      </x:c>
      <x:c r="AV12" s="34" t="str">
        <x:v>variance_game_shapley_common_random_numbers</x:v>
      </x:c>
    </x:row>
    <x:row r="13">
      <x:c r="A13" s="34" t="str">
        <x:v>POSCO_KR</x:v>
      </x:c>
      <x:c r="B13" s="34" t="str">
        <x:v>POSCO</x:v>
      </x:c>
      <x:c r="C13" s="34" t="str">
        <x:v>CAND-44C957BBFA61A4</x:v>
      </x:c>
      <x:c r="D13" s="34" t="str">
        <x:v>P1</x:v>
      </x:c>
      <x:c r="E13" s="34" t="str">
        <x:v>PORT-96133A6427FE</x:v>
      </x:c>
      <x:c r="F13" s="34" t="str">
        <x:v>ACCELERATED_15C</x:v>
      </x:c>
      <x:c r="G13" s="40" t="b">
        <x:v>1</x:v>
      </x:c>
      <x:c r="H13" s="40" t="b">
        <x:v>1</x:v>
      </x:c>
      <x:c r="I13" s="40" t="b">
        <x:v>1</x:v>
      </x:c>
      <x:c r="J13" s="34" t="n">
        <x:v>430.20423</x:v>
      </x:c>
      <x:c r="K13" s="34" t="n">
        <x:v>1000</x:v>
      </x:c>
      <x:c r="L13" s="34" t="n">
        <x:v>60.509503</x:v>
      </x:c>
      <x:c r="M13" s="34" t="n">
        <x:v>0.51226</x:v>
      </x:c>
      <x:c r="N13" s="34" t="n">
        <x:v>60.509503</x:v>
      </x:c>
      <x:c r="O13" s="34" t="n">
        <x:v>0.51226</x:v>
      </x:c>
      <x:c r="P13" s="34" t="n">
        <x:v>22.521749</x:v>
      </x:c>
      <x:c r="Q13" s="34" t="n">
        <x:v>1.42997</x:v>
      </x:c>
      <x:c r="R13" s="34" t="n">
        <x:v>26031.444</x:v>
      </x:c>
      <x:c r="S13" s="34" t="n">
        <x:v>220.37651</x:v>
      </x:c>
      <x:c r="T13" s="34" t="n">
        <x:v>35720.395667</x:v>
      </x:c>
      <x:c r="U13" s="34" t="n">
        <x:v>654.102231</x:v>
      </x:c>
      <x:c r="V13" s="34" t="n">
        <x:v>26602</x:v>
      </x:c>
      <x:c r="W13" s="34" t="n">
        <x:v>0</x:v>
      </x:c>
      <x:c r="X13" s="34" t="n">
        <x:v>48814.905333</x:v>
      </x:c>
      <x:c r="Y13" s="34" t="n">
        <x:v>220.375938</x:v>
      </x:c>
      <x:c r="Z13" s="34" t="n">
        <x:v>22783.461</x:v>
      </x:c>
      <x:c r="AA13" s="34" t="n">
        <x:v>0</x:v>
      </x:c>
      <x:c r="AB13" s="34" t="n">
        <x:v>3173.497667</x:v>
      </x:c>
      <x:c r="AC13" s="34" t="n">
        <x:v>5.753665</x:v>
      </x:c>
      <x:c r="AD13" s="34" t="n">
        <x:v>41.26833</x:v>
      </x:c>
      <x:c r="AE13" s="34" t="n">
        <x:v>0.434939</x:v>
      </x:c>
      <x:c r="AF13" s="34" t="n">
        <x:v>0.953589</x:v>
      </x:c>
      <x:c r="AG13" s="34" t="n">
        <x:v>0.002279</x:v>
      </x:c>
      <x:c r="AH13" s="34" t="n">
        <x:v>0.004668</x:v>
      </x:c>
      <x:c r="AI13" s="34" t="n">
        <x:v>0.000279</x:v>
      </x:c>
      <x:c r="AJ13" s="34" t="n">
        <x:v>0.041743</x:v>
      </x:c>
      <x:c r="AK13" s="34" t="n">
        <x:v>0.002023</x:v>
      </x:c>
      <x:c r="AL13" s="34" t="n">
        <x:v>0.891287923</x:v>
      </x:c>
      <x:c r="AM13" s="34" t="n">
        <x:v>0.004365842</x:v>
      </x:c>
      <x:c r="AN13" s="34" t="n">
        <x:v>0.039165219</x:v>
      </x:c>
      <x:c r="AO13" s="34" t="n">
        <x:v>0.001127028</x:v>
      </x:c>
      <x:c r="AP13" s="34" t="n">
        <x:v>0.069546858</x:v>
      </x:c>
      <x:c r="AQ13" s="34" t="n">
        <x:v>0.005082231</x:v>
      </x:c>
      <x:c r="AR13" s="34" t="n">
        <x:v>252.500857476</x:v>
      </x:c>
      <x:c r="AS13" s="34" t="n">
        <x:v>14.660879629</x:v>
      </x:c>
      <x:c r="AT13" s="34" t="n">
        <x:v>0</x:v>
      </x:c>
      <x:c r="AU13" s="34" t="n">
        <x:v>0</x:v>
      </x:c>
      <x:c r="AV13" s="34" t="str">
        <x:v>variance_game_shapley_common_random_numbers</x:v>
      </x:c>
    </x:row>
    <x:row r="14">
      <x:c r="A14" s="34" t="str">
        <x:v>POSCO_KR</x:v>
      </x:c>
      <x:c r="B14" s="34" t="str">
        <x:v>POSCO</x:v>
      </x:c>
      <x:c r="C14" s="34" t="str">
        <x:v>CAND-2F5D03A613EDBE</x:v>
      </x:c>
      <x:c r="D14" s="34" t="str">
        <x:v>P1</x:v>
      </x:c>
      <x:c r="E14" s="34" t="str">
        <x:v>PORT-0E469489028A</x:v>
      </x:c>
      <x:c r="F14" s="34" t="str">
        <x:v>DISCLOSED_PATH</x:v>
      </x:c>
      <x:c r="G14" s="40" t="b">
        <x:v>1</x:v>
      </x:c>
      <x:c r="H14" s="40" t="b">
        <x:v>1</x:v>
      </x:c>
      <x:c r="I14" s="40" t="b">
        <x:v>1</x:v>
      </x:c>
      <x:c r="J14" s="34" t="n">
        <x:v>261.543846</x:v>
      </x:c>
      <x:c r="K14" s="34" t="n">
        <x:v>1000</x:v>
      </x:c>
      <x:c r="L14" s="34" t="n">
        <x:v>9.17309</x:v>
      </x:c>
      <x:c r="M14" s="34" t="n">
        <x:v>0.170563</x:v>
      </x:c>
      <x:c r="N14" s="34" t="n">
        <x:v>9.17309</x:v>
      </x:c>
      <x:c r="O14" s="34" t="n">
        <x:v>0.170563</x:v>
      </x:c>
      <x:c r="P14" s="34" t="n">
        <x:v>7.416058</x:v>
      </x:c>
      <x:c r="Q14" s="34" t="n">
        <x:v>0.354269</x:v>
      </x:c>
      <x:c r="R14" s="34" t="n">
        <x:v>2399.165</x:v>
      </x:c>
      <x:c r="S14" s="34" t="n">
        <x:v>44.609281</x:v>
      </x:c>
      <x:c r="T14" s="34" t="n">
        <x:v>4338.789333</x:v>
      </x:c>
      <x:c r="U14" s="34" t="n">
        <x:v>82.482613</x:v>
      </x:c>
      <x:c r="V14" s="34" t="n">
        <x:v>15097</x:v>
      </x:c>
      <x:c r="W14" s="34" t="n">
        <x:v>0</x:v>
      </x:c>
      <x:c r="X14" s="34" t="n">
        <x:v>11887.332333</x:v>
      </x:c>
      <x:c r="Y14" s="34" t="n">
        <x:v>44.609551</x:v>
      </x:c>
      <x:c r="Z14" s="34" t="n">
        <x:v>9488.167</x:v>
      </x:c>
      <x:c r="AA14" s="34" t="n">
        <x:v>0</x:v>
      </x:c>
      <x:c r="AB14" s="34" t="n">
        <x:v>694.372667</x:v>
      </x:c>
      <x:c r="AC14" s="34" t="n">
        <x:v>5.667547</x:v>
      </x:c>
      <x:c r="AD14" s="34" t="n">
        <x:v>0</x:v>
      </x:c>
      <x:c r="AE14" s="34" t="n">
        <x:v>0</x:v>
      </x:c>
      <x:c r="AF14" s="34" t="n">
        <x:v>0.726878</x:v>
      </x:c>
      <x:c r="AG14" s="34" t="n">
        <x:v>0.009728</x:v>
      </x:c>
      <x:c r="AH14" s="34" t="n">
        <x:v>0</x:v>
      </x:c>
      <x:c r="AI14" s="34" t="n">
        <x:v>0</x:v>
      </x:c>
      <x:c r="AJ14" s="34" t="n">
        <x:v>0.273122</x:v>
      </x:c>
      <x:c r="AK14" s="34" t="n">
        <x:v>0.009728</x:v>
      </x:c>
      <x:c r="AL14" s="34" t="n">
        <x:v>0.696723555</x:v>
      </x:c>
      <x:c r="AM14" s="34" t="n">
        <x:v>0.008147009</x:v>
      </x:c>
      <x:c r="AN14" s="34" t="n">
        <x:v>0</x:v>
      </x:c>
      <x:c r="AO14" s="34" t="n">
        <x:v>0</x:v>
      </x:c>
      <x:c r="AP14" s="34" t="n">
        <x:v>0.303276445</x:v>
      </x:c>
      <x:c r="AQ14" s="34" t="n">
        <x:v>0.008147009</x:v>
      </x:c>
      <x:c r="AR14" s="34" t="n">
        <x:v>28.292645747</x:v>
      </x:c>
      <x:c r="AS14" s="34" t="n">
        <x:v>1.642224812</x:v>
      </x:c>
      <x:c r="AT14" s="34" t="n">
        <x:v>0</x:v>
      </x:c>
      <x:c r="AU14" s="34" t="n">
        <x:v>0</x:v>
      </x:c>
      <x:c r="AV14" s="34" t="str">
        <x:v>variance_game_shapley_common_random_numbers</x:v>
      </x:c>
    </x:row>
    <x:row r="15">
      <x:c r="A15" s="34" t="str">
        <x:v>POSCO_KR</x:v>
      </x:c>
      <x:c r="B15" s="34" t="str">
        <x:v>POSCO</x:v>
      </x:c>
      <x:c r="C15" s="34" t="str">
        <x:v>CAND-2F5D03A613EDBE</x:v>
      </x:c>
      <x:c r="D15" s="34" t="str">
        <x:v>P1</x:v>
      </x:c>
      <x:c r="E15" s="34" t="str">
        <x:v>PORT-0E469489028A</x:v>
      </x:c>
      <x:c r="F15" s="34" t="str">
        <x:v>ACCELERATED_15C</x:v>
      </x:c>
      <x:c r="G15" s="40" t="b">
        <x:v>0</x:v>
      </x:c>
      <x:c r="H15" s="40" t="b">
        <x:v>0</x:v>
      </x:c>
      <x:c r="I15" s="40" t="b">
        <x:v>1</x:v>
      </x:c>
      <x:c r="J15" s="34" t="n">
        <x:v>261.543846</x:v>
      </x:c>
      <x:c r="K15" s="34" t="n">
        <x:v>1000</x:v>
      </x:c>
      <x:c r="L15" s="34" t="n">
        <x:v>-5.534324</x:v>
      </x:c>
      <x:c r="M15" s="34" t="n">
        <x:v>0.169092</x:v>
      </x:c>
      <x:c r="N15" s="34" t="n">
        <x:v>-5.534324</x:v>
      </x:c>
      <x:c r="O15" s="34" t="n">
        <x:v>0.169092</x:v>
      </x:c>
      <x:c r="P15" s="34" t="n">
        <x:v>8.018044</x:v>
      </x:c>
      <x:c r="Q15" s="34" t="n">
        <x:v>0.418013</x:v>
      </x:c>
      <x:c r="R15" s="34" t="n">
        <x:v>-1447.468333</x:v>
      </x:c>
      <x:c r="S15" s="34" t="n">
        <x:v>44.225015</x:v>
      </x:c>
      <x:c r="T15" s="34" t="n">
        <x:v>649.601667</x:v>
      </x:c>
      <x:c r="U15" s="34" t="n">
        <x:v>98.727782</x:v>
      </x:c>
      <x:c r="V15" s="34" t="n">
        <x:v>15097</x:v>
      </x:c>
      <x:c r="W15" s="34" t="n">
        <x:v>0</x:v>
      </x:c>
      <x:c r="X15" s="34" t="n">
        <x:v>12361.179</x:v>
      </x:c>
      <x:c r="Y15" s="34" t="n">
        <x:v>44.224441</x:v>
      </x:c>
      <x:c r="Z15" s="34" t="n">
        <x:v>13808.647</x:v>
      </x:c>
      <x:c r="AA15" s="34" t="n">
        <x:v>0</x:v>
      </x:c>
      <x:c r="AB15" s="34" t="n">
        <x:v>926.989</x:v>
      </x:c>
      <x:c r="AC15" s="34" t="n">
        <x:v>7.607941</x:v>
      </x:c>
      <x:c r="AD15" s="34" t="n">
        <x:v>-24.775497</x:v>
      </x:c>
      <x:c r="AE15" s="34" t="n">
        <x:v>0.263051</x:v>
      </x:c>
      <x:c r="AF15" s="34" t="n">
        <x:v>0.786775</x:v>
      </x:c>
      <x:c r="AG15" s="34" t="n">
        <x:v>0.00815</x:v>
      </x:c>
      <x:c r="AH15" s="34" t="n">
        <x:v>0</x:v>
      </x:c>
      <x:c r="AI15" s="34" t="n">
        <x:v>0</x:v>
      </x:c>
      <x:c r="AJ15" s="34" t="n">
        <x:v>0.213225</x:v>
      </x:c>
      <x:c r="AK15" s="34" t="n">
        <x:v>0.00815</x:v>
      </x:c>
      <x:c r="AL15" s="34" t="n">
        <x:v>0.751632003</x:v>
      </x:c>
      <x:c r="AM15" s="34" t="n">
        <x:v>0.007519089</x:v>
      </x:c>
      <x:c r="AN15" s="34" t="n">
        <x:v>0</x:v>
      </x:c>
      <x:c r="AO15" s="34" t="n">
        <x:v>0</x:v>
      </x:c>
      <x:c r="AP15" s="34" t="n">
        <x:v>0.248367997</x:v>
      </x:c>
      <x:c r="AQ15" s="34" t="n">
        <x:v>0.007519089</x:v>
      </x:c>
      <x:c r="AR15" s="34" t="n">
        <x:v>32.101062417</x:v>
      </x:c>
      <x:c r="AS15" s="34" t="n">
        <x:v>1.919582854</x:v>
      </x:c>
      <x:c r="AT15" s="34" t="n">
        <x:v>0</x:v>
      </x:c>
      <x:c r="AU15" s="34" t="n">
        <x:v>0</x:v>
      </x:c>
      <x:c r="AV15" s="34" t="str">
        <x:v>variance_game_shapley_common_random_numbers</x:v>
      </x:c>
    </x:row>
    <x:row r="16">
      <x:c r="A16" s="34" t="str">
        <x:v>POSCO_KR</x:v>
      </x:c>
      <x:c r="B16" s="34" t="str">
        <x:v>POSCO</x:v>
      </x:c>
      <x:c r="C16" s="34" t="str">
        <x:v>CAND-63781C106D5099</x:v>
      </x:c>
      <x:c r="D16" s="34" t="str">
        <x:v>P1</x:v>
      </x:c>
      <x:c r="E16" s="34" t="str">
        <x:v>PORT-41705C04BF44</x:v>
      </x:c>
      <x:c r="F16" s="34" t="str">
        <x:v>DISCLOSED_PATH</x:v>
      </x:c>
      <x:c r="G16" s="40" t="b">
        <x:v>1</x:v>
      </x:c>
      <x:c r="H16" s="40" t="b">
        <x:v>1</x:v>
      </x:c>
      <x:c r="I16" s="40" t="b">
        <x:v>1</x:v>
      </x:c>
      <x:c r="J16" s="34" t="n">
        <x:v>234.011233</x:v>
      </x:c>
      <x:c r="K16" s="34" t="n">
        <x:v>1000</x:v>
      </x:c>
      <x:c r="L16" s="34" t="n">
        <x:v>10.369964</x:v>
      </x:c>
      <x:c r="M16" s="34" t="n">
        <x:v>0.238706</x:v>
      </x:c>
      <x:c r="N16" s="34" t="n">
        <x:v>10.369964</x:v>
      </x:c>
      <x:c r="O16" s="34" t="n">
        <x:v>0.238706</x:v>
      </x:c>
      <x:c r="P16" s="34" t="n">
        <x:v>7.370865</x:v>
      </x:c>
      <x:c r="Q16" s="34" t="n">
        <x:v>0.398516</x:v>
      </x:c>
      <x:c r="R16" s="34" t="n">
        <x:v>2426.688</x:v>
      </x:c>
      <x:c r="S16" s="34" t="n">
        <x:v>55.860055</x:v>
      </x:c>
      <x:c r="T16" s="34" t="n">
        <x:v>4151.553333</x:v>
      </x:c>
      <x:c r="U16" s="34" t="n">
        <x:v>37.921896</x:v>
      </x:c>
      <x:c r="V16" s="34" t="n">
        <x:v>15097</x:v>
      </x:c>
      <x:c r="W16" s="34" t="n">
        <x:v>0</x:v>
      </x:c>
      <x:c r="X16" s="34" t="n">
        <x:v>10901.784333</x:v>
      </x:c>
      <x:c r="Y16" s="34" t="n">
        <x:v>55.859516</x:v>
      </x:c>
      <x:c r="Z16" s="34" t="n">
        <x:v>8475.096</x:v>
      </x:c>
      <x:c r="AA16" s="34" t="n">
        <x:v>0</x:v>
      </x:c>
      <x:c r="AB16" s="34" t="n">
        <x:v>664.587667</x:v>
      </x:c>
      <x:c r="AC16" s="34" t="n">
        <x:v>4.201335</x:v>
      </x:c>
      <x:c r="AD16" s="34" t="n">
        <x:v>1.196874</x:v>
      </x:c>
      <x:c r="AE16" s="34" t="n">
        <x:v>0.10552</x:v>
      </x:c>
      <x:c r="AF16" s="34" t="n">
        <x:v>0.701604</x:v>
      </x:c>
      <x:c r="AG16" s="34" t="n">
        <x:v>0.008069</x:v>
      </x:c>
      <x:c r="AH16" s="34" t="n">
        <x:v>0</x:v>
      </x:c>
      <x:c r="AI16" s="34" t="n">
        <x:v>0</x:v>
      </x:c>
      <x:c r="AJ16" s="34" t="n">
        <x:v>0.298396</x:v>
      </x:c>
      <x:c r="AK16" s="34" t="n">
        <x:v>0.008069</x:v>
      </x:c>
      <x:c r="AL16" s="34" t="n">
        <x:v>0.673243293</x:v>
      </x:c>
      <x:c r="AM16" s="34" t="n">
        <x:v>0.007745592</x:v>
      </x:c>
      <x:c r="AN16" s="34" t="n">
        <x:v>0</x:v>
      </x:c>
      <x:c r="AO16" s="34" t="n">
        <x:v>0</x:v>
      </x:c>
      <x:c r="AP16" s="34" t="n">
        <x:v>0.326756707</x:v>
      </x:c>
      <x:c r="AQ16" s="34" t="n">
        <x:v>0.007745592</x:v>
      </x:c>
      <x:c r="AR16" s="34" t="n">
        <x:v>27.345297888</x:v>
      </x:c>
      <x:c r="AS16" s="34" t="n">
        <x:v>1.605580035</x:v>
      </x:c>
      <x:c r="AT16" s="34" t="n">
        <x:v>0</x:v>
      </x:c>
      <x:c r="AU16" s="34" t="n">
        <x:v>0</x:v>
      </x:c>
      <x:c r="AV16" s="34" t="str">
        <x:v>variance_game_shapley_common_random_numbers</x:v>
      </x:c>
    </x:row>
    <x:row r="17">
      <x:c r="A17" s="34" t="str">
        <x:v>POSCO_KR</x:v>
      </x:c>
      <x:c r="B17" s="34" t="str">
        <x:v>POSCO</x:v>
      </x:c>
      <x:c r="C17" s="34" t="str">
        <x:v>CAND-63781C106D5099</x:v>
      </x:c>
      <x:c r="D17" s="34" t="str">
        <x:v>P1</x:v>
      </x:c>
      <x:c r="E17" s="34" t="str">
        <x:v>PORT-41705C04BF44</x:v>
      </x:c>
      <x:c r="F17" s="34" t="str">
        <x:v>ACCELERATED_15C</x:v>
      </x:c>
      <x:c r="G17" s="40" t="b">
        <x:v>0</x:v>
      </x:c>
      <x:c r="H17" s="40" t="b">
        <x:v>0</x:v>
      </x:c>
      <x:c r="I17" s="40" t="b">
        <x:v>1</x:v>
      </x:c>
      <x:c r="J17" s="34" t="n">
        <x:v>234.011233</x:v>
      </x:c>
      <x:c r="K17" s="34" t="n">
        <x:v>1000</x:v>
      </x:c>
      <x:c r="L17" s="34" t="n">
        <x:v>-4.414587</x:v>
      </x:c>
      <x:c r="M17" s="34" t="n">
        <x:v>0.200722</x:v>
      </x:c>
      <x:c r="N17" s="34" t="n">
        <x:v>-4.414587</x:v>
      </x:c>
      <x:c r="O17" s="34" t="n">
        <x:v>0.200722</x:v>
      </x:c>
      <x:c r="P17" s="34" t="n">
        <x:v>7.912323</x:v>
      </x:c>
      <x:c r="Q17" s="34" t="n">
        <x:v>0.426008</x:v>
      </x:c>
      <x:c r="R17" s="34" t="n">
        <x:v>-1033.063</x:v>
      </x:c>
      <x:c r="S17" s="34" t="n">
        <x:v>46.971755</x:v>
      </x:c>
      <x:c r="T17" s="34" t="n">
        <x:v>818.509667</x:v>
      </x:c>
      <x:c r="U17" s="34" t="n">
        <x:v>62.475054</x:v>
      </x:c>
      <x:c r="V17" s="34" t="n">
        <x:v>15097</x:v>
      </x:c>
      <x:c r="W17" s="34" t="n">
        <x:v>0</x:v>
      </x:c>
      <x:c r="X17" s="34" t="n">
        <x:v>11289.589333</x:v>
      </x:c>
      <x:c r="Y17" s="34" t="n">
        <x:v>46.971208</x:v>
      </x:c>
      <x:c r="Z17" s="34" t="n">
        <x:v>12322.652</x:v>
      </x:c>
      <x:c r="AA17" s="34" t="n">
        <x:v>0</x:v>
      </x:c>
      <x:c r="AB17" s="34" t="n">
        <x:v>887.249333</x:v>
      </x:c>
      <x:c r="AC17" s="34" t="n">
        <x:v>5.616515</x:v>
      </x:c>
      <x:c r="AD17" s="34" t="n">
        <x:v>-23.65576</x:v>
      </x:c>
      <x:c r="AE17" s="34" t="n">
        <x:v>0.223796</x:v>
      </x:c>
      <x:c r="AF17" s="34" t="n">
        <x:v>0.764832</x:v>
      </x:c>
      <x:c r="AG17" s="34" t="n">
        <x:v>0.006866</x:v>
      </x:c>
      <x:c r="AH17" s="34" t="n">
        <x:v>0</x:v>
      </x:c>
      <x:c r="AI17" s="34" t="n">
        <x:v>0</x:v>
      </x:c>
      <x:c r="AJ17" s="34" t="n">
        <x:v>0.235168</x:v>
      </x:c>
      <x:c r="AK17" s="34" t="n">
        <x:v>0.006866</x:v>
      </x:c>
      <x:c r="AL17" s="34" t="n">
        <x:v>0.730118496</x:v>
      </x:c>
      <x:c r="AM17" s="34" t="n">
        <x:v>0.007499687</x:v>
      </x:c>
      <x:c r="AN17" s="34" t="n">
        <x:v>0</x:v>
      </x:c>
      <x:c r="AO17" s="34" t="n">
        <x:v>0</x:v>
      </x:c>
      <x:c r="AP17" s="34" t="n">
        <x:v>0.269881504</x:v>
      </x:c>
      <x:c r="AQ17" s="34" t="n">
        <x:v>0.007499687</x:v>
      </x:c>
      <x:c r="AR17" s="34" t="n">
        <x:v>30.834580038</x:v>
      </x:c>
      <x:c r="AS17" s="34" t="n">
        <x:v>1.836007522</x:v>
      </x:c>
      <x:c r="AT17" s="34" t="n">
        <x:v>0</x:v>
      </x:c>
      <x:c r="AU17" s="34" t="n">
        <x:v>0</x:v>
      </x:c>
      <x:c r="AV17" s="34" t="str">
        <x:v>variance_game_shapley_common_random_numbers</x:v>
      </x:c>
    </x:row>
    <x:row r="18">
      <x:c r="A18" s="34" t="str">
        <x:v>POSCO_KR</x:v>
      </x:c>
      <x:c r="B18" s="34" t="str">
        <x:v>POSCO</x:v>
      </x:c>
      <x:c r="C18" s="34" t="str">
        <x:v>CAND-466C04961ED513</x:v>
      </x:c>
      <x:c r="D18" s="34" t="str">
        <x:v>P2</x:v>
      </x:c>
      <x:c r="E18" s="34" t="str">
        <x:v>PORT-7ED23B40E316</x:v>
      </x:c>
      <x:c r="F18" s="34" t="str">
        <x:v>DISCLOSED_PATH</x:v>
      </x:c>
      <x:c r="G18" s="40" t="b">
        <x:v>0</x:v>
      </x:c>
      <x:c r="H18" s="40" t="b">
        <x:v>1</x:v>
      </x:c>
      <x:c r="I18" s="40" t="b">
        <x:v>0</x:v>
      </x:c>
      <x:c r="J18" s="34" t="n">
        <x:v>414.904229</x:v>
      </x:c>
      <x:c r="K18" s="34" t="n">
        <x:v>1000</x:v>
      </x:c>
      <x:c r="L18" s="34" t="n">
        <x:v>32.783383</x:v>
      </x:c>
      <x:c r="M18" s="34" t="n">
        <x:v>0.275754</x:v>
      </x:c>
      <x:c r="N18" s="34" t="n">
        <x:v>32.783383</x:v>
      </x:c>
      <x:c r="O18" s="34" t="n">
        <x:v>0.275754</x:v>
      </x:c>
      <x:c r="P18" s="34" t="n">
        <x:v>11.347155</x:v>
      </x:c>
      <x:c r="Q18" s="34" t="n">
        <x:v>0.467456</x:v>
      </x:c>
      <x:c r="R18" s="34" t="n">
        <x:v>13601.964333</x:v>
      </x:c>
      <x:c r="S18" s="34" t="n">
        <x:v>114.411726</x:v>
      </x:c>
      <x:c r="T18" s="34" t="n">
        <x:v>18309.947</x:v>
      </x:c>
      <x:c r="U18" s="34" t="n">
        <x:v>129.069309</x:v>
      </x:c>
      <x:c r="V18" s="34" t="n">
        <x:v>24086</x:v>
      </x:c>
      <x:c r="W18" s="34" t="n">
        <x:v>0</x:v>
      </x:c>
      <x:c r="X18" s="34" t="n">
        <x:v>28642.497</x:v>
      </x:c>
      <x:c r="Y18" s="34" t="n">
        <x:v>114.411223</x:v>
      </x:c>
      <x:c r="Z18" s="34" t="n">
        <x:v>15040.533</x:v>
      </x:c>
      <x:c r="AA18" s="34" t="n">
        <x:v>0</x:v>
      </x:c>
      <x:c r="AB18" s="34" t="n">
        <x:v>2049.584</x:v>
      </x:c>
      <x:c r="AC18" s="34" t="n">
        <x:v>3.693872</x:v>
      </x:c>
      <x:c r="AD18" s="34" t="n">
        <x:v>23.610293</x:v>
      </x:c>
      <x:c r="AE18" s="34" t="n">
        <x:v>0.327679</x:v>
      </x:c>
      <x:c r="AF18" s="34" t="n">
        <x:v>0.86816</x:v>
      </x:c>
      <x:c r="AG18" s="34" t="n">
        <x:v>0.003668</x:v>
      </x:c>
      <x:c r="AH18" s="34" t="n">
        <x:v>0.003051</x:v>
      </x:c>
      <x:c r="AI18" s="34" t="n">
        <x:v>0.000109</x:v>
      </x:c>
      <x:c r="AJ18" s="34" t="n">
        <x:v>0.128789</x:v>
      </x:c>
      <x:c r="AK18" s="34" t="n">
        <x:v>0.003595</x:v>
      </x:c>
      <x:c r="AL18" s="34" t="n">
        <x:v>0.810825281</x:v>
      </x:c>
      <x:c r="AM18" s="34" t="n">
        <x:v>0.006073709</x:v>
      </x:c>
      <x:c r="AN18" s="34" t="n">
        <x:v>0.02952517</x:v>
      </x:c>
      <x:c r="AO18" s="34" t="n">
        <x:v>0.001075391</x:v>
      </x:c>
      <x:c r="AP18" s="34" t="n">
        <x:v>0.159649549</x:v>
      </x:c>
      <x:c r="AQ18" s="34" t="n">
        <x:v>0.007139374</x:v>
      </x:c>
      <x:c r="AR18" s="34" t="n">
        <x:v>64.270551945</x:v>
      </x:c>
      <x:c r="AS18" s="34" t="n">
        <x:v>2.611890586</x:v>
      </x:c>
      <x:c r="AT18" s="34" t="n">
        <x:v>0</x:v>
      </x:c>
      <x:c r="AU18" s="34" t="n">
        <x:v>0</x:v>
      </x:c>
      <x:c r="AV18" s="34" t="str">
        <x:v>variance_game_shapley_common_random_numbers</x:v>
      </x:c>
    </x:row>
    <x:row r="19">
      <x:c r="A19" s="34" t="str">
        <x:v>POSCO_KR</x:v>
      </x:c>
      <x:c r="B19" s="34" t="str">
        <x:v>POSCO</x:v>
      </x:c>
      <x:c r="C19" s="34" t="str">
        <x:v>CAND-466C04961ED513</x:v>
      </x:c>
      <x:c r="D19" s="34" t="str">
        <x:v>P2</x:v>
      </x:c>
      <x:c r="E19" s="34" t="str">
        <x:v>PORT-7ED23B40E316</x:v>
      </x:c>
      <x:c r="F19" s="34" t="str">
        <x:v>ACCELERATED_15C</x:v>
      </x:c>
      <x:c r="G19" s="40" t="b">
        <x:v>1</x:v>
      </x:c>
      <x:c r="H19" s="40" t="b">
        <x:v>1</x:v>
      </x:c>
      <x:c r="I19" s="40" t="b">
        <x:v>1</x:v>
      </x:c>
      <x:c r="J19" s="34" t="n">
        <x:v>414.904229</x:v>
      </x:c>
      <x:c r="K19" s="34" t="n">
        <x:v>1000</x:v>
      </x:c>
      <x:c r="L19" s="34" t="n">
        <x:v>19.241173</x:v>
      </x:c>
      <x:c r="M19" s="34" t="n">
        <x:v>0.303202</x:v>
      </x:c>
      <x:c r="N19" s="34" t="n">
        <x:v>19.241173</x:v>
      </x:c>
      <x:c r="O19" s="34" t="n">
        <x:v>0.303202</x:v>
      </x:c>
      <x:c r="P19" s="34" t="n">
        <x:v>12.218254</x:v>
      </x:c>
      <x:c r="Q19" s="34" t="n">
        <x:v>0.442373</x:v>
      </x:c>
      <x:c r="R19" s="34" t="n">
        <x:v>7983.244</x:v>
      </x:c>
      <x:c r="S19" s="34" t="n">
        <x:v>125.799526</x:v>
      </x:c>
      <x:c r="T19" s="34" t="n">
        <x:v>13052.649</x:v>
      </x:c>
      <x:c r="U19" s="34" t="n">
        <x:v>171.681144</x:v>
      </x:c>
      <x:c r="V19" s="34" t="n">
        <x:v>24086</x:v>
      </x:c>
      <x:c r="W19" s="34" t="n">
        <x:v>0</x:v>
      </x:c>
      <x:c r="X19" s="34" t="n">
        <x:v>29951.689667</x:v>
      </x:c>
      <x:c r="Y19" s="34" t="n">
        <x:v>125.799759</x:v>
      </x:c>
      <x:c r="Z19" s="34" t="n">
        <x:v>21968.445</x:v>
      </x:c>
      <x:c r="AA19" s="34" t="n">
        <x:v>0</x:v>
      </x:c>
      <x:c r="AB19" s="34" t="n">
        <x:v>2787.370667</x:v>
      </x:c>
      <x:c r="AC19" s="34" t="n">
        <x:v>5.817068</x:v>
      </x:c>
      <x:c r="AD19" s="34" t="n">
        <x:v>0</x:v>
      </x:c>
      <x:c r="AE19" s="34" t="n">
        <x:v>0</x:v>
      </x:c>
      <x:c r="AF19" s="34" t="n">
        <x:v>0.90663</x:v>
      </x:c>
      <x:c r="AG19" s="34" t="n">
        <x:v>0.002668</x:v>
      </x:c>
      <x:c r="AH19" s="34" t="n">
        <x:v>0.001969</x:v>
      </x:c>
      <x:c r="AI19" s="34" t="str">
        <x:v>7.1e-05</x:v>
      </x:c>
      <x:c r="AJ19" s="34" t="n">
        <x:v>0.091402</x:v>
      </x:c>
      <x:c r="AK19" s="34" t="n">
        <x:v>0.002617</x:v>
      </x:c>
      <x:c r="AL19" s="34" t="n">
        <x:v>0.853474201</x:v>
      </x:c>
      <x:c r="AM19" s="34" t="n">
        <x:v>0.005540708</x:v>
      </x:c>
      <x:c r="AN19" s="34" t="n">
        <x:v>0.023906843</x:v>
      </x:c>
      <x:c r="AO19" s="34" t="n">
        <x:v>0.000914632</x:v>
      </x:c>
      <x:c r="AP19" s="34" t="n">
        <x:v>0.122618956</x:v>
      </x:c>
      <x:c r="AQ19" s="34" t="n">
        <x:v>0.006454615</x:v>
      </x:c>
      <x:c r="AR19" s="34" t="n">
        <x:v>75.471666075</x:v>
      </x:c>
      <x:c r="AS19" s="34" t="n">
        <x:v>3.116187349</x:v>
      </x:c>
      <x:c r="AT19" s="34" t="n">
        <x:v>0</x:v>
      </x:c>
      <x:c r="AU19" s="34" t="n">
        <x:v>0</x:v>
      </x:c>
      <x:c r="AV19" s="34" t="str">
        <x:v>variance_game_shapley_common_random_numbers</x:v>
      </x:c>
    </x:row>
    <x:row r="20">
      <x:c r="A20" s="34" t="str">
        <x:v>POSCO_KR</x:v>
      </x:c>
      <x:c r="B20" s="34" t="str">
        <x:v>POSCO</x:v>
      </x:c>
      <x:c r="C20" s="34" t="str">
        <x:v>CAND-7BC738434560A6</x:v>
      </x:c>
      <x:c r="D20" s="34" t="str">
        <x:v>P1</x:v>
      </x:c>
      <x:c r="E20" s="34" t="str">
        <x:v>PORT-7ED23B40E316</x:v>
      </x:c>
      <x:c r="F20" s="34" t="str">
        <x:v>DISCLOSED_PATH</x:v>
      </x:c>
      <x:c r="G20" s="40" t="b">
        <x:v>0</x:v>
      </x:c>
      <x:c r="H20" s="40" t="b">
        <x:v>1</x:v>
      </x:c>
      <x:c r="I20" s="40" t="b">
        <x:v>0</x:v>
      </x:c>
      <x:c r="J20" s="34" t="n">
        <x:v>414.904229</x:v>
      </x:c>
      <x:c r="K20" s="34" t="n">
        <x:v>1000</x:v>
      </x:c>
      <x:c r="L20" s="34" t="n">
        <x:v>33.416445</x:v>
      </x:c>
      <x:c r="M20" s="34" t="n">
        <x:v>0.32603</x:v>
      </x:c>
      <x:c r="N20" s="34" t="n">
        <x:v>33.416445</x:v>
      </x:c>
      <x:c r="O20" s="34" t="n">
        <x:v>0.32603</x:v>
      </x:c>
      <x:c r="P20" s="34" t="n">
        <x:v>13.077264</x:v>
      </x:c>
      <x:c r="Q20" s="34" t="n">
        <x:v>0.600385</x:v>
      </x:c>
      <x:c r="R20" s="34" t="n">
        <x:v>13864.624333</x:v>
      </x:c>
      <x:c r="S20" s="34" t="n">
        <x:v>135.271177</x:v>
      </x:c>
      <x:c r="T20" s="34" t="n">
        <x:v>19290.436667</x:v>
      </x:c>
      <x:c r="U20" s="34" t="n">
        <x:v>177.958002</x:v>
      </x:c>
      <x:c r="V20" s="34" t="n">
        <x:v>24086</x:v>
      </x:c>
      <x:c r="W20" s="34" t="n">
        <x:v>0</x:v>
      </x:c>
      <x:c r="X20" s="34" t="n">
        <x:v>28905.157333</x:v>
      </x:c>
      <x:c r="Y20" s="34" t="n">
        <x:v>135.271177</x:v>
      </x:c>
      <x:c r="Z20" s="34" t="n">
        <x:v>15040.533</x:v>
      </x:c>
      <x:c r="AA20" s="34" t="n">
        <x:v>0</x:v>
      </x:c>
      <x:c r="AB20" s="34" t="n">
        <x:v>1822.238333</x:v>
      </x:c>
      <x:c r="AC20" s="34" t="n">
        <x:v>5.939268</x:v>
      </x:c>
      <x:c r="AD20" s="34" t="n">
        <x:v>24.243356</x:v>
      </x:c>
      <x:c r="AE20" s="34" t="n">
        <x:v>0.366573</x:v>
      </x:c>
      <x:c r="AF20" s="34" t="n">
        <x:v>0.875628</x:v>
      </x:c>
      <x:c r="AG20" s="34" t="n">
        <x:v>0.003531</x:v>
      </x:c>
      <x:c r="AH20" s="34" t="n">
        <x:v>0.00297</x:v>
      </x:c>
      <x:c r="AI20" s="34" t="n">
        <x:v>0.000107</x:v>
      </x:c>
      <x:c r="AJ20" s="34" t="n">
        <x:v>0.121403</x:v>
      </x:c>
      <x:c r="AK20" s="34" t="n">
        <x:v>0.003457</x:v>
      </x:c>
      <x:c r="AL20" s="34" t="n">
        <x:v>0.818201417</x:v>
      </x:c>
      <x:c r="AM20" s="34" t="n">
        <x:v>0.005975288</x:v>
      </x:c>
      <x:c r="AN20" s="34" t="n">
        <x:v>0.029158424</x:v>
      </x:c>
      <x:c r="AO20" s="34" t="n">
        <x:v>0.001058332</x:v>
      </x:c>
      <x:c r="AP20" s="34" t="n">
        <x:v>0.152640159</x:v>
      </x:c>
      <x:c r="AQ20" s="34" t="n">
        <x:v>0.007024975</x:v>
      </x:c>
      <x:c r="AR20" s="34" t="n">
        <x:v>86.05699111</x:v>
      </x:c>
      <x:c r="AS20" s="34" t="n">
        <x:v>3.553911399</x:v>
      </x:c>
      <x:c r="AT20" s="34" t="n">
        <x:v>0</x:v>
      </x:c>
      <x:c r="AU20" s="34" t="n">
        <x:v>0</x:v>
      </x:c>
      <x:c r="AV20" s="34" t="str">
        <x:v>variance_game_shapley_common_random_numbers</x:v>
      </x:c>
    </x:row>
    <x:row r="21">
      <x:c r="A21" s="34" t="str">
        <x:v>POSCO_KR</x:v>
      </x:c>
      <x:c r="B21" s="34" t="str">
        <x:v>POSCO</x:v>
      </x:c>
      <x:c r="C21" s="34" t="str">
        <x:v>CAND-7BC738434560A6</x:v>
      </x:c>
      <x:c r="D21" s="34" t="str">
        <x:v>P1</x:v>
      </x:c>
      <x:c r="E21" s="34" t="str">
        <x:v>PORT-7ED23B40E316</x:v>
      </x:c>
      <x:c r="F21" s="34" t="str">
        <x:v>ACCELERATED_15C</x:v>
      </x:c>
      <x:c r="G21" s="40" t="b">
        <x:v>1</x:v>
      </x:c>
      <x:c r="H21" s="40" t="b">
        <x:v>1</x:v>
      </x:c>
      <x:c r="I21" s="40" t="b">
        <x:v>1</x:v>
      </x:c>
      <x:c r="J21" s="34" t="n">
        <x:v>414.904229</x:v>
      </x:c>
      <x:c r="K21" s="34" t="n">
        <x:v>1000</x:v>
      </x:c>
      <x:c r="L21" s="34" t="n">
        <x:v>20.115042</x:v>
      </x:c>
      <x:c r="M21" s="34" t="n">
        <x:v>0.351288</x:v>
      </x:c>
      <x:c r="N21" s="34" t="n">
        <x:v>20.115042</x:v>
      </x:c>
      <x:c r="O21" s="34" t="n">
        <x:v>0.351288</x:v>
      </x:c>
      <x:c r="P21" s="34" t="n">
        <x:v>14.248566</x:v>
      </x:c>
      <x:c r="Q21" s="34" t="n">
        <x:v>0.449284</x:v>
      </x:c>
      <x:c r="R21" s="34" t="n">
        <x:v>8345.816333</x:v>
      </x:c>
      <x:c r="S21" s="34" t="n">
        <x:v>145.750924</x:v>
      </x:c>
      <x:c r="T21" s="34" t="n">
        <x:v>14257.606667</x:v>
      </x:c>
      <x:c r="U21" s="34" t="n">
        <x:v>192.684844</x:v>
      </x:c>
      <x:c r="V21" s="34" t="n">
        <x:v>24086</x:v>
      </x:c>
      <x:c r="W21" s="34" t="n">
        <x:v>0</x:v>
      </x:c>
      <x:c r="X21" s="34" t="n">
        <x:v>30314.261333</x:v>
      </x:c>
      <x:c r="Y21" s="34" t="n">
        <x:v>145.750924</x:v>
      </x:c>
      <x:c r="Z21" s="34" t="n">
        <x:v>21968.445</x:v>
      </x:c>
      <x:c r="AA21" s="34" t="n">
        <x:v>0</x:v>
      </x:c>
      <x:c r="AB21" s="34" t="n">
        <x:v>2456.825333</x:v>
      </x:c>
      <x:c r="AC21" s="34" t="n">
        <x:v>8.000904</x:v>
      </x:c>
      <x:c r="AD21" s="34" t="n">
        <x:v>0.873869</x:v>
      </x:c>
      <x:c r="AE21" s="34" t="n">
        <x:v>0.059647</x:v>
      </x:c>
      <x:c r="AF21" s="34" t="n">
        <x:v>0.913293</x:v>
      </x:c>
      <x:c r="AG21" s="34" t="n">
        <x:v>0.002505</x:v>
      </x:c>
      <x:c r="AH21" s="34" t="n">
        <x:v>0.00194</x:v>
      </x:c>
      <x:c r="AI21" s="34" t="str">
        <x:v>7e-05</x:v>
      </x:c>
      <x:c r="AJ21" s="34" t="n">
        <x:v>0.084767</x:v>
      </x:c>
      <x:c r="AK21" s="34" t="n">
        <x:v>0.002455</x:v>
      </x:c>
      <x:c r="AL21" s="34" t="n">
        <x:v>0.860465582</x:v>
      </x:c>
      <x:c r="AM21" s="34" t="n">
        <x:v>0.005383865</x:v>
      </x:c>
      <x:c r="AN21" s="34" t="n">
        <x:v>0.023778852</x:v>
      </x:c>
      <x:c r="AO21" s="34" t="n">
        <x:v>0.000910796</x:v>
      </x:c>
      <x:c r="AP21" s="34" t="n">
        <x:v>0.115755565</x:v>
      </x:c>
      <x:c r="AQ21" s="34" t="n">
        <x:v>0.006294317</x:v>
      </x:c>
      <x:c r="AR21" s="34" t="n">
        <x:v>102.692942694</x:v>
      </x:c>
      <x:c r="AS21" s="34" t="n">
        <x:v>4.285828298</x:v>
      </x:c>
      <x:c r="AT21" s="34" t="n">
        <x:v>0</x:v>
      </x:c>
      <x:c r="AU21" s="34" t="n">
        <x:v>0</x:v>
      </x:c>
      <x:c r="AV21" s="34" t="str">
        <x:v>variance_game_shapley_common_random_numbers</x:v>
      </x:c>
    </x:row>
    <x:row r="22">
      <x:c r="A22" s="34" t="str">
        <x:v>NIPPON_STEEL_JP</x:v>
      </x:c>
      <x:c r="B22" s="34" t="str">
        <x:v>Nippon Steel</x:v>
      </x:c>
      <x:c r="C22" s="34" t="str">
        <x:v>CAND-7400D0EA735D98</x:v>
      </x:c>
      <x:c r="D22" s="34" t="str">
        <x:v>P3</x:v>
      </x:c>
      <x:c r="E22" s="34" t="str">
        <x:v>PORT-6742936593A9</x:v>
      </x:c>
      <x:c r="F22" s="34" t="str">
        <x:v>DISCLOSED_PATH</x:v>
      </x:c>
      <x:c r="G22" s="40" t="b">
        <x:v>1</x:v>
      </x:c>
      <x:c r="H22" s="40" t="b">
        <x:v>1</x:v>
      </x:c>
      <x:c r="I22" s="40" t="b">
        <x:v>1</x:v>
      </x:c>
      <x:c r="J22" s="34" t="n">
        <x:v>454.753949</x:v>
      </x:c>
      <x:c r="K22" s="34" t="n">
        <x:v>1000</x:v>
      </x:c>
      <x:c r="L22" s="34" t="n">
        <x:v>81.694413</x:v>
      </x:c>
      <x:c r="M22" s="34" t="n">
        <x:v>0.375529</x:v>
      </x:c>
      <x:c r="N22" s="34" t="n">
        <x:v>81.694413</x:v>
      </x:c>
      <x:c r="O22" s="34" t="n">
        <x:v>0.375529</x:v>
      </x:c>
      <x:c r="P22" s="34" t="n">
        <x:v>17.609901</x:v>
      </x:c>
      <x:c r="Q22" s="34" t="n">
        <x:v>1.342531</x:v>
      </x:c>
      <x:c r="R22" s="34" t="n">
        <x:v>37150.857</x:v>
      </x:c>
      <x:c r="S22" s="34" t="n">
        <x:v>170.773387</x:v>
      </x:c>
      <x:c r="T22" s="34" t="n">
        <x:v>45159.029</x:v>
      </x:c>
      <x:c r="U22" s="34" t="n">
        <x:v>607.17061</x:v>
      </x:c>
      <x:c r="V22" s="34" t="n">
        <x:v>29348</x:v>
      </x:c>
      <x:c r="W22" s="34" t="n">
        <x:v>0</x:v>
      </x:c>
      <x:c r="X22" s="34" t="n">
        <x:v>53071.557</x:v>
      </x:c>
      <x:c r="Y22" s="34" t="n">
        <x:v>170.773387</x:v>
      </x:c>
      <x:c r="Z22" s="34" t="n">
        <x:v>15920.7</x:v>
      </x:c>
      <x:c r="AA22" s="34" t="n">
        <x:v>0</x:v>
      </x:c>
      <x:c r="AB22" s="34" t="n">
        <x:v>5717.6</x:v>
      </x:c>
      <x:c r="AC22" s="34" t="n">
        <x:v>37.093453</x:v>
      </x:c>
      <x:c r="AD22" s="34" t="n">
        <x:v>58.992743</x:v>
      </x:c>
      <x:c r="AE22" s="34" t="n">
        <x:v>0.051959</x:v>
      </x:c>
      <x:c r="AF22" s="34" t="n">
        <x:v>0.961571</x:v>
      </x:c>
      <x:c r="AG22" s="34" t="n">
        <x:v>0.002451</x:v>
      </x:c>
      <x:c r="AH22" s="34" t="n">
        <x:v>0.002595</x:v>
      </x:c>
      <x:c r="AI22" s="34" t="n">
        <x:v>0.000131</x:v>
      </x:c>
      <x:c r="AJ22" s="34" t="n">
        <x:v>0.035834</x:v>
      </x:c>
      <x:c r="AK22" s="34" t="n">
        <x:v>0.002326</x:v>
      </x:c>
      <x:c r="AL22" s="34" t="n">
        <x:v>0.910691831</x:v>
      </x:c>
      <x:c r="AM22" s="34" t="n">
        <x:v>0.005594671</x:v>
      </x:c>
      <x:c r="AN22" s="34" t="n">
        <x:v>0.029100317</x:v>
      </x:c>
      <x:c r="AO22" s="34" t="n">
        <x:v>0.000718592</x:v>
      </x:c>
      <x:c r="AP22" s="34" t="n">
        <x:v>0.060207852</x:v>
      </x:c>
      <x:c r="AQ22" s="34" t="n">
        <x:v>0.006187005</x:v>
      </x:c>
      <x:c r="AR22" s="34" t="n">
        <x:v>156.545968926</x:v>
      </x:c>
      <x:c r="AS22" s="34" t="n">
        <x:v>9.599338779</x:v>
      </x:c>
      <x:c r="AT22" s="34" t="n">
        <x:v>0</x:v>
      </x:c>
      <x:c r="AU22" s="34" t="n">
        <x:v>0</x:v>
      </x:c>
      <x:c r="AV22" s="34" t="str">
        <x:v>variance_game_shapley_common_random_numbers</x:v>
      </x:c>
    </x:row>
    <x:row r="23">
      <x:c r="A23" s="34" t="str">
        <x:v>NIPPON_STEEL_JP</x:v>
      </x:c>
      <x:c r="B23" s="34" t="str">
        <x:v>Nippon Steel</x:v>
      </x:c>
      <x:c r="C23" s="34" t="str">
        <x:v>CAND-7400D0EA735D98</x:v>
      </x:c>
      <x:c r="D23" s="34" t="str">
        <x:v>P3</x:v>
      </x:c>
      <x:c r="E23" s="34" t="str">
        <x:v>PORT-6742936593A9</x:v>
      </x:c>
      <x:c r="F23" s="34" t="str">
        <x:v>ACCELERATED_15C</x:v>
      </x:c>
      <x:c r="G23" s="40" t="b">
        <x:v>1</x:v>
      </x:c>
      <x:c r="H23" s="40" t="b">
        <x:v>1</x:v>
      </x:c>
      <x:c r="I23" s="40" t="b">
        <x:v>1</x:v>
      </x:c>
      <x:c r="J23" s="34" t="n">
        <x:v>454.753949</x:v>
      </x:c>
      <x:c r="K23" s="34" t="n">
        <x:v>1000</x:v>
      </x:c>
      <x:c r="L23" s="34" t="n">
        <x:v>70.354443</x:v>
      </x:c>
      <x:c r="M23" s="34" t="n">
        <x:v>0.516479</x:v>
      </x:c>
      <x:c r="N23" s="34" t="n">
        <x:v>70.354443</x:v>
      </x:c>
      <x:c r="O23" s="34" t="n">
        <x:v>0.516479</x:v>
      </x:c>
      <x:c r="P23" s="34" t="n">
        <x:v>18.718051</x:v>
      </x:c>
      <x:c r="Q23" s="34" t="n">
        <x:v>1.169696</x:v>
      </x:c>
      <x:c r="R23" s="34" t="n">
        <x:v>31993.960333</x:v>
      </x:c>
      <x:c r="S23" s="34" t="n">
        <x:v>234.870701</x:v>
      </x:c>
      <x:c r="T23" s="34" t="n">
        <x:v>40506.068333</x:v>
      </x:c>
      <x:c r="U23" s="34" t="n">
        <x:v>529.604212</x:v>
      </x:c>
      <x:c r="V23" s="34" t="n">
        <x:v>29348</x:v>
      </x:c>
      <x:c r="W23" s="34" t="n">
        <x:v>0</x:v>
      </x:c>
      <x:c r="X23" s="34" t="n">
        <x:v>55486.092333</x:v>
      </x:c>
      <x:c r="Y23" s="34" t="n">
        <x:v>234.870701</x:v>
      </x:c>
      <x:c r="Z23" s="34" t="n">
        <x:v>23492.132</x:v>
      </x:c>
      <x:c r="AA23" s="34" t="n">
        <x:v>0</x:v>
      </x:c>
      <x:c r="AB23" s="34" t="n">
        <x:v>7536.671</x:v>
      </x:c>
      <x:c r="AC23" s="34" t="n">
        <x:v>43.869709</x:v>
      </x:c>
      <x:c r="AD23" s="34" t="n">
        <x:v>36.202148</x:v>
      </x:c>
      <x:c r="AE23" s="34" t="n">
        <x:v>0.094785</x:v>
      </x:c>
      <x:c r="AF23" s="34" t="n">
        <x:v>0.97243</x:v>
      </x:c>
      <x:c r="AG23" s="34" t="n">
        <x:v>0.001761</x:v>
      </x:c>
      <x:c r="AH23" s="34" t="n">
        <x:v>0.001675</x:v>
      </x:c>
      <x:c r="AI23" s="34" t="str">
        <x:v>8.5e-05</x:v>
      </x:c>
      <x:c r="AJ23" s="34" t="n">
        <x:v>0.025895</x:v>
      </x:c>
      <x:c r="AK23" s="34" t="n">
        <x:v>0.00168</x:v>
      </x:c>
      <x:c r="AL23" s="34" t="n">
        <x:v>0.929071365</x:v>
      </x:c>
      <x:c r="AM23" s="34" t="n">
        <x:v>0.00493322</x:v>
      </x:c>
      <x:c r="AN23" s="34" t="n">
        <x:v>0.023302792</x:v>
      </x:c>
      <x:c r="AO23" s="34" t="n">
        <x:v>0.000615563</x:v>
      </x:c>
      <x:c r="AP23" s="34" t="n">
        <x:v>0.047625844</x:v>
      </x:c>
      <x:c r="AQ23" s="34" t="n">
        <x:v>0.005393969</x:v>
      </x:c>
      <x:c r="AR23" s="34" t="n">
        <x:v>178.420886002</x:v>
      </x:c>
      <x:c r="AS23" s="34" t="n">
        <x:v>11.015089503</x:v>
      </x:c>
      <x:c r="AT23" s="34" t="n">
        <x:v>0</x:v>
      </x:c>
      <x:c r="AU23" s="34" t="n">
        <x:v>0</x:v>
      </x:c>
      <x:c r="AV23" s="34" t="str">
        <x:v>variance_game_shapley_common_random_numbers</x:v>
      </x:c>
    </x:row>
    <x:row r="24">
      <x:c r="A24" s="34" t="str">
        <x:v>NIPPON_STEEL_JP</x:v>
      </x:c>
      <x:c r="B24" s="34" t="str">
        <x:v>Nippon Steel</x:v>
      </x:c>
      <x:c r="C24" s="34" t="str">
        <x:v>CAND-F6184286A4322F</x:v>
      </x:c>
      <x:c r="D24" s="34" t="str">
        <x:v>P2</x:v>
      </x:c>
      <x:c r="E24" s="34" t="str">
        <x:v>PORT-6742936593A9</x:v>
      </x:c>
      <x:c r="F24" s="34" t="str">
        <x:v>DISCLOSED_PATH</x:v>
      </x:c>
      <x:c r="G24" s="40" t="b">
        <x:v>1</x:v>
      </x:c>
      <x:c r="H24" s="40" t="b">
        <x:v>1</x:v>
      </x:c>
      <x:c r="I24" s="40" t="b">
        <x:v>1</x:v>
      </x:c>
      <x:c r="J24" s="34" t="n">
        <x:v>454.753949</x:v>
      </x:c>
      <x:c r="K24" s="34" t="n">
        <x:v>1000</x:v>
      </x:c>
      <x:c r="L24" s="34" t="n">
        <x:v>84.601628</x:v>
      </x:c>
      <x:c r="M24" s="34" t="n">
        <x:v>0.500404</x:v>
      </x:c>
      <x:c r="N24" s="34" t="n">
        <x:v>84.601628</x:v>
      </x:c>
      <x:c r="O24" s="34" t="n">
        <x:v>0.500404</x:v>
      </x:c>
      <x:c r="P24" s="34" t="n">
        <x:v>22.152937</x:v>
      </x:c>
      <x:c r="Q24" s="34" t="n">
        <x:v>1.708003</x:v>
      </x:c>
      <x:c r="R24" s="34" t="n">
        <x:v>38472.924667</x:v>
      </x:c>
      <x:c r="S24" s="34" t="n">
        <x:v>227.560445</x:v>
      </x:c>
      <x:c r="T24" s="34" t="n">
        <x:v>48547.06</x:v>
      </x:c>
      <x:c r="U24" s="34" t="n">
        <x:v>765.359622</x:v>
      </x:c>
      <x:c r="V24" s="34" t="n">
        <x:v>29348</x:v>
      </x:c>
      <x:c r="W24" s="34" t="n">
        <x:v>0</x:v>
      </x:c>
      <x:c r="X24" s="34" t="n">
        <x:v>54393.624667</x:v>
      </x:c>
      <x:c r="Y24" s="34" t="n">
        <x:v>227.560445</x:v>
      </x:c>
      <x:c r="Z24" s="34" t="n">
        <x:v>15920.7</x:v>
      </x:c>
      <x:c r="AA24" s="34" t="n">
        <x:v>0</x:v>
      </x:c>
      <x:c r="AB24" s="34" t="n">
        <x:v>4412.779667</x:v>
      </x:c>
      <x:c r="AC24" s="34" t="n">
        <x:v>13.99103</x:v>
      </x:c>
      <x:c r="AD24" s="34" t="n">
        <x:v>61.899958</x:v>
      </x:c>
      <x:c r="AE24" s="34" t="n">
        <x:v>0.175208</x:v>
      </x:c>
      <x:c r="AF24" s="34" t="n">
        <x:v>0.962931</x:v>
      </x:c>
      <x:c r="AG24" s="34" t="n">
        <x:v>0.002365</x:v>
      </x:c>
      <x:c r="AH24" s="34" t="n">
        <x:v>0.002608</x:v>
      </x:c>
      <x:c r="AI24" s="34" t="n">
        <x:v>0.000131</x:v>
      </x:c>
      <x:c r="AJ24" s="34" t="n">
        <x:v>0.034461</x:v>
      </x:c>
      <x:c r="AK24" s="34" t="n">
        <x:v>0.002239</x:v>
      </x:c>
      <x:c r="AL24" s="34" t="n">
        <x:v>0.912317516</x:v>
      </x:c>
      <x:c r="AM24" s="34" t="n">
        <x:v>0.005499087</x:v>
      </x:c>
      <x:c r="AN24" s="34" t="n">
        <x:v>0.029185933</x:v>
      </x:c>
      <x:c r="AO24" s="34" t="n">
        <x:v>0.000719407</x:v>
      </x:c>
      <x:c r="AP24" s="34" t="n">
        <x:v>0.058496551</x:v>
      </x:c>
      <x:c r="AQ24" s="34" t="n">
        <x:v>0.006086955</x:v>
      </x:c>
      <x:c r="AR24" s="34" t="n">
        <x:v>246.365914858</x:v>
      </x:c>
      <x:c r="AS24" s="34" t="n">
        <x:v>15.137408032</x:v>
      </x:c>
      <x:c r="AT24" s="34" t="n">
        <x:v>0</x:v>
      </x:c>
      <x:c r="AU24" s="34" t="n">
        <x:v>0</x:v>
      </x:c>
      <x:c r="AV24" s="34" t="str">
        <x:v>variance_game_shapley_common_random_numbers</x:v>
      </x:c>
    </x:row>
    <x:row r="25">
      <x:c r="A25" s="34" t="str">
        <x:v>NIPPON_STEEL_JP</x:v>
      </x:c>
      <x:c r="B25" s="34" t="str">
        <x:v>Nippon Steel</x:v>
      </x:c>
      <x:c r="C25" s="34" t="str">
        <x:v>CAND-F6184286A4322F</x:v>
      </x:c>
      <x:c r="D25" s="34" t="str">
        <x:v>P2</x:v>
      </x:c>
      <x:c r="E25" s="34" t="str">
        <x:v>PORT-6742936593A9</x:v>
      </x:c>
      <x:c r="F25" s="34" t="str">
        <x:v>ACCELERATED_15C</x:v>
      </x:c>
      <x:c r="G25" s="40" t="b">
        <x:v>1</x:v>
      </x:c>
      <x:c r="H25" s="40" t="b">
        <x:v>1</x:v>
      </x:c>
      <x:c r="I25" s="40" t="b">
        <x:v>1</x:v>
      </x:c>
      <x:c r="J25" s="34" t="n">
        <x:v>454.753949</x:v>
      </x:c>
      <x:c r="K25" s="34" t="n">
        <x:v>1000</x:v>
      </x:c>
      <x:c r="L25" s="34" t="n">
        <x:v>74.533155</x:v>
      </x:c>
      <x:c r="M25" s="34" t="n">
        <x:v>0.607358</x:v>
      </x:c>
      <x:c r="N25" s="34" t="n">
        <x:v>74.533155</x:v>
      </x:c>
      <x:c r="O25" s="34" t="n">
        <x:v>0.607358</x:v>
      </x:c>
      <x:c r="P25" s="34" t="n">
        <x:v>23.966906</x:v>
      </x:c>
      <x:c r="Q25" s="34" t="n">
        <x:v>1.533092</x:v>
      </x:c>
      <x:c r="R25" s="34" t="n">
        <x:v>33894.246667</x:v>
      </x:c>
      <x:c r="S25" s="34" t="n">
        <x:v>276.19869</x:v>
      </x:c>
      <x:c r="T25" s="34" t="n">
        <x:v>44793.291667</x:v>
      </x:c>
      <x:c r="U25" s="34" t="n">
        <x:v>705.009471</x:v>
      </x:c>
      <x:c r="V25" s="34" t="n">
        <x:v>29348</x:v>
      </x:c>
      <x:c r="W25" s="34" t="n">
        <x:v>0</x:v>
      </x:c>
      <x:c r="X25" s="34" t="n">
        <x:v>57386.378667</x:v>
      </x:c>
      <x:c r="Y25" s="34" t="n">
        <x:v>276.19869</x:v>
      </x:c>
      <x:c r="Z25" s="34" t="n">
        <x:v>23492.132</x:v>
      </x:c>
      <x:c r="AA25" s="34" t="n">
        <x:v>0</x:v>
      </x:c>
      <x:c r="AB25" s="34" t="n">
        <x:v>5629.280667</x:v>
      </x:c>
      <x:c r="AC25" s="34" t="n">
        <x:v>21.379263</x:v>
      </x:c>
      <x:c r="AD25" s="34" t="n">
        <x:v>40.380861</x:v>
      </x:c>
      <x:c r="AE25" s="34" t="n">
        <x:v>0.166237</x:v>
      </x:c>
      <x:c r="AF25" s="34" t="n">
        <x:v>0.974186</x:v>
      </x:c>
      <x:c r="AG25" s="34" t="n">
        <x:v>0.001645</x:v>
      </x:c>
      <x:c r="AH25" s="34" t="n">
        <x:v>0.001716</x:v>
      </x:c>
      <x:c r="AI25" s="34" t="str">
        <x:v>8.7e-05</x:v>
      </x:c>
      <x:c r="AJ25" s="34" t="n">
        <x:v>0.024098</x:v>
      </x:c>
      <x:c r="AK25" s="34" t="n">
        <x:v>0.001562</x:v>
      </x:c>
      <x:c r="AL25" s="34" t="n">
        <x:v>0.931231911</x:v>
      </x:c>
      <x:c r="AM25" s="34" t="n">
        <x:v>0.004778853</x:v>
      </x:c>
      <x:c r="AN25" s="34" t="n">
        <x:v>0.023595236</x:v>
      </x:c>
      <x:c r="AO25" s="34" t="n">
        <x:v>0.000623131</x:v>
      </x:c>
      <x:c r="AP25" s="34" t="n">
        <x:v>0.045172853</x:v>
      </x:c>
      <x:c r="AQ25" s="34" t="n">
        <x:v>0.005235635</x:v>
      </x:c>
      <x:c r="AR25" s="34" t="n">
        <x:v>290.074073735</x:v>
      </x:c>
      <x:c r="AS25" s="34" t="n">
        <x:v>17.939831675</x:v>
      </x:c>
      <x:c r="AT25" s="34" t="n">
        <x:v>0</x:v>
      </x:c>
      <x:c r="AU25" s="34" t="n">
        <x:v>0</x:v>
      </x:c>
      <x:c r="AV25" s="34" t="str">
        <x:v>variance_game_shapley_common_random_numbers</x:v>
      </x:c>
    </x:row>
    <x:row r="26">
      <x:c r="A26" s="34" t="str">
        <x:v>NIPPON_STEEL_JP</x:v>
      </x:c>
      <x:c r="B26" s="34" t="str">
        <x:v>Nippon Steel</x:v>
      </x:c>
      <x:c r="C26" s="34" t="str">
        <x:v>CAND-18F73BD54A9F34</x:v>
      </x:c>
      <x:c r="D26" s="34" t="str">
        <x:v>P1</x:v>
      </x:c>
      <x:c r="E26" s="34" t="str">
        <x:v>PORT-6742936593A9</x:v>
      </x:c>
      <x:c r="F26" s="34" t="str">
        <x:v>DISCLOSED_PATH</x:v>
      </x:c>
      <x:c r="G26" s="40" t="b">
        <x:v>1</x:v>
      </x:c>
      <x:c r="H26" s="40" t="b">
        <x:v>1</x:v>
      </x:c>
      <x:c r="I26" s="40" t="b">
        <x:v>1</x:v>
      </x:c>
      <x:c r="J26" s="34" t="n">
        <x:v>454.753949</x:v>
      </x:c>
      <x:c r="K26" s="34" t="n">
        <x:v>1000</x:v>
      </x:c>
      <x:c r="L26" s="34" t="n">
        <x:v>86.696691</x:v>
      </x:c>
      <x:c r="M26" s="34" t="n">
        <x:v>0.67502</x:v>
      </x:c>
      <x:c r="N26" s="34" t="n">
        <x:v>86.696691</x:v>
      </x:c>
      <x:c r="O26" s="34" t="n">
        <x:v>0.67502</x:v>
      </x:c>
      <x:c r="P26" s="34" t="n">
        <x:v>25.644368</x:v>
      </x:c>
      <x:c r="Q26" s="34" t="n">
        <x:v>2.148359</x:v>
      </x:c>
      <x:c r="R26" s="34" t="n">
        <x:v>39425.662333</x:v>
      </x:c>
      <x:c r="S26" s="34" t="n">
        <x:v>306.967886</x:v>
      </x:c>
      <x:c r="T26" s="34" t="n">
        <x:v>51087.54</x:v>
      </x:c>
      <x:c r="U26" s="34" t="n">
        <x:v>930.098271</x:v>
      </x:c>
      <x:c r="V26" s="34" t="n">
        <x:v>29348</x:v>
      </x:c>
      <x:c r="W26" s="34" t="n">
        <x:v>0</x:v>
      </x:c>
      <x:c r="X26" s="34" t="n">
        <x:v>55346.362333</x:v>
      </x:c>
      <x:c r="Y26" s="34" t="n">
        <x:v>306.967886</x:v>
      </x:c>
      <x:c r="Z26" s="34" t="n">
        <x:v>15920.7</x:v>
      </x:c>
      <x:c r="AA26" s="34" t="n">
        <x:v>0</x:v>
      </x:c>
      <x:c r="AB26" s="34" t="n">
        <x:v>3530.277</x:v>
      </x:c>
      <x:c r="AC26" s="34" t="n">
        <x:v>10.235232</x:v>
      </x:c>
      <x:c r="AD26" s="34" t="n">
        <x:v>63.99502</x:v>
      </x:c>
      <x:c r="AE26" s="34" t="n">
        <x:v>0.351325</x:v>
      </x:c>
      <x:c r="AF26" s="34" t="n">
        <x:v>0.965187</x:v>
      </x:c>
      <x:c r="AG26" s="34" t="n">
        <x:v>0.002234</x:v>
      </x:c>
      <x:c r="AH26" s="34" t="n">
        <x:v>0.002533</x:v>
      </x:c>
      <x:c r="AI26" s="34" t="n">
        <x:v>0.000128</x:v>
      </x:c>
      <x:c r="AJ26" s="34" t="n">
        <x:v>0.03228</x:v>
      </x:c>
      <x:c r="AK26" s="34" t="n">
        <x:v>0.00211</x:v>
      </x:c>
      <x:c r="AL26" s="34" t="n">
        <x:v>0.915384451</x:v>
      </x:c>
      <x:c r="AM26" s="34" t="n">
        <x:v>0.005327396</x:v>
      </x:c>
      <x:c r="AN26" s="34" t="n">
        <x:v>0.02875498</x:v>
      </x:c>
      <x:c r="AO26" s="34" t="n">
        <x:v>0.000702676</x:v>
      </x:c>
      <x:c r="AP26" s="34" t="n">
        <x:v>0.055860568</x:v>
      </x:c>
      <x:c r="AQ26" s="34" t="n">
        <x:v>0.005895915</x:v>
      </x:c>
      <x:c r="AR26" s="34" t="n">
        <x:v>332.121287165</x:v>
      </x:c>
      <x:c r="AS26" s="34" t="n">
        <x:v>20.556665665</x:v>
      </x:c>
      <x:c r="AT26" s="34" t="n">
        <x:v>0</x:v>
      </x:c>
      <x:c r="AU26" s="34" t="n">
        <x:v>0</x:v>
      </x:c>
      <x:c r="AV26" s="34" t="str">
        <x:v>variance_game_shapley_common_random_numbers</x:v>
      </x:c>
    </x:row>
    <x:row r="27">
      <x:c r="A27" s="34" t="str">
        <x:v>NIPPON_STEEL_JP</x:v>
      </x:c>
      <x:c r="B27" s="34" t="str">
        <x:v>Nippon Steel</x:v>
      </x:c>
      <x:c r="C27" s="34" t="str">
        <x:v>CAND-18F73BD54A9F34</x:v>
      </x:c>
      <x:c r="D27" s="34" t="str">
        <x:v>P1</x:v>
      </x:c>
      <x:c r="E27" s="34" t="str">
        <x:v>PORT-6742936593A9</x:v>
      </x:c>
      <x:c r="F27" s="34" t="str">
        <x:v>ACCELERATED_15C</x:v>
      </x:c>
      <x:c r="G27" s="40" t="b">
        <x:v>1</x:v>
      </x:c>
      <x:c r="H27" s="40" t="b">
        <x:v>1</x:v>
      </x:c>
      <x:c r="I27" s="40" t="b">
        <x:v>1</x:v>
      </x:c>
      <x:c r="J27" s="34" t="n">
        <x:v>454.753949</x:v>
      </x:c>
      <x:c r="K27" s="34" t="n">
        <x:v>1000</x:v>
      </x:c>
      <x:c r="L27" s="34" t="n">
        <x:v>77.528609</x:v>
      </x:c>
      <x:c r="M27" s="34" t="n">
        <x:v>0.688517</x:v>
      </x:c>
      <x:c r="N27" s="34" t="n">
        <x:v>77.528609</x:v>
      </x:c>
      <x:c r="O27" s="34" t="n">
        <x:v>0.688517</x:v>
      </x:c>
      <x:c r="P27" s="34" t="n">
        <x:v>28.098154</x:v>
      </x:c>
      <x:c r="Q27" s="34" t="n">
        <x:v>1.956061</x:v>
      </x:c>
      <x:c r="R27" s="34" t="n">
        <x:v>35256.440667</x:v>
      </x:c>
      <x:c r="S27" s="34" t="n">
        <x:v>313.105804</x:v>
      </x:c>
      <x:c r="T27" s="34" t="n">
        <x:v>48034.187</x:v>
      </x:c>
      <x:c r="U27" s="34" t="n">
        <x:v>895.862891</x:v>
      </x:c>
      <x:c r="V27" s="34" t="n">
        <x:v>29348</x:v>
      </x:c>
      <x:c r="W27" s="34" t="n">
        <x:v>0</x:v>
      </x:c>
      <x:c r="X27" s="34" t="n">
        <x:v>58748.572667</x:v>
      </x:c>
      <x:c r="Y27" s="34" t="n">
        <x:v>313.105804</x:v>
      </x:c>
      <x:c r="Z27" s="34" t="n">
        <x:v>23492.132</x:v>
      </x:c>
      <x:c r="AA27" s="34" t="n">
        <x:v>0</x:v>
      </x:c>
      <x:c r="AB27" s="34" t="n">
        <x:v>4330.57</x:v>
      </x:c>
      <x:c r="AC27" s="34" t="n">
        <x:v>12.812601</x:v>
      </x:c>
      <x:c r="AD27" s="34" t="n">
        <x:v>43.376314</x:v>
      </x:c>
      <x:c r="AE27" s="34" t="n">
        <x:v>0.243852</x:v>
      </x:c>
      <x:c r="AF27" s="34" t="n">
        <x:v>0.976223</x:v>
      </x:c>
      <x:c r="AG27" s="34" t="n">
        <x:v>0.001521</x:v>
      </x:c>
      <x:c r="AH27" s="34" t="n">
        <x:v>0.001683</x:v>
      </x:c>
      <x:c r="AI27" s="34" t="str">
        <x:v>8.6e-05</x:v>
      </x:c>
      <x:c r="AJ27" s="34" t="n">
        <x:v>0.022095</x:v>
      </x:c>
      <x:c r="AK27" s="34" t="n">
        <x:v>0.001438</x:v>
      </x:c>
      <x:c r="AL27" s="34" t="n">
        <x:v>0.934137772</x:v>
      </x:c>
      <x:c r="AM27" s="34" t="n">
        <x:v>0.004584116</x:v>
      </x:c>
      <x:c r="AN27" s="34" t="n">
        <x:v>0.023361646</x:v>
      </x:c>
      <x:c r="AO27" s="34" t="n">
        <x:v>0.000613265</x:v>
      </x:c>
      <x:c r="AP27" s="34" t="n">
        <x:v>0.042500582</x:v>
      </x:c>
      <x:c r="AQ27" s="34" t="n">
        <x:v>0.005025664</x:v>
      </x:c>
      <x:c r="AR27" s="34" t="n">
        <x:v>399.524052509</x:v>
      </x:c>
      <x:c r="AS27" s="34" t="n">
        <x:v>24.870157212</x:v>
      </x:c>
      <x:c r="AT27" s="34" t="n">
        <x:v>0</x:v>
      </x:c>
      <x:c r="AU27" s="34" t="n">
        <x:v>0</x:v>
      </x:c>
      <x:c r="AV27" s="34" t="str">
        <x:v>variance_game_shapley_common_random_numbers</x:v>
      </x:c>
    </x:row>
    <x:row r="28">
      <x:c r="A28" s="34" t="str">
        <x:v>NIPPON_STEEL_JP</x:v>
      </x:c>
      <x:c r="B28" s="34" t="str">
        <x:v>Nippon Steel</x:v>
      </x:c>
      <x:c r="C28" s="34" t="str">
        <x:v>CAND-EBD30C485CEFDA</x:v>
      </x:c>
      <x:c r="D28" s="34" t="str">
        <x:v>P2</x:v>
      </x:c>
      <x:c r="E28" s="34" t="str">
        <x:v>PORT-9E76B3BFF9FF</x:v>
      </x:c>
      <x:c r="F28" s="34" t="str">
        <x:v>DISCLOSED_PATH</x:v>
      </x:c>
      <x:c r="G28" s="40" t="b">
        <x:v>1</x:v>
      </x:c>
      <x:c r="H28" s="40" t="b">
        <x:v>1</x:v>
      </x:c>
      <x:c r="I28" s="40" t="b">
        <x:v>1</x:v>
      </x:c>
      <x:c r="J28" s="34" t="n">
        <x:v>456.103943</x:v>
      </x:c>
      <x:c r="K28" s="34" t="n">
        <x:v>1000</x:v>
      </x:c>
      <x:c r="L28" s="34" t="n">
        <x:v>90.754772</x:v>
      </x:c>
      <x:c r="M28" s="34" t="n">
        <x:v>0.623545</x:v>
      </x:c>
      <x:c r="N28" s="34" t="n">
        <x:v>90.754772</x:v>
      </x:c>
      <x:c r="O28" s="34" t="n">
        <x:v>0.623545</x:v>
      </x:c>
      <x:c r="P28" s="34" t="n">
        <x:v>22.771785</x:v>
      </x:c>
      <x:c r="Q28" s="34" t="n">
        <x:v>1.174127</x:v>
      </x:c>
      <x:c r="R28" s="34" t="n">
        <x:v>41393.609667</x:v>
      </x:c>
      <x:c r="S28" s="34" t="n">
        <x:v>284.401242</x:v>
      </x:c>
      <x:c r="T28" s="34" t="n">
        <x:v>51779.910333</x:v>
      </x:c>
      <x:c r="U28" s="34" t="n">
        <x:v>605.364926</x:v>
      </x:c>
      <x:c r="V28" s="34" t="n">
        <x:v>28936.6</x:v>
      </x:c>
      <x:c r="W28" s="34" t="n">
        <x:v>0</x:v>
      </x:c>
      <x:c r="X28" s="34" t="n">
        <x:v>57362.515333</x:v>
      </x:c>
      <x:c r="Y28" s="34" t="n">
        <x:v>284.401795</x:v>
      </x:c>
      <x:c r="Z28" s="34" t="n">
        <x:v>15968.906</x:v>
      </x:c>
      <x:c r="AA28" s="34" t="n">
        <x:v>0</x:v>
      </x:c>
      <x:c r="AB28" s="34" t="n">
        <x:v>4489.452</x:v>
      </x:c>
      <x:c r="AC28" s="34" t="n">
        <x:v>13.972986</x:v>
      </x:c>
      <x:c r="AD28" s="34" t="n">
        <x:v>68.053102</x:v>
      </x:c>
      <x:c r="AE28" s="34" t="n">
        <x:v>0.37359</x:v>
      </x:c>
      <x:c r="AF28" s="34" t="n">
        <x:v>0.965115</x:v>
      </x:c>
      <x:c r="AG28" s="34" t="n">
        <x:v>0.002496</x:v>
      </x:c>
      <x:c r="AH28" s="34" t="n">
        <x:v>0.002795</x:v>
      </x:c>
      <x:c r="AI28" s="34" t="n">
        <x:v>0.000199</x:v>
      </x:c>
      <x:c r="AJ28" s="34" t="n">
        <x:v>0.03209</x:v>
      </x:c>
      <x:c r="AK28" s="34" t="n">
        <x:v>0.002315</x:v>
      </x:c>
      <x:c r="AL28" s="34" t="n">
        <x:v>0.912729123</x:v>
      </x:c>
      <x:c r="AM28" s="34" t="n">
        <x:v>0.004993273</x:v>
      </x:c>
      <x:c r="AN28" s="34" t="n">
        <x:v>0.030206053</x:v>
      </x:c>
      <x:c r="AO28" s="34" t="n">
        <x:v>0.000685548</x:v>
      </x:c>
      <x:c r="AP28" s="34" t="n">
        <x:v>0.057064825</x:v>
      </x:c>
      <x:c r="AQ28" s="34" t="n">
        <x:v>0.005308663</x:v>
      </x:c>
      <x:c r="AR28" s="34" t="n">
        <x:v>255.073494544</x:v>
      </x:c>
      <x:c r="AS28" s="34" t="n">
        <x:v>17.612074601</x:v>
      </x:c>
      <x:c r="AT28" s="34" t="n">
        <x:v>0</x:v>
      </x:c>
      <x:c r="AU28" s="34" t="n">
        <x:v>0</x:v>
      </x:c>
      <x:c r="AV28" s="34" t="str">
        <x:v>variance_game_shapley_common_random_numbers</x:v>
      </x:c>
    </x:row>
    <x:row r="29">
      <x:c r="A29" s="34" t="str">
        <x:v>NIPPON_STEEL_JP</x:v>
      </x:c>
      <x:c r="B29" s="34" t="str">
        <x:v>Nippon Steel</x:v>
      </x:c>
      <x:c r="C29" s="34" t="str">
        <x:v>CAND-EBD30C485CEFDA</x:v>
      </x:c>
      <x:c r="D29" s="34" t="str">
        <x:v>P2</x:v>
      </x:c>
      <x:c r="E29" s="34" t="str">
        <x:v>PORT-9E76B3BFF9FF</x:v>
      </x:c>
      <x:c r="F29" s="34" t="str">
        <x:v>ACCELERATED_15C</x:v>
      </x:c>
      <x:c r="G29" s="40" t="b">
        <x:v>1</x:v>
      </x:c>
      <x:c r="H29" s="40" t="b">
        <x:v>1</x:v>
      </x:c>
      <x:c r="I29" s="40" t="b">
        <x:v>1</x:v>
      </x:c>
      <x:c r="J29" s="34" t="n">
        <x:v>456.103943</x:v>
      </x:c>
      <x:c r="K29" s="34" t="n">
        <x:v>1000</x:v>
      </x:c>
      <x:c r="L29" s="34" t="n">
        <x:v>80.887162</x:v>
      </x:c>
      <x:c r="M29" s="34" t="n">
        <x:v>0.660199</x:v>
      </x:c>
      <x:c r="N29" s="34" t="n">
        <x:v>80.887162</x:v>
      </x:c>
      <x:c r="O29" s="34" t="n">
        <x:v>0.660199</x:v>
      </x:c>
      <x:c r="P29" s="34" t="n">
        <x:v>24.731344</x:v>
      </x:c>
      <x:c r="Q29" s="34" t="n">
        <x:v>1.478742</x:v>
      </x:c>
      <x:c r="R29" s="34" t="n">
        <x:v>36892.954</x:v>
      </x:c>
      <x:c r="S29" s="34" t="n">
        <x:v>301.119548</x:v>
      </x:c>
      <x:c r="T29" s="34" t="n">
        <x:v>48173.017</x:v>
      </x:c>
      <x:c r="U29" s="34" t="n">
        <x:v>701.569382</x:v>
      </x:c>
      <x:c r="V29" s="34" t="n">
        <x:v>28936.6</x:v>
      </x:c>
      <x:c r="W29" s="34" t="n">
        <x:v>0</x:v>
      </x:c>
      <x:c r="X29" s="34" t="n">
        <x:v>60452.277</x:v>
      </x:c>
      <x:c r="Y29" s="34" t="n">
        <x:v>301.119548</x:v>
      </x:c>
      <x:c r="Z29" s="34" t="n">
        <x:v>23559.323</x:v>
      </x:c>
      <x:c r="AA29" s="34" t="n">
        <x:v>0</x:v>
      </x:c>
      <x:c r="AB29" s="34" t="n">
        <x:v>5746.562</x:v>
      </x:c>
      <x:c r="AC29" s="34" t="n">
        <x:v>17.318393</x:v>
      </x:c>
      <x:c r="AD29" s="34" t="n">
        <x:v>46.734868</x:v>
      </x:c>
      <x:c r="AE29" s="34" t="n">
        <x:v>0.277763</x:v>
      </x:c>
      <x:c r="AF29" s="34" t="n">
        <x:v>0.975501</x:v>
      </x:c>
      <x:c r="AG29" s="34" t="n">
        <x:v>0.001752</x:v>
      </x:c>
      <x:c r="AH29" s="34" t="n">
        <x:v>0.001873</x:v>
      </x:c>
      <x:c r="AI29" s="34" t="n">
        <x:v>0.000135</x:v>
      </x:c>
      <x:c r="AJ29" s="34" t="n">
        <x:v>0.022626</x:v>
      </x:c>
      <x:c r="AK29" s="34" t="n">
        <x:v>0.00163</x:v>
      </x:c>
      <x:c r="AL29" s="34" t="n">
        <x:v>0.930911617</x:v>
      </x:c>
      <x:c r="AM29" s="34" t="n">
        <x:v>0.004393203</x:v>
      </x:c>
      <x:c r="AN29" s="34" t="n">
        <x:v>0.024585086</x:v>
      </x:c>
      <x:c r="AO29" s="34" t="n">
        <x:v>0.000651669</x:v>
      </x:c>
      <x:c r="AP29" s="34" t="n">
        <x:v>0.044503297</x:v>
      </x:c>
      <x:c r="AQ29" s="34" t="n">
        <x:v>0.00460944</x:v>
      </x:c>
      <x:c r="AR29" s="34" t="n">
        <x:v>298.578430769</x:v>
      </x:c>
      <x:c r="AS29" s="34" t="n">
        <x:v>20.589753998</x:v>
      </x:c>
      <x:c r="AT29" s="34" t="n">
        <x:v>0</x:v>
      </x:c>
      <x:c r="AU29" s="34" t="n">
        <x:v>0</x:v>
      </x:c>
      <x:c r="AV29" s="34" t="str">
        <x:v>variance_game_shapley_common_random_numbers</x:v>
      </x:c>
    </x:row>
    <x:row r="30">
      <x:c r="A30" s="34" t="str">
        <x:v>NIPPON_STEEL_JP</x:v>
      </x:c>
      <x:c r="B30" s="34" t="str">
        <x:v>Nippon Steel</x:v>
      </x:c>
      <x:c r="C30" s="34" t="str">
        <x:v>CAND-C1AAA9A0078119</x:v>
      </x:c>
      <x:c r="D30" s="34" t="str">
        <x:v>P1</x:v>
      </x:c>
      <x:c r="E30" s="34" t="str">
        <x:v>PORT-9E76B3BFF9FF</x:v>
      </x:c>
      <x:c r="F30" s="34" t="str">
        <x:v>DISCLOSED_PATH</x:v>
      </x:c>
      <x:c r="G30" s="40" t="b">
        <x:v>1</x:v>
      </x:c>
      <x:c r="H30" s="40" t="b">
        <x:v>1</x:v>
      </x:c>
      <x:c r="I30" s="40" t="b">
        <x:v>1</x:v>
      </x:c>
      <x:c r="J30" s="34" t="n">
        <x:v>456.103943</x:v>
      </x:c>
      <x:c r="K30" s="34" t="n">
        <x:v>1000</x:v>
      </x:c>
      <x:c r="L30" s="34" t="n">
        <x:v>92.986183</x:v>
      </x:c>
      <x:c r="M30" s="34" t="n">
        <x:v>0.714951</x:v>
      </x:c>
      <x:c r="N30" s="34" t="n">
        <x:v>92.986183</x:v>
      </x:c>
      <x:c r="O30" s="34" t="n">
        <x:v>0.714951</x:v>
      </x:c>
      <x:c r="P30" s="34" t="n">
        <x:v>26.589819</x:v>
      </x:c>
      <x:c r="Q30" s="34" t="n">
        <x:v>1.493783</x:v>
      </x:c>
      <x:c r="R30" s="34" t="n">
        <x:v>42411.364333</x:v>
      </x:c>
      <x:c r="S30" s="34" t="n">
        <x:v>326.091859</x:v>
      </x:c>
      <x:c r="T30" s="34" t="n">
        <x:v>54539.085667</x:v>
      </x:c>
      <x:c r="U30" s="34" t="n">
        <x:v>720.129774</x:v>
      </x:c>
      <x:c r="V30" s="34" t="n">
        <x:v>28936.6</x:v>
      </x:c>
      <x:c r="W30" s="34" t="n">
        <x:v>0</x:v>
      </x:c>
      <x:c r="X30" s="34" t="n">
        <x:v>58380.270333</x:v>
      </x:c>
      <x:c r="Y30" s="34" t="n">
        <x:v>326.091859</x:v>
      </x:c>
      <x:c r="Z30" s="34" t="n">
        <x:v>15968.906</x:v>
      </x:c>
      <x:c r="AA30" s="34" t="n">
        <x:v>0</x:v>
      </x:c>
      <x:c r="AB30" s="34" t="n">
        <x:v>3507.160333</x:v>
      </x:c>
      <x:c r="AC30" s="34" t="n">
        <x:v>7.78702</x:v>
      </x:c>
      <x:c r="AD30" s="34" t="n">
        <x:v>70.284512</x:v>
      </x:c>
      <x:c r="AE30" s="34" t="n">
        <x:v>0.423892</x:v>
      </x:c>
      <x:c r="AF30" s="34" t="n">
        <x:v>0.967232</x:v>
      </x:c>
      <x:c r="AG30" s="34" t="n">
        <x:v>0.002352</x:v>
      </x:c>
      <x:c r="AH30" s="34" t="n">
        <x:v>0.002714</x:v>
      </x:c>
      <x:c r="AI30" s="34" t="n">
        <x:v>0.000194</x:v>
      </x:c>
      <x:c r="AJ30" s="34" t="n">
        <x:v>0.030054</x:v>
      </x:c>
      <x:c r="AK30" s="34" t="n">
        <x:v>0.002176</x:v>
      </x:c>
      <x:c r="AL30" s="34" t="n">
        <x:v>0.915748593</x:v>
      </x:c>
      <x:c r="AM30" s="34" t="n">
        <x:v>0.004853714</x:v>
      </x:c>
      <x:c r="AN30" s="34" t="n">
        <x:v>0.029756354</x:v>
      </x:c>
      <x:c r="AO30" s="34" t="n">
        <x:v>0.000678141</x:v>
      </x:c>
      <x:c r="AP30" s="34" t="n">
        <x:v>0.054495053</x:v>
      </x:c>
      <x:c r="AQ30" s="34" t="n">
        <x:v>0.0051498</x:v>
      </x:c>
      <x:c r="AR30" s="34" t="n">
        <x:v>343.851173577</x:v>
      </x:c>
      <x:c r="AS30" s="34" t="n">
        <x:v>23.829405309</x:v>
      </x:c>
      <x:c r="AT30" s="34" t="n">
        <x:v>0</x:v>
      </x:c>
      <x:c r="AU30" s="34" t="n">
        <x:v>0</x:v>
      </x:c>
      <x:c r="AV30" s="34" t="str">
        <x:v>variance_game_shapley_common_random_numbers</x:v>
      </x:c>
    </x:row>
    <x:row r="31">
      <x:c r="A31" s="34" t="str">
        <x:v>NIPPON_STEEL_JP</x:v>
      </x:c>
      <x:c r="B31" s="34" t="str">
        <x:v>Nippon Steel</x:v>
      </x:c>
      <x:c r="C31" s="34" t="str">
        <x:v>CAND-C1AAA9A0078119</x:v>
      </x:c>
      <x:c r="D31" s="34" t="str">
        <x:v>P1</x:v>
      </x:c>
      <x:c r="E31" s="34" t="str">
        <x:v>PORT-9E76B3BFF9FF</x:v>
      </x:c>
      <x:c r="F31" s="34" t="str">
        <x:v>ACCELERATED_15C</x:v>
      </x:c>
      <x:c r="G31" s="40" t="b">
        <x:v>1</x:v>
      </x:c>
      <x:c r="H31" s="40" t="b">
        <x:v>1</x:v>
      </x:c>
      <x:c r="I31" s="40" t="b">
        <x:v>1</x:v>
      </x:c>
      <x:c r="J31" s="34" t="n">
        <x:v>456.103943</x:v>
      </x:c>
      <x:c r="K31" s="34" t="n">
        <x:v>1000</x:v>
      </x:c>
      <x:c r="L31" s="34" t="n">
        <x:v>84.16891</x:v>
      </x:c>
      <x:c r="M31" s="34" t="n">
        <x:v>0.761613</x:v>
      </x:c>
      <x:c r="N31" s="34" t="n">
        <x:v>84.16891</x:v>
      </x:c>
      <x:c r="O31" s="34" t="n">
        <x:v>0.761613</x:v>
      </x:c>
      <x:c r="P31" s="34" t="n">
        <x:v>29.160709</x:v>
      </x:c>
      <x:c r="Q31" s="34" t="n">
        <x:v>1.741091</x:v>
      </x:c>
      <x:c r="R31" s="34" t="n">
        <x:v>38389.771667</x:v>
      </x:c>
      <x:c r="S31" s="34" t="n">
        <x:v>347.374698</x:v>
      </x:c>
      <x:c r="T31" s="34" t="n">
        <x:v>51690.086</x:v>
      </x:c>
      <x:c r="U31" s="34" t="n">
        <x:v>835.514773</x:v>
      </x:c>
      <x:c r="V31" s="34" t="n">
        <x:v>28936.6</x:v>
      </x:c>
      <x:c r="W31" s="34" t="n">
        <x:v>0</x:v>
      </x:c>
      <x:c r="X31" s="34" t="n">
        <x:v>61949.094667</x:v>
      </x:c>
      <x:c r="Y31" s="34" t="n">
        <x:v>347.374698</x:v>
      </x:c>
      <x:c r="Z31" s="34" t="n">
        <x:v>23559.323</x:v>
      </x:c>
      <x:c r="AA31" s="34" t="n">
        <x:v>0</x:v>
      </x:c>
      <x:c r="AB31" s="34" t="n">
        <x:v>4300.388667</x:v>
      </x:c>
      <x:c r="AC31" s="34" t="n">
        <x:v>10.367732</x:v>
      </x:c>
      <x:c r="AD31" s="34" t="n">
        <x:v>50.016615</x:v>
      </x:c>
      <x:c r="AE31" s="34" t="n">
        <x:v>0.362492</x:v>
      </x:c>
      <x:c r="AF31" s="34" t="n">
        <x:v>0.977423</x:v>
      </x:c>
      <x:c r="AG31" s="34" t="n">
        <x:v>0.001618</x:v>
      </x:c>
      <x:c r="AH31" s="34" t="n">
        <x:v>0.001837</x:v>
      </x:c>
      <x:c r="AI31" s="34" t="n">
        <x:v>0.000133</x:v>
      </x:c>
      <x:c r="AJ31" s="34" t="n">
        <x:v>0.02074</x:v>
      </x:c>
      <x:c r="AK31" s="34" t="n">
        <x:v>0.001499</x:v>
      </x:c>
      <x:c r="AL31" s="34" t="n">
        <x:v>0.933769996</x:v>
      </x:c>
      <x:c r="AM31" s="34" t="n">
        <x:v>0.004229313</x:v>
      </x:c>
      <x:c r="AN31" s="34" t="n">
        <x:v>0.024335314</x:v>
      </x:c>
      <x:c r="AO31" s="34" t="n">
        <x:v>0.000648146</x:v>
      </x:c>
      <x:c r="AP31" s="34" t="n">
        <x:v>0.04189469</x:v>
      </x:c>
      <x:c r="AQ31" s="34" t="n">
        <x:v>0.004427357</x:v>
      </x:c>
      <x:c r="AR31" s="34" t="n">
        <x:v>411.268525353</x:v>
      </x:c>
      <x:c r="AS31" s="34" t="n">
        <x:v>28.46634725</x:v>
      </x:c>
      <x:c r="AT31" s="34" t="n">
        <x:v>0</x:v>
      </x:c>
      <x:c r="AU31" s="34" t="n">
        <x:v>0</x:v>
      </x:c>
      <x:c r="AV31" s="34" t="str">
        <x:v>variance_game_shapley_common_random_numbers</x:v>
      </x:c>
    </x:row>
    <x:row r="32">
      <x:c r="A32" s="34" t="str">
        <x:v>NIPPON_STEEL_JP</x:v>
      </x:c>
      <x:c r="B32" s="34" t="str">
        <x:v>Nippon Steel</x:v>
      </x:c>
      <x:c r="C32" s="34" t="str">
        <x:v>CAND-EF9F86F64A1C2A</x:v>
      </x:c>
      <x:c r="D32" s="34" t="str">
        <x:v>P3</x:v>
      </x:c>
      <x:c r="E32" s="34" t="str">
        <x:v>PORT-00B029BF7478</x:v>
      </x:c>
      <x:c r="F32" s="34" t="str">
        <x:v>DISCLOSED_PATH</x:v>
      </x:c>
      <x:c r="G32" s="40" t="b">
        <x:v>1</x:v>
      </x:c>
      <x:c r="H32" s="40" t="b">
        <x:v>1</x:v>
      </x:c>
      <x:c r="I32" s="40" t="b">
        <x:v>1</x:v>
      </x:c>
      <x:c r="J32" s="34" t="n">
        <x:v>459.478949</x:v>
      </x:c>
      <x:c r="K32" s="34" t="n">
        <x:v>1000</x:v>
      </x:c>
      <x:c r="L32" s="34" t="n">
        <x:v>94.854668</x:v>
      </x:c>
      <x:c r="M32" s="34" t="n">
        <x:v>0.483936</x:v>
      </x:c>
      <x:c r="N32" s="34" t="n">
        <x:v>94.854668</x:v>
      </x:c>
      <x:c r="O32" s="34" t="n">
        <x:v>0.483936</x:v>
      </x:c>
      <x:c r="P32" s="34" t="n">
        <x:v>19.691097</x:v>
      </x:c>
      <x:c r="Q32" s="34" t="n">
        <x:v>1.177927</x:v>
      </x:c>
      <x:c r="R32" s="34" t="n">
        <x:v>43583.723</x:v>
      </x:c>
      <x:c r="S32" s="34" t="n">
        <x:v>222.358389</x:v>
      </x:c>
      <x:c r="T32" s="34" t="n">
        <x:v>52631.367667</x:v>
      </x:c>
      <x:c r="U32" s="34" t="n">
        <x:v>567.71989</x:v>
      </x:c>
      <x:c r="V32" s="34" t="n">
        <x:v>32153</x:v>
      </x:c>
      <x:c r="W32" s="34" t="n">
        <x:v>0</x:v>
      </x:c>
      <x:c r="X32" s="34" t="n">
        <x:v>59668.111</x:v>
      </x:c>
      <x:c r="Y32" s="34" t="n">
        <x:v>222.358389</x:v>
      </x:c>
      <x:c r="Z32" s="34" t="n">
        <x:v>16084.388</x:v>
      </x:c>
      <x:c r="AA32" s="34" t="n">
        <x:v>0</x:v>
      </x:c>
      <x:c r="AB32" s="34" t="n">
        <x:v>6600.911</x:v>
      </x:c>
      <x:c r="AC32" s="34" t="n">
        <x:v>29.923647</x:v>
      </x:c>
      <x:c r="AD32" s="34" t="n">
        <x:v>72.152998</x:v>
      </x:c>
      <x:c r="AE32" s="34" t="n">
        <x:v>0.161811</x:v>
      </x:c>
      <x:c r="AF32" s="34" t="n">
        <x:v>0.964803</x:v>
      </x:c>
      <x:c r="AG32" s="34" t="n">
        <x:v>0.002142</x:v>
      </x:c>
      <x:c r="AH32" s="34" t="n">
        <x:v>0.002927</x:v>
      </x:c>
      <x:c r="AI32" s="34" t="n">
        <x:v>0.000122</x:v>
      </x:c>
      <x:c r="AJ32" s="34" t="n">
        <x:v>0.03227</x:v>
      </x:c>
      <x:c r="AK32" s="34" t="n">
        <x:v>0.00202</x:v>
      </x:c>
      <x:c r="AL32" s="34" t="n">
        <x:v>0.912130662</x:v>
      </x:c>
      <x:c r="AM32" s="34" t="n">
        <x:v>0.004641659</x:v>
      </x:c>
      <x:c r="AN32" s="34" t="n">
        <x:v>0.031028277</x:v>
      </x:c>
      <x:c r="AO32" s="34" t="n">
        <x:v>0.000832265</x:v>
      </x:c>
      <x:c r="AP32" s="34" t="n">
        <x:v>0.056841061</x:v>
      </x:c>
      <x:c r="AQ32" s="34" t="n">
        <x:v>0.005366042</x:v>
      </x:c>
      <x:c r="AR32" s="34" t="n">
        <x:v>199.923293119</x:v>
      </x:c>
      <x:c r="AS32" s="34" t="n">
        <x:v>11.570242362</x:v>
      </x:c>
      <x:c r="AT32" s="34" t="n">
        <x:v>0</x:v>
      </x:c>
      <x:c r="AU32" s="34" t="n">
        <x:v>0</x:v>
      </x:c>
      <x:c r="AV32" s="34" t="str">
        <x:v>variance_game_shapley_common_random_numbers</x:v>
      </x:c>
    </x:row>
    <x:row r="33">
      <x:c r="A33" s="34" t="str">
        <x:v>NIPPON_STEEL_JP</x:v>
      </x:c>
      <x:c r="B33" s="34" t="str">
        <x:v>Nippon Steel</x:v>
      </x:c>
      <x:c r="C33" s="34" t="str">
        <x:v>CAND-EF9F86F64A1C2A</x:v>
      </x:c>
      <x:c r="D33" s="34" t="str">
        <x:v>P3</x:v>
      </x:c>
      <x:c r="E33" s="34" t="str">
        <x:v>PORT-00B029BF7478</x:v>
      </x:c>
      <x:c r="F33" s="34" t="str">
        <x:v>ACCELERATED_15C</x:v>
      </x:c>
      <x:c r="G33" s="40" t="b">
        <x:v>1</x:v>
      </x:c>
      <x:c r="H33" s="40" t="b">
        <x:v>1</x:v>
      </x:c>
      <x:c r="I33" s="40" t="b">
        <x:v>1</x:v>
      </x:c>
      <x:c r="J33" s="34" t="n">
        <x:v>459.478949</x:v>
      </x:c>
      <x:c r="K33" s="34" t="n">
        <x:v>1000</x:v>
      </x:c>
      <x:c r="L33" s="34" t="n">
        <x:v>84.087774</x:v>
      </x:c>
      <x:c r="M33" s="34" t="n">
        <x:v>0.549114</x:v>
      </x:c>
      <x:c r="N33" s="34" t="n">
        <x:v>84.087774</x:v>
      </x:c>
      <x:c r="O33" s="34" t="n">
        <x:v>0.549114</x:v>
      </x:c>
      <x:c r="P33" s="34" t="n">
        <x:v>20.854689</x:v>
      </x:c>
      <x:c r="Q33" s="34" t="n">
        <x:v>1.122629</x:v>
      </x:c>
      <x:c r="R33" s="34" t="n">
        <x:v>38636.562</x:v>
      </x:c>
      <x:c r="S33" s="34" t="n">
        <x:v>252.306217</x:v>
      </x:c>
      <x:c r="T33" s="34" t="n">
        <x:v>48218.852333</x:v>
      </x:c>
      <x:c r="U33" s="34" t="n">
        <x:v>530.708109</x:v>
      </x:c>
      <x:c r="V33" s="34" t="n">
        <x:v>32153</x:v>
      </x:c>
      <x:c r="W33" s="34" t="n">
        <x:v>0</x:v>
      </x:c>
      <x:c r="X33" s="34" t="n">
        <x:v>62373.704667</x:v>
      </x:c>
      <x:c r="Y33" s="34" t="n">
        <x:v>252.306756</x:v>
      </x:c>
      <x:c r="Z33" s="34" t="n">
        <x:v>23737.143</x:v>
      </x:c>
      <x:c r="AA33" s="34" t="n">
        <x:v>0</x:v>
      </x:c>
      <x:c r="AB33" s="34" t="n">
        <x:v>8793.787</x:v>
      </x:c>
      <x:c r="AC33" s="34" t="n">
        <x:v>34.95201</x:v>
      </x:c>
      <x:c r="AD33" s="34" t="n">
        <x:v>49.935479</x:v>
      </x:c>
      <x:c r="AE33" s="34" t="n">
        <x:v>0.095085</x:v>
      </x:c>
      <x:c r="AF33" s="34" t="n">
        <x:v>0.974962</x:v>
      </x:c>
      <x:c r="AG33" s="34" t="n">
        <x:v>0.001526</x:v>
      </x:c>
      <x:c r="AH33" s="34" t="n">
        <x:v>0.001881</x:v>
      </x:c>
      <x:c r="AI33" s="34" t="str">
        <x:v>8e-05</x:v>
      </x:c>
      <x:c r="AJ33" s="34" t="n">
        <x:v>0.023158</x:v>
      </x:c>
      <x:c r="AK33" s="34" t="n">
        <x:v>0.001447</x:v>
      </x:c>
      <x:c r="AL33" s="34" t="n">
        <x:v>0.930353523</x:v>
      </x:c>
      <x:c r="AM33" s="34" t="n">
        <x:v>0.004104475</x:v>
      </x:c>
      <x:c r="AN33" s="34" t="n">
        <x:v>0.024787956</x:v>
      </x:c>
      <x:c r="AO33" s="34" t="n">
        <x:v>0.000706557</x:v>
      </x:c>
      <x:c r="AP33" s="34" t="n">
        <x:v>0.044858521</x:v>
      </x:c>
      <x:c r="AQ33" s="34" t="n">
        <x:v>0.004672477</x:v>
      </x:c>
      <x:c r="AR33" s="34" t="n">
        <x:v>227.250320686</x:v>
      </x:c>
      <x:c r="AS33" s="34" t="n">
        <x:v>13.190122579</x:v>
      </x:c>
      <x:c r="AT33" s="34" t="n">
        <x:v>0</x:v>
      </x:c>
      <x:c r="AU33" s="34" t="n">
        <x:v>0</x:v>
      </x:c>
      <x:c r="AV33" s="34" t="str">
        <x:v>variance_game_shapley_common_random_numbers</x:v>
      </x:c>
    </x:row>
    <x:row r="34">
      <x:c r="A34" s="34" t="str">
        <x:v>NIPPON_STEEL_JP</x:v>
      </x:c>
      <x:c r="B34" s="34" t="str">
        <x:v>Nippon Steel</x:v>
      </x:c>
      <x:c r="C34" s="34" t="str">
        <x:v>CAND-FCEB78D7C5F4C6</x:v>
      </x:c>
      <x:c r="D34" s="34" t="str">
        <x:v>P1</x:v>
      </x:c>
      <x:c r="E34" s="34" t="str">
        <x:v>PORT-7DCD4991144C</x:v>
      </x:c>
      <x:c r="F34" s="34" t="str">
        <x:v>DISCLOSED_PATH</x:v>
      </x:c>
      <x:c r="G34" s="40" t="b">
        <x:v>1</x:v>
      </x:c>
      <x:c r="H34" s="40" t="b">
        <x:v>1</x:v>
      </x:c>
      <x:c r="I34" s="40" t="b">
        <x:v>1</x:v>
      </x:c>
      <x:c r="J34" s="34" t="n">
        <x:v>313.643967</x:v>
      </x:c>
      <x:c r="K34" s="34" t="n">
        <x:v>1000</x:v>
      </x:c>
      <x:c r="L34" s="34" t="n">
        <x:v>22.729846</x:v>
      </x:c>
      <x:c r="M34" s="34" t="n">
        <x:v>0.343536</x:v>
      </x:c>
      <x:c r="N34" s="34" t="n">
        <x:v>22.729846</x:v>
      </x:c>
      <x:c r="O34" s="34" t="n">
        <x:v>0.343536</x:v>
      </x:c>
      <x:c r="P34" s="34" t="n">
        <x:v>10.269988</x:v>
      </x:c>
      <x:c r="Q34" s="34" t="n">
        <x:v>0.661042</x:v>
      </x:c>
      <x:c r="R34" s="34" t="n">
        <x:v>7129.078667</x:v>
      </x:c>
      <x:c r="S34" s="34" t="n">
        <x:v>107.747923</x:v>
      </x:c>
      <x:c r="T34" s="34" t="n">
        <x:v>10350.199</x:v>
      </x:c>
      <x:c r="U34" s="34" t="n">
        <x:v>152.505132</x:v>
      </x:c>
      <x:c r="V34" s="34" t="n">
        <x:v>19427.1</x:v>
      </x:c>
      <x:c r="W34" s="34" t="n">
        <x:v>0</x:v>
      </x:c>
      <x:c r="X34" s="34" t="n">
        <x:v>18098.941333</x:v>
      </x:c>
      <x:c r="Y34" s="34" t="n">
        <x:v>107.747675</x:v>
      </x:c>
      <x:c r="Z34" s="34" t="n">
        <x:v>10969.862</x:v>
      </x:c>
      <x:c r="AA34" s="34" t="n">
        <x:v>0</x:v>
      </x:c>
      <x:c r="AB34" s="34" t="n">
        <x:v>1687.755333</x:v>
      </x:c>
      <x:c r="AC34" s="34" t="n">
        <x:v>6.624069</x:v>
      </x:c>
      <x:c r="AD34" s="34" t="n">
        <x:v>0.028176</x:v>
      </x:c>
      <x:c r="AE34" s="34" t="n">
        <x:v>0.048802</x:v>
      </x:c>
      <x:c r="AF34" s="34" t="n">
        <x:v>0.870903</x:v>
      </x:c>
      <x:c r="AG34" s="34" t="n">
        <x:v>0.007368</x:v>
      </x:c>
      <x:c r="AH34" s="34" t="n">
        <x:v>0</x:v>
      </x:c>
      <x:c r="AI34" s="34" t="n">
        <x:v>0</x:v>
      </x:c>
      <x:c r="AJ34" s="34" t="n">
        <x:v>0.129097</x:v>
      </x:c>
      <x:c r="AK34" s="34" t="n">
        <x:v>0.007368</x:v>
      </x:c>
      <x:c r="AL34" s="34" t="n">
        <x:v>0.831841502</x:v>
      </x:c>
      <x:c r="AM34" s="34" t="n">
        <x:v>0.007020466</x:v>
      </x:c>
      <x:c r="AN34" s="34" t="n">
        <x:v>0</x:v>
      </x:c>
      <x:c r="AO34" s="34" t="n">
        <x:v>0</x:v>
      </x:c>
      <x:c r="AP34" s="34" t="n">
        <x:v>0.168158498</x:v>
      </x:c>
      <x:c r="AQ34" s="34" t="n">
        <x:v>0.007020466</x:v>
      </x:c>
      <x:c r="AR34" s="34" t="n">
        <x:v>52.333509928</x:v>
      </x:c>
      <x:c r="AS34" s="34" t="n">
        <x:v>3.609001907</x:v>
      </x:c>
      <x:c r="AT34" s="34" t="n">
        <x:v>0</x:v>
      </x:c>
      <x:c r="AU34" s="34" t="n">
        <x:v>0</x:v>
      </x:c>
      <x:c r="AV34" s="34" t="str">
        <x:v>variance_game_shapley_common_random_numbers</x:v>
      </x:c>
    </x:row>
    <x:row r="35">
      <x:c r="A35" s="34" t="str">
        <x:v>NIPPON_STEEL_JP</x:v>
      </x:c>
      <x:c r="B35" s="34" t="str">
        <x:v>Nippon Steel</x:v>
      </x:c>
      <x:c r="C35" s="34" t="str">
        <x:v>CAND-FCEB78D7C5F4C6</x:v>
      </x:c>
      <x:c r="D35" s="34" t="str">
        <x:v>P1</x:v>
      </x:c>
      <x:c r="E35" s="34" t="str">
        <x:v>PORT-7DCD4991144C</x:v>
      </x:c>
      <x:c r="F35" s="34" t="str">
        <x:v>ACCELERATED_15C</x:v>
      </x:c>
      <x:c r="G35" s="40" t="b">
        <x:v>0</x:v>
      </x:c>
      <x:c r="H35" s="40" t="b">
        <x:v>0</x:v>
      </x:c>
      <x:c r="I35" s="40" t="b">
        <x:v>1</x:v>
      </x:c>
      <x:c r="J35" s="34" t="n">
        <x:v>313.643967</x:v>
      </x:c>
      <x:c r="K35" s="34" t="n">
        <x:v>1000</x:v>
      </x:c>
      <x:c r="L35" s="34" t="n">
        <x:v>8.975559</x:v>
      </x:c>
      <x:c r="M35" s="34" t="n">
        <x:v>0.377333</x:v>
      </x:c>
      <x:c r="N35" s="34" t="n">
        <x:v>8.975559</x:v>
      </x:c>
      <x:c r="O35" s="34" t="n">
        <x:v>0.377333</x:v>
      </x:c>
      <x:c r="P35" s="34" t="n">
        <x:v>11.079248</x:v>
      </x:c>
      <x:c r="Q35" s="34" t="n">
        <x:v>0.819376</x:v>
      </x:c>
      <x:c r="R35" s="34" t="n">
        <x:v>2815.13</x:v>
      </x:c>
      <x:c r="S35" s="34" t="n">
        <x:v>118.3481</x:v>
      </x:c>
      <x:c r="T35" s="34" t="n">
        <x:v>6290.069333</x:v>
      </x:c>
      <x:c r="U35" s="34" t="n">
        <x:v>207.831946</x:v>
      </x:c>
      <x:c r="V35" s="34" t="n">
        <x:v>19427.1</x:v>
      </x:c>
      <x:c r="W35" s="34" t="n">
        <x:v>0</x:v>
      </x:c>
      <x:c r="X35" s="34" t="n">
        <x:v>18958.142667</x:v>
      </x:c>
      <x:c r="Y35" s="34" t="n">
        <x:v>118.347925</x:v>
      </x:c>
      <x:c r="Z35" s="34" t="n">
        <x:v>16143.013</x:v>
      </x:c>
      <x:c r="AA35" s="34" t="n">
        <x:v>0</x:v>
      </x:c>
      <x:c r="AB35" s="34" t="n">
        <x:v>2025.306333</x:v>
      </x:c>
      <x:c r="AC35" s="34" t="n">
        <x:v>7.948472</x:v>
      </x:c>
      <x:c r="AD35" s="34" t="n">
        <x:v>-25.176736</x:v>
      </x:c>
      <x:c r="AE35" s="34" t="n">
        <x:v>0.098271</x:v>
      </x:c>
      <x:c r="AF35" s="34" t="n">
        <x:v>0.903229</x:v>
      </x:c>
      <x:c r="AG35" s="34" t="n">
        <x:v>0.005709</x:v>
      </x:c>
      <x:c r="AH35" s="34" t="n">
        <x:v>0</x:v>
      </x:c>
      <x:c r="AI35" s="34" t="n">
        <x:v>0</x:v>
      </x:c>
      <x:c r="AJ35" s="34" t="n">
        <x:v>0.096771</x:v>
      </x:c>
      <x:c r="AK35" s="34" t="n">
        <x:v>0.005709</x:v>
      </x:c>
      <x:c r="AL35" s="34" t="n">
        <x:v>0.865563481</x:v>
      </x:c>
      <x:c r="AM35" s="34" t="n">
        <x:v>0.006350788</x:v>
      </x:c>
      <x:c r="AN35" s="34" t="n">
        <x:v>0</x:v>
      </x:c>
      <x:c r="AO35" s="34" t="n">
        <x:v>0</x:v>
      </x:c>
      <x:c r="AP35" s="34" t="n">
        <x:v>0.134436519</x:v>
      </x:c>
      <x:c r="AQ35" s="34" t="n">
        <x:v>0.006350788</x:v>
      </x:c>
      <x:c r="AR35" s="34" t="n">
        <x:v>60.688071321</x:v>
      </x:c>
      <x:c r="AS35" s="34" t="n">
        <x:v>4.23753501</x:v>
      </x:c>
      <x:c r="AT35" s="34" t="n">
        <x:v>0</x:v>
      </x:c>
      <x:c r="AU35" s="34" t="n">
        <x:v>0</x:v>
      </x:c>
      <x:c r="AV35" s="34" t="str">
        <x:v>variance_game_shapley_common_random_numbers</x:v>
      </x:c>
    </x:row>
    <x:row r="36">
      <x:c r="A36" s="34" t="str">
        <x:v>NIPPON_STEEL_JP</x:v>
      </x:c>
      <x:c r="B36" s="34" t="str">
        <x:v>Nippon Steel</x:v>
      </x:c>
      <x:c r="C36" s="34" t="str">
        <x:v>CAND-87B9435721978E</x:v>
      </x:c>
      <x:c r="D36" s="34" t="str">
        <x:v>P1</x:v>
      </x:c>
      <x:c r="E36" s="34" t="str">
        <x:v>PORT-5CFD50239439</x:v>
      </x:c>
      <x:c r="F36" s="34" t="str">
        <x:v>DISCLOSED_PATH</x:v>
      </x:c>
      <x:c r="G36" s="40" t="b">
        <x:v>1</x:v>
      </x:c>
      <x:c r="H36" s="40" t="b">
        <x:v>1</x:v>
      </x:c>
      <x:c r="I36" s="40" t="b">
        <x:v>1</x:v>
      </x:c>
      <x:c r="J36" s="34" t="n">
        <x:v>321.473932</x:v>
      </x:c>
      <x:c r="K36" s="34" t="n">
        <x:v>1000</x:v>
      </x:c>
      <x:c r="L36" s="34" t="n">
        <x:v>22.789159</x:v>
      </x:c>
      <x:c r="M36" s="34" t="n">
        <x:v>0.340477</x:v>
      </x:c>
      <x:c r="N36" s="34" t="n">
        <x:v>22.789159</x:v>
      </x:c>
      <x:c r="O36" s="34" t="n">
        <x:v>0.340477</x:v>
      </x:c>
      <x:c r="P36" s="34" t="n">
        <x:v>10.392475</x:v>
      </x:c>
      <x:c r="Q36" s="34" t="n">
        <x:v>0.875468</x:v>
      </x:c>
      <x:c r="R36" s="34" t="n">
        <x:v>7326.120333</x:v>
      </x:c>
      <x:c r="S36" s="34" t="n">
        <x:v>109.454794</x:v>
      </x:c>
      <x:c r="T36" s="34" t="n">
        <x:v>10667.03</x:v>
      </x:c>
      <x:c r="U36" s="34" t="n">
        <x:v>177.979933</x:v>
      </x:c>
      <x:c r="V36" s="34" t="n">
        <x:v>19052</x:v>
      </x:c>
      <x:c r="W36" s="34" t="n">
        <x:v>0</x:v>
      </x:c>
      <x:c r="X36" s="34" t="n">
        <x:v>18575.577</x:v>
      </x:c>
      <x:c r="Y36" s="34" t="n">
        <x:v>109.454315</x:v>
      </x:c>
      <x:c r="Z36" s="34" t="n">
        <x:v>11249.456</x:v>
      </x:c>
      <x:c r="AA36" s="34" t="n">
        <x:v>0</x:v>
      </x:c>
      <x:c r="AB36" s="34" t="n">
        <x:v>1667.981667</x:v>
      </x:c>
      <x:c r="AC36" s="34" t="n">
        <x:v>11.570278</x:v>
      </x:c>
      <x:c r="AD36" s="34" t="n">
        <x:v>0.087488</x:v>
      </x:c>
      <x:c r="AE36" s="34" t="n">
        <x:v>0.081354</x:v>
      </x:c>
      <x:c r="AF36" s="34" t="n">
        <x:v>0.879228</x:v>
      </x:c>
      <x:c r="AG36" s="34" t="n">
        <x:v>0.007629</x:v>
      </x:c>
      <x:c r="AH36" s="34" t="n">
        <x:v>0</x:v>
      </x:c>
      <x:c r="AI36" s="34" t="n">
        <x:v>0</x:v>
      </x:c>
      <x:c r="AJ36" s="34" t="n">
        <x:v>0.120772</x:v>
      </x:c>
      <x:c r="AK36" s="34" t="n">
        <x:v>0.007629</x:v>
      </x:c>
      <x:c r="AL36" s="34" t="n">
        <x:v>0.841215582</x:v>
      </x:c>
      <x:c r="AM36" s="34" t="n">
        <x:v>0.006882256</x:v>
      </x:c>
      <x:c r="AN36" s="34" t="n">
        <x:v>0</x:v>
      </x:c>
      <x:c r="AO36" s="34" t="n">
        <x:v>0</x:v>
      </x:c>
      <x:c r="AP36" s="34" t="n">
        <x:v>0.158784418</x:v>
      </x:c>
      <x:c r="AQ36" s="34" t="n">
        <x:v>0.006882256</x:v>
      </x:c>
      <x:c r="AR36" s="34" t="n">
        <x:v>53.013008913</x:v>
      </x:c>
      <x:c r="AS36" s="34" t="n">
        <x:v>3.83117078</x:v>
      </x:c>
      <x:c r="AT36" s="34" t="n">
        <x:v>0</x:v>
      </x:c>
      <x:c r="AU36" s="34" t="n">
        <x:v>0</x:v>
      </x:c>
      <x:c r="AV36" s="34" t="str">
        <x:v>variance_game_shapley_common_random_numbers</x:v>
      </x:c>
    </x:row>
    <x:row r="37">
      <x:c r="A37" s="34" t="str">
        <x:v>NIPPON_STEEL_JP</x:v>
      </x:c>
      <x:c r="B37" s="34" t="str">
        <x:v>Nippon Steel</x:v>
      </x:c>
      <x:c r="C37" s="34" t="str">
        <x:v>CAND-87B9435721978E</x:v>
      </x:c>
      <x:c r="D37" s="34" t="str">
        <x:v>P1</x:v>
      </x:c>
      <x:c r="E37" s="34" t="str">
        <x:v>PORT-5CFD50239439</x:v>
      </x:c>
      <x:c r="F37" s="34" t="str">
        <x:v>ACCELERATED_15C</x:v>
      </x:c>
      <x:c r="G37" s="40" t="b">
        <x:v>0</x:v>
      </x:c>
      <x:c r="H37" s="40" t="b">
        <x:v>0</x:v>
      </x:c>
      <x:c r="I37" s="40" t="b">
        <x:v>1</x:v>
      </x:c>
      <x:c r="J37" s="34" t="n">
        <x:v>321.473932</x:v>
      </x:c>
      <x:c r="K37" s="34" t="n">
        <x:v>1000</x:v>
      </x:c>
      <x:c r="L37" s="34" t="n">
        <x:v>9.052921</x:v>
      </x:c>
      <x:c r="M37" s="34" t="n">
        <x:v>0.395731</x:v>
      </x:c>
      <x:c r="N37" s="34" t="n">
        <x:v>9.052921</x:v>
      </x:c>
      <x:c r="O37" s="34" t="n">
        <x:v>0.395731</x:v>
      </x:c>
      <x:c r="P37" s="34" t="n">
        <x:v>11.212434</x:v>
      </x:c>
      <x:c r="Q37" s="34" t="n">
        <x:v>1.010124</x:v>
      </x:c>
      <x:c r="R37" s="34" t="n">
        <x:v>2910.278333</x:v>
      </x:c>
      <x:c r="S37" s="34" t="n">
        <x:v>127.216892</x:v>
      </x:c>
      <x:c r="T37" s="34" t="n">
        <x:v>6514.783333</x:v>
      </x:c>
      <x:c r="U37" s="34" t="n">
        <x:v>211.202718</x:v>
      </x:c>
      <x:c r="V37" s="34" t="n">
        <x:v>19052</x:v>
      </x:c>
      <x:c r="W37" s="34" t="n">
        <x:v>0</x:v>
      </x:c>
      <x:c r="X37" s="34" t="n">
        <x:v>19443.002</x:v>
      </x:c>
      <x:c r="Y37" s="34" t="n">
        <x:v>127.216802</x:v>
      </x:c>
      <x:c r="Z37" s="34" t="n">
        <x:v>16532.724</x:v>
      </x:c>
      <x:c r="AA37" s="34" t="n">
        <x:v>0</x:v>
      </x:c>
      <x:c r="AB37" s="34" t="n">
        <x:v>2001.578</x:v>
      </x:c>
      <x:c r="AC37" s="34" t="n">
        <x:v>13.884495</x:v>
      </x:c>
      <x:c r="AD37" s="34" t="n">
        <x:v>-25.099374</x:v>
      </x:c>
      <x:c r="AE37" s="34" t="n">
        <x:v>0.058415</x:v>
      </x:c>
      <x:c r="AF37" s="34" t="n">
        <x:v>0.909236</x:v>
      </x:c>
      <x:c r="AG37" s="34" t="n">
        <x:v>0.005916</x:v>
      </x:c>
      <x:c r="AH37" s="34" t="n">
        <x:v>0</x:v>
      </x:c>
      <x:c r="AI37" s="34" t="n">
        <x:v>0</x:v>
      </x:c>
      <x:c r="AJ37" s="34" t="n">
        <x:v>0.090764</x:v>
      </x:c>
      <x:c r="AK37" s="34" t="n">
        <x:v>0.005916</x:v>
      </x:c>
      <x:c r="AL37" s="34" t="n">
        <x:v>0.87282675</x:v>
      </x:c>
      <x:c r="AM37" s="34" t="n">
        <x:v>0.006088294</x:v>
      </x:c>
      <x:c r="AN37" s="34" t="n">
        <x:v>0</x:v>
      </x:c>
      <x:c r="AO37" s="34" t="n">
        <x:v>0</x:v>
      </x:c>
      <x:c r="AP37" s="34" t="n">
        <x:v>0.12717325</x:v>
      </x:c>
      <x:c r="AQ37" s="34" t="n">
        <x:v>0.006088294</x:v>
      </x:c>
      <x:c r="AR37" s="34" t="n">
        <x:v>61.314622134</x:v>
      </x:c>
      <x:c r="AS37" s="34" t="n">
        <x:v>4.48403347</x:v>
      </x:c>
      <x:c r="AT37" s="34" t="n">
        <x:v>0</x:v>
      </x:c>
      <x:c r="AU37" s="34" t="n">
        <x:v>0</x:v>
      </x:c>
      <x:c r="AV37" s="34" t="str">
        <x:v>variance_game_shapley_common_random_numbers</x:v>
      </x:c>
    </x:row>
    <x:row r="38">
      <x:c r="A38" s="34" t="str">
        <x:v>NIPPON_STEEL_JP</x:v>
      </x:c>
      <x:c r="B38" s="34" t="str">
        <x:v>Nippon Steel</x:v>
      </x:c>
      <x:c r="C38" s="34" t="str">
        <x:v>CAND-97FAAFFD87E907</x:v>
      </x:c>
      <x:c r="D38" s="34" t="str">
        <x:v>P1</x:v>
      </x:c>
      <x:c r="E38" s="34" t="str">
        <x:v>PORT-160DD6C4A97F</x:v>
      </x:c>
      <x:c r="F38" s="34" t="str">
        <x:v>DISCLOSED_PATH</x:v>
      </x:c>
      <x:c r="G38" s="40" t="b">
        <x:v>0</x:v>
      </x:c>
      <x:c r="H38" s="40" t="b">
        <x:v>1</x:v>
      </x:c>
      <x:c r="I38" s="40" t="b">
        <x:v>0</x:v>
      </x:c>
      <x:c r="J38" s="34" t="n">
        <x:v>442.153947</x:v>
      </x:c>
      <x:c r="K38" s="34" t="n">
        <x:v>1000</x:v>
      </x:c>
      <x:c r="L38" s="34" t="n">
        <x:v>46.221794</x:v>
      </x:c>
      <x:c r="M38" s="34" t="n">
        <x:v>0.364104</x:v>
      </x:c>
      <x:c r="N38" s="34" t="n">
        <x:v>46.221794</x:v>
      </x:c>
      <x:c r="O38" s="34" t="n">
        <x:v>0.364104</x:v>
      </x:c>
      <x:c r="P38" s="34" t="n">
        <x:v>16.158968</x:v>
      </x:c>
      <x:c r="Q38" s="34" t="n">
        <x:v>0.940168</x:v>
      </x:c>
      <x:c r="R38" s="34" t="n">
        <x:v>20437.148333</x:v>
      </x:c>
      <x:c r="S38" s="34" t="n">
        <x:v>160.989975</x:v>
      </x:c>
      <x:c r="T38" s="34" t="n">
        <x:v>27581.9</x:v>
      </x:c>
      <x:c r="U38" s="34" t="n">
        <x:v>421.660809</x:v>
      </x:c>
      <x:c r="V38" s="34" t="n">
        <x:v>26318.6</x:v>
      </x:c>
      <x:c r="W38" s="34" t="n">
        <x:v>0</x:v>
      </x:c>
      <x:c r="X38" s="34" t="n">
        <x:v>35915.417333</x:v>
      </x:c>
      <x:c r="Y38" s="34" t="n">
        <x:v>160.989975</x:v>
      </x:c>
      <x:c r="Z38" s="34" t="n">
        <x:v>15478.269</x:v>
      </x:c>
      <x:c r="AA38" s="34" t="n">
        <x:v>0</x:v>
      </x:c>
      <x:c r="AB38" s="34" t="n">
        <x:v>2941.623</x:v>
      </x:c>
      <x:c r="AC38" s="34" t="n">
        <x:v>10.482586</x:v>
      </x:c>
      <x:c r="AD38" s="34" t="n">
        <x:v>23.520123</x:v>
      </x:c>
      <x:c r="AE38" s="34" t="n">
        <x:v>0.048788</x:v>
      </x:c>
      <x:c r="AF38" s="34" t="n">
        <x:v>0.937135</x:v>
      </x:c>
      <x:c r="AG38" s="34" t="n">
        <x:v>0.003825</x:v>
      </x:c>
      <x:c r="AH38" s="34" t="n">
        <x:v>0.000895</x:v>
      </x:c>
      <x:c r="AI38" s="34" t="str">
        <x:v>4.3e-05</x:v>
      </x:c>
      <x:c r="AJ38" s="34" t="n">
        <x:v>0.06197</x:v>
      </x:c>
      <x:c r="AK38" s="34" t="n">
        <x:v>0.003784</x:v>
      </x:c>
      <x:c r="AL38" s="34" t="n">
        <x:v>0.891280446</x:v>
      </x:c>
      <x:c r="AM38" s="34" t="n">
        <x:v>0.006927551</x:v>
      </x:c>
      <x:c r="AN38" s="34" t="n">
        <x:v>0.016125656</x:v>
      </x:c>
      <x:c r="AO38" s="34" t="n">
        <x:v>0.000640525</x:v>
      </x:c>
      <x:c r="AP38" s="34" t="n">
        <x:v>0.092593898</x:v>
      </x:c>
      <x:c r="AQ38" s="34" t="n">
        <x:v>0.007560252</x:v>
      </x:c>
      <x:c r="AR38" s="34" t="n">
        <x:v>129.914740177</x:v>
      </x:c>
      <x:c r="AS38" s="34" t="n">
        <x:v>7.92719091</x:v>
      </x:c>
      <x:c r="AT38" s="34" t="n">
        <x:v>0</x:v>
      </x:c>
      <x:c r="AU38" s="34" t="n">
        <x:v>0</x:v>
      </x:c>
      <x:c r="AV38" s="34" t="str">
        <x:v>variance_game_shapley_common_random_numbers</x:v>
      </x:c>
    </x:row>
    <x:row r="39">
      <x:c r="A39" s="34" t="str">
        <x:v>NIPPON_STEEL_JP</x:v>
      </x:c>
      <x:c r="B39" s="34" t="str">
        <x:v>Nippon Steel</x:v>
      </x:c>
      <x:c r="C39" s="34" t="str">
        <x:v>CAND-97FAAFFD87E907</x:v>
      </x:c>
      <x:c r="D39" s="34" t="str">
        <x:v>P1</x:v>
      </x:c>
      <x:c r="E39" s="34" t="str">
        <x:v>PORT-160DD6C4A97F</x:v>
      </x:c>
      <x:c r="F39" s="34" t="str">
        <x:v>ACCELERATED_15C</x:v>
      </x:c>
      <x:c r="G39" s="40" t="b">
        <x:v>1</x:v>
      </x:c>
      <x:c r="H39" s="40" t="b">
        <x:v>1</x:v>
      </x:c>
      <x:c r="I39" s="40" t="b">
        <x:v>1</x:v>
      </x:c>
      <x:c r="J39" s="34" t="n">
        <x:v>442.153947</x:v>
      </x:c>
      <x:c r="K39" s="34" t="n">
        <x:v>1000</x:v>
      </x:c>
      <x:c r="L39" s="34" t="n">
        <x:v>34.152295</x:v>
      </x:c>
      <x:c r="M39" s="34" t="n">
        <x:v>0.454119</x:v>
      </x:c>
      <x:c r="N39" s="34" t="n">
        <x:v>34.152295</x:v>
      </x:c>
      <x:c r="O39" s="34" t="n">
        <x:v>0.454119</x:v>
      </x:c>
      <x:c r="P39" s="34" t="n">
        <x:v>17.74053</x:v>
      </x:c>
      <x:c r="Q39" s="34" t="n">
        <x:v>1.22458</x:v>
      </x:c>
      <x:c r="R39" s="34" t="n">
        <x:v>15100.572</x:v>
      </x:c>
      <x:c r="S39" s="34" t="n">
        <x:v>200.790521</x:v>
      </x:c>
      <x:c r="T39" s="34" t="n">
        <x:v>22944.617333</x:v>
      </x:c>
      <x:c r="U39" s="34" t="n">
        <x:v>527.351904</x:v>
      </x:c>
      <x:c r="V39" s="34" t="n">
        <x:v>26318.6</x:v>
      </x:c>
      <x:c r="W39" s="34" t="n">
        <x:v>0</x:v>
      </x:c>
      <x:c r="X39" s="34" t="n">
        <x:v>37934.376667</x:v>
      </x:c>
      <x:c r="Y39" s="34" t="n">
        <x:v>200.79106</x:v>
      </x:c>
      <x:c r="Z39" s="34" t="n">
        <x:v>22833.805</x:v>
      </x:c>
      <x:c r="AA39" s="34" t="n">
        <x:v>0</x:v>
      </x:c>
      <x:c r="AB39" s="34" t="n">
        <x:v>3566.955667</x:v>
      </x:c>
      <x:c r="AC39" s="34" t="n">
        <x:v>11.93381</x:v>
      </x:c>
      <x:c r="AD39" s="34" t="n">
        <x:v>0</x:v>
      </x:c>
      <x:c r="AE39" s="34" t="n">
        <x:v>0</x:v>
      </x:c>
      <x:c r="AF39" s="34" t="n">
        <x:v>0.955765</x:v>
      </x:c>
      <x:c r="AG39" s="34" t="n">
        <x:v>0.002711</x:v>
      </x:c>
      <x:c r="AH39" s="34" t="n">
        <x:v>0.000593</x:v>
      </x:c>
      <x:c r="AI39" s="34" t="str">
        <x:v>2.9e-05</x:v>
      </x:c>
      <x:c r="AJ39" s="34" t="n">
        <x:v>0.043642</x:v>
      </x:c>
      <x:c r="AK39" s="34" t="n">
        <x:v>0.002683</x:v>
      </x:c>
      <x:c r="AL39" s="34" t="n">
        <x:v>0.915670967</x:v>
      </x:c>
      <x:c r="AM39" s="34" t="n">
        <x:v>0.006050209</x:v>
      </x:c>
      <x:c r="AN39" s="34" t="n">
        <x:v>0.013191685</x:v>
      </x:c>
      <x:c r="AO39" s="34" t="n">
        <x:v>0.000530945</x:v>
      </x:c>
      <x:c r="AP39" s="34" t="n">
        <x:v>0.071137348</x:v>
      </x:c>
      <x:c r="AQ39" s="34" t="n">
        <x:v>0.006581016</x:v>
      </x:c>
      <x:c r="AR39" s="34" t="n">
        <x:v>155.289247136</x:v>
      </x:c>
      <x:c r="AS39" s="34" t="n">
        <x:v>9.541078318</x:v>
      </x:c>
      <x:c r="AT39" s="34" t="n">
        <x:v>0</x:v>
      </x:c>
      <x:c r="AU39" s="34" t="n">
        <x:v>0</x:v>
      </x:c>
      <x:c r="AV39" s="34" t="str">
        <x:v>variance_game_shapley_common_random_numbers</x:v>
      </x:c>
    </x:row>
    <x:row r="40">
      <x:c r="A40" s="34" t="str">
        <x:v>NIPPON_STEEL_JP</x:v>
      </x:c>
      <x:c r="B40" s="34" t="str">
        <x:v>Nippon Steel</x:v>
      </x:c>
      <x:c r="C40" s="34" t="str">
        <x:v>CAND-32B1C4DEC95227</x:v>
      </x:c>
      <x:c r="D40" s="34" t="str">
        <x:v>P3</x:v>
      </x:c>
      <x:c r="E40" s="34" t="str">
        <x:v>PORT-0ACD636A8AEE</x:v>
      </x:c>
      <x:c r="F40" s="34" t="str">
        <x:v>DISCLOSED_PATH</x:v>
      </x:c>
      <x:c r="G40" s="40" t="b">
        <x:v>0</x:v>
      </x:c>
      <x:c r="H40" s="40" t="b">
        <x:v>1</x:v>
      </x:c>
      <x:c r="I40" s="40" t="b">
        <x:v>0</x:v>
      </x:c>
      <x:c r="J40" s="34" t="n">
        <x:v>446.878947</x:v>
      </x:c>
      <x:c r="K40" s="34" t="n">
        <x:v>1000</x:v>
      </x:c>
      <x:c r="L40" s="34" t="n">
        <x:v>58.226023</x:v>
      </x:c>
      <x:c r="M40" s="34" t="n">
        <x:v>0.308933</x:v>
      </x:c>
      <x:c r="N40" s="34" t="n">
        <x:v>58.226023</x:v>
      </x:c>
      <x:c r="O40" s="34" t="n">
        <x:v>0.308933</x:v>
      </x:c>
      <x:c r="P40" s="34" t="n">
        <x:v>13.521845</x:v>
      </x:c>
      <x:c r="Q40" s="34" t="n">
        <x:v>0.751589</x:v>
      </x:c>
      <x:c r="R40" s="34" t="n">
        <x:v>26019.983667</x:v>
      </x:c>
      <x:c r="S40" s="34" t="n">
        <x:v>138.055526</x:v>
      </x:c>
      <x:c r="T40" s="34" t="n">
        <x:v>32062.611333</x:v>
      </x:c>
      <x:c r="U40" s="34" t="n">
        <x:v>297.250898</x:v>
      </x:c>
      <x:c r="V40" s="34" t="n">
        <x:v>29123.6</x:v>
      </x:c>
      <x:c r="W40" s="34" t="n">
        <x:v>0</x:v>
      </x:c>
      <x:c r="X40" s="34" t="n">
        <x:v>41661.940667</x:v>
      </x:c>
      <x:c r="Y40" s="34" t="n">
        <x:v>138.055526</x:v>
      </x:c>
      <x:c r="Z40" s="34" t="n">
        <x:v>15641.957</x:v>
      </x:c>
      <x:c r="AA40" s="34" t="n">
        <x:v>0</x:v>
      </x:c>
      <x:c r="AB40" s="34" t="n">
        <x:v>4681.333</x:v>
      </x:c>
      <x:c r="AC40" s="34" t="n">
        <x:v>10.788247</x:v>
      </x:c>
      <x:c r="AD40" s="34" t="n">
        <x:v>35.524352</x:v>
      </x:c>
      <x:c r="AE40" s="34" t="n">
        <x:v>0.152499</x:v>
      </x:c>
      <x:c r="AF40" s="34" t="n">
        <x:v>0.943485</x:v>
      </x:c>
      <x:c r="AG40" s="34" t="n">
        <x:v>0.003068</x:v>
      </x:c>
      <x:c r="AH40" s="34" t="n">
        <x:v>0.001616</x:v>
      </x:c>
      <x:c r="AI40" s="34" t="str">
        <x:v>6.5e-05</x:v>
      </x:c>
      <x:c r="AJ40" s="34" t="n">
        <x:v>0.054899</x:v>
      </x:c>
      <x:c r="AK40" s="34" t="n">
        <x:v>0.00302</x:v>
      </x:c>
      <x:c r="AL40" s="34" t="n">
        <x:v>0.893072548</x:v>
      </x:c>
      <x:c r="AM40" s="34" t="n">
        <x:v>0.005343176</x:v>
      </x:c>
      <x:c r="AN40" s="34" t="n">
        <x:v>0.022112493</x:v>
      </x:c>
      <x:c r="AO40" s="34" t="n">
        <x:v>0.000820965</x:v>
      </x:c>
      <x:c r="AP40" s="34" t="n">
        <x:v>0.084814959</x:v>
      </x:c>
      <x:c r="AQ40" s="34" t="n">
        <x:v>0.006160428</x:v>
      </x:c>
      <x:c r="AR40" s="34" t="n">
        <x:v>91.716812016</x:v>
      </x:c>
      <x:c r="AS40" s="34" t="n">
        <x:v>4.954290583</x:v>
      </x:c>
      <x:c r="AT40" s="34" t="n">
        <x:v>0</x:v>
      </x:c>
      <x:c r="AU40" s="34" t="n">
        <x:v>0</x:v>
      </x:c>
      <x:c r="AV40" s="34" t="str">
        <x:v>variance_game_shapley_common_random_numbers</x:v>
      </x:c>
    </x:row>
    <x:row r="41">
      <x:c r="A41" s="34" t="str">
        <x:v>NIPPON_STEEL_JP</x:v>
      </x:c>
      <x:c r="B41" s="34" t="str">
        <x:v>Nippon Steel</x:v>
      </x:c>
      <x:c r="C41" s="34" t="str">
        <x:v>CAND-32B1C4DEC95227</x:v>
      </x:c>
      <x:c r="D41" s="34" t="str">
        <x:v>P3</x:v>
      </x:c>
      <x:c r="E41" s="34" t="str">
        <x:v>PORT-0ACD636A8AEE</x:v>
      </x:c>
      <x:c r="F41" s="34" t="str">
        <x:v>ACCELERATED_15C</x:v>
      </x:c>
      <x:c r="G41" s="40" t="b">
        <x:v>1</x:v>
      </x:c>
      <x:c r="H41" s="40" t="b">
        <x:v>1</x:v>
      </x:c>
      <x:c r="I41" s="40" t="b">
        <x:v>1</x:v>
      </x:c>
      <x:c r="J41" s="34" t="n">
        <x:v>446.878947</x:v>
      </x:c>
      <x:c r="K41" s="34" t="n">
        <x:v>1000</x:v>
      </x:c>
      <x:c r="L41" s="34" t="n">
        <x:v>46.008708</x:v>
      </x:c>
      <x:c r="M41" s="34" t="n">
        <x:v>0.444819</x:v>
      </x:c>
      <x:c r="N41" s="34" t="n">
        <x:v>46.008708</x:v>
      </x:c>
      <x:c r="O41" s="34" t="n">
        <x:v>0.444819</x:v>
      </x:c>
      <x:c r="P41" s="34" t="n">
        <x:v>14.420396</x:v>
      </x:c>
      <x:c r="Q41" s="34" t="n">
        <x:v>0.93989</x:v>
      </x:c>
      <x:c r="R41" s="34" t="n">
        <x:v>20560.322667</x:v>
      </x:c>
      <x:c r="S41" s="34" t="n">
        <x:v>198.780092</x:v>
      </x:c>
      <x:c r="T41" s="34" t="n">
        <x:v>27004.494333</x:v>
      </x:c>
      <x:c r="U41" s="34" t="n">
        <x:v>388.209499</x:v>
      </x:c>
      <x:c r="V41" s="34" t="n">
        <x:v>29123.6</x:v>
      </x:c>
      <x:c r="W41" s="34" t="n">
        <x:v>0</x:v>
      </x:c>
      <x:c r="X41" s="34" t="n">
        <x:v>43639.138667</x:v>
      </x:c>
      <x:c r="Y41" s="34" t="n">
        <x:v>198.780092</x:v>
      </x:c>
      <x:c r="Z41" s="34" t="n">
        <x:v>23078.816</x:v>
      </x:c>
      <x:c r="AA41" s="34" t="n">
        <x:v>0</x:v>
      </x:c>
      <x:c r="AB41" s="34" t="n">
        <x:v>5975.601333</x:v>
      </x:c>
      <x:c r="AC41" s="34" t="n">
        <x:v>15.019719</x:v>
      </x:c>
      <x:c r="AD41" s="34" t="n">
        <x:v>11.856413</x:v>
      </x:c>
      <x:c r="AE41" s="34" t="n">
        <x:v>0.094987</x:v>
      </x:c>
      <x:c r="AF41" s="34" t="n">
        <x:v>0.959744</x:v>
      </x:c>
      <x:c r="AG41" s="34" t="n">
        <x:v>0.002216</x:v>
      </x:c>
      <x:c r="AH41" s="34" t="n">
        <x:v>0.001007</x:v>
      </x:c>
      <x:c r="AI41" s="34" t="str">
        <x:v>4.1e-05</x:v>
      </x:c>
      <x:c r="AJ41" s="34" t="n">
        <x:v>0.03925</x:v>
      </x:c>
      <x:c r="AK41" s="34" t="n">
        <x:v>0.002184</x:v>
      </x:c>
      <x:c r="AL41" s="34" t="n">
        <x:v>0.91628423</x:v>
      </x:c>
      <x:c r="AM41" s="34" t="n">
        <x:v>0.004776648</x:v>
      </x:c>
      <x:c r="AN41" s="34" t="n">
        <x:v>0.017466276</x:v>
      </x:c>
      <x:c r="AO41" s="34" t="n">
        <x:v>0.000653314</x:v>
      </x:c>
      <x:c r="AP41" s="34" t="n">
        <x:v>0.066249494</x:v>
      </x:c>
      <x:c r="AQ41" s="34" t="n">
        <x:v>0.005429619</x:v>
      </x:c>
      <x:c r="AR41" s="34" t="n">
        <x:v>106.36810259</x:v>
      </x:c>
      <x:c r="AS41" s="34" t="n">
        <x:v>5.789179361</x:v>
      </x:c>
      <x:c r="AT41" s="34" t="n">
        <x:v>0</x:v>
      </x:c>
      <x:c r="AU41" s="34" t="n">
        <x:v>0</x:v>
      </x:c>
      <x:c r="AV41" s="34" t="str">
        <x:v>variance_game_shapley_common_random_numbers</x:v>
      </x:c>
    </x:row>
    <x:row r="42">
      <x:c r="A42" s="34" t="str">
        <x:v>JFE_STEEL_JP</x:v>
      </x:c>
      <x:c r="B42" s="34" t="str">
        <x:v>JFE Steel</x:v>
      </x:c>
      <x:c r="C42" s="34" t="str">
        <x:v>CAND-E8FAD9BDD034A5</x:v>
      </x:c>
      <x:c r="D42" s="34" t="str">
        <x:v>P3</x:v>
      </x:c>
      <x:c r="E42" s="34" t="str">
        <x:v>PORT-51A2628EF9C2</x:v>
      </x:c>
      <x:c r="F42" s="34" t="str">
        <x:v>DISCLOSED_PATH</x:v>
      </x:c>
      <x:c r="G42" s="40" t="b">
        <x:v>1</x:v>
      </x:c>
      <x:c r="H42" s="40" t="b">
        <x:v>1</x:v>
      </x:c>
      <x:c r="I42" s="40" t="b">
        <x:v>1</x:v>
      </x:c>
      <x:c r="J42" s="34" t="n">
        <x:v>328.220861</x:v>
      </x:c>
      <x:c r="K42" s="34" t="n">
        <x:v>1000</x:v>
      </x:c>
      <x:c r="L42" s="34" t="n">
        <x:v>125.593679</x:v>
      </x:c>
      <x:c r="M42" s="34" t="n">
        <x:v>0.722542</x:v>
      </x:c>
      <x:c r="N42" s="34" t="n">
        <x:v>125.593679</x:v>
      </x:c>
      <x:c r="O42" s="34" t="n">
        <x:v>0.722542</x:v>
      </x:c>
      <x:c r="P42" s="34" t="n">
        <x:v>25.983657</x:v>
      </x:c>
      <x:c r="Q42" s="34" t="n">
        <x:v>2.207454</x:v>
      </x:c>
      <x:c r="R42" s="34" t="n">
        <x:v>41222.465667</x:v>
      </x:c>
      <x:c r="S42" s="34" t="n">
        <x:v>237.153117</x:v>
      </x:c>
      <x:c r="T42" s="34" t="n">
        <x:v>49750.844</x:v>
      </x:c>
      <x:c r="U42" s="34" t="n">
        <x:v>700.408037</x:v>
      </x:c>
      <x:c r="V42" s="34" t="n">
        <x:v>20429.2</x:v>
      </x:c>
      <x:c r="W42" s="34" t="n">
        <x:v>0</x:v>
      </x:c>
      <x:c r="X42" s="34" t="n">
        <x:v>52723.166333</x:v>
      </x:c>
      <x:c r="Y42" s="34" t="n">
        <x:v>237.152949</x:v>
      </x:c>
      <x:c r="Z42" s="34" t="n">
        <x:v>11500.701</x:v>
      </x:c>
      <x:c r="AA42" s="34" t="n">
        <x:v>0</x:v>
      </x:c>
      <x:c r="AB42" s="34" t="n">
        <x:v>5466.682667</x:v>
      </x:c>
      <x:c r="AC42" s="34" t="n">
        <x:v>26.698074</x:v>
      </x:c>
      <x:c r="AD42" s="34" t="n">
        <x:v>15.83729</x:v>
      </x:c>
      <x:c r="AE42" s="34" t="n">
        <x:v>0.502401</x:v>
      </x:c>
      <x:c r="AF42" s="34" t="n">
        <x:v>0.97528</x:v>
      </x:c>
      <x:c r="AG42" s="34" t="n">
        <x:v>0.001619</x:v>
      </x:c>
      <x:c r="AH42" s="34" t="n">
        <x:v>0.003854</x:v>
      </x:c>
      <x:c r="AI42" s="34" t="n">
        <x:v>0.000242</x:v>
      </x:c>
      <x:c r="AJ42" s="34" t="n">
        <x:v>0.020866</x:v>
      </x:c>
      <x:c r="AK42" s="34" t="n">
        <x:v>0.001406</x:v>
      </x:c>
      <x:c r="AL42" s="34" t="n">
        <x:v>0.924729845</x:v>
      </x:c>
      <x:c r="AM42" s="34" t="n">
        <x:v>0.003315088</x:v>
      </x:c>
      <x:c r="AN42" s="34" t="n">
        <x:v>0.035713664</x:v>
      </x:c>
      <x:c r="AO42" s="34" t="n">
        <x:v>0.00086233</x:v>
      </x:c>
      <x:c r="AP42" s="34" t="n">
        <x:v>0.039556492</x:v>
      </x:c>
      <x:c r="AQ42" s="34" t="n">
        <x:v>0.00392166</x:v>
      </x:c>
      <x:c r="AR42" s="34" t="n">
        <x:v>321.844268316</x:v>
      </x:c>
      <x:c r="AS42" s="34" t="n">
        <x:v>19.965568825</x:v>
      </x:c>
      <x:c r="AT42" s="34" t="n">
        <x:v>0</x:v>
      </x:c>
      <x:c r="AU42" s="34" t="n">
        <x:v>0</x:v>
      </x:c>
      <x:c r="AV42" s="34" t="str">
        <x:v>variance_game_shapley_common_random_numbers</x:v>
      </x:c>
    </x:row>
    <x:row r="43">
      <x:c r="A43" s="34" t="str">
        <x:v>JFE_STEEL_JP</x:v>
      </x:c>
      <x:c r="B43" s="34" t="str">
        <x:v>JFE Steel</x:v>
      </x:c>
      <x:c r="C43" s="34" t="str">
        <x:v>CAND-E8FAD9BDD034A5</x:v>
      </x:c>
      <x:c r="D43" s="34" t="str">
        <x:v>P3</x:v>
      </x:c>
      <x:c r="E43" s="34" t="str">
        <x:v>PORT-51A2628EF9C2</x:v>
      </x:c>
      <x:c r="F43" s="34" t="str">
        <x:v>ACCELERATED_15C</x:v>
      </x:c>
      <x:c r="G43" s="40" t="b">
        <x:v>1</x:v>
      </x:c>
      <x:c r="H43" s="40" t="b">
        <x:v>1</x:v>
      </x:c>
      <x:c r="I43" s="40" t="b">
        <x:v>1</x:v>
      </x:c>
      <x:c r="J43" s="34" t="n">
        <x:v>328.220861</x:v>
      </x:c>
      <x:c r="K43" s="34" t="n">
        <x:v>1000</x:v>
      </x:c>
      <x:c r="L43" s="34" t="n">
        <x:v>116.012678</x:v>
      </x:c>
      <x:c r="M43" s="34" t="n">
        <x:v>0.760995</x:v>
      </x:c>
      <x:c r="N43" s="34" t="n">
        <x:v>116.012678</x:v>
      </x:c>
      <x:c r="O43" s="34" t="n">
        <x:v>0.760995</x:v>
      </x:c>
      <x:c r="P43" s="34" t="n">
        <x:v>27.504166</x:v>
      </x:c>
      <x:c r="Q43" s="34" t="n">
        <x:v>2.207684</x:v>
      </x:c>
      <x:c r="R43" s="34" t="n">
        <x:v>38077.781</x:v>
      </x:c>
      <x:c r="S43" s="34" t="n">
        <x:v>249.774235</x:v>
      </x:c>
      <x:c r="T43" s="34" t="n">
        <x:v>47105.222333</x:v>
      </x:c>
      <x:c r="U43" s="34" t="n">
        <x:v>722.07046</x:v>
      </x:c>
      <x:c r="V43" s="34" t="n">
        <x:v>20429.2</x:v>
      </x:c>
      <x:c r="W43" s="34" t="n">
        <x:v>0</x:v>
      </x:c>
      <x:c r="X43" s="34" t="n">
        <x:v>55038.365</x:v>
      </x:c>
      <x:c r="Y43" s="34" t="n">
        <x:v>249.774235</x:v>
      </x:c>
      <x:c r="Z43" s="34" t="n">
        <x:v>16960.584</x:v>
      </x:c>
      <x:c r="AA43" s="34" t="n">
        <x:v>0</x:v>
      </x:c>
      <x:c r="AB43" s="34" t="n">
        <x:v>7493.915667</x:v>
      </x:c>
      <x:c r="AC43" s="34" t="n">
        <x:v>35.131877</x:v>
      </x:c>
      <x:c r="AD43" s="34" t="n">
        <x:v>27.203741</x:v>
      </x:c>
      <x:c r="AE43" s="34" t="n">
        <x:v>0.406445</x:v>
      </x:c>
      <x:c r="AF43" s="34" t="n">
        <x:v>0.982353</x:v>
      </x:c>
      <x:c r="AG43" s="34" t="n">
        <x:v>0.001149</x:v>
      </x:c>
      <x:c r="AH43" s="34" t="n">
        <x:v>0.002553</x:v>
      </x:c>
      <x:c r="AI43" s="34" t="n">
        <x:v>0.000162</x:v>
      </x:c>
      <x:c r="AJ43" s="34" t="n">
        <x:v>0.015094</x:v>
      </x:c>
      <x:c r="AK43" s="34" t="n">
        <x:v>0.001008</x:v>
      </x:c>
      <x:c r="AL43" s="34" t="n">
        <x:v>0.939683998</x:v>
      </x:c>
      <x:c r="AM43" s="34" t="n">
        <x:v>0.002845579</x:v>
      </x:c>
      <x:c r="AN43" s="34" t="n">
        <x:v>0.028895691</x:v>
      </x:c>
      <x:c r="AO43" s="34" t="n">
        <x:v>0.000770523</x:v>
      </x:c>
      <x:c r="AP43" s="34" t="n">
        <x:v>0.031420311</x:v>
      </x:c>
      <x:c r="AQ43" s="34" t="n">
        <x:v>0.003345395</x:v>
      </x:c>
      <x:c r="AR43" s="34" t="n">
        <x:v>360.582161691</x:v>
      </x:c>
      <x:c r="AS43" s="34" t="n">
        <x:v>22.520933628</x:v>
      </x:c>
      <x:c r="AT43" s="34" t="n">
        <x:v>0</x:v>
      </x:c>
      <x:c r="AU43" s="34" t="n">
        <x:v>0</x:v>
      </x:c>
      <x:c r="AV43" s="34" t="str">
        <x:v>variance_game_shapley_common_random_numbers</x:v>
      </x:c>
    </x:row>
    <x:row r="44">
      <x:c r="A44" s="34" t="str">
        <x:v>JFE_STEEL_JP</x:v>
      </x:c>
      <x:c r="B44" s="34" t="str">
        <x:v>JFE Steel</x:v>
      </x:c>
      <x:c r="C44" s="34" t="str">
        <x:v>CAND-F4B6AD5FB08D71</x:v>
      </x:c>
      <x:c r="D44" s="34" t="str">
        <x:v>P2</x:v>
      </x:c>
      <x:c r="E44" s="34" t="str">
        <x:v>PORT-51A2628EF9C2</x:v>
      </x:c>
      <x:c r="F44" s="34" t="str">
        <x:v>DISCLOSED_PATH</x:v>
      </x:c>
      <x:c r="G44" s="40" t="b">
        <x:v>1</x:v>
      </x:c>
      <x:c r="H44" s="40" t="b">
        <x:v>1</x:v>
      </x:c>
      <x:c r="I44" s="40" t="b">
        <x:v>1</x:v>
      </x:c>
      <x:c r="J44" s="34" t="n">
        <x:v>328.220861</x:v>
      </x:c>
      <x:c r="K44" s="34" t="n">
        <x:v>1000</x:v>
      </x:c>
      <x:c r="L44" s="34" t="n">
        <x:v>130.661904</x:v>
      </x:c>
      <x:c r="M44" s="34" t="n">
        <x:v>0.880397</x:v>
      </x:c>
      <x:c r="N44" s="34" t="n">
        <x:v>130.661904</x:v>
      </x:c>
      <x:c r="O44" s="34" t="n">
        <x:v>0.880397</x:v>
      </x:c>
      <x:c r="P44" s="34" t="n">
        <x:v>32.735535</x:v>
      </x:c>
      <x:c r="Q44" s="34" t="n">
        <x:v>2.812633</x:v>
      </x:c>
      <x:c r="R44" s="34" t="n">
        <x:v>42885.962333</x:v>
      </x:c>
      <x:c r="S44" s="34" t="n">
        <x:v>288.964304</x:v>
      </x:c>
      <x:c r="T44" s="34" t="n">
        <x:v>53630.447667</x:v>
      </x:c>
      <x:c r="U44" s="34" t="n">
        <x:v>882.598656</x:v>
      </x:c>
      <x:c r="V44" s="34" t="n">
        <x:v>20429.2</x:v>
      </x:c>
      <x:c r="W44" s="34" t="n">
        <x:v>0</x:v>
      </x:c>
      <x:c r="X44" s="34" t="n">
        <x:v>54386.663</x:v>
      </x:c>
      <x:c r="Y44" s="34" t="n">
        <x:v>288.964858</x:v>
      </x:c>
      <x:c r="Z44" s="34" t="n">
        <x:v>11500.701</x:v>
      </x:c>
      <x:c r="AA44" s="34" t="n">
        <x:v>0</x:v>
      </x:c>
      <x:c r="AB44" s="34" t="n">
        <x:v>3834.925667</x:v>
      </x:c>
      <x:c r="AC44" s="34" t="n">
        <x:v>18.065971</x:v>
      </x:c>
      <x:c r="AD44" s="34" t="n">
        <x:v>20.905515</x:v>
      </x:c>
      <x:c r="AE44" s="34" t="n">
        <x:v>0.638146</x:v>
      </x:c>
      <x:c r="AF44" s="34" t="n">
        <x:v>0.976173</x:v>
      </x:c>
      <x:c r="AG44" s="34" t="n">
        <x:v>0.001559</x:v>
      </x:c>
      <x:c r="AH44" s="34" t="n">
        <x:v>0.003857</x:v>
      </x:c>
      <x:c r="AI44" s="34" t="n">
        <x:v>0.000242</x:v>
      </x:c>
      <x:c r="AJ44" s="34" t="n">
        <x:v>0.01997</x:v>
      </x:c>
      <x:c r="AK44" s="34" t="n">
        <x:v>0.001346</x:v>
      </x:c>
      <x:c r="AL44" s="34" t="n">
        <x:v>0.925940555</x:v>
      </x:c>
      <x:c r="AM44" s="34" t="n">
        <x:v>0.003232477</x:v>
      </x:c>
      <x:c r="AN44" s="34" t="n">
        <x:v>0.035724618</x:v>
      </x:c>
      <x:c r="AO44" s="34" t="n">
        <x:v>0.000862944</x:v>
      </x:c>
      <x:c r="AP44" s="34" t="n">
        <x:v>0.038334828</x:v>
      </x:c>
      <x:c r="AQ44" s="34" t="n">
        <x:v>0.003831496</x:v>
      </x:c>
      <x:c r="AR44" s="34" t="n">
        <x:v>508.955310657</x:v>
      </x:c>
      <x:c r="AS44" s="34" t="n">
        <x:v>31.642721359</x:v>
      </x:c>
      <x:c r="AT44" s="34" t="n">
        <x:v>0</x:v>
      </x:c>
      <x:c r="AU44" s="34" t="n">
        <x:v>0</x:v>
      </x:c>
      <x:c r="AV44" s="34" t="str">
        <x:v>variance_game_shapley_common_random_numbers</x:v>
      </x:c>
    </x:row>
    <x:row r="45">
      <x:c r="A45" s="34" t="str">
        <x:v>JFE_STEEL_JP</x:v>
      </x:c>
      <x:c r="B45" s="34" t="str">
        <x:v>JFE Steel</x:v>
      </x:c>
      <x:c r="C45" s="34" t="str">
        <x:v>CAND-F4B6AD5FB08D71</x:v>
      </x:c>
      <x:c r="D45" s="34" t="str">
        <x:v>P2</x:v>
      </x:c>
      <x:c r="E45" s="34" t="str">
        <x:v>PORT-51A2628EF9C2</x:v>
      </x:c>
      <x:c r="F45" s="34" t="str">
        <x:v>ACCELERATED_15C</x:v>
      </x:c>
      <x:c r="G45" s="40" t="b">
        <x:v>1</x:v>
      </x:c>
      <x:c r="H45" s="40" t="b">
        <x:v>1</x:v>
      </x:c>
      <x:c r="I45" s="40" t="b">
        <x:v>1</x:v>
      </x:c>
      <x:c r="J45" s="34" t="n">
        <x:v>328.220861</x:v>
      </x:c>
      <x:c r="K45" s="34" t="n">
        <x:v>1000</x:v>
      </x:c>
      <x:c r="L45" s="34" t="n">
        <x:v>123.589025</x:v>
      </x:c>
      <x:c r="M45" s="34" t="n">
        <x:v>0.994877</x:v>
      </x:c>
      <x:c r="N45" s="34" t="n">
        <x:v>123.589025</x:v>
      </x:c>
      <x:c r="O45" s="34" t="n">
        <x:v>0.994877</x:v>
      </x:c>
      <x:c r="P45" s="34" t="n">
        <x:v>35.366739</x:v>
      </x:c>
      <x:c r="Q45" s="34" t="n">
        <x:v>2.762887</x:v>
      </x:c>
      <x:c r="R45" s="34" t="n">
        <x:v>40564.496333</x:v>
      </x:c>
      <x:c r="S45" s="34" t="n">
        <x:v>326.539404</x:v>
      </x:c>
      <x:c r="T45" s="34" t="n">
        <x:v>52172.597667</x:v>
      </x:c>
      <x:c r="U45" s="34" t="n">
        <x:v>898.8502</x:v>
      </x:c>
      <x:c r="V45" s="34" t="n">
        <x:v>20429.2</x:v>
      </x:c>
      <x:c r="W45" s="34" t="n">
        <x:v>0</x:v>
      </x:c>
      <x:c r="X45" s="34" t="n">
        <x:v>57525.080333</x:v>
      </x:c>
      <x:c r="Y45" s="34" t="n">
        <x:v>326.539404</x:v>
      </x:c>
      <x:c r="Z45" s="34" t="n">
        <x:v>16960.584</x:v>
      </x:c>
      <x:c r="AA45" s="34" t="n">
        <x:v>0</x:v>
      </x:c>
      <x:c r="AB45" s="34" t="n">
        <x:v>5045.097667</x:v>
      </x:c>
      <x:c r="AC45" s="34" t="n">
        <x:v>22.435471</x:v>
      </x:c>
      <x:c r="AD45" s="34" t="n">
        <x:v>34.780089</x:v>
      </x:c>
      <x:c r="AE45" s="34" t="n">
        <x:v>0.563668</x:v>
      </x:c>
      <x:c r="AF45" s="34" t="n">
        <x:v>0.983601</x:v>
      </x:c>
      <x:c r="AG45" s="34" t="n">
        <x:v>0.001065</x:v>
      </x:c>
      <x:c r="AH45" s="34" t="n">
        <x:v>0.002574</x:v>
      </x:c>
      <x:c r="AI45" s="34" t="n">
        <x:v>0.000163</x:v>
      </x:c>
      <x:c r="AJ45" s="34" t="n">
        <x:v>0.013825</x:v>
      </x:c>
      <x:c r="AK45" s="34" t="n">
        <x:v>0.000923</x:v>
      </x:c>
      <x:c r="AL45" s="34" t="n">
        <x:v>0.941458093</x:v>
      </x:c>
      <x:c r="AM45" s="34" t="n">
        <x:v>0.002705767</x:v>
      </x:c>
      <x:c r="AN45" s="34" t="n">
        <x:v>0.029012855</x:v>
      </x:c>
      <x:c r="AO45" s="34" t="n">
        <x:v>0.000775824</x:v>
      </x:c>
      <x:c r="AP45" s="34" t="n">
        <x:v>0.029529052</x:v>
      </x:c>
      <x:c r="AQ45" s="34" t="n">
        <x:v>0.003194756</x:v>
      </x:c>
      <x:c r="AR45" s="34" t="n">
        <x:v>595.579367472</x:v>
      </x:c>
      <x:c r="AS45" s="34" t="n">
        <x:v>37.306138136</x:v>
      </x:c>
      <x:c r="AT45" s="34" t="n">
        <x:v>0</x:v>
      </x:c>
      <x:c r="AU45" s="34" t="n">
        <x:v>0</x:v>
      </x:c>
      <x:c r="AV45" s="34" t="str">
        <x:v>variance_game_shapley_common_random_numbers</x:v>
      </x:c>
    </x:row>
    <x:row r="46">
      <x:c r="A46" s="34" t="str">
        <x:v>JFE_STEEL_JP</x:v>
      </x:c>
      <x:c r="B46" s="34" t="str">
        <x:v>JFE Steel</x:v>
      </x:c>
      <x:c r="C46" s="34" t="str">
        <x:v>CAND-FCDB7C1BD7991A</x:v>
      </x:c>
      <x:c r="D46" s="34" t="str">
        <x:v>P1</x:v>
      </x:c>
      <x:c r="E46" s="34" t="str">
        <x:v>PORT-51A2628EF9C2</x:v>
      </x:c>
      <x:c r="F46" s="34" t="str">
        <x:v>DISCLOSED_PATH</x:v>
      </x:c>
      <x:c r="G46" s="40" t="b">
        <x:v>1</x:v>
      </x:c>
      <x:c r="H46" s="40" t="b">
        <x:v>1</x:v>
      </x:c>
      <x:c r="I46" s="40" t="b">
        <x:v>1</x:v>
      </x:c>
      <x:c r="J46" s="34" t="n">
        <x:v>328.220861</x:v>
      </x:c>
      <x:c r="K46" s="34" t="n">
        <x:v>1000</x:v>
      </x:c>
      <x:c r="L46" s="34" t="n">
        <x:v>134.205735</x:v>
      </x:c>
      <x:c r="M46" s="34" t="n">
        <x:v>1.041856</x:v>
      </x:c>
      <x:c r="N46" s="34" t="n">
        <x:v>134.205735</x:v>
      </x:c>
      <x:c r="O46" s="34" t="n">
        <x:v>1.041856</x:v>
      </x:c>
      <x:c r="P46" s="34" t="n">
        <x:v>37.889879</x:v>
      </x:c>
      <x:c r="Q46" s="34" t="n">
        <x:v>3.189505</x:v>
      </x:c>
      <x:c r="R46" s="34" t="n">
        <x:v>44049.121667</x:v>
      </x:c>
      <x:c r="S46" s="34" t="n">
        <x:v>341.958837</x:v>
      </x:c>
      <x:c r="T46" s="34" t="n">
        <x:v>56485.370333</x:v>
      </x:c>
      <x:c r="U46" s="34" t="n">
        <x:v>1013.841768</x:v>
      </x:c>
      <x:c r="V46" s="34" t="n">
        <x:v>20429.2</x:v>
      </x:c>
      <x:c r="W46" s="34" t="n">
        <x:v>0</x:v>
      </x:c>
      <x:c r="X46" s="34" t="n">
        <x:v>55549.822667</x:v>
      </x:c>
      <x:c r="Y46" s="34" t="n">
        <x:v>341.958837</x:v>
      </x:c>
      <x:c r="Z46" s="34" t="n">
        <x:v>11500.701</x:v>
      </x:c>
      <x:c r="AA46" s="34" t="n">
        <x:v>0</x:v>
      </x:c>
      <x:c r="AB46" s="34" t="n">
        <x:v>2726.433333</x:v>
      </x:c>
      <x:c r="AC46" s="34" t="n">
        <x:v>5.837241</x:v>
      </x:c>
      <x:c r="AD46" s="34" t="n">
        <x:v>24.449346</x:v>
      </x:c>
      <x:c r="AE46" s="34" t="n">
        <x:v>0.750139</x:v>
      </x:c>
      <x:c r="AF46" s="34" t="n">
        <x:v>0.97736</x:v>
      </x:c>
      <x:c r="AG46" s="34" t="n">
        <x:v>0.001486</x:v>
      </x:c>
      <x:c r="AH46" s="34" t="n">
        <x:v>0.003777</x:v>
      </x:c>
      <x:c r="AI46" s="34" t="n">
        <x:v>0.000238</x:v>
      </x:c>
      <x:c r="AJ46" s="34" t="n">
        <x:v>0.018863</x:v>
      </x:c>
      <x:c r="AK46" s="34" t="n">
        <x:v>0.001276</x:v>
      </x:c>
      <x:c r="AL46" s="34" t="n">
        <x:v>0.927796078</x:v>
      </x:c>
      <x:c r="AM46" s="34" t="n">
        <x:v>0.003130519</x:v>
      </x:c>
      <x:c r="AN46" s="34" t="n">
        <x:v>0.035344295</x:v>
      </x:c>
      <x:c r="AO46" s="34" t="n">
        <x:v>0.000850561</x:v>
      </x:c>
      <x:c r="AP46" s="34" t="n">
        <x:v>0.036859627</x:v>
      </x:c>
      <x:c r="AQ46" s="34" t="n">
        <x:v>0.00371244</x:v>
      </x:c>
      <x:c r="AR46" s="34" t="n">
        <x:v>680.823526204</x:v>
      </x:c>
      <x:c r="AS46" s="34" t="n">
        <x:v>42.548609099</x:v>
      </x:c>
      <x:c r="AT46" s="34" t="n">
        <x:v>0</x:v>
      </x:c>
      <x:c r="AU46" s="34" t="n">
        <x:v>0</x:v>
      </x:c>
      <x:c r="AV46" s="34" t="str">
        <x:v>variance_game_shapley_common_random_numbers</x:v>
      </x:c>
    </x:row>
    <x:row r="47">
      <x:c r="A47" s="34" t="str">
        <x:v>JFE_STEEL_JP</x:v>
      </x:c>
      <x:c r="B47" s="34" t="str">
        <x:v>JFE Steel</x:v>
      </x:c>
      <x:c r="C47" s="34" t="str">
        <x:v>CAND-FCDB7C1BD7991A</x:v>
      </x:c>
      <x:c r="D47" s="34" t="str">
        <x:v>P1</x:v>
      </x:c>
      <x:c r="E47" s="34" t="str">
        <x:v>PORT-51A2628EF9C2</x:v>
      </x:c>
      <x:c r="F47" s="34" t="str">
        <x:v>ACCELERATED_15C</x:v>
      </x:c>
      <x:c r="G47" s="40" t="b">
        <x:v>1</x:v>
      </x:c>
      <x:c r="H47" s="40" t="b">
        <x:v>1</x:v>
      </x:c>
      <x:c r="I47" s="40" t="b">
        <x:v>1</x:v>
      </x:c>
      <x:c r="J47" s="34" t="n">
        <x:v>328.220861</x:v>
      </x:c>
      <x:c r="K47" s="34" t="n">
        <x:v>1000</x:v>
      </x:c>
      <x:c r="L47" s="34" t="n">
        <x:v>128.85696</x:v>
      </x:c>
      <x:c r="M47" s="34" t="n">
        <x:v>1.200631</x:v>
      </x:c>
      <x:c r="N47" s="34" t="n">
        <x:v>128.85696</x:v>
      </x:c>
      <x:c r="O47" s="34" t="n">
        <x:v>1.200631</x:v>
      </x:c>
      <x:c r="P47" s="34" t="n">
        <x:v>41.548321</x:v>
      </x:c>
      <x:c r="Q47" s="34" t="n">
        <x:v>3.224426</x:v>
      </x:c>
      <x:c r="R47" s="34" t="n">
        <x:v>42293.542333</x:v>
      </x:c>
      <x:c r="S47" s="34" t="n">
        <x:v>394.071948</x:v>
      </x:c>
      <x:c r="T47" s="34" t="n">
        <x:v>55930.568</x:v>
      </x:c>
      <x:c r="U47" s="34" t="n">
        <x:v>1055.101673</x:v>
      </x:c>
      <x:c r="V47" s="34" t="n">
        <x:v>20429.2</x:v>
      </x:c>
      <x:c r="W47" s="34" t="n">
        <x:v>0</x:v>
      </x:c>
      <x:c r="X47" s="34" t="n">
        <x:v>59254.126333</x:v>
      </x:c>
      <x:c r="Y47" s="34" t="n">
        <x:v>394.071948</x:v>
      </x:c>
      <x:c r="Z47" s="34" t="n">
        <x:v>16960.584</x:v>
      </x:c>
      <x:c r="AA47" s="34" t="n">
        <x:v>0</x:v>
      </x:c>
      <x:c r="AB47" s="34" t="n">
        <x:v>3379.211</x:v>
      </x:c>
      <x:c r="AC47" s="34" t="n">
        <x:v>10.014088</x:v>
      </x:c>
      <x:c r="AD47" s="34" t="n">
        <x:v>40.048024</x:v>
      </x:c>
      <x:c r="AE47" s="34" t="n">
        <x:v>0.722685</x:v>
      </x:c>
      <x:c r="AF47" s="34" t="n">
        <x:v>0.984761</x:v>
      </x:c>
      <x:c r="AG47" s="34" t="n">
        <x:v>0.000992</x:v>
      </x:c>
      <x:c r="AH47" s="34" t="n">
        <x:v>0.002531</x:v>
      </x:c>
      <x:c r="AI47" s="34" t="n">
        <x:v>0.000161</x:v>
      </x:c>
      <x:c r="AJ47" s="34" t="n">
        <x:v>0.012708</x:v>
      </x:c>
      <x:c r="AK47" s="34" t="n">
        <x:v>0.000851</x:v>
      </x:c>
      <x:c r="AL47" s="34" t="n">
        <x:v>0.943363422</x:v>
      </x:c>
      <x:c r="AM47" s="34" t="n">
        <x:v>0.00258065</x:v>
      </x:c>
      <x:c r="AN47" s="34" t="n">
        <x:v>0.028759612</x:v>
      </x:c>
      <x:c r="AO47" s="34" t="n">
        <x:v>0.000767809</x:v>
      </x:c>
      <x:c r="AP47" s="34" t="n">
        <x:v>0.027876967</x:v>
      </x:c>
      <x:c r="AQ47" s="34" t="n">
        <x:v>0.003052899</x:v>
      </x:c>
      <x:c r="AR47" s="34" t="n">
        <x:v>818.614808044</x:v>
      </x:c>
      <x:c r="AS47" s="34" t="n">
        <x:v>51.539338415</x:v>
      </x:c>
      <x:c r="AT47" s="34" t="n">
        <x:v>0</x:v>
      </x:c>
      <x:c r="AU47" s="34" t="n">
        <x:v>0</x:v>
      </x:c>
      <x:c r="AV47" s="34" t="str">
        <x:v>variance_game_shapley_common_random_numbers</x:v>
      </x:c>
    </x:row>
    <x:row r="48">
      <x:c r="A48" s="34" t="str">
        <x:v>JFE_STEEL_JP</x:v>
      </x:c>
      <x:c r="B48" s="34" t="str">
        <x:v>JFE Steel</x:v>
      </x:c>
      <x:c r="C48" s="34" t="str">
        <x:v>CAND-A735954AF09420</x:v>
      </x:c>
      <x:c r="D48" s="34" t="str">
        <x:v>P3</x:v>
      </x:c>
      <x:c r="E48" s="34" t="str">
        <x:v>PORT-CCD4397FA6D4</x:v>
      </x:c>
      <x:c r="F48" s="34" t="str">
        <x:v>DISCLOSED_PATH</x:v>
      </x:c>
      <x:c r="G48" s="40" t="b">
        <x:v>1</x:v>
      </x:c>
      <x:c r="H48" s="40" t="b">
        <x:v>1</x:v>
      </x:c>
      <x:c r="I48" s="40" t="b">
        <x:v>1</x:v>
      </x:c>
      <x:c r="J48" s="34" t="n">
        <x:v>281.895878</x:v>
      </x:c>
      <x:c r="K48" s="34" t="n">
        <x:v>1000</x:v>
      </x:c>
      <x:c r="L48" s="34" t="n">
        <x:v>109.756389</x:v>
      </x:c>
      <x:c r="M48" s="34" t="n">
        <x:v>0.598084</x:v>
      </x:c>
      <x:c r="N48" s="34" t="n">
        <x:v>109.756389</x:v>
      </x:c>
      <x:c r="O48" s="34" t="n">
        <x:v>0.598084</x:v>
      </x:c>
      <x:c r="P48" s="34" t="n">
        <x:v>23.593954</x:v>
      </x:c>
      <x:c r="Q48" s="34" t="n">
        <x:v>1.568982</x:v>
      </x:c>
      <x:c r="R48" s="34" t="n">
        <x:v>30939.873333</x:v>
      </x:c>
      <x:c r="S48" s="34" t="n">
        <x:v>168.597606</x:v>
      </x:c>
      <x:c r="T48" s="34" t="n">
        <x:v>37590.911667</x:v>
      </x:c>
      <x:c r="U48" s="34" t="n">
        <x:v>481.886372</x:v>
      </x:c>
      <x:c r="V48" s="34" t="n">
        <x:v>16139.2</x:v>
      </x:c>
      <x:c r="W48" s="34" t="n">
        <x:v>0</x:v>
      </x:c>
      <x:c r="X48" s="34" t="n">
        <x:v>40822.399333</x:v>
      </x:c>
      <x:c r="Y48" s="34" t="n">
        <x:v>168.597606</x:v>
      </x:c>
      <x:c r="Z48" s="34" t="n">
        <x:v>9882.526</x:v>
      </x:c>
      <x:c r="AA48" s="34" t="n">
        <x:v>0</x:v>
      </x:c>
      <x:c r="AB48" s="34" t="n">
        <x:v>4050.832667</x:v>
      </x:c>
      <x:c r="AC48" s="34" t="n">
        <x:v>19.499354</x:v>
      </x:c>
      <x:c r="AD48" s="34" t="n">
        <x:v>0</x:v>
      </x:c>
      <x:c r="AE48" s="34" t="n">
        <x:v>0</x:v>
      </x:c>
      <x:c r="AF48" s="34" t="n">
        <x:v>0.972387</x:v>
      </x:c>
      <x:c r="AG48" s="34" t="n">
        <x:v>0.001706</x:v>
      </x:c>
      <x:c r="AH48" s="34" t="n">
        <x:v>0.003689</x:v>
      </x:c>
      <x:c r="AI48" s="34" t="n">
        <x:v>0.00026</x:v>
      </x:c>
      <x:c r="AJ48" s="34" t="n">
        <x:v>0.023924</x:v>
      </x:c>
      <x:c r="AK48" s="34" t="n">
        <x:v>0.001486</x:v>
      </x:c>
      <x:c r="AL48" s="34" t="n">
        <x:v>0.924189636</x:v>
      </x:c>
      <x:c r="AM48" s="34" t="n">
        <x:v>0.003117444</x:v>
      </x:c>
      <x:c r="AN48" s="34" t="n">
        <x:v>0.03486997</x:v>
      </x:c>
      <x:c r="AO48" s="34" t="n">
        <x:v>0.000756227</x:v>
      </x:c>
      <x:c r="AP48" s="34" t="n">
        <x:v>0.040940394</x:v>
      </x:c>
      <x:c r="AQ48" s="34" t="n">
        <x:v>0.003475496</x:v>
      </x:c>
      <x:c r="AR48" s="34" t="n">
        <x:v>255.181030536</x:v>
      </x:c>
      <x:c r="AS48" s="34" t="n">
        <x:v>16.420108188</x:v>
      </x:c>
      <x:c r="AT48" s="34" t="n">
        <x:v>0</x:v>
      </x:c>
      <x:c r="AU48" s="34" t="n">
        <x:v>0</x:v>
      </x:c>
      <x:c r="AV48" s="34" t="str">
        <x:v>variance_game_shapley_common_random_numbers</x:v>
      </x:c>
    </x:row>
    <x:row r="49">
      <x:c r="A49" s="34" t="str">
        <x:v>JFE_STEEL_JP</x:v>
      </x:c>
      <x:c r="B49" s="34" t="str">
        <x:v>JFE Steel</x:v>
      </x:c>
      <x:c r="C49" s="34" t="str">
        <x:v>CAND-A735954AF09420</x:v>
      </x:c>
      <x:c r="D49" s="34" t="str">
        <x:v>P3</x:v>
      </x:c>
      <x:c r="E49" s="34" t="str">
        <x:v>PORT-CCD4397FA6D4</x:v>
      </x:c>
      <x:c r="F49" s="34" t="str">
        <x:v>ACCELERATED_15C</x:v>
      </x:c>
      <x:c r="G49" s="40" t="b">
        <x:v>0</x:v>
      </x:c>
      <x:c r="H49" s="40" t="b">
        <x:v>0</x:v>
      </x:c>
      <x:c r="I49" s="40" t="b">
        <x:v>1</x:v>
      </x:c>
      <x:c r="J49" s="34" t="n">
        <x:v>281.895878</x:v>
      </x:c>
      <x:c r="K49" s="34" t="n">
        <x:v>1000</x:v>
      </x:c>
      <x:c r="L49" s="34" t="n">
        <x:v>99.472379</x:v>
      </x:c>
      <x:c r="M49" s="34" t="n">
        <x:v>0.628025</x:v>
      </x:c>
      <x:c r="N49" s="34" t="n">
        <x:v>99.472379</x:v>
      </x:c>
      <x:c r="O49" s="34" t="n">
        <x:v>0.628025</x:v>
      </x:c>
      <x:c r="P49" s="34" t="n">
        <x:v>24.837979</x:v>
      </x:c>
      <x:c r="Q49" s="34" t="n">
        <x:v>1.678804</x:v>
      </x:c>
      <x:c r="R49" s="34" t="n">
        <x:v>28040.853667</x:v>
      </x:c>
      <x:c r="S49" s="34" t="n">
        <x:v>177.037767</x:v>
      </x:c>
      <x:c r="T49" s="34" t="n">
        <x:v>35042.577333</x:v>
      </x:c>
      <x:c r="U49" s="34" t="n">
        <x:v>511.553096</x:v>
      </x:c>
      <x:c r="V49" s="34" t="n">
        <x:v>16139.2</x:v>
      </x:c>
      <x:c r="W49" s="34" t="n">
        <x:v>0</x:v>
      </x:c>
      <x:c r="X49" s="34" t="n">
        <x:v>42585.156333</x:v>
      </x:c>
      <x:c r="Y49" s="34" t="n">
        <x:v>177.037678</x:v>
      </x:c>
      <x:c r="Z49" s="34" t="n">
        <x:v>14544.302</x:v>
      </x:c>
      <x:c r="AA49" s="34" t="n">
        <x:v>0</x:v>
      </x:c>
      <x:c r="AB49" s="34" t="n">
        <x:v>5527.228333</x:v>
      </x:c>
      <x:c r="AC49" s="34" t="n">
        <x:v>29.359177</x:v>
      </x:c>
      <x:c r="AD49" s="34" t="n">
        <x:v>10.663443</x:v>
      </x:c>
      <x:c r="AE49" s="34" t="n">
        <x:v>0.054803</x:v>
      </x:c>
      <x:c r="AF49" s="34" t="n">
        <x:v>0.979991</x:v>
      </x:c>
      <x:c r="AG49" s="34" t="n">
        <x:v>0.001232</x:v>
      </x:c>
      <x:c r="AH49" s="34" t="n">
        <x:v>0.002477</x:v>
      </x:c>
      <x:c r="AI49" s="34" t="n">
        <x:v>0.000176</x:v>
      </x:c>
      <x:c r="AJ49" s="34" t="n">
        <x:v>0.017533</x:v>
      </x:c>
      <x:c r="AK49" s="34" t="n">
        <x:v>0.001084</x:v>
      </x:c>
      <x:c r="AL49" s="34" t="n">
        <x:v>0.938982072</x:v>
      </x:c>
      <x:c r="AM49" s="34" t="n">
        <x:v>0.002702578</x:v>
      </x:c>
      <x:c r="AN49" s="34" t="n">
        <x:v>0.028414129</x:v>
      </x:c>
      <x:c r="AO49" s="34" t="n">
        <x:v>0.000690896</x:v>
      </x:c>
      <x:c r="AP49" s="34" t="n">
        <x:v>0.032603799</x:v>
      </x:c>
      <x:c r="AQ49" s="34" t="n">
        <x:v>0.002982336</x:v>
      </x:c>
      <x:c r="AR49" s="34" t="n">
        <x:v>284.976380179</x:v>
      </x:c>
      <x:c r="AS49" s="34" t="n">
        <x:v>18.478633884</x:v>
      </x:c>
      <x:c r="AT49" s="34" t="n">
        <x:v>0</x:v>
      </x:c>
      <x:c r="AU49" s="34" t="n">
        <x:v>0</x:v>
      </x:c>
      <x:c r="AV49" s="34" t="str">
        <x:v>variance_game_shapley_common_random_numbers</x:v>
      </x:c>
    </x:row>
    <x:row r="50">
      <x:c r="A50" s="34" t="str">
        <x:v>JFE_STEEL_JP</x:v>
      </x:c>
      <x:c r="B50" s="34" t="str">
        <x:v>JFE Steel</x:v>
      </x:c>
      <x:c r="C50" s="34" t="str">
        <x:v>CAND-0B566F19FFC9A2</x:v>
      </x:c>
      <x:c r="D50" s="34" t="str">
        <x:v>P2</x:v>
      </x:c>
      <x:c r="E50" s="34" t="str">
        <x:v>PORT-CCD4397FA6D4</x:v>
      </x:c>
      <x:c r="F50" s="34" t="str">
        <x:v>DISCLOSED_PATH</x:v>
      </x:c>
      <x:c r="G50" s="40" t="b">
        <x:v>1</x:v>
      </x:c>
      <x:c r="H50" s="40" t="b">
        <x:v>1</x:v>
      </x:c>
      <x:c r="I50" s="40" t="b">
        <x:v>1</x:v>
      </x:c>
      <x:c r="J50" s="34" t="n">
        <x:v>281.895878</x:v>
      </x:c>
      <x:c r="K50" s="34" t="n">
        <x:v>1000</x:v>
      </x:c>
      <x:c r="L50" s="34" t="n">
        <x:v>114.168668</x:v>
      </x:c>
      <x:c r="M50" s="34" t="n">
        <x:v>0.793579</x:v>
      </x:c>
      <x:c r="N50" s="34" t="n">
        <x:v>114.168668</x:v>
      </x:c>
      <x:c r="O50" s="34" t="n">
        <x:v>0.793579</x:v>
      </x:c>
      <x:c r="P50" s="34" t="n">
        <x:v>29.700299</x:v>
      </x:c>
      <x:c r="Q50" s="34" t="n">
        <x:v>1.981946</x:v>
      </x:c>
      <x:c r="R50" s="34" t="n">
        <x:v>32183.677</x:v>
      </x:c>
      <x:c r="S50" s="34" t="n">
        <x:v>223.706763</x:v>
      </x:c>
      <x:c r="T50" s="34" t="n">
        <x:v>40556.068667</x:v>
      </x:c>
      <x:c r="U50" s="34" t="n">
        <x:v>607.755044</x:v>
      </x:c>
      <x:c r="V50" s="34" t="n">
        <x:v>16139.2</x:v>
      </x:c>
      <x:c r="W50" s="34" t="n">
        <x:v>0</x:v>
      </x:c>
      <x:c r="X50" s="34" t="n">
        <x:v>42066.203</x:v>
      </x:c>
      <x:c r="Y50" s="34" t="n">
        <x:v>223.706763</x:v>
      </x:c>
      <x:c r="Z50" s="34" t="n">
        <x:v>9882.526</x:v>
      </x:c>
      <x:c r="AA50" s="34" t="n">
        <x:v>0</x:v>
      </x:c>
      <x:c r="AB50" s="34" t="n">
        <x:v>2830.073667</x:v>
      </x:c>
      <x:c r="AC50" s="34" t="n">
        <x:v>12.10145</x:v>
      </x:c>
      <x:c r="AD50" s="34" t="n">
        <x:v>4.412279</x:v>
      </x:c>
      <x:c r="AE50" s="34" t="n">
        <x:v>0.195536</x:v>
      </x:c>
      <x:c r="AF50" s="34" t="n">
        <x:v>0.973384</x:v>
      </x:c>
      <x:c r="AG50" s="34" t="n">
        <x:v>0.001646</x:v>
      </x:c>
      <x:c r="AH50" s="34" t="n">
        <x:v>0.003695</x:v>
      </x:c>
      <x:c r="AI50" s="34" t="n">
        <x:v>0.00026</x:v>
      </x:c>
      <x:c r="AJ50" s="34" t="n">
        <x:v>0.022921</x:v>
      </x:c>
      <x:c r="AK50" s="34" t="n">
        <x:v>0.001425</x:v>
      </x:c>
      <x:c r="AL50" s="34" t="n">
        <x:v>0.925442829</x:v>
      </x:c>
      <x:c r="AM50" s="34" t="n">
        <x:v>0.003043004</x:v>
      </x:c>
      <x:c r="AN50" s="34" t="n">
        <x:v>0.034900914</x:v>
      </x:c>
      <x:c r="AO50" s="34" t="n">
        <x:v>0.000759404</x:v>
      </x:c>
      <x:c r="AP50" s="34" t="n">
        <x:v>0.039656258</x:v>
      </x:c>
      <x:c r="AQ50" s="34" t="n">
        <x:v>0.003391425</x:v>
      </x:c>
      <x:c r="AR50" s="34" t="n">
        <x:v>403.165799326</x:v>
      </x:c>
      <x:c r="AS50" s="34" t="n">
        <x:v>25.993890507</x:v>
      </x:c>
      <x:c r="AT50" s="34" t="n">
        <x:v>0</x:v>
      </x:c>
      <x:c r="AU50" s="34" t="n">
        <x:v>0</x:v>
      </x:c>
      <x:c r="AV50" s="34" t="str">
        <x:v>variance_game_shapley_common_random_numbers</x:v>
      </x:c>
    </x:row>
    <x:row r="51">
      <x:c r="A51" s="34" t="str">
        <x:v>JFE_STEEL_JP</x:v>
      </x:c>
      <x:c r="B51" s="34" t="str">
        <x:v>JFE Steel</x:v>
      </x:c>
      <x:c r="C51" s="34" t="str">
        <x:v>CAND-0B566F19FFC9A2</x:v>
      </x:c>
      <x:c r="D51" s="34" t="str">
        <x:v>P2</x:v>
      </x:c>
      <x:c r="E51" s="34" t="str">
        <x:v>PORT-CCD4397FA6D4</x:v>
      </x:c>
      <x:c r="F51" s="34" t="str">
        <x:v>ACCELERATED_15C</x:v>
      </x:c>
      <x:c r="G51" s="40" t="b">
        <x:v>0</x:v>
      </x:c>
      <x:c r="H51" s="40" t="b">
        <x:v>0</x:v>
      </x:c>
      <x:c r="I51" s="40" t="b">
        <x:v>1</x:v>
      </x:c>
      <x:c r="J51" s="34" t="n">
        <x:v>281.895878</x:v>
      </x:c>
      <x:c r="K51" s="34" t="n">
        <x:v>1000</x:v>
      </x:c>
      <x:c r="L51" s="34" t="n">
        <x:v>106.023064</x:v>
      </x:c>
      <x:c r="M51" s="34" t="n">
        <x:v>0.78239</x:v>
      </x:c>
      <x:c r="N51" s="34" t="n">
        <x:v>106.023064</x:v>
      </x:c>
      <x:c r="O51" s="34" t="n">
        <x:v>0.78239</x:v>
      </x:c>
      <x:c r="P51" s="34" t="n">
        <x:v>31.918864</x:v>
      </x:c>
      <x:c r="Q51" s="34" t="n">
        <x:v>2.255709</x:v>
      </x:c>
      <x:c r="R51" s="34" t="n">
        <x:v>29887.464667</x:v>
      </x:c>
      <x:c r="S51" s="34" t="n">
        <x:v>220.55249</x:v>
      </x:c>
      <x:c r="T51" s="34" t="n">
        <x:v>38885.260333</x:v>
      </x:c>
      <x:c r="U51" s="34" t="n">
        <x:v>691.619501</x:v>
      </x:c>
      <x:c r="V51" s="34" t="n">
        <x:v>16139.2</x:v>
      </x:c>
      <x:c r="W51" s="34" t="n">
        <x:v>0</x:v>
      </x:c>
      <x:c r="X51" s="34" t="n">
        <x:v>44431.767</x:v>
      </x:c>
      <x:c r="Y51" s="34" t="n">
        <x:v>220.552954</x:v>
      </x:c>
      <x:c r="Z51" s="34" t="n">
        <x:v>14544.302</x:v>
      </x:c>
      <x:c r="AA51" s="34" t="n">
        <x:v>0</x:v>
      </x:c>
      <x:c r="AB51" s="34" t="n">
        <x:v>3708.123</x:v>
      </x:c>
      <x:c r="AC51" s="34" t="n">
        <x:v>10.275223</x:v>
      </x:c>
      <x:c r="AD51" s="34" t="n">
        <x:v>17.214127</x:v>
      </x:c>
      <x:c r="AE51" s="34" t="n">
        <x:v>0.110422</x:v>
      </x:c>
      <x:c r="AF51" s="34" t="n">
        <x:v>0.981378</x:v>
      </x:c>
      <x:c r="AG51" s="34" t="n">
        <x:v>0.001147</x:v>
      </x:c>
      <x:c r="AH51" s="34" t="n">
        <x:v>0.002506</x:v>
      </x:c>
      <x:c r="AI51" s="34" t="n">
        <x:v>0.000179</x:v>
      </x:c>
      <x:c r="AJ51" s="34" t="n">
        <x:v>0.016116</x:v>
      </x:c>
      <x:c r="AK51" s="34" t="n">
        <x:v>0.000996</x:v>
      </x:c>
      <x:c r="AL51" s="34" t="n">
        <x:v>0.940771682</x:v>
      </x:c>
      <x:c r="AM51" s="34" t="n">
        <x:v>0.0025792</x:v>
      </x:c>
      <x:c r="AN51" s="34" t="n">
        <x:v>0.02858436</x:v>
      </x:c>
      <x:c r="AO51" s="34" t="n">
        <x:v>0.000699722</x:v>
      </x:c>
      <x:c r="AP51" s="34" t="n">
        <x:v>0.030643957</x:v>
      </x:c>
      <x:c r="AQ51" s="34" t="n">
        <x:v>0.002843434</x:v>
      </x:c>
      <x:c r="AR51" s="34" t="n">
        <x:v>469.127887716</x:v>
      </x:c>
      <x:c r="AS51" s="34" t="n">
        <x:v>30.502469279</x:v>
      </x:c>
      <x:c r="AT51" s="34" t="n">
        <x:v>0</x:v>
      </x:c>
      <x:c r="AU51" s="34" t="n">
        <x:v>0</x:v>
      </x:c>
      <x:c r="AV51" s="34" t="str">
        <x:v>variance_game_shapley_common_random_numbers</x:v>
      </x:c>
    </x:row>
    <x:row r="52">
      <x:c r="A52" s="34" t="str">
        <x:v>JFE_STEEL_JP</x:v>
      </x:c>
      <x:c r="B52" s="34" t="str">
        <x:v>JFE Steel</x:v>
      </x:c>
      <x:c r="C52" s="34" t="str">
        <x:v>CAND-FC0AA3F9FE37C6</x:v>
      </x:c>
      <x:c r="D52" s="34" t="str">
        <x:v>P3</x:v>
      </x:c>
      <x:c r="E52" s="34" t="str">
        <x:v>PORT-E5F3D5116135</x:v>
      </x:c>
      <x:c r="F52" s="34" t="str">
        <x:v>DISCLOSED_PATH</x:v>
      </x:c>
      <x:c r="G52" s="40" t="b">
        <x:v>0</x:v>
      </x:c>
      <x:c r="H52" s="40" t="b">
        <x:v>1</x:v>
      </x:c>
      <x:c r="I52" s="40" t="b">
        <x:v>0</x:v>
      </x:c>
      <x:c r="J52" s="34" t="n">
        <x:v>321.408363</x:v>
      </x:c>
      <x:c r="K52" s="34" t="n">
        <x:v>1000</x:v>
      </x:c>
      <x:c r="L52" s="34" t="n">
        <x:v>99.483946</x:v>
      </x:c>
      <x:c r="M52" s="34" t="n">
        <x:v>0.6055</x:v>
      </x:c>
      <x:c r="N52" s="34" t="n">
        <x:v>99.483946</x:v>
      </x:c>
      <x:c r="O52" s="34" t="n">
        <x:v>0.6055</x:v>
      </x:c>
      <x:c r="P52" s="34" t="n">
        <x:v>21.859766</x:v>
      </x:c>
      <x:c r="Q52" s="34" t="n">
        <x:v>1.672629</x:v>
      </x:c>
      <x:c r="R52" s="34" t="n">
        <x:v>31974.972</x:v>
      </x:c>
      <x:c r="S52" s="34" t="n">
        <x:v>194.612819</x:v>
      </x:c>
      <x:c r="T52" s="34" t="n">
        <x:v>39000.883667</x:v>
      </x:c>
      <x:c r="U52" s="34" t="n">
        <x:v>549.135386</x:v>
      </x:c>
      <x:c r="V52" s="34" t="n">
        <x:v>18185.2</x:v>
      </x:c>
      <x:c r="W52" s="34" t="n">
        <x:v>0</x:v>
      </x:c>
      <x:c r="X52" s="34" t="n">
        <x:v>43237.706</x:v>
      </x:c>
      <x:c r="Y52" s="34" t="n">
        <x:v>194.612819</x:v>
      </x:c>
      <x:c r="Z52" s="34" t="n">
        <x:v>11262.734</x:v>
      </x:c>
      <x:c r="AA52" s="34" t="n">
        <x:v>0</x:v>
      </x:c>
      <x:c r="AB52" s="34" t="n">
        <x:v>4393.672667</x:v>
      </x:c>
      <x:c r="AC52" s="34" t="n">
        <x:v>23.08701</x:v>
      </x:c>
      <x:c r="AD52" s="34" t="n">
        <x:v>-10.272443</x:v>
      </x:c>
      <x:c r="AE52" s="34" t="n">
        <x:v>0.115295</x:v>
      </x:c>
      <x:c r="AF52" s="34" t="n">
        <x:v>0.970584</x:v>
      </x:c>
      <x:c r="AG52" s="34" t="n">
        <x:v>0.001921</x:v>
      </x:c>
      <x:c r="AH52" s="34" t="n">
        <x:v>0.003349</x:v>
      </x:c>
      <x:c r="AI52" s="34" t="n">
        <x:v>0.000235</x:v>
      </x:c>
      <x:c r="AJ52" s="34" t="n">
        <x:v>0.026067</x:v>
      </x:c>
      <x:c r="AK52" s="34" t="n">
        <x:v>0.00173</x:v>
      </x:c>
      <x:c r="AL52" s="34" t="n">
        <x:v>0.920681975</x:v>
      </x:c>
      <x:c r="AM52" s="34" t="n">
        <x:v>0.003523865</x:v>
      </x:c>
      <x:c r="AN52" s="34" t="n">
        <x:v>0.03317695</x:v>
      </x:c>
      <x:c r="AO52" s="34" t="n">
        <x:v>0.000779992</x:v>
      </x:c>
      <x:c r="AP52" s="34" t="n">
        <x:v>0.046141075</x:v>
      </x:c>
      <x:c r="AQ52" s="34" t="n">
        <x:v>0.003870804</x:v>
      </x:c>
      <x:c r="AR52" s="34" t="n">
        <x:v>217.05108716</x:v>
      </x:c>
      <x:c r="AS52" s="34" t="n">
        <x:v>13.800751976</x:v>
      </x:c>
      <x:c r="AT52" s="34" t="n">
        <x:v>0</x:v>
      </x:c>
      <x:c r="AU52" s="34" t="n">
        <x:v>0</x:v>
      </x:c>
      <x:c r="AV52" s="34" t="str">
        <x:v>variance_game_shapley_common_random_numbers</x:v>
      </x:c>
    </x:row>
    <x:row r="53">
      <x:c r="A53" s="34" t="str">
        <x:v>JFE_STEEL_JP</x:v>
      </x:c>
      <x:c r="B53" s="34" t="str">
        <x:v>JFE Steel</x:v>
      </x:c>
      <x:c r="C53" s="34" t="str">
        <x:v>CAND-FC0AA3F9FE37C6</x:v>
      </x:c>
      <x:c r="D53" s="34" t="str">
        <x:v>P3</x:v>
      </x:c>
      <x:c r="E53" s="34" t="str">
        <x:v>PORT-E5F3D5116135</x:v>
      </x:c>
      <x:c r="F53" s="34" t="str">
        <x:v>ACCELERATED_15C</x:v>
      </x:c>
      <x:c r="G53" s="40" t="b">
        <x:v>1</x:v>
      </x:c>
      <x:c r="H53" s="40" t="b">
        <x:v>1</x:v>
      </x:c>
      <x:c r="I53" s="40" t="b">
        <x:v>1</x:v>
      </x:c>
      <x:c r="J53" s="34" t="n">
        <x:v>321.408363</x:v>
      </x:c>
      <x:c r="K53" s="34" t="n">
        <x:v>1000</x:v>
      </x:c>
      <x:c r="L53" s="34" t="n">
        <x:v>88.808936</x:v>
      </x:c>
      <x:c r="M53" s="34" t="n">
        <x:v>0.681414</x:v>
      </x:c>
      <x:c r="N53" s="34" t="n">
        <x:v>88.808936</x:v>
      </x:c>
      <x:c r="O53" s="34" t="n">
        <x:v>0.681414</x:v>
      </x:c>
      <x:c r="P53" s="34" t="n">
        <x:v>22.948743</x:v>
      </x:c>
      <x:c r="Q53" s="34" t="n">
        <x:v>1.666788</x:v>
      </x:c>
      <x:c r="R53" s="34" t="n">
        <x:v>28543.935</x:v>
      </x:c>
      <x:c r="S53" s="34" t="n">
        <x:v>219.01228</x:v>
      </x:c>
      <x:c r="T53" s="34" t="n">
        <x:v>35919.853</x:v>
      </x:c>
      <x:c r="U53" s="34" t="n">
        <x:v>576.84284</x:v>
      </x:c>
      <x:c r="V53" s="34" t="n">
        <x:v>18185.2</x:v>
      </x:c>
      <x:c r="W53" s="34" t="n">
        <x:v>0</x:v>
      </x:c>
      <x:c r="X53" s="34" t="n">
        <x:v>45149.183333</x:v>
      </x:c>
      <x:c r="Y53" s="34" t="n">
        <x:v>219.011737</x:v>
      </x:c>
      <x:c r="Z53" s="34" t="n">
        <x:v>16605.249</x:v>
      </x:c>
      <x:c r="AA53" s="34" t="n">
        <x:v>0</x:v>
      </x:c>
      <x:c r="AB53" s="34" t="n">
        <x:v>5928.625333</x:v>
      </x:c>
      <x:c r="AC53" s="34" t="n">
        <x:v>45.413636</x:v>
      </x:c>
      <x:c r="AD53" s="34" t="n">
        <x:v>0</x:v>
      </x:c>
      <x:c r="AE53" s="34" t="n">
        <x:v>0</x:v>
      </x:c>
      <x:c r="AF53" s="34" t="n">
        <x:v>0.978748</x:v>
      </x:c>
      <x:c r="AG53" s="34" t="n">
        <x:v>0.001385</x:v>
      </x:c>
      <x:c r="AH53" s="34" t="n">
        <x:v>0.002234</x:v>
      </x:c>
      <x:c r="AI53" s="34" t="n">
        <x:v>0.000159</x:v>
      </x:c>
      <x:c r="AJ53" s="34" t="n">
        <x:v>0.019018</x:v>
      </x:c>
      <x:c r="AK53" s="34" t="n">
        <x:v>0.001256</x:v>
      </x:c>
      <x:c r="AL53" s="34" t="n">
        <x:v>0.936293194</x:v>
      </x:c>
      <x:c r="AM53" s="34" t="n">
        <x:v>0.00305326</x:v>
      </x:c>
      <x:c r="AN53" s="34" t="n">
        <x:v>0.026936146</x:v>
      </x:c>
      <x:c r="AO53" s="34" t="n">
        <x:v>0.000703715</x:v>
      </x:c>
      <x:c r="AP53" s="34" t="n">
        <x:v>0.03677066</x:v>
      </x:c>
      <x:c r="AQ53" s="34" t="n">
        <x:v>0.003321658</x:v>
      </x:c>
      <x:c r="AR53" s="34" t="n">
        <x:v>243.74716002</x:v>
      </x:c>
      <x:c r="AS53" s="34" t="n">
        <x:v>15.634525129</x:v>
      </x:c>
      <x:c r="AT53" s="34" t="n">
        <x:v>0</x:v>
      </x:c>
      <x:c r="AU53" s="34" t="n">
        <x:v>0</x:v>
      </x:c>
      <x:c r="AV53" s="34" t="str">
        <x:v>variance_game_shapley_common_random_numbers</x:v>
      </x:c>
    </x:row>
    <x:row r="54">
      <x:c r="A54" s="34" t="str">
        <x:v>JFE_STEEL_JP</x:v>
      </x:c>
      <x:c r="B54" s="34" t="str">
        <x:v>JFE Steel</x:v>
      </x:c>
      <x:c r="C54" s="34" t="str">
        <x:v>CAND-E72109958C3B57</x:v>
      </x:c>
      <x:c r="D54" s="34" t="str">
        <x:v>P2</x:v>
      </x:c>
      <x:c r="E54" s="34" t="str">
        <x:v>PORT-E5F3D5116135</x:v>
      </x:c>
      <x:c r="F54" s="34" t="str">
        <x:v>DISCLOSED_PATH</x:v>
      </x:c>
      <x:c r="G54" s="40" t="b">
        <x:v>0</x:v>
      </x:c>
      <x:c r="H54" s="40" t="b">
        <x:v>1</x:v>
      </x:c>
      <x:c r="I54" s="40" t="b">
        <x:v>0</x:v>
      </x:c>
      <x:c r="J54" s="34" t="n">
        <x:v>321.408363</x:v>
      </x:c>
      <x:c r="K54" s="34" t="n">
        <x:v>1000</x:v>
      </x:c>
      <x:c r="L54" s="34" t="n">
        <x:v>103.353898</x:v>
      </x:c>
      <x:c r="M54" s="34" t="n">
        <x:v>0.766406</x:v>
      </x:c>
      <x:c r="N54" s="34" t="n">
        <x:v>103.353898</x:v>
      </x:c>
      <x:c r="O54" s="34" t="n">
        <x:v>0.766406</x:v>
      </x:c>
      <x:c r="P54" s="34" t="n">
        <x:v>27.419949</x:v>
      </x:c>
      <x:c r="Q54" s="34" t="n">
        <x:v>2.065297</x:v>
      </x:c>
      <x:c r="R54" s="34" t="n">
        <x:v>33218.807333</x:v>
      </x:c>
      <x:c r="S54" s="34" t="n">
        <x:v>246.329327</x:v>
      </x:c>
      <x:c r="T54" s="34" t="n">
        <x:v>42031.808333</x:v>
      </x:c>
      <x:c r="U54" s="34" t="n">
        <x:v>686.984616</x:v>
      </x:c>
      <x:c r="V54" s="34" t="n">
        <x:v>18185.2</x:v>
      </x:c>
      <x:c r="W54" s="34" t="n">
        <x:v>0</x:v>
      </x:c>
      <x:c r="X54" s="34" t="n">
        <x:v>44481.541333</x:v>
      </x:c>
      <x:c r="Y54" s="34" t="n">
        <x:v>246.329327</x:v>
      </x:c>
      <x:c r="Z54" s="34" t="n">
        <x:v>11262.734</x:v>
      </x:c>
      <x:c r="AA54" s="34" t="n">
        <x:v>0</x:v>
      </x:c>
      <x:c r="AB54" s="34" t="n">
        <x:v>3163.664667</x:v>
      </x:c>
      <x:c r="AC54" s="34" t="n">
        <x:v>15.493156</x:v>
      </x:c>
      <x:c r="AD54" s="34" t="n">
        <x:v>-6.402491</x:v>
      </x:c>
      <x:c r="AE54" s="34" t="n">
        <x:v>0.20623</x:v>
      </x:c>
      <x:c r="AF54" s="34" t="n">
        <x:v>0.971631</x:v>
      </x:c>
      <x:c r="AG54" s="34" t="n">
        <x:v>0.001854</x:v>
      </x:c>
      <x:c r="AH54" s="34" t="n">
        <x:v>0.003359</x:v>
      </x:c>
      <x:c r="AI54" s="34" t="n">
        <x:v>0.000236</x:v>
      </x:c>
      <x:c r="AJ54" s="34" t="n">
        <x:v>0.02501</x:v>
      </x:c>
      <x:c r="AK54" s="34" t="n">
        <x:v>0.001661</x:v>
      </x:c>
      <x:c r="AL54" s="34" t="n">
        <x:v>0.921996292</x:v>
      </x:c>
      <x:c r="AM54" s="34" t="n">
        <x:v>0.003444705</x:v>
      </x:c>
      <x:c r="AN54" s="34" t="n">
        <x:v>0.033230051</x:v>
      </x:c>
      <x:c r="AO54" s="34" t="n">
        <x:v>0.00078205</x:v>
      </x:c>
      <x:c r="AP54" s="34" t="n">
        <x:v>0.044773657</x:v>
      </x:c>
      <x:c r="AQ54" s="34" t="n">
        <x:v>0.00378197</x:v>
      </x:c>
      <x:c r="AR54" s="34" t="n">
        <x:v>342.412038168</x:v>
      </x:c>
      <x:c r="AS54" s="34" t="n">
        <x:v>21.822319694</x:v>
      </x:c>
      <x:c r="AT54" s="34" t="n">
        <x:v>0</x:v>
      </x:c>
      <x:c r="AU54" s="34" t="n">
        <x:v>0</x:v>
      </x:c>
      <x:c r="AV54" s="34" t="str">
        <x:v>variance_game_shapley_common_random_numbers</x:v>
      </x:c>
    </x:row>
    <x:row r="55">
      <x:c r="A55" s="34" t="str">
        <x:v>JFE_STEEL_JP</x:v>
      </x:c>
      <x:c r="B55" s="34" t="str">
        <x:v>JFE Steel</x:v>
      </x:c>
      <x:c r="C55" s="34" t="str">
        <x:v>CAND-E72109958C3B57</x:v>
      </x:c>
      <x:c r="D55" s="34" t="str">
        <x:v>P2</x:v>
      </x:c>
      <x:c r="E55" s="34" t="str">
        <x:v>PORT-E5F3D5116135</x:v>
      </x:c>
      <x:c r="F55" s="34" t="str">
        <x:v>ACCELERATED_15C</x:v>
      </x:c>
      <x:c r="G55" s="40" t="b">
        <x:v>1</x:v>
      </x:c>
      <x:c r="H55" s="40" t="b">
        <x:v>1</x:v>
      </x:c>
      <x:c r="I55" s="40" t="b">
        <x:v>1</x:v>
      </x:c>
      <x:c r="J55" s="34" t="n">
        <x:v>321.408363</x:v>
      </x:c>
      <x:c r="K55" s="34" t="n">
        <x:v>1000</x:v>
      </x:c>
      <x:c r="L55" s="34" t="n">
        <x:v>94.52439</x:v>
      </x:c>
      <x:c r="M55" s="34" t="n">
        <x:v>0.829555</x:v>
      </x:c>
      <x:c r="N55" s="34" t="n">
        <x:v>94.52439</x:v>
      </x:c>
      <x:c r="O55" s="34" t="n">
        <x:v>0.829555</x:v>
      </x:c>
      <x:c r="P55" s="34" t="n">
        <x:v>29.34671</x:v>
      </x:c>
      <x:c r="Q55" s="34" t="n">
        <x:v>2.104428</x:v>
      </x:c>
      <x:c r="R55" s="34" t="n">
        <x:v>30380.929667</x:v>
      </x:c>
      <x:c r="S55" s="34" t="n">
        <x:v>266.626193</x:v>
      </x:c>
      <x:c r="T55" s="34" t="n">
        <x:v>39813.207333</x:v>
      </x:c>
      <x:c r="U55" s="34" t="n">
        <x:v>740.405685</x:v>
      </x:c>
      <x:c r="V55" s="34" t="n">
        <x:v>18185.2</x:v>
      </x:c>
      <x:c r="W55" s="34" t="n">
        <x:v>0</x:v>
      </x:c>
      <x:c r="X55" s="34" t="n">
        <x:v>46986.178</x:v>
      </x:c>
      <x:c r="Y55" s="34" t="n">
        <x:v>266.625659</x:v>
      </x:c>
      <x:c r="Z55" s="34" t="n">
        <x:v>16605.249</x:v>
      </x:c>
      <x:c r="AA55" s="34" t="n">
        <x:v>0</x:v>
      </x:c>
      <x:c r="AB55" s="34" t="n">
        <x:v>4110.509333</x:v>
      </x:c>
      <x:c r="AC55" s="34" t="n">
        <x:v>18.454848</x:v>
      </x:c>
      <x:c r="AD55" s="34" t="n">
        <x:v>5.715454</x:v>
      </x:c>
      <x:c r="AE55" s="34" t="n">
        <x:v>0.151352</x:v>
      </x:c>
      <x:c r="AF55" s="34" t="n">
        <x:v>0.980162</x:v>
      </x:c>
      <x:c r="AG55" s="34" t="n">
        <x:v>0.001292</x:v>
      </x:c>
      <x:c r="AH55" s="34" t="n">
        <x:v>0.002272</x:v>
      </x:c>
      <x:c r="AI55" s="34" t="n">
        <x:v>0.000161</x:v>
      </x:c>
      <x:c r="AJ55" s="34" t="n">
        <x:v>0.017566</x:v>
      </x:c>
      <x:c r="AK55" s="34" t="n">
        <x:v>0.00116</x:v>
      </x:c>
      <x:c r="AL55" s="34" t="n">
        <x:v>0.938094604</x:v>
      </x:c>
      <x:c r="AM55" s="34" t="n">
        <x:v>0.002922664</x:v>
      </x:c>
      <x:c r="AN55" s="34" t="n">
        <x:v>0.027164773</x:v>
      </x:c>
      <x:c r="AO55" s="34" t="n">
        <x:v>0.000711339</x:v>
      </x:c>
      <x:c r="AP55" s="34" t="n">
        <x:v>0.034740622</x:v>
      </x:c>
      <x:c r="AQ55" s="34" t="n">
        <x:v>0.003175323</x:v>
      </x:c>
      <x:c r="AR55" s="34" t="n">
        <x:v>399.312883326</x:v>
      </x:c>
      <x:c r="AS55" s="34" t="n">
        <x:v>25.689812869</x:v>
      </x:c>
      <x:c r="AT55" s="34" t="n">
        <x:v>0</x:v>
      </x:c>
      <x:c r="AU55" s="34" t="n">
        <x:v>0</x:v>
      </x:c>
      <x:c r="AV55" s="34" t="str">
        <x:v>variance_game_shapley_common_random_numbers</x:v>
      </x:c>
    </x:row>
    <x:row r="56">
      <x:c r="A56" s="34" t="str">
        <x:v>KOBE_STEEL_JP</x:v>
      </x:c>
      <x:c r="B56" s="34" t="str">
        <x:v>Kobe Steel</x:v>
      </x:c>
      <x:c r="C56" s="34" t="str">
        <x:v>CAND-4D158AE8BC3521</x:v>
      </x:c>
      <x:c r="D56" s="34" t="str">
        <x:v>P3</x:v>
      </x:c>
      <x:c r="E56" s="34" t="str">
        <x:v>PORT-1144EBE63B41</x:v>
      </x:c>
      <x:c r="F56" s="34" t="str">
        <x:v>DISCLOSED_PATH</x:v>
      </x:c>
      <x:c r="G56" s="40" t="b">
        <x:v>1</x:v>
      </x:c>
      <x:c r="H56" s="40" t="b">
        <x:v>1</x:v>
      </x:c>
      <x:c r="I56" s="40" t="b">
        <x:v>1</x:v>
      </x:c>
      <x:c r="J56" s="34" t="n">
        <x:v>102.391093</x:v>
      </x:c>
      <x:c r="K56" s="34" t="n">
        <x:v>1000</x:v>
      </x:c>
      <x:c r="L56" s="34" t="n">
        <x:v>147.018969</x:v>
      </x:c>
      <x:c r="M56" s="34" t="n">
        <x:v>1.060642</x:v>
      </x:c>
      <x:c r="N56" s="34" t="n">
        <x:v>147.018969</x:v>
      </x:c>
      <x:c r="O56" s="34" t="n">
        <x:v>1.060642</x:v>
      </x:c>
      <x:c r="P56" s="34" t="n">
        <x:v>26.090299</x:v>
      </x:c>
      <x:c r="Q56" s="34" t="n">
        <x:v>1.35908</x:v>
      </x:c>
      <x:c r="R56" s="34" t="n">
        <x:v>15053.433</x:v>
      </x:c>
      <x:c r="S56" s="34" t="n">
        <x:v>108.600278</x:v>
      </x:c>
      <x:c r="T56" s="34" t="n">
        <x:v>17724.847333</x:v>
      </x:c>
      <x:c r="U56" s="34" t="n">
        <x:v>112.72334</x:v>
      </x:c>
      <x:c r="V56" s="34" t="n">
        <x:v>5037.34</x:v>
      </x:c>
      <x:c r="W56" s="34" t="n">
        <x:v>0</x:v>
      </x:c>
      <x:c r="X56" s="34" t="n">
        <x:v>18629.191</x:v>
      </x:c>
      <x:c r="Y56" s="34" t="n">
        <x:v>108.600278</x:v>
      </x:c>
      <x:c r="Z56" s="34" t="n">
        <x:v>3575.758</x:v>
      </x:c>
      <x:c r="AA56" s="34" t="n">
        <x:v>0</x:v>
      </x:c>
      <x:c r="AB56" s="34" t="n">
        <x:v>1799.518</x:v>
      </x:c>
      <x:c r="AC56" s="34" t="n">
        <x:v>5.497244</x:v>
      </x:c>
      <x:c r="AD56" s="34" t="n">
        <x:v>94.087173</x:v>
      </x:c>
      <x:c r="AE56" s="34" t="n">
        <x:v>0.813507</x:v>
      </x:c>
      <x:c r="AF56" s="34" t="n">
        <x:v>0.979255</x:v>
      </x:c>
      <x:c r="AG56" s="34" t="n">
        <x:v>0.001245</x:v>
      </x:c>
      <x:c r="AH56" s="34" t="n">
        <x:v>0.005901</x:v>
      </x:c>
      <x:c r="AI56" s="34" t="n">
        <x:v>0.000564</x:v>
      </x:c>
      <x:c r="AJ56" s="34" t="n">
        <x:v>0.014844</x:v>
      </x:c>
      <x:c r="AK56" s="34" t="n">
        <x:v>0.000701</x:v>
      </x:c>
      <x:c r="AL56" s="34" t="n">
        <x:v>0.92578592</x:v>
      </x:c>
      <x:c r="AM56" s="34" t="n">
        <x:v>0.002565821</x:v>
      </x:c>
      <x:c r="AN56" s="34" t="n">
        <x:v>0.043140421</x:v>
      </x:c>
      <x:c r="AO56" s="34" t="n">
        <x:v>0.000564836</x:v>
      </x:c>
      <x:c r="AP56" s="34" t="n">
        <x:v>0.031073659</x:v>
      </x:c>
      <x:c r="AQ56" s="34" t="n">
        <x:v>0.003115058</x:v>
      </x:c>
      <x:c r="AR56" s="34" t="n">
        <x:v>337.710537087</x:v>
      </x:c>
      <x:c r="AS56" s="34" t="n">
        <x:v>24.547924777</x:v>
      </x:c>
      <x:c r="AT56" s="34" t="n">
        <x:v>0</x:v>
      </x:c>
      <x:c r="AU56" s="34" t="n">
        <x:v>0</x:v>
      </x:c>
      <x:c r="AV56" s="34" t="str">
        <x:v>variance_game_shapley_common_random_numbers</x:v>
      </x:c>
    </x:row>
    <x:row r="57">
      <x:c r="A57" s="34" t="str">
        <x:v>KOBE_STEEL_JP</x:v>
      </x:c>
      <x:c r="B57" s="34" t="str">
        <x:v>Kobe Steel</x:v>
      </x:c>
      <x:c r="C57" s="34" t="str">
        <x:v>CAND-4D158AE8BC3521</x:v>
      </x:c>
      <x:c r="D57" s="34" t="str">
        <x:v>P3</x:v>
      </x:c>
      <x:c r="E57" s="34" t="str">
        <x:v>PORT-1144EBE63B41</x:v>
      </x:c>
      <x:c r="F57" s="34" t="str">
        <x:v>ACCELERATED_15C</x:v>
      </x:c>
      <x:c r="G57" s="40" t="b">
        <x:v>1</x:v>
      </x:c>
      <x:c r="H57" s="40" t="b">
        <x:v>1</x:v>
      </x:c>
      <x:c r="I57" s="40" t="b">
        <x:v>1</x:v>
      </x:c>
      <x:c r="J57" s="34" t="n">
        <x:v>102.391093</x:v>
      </x:c>
      <x:c r="K57" s="34" t="n">
        <x:v>1000</x:v>
      </x:c>
      <x:c r="L57" s="34" t="n">
        <x:v>136.736835</x:v>
      </x:c>
      <x:c r="M57" s="34" t="n">
        <x:v>1.127722</x:v>
      </x:c>
      <x:c r="N57" s="34" t="n">
        <x:v>136.736835</x:v>
      </x:c>
      <x:c r="O57" s="34" t="n">
        <x:v>1.127722</x:v>
      </x:c>
      <x:c r="P57" s="34" t="n">
        <x:v>27.243151</x:v>
      </x:c>
      <x:c r="Q57" s="34" t="n">
        <x:v>1.245294</x:v>
      </x:c>
      <x:c r="R57" s="34" t="n">
        <x:v>14000.634333</x:v>
      </x:c>
      <x:c r="S57" s="34" t="n">
        <x:v>115.468564</x:v>
      </x:c>
      <x:c r="T57" s="34" t="n">
        <x:v>16790.09</x:v>
      </x:c>
      <x:c r="U57" s="34" t="n">
        <x:v>105.773481</x:v>
      </x:c>
      <x:c r="V57" s="34" t="n">
        <x:v>5037.34</x:v>
      </x:c>
      <x:c r="W57" s="34" t="n">
        <x:v>0</x:v>
      </x:c>
      <x:c r="X57" s="34" t="n">
        <x:v>19244.977333</x:v>
      </x:c>
      <x:c r="Y57" s="34" t="n">
        <x:v>115.468564</x:v>
      </x:c>
      <x:c r="Z57" s="34" t="n">
        <x:v>5244.343</x:v>
      </x:c>
      <x:c r="AA57" s="34" t="n">
        <x:v>0</x:v>
      </x:c>
      <x:c r="AB57" s="34" t="n">
        <x:v>2504.753333</x:v>
      </x:c>
      <x:c r="AC57" s="34" t="n">
        <x:v>10.044745</x:v>
      </x:c>
      <x:c r="AD57" s="34" t="n">
        <x:v>11.754547</x:v>
      </x:c>
      <x:c r="AE57" s="34" t="n">
        <x:v>1.077877</x:v>
      </x:c>
      <x:c r="AF57" s="34" t="n">
        <x:v>0.984565</x:v>
      </x:c>
      <x:c r="AG57" s="34" t="n">
        <x:v>0.000935</x:v>
      </x:c>
      <x:c r="AH57" s="34" t="n">
        <x:v>0.004293</x:v>
      </x:c>
      <x:c r="AI57" s="34" t="n">
        <x:v>0.000416</x:v>
      </x:c>
      <x:c r="AJ57" s="34" t="n">
        <x:v>0.011141</x:v>
      </x:c>
      <x:c r="AK57" s="34" t="n">
        <x:v>0.000533</x:v>
      </x:c>
      <x:c r="AL57" s="34" t="n">
        <x:v>0.938119118</x:v>
      </x:c>
      <x:c r="AM57" s="34" t="n">
        <x:v>0.002313375</x:v>
      </x:c>
      <x:c r="AN57" s="34" t="n">
        <x:v>0.036311347</x:v>
      </x:c>
      <x:c r="AO57" s="34" t="n">
        <x:v>0.00049061</x:v>
      </x:c>
      <x:c r="AP57" s="34" t="n">
        <x:v>0.025569534</x:v>
      </x:c>
      <x:c r="AQ57" s="34" t="n">
        <x:v>0.002803969</x:v>
      </x:c>
      <x:c r="AR57" s="34" t="n">
        <x:v>364.501638895</x:v>
      </x:c>
      <x:c r="AS57" s="34" t="n">
        <x:v>26.767817866</x:v>
      </x:c>
      <x:c r="AT57" s="34" t="n">
        <x:v>0</x:v>
      </x:c>
      <x:c r="AU57" s="34" t="n">
        <x:v>0</x:v>
      </x:c>
      <x:c r="AV57" s="34" t="str">
        <x:v>variance_game_shapley_common_random_numbers</x:v>
      </x:c>
    </x:row>
    <x:row r="58">
      <x:c r="A58" s="34" t="str">
        <x:v>KOBE_STEEL_JP</x:v>
      </x:c>
      <x:c r="B58" s="34" t="str">
        <x:v>Kobe Steel</x:v>
      </x:c>
      <x:c r="C58" s="34" t="str">
        <x:v>CAND-C9EAFC0F482485</x:v>
      </x:c>
      <x:c r="D58" s="34" t="str">
        <x:v>P2</x:v>
      </x:c>
      <x:c r="E58" s="34" t="str">
        <x:v>PORT-1144EBE63B41</x:v>
      </x:c>
      <x:c r="F58" s="34" t="str">
        <x:v>DISCLOSED_PATH</x:v>
      </x:c>
      <x:c r="G58" s="40" t="b">
        <x:v>1</x:v>
      </x:c>
      <x:c r="H58" s="40" t="b">
        <x:v>1</x:v>
      </x:c>
      <x:c r="I58" s="40" t="b">
        <x:v>1</x:v>
      </x:c>
      <x:c r="J58" s="34" t="n">
        <x:v>102.391093</x:v>
      </x:c>
      <x:c r="K58" s="34" t="n">
        <x:v>1000</x:v>
      </x:c>
      <x:c r="L58" s="34" t="n">
        <x:v>153.496597</x:v>
      </x:c>
      <x:c r="M58" s="34" t="n">
        <x:v>1.265544</x:v>
      </x:c>
      <x:c r="N58" s="34" t="n">
        <x:v>153.496597</x:v>
      </x:c>
      <x:c r="O58" s="34" t="n">
        <x:v>1.265544</x:v>
      </x:c>
      <x:c r="P58" s="34" t="n">
        <x:v>32.848265</x:v>
      </x:c>
      <x:c r="Q58" s="34" t="n">
        <x:v>1.681813</x:v>
      </x:c>
      <x:c r="R58" s="34" t="n">
        <x:v>15716.684333</x:v>
      </x:c>
      <x:c r="S58" s="34" t="n">
        <x:v>129.580626</x:v>
      </x:c>
      <x:c r="T58" s="34" t="n">
        <x:v>19080.054</x:v>
      </x:c>
      <x:c r="U58" s="34" t="n">
        <x:v>139.480006</x:v>
      </x:c>
      <x:c r="V58" s="34" t="n">
        <x:v>5037.34</x:v>
      </x:c>
      <x:c r="W58" s="34" t="n">
        <x:v>0</x:v>
      </x:c>
      <x:c r="X58" s="34" t="n">
        <x:v>19292.442333</x:v>
      </x:c>
      <x:c r="Y58" s="34" t="n">
        <x:v>129.580626</x:v>
      </x:c>
      <x:c r="Z58" s="34" t="n">
        <x:v>3575.758</x:v>
      </x:c>
      <x:c r="AA58" s="34" t="n">
        <x:v>0</x:v>
      </x:c>
      <x:c r="AB58" s="34" t="n">
        <x:v>1150.803667</x:v>
      </x:c>
      <x:c r="AC58" s="34" t="n">
        <x:v>3.340983</x:v>
      </x:c>
      <x:c r="AD58" s="34" t="n">
        <x:v>100.564801</x:v>
      </x:c>
      <x:c r="AE58" s="34" t="n">
        <x:v>1.010298</x:v>
      </x:c>
      <x:c r="AF58" s="34" t="n">
        <x:v>0.979904</x:v>
      </x:c>
      <x:c r="AG58" s="34" t="n">
        <x:v>0.001215</x:v>
      </x:c>
      <x:c r="AH58" s="34" t="n">
        <x:v>0.005899</x:v>
      </x:c>
      <x:c r="AI58" s="34" t="n">
        <x:v>0.000564</x:v>
      </x:c>
      <x:c r="AJ58" s="34" t="n">
        <x:v>0.014196</x:v>
      </x:c>
      <x:c r="AK58" s="34" t="n">
        <x:v>0.000671</x:v>
      </x:c>
      <x:c r="AL58" s="34" t="n">
        <x:v>0.92672818</x:v>
      </x:c>
      <x:c r="AM58" s="34" t="n">
        <x:v>0.002511396</x:v>
      </x:c>
      <x:c r="AN58" s="34" t="n">
        <x:v>0.043138209</x:v>
      </x:c>
      <x:c r="AO58" s="34" t="n">
        <x:v>0.000558149</x:v>
      </x:c>
      <x:c r="AP58" s="34" t="n">
        <x:v>0.030133611</x:v>
      </x:c>
      <x:c r="AQ58" s="34" t="n">
        <x:v>0.003054172</x:v>
      </x:c>
      <x:c r="AR58" s="34" t="n">
        <x:v>534.515384225</x:v>
      </x:c>
      <x:c r="AS58" s="34" t="n">
        <x:v>38.867455159</x:v>
      </x:c>
      <x:c r="AT58" s="34" t="n">
        <x:v>0</x:v>
      </x:c>
      <x:c r="AU58" s="34" t="n">
        <x:v>0</x:v>
      </x:c>
      <x:c r="AV58" s="34" t="str">
        <x:v>variance_game_shapley_common_random_numbers</x:v>
      </x:c>
    </x:row>
    <x:row r="59">
      <x:c r="A59" s="34" t="str">
        <x:v>KOBE_STEEL_JP</x:v>
      </x:c>
      <x:c r="B59" s="34" t="str">
        <x:v>Kobe Steel</x:v>
      </x:c>
      <x:c r="C59" s="34" t="str">
        <x:v>CAND-C9EAFC0F482485</x:v>
      </x:c>
      <x:c r="D59" s="34" t="str">
        <x:v>P2</x:v>
      </x:c>
      <x:c r="E59" s="34" t="str">
        <x:v>PORT-1144EBE63B41</x:v>
      </x:c>
      <x:c r="F59" s="34" t="str">
        <x:v>ACCELERATED_15C</x:v>
      </x:c>
      <x:c r="G59" s="40" t="b">
        <x:v>1</x:v>
      </x:c>
      <x:c r="H59" s="40" t="b">
        <x:v>1</x:v>
      </x:c>
      <x:c r="I59" s="40" t="b">
        <x:v>1</x:v>
      </x:c>
      <x:c r="J59" s="34" t="n">
        <x:v>102.391093</x:v>
      </x:c>
      <x:c r="K59" s="34" t="n">
        <x:v>1000</x:v>
      </x:c>
      <x:c r="L59" s="34" t="n">
        <x:v>146.334417</x:v>
      </x:c>
      <x:c r="M59" s="34" t="n">
        <x:v>1.429057</x:v>
      </x:c>
      <x:c r="N59" s="34" t="n">
        <x:v>146.334417</x:v>
      </x:c>
      <x:c r="O59" s="34" t="n">
        <x:v>1.429057</x:v>
      </x:c>
      <x:c r="P59" s="34" t="n">
        <x:v>35.143265</x:v>
      </x:c>
      <x:c r="Q59" s="34" t="n">
        <x:v>1.646096</x:v>
      </x:c>
      <x:c r="R59" s="34" t="n">
        <x:v>14983.341</x:v>
      </x:c>
      <x:c r="S59" s="34" t="n">
        <x:v>146.322701</x:v>
      </x:c>
      <x:c r="T59" s="34" t="n">
        <x:v>18581.698333</x:v>
      </x:c>
      <x:c r="U59" s="34" t="n">
        <x:v>134.661808</x:v>
      </x:c>
      <x:c r="V59" s="34" t="n">
        <x:v>5037.34</x:v>
      </x:c>
      <x:c r="W59" s="34" t="n">
        <x:v>0</x:v>
      </x:c>
      <x:c r="X59" s="34" t="n">
        <x:v>20227.684</x:v>
      </x:c>
      <x:c r="Y59" s="34" t="n">
        <x:v>146.322701</x:v>
      </x:c>
      <x:c r="Z59" s="34" t="n">
        <x:v>5244.343</x:v>
      </x:c>
      <x:c r="AA59" s="34" t="n">
        <x:v>0</x:v>
      </x:c>
      <x:c r="AB59" s="34" t="n">
        <x:v>1539.539</x:v>
      </x:c>
      <x:c r="AC59" s="34" t="n">
        <x:v>6.743329</x:v>
      </x:c>
      <x:c r="AD59" s="34" t="n">
        <x:v>21.352129</x:v>
      </x:c>
      <x:c r="AE59" s="34" t="n">
        <x:v>1.379254</x:v>
      </x:c>
      <x:c r="AF59" s="34" t="n">
        <x:v>0.985542</x:v>
      </x:c>
      <x:c r="AG59" s="34" t="n">
        <x:v>0.00089</x:v>
      </x:c>
      <x:c r="AH59" s="34" t="n">
        <x:v>0.004306</x:v>
      </x:c>
      <x:c r="AI59" s="34" t="n">
        <x:v>0.000417</x:v>
      </x:c>
      <x:c r="AJ59" s="34" t="n">
        <x:v>0.010152</x:v>
      </x:c>
      <x:c r="AK59" s="34" t="n">
        <x:v>0.000486</x:v>
      </x:c>
      <x:c r="AL59" s="34" t="n">
        <x:v>0.939606101</x:v>
      </x:c>
      <x:c r="AM59" s="34" t="n">
        <x:v>0.002209379</x:v>
      </x:c>
      <x:c r="AN59" s="34" t="n">
        <x:v>0.036376521</x:v>
      </x:c>
      <x:c r="AO59" s="34" t="n">
        <x:v>0.000478629</x:v>
      </x:c>
      <x:c r="AP59" s="34" t="n">
        <x:v>0.024017378</x:v>
      </x:c>
      <x:c r="AQ59" s="34" t="n">
        <x:v>0.002688007</x:v>
      </x:c>
      <x:c r="AR59" s="34" t="n">
        <x:v>605.217460133</x:v>
      </x:c>
      <x:c r="AS59" s="34" t="n">
        <x:v>44.472146622</x:v>
      </x:c>
      <x:c r="AT59" s="34" t="n">
        <x:v>0</x:v>
      </x:c>
      <x:c r="AU59" s="34" t="n">
        <x:v>0</x:v>
      </x:c>
      <x:c r="AV59" s="34" t="str">
        <x:v>variance_game_shapley_common_random_numbers</x:v>
      </x:c>
    </x:row>
    <x:row r="60">
      <x:c r="A60" s="34" t="str">
        <x:v>KOBE_STEEL_JP</x:v>
      </x:c>
      <x:c r="B60" s="34" t="str">
        <x:v>Kobe Steel</x:v>
      </x:c>
      <x:c r="C60" s="34" t="str">
        <x:v>CAND-DCD679F188D852</x:v>
      </x:c>
      <x:c r="D60" s="34" t="str">
        <x:v>P1</x:v>
      </x:c>
      <x:c r="E60" s="34" t="str">
        <x:v>PORT-1144EBE63B41</x:v>
      </x:c>
      <x:c r="F60" s="34" t="str">
        <x:v>DISCLOSED_PATH</x:v>
      </x:c>
      <x:c r="G60" s="40" t="b">
        <x:v>1</x:v>
      </x:c>
      <x:c r="H60" s="40" t="b">
        <x:v>1</x:v>
      </x:c>
      <x:c r="I60" s="40" t="b">
        <x:v>1</x:v>
      </x:c>
      <x:c r="J60" s="34" t="n">
        <x:v>102.391093</x:v>
      </x:c>
      <x:c r="K60" s="34" t="n">
        <x:v>1000</x:v>
      </x:c>
      <x:c r="L60" s="34" t="n">
        <x:v>157.986211</x:v>
      </x:c>
      <x:c r="M60" s="34" t="n">
        <x:v>1.444748</x:v>
      </x:c>
      <x:c r="N60" s="34" t="n">
        <x:v>157.986211</x:v>
      </x:c>
      <x:c r="O60" s="34" t="n">
        <x:v>1.444748</x:v>
      </x:c>
      <x:c r="P60" s="34" t="n">
        <x:v>38.028813</x:v>
      </x:c>
      <x:c r="Q60" s="34" t="n">
        <x:v>1.887338</x:v>
      </x:c>
      <x:c r="R60" s="34" t="n">
        <x:v>16176.381</x:v>
      </x:c>
      <x:c r="S60" s="34" t="n">
        <x:v>147.929016</x:v>
      </x:c>
      <x:c r="T60" s="34" t="n">
        <x:v>20070.192667</x:v>
      </x:c>
      <x:c r="U60" s="34" t="n">
        <x:v>157.455356</x:v>
      </x:c>
      <x:c r="V60" s="34" t="n">
        <x:v>5037.34</x:v>
      </x:c>
      <x:c r="W60" s="34" t="n">
        <x:v>0</x:v>
      </x:c>
      <x:c r="X60" s="34" t="n">
        <x:v>19752.139</x:v>
      </x:c>
      <x:c r="Y60" s="34" t="n">
        <x:v>147.929016</x:v>
      </x:c>
      <x:c r="Z60" s="34" t="n">
        <x:v>3575.758</x:v>
      </x:c>
      <x:c r="AA60" s="34" t="n">
        <x:v>0</x:v>
      </x:c>
      <x:c r="AB60" s="34" t="n">
        <x:v>713.04</x:v>
      </x:c>
      <x:c r="AC60" s="34" t="n">
        <x:v>7.078037</x:v>
      </x:c>
      <x:c r="AD60" s="34" t="n">
        <x:v>105.054416</x:v>
      </x:c>
      <x:c r="AE60" s="34" t="n">
        <x:v>1.181216</x:v>
      </x:c>
      <x:c r="AF60" s="34" t="n">
        <x:v>0.980729</x:v>
      </x:c>
      <x:c r="AG60" s="34" t="n">
        <x:v>0.001174</x:v>
      </x:c>
      <x:c r="AH60" s="34" t="n">
        <x:v>0.005803</x:v>
      </x:c>
      <x:c r="AI60" s="34" t="n">
        <x:v>0.000556</x:v>
      </x:c>
      <x:c r="AJ60" s="34" t="n">
        <x:v>0.013469</x:v>
      </x:c>
      <x:c r="AK60" s="34" t="n">
        <x:v>0.000637</x:v>
      </x:c>
      <x:c r="AL60" s="34" t="n">
        <x:v>0.92818043</x:v>
      </x:c>
      <x:c r="AM60" s="34" t="n">
        <x:v>0.002449644</x:v>
      </x:c>
      <x:c r="AN60" s="34" t="n">
        <x:v>0.042759145</x:v>
      </x:c>
      <x:c r="AO60" s="34" t="n">
        <x:v>0.000549766</x:v>
      </x:c>
      <x:c r="AP60" s="34" t="n">
        <x:v>0.029060425</x:v>
      </x:c>
      <x:c r="AQ60" s="34" t="n">
        <x:v>0.002986549</x:v>
      </x:c>
      <x:c r="AR60" s="34" t="n">
        <x:v>711.966860546</x:v>
      </x:c>
      <x:c r="AS60" s="34" t="n">
        <x:v>51.804183169</x:v>
      </x:c>
      <x:c r="AT60" s="34" t="n">
        <x:v>0</x:v>
      </x:c>
      <x:c r="AU60" s="34" t="n">
        <x:v>0</x:v>
      </x:c>
      <x:c r="AV60" s="34" t="str">
        <x:v>variance_game_shapley_common_random_numbers</x:v>
      </x:c>
    </x:row>
    <x:row r="61">
      <x:c r="A61" s="34" t="str">
        <x:v>KOBE_STEEL_JP</x:v>
      </x:c>
      <x:c r="B61" s="34" t="str">
        <x:v>Kobe Steel</x:v>
      </x:c>
      <x:c r="C61" s="34" t="str">
        <x:v>CAND-DCD679F188D852</x:v>
      </x:c>
      <x:c r="D61" s="34" t="str">
        <x:v>P1</x:v>
      </x:c>
      <x:c r="E61" s="34" t="str">
        <x:v>PORT-1144EBE63B41</x:v>
      </x:c>
      <x:c r="F61" s="34" t="str">
        <x:v>ACCELERATED_15C</x:v>
      </x:c>
      <x:c r="G61" s="40" t="b">
        <x:v>1</x:v>
      </x:c>
      <x:c r="H61" s="40" t="b">
        <x:v>1</x:v>
      </x:c>
      <x:c r="I61" s="40" t="b">
        <x:v>1</x:v>
      </x:c>
      <x:c r="J61" s="34" t="n">
        <x:v>102.391093</x:v>
      </x:c>
      <x:c r="K61" s="34" t="n">
        <x:v>1000</x:v>
      </x:c>
      <x:c r="L61" s="34" t="n">
        <x:v>152.912908</x:v>
      </x:c>
      <x:c r="M61" s="34" t="n">
        <x:v>1.632756</x:v>
      </x:c>
      <x:c r="N61" s="34" t="n">
        <x:v>152.912908</x:v>
      </x:c>
      <x:c r="O61" s="34" t="n">
        <x:v>1.632756</x:v>
      </x:c>
      <x:c r="P61" s="34" t="n">
        <x:v>41.267038</x:v>
      </x:c>
      <x:c r="Q61" s="34" t="n">
        <x:v>1.908621</x:v>
      </x:c>
      <x:c r="R61" s="34" t="n">
        <x:v>15656.919667</x:v>
      </x:c>
      <x:c r="S61" s="34" t="n">
        <x:v>167.179785</x:v>
      </x:c>
      <x:c r="T61" s="34" t="n">
        <x:v>19882.296667</x:v>
      </x:c>
      <x:c r="U61" s="34" t="n">
        <x:v>154.064883</x:v>
      </x:c>
      <x:c r="V61" s="34" t="n">
        <x:v>5037.34</x:v>
      </x:c>
      <x:c r="W61" s="34" t="n">
        <x:v>0</x:v>
      </x:c>
      <x:c r="X61" s="34" t="n">
        <x:v>20901.262667</x:v>
      </x:c>
      <x:c r="Y61" s="34" t="n">
        <x:v>167.179785</x:v>
      </x:c>
      <x:c r="Z61" s="34" t="n">
        <x:v>5244.343</x:v>
      </x:c>
      <x:c r="AA61" s="34" t="n">
        <x:v>0</x:v>
      </x:c>
      <x:c r="AB61" s="34" t="n">
        <x:v>882.792333</x:v>
      </x:c>
      <x:c r="AC61" s="34" t="n">
        <x:v>8.983304</x:v>
      </x:c>
      <x:c r="AD61" s="34" t="n">
        <x:v>27.93062</x:v>
      </x:c>
      <x:c r="AE61" s="34" t="n">
        <x:v>1.583084</x:v>
      </x:c>
      <x:c r="AF61" s="34" t="n">
        <x:v>0.986407</x:v>
      </x:c>
      <x:c r="AG61" s="34" t="n">
        <x:v>0.000846</x:v>
      </x:c>
      <x:c r="AH61" s="34" t="n">
        <x:v>0.004242</x:v>
      </x:c>
      <x:c r="AI61" s="34" t="n">
        <x:v>0.000411</x:v>
      </x:c>
      <x:c r="AJ61" s="34" t="n">
        <x:v>0.009351</x:v>
      </x:c>
      <x:c r="AK61" s="34" t="n">
        <x:v>0.000448</x:v>
      </x:c>
      <x:c r="AL61" s="34" t="n">
        <x:v>0.94118901</x:v>
      </x:c>
      <x:c r="AM61" s="34" t="n">
        <x:v>0.002121131</x:v>
      </x:c>
      <x:c r="AN61" s="34" t="n">
        <x:v>0.03608591</x:v>
      </x:c>
      <x:c r="AO61" s="34" t="n">
        <x:v>0.000469926</x:v>
      </x:c>
      <x:c r="AP61" s="34" t="n">
        <x:v>0.02272508</x:v>
      </x:c>
      <x:c r="AQ61" s="34" t="n">
        <x:v>0.002590973</x:v>
      </x:c>
      <x:c r="AR61" s="34" t="n">
        <x:v>830.26352626</x:v>
      </x:c>
      <x:c r="AS61" s="34" t="n">
        <x:v>61.036926102</x:v>
      </x:c>
      <x:c r="AT61" s="34" t="n">
        <x:v>0</x:v>
      </x:c>
      <x:c r="AU61" s="34" t="n">
        <x:v>0</x:v>
      </x:c>
      <x:c r="AV61" s="34" t="str">
        <x:v>variance_game_shapley_common_random_numbers</x:v>
      </x:c>
    </x:row>
    <x:row r="62">
      <x:c r="A62" s="34" t="str">
        <x:v>KOBE_STEEL_JP</x:v>
      </x:c>
      <x:c r="B62" s="34" t="str">
        <x:v>Kobe Steel</x:v>
      </x:c>
      <x:c r="C62" s="34" t="str">
        <x:v>CAND-314B41E5534D98</x:v>
      </x:c>
      <x:c r="D62" s="34" t="str">
        <x:v>P3</x:v>
      </x:c>
      <x:c r="E62" s="34" t="str">
        <x:v>PORT-9862FC05DA24</x:v>
      </x:c>
      <x:c r="F62" s="34" t="str">
        <x:v>DISCLOSED_PATH</x:v>
      </x:c>
      <x:c r="G62" s="40" t="b">
        <x:v>1</x:v>
      </x:c>
      <x:c r="H62" s="40" t="b">
        <x:v>1</x:v>
      </x:c>
      <x:c r="I62" s="40" t="b">
        <x:v>1</x:v>
      </x:c>
      <x:c r="J62" s="34" t="n">
        <x:v>105.301092</x:v>
      </x:c>
      <x:c r="K62" s="34" t="n">
        <x:v>1000</x:v>
      </x:c>
      <x:c r="L62" s="34" t="n">
        <x:v>179.900587</x:v>
      </x:c>
      <x:c r="M62" s="34" t="n">
        <x:v>1.185161</x:v>
      </x:c>
      <x:c r="N62" s="34" t="n">
        <x:v>179.900587</x:v>
      </x:c>
      <x:c r="O62" s="34" t="n">
        <x:v>1.185161</x:v>
      </x:c>
      <x:c r="P62" s="34" t="n">
        <x:v>31.41263</x:v>
      </x:c>
      <x:c r="Q62" s="34" t="n">
        <x:v>2.624458</x:v>
      </x:c>
      <x:c r="R62" s="34" t="n">
        <x:v>18943.728333</x:v>
      </x:c>
      <x:c r="S62" s="34" t="n">
        <x:v>124.798758</x:v>
      </x:c>
      <x:c r="T62" s="34" t="n">
        <x:v>22251.512333</x:v>
      </x:c>
      <x:c r="U62" s="34" t="n">
        <x:v>206.073681</x:v>
      </x:c>
      <x:c r="V62" s="34" t="n">
        <x:v>6178.04</x:v>
      </x:c>
      <x:c r="W62" s="34" t="n">
        <x:v>0</x:v>
      </x:c>
      <x:c r="X62" s="34" t="n">
        <x:v>22620.751333</x:v>
      </x:c>
      <x:c r="Y62" s="34" t="n">
        <x:v>124.798758</x:v>
      </x:c>
      <x:c r="Z62" s="34" t="n">
        <x:v>3677.023</x:v>
      </x:c>
      <x:c r="AA62" s="34" t="n">
        <x:v>0</x:v>
      </x:c>
      <x:c r="AB62" s="34" t="n">
        <x:v>2261.042</x:v>
      </x:c>
      <x:c r="AC62" s="34" t="n">
        <x:v>13.055119</x:v>
      </x:c>
      <x:c r="AD62" s="34" t="n">
        <x:v>126.968791</x:v>
      </x:c>
      <x:c r="AE62" s="34" t="n">
        <x:v>0.921102</x:v>
      </x:c>
      <x:c r="AF62" s="34" t="n">
        <x:v>0.98074</x:v>
      </x:c>
      <x:c r="AG62" s="34" t="n">
        <x:v>0.001048</x:v>
      </x:c>
      <x:c r="AH62" s="34" t="n">
        <x:v>0.005753</x:v>
      </x:c>
      <x:c r="AI62" s="34" t="n">
        <x:v>0.000513</x:v>
      </x:c>
      <x:c r="AJ62" s="34" t="n">
        <x:v>0.013507</x:v>
      </x:c>
      <x:c r="AK62" s="34" t="n">
        <x:v>0.000538</x:v>
      </x:c>
      <x:c r="AL62" s="34" t="n">
        <x:v>0.926301054</x:v>
      </x:c>
      <x:c r="AM62" s="34" t="n">
        <x:v>0.002016293</x:v>
      </x:c>
      <x:c r="AN62" s="34" t="n">
        <x:v>0.042909223</x:v>
      </x:c>
      <x:c r="AO62" s="34" t="n">
        <x:v>0.000931279</x:v>
      </x:c>
      <x:c r="AP62" s="34" t="n">
        <x:v>0.030789723</x:v>
      </x:c>
      <x:c r="AQ62" s="34" t="n">
        <x:v>0.002904044</x:v>
      </x:c>
      <x:c r="AR62" s="34" t="n">
        <x:v>468.109328167</x:v>
      </x:c>
      <x:c r="AS62" s="34" t="n">
        <x:v>33.251017787</x:v>
      </x:c>
      <x:c r="AT62" s="34" t="n">
        <x:v>0</x:v>
      </x:c>
      <x:c r="AU62" s="34" t="n">
        <x:v>0</x:v>
      </x:c>
      <x:c r="AV62" s="34" t="str">
        <x:v>variance_game_shapley_common_random_numbers</x:v>
      </x:c>
    </x:row>
    <x:row r="63">
      <x:c r="A63" s="34" t="str">
        <x:v>KOBE_STEEL_JP</x:v>
      </x:c>
      <x:c r="B63" s="34" t="str">
        <x:v>Kobe Steel</x:v>
      </x:c>
      <x:c r="C63" s="34" t="str">
        <x:v>CAND-314B41E5534D98</x:v>
      </x:c>
      <x:c r="D63" s="34" t="str">
        <x:v>P3</x:v>
      </x:c>
      <x:c r="E63" s="34" t="str">
        <x:v>PORT-9862FC05DA24</x:v>
      </x:c>
      <x:c r="F63" s="34" t="str">
        <x:v>ACCELERATED_15C</x:v>
      </x:c>
      <x:c r="G63" s="40" t="b">
        <x:v>1</x:v>
      </x:c>
      <x:c r="H63" s="40" t="b">
        <x:v>1</x:v>
      </x:c>
      <x:c r="I63" s="40" t="b">
        <x:v>1</x:v>
      </x:c>
      <x:c r="J63" s="34" t="n">
        <x:v>105.301092</x:v>
      </x:c>
      <x:c r="K63" s="34" t="n">
        <x:v>1000</x:v>
      </x:c>
      <x:c r="L63" s="34" t="n">
        <x:v>171.1986</x:v>
      </x:c>
      <x:c r="M63" s="34" t="n">
        <x:v>1.375486</x:v>
      </x:c>
      <x:c r="N63" s="34" t="n">
        <x:v>171.1986</x:v>
      </x:c>
      <x:c r="O63" s="34" t="n">
        <x:v>1.375486</x:v>
      </x:c>
      <x:c r="P63" s="34" t="n">
        <x:v>32.973259</x:v>
      </x:c>
      <x:c r="Q63" s="34" t="n">
        <x:v>2.794386</x:v>
      </x:c>
      <x:c r="R63" s="34" t="n">
        <x:v>18027.399333</x:v>
      </x:c>
      <x:c r="S63" s="34" t="n">
        <x:v>144.840313</x:v>
      </x:c>
      <x:c r="T63" s="34" t="n">
        <x:v>21499.519667</x:v>
      </x:c>
      <x:c r="U63" s="34" t="n">
        <x:v>211.966467</x:v>
      </x:c>
      <x:c r="V63" s="34" t="n">
        <x:v>6178.04</x:v>
      </x:c>
      <x:c r="W63" s="34" t="n">
        <x:v>0</x:v>
      </x:c>
      <x:c r="X63" s="34" t="n">
        <x:v>23423.141333</x:v>
      </x:c>
      <x:c r="Y63" s="34" t="n">
        <x:v>144.840313</x:v>
      </x:c>
      <x:c r="Z63" s="34" t="n">
        <x:v>5395.742</x:v>
      </x:c>
      <x:c r="AA63" s="34" t="n">
        <x:v>0</x:v>
      </x:c>
      <x:c r="AB63" s="34" t="n">
        <x:v>3166.119333</x:v>
      </x:c>
      <x:c r="AC63" s="34" t="n">
        <x:v>16.030643</x:v>
      </x:c>
      <x:c r="AD63" s="34" t="n">
        <x:v>46.216312</x:v>
      </x:c>
      <x:c r="AE63" s="34" t="n">
        <x:v>1.325978</x:v>
      </x:c>
      <x:c r="AF63" s="34" t="n">
        <x:v>0.986033</x:v>
      </x:c>
      <x:c r="AG63" s="34" t="n">
        <x:v>0.000759</x:v>
      </x:c>
      <x:c r="AH63" s="34" t="n">
        <x:v>0.004053</x:v>
      </x:c>
      <x:c r="AI63" s="34" t="n">
        <x:v>0.000366</x:v>
      </x:c>
      <x:c r="AJ63" s="34" t="n">
        <x:v>0.009914</x:v>
      </x:c>
      <x:c r="AK63" s="34" t="n">
        <x:v>0.000396</x:v>
      </x:c>
      <x:c r="AL63" s="34" t="n">
        <x:v>0.939441738</x:v>
      </x:c>
      <x:c r="AM63" s="34" t="n">
        <x:v>0.001790382</x:v>
      </x:c>
      <x:c r="AN63" s="34" t="n">
        <x:v>0.035547269</x:v>
      </x:c>
      <x:c r="AO63" s="34" t="n">
        <x:v>0.00086315</x:v>
      </x:c>
      <x:c r="AP63" s="34" t="n">
        <x:v>0.025010994</x:v>
      </x:c>
      <x:c r="AQ63" s="34" t="n">
        <x:v>0.002559274</x:v>
      </x:c>
      <x:c r="AR63" s="34" t="n">
        <x:v>510.584125116</x:v>
      </x:c>
      <x:c r="AS63" s="34" t="n">
        <x:v>36.216511503</x:v>
      </x:c>
      <x:c r="AT63" s="34" t="n">
        <x:v>0</x:v>
      </x:c>
      <x:c r="AU63" s="34" t="n">
        <x:v>0</x:v>
      </x:c>
      <x:c r="AV63" s="34" t="str">
        <x:v>variance_game_shapley_common_random_numbers</x:v>
      </x:c>
    </x:row>
    <x:row r="64">
      <x:c r="A64" s="34" t="str">
        <x:v>KOBE_STEEL_JP</x:v>
      </x:c>
      <x:c r="B64" s="34" t="str">
        <x:v>Kobe Steel</x:v>
      </x:c>
      <x:c r="C64" s="34" t="str">
        <x:v>CAND-CE22CF7F8F72DA</x:v>
      </x:c>
      <x:c r="D64" s="34" t="str">
        <x:v>P2</x:v>
      </x:c>
      <x:c r="E64" s="34" t="str">
        <x:v>PORT-9862FC05DA24</x:v>
      </x:c>
      <x:c r="F64" s="34" t="str">
        <x:v>DISCLOSED_PATH</x:v>
      </x:c>
      <x:c r="G64" s="40" t="b">
        <x:v>1</x:v>
      </x:c>
      <x:c r="H64" s="40" t="b">
        <x:v>1</x:v>
      </x:c>
      <x:c r="I64" s="40" t="b">
        <x:v>1</x:v>
      </x:c>
      <x:c r="J64" s="34" t="n">
        <x:v>105.301092</x:v>
      </x:c>
      <x:c r="K64" s="34" t="n">
        <x:v>1000</x:v>
      </x:c>
      <x:c r="L64" s="34" t="n">
        <x:v>187.767264</x:v>
      </x:c>
      <x:c r="M64" s="34" t="n">
        <x:v>1.473695</x:v>
      </x:c>
      <x:c r="N64" s="34" t="n">
        <x:v>187.767264</x:v>
      </x:c>
      <x:c r="O64" s="34" t="n">
        <x:v>1.473695</x:v>
      </x:c>
      <x:c r="P64" s="34" t="n">
        <x:v>39.516196</x:v>
      </x:c>
      <x:c r="Q64" s="34" t="n">
        <x:v>3.332252</x:v>
      </x:c>
      <x:c r="R64" s="34" t="n">
        <x:v>19772.098</x:v>
      </x:c>
      <x:c r="S64" s="34" t="n">
        <x:v>155.181356</x:v>
      </x:c>
      <x:c r="T64" s="34" t="n">
        <x:v>23933.196667</x:v>
      </x:c>
      <x:c r="U64" s="34" t="n">
        <x:v>262.452826</x:v>
      </x:c>
      <x:c r="V64" s="34" t="n">
        <x:v>6178.04</x:v>
      </x:c>
      <x:c r="W64" s="34" t="n">
        <x:v>0</x:v>
      </x:c>
      <x:c r="X64" s="34" t="n">
        <x:v>23449.121</x:v>
      </x:c>
      <x:c r="Y64" s="34" t="n">
        <x:v>155.181356</x:v>
      </x:c>
      <x:c r="Z64" s="34" t="n">
        <x:v>3677.023</x:v>
      </x:c>
      <x:c r="AA64" s="34" t="n">
        <x:v>0</x:v>
      </x:c>
      <x:c r="AB64" s="34" t="n">
        <x:v>1452.315</x:v>
      </x:c>
      <x:c r="AC64" s="34" t="n">
        <x:v>5.071886</x:v>
      </x:c>
      <x:c r="AD64" s="34" t="n">
        <x:v>134.835468</x:v>
      </x:c>
      <x:c r="AE64" s="34" t="n">
        <x:v>1.204581</x:v>
      </x:c>
      <x:c r="AF64" s="34" t="n">
        <x:v>0.981372</x:v>
      </x:c>
      <x:c r="AG64" s="34" t="n">
        <x:v>0.001023</x:v>
      </x:c>
      <x:c r="AH64" s="34" t="n">
        <x:v>0.005739</x:v>
      </x:c>
      <x:c r="AI64" s="34" t="n">
        <x:v>0.000512</x:v>
      </x:c>
      <x:c r="AJ64" s="34" t="n">
        <x:v>0.012889</x:v>
      </x:c>
      <x:c r="AK64" s="34" t="n">
        <x:v>0.000514</x:v>
      </x:c>
      <x:c r="AL64" s="34" t="n">
        <x:v>0.927310592</x:v>
      </x:c>
      <x:c r="AM64" s="34" t="n">
        <x:v>0.001961319</x:v>
      </x:c>
      <x:c r="AN64" s="34" t="n">
        <x:v>0.04285353</x:v>
      </x:c>
      <x:c r="AO64" s="34" t="n">
        <x:v>0.000927674</x:v>
      </x:c>
      <x:c r="AP64" s="34" t="n">
        <x:v>0.029835878</x:v>
      </x:c>
      <x:c r="AQ64" s="34" t="n">
        <x:v>0.002842409</x:v>
      </x:c>
      <x:c r="AR64" s="34" t="n">
        <x:v>742.392269699</x:v>
      </x:c>
      <x:c r="AS64" s="34" t="n">
        <x:v>52.769997075</x:v>
      </x:c>
      <x:c r="AT64" s="34" t="n">
        <x:v>0</x:v>
      </x:c>
      <x:c r="AU64" s="34" t="n">
        <x:v>0</x:v>
      </x:c>
      <x:c r="AV64" s="34" t="str">
        <x:v>variance_game_shapley_common_random_numbers</x:v>
      </x:c>
    </x:row>
    <x:row r="65">
      <x:c r="A65" s="34" t="str">
        <x:v>KOBE_STEEL_JP</x:v>
      </x:c>
      <x:c r="B65" s="34" t="str">
        <x:v>Kobe Steel</x:v>
      </x:c>
      <x:c r="C65" s="34" t="str">
        <x:v>CAND-CE22CF7F8F72DA</x:v>
      </x:c>
      <x:c r="D65" s="34" t="str">
        <x:v>P2</x:v>
      </x:c>
      <x:c r="E65" s="34" t="str">
        <x:v>PORT-9862FC05DA24</x:v>
      </x:c>
      <x:c r="F65" s="34" t="str">
        <x:v>ACCELERATED_15C</x:v>
      </x:c>
      <x:c r="G65" s="40" t="b">
        <x:v>1</x:v>
      </x:c>
      <x:c r="H65" s="40" t="b">
        <x:v>1</x:v>
      </x:c>
      <x:c r="I65" s="40" t="b">
        <x:v>1</x:v>
      </x:c>
      <x:c r="J65" s="34" t="n">
        <x:v>105.301092</x:v>
      </x:c>
      <x:c r="K65" s="34" t="n">
        <x:v>1000</x:v>
      </x:c>
      <x:c r="L65" s="34" t="n">
        <x:v>182.901438</x:v>
      </x:c>
      <x:c r="M65" s="34" t="n">
        <x:v>1.733612</x:v>
      </x:c>
      <x:c r="N65" s="34" t="n">
        <x:v>182.901438</x:v>
      </x:c>
      <x:c r="O65" s="34" t="n">
        <x:v>1.733612</x:v>
      </x:c>
      <x:c r="P65" s="34" t="n">
        <x:v>42.710359</x:v>
      </x:c>
      <x:c r="Q65" s="34" t="n">
        <x:v>3.544427</x:v>
      </x:c>
      <x:c r="R65" s="34" t="n">
        <x:v>19259.721333</x:v>
      </x:c>
      <x:c r="S65" s="34" t="n">
        <x:v>182.550993</x:v>
      </x:c>
      <x:c r="T65" s="34" t="n">
        <x:v>23757.168667</x:v>
      </x:c>
      <x:c r="U65" s="34" t="n">
        <x:v>270.890988</x:v>
      </x:c>
      <x:c r="V65" s="34" t="n">
        <x:v>6178.04</x:v>
      </x:c>
      <x:c r="W65" s="34" t="n">
        <x:v>0</x:v>
      </x:c>
      <x:c r="X65" s="34" t="n">
        <x:v>24655.462667</x:v>
      </x:c>
      <x:c r="Y65" s="34" t="n">
        <x:v>182.551386</x:v>
      </x:c>
      <x:c r="Z65" s="34" t="n">
        <x:v>5395.742</x:v>
      </x:c>
      <x:c r="AA65" s="34" t="n">
        <x:v>0</x:v>
      </x:c>
      <x:c r="AB65" s="34" t="n">
        <x:v>1953.792333</x:v>
      </x:c>
      <x:c r="AC65" s="34" t="n">
        <x:v>7.097849</x:v>
      </x:c>
      <x:c r="AD65" s="34" t="n">
        <x:v>57.91915</x:v>
      </x:c>
      <x:c r="AE65" s="34" t="n">
        <x:v>1.683975</x:v>
      </x:c>
      <x:c r="AF65" s="34" t="n">
        <x:v>0.986968</x:v>
      </x:c>
      <x:c r="AG65" s="34" t="n">
        <x:v>0.000722</x:v>
      </x:c>
      <x:c r="AH65" s="34" t="n">
        <x:v>0.004045</x:v>
      </x:c>
      <x:c r="AI65" s="34" t="n">
        <x:v>0.000365</x:v>
      </x:c>
      <x:c r="AJ65" s="34" t="n">
        <x:v>0.008988</x:v>
      </x:c>
      <x:c r="AK65" s="34" t="n">
        <x:v>0.00036</x:v>
      </x:c>
      <x:c r="AL65" s="34" t="n">
        <x:v>0.941052722</x:v>
      </x:c>
      <x:c r="AM65" s="34" t="n">
        <x:v>0.001688014</x:v>
      </x:c>
      <x:c r="AN65" s="34" t="n">
        <x:v>0.035501684</x:v>
      </x:c>
      <x:c r="AO65" s="34" t="n">
        <x:v>0.000858974</x:v>
      </x:c>
      <x:c r="AP65" s="34" t="n">
        <x:v>0.023445593</x:v>
      </x:c>
      <x:c r="AQ65" s="34" t="n">
        <x:v>0.002444506</x:v>
      </x:c>
      <x:c r="AR65" s="34" t="n">
        <x:v>851.833149578</x:v>
      </x:c>
      <x:c r="AS65" s="34" t="n">
        <x:v>60.497965234</x:v>
      </x:c>
      <x:c r="AT65" s="34" t="n">
        <x:v>0</x:v>
      </x:c>
      <x:c r="AU65" s="34" t="n">
        <x:v>0</x:v>
      </x:c>
      <x:c r="AV65" s="34" t="str">
        <x:v>variance_game_shapley_common_random_numbers</x:v>
      </x:c>
    </x:row>
    <x:row r="66">
      <x:c r="A66" s="34" t="str">
        <x:v>KOBE_STEEL_JP</x:v>
      </x:c>
      <x:c r="B66" s="34" t="str">
        <x:v>Kobe Steel</x:v>
      </x:c>
      <x:c r="C66" s="34" t="str">
        <x:v>CAND-B3597FD7767497</x:v>
      </x:c>
      <x:c r="D66" s="34" t="str">
        <x:v>P1</x:v>
      </x:c>
      <x:c r="E66" s="34" t="str">
        <x:v>PORT-9862FC05DA24</x:v>
      </x:c>
      <x:c r="F66" s="34" t="str">
        <x:v>DISCLOSED_PATH</x:v>
      </x:c>
      <x:c r="G66" s="40" t="b">
        <x:v>1</x:v>
      </x:c>
      <x:c r="H66" s="40" t="b">
        <x:v>1</x:v>
      </x:c>
      <x:c r="I66" s="40" t="b">
        <x:v>1</x:v>
      </x:c>
      <x:c r="J66" s="34" t="n">
        <x:v>105.301092</x:v>
      </x:c>
      <x:c r="K66" s="34" t="n">
        <x:v>1000</x:v>
      </x:c>
      <x:c r="L66" s="34" t="n">
        <x:v>193.22077</x:v>
      </x:c>
      <x:c r="M66" s="34" t="n">
        <x:v>1.710499</x:v>
      </x:c>
      <x:c r="N66" s="34" t="n">
        <x:v>193.22077</x:v>
      </x:c>
      <x:c r="O66" s="34" t="n">
        <x:v>1.710499</x:v>
      </x:c>
      <x:c r="P66" s="34" t="n">
        <x:v>45.571074</x:v>
      </x:c>
      <x:c r="Q66" s="34" t="n">
        <x:v>3.863611</x:v>
      </x:c>
      <x:c r="R66" s="34" t="n">
        <x:v>20346.358333</x:v>
      </x:c>
      <x:c r="S66" s="34" t="n">
        <x:v>180.117315</x:v>
      </x:c>
      <x:c r="T66" s="34" t="n">
        <x:v>25145.042333</x:v>
      </x:c>
      <x:c r="U66" s="34" t="n">
        <x:v>302.909086</x:v>
      </x:c>
      <x:c r="V66" s="34" t="n">
        <x:v>6178.04</x:v>
      </x:c>
      <x:c r="W66" s="34" t="n">
        <x:v>0</x:v>
      </x:c>
      <x:c r="X66" s="34" t="n">
        <x:v>24023.381333</x:v>
      </x:c>
      <x:c r="Y66" s="34" t="n">
        <x:v>180.117315</x:v>
      </x:c>
      <x:c r="Z66" s="34" t="n">
        <x:v>3677.023</x:v>
      </x:c>
      <x:c r="AA66" s="34" t="n">
        <x:v>0</x:v>
      </x:c>
      <x:c r="AB66" s="34" t="n">
        <x:v>906.235333</x:v>
      </x:c>
      <x:c r="AC66" s="34" t="n">
        <x:v>5.555859</x:v>
      </x:c>
      <x:c r="AD66" s="34" t="n">
        <x:v>140.288975</x:v>
      </x:c>
      <x:c r="AE66" s="34" t="n">
        <x:v>1.43514</x:v>
      </x:c>
      <x:c r="AF66" s="34" t="n">
        <x:v>0.982094</x:v>
      </x:c>
      <x:c r="AG66" s="34" t="n">
        <x:v>0.00099</x:v>
      </x:c>
      <x:c r="AH66" s="34" t="n">
        <x:v>0.005655</x:v>
      </x:c>
      <x:c r="AI66" s="34" t="n">
        <x:v>0.000505</x:v>
      </x:c>
      <x:c r="AJ66" s="34" t="n">
        <x:v>0.012251</x:v>
      </x:c>
      <x:c r="AK66" s="34" t="n">
        <x:v>0.000489</x:v>
      </x:c>
      <x:c r="AL66" s="34" t="n">
        <x:v>0.928634953</x:v>
      </x:c>
      <x:c r="AM66" s="34" t="n">
        <x:v>0.001907441</x:v>
      </x:c>
      <x:c r="AN66" s="34" t="n">
        <x:v>0.0425255</x:v>
      </x:c>
      <x:c r="AO66" s="34" t="n">
        <x:v>0.000920921</x:v>
      </x:c>
      <x:c r="AP66" s="34" t="n">
        <x:v>0.028839547</x:v>
      </x:c>
      <x:c r="AQ66" s="34" t="n">
        <x:v>0.002777662</x:v>
      </x:c>
      <x:c r="AR66" s="34" t="n">
        <x:v>987.134112483</x:v>
      </x:c>
      <x:c r="AS66" s="34" t="n">
        <x:v>70.210385899</x:v>
      </x:c>
      <x:c r="AT66" s="34" t="n">
        <x:v>0</x:v>
      </x:c>
      <x:c r="AU66" s="34" t="n">
        <x:v>0</x:v>
      </x:c>
      <x:c r="AV66" s="34" t="str">
        <x:v>variance_game_shapley_common_random_numbers</x:v>
      </x:c>
    </x:row>
    <x:row r="67">
      <x:c r="A67" s="34" t="str">
        <x:v>KOBE_STEEL_JP</x:v>
      </x:c>
      <x:c r="B67" s="34" t="str">
        <x:v>Kobe Steel</x:v>
      </x:c>
      <x:c r="C67" s="34" t="str">
        <x:v>CAND-B3597FD7767497</x:v>
      </x:c>
      <x:c r="D67" s="34" t="str">
        <x:v>P1</x:v>
      </x:c>
      <x:c r="E67" s="34" t="str">
        <x:v>PORT-9862FC05DA24</x:v>
      </x:c>
      <x:c r="F67" s="34" t="str">
        <x:v>ACCELERATED_15C</x:v>
      </x:c>
      <x:c r="G67" s="40" t="b">
        <x:v>1</x:v>
      </x:c>
      <x:c r="H67" s="40" t="b">
        <x:v>1</x:v>
      </x:c>
      <x:c r="I67" s="40" t="b">
        <x:v>1</x:v>
      </x:c>
      <x:c r="J67" s="34" t="n">
        <x:v>105.301092</x:v>
      </x:c>
      <x:c r="K67" s="34" t="n">
        <x:v>1000</x:v>
      </x:c>
      <x:c r="L67" s="34" t="n">
        <x:v>190.880277</x:v>
      </x:c>
      <x:c r="M67" s="34" t="n">
        <x:v>1.947507</x:v>
      </x:c>
      <x:c r="N67" s="34" t="n">
        <x:v>190.880277</x:v>
      </x:c>
      <x:c r="O67" s="34" t="n">
        <x:v>1.947507</x:v>
      </x:c>
      <x:c r="P67" s="34" t="n">
        <x:v>50.058154</x:v>
      </x:c>
      <x:c r="Q67" s="34" t="n">
        <x:v>3.995446</x:v>
      </x:c>
      <x:c r="R67" s="34" t="n">
        <x:v>20099.901667</x:v>
      </x:c>
      <x:c r="S67" s="34" t="n">
        <x:v>205.07446</x:v>
      </x:c>
      <x:c r="T67" s="34" t="n">
        <x:v>25371.079667</x:v>
      </x:c>
      <x:c r="U67" s="34" t="n">
        <x:v>310.451804</x:v>
      </x:c>
      <x:c r="V67" s="34" t="n">
        <x:v>6178.04</x:v>
      </x:c>
      <x:c r="W67" s="34" t="n">
        <x:v>0</x:v>
      </x:c>
      <x:c r="X67" s="34" t="n">
        <x:v>25495.643</x:v>
      </x:c>
      <x:c r="Y67" s="34" t="n">
        <x:v>205.074636</x:v>
      </x:c>
      <x:c r="Z67" s="34" t="n">
        <x:v>5395.742</x:v>
      </x:c>
      <x:c r="AA67" s="34" t="n">
        <x:v>0</x:v>
      </x:c>
      <x:c r="AB67" s="34" t="n">
        <x:v>1132.890667</x:v>
      </x:c>
      <x:c r="AC67" s="34" t="n">
        <x:v>6.927911</x:v>
      </x:c>
      <x:c r="AD67" s="34" t="n">
        <x:v>65.897989</x:v>
      </x:c>
      <x:c r="AE67" s="34" t="n">
        <x:v>1.89781</x:v>
      </x:c>
      <x:c r="AF67" s="34" t="n">
        <x:v>0.987734</x:v>
      </x:c>
      <x:c r="AG67" s="34" t="n">
        <x:v>0.000688</x:v>
      </x:c>
      <x:c r="AH67" s="34" t="n">
        <x:v>0.003986</x:v>
      </x:c>
      <x:c r="AI67" s="34" t="n">
        <x:v>0.00036</x:v>
      </x:c>
      <x:c r="AJ67" s="34" t="n">
        <x:v>0.00828</x:v>
      </x:c>
      <x:c r="AK67" s="34" t="n">
        <x:v>0.000331</x:v>
      </x:c>
      <x:c r="AL67" s="34" t="n">
        <x:v>0.94255068</x:v>
      </x:c>
      <x:c r="AM67" s="34" t="n">
        <x:v>0.001610381</x:v>
      </x:c>
      <x:c r="AN67" s="34" t="n">
        <x:v>0.035227275</x:v>
      </x:c>
      <x:c r="AO67" s="34" t="n">
        <x:v>0.000852458</x:v>
      </x:c>
      <x:c r="AP67" s="34" t="n">
        <x:v>0.022222045</x:v>
      </x:c>
      <x:c r="AQ67" s="34" t="n">
        <x:v>0.002352904</x:v>
      </x:c>
      <x:c r="AR67" s="34" t="n">
        <x:v>1168.204319291</x:v>
      </x:c>
      <x:c r="AS67" s="34" t="n">
        <x:v>83.04078174</x:v>
      </x:c>
      <x:c r="AT67" s="34" t="n">
        <x:v>0</x:v>
      </x:c>
      <x:c r="AU67" s="34" t="n">
        <x:v>0</x:v>
      </x:c>
      <x:c r="AV67" s="34" t="str">
        <x:v>variance_game_shapley_common_random_numbers</x:v>
      </x:c>
    </x:row>
    <x:row r="68">
      <x:c r="A68" s="34" t="str">
        <x:v>KOBE_STEEL_JP</x:v>
      </x:c>
      <x:c r="B68" s="34" t="str">
        <x:v>Kobe Steel</x:v>
      </x:c>
      <x:c r="C68" s="34" t="str">
        <x:v>CAND-9DD8DD0C56A40D</x:v>
      </x:c>
      <x:c r="D68" s="34" t="str">
        <x:v>P3</x:v>
      </x:c>
      <x:c r="E68" s="34" t="str">
        <x:v>PORT-8384667F6B8E</x:v>
      </x:c>
      <x:c r="F68" s="34" t="str">
        <x:v>DISCLOSED_PATH</x:v>
      </x:c>
      <x:c r="G68" s="40" t="b">
        <x:v>1</x:v>
      </x:c>
      <x:c r="H68" s="40" t="b">
        <x:v>1</x:v>
      </x:c>
      <x:c r="I68" s="40" t="b">
        <x:v>1</x:v>
      </x:c>
      <x:c r="J68" s="34" t="n">
        <x:v>96.451092</x:v>
      </x:c>
      <x:c r="K68" s="34" t="n">
        <x:v>1000</x:v>
      </x:c>
      <x:c r="L68" s="34" t="n">
        <x:v>52.931796</x:v>
      </x:c>
      <x:c r="M68" s="34" t="n">
        <x:v>0.322211</x:v>
      </x:c>
      <x:c r="N68" s="34" t="n">
        <x:v>52.931796</x:v>
      </x:c>
      <x:c r="O68" s="34" t="n">
        <x:v>0.322211</x:v>
      </x:c>
      <x:c r="P68" s="34" t="n">
        <x:v>13.470605</x:v>
      </x:c>
      <x:c r="Q68" s="34" t="n">
        <x:v>0.706095</x:v>
      </x:c>
      <x:c r="R68" s="34" t="n">
        <x:v>5105.329667</x:v>
      </x:c>
      <x:c r="S68" s="34" t="n">
        <x:v>31.077609</x:v>
      </x:c>
      <x:c r="T68" s="34" t="n">
        <x:v>6404.584</x:v>
      </x:c>
      <x:c r="U68" s="34" t="n">
        <x:v>66.958147</x:v>
      </x:c>
      <x:c r="V68" s="34" t="n">
        <x:v>4999.94</x:v>
      </x:c>
      <x:c r="W68" s="34" t="n">
        <x:v>0</x:v>
      </x:c>
      <x:c r="X68" s="34" t="n">
        <x:v>8472.976667</x:v>
      </x:c>
      <x:c r="Y68" s="34" t="n">
        <x:v>31.077609</x:v>
      </x:c>
      <x:c r="Z68" s="34" t="n">
        <x:v>3367.648</x:v>
      </x:c>
      <x:c r="AA68" s="34" t="n">
        <x:v>0</x:v>
      </x:c>
      <x:c r="AB68" s="34" t="n">
        <x:v>897.159</x:v>
      </x:c>
      <x:c r="AC68" s="34" t="n">
        <x:v>1.671708</x:v>
      </x:c>
      <x:c r="AD68" s="34" t="n">
        <x:v>0</x:v>
      </x:c>
      <x:c r="AE68" s="34" t="n">
        <x:v>0</x:v>
      </x:c>
      <x:c r="AF68" s="34" t="n">
        <x:v>0.954473</x:v>
      </x:c>
      <x:c r="AG68" s="34" t="n">
        <x:v>0.000644</x:v>
      </x:c>
      <x:c r="AH68" s="34" t="n">
        <x:v>0.0023</x:v>
      </x:c>
      <x:c r="AI68" s="34" t="str">
        <x:v>9.1e-05</x:v>
      </x:c>
      <x:c r="AJ68" s="34" t="n">
        <x:v>0.043228</x:v>
      </x:c>
      <x:c r="AK68" s="34" t="n">
        <x:v>0.000647</x:v>
      </x:c>
      <x:c r="AL68" s="34" t="n">
        <x:v>0.903809971</x:v>
      </x:c>
      <x:c r="AM68" s="34" t="n">
        <x:v>0.002862836</x:v>
      </x:c>
      <x:c r="AN68" s="34" t="n">
        <x:v>0.026444295</x:v>
      </x:c>
      <x:c r="AO68" s="34" t="n">
        <x:v>0.001207292</x:v>
      </x:c>
      <x:c r="AP68" s="34" t="n">
        <x:v>0.069745734</x:v>
      </x:c>
      <x:c r="AQ68" s="34" t="n">
        <x:v>0.004057704</x:v>
      </x:c>
      <x:c r="AR68" s="34" t="n">
        <x:v>88.950268949</x:v>
      </x:c>
      <x:c r="AS68" s="34" t="n">
        <x:v>3.748713482</x:v>
      </x:c>
      <x:c r="AT68" s="34" t="n">
        <x:v>0</x:v>
      </x:c>
      <x:c r="AU68" s="34" t="n">
        <x:v>0</x:v>
      </x:c>
      <x:c r="AV68" s="34" t="str">
        <x:v>variance_game_shapley_common_random_numbers</x:v>
      </x:c>
    </x:row>
    <x:row r="69">
      <x:c r="A69" s="34" t="str">
        <x:v>KOBE_STEEL_JP</x:v>
      </x:c>
      <x:c r="B69" s="34" t="str">
        <x:v>Kobe Steel</x:v>
      </x:c>
      <x:c r="C69" s="34" t="str">
        <x:v>CAND-9DD8DD0C56A40D</x:v>
      </x:c>
      <x:c r="D69" s="34" t="str">
        <x:v>P3</x:v>
      </x:c>
      <x:c r="E69" s="34" t="str">
        <x:v>PORT-8384667F6B8E</x:v>
      </x:c>
      <x:c r="F69" s="34" t="str">
        <x:v>ACCELERATED_15C</x:v>
      </x:c>
      <x:c r="G69" s="40" t="b">
        <x:v>0</x:v>
      </x:c>
      <x:c r="H69" s="40" t="b">
        <x:v>0</x:v>
      </x:c>
      <x:c r="I69" s="40" t="b">
        <x:v>1</x:v>
      </x:c>
      <x:c r="J69" s="34" t="n">
        <x:v>96.451092</x:v>
      </x:c>
      <x:c r="K69" s="34" t="n">
        <x:v>1000</x:v>
      </x:c>
      <x:c r="L69" s="34" t="n">
        <x:v>40.848873</x:v>
      </x:c>
      <x:c r="M69" s="34" t="n">
        <x:v>0.33864</x:v>
      </x:c>
      <x:c r="N69" s="34" t="n">
        <x:v>40.848873</x:v>
      </x:c>
      <x:c r="O69" s="34" t="n">
        <x:v>0.33864</x:v>
      </x:c>
      <x:c r="P69" s="34" t="n">
        <x:v>14.464684</x:v>
      </x:c>
      <x:c r="Q69" s="34" t="n">
        <x:v>0.785382</x:v>
      </x:c>
      <x:c r="R69" s="34" t="n">
        <x:v>3939.918333</x:v>
      </x:c>
      <x:c r="S69" s="34" t="n">
        <x:v>32.662322</x:v>
      </x:c>
      <x:c r="T69" s="34" t="n">
        <x:v>5335.053</x:v>
      </x:c>
      <x:c r="U69" s="34" t="n">
        <x:v>72.723852</x:v>
      </x:c>
      <x:c r="V69" s="34" t="n">
        <x:v>4999.94</x:v>
      </x:c>
      <x:c r="W69" s="34" t="n">
        <x:v>0</x:v>
      </x:c>
      <x:c r="X69" s="34" t="n">
        <x:v>8884.496667</x:v>
      </x:c>
      <x:c r="Y69" s="34" t="n">
        <x:v>32.661916</x:v>
      </x:c>
      <x:c r="Z69" s="34" t="n">
        <x:v>4944.578</x:v>
      </x:c>
      <x:c r="AA69" s="34" t="n">
        <x:v>0</x:v>
      </x:c>
      <x:c r="AB69" s="34" t="n">
        <x:v>1166.23</x:v>
      </x:c>
      <x:c r="AC69" s="34" t="n">
        <x:v>2.885446</x:v>
      </x:c>
      <x:c r="AD69" s="34" t="n">
        <x:v>-84.133415</x:v>
      </x:c>
      <x:c r="AE69" s="34" t="n">
        <x:v>0.300887</x:v>
      </x:c>
      <x:c r="AF69" s="34" t="n">
        <x:v>0.967631</x:v>
      </x:c>
      <x:c r="AG69" s="34" t="n">
        <x:v>0.000471</x:v>
      </x:c>
      <x:c r="AH69" s="34" t="n">
        <x:v>0.001446</x:v>
      </x:c>
      <x:c r="AI69" s="34" t="str">
        <x:v>5.7e-05</x:v>
      </x:c>
      <x:c r="AJ69" s="34" t="n">
        <x:v>0.030923</x:v>
      </x:c>
      <x:c r="AK69" s="34" t="n">
        <x:v>0.00047</x:v>
      </x:c>
      <x:c r="AL69" s="34" t="n">
        <x:v>0.924454945</x:v>
      </x:c>
      <x:c r="AM69" s="34" t="n">
        <x:v>0.002619091</x:v>
      </x:c>
      <x:c r="AN69" s="34" t="n">
        <x:v>0.020929647</x:v>
      </x:c>
      <x:c r="AO69" s="34" t="n">
        <x:v>0.000967681</x:v>
      </x:c>
      <x:c r="AP69" s="34" t="n">
        <x:v>0.054615408</x:v>
      </x:c>
      <x:c r="AQ69" s="34" t="n">
        <x:v>0.003575275</x:v>
      </x:c>
      <x:c r="AR69" s="34" t="n">
        <x:v>102.130755716</x:v>
      </x:c>
      <x:c r="AS69" s="34" t="n">
        <x:v>4.36172782</x:v>
      </x:c>
      <x:c r="AT69" s="34" t="n">
        <x:v>0</x:v>
      </x:c>
      <x:c r="AU69" s="34" t="n">
        <x:v>0</x:v>
      </x:c>
      <x:c r="AV69" s="34" t="str">
        <x:v>variance_game_shapley_common_random_numbers</x:v>
      </x:c>
    </x:row>
    <x:row r="70">
      <x:c r="A70" s="34" t="str">
        <x:v>KOBE_STEEL_JP</x:v>
      </x:c>
      <x:c r="B70" s="34" t="str">
        <x:v>Kobe Steel</x:v>
      </x:c>
      <x:c r="C70" s="34" t="str">
        <x:v>CAND-7F0A690E87B72D</x:v>
      </x:c>
      <x:c r="D70" s="34" t="str">
        <x:v>P2</x:v>
      </x:c>
      <x:c r="E70" s="34" t="str">
        <x:v>PORT-8384667F6B8E</x:v>
      </x:c>
      <x:c r="F70" s="34" t="str">
        <x:v>DISCLOSED_PATH</x:v>
      </x:c>
      <x:c r="G70" s="40" t="b">
        <x:v>1</x:v>
      </x:c>
      <x:c r="H70" s="40" t="b">
        <x:v>1</x:v>
      </x:c>
      <x:c r="I70" s="40" t="b">
        <x:v>1</x:v>
      </x:c>
      <x:c r="J70" s="34" t="n">
        <x:v>96.451092</x:v>
      </x:c>
      <x:c r="K70" s="34" t="n">
        <x:v>1000</x:v>
      </x:c>
      <x:c r="L70" s="34" t="n">
        <x:v>54.721346</x:v>
      </x:c>
      <x:c r="M70" s="34" t="n">
        <x:v>0.413426</x:v>
      </x:c>
      <x:c r="N70" s="34" t="n">
        <x:v>54.721346</x:v>
      </x:c>
      <x:c r="O70" s="34" t="n">
        <x:v>0.413426</x:v>
      </x:c>
      <x:c r="P70" s="34" t="n">
        <x:v>16.93229</x:v>
      </x:c>
      <x:c r="Q70" s="34" t="n">
        <x:v>0.891761</x:v>
      </x:c>
      <x:c r="R70" s="34" t="n">
        <x:v>5277.933667</x:v>
      </x:c>
      <x:c r="S70" s="34" t="n">
        <x:v>39.875091</x:v>
      </x:c>
      <x:c r="T70" s="34" t="n">
        <x:v>6911.071333</x:v>
      </x:c>
      <x:c r="U70" s="34" t="n">
        <x:v>85.205583</x:v>
      </x:c>
      <x:c r="V70" s="34" t="n">
        <x:v>4999.94</x:v>
      </x:c>
      <x:c r="W70" s="34" t="n">
        <x:v>0</x:v>
      </x:c>
      <x:c r="X70" s="34" t="n">
        <x:v>8645.581</x:v>
      </x:c>
      <x:c r="Y70" s="34" t="n">
        <x:v>39.875624</x:v>
      </x:c>
      <x:c r="Z70" s="34" t="n">
        <x:v>3367.648</x:v>
      </x:c>
      <x:c r="AA70" s="34" t="n">
        <x:v>0</x:v>
      </x:c>
      <x:c r="AB70" s="34" t="n">
        <x:v>723.650333</x:v>
      </x:c>
      <x:c r="AC70" s="34" t="n">
        <x:v>2.780307</x:v>
      </x:c>
      <x:c r="AD70" s="34" t="n">
        <x:v>1.78955</x:v>
      </x:c>
      <x:c r="AE70" s="34" t="n">
        <x:v>0.093543</x:v>
      </x:c>
      <x:c r="AF70" s="34" t="n">
        <x:v>0.9559</x:v>
      </x:c>
      <x:c r="AG70" s="34" t="n">
        <x:v>0.000612</x:v>
      </x:c>
      <x:c r="AH70" s="34" t="n">
        <x:v>0.002323</x:v>
      </x:c>
      <x:c r="AI70" s="34" t="str">
        <x:v>9.2e-05</x:v>
      </x:c>
      <x:c r="AJ70" s="34" t="n">
        <x:v>0.041777</x:v>
      </x:c>
      <x:c r="AK70" s="34" t="n">
        <x:v>0.000616</x:v>
      </x:c>
      <x:c r="AL70" s="34" t="n">
        <x:v>0.905433617</x:v>
      </x:c>
      <x:c r="AM70" s="34" t="n">
        <x:v>0.002784976</x:v>
      </x:c>
      <x:c r="AN70" s="34" t="n">
        <x:v>0.026603887</x:v>
      </x:c>
      <x:c r="AO70" s="34" t="n">
        <x:v>0.001218639</x:v>
      </x:c>
      <x:c r="AP70" s="34" t="n">
        <x:v>0.067962496</x:v>
      </x:c>
      <x:c r="AQ70" s="34" t="n">
        <x:v>0.003990471</x:v>
      </x:c>
      <x:c r="AR70" s="34" t="n">
        <x:v>139.304950166</x:v>
      </x:c>
      <x:c r="AS70" s="34" t="n">
        <x:v>5.842037398</x:v>
      </x:c>
      <x:c r="AT70" s="34" t="n">
        <x:v>0</x:v>
      </x:c>
      <x:c r="AU70" s="34" t="n">
        <x:v>0</x:v>
      </x:c>
      <x:c r="AV70" s="34" t="str">
        <x:v>variance_game_shapley_common_random_numbers</x:v>
      </x:c>
    </x:row>
    <x:row r="71">
      <x:c r="A71" s="34" t="str">
        <x:v>KOBE_STEEL_JP</x:v>
      </x:c>
      <x:c r="B71" s="34" t="str">
        <x:v>Kobe Steel</x:v>
      </x:c>
      <x:c r="C71" s="34" t="str">
        <x:v>CAND-7F0A690E87B72D</x:v>
      </x:c>
      <x:c r="D71" s="34" t="str">
        <x:v>P2</x:v>
      </x:c>
      <x:c r="E71" s="34" t="str">
        <x:v>PORT-8384667F6B8E</x:v>
      </x:c>
      <x:c r="F71" s="34" t="str">
        <x:v>ACCELERATED_15C</x:v>
      </x:c>
      <x:c r="G71" s="40" t="b">
        <x:v>0</x:v>
      </x:c>
      <x:c r="H71" s="40" t="b">
        <x:v>0</x:v>
      </x:c>
      <x:c r="I71" s="40" t="b">
        <x:v>1</x:v>
      </x:c>
      <x:c r="J71" s="34" t="n">
        <x:v>96.451092</x:v>
      </x:c>
      <x:c r="K71" s="34" t="n">
        <x:v>1000</x:v>
      </x:c>
      <x:c r="L71" s="34" t="n">
        <x:v>43.429985</x:v>
      </x:c>
      <x:c r="M71" s="34" t="n">
        <x:v>0.446098</x:v>
      </x:c>
      <x:c r="N71" s="34" t="n">
        <x:v>43.429985</x:v>
      </x:c>
      <x:c r="O71" s="34" t="n">
        <x:v>0.446098</x:v>
      </x:c>
      <x:c r="P71" s="34" t="n">
        <x:v>18.432438</x:v>
      </x:c>
      <x:c r="Q71" s="34" t="n">
        <x:v>0.904518</x:v>
      </x:c>
      <x:c r="R71" s="34" t="n">
        <x:v>4188.869333</x:v>
      </x:c>
      <x:c r="S71" s="34" t="n">
        <x:v>43.026858</x:v>
      </x:c>
      <x:c r="T71" s="34" t="n">
        <x:v>5966.698333</x:v>
      </x:c>
      <x:c r="U71" s="34" t="n">
        <x:v>96.774879</x:v>
      </x:c>
      <x:c r="V71" s="34" t="n">
        <x:v>4999.94</x:v>
      </x:c>
      <x:c r="W71" s="34" t="n">
        <x:v>0</x:v>
      </x:c>
      <x:c r="X71" s="34" t="n">
        <x:v>9133.448</x:v>
      </x:c>
      <x:c r="Y71" s="34" t="n">
        <x:v>43.026347</x:v>
      </x:c>
      <x:c r="Z71" s="34" t="n">
        <x:v>4944.578</x:v>
      </x:c>
      <x:c r="AA71" s="34" t="n">
        <x:v>0</x:v>
      </x:c>
      <x:c r="AB71" s="34" t="n">
        <x:v>915.879333</x:v>
      </x:c>
      <x:c r="AC71" s="34" t="n">
        <x:v>3.14254</x:v>
      </x:c>
      <x:c r="AD71" s="34" t="n">
        <x:v>-81.552303</x:v>
      </x:c>
      <x:c r="AE71" s="34" t="n">
        <x:v>0.401364</x:v>
      </x:c>
      <x:c r="AF71" s="34" t="n">
        <x:v>0.969579</x:v>
      </x:c>
      <x:c r="AG71" s="34" t="n">
        <x:v>0.000416</x:v>
      </x:c>
      <x:c r="AH71" s="34" t="n">
        <x:v>0.001489</x:v>
      </x:c>
      <x:c r="AI71" s="34" t="str">
        <x:v>5.8e-05</x:v>
      </x:c>
      <x:c r="AJ71" s="34" t="n">
        <x:v>0.028932</x:v>
      </x:c>
      <x:c r="AK71" s="34" t="n">
        <x:v>0.000417</x:v>
      </x:c>
      <x:c r="AL71" s="34" t="n">
        <x:v>0.926792177</x:v>
      </x:c>
      <x:c r="AM71" s="34" t="n">
        <x:v>0.002468898</x:v>
      </x:c>
      <x:c r="AN71" s="34" t="n">
        <x:v>0.02129232</x:v>
      </x:c>
      <x:c r="AO71" s="34" t="n">
        <x:v>0.000998109</x:v>
      </x:c>
      <x:c r="AP71" s="34" t="n">
        <x:v>0.051915503</x:v>
      </x:c>
      <x:c r="AQ71" s="34" t="n">
        <x:v>0.003453317</x:v>
      </x:c>
      <x:c r="AR71" s="34" t="n">
        <x:v>165.140941844</x:v>
      </x:c>
      <x:c r="AS71" s="34" t="n">
        <x:v>6.913107308</x:v>
      </x:c>
      <x:c r="AT71" s="34" t="n">
        <x:v>0</x:v>
      </x:c>
      <x:c r="AU71" s="34" t="n">
        <x:v>0</x:v>
      </x:c>
      <x:c r="AV71" s="34" t="str">
        <x:v>variance_game_shapley_common_random_numbers</x:v>
      </x:c>
    </x:row>
    <x:row r="72">
      <x:c r="A72" s="34" t="str">
        <x:v>KOBE_STEEL_JP</x:v>
      </x:c>
      <x:c r="B72" s="34" t="str">
        <x:v>Kobe Steel</x:v>
      </x:c>
      <x:c r="C72" s="34" t="str">
        <x:v>CAND-B51B2DE2F2D28C</x:v>
      </x:c>
      <x:c r="D72" s="34" t="str">
        <x:v>P4</x:v>
      </x:c>
      <x:c r="E72" s="34" t="str">
        <x:v>PORT-8A59F01B884D</x:v>
      </x:c>
      <x:c r="F72" s="34" t="str">
        <x:v>DISCLOSED_PATH</x:v>
      </x:c>
      <x:c r="G72" s="40" t="b">
        <x:v>0</x:v>
      </x:c>
      <x:c r="H72" s="40" t="b">
        <x:v>1</x:v>
      </x:c>
      <x:c r="I72" s="40" t="b">
        <x:v>0</x:v>
      </x:c>
      <x:c r="J72" s="34" t="n">
        <x:v>114.781594</x:v>
      </x:c>
      <x:c r="K72" s="34" t="n">
        <x:v>1000</x:v>
      </x:c>
      <x:c r="L72" s="34" t="n">
        <x:v>139.683843</x:v>
      </x:c>
      <x:c r="M72" s="34" t="n">
        <x:v>0.651202</x:v>
      </x:c>
      <x:c r="N72" s="34" t="n">
        <x:v>139.683843</x:v>
      </x:c>
      <x:c r="O72" s="34" t="n">
        <x:v>0.651202</x:v>
      </x:c>
      <x:c r="P72" s="34" t="n">
        <x:v>17.659285</x:v>
      </x:c>
      <x:c r="Q72" s="34" t="n">
        <x:v>1.226847</x:v>
      </x:c>
      <x:c r="R72" s="34" t="n">
        <x:v>16033.134</x:v>
      </x:c>
      <x:c r="S72" s="34" t="n">
        <x:v>74.7459</x:v>
      </x:c>
      <x:c r="T72" s="34" t="n">
        <x:v>18060.095</x:v>
      </x:c>
      <x:c r="U72" s="34" t="n">
        <x:v>97.366485</x:v>
      </x:c>
      <x:c r="V72" s="34" t="n">
        <x:v>5037.34</x:v>
      </x:c>
      <x:c r="W72" s="34" t="n">
        <x:v>0</x:v>
      </x:c>
      <x:c r="X72" s="34" t="n">
        <x:v>20029.246</x:v>
      </x:c>
      <x:c r="Y72" s="34" t="n">
        <x:v>74.7459</x:v>
      </x:c>
      <x:c r="Z72" s="34" t="n">
        <x:v>3996.111</x:v>
      </x:c>
      <x:c r="AA72" s="34" t="n">
        <x:v>0</x:v>
      </x:c>
      <x:c r="AB72" s="34" t="n">
        <x:v>2690.796333</x:v>
      </x:c>
      <x:c r="AC72" s="34" t="n">
        <x:v>7.993531</x:v>
      </x:c>
      <x:c r="AD72" s="34" t="n">
        <x:v>86.752047</x:v>
      </x:c>
      <x:c r="AE72" s="34" t="n">
        <x:v>0.408506</x:v>
      </x:c>
      <x:c r="AF72" s="34" t="n">
        <x:v>0.978498</x:v>
      </x:c>
      <x:c r="AG72" s="34" t="n">
        <x:v>0.001678</x:v>
      </x:c>
      <x:c r="AH72" s="34" t="n">
        <x:v>0.00625</x:v>
      </x:c>
      <x:c r="AI72" s="34" t="n">
        <x:v>0.000615</x:v>
      </x:c>
      <x:c r="AJ72" s="34" t="n">
        <x:v>0.015252</x:v>
      </x:c>
      <x:c r="AK72" s="34" t="n">
        <x:v>0.001087</x:v>
      </x:c>
      <x:c r="AL72" s="34" t="n">
        <x:v>0.925604546</x:v>
      </x:c>
      <x:c r="AM72" s="34" t="n">
        <x:v>0.004453815</x:v>
      </x:c>
      <x:c r="AN72" s="34" t="n">
        <x:v>0.04444611</x:v>
      </x:c>
      <x:c r="AO72" s="34" t="n">
        <x:v>0.000781829</x:v>
      </x:c>
      <x:c r="AP72" s="34" t="n">
        <x:v>0.029949344</x:v>
      </x:c>
      <x:c r="AQ72" s="34" t="n">
        <x:v>0.004116842</x:v>
      </x:c>
      <x:c r="AR72" s="34" t="n">
        <x:v>150.421300593</x:v>
      </x:c>
      <x:c r="AS72" s="34" t="n">
        <x:v>8.411570542</x:v>
      </x:c>
      <x:c r="AT72" s="34" t="n">
        <x:v>0</x:v>
      </x:c>
      <x:c r="AU72" s="34" t="n">
        <x:v>0</x:v>
      </x:c>
      <x:c r="AV72" s="34" t="str">
        <x:v>variance_game_shapley_common_random_numbers</x:v>
      </x:c>
    </x:row>
    <x:row r="73">
      <x:c r="A73" s="34" t="str">
        <x:v>KOBE_STEEL_JP</x:v>
      </x:c>
      <x:c r="B73" s="34" t="str">
        <x:v>Kobe Steel</x:v>
      </x:c>
      <x:c r="C73" s="34" t="str">
        <x:v>CAND-B51B2DE2F2D28C</x:v>
      </x:c>
      <x:c r="D73" s="34" t="str">
        <x:v>P4</x:v>
      </x:c>
      <x:c r="E73" s="34" t="str">
        <x:v>PORT-8A59F01B884D</x:v>
      </x:c>
      <x:c r="F73" s="34" t="str">
        <x:v>ACCELERATED_15C</x:v>
      </x:c>
      <x:c r="G73" s="40" t="b">
        <x:v>1</x:v>
      </x:c>
      <x:c r="H73" s="40" t="b">
        <x:v>1</x:v>
      </x:c>
      <x:c r="I73" s="40" t="b">
        <x:v>1</x:v>
      </x:c>
      <x:c r="J73" s="34" t="n">
        <x:v>114.781594</x:v>
      </x:c>
      <x:c r="K73" s="34" t="n">
        <x:v>1000</x:v>
      </x:c>
      <x:c r="L73" s="34" t="n">
        <x:v>126.126232</x:v>
      </x:c>
      <x:c r="M73" s="34" t="n">
        <x:v>0.766539</x:v>
      </x:c>
      <x:c r="N73" s="34" t="n">
        <x:v>126.126232</x:v>
      </x:c>
      <x:c r="O73" s="34" t="n">
        <x:v>0.766539</x:v>
      </x:c>
      <x:c r="P73" s="34" t="n">
        <x:v>17.689762</x:v>
      </x:c>
      <x:c r="Q73" s="34" t="n">
        <x:v>1.498589</x:v>
      </x:c>
      <x:c r="R73" s="34" t="n">
        <x:v>14476.97</x:v>
      </x:c>
      <x:c r="S73" s="34" t="n">
        <x:v>87.984188</x:v>
      </x:c>
      <x:c r="T73" s="34" t="n">
        <x:v>16507.429</x:v>
      </x:c>
      <x:c r="U73" s="34" t="n">
        <x:v>108.946684</x:v>
      </x:c>
      <x:c r="V73" s="34" t="n">
        <x:v>5037.34</x:v>
      </x:c>
      <x:c r="W73" s="34" t="n">
        <x:v>0</x:v>
      </x:c>
      <x:c r="X73" s="34" t="n">
        <x:v>20311.031</x:v>
      </x:c>
      <x:c r="Y73" s="34" t="n">
        <x:v>87.984188</x:v>
      </x:c>
      <x:c r="Z73" s="34" t="n">
        <x:v>5834.061</x:v>
      </x:c>
      <x:c r="AA73" s="34" t="n">
        <x:v>0</x:v>
      </x:c>
      <x:c r="AB73" s="34" t="n">
        <x:v>3830.197</x:v>
      </x:c>
      <x:c r="AC73" s="34" t="n">
        <x:v>13.057991</x:v>
      </x:c>
      <x:c r="AD73" s="34" t="n">
        <x:v>1.143944</x:v>
      </x:c>
      <x:c r="AE73" s="34" t="n">
        <x:v>0.717377</x:v>
      </x:c>
      <x:c r="AF73" s="34" t="n">
        <x:v>0.9832</x:v>
      </x:c>
      <x:c r="AG73" s="34" t="n">
        <x:v>0.001331</x:v>
      </x:c>
      <x:c r="AH73" s="34" t="n">
        <x:v>0.004622</x:v>
      </x:c>
      <x:c r="AI73" s="34" t="n">
        <x:v>0.000466</x:v>
      </x:c>
      <x:c r="AJ73" s="34" t="n">
        <x:v>0.012178</x:v>
      </x:c>
      <x:c r="AK73" s="34" t="n">
        <x:v>0.000883</x:v>
      </x:c>
      <x:c r="AL73" s="34" t="n">
        <x:v>0.936759735</x:v>
      </x:c>
      <x:c r="AM73" s="34" t="n">
        <x:v>0.00397928</x:v>
      </x:c>
      <x:c r="AN73" s="34" t="n">
        <x:v>0.037655362</x:v>
      </x:c>
      <x:c r="AO73" s="34" t="n">
        <x:v>0.000652299</x:v>
      </x:c>
      <x:c r="AP73" s="34" t="n">
        <x:v>0.025584902</x:v>
      </x:c>
      <x:c r="AQ73" s="34" t="n">
        <x:v>0.003721665</x:v>
      </x:c>
      <x:c r="AR73" s="34" t="n">
        <x:v>153.018259566</x:v>
      </x:c>
      <x:c r="AS73" s="34" t="n">
        <x:v>8.879090054</x:v>
      </x:c>
      <x:c r="AT73" s="34" t="n">
        <x:v>0</x:v>
      </x:c>
      <x:c r="AU73" s="34" t="n">
        <x:v>0</x:v>
      </x:c>
      <x:c r="AV73" s="34" t="str">
        <x:v>variance_game_shapley_common_random_numbers</x:v>
      </x:c>
    </x:row>
    <x:row r="74">
      <x:c r="A74" s="34" t="str">
        <x:v>KOBE_STEEL_JP</x:v>
      </x:c>
      <x:c r="B74" s="34" t="str">
        <x:v>Kobe Steel</x:v>
      </x:c>
      <x:c r="C74" s="34" t="str">
        <x:v>CAND-0E9003448A63C3</x:v>
      </x:c>
      <x:c r="D74" s="34" t="str">
        <x:v>P7</x:v>
      </x:c>
      <x:c r="E74" s="34" t="str">
        <x:v>PORT-F194BB679477</x:v>
      </x:c>
      <x:c r="F74" s="34" t="str">
        <x:v>DISCLOSED_PATH</x:v>
      </x:c>
      <x:c r="G74" s="40" t="b">
        <x:v>0</x:v>
      </x:c>
      <x:c r="H74" s="40" t="b">
        <x:v>1</x:v>
      </x:c>
      <x:c r="I74" s="40" t="b">
        <x:v>0</x:v>
      </x:c>
      <x:c r="J74" s="34" t="n">
        <x:v>131.48782</x:v>
      </x:c>
      <x:c r="K74" s="34" t="n">
        <x:v>1000</x:v>
      </x:c>
      <x:c r="L74" s="34" t="n">
        <x:v>151.069808</x:v>
      </x:c>
      <x:c r="M74" s="34" t="n">
        <x:v>0.053417</x:v>
      </x:c>
      <x:c r="N74" s="34" t="n">
        <x:v>151.069808</x:v>
      </x:c>
      <x:c r="O74" s="34" t="n">
        <x:v>0.053417</x:v>
      </x:c>
      <x:c r="P74" s="34" t="n">
        <x:v>1.432921</x:v>
      </x:c>
      <x:c r="Q74" s="34" t="n">
        <x:v>0.129569</x:v>
      </x:c>
      <x:c r="R74" s="34" t="n">
        <x:v>19863.84</x:v>
      </x:c>
      <x:c r="S74" s="34" t="n">
        <x:v>7.023538</x:v>
      </x:c>
      <x:c r="T74" s="34" t="n">
        <x:v>20052.251333</x:v>
      </x:c>
      <x:c r="U74" s="34" t="n">
        <x:v>14.616785</x:v>
      </x:c>
      <x:c r="V74" s="34" t="n">
        <x:v>6178.04</x:v>
      </x:c>
      <x:c r="W74" s="34" t="n">
        <x:v>0</x:v>
      </x:c>
      <x:c r="X74" s="34" t="n">
        <x:v>24451.798</x:v>
      </x:c>
      <x:c r="Y74" s="34" t="n">
        <x:v>7.023538</x:v>
      </x:c>
      <x:c r="Z74" s="34" t="n">
        <x:v>4587.958</x:v>
      </x:c>
      <x:c r="AA74" s="34" t="n">
        <x:v>0</x:v>
      </x:c>
      <x:c r="AB74" s="34" t="n">
        <x:v>7400.193667</x:v>
      </x:c>
      <x:c r="AC74" s="34" t="n">
        <x:v>2.594469</x:v>
      </x:c>
      <x:c r="AD74" s="34" t="n">
        <x:v>98.138012</x:v>
      </x:c>
      <x:c r="AE74" s="34" t="n">
        <x:v>0.276965</x:v>
      </x:c>
      <x:c r="AF74" s="34" t="n">
        <x:v>0.964096</x:v>
      </x:c>
      <x:c r="AG74" s="34" t="n">
        <x:v>0.002442</x:v>
      </x:c>
      <x:c r="AH74" s="34" t="n">
        <x:v>0.007745</x:v>
      </x:c>
      <x:c r="AI74" s="34" t="n">
        <x:v>0.000747</x:v>
      </x:c>
      <x:c r="AJ74" s="34" t="n">
        <x:v>0.028159</x:v>
      </x:c>
      <x:c r="AK74" s="34" t="n">
        <x:v>0.001699</x:v>
      </x:c>
      <x:c r="AL74" s="34" t="n">
        <x:v>0.902970235</x:v>
      </x:c>
      <x:c r="AM74" s="34" t="n">
        <x:v>0.005331601</x:v>
      </x:c>
      <x:c r="AN74" s="34" t="n">
        <x:v>0.050425941</x:v>
      </x:c>
      <x:c r="AO74" s="34" t="n">
        <x:v>0.000430748</x:v>
      </x:c>
      <x:c r="AP74" s="34" t="n">
        <x:v>0.046603824</x:v>
      </x:c>
      <x:c r="AQ74" s="34" t="n">
        <x:v>0.005274489</x:v>
      </x:c>
      <x:c r="AR74" s="34" t="n">
        <x:v>1.026280563</x:v>
      </x:c>
      <x:c r="AS74" s="34" t="n">
        <x:v>0.066040783</x:v>
      </x:c>
      <x:c r="AT74" s="34" t="n">
        <x:v>0</x:v>
      </x:c>
      <x:c r="AU74" s="34" t="n">
        <x:v>0</x:v>
      </x:c>
      <x:c r="AV74" s="34" t="str">
        <x:v>variance_game_shapley_common_random_numbers</x:v>
      </x:c>
    </x:row>
    <x:row r="75">
      <x:c r="A75" s="35" t="str">
        <x:v>KOBE_STEEL_JP</x:v>
      </x:c>
      <x:c r="B75" s="35" t="str">
        <x:v>Kobe Steel</x:v>
      </x:c>
      <x:c r="C75" s="35" t="str">
        <x:v>CAND-0E9003448A63C3</x:v>
      </x:c>
      <x:c r="D75" s="35" t="str">
        <x:v>P7</x:v>
      </x:c>
      <x:c r="E75" s="35" t="str">
        <x:v>PORT-F194BB679477</x:v>
      </x:c>
      <x:c r="F75" s="35" t="str">
        <x:v>ACCELERATED_15C</x:v>
      </x:c>
      <x:c r="G75" s="41" t="b">
        <x:v>1</x:v>
      </x:c>
      <x:c r="H75" s="41" t="b">
        <x:v>1</x:v>
      </x:c>
      <x:c r="I75" s="41" t="b">
        <x:v>1</x:v>
      </x:c>
      <x:c r="J75" s="35" t="n">
        <x:v>131.48782</x:v>
      </x:c>
      <x:c r="K75" s="35" t="n">
        <x:v>1000</x:v>
      </x:c>
      <x:c r="L75" s="35" t="n">
        <x:v>124.982288</x:v>
      </x:c>
      <x:c r="M75" s="35" t="n">
        <x:v>0.049891</x:v>
      </x:c>
      <x:c r="N75" s="35" t="n">
        <x:v>124.982288</x:v>
      </x:c>
      <x:c r="O75" s="35" t="n">
        <x:v>0.049891</x:v>
      </x:c>
      <x:c r="P75" s="35" t="n">
        <x:v>1.263956</x:v>
      </x:c>
      <x:c r="Q75" s="35" t="n">
        <x:v>0.109063</x:v>
      </x:c>
      <x:c r="R75" s="35" t="n">
        <x:v>16433.648667</x:v>
      </x:c>
      <x:c r="S75" s="35" t="n">
        <x:v>6.559811</x:v>
      </x:c>
      <x:c r="T75" s="35" t="n">
        <x:v>16599.843333</x:v>
      </x:c>
      <x:c r="U75" s="35" t="n">
        <x:v>11.767797</x:v>
      </x:c>
      <x:c r="V75" s="35" t="n">
        <x:v>6178.04</x:v>
      </x:c>
      <x:c r="W75" s="35" t="n">
        <x:v>0</x:v>
      </x:c>
      <x:c r="X75" s="35" t="n">
        <x:v>23142.871667</x:v>
      </x:c>
      <x:c r="Y75" s="35" t="n">
        <x:v>6.559811</x:v>
      </x:c>
      <x:c r="Z75" s="35" t="n">
        <x:v>6709.223</x:v>
      </x:c>
      <x:c r="AA75" s="35" t="n">
        <x:v>0</x:v>
      </x:c>
      <x:c r="AB75" s="35" t="n">
        <x:v>10856.670333</x:v>
      </x:c>
      <x:c r="AC75" s="35" t="n">
        <x:v>4.928834</x:v>
      </x:c>
      <x:c r="AD75" s="35" t="n">
        <x:v>0</x:v>
      </x:c>
      <x:c r="AE75" s="35" t="n">
        <x:v>0</x:v>
      </x:c>
      <x:c r="AF75" s="35" t="n">
        <x:v>0.9658</x:v>
      </x:c>
      <x:c r="AG75" s="35" t="n">
        <x:v>0.002285</x:v>
      </x:c>
      <x:c r="AH75" s="35" t="n">
        <x:v>0.005504</x:v>
      </x:c>
      <x:c r="AI75" s="35" t="n">
        <x:v>0.000541</x:v>
      </x:c>
      <x:c r="AJ75" s="35" t="n">
        <x:v>0.028696</x:v>
      </x:c>
      <x:c r="AK75" s="35" t="n">
        <x:v>0.001747</x:v>
      </x:c>
      <x:c r="AL75" s="35" t="n">
        <x:v>0.910789919</x:v>
      </x:c>
      <x:c r="AM75" s="35" t="n">
        <x:v>0.005436301</x:v>
      </x:c>
      <x:c r="AN75" s="35" t="n">
        <x:v>0.042020622</x:v>
      </x:c>
      <x:c r="AO75" s="35" t="n">
        <x:v>0.000304964</x:v>
      </x:c>
      <x:c r="AP75" s="35" t="n">
        <x:v>0.047189459</x:v>
      </x:c>
      <x:c r="AQ75" s="35" t="n">
        <x:v>0.005463345</x:v>
      </x:c>
      <x:c r="AR75" s="35" t="n">
        <x:v>0.809211174</x:v>
      </x:c>
      <x:c r="AS75" s="35" t="n">
        <x:v>0.052318601</x:v>
      </x:c>
      <x:c r="AT75" s="35" t="n">
        <x:v>0</x:v>
      </x:c>
      <x:c r="AU75" s="35" t="n">
        <x:v>0</x:v>
      </x:c>
      <x:c r="AV75" s="35" t="str">
        <x:v>variance_game_shapley_common_random_numbers</x:v>
      </x:c>
    </x:row>
  </x:sheetData>
  <x:pageMargins left="0.7" right="0.7" top="0.75" bottom="0.75" header="0.3" footer="0.3"/>
</x:worksheet>
</file>

<file path=xl/worksheets/sheet29.xml><?xml version="1.0" encoding="utf-8"?>
<x:worksheet xmlns:x="http://schemas.openxmlformats.org/spreadsheetml/2006/main">
  <x:sheetViews>
    <x:sheetView showGridLines="0" workbookViewId="0"/>
  </x:sheetViews>
  <x:sheetFormatPr defaultRowHeight="15"/>
  <x:cols>
    <x:col min="1" max="1" width="21" hidden="0" customWidth="1"/>
    <x:col min="2" max="2" width="21" hidden="0" customWidth="1"/>
    <x:col min="3" max="3" width="21" hidden="0" customWidth="1"/>
    <x:col min="4" max="4" width="21" hidden="0" customWidth="1"/>
    <x:col min="5" max="5" width="21" hidden="0" customWidth="1"/>
    <x:col min="6" max="6" width="21" hidden="0" customWidth="1"/>
    <x:col min="7" max="7" width="21"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s>
  <x:sheetData>
    <x:row r="1" ht="28" customHeight="1">
      <x:c r="A1" s="29" t="str">
        <x:v>company_id</x:v>
      </x:c>
      <x:c r="B1" s="29" t="str">
        <x:v>company_name</x:v>
      </x:c>
      <x:c r="C1" s="29" t="str">
        <x:v>candidate_id</x:v>
      </x:c>
      <x:c r="D1" s="29" t="str">
        <x:v>template_plan_id</x:v>
      </x:c>
      <x:c r="E1" s="29" t="str">
        <x:v>physical_portfolio_id</x:v>
      </x:c>
      <x:c r="F1" s="29" t="str">
        <x:v>scenario_count</x:v>
      </x:c>
      <x:c r="G1" s="29" t="str">
        <x:v>feasible_scenario_count</x:v>
      </x:c>
      <x:c r="H1" s="29" t="str">
        <x:v>robust_feasible</x:v>
      </x:c>
      <x:c r="I1" s="29" t="str">
        <x:v>worst_case_p50_kkrw_per_tco2_mean</x:v>
      </x:c>
      <x:c r="J1" s="29" t="str">
        <x:v>worst_case_p50_kkrw_per_tco2_std</x:v>
      </x:c>
      <x:c r="K1" s="29" t="str">
        <x:v>worst_case_tcar_kkrw_per_tco2_mean</x:v>
      </x:c>
      <x:c r="L1" s="29" t="str">
        <x:v>worst_case_tcar_kkrw_per_tco2_std</x:v>
      </x:c>
      <x:c r="M1" s="29" t="str">
        <x:v>maximum_regret_p50_kkrw_per_tco2_mean</x:v>
      </x:c>
      <x:c r="N1" s="29" t="str">
        <x:v>maximum_regret_p50_kkrw_per_tco2_std</x:v>
      </x:c>
      <x:c r="O1" s="29" t="str">
        <x:v>mean_regret_p50_kkrw_per_tco2_mean</x:v>
      </x:c>
      <x:c r="P1" s="29" t="str">
        <x:v>mean_regret_p50_kkrw_per_tco2_std</x:v>
      </x:c>
      <x:c r="Q1" s="29" t="str">
        <x:v>robust_frontier_frequency_pct</x:v>
      </x:c>
      <x:c r="R1" s="29" t="str">
        <x:v>lambda_0_optimal_frequency_pct</x:v>
      </x:c>
      <x:c r="S1" s="29" t="str">
        <x:v>lambda_1_optimal_frequency_pct</x:v>
      </x:c>
      <x:c r="T1" s="29" t="str">
        <x:v>lambda_4_optimal_frequency_pct</x:v>
      </x:c>
    </x:row>
    <x:row r="2">
      <x:c r="A2" s="34" t="str">
        <x:v>JFE_STEEL_JP</x:v>
      </x:c>
      <x:c r="B2" s="34" t="str">
        <x:v>JFE Steel</x:v>
      </x:c>
      <x:c r="C2" s="34" t="str">
        <x:v>CAND-0B566F19FFC9A2</x:v>
      </x:c>
      <x:c r="D2" s="34" t="str">
        <x:v>P2</x:v>
      </x:c>
      <x:c r="E2" s="34" t="str">
        <x:v>PORT-CCD4397FA6D4</x:v>
      </x:c>
      <x:c r="F2" s="34" t="n">
        <x:v>2</x:v>
      </x:c>
      <x:c r="G2" s="34" t="n">
        <x:v>1</x:v>
      </x:c>
      <x:c r="H2" s="40" t="b">
        <x:v>0</x:v>
      </x:c>
      <x:c r="I2" s="34" t="n">
        <x:v>114.168668</x:v>
      </x:c>
      <x:c r="J2" s="34" t="n">
        <x:v>0.793579</x:v>
      </x:c>
      <x:c r="K2" s="34" t="n">
        <x:v>31.918864</x:v>
      </x:c>
      <x:c r="L2" s="34" t="n">
        <x:v>2.255709</x:v>
      </x:c>
      <x:c r="M2" s="34" t="n">
        <x:v>17.214127</x:v>
      </x:c>
      <x:c r="N2" s="34" t="n">
        <x:v>0.110422</x:v>
      </x:c>
      <x:c r="O2" s="34" t="n">
        <x:v>10.813203</x:v>
      </x:c>
      <x:c r="P2" s="34" t="n">
        <x:v>0.151937</x:v>
      </x:c>
      <x:c r="Q2" s="34" t="n">
        <x:v>0</x:v>
      </x:c>
      <x:c r="R2" s="34" t="n">
        <x:v>0</x:v>
      </x:c>
      <x:c r="S2" s="34" t="n">
        <x:v>0</x:v>
      </x:c>
      <x:c r="T2" s="34" t="n">
        <x:v>0</x:v>
      </x:c>
    </x:row>
    <x:row r="3">
      <x:c r="A3" s="34" t="str">
        <x:v>JFE_STEEL_JP</x:v>
      </x:c>
      <x:c r="B3" s="34" t="str">
        <x:v>JFE Steel</x:v>
      </x:c>
      <x:c r="C3" s="34" t="str">
        <x:v>CAND-A735954AF09420</x:v>
      </x:c>
      <x:c r="D3" s="34" t="str">
        <x:v>P3</x:v>
      </x:c>
      <x:c r="E3" s="34" t="str">
        <x:v>PORT-CCD4397FA6D4</x:v>
      </x:c>
      <x:c r="F3" s="34" t="n">
        <x:v>2</x:v>
      </x:c>
      <x:c r="G3" s="34" t="n">
        <x:v>1</x:v>
      </x:c>
      <x:c r="H3" s="40" t="b">
        <x:v>0</x:v>
      </x:c>
      <x:c r="I3" s="34" t="n">
        <x:v>109.756389</x:v>
      </x:c>
      <x:c r="J3" s="34" t="n">
        <x:v>0.598084</x:v>
      </x:c>
      <x:c r="K3" s="34" t="n">
        <x:v>24.837979</x:v>
      </x:c>
      <x:c r="L3" s="34" t="n">
        <x:v>1.678804</x:v>
      </x:c>
      <x:c r="M3" s="34" t="n">
        <x:v>10.663443</x:v>
      </x:c>
      <x:c r="N3" s="34" t="n">
        <x:v>0.054803</x:v>
      </x:c>
      <x:c r="O3" s="34" t="n">
        <x:v>5.331722</x:v>
      </x:c>
      <x:c r="P3" s="34" t="n">
        <x:v>0.027401</x:v>
      </x:c>
      <x:c r="Q3" s="34" t="n">
        <x:v>0</x:v>
      </x:c>
      <x:c r="R3" s="34" t="n">
        <x:v>0</x:v>
      </x:c>
      <x:c r="S3" s="34" t="n">
        <x:v>0</x:v>
      </x:c>
      <x:c r="T3" s="34" t="n">
        <x:v>0</x:v>
      </x:c>
    </x:row>
    <x:row r="4">
      <x:c r="A4" s="34" t="str">
        <x:v>JFE_STEEL_JP</x:v>
      </x:c>
      <x:c r="B4" s="34" t="str">
        <x:v>JFE Steel</x:v>
      </x:c>
      <x:c r="C4" s="34" t="str">
        <x:v>CAND-E72109958C3B57</x:v>
      </x:c>
      <x:c r="D4" s="34" t="str">
        <x:v>P2</x:v>
      </x:c>
      <x:c r="E4" s="34" t="str">
        <x:v>PORT-E5F3D5116135</x:v>
      </x:c>
      <x:c r="F4" s="34" t="n">
        <x:v>2</x:v>
      </x:c>
      <x:c r="G4" s="34" t="n">
        <x:v>1</x:v>
      </x:c>
      <x:c r="H4" s="40" t="b">
        <x:v>0</x:v>
      </x:c>
      <x:c r="I4" s="34" t="n">
        <x:v>103.353898</x:v>
      </x:c>
      <x:c r="J4" s="34" t="n">
        <x:v>0.766406</x:v>
      </x:c>
      <x:c r="K4" s="34" t="n">
        <x:v>29.34671</x:v>
      </x:c>
      <x:c r="L4" s="34" t="n">
        <x:v>2.104428</x:v>
      </x:c>
      <x:c r="M4" s="34" t="n">
        <x:v>5.715454</x:v>
      </x:c>
      <x:c r="N4" s="34" t="n">
        <x:v>0.151352</x:v>
      </x:c>
      <x:c r="O4" s="34" t="n">
        <x:v>-0.343519</x:v>
      </x:c>
      <x:c r="P4" s="34" t="n">
        <x:v>0.166467</x:v>
      </x:c>
      <x:c r="Q4" s="34" t="n">
        <x:v>0</x:v>
      </x:c>
      <x:c r="R4" s="34" t="n">
        <x:v>0</x:v>
      </x:c>
      <x:c r="S4" s="34" t="n">
        <x:v>0</x:v>
      </x:c>
      <x:c r="T4" s="34" t="n">
        <x:v>0</x:v>
      </x:c>
    </x:row>
    <x:row r="5">
      <x:c r="A5" s="34" t="str">
        <x:v>JFE_STEEL_JP</x:v>
      </x:c>
      <x:c r="B5" s="34" t="str">
        <x:v>JFE Steel</x:v>
      </x:c>
      <x:c r="C5" s="34" t="str">
        <x:v>CAND-E8FAD9BDD034A5</x:v>
      </x:c>
      <x:c r="D5" s="34" t="str">
        <x:v>P3</x:v>
      </x:c>
      <x:c r="E5" s="34" t="str">
        <x:v>PORT-51A2628EF9C2</x:v>
      </x:c>
      <x:c r="F5" s="34" t="n">
        <x:v>2</x:v>
      </x:c>
      <x:c r="G5" s="34" t="n">
        <x:v>2</x:v>
      </x:c>
      <x:c r="H5" s="40" t="b">
        <x:v>1</x:v>
      </x:c>
      <x:c r="I5" s="34" t="n">
        <x:v>125.593679</x:v>
      </x:c>
      <x:c r="J5" s="34" t="n">
        <x:v>0.722542</x:v>
      </x:c>
      <x:c r="K5" s="34" t="n">
        <x:v>27.504166</x:v>
      </x:c>
      <x:c r="L5" s="34" t="n">
        <x:v>2.207684</x:v>
      </x:c>
      <x:c r="M5" s="34" t="n">
        <x:v>27.203741</x:v>
      </x:c>
      <x:c r="N5" s="34" t="n">
        <x:v>0.406445</x:v>
      </x:c>
      <x:c r="O5" s="34" t="n">
        <x:v>21.520516</x:v>
      </x:c>
      <x:c r="P5" s="34" t="n">
        <x:v>0.453541</x:v>
      </x:c>
      <x:c r="Q5" s="34" t="n">
        <x:v>100</x:v>
      </x:c>
      <x:c r="R5" s="34" t="n">
        <x:v>100</x:v>
      </x:c>
      <x:c r="S5" s="34" t="n">
        <x:v>100</x:v>
      </x:c>
      <x:c r="T5" s="34" t="n">
        <x:v>100</x:v>
      </x:c>
    </x:row>
    <x:row r="6">
      <x:c r="A6" s="34" t="str">
        <x:v>JFE_STEEL_JP</x:v>
      </x:c>
      <x:c r="B6" s="34" t="str">
        <x:v>JFE Steel</x:v>
      </x:c>
      <x:c r="C6" s="34" t="str">
        <x:v>CAND-F4B6AD5FB08D71</x:v>
      </x:c>
      <x:c r="D6" s="34" t="str">
        <x:v>P2</x:v>
      </x:c>
      <x:c r="E6" s="34" t="str">
        <x:v>PORT-51A2628EF9C2</x:v>
      </x:c>
      <x:c r="F6" s="34" t="n">
        <x:v>2</x:v>
      </x:c>
      <x:c r="G6" s="34" t="n">
        <x:v>2</x:v>
      </x:c>
      <x:c r="H6" s="40" t="b">
        <x:v>1</x:v>
      </x:c>
      <x:c r="I6" s="34" t="n">
        <x:v>130.661904</x:v>
      </x:c>
      <x:c r="J6" s="34" t="n">
        <x:v>0.880397</x:v>
      </x:c>
      <x:c r="K6" s="34" t="n">
        <x:v>35.366739</x:v>
      </x:c>
      <x:c r="L6" s="34" t="n">
        <x:v>2.762887</x:v>
      </x:c>
      <x:c r="M6" s="34" t="n">
        <x:v>34.780089</x:v>
      </x:c>
      <x:c r="N6" s="34" t="n">
        <x:v>0.563668</x:v>
      </x:c>
      <x:c r="O6" s="34" t="n">
        <x:v>27.842802</x:v>
      </x:c>
      <x:c r="P6" s="34" t="n">
        <x:v>0.600437</x:v>
      </x:c>
      <x:c r="Q6" s="34" t="n">
        <x:v>0</x:v>
      </x:c>
      <x:c r="R6" s="34" t="n">
        <x:v>0</x:v>
      </x:c>
      <x:c r="S6" s="34" t="n">
        <x:v>0</x:v>
      </x:c>
      <x:c r="T6" s="34" t="n">
        <x:v>0</x:v>
      </x:c>
    </x:row>
    <x:row r="7">
      <x:c r="A7" s="34" t="str">
        <x:v>JFE_STEEL_JP</x:v>
      </x:c>
      <x:c r="B7" s="34" t="str">
        <x:v>JFE Steel</x:v>
      </x:c>
      <x:c r="C7" s="34" t="str">
        <x:v>CAND-FC0AA3F9FE37C6</x:v>
      </x:c>
      <x:c r="D7" s="34" t="str">
        <x:v>P3</x:v>
      </x:c>
      <x:c r="E7" s="34" t="str">
        <x:v>PORT-E5F3D5116135</x:v>
      </x:c>
      <x:c r="F7" s="34" t="n">
        <x:v>2</x:v>
      </x:c>
      <x:c r="G7" s="34" t="n">
        <x:v>1</x:v>
      </x:c>
      <x:c r="H7" s="40" t="b">
        <x:v>0</x:v>
      </x:c>
      <x:c r="I7" s="34" t="n">
        <x:v>99.483946</x:v>
      </x:c>
      <x:c r="J7" s="34" t="n">
        <x:v>0.6055</x:v>
      </x:c>
      <x:c r="K7" s="34" t="n">
        <x:v>22.948743</x:v>
      </x:c>
      <x:c r="L7" s="34" t="n">
        <x:v>1.666788</x:v>
      </x:c>
      <x:c r="M7" s="34" t="n">
        <x:v>0</x:v>
      </x:c>
      <x:c r="N7" s="34" t="n">
        <x:v>0</x:v>
      </x:c>
      <x:c r="O7" s="34" t="n">
        <x:v>-5.136221</x:v>
      </x:c>
      <x:c r="P7" s="34" t="n">
        <x:v>0.057647</x:v>
      </x:c>
      <x:c r="Q7" s="34" t="n">
        <x:v>0</x:v>
      </x:c>
      <x:c r="R7" s="34" t="n">
        <x:v>0</x:v>
      </x:c>
      <x:c r="S7" s="34" t="n">
        <x:v>0</x:v>
      </x:c>
      <x:c r="T7" s="34" t="n">
        <x:v>0</x:v>
      </x:c>
    </x:row>
    <x:row r="8">
      <x:c r="A8" s="34" t="str">
        <x:v>JFE_STEEL_JP</x:v>
      </x:c>
      <x:c r="B8" s="34" t="str">
        <x:v>JFE Steel</x:v>
      </x:c>
      <x:c r="C8" s="34" t="str">
        <x:v>CAND-FCDB7C1BD7991A</x:v>
      </x:c>
      <x:c r="D8" s="34" t="str">
        <x:v>P1</x:v>
      </x:c>
      <x:c r="E8" s="34" t="str">
        <x:v>PORT-51A2628EF9C2</x:v>
      </x:c>
      <x:c r="F8" s="34" t="n">
        <x:v>2</x:v>
      </x:c>
      <x:c r="G8" s="34" t="n">
        <x:v>2</x:v>
      </x:c>
      <x:c r="H8" s="40" t="b">
        <x:v>1</x:v>
      </x:c>
      <x:c r="I8" s="34" t="n">
        <x:v>134.205735</x:v>
      </x:c>
      <x:c r="J8" s="34" t="n">
        <x:v>1.041856</x:v>
      </x:c>
      <x:c r="K8" s="34" t="n">
        <x:v>41.548321</x:v>
      </x:c>
      <x:c r="L8" s="34" t="n">
        <x:v>3.224426</x:v>
      </x:c>
      <x:c r="M8" s="34" t="n">
        <x:v>40.048024</x:v>
      </x:c>
      <x:c r="N8" s="34" t="n">
        <x:v>0.722685</x:v>
      </x:c>
      <x:c r="O8" s="34" t="n">
        <x:v>32.248685</x:v>
      </x:c>
      <x:c r="P8" s="34" t="n">
        <x:v>0.735219</x:v>
      </x:c>
      <x:c r="Q8" s="34" t="n">
        <x:v>0</x:v>
      </x:c>
      <x:c r="R8" s="34" t="n">
        <x:v>0</x:v>
      </x:c>
      <x:c r="S8" s="34" t="n">
        <x:v>0</x:v>
      </x:c>
      <x:c r="T8" s="34" t="n">
        <x:v>0</x:v>
      </x:c>
    </x:row>
    <x:row r="9">
      <x:c r="A9" s="34" t="str">
        <x:v>KOBE_STEEL_JP</x:v>
      </x:c>
      <x:c r="B9" s="34" t="str">
        <x:v>Kobe Steel</x:v>
      </x:c>
      <x:c r="C9" s="34" t="str">
        <x:v>CAND-0E9003448A63C3</x:v>
      </x:c>
      <x:c r="D9" s="34" t="str">
        <x:v>P7</x:v>
      </x:c>
      <x:c r="E9" s="34" t="str">
        <x:v>PORT-F194BB679477</x:v>
      </x:c>
      <x:c r="F9" s="34" t="n">
        <x:v>2</x:v>
      </x:c>
      <x:c r="G9" s="34" t="n">
        <x:v>1</x:v>
      </x:c>
      <x:c r="H9" s="40" t="b">
        <x:v>0</x:v>
      </x:c>
      <x:c r="I9" s="34" t="n">
        <x:v>151.069808</x:v>
      </x:c>
      <x:c r="J9" s="34" t="n">
        <x:v>0.053417</x:v>
      </x:c>
      <x:c r="K9" s="34" t="n">
        <x:v>1.432921</x:v>
      </x:c>
      <x:c r="L9" s="34" t="n">
        <x:v>0.129569</x:v>
      </x:c>
      <x:c r="M9" s="34" t="n">
        <x:v>98.138012</x:v>
      </x:c>
      <x:c r="N9" s="34" t="n">
        <x:v>0.276965</x:v>
      </x:c>
      <x:c r="O9" s="34" t="n">
        <x:v>49.069006</x:v>
      </x:c>
      <x:c r="P9" s="34" t="n">
        <x:v>0.138482</x:v>
      </x:c>
      <x:c r="Q9" s="34" t="n">
        <x:v>0</x:v>
      </x:c>
      <x:c r="R9" s="34" t="n">
        <x:v>0</x:v>
      </x:c>
      <x:c r="S9" s="34" t="n">
        <x:v>0</x:v>
      </x:c>
      <x:c r="T9" s="34" t="n">
        <x:v>0</x:v>
      </x:c>
    </x:row>
    <x:row r="10">
      <x:c r="A10" s="34" t="str">
        <x:v>KOBE_STEEL_JP</x:v>
      </x:c>
      <x:c r="B10" s="34" t="str">
        <x:v>Kobe Steel</x:v>
      </x:c>
      <x:c r="C10" s="34" t="str">
        <x:v>CAND-314B41E5534D98</x:v>
      </x:c>
      <x:c r="D10" s="34" t="str">
        <x:v>P3</x:v>
      </x:c>
      <x:c r="E10" s="34" t="str">
        <x:v>PORT-9862FC05DA24</x:v>
      </x:c>
      <x:c r="F10" s="34" t="n">
        <x:v>2</x:v>
      </x:c>
      <x:c r="G10" s="34" t="n">
        <x:v>2</x:v>
      </x:c>
      <x:c r="H10" s="40" t="b">
        <x:v>1</x:v>
      </x:c>
      <x:c r="I10" s="34" t="n">
        <x:v>179.900587</x:v>
      </x:c>
      <x:c r="J10" s="34" t="n">
        <x:v>1.185161</x:v>
      </x:c>
      <x:c r="K10" s="34" t="n">
        <x:v>32.973259</x:v>
      </x:c>
      <x:c r="L10" s="34" t="n">
        <x:v>2.794386</x:v>
      </x:c>
      <x:c r="M10" s="34" t="n">
        <x:v>126.968791</x:v>
      </x:c>
      <x:c r="N10" s="34" t="n">
        <x:v>0.921102</x:v>
      </x:c>
      <x:c r="O10" s="34" t="n">
        <x:v>86.592552</x:v>
      </x:c>
      <x:c r="P10" s="34" t="n">
        <x:v>1.114999</x:v>
      </x:c>
      <x:c r="Q10" s="34" t="n">
        <x:v>0</x:v>
      </x:c>
      <x:c r="R10" s="34" t="n">
        <x:v>0</x:v>
      </x:c>
      <x:c r="S10" s="34" t="n">
        <x:v>0</x:v>
      </x:c>
      <x:c r="T10" s="34" t="n">
        <x:v>0</x:v>
      </x:c>
    </x:row>
    <x:row r="11">
      <x:c r="A11" s="34" t="str">
        <x:v>KOBE_STEEL_JP</x:v>
      </x:c>
      <x:c r="B11" s="34" t="str">
        <x:v>Kobe Steel</x:v>
      </x:c>
      <x:c r="C11" s="34" t="str">
        <x:v>CAND-4D158AE8BC3521</x:v>
      </x:c>
      <x:c r="D11" s="34" t="str">
        <x:v>P3</x:v>
      </x:c>
      <x:c r="E11" s="34" t="str">
        <x:v>PORT-1144EBE63B41</x:v>
      </x:c>
      <x:c r="F11" s="34" t="n">
        <x:v>2</x:v>
      </x:c>
      <x:c r="G11" s="34" t="n">
        <x:v>2</x:v>
      </x:c>
      <x:c r="H11" s="40" t="b">
        <x:v>1</x:v>
      </x:c>
      <x:c r="I11" s="34" t="n">
        <x:v>147.018969</x:v>
      </x:c>
      <x:c r="J11" s="34" t="n">
        <x:v>1.060642</x:v>
      </x:c>
      <x:c r="K11" s="34" t="n">
        <x:v>27.243151</x:v>
      </x:c>
      <x:c r="L11" s="34" t="n">
        <x:v>1.245294</x:v>
      </x:c>
      <x:c r="M11" s="34" t="n">
        <x:v>94.087173</x:v>
      </x:c>
      <x:c r="N11" s="34" t="n">
        <x:v>0.813507</x:v>
      </x:c>
      <x:c r="O11" s="34" t="n">
        <x:v>52.92086</x:v>
      </x:c>
      <x:c r="P11" s="34" t="n">
        <x:v>0.936645</x:v>
      </x:c>
      <x:c r="Q11" s="34" t="n">
        <x:v>100</x:v>
      </x:c>
      <x:c r="R11" s="34" t="n">
        <x:v>100</x:v>
      </x:c>
      <x:c r="S11" s="34" t="n">
        <x:v>100</x:v>
      </x:c>
      <x:c r="T11" s="34" t="n">
        <x:v>100</x:v>
      </x:c>
    </x:row>
    <x:row r="12">
      <x:c r="A12" s="34" t="str">
        <x:v>KOBE_STEEL_JP</x:v>
      </x:c>
      <x:c r="B12" s="34" t="str">
        <x:v>Kobe Steel</x:v>
      </x:c>
      <x:c r="C12" s="34" t="str">
        <x:v>CAND-7F0A690E87B72D</x:v>
      </x:c>
      <x:c r="D12" s="34" t="str">
        <x:v>P2</x:v>
      </x:c>
      <x:c r="E12" s="34" t="str">
        <x:v>PORT-8384667F6B8E</x:v>
      </x:c>
      <x:c r="F12" s="34" t="n">
        <x:v>2</x:v>
      </x:c>
      <x:c r="G12" s="34" t="n">
        <x:v>1</x:v>
      </x:c>
      <x:c r="H12" s="40" t="b">
        <x:v>0</x:v>
      </x:c>
      <x:c r="I12" s="34" t="n">
        <x:v>54.721346</x:v>
      </x:c>
      <x:c r="J12" s="34" t="n">
        <x:v>0.413426</x:v>
      </x:c>
      <x:c r="K12" s="34" t="n">
        <x:v>18.432438</x:v>
      </x:c>
      <x:c r="L12" s="34" t="n">
        <x:v>0.904518</x:v>
      </x:c>
      <x:c r="M12" s="34" t="n">
        <x:v>1.78955</x:v>
      </x:c>
      <x:c r="N12" s="34" t="n">
        <x:v>0.093543</x:v>
      </x:c>
      <x:c r="O12" s="34" t="n">
        <x:v>-39.881377</x:v>
      </x:c>
      <x:c r="P12" s="34" t="n">
        <x:v>0.246972</x:v>
      </x:c>
      <x:c r="Q12" s="34" t="n">
        <x:v>0</x:v>
      </x:c>
      <x:c r="R12" s="34" t="n">
        <x:v>0</x:v>
      </x:c>
      <x:c r="S12" s="34" t="n">
        <x:v>0</x:v>
      </x:c>
      <x:c r="T12" s="34" t="n">
        <x:v>0</x:v>
      </x:c>
    </x:row>
    <x:row r="13">
      <x:c r="A13" s="34" t="str">
        <x:v>KOBE_STEEL_JP</x:v>
      </x:c>
      <x:c r="B13" s="34" t="str">
        <x:v>Kobe Steel</x:v>
      </x:c>
      <x:c r="C13" s="34" t="str">
        <x:v>CAND-9DD8DD0C56A40D</x:v>
      </x:c>
      <x:c r="D13" s="34" t="str">
        <x:v>P3</x:v>
      </x:c>
      <x:c r="E13" s="34" t="str">
        <x:v>PORT-8384667F6B8E</x:v>
      </x:c>
      <x:c r="F13" s="34" t="n">
        <x:v>2</x:v>
      </x:c>
      <x:c r="G13" s="34" t="n">
        <x:v>1</x:v>
      </x:c>
      <x:c r="H13" s="40" t="b">
        <x:v>0</x:v>
      </x:c>
      <x:c r="I13" s="34" t="n">
        <x:v>52.931796</x:v>
      </x:c>
      <x:c r="J13" s="34" t="n">
        <x:v>0.322211</x:v>
      </x:c>
      <x:c r="K13" s="34" t="n">
        <x:v>14.464684</x:v>
      </x:c>
      <x:c r="L13" s="34" t="n">
        <x:v>0.785382</x:v>
      </x:c>
      <x:c r="M13" s="34" t="n">
        <x:v>0</x:v>
      </x:c>
      <x:c r="N13" s="34" t="n">
        <x:v>0</x:v>
      </x:c>
      <x:c r="O13" s="34" t="n">
        <x:v>-42.066707</x:v>
      </x:c>
      <x:c r="P13" s="34" t="n">
        <x:v>0.150444</x:v>
      </x:c>
      <x:c r="Q13" s="34" t="n">
        <x:v>0</x:v>
      </x:c>
      <x:c r="R13" s="34" t="n">
        <x:v>0</x:v>
      </x:c>
      <x:c r="S13" s="34" t="n">
        <x:v>0</x:v>
      </x:c>
      <x:c r="T13" s="34" t="n">
        <x:v>0</x:v>
      </x:c>
    </x:row>
    <x:row r="14">
      <x:c r="A14" s="34" t="str">
        <x:v>KOBE_STEEL_JP</x:v>
      </x:c>
      <x:c r="B14" s="34" t="str">
        <x:v>Kobe Steel</x:v>
      </x:c>
      <x:c r="C14" s="34" t="str">
        <x:v>CAND-B3597FD7767497</x:v>
      </x:c>
      <x:c r="D14" s="34" t="str">
        <x:v>P1</x:v>
      </x:c>
      <x:c r="E14" s="34" t="str">
        <x:v>PORT-9862FC05DA24</x:v>
      </x:c>
      <x:c r="F14" s="34" t="n">
        <x:v>2</x:v>
      </x:c>
      <x:c r="G14" s="34" t="n">
        <x:v>2</x:v>
      </x:c>
      <x:c r="H14" s="40" t="b">
        <x:v>1</x:v>
      </x:c>
      <x:c r="I14" s="34" t="n">
        <x:v>193.22077</x:v>
      </x:c>
      <x:c r="J14" s="34" t="n">
        <x:v>1.710499</x:v>
      </x:c>
      <x:c r="K14" s="34" t="n">
        <x:v>50.058154</x:v>
      </x:c>
      <x:c r="L14" s="34" t="n">
        <x:v>3.995446</x:v>
      </x:c>
      <x:c r="M14" s="34" t="n">
        <x:v>140.288975</x:v>
      </x:c>
      <x:c r="N14" s="34" t="n">
        <x:v>1.43514</x:v>
      </x:c>
      <x:c r="O14" s="34" t="n">
        <x:v>103.093482</x:v>
      </x:c>
      <x:c r="P14" s="34" t="n">
        <x:v>1.663936</x:v>
      </x:c>
      <x:c r="Q14" s="34" t="n">
        <x:v>0</x:v>
      </x:c>
      <x:c r="R14" s="34" t="n">
        <x:v>0</x:v>
      </x:c>
      <x:c r="S14" s="34" t="n">
        <x:v>0</x:v>
      </x:c>
      <x:c r="T14" s="34" t="n">
        <x:v>0</x:v>
      </x:c>
    </x:row>
    <x:row r="15">
      <x:c r="A15" s="34" t="str">
        <x:v>KOBE_STEEL_JP</x:v>
      </x:c>
      <x:c r="B15" s="34" t="str">
        <x:v>Kobe Steel</x:v>
      </x:c>
      <x:c r="C15" s="34" t="str">
        <x:v>CAND-B51B2DE2F2D28C</x:v>
      </x:c>
      <x:c r="D15" s="34" t="str">
        <x:v>P4</x:v>
      </x:c>
      <x:c r="E15" s="34" t="str">
        <x:v>PORT-8A59F01B884D</x:v>
      </x:c>
      <x:c r="F15" s="34" t="n">
        <x:v>2</x:v>
      </x:c>
      <x:c r="G15" s="34" t="n">
        <x:v>1</x:v>
      </x:c>
      <x:c r="H15" s="40" t="b">
        <x:v>0</x:v>
      </x:c>
      <x:c r="I15" s="34" t="n">
        <x:v>139.683843</x:v>
      </x:c>
      <x:c r="J15" s="34" t="n">
        <x:v>0.651202</x:v>
      </x:c>
      <x:c r="K15" s="34" t="n">
        <x:v>17.780838</x:v>
      </x:c>
      <x:c r="L15" s="34" t="n">
        <x:v>1.343788</x:v>
      </x:c>
      <x:c r="M15" s="34" t="n">
        <x:v>86.752047</x:v>
      </x:c>
      <x:c r="N15" s="34" t="n">
        <x:v>0.408506</x:v>
      </x:c>
      <x:c r="O15" s="34" t="n">
        <x:v>43.947995</x:v>
      </x:c>
      <x:c r="P15" s="34" t="n">
        <x:v>0.543679</x:v>
      </x:c>
      <x:c r="Q15" s="34" t="n">
        <x:v>0</x:v>
      </x:c>
      <x:c r="R15" s="34" t="n">
        <x:v>0</x:v>
      </x:c>
      <x:c r="S15" s="34" t="n">
        <x:v>0</x:v>
      </x:c>
      <x:c r="T15" s="34" t="n">
        <x:v>0</x:v>
      </x:c>
    </x:row>
    <x:row r="16">
      <x:c r="A16" s="34" t="str">
        <x:v>KOBE_STEEL_JP</x:v>
      </x:c>
      <x:c r="B16" s="34" t="str">
        <x:v>Kobe Steel</x:v>
      </x:c>
      <x:c r="C16" s="34" t="str">
        <x:v>CAND-C9EAFC0F482485</x:v>
      </x:c>
      <x:c r="D16" s="34" t="str">
        <x:v>P2</x:v>
      </x:c>
      <x:c r="E16" s="34" t="str">
        <x:v>PORT-1144EBE63B41</x:v>
      </x:c>
      <x:c r="F16" s="34" t="n">
        <x:v>2</x:v>
      </x:c>
      <x:c r="G16" s="34" t="n">
        <x:v>2</x:v>
      </x:c>
      <x:c r="H16" s="40" t="b">
        <x:v>1</x:v>
      </x:c>
      <x:c r="I16" s="34" t="n">
        <x:v>153.496597</x:v>
      </x:c>
      <x:c r="J16" s="34" t="n">
        <x:v>1.265544</x:v>
      </x:c>
      <x:c r="K16" s="34" t="n">
        <x:v>35.143265</x:v>
      </x:c>
      <x:c r="L16" s="34" t="n">
        <x:v>1.646096</x:v>
      </x:c>
      <x:c r="M16" s="34" t="n">
        <x:v>100.564801</x:v>
      </x:c>
      <x:c r="N16" s="34" t="n">
        <x:v>1.010298</x:v>
      </x:c>
      <x:c r="O16" s="34" t="n">
        <x:v>60.958465</x:v>
      </x:c>
      <x:c r="P16" s="34" t="n">
        <x:v>1.187132</x:v>
      </x:c>
      <x:c r="Q16" s="34" t="n">
        <x:v>0</x:v>
      </x:c>
      <x:c r="R16" s="34" t="n">
        <x:v>0</x:v>
      </x:c>
      <x:c r="S16" s="34" t="n">
        <x:v>0</x:v>
      </x:c>
      <x:c r="T16" s="34" t="n">
        <x:v>0</x:v>
      </x:c>
    </x:row>
    <x:row r="17">
      <x:c r="A17" s="34" t="str">
        <x:v>KOBE_STEEL_JP</x:v>
      </x:c>
      <x:c r="B17" s="34" t="str">
        <x:v>Kobe Steel</x:v>
      </x:c>
      <x:c r="C17" s="34" t="str">
        <x:v>CAND-CE22CF7F8F72DA</x:v>
      </x:c>
      <x:c r="D17" s="34" t="str">
        <x:v>P2</x:v>
      </x:c>
      <x:c r="E17" s="34" t="str">
        <x:v>PORT-9862FC05DA24</x:v>
      </x:c>
      <x:c r="F17" s="34" t="n">
        <x:v>2</x:v>
      </x:c>
      <x:c r="G17" s="34" t="n">
        <x:v>2</x:v>
      </x:c>
      <x:c r="H17" s="40" t="b">
        <x:v>1</x:v>
      </x:c>
      <x:c r="I17" s="34" t="n">
        <x:v>187.767264</x:v>
      </x:c>
      <x:c r="J17" s="34" t="n">
        <x:v>1.473695</x:v>
      </x:c>
      <x:c r="K17" s="34" t="n">
        <x:v>42.710359</x:v>
      </x:c>
      <x:c r="L17" s="34" t="n">
        <x:v>3.544427</x:v>
      </x:c>
      <x:c r="M17" s="34" t="n">
        <x:v>134.835468</x:v>
      </x:c>
      <x:c r="N17" s="34" t="n">
        <x:v>1.204581</x:v>
      </x:c>
      <x:c r="O17" s="34" t="n">
        <x:v>96.377309</x:v>
      </x:c>
      <x:c r="P17" s="34" t="n">
        <x:v>1.438914</x:v>
      </x:c>
      <x:c r="Q17" s="34" t="n">
        <x:v>0</x:v>
      </x:c>
      <x:c r="R17" s="34" t="n">
        <x:v>0</x:v>
      </x:c>
      <x:c r="S17" s="34" t="n">
        <x:v>0</x:v>
      </x:c>
      <x:c r="T17" s="34" t="n">
        <x:v>0</x:v>
      </x:c>
    </x:row>
    <x:row r="18">
      <x:c r="A18" s="34" t="str">
        <x:v>KOBE_STEEL_JP</x:v>
      </x:c>
      <x:c r="B18" s="34" t="str">
        <x:v>Kobe Steel</x:v>
      </x:c>
      <x:c r="C18" s="34" t="str">
        <x:v>CAND-DCD679F188D852</x:v>
      </x:c>
      <x:c r="D18" s="34" t="str">
        <x:v>P1</x:v>
      </x:c>
      <x:c r="E18" s="34" t="str">
        <x:v>PORT-1144EBE63B41</x:v>
      </x:c>
      <x:c r="F18" s="34" t="n">
        <x:v>2</x:v>
      </x:c>
      <x:c r="G18" s="34" t="n">
        <x:v>2</x:v>
      </x:c>
      <x:c r="H18" s="40" t="b">
        <x:v>1</x:v>
      </x:c>
      <x:c r="I18" s="34" t="n">
        <x:v>157.986211</x:v>
      </x:c>
      <x:c r="J18" s="34" t="n">
        <x:v>1.444748</x:v>
      </x:c>
      <x:c r="K18" s="34" t="n">
        <x:v>41.267038</x:v>
      </x:c>
      <x:c r="L18" s="34" t="n">
        <x:v>1.908621</x:v>
      </x:c>
      <x:c r="M18" s="34" t="n">
        <x:v>105.054416</x:v>
      </x:c>
      <x:c r="N18" s="34" t="n">
        <x:v>1.181216</x:v>
      </x:c>
      <x:c r="O18" s="34" t="n">
        <x:v>66.492518</x:v>
      </x:c>
      <x:c r="P18" s="34" t="n">
        <x:v>1.375191</x:v>
      </x:c>
      <x:c r="Q18" s="34" t="n">
        <x:v>0</x:v>
      </x:c>
      <x:c r="R18" s="34" t="n">
        <x:v>0</x:v>
      </x:c>
      <x:c r="S18" s="34" t="n">
        <x:v>0</x:v>
      </x:c>
      <x:c r="T18" s="34" t="n">
        <x:v>0</x:v>
      </x:c>
    </x:row>
    <x:row r="19">
      <x:c r="A19" s="34" t="str">
        <x:v>NIPPON_STEEL_JP</x:v>
      </x:c>
      <x:c r="B19" s="34" t="str">
        <x:v>Nippon Steel</x:v>
      </x:c>
      <x:c r="C19" s="34" t="str">
        <x:v>CAND-18F73BD54A9F34</x:v>
      </x:c>
      <x:c r="D19" s="34" t="str">
        <x:v>P1</x:v>
      </x:c>
      <x:c r="E19" s="34" t="str">
        <x:v>PORT-6742936593A9</x:v>
      </x:c>
      <x:c r="F19" s="34" t="n">
        <x:v>2</x:v>
      </x:c>
      <x:c r="G19" s="34" t="n">
        <x:v>2</x:v>
      </x:c>
      <x:c r="H19" s="40" t="b">
        <x:v>1</x:v>
      </x:c>
      <x:c r="I19" s="34" t="n">
        <x:v>86.696691</x:v>
      </x:c>
      <x:c r="J19" s="34" t="n">
        <x:v>0.67502</x:v>
      </x:c>
      <x:c r="K19" s="34" t="n">
        <x:v>28.098154</x:v>
      </x:c>
      <x:c r="L19" s="34" t="n">
        <x:v>1.956061</x:v>
      </x:c>
      <x:c r="M19" s="34" t="n">
        <x:v>63.99502</x:v>
      </x:c>
      <x:c r="N19" s="34" t="n">
        <x:v>0.351325</x:v>
      </x:c>
      <x:c r="O19" s="34" t="n">
        <x:v>53.685667</x:v>
      </x:c>
      <x:c r="P19" s="34" t="n">
        <x:v>0.293341</x:v>
      </x:c>
      <x:c r="Q19" s="34" t="n">
        <x:v>0</x:v>
      </x:c>
      <x:c r="R19" s="34" t="n">
        <x:v>0</x:v>
      </x:c>
      <x:c r="S19" s="34" t="n">
        <x:v>0</x:v>
      </x:c>
      <x:c r="T19" s="34" t="n">
        <x:v>0</x:v>
      </x:c>
    </x:row>
    <x:row r="20">
      <x:c r="A20" s="34" t="str">
        <x:v>NIPPON_STEEL_JP</x:v>
      </x:c>
      <x:c r="B20" s="34" t="str">
        <x:v>Nippon Steel</x:v>
      </x:c>
      <x:c r="C20" s="34" t="str">
        <x:v>CAND-32B1C4DEC95227</x:v>
      </x:c>
      <x:c r="D20" s="34" t="str">
        <x:v>P3</x:v>
      </x:c>
      <x:c r="E20" s="34" t="str">
        <x:v>PORT-0ACD636A8AEE</x:v>
      </x:c>
      <x:c r="F20" s="34" t="n">
        <x:v>2</x:v>
      </x:c>
      <x:c r="G20" s="34" t="n">
        <x:v>1</x:v>
      </x:c>
      <x:c r="H20" s="40" t="b">
        <x:v>0</x:v>
      </x:c>
      <x:c r="I20" s="34" t="n">
        <x:v>58.226023</x:v>
      </x:c>
      <x:c r="J20" s="34" t="n">
        <x:v>0.308933</x:v>
      </x:c>
      <x:c r="K20" s="34" t="n">
        <x:v>14.420396</x:v>
      </x:c>
      <x:c r="L20" s="34" t="n">
        <x:v>0.93989</x:v>
      </x:c>
      <x:c r="M20" s="34" t="n">
        <x:v>35.524352</x:v>
      </x:c>
      <x:c r="N20" s="34" t="n">
        <x:v>0.152499</x:v>
      </x:c>
      <x:c r="O20" s="34" t="n">
        <x:v>23.690383</x:v>
      </x:c>
      <x:c r="P20" s="34" t="n">
        <x:v>0.123743</x:v>
      </x:c>
      <x:c r="Q20" s="34" t="n">
        <x:v>0</x:v>
      </x:c>
      <x:c r="R20" s="34" t="n">
        <x:v>0</x:v>
      </x:c>
      <x:c r="S20" s="34" t="n">
        <x:v>0</x:v>
      </x:c>
      <x:c r="T20" s="34" t="n">
        <x:v>0</x:v>
      </x:c>
    </x:row>
    <x:row r="21">
      <x:c r="A21" s="34" t="str">
        <x:v>NIPPON_STEEL_JP</x:v>
      </x:c>
      <x:c r="B21" s="34" t="str">
        <x:v>Nippon Steel</x:v>
      </x:c>
      <x:c r="C21" s="34" t="str">
        <x:v>CAND-7400D0EA735D98</x:v>
      </x:c>
      <x:c r="D21" s="34" t="str">
        <x:v>P3</x:v>
      </x:c>
      <x:c r="E21" s="34" t="str">
        <x:v>PORT-6742936593A9</x:v>
      </x:c>
      <x:c r="F21" s="34" t="n">
        <x:v>2</x:v>
      </x:c>
      <x:c r="G21" s="34" t="n">
        <x:v>2</x:v>
      </x:c>
      <x:c r="H21" s="40" t="b">
        <x:v>1</x:v>
      </x:c>
      <x:c r="I21" s="34" t="n">
        <x:v>81.694413</x:v>
      </x:c>
      <x:c r="J21" s="34" t="n">
        <x:v>0.375529</x:v>
      </x:c>
      <x:c r="K21" s="34" t="n">
        <x:v>18.718051</x:v>
      </x:c>
      <x:c r="L21" s="34" t="n">
        <x:v>1.169696</x:v>
      </x:c>
      <x:c r="M21" s="34" t="n">
        <x:v>58.992743</x:v>
      </x:c>
      <x:c r="N21" s="34" t="n">
        <x:v>0.051959</x:v>
      </x:c>
      <x:c r="O21" s="34" t="n">
        <x:v>47.597446</x:v>
      </x:c>
      <x:c r="P21" s="34" t="n">
        <x:v>0.071408</x:v>
      </x:c>
      <x:c r="Q21" s="34" t="n">
        <x:v>100</x:v>
      </x:c>
      <x:c r="R21" s="34" t="n">
        <x:v>100</x:v>
      </x:c>
      <x:c r="S21" s="34" t="n">
        <x:v>100</x:v>
      </x:c>
      <x:c r="T21" s="34" t="n">
        <x:v>100</x:v>
      </x:c>
    </x:row>
    <x:row r="22">
      <x:c r="A22" s="34" t="str">
        <x:v>NIPPON_STEEL_JP</x:v>
      </x:c>
      <x:c r="B22" s="34" t="str">
        <x:v>Nippon Steel</x:v>
      </x:c>
      <x:c r="C22" s="34" t="str">
        <x:v>CAND-87B9435721978E</x:v>
      </x:c>
      <x:c r="D22" s="34" t="str">
        <x:v>P1</x:v>
      </x:c>
      <x:c r="E22" s="34" t="str">
        <x:v>PORT-5CFD50239439</x:v>
      </x:c>
      <x:c r="F22" s="34" t="n">
        <x:v>2</x:v>
      </x:c>
      <x:c r="G22" s="34" t="n">
        <x:v>1</x:v>
      </x:c>
      <x:c r="H22" s="40" t="b">
        <x:v>0</x:v>
      </x:c>
      <x:c r="I22" s="34" t="n">
        <x:v>22.789159</x:v>
      </x:c>
      <x:c r="J22" s="34" t="n">
        <x:v>0.340477</x:v>
      </x:c>
      <x:c r="K22" s="34" t="n">
        <x:v>11.212434</x:v>
      </x:c>
      <x:c r="L22" s="34" t="n">
        <x:v>1.010124</x:v>
      </x:c>
      <x:c r="M22" s="34" t="n">
        <x:v>0.087488</x:v>
      </x:c>
      <x:c r="N22" s="34" t="n">
        <x:v>0.081354</x:v>
      </x:c>
      <x:c r="O22" s="34" t="n">
        <x:v>-12.505943</x:v>
      </x:c>
      <x:c r="P22" s="34" t="n">
        <x:v>0.045544</x:v>
      </x:c>
      <x:c r="Q22" s="34" t="n">
        <x:v>0</x:v>
      </x:c>
      <x:c r="R22" s="34" t="n">
        <x:v>0</x:v>
      </x:c>
      <x:c r="S22" s="34" t="n">
        <x:v>0</x:v>
      </x:c>
      <x:c r="T22" s="34" t="n">
        <x:v>0</x:v>
      </x:c>
    </x:row>
    <x:row r="23">
      <x:c r="A23" s="34" t="str">
        <x:v>NIPPON_STEEL_JP</x:v>
      </x:c>
      <x:c r="B23" s="34" t="str">
        <x:v>Nippon Steel</x:v>
      </x:c>
      <x:c r="C23" s="34" t="str">
        <x:v>CAND-97FAAFFD87E907</x:v>
      </x:c>
      <x:c r="D23" s="34" t="str">
        <x:v>P1</x:v>
      </x:c>
      <x:c r="E23" s="34" t="str">
        <x:v>PORT-160DD6C4A97F</x:v>
      </x:c>
      <x:c r="F23" s="34" t="n">
        <x:v>2</x:v>
      </x:c>
      <x:c r="G23" s="34" t="n">
        <x:v>1</x:v>
      </x:c>
      <x:c r="H23" s="40" t="b">
        <x:v>0</x:v>
      </x:c>
      <x:c r="I23" s="34" t="n">
        <x:v>46.221794</x:v>
      </x:c>
      <x:c r="J23" s="34" t="n">
        <x:v>0.364104</x:v>
      </x:c>
      <x:c r="K23" s="34" t="n">
        <x:v>17.74053</x:v>
      </x:c>
      <x:c r="L23" s="34" t="n">
        <x:v>1.22458</x:v>
      </x:c>
      <x:c r="M23" s="34" t="n">
        <x:v>23.520123</x:v>
      </x:c>
      <x:c r="N23" s="34" t="n">
        <x:v>0.048788</x:v>
      </x:c>
      <x:c r="O23" s="34" t="n">
        <x:v>11.760062</x:v>
      </x:c>
      <x:c r="P23" s="34" t="n">
        <x:v>0.024394</x:v>
      </x:c>
      <x:c r="Q23" s="34" t="n">
        <x:v>0</x:v>
      </x:c>
      <x:c r="R23" s="34" t="n">
        <x:v>0</x:v>
      </x:c>
      <x:c r="S23" s="34" t="n">
        <x:v>0</x:v>
      </x:c>
      <x:c r="T23" s="34" t="n">
        <x:v>0</x:v>
      </x:c>
    </x:row>
    <x:row r="24">
      <x:c r="A24" s="34" t="str">
        <x:v>NIPPON_STEEL_JP</x:v>
      </x:c>
      <x:c r="B24" s="34" t="str">
        <x:v>Nippon Steel</x:v>
      </x:c>
      <x:c r="C24" s="34" t="str">
        <x:v>CAND-C1AAA9A0078119</x:v>
      </x:c>
      <x:c r="D24" s="34" t="str">
        <x:v>P1</x:v>
      </x:c>
      <x:c r="E24" s="34" t="str">
        <x:v>PORT-9E76B3BFF9FF</x:v>
      </x:c>
      <x:c r="F24" s="34" t="n">
        <x:v>2</x:v>
      </x:c>
      <x:c r="G24" s="34" t="n">
        <x:v>2</x:v>
      </x:c>
      <x:c r="H24" s="40" t="b">
        <x:v>1</x:v>
      </x:c>
      <x:c r="I24" s="34" t="n">
        <x:v>92.986183</x:v>
      </x:c>
      <x:c r="J24" s="34" t="n">
        <x:v>0.714951</x:v>
      </x:c>
      <x:c r="K24" s="34" t="n">
        <x:v>29.160709</x:v>
      </x:c>
      <x:c r="L24" s="34" t="n">
        <x:v>1.741091</x:v>
      </x:c>
      <x:c r="M24" s="34" t="n">
        <x:v>70.284512</x:v>
      </x:c>
      <x:c r="N24" s="34" t="n">
        <x:v>0.423892</x:v>
      </x:c>
      <x:c r="O24" s="34" t="n">
        <x:v>60.150563</x:v>
      </x:c>
      <x:c r="P24" s="34" t="n">
        <x:v>0.393174</x:v>
      </x:c>
      <x:c r="Q24" s="34" t="n">
        <x:v>0</x:v>
      </x:c>
      <x:c r="R24" s="34" t="n">
        <x:v>0</x:v>
      </x:c>
      <x:c r="S24" s="34" t="n">
        <x:v>0</x:v>
      </x:c>
      <x:c r="T24" s="34" t="n">
        <x:v>0</x:v>
      </x:c>
    </x:row>
    <x:row r="25">
      <x:c r="A25" s="34" t="str">
        <x:v>NIPPON_STEEL_JP</x:v>
      </x:c>
      <x:c r="B25" s="34" t="str">
        <x:v>Nippon Steel</x:v>
      </x:c>
      <x:c r="C25" s="34" t="str">
        <x:v>CAND-EBD30C485CEFDA</x:v>
      </x:c>
      <x:c r="D25" s="34" t="str">
        <x:v>P2</x:v>
      </x:c>
      <x:c r="E25" s="34" t="str">
        <x:v>PORT-9E76B3BFF9FF</x:v>
      </x:c>
      <x:c r="F25" s="34" t="n">
        <x:v>2</x:v>
      </x:c>
      <x:c r="G25" s="34" t="n">
        <x:v>2</x:v>
      </x:c>
      <x:c r="H25" s="40" t="b">
        <x:v>1</x:v>
      </x:c>
      <x:c r="I25" s="34" t="n">
        <x:v>90.754772</x:v>
      </x:c>
      <x:c r="J25" s="34" t="n">
        <x:v>0.623545</x:v>
      </x:c>
      <x:c r="K25" s="34" t="n">
        <x:v>24.731344</x:v>
      </x:c>
      <x:c r="L25" s="34" t="n">
        <x:v>1.478742</x:v>
      </x:c>
      <x:c r="M25" s="34" t="n">
        <x:v>68.053102</x:v>
      </x:c>
      <x:c r="N25" s="34" t="n">
        <x:v>0.37359</x:v>
      </x:c>
      <x:c r="O25" s="34" t="n">
        <x:v>57.393985</x:v>
      </x:c>
      <x:c r="P25" s="34" t="n">
        <x:v>0.324559</x:v>
      </x:c>
      <x:c r="Q25" s="34" t="n">
        <x:v>0</x:v>
      </x:c>
      <x:c r="R25" s="34" t="n">
        <x:v>0</x:v>
      </x:c>
      <x:c r="S25" s="34" t="n">
        <x:v>0</x:v>
      </x:c>
      <x:c r="T25" s="34" t="n">
        <x:v>0</x:v>
      </x:c>
    </x:row>
    <x:row r="26">
      <x:c r="A26" s="34" t="str">
        <x:v>NIPPON_STEEL_JP</x:v>
      </x:c>
      <x:c r="B26" s="34" t="str">
        <x:v>Nippon Steel</x:v>
      </x:c>
      <x:c r="C26" s="34" t="str">
        <x:v>CAND-EF9F86F64A1C2A</x:v>
      </x:c>
      <x:c r="D26" s="34" t="str">
        <x:v>P3</x:v>
      </x:c>
      <x:c r="E26" s="34" t="str">
        <x:v>PORT-00B029BF7478</x:v>
      </x:c>
      <x:c r="F26" s="34" t="n">
        <x:v>2</x:v>
      </x:c>
      <x:c r="G26" s="34" t="n">
        <x:v>2</x:v>
      </x:c>
      <x:c r="H26" s="40" t="b">
        <x:v>1</x:v>
      </x:c>
      <x:c r="I26" s="34" t="n">
        <x:v>94.854668</x:v>
      </x:c>
      <x:c r="J26" s="34" t="n">
        <x:v>0.483936</x:v>
      </x:c>
      <x:c r="K26" s="34" t="n">
        <x:v>20.854689</x:v>
      </x:c>
      <x:c r="L26" s="34" t="n">
        <x:v>1.122629</x:v>
      </x:c>
      <x:c r="M26" s="34" t="n">
        <x:v>72.152998</x:v>
      </x:c>
      <x:c r="N26" s="34" t="n">
        <x:v>0.161811</x:v>
      </x:c>
      <x:c r="O26" s="34" t="n">
        <x:v>61.044239</x:v>
      </x:c>
      <x:c r="P26" s="34" t="n">
        <x:v>0.128404</x:v>
      </x:c>
      <x:c r="Q26" s="34" t="n">
        <x:v>0</x:v>
      </x:c>
      <x:c r="R26" s="34" t="n">
        <x:v>0</x:v>
      </x:c>
      <x:c r="S26" s="34" t="n">
        <x:v>0</x:v>
      </x:c>
      <x:c r="T26" s="34" t="n">
        <x:v>0</x:v>
      </x:c>
    </x:row>
    <x:row r="27">
      <x:c r="A27" s="34" t="str">
        <x:v>NIPPON_STEEL_JP</x:v>
      </x:c>
      <x:c r="B27" s="34" t="str">
        <x:v>Nippon Steel</x:v>
      </x:c>
      <x:c r="C27" s="34" t="str">
        <x:v>CAND-F6184286A4322F</x:v>
      </x:c>
      <x:c r="D27" s="34" t="str">
        <x:v>P2</x:v>
      </x:c>
      <x:c r="E27" s="34" t="str">
        <x:v>PORT-6742936593A9</x:v>
      </x:c>
      <x:c r="F27" s="34" t="n">
        <x:v>2</x:v>
      </x:c>
      <x:c r="G27" s="34" t="n">
        <x:v>2</x:v>
      </x:c>
      <x:c r="H27" s="40" t="b">
        <x:v>1</x:v>
      </x:c>
      <x:c r="I27" s="34" t="n">
        <x:v>84.601628</x:v>
      </x:c>
      <x:c r="J27" s="34" t="n">
        <x:v>0.500404</x:v>
      </x:c>
      <x:c r="K27" s="34" t="n">
        <x:v>23.966906</x:v>
      </x:c>
      <x:c r="L27" s="34" t="n">
        <x:v>1.533092</x:v>
      </x:c>
      <x:c r="M27" s="34" t="n">
        <x:v>61.899958</x:v>
      </x:c>
      <x:c r="N27" s="34" t="n">
        <x:v>0.175208</x:v>
      </x:c>
      <x:c r="O27" s="34" t="n">
        <x:v>51.140409</x:v>
      </x:c>
      <x:c r="P27" s="34" t="n">
        <x:v>0.169487</x:v>
      </x:c>
      <x:c r="Q27" s="34" t="n">
        <x:v>0</x:v>
      </x:c>
      <x:c r="R27" s="34" t="n">
        <x:v>0</x:v>
      </x:c>
      <x:c r="S27" s="34" t="n">
        <x:v>0</x:v>
      </x:c>
      <x:c r="T27" s="34" t="n">
        <x:v>0</x:v>
      </x:c>
    </x:row>
    <x:row r="28">
      <x:c r="A28" s="34" t="str">
        <x:v>NIPPON_STEEL_JP</x:v>
      </x:c>
      <x:c r="B28" s="34" t="str">
        <x:v>Nippon Steel</x:v>
      </x:c>
      <x:c r="C28" s="34" t="str">
        <x:v>CAND-FCEB78D7C5F4C6</x:v>
      </x:c>
      <x:c r="D28" s="34" t="str">
        <x:v>P1</x:v>
      </x:c>
      <x:c r="E28" s="34" t="str">
        <x:v>PORT-7DCD4991144C</x:v>
      </x:c>
      <x:c r="F28" s="34" t="n">
        <x:v>2</x:v>
      </x:c>
      <x:c r="G28" s="34" t="n">
        <x:v>1</x:v>
      </x:c>
      <x:c r="H28" s="40" t="b">
        <x:v>0</x:v>
      </x:c>
      <x:c r="I28" s="34" t="n">
        <x:v>22.729846</x:v>
      </x:c>
      <x:c r="J28" s="34" t="n">
        <x:v>0.343536</x:v>
      </x:c>
      <x:c r="K28" s="34" t="n">
        <x:v>11.079248</x:v>
      </x:c>
      <x:c r="L28" s="34" t="n">
        <x:v>0.819376</x:v>
      </x:c>
      <x:c r="M28" s="34" t="n">
        <x:v>0.028176</x:v>
      </x:c>
      <x:c r="N28" s="34" t="n">
        <x:v>0.048802</x:v>
      </x:c>
      <x:c r="O28" s="34" t="n">
        <x:v>-12.57428</x:v>
      </x:c>
      <x:c r="P28" s="34" t="n">
        <x:v>0.063528</x:v>
      </x:c>
      <x:c r="Q28" s="34" t="n">
        <x:v>0</x:v>
      </x:c>
      <x:c r="R28" s="34" t="n">
        <x:v>0</x:v>
      </x:c>
      <x:c r="S28" s="34" t="n">
        <x:v>0</x:v>
      </x:c>
      <x:c r="T28" s="34" t="n">
        <x:v>0</x:v>
      </x:c>
    </x:row>
    <x:row r="29">
      <x:c r="A29" s="34" t="str">
        <x:v>POSCO_KR</x:v>
      </x:c>
      <x:c r="B29" s="34" t="str">
        <x:v>POSCO</x:v>
      </x:c>
      <x:c r="C29" s="34" t="str">
        <x:v>CAND-2F5D03A613EDBE</x:v>
      </x:c>
      <x:c r="D29" s="34" t="str">
        <x:v>P1</x:v>
      </x:c>
      <x:c r="E29" s="34" t="str">
        <x:v>PORT-0E469489028A</x:v>
      </x:c>
      <x:c r="F29" s="34" t="n">
        <x:v>2</x:v>
      </x:c>
      <x:c r="G29" s="34" t="n">
        <x:v>1</x:v>
      </x:c>
      <x:c r="H29" s="40" t="b">
        <x:v>0</x:v>
      </x:c>
      <x:c r="I29" s="34" t="n">
        <x:v>9.17309</x:v>
      </x:c>
      <x:c r="J29" s="34" t="n">
        <x:v>0.170563</x:v>
      </x:c>
      <x:c r="K29" s="34" t="n">
        <x:v>8.018044</x:v>
      </x:c>
      <x:c r="L29" s="34" t="n">
        <x:v>0.418013</x:v>
      </x:c>
      <x:c r="M29" s="34" t="n">
        <x:v>0</x:v>
      </x:c>
      <x:c r="N29" s="34" t="n">
        <x:v>0</x:v>
      </x:c>
      <x:c r="O29" s="34" t="n">
        <x:v>-12.387748</x:v>
      </x:c>
      <x:c r="P29" s="34" t="n">
        <x:v>0.131526</x:v>
      </x:c>
      <x:c r="Q29" s="34" t="n">
        <x:v>0</x:v>
      </x:c>
      <x:c r="R29" s="34" t="n">
        <x:v>0</x:v>
      </x:c>
      <x:c r="S29" s="34" t="n">
        <x:v>0</x:v>
      </x:c>
      <x:c r="T29" s="34" t="n">
        <x:v>0</x:v>
      </x:c>
    </x:row>
    <x:row r="30">
      <x:c r="A30" s="34" t="str">
        <x:v>POSCO_KR</x:v>
      </x:c>
      <x:c r="B30" s="34" t="str">
        <x:v>POSCO</x:v>
      </x:c>
      <x:c r="C30" s="34" t="str">
        <x:v>CAND-44C957BBFA61A4</x:v>
      </x:c>
      <x:c r="D30" s="34" t="str">
        <x:v>P1</x:v>
      </x:c>
      <x:c r="E30" s="34" t="str">
        <x:v>PORT-96133A6427FE</x:v>
      </x:c>
      <x:c r="F30" s="34" t="n">
        <x:v>2</x:v>
      </x:c>
      <x:c r="G30" s="34" t="n">
        <x:v>2</x:v>
      </x:c>
      <x:c r="H30" s="40" t="b">
        <x:v>1</x:v>
      </x:c>
      <x:c r="I30" s="34" t="n">
        <x:v>71.430095</x:v>
      </x:c>
      <x:c r="J30" s="34" t="n">
        <x:v>0.405296</x:v>
      </x:c>
      <x:c r="K30" s="34" t="n">
        <x:v>22.521749</x:v>
      </x:c>
      <x:c r="L30" s="34" t="n">
        <x:v>1.42997</x:v>
      </x:c>
      <x:c r="M30" s="34" t="n">
        <x:v>62.257006</x:v>
      </x:c>
      <x:c r="N30" s="34" t="n">
        <x:v>0.244249</x:v>
      </x:c>
      <x:c r="O30" s="34" t="n">
        <x:v>51.762668</x:v>
      </x:c>
      <x:c r="P30" s="34" t="n">
        <x:v>0.309431</x:v>
      </x:c>
      <x:c r="Q30" s="34" t="n">
        <x:v>0</x:v>
      </x:c>
      <x:c r="R30" s="34" t="n">
        <x:v>0</x:v>
      </x:c>
      <x:c r="S30" s="34" t="n">
        <x:v>0</x:v>
      </x:c>
      <x:c r="T30" s="34" t="n">
        <x:v>0</x:v>
      </x:c>
    </x:row>
    <x:row r="31">
      <x:c r="A31" s="34" t="str">
        <x:v>POSCO_KR</x:v>
      </x:c>
      <x:c r="B31" s="34" t="str">
        <x:v>POSCO</x:v>
      </x:c>
      <x:c r="C31" s="34" t="str">
        <x:v>CAND-466C04961ED513</x:v>
      </x:c>
      <x:c r="D31" s="34" t="str">
        <x:v>P2</x:v>
      </x:c>
      <x:c r="E31" s="34" t="str">
        <x:v>PORT-7ED23B40E316</x:v>
      </x:c>
      <x:c r="F31" s="34" t="n">
        <x:v>2</x:v>
      </x:c>
      <x:c r="G31" s="34" t="n">
        <x:v>1</x:v>
      </x:c>
      <x:c r="H31" s="40" t="b">
        <x:v>0</x:v>
      </x:c>
      <x:c r="I31" s="34" t="n">
        <x:v>32.783383</x:v>
      </x:c>
      <x:c r="J31" s="34" t="n">
        <x:v>0.275754</x:v>
      </x:c>
      <x:c r="K31" s="34" t="n">
        <x:v>12.218254</x:v>
      </x:c>
      <x:c r="L31" s="34" t="n">
        <x:v>0.442373</x:v>
      </x:c>
      <x:c r="M31" s="34" t="n">
        <x:v>23.610293</x:v>
      </x:c>
      <x:c r="N31" s="34" t="n">
        <x:v>0.327679</x:v>
      </x:c>
      <x:c r="O31" s="34" t="n">
        <x:v>11.805147</x:v>
      </x:c>
      <x:c r="P31" s="34" t="n">
        <x:v>0.163839</x:v>
      </x:c>
      <x:c r="Q31" s="34" t="n">
        <x:v>0</x:v>
      </x:c>
      <x:c r="R31" s="34" t="n">
        <x:v>0</x:v>
      </x:c>
      <x:c r="S31" s="34" t="n">
        <x:v>0</x:v>
      </x:c>
      <x:c r="T31" s="34" t="n">
        <x:v>0</x:v>
      </x:c>
    </x:row>
    <x:row r="32">
      <x:c r="A32" s="34" t="str">
        <x:v>POSCO_KR</x:v>
      </x:c>
      <x:c r="B32" s="34" t="str">
        <x:v>POSCO</x:v>
      </x:c>
      <x:c r="C32" s="34" t="str">
        <x:v>CAND-4EF614D30D6D91</x:v>
      </x:c>
      <x:c r="D32" s="34" t="str">
        <x:v>P2</x:v>
      </x:c>
      <x:c r="E32" s="34" t="str">
        <x:v>PORT-96133A6427FE</x:v>
      </x:c>
      <x:c r="F32" s="34" t="n">
        <x:v>2</x:v>
      </x:c>
      <x:c r="G32" s="34" t="n">
        <x:v>2</x:v>
      </x:c>
      <x:c r="H32" s="40" t="b">
        <x:v>1</x:v>
      </x:c>
      <x:c r="I32" s="34" t="n">
        <x:v>69.806176</x:v>
      </x:c>
      <x:c r="J32" s="34" t="n">
        <x:v>0.346749</x:v>
      </x:c>
      <x:c r="K32" s="34" t="n">
        <x:v>19.287707</x:v>
      </x:c>
      <x:c r="L32" s="34" t="n">
        <x:v>1.236752</x:v>
      </x:c>
      <x:c r="M32" s="34" t="n">
        <x:v>60.633086</x:v>
      </x:c>
      <x:c r="N32" s="34" t="n">
        <x:v>0.183357</x:v>
      </x:c>
      <x:c r="O32" s="34" t="n">
        <x:v>49.792193</x:v>
      </x:c>
      <x:c r="P32" s="34" t="n">
        <x:v>0.244768</x:v>
      </x:c>
      <x:c r="Q32" s="34" t="n">
        <x:v>0</x:v>
      </x:c>
      <x:c r="R32" s="34" t="n">
        <x:v>0</x:v>
      </x:c>
      <x:c r="S32" s="34" t="n">
        <x:v>0</x:v>
      </x:c>
      <x:c r="T32" s="34" t="n">
        <x:v>0</x:v>
      </x:c>
    </x:row>
    <x:row r="33">
      <x:c r="A33" s="34" t="str">
        <x:v>POSCO_KR</x:v>
      </x:c>
      <x:c r="B33" s="34" t="str">
        <x:v>POSCO</x:v>
      </x:c>
      <x:c r="C33" s="34" t="str">
        <x:v>CAND-6339E6B83A8408</x:v>
      </x:c>
      <x:c r="D33" s="34" t="str">
        <x:v>P3</x:v>
      </x:c>
      <x:c r="E33" s="34" t="str">
        <x:v>PORT-8826D0B469EE</x:v>
      </x:c>
      <x:c r="F33" s="34" t="n">
        <x:v>2</x:v>
      </x:c>
      <x:c r="G33" s="34" t="n">
        <x:v>2</x:v>
      </x:c>
      <x:c r="H33" s="40" t="b">
        <x:v>1</x:v>
      </x:c>
      <x:c r="I33" s="34" t="n">
        <x:v>63.344755</x:v>
      </x:c>
      <x:c r="J33" s="34" t="n">
        <x:v>0.221324</x:v>
      </x:c>
      <x:c r="K33" s="34" t="n">
        <x:v>15.263214</x:v>
      </x:c>
      <x:c r="L33" s="34" t="n">
        <x:v>0.82809</x:v>
      </x:c>
      <x:c r="M33" s="34" t="n">
        <x:v>54.171665</x:v>
      </x:c>
      <x:c r="N33" s="34" t="n">
        <x:v>0.185855</x:v>
      </x:c>
      <x:c r="O33" s="34" t="n">
        <x:v>42.7948</x:v>
      </x:c>
      <x:c r="P33" s="34" t="n">
        <x:v>0.048156</x:v>
      </x:c>
      <x:c r="Q33" s="34" t="n">
        <x:v>100</x:v>
      </x:c>
      <x:c r="R33" s="34" t="n">
        <x:v>100</x:v>
      </x:c>
      <x:c r="S33" s="34" t="n">
        <x:v>100</x:v>
      </x:c>
      <x:c r="T33" s="34" t="n">
        <x:v>100</x:v>
      </x:c>
    </x:row>
    <x:row r="34">
      <x:c r="A34" s="34" t="str">
        <x:v>POSCO_KR</x:v>
      </x:c>
      <x:c r="B34" s="34" t="str">
        <x:v>POSCO</x:v>
      </x:c>
      <x:c r="C34" s="34" t="str">
        <x:v>CAND-63781C106D5099</x:v>
      </x:c>
      <x:c r="D34" s="34" t="str">
        <x:v>P1</x:v>
      </x:c>
      <x:c r="E34" s="34" t="str">
        <x:v>PORT-41705C04BF44</x:v>
      </x:c>
      <x:c r="F34" s="34" t="n">
        <x:v>2</x:v>
      </x:c>
      <x:c r="G34" s="34" t="n">
        <x:v>1</x:v>
      </x:c>
      <x:c r="H34" s="40" t="b">
        <x:v>0</x:v>
      </x:c>
      <x:c r="I34" s="34" t="n">
        <x:v>10.369964</x:v>
      </x:c>
      <x:c r="J34" s="34" t="n">
        <x:v>0.238706</x:v>
      </x:c>
      <x:c r="K34" s="34" t="n">
        <x:v>7.912323</x:v>
      </x:c>
      <x:c r="L34" s="34" t="n">
        <x:v>0.426008</x:v>
      </x:c>
      <x:c r="M34" s="34" t="n">
        <x:v>1.196874</x:v>
      </x:c>
      <x:c r="N34" s="34" t="n">
        <x:v>0.10552</x:v>
      </x:c>
      <x:c r="O34" s="34" t="n">
        <x:v>-11.229443</x:v>
      </x:c>
      <x:c r="P34" s="34" t="n">
        <x:v>0.085515</x:v>
      </x:c>
      <x:c r="Q34" s="34" t="n">
        <x:v>0</x:v>
      </x:c>
      <x:c r="R34" s="34" t="n">
        <x:v>0</x:v>
      </x:c>
      <x:c r="S34" s="34" t="n">
        <x:v>0</x:v>
      </x:c>
      <x:c r="T34" s="34" t="n">
        <x:v>0</x:v>
      </x:c>
    </x:row>
    <x:row r="35">
      <x:c r="A35" s="34" t="str">
        <x:v>POSCO_KR</x:v>
      </x:c>
      <x:c r="B35" s="34" t="str">
        <x:v>POSCO</x:v>
      </x:c>
      <x:c r="C35" s="34" t="str">
        <x:v>CAND-7BC738434560A6</x:v>
      </x:c>
      <x:c r="D35" s="34" t="str">
        <x:v>P1</x:v>
      </x:c>
      <x:c r="E35" s="34" t="str">
        <x:v>PORT-7ED23B40E316</x:v>
      </x:c>
      <x:c r="F35" s="34" t="n">
        <x:v>2</x:v>
      </x:c>
      <x:c r="G35" s="34" t="n">
        <x:v>1</x:v>
      </x:c>
      <x:c r="H35" s="40" t="b">
        <x:v>0</x:v>
      </x:c>
      <x:c r="I35" s="34" t="n">
        <x:v>33.416445</x:v>
      </x:c>
      <x:c r="J35" s="34" t="n">
        <x:v>0.32603</x:v>
      </x:c>
      <x:c r="K35" s="34" t="n">
        <x:v>14.248566</x:v>
      </x:c>
      <x:c r="L35" s="34" t="n">
        <x:v>0.449284</x:v>
      </x:c>
      <x:c r="M35" s="34" t="n">
        <x:v>24.243356</x:v>
      </x:c>
      <x:c r="N35" s="34" t="n">
        <x:v>0.366573</x:v>
      </x:c>
      <x:c r="O35" s="34" t="n">
        <x:v>12.558612</x:v>
      </x:c>
      <x:c r="P35" s="34" t="n">
        <x:v>0.186477</x:v>
      </x:c>
      <x:c r="Q35" s="34" t="n">
        <x:v>0</x:v>
      </x:c>
      <x:c r="R35" s="34" t="n">
        <x:v>0</x:v>
      </x:c>
      <x:c r="S35" s="34" t="n">
        <x:v>0</x:v>
      </x:c>
      <x:c r="T35" s="34" t="n">
        <x:v>0</x:v>
      </x:c>
    </x:row>
    <x:row r="36">
      <x:c r="A36" s="34" t="str">
        <x:v>POSCO_KR</x:v>
      </x:c>
      <x:c r="B36" s="34" t="str">
        <x:v>POSCO</x:v>
      </x:c>
      <x:c r="C36" s="34" t="str">
        <x:v>CAND-82FF2AA13BA34C</x:v>
      </x:c>
      <x:c r="D36" s="34" t="str">
        <x:v>P2</x:v>
      </x:c>
      <x:c r="E36" s="34" t="str">
        <x:v>PORT-8826D0B469EE</x:v>
      </x:c>
      <x:c r="F36" s="34" t="n">
        <x:v>2</x:v>
      </x:c>
      <x:c r="G36" s="34" t="n">
        <x:v>2</x:v>
      </x:c>
      <x:c r="H36" s="40" t="b">
        <x:v>1</x:v>
      </x:c>
      <x:c r="I36" s="34" t="n">
        <x:v>65.35953</x:v>
      </x:c>
      <x:c r="J36" s="34" t="n">
        <x:v>0.296371</x:v>
      </x:c>
      <x:c r="K36" s="34" t="n">
        <x:v>19.288764</x:v>
      </x:c>
      <x:c r="L36" s="34" t="n">
        <x:v>0.974728</x:v>
      </x:c>
      <x:c r="M36" s="34" t="n">
        <x:v>56.18644</x:v>
      </x:c>
      <x:c r="N36" s="34" t="n">
        <x:v>0.226035</x:v>
      </x:c>
      <x:c r="O36" s="34" t="n">
        <x:v>45.284534</x:v>
      </x:c>
      <x:c r="P36" s="34" t="n">
        <x:v>0.129414</x:v>
      </x:c>
      <x:c r="Q36" s="34" t="n">
        <x:v>0</x:v>
      </x:c>
      <x:c r="R36" s="34" t="n">
        <x:v>0</x:v>
      </x:c>
      <x:c r="S36" s="34" t="n">
        <x:v>0</x:v>
      </x:c>
      <x:c r="T36" s="34" t="n">
        <x:v>0</x:v>
      </x:c>
    </x:row>
    <x:row r="37">
      <x:c r="A37" s="34" t="str">
        <x:v>POSCO_KR</x:v>
      </x:c>
      <x:c r="B37" s="34" t="str">
        <x:v>POSCO</x:v>
      </x:c>
      <x:c r="C37" s="34" t="str">
        <x:v>CAND-921D50D4015721</x:v>
      </x:c>
      <x:c r="D37" s="34" t="str">
        <x:v>P3</x:v>
      </x:c>
      <x:c r="E37" s="34" t="str">
        <x:v>PORT-96133A6427FE</x:v>
      </x:c>
      <x:c r="F37" s="34" t="n">
        <x:v>2</x:v>
      </x:c>
      <x:c r="G37" s="34" t="n">
        <x:v>2</x:v>
      </x:c>
      <x:c r="H37" s="40" t="b">
        <x:v>1</x:v>
      </x:c>
      <x:c r="I37" s="34" t="n">
        <x:v>67.512379</x:v>
      </x:c>
      <x:c r="J37" s="34" t="n">
        <x:v>0.268709</x:v>
      </x:c>
      <x:c r="K37" s="34" t="n">
        <x:v>15.136815</x:v>
      </x:c>
      <x:c r="L37" s="34" t="n">
        <x:v>0.920379</x:v>
      </x:c>
      <x:c r="M37" s="34" t="n">
        <x:v>58.339289</x:v>
      </x:c>
      <x:c r="N37" s="34" t="n">
        <x:v>0.102563</x:v>
      </x:c>
      <x:c r="O37" s="34" t="n">
        <x:v>46.999089</x:v>
      </x:c>
      <x:c r="P37" s="34" t="n">
        <x:v>0.179924</x:v>
      </x:c>
      <x:c r="Q37" s="34" t="n">
        <x:v>66.7</x:v>
      </x:c>
      <x:c r="R37" s="34" t="n">
        <x:v>0</x:v>
      </x:c>
      <x:c r="S37" s="34" t="n">
        <x:v>0</x:v>
      </x:c>
      <x:c r="T37" s="34" t="n">
        <x:v>0</x:v>
      </x:c>
    </x:row>
    <x:row r="38">
      <x:c r="A38" s="35" t="str">
        <x:v>POSCO_KR</x:v>
      </x:c>
      <x:c r="B38" s="35" t="str">
        <x:v>POSCO</x:v>
      </x:c>
      <x:c r="C38" s="35" t="str">
        <x:v>CAND-C9724A8933A429</x:v>
      </x:c>
      <x:c r="D38" s="35" t="str">
        <x:v>P1</x:v>
      </x:c>
      <x:c r="E38" s="35" t="str">
        <x:v>PORT-8826D0B469EE</x:v>
      </x:c>
      <x:c r="F38" s="35" t="n">
        <x:v>2</x:v>
      </x:c>
      <x:c r="G38" s="35" t="n">
        <x:v>2</x:v>
      </x:c>
      <x:c r="H38" s="41" t="b">
        <x:v>1</x:v>
      </x:c>
      <x:c r="I38" s="35" t="n">
        <x:v>66.793851</x:v>
      </x:c>
      <x:c r="J38" s="35" t="n">
        <x:v>0.363941</x:v>
      </x:c>
      <x:c r="K38" s="35" t="n">
        <x:v>22.570132</x:v>
      </x:c>
      <x:c r="L38" s="35" t="n">
        <x:v>1.098313</x:v>
      </x:c>
      <x:c r="M38" s="35" t="n">
        <x:v>57.620762</x:v>
      </x:c>
      <x:c r="N38" s="35" t="n">
        <x:v>0.292891</x:v>
      </x:c>
      <x:c r="O38" s="35" t="n">
        <x:v>47.022066</x:v>
      </x:c>
      <x:c r="P38" s="35" t="n">
        <x:v>0.184193</x:v>
      </x:c>
      <x:c r="Q38" s="35" t="n">
        <x:v>0</x:v>
      </x:c>
      <x:c r="R38" s="35" t="n">
        <x:v>0</x:v>
      </x:c>
      <x:c r="S38" s="35" t="n">
        <x:v>0</x:v>
      </x:c>
      <x:c r="T38" s="35" t="n">
        <x:v>0</x:v>
      </x:c>
    </x:row>
  </x:sheetData>
  <x:pageMargins left="0.7" right="0.7" top="0.75" bottom="0.75" header="0.3" footer="0.3"/>
</x:worksheet>
</file>

<file path=xl/worksheets/sheet30.xml><?xml version="1.0" encoding="utf-8"?>
<x:worksheet xmlns:x="http://schemas.openxmlformats.org/spreadsheetml/2006/main">
  <x:sheetViews>
    <x:sheetView showGridLines="0" workbookViewId="0"/>
  </x:sheetViews>
  <x:sheetFormatPr defaultRowHeight="15"/>
  <x:cols>
    <x:col min="1" max="1" width="21" hidden="0" customWidth="1"/>
    <x:col min="2" max="2" width="21" hidden="0" customWidth="1"/>
    <x:col min="3" max="3" width="21" hidden="0" customWidth="1"/>
    <x:col min="4" max="4" width="21" hidden="0" customWidth="1"/>
    <x:col min="5" max="5" width="21" hidden="0" customWidth="1"/>
    <x:col min="6" max="6" width="21" hidden="0" customWidth="1"/>
    <x:col min="7" max="7" width="21"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s>
  <x:sheetData>
    <x:row r="1" ht="28" customHeight="1">
      <x:c r="A1" s="29" t="str">
        <x:v>company_id</x:v>
      </x:c>
      <x:c r="B1" s="29" t="str">
        <x:v>company_name</x:v>
      </x:c>
      <x:c r="C1" s="29" t="str">
        <x:v>candidate_id</x:v>
      </x:c>
      <x:c r="D1" s="29" t="str">
        <x:v>template_plan_id</x:v>
      </x:c>
      <x:c r="E1" s="29" t="str">
        <x:v>physical_portfolio_id</x:v>
      </x:c>
      <x:c r="F1" s="29" t="str">
        <x:v>from_scenario_id</x:v>
      </x:c>
      <x:c r="G1" s="29" t="str">
        <x:v>to_scenario_id</x:v>
      </x:c>
      <x:c r="H1" s="29" t="str">
        <x:v>from_scenario_feasible</x:v>
      </x:c>
      <x:c r="I1" s="29" t="str">
        <x:v>to_scenario_feasible</x:v>
      </x:c>
      <x:c r="J1" s="29" t="str">
        <x:v>same_physical_portfolio</x:v>
      </x:c>
      <x:c r="K1" s="29" t="str">
        <x:v>common_avoided_emissions_mtco2</x:v>
      </x:c>
      <x:c r="L1" s="29" t="str">
        <x:v>delta_p50_common_kkrw_per_tco2_mean</x:v>
      </x:c>
      <x:c r="M1" s="29" t="str">
        <x:v>delta_p50_common_kkrw_per_tco2_std</x:v>
      </x:c>
      <x:c r="N1" s="29" t="str">
        <x:v>delta_tcar_kkrw_per_tco2_mean</x:v>
      </x:c>
      <x:c r="O1" s="29" t="str">
        <x:v>delta_tcar_kkrw_per_tco2_std</x:v>
      </x:c>
      <x:c r="P1" s="29" t="str">
        <x:v>delta_absolute_npv_p50_bn_krw_mean</x:v>
      </x:c>
      <x:c r="Q1" s="29" t="str">
        <x:v>delta_absolute_npv_p50_bn_krw_std</x:v>
      </x:c>
      <x:c r="R1" s="29" t="str">
        <x:v>delta_absolute_npv_p90_bn_krw_mean</x:v>
      </x:c>
      <x:c r="S1" s="29" t="str">
        <x:v>delta_absolute_npv_p90_bn_krw_std</x:v>
      </x:c>
      <x:c r="T1" s="29" t="str">
        <x:v>delta_aligned_capex_bn_krw_mean</x:v>
      </x:c>
      <x:c r="U1" s="29" t="str">
        <x:v>delta_aligned_capex_bn_krw_std</x:v>
      </x:c>
      <x:c r="V1" s="29" t="str">
        <x:v>delta_net_cash_cost_p50_bn_krw_mean</x:v>
      </x:c>
      <x:c r="W1" s="29" t="str">
        <x:v>delta_net_cash_cost_p50_bn_krw_std</x:v>
      </x:c>
      <x:c r="X1" s="29" t="str">
        <x:v>delta_avoided_carbon_value_p50_bn_krw_mean</x:v>
      </x:c>
      <x:c r="Y1" s="29" t="str">
        <x:v>delta_avoided_carbon_value_p50_bn_krw_std</x:v>
      </x:c>
      <x:c r="Z1" s="29" t="str">
        <x:v>delta_policy_support_value_p50_bn_krw_mean</x:v>
      </x:c>
      <x:c r="AA1" s="29" t="str">
        <x:v>delta_policy_support_value_p50_bn_krw_std</x:v>
      </x:c>
    </x:row>
    <x:row r="2">
      <x:c r="A2" s="34" t="str">
        <x:v>JFE_STEEL_JP</x:v>
      </x:c>
      <x:c r="B2" s="34" t="str">
        <x:v>JFE Steel</x:v>
      </x:c>
      <x:c r="C2" s="34" t="str">
        <x:v>CAND-0B566F19FFC9A2</x:v>
      </x:c>
      <x:c r="D2" s="34" t="str">
        <x:v>P2</x:v>
      </x:c>
      <x:c r="E2" s="34" t="str">
        <x:v>PORT-CCD4397FA6D4</x:v>
      </x:c>
      <x:c r="F2" s="34" t="str">
        <x:v>ACCELERATED_15C</x:v>
      </x:c>
      <x:c r="G2" s="34" t="str">
        <x:v>DISCLOSED_PATH</x:v>
      </x:c>
      <x:c r="H2" s="40" t="b">
        <x:v>0</x:v>
      </x:c>
      <x:c r="I2" s="40" t="b">
        <x:v>1</x:v>
      </x:c>
      <x:c r="J2" s="40" t="b">
        <x:v>1</x:v>
      </x:c>
      <x:c r="K2" s="34" t="n">
        <x:v>281.895878</x:v>
      </x:c>
      <x:c r="L2" s="34" t="n">
        <x:v>8.145604</x:v>
      </x:c>
      <x:c r="M2" s="34" t="n">
        <x:v>0.099782</x:v>
      </x:c>
      <x:c r="N2" s="34" t="n">
        <x:v>-2.218564</x:v>
      </x:c>
      <x:c r="O2" s="34" t="n">
        <x:v>0.481736</x:v>
      </x:c>
      <x:c r="P2" s="34" t="n">
        <x:v>2296.212333</x:v>
      </x:c>
      <x:c r="Q2" s="34" t="n">
        <x:v>28.128688</x:v>
      </x:c>
      <x:c r="R2" s="34" t="n">
        <x:v>1670.808333</x:v>
      </x:c>
      <x:c r="S2" s="34" t="n">
        <x:v>120.770732</x:v>
      </x:c>
      <x:c r="T2" s="34" t="n">
        <x:v>0</x:v>
      </x:c>
      <x:c r="U2" s="34" t="n">
        <x:v>0</x:v>
      </x:c>
      <x:c r="V2" s="34" t="n">
        <x:v>-2365.564</x:v>
      </x:c>
      <x:c r="W2" s="34" t="n">
        <x:v>28.128323</x:v>
      </x:c>
      <x:c r="X2" s="34" t="n">
        <x:v>-4661.776</x:v>
      </x:c>
      <x:c r="Y2" s="34" t="n">
        <x:v>0</x:v>
      </x:c>
      <x:c r="Z2" s="34" t="n">
        <x:v>-878.049333</x:v>
      </x:c>
      <x:c r="AA2" s="34" t="n">
        <x:v>2.032888</x:v>
      </x:c>
    </x:row>
    <x:row r="3">
      <x:c r="A3" s="34" t="str">
        <x:v>JFE_STEEL_JP</x:v>
      </x:c>
      <x:c r="B3" s="34" t="str">
        <x:v>JFE Steel</x:v>
      </x:c>
      <x:c r="C3" s="34" t="str">
        <x:v>CAND-A735954AF09420</x:v>
      </x:c>
      <x:c r="D3" s="34" t="str">
        <x:v>P3</x:v>
      </x:c>
      <x:c r="E3" s="34" t="str">
        <x:v>PORT-CCD4397FA6D4</x:v>
      </x:c>
      <x:c r="F3" s="34" t="str">
        <x:v>ACCELERATED_15C</x:v>
      </x:c>
      <x:c r="G3" s="34" t="str">
        <x:v>DISCLOSED_PATH</x:v>
      </x:c>
      <x:c r="H3" s="40" t="b">
        <x:v>0</x:v>
      </x:c>
      <x:c r="I3" s="40" t="b">
        <x:v>1</x:v>
      </x:c>
      <x:c r="J3" s="40" t="b">
        <x:v>1</x:v>
      </x:c>
      <x:c r="K3" s="34" t="n">
        <x:v>281.895878</x:v>
      </x:c>
      <x:c r="L3" s="34" t="n">
        <x:v>10.28401</x:v>
      </x:c>
      <x:c r="M3" s="34" t="n">
        <x:v>0.103794</x:v>
      </x:c>
      <x:c r="N3" s="34" t="n">
        <x:v>-1.244026</x:v>
      </x:c>
      <x:c r="O3" s="34" t="n">
        <x:v>0.260416</x:v>
      </x:c>
      <x:c r="P3" s="34" t="n">
        <x:v>2899.019667</x:v>
      </x:c>
      <x:c r="Q3" s="34" t="n">
        <x:v>29.259532</x:v>
      </x:c>
      <x:c r="R3" s="34" t="n">
        <x:v>2548.334333</x:v>
      </x:c>
      <x:c r="S3" s="34" t="n">
        <x:v>76.375398</x:v>
      </x:c>
      <x:c r="T3" s="34" t="n">
        <x:v>0</x:v>
      </x:c>
      <x:c r="U3" s="34" t="n">
        <x:v>0</x:v>
      </x:c>
      <x:c r="V3" s="34" t="n">
        <x:v>-1762.757</x:v>
      </x:c>
      <x:c r="W3" s="34" t="n">
        <x:v>29.258968</x:v>
      </x:c>
      <x:c r="X3" s="34" t="n">
        <x:v>-4661.776</x:v>
      </x:c>
      <x:c r="Y3" s="34" t="n">
        <x:v>0</x:v>
      </x:c>
      <x:c r="Z3" s="34" t="n">
        <x:v>-1476.395667</x:v>
      </x:c>
      <x:c r="AA3" s="34" t="n">
        <x:v>10.130282</x:v>
      </x:c>
    </x:row>
    <x:row r="4">
      <x:c r="A4" s="34" t="str">
        <x:v>JFE_STEEL_JP</x:v>
      </x:c>
      <x:c r="B4" s="34" t="str">
        <x:v>JFE Steel</x:v>
      </x:c>
      <x:c r="C4" s="34" t="str">
        <x:v>CAND-E72109958C3B57</x:v>
      </x:c>
      <x:c r="D4" s="34" t="str">
        <x:v>P2</x:v>
      </x:c>
      <x:c r="E4" s="34" t="str">
        <x:v>PORT-E5F3D5116135</x:v>
      </x:c>
      <x:c r="F4" s="34" t="str">
        <x:v>ACCELERATED_15C</x:v>
      </x:c>
      <x:c r="G4" s="34" t="str">
        <x:v>DISCLOSED_PATH</x:v>
      </x:c>
      <x:c r="H4" s="40" t="b">
        <x:v>1</x:v>
      </x:c>
      <x:c r="I4" s="40" t="b">
        <x:v>0</x:v>
      </x:c>
      <x:c r="J4" s="40" t="b">
        <x:v>1</x:v>
      </x:c>
      <x:c r="K4" s="34" t="n">
        <x:v>321.408363</x:v>
      </x:c>
      <x:c r="L4" s="34" t="n">
        <x:v>8.829508</x:v>
      </x:c>
      <x:c r="M4" s="34" t="n">
        <x:v>0.069444</x:v>
      </x:c>
      <x:c r="N4" s="34" t="n">
        <x:v>-1.926761</x:v>
      </x:c>
      <x:c r="O4" s="34" t="n">
        <x:v>0.228642</x:v>
      </x:c>
      <x:c r="P4" s="34" t="n">
        <x:v>2837.877667</x:v>
      </x:c>
      <x:c r="Q4" s="34" t="n">
        <x:v>22.320056</x:v>
      </x:c>
      <x:c r="R4" s="34" t="n">
        <x:v>2218.601</x:v>
      </x:c>
      <x:c r="S4" s="34" t="n">
        <x:v>95.315171</x:v>
      </x:c>
      <x:c r="T4" s="34" t="n">
        <x:v>0</x:v>
      </x:c>
      <x:c r="U4" s="34" t="n">
        <x:v>0</x:v>
      </x:c>
      <x:c r="V4" s="34" t="n">
        <x:v>-2504.636667</x:v>
      </x:c>
      <x:c r="W4" s="34" t="n">
        <x:v>22.319654</x:v>
      </x:c>
      <x:c r="X4" s="34" t="n">
        <x:v>-5342.515</x:v>
      </x:c>
      <x:c r="Y4" s="34" t="n">
        <x:v>0</x:v>
      </x:c>
      <x:c r="Z4" s="34" t="n">
        <x:v>-946.844667</x:v>
      </x:c>
      <x:c r="AA4" s="34" t="n">
        <x:v>4.19625</x:v>
      </x:c>
    </x:row>
    <x:row r="5">
      <x:c r="A5" s="34" t="str">
        <x:v>JFE_STEEL_JP</x:v>
      </x:c>
      <x:c r="B5" s="34" t="str">
        <x:v>JFE Steel</x:v>
      </x:c>
      <x:c r="C5" s="34" t="str">
        <x:v>CAND-E8FAD9BDD034A5</x:v>
      </x:c>
      <x:c r="D5" s="34" t="str">
        <x:v>P3</x:v>
      </x:c>
      <x:c r="E5" s="34" t="str">
        <x:v>PORT-51A2628EF9C2</x:v>
      </x:c>
      <x:c r="F5" s="34" t="str">
        <x:v>ACCELERATED_15C</x:v>
      </x:c>
      <x:c r="G5" s="34" t="str">
        <x:v>DISCLOSED_PATH</x:v>
      </x:c>
      <x:c r="H5" s="40" t="b">
        <x:v>1</x:v>
      </x:c>
      <x:c r="I5" s="40" t="b">
        <x:v>1</x:v>
      </x:c>
      <x:c r="J5" s="40" t="b">
        <x:v>1</x:v>
      </x:c>
      <x:c r="K5" s="34" t="n">
        <x:v>328.220861</x:v>
      </x:c>
      <x:c r="L5" s="34" t="n">
        <x:v>9.581002</x:v>
      </x:c>
      <x:c r="M5" s="34" t="n">
        <x:v>0.040335</x:v>
      </x:c>
      <x:c r="N5" s="34" t="n">
        <x:v>-1.520509</x:v>
      </x:c>
      <x:c r="O5" s="34" t="n">
        <x:v>0.147666</x:v>
      </x:c>
      <x:c r="P5" s="34" t="n">
        <x:v>3144.684667</x:v>
      </x:c>
      <x:c r="Q5" s="34" t="n">
        <x:v>13.238598</x:v>
      </x:c>
      <x:c r="R5" s="34" t="n">
        <x:v>2645.621667</x:v>
      </x:c>
      <x:c r="S5" s="34" t="n">
        <x:v>61.672662</x:v>
      </x:c>
      <x:c r="T5" s="34" t="n">
        <x:v>0</x:v>
      </x:c>
      <x:c r="U5" s="34" t="n">
        <x:v>0</x:v>
      </x:c>
      <x:c r="V5" s="34" t="n">
        <x:v>-2315.198667</x:v>
      </x:c>
      <x:c r="W5" s="34" t="n">
        <x:v>13.238929</x:v>
      </x:c>
      <x:c r="X5" s="34" t="n">
        <x:v>-5459.883</x:v>
      </x:c>
      <x:c r="Y5" s="34" t="n">
        <x:v>0</x:v>
      </x:c>
      <x:c r="Z5" s="34" t="n">
        <x:v>-2027.233</x:v>
      </x:c>
      <x:c r="AA5" s="34" t="n">
        <x:v>10.73907</x:v>
      </x:c>
    </x:row>
    <x:row r="6">
      <x:c r="A6" s="34" t="str">
        <x:v>JFE_STEEL_JP</x:v>
      </x:c>
      <x:c r="B6" s="34" t="str">
        <x:v>JFE Steel</x:v>
      </x:c>
      <x:c r="C6" s="34" t="str">
        <x:v>CAND-F4B6AD5FB08D71</x:v>
      </x:c>
      <x:c r="D6" s="34" t="str">
        <x:v>P2</x:v>
      </x:c>
      <x:c r="E6" s="34" t="str">
        <x:v>PORT-51A2628EF9C2</x:v>
      </x:c>
      <x:c r="F6" s="34" t="str">
        <x:v>ACCELERATED_15C</x:v>
      </x:c>
      <x:c r="G6" s="34" t="str">
        <x:v>DISCLOSED_PATH</x:v>
      </x:c>
      <x:c r="H6" s="40" t="b">
        <x:v>1</x:v>
      </x:c>
      <x:c r="I6" s="40" t="b">
        <x:v>1</x:v>
      </x:c>
      <x:c r="J6" s="40" t="b">
        <x:v>1</x:v>
      </x:c>
      <x:c r="K6" s="34" t="n">
        <x:v>328.220861</x:v>
      </x:c>
      <x:c r="L6" s="34" t="n">
        <x:v>7.072879</x:v>
      </x:c>
      <x:c r="M6" s="34" t="n">
        <x:v>0.124584</x:v>
      </x:c>
      <x:c r="N6" s="34" t="n">
        <x:v>-2.631205</x:v>
      </x:c>
      <x:c r="O6" s="34" t="n">
        <x:v>0.121683</x:v>
      </x:c>
      <x:c r="P6" s="34" t="n">
        <x:v>2321.466</x:v>
      </x:c>
      <x:c r="Q6" s="34" t="n">
        <x:v>40.89161</x:v>
      </x:c>
      <x:c r="R6" s="34" t="n">
        <x:v>1457.85</x:v>
      </x:c>
      <x:c r="S6" s="34" t="n">
        <x:v>77.508914</x:v>
      </x:c>
      <x:c r="T6" s="34" t="n">
        <x:v>0</x:v>
      </x:c>
      <x:c r="U6" s="34" t="n">
        <x:v>0</x:v>
      </x:c>
      <x:c r="V6" s="34" t="n">
        <x:v>-3138.417333</x:v>
      </x:c>
      <x:c r="W6" s="34" t="n">
        <x:v>40.891039</x:v>
      </x:c>
      <x:c r="X6" s="34" t="n">
        <x:v>-5459.883</x:v>
      </x:c>
      <x:c r="Y6" s="34" t="n">
        <x:v>0</x:v>
      </x:c>
      <x:c r="Z6" s="34" t="n">
        <x:v>-1210.172</x:v>
      </x:c>
      <x:c r="AA6" s="34" t="n">
        <x:v>10.778176</x:v>
      </x:c>
    </x:row>
    <x:row r="7">
      <x:c r="A7" s="34" t="str">
        <x:v>JFE_STEEL_JP</x:v>
      </x:c>
      <x:c r="B7" s="34" t="str">
        <x:v>JFE Steel</x:v>
      </x:c>
      <x:c r="C7" s="34" t="str">
        <x:v>CAND-FC0AA3F9FE37C6</x:v>
      </x:c>
      <x:c r="D7" s="34" t="str">
        <x:v>P3</x:v>
      </x:c>
      <x:c r="E7" s="34" t="str">
        <x:v>PORT-E5F3D5116135</x:v>
      </x:c>
      <x:c r="F7" s="34" t="str">
        <x:v>ACCELERATED_15C</x:v>
      </x:c>
      <x:c r="G7" s="34" t="str">
        <x:v>DISCLOSED_PATH</x:v>
      </x:c>
      <x:c r="H7" s="40" t="b">
        <x:v>1</x:v>
      </x:c>
      <x:c r="I7" s="40" t="b">
        <x:v>0</x:v>
      </x:c>
      <x:c r="J7" s="40" t="b">
        <x:v>1</x:v>
      </x:c>
      <x:c r="K7" s="34" t="n">
        <x:v>321.408363</x:v>
      </x:c>
      <x:c r="L7" s="34" t="n">
        <x:v>10.675009</x:v>
      </x:c>
      <x:c r="M7" s="34" t="n">
        <x:v>0.076198</x:v>
      </x:c>
      <x:c r="N7" s="34" t="n">
        <x:v>-1.088977</x:v>
      </x:c>
      <x:c r="O7" s="34" t="n">
        <x:v>0.169835</x:v>
      </x:c>
      <x:c r="P7" s="34" t="n">
        <x:v>3431.037</x:v>
      </x:c>
      <x:c r="Q7" s="34" t="n">
        <x:v>24.490883</x:v>
      </x:c>
      <x:c r="R7" s="34" t="n">
        <x:v>3081.030667</x:v>
      </x:c>
      <x:c r="S7" s="34" t="n">
        <x:v>79.050791</x:v>
      </x:c>
      <x:c r="T7" s="34" t="n">
        <x:v>0</x:v>
      </x:c>
      <x:c r="U7" s="34" t="n">
        <x:v>0</x:v>
      </x:c>
      <x:c r="V7" s="34" t="n">
        <x:v>-1911.477333</x:v>
      </x:c>
      <x:c r="W7" s="34" t="n">
        <x:v>24.490358</x:v>
      </x:c>
      <x:c r="X7" s="34" t="n">
        <x:v>-5342.515</x:v>
      </x:c>
      <x:c r="Y7" s="34" t="n">
        <x:v>0</x:v>
      </x:c>
      <x:c r="Z7" s="34" t="n">
        <x:v>-1534.952667</x:v>
      </x:c>
      <x:c r="AA7" s="34" t="n">
        <x:v>22.513945</x:v>
      </x:c>
    </x:row>
    <x:row r="8">
      <x:c r="A8" s="34" t="str">
        <x:v>JFE_STEEL_JP</x:v>
      </x:c>
      <x:c r="B8" s="34" t="str">
        <x:v>JFE Steel</x:v>
      </x:c>
      <x:c r="C8" s="34" t="str">
        <x:v>CAND-FCDB7C1BD7991A</x:v>
      </x:c>
      <x:c r="D8" s="34" t="str">
        <x:v>P1</x:v>
      </x:c>
      <x:c r="E8" s="34" t="str">
        <x:v>PORT-51A2628EF9C2</x:v>
      </x:c>
      <x:c r="F8" s="34" t="str">
        <x:v>ACCELERATED_15C</x:v>
      </x:c>
      <x:c r="G8" s="34" t="str">
        <x:v>DISCLOSED_PATH</x:v>
      </x:c>
      <x:c r="H8" s="40" t="b">
        <x:v>1</x:v>
      </x:c>
      <x:c r="I8" s="40" t="b">
        <x:v>1</x:v>
      </x:c>
      <x:c r="J8" s="40" t="b">
        <x:v>1</x:v>
      </x:c>
      <x:c r="K8" s="34" t="n">
        <x:v>328.220861</x:v>
      </x:c>
      <x:c r="L8" s="34" t="n">
        <x:v>5.348775</x:v>
      </x:c>
      <x:c r="M8" s="34" t="n">
        <x:v>0.165529</x:v>
      </x:c>
      <x:c r="N8" s="34" t="n">
        <x:v>-3.658442</x:v>
      </x:c>
      <x:c r="O8" s="34" t="n">
        <x:v>0.084193</x:v>
      </x:c>
      <x:c r="P8" s="34" t="n">
        <x:v>1755.579333</x:v>
      </x:c>
      <x:c r="Q8" s="34" t="n">
        <x:v>54.330246</x:v>
      </x:c>
      <x:c r="R8" s="34" t="n">
        <x:v>554.802333</x:v>
      </x:c>
      <x:c r="S8" s="34" t="n">
        <x:v>80.724164</x:v>
      </x:c>
      <x:c r="T8" s="34" t="n">
        <x:v>0</x:v>
      </x:c>
      <x:c r="U8" s="34" t="n">
        <x:v>0</x:v>
      </x:c>
      <x:c r="V8" s="34" t="n">
        <x:v>-3704.303667</x:v>
      </x:c>
      <x:c r="W8" s="34" t="n">
        <x:v>54.330246</x:v>
      </x:c>
      <x:c r="X8" s="34" t="n">
        <x:v>-5459.883</x:v>
      </x:c>
      <x:c r="Y8" s="34" t="n">
        <x:v>0</x:v>
      </x:c>
      <x:c r="Z8" s="34" t="n">
        <x:v>-652.777667</x:v>
      </x:c>
      <x:c r="AA8" s="34" t="n">
        <x:v>4.393286</x:v>
      </x:c>
    </x:row>
    <x:row r="9">
      <x:c r="A9" s="34" t="str">
        <x:v>KOBE_STEEL_JP</x:v>
      </x:c>
      <x:c r="B9" s="34" t="str">
        <x:v>Kobe Steel</x:v>
      </x:c>
      <x:c r="C9" s="34" t="str">
        <x:v>CAND-0E9003448A63C3</x:v>
      </x:c>
      <x:c r="D9" s="34" t="str">
        <x:v>P7</x:v>
      </x:c>
      <x:c r="E9" s="34" t="str">
        <x:v>PORT-F194BB679477</x:v>
      </x:c>
      <x:c r="F9" s="34" t="str">
        <x:v>ACCELERATED_15C</x:v>
      </x:c>
      <x:c r="G9" s="34" t="str">
        <x:v>DISCLOSED_PATH</x:v>
      </x:c>
      <x:c r="H9" s="40" t="b">
        <x:v>1</x:v>
      </x:c>
      <x:c r="I9" s="40" t="b">
        <x:v>0</x:v>
      </x:c>
      <x:c r="J9" s="40" t="b">
        <x:v>1</x:v>
      </x:c>
      <x:c r="K9" s="34" t="n">
        <x:v>131.48782</x:v>
      </x:c>
      <x:c r="L9" s="34" t="n">
        <x:v>26.08752</x:v>
      </x:c>
      <x:c r="M9" s="34" t="n">
        <x:v>0.00487</x:v>
      </x:c>
      <x:c r="N9" s="34" t="n">
        <x:v>0.168965</x:v>
      </x:c>
      <x:c r="O9" s="34" t="n">
        <x:v>0.026159</x:v>
      </x:c>
      <x:c r="P9" s="34" t="n">
        <x:v>3430.191333</x:v>
      </x:c>
      <x:c r="Q9" s="34" t="n">
        <x:v>0.640453</x:v>
      </x:c>
      <x:c r="R9" s="34" t="n">
        <x:v>3452.408</x:v>
      </x:c>
      <x:c r="S9" s="34" t="n">
        <x:v>3.077863</x:v>
      </x:c>
      <x:c r="T9" s="34" t="n">
        <x:v>0</x:v>
      </x:c>
      <x:c r="U9" s="34" t="n">
        <x:v>0</x:v>
      </x:c>
      <x:c r="V9" s="34" t="n">
        <x:v>1308.926333</x:v>
      </x:c>
      <x:c r="W9" s="34" t="n">
        <x:v>0.640453</x:v>
      </x:c>
      <x:c r="X9" s="34" t="n">
        <x:v>-2121.265</x:v>
      </x:c>
      <x:c r="Y9" s="34" t="n">
        <x:v>0</x:v>
      </x:c>
      <x:c r="Z9" s="34" t="n">
        <x:v>-3456.476667</x:v>
      </x:c>
      <x:c r="AA9" s="34" t="n">
        <x:v>2.355243</x:v>
      </x:c>
    </x:row>
    <x:row r="10">
      <x:c r="A10" s="34" t="str">
        <x:v>KOBE_STEEL_JP</x:v>
      </x:c>
      <x:c r="B10" s="34" t="str">
        <x:v>Kobe Steel</x:v>
      </x:c>
      <x:c r="C10" s="34" t="str">
        <x:v>CAND-314B41E5534D98</x:v>
      </x:c>
      <x:c r="D10" s="34" t="str">
        <x:v>P3</x:v>
      </x:c>
      <x:c r="E10" s="34" t="str">
        <x:v>PORT-9862FC05DA24</x:v>
      </x:c>
      <x:c r="F10" s="34" t="str">
        <x:v>ACCELERATED_15C</x:v>
      </x:c>
      <x:c r="G10" s="34" t="str">
        <x:v>DISCLOSED_PATH</x:v>
      </x:c>
      <x:c r="H10" s="40" t="b">
        <x:v>1</x:v>
      </x:c>
      <x:c r="I10" s="40" t="b">
        <x:v>1</x:v>
      </x:c>
      <x:c r="J10" s="40" t="b">
        <x:v>1</x:v>
      </x:c>
      <x:c r="K10" s="34" t="n">
        <x:v>105.301092</x:v>
      </x:c>
      <x:c r="L10" s="34" t="n">
        <x:v>8.701987</x:v>
      </x:c>
      <x:c r="M10" s="34" t="n">
        <x:v>0.209917</x:v>
      </x:c>
      <x:c r="N10" s="34" t="n">
        <x:v>-1.56063</x:v>
      </x:c>
      <x:c r="O10" s="34" t="n">
        <x:v>0.207558</x:v>
      </x:c>
      <x:c r="P10" s="34" t="n">
        <x:v>916.329</x:v>
      </x:c>
      <x:c r="Q10" s="34" t="n">
        <x:v>22.104811</x:v>
      </x:c>
      <x:c r="R10" s="34" t="n">
        <x:v>751.992667</x:v>
      </x:c>
      <x:c r="S10" s="34" t="n">
        <x:v>19.779746</x:v>
      </x:c>
      <x:c r="T10" s="34" t="n">
        <x:v>0</x:v>
      </x:c>
      <x:c r="U10" s="34" t="n">
        <x:v>0</x:v>
      </x:c>
      <x:c r="V10" s="34" t="n">
        <x:v>-802.39</x:v>
      </x:c>
      <x:c r="W10" s="34" t="n">
        <x:v>22.104811</x:v>
      </x:c>
      <x:c r="X10" s="34" t="n">
        <x:v>-1718.719</x:v>
      </x:c>
      <x:c r="Y10" s="34" t="n">
        <x:v>0</x:v>
      </x:c>
      <x:c r="Z10" s="34" t="n">
        <x:v>-905.077333</x:v>
      </x:c>
      <x:c r="AA10" s="34" t="n">
        <x:v>3.07155</x:v>
      </x:c>
    </x:row>
    <x:row r="11">
      <x:c r="A11" s="34" t="str">
        <x:v>KOBE_STEEL_JP</x:v>
      </x:c>
      <x:c r="B11" s="34" t="str">
        <x:v>Kobe Steel</x:v>
      </x:c>
      <x:c r="C11" s="34" t="str">
        <x:v>CAND-4D158AE8BC3521</x:v>
      </x:c>
      <x:c r="D11" s="34" t="str">
        <x:v>P3</x:v>
      </x:c>
      <x:c r="E11" s="34" t="str">
        <x:v>PORT-1144EBE63B41</x:v>
      </x:c>
      <x:c r="F11" s="34" t="str">
        <x:v>ACCELERATED_15C</x:v>
      </x:c>
      <x:c r="G11" s="34" t="str">
        <x:v>DISCLOSED_PATH</x:v>
      </x:c>
      <x:c r="H11" s="40" t="b">
        <x:v>1</x:v>
      </x:c>
      <x:c r="I11" s="40" t="b">
        <x:v>1</x:v>
      </x:c>
      <x:c r="J11" s="40" t="b">
        <x:v>1</x:v>
      </x:c>
      <x:c r="K11" s="34" t="n">
        <x:v>102.391093</x:v>
      </x:c>
      <x:c r="L11" s="34" t="n">
        <x:v>10.282134</x:v>
      </x:c>
      <x:c r="M11" s="34" t="n">
        <x:v>0.089848</x:v>
      </x:c>
      <x:c r="N11" s="34" t="n">
        <x:v>-1.152852</x:v>
      </x:c>
      <x:c r="O11" s="34" t="n">
        <x:v>0.123172</x:v>
      </x:c>
      <x:c r="P11" s="34" t="n">
        <x:v>1052.798667</x:v>
      </x:c>
      <x:c r="Q11" s="34" t="n">
        <x:v>9.199265</x:v>
      </x:c>
      <x:c r="R11" s="34" t="n">
        <x:v>934.757333</x:v>
      </x:c>
      <x:c r="S11" s="34" t="n">
        <x:v>21.687235</x:v>
      </x:c>
      <x:c r="T11" s="34" t="n">
        <x:v>0</x:v>
      </x:c>
      <x:c r="U11" s="34" t="n">
        <x:v>0</x:v>
      </x:c>
      <x:c r="V11" s="34" t="n">
        <x:v>-615.786333</x:v>
      </x:c>
      <x:c r="W11" s="34" t="n">
        <x:v>9.199265</x:v>
      </x:c>
      <x:c r="X11" s="34" t="n">
        <x:v>-1668.585</x:v>
      </x:c>
      <x:c r="Y11" s="34" t="n">
        <x:v>0</x:v>
      </x:c>
      <x:c r="Z11" s="34" t="n">
        <x:v>-705.235333</x:v>
      </x:c>
      <x:c r="AA11" s="34" t="n">
        <x:v>4.9862</x:v>
      </x:c>
    </x:row>
    <x:row r="12">
      <x:c r="A12" s="34" t="str">
        <x:v>KOBE_STEEL_JP</x:v>
      </x:c>
      <x:c r="B12" s="34" t="str">
        <x:v>Kobe Steel</x:v>
      </x:c>
      <x:c r="C12" s="34" t="str">
        <x:v>CAND-7F0A690E87B72D</x:v>
      </x:c>
      <x:c r="D12" s="34" t="str">
        <x:v>P2</x:v>
      </x:c>
      <x:c r="E12" s="34" t="str">
        <x:v>PORT-8384667F6B8E</x:v>
      </x:c>
      <x:c r="F12" s="34" t="str">
        <x:v>ACCELERATED_15C</x:v>
      </x:c>
      <x:c r="G12" s="34" t="str">
        <x:v>DISCLOSED_PATH</x:v>
      </x:c>
      <x:c r="H12" s="40" t="b">
        <x:v>0</x:v>
      </x:c>
      <x:c r="I12" s="40" t="b">
        <x:v>1</x:v>
      </x:c>
      <x:c r="J12" s="40" t="b">
        <x:v>1</x:v>
      </x:c>
      <x:c r="K12" s="34" t="n">
        <x:v>96.451092</x:v>
      </x:c>
      <x:c r="L12" s="34" t="n">
        <x:v>11.291361</x:v>
      </x:c>
      <x:c r="M12" s="34" t="n">
        <x:v>0.050492</x:v>
      </x:c>
      <x:c r="N12" s="34" t="n">
        <x:v>-1.500148</x:v>
      </x:c>
      <x:c r="O12" s="34" t="n">
        <x:v>0.137032</x:v>
      </x:c>
      <x:c r="P12" s="34" t="n">
        <x:v>1089.064333</x:v>
      </x:c>
      <x:c r="Q12" s="34" t="n">
        <x:v>4.87025</x:v>
      </x:c>
      <x:c r="R12" s="34" t="n">
        <x:v>944.373</x:v>
      </x:c>
      <x:c r="S12" s="34" t="n">
        <x:v>17.366099</x:v>
      </x:c>
      <x:c r="T12" s="34" t="n">
        <x:v>0</x:v>
      </x:c>
      <x:c r="U12" s="34" t="n">
        <x:v>0</x:v>
      </x:c>
      <x:c r="V12" s="34" t="n">
        <x:v>-487.867</x:v>
      </x:c>
      <x:c r="W12" s="34" t="n">
        <x:v>4.869952</x:v>
      </x:c>
      <x:c r="X12" s="34" t="n">
        <x:v>-1576.93</x:v>
      </x:c>
      <x:c r="Y12" s="34" t="n">
        <x:v>0</x:v>
      </x:c>
      <x:c r="Z12" s="34" t="n">
        <x:v>-192.229</x:v>
      </x:c>
      <x:c r="AA12" s="34" t="n">
        <x:v>0.484756</x:v>
      </x:c>
    </x:row>
    <x:row r="13">
      <x:c r="A13" s="34" t="str">
        <x:v>KOBE_STEEL_JP</x:v>
      </x:c>
      <x:c r="B13" s="34" t="str">
        <x:v>Kobe Steel</x:v>
      </x:c>
      <x:c r="C13" s="34" t="str">
        <x:v>CAND-9DD8DD0C56A40D</x:v>
      </x:c>
      <x:c r="D13" s="34" t="str">
        <x:v>P3</x:v>
      </x:c>
      <x:c r="E13" s="34" t="str">
        <x:v>PORT-8384667F6B8E</x:v>
      </x:c>
      <x:c r="F13" s="34" t="str">
        <x:v>ACCELERATED_15C</x:v>
      </x:c>
      <x:c r="G13" s="34" t="str">
        <x:v>DISCLOSED_PATH</x:v>
      </x:c>
      <x:c r="H13" s="40" t="b">
        <x:v>0</x:v>
      </x:c>
      <x:c r="I13" s="40" t="b">
        <x:v>1</x:v>
      </x:c>
      <x:c r="J13" s="40" t="b">
        <x:v>1</x:v>
      </x:c>
      <x:c r="K13" s="34" t="n">
        <x:v>96.451092</x:v>
      </x:c>
      <x:c r="L13" s="34" t="n">
        <x:v>12.082923</x:v>
      </x:c>
      <x:c r="M13" s="34" t="n">
        <x:v>0.03201</x:v>
      </x:c>
      <x:c r="N13" s="34" t="n">
        <x:v>-0.994079</x:v>
      </x:c>
      <x:c r="O13" s="34" t="n">
        <x:v>0.084611</x:v>
      </x:c>
      <x:c r="P13" s="34" t="n">
        <x:v>1165.411333</x:v>
      </x:c>
      <x:c r="Q13" s="34" t="n">
        <x:v>3.087179</x:v>
      </x:c>
      <x:c r="R13" s="34" t="n">
        <x:v>1069.531</x:v>
      </x:c>
      <x:c r="S13" s="34" t="n">
        <x:v>5.891615</x:v>
      </x:c>
      <x:c r="T13" s="34" t="n">
        <x:v>0</x:v>
      </x:c>
      <x:c r="U13" s="34" t="n">
        <x:v>0</x:v>
      </x:c>
      <x:c r="V13" s="34" t="n">
        <x:v>-411.52</x:v>
      </x:c>
      <x:c r="W13" s="34" t="n">
        <x:v>3.087299</x:v>
      </x:c>
      <x:c r="X13" s="34" t="n">
        <x:v>-1576.93</x:v>
      </x:c>
      <x:c r="Y13" s="34" t="n">
        <x:v>0</x:v>
      </x:c>
      <x:c r="Z13" s="34" t="n">
        <x:v>-269.071</x:v>
      </x:c>
      <x:c r="AA13" s="34" t="n">
        <x:v>1.676977</x:v>
      </x:c>
    </x:row>
    <x:row r="14">
      <x:c r="A14" s="34" t="str">
        <x:v>KOBE_STEEL_JP</x:v>
      </x:c>
      <x:c r="B14" s="34" t="str">
        <x:v>Kobe Steel</x:v>
      </x:c>
      <x:c r="C14" s="34" t="str">
        <x:v>CAND-B3597FD7767497</x:v>
      </x:c>
      <x:c r="D14" s="34" t="str">
        <x:v>P1</x:v>
      </x:c>
      <x:c r="E14" s="34" t="str">
        <x:v>PORT-9862FC05DA24</x:v>
      </x:c>
      <x:c r="F14" s="34" t="str">
        <x:v>ACCELERATED_15C</x:v>
      </x:c>
      <x:c r="G14" s="34" t="str">
        <x:v>DISCLOSED_PATH</x:v>
      </x:c>
      <x:c r="H14" s="40" t="b">
        <x:v>1</x:v>
      </x:c>
      <x:c r="I14" s="40" t="b">
        <x:v>1</x:v>
      </x:c>
      <x:c r="J14" s="40" t="b">
        <x:v>1</x:v>
      </x:c>
      <x:c r="K14" s="34" t="n">
        <x:v>105.301092</x:v>
      </x:c>
      <x:c r="L14" s="34" t="n">
        <x:v>2.340494</x:v>
      </x:c>
      <x:c r="M14" s="34" t="n">
        <x:v>0.237047</x:v>
      </x:c>
      <x:c r="N14" s="34" t="n">
        <x:v>-4.48708</x:v>
      </x:c>
      <x:c r="O14" s="34" t="n">
        <x:v>0.15781</x:v>
      </x:c>
      <x:c r="P14" s="34" t="n">
        <x:v>246.456667</x:v>
      </x:c>
      <x:c r="Q14" s="34" t="n">
        <x:v>24.961322</x:v>
      </x:c>
      <x:c r="R14" s="34" t="n">
        <x:v>-226.037333</x:v>
      </x:c>
      <x:c r="S14" s="34" t="n">
        <x:v>26.541082</x:v>
      </x:c>
      <x:c r="T14" s="34" t="n">
        <x:v>0</x:v>
      </x:c>
      <x:c r="U14" s="34" t="n">
        <x:v>0</x:v>
      </x:c>
      <x:c r="V14" s="34" t="n">
        <x:v>-1472.261667</x:v>
      </x:c>
      <x:c r="W14" s="34" t="n">
        <x:v>24.961488</x:v>
      </x:c>
      <x:c r="X14" s="34" t="n">
        <x:v>-1718.719</x:v>
      </x:c>
      <x:c r="Y14" s="34" t="n">
        <x:v>0</x:v>
      </x:c>
      <x:c r="Z14" s="34" t="n">
        <x:v>-226.655333</x:v>
      </x:c>
      <x:c r="AA14" s="34" t="n">
        <x:v>1.372149</x:v>
      </x:c>
    </x:row>
    <x:row r="15">
      <x:c r="A15" s="34" t="str">
        <x:v>KOBE_STEEL_JP</x:v>
      </x:c>
      <x:c r="B15" s="34" t="str">
        <x:v>Kobe Steel</x:v>
      </x:c>
      <x:c r="C15" s="34" t="str">
        <x:v>CAND-B51B2DE2F2D28C</x:v>
      </x:c>
      <x:c r="D15" s="34" t="str">
        <x:v>P4</x:v>
      </x:c>
      <x:c r="E15" s="34" t="str">
        <x:v>PORT-8A59F01B884D</x:v>
      </x:c>
      <x:c r="F15" s="34" t="str">
        <x:v>ACCELERATED_15C</x:v>
      </x:c>
      <x:c r="G15" s="34" t="str">
        <x:v>DISCLOSED_PATH</x:v>
      </x:c>
      <x:c r="H15" s="40" t="b">
        <x:v>1</x:v>
      </x:c>
      <x:c r="I15" s="40" t="b">
        <x:v>0</x:v>
      </x:c>
      <x:c r="J15" s="40" t="b">
        <x:v>1</x:v>
      </x:c>
      <x:c r="K15" s="34" t="n">
        <x:v>114.781594</x:v>
      </x:c>
      <x:c r="L15" s="34" t="n">
        <x:v>13.557611</x:v>
      </x:c>
      <x:c r="M15" s="34" t="n">
        <x:v>0.143467</x:v>
      </x:c>
      <x:c r="N15" s="34" t="n">
        <x:v>-0.030477</x:v>
      </x:c>
      <x:c r="O15" s="34" t="n">
        <x:v>0.273057</x:v>
      </x:c>
      <x:c r="P15" s="34" t="n">
        <x:v>1556.164</x:v>
      </x:c>
      <x:c r="Q15" s="34" t="n">
        <x:v>16.467175</x:v>
      </x:c>
      <x:c r="R15" s="34" t="n">
        <x:v>1552.666</x:v>
      </x:c>
      <x:c r="S15" s="34" t="n">
        <x:v>15.034628</x:v>
      </x:c>
      <x:c r="T15" s="34" t="n">
        <x:v>0</x:v>
      </x:c>
      <x:c r="U15" s="34" t="n">
        <x:v>0</x:v>
      </x:c>
      <x:c r="V15" s="34" t="n">
        <x:v>-281.785</x:v>
      </x:c>
      <x:c r="W15" s="34" t="n">
        <x:v>16.467175</x:v>
      </x:c>
      <x:c r="X15" s="34" t="n">
        <x:v>-1837.95</x:v>
      </x:c>
      <x:c r="Y15" s="34" t="n">
        <x:v>0</x:v>
      </x:c>
      <x:c r="Z15" s="34" t="n">
        <x:v>-1139.400667</x:v>
      </x:c>
      <x:c r="AA15" s="34" t="n">
        <x:v>5.091169</x:v>
      </x:c>
    </x:row>
    <x:row r="16">
      <x:c r="A16" s="34" t="str">
        <x:v>KOBE_STEEL_JP</x:v>
      </x:c>
      <x:c r="B16" s="34" t="str">
        <x:v>Kobe Steel</x:v>
      </x:c>
      <x:c r="C16" s="34" t="str">
        <x:v>CAND-C9EAFC0F482485</x:v>
      </x:c>
      <x:c r="D16" s="34" t="str">
        <x:v>P2</x:v>
      </x:c>
      <x:c r="E16" s="34" t="str">
        <x:v>PORT-1144EBE63B41</x:v>
      </x:c>
      <x:c r="F16" s="34" t="str">
        <x:v>ACCELERATED_15C</x:v>
      </x:c>
      <x:c r="G16" s="34" t="str">
        <x:v>DISCLOSED_PATH</x:v>
      </x:c>
      <x:c r="H16" s="40" t="b">
        <x:v>1</x:v>
      </x:c>
      <x:c r="I16" s="40" t="b">
        <x:v>1</x:v>
      </x:c>
      <x:c r="J16" s="40" t="b">
        <x:v>1</x:v>
      </x:c>
      <x:c r="K16" s="34" t="n">
        <x:v>102.391093</x:v>
      </x:c>
      <x:c r="L16" s="34" t="n">
        <x:v>7.16218</x:v>
      </x:c>
      <x:c r="M16" s="34" t="n">
        <x:v>0.1783</x:v>
      </x:c>
      <x:c r="N16" s="34" t="n">
        <x:v>-2.295</x:v>
      </x:c>
      <x:c r="O16" s="34" t="n">
        <x:v>0.036592</x:v>
      </x:c>
      <x:c r="P16" s="34" t="n">
        <x:v>733.343333</x:v>
      </x:c>
      <x:c r="Q16" s="34" t="n">
        <x:v>18.255984</x:v>
      </x:c>
      <x:c r="R16" s="34" t="n">
        <x:v>498.355667</x:v>
      </x:c>
      <x:c r="S16" s="34" t="n">
        <x:v>21.89296</x:v>
      </x:c>
      <x:c r="T16" s="34" t="n">
        <x:v>0</x:v>
      </x:c>
      <x:c r="U16" s="34" t="n">
        <x:v>0</x:v>
      </x:c>
      <x:c r="V16" s="34" t="n">
        <x:v>-935.241667</x:v>
      </x:c>
      <x:c r="W16" s="34" t="n">
        <x:v>18.255984</x:v>
      </x:c>
      <x:c r="X16" s="34" t="n">
        <x:v>-1668.585</x:v>
      </x:c>
      <x:c r="Y16" s="34" t="n">
        <x:v>0</x:v>
      </x:c>
      <x:c r="Z16" s="34" t="n">
        <x:v>-388.735333</x:v>
      </x:c>
      <x:c r="AA16" s="34" t="n">
        <x:v>3.97561</x:v>
      </x:c>
    </x:row>
    <x:row r="17">
      <x:c r="A17" s="34" t="str">
        <x:v>KOBE_STEEL_JP</x:v>
      </x:c>
      <x:c r="B17" s="34" t="str">
        <x:v>Kobe Steel</x:v>
      </x:c>
      <x:c r="C17" s="34" t="str">
        <x:v>CAND-CE22CF7F8F72DA</x:v>
      </x:c>
      <x:c r="D17" s="34" t="str">
        <x:v>P2</x:v>
      </x:c>
      <x:c r="E17" s="34" t="str">
        <x:v>PORT-9862FC05DA24</x:v>
      </x:c>
      <x:c r="F17" s="34" t="str">
        <x:v>ACCELERATED_15C</x:v>
      </x:c>
      <x:c r="G17" s="34" t="str">
        <x:v>DISCLOSED_PATH</x:v>
      </x:c>
      <x:c r="H17" s="40" t="b">
        <x:v>1</x:v>
      </x:c>
      <x:c r="I17" s="40" t="b">
        <x:v>1</x:v>
      </x:c>
      <x:c r="J17" s="40" t="b">
        <x:v>1</x:v>
      </x:c>
      <x:c r="K17" s="34" t="n">
        <x:v>105.301092</x:v>
      </x:c>
      <x:c r="L17" s="34" t="n">
        <x:v>4.865826</x:v>
      </x:c>
      <x:c r="M17" s="34" t="n">
        <x:v>0.267218</x:v>
      </x:c>
      <x:c r="N17" s="34" t="n">
        <x:v>-3.194163</x:v>
      </x:c>
      <x:c r="O17" s="34" t="n">
        <x:v>0.229714</x:v>
      </x:c>
      <x:c r="P17" s="34" t="n">
        <x:v>512.376667</x:v>
      </x:c>
      <x:c r="Q17" s="34" t="n">
        <x:v>28.138367</x:v>
      </x:c>
      <x:c r="R17" s="34" t="n">
        <x:v>176.028</x:v>
      </x:c>
      <x:c r="S17" s="34" t="n">
        <x:v>23.497934</x:v>
      </x:c>
      <x:c r="T17" s="34" t="n">
        <x:v>0</x:v>
      </x:c>
      <x:c r="U17" s="34" t="n">
        <x:v>0</x:v>
      </x:c>
      <x:c r="V17" s="34" t="n">
        <x:v>-1206.341667</x:v>
      </x:c>
      <x:c r="W17" s="34" t="n">
        <x:v>28.138842</x:v>
      </x:c>
      <x:c r="X17" s="34" t="n">
        <x:v>-1718.719</x:v>
      </x:c>
      <x:c r="Y17" s="34" t="n">
        <x:v>0</x:v>
      </x:c>
      <x:c r="Z17" s="34" t="n">
        <x:v>-501.477333</x:v>
      </x:c>
      <x:c r="AA17" s="34" t="n">
        <x:v>3.613033</x:v>
      </x:c>
    </x:row>
    <x:row r="18">
      <x:c r="A18" s="34" t="str">
        <x:v>KOBE_STEEL_JP</x:v>
      </x:c>
      <x:c r="B18" s="34" t="str">
        <x:v>Kobe Steel</x:v>
      </x:c>
      <x:c r="C18" s="34" t="str">
        <x:v>CAND-DCD679F188D852</x:v>
      </x:c>
      <x:c r="D18" s="34" t="str">
        <x:v>P1</x:v>
      </x:c>
      <x:c r="E18" s="34" t="str">
        <x:v>PORT-1144EBE63B41</x:v>
      </x:c>
      <x:c r="F18" s="34" t="str">
        <x:v>ACCELERATED_15C</x:v>
      </x:c>
      <x:c r="G18" s="34" t="str">
        <x:v>DISCLOSED_PATH</x:v>
      </x:c>
      <x:c r="H18" s="40" t="b">
        <x:v>1</x:v>
      </x:c>
      <x:c r="I18" s="40" t="b">
        <x:v>1</x:v>
      </x:c>
      <x:c r="J18" s="40" t="b">
        <x:v>1</x:v>
      </x:c>
      <x:c r="K18" s="34" t="n">
        <x:v>102.391093</x:v>
      </x:c>
      <x:c r="L18" s="34" t="n">
        <x:v>5.073303</x:v>
      </x:c>
      <x:c r="M18" s="34" t="n">
        <x:v>0.20804</x:v>
      </x:c>
      <x:c r="N18" s="34" t="n">
        <x:v>-3.238225</x:v>
      </x:c>
      <x:c r="O18" s="34" t="n">
        <x:v>0.021568</x:v>
      </x:c>
      <x:c r="P18" s="34" t="n">
        <x:v>519.461333</x:v>
      </x:c>
      <x:c r="Q18" s="34" t="n">
        <x:v>21.301809</x:v>
      </x:c>
      <x:c r="R18" s="34" t="n">
        <x:v>187.896</x:v>
      </x:c>
      <x:c r="S18" s="34" t="n">
        <x:v>19.194512</x:v>
      </x:c>
      <x:c r="T18" s="34" t="n">
        <x:v>0</x:v>
      </x:c>
      <x:c r="U18" s="34" t="n">
        <x:v>0</x:v>
      </x:c>
      <x:c r="V18" s="34" t="n">
        <x:v>-1149.123667</x:v>
      </x:c>
      <x:c r="W18" s="34" t="n">
        <x:v>21.301809</x:v>
      </x:c>
      <x:c r="X18" s="34" t="n">
        <x:v>-1668.585</x:v>
      </x:c>
      <x:c r="Y18" s="34" t="n">
        <x:v>0</x:v>
      </x:c>
      <x:c r="Z18" s="34" t="n">
        <x:v>-169.752333</x:v>
      </x:c>
      <x:c r="AA18" s="34" t="n">
        <x:v>1.905355</x:v>
      </x:c>
    </x:row>
    <x:row r="19">
      <x:c r="A19" s="34" t="str">
        <x:v>NIPPON_STEEL_JP</x:v>
      </x:c>
      <x:c r="B19" s="34" t="str">
        <x:v>Nippon Steel</x:v>
      </x:c>
      <x:c r="C19" s="34" t="str">
        <x:v>CAND-18F73BD54A9F34</x:v>
      </x:c>
      <x:c r="D19" s="34" t="str">
        <x:v>P1</x:v>
      </x:c>
      <x:c r="E19" s="34" t="str">
        <x:v>PORT-6742936593A9</x:v>
      </x:c>
      <x:c r="F19" s="34" t="str">
        <x:v>ACCELERATED_15C</x:v>
      </x:c>
      <x:c r="G19" s="34" t="str">
        <x:v>DISCLOSED_PATH</x:v>
      </x:c>
      <x:c r="H19" s="40" t="b">
        <x:v>1</x:v>
      </x:c>
      <x:c r="I19" s="40" t="b">
        <x:v>1</x:v>
      </x:c>
      <x:c r="J19" s="40" t="b">
        <x:v>1</x:v>
      </x:c>
      <x:c r="K19" s="34" t="n">
        <x:v>454.753949</x:v>
      </x:c>
      <x:c r="L19" s="34" t="n">
        <x:v>9.168082</x:v>
      </x:c>
      <x:c r="M19" s="34" t="n">
        <x:v>0.035414</x:v>
      </x:c>
      <x:c r="N19" s="34" t="n">
        <x:v>-2.453786</x:v>
      </x:c>
      <x:c r="O19" s="34" t="n">
        <x:v>0.291296</x:v>
      </x:c>
      <x:c r="P19" s="34" t="n">
        <x:v>4169.221667</x:v>
      </x:c>
      <x:c r="Q19" s="34" t="n">
        <x:v>16.104777</x:v>
      </x:c>
      <x:c r="R19" s="34" t="n">
        <x:v>3053.353</x:v>
      </x:c>
      <x:c r="S19" s="34" t="n">
        <x:v>131.91547</x:v>
      </x:c>
      <x:c r="T19" s="34" t="n">
        <x:v>0</x:v>
      </x:c>
      <x:c r="U19" s="34" t="n">
        <x:v>0</x:v>
      </x:c>
      <x:c r="V19" s="34" t="n">
        <x:v>-3402.210333</x:v>
      </x:c>
      <x:c r="W19" s="34" t="n">
        <x:v>16.104777</x:v>
      </x:c>
      <x:c r="X19" s="34" t="n">
        <x:v>-7571.432</x:v>
      </x:c>
      <x:c r="Y19" s="34" t="n">
        <x:v>0</x:v>
      </x:c>
      <x:c r="Z19" s="34" t="n">
        <x:v>-800.293</x:v>
      </x:c>
      <x:c r="AA19" s="34" t="n">
        <x:v>3.794413</x:v>
      </x:c>
    </x:row>
    <x:row r="20">
      <x:c r="A20" s="34" t="str">
        <x:v>NIPPON_STEEL_JP</x:v>
      </x:c>
      <x:c r="B20" s="34" t="str">
        <x:v>Nippon Steel</x:v>
      </x:c>
      <x:c r="C20" s="34" t="str">
        <x:v>CAND-32B1C4DEC95227</x:v>
      </x:c>
      <x:c r="D20" s="34" t="str">
        <x:v>P3</x:v>
      </x:c>
      <x:c r="E20" s="34" t="str">
        <x:v>PORT-0ACD636A8AEE</x:v>
      </x:c>
      <x:c r="F20" s="34" t="str">
        <x:v>ACCELERATED_15C</x:v>
      </x:c>
      <x:c r="G20" s="34" t="str">
        <x:v>DISCLOSED_PATH</x:v>
      </x:c>
      <x:c r="H20" s="40" t="b">
        <x:v>1</x:v>
      </x:c>
      <x:c r="I20" s="40" t="b">
        <x:v>0</x:v>
      </x:c>
      <x:c r="J20" s="40" t="b">
        <x:v>1</x:v>
      </x:c>
      <x:c r="K20" s="34" t="n">
        <x:v>446.878947</x:v>
      </x:c>
      <x:c r="L20" s="34" t="n">
        <x:v>12.217315</x:v>
      </x:c>
      <x:c r="M20" s="34" t="n">
        <x:v>0.143389</x:v>
      </x:c>
      <x:c r="N20" s="34" t="n">
        <x:v>-0.898551</x:v>
      </x:c>
      <x:c r="O20" s="34" t="n">
        <x:v>0.190781</x:v>
      </x:c>
      <x:c r="P20" s="34" t="n">
        <x:v>5459.661</x:v>
      </x:c>
      <x:c r="Q20" s="34" t="n">
        <x:v>64.077207</x:v>
      </x:c>
      <x:c r="R20" s="34" t="n">
        <x:v>5058.117</x:v>
      </x:c>
      <x:c r="S20" s="34" t="n">
        <x:v>91.595387</x:v>
      </x:c>
      <x:c r="T20" s="34" t="n">
        <x:v>0</x:v>
      </x:c>
      <x:c r="U20" s="34" t="n">
        <x:v>0</x:v>
      </x:c>
      <x:c r="V20" s="34" t="n">
        <x:v>-1977.198</x:v>
      </x:c>
      <x:c r="W20" s="34" t="n">
        <x:v>64.077207</x:v>
      </x:c>
      <x:c r="X20" s="34" t="n">
        <x:v>-7436.859</x:v>
      </x:c>
      <x:c r="Y20" s="34" t="n">
        <x:v>0</x:v>
      </x:c>
      <x:c r="Z20" s="34" t="n">
        <x:v>-1294.268333</x:v>
      </x:c>
      <x:c r="AA20" s="34" t="n">
        <x:v>4.432928</x:v>
      </x:c>
    </x:row>
    <x:row r="21">
      <x:c r="A21" s="34" t="str">
        <x:v>NIPPON_STEEL_JP</x:v>
      </x:c>
      <x:c r="B21" s="34" t="str">
        <x:v>Nippon Steel</x:v>
      </x:c>
      <x:c r="C21" s="34" t="str">
        <x:v>CAND-7400D0EA735D98</x:v>
      </x:c>
      <x:c r="D21" s="34" t="str">
        <x:v>P3</x:v>
      </x:c>
      <x:c r="E21" s="34" t="str">
        <x:v>PORT-6742936593A9</x:v>
      </x:c>
      <x:c r="F21" s="34" t="str">
        <x:v>ACCELERATED_15C</x:v>
      </x:c>
      <x:c r="G21" s="34" t="str">
        <x:v>DISCLOSED_PATH</x:v>
      </x:c>
      <x:c r="H21" s="40" t="b">
        <x:v>1</x:v>
      </x:c>
      <x:c r="I21" s="40" t="b">
        <x:v>1</x:v>
      </x:c>
      <x:c r="J21" s="40" t="b">
        <x:v>1</x:v>
      </x:c>
      <x:c r="K21" s="34" t="n">
        <x:v>454.753949</x:v>
      </x:c>
      <x:c r="L21" s="34" t="n">
        <x:v>11.33997</x:v>
      </x:c>
      <x:c r="M21" s="34" t="n">
        <x:v>0.142111</x:v>
      </x:c>
      <x:c r="N21" s="34" t="n">
        <x:v>-1.10815</x:v>
      </x:c>
      <x:c r="O21" s="34" t="n">
        <x:v>0.177269</x:v>
      </x:c>
      <x:c r="P21" s="34" t="n">
        <x:v>5156.896667</x:v>
      </x:c>
      <x:c r="Q21" s="34" t="n">
        <x:v>64.625507</x:v>
      </x:c>
      <x:c r="R21" s="34" t="n">
        <x:v>4652.960667</x:v>
      </x:c>
      <x:c r="S21" s="34" t="n">
        <x:v>108.299787</x:v>
      </x:c>
      <x:c r="T21" s="34" t="n">
        <x:v>0</x:v>
      </x:c>
      <x:c r="U21" s="34" t="n">
        <x:v>0</x:v>
      </x:c>
      <x:c r="V21" s="34" t="n">
        <x:v>-2414.535333</x:v>
      </x:c>
      <x:c r="W21" s="34" t="n">
        <x:v>64.625507</x:v>
      </x:c>
      <x:c r="X21" s="34" t="n">
        <x:v>-7571.432</x:v>
      </x:c>
      <x:c r="Y21" s="34" t="n">
        <x:v>0</x:v>
      </x:c>
      <x:c r="Z21" s="34" t="n">
        <x:v>-1819.071</x:v>
      </x:c>
      <x:c r="AA21" s="34" t="n">
        <x:v>12.913845</x:v>
      </x:c>
    </x:row>
    <x:row r="22">
      <x:c r="A22" s="34" t="str">
        <x:v>NIPPON_STEEL_JP</x:v>
      </x:c>
      <x:c r="B22" s="34" t="str">
        <x:v>Nippon Steel</x:v>
      </x:c>
      <x:c r="C22" s="34" t="str">
        <x:v>CAND-87B9435721978E</x:v>
      </x:c>
      <x:c r="D22" s="34" t="str">
        <x:v>P1</x:v>
      </x:c>
      <x:c r="E22" s="34" t="str">
        <x:v>PORT-5CFD50239439</x:v>
      </x:c>
      <x:c r="F22" s="34" t="str">
        <x:v>ACCELERATED_15C</x:v>
      </x:c>
      <x:c r="G22" s="34" t="str">
        <x:v>DISCLOSED_PATH</x:v>
      </x:c>
      <x:c r="H22" s="40" t="b">
        <x:v>0</x:v>
      </x:c>
      <x:c r="I22" s="40" t="b">
        <x:v>1</x:v>
      </x:c>
      <x:c r="J22" s="40" t="b">
        <x:v>1</x:v>
      </x:c>
      <x:c r="K22" s="34" t="n">
        <x:v>321.473932</x:v>
      </x:c>
      <x:c r="L22" s="34" t="n">
        <x:v>13.736238</x:v>
      </x:c>
      <x:c r="M22" s="34" t="n">
        <x:v>0.064029</x:v>
      </x:c>
      <x:c r="N22" s="34" t="n">
        <x:v>-0.81996</x:v>
      </x:c>
      <x:c r="O22" s="34" t="n">
        <x:v>0.136001</x:v>
      </x:c>
      <x:c r="P22" s="34" t="n">
        <x:v>4415.842</x:v>
      </x:c>
      <x:c r="Q22" s="34" t="n">
        <x:v>20.583393</x:v>
      </x:c>
      <x:c r="R22" s="34" t="n">
        <x:v>4152.246667</x:v>
      </x:c>
      <x:c r="S22" s="34" t="n">
        <x:v>36.677411</x:v>
      </x:c>
      <x:c r="T22" s="34" t="n">
        <x:v>0</x:v>
      </x:c>
      <x:c r="U22" s="34" t="n">
        <x:v>0</x:v>
      </x:c>
      <x:c r="V22" s="34" t="n">
        <x:v>-867.425</x:v>
      </x:c>
      <x:c r="W22" s="34" t="n">
        <x:v>20.583273</x:v>
      </x:c>
      <x:c r="X22" s="34" t="n">
        <x:v>-5283.268</x:v>
      </x:c>
      <x:c r="Y22" s="34" t="n">
        <x:v>0</x:v>
      </x:c>
      <x:c r="Z22" s="34" t="n">
        <x:v>-333.596333</x:v>
      </x:c>
      <x:c r="AA22" s="34" t="n">
        <x:v>2.314217</x:v>
      </x:c>
    </x:row>
    <x:row r="23">
      <x:c r="A23" s="34" t="str">
        <x:v>NIPPON_STEEL_JP</x:v>
      </x:c>
      <x:c r="B23" s="34" t="str">
        <x:v>Nippon Steel</x:v>
      </x:c>
      <x:c r="C23" s="34" t="str">
        <x:v>CAND-97FAAFFD87E907</x:v>
      </x:c>
      <x:c r="D23" s="34" t="str">
        <x:v>P1</x:v>
      </x:c>
      <x:c r="E23" s="34" t="str">
        <x:v>PORT-160DD6C4A97F</x:v>
      </x:c>
      <x:c r="F23" s="34" t="str">
        <x:v>ACCELERATED_15C</x:v>
      </x:c>
      <x:c r="G23" s="34" t="str">
        <x:v>DISCLOSED_PATH</x:v>
      </x:c>
      <x:c r="H23" s="40" t="b">
        <x:v>1</x:v>
      </x:c>
      <x:c r="I23" s="40" t="b">
        <x:v>0</x:v>
      </x:c>
      <x:c r="J23" s="40" t="b">
        <x:v>1</x:v>
      </x:c>
      <x:c r="K23" s="34" t="n">
        <x:v>442.153947</x:v>
      </x:c>
      <x:c r="L23" s="34" t="n">
        <x:v>12.069499</x:v>
      </x:c>
      <x:c r="M23" s="34" t="n">
        <x:v>0.13117</x:v>
      </x:c>
      <x:c r="N23" s="34" t="n">
        <x:v>-1.581563</x:v>
      </x:c>
      <x:c r="O23" s="34" t="n">
        <x:v>0.318926</x:v>
      </x:c>
      <x:c r="P23" s="34" t="n">
        <x:v>5336.576333</x:v>
      </x:c>
      <x:c r="Q23" s="34" t="n">
        <x:v>57.99692</x:v>
      </x:c>
      <x:c r="R23" s="34" t="n">
        <x:v>4637.282667</x:v>
      </x:c>
      <x:c r="S23" s="34" t="n">
        <x:v>120.994215</x:v>
      </x:c>
      <x:c r="T23" s="34" t="n">
        <x:v>0</x:v>
      </x:c>
      <x:c r="U23" s="34" t="n">
        <x:v>0</x:v>
      </x:c>
      <x:c r="V23" s="34" t="n">
        <x:v>-2018.959333</x:v>
      </x:c>
      <x:c r="W23" s="34" t="n">
        <x:v>57.9972</x:v>
      </x:c>
      <x:c r="X23" s="34" t="n">
        <x:v>-7355.536</x:v>
      </x:c>
      <x:c r="Y23" s="34" t="n">
        <x:v>0</x:v>
      </x:c>
      <x:c r="Z23" s="34" t="n">
        <x:v>-625.332667</x:v>
      </x:c>
      <x:c r="AA23" s="34" t="n">
        <x:v>1.508786</x:v>
      </x:c>
    </x:row>
    <x:row r="24">
      <x:c r="A24" s="34" t="str">
        <x:v>NIPPON_STEEL_JP</x:v>
      </x:c>
      <x:c r="B24" s="34" t="str">
        <x:v>Nippon Steel</x:v>
      </x:c>
      <x:c r="C24" s="34" t="str">
        <x:v>CAND-C1AAA9A0078119</x:v>
      </x:c>
      <x:c r="D24" s="34" t="str">
        <x:v>P1</x:v>
      </x:c>
      <x:c r="E24" s="34" t="str">
        <x:v>PORT-9E76B3BFF9FF</x:v>
      </x:c>
      <x:c r="F24" s="34" t="str">
        <x:v>ACCELERATED_15C</x:v>
      </x:c>
      <x:c r="G24" s="34" t="str">
        <x:v>DISCLOSED_PATH</x:v>
      </x:c>
      <x:c r="H24" s="40" t="b">
        <x:v>1</x:v>
      </x:c>
      <x:c r="I24" s="40" t="b">
        <x:v>1</x:v>
      </x:c>
      <x:c r="J24" s="40" t="b">
        <x:v>1</x:v>
      </x:c>
      <x:c r="K24" s="34" t="n">
        <x:v>456.103943</x:v>
      </x:c>
      <x:c r="L24" s="34" t="n">
        <x:v>8.817273</x:v>
      </x:c>
      <x:c r="M24" s="34" t="n">
        <x:v>0.133246</x:v>
      </x:c>
      <x:c r="N24" s="34" t="n">
        <x:v>-2.57089</x:v>
      </x:c>
      <x:c r="O24" s="34" t="n">
        <x:v>0.393306</x:v>
      </x:c>
      <x:c r="P24" s="34" t="n">
        <x:v>4021.592667</x:v>
      </x:c>
      <x:c r="Q24" s="34" t="n">
        <x:v>60.773981</x:v>
      </x:c>
      <x:c r="R24" s="34" t="n">
        <x:v>2848.999667</x:v>
      </x:c>
      <x:c r="S24" s="34" t="n">
        <x:v>163.852489</x:v>
      </x:c>
      <x:c r="T24" s="34" t="n">
        <x:v>0</x:v>
      </x:c>
      <x:c r="U24" s="34" t="n">
        <x:v>0</x:v>
      </x:c>
      <x:c r="V24" s="34" t="n">
        <x:v>-3568.824333</x:v>
      </x:c>
      <x:c r="W24" s="34" t="n">
        <x:v>60.773981</x:v>
      </x:c>
      <x:c r="X24" s="34" t="n">
        <x:v>-7590.417</x:v>
      </x:c>
      <x:c r="Y24" s="34" t="n">
        <x:v>0</x:v>
      </x:c>
      <x:c r="Z24" s="34" t="n">
        <x:v>-793.228333</x:v>
      </x:c>
      <x:c r="AA24" s="34" t="n">
        <x:v>3.1217</x:v>
      </x:c>
    </x:row>
    <x:row r="25">
      <x:c r="A25" s="34" t="str">
        <x:v>NIPPON_STEEL_JP</x:v>
      </x:c>
      <x:c r="B25" s="34" t="str">
        <x:v>Nippon Steel</x:v>
      </x:c>
      <x:c r="C25" s="34" t="str">
        <x:v>CAND-EBD30C485CEFDA</x:v>
      </x:c>
      <x:c r="D25" s="34" t="str">
        <x:v>P2</x:v>
      </x:c>
      <x:c r="E25" s="34" t="str">
        <x:v>PORT-9E76B3BFF9FF</x:v>
      </x:c>
      <x:c r="F25" s="34" t="str">
        <x:v>ACCELERATED_15C</x:v>
      </x:c>
      <x:c r="G25" s="34" t="str">
        <x:v>DISCLOSED_PATH</x:v>
      </x:c>
      <x:c r="H25" s="40" t="b">
        <x:v>1</x:v>
      </x:c>
      <x:c r="I25" s="40" t="b">
        <x:v>1</x:v>
      </x:c>
      <x:c r="J25" s="40" t="b">
        <x:v>1</x:v>
      </x:c>
      <x:c r="K25" s="34" t="n">
        <x:v>456.103943</x:v>
      </x:c>
      <x:c r="L25" s="34" t="n">
        <x:v>9.86761</x:v>
      </x:c>
      <x:c r="M25" s="34" t="n">
        <x:v>0.202732</x:v>
      </x:c>
      <x:c r="N25" s="34" t="n">
        <x:v>-1.959558</x:v>
      </x:c>
      <x:c r="O25" s="34" t="n">
        <x:v>0.38928</x:v>
      </x:c>
      <x:c r="P25" s="34" t="n">
        <x:v>4500.655667</x:v>
      </x:c>
      <x:c r="Q25" s="34" t="n">
        <x:v>92.467315</x:v>
      </x:c>
      <x:c r="R25" s="34" t="n">
        <x:v>3606.893333</x:v>
      </x:c>
      <x:c r="S25" s="34" t="n">
        <x:v>130.167181</x:v>
      </x:c>
      <x:c r="T25" s="34" t="n">
        <x:v>0</x:v>
      </x:c>
      <x:c r="U25" s="34" t="n">
        <x:v>0</x:v>
      </x:c>
      <x:c r="V25" s="34" t="n">
        <x:v>-3089.761667</x:v>
      </x:c>
      <x:c r="W25" s="34" t="n">
        <x:v>92.467137</x:v>
      </x:c>
      <x:c r="X25" s="34" t="n">
        <x:v>-7590.417</x:v>
      </x:c>
      <x:c r="Y25" s="34" t="n">
        <x:v>0</x:v>
      </x:c>
      <x:c r="Z25" s="34" t="n">
        <x:v>-1257.11</x:v>
      </x:c>
      <x:c r="AA25" s="34" t="n">
        <x:v>4.905681</x:v>
      </x:c>
    </x:row>
    <x:row r="26">
      <x:c r="A26" s="34" t="str">
        <x:v>NIPPON_STEEL_JP</x:v>
      </x:c>
      <x:c r="B26" s="34" t="str">
        <x:v>Nippon Steel</x:v>
      </x:c>
      <x:c r="C26" s="34" t="str">
        <x:v>CAND-EF9F86F64A1C2A</x:v>
      </x:c>
      <x:c r="D26" s="34" t="str">
        <x:v>P3</x:v>
      </x:c>
      <x:c r="E26" s="34" t="str">
        <x:v>PORT-00B029BF7478</x:v>
      </x:c>
      <x:c r="F26" s="34" t="str">
        <x:v>ACCELERATED_15C</x:v>
      </x:c>
      <x:c r="G26" s="34" t="str">
        <x:v>DISCLOSED_PATH</x:v>
      </x:c>
      <x:c r="H26" s="40" t="b">
        <x:v>1</x:v>
      </x:c>
      <x:c r="I26" s="40" t="b">
        <x:v>1</x:v>
      </x:c>
      <x:c r="J26" s="40" t="b">
        <x:v>1</x:v>
      </x:c>
      <x:c r="K26" s="34" t="n">
        <x:v>459.478949</x:v>
      </x:c>
      <x:c r="L26" s="34" t="n">
        <x:v>10.766894</x:v>
      </x:c>
      <x:c r="M26" s="34" t="n">
        <x:v>0.075439</x:v>
      </x:c>
      <x:c r="N26" s="34" t="n">
        <x:v>-1.163592</x:v>
      </x:c>
      <x:c r="O26" s="34" t="n">
        <x:v>0.064345</x:v>
      </x:c>
      <x:c r="P26" s="34" t="n">
        <x:v>4947.161</x:v>
      </x:c>
      <x:c r="Q26" s="34" t="n">
        <x:v>34.662365</x:v>
      </x:c>
      <x:c r="R26" s="34" t="n">
        <x:v>4412.515333</x:v>
      </x:c>
      <x:c r="S26" s="34" t="n">
        <x:v>48.314421</x:v>
      </x:c>
      <x:c r="T26" s="34" t="n">
        <x:v>0</x:v>
      </x:c>
      <x:c r="U26" s="34" t="n">
        <x:v>0</x:v>
      </x:c>
      <x:c r="V26" s="34" t="n">
        <x:v>-2705.593667</x:v>
      </x:c>
      <x:c r="W26" s="34" t="n">
        <x:v>34.66274</x:v>
      </x:c>
      <x:c r="X26" s="34" t="n">
        <x:v>-7652.755</x:v>
      </x:c>
      <x:c r="Y26" s="34" t="n">
        <x:v>0</x:v>
      </x:c>
      <x:c r="Z26" s="34" t="n">
        <x:v>-2192.876</x:v>
      </x:c>
      <x:c r="AA26" s="34" t="n">
        <x:v>6.423506</x:v>
      </x:c>
    </x:row>
    <x:row r="27">
      <x:c r="A27" s="34" t="str">
        <x:v>NIPPON_STEEL_JP</x:v>
      </x:c>
      <x:c r="B27" s="34" t="str">
        <x:v>Nippon Steel</x:v>
      </x:c>
      <x:c r="C27" s="34" t="str">
        <x:v>CAND-F6184286A4322F</x:v>
      </x:c>
      <x:c r="D27" s="34" t="str">
        <x:v>P2</x:v>
      </x:c>
      <x:c r="E27" s="34" t="str">
        <x:v>PORT-6742936593A9</x:v>
      </x:c>
      <x:c r="F27" s="34" t="str">
        <x:v>ACCELERATED_15C</x:v>
      </x:c>
      <x:c r="G27" s="34" t="str">
        <x:v>DISCLOSED_PATH</x:v>
      </x:c>
      <x:c r="H27" s="40" t="b">
        <x:v>1</x:v>
      </x:c>
      <x:c r="I27" s="40" t="b">
        <x:v>1</x:v>
      </x:c>
      <x:c r="J27" s="40" t="b">
        <x:v>1</x:v>
      </x:c>
      <x:c r="K27" s="34" t="n">
        <x:v>454.753949</x:v>
      </x:c>
      <x:c r="L27" s="34" t="n">
        <x:v>10.068473</x:v>
      </x:c>
      <x:c r="M27" s="34" t="n">
        <x:v>0.110694</x:v>
      </x:c>
      <x:c r="N27" s="34" t="n">
        <x:v>-1.813969</x:v>
      </x:c>
      <x:c r="O27" s="34" t="n">
        <x:v>0.216323</x:v>
      </x:c>
      <x:c r="P27" s="34" t="n">
        <x:v>4578.678</x:v>
      </x:c>
      <x:c r="Q27" s="34" t="n">
        <x:v>50.338523</x:v>
      </x:c>
      <x:c r="R27" s="34" t="n">
        <x:v>3753.768333</x:v>
      </x:c>
      <x:c r="S27" s="34" t="n">
        <x:v>144.662656</x:v>
      </x:c>
      <x:c r="T27" s="34" t="n">
        <x:v>0</x:v>
      </x:c>
      <x:c r="U27" s="34" t="n">
        <x:v>0</x:v>
      </x:c>
      <x:c r="V27" s="34" t="n">
        <x:v>-2992.754</x:v>
      </x:c>
      <x:c r="W27" s="34" t="n">
        <x:v>50.338523</x:v>
      </x:c>
      <x:c r="X27" s="34" t="n">
        <x:v>-7571.432</x:v>
      </x:c>
      <x:c r="Y27" s="34" t="n">
        <x:v>0</x:v>
      </x:c>
      <x:c r="Z27" s="34" t="n">
        <x:v>-1216.501</x:v>
      </x:c>
      <x:c r="AA27" s="34" t="n">
        <x:v>10.330138</x:v>
      </x:c>
    </x:row>
    <x:row r="28">
      <x:c r="A28" s="34" t="str">
        <x:v>NIPPON_STEEL_JP</x:v>
      </x:c>
      <x:c r="B28" s="34" t="str">
        <x:v>Nippon Steel</x:v>
      </x:c>
      <x:c r="C28" s="34" t="str">
        <x:v>CAND-FCEB78D7C5F4C6</x:v>
      </x:c>
      <x:c r="D28" s="34" t="str">
        <x:v>P1</x:v>
      </x:c>
      <x:c r="E28" s="34" t="str">
        <x:v>PORT-7DCD4991144C</x:v>
      </x:c>
      <x:c r="F28" s="34" t="str">
        <x:v>ACCELERATED_15C</x:v>
      </x:c>
      <x:c r="G28" s="34" t="str">
        <x:v>DISCLOSED_PATH</x:v>
      </x:c>
      <x:c r="H28" s="40" t="b">
        <x:v>0</x:v>
      </x:c>
      <x:c r="I28" s="40" t="b">
        <x:v>1</x:v>
      </x:c>
      <x:c r="J28" s="40" t="b">
        <x:v>1</x:v>
      </x:c>
      <x:c r="K28" s="34" t="n">
        <x:v>313.643967</x:v>
      </x:c>
      <x:c r="L28" s="34" t="n">
        <x:v>13.754287</x:v>
      </x:c>
      <x:c r="M28" s="34" t="n">
        <x:v>0.05943</x:v>
      </x:c>
      <x:c r="N28" s="34" t="n">
        <x:v>-0.80926</x:v>
      </x:c>
      <x:c r="O28" s="34" t="n">
        <x:v>0.249265</x:v>
      </x:c>
      <x:c r="P28" s="34" t="n">
        <x:v>4313.948667</x:v>
      </x:c>
      <x:c r="Q28" s="34" t="n">
        <x:v>18.639797</x:v>
      </x:c>
      <x:c r="R28" s="34" t="n">
        <x:v>4060.129667</x:v>
      </x:c>
      <x:c r="S28" s="34" t="n">
        <x:v>66.219743</x:v>
      </x:c>
      <x:c r="T28" s="34" t="n">
        <x:v>0</x:v>
      </x:c>
      <x:c r="U28" s="34" t="n">
        <x:v>0</x:v>
      </x:c>
      <x:c r="V28" s="34" t="n">
        <x:v>-859.201333</x:v>
      </x:c>
      <x:c r="W28" s="34" t="n">
        <x:v>18.639797</x:v>
      </x:c>
      <x:c r="X28" s="34" t="n">
        <x:v>-5173.151</x:v>
      </x:c>
      <x:c r="Y28" s="34" t="n">
        <x:v>0</x:v>
      </x:c>
      <x:c r="Z28" s="34" t="n">
        <x:v>-337.551</x:v>
      </x:c>
      <x:c r="AA28" s="34" t="n">
        <x:v>1.324403</x:v>
      </x:c>
    </x:row>
    <x:row r="29">
      <x:c r="A29" s="34" t="str">
        <x:v>POSCO_KR</x:v>
      </x:c>
      <x:c r="B29" s="34" t="str">
        <x:v>POSCO</x:v>
      </x:c>
      <x:c r="C29" s="34" t="str">
        <x:v>CAND-2F5D03A613EDBE</x:v>
      </x:c>
      <x:c r="D29" s="34" t="str">
        <x:v>P1</x:v>
      </x:c>
      <x:c r="E29" s="34" t="str">
        <x:v>PORT-0E469489028A</x:v>
      </x:c>
      <x:c r="F29" s="34" t="str">
        <x:v>ACCELERATED_15C</x:v>
      </x:c>
      <x:c r="G29" s="34" t="str">
        <x:v>DISCLOSED_PATH</x:v>
      </x:c>
      <x:c r="H29" s="40" t="b">
        <x:v>0</x:v>
      </x:c>
      <x:c r="I29" s="40" t="b">
        <x:v>1</x:v>
      </x:c>
      <x:c r="J29" s="40" t="b">
        <x:v>1</x:v>
      </x:c>
      <x:c r="K29" s="34" t="n">
        <x:v>261.543846</x:v>
      </x:c>
      <x:c r="L29" s="34" t="n">
        <x:v>14.707413</x:v>
      </x:c>
      <x:c r="M29" s="34" t="n">
        <x:v>0.02449</x:v>
      </x:c>
      <x:c r="N29" s="34" t="n">
        <x:v>-0.601986</x:v>
      </x:c>
      <x:c r="O29" s="34" t="n">
        <x:v>0.092108</x:v>
      </x:c>
      <x:c r="P29" s="34" t="n">
        <x:v>3846.633333</x:v>
      </x:c>
      <x:c r="Q29" s="34" t="n">
        <x:v>6.405276</x:v>
      </x:c>
      <x:c r="R29" s="34" t="n">
        <x:v>3689.187667</x:v>
      </x:c>
      <x:c r="S29" s="34" t="n">
        <x:v>18.047993</x:v>
      </x:c>
      <x:c r="T29" s="34" t="n">
        <x:v>0</x:v>
      </x:c>
      <x:c r="U29" s="34" t="n">
        <x:v>0</x:v>
      </x:c>
      <x:c r="V29" s="34" t="n">
        <x:v>-473.846667</x:v>
      </x:c>
      <x:c r="W29" s="34" t="n">
        <x:v>6.404862</x:v>
      </x:c>
      <x:c r="X29" s="34" t="n">
        <x:v>-4320.48</x:v>
      </x:c>
      <x:c r="Y29" s="34" t="n">
        <x:v>0</x:v>
      </x:c>
      <x:c r="Z29" s="34" t="n">
        <x:v>-232.616333</x:v>
      </x:c>
      <x:c r="AA29" s="34" t="n">
        <x:v>1.9404</x:v>
      </x:c>
    </x:row>
    <x:row r="30">
      <x:c r="A30" s="34" t="str">
        <x:v>POSCO_KR</x:v>
      </x:c>
      <x:c r="B30" s="34" t="str">
        <x:v>POSCO</x:v>
      </x:c>
      <x:c r="C30" s="34" t="str">
        <x:v>CAND-44C957BBFA61A4</x:v>
      </x:c>
      <x:c r="D30" s="34" t="str">
        <x:v>P1</x:v>
      </x:c>
      <x:c r="E30" s="34" t="str">
        <x:v>PORT-96133A6427FE</x:v>
      </x:c>
      <x:c r="F30" s="34" t="str">
        <x:v>ACCELERATED_15C</x:v>
      </x:c>
      <x:c r="G30" s="34" t="str">
        <x:v>DISCLOSED_PATH</x:v>
      </x:c>
      <x:c r="H30" s="40" t="b">
        <x:v>1</x:v>
      </x:c>
      <x:c r="I30" s="40" t="b">
        <x:v>1</x:v>
      </x:c>
      <x:c r="J30" s="40" t="b">
        <x:v>1</x:v>
      </x:c>
      <x:c r="K30" s="34" t="n">
        <x:v>430.20423</x:v>
      </x:c>
      <x:c r="L30" s="34" t="n">
        <x:v>10.920593</x:v>
      </x:c>
      <x:c r="M30" s="34" t="n">
        <x:v>0.112575</x:v>
      </x:c>
      <x:c r="N30" s="34" t="n">
        <x:v>-2.013132</x:v>
      </x:c>
      <x:c r="O30" s="34" t="n">
        <x:v>0.333852</x:v>
      </x:c>
      <x:c r="P30" s="34" t="n">
        <x:v>4698.085</x:v>
      </x:c>
      <x:c r="Q30" s="34" t="n">
        <x:v>48.430663</x:v>
      </x:c>
      <x:c r="R30" s="34" t="n">
        <x:v>3832.027333</x:v>
      </x:c>
      <x:c r="S30" s="34" t="n">
        <x:v>179.635273</x:v>
      </x:c>
      <x:c r="T30" s="34" t="n">
        <x:v>0</x:v>
      </x:c>
      <x:c r="U30" s="34" t="n">
        <x:v>0</x:v>
      </x:c>
      <x:c r="V30" s="34" t="n">
        <x:v>-2487.439333</x:v>
      </x:c>
      <x:c r="W30" s="34" t="n">
        <x:v>48.430091</x:v>
      </x:c>
      <x:c r="X30" s="34" t="n">
        <x:v>-7185.524</x:v>
      </x:c>
      <x:c r="Y30" s="34" t="n">
        <x:v>0</x:v>
      </x:c>
      <x:c r="Z30" s="34" t="n">
        <x:v>-831.294</x:v>
      </x:c>
      <x:c r="AA30" s="34" t="n">
        <x:v>0.564059</x:v>
      </x:c>
    </x:row>
    <x:row r="31">
      <x:c r="A31" s="34" t="str">
        <x:v>POSCO_KR</x:v>
      </x:c>
      <x:c r="B31" s="34" t="str">
        <x:v>POSCO</x:v>
      </x:c>
      <x:c r="C31" s="34" t="str">
        <x:v>CAND-466C04961ED513</x:v>
      </x:c>
      <x:c r="D31" s="34" t="str">
        <x:v>P2</x:v>
      </x:c>
      <x:c r="E31" s="34" t="str">
        <x:v>PORT-7ED23B40E316</x:v>
      </x:c>
      <x:c r="F31" s="34" t="str">
        <x:v>ACCELERATED_15C</x:v>
      </x:c>
      <x:c r="G31" s="34" t="str">
        <x:v>DISCLOSED_PATH</x:v>
      </x:c>
      <x:c r="H31" s="40" t="b">
        <x:v>1</x:v>
      </x:c>
      <x:c r="I31" s="40" t="b">
        <x:v>0</x:v>
      </x:c>
      <x:c r="J31" s="40" t="b">
        <x:v>1</x:v>
      </x:c>
      <x:c r="K31" s="34" t="n">
        <x:v>414.904229</x:v>
      </x:c>
      <x:c r="L31" s="34" t="n">
        <x:v>13.54221</x:v>
      </x:c>
      <x:c r="M31" s="34" t="n">
        <x:v>0.119232</x:v>
      </x:c>
      <x:c r="N31" s="34" t="n">
        <x:v>-0.871098</x:v>
      </x:c>
      <x:c r="O31" s="34" t="n">
        <x:v>0.026931</x:v>
      </x:c>
      <x:c r="P31" s="34" t="n">
        <x:v>5618.720333</x:v>
      </x:c>
      <x:c r="Q31" s="34" t="n">
        <x:v>49.469227</x:v>
      </x:c>
      <x:c r="R31" s="34" t="n">
        <x:v>5257.298</x:v>
      </x:c>
      <x:c r="S31" s="34" t="n">
        <x:v>47.285748</x:v>
      </x:c>
      <x:c r="T31" s="34" t="n">
        <x:v>0</x:v>
      </x:c>
      <x:c r="U31" s="34" t="n">
        <x:v>0</x:v>
      </x:c>
      <x:c r="V31" s="34" t="n">
        <x:v>-1309.192667</x:v>
      </x:c>
      <x:c r="W31" s="34" t="n">
        <x:v>49.4701</x:v>
      </x:c>
      <x:c r="X31" s="34" t="n">
        <x:v>-6927.912</x:v>
      </x:c>
      <x:c r="Y31" s="34" t="n">
        <x:v>0</x:v>
      </x:c>
      <x:c r="Z31" s="34" t="n">
        <x:v>-737.786667</x:v>
      </x:c>
      <x:c r="AA31" s="34" t="n">
        <x:v>3.934349</x:v>
      </x:c>
    </x:row>
    <x:row r="32">
      <x:c r="A32" s="34" t="str">
        <x:v>POSCO_KR</x:v>
      </x:c>
      <x:c r="B32" s="34" t="str">
        <x:v>POSCO</x:v>
      </x:c>
      <x:c r="C32" s="34" t="str">
        <x:v>CAND-4EF614D30D6D91</x:v>
      </x:c>
      <x:c r="D32" s="34" t="str">
        <x:v>P2</x:v>
      </x:c>
      <x:c r="E32" s="34" t="str">
        <x:v>PORT-96133A6427FE</x:v>
      </x:c>
      <x:c r="F32" s="34" t="str">
        <x:v>ACCELERATED_15C</x:v>
      </x:c>
      <x:c r="G32" s="34" t="str">
        <x:v>DISCLOSED_PATH</x:v>
      </x:c>
      <x:c r="H32" s="40" t="b">
        <x:v>1</x:v>
      </x:c>
      <x:c r="I32" s="40" t="b">
        <x:v>1</x:v>
      </x:c>
      <x:c r="J32" s="40" t="b">
        <x:v>1</x:v>
      </x:c>
      <x:c r="K32" s="34" t="n">
        <x:v>430.20423</x:v>
      </x:c>
      <x:c r="L32" s="34" t="n">
        <x:v>11.613703</x:v>
      </x:c>
      <x:c r="M32" s="34" t="n">
        <x:v>0.072483</x:v>
      </x:c>
      <x:c r="N32" s="34" t="n">
        <x:v>-1.500099</x:v>
      </x:c>
      <x:c r="O32" s="34" t="n">
        <x:v>0.325828</x:v>
      </x:c>
      <x:c r="P32" s="34" t="n">
        <x:v>4996.264333</x:v>
      </x:c>
      <x:c r="Q32" s="34" t="n">
        <x:v>31.182909</x:v>
      </x:c>
      <x:c r="R32" s="34" t="n">
        <x:v>4350.915333</x:v>
      </x:c>
      <x:c r="S32" s="34" t="n">
        <x:v>162.881096</x:v>
      </x:c>
      <x:c r="T32" s="34" t="n">
        <x:v>0</x:v>
      </x:c>
      <x:c r="U32" s="34" t="n">
        <x:v>0</x:v>
      </x:c>
      <x:c r="V32" s="34" t="n">
        <x:v>-2189.260333</x:v>
      </x:c>
      <x:c r="W32" s="34" t="n">
        <x:v>31.182549</x:v>
      </x:c>
      <x:c r="X32" s="34" t="n">
        <x:v>-7185.524</x:v>
      </x:c>
      <x:c r="Y32" s="34" t="n">
        <x:v>0</x:v>
      </x:c>
      <x:c r="Z32" s="34" t="n">
        <x:v>-1124.405</x:v>
      </x:c>
      <x:c r="AA32" s="34" t="n">
        <x:v>8.250287</x:v>
      </x:c>
    </x:row>
    <x:row r="33">
      <x:c r="A33" s="34" t="str">
        <x:v>POSCO_KR</x:v>
      </x:c>
      <x:c r="B33" s="34" t="str">
        <x:v>POSCO</x:v>
      </x:c>
      <x:c r="C33" s="34" t="str">
        <x:v>CAND-6339E6B83A8408</x:v>
      </x:c>
      <x:c r="D33" s="34" t="str">
        <x:v>P3</x:v>
      </x:c>
      <x:c r="E33" s="34" t="str">
        <x:v>PORT-8826D0B469EE</x:v>
      </x:c>
      <x:c r="F33" s="34" t="str">
        <x:v>ACCELERATED_15C</x:v>
      </x:c>
      <x:c r="G33" s="34" t="str">
        <x:v>DISCLOSED_PATH</x:v>
      </x:c>
      <x:c r="H33" s="40" t="b">
        <x:v>1</x:v>
      </x:c>
      <x:c r="I33" s="40" t="b">
        <x:v>1</x:v>
      </x:c>
      <x:c r="J33" s="40" t="b">
        <x:v>1</x:v>
      </x:c>
      <x:c r="K33" s="34" t="n">
        <x:v>429.154227</x:v>
      </x:c>
      <x:c r="L33" s="34" t="n">
        <x:v>12.685648</x:v>
      </x:c>
      <x:c r="M33" s="34" t="n">
        <x:v>0.032173</x:v>
      </x:c>
      <x:c r="N33" s="34" t="n">
        <x:v>-0.927978</x:v>
      </x:c>
      <x:c r="O33" s="34" t="n">
        <x:v>0.172615</x:v>
      </x:c>
      <x:c r="P33" s="34" t="n">
        <x:v>5444.099667</x:v>
      </x:c>
      <x:c r="Q33" s="34" t="n">
        <x:v>13.807594</x:v>
      </x:c>
      <x:c r="R33" s="34" t="n">
        <x:v>5045.854</x:v>
      </x:c>
      <x:c r="S33" s="34" t="n">
        <x:v>80.091036</x:v>
      </x:c>
      <x:c r="T33" s="34" t="n">
        <x:v>0</x:v>
      </x:c>
      <x:c r="U33" s="34" t="n">
        <x:v>0</x:v>
      </x:c>
      <x:c r="V33" s="34" t="n">
        <x:v>-1729.069333</x:v>
      </x:c>
      <x:c r="W33" s="34" t="n">
        <x:v>13.807594</x:v>
      </x:c>
      <x:c r="X33" s="34" t="n">
        <x:v>-7173.169</x:v>
      </x:c>
      <x:c r="Y33" s="34" t="n">
        <x:v>0</x:v>
      </x:c>
      <x:c r="Z33" s="34" t="n">
        <x:v>-1532.464667</x:v>
      </x:c>
      <x:c r="AA33" s="34" t="n">
        <x:v>9.768321</x:v>
      </x:c>
    </x:row>
    <x:row r="34">
      <x:c r="A34" s="34" t="str">
        <x:v>POSCO_KR</x:v>
      </x:c>
      <x:c r="B34" s="34" t="str">
        <x:v>POSCO</x:v>
      </x:c>
      <x:c r="C34" s="34" t="str">
        <x:v>CAND-63781C106D5099</x:v>
      </x:c>
      <x:c r="D34" s="34" t="str">
        <x:v>P1</x:v>
      </x:c>
      <x:c r="E34" s="34" t="str">
        <x:v>PORT-41705C04BF44</x:v>
      </x:c>
      <x:c r="F34" s="34" t="str">
        <x:v>ACCELERATED_15C</x:v>
      </x:c>
      <x:c r="G34" s="34" t="str">
        <x:v>DISCLOSED_PATH</x:v>
      </x:c>
      <x:c r="H34" s="40" t="b">
        <x:v>0</x:v>
      </x:c>
      <x:c r="I34" s="40" t="b">
        <x:v>1</x:v>
      </x:c>
      <x:c r="J34" s="40" t="b">
        <x:v>1</x:v>
      </x:c>
      <x:c r="K34" s="34" t="n">
        <x:v>234.011233</x:v>
      </x:c>
      <x:c r="L34" s="34" t="n">
        <x:v>14.784551</x:v>
      </x:c>
      <x:c r="M34" s="34" t="n">
        <x:v>0.039053</x:v>
      </x:c>
      <x:c r="N34" s="34" t="n">
        <x:v>-0.541458</x:v>
      </x:c>
      <x:c r="O34" s="34" t="n">
        <x:v>0.152603</x:v>
      </x:c>
      <x:c r="P34" s="34" t="n">
        <x:v>3459.751</x:v>
      </x:c>
      <x:c r="Q34" s="34" t="n">
        <x:v>9.138731</x:v>
      </x:c>
      <x:c r="R34" s="34" t="n">
        <x:v>3333.043667</x:v>
      </x:c>
      <x:c r="S34" s="34" t="n">
        <x:v>37.929096</x:v>
      </x:c>
      <x:c r="T34" s="34" t="n">
        <x:v>0</x:v>
      </x:c>
      <x:c r="U34" s="34" t="n">
        <x:v>0</x:v>
      </x:c>
      <x:c r="V34" s="34" t="n">
        <x:v>-387.805</x:v>
      </x:c>
      <x:c r="W34" s="34" t="n">
        <x:v>9.138731</x:v>
      </x:c>
      <x:c r="X34" s="34" t="n">
        <x:v>-3847.556</x:v>
      </x:c>
      <x:c r="Y34" s="34" t="n">
        <x:v>0</x:v>
      </x:c>
      <x:c r="Z34" s="34" t="n">
        <x:v>-222.661667</x:v>
      </x:c>
      <x:c r="AA34" s="34" t="n">
        <x:v>1.416316</x:v>
      </x:c>
    </x:row>
    <x:row r="35">
      <x:c r="A35" s="34" t="str">
        <x:v>POSCO_KR</x:v>
      </x:c>
      <x:c r="B35" s="34" t="str">
        <x:v>POSCO</x:v>
      </x:c>
      <x:c r="C35" s="34" t="str">
        <x:v>CAND-7BC738434560A6</x:v>
      </x:c>
      <x:c r="D35" s="34" t="str">
        <x:v>P1</x:v>
      </x:c>
      <x:c r="E35" s="34" t="str">
        <x:v>PORT-7ED23B40E316</x:v>
      </x:c>
      <x:c r="F35" s="34" t="str">
        <x:v>ACCELERATED_15C</x:v>
      </x:c>
      <x:c r="G35" s="34" t="str">
        <x:v>DISCLOSED_PATH</x:v>
      </x:c>
      <x:c r="H35" s="40" t="b">
        <x:v>1</x:v>
      </x:c>
      <x:c r="I35" s="40" t="b">
        <x:v>0</x:v>
      </x:c>
      <x:c r="J35" s="40" t="b">
        <x:v>1</x:v>
      </x:c>
      <x:c r="K35" s="34" t="n">
        <x:v>414.904229</x:v>
      </x:c>
      <x:c r="L35" s="34" t="n">
        <x:v>13.301403</x:v>
      </x:c>
      <x:c r="M35" s="34" t="n">
        <x:v>0.162626</x:v>
      </x:c>
      <x:c r="N35" s="34" t="n">
        <x:v>-1.171303</x:v>
      </x:c>
      <x:c r="O35" s="34" t="n">
        <x:v>0.151732</x:v>
      </x:c>
      <x:c r="P35" s="34" t="n">
        <x:v>5518.808</x:v>
      </x:c>
      <x:c r="Q35" s="34" t="n">
        <x:v>67.474018</x:v>
      </x:c>
      <x:c r="R35" s="34" t="n">
        <x:v>5032.83</x:v>
      </x:c>
      <x:c r="S35" s="34" t="n">
        <x:v>41.257852</x:v>
      </x:c>
      <x:c r="T35" s="34" t="n">
        <x:v>0</x:v>
      </x:c>
      <x:c r="U35" s="34" t="n">
        <x:v>0</x:v>
      </x:c>
      <x:c r="V35" s="34" t="n">
        <x:v>-1409.104</x:v>
      </x:c>
      <x:c r="W35" s="34" t="n">
        <x:v>67.474018</x:v>
      </x:c>
      <x:c r="X35" s="34" t="n">
        <x:v>-6927.912</x:v>
      </x:c>
      <x:c r="Y35" s="34" t="n">
        <x:v>0</x:v>
      </x:c>
      <x:c r="Z35" s="34" t="n">
        <x:v>-634.587</x:v>
      </x:c>
      <x:c r="AA35" s="34" t="n">
        <x:v>2.068101</x:v>
      </x:c>
    </x:row>
    <x:row r="36">
      <x:c r="A36" s="34" t="str">
        <x:v>POSCO_KR</x:v>
      </x:c>
      <x:c r="B36" s="34" t="str">
        <x:v>POSCO</x:v>
      </x:c>
      <x:c r="C36" s="34" t="str">
        <x:v>CAND-82FF2AA13BA34C</x:v>
      </x:c>
      <x:c r="D36" s="34" t="str">
        <x:v>P2</x:v>
      </x:c>
      <x:c r="E36" s="34" t="str">
        <x:v>PORT-8826D0B469EE</x:v>
      </x:c>
      <x:c r="F36" s="34" t="str">
        <x:v>ACCELERATED_15C</x:v>
      </x:c>
      <x:c r="G36" s="34" t="str">
        <x:v>DISCLOSED_PATH</x:v>
      </x:c>
      <x:c r="H36" s="40" t="b">
        <x:v>1</x:v>
      </x:c>
      <x:c r="I36" s="40" t="b">
        <x:v>1</x:v>
      </x:c>
      <x:c r="J36" s="40" t="b">
        <x:v>1</x:v>
      </x:c>
      <x:c r="K36" s="34" t="n">
        <x:v>429.154227</x:v>
      </x:c>
      <x:c r="L36" s="34" t="n">
        <x:v>11.735729</x:v>
      </x:c>
      <x:c r="M36" s="34" t="n">
        <x:v>0.069219</x:v>
      </x:c>
      <x:c r="N36" s="34" t="n">
        <x:v>-1.42567</x:v>
      </x:c>
      <x:c r="O36" s="34" t="n">
        <x:v>0.187267</x:v>
      </x:c>
      <x:c r="P36" s="34" t="n">
        <x:v>5036.437667</x:v>
      </x:c>
      <x:c r="Q36" s="34" t="n">
        <x:v>29.70616</x:v>
      </x:c>
      <x:c r="R36" s="34" t="n">
        <x:v>4424.605667</x:v>
      </x:c>
      <x:c r="S36" s="34" t="n">
        <x:v>104.302542</x:v>
      </x:c>
      <x:c r="T36" s="34" t="n">
        <x:v>0</x:v>
      </x:c>
      <x:c r="U36" s="34" t="n">
        <x:v>0</x:v>
      </x:c>
      <x:c r="V36" s="34" t="n">
        <x:v>-2136.732</x:v>
      </x:c>
      <x:c r="W36" s="34" t="n">
        <x:v>29.70611</x:v>
      </x:c>
      <x:c r="X36" s="34" t="n">
        <x:v>-7173.169</x:v>
      </x:c>
      <x:c r="Y36" s="34" t="n">
        <x:v>0</x:v>
      </x:c>
      <x:c r="Z36" s="34" t="n">
        <x:v>-1129.241667</x:v>
      </x:c>
      <x:c r="AA36" s="34" t="n">
        <x:v>8.028176</x:v>
      </x:c>
    </x:row>
    <x:row r="37">
      <x:c r="A37" s="34" t="str">
        <x:v>POSCO_KR</x:v>
      </x:c>
      <x:c r="B37" s="34" t="str">
        <x:v>POSCO</x:v>
      </x:c>
      <x:c r="C37" s="34" t="str">
        <x:v>CAND-921D50D4015721</x:v>
      </x:c>
      <x:c r="D37" s="34" t="str">
        <x:v>P3</x:v>
      </x:c>
      <x:c r="E37" s="34" t="str">
        <x:v>PORT-96133A6427FE</x:v>
      </x:c>
      <x:c r="F37" s="34" t="str">
        <x:v>ACCELERATED_15C</x:v>
      </x:c>
      <x:c r="G37" s="34" t="str">
        <x:v>DISCLOSED_PATH</x:v>
      </x:c>
      <x:c r="H37" s="40" t="b">
        <x:v>1</x:v>
      </x:c>
      <x:c r="I37" s="40" t="b">
        <x:v>1</x:v>
      </x:c>
      <x:c r="J37" s="40" t="b">
        <x:v>1</x:v>
      </x:c>
      <x:c r="K37" s="34" t="n">
        <x:v>430.20423</x:v>
      </x:c>
      <x:c r="L37" s="34" t="n">
        <x:v>12.612317</x:v>
      </x:c>
      <x:c r="M37" s="34" t="n">
        <x:v>0.057596</x:v>
      </x:c>
      <x:c r="N37" s="34" t="n">
        <x:v>-0.844766</x:v>
      </x:c>
      <x:c r="O37" s="34" t="n">
        <x:v>0.187116</x:v>
      </x:c>
      <x:c r="P37" s="34" t="n">
        <x:v>5425.872</x:v>
      </x:c>
      <x:c r="Q37" s="34" t="n">
        <x:v>24.77804</x:v>
      </x:c>
      <x:c r="R37" s="34" t="n">
        <x:v>5062.45</x:v>
      </x:c>
      <x:c r="S37" s="34" t="n">
        <x:v>88.958038</x:v>
      </x:c>
      <x:c r="T37" s="34" t="n">
        <x:v>0</x:v>
      </x:c>
      <x:c r="U37" s="34" t="n">
        <x:v>0</x:v>
      </x:c>
      <x:c r="V37" s="34" t="n">
        <x:v>-1759.652333</x:v>
      </x:c>
      <x:c r="W37" s="34" t="n">
        <x:v>24.777479</x:v>
      </x:c>
      <x:c r="X37" s="34" t="n">
        <x:v>-7185.524</x:v>
      </x:c>
      <x:c r="Y37" s="34" t="n">
        <x:v>0</x:v>
      </x:c>
      <x:c r="Z37" s="34" t="n">
        <x:v>-1568.035333</x:v>
      </x:c>
      <x:c r="AA37" s="34" t="n">
        <x:v>2.393898</x:v>
      </x:c>
    </x:row>
    <x:row r="38">
      <x:c r="A38" s="35" t="str">
        <x:v>POSCO_KR</x:v>
      </x:c>
      <x:c r="B38" s="35" t="str">
        <x:v>POSCO</x:v>
      </x:c>
      <x:c r="C38" s="35" t="str">
        <x:v>CAND-C9724A8933A429</x:v>
      </x:c>
      <x:c r="D38" s="35" t="str">
        <x:v>P1</x:v>
      </x:c>
      <x:c r="E38" s="35" t="str">
        <x:v>PORT-8826D0B469EE</x:v>
      </x:c>
      <x:c r="F38" s="35" t="str">
        <x:v>ACCELERATED_15C</x:v>
      </x:c>
      <x:c r="G38" s="35" t="str">
        <x:v>DISCLOSED_PATH</x:v>
      </x:c>
      <x:c r="H38" s="41" t="b">
        <x:v>1</x:v>
      </x:c>
      <x:c r="I38" s="41" t="b">
        <x:v>1</x:v>
      </x:c>
      <x:c r="J38" s="41" t="b">
        <x:v>1</x:v>
      </x:c>
      <x:c r="K38" s="35" t="n">
        <x:v>429.154227</x:v>
      </x:c>
      <x:c r="L38" s="35" t="n">
        <x:v>11.129308</x:v>
      </x:c>
      <x:c r="M38" s="35" t="n">
        <x:v>0.075376</x:v>
      </x:c>
      <x:c r="N38" s="35" t="n">
        <x:v>-1.973124</x:v>
      </x:c>
      <x:c r="O38" s="35" t="n">
        <x:v>0.127283</x:v>
      </x:c>
      <x:c r="P38" s="35" t="n">
        <x:v>4776.189667</x:v>
      </x:c>
      <x:c r="Q38" s="35" t="n">
        <x:v>32.347108</x:v>
      </x:c>
      <x:c r="R38" s="35" t="n">
        <x:v>3929.415333</x:v>
      </x:c>
      <x:c r="S38" s="35" t="n">
        <x:v>86.928625</x:v>
      </x:c>
      <x:c r="T38" s="35" t="n">
        <x:v>0</x:v>
      </x:c>
      <x:c r="U38" s="35" t="n">
        <x:v>0</x:v>
      </x:c>
      <x:c r="V38" s="35" t="n">
        <x:v>-2396.979333</x:v>
      </x:c>
      <x:c r="W38" s="35" t="n">
        <x:v>32.347108</x:v>
      </x:c>
      <x:c r="X38" s="35" t="n">
        <x:v>-7173.169</x:v>
      </x:c>
      <x:c r="Y38" s="35" t="n">
        <x:v>0</x:v>
      </x:c>
      <x:c r="Z38" s="35" t="n">
        <x:v>-863.333667</x:v>
      </x:c>
      <x:c r="AA38" s="35" t="n">
        <x:v>5.483636</x:v>
      </x:c>
    </x:row>
  </x:sheetData>
  <x:pageMargins left="0.7" right="0.7" top="0.75" bottom="0.75" header="0.3" footer="0.3"/>
</x:worksheet>
</file>

<file path=xl/worksheets/sheet31.xml><?xml version="1.0" encoding="utf-8"?>
<x:worksheet xmlns:x="http://schemas.openxmlformats.org/spreadsheetml/2006/main">
  <x:sheetViews>
    <x:sheetView showGridLines="0" workbookViewId="0"/>
  </x:sheetViews>
  <x:sheetFormatPr defaultRowHeight="15"/>
  <x:cols>
    <x:col min="1" max="1" width="21" hidden="0" customWidth="1"/>
    <x:col min="2" max="2" width="21" hidden="0" customWidth="1"/>
    <x:col min="3" max="3" width="21" hidden="0" customWidth="1"/>
    <x:col min="4" max="4" width="21" hidden="0" customWidth="1"/>
    <x:col min="5" max="5" width="21" hidden="0" customWidth="1"/>
    <x:col min="6" max="6" width="21" hidden="0" customWidth="1"/>
    <x:col min="7" max="7" width="21"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 min="32" max="32" width="16" hidden="0" customWidth="1"/>
    <x:col min="33" max="33" width="16" hidden="0" customWidth="1"/>
    <x:col min="34" max="34" width="16" hidden="0" customWidth="1"/>
    <x:col min="35" max="35" width="16" hidden="0" customWidth="1"/>
    <x:col min="36" max="36" width="16"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6" hidden="0" customWidth="1"/>
    <x:col min="47" max="47" width="16" hidden="0" customWidth="1"/>
    <x:col min="48" max="48" width="16" hidden="0" customWidth="1"/>
    <x:col min="49" max="49" width="16" hidden="0" customWidth="1"/>
    <x:col min="50" max="50" width="16" hidden="0" customWidth="1"/>
    <x:col min="51" max="51" width="16" hidden="0" customWidth="1"/>
    <x:col min="52" max="52" width="16" hidden="0" customWidth="1"/>
    <x:col min="53" max="53" width="16" hidden="0" customWidth="1"/>
    <x:col min="54" max="54" width="16" hidden="0" customWidth="1"/>
    <x:col min="55" max="55" width="16" hidden="0" customWidth="1"/>
    <x:col min="56" max="56" width="16" hidden="0" customWidth="1"/>
    <x:col min="57" max="57" width="16" hidden="0" customWidth="1"/>
    <x:col min="58" max="58" width="16" hidden="0" customWidth="1"/>
    <x:col min="59" max="59" width="16" hidden="0" customWidth="1"/>
    <x:col min="60" max="60" width="16" hidden="0" customWidth="1"/>
    <x:col min="61" max="61" width="16" hidden="0" customWidth="1"/>
    <x:col min="62" max="62" width="16" hidden="0" customWidth="1"/>
    <x:col min="63" max="63" width="16" hidden="0" customWidth="1"/>
  </x:cols>
  <x:sheetData>
    <x:row r="1" ht="28" customHeight="1">
      <x:c r="A1" s="29" t="str">
        <x:v>company_id</x:v>
      </x:c>
      <x:c r="B1" s="29" t="str">
        <x:v>company_name</x:v>
      </x:c>
      <x:c r="C1" s="29" t="str">
        <x:v>scenario_id</x:v>
      </x:c>
      <x:c r="D1" s="29" t="str">
        <x:v>plan_id</x:v>
      </x:c>
      <x:c r="E1" s="29" t="str">
        <x:v>facility_id</x:v>
      </x:c>
      <x:c r="F1" s="29" t="str">
        <x:v>facility_name</x:v>
      </x:c>
      <x:c r="G1" s="29" t="str">
        <x:v>region</x:v>
      </x:c>
      <x:c r="H1" s="29" t="str">
        <x:v>transition_year</x:v>
      </x:c>
      <x:c r="I1" s="29" t="str">
        <x:v>baseline_technology_id</x:v>
      </x:c>
      <x:c r="J1" s="29" t="str">
        <x:v>baseline_technology_name</x:v>
      </x:c>
      <x:c r="K1" s="29" t="str">
        <x:v>technology_id</x:v>
      </x:c>
      <x:c r="L1" s="29" t="str">
        <x:v>technology_name</x:v>
      </x:c>
      <x:c r="M1" s="29" t="str">
        <x:v>aligned_capex_bn_krw</x:v>
      </x:c>
      <x:c r="N1" s="29" t="str">
        <x:v>incremental_capex_bn_krw</x:v>
      </x:c>
      <x:c r="O1" s="29" t="str">
        <x:v>capacity_mtpa</x:v>
      </x:c>
      <x:c r="P1" s="29" t="str">
        <x:v>output_mt</x:v>
      </x:c>
      <x:c r="Q1" s="29" t="str">
        <x:v>baseline_emissions_mtco2</x:v>
      </x:c>
      <x:c r="R1" s="29" t="str">
        <x:v>emissions_2030_mtco2</x:v>
      </x:c>
      <x:c r="S1" s="29" t="str">
        <x:v>emissions_2040_mtco2</x:v>
      </x:c>
      <x:c r="T1" s="29" t="str">
        <x:v>residual_emissions_mtco2</x:v>
      </x:c>
      <x:c r="U1" s="29" t="str">
        <x:v>annual_avoided_emissions_mtco2</x:v>
      </x:c>
      <x:c r="V1" s="29" t="str">
        <x:v>cumulative_avoided_emissions_mtco2</x:v>
      </x:c>
      <x:c r="W1" s="29" t="str">
        <x:v>base_case_gross_cost_bn_krw</x:v>
      </x:c>
      <x:c r="X1" s="29" t="str">
        <x:v>base_case_policy_support_bn_krw</x:v>
      </x:c>
      <x:c r="Y1" s="29" t="str">
        <x:v>base_case_cash_cost_before_support_bn_krw</x:v>
      </x:c>
      <x:c r="Z1" s="29" t="str">
        <x:v>base_case_net_cash_cost_after_support_bn_krw</x:v>
      </x:c>
      <x:c r="AA1" s="29" t="str">
        <x:v>base_case_avoided_carbon_cost_value_bn_krw</x:v>
      </x:c>
      <x:c r="AB1" s="29" t="str">
        <x:v>base_case_net_cost_bn_krw</x:v>
      </x:c>
      <x:c r="AC1" s="29" t="str">
        <x:v>base_case_capex_cost_bn_krw</x:v>
      </x:c>
      <x:c r="AD1" s="29" t="str">
        <x:v>base_case_fixed_opex_cost_bn_krw</x:v>
      </x:c>
      <x:c r="AE1" s="29" t="str">
        <x:v>base_case_electricity_cost_bn_krw</x:v>
      </x:c>
      <x:c r="AF1" s="29" t="str">
        <x:v>base_case_hydrogen_cost_bn_krw</x:v>
      </x:c>
      <x:c r="AG1" s="29" t="str">
        <x:v>base_case_contract_premium_bn_krw</x:v>
      </x:c>
      <x:c r="AH1" s="29" t="str">
        <x:v>base_case_carbon_value_bn_krw</x:v>
      </x:c>
      <x:c r="AI1" s="29" t="str">
        <x:v>data_status</x:v>
      </x:c>
      <x:c r="AJ1" s="29" t="str">
        <x:v>source_note</x:v>
      </x:c>
      <x:c r="AK1" s="29" t="str">
        <x:v>candidate_id</x:v>
      </x:c>
      <x:c r="AL1" s="29" t="str">
        <x:v>template_plan_id</x:v>
      </x:c>
      <x:c r="AM1" s="29" t="str">
        <x:v>physical_portfolio_id</x:v>
      </x:c>
      <x:c r="AN1" s="29" t="str">
        <x:v>candidate_path_count</x:v>
      </x:c>
      <x:c r="AO1" s="29" t="str">
        <x:v>candidate_p50_kkrw_per_tco2</x:v>
      </x:c>
      <x:c r="AP1" s="29" t="str">
        <x:v>candidate_tcar_kkrw_per_tco2</x:v>
      </x:c>
      <x:c r="AQ1" s="29" t="str">
        <x:v>common_avoided_emissions_mtco2</x:v>
      </x:c>
      <x:c r="AR1" s="29" t="str">
        <x:v>deterministic_economic_npv_bn_krw</x:v>
      </x:c>
      <x:c r="AS1" s="29" t="str">
        <x:v>deterministic_cost_common_kkrw_per_tco2</x:v>
      </x:c>
      <x:c r="AT1" s="29" t="str">
        <x:v>carbon_budget_feasible</x:v>
      </x:c>
      <x:c r="AU1" s="29" t="str">
        <x:v>scenario_feasible</x:v>
      </x:c>
      <x:c r="AV1" s="29" t="str">
        <x:v>first_budget_breach_year</x:v>
      </x:c>
      <x:c r="AW1" s="29" t="str">
        <x:v>max_annual_budget_excess_mtco2</x:v>
      </x:c>
      <x:c r="AX1" s="29" t="str">
        <x:v>minimum_annual_budget_margin_mtco2</x:v>
      </x:c>
      <x:c r="AY1" s="29" t="str">
        <x:v>physical_constraints_feasible</x:v>
      </x:c>
      <x:c r="AZ1" s="29" t="str">
        <x:v>resource_constraints_feasible</x:v>
      </x:c>
      <x:c r="BA1" s="29" t="str">
        <x:v>construction_concurrency_feasible</x:v>
      </x:c>
      <x:c r="BB1" s="29" t="str">
        <x:v>failure_risk_constraint_feasible</x:v>
      </x:c>
      <x:c r="BC1" s="29" t="str">
        <x:v>first_resource_breach_year</x:v>
      </x:c>
      <x:c r="BD1" s="29" t="str">
        <x:v>max_scrap_supply_excess_mt</x:v>
      </x:c>
      <x:c r="BE1" s="29" t="str">
        <x:v>max_hydrogen_supply_excess_mt</x:v>
      </x:c>
      <x:c r="BF1" s="29" t="str">
        <x:v>max_incremental_grid_excess_twh</x:v>
      </x:c>
      <x:c r="BG1" s="29" t="str">
        <x:v>max_concurrent_construction_projects</x:v>
      </x:c>
      <x:c r="BH1" s="29" t="str">
        <x:v>concurrent_construction_limit</x:v>
      </x:c>
      <x:c r="BI1" s="29" t="str">
        <x:v>portfolio_failure_probability</x:v>
      </x:c>
      <x:c r="BJ1" s="29" t="str">
        <x:v>portfolio_failure_probability_limit</x:v>
      </x:c>
      <x:c r="BK1" s="29" t="str">
        <x:v>expected_failure_delay_years</x:v>
      </x:c>
    </x:row>
    <x:row r="2">
      <x:c r="A2" s="34" t="str">
        <x:v>JFE_STEEL_JP</x:v>
      </x:c>
      <x:c r="B2" s="34" t="str">
        <x:v>JFE Steel</x:v>
      </x:c>
      <x:c r="C2" s="34" t="str">
        <x:v>DISCLOSED_PATH</x:v>
      </x:c>
      <x:c r="D2" s="34" t="str">
        <x:v>P2</x:v>
      </x:c>
      <x:c r="E2" s="34" t="str">
        <x:v>JFE-CHIBA</x:v>
      </x:c>
      <x:c r="F2" s="34" t="str">
        <x:v>East Japan Works Chiba</x:v>
      </x:c>
      <x:c r="G2" s="34" t="str">
        <x:v>치바</x:v>
      </x:c>
      <x:c r="H2" s="34" t="n">
        <x:v>2036</x:v>
      </x:c>
      <x:c r="I2" s="34" t="str">
        <x:v>BF_BOF</x:v>
      </x:c>
      <x:c r="J2" s="34" t="str">
        <x:v>기준 BF-BOF 복합 블록</x:v>
      </x:c>
      <x:c r="K2" s="34" t="str">
        <x:v>BF_RELINE</x:v>
      </x:c>
      <x:c r="L2" s="34" t="str">
        <x:v>BF 개수·효율 패키지</x:v>
      </x:c>
      <x:c r="M2" s="34" t="n">
        <x:v>1650</x:v>
      </x:c>
      <x:c r="N2" s="34" t="n">
        <x:v>330</x:v>
      </x:c>
      <x:c r="O2" s="34" t="n">
        <x:v>6</x:v>
      </x:c>
      <x:c r="P2" s="34" t="n">
        <x:v>5.449998</x:v>
      </x:c>
      <x:c r="Q2" s="34" t="n">
        <x:v>11.528348</x:v>
      </x:c>
      <x:c r="R2" s="34" t="n">
        <x:v>11.528348</x:v>
      </x:c>
      <x:c r="S2" s="34" t="n">
        <x:v>10.354996</x:v>
      </x:c>
      <x:c r="T2" s="34" t="n">
        <x:v>10.354996</x:v>
      </x:c>
      <x:c r="U2" s="34" t="n">
        <x:v>1.173352</x:v>
      </x:c>
      <x:c r="V2" s="34" t="n">
        <x:v>5.866759</x:v>
      </x:c>
      <x:c r="W2" s="34" t="n">
        <x:v>6.398</x:v>
      </x:c>
      <x:c r="X2" s="34" t="n">
        <x:v>0</x:v>
      </x:c>
      <x:c r="Y2" s="34" t="n">
        <x:v>211.33</x:v>
      </x:c>
      <x:c r="Z2" s="34" t="n">
        <x:v>211.33</x:v>
      </x:c>
      <x:c r="AA2" s="34" t="n">
        <x:v>204.931</x:v>
      </x:c>
      <x:c r="AB2" s="34" t="n">
        <x:v>6.398</x:v>
      </x:c>
      <x:c r="AC2" s="34" t="n">
        <x:v>183.12</x:v>
      </x:c>
      <x:c r="AD2" s="34" t="n">
        <x:v>0</x:v>
      </x:c>
      <x:c r="AE2" s="34" t="n">
        <x:v>27.801</x:v>
      </x:c>
      <x:c r="AF2" s="34" t="n">
        <x:v>0</x:v>
      </x:c>
      <x:c r="AG2" s="34" t="n">
        <x:v>0.408</x:v>
      </x:c>
      <x:c r="AH2" s="34" t="n">
        <x:v>-204.931</x:v>
      </x:c>
      <x:c r="AI2" s="34" t="str">
        <x:v>model_estimate</x:v>
      </x:c>
      <x:c r="AJ2" s="34" t="str">
        <x:v>JFE 공식 생산·배출 총량에 맞춘 설비 블록 배분</x:v>
      </x:c>
      <x:c r="AK2" s="34" t="str">
        <x:v>CAND-0B566F19FFC9A2</x:v>
      </x:c>
      <x:c r="AL2" s="34" t="str">
        <x:v>P2</x:v>
      </x:c>
      <x:c r="AM2" s="34" t="str">
        <x:v>PORT-CCD4397FA6D4</x:v>
      </x:c>
      <x:c r="AN2" s="34" t="n">
        <x:v>1000</x:v>
      </x:c>
      <x:c r="AO2" s="34" t="n">
        <x:v>113.380842</x:v>
      </x:c>
      <x:c r="AP2" s="34" t="n">
        <x:v>30.812167</x:v>
      </x:c>
      <x:c r="AQ2" s="34" t="n">
        <x:v>281.895878</x:v>
      </x:c>
      <x:c r="AR2" s="34" t="n">
        <x:v>31362.25</x:v>
      </x:c>
      <x:c r="AS2" s="34" t="n">
        <x:v>111.25473</x:v>
      </x:c>
      <x:c r="AT2" s="40" t="b">
        <x:v>1</x:v>
      </x:c>
      <x:c r="AU2" s="40" t="b">
        <x:v>1</x:v>
      </x:c>
      <x:c r="AV2" s="34" t="str"/>
      <x:c r="AW2" s="34" t="n">
        <x:v>0</x:v>
      </x:c>
      <x:c r="AX2" s="34" t="str">
        <x:v>1.265341119704999e-05</x:v>
      </x:c>
      <x:c r="AY2" s="40" t="b">
        <x:v>1</x:v>
      </x:c>
      <x:c r="AZ2" s="40" t="b">
        <x:v>1</x:v>
      </x:c>
      <x:c r="BA2" s="40" t="b">
        <x:v>1</x:v>
      </x:c>
      <x:c r="BB2" s="40" t="b">
        <x:v>1</x:v>
      </x:c>
      <x:c r="BC2" s="34" t="str"/>
      <x:c r="BD2" s="34" t="n">
        <x:v>0</x:v>
      </x:c>
      <x:c r="BE2" s="34" t="n">
        <x:v>0</x:v>
      </x:c>
      <x:c r="BF2" s="34" t="n">
        <x:v>0</x:v>
      </x:c>
      <x:c r="BG2" s="34" t="n">
        <x:v>2</x:v>
      </x:c>
      <x:c r="BH2" s="34" t="n">
        <x:v>3</x:v>
      </x:c>
      <x:c r="BI2" s="34" t="n">
        <x:v>0.3119871999999999</x:v>
      </x:c>
      <x:c r="BJ2" s="34" t="n">
        <x:v>0.65</x:v>
      </x:c>
      <x:c r="BK2" s="34" t="n">
        <x:v>1.1400000000000001</x:v>
      </x:c>
    </x:row>
    <x:row r="3">
      <x:c r="A3" s="34" t="str">
        <x:v>JFE_STEEL_JP</x:v>
      </x:c>
      <x:c r="B3" s="34" t="str">
        <x:v>JFE Steel</x:v>
      </x:c>
      <x:c r="C3" s="34" t="str">
        <x:v>DISCLOSED_PATH</x:v>
      </x:c>
      <x:c r="D3" s="34" t="str">
        <x:v>P2</x:v>
      </x:c>
      <x:c r="E3" s="34" t="str">
        <x:v>JFE-FUKU</x:v>
      </x:c>
      <x:c r="F3" s="34" t="str">
        <x:v>West Japan Works Fukuyama</x:v>
      </x:c>
      <x:c r="G3" s="34" t="str">
        <x:v>후쿠야마</x:v>
      </x:c>
      <x:c r="H3" s="34" t="n">
        <x:v>2033</x:v>
      </x:c>
      <x:c r="I3" s="34" t="str">
        <x:v>BF_BOF</x:v>
      </x:c>
      <x:c r="J3" s="34" t="str">
        <x:v>기준 BF-BOF 복합 블록</x:v>
      </x:c>
      <x:c r="K3" s="34" t="str">
        <x:v>H2_DRI_EAF</x:v>
      </x:c>
      <x:c r="L3" s="34" t="str">
        <x:v>수소 DRI + EAF</x:v>
      </x:c>
      <x:c r="M3" s="34" t="n">
        <x:v>9702</x:v>
      </x:c>
      <x:c r="N3" s="34" t="n">
        <x:v>7546</x:v>
      </x:c>
      <x:c r="O3" s="34" t="n">
        <x:v>9.8</x:v>
      </x:c>
      <x:c r="P3" s="34" t="n">
        <x:v>8.999997</x:v>
      </x:c>
      <x:c r="Q3" s="34" t="n">
        <x:v>19.037639</x:v>
      </x:c>
      <x:c r="R3" s="34" t="n">
        <x:v>19.037639</x:v>
      </x:c>
      <x:c r="S3" s="34" t="n">
        <x:v>1.799999</x:v>
      </x:c>
      <x:c r="T3" s="34" t="n">
        <x:v>1.799999</x:v>
      </x:c>
      <x:c r="U3" s="34" t="n">
        <x:v>17.237639</x:v>
      </x:c>
      <x:c r="V3" s="34" t="n">
        <x:v>137.901116</x:v>
      </x:c>
      <x:c r="W3" s="34" t="n">
        <x:v>30673.471</x:v>
      </x:c>
      <x:c r="X3" s="34" t="n">
        <x:v>2151.904</x:v>
      </x:c>
      <x:c r="Y3" s="34" t="n">
        <x:v>35521.981</x:v>
      </x:c>
      <x:c r="Z3" s="34" t="n">
        <x:v>33370.077</x:v>
      </x:c>
      <x:c r="AA3" s="34" t="n">
        <x:v>4848.509</x:v>
      </x:c>
      <x:c r="AB3" s="34" t="n">
        <x:v>28521.568</x:v>
      </x:c>
      <x:c r="AC3" s="34" t="n">
        <x:v>4916.965</x:v>
      </x:c>
      <x:c r="AD3" s="34" t="n">
        <x:v>509.49</x:v>
      </x:c>
      <x:c r="AE3" s="34" t="n">
        <x:v>3636.405</x:v>
      </x:c>
      <x:c r="AF3" s="34" t="n">
        <x:v>26417.415</x:v>
      </x:c>
      <x:c r="AG3" s="34" t="n">
        <x:v>41.706</x:v>
      </x:c>
      <x:c r="AH3" s="34" t="n">
        <x:v>-4848.509</x:v>
      </x:c>
      <x:c r="AI3" s="34" t="str">
        <x:v>model_estimate</x:v>
      </x:c>
      <x:c r="AJ3" s="34" t="str">
        <x:v>JFE 공식 생산·배출 총량에 맞춘 설비 블록 배분</x:v>
      </x:c>
      <x:c r="AK3" s="34" t="str">
        <x:v>CAND-0B566F19FFC9A2</x:v>
      </x:c>
      <x:c r="AL3" s="34" t="str">
        <x:v>P2</x:v>
      </x:c>
      <x:c r="AM3" s="34" t="str">
        <x:v>PORT-CCD4397FA6D4</x:v>
      </x:c>
      <x:c r="AN3" s="34" t="n">
        <x:v>1000</x:v>
      </x:c>
      <x:c r="AO3" s="34" t="n">
        <x:v>113.380842</x:v>
      </x:c>
      <x:c r="AP3" s="34" t="n">
        <x:v>30.812167</x:v>
      </x:c>
      <x:c r="AQ3" s="34" t="n">
        <x:v>281.895878</x:v>
      </x:c>
      <x:c r="AR3" s="34" t="n">
        <x:v>31362.25</x:v>
      </x:c>
      <x:c r="AS3" s="34" t="n">
        <x:v>111.25473</x:v>
      </x:c>
      <x:c r="AT3" s="40" t="b">
        <x:v>1</x:v>
      </x:c>
      <x:c r="AU3" s="40" t="b">
        <x:v>1</x:v>
      </x:c>
      <x:c r="AV3" s="34" t="str"/>
      <x:c r="AW3" s="34" t="n">
        <x:v>0</x:v>
      </x:c>
      <x:c r="AX3" s="34" t="str">
        <x:v>1.265341119704999e-05</x:v>
      </x:c>
      <x:c r="AY3" s="40" t="b">
        <x:v>1</x:v>
      </x:c>
      <x:c r="AZ3" s="40" t="b">
        <x:v>1</x:v>
      </x:c>
      <x:c r="BA3" s="40" t="b">
        <x:v>1</x:v>
      </x:c>
      <x:c r="BB3" s="40" t="b">
        <x:v>1</x:v>
      </x:c>
      <x:c r="BC3" s="34" t="str"/>
      <x:c r="BD3" s="34" t="n">
        <x:v>0</x:v>
      </x:c>
      <x:c r="BE3" s="34" t="n">
        <x:v>0</x:v>
      </x:c>
      <x:c r="BF3" s="34" t="n">
        <x:v>0</x:v>
      </x:c>
      <x:c r="BG3" s="34" t="n">
        <x:v>2</x:v>
      </x:c>
      <x:c r="BH3" s="34" t="n">
        <x:v>3</x:v>
      </x:c>
      <x:c r="BI3" s="34" t="n">
        <x:v>0.3119871999999999</x:v>
      </x:c>
      <x:c r="BJ3" s="34" t="n">
        <x:v>0.65</x:v>
      </x:c>
      <x:c r="BK3" s="34" t="n">
        <x:v>1.1400000000000001</x:v>
      </x:c>
    </x:row>
    <x:row r="4">
      <x:c r="A4" s="34" t="str">
        <x:v>JFE_STEEL_JP</x:v>
      </x:c>
      <x:c r="B4" s="34" t="str">
        <x:v>JFE Steel</x:v>
      </x:c>
      <x:c r="C4" s="34" t="str">
        <x:v>DISCLOSED_PATH</x:v>
      </x:c>
      <x:c r="D4" s="34" t="str">
        <x:v>P2</x:v>
      </x:c>
      <x:c r="E4" s="34" t="str">
        <x:v>JFE-KURA</x:v>
      </x:c>
      <x:c r="F4" s="34" t="str">
        <x:v>West Japan Works Kurashiki</x:v>
      </x:c>
      <x:c r="G4" s="34" t="str">
        <x:v>구라시키</x:v>
      </x:c>
      <x:c r="H4" s="34" t="n">
        <x:v>2029</x:v>
      </x:c>
      <x:c r="I4" s="34" t="str">
        <x:v>BF_BOF</x:v>
      </x:c>
      <x:c r="J4" s="34" t="str">
        <x:v>기준 BF-BOF 복합 블록</x:v>
      </x:c>
      <x:c r="K4" s="34" t="str">
        <x:v>SCRAP_EAF</x:v>
      </x:c>
      <x:c r="L4" s="34" t="str">
        <x:v>스크랩 기반 대형 EAF</x:v>
      </x:c>
      <x:c r="M4" s="34" t="n">
        <x:v>4558.4</x:v>
      </x:c>
      <x:c r="N4" s="34" t="n">
        <x:v>2930.4</x:v>
      </x:c>
      <x:c r="O4" s="34" t="n">
        <x:v>7.4</x:v>
      </x:c>
      <x:c r="P4" s="34" t="n">
        <x:v>6.800001</x:v>
      </x:c>
      <x:c r="Q4" s="34" t="n">
        <x:v>14.384</x:v>
      </x:c>
      <x:c r="R4" s="34" t="n">
        <x:v>3.06</x:v>
      </x:c>
      <x:c r="S4" s="34" t="n">
        <x:v>3.06</x:v>
      </x:c>
      <x:c r="T4" s="34" t="n">
        <x:v>3.06</x:v>
      </x:c>
      <x:c r="U4" s="34" t="n">
        <x:v>11.324</x:v>
      </x:c>
      <x:c r="V4" s="34" t="n">
        <x:v>135.888002</x:v>
      </x:c>
      <x:c r="W4" s="34" t="n">
        <x:v>3471.316</x:v>
      </x:c>
      <x:c r="X4" s="34" t="n">
        <x:v>612.709</x:v>
      </x:c>
      <x:c r="Y4" s="34" t="n">
        <x:v>8221.645</x:v>
      </x:c>
      <x:c r="Z4" s="34" t="n">
        <x:v>7608.936</x:v>
      </x:c>
      <x:c r="AA4" s="34" t="n">
        <x:v>4750.329</x:v>
      </x:c>
      <x:c r="AB4" s="34" t="n">
        <x:v>2858.607</x:v>
      </x:c>
      <x:c r="AC4" s="34" t="n">
        <x:v>2365.468</x:v>
      </x:c>
      <x:c r="AD4" s="34" t="n">
        <x:v>299.458</x:v>
      </x:c>
      <x:c r="AE4" s="34" t="n">
        <x:v>5543.673</x:v>
      </x:c>
      <x:c r="AF4" s="34" t="n">
        <x:v>0</x:v>
      </x:c>
      <x:c r="AG4" s="34" t="n">
        <x:v>13.046</x:v>
      </x:c>
      <x:c r="AH4" s="34" t="n">
        <x:v>-4750.329</x:v>
      </x:c>
      <x:c r="AI4" s="34" t="str">
        <x:v>model_estimate</x:v>
      </x:c>
      <x:c r="AJ4" s="34" t="str">
        <x:v>2028 혁신 EAF 공시를 반영한 조기 재투자 창; 생산량은 공식 총량에 맞춘 추정</x:v>
      </x:c>
      <x:c r="AK4" s="34" t="str">
        <x:v>CAND-0B566F19FFC9A2</x:v>
      </x:c>
      <x:c r="AL4" s="34" t="str">
        <x:v>P2</x:v>
      </x:c>
      <x:c r="AM4" s="34" t="str">
        <x:v>PORT-CCD4397FA6D4</x:v>
      </x:c>
      <x:c r="AN4" s="34" t="n">
        <x:v>1000</x:v>
      </x:c>
      <x:c r="AO4" s="34" t="n">
        <x:v>113.380842</x:v>
      </x:c>
      <x:c r="AP4" s="34" t="n">
        <x:v>30.812167</x:v>
      </x:c>
      <x:c r="AQ4" s="34" t="n">
        <x:v>281.895878</x:v>
      </x:c>
      <x:c r="AR4" s="34" t="n">
        <x:v>31362.25</x:v>
      </x:c>
      <x:c r="AS4" s="34" t="n">
        <x:v>111.25473</x:v>
      </x:c>
      <x:c r="AT4" s="40" t="b">
        <x:v>1</x:v>
      </x:c>
      <x:c r="AU4" s="40" t="b">
        <x:v>1</x:v>
      </x:c>
      <x:c r="AV4" s="34" t="str"/>
      <x:c r="AW4" s="34" t="n">
        <x:v>0</x:v>
      </x:c>
      <x:c r="AX4" s="34" t="str">
        <x:v>1.265341119704999e-05</x:v>
      </x:c>
      <x:c r="AY4" s="40" t="b">
        <x:v>1</x:v>
      </x:c>
      <x:c r="AZ4" s="40" t="b">
        <x:v>1</x:v>
      </x:c>
      <x:c r="BA4" s="40" t="b">
        <x:v>1</x:v>
      </x:c>
      <x:c r="BB4" s="40" t="b">
        <x:v>1</x:v>
      </x:c>
      <x:c r="BC4" s="34" t="str"/>
      <x:c r="BD4" s="34" t="n">
        <x:v>0</x:v>
      </x:c>
      <x:c r="BE4" s="34" t="n">
        <x:v>0</x:v>
      </x:c>
      <x:c r="BF4" s="34" t="n">
        <x:v>0</x:v>
      </x:c>
      <x:c r="BG4" s="34" t="n">
        <x:v>2</x:v>
      </x:c>
      <x:c r="BH4" s="34" t="n">
        <x:v>3</x:v>
      </x:c>
      <x:c r="BI4" s="34" t="n">
        <x:v>0.3119871999999999</x:v>
      </x:c>
      <x:c r="BJ4" s="34" t="n">
        <x:v>0.65</x:v>
      </x:c>
      <x:c r="BK4" s="34" t="n">
        <x:v>1.1400000000000001</x:v>
      </x:c>
    </x:row>
    <x:row r="5">
      <x:c r="A5" s="34" t="str">
        <x:v>JFE_STEEL_JP</x:v>
      </x:c>
      <x:c r="B5" s="34" t="str">
        <x:v>JFE Steel</x:v>
      </x:c>
      <x:c r="C5" s="34" t="str">
        <x:v>DISCLOSED_PATH</x:v>
      </x:c>
      <x:c r="D5" s="34" t="str">
        <x:v>P2</x:v>
      </x:c>
      <x:c r="E5" s="34" t="str">
        <x:v>JFE-SENDAI</x:v>
      </x:c>
      <x:c r="F5" s="34" t="str">
        <x:v>Sendai Works EAF</x:v>
      </x:c>
      <x:c r="G5" s="34" t="str">
        <x:v>센다이</x:v>
      </x:c>
      <x:c r="H5" s="34" t="n">
        <x:v>2033</x:v>
      </x:c>
      <x:c r="I5" s="34" t="str">
        <x:v>EAF_BASELINE</x:v>
      </x:c>
      <x:c r="J5" s="34" t="str">
        <x:v>기존 전기로 기준 블록</x:v>
      </x:c>
      <x:c r="K5" s="34" t="str">
        <x:v>EAF_RENEWABLE</x:v>
      </x:c>
      <x:c r="L5" s="34" t="str">
        <x:v>기존 EAF 재생전력 업그레이드</x:v>
      </x:c>
      <x:c r="M5" s="34" t="n">
        <x:v>228.8</x:v>
      </x:c>
      <x:c r="N5" s="34" t="n">
        <x:v>70.4</x:v>
      </x:c>
      <x:c r="O5" s="34" t="n">
        <x:v>0.8</x:v>
      </x:c>
      <x:c r="P5" s="34" t="n">
        <x:v>0.7</x:v>
      </x:c>
      <x:c r="Q5" s="34" t="n">
        <x:v>0.35</x:v>
      </x:c>
      <x:c r="R5" s="34" t="n">
        <x:v>0.35</x:v>
      </x:c>
      <x:c r="S5" s="34" t="n">
        <x:v>0.07</x:v>
      </x:c>
      <x:c r="T5" s="34" t="n">
        <x:v>0.07</x:v>
      </x:c>
      <x:c r="U5" s="34" t="n">
        <x:v>0.28</x:v>
      </x:c>
      <x:c r="V5" s="34" t="n">
        <x:v>2.24</x:v>
      </x:c>
      <x:c r="W5" s="34" t="n">
        <x:v>-17.429</x:v>
      </x:c>
      <x:c r="X5" s="34" t="n">
        <x:v>6.895</x:v>
      </x:c>
      <x:c r="Y5" s="34" t="n">
        <x:v>61.328</x:v>
      </x:c>
      <x:c r="Z5" s="34" t="n">
        <x:v>54.433</x:v>
      </x:c>
      <x:c r="AA5" s="34" t="n">
        <x:v>78.757</x:v>
      </x:c>
      <x:c r="AB5" s="34" t="n">
        <x:v>-24.324</x:v>
      </x:c>
      <x:c r="AC5" s="34" t="n">
        <x:v>45.873</x:v>
      </x:c>
      <x:c r="AD5" s="34" t="n">
        <x:v>3.048</x:v>
      </x:c>
      <x:c r="AE5" s="34" t="n">
        <x:v>12.297</x:v>
      </x:c>
      <x:c r="AF5" s="34" t="n">
        <x:v>0</x:v>
      </x:c>
      <x:c r="AG5" s="34" t="n">
        <x:v>0.11</x:v>
      </x:c>
      <x:c r="AH5" s="34" t="n">
        <x:v>-78.757</x:v>
      </x:c>
      <x:c r="AI5" s="34" t="str">
        <x:v>model_estimate</x:v>
      </x:c>
      <x:c r="AJ5" s="34" t="str">
        <x:v>공식 EAF 사업장 존재를 반영; 생산량·집약도·재투자연도 추정</x:v>
      </x:c>
      <x:c r="AK5" s="34" t="str">
        <x:v>CAND-0B566F19FFC9A2</x:v>
      </x:c>
      <x:c r="AL5" s="34" t="str">
        <x:v>P2</x:v>
      </x:c>
      <x:c r="AM5" s="34" t="str">
        <x:v>PORT-CCD4397FA6D4</x:v>
      </x:c>
      <x:c r="AN5" s="34" t="n">
        <x:v>1000</x:v>
      </x:c>
      <x:c r="AO5" s="34" t="n">
        <x:v>113.380842</x:v>
      </x:c>
      <x:c r="AP5" s="34" t="n">
        <x:v>30.812167</x:v>
      </x:c>
      <x:c r="AQ5" s="34" t="n">
        <x:v>281.895878</x:v>
      </x:c>
      <x:c r="AR5" s="34" t="n">
        <x:v>31362.25</x:v>
      </x:c>
      <x:c r="AS5" s="34" t="n">
        <x:v>111.25473</x:v>
      </x:c>
      <x:c r="AT5" s="40" t="b">
        <x:v>1</x:v>
      </x:c>
      <x:c r="AU5" s="40" t="b">
        <x:v>1</x:v>
      </x:c>
      <x:c r="AV5" s="34" t="str"/>
      <x:c r="AW5" s="34" t="n">
        <x:v>0</x:v>
      </x:c>
      <x:c r="AX5" s="34" t="str">
        <x:v>1.265341119704999e-05</x:v>
      </x:c>
      <x:c r="AY5" s="40" t="b">
        <x:v>1</x:v>
      </x:c>
      <x:c r="AZ5" s="40" t="b">
        <x:v>1</x:v>
      </x:c>
      <x:c r="BA5" s="40" t="b">
        <x:v>1</x:v>
      </x:c>
      <x:c r="BB5" s="40" t="b">
        <x:v>1</x:v>
      </x:c>
      <x:c r="BC5" s="34" t="str"/>
      <x:c r="BD5" s="34" t="n">
        <x:v>0</x:v>
      </x:c>
      <x:c r="BE5" s="34" t="n">
        <x:v>0</x:v>
      </x:c>
      <x:c r="BF5" s="34" t="n">
        <x:v>0</x:v>
      </x:c>
      <x:c r="BG5" s="34" t="n">
        <x:v>2</x:v>
      </x:c>
      <x:c r="BH5" s="34" t="n">
        <x:v>3</x:v>
      </x:c>
      <x:c r="BI5" s="34" t="n">
        <x:v>0.3119871999999999</x:v>
      </x:c>
      <x:c r="BJ5" s="34" t="n">
        <x:v>0.65</x:v>
      </x:c>
      <x:c r="BK5" s="34" t="n">
        <x:v>1.1400000000000001</x:v>
      </x:c>
    </x:row>
    <x:row r="6">
      <x:c r="A6" s="34" t="str">
        <x:v>JFE_STEEL_JP</x:v>
      </x:c>
      <x:c r="B6" s="34" t="str">
        <x:v>JFE Steel</x:v>
      </x:c>
      <x:c r="C6" s="34" t="str">
        <x:v>ACCELERATED_15C</x:v>
      </x:c>
      <x:c r="D6" s="34" t="str">
        <x:v>P2</x:v>
      </x:c>
      <x:c r="E6" s="34" t="str">
        <x:v>JFE-CHIBA</x:v>
      </x:c>
      <x:c r="F6" s="34" t="str">
        <x:v>East Japan Works Chiba</x:v>
      </x:c>
      <x:c r="G6" s="34" t="str">
        <x:v>치바</x:v>
      </x:c>
      <x:c r="H6" s="34" t="n">
        <x:v>2036</x:v>
      </x:c>
      <x:c r="I6" s="34" t="str">
        <x:v>BF_BOF</x:v>
      </x:c>
      <x:c r="J6" s="34" t="str">
        <x:v>기준 BF-BOF 복합 블록</x:v>
      </x:c>
      <x:c r="K6" s="34" t="str">
        <x:v>BF_RELINE</x:v>
      </x:c>
      <x:c r="L6" s="34" t="str">
        <x:v>BF 개수·효율 패키지</x:v>
      </x:c>
      <x:c r="M6" s="34" t="n">
        <x:v>1650</x:v>
      </x:c>
      <x:c r="N6" s="34" t="n">
        <x:v>330</x:v>
      </x:c>
      <x:c r="O6" s="34" t="n">
        <x:v>6</x:v>
      </x:c>
      <x:c r="P6" s="34" t="n">
        <x:v>5.449998</x:v>
      </x:c>
      <x:c r="Q6" s="34" t="n">
        <x:v>11.528348</x:v>
      </x:c>
      <x:c r="R6" s="34" t="n">
        <x:v>11.528348</x:v>
      </x:c>
      <x:c r="S6" s="34" t="n">
        <x:v>10.354996</x:v>
      </x:c>
      <x:c r="T6" s="34" t="n">
        <x:v>10.354996</x:v>
      </x:c>
      <x:c r="U6" s="34" t="n">
        <x:v>1.173352</x:v>
      </x:c>
      <x:c r="V6" s="34" t="n">
        <x:v>5.866759</x:v>
      </x:c>
      <x:c r="W6" s="34" t="n">
        <x:v>-91.316</x:v>
      </x:c>
      <x:c r="X6" s="34" t="n">
        <x:v>0</x:v>
      </x:c>
      <x:c r="Y6" s="34" t="n">
        <x:v>214.69</x:v>
      </x:c>
      <x:c r="Z6" s="34" t="n">
        <x:v>214.69</x:v>
      </x:c>
      <x:c r="AA6" s="34" t="n">
        <x:v>306.006</x:v>
      </x:c>
      <x:c r="AB6" s="34" t="n">
        <x:v>-91.316</x:v>
      </x:c>
      <x:c r="AC6" s="34" t="n">
        <x:v>183.12</x:v>
      </x:c>
      <x:c r="AD6" s="34" t="n">
        <x:v>0</x:v>
      </x:c>
      <x:c r="AE6" s="34" t="n">
        <x:v>31.157</x:v>
      </x:c>
      <x:c r="AF6" s="34" t="n">
        <x:v>0</x:v>
      </x:c>
      <x:c r="AG6" s="34" t="n">
        <x:v>0.413</x:v>
      </x:c>
      <x:c r="AH6" s="34" t="n">
        <x:v>-306.006</x:v>
      </x:c>
      <x:c r="AI6" s="34" t="str">
        <x:v>model_estimate</x:v>
      </x:c>
      <x:c r="AJ6" s="34" t="str">
        <x:v>JFE 공식 생산·배출 총량에 맞춘 설비 블록 배분</x:v>
      </x:c>
      <x:c r="AK6" s="34" t="str">
        <x:v>CAND-0B566F19FFC9A2</x:v>
      </x:c>
      <x:c r="AL6" s="34" t="str">
        <x:v>P2</x:v>
      </x:c>
      <x:c r="AM6" s="34" t="str">
        <x:v>PORT-CCD4397FA6D4</x:v>
      </x:c>
      <x:c r="AN6" s="34" t="n">
        <x:v>1000</x:v>
      </x:c>
      <x:c r="AO6" s="34" t="n">
        <x:v>105.19455</x:v>
      </x:c>
      <x:c r="AP6" s="34" t="n">
        <x:v>32.737156</x:v>
      </x:c>
      <x:c r="AQ6" s="34" t="n">
        <x:v>281.895878</x:v>
      </x:c>
      <x:c r="AR6" s="34" t="n">
        <x:v>29040.327</x:v>
      </x:c>
      <x:c r="AS6" s="34" t="n">
        <x:v>103.01792</x:v>
      </x:c>
      <x:c r="AT6" s="40" t="b">
        <x:v>0</x:v>
      </x:c>
      <x:c r="AU6" s="40" t="b">
        <x:v>0</x:v>
      </x:c>
      <x:c r="AV6" s="34" t="n">
        <x:v>2040</x:v>
      </x:c>
      <x:c r="AW6" s="34" t="n">
        <x:v>5.28499579</x:v>
      </x:c>
      <x:c r="AX6" s="34" t="n">
        <x:v>-5.28499579</x:v>
      </x:c>
      <x:c r="AY6" s="40" t="b">
        <x:v>1</x:v>
      </x:c>
      <x:c r="AZ6" s="40" t="b">
        <x:v>1</x:v>
      </x:c>
      <x:c r="BA6" s="40" t="b">
        <x:v>1</x:v>
      </x:c>
      <x:c r="BB6" s="40" t="b">
        <x:v>1</x:v>
      </x:c>
      <x:c r="BC6" s="34" t="str"/>
      <x:c r="BD6" s="34" t="n">
        <x:v>0</x:v>
      </x:c>
      <x:c r="BE6" s="34" t="n">
        <x:v>0</x:v>
      </x:c>
      <x:c r="BF6" s="34" t="n">
        <x:v>0</x:v>
      </x:c>
      <x:c r="BG6" s="34" t="n">
        <x:v>2</x:v>
      </x:c>
      <x:c r="BH6" s="34" t="n">
        <x:v>3</x:v>
      </x:c>
      <x:c r="BI6" s="34" t="n">
        <x:v>0.3119871999999999</x:v>
      </x:c>
      <x:c r="BJ6" s="34" t="n">
        <x:v>0.65</x:v>
      </x:c>
      <x:c r="BK6" s="34" t="n">
        <x:v>1.1400000000000001</x:v>
      </x:c>
    </x:row>
    <x:row r="7">
      <x:c r="A7" s="34" t="str">
        <x:v>JFE_STEEL_JP</x:v>
      </x:c>
      <x:c r="B7" s="34" t="str">
        <x:v>JFE Steel</x:v>
      </x:c>
      <x:c r="C7" s="34" t="str">
        <x:v>ACCELERATED_15C</x:v>
      </x:c>
      <x:c r="D7" s="34" t="str">
        <x:v>P2</x:v>
      </x:c>
      <x:c r="E7" s="34" t="str">
        <x:v>JFE-FUKU</x:v>
      </x:c>
      <x:c r="F7" s="34" t="str">
        <x:v>West Japan Works Fukuyama</x:v>
      </x:c>
      <x:c r="G7" s="34" t="str">
        <x:v>후쿠야마</x:v>
      </x:c>
      <x:c r="H7" s="34" t="n">
        <x:v>2033</x:v>
      </x:c>
      <x:c r="I7" s="34" t="str">
        <x:v>BF_BOF</x:v>
      </x:c>
      <x:c r="J7" s="34" t="str">
        <x:v>기준 BF-BOF 복합 블록</x:v>
      </x:c>
      <x:c r="K7" s="34" t="str">
        <x:v>H2_DRI_EAF</x:v>
      </x:c>
      <x:c r="L7" s="34" t="str">
        <x:v>수소 DRI + EAF</x:v>
      </x:c>
      <x:c r="M7" s="34" t="n">
        <x:v>9702</x:v>
      </x:c>
      <x:c r="N7" s="34" t="n">
        <x:v>7546</x:v>
      </x:c>
      <x:c r="O7" s="34" t="n">
        <x:v>9.8</x:v>
      </x:c>
      <x:c r="P7" s="34" t="n">
        <x:v>8.999997</x:v>
      </x:c>
      <x:c r="Q7" s="34" t="n">
        <x:v>19.037639</x:v>
      </x:c>
      <x:c r="R7" s="34" t="n">
        <x:v>19.037639</x:v>
      </x:c>
      <x:c r="S7" s="34" t="n">
        <x:v>1.799999</x:v>
      </x:c>
      <x:c r="T7" s="34" t="n">
        <x:v>1.799999</x:v>
      </x:c>
      <x:c r="U7" s="34" t="n">
        <x:v>17.237639</x:v>
      </x:c>
      <x:c r="V7" s="34" t="n">
        <x:v>137.901116</x:v>
      </x:c>
      <x:c r="W7" s="34" t="n">
        <x:v>31007.963</x:v>
      </x:c>
      <x:c r="X7" s="34" t="n">
        <x:v>2898.032</x:v>
      </x:c>
      <x:c r="Y7" s="34" t="n">
        <x:v>38201.982</x:v>
      </x:c>
      <x:c r="Z7" s="34" t="n">
        <x:v>35303.95</x:v>
      </x:c>
      <x:c r="AA7" s="34" t="n">
        <x:v>7194.019</x:v>
      </x:c>
      <x:c r="AB7" s="34" t="n">
        <x:v>28109.931</x:v>
      </x:c>
      <x:c r="AC7" s="34" t="n">
        <x:v>4916.965</x:v>
      </x:c>
      <x:c r="AD7" s="34" t="n">
        <x:v>509.49</x:v>
      </x:c>
      <x:c r="AE7" s="34" t="n">
        <x:v>4032.152</x:v>
      </x:c>
      <x:c r="AF7" s="34" t="n">
        <x:v>28698.795</x:v>
      </x:c>
      <x:c r="AG7" s="34" t="n">
        <x:v>44.581</x:v>
      </x:c>
      <x:c r="AH7" s="34" t="n">
        <x:v>-7194.019</x:v>
      </x:c>
      <x:c r="AI7" s="34" t="str">
        <x:v>model_estimate</x:v>
      </x:c>
      <x:c r="AJ7" s="34" t="str">
        <x:v>JFE 공식 생산·배출 총량에 맞춘 설비 블록 배분</x:v>
      </x:c>
      <x:c r="AK7" s="34" t="str">
        <x:v>CAND-0B566F19FFC9A2</x:v>
      </x:c>
      <x:c r="AL7" s="34" t="str">
        <x:v>P2</x:v>
      </x:c>
      <x:c r="AM7" s="34" t="str">
        <x:v>PORT-CCD4397FA6D4</x:v>
      </x:c>
      <x:c r="AN7" s="34" t="n">
        <x:v>1000</x:v>
      </x:c>
      <x:c r="AO7" s="34" t="n">
        <x:v>105.19455</x:v>
      </x:c>
      <x:c r="AP7" s="34" t="n">
        <x:v>32.737156</x:v>
      </x:c>
      <x:c r="AQ7" s="34" t="n">
        <x:v>281.895878</x:v>
      </x:c>
      <x:c r="AR7" s="34" t="n">
        <x:v>29040.327</x:v>
      </x:c>
      <x:c r="AS7" s="34" t="n">
        <x:v>103.01792</x:v>
      </x:c>
      <x:c r="AT7" s="40" t="b">
        <x:v>0</x:v>
      </x:c>
      <x:c r="AU7" s="40" t="b">
        <x:v>0</x:v>
      </x:c>
      <x:c r="AV7" s="34" t="n">
        <x:v>2040</x:v>
      </x:c>
      <x:c r="AW7" s="34" t="n">
        <x:v>5.28499579</x:v>
      </x:c>
      <x:c r="AX7" s="34" t="n">
        <x:v>-5.28499579</x:v>
      </x:c>
      <x:c r="AY7" s="40" t="b">
        <x:v>1</x:v>
      </x:c>
      <x:c r="AZ7" s="40" t="b">
        <x:v>1</x:v>
      </x:c>
      <x:c r="BA7" s="40" t="b">
        <x:v>1</x:v>
      </x:c>
      <x:c r="BB7" s="40" t="b">
        <x:v>1</x:v>
      </x:c>
      <x:c r="BC7" s="34" t="str"/>
      <x:c r="BD7" s="34" t="n">
        <x:v>0</x:v>
      </x:c>
      <x:c r="BE7" s="34" t="n">
        <x:v>0</x:v>
      </x:c>
      <x:c r="BF7" s="34" t="n">
        <x:v>0</x:v>
      </x:c>
      <x:c r="BG7" s="34" t="n">
        <x:v>2</x:v>
      </x:c>
      <x:c r="BH7" s="34" t="n">
        <x:v>3</x:v>
      </x:c>
      <x:c r="BI7" s="34" t="n">
        <x:v>0.3119871999999999</x:v>
      </x:c>
      <x:c r="BJ7" s="34" t="n">
        <x:v>0.65</x:v>
      </x:c>
      <x:c r="BK7" s="34" t="n">
        <x:v>1.1400000000000001</x:v>
      </x:c>
    </x:row>
    <x:row r="8">
      <x:c r="A8" s="34" t="str">
        <x:v>JFE_STEEL_JP</x:v>
      </x:c>
      <x:c r="B8" s="34" t="str">
        <x:v>JFE Steel</x:v>
      </x:c>
      <x:c r="C8" s="34" t="str">
        <x:v>ACCELERATED_15C</x:v>
      </x:c>
      <x:c r="D8" s="34" t="str">
        <x:v>P2</x:v>
      </x:c>
      <x:c r="E8" s="34" t="str">
        <x:v>JFE-KURA</x:v>
      </x:c>
      <x:c r="F8" s="34" t="str">
        <x:v>West Japan Works Kurashiki</x:v>
      </x:c>
      <x:c r="G8" s="34" t="str">
        <x:v>구라시키</x:v>
      </x:c>
      <x:c r="H8" s="34" t="n">
        <x:v>2029</x:v>
      </x:c>
      <x:c r="I8" s="34" t="str">
        <x:v>BF_BOF</x:v>
      </x:c>
      <x:c r="J8" s="34" t="str">
        <x:v>기준 BF-BOF 복합 블록</x:v>
      </x:c>
      <x:c r="K8" s="34" t="str">
        <x:v>SCRAP_EAF</x:v>
      </x:c>
      <x:c r="L8" s="34" t="str">
        <x:v>스크랩 기반 대형 EAF</x:v>
      </x:c>
      <x:c r="M8" s="34" t="n">
        <x:v>4558.4</x:v>
      </x:c>
      <x:c r="N8" s="34" t="n">
        <x:v>2930.4</x:v>
      </x:c>
      <x:c r="O8" s="34" t="n">
        <x:v>7.4</x:v>
      </x:c>
      <x:c r="P8" s="34" t="n">
        <x:v>6.800001</x:v>
      </x:c>
      <x:c r="Q8" s="34" t="n">
        <x:v>14.384</x:v>
      </x:c>
      <x:c r="R8" s="34" t="n">
        <x:v>3.06</x:v>
      </x:c>
      <x:c r="S8" s="34" t="n">
        <x:v>3.06</x:v>
      </x:c>
      <x:c r="T8" s="34" t="n">
        <x:v>3.06</x:v>
      </x:c>
      <x:c r="U8" s="34" t="n">
        <x:v>11.324</x:v>
      </x:c>
      <x:c r="V8" s="34" t="n">
        <x:v>135.888002</x:v>
      </x:c>
      <x:c r="W8" s="34" t="n">
        <x:v>1802.817</x:v>
      </x:c>
      <x:c r="X8" s="34" t="n">
        <x:v>717.724</x:v>
      </x:c>
      <x:c r="Y8" s="34" t="n">
        <x:v>8730.238</x:v>
      </x:c>
      <x:c r="Z8" s="34" t="n">
        <x:v>8012.513</x:v>
      </x:c>
      <x:c r="AA8" s="34" t="n">
        <x:v>6927.42</x:v>
      </x:c>
      <x:c r="AB8" s="34" t="n">
        <x:v>1085.093</x:v>
      </x:c>
      <x:c r="AC8" s="34" t="n">
        <x:v>2365.468</x:v>
      </x:c>
      <x:c r="AD8" s="34" t="n">
        <x:v>299.458</x:v>
      </x:c>
      <x:c r="AE8" s="34" t="n">
        <x:v>6051.504</x:v>
      </x:c>
      <x:c r="AF8" s="34" t="n">
        <x:v>0</x:v>
      </x:c>
      <x:c r="AG8" s="34" t="n">
        <x:v>13.808</x:v>
      </x:c>
      <x:c r="AH8" s="34" t="n">
        <x:v>-6927.42</x:v>
      </x:c>
      <x:c r="AI8" s="34" t="str">
        <x:v>model_estimate</x:v>
      </x:c>
      <x:c r="AJ8" s="34" t="str">
        <x:v>2028 혁신 EAF 공시를 반영한 조기 재투자 창; 생산량은 공식 총량에 맞춘 추정</x:v>
      </x:c>
      <x:c r="AK8" s="34" t="str">
        <x:v>CAND-0B566F19FFC9A2</x:v>
      </x:c>
      <x:c r="AL8" s="34" t="str">
        <x:v>P2</x:v>
      </x:c>
      <x:c r="AM8" s="34" t="str">
        <x:v>PORT-CCD4397FA6D4</x:v>
      </x:c>
      <x:c r="AN8" s="34" t="n">
        <x:v>1000</x:v>
      </x:c>
      <x:c r="AO8" s="34" t="n">
        <x:v>105.19455</x:v>
      </x:c>
      <x:c r="AP8" s="34" t="n">
        <x:v>32.737156</x:v>
      </x:c>
      <x:c r="AQ8" s="34" t="n">
        <x:v>281.895878</x:v>
      </x:c>
      <x:c r="AR8" s="34" t="n">
        <x:v>29040.327</x:v>
      </x:c>
      <x:c r="AS8" s="34" t="n">
        <x:v>103.01792</x:v>
      </x:c>
      <x:c r="AT8" s="40" t="b">
        <x:v>0</x:v>
      </x:c>
      <x:c r="AU8" s="40" t="b">
        <x:v>0</x:v>
      </x:c>
      <x:c r="AV8" s="34" t="n">
        <x:v>2040</x:v>
      </x:c>
      <x:c r="AW8" s="34" t="n">
        <x:v>5.28499579</x:v>
      </x:c>
      <x:c r="AX8" s="34" t="n">
        <x:v>-5.28499579</x:v>
      </x:c>
      <x:c r="AY8" s="40" t="b">
        <x:v>1</x:v>
      </x:c>
      <x:c r="AZ8" s="40" t="b">
        <x:v>1</x:v>
      </x:c>
      <x:c r="BA8" s="40" t="b">
        <x:v>1</x:v>
      </x:c>
      <x:c r="BB8" s="40" t="b">
        <x:v>1</x:v>
      </x:c>
      <x:c r="BC8" s="34" t="str"/>
      <x:c r="BD8" s="34" t="n">
        <x:v>0</x:v>
      </x:c>
      <x:c r="BE8" s="34" t="n">
        <x:v>0</x:v>
      </x:c>
      <x:c r="BF8" s="34" t="n">
        <x:v>0</x:v>
      </x:c>
      <x:c r="BG8" s="34" t="n">
        <x:v>2</x:v>
      </x:c>
      <x:c r="BH8" s="34" t="n">
        <x:v>3</x:v>
      </x:c>
      <x:c r="BI8" s="34" t="n">
        <x:v>0.3119871999999999</x:v>
      </x:c>
      <x:c r="BJ8" s="34" t="n">
        <x:v>0.65</x:v>
      </x:c>
      <x:c r="BK8" s="34" t="n">
        <x:v>1.1400000000000001</x:v>
      </x:c>
    </x:row>
    <x:row r="9">
      <x:c r="A9" s="34" t="str">
        <x:v>JFE_STEEL_JP</x:v>
      </x:c>
      <x:c r="B9" s="34" t="str">
        <x:v>JFE Steel</x:v>
      </x:c>
      <x:c r="C9" s="34" t="str">
        <x:v>ACCELERATED_15C</x:v>
      </x:c>
      <x:c r="D9" s="34" t="str">
        <x:v>P2</x:v>
      </x:c>
      <x:c r="E9" s="34" t="str">
        <x:v>JFE-SENDAI</x:v>
      </x:c>
      <x:c r="F9" s="34" t="str">
        <x:v>Sendai Works EAF</x:v>
      </x:c>
      <x:c r="G9" s="34" t="str">
        <x:v>센다이</x:v>
      </x:c>
      <x:c r="H9" s="34" t="n">
        <x:v>2033</x:v>
      </x:c>
      <x:c r="I9" s="34" t="str">
        <x:v>EAF_BASELINE</x:v>
      </x:c>
      <x:c r="J9" s="34" t="str">
        <x:v>기존 전기로 기준 블록</x:v>
      </x:c>
      <x:c r="K9" s="34" t="str">
        <x:v>EAF_RENEWABLE</x:v>
      </x:c>
      <x:c r="L9" s="34" t="str">
        <x:v>기존 EAF 재생전력 업그레이드</x:v>
      </x:c>
      <x:c r="M9" s="34" t="n">
        <x:v>228.8</x:v>
      </x:c>
      <x:c r="N9" s="34" t="n">
        <x:v>70.4</x:v>
      </x:c>
      <x:c r="O9" s="34" t="n">
        <x:v>0.8</x:v>
      </x:c>
      <x:c r="P9" s="34" t="n">
        <x:v>0.7</x:v>
      </x:c>
      <x:c r="Q9" s="34" t="n">
        <x:v>0.35</x:v>
      </x:c>
      <x:c r="R9" s="34" t="n">
        <x:v>0.35</x:v>
      </x:c>
      <x:c r="S9" s="34" t="n">
        <x:v>0.07</x:v>
      </x:c>
      <x:c r="T9" s="34" t="n">
        <x:v>0.07</x:v>
      </x:c>
      <x:c r="U9" s="34" t="n">
        <x:v>0.28</x:v>
      </x:c>
      <x:c r="V9" s="34" t="n">
        <x:v>2.24</x:v>
      </x:c>
      <x:c r="W9" s="34" t="n">
        <x:v>-54.188</x:v>
      </x:c>
      <x:c r="X9" s="34" t="n">
        <x:v>9.193</x:v>
      </x:c>
      <x:c r="Y9" s="34" t="n">
        <x:v>62.668</x:v>
      </x:c>
      <x:c r="Z9" s="34" t="n">
        <x:v>53.475</x:v>
      </x:c>
      <x:c r="AA9" s="34" t="n">
        <x:v>116.856</x:v>
      </x:c>
      <x:c r="AB9" s="34" t="n">
        <x:v>-63.381</x:v>
      </x:c>
      <x:c r="AC9" s="34" t="n">
        <x:v>45.873</x:v>
      </x:c>
      <x:c r="AD9" s="34" t="n">
        <x:v>3.048</x:v>
      </x:c>
      <x:c r="AE9" s="34" t="n">
        <x:v>13.635</x:v>
      </x:c>
      <x:c r="AF9" s="34" t="n">
        <x:v>0</x:v>
      </x:c>
      <x:c r="AG9" s="34" t="n">
        <x:v>0.112</x:v>
      </x:c>
      <x:c r="AH9" s="34" t="n">
        <x:v>-116.856</x:v>
      </x:c>
      <x:c r="AI9" s="34" t="str">
        <x:v>model_estimate</x:v>
      </x:c>
      <x:c r="AJ9" s="34" t="str">
        <x:v>공식 EAF 사업장 존재를 반영; 생산량·집약도·재투자연도 추정</x:v>
      </x:c>
      <x:c r="AK9" s="34" t="str">
        <x:v>CAND-0B566F19FFC9A2</x:v>
      </x:c>
      <x:c r="AL9" s="34" t="str">
        <x:v>P2</x:v>
      </x:c>
      <x:c r="AM9" s="34" t="str">
        <x:v>PORT-CCD4397FA6D4</x:v>
      </x:c>
      <x:c r="AN9" s="34" t="n">
        <x:v>1000</x:v>
      </x:c>
      <x:c r="AO9" s="34" t="n">
        <x:v>105.19455</x:v>
      </x:c>
      <x:c r="AP9" s="34" t="n">
        <x:v>32.737156</x:v>
      </x:c>
      <x:c r="AQ9" s="34" t="n">
        <x:v>281.895878</x:v>
      </x:c>
      <x:c r="AR9" s="34" t="n">
        <x:v>29040.327</x:v>
      </x:c>
      <x:c r="AS9" s="34" t="n">
        <x:v>103.01792</x:v>
      </x:c>
      <x:c r="AT9" s="40" t="b">
        <x:v>0</x:v>
      </x:c>
      <x:c r="AU9" s="40" t="b">
        <x:v>0</x:v>
      </x:c>
      <x:c r="AV9" s="34" t="n">
        <x:v>2040</x:v>
      </x:c>
      <x:c r="AW9" s="34" t="n">
        <x:v>5.28499579</x:v>
      </x:c>
      <x:c r="AX9" s="34" t="n">
        <x:v>-5.28499579</x:v>
      </x:c>
      <x:c r="AY9" s="40" t="b">
        <x:v>1</x:v>
      </x:c>
      <x:c r="AZ9" s="40" t="b">
        <x:v>1</x:v>
      </x:c>
      <x:c r="BA9" s="40" t="b">
        <x:v>1</x:v>
      </x:c>
      <x:c r="BB9" s="40" t="b">
        <x:v>1</x:v>
      </x:c>
      <x:c r="BC9" s="34" t="str"/>
      <x:c r="BD9" s="34" t="n">
        <x:v>0</x:v>
      </x:c>
      <x:c r="BE9" s="34" t="n">
        <x:v>0</x:v>
      </x:c>
      <x:c r="BF9" s="34" t="n">
        <x:v>0</x:v>
      </x:c>
      <x:c r="BG9" s="34" t="n">
        <x:v>2</x:v>
      </x:c>
      <x:c r="BH9" s="34" t="n">
        <x:v>3</x:v>
      </x:c>
      <x:c r="BI9" s="34" t="n">
        <x:v>0.3119871999999999</x:v>
      </x:c>
      <x:c r="BJ9" s="34" t="n">
        <x:v>0.65</x:v>
      </x:c>
      <x:c r="BK9" s="34" t="n">
        <x:v>1.1400000000000001</x:v>
      </x:c>
    </x:row>
    <x:row r="10">
      <x:c r="A10" s="34" t="str">
        <x:v>KOBE_STEEL_JP</x:v>
      </x:c>
      <x:c r="B10" s="34" t="str">
        <x:v>Kobe Steel</x:v>
      </x:c>
      <x:c r="C10" s="34" t="str">
        <x:v>DISCLOSED_PATH</x:v>
      </x:c>
      <x:c r="D10" s="34" t="str">
        <x:v>P7</x:v>
      </x:c>
      <x:c r="E10" s="34" t="str">
        <x:v>KOB-BF1</x:v>
      </x:c>
      <x:c r="F10" s="34" t="str">
        <x:v>Kakogawa Works BF 블록 1</x:v>
      </x:c>
      <x:c r="G10" s="34" t="str">
        <x:v>가코가와</x:v>
      </x:c>
      <x:c r="H10" s="34" t="n">
        <x:v>2028</x:v>
      </x:c>
      <x:c r="I10" s="34" t="str">
        <x:v>BF_BOF</x:v>
      </x:c>
      <x:c r="J10" s="34" t="str">
        <x:v>기준 BF-BOF 복합 블록</x:v>
      </x:c>
      <x:c r="K10" s="34" t="str">
        <x:v>H2_DRI_EAF</x:v>
      </x:c>
      <x:c r="L10" s="34" t="str">
        <x:v>수소 DRI + EAF</x:v>
      </x:c>
      <x:c r="M10" s="34" t="n">
        <x:v>3118.5</x:v>
      </x:c>
      <x:c r="N10" s="34" t="n">
        <x:v>2425.5</x:v>
      </x:c>
      <x:c r="O10" s="34" t="n">
        <x:v>3.15</x:v>
      </x:c>
      <x:c r="P10" s="34" t="n">
        <x:v>2.95</x:v>
      </x:c>
      <x:c r="Q10" s="34" t="n">
        <x:v>7.173636</x:v>
      </x:c>
      <x:c r="R10" s="34" t="n">
        <x:v>0.59</x:v>
      </x:c>
      <x:c r="S10" s="34" t="n">
        <x:v>0.59</x:v>
      </x:c>
      <x:c r="T10" s="34" t="n">
        <x:v>0.59</x:v>
      </x:c>
      <x:c r="U10" s="34" t="n">
        <x:v>6.583636</x:v>
      </x:c>
      <x:c r="V10" s="34" t="n">
        <x:v>85.587273</x:v>
      </x:c>
      <x:c r="W10" s="34" t="n">
        <x:v>18558.812</x:v>
      </x:c>
      <x:c r="X10" s="34" t="n">
        <x:v>5032.418</x:v>
      </x:c>
      <x:c r="Y10" s="34" t="n">
        <x:v>21535.052</x:v>
      </x:c>
      <x:c r="Z10" s="34" t="n">
        <x:v>16502.634</x:v>
      </x:c>
      <x:c r="AA10" s="34" t="n">
        <x:v>2976.24</x:v>
      </x:c>
      <x:c r="AB10" s="34" t="n">
        <x:v>13526.394</x:v>
      </x:c>
      <x:c r="AC10" s="34" t="n">
        <x:v>2065.589</x:v>
      </x:c>
      <x:c r="AD10" s="34" t="n">
        <x:v>265.806</x:v>
      </x:c>
      <x:c r="AE10" s="34" t="n">
        <x:v>2193.932</x:v>
      </x:c>
      <x:c r="AF10" s="34" t="n">
        <x:v>16133.008</x:v>
      </x:c>
      <x:c r="AG10" s="34" t="n">
        <x:v>876.717</x:v>
      </x:c>
      <x:c r="AH10" s="34" t="n">
        <x:v>-2976.24</x:v>
      </x:c>
      <x:c r="AI10" s="34" t="str">
        <x:v>model_estimate</x:v>
      </x:c>
      <x:c r="AJ10" s="34" t="str">
        <x:v>Kobe Steel 공식 조강·목표경계 배출 총량에 맞춘 블록 배분</x:v>
      </x:c>
      <x:c r="AK10" s="34" t="str">
        <x:v>CAND-0E9003448A63C3</x:v>
      </x:c>
      <x:c r="AL10" s="34" t="str">
        <x:v>P7</x:v>
      </x:c>
      <x:c r="AM10" s="34" t="str">
        <x:v>PORT-F194BB679477</x:v>
      </x:c>
      <x:c r="AN10" s="34" t="n">
        <x:v>1000</x:v>
      </x:c>
      <x:c r="AO10" s="34" t="n">
        <x:v>151.009261</x:v>
      </x:c>
      <x:c r="AP10" s="34" t="n">
        <x:v>1.485917</x:v>
      </x:c>
      <x:c r="AQ10" s="34" t="n">
        <x:v>131.48782</x:v>
      </x:c>
      <x:c r="AR10" s="34" t="n">
        <x:v>19837.419</x:v>
      </x:c>
      <x:c r="AS10" s="34" t="n">
        <x:v>150.868867</x:v>
      </x:c>
      <x:c r="AT10" s="40" t="b">
        <x:v>1</x:v>
      </x:c>
      <x:c r="AU10" s="40" t="b">
        <x:v>0</x:v>
      </x:c>
      <x:c r="AV10" s="34" t="str"/>
      <x:c r="AW10" s="34" t="n">
        <x:v>0</x:v>
      </x:c>
      <x:c r="AX10" s="34" t="str">
        <x:v>9.990856690045291e-05</x:v>
      </x:c>
      <x:c r="AY10" s="40" t="b">
        <x:v>0</x:v>
      </x:c>
      <x:c r="AZ10" s="40" t="b">
        <x:v>0</x:v>
      </x:c>
      <x:c r="BA10" s="40" t="b">
        <x:v>1</x:v>
      </x:c>
      <x:c r="BB10" s="40" t="b">
        <x:v>1</x:v>
      </x:c>
      <x:c r="BC10" s="34" t="n">
        <x:v>2028</x:v>
      </x:c>
      <x:c r="BD10" s="34" t="n">
        <x:v>0</x:v>
      </x:c>
      <x:c r="BE10" s="34" t="n">
        <x:v>0.012250011000000005</x:v>
      </x:c>
      <x:c r="BF10" s="34" t="n">
        <x:v>0</x:v>
      </x:c>
      <x:c r="BG10" s="34" t="n">
        <x:v>1</x:v>
      </x:c>
      <x:c r="BH10" s="34" t="n">
        <x:v>1</x:v>
      </x:c>
      <x:c r="BI10" s="34" t="n">
        <x:v>0.3612199999999999</x:v>
      </x:c>
      <x:c r="BJ10" s="34" t="n">
        <x:v>0.6</x:v>
      </x:c>
      <x:c r="BK10" s="34" t="n">
        <x:v>1.54</x:v>
      </x:c>
    </x:row>
    <x:row r="11">
      <x:c r="A11" s="34" t="str">
        <x:v>KOBE_STEEL_JP</x:v>
      </x:c>
      <x:c r="B11" s="34" t="str">
        <x:v>Kobe Steel</x:v>
      </x:c>
      <x:c r="C11" s="34" t="str">
        <x:v>DISCLOSED_PATH</x:v>
      </x:c>
      <x:c r="D11" s="34" t="str">
        <x:v>P7</x:v>
      </x:c>
      <x:c r="E11" s="34" t="str">
        <x:v>KOB-BF3</x:v>
      </x:c>
      <x:c r="F11" s="34" t="str">
        <x:v>Kakogawa Works BF 블록 3</x:v>
      </x:c>
      <x:c r="G11" s="34" t="str">
        <x:v>가코가와</x:v>
      </x:c>
      <x:c r="H11" s="34" t="n">
        <x:v>2034</x:v>
      </x:c>
      <x:c r="I11" s="34" t="str">
        <x:v>BF_BOF</x:v>
      </x:c>
      <x:c r="J11" s="34" t="str">
        <x:v>기준 BF-BOF 복합 블록</x:v>
      </x:c>
      <x:c r="K11" s="34" t="str">
        <x:v>H2_DRI_EAF</x:v>
      </x:c>
      <x:c r="L11" s="34" t="str">
        <x:v>수소 DRI + EAF</x:v>
      </x:c>
      <x:c r="M11" s="34" t="n">
        <x:v>3019.5</x:v>
      </x:c>
      <x:c r="N11" s="34" t="n">
        <x:v>2348.5</x:v>
      </x:c>
      <x:c r="O11" s="34" t="n">
        <x:v>3.05</x:v>
      </x:c>
      <x:c r="P11" s="34" t="n">
        <x:v>2.909999</x:v>
      </x:c>
      <x:c r="Q11" s="34" t="n">
        <x:v>7.076364</x:v>
      </x:c>
      <x:c r="R11" s="34" t="n">
        <x:v>7.076364</x:v>
      </x:c>
      <x:c r="S11" s="34" t="n">
        <x:v>0.582</x:v>
      </x:c>
      <x:c r="T11" s="34" t="n">
        <x:v>0.582</x:v>
      </x:c>
      <x:c r="U11" s="34" t="n">
        <x:v>6.494364</x:v>
      </x:c>
      <x:c r="V11" s="34" t="n">
        <x:v>45.460547</x:v>
      </x:c>
      <x:c r="W11" s="34" t="n">
        <x:v>8671.931</x:v>
      </x:c>
      <x:c r="X11" s="34" t="n">
        <x:v>2356.547</x:v>
      </x:c>
      <x:c r="Y11" s="34" t="n">
        <x:v>10268.214</x:v>
      </x:c>
      <x:c r="Z11" s="34" t="n">
        <x:v>7911.667</x:v>
      </x:c>
      <x:c r="AA11" s="34" t="n">
        <x:v>1596.282</x:v>
      </x:c>
      <x:c r="AB11" s="34" t="n">
        <x:v>6315.385</x:v>
      </x:c>
      <x:c r="AC11" s="34" t="n">
        <x:v>1450.502</x:v>
      </x:c>
      <x:c r="AD11" s="34" t="n">
        <x:v>118.533</x:v>
      </x:c>
      <x:c r="AE11" s="34" t="n">
        <x:v>1003.767</x:v>
      </x:c>
      <x:c r="AF11" s="34" t="n">
        <x:v>7277.134</x:v>
      </x:c>
      <x:c r="AG11" s="34" t="n">
        <x:v>418.276</x:v>
      </x:c>
      <x:c r="AH11" s="34" t="n">
        <x:v>-1596.282</x:v>
      </x:c>
      <x:c r="AI11" s="34" t="str">
        <x:v>model_estimate</x:v>
      </x:c>
      <x:c r="AJ11" s="34" t="str">
        <x:v>2016년 BF3 개수와 장기 수명주기를 반영한 재투자연도 추정</x:v>
      </x:c>
      <x:c r="AK11" s="34" t="str">
        <x:v>CAND-0E9003448A63C3</x:v>
      </x:c>
      <x:c r="AL11" s="34" t="str">
        <x:v>P7</x:v>
      </x:c>
      <x:c r="AM11" s="34" t="str">
        <x:v>PORT-F194BB679477</x:v>
      </x:c>
      <x:c r="AN11" s="34" t="n">
        <x:v>1000</x:v>
      </x:c>
      <x:c r="AO11" s="34" t="n">
        <x:v>151.009261</x:v>
      </x:c>
      <x:c r="AP11" s="34" t="n">
        <x:v>1.485917</x:v>
      </x:c>
      <x:c r="AQ11" s="34" t="n">
        <x:v>131.48782</x:v>
      </x:c>
      <x:c r="AR11" s="34" t="n">
        <x:v>19837.419</x:v>
      </x:c>
      <x:c r="AS11" s="34" t="n">
        <x:v>150.868867</x:v>
      </x:c>
      <x:c r="AT11" s="40" t="b">
        <x:v>1</x:v>
      </x:c>
      <x:c r="AU11" s="40" t="b">
        <x:v>0</x:v>
      </x:c>
      <x:c r="AV11" s="34" t="str"/>
      <x:c r="AW11" s="34" t="n">
        <x:v>0</x:v>
      </x:c>
      <x:c r="AX11" s="34" t="str">
        <x:v>9.990856690045291e-05</x:v>
      </x:c>
      <x:c r="AY11" s="40" t="b">
        <x:v>0</x:v>
      </x:c>
      <x:c r="AZ11" s="40" t="b">
        <x:v>0</x:v>
      </x:c>
      <x:c r="BA11" s="40" t="b">
        <x:v>1</x:v>
      </x:c>
      <x:c r="BB11" s="40" t="b">
        <x:v>1</x:v>
      </x:c>
      <x:c r="BC11" s="34" t="n">
        <x:v>2028</x:v>
      </x:c>
      <x:c r="BD11" s="34" t="n">
        <x:v>0</x:v>
      </x:c>
      <x:c r="BE11" s="34" t="n">
        <x:v>0.012250011000000005</x:v>
      </x:c>
      <x:c r="BF11" s="34" t="n">
        <x:v>0</x:v>
      </x:c>
      <x:c r="BG11" s="34" t="n">
        <x:v>1</x:v>
      </x:c>
      <x:c r="BH11" s="34" t="n">
        <x:v>1</x:v>
      </x:c>
      <x:c r="BI11" s="34" t="n">
        <x:v>0.3612199999999999</x:v>
      </x:c>
      <x:c r="BJ11" s="34" t="n">
        <x:v>0.6</x:v>
      </x:c>
      <x:c r="BK11" s="34" t="n">
        <x:v>1.54</x:v>
      </x:c>
    </x:row>
    <x:row r="12">
      <x:c r="A12" s="34" t="str">
        <x:v>KOBE_STEEL_JP</x:v>
      </x:c>
      <x:c r="B12" s="34" t="str">
        <x:v>Kobe Steel</x:v>
      </x:c>
      <x:c r="C12" s="34" t="str">
        <x:v>DISCLOSED_PATH</x:v>
      </x:c>
      <x:c r="D12" s="34" t="str">
        <x:v>P7</x:v>
      </x:c>
      <x:c r="E12" s="34" t="str">
        <x:v>KOB-TAKA</x:v>
      </x:c>
      <x:c r="F12" s="34" t="str">
        <x:v>Takasago Works EAF block</x:v>
      </x:c>
      <x:c r="G12" s="34" t="str">
        <x:v>다카사고</x:v>
      </x:c>
      <x:c r="H12" s="34" t="n">
        <x:v>2030</x:v>
      </x:c>
      <x:c r="I12" s="34" t="str">
        <x:v>EAF_BASELINE</x:v>
      </x:c>
      <x:c r="J12" s="34" t="str">
        <x:v>기존 전기로 기준 블록</x:v>
      </x:c>
      <x:c r="K12" s="34" t="str">
        <x:v>EAF_RENEWABLE</x:v>
      </x:c>
      <x:c r="L12" s="34" t="str">
        <x:v>기존 EAF 재생전력 업그레이드</x:v>
      </x:c>
      <x:c r="M12" s="34" t="n">
        <x:v>40.04</x:v>
      </x:c>
      <x:c r="N12" s="34" t="n">
        <x:v>12.32</x:v>
      </x:c>
      <x:c r="O12" s="34" t="n">
        <x:v>0.14</x:v>
      </x:c>
      <x:c r="P12" s="34" t="n">
        <x:v>0.1</x:v>
      </x:c>
      <x:c r="Q12" s="34" t="n">
        <x:v>0.05</x:v>
      </x:c>
      <x:c r="R12" s="34" t="n">
        <x:v>0.01</x:v>
      </x:c>
      <x:c r="S12" s="34" t="n">
        <x:v>0.01</x:v>
      </x:c>
      <x:c r="T12" s="34" t="n">
        <x:v>0.01</x:v>
      </x:c>
      <x:c r="U12" s="34" t="n">
        <x:v>0.04</x:v>
      </x:c>
      <x:c r="V12" s="34" t="n">
        <x:v>0.44</x:v>
      </x:c>
      <x:c r="W12" s="34" t="n">
        <x:v>-2.886</x:v>
      </x:c>
      <x:c r="X12" s="34" t="n">
        <x:v>1.474</x:v>
      </x:c>
      <x:c r="Y12" s="34" t="n">
        <x:v>12.55</x:v>
      </x:c>
      <x:c r="Z12" s="34" t="n">
        <x:v>11.075</x:v>
      </x:c>
      <x:c r="AA12" s="34" t="n">
        <x:v>15.436</x:v>
      </x:c>
      <x:c r="AB12" s="34" t="n">
        <x:v>-4.36</x:v>
      </x:c>
      <x:c r="AC12" s="34" t="n">
        <x:v>9.426</x:v>
      </x:c>
      <x:c r="AD12" s="34" t="n">
        <x:v>0</x:v>
      </x:c>
      <x:c r="AE12" s="34" t="n">
        <x:v>2.603</x:v>
      </x:c>
      <x:c r="AF12" s="34" t="n">
        <x:v>0</x:v>
      </x:c>
      <x:c r="AG12" s="34" t="n">
        <x:v>0.52</x:v>
      </x:c>
      <x:c r="AH12" s="34" t="n">
        <x:v>-15.436</x:v>
      </x:c>
      <x:c r="AI12" s="34" t="str">
        <x:v>model_estimate</x:v>
      </x:c>
      <x:c r="AJ12" s="34" t="str">
        <x:v>다카사고 포함 공식 조강 총량에 맞춘 소규모 EAF 블록 추정</x:v>
      </x:c>
      <x:c r="AK12" s="34" t="str">
        <x:v>CAND-0E9003448A63C3</x:v>
      </x:c>
      <x:c r="AL12" s="34" t="str">
        <x:v>P7</x:v>
      </x:c>
      <x:c r="AM12" s="34" t="str">
        <x:v>PORT-F194BB679477</x:v>
      </x:c>
      <x:c r="AN12" s="34" t="n">
        <x:v>1000</x:v>
      </x:c>
      <x:c r="AO12" s="34" t="n">
        <x:v>151.009261</x:v>
      </x:c>
      <x:c r="AP12" s="34" t="n">
        <x:v>1.485917</x:v>
      </x:c>
      <x:c r="AQ12" s="34" t="n">
        <x:v>131.48782</x:v>
      </x:c>
      <x:c r="AR12" s="34" t="n">
        <x:v>19837.419</x:v>
      </x:c>
      <x:c r="AS12" s="34" t="n">
        <x:v>150.868867</x:v>
      </x:c>
      <x:c r="AT12" s="40" t="b">
        <x:v>1</x:v>
      </x:c>
      <x:c r="AU12" s="40" t="b">
        <x:v>0</x:v>
      </x:c>
      <x:c r="AV12" s="34" t="str"/>
      <x:c r="AW12" s="34" t="n">
        <x:v>0</x:v>
      </x:c>
      <x:c r="AX12" s="34" t="str">
        <x:v>9.990856690045291e-05</x:v>
      </x:c>
      <x:c r="AY12" s="40" t="b">
        <x:v>0</x:v>
      </x:c>
      <x:c r="AZ12" s="40" t="b">
        <x:v>0</x:v>
      </x:c>
      <x:c r="BA12" s="40" t="b">
        <x:v>1</x:v>
      </x:c>
      <x:c r="BB12" s="40" t="b">
        <x:v>1</x:v>
      </x:c>
      <x:c r="BC12" s="34" t="n">
        <x:v>2028</x:v>
      </x:c>
      <x:c r="BD12" s="34" t="n">
        <x:v>0</x:v>
      </x:c>
      <x:c r="BE12" s="34" t="n">
        <x:v>0.012250011000000005</x:v>
      </x:c>
      <x:c r="BF12" s="34" t="n">
        <x:v>0</x:v>
      </x:c>
      <x:c r="BG12" s="34" t="n">
        <x:v>1</x:v>
      </x:c>
      <x:c r="BH12" s="34" t="n">
        <x:v>1</x:v>
      </x:c>
      <x:c r="BI12" s="34" t="n">
        <x:v>0.3612199999999999</x:v>
      </x:c>
      <x:c r="BJ12" s="34" t="n">
        <x:v>0.6</x:v>
      </x:c>
      <x:c r="BK12" s="34" t="n">
        <x:v>1.54</x:v>
      </x:c>
    </x:row>
    <x:row r="13">
      <x:c r="A13" s="34" t="str">
        <x:v>KOBE_STEEL_JP</x:v>
      </x:c>
      <x:c r="B13" s="34" t="str">
        <x:v>Kobe Steel</x:v>
      </x:c>
      <x:c r="C13" s="34" t="str">
        <x:v>ACCELERATED_15C</x:v>
      </x:c>
      <x:c r="D13" s="34" t="str">
        <x:v>P7</x:v>
      </x:c>
      <x:c r="E13" s="34" t="str">
        <x:v>KOB-BF1</x:v>
      </x:c>
      <x:c r="F13" s="34" t="str">
        <x:v>Kakogawa Works BF 블록 1</x:v>
      </x:c>
      <x:c r="G13" s="34" t="str">
        <x:v>가코가와</x:v>
      </x:c>
      <x:c r="H13" s="34" t="n">
        <x:v>2028</x:v>
      </x:c>
      <x:c r="I13" s="34" t="str">
        <x:v>BF_BOF</x:v>
      </x:c>
      <x:c r="J13" s="34" t="str">
        <x:v>기준 BF-BOF 복합 블록</x:v>
      </x:c>
      <x:c r="K13" s="34" t="str">
        <x:v>H2_DRI_EAF</x:v>
      </x:c>
      <x:c r="L13" s="34" t="str">
        <x:v>수소 DRI + EAF</x:v>
      </x:c>
      <x:c r="M13" s="34" t="n">
        <x:v>3118.5</x:v>
      </x:c>
      <x:c r="N13" s="34" t="n">
        <x:v>2425.5</x:v>
      </x:c>
      <x:c r="O13" s="34" t="n">
        <x:v>3.15</x:v>
      </x:c>
      <x:c r="P13" s="34" t="n">
        <x:v>2.95</x:v>
      </x:c>
      <x:c r="Q13" s="34" t="n">
        <x:v>7.173636</x:v>
      </x:c>
      <x:c r="R13" s="34" t="n">
        <x:v>0.59</x:v>
      </x:c>
      <x:c r="S13" s="34" t="n">
        <x:v>0.59</x:v>
      </x:c>
      <x:c r="T13" s="34" t="n">
        <x:v>0.59</x:v>
      </x:c>
      <x:c r="U13" s="34" t="n">
        <x:v>6.583636</x:v>
      </x:c>
      <x:c r="V13" s="34" t="n">
        <x:v>85.587273</x:v>
      </x:c>
      <x:c r="W13" s="34" t="n">
        <x:v>18567.543</x:v>
      </x:c>
      <x:c r="X13" s="34" t="n">
        <x:v>7401.391</x:v>
      </x:c>
      <x:c r="Y13" s="34" t="n">
        <x:v>22878.901</x:v>
      </x:c>
      <x:c r="Z13" s="34" t="n">
        <x:v>15477.51</x:v>
      </x:c>
      <x:c r="AA13" s="34" t="n">
        <x:v>4311.358</x:v>
      </x:c>
      <x:c r="AB13" s="34" t="n">
        <x:v>11166.152</x:v>
      </x:c>
      <x:c r="AC13" s="34" t="n">
        <x:v>2065.589</x:v>
      </x:c>
      <x:c r="AD13" s="34" t="n">
        <x:v>265.806</x:v>
      </x:c>
      <x:c r="AE13" s="34" t="n">
        <x:v>2384.723</x:v>
      </x:c>
      <x:c r="AF13" s="34" t="n">
        <x:v>17230.56</x:v>
      </x:c>
      <x:c r="AG13" s="34" t="n">
        <x:v>932.223</x:v>
      </x:c>
      <x:c r="AH13" s="34" t="n">
        <x:v>-4311.358</x:v>
      </x:c>
      <x:c r="AI13" s="34" t="str">
        <x:v>model_estimate</x:v>
      </x:c>
      <x:c r="AJ13" s="34" t="str">
        <x:v>Kobe Steel 공식 조강·목표경계 배출 총량에 맞춘 블록 배분</x:v>
      </x:c>
      <x:c r="AK13" s="34" t="str">
        <x:v>CAND-0E9003448A63C3</x:v>
      </x:c>
      <x:c r="AL13" s="34" t="str">
        <x:v>P7</x:v>
      </x:c>
      <x:c r="AM13" s="34" t="str">
        <x:v>PORT-F194BB679477</x:v>
      </x:c>
      <x:c r="AN13" s="34" t="n">
        <x:v>1000</x:v>
      </x:c>
      <x:c r="AO13" s="34" t="n">
        <x:v>124.925143</x:v>
      </x:c>
      <x:c r="AP13" s="34" t="n">
        <x:v>1.324203</x:v>
      </x:c>
      <x:c r="AQ13" s="34" t="n">
        <x:v>131.48782</x:v>
      </x:c>
      <x:c r="AR13" s="34" t="n">
        <x:v>16410.005</x:v>
      </x:c>
      <x:c r="AS13" s="34" t="n">
        <x:v>124.802469</x:v>
      </x:c>
      <x:c r="AT13" s="40" t="b">
        <x:v>1</x:v>
      </x:c>
      <x:c r="AU13" s="40" t="b">
        <x:v>1</x:v>
      </x:c>
      <x:c r="AV13" s="34" t="str"/>
      <x:c r="AW13" s="34" t="n">
        <x:v>0</x:v>
      </x:c>
      <x:c r="AX13" s="34" t="str">
        <x:v>9.990856690045291e-05</x:v>
      </x:c>
      <x:c r="AY13" s="40" t="b">
        <x:v>1</x:v>
      </x:c>
      <x:c r="AZ13" s="40" t="b">
        <x:v>1</x:v>
      </x:c>
      <x:c r="BA13" s="40" t="b">
        <x:v>1</x:v>
      </x:c>
      <x:c r="BB13" s="40" t="b">
        <x:v>1</x:v>
      </x:c>
      <x:c r="BC13" s="34" t="str"/>
      <x:c r="BD13" s="34" t="n">
        <x:v>0</x:v>
      </x:c>
      <x:c r="BE13" s="34" t="n">
        <x:v>0</x:v>
      </x:c>
      <x:c r="BF13" s="34" t="n">
        <x:v>0</x:v>
      </x:c>
      <x:c r="BG13" s="34" t="n">
        <x:v>1</x:v>
      </x:c>
      <x:c r="BH13" s="34" t="n">
        <x:v>1</x:v>
      </x:c>
      <x:c r="BI13" s="34" t="n">
        <x:v>0.3612199999999999</x:v>
      </x:c>
      <x:c r="BJ13" s="34" t="n">
        <x:v>0.6</x:v>
      </x:c>
      <x:c r="BK13" s="34" t="n">
        <x:v>1.54</x:v>
      </x:c>
    </x:row>
    <x:row r="14">
      <x:c r="A14" s="34" t="str">
        <x:v>KOBE_STEEL_JP</x:v>
      </x:c>
      <x:c r="B14" s="34" t="str">
        <x:v>Kobe Steel</x:v>
      </x:c>
      <x:c r="C14" s="34" t="str">
        <x:v>ACCELERATED_15C</x:v>
      </x:c>
      <x:c r="D14" s="34" t="str">
        <x:v>P7</x:v>
      </x:c>
      <x:c r="E14" s="34" t="str">
        <x:v>KOB-BF3</x:v>
      </x:c>
      <x:c r="F14" s="34" t="str">
        <x:v>Kakogawa Works BF 블록 3</x:v>
      </x:c>
      <x:c r="G14" s="34" t="str">
        <x:v>가코가와</x:v>
      </x:c>
      <x:c r="H14" s="34" t="n">
        <x:v>2034</x:v>
      </x:c>
      <x:c r="I14" s="34" t="str">
        <x:v>BF_BOF</x:v>
      </x:c>
      <x:c r="J14" s="34" t="str">
        <x:v>기준 BF-BOF 복합 블록</x:v>
      </x:c>
      <x:c r="K14" s="34" t="str">
        <x:v>H2_DRI_EAF</x:v>
      </x:c>
      <x:c r="L14" s="34" t="str">
        <x:v>수소 DRI + EAF</x:v>
      </x:c>
      <x:c r="M14" s="34" t="n">
        <x:v>3019.5</x:v>
      </x:c>
      <x:c r="N14" s="34" t="n">
        <x:v>2348.5</x:v>
      </x:c>
      <x:c r="O14" s="34" t="n">
        <x:v>3.05</x:v>
      </x:c>
      <x:c r="P14" s="34" t="n">
        <x:v>2.909999</x:v>
      </x:c>
      <x:c r="Q14" s="34" t="n">
        <x:v>7.076364</x:v>
      </x:c>
      <x:c r="R14" s="34" t="n">
        <x:v>7.076364</x:v>
      </x:c>
      <x:c r="S14" s="34" t="n">
        <x:v>0.582</x:v>
      </x:c>
      <x:c r="T14" s="34" t="n">
        <x:v>0.582</x:v>
      </x:c>
      <x:c r="U14" s="34" t="n">
        <x:v>6.494364</x:v>
      </x:c>
      <x:c r="V14" s="34" t="n">
        <x:v>45.460547</x:v>
      </x:c>
      <x:c r="W14" s="34" t="n">
        <x:v>8693.201</x:v>
      </x:c>
      <x:c r="X14" s="34" t="n">
        <x:v>3437.558</x:v>
      </x:c>
      <x:c r="Y14" s="34" t="n">
        <x:v>11068.43</x:v>
      </x:c>
      <x:c r="Z14" s="34" t="n">
        <x:v>7630.872</x:v>
      </x:c>
      <x:c r="AA14" s="34" t="n">
        <x:v>2375.229</x:v>
      </x:c>
      <x:c r="AB14" s="34" t="n">
        <x:v>5255.643</x:v>
      </x:c>
      <x:c r="AC14" s="34" t="n">
        <x:v>1450.502</x:v>
      </x:c>
      <x:c r="AD14" s="34" t="n">
        <x:v>118.533</x:v>
      </x:c>
      <x:c r="AE14" s="34" t="n">
        <x:v>1117.072</x:v>
      </x:c>
      <x:c r="AF14" s="34" t="n">
        <x:v>7930.995</x:v>
      </x:c>
      <x:c r="AG14" s="34" t="n">
        <x:v>451.327</x:v>
      </x:c>
      <x:c r="AH14" s="34" t="n">
        <x:v>-2375.229</x:v>
      </x:c>
      <x:c r="AI14" s="34" t="str">
        <x:v>model_estimate</x:v>
      </x:c>
      <x:c r="AJ14" s="34" t="str">
        <x:v>2016년 BF3 개수와 장기 수명주기를 반영한 재투자연도 추정</x:v>
      </x:c>
      <x:c r="AK14" s="34" t="str">
        <x:v>CAND-0E9003448A63C3</x:v>
      </x:c>
      <x:c r="AL14" s="34" t="str">
        <x:v>P7</x:v>
      </x:c>
      <x:c r="AM14" s="34" t="str">
        <x:v>PORT-F194BB679477</x:v>
      </x:c>
      <x:c r="AN14" s="34" t="n">
        <x:v>1000</x:v>
      </x:c>
      <x:c r="AO14" s="34" t="n">
        <x:v>124.925143</x:v>
      </x:c>
      <x:c r="AP14" s="34" t="n">
        <x:v>1.324203</x:v>
      </x:c>
      <x:c r="AQ14" s="34" t="n">
        <x:v>131.48782</x:v>
      </x:c>
      <x:c r="AR14" s="34" t="n">
        <x:v>16410.005</x:v>
      </x:c>
      <x:c r="AS14" s="34" t="n">
        <x:v>124.802469</x:v>
      </x:c>
      <x:c r="AT14" s="40" t="b">
        <x:v>1</x:v>
      </x:c>
      <x:c r="AU14" s="40" t="b">
        <x:v>1</x:v>
      </x:c>
      <x:c r="AV14" s="34" t="str"/>
      <x:c r="AW14" s="34" t="n">
        <x:v>0</x:v>
      </x:c>
      <x:c r="AX14" s="34" t="str">
        <x:v>9.990856690045291e-05</x:v>
      </x:c>
      <x:c r="AY14" s="40" t="b">
        <x:v>1</x:v>
      </x:c>
      <x:c r="AZ14" s="40" t="b">
        <x:v>1</x:v>
      </x:c>
      <x:c r="BA14" s="40" t="b">
        <x:v>1</x:v>
      </x:c>
      <x:c r="BB14" s="40" t="b">
        <x:v>1</x:v>
      </x:c>
      <x:c r="BC14" s="34" t="str"/>
      <x:c r="BD14" s="34" t="n">
        <x:v>0</x:v>
      </x:c>
      <x:c r="BE14" s="34" t="n">
        <x:v>0</x:v>
      </x:c>
      <x:c r="BF14" s="34" t="n">
        <x:v>0</x:v>
      </x:c>
      <x:c r="BG14" s="34" t="n">
        <x:v>1</x:v>
      </x:c>
      <x:c r="BH14" s="34" t="n">
        <x:v>1</x:v>
      </x:c>
      <x:c r="BI14" s="34" t="n">
        <x:v>0.3612199999999999</x:v>
      </x:c>
      <x:c r="BJ14" s="34" t="n">
        <x:v>0.6</x:v>
      </x:c>
      <x:c r="BK14" s="34" t="n">
        <x:v>1.54</x:v>
      </x:c>
    </x:row>
    <x:row r="15">
      <x:c r="A15" s="34" t="str">
        <x:v>KOBE_STEEL_JP</x:v>
      </x:c>
      <x:c r="B15" s="34" t="str">
        <x:v>Kobe Steel</x:v>
      </x:c>
      <x:c r="C15" s="34" t="str">
        <x:v>ACCELERATED_15C</x:v>
      </x:c>
      <x:c r="D15" s="34" t="str">
        <x:v>P7</x:v>
      </x:c>
      <x:c r="E15" s="34" t="str">
        <x:v>KOB-TAKA</x:v>
      </x:c>
      <x:c r="F15" s="34" t="str">
        <x:v>Takasago Works EAF block</x:v>
      </x:c>
      <x:c r="G15" s="34" t="str">
        <x:v>다카사고</x:v>
      </x:c>
      <x:c r="H15" s="34" t="n">
        <x:v>2030</x:v>
      </x:c>
      <x:c r="I15" s="34" t="str">
        <x:v>EAF_BASELINE</x:v>
      </x:c>
      <x:c r="J15" s="34" t="str">
        <x:v>기존 전기로 기준 블록</x:v>
      </x:c>
      <x:c r="K15" s="34" t="str">
        <x:v>EAF_RENEWABLE</x:v>
      </x:c>
      <x:c r="L15" s="34" t="str">
        <x:v>기존 EAF 재생전력 업그레이드</x:v>
      </x:c>
      <x:c r="M15" s="34" t="n">
        <x:v>40.04</x:v>
      </x:c>
      <x:c r="N15" s="34" t="n">
        <x:v>12.32</x:v>
      </x:c>
      <x:c r="O15" s="34" t="n">
        <x:v>0.14</x:v>
      </x:c>
      <x:c r="P15" s="34" t="n">
        <x:v>0.1</x:v>
      </x:c>
      <x:c r="Q15" s="34" t="n">
        <x:v>0.05</x:v>
      </x:c>
      <x:c r="R15" s="34" t="n">
        <x:v>0.01</x:v>
      </x:c>
      <x:c r="S15" s="34" t="n">
        <x:v>0.01</x:v>
      </x:c>
      <x:c r="T15" s="34" t="n">
        <x:v>0.01</x:v>
      </x:c>
      <x:c r="U15" s="34" t="n">
        <x:v>0.04</x:v>
      </x:c>
      <x:c r="V15" s="34" t="n">
        <x:v>0.44</x:v>
      </x:c>
      <x:c r="W15" s="34" t="n">
        <x:v>-9.824</x:v>
      </x:c>
      <x:c r="X15" s="34" t="n">
        <x:v>1.966</x:v>
      </x:c>
      <x:c r="Y15" s="34" t="n">
        <x:v>12.811</x:v>
      </x:c>
      <x:c r="Z15" s="34" t="n">
        <x:v>10.845</x:v>
      </x:c>
      <x:c r="AA15" s="34" t="n">
        <x:v>22.635</x:v>
      </x:c>
      <x:c r="AB15" s="34" t="n">
        <x:v>-11.79</x:v>
      </x:c>
      <x:c r="AC15" s="34" t="n">
        <x:v>9.426</x:v>
      </x:c>
      <x:c r="AD15" s="34" t="n">
        <x:v>0</x:v>
      </x:c>
      <x:c r="AE15" s="34" t="n">
        <x:v>2.853</x:v>
      </x:c>
      <x:c r="AF15" s="34" t="n">
        <x:v>0</x:v>
      </x:c>
      <x:c r="AG15" s="34" t="n">
        <x:v>0.531</x:v>
      </x:c>
      <x:c r="AH15" s="34" t="n">
        <x:v>-22.635</x:v>
      </x:c>
      <x:c r="AI15" s="34" t="str">
        <x:v>model_estimate</x:v>
      </x:c>
      <x:c r="AJ15" s="34" t="str">
        <x:v>다카사고 포함 공식 조강 총량에 맞춘 소규모 EAF 블록 추정</x:v>
      </x:c>
      <x:c r="AK15" s="34" t="str">
        <x:v>CAND-0E9003448A63C3</x:v>
      </x:c>
      <x:c r="AL15" s="34" t="str">
        <x:v>P7</x:v>
      </x:c>
      <x:c r="AM15" s="34" t="str">
        <x:v>PORT-F194BB679477</x:v>
      </x:c>
      <x:c r="AN15" s="34" t="n">
        <x:v>1000</x:v>
      </x:c>
      <x:c r="AO15" s="34" t="n">
        <x:v>124.925143</x:v>
      </x:c>
      <x:c r="AP15" s="34" t="n">
        <x:v>1.324203</x:v>
      </x:c>
      <x:c r="AQ15" s="34" t="n">
        <x:v>131.48782</x:v>
      </x:c>
      <x:c r="AR15" s="34" t="n">
        <x:v>16410.005</x:v>
      </x:c>
      <x:c r="AS15" s="34" t="n">
        <x:v>124.802469</x:v>
      </x:c>
      <x:c r="AT15" s="40" t="b">
        <x:v>1</x:v>
      </x:c>
      <x:c r="AU15" s="40" t="b">
        <x:v>1</x:v>
      </x:c>
      <x:c r="AV15" s="34" t="str"/>
      <x:c r="AW15" s="34" t="n">
        <x:v>0</x:v>
      </x:c>
      <x:c r="AX15" s="34" t="str">
        <x:v>9.990856690045291e-05</x:v>
      </x:c>
      <x:c r="AY15" s="40" t="b">
        <x:v>1</x:v>
      </x:c>
      <x:c r="AZ15" s="40" t="b">
        <x:v>1</x:v>
      </x:c>
      <x:c r="BA15" s="40" t="b">
        <x:v>1</x:v>
      </x:c>
      <x:c r="BB15" s="40" t="b">
        <x:v>1</x:v>
      </x:c>
      <x:c r="BC15" s="34" t="str"/>
      <x:c r="BD15" s="34" t="n">
        <x:v>0</x:v>
      </x:c>
      <x:c r="BE15" s="34" t="n">
        <x:v>0</x:v>
      </x:c>
      <x:c r="BF15" s="34" t="n">
        <x:v>0</x:v>
      </x:c>
      <x:c r="BG15" s="34" t="n">
        <x:v>1</x:v>
      </x:c>
      <x:c r="BH15" s="34" t="n">
        <x:v>1</x:v>
      </x:c>
      <x:c r="BI15" s="34" t="n">
        <x:v>0.3612199999999999</x:v>
      </x:c>
      <x:c r="BJ15" s="34" t="n">
        <x:v>0.6</x:v>
      </x:c>
      <x:c r="BK15" s="34" t="n">
        <x:v>1.54</x:v>
      </x:c>
    </x:row>
    <x:row r="16">
      <x:c r="A16" s="34" t="str">
        <x:v>NIPPON_STEEL_JP</x:v>
      </x:c>
      <x:c r="B16" s="34" t="str">
        <x:v>Nippon Steel</x:v>
      </x:c>
      <x:c r="C16" s="34" t="str">
        <x:v>DISCLOSED_PATH</x:v>
      </x:c>
      <x:c r="D16" s="34" t="str">
        <x:v>P1</x:v>
      </x:c>
      <x:c r="E16" s="34" t="str">
        <x:v>NS-EAST</x:v>
      </x:c>
      <x:c r="F16" s="34" t="str">
        <x:v>East Nippon Works 블록</x:v>
      </x:c>
      <x:c r="G16" s="34" t="str">
        <x:v>동일본</x:v>
      </x:c>
      <x:c r="H16" s="34" t="n">
        <x:v>2034</x:v>
      </x:c>
      <x:c r="I16" s="34" t="str">
        <x:v>BF_BOF</x:v>
      </x:c>
      <x:c r="J16" s="34" t="str">
        <x:v>기준 BF-BOF 복합 블록</x:v>
      </x:c>
      <x:c r="K16" s="34" t="str">
        <x:v>H2_DRI_EAF</x:v>
      </x:c>
      <x:c r="L16" s="34" t="str">
        <x:v>수소 DRI + EAF</x:v>
      </x:c>
      <x:c r="M16" s="34" t="n">
        <x:v>8019</x:v>
      </x:c>
      <x:c r="N16" s="34" t="n">
        <x:v>6237</x:v>
      </x:c>
      <x:c r="O16" s="34" t="n">
        <x:v>8.1</x:v>
      </x:c>
      <x:c r="P16" s="34" t="n">
        <x:v>7.200001</x:v>
      </x:c>
      <x:c r="Q16" s="34" t="n">
        <x:v>15.239652</x:v>
      </x:c>
      <x:c r="R16" s="34" t="n">
        <x:v>15.239652</x:v>
      </x:c>
      <x:c r="S16" s="34" t="n">
        <x:v>1.44</x:v>
      </x:c>
      <x:c r="T16" s="34" t="n">
        <x:v>1.44</x:v>
      </x:c>
      <x:c r="U16" s="34" t="n">
        <x:v>13.799651</x:v>
      </x:c>
      <x:c r="V16" s="34" t="n">
        <x:v>96.597559</x:v>
      </x:c>
      <x:c r="W16" s="34" t="n">
        <x:v>21295.71</x:v>
      </x:c>
      <x:c r="X16" s="34" t="n">
        <x:v>1078.603</x:v>
      </x:c>
      <x:c r="Y16" s="34" t="n">
        <x:v>24687.595</x:v>
      </x:c>
      <x:c r="Z16" s="34" t="n">
        <x:v>23608.992</x:v>
      </x:c>
      <x:c r="AA16" s="34" t="n">
        <x:v>3391.885</x:v>
      </x:c>
      <x:c r="AB16" s="34" t="n">
        <x:v>20217.107</x:v>
      </x:c>
      <x:c r="AC16" s="34" t="n">
        <x:v>3852.154</x:v>
      </x:c>
      <x:c r="AD16" s="34" t="n">
        <x:v>346.602</x:v>
      </x:c>
      <x:c r="AE16" s="34" t="n">
        <x:v>2483.549</x:v>
      </x:c>
      <x:c r="AF16" s="34" t="n">
        <x:v>18005.29</x:v>
      </x:c>
      <x:c r="AG16" s="34" t="n">
        <x:v>0</x:v>
      </x:c>
      <x:c r="AH16" s="34" t="n">
        <x:v>-3391.885</x:v>
      </x:c>
      <x:c r="AI16" s="34" t="str">
        <x:v>model_estimate</x:v>
      </x:c>
      <x:c r="AJ16" s="34" t="str">
        <x:v>Nippon Steel 공식 생산·배출·용량 총량에 맞춘 지역 블록 배분</x:v>
      </x:c>
      <x:c r="AK16" s="34" t="str">
        <x:v>CAND-18F73BD54A9F34</x:v>
      </x:c>
      <x:c r="AL16" s="34" t="str">
        <x:v>P1</x:v>
      </x:c>
      <x:c r="AM16" s="34" t="str">
        <x:v>PORT-6742936593A9</x:v>
      </x:c>
      <x:c r="AN16" s="34" t="n">
        <x:v>1000</x:v>
      </x:c>
      <x:c r="AO16" s="34" t="n">
        <x:v>85.949846</x:v>
      </x:c>
      <x:c r="AP16" s="34" t="n">
        <x:v>25.696198</x:v>
      </x:c>
      <x:c r="AQ16" s="34" t="n">
        <x:v>454.753949</x:v>
      </x:c>
      <x:c r="AR16" s="34" t="n">
        <x:v>38138.549</x:v>
      </x:c>
      <x:c r="AS16" s="34" t="n">
        <x:v>83.866339</x:v>
      </x:c>
      <x:c r="AT16" s="40" t="b">
        <x:v>1</x:v>
      </x:c>
      <x:c r="AU16" s="40" t="b">
        <x:v>1</x:v>
      </x:c>
      <x:c r="AV16" s="34" t="str"/>
      <x:c r="AW16" s="34" t="n">
        <x:v>0</x:v>
      </x:c>
      <x:c r="AX16" s="34" t="str">
        <x:v>3.446647212967946e-06</x:v>
      </x:c>
      <x:c r="AY16" s="40" t="b">
        <x:v>1</x:v>
      </x:c>
      <x:c r="AZ16" s="40" t="b">
        <x:v>1</x:v>
      </x:c>
      <x:c r="BA16" s="40" t="b">
        <x:v>1</x:v>
      </x:c>
      <x:c r="BB16" s="40" t="b">
        <x:v>1</x:v>
      </x:c>
      <x:c r="BC16" s="34" t="str"/>
      <x:c r="BD16" s="34" t="n">
        <x:v>0</x:v>
      </x:c>
      <x:c r="BE16" s="34" t="n">
        <x:v>0</x:v>
      </x:c>
      <x:c r="BF16" s="34" t="n">
        <x:v>0</x:v>
      </x:c>
      <x:c r="BG16" s="34" t="n">
        <x:v>2</x:v>
      </x:c>
      <x:c r="BH16" s="34" t="n">
        <x:v>2</x:v>
      </x:c>
      <x:c r="BI16" s="34" t="n">
        <x:v>0.47641018879999986</x:v>
      </x:c>
      <x:c r="BJ16" s="34" t="n">
        <x:v>0.65</x:v>
      </x:c>
      <x:c r="BK16" s="34" t="n">
        <x:v>2.16</x:v>
      </x:c>
    </x:row>
    <x:row r="17">
      <x:c r="A17" s="34" t="str">
        <x:v>NIPPON_STEEL_JP</x:v>
      </x:c>
      <x:c r="B17" s="34" t="str">
        <x:v>Nippon Steel</x:v>
      </x:c>
      <x:c r="C17" s="34" t="str">
        <x:v>DISCLOSED_PATH</x:v>
      </x:c>
      <x:c r="D17" s="34" t="str">
        <x:v>P1</x:v>
      </x:c>
      <x:c r="E17" s="34" t="str">
        <x:v>NS-KANSAI</x:v>
      </x:c>
      <x:c r="F17" s="34" t="str">
        <x:v>Kansai Works 블록</x:v>
      </x:c>
      <x:c r="G17" s="34" t="str">
        <x:v>간사이</x:v>
      </x:c>
      <x:c r="H17" s="34" t="n">
        <x:v>2036</x:v>
      </x:c>
      <x:c r="I17" s="34" t="str">
        <x:v>BF_BOF</x:v>
      </x:c>
      <x:c r="J17" s="34" t="str">
        <x:v>기준 BF-BOF 복합 블록</x:v>
      </x:c>
      <x:c r="K17" s="34" t="str">
        <x:v>H2_DRI_EAF</x:v>
      </x:c>
      <x:c r="L17" s="34" t="str">
        <x:v>수소 DRI + EAF</x:v>
      </x:c>
      <x:c r="M17" s="34" t="n">
        <x:v>6237</x:v>
      </x:c>
      <x:c r="N17" s="34" t="n">
        <x:v>4851</x:v>
      </x:c>
      <x:c r="O17" s="34" t="n">
        <x:v>6.3</x:v>
      </x:c>
      <x:c r="P17" s="34" t="n">
        <x:v>5.600001</x:v>
      </x:c>
      <x:c r="Q17" s="34" t="n">
        <x:v>11.853062</x:v>
      </x:c>
      <x:c r="R17" s="34" t="n">
        <x:v>11.853062</x:v>
      </x:c>
      <x:c r="S17" s="34" t="n">
        <x:v>1.12</x:v>
      </x:c>
      <x:c r="T17" s="34" t="n">
        <x:v>1.12</x:v>
      </x:c>
      <x:c r="U17" s="34" t="n">
        <x:v>10.733062</x:v>
      </x:c>
      <x:c r="V17" s="34" t="n">
        <x:v>53.665311</x:v>
      </x:c>
      <x:c r="W17" s="34" t="n">
        <x:v>11805.356</x:v>
      </x:c>
      <x:c r="X17" s="34" t="n">
        <x:v>753.724</x:v>
      </x:c>
      <x:c r="Y17" s="34" t="n">
        <x:v>13679.935</x:v>
      </x:c>
      <x:c r="Z17" s="34" t="n">
        <x:v>12926.211</x:v>
      </x:c>
      <x:c r="AA17" s="34" t="n">
        <x:v>1874.579</x:v>
      </x:c>
      <x:c r="AB17" s="34" t="n">
        <x:v>11051.632</x:v>
      </x:c>
      <x:c r="AC17" s="34" t="n">
        <x:v>2691.871</x:v>
      </x:c>
      <x:c r="AD17" s="34" t="n">
        <x:v>181.997</x:v>
      </x:c>
      <x:c r="AE17" s="34" t="n">
        <x:v>1314.06</x:v>
      </x:c>
      <x:c r="AF17" s="34" t="n">
        <x:v>9492.007</x:v>
      </x:c>
      <x:c r="AG17" s="34" t="n">
        <x:v>0</x:v>
      </x:c>
      <x:c r="AH17" s="34" t="n">
        <x:v>-1874.579</x:v>
      </x:c>
      <x:c r="AI17" s="34" t="str">
        <x:v>model_estimate</x:v>
      </x:c>
      <x:c r="AJ17" s="34" t="str">
        <x:v>Nippon Steel 공식 생산·배출·용량 총량에 맞춘 지역 블록 배분</x:v>
      </x:c>
      <x:c r="AK17" s="34" t="str">
        <x:v>CAND-18F73BD54A9F34</x:v>
      </x:c>
      <x:c r="AL17" s="34" t="str">
        <x:v>P1</x:v>
      </x:c>
      <x:c r="AM17" s="34" t="str">
        <x:v>PORT-6742936593A9</x:v>
      </x:c>
      <x:c r="AN17" s="34" t="n">
        <x:v>1000</x:v>
      </x:c>
      <x:c r="AO17" s="34" t="n">
        <x:v>85.949846</x:v>
      </x:c>
      <x:c r="AP17" s="34" t="n">
        <x:v>25.696198</x:v>
      </x:c>
      <x:c r="AQ17" s="34" t="n">
        <x:v>454.753949</x:v>
      </x:c>
      <x:c r="AR17" s="34" t="n">
        <x:v>38138.549</x:v>
      </x:c>
      <x:c r="AS17" s="34" t="n">
        <x:v>83.866339</x:v>
      </x:c>
      <x:c r="AT17" s="40" t="b">
        <x:v>1</x:v>
      </x:c>
      <x:c r="AU17" s="40" t="b">
        <x:v>1</x:v>
      </x:c>
      <x:c r="AV17" s="34" t="str"/>
      <x:c r="AW17" s="34" t="n">
        <x:v>0</x:v>
      </x:c>
      <x:c r="AX17" s="34" t="str">
        <x:v>3.446647212967946e-06</x:v>
      </x:c>
      <x:c r="AY17" s="40" t="b">
        <x:v>1</x:v>
      </x:c>
      <x:c r="AZ17" s="40" t="b">
        <x:v>1</x:v>
      </x:c>
      <x:c r="BA17" s="40" t="b">
        <x:v>1</x:v>
      </x:c>
      <x:c r="BB17" s="40" t="b">
        <x:v>1</x:v>
      </x:c>
      <x:c r="BC17" s="34" t="str"/>
      <x:c r="BD17" s="34" t="n">
        <x:v>0</x:v>
      </x:c>
      <x:c r="BE17" s="34" t="n">
        <x:v>0</x:v>
      </x:c>
      <x:c r="BF17" s="34" t="n">
        <x:v>0</x:v>
      </x:c>
      <x:c r="BG17" s="34" t="n">
        <x:v>2</x:v>
      </x:c>
      <x:c r="BH17" s="34" t="n">
        <x:v>2</x:v>
      </x:c>
      <x:c r="BI17" s="34" t="n">
        <x:v>0.47641018879999986</x:v>
      </x:c>
      <x:c r="BJ17" s="34" t="n">
        <x:v>0.65</x:v>
      </x:c>
      <x:c r="BK17" s="34" t="n">
        <x:v>2.16</x:v>
      </x:c>
    </x:row>
    <x:row r="18">
      <x:c r="A18" s="34" t="str">
        <x:v>NIPPON_STEEL_JP</x:v>
      </x:c>
      <x:c r="B18" s="34" t="str">
        <x:v>Nippon Steel</x:v>
      </x:c>
      <x:c r="C18" s="34" t="str">
        <x:v>DISCLOSED_PATH</x:v>
      </x:c>
      <x:c r="D18" s="34" t="str">
        <x:v>P1</x:v>
      </x:c>
      <x:c r="E18" s="34" t="str">
        <x:v>NS-KYUSHU</x:v>
      </x:c>
      <x:c r="F18" s="34" t="str">
        <x:v>Kyushu Works Yawata 블록</x:v>
      </x:c>
      <x:c r="G18" s="34" t="str">
        <x:v>규슈</x:v>
      </x:c>
      <x:c r="H18" s="34" t="n">
        <x:v>2029</x:v>
      </x:c>
      <x:c r="I18" s="34" t="str">
        <x:v>BF_BOF</x:v>
      </x:c>
      <x:c r="J18" s="34" t="str">
        <x:v>기준 BF-BOF 복합 블록</x:v>
      </x:c>
      <x:c r="K18" s="34" t="str">
        <x:v>SCRAP_EAF</x:v>
      </x:c>
      <x:c r="L18" s="34" t="str">
        <x:v>스크랩 기반 대형 EAF</x:v>
      </x:c>
      <x:c r="M18" s="34" t="n">
        <x:v>6160</x:v>
      </x:c>
      <x:c r="N18" s="34" t="n">
        <x:v>3960</x:v>
      </x:c>
      <x:c r="O18" s="34" t="n">
        <x:v>10</x:v>
      </x:c>
      <x:c r="P18" s="34" t="n">
        <x:v>9</x:v>
      </x:c>
      <x:c r="Q18" s="34" t="n">
        <x:v>19.049562</x:v>
      </x:c>
      <x:c r="R18" s="34" t="n">
        <x:v>4.05</x:v>
      </x:c>
      <x:c r="S18" s="34" t="n">
        <x:v>4.05</x:v>
      </x:c>
      <x:c r="T18" s="34" t="n">
        <x:v>4.05</x:v>
      </x:c>
      <x:c r="U18" s="34" t="n">
        <x:v>14.999562</x:v>
      </x:c>
      <x:c r="V18" s="34" t="n">
        <x:v>179.994744</x:v>
      </x:c>
      <x:c r="W18" s="34" t="n">
        <x:v>4703.992</x:v>
      </x:c>
      <x:c r="X18" s="34" t="n">
        <x:v>799.145</x:v>
      </x:c>
      <x:c r="Y18" s="34" t="n">
        <x:v>10996.19</x:v>
      </x:c>
      <x:c r="Z18" s="34" t="n">
        <x:v>10197.045</x:v>
      </x:c>
      <x:c r="AA18" s="34" t="n">
        <x:v>6292.198</x:v>
      </x:c>
      <x:c r="AB18" s="34" t="n">
        <x:v>3904.847</x:v>
      </x:c>
      <x:c r="AC18" s="34" t="n">
        <x:v>3196.578</x:v>
      </x:c>
      <x:c r="AD18" s="34" t="n">
        <x:v>462.398</x:v>
      </x:c>
      <x:c r="AE18" s="34" t="n">
        <x:v>7337.214</x:v>
      </x:c>
      <x:c r="AF18" s="34" t="n">
        <x:v>0</x:v>
      </x:c>
      <x:c r="AG18" s="34" t="n">
        <x:v>0</x:v>
      </x:c>
      <x:c r="AH18" s="34" t="n">
        <x:v>-6292.198</x:v>
      </x:c>
      <x:c r="AI18" s="34" t="str">
        <x:v>model_estimate</x:v>
      </x:c>
      <x:c r="AJ18" s="34" t="str">
        <x:v>Yawata BF→EAF 공시 방향을 반영해 조기 재투자 창을 설정; 블록 생산량 추정</x:v>
      </x:c>
      <x:c r="AK18" s="34" t="str">
        <x:v>CAND-18F73BD54A9F34</x:v>
      </x:c>
      <x:c r="AL18" s="34" t="str">
        <x:v>P1</x:v>
      </x:c>
      <x:c r="AM18" s="34" t="str">
        <x:v>PORT-6742936593A9</x:v>
      </x:c>
      <x:c r="AN18" s="34" t="n">
        <x:v>1000</x:v>
      </x:c>
      <x:c r="AO18" s="34" t="n">
        <x:v>85.949846</x:v>
      </x:c>
      <x:c r="AP18" s="34" t="n">
        <x:v>25.696198</x:v>
      </x:c>
      <x:c r="AQ18" s="34" t="n">
        <x:v>454.753949</x:v>
      </x:c>
      <x:c r="AR18" s="34" t="n">
        <x:v>38138.549</x:v>
      </x:c>
      <x:c r="AS18" s="34" t="n">
        <x:v>83.866339</x:v>
      </x:c>
      <x:c r="AT18" s="40" t="b">
        <x:v>1</x:v>
      </x:c>
      <x:c r="AU18" s="40" t="b">
        <x:v>1</x:v>
      </x:c>
      <x:c r="AV18" s="34" t="str"/>
      <x:c r="AW18" s="34" t="n">
        <x:v>0</x:v>
      </x:c>
      <x:c r="AX18" s="34" t="str">
        <x:v>3.446647212967946e-06</x:v>
      </x:c>
      <x:c r="AY18" s="40" t="b">
        <x:v>1</x:v>
      </x:c>
      <x:c r="AZ18" s="40" t="b">
        <x:v>1</x:v>
      </x:c>
      <x:c r="BA18" s="40" t="b">
        <x:v>1</x:v>
      </x:c>
      <x:c r="BB18" s="40" t="b">
        <x:v>1</x:v>
      </x:c>
      <x:c r="BC18" s="34" t="str"/>
      <x:c r="BD18" s="34" t="n">
        <x:v>0</x:v>
      </x:c>
      <x:c r="BE18" s="34" t="n">
        <x:v>0</x:v>
      </x:c>
      <x:c r="BF18" s="34" t="n">
        <x:v>0</x:v>
      </x:c>
      <x:c r="BG18" s="34" t="n">
        <x:v>2</x:v>
      </x:c>
      <x:c r="BH18" s="34" t="n">
        <x:v>2</x:v>
      </x:c>
      <x:c r="BI18" s="34" t="n">
        <x:v>0.47641018879999986</x:v>
      </x:c>
      <x:c r="BJ18" s="34" t="n">
        <x:v>0.65</x:v>
      </x:c>
      <x:c r="BK18" s="34" t="n">
        <x:v>2.16</x:v>
      </x:c>
    </x:row>
    <x:row r="19">
      <x:c r="A19" s="34" t="str">
        <x:v>NIPPON_STEEL_JP</x:v>
      </x:c>
      <x:c r="B19" s="34" t="str">
        <x:v>Nippon Steel</x:v>
      </x:c>
      <x:c r="C19" s="34" t="str">
        <x:v>DISCLOSED_PATH</x:v>
      </x:c>
      <x:c r="D19" s="34" t="str">
        <x:v>P1</x:v>
      </x:c>
      <x:c r="E19" s="34" t="str">
        <x:v>NS-NAGOYA</x:v>
      </x:c>
      <x:c r="F19" s="34" t="str">
        <x:v>Nagoya Works 블록</x:v>
      </x:c>
      <x:c r="G19" s="34" t="str">
        <x:v>나고야</x:v>
      </x:c>
      <x:c r="H19" s="34" t="n">
        <x:v>2032</x:v>
      </x:c>
      <x:c r="I19" s="34" t="str">
        <x:v>BF_BOF</x:v>
      </x:c>
      <x:c r="J19" s="34" t="str">
        <x:v>기준 BF-BOF 복합 블록</x:v>
      </x:c>
      <x:c r="K19" s="34" t="str">
        <x:v>SCRAP_EAF</x:v>
      </x:c>
      <x:c r="L19" s="34" t="str">
        <x:v>스크랩 기반 대형 EAF</x:v>
      </x:c>
      <x:c r="M19" s="34" t="n">
        <x:v>4312</x:v>
      </x:c>
      <x:c r="N19" s="34" t="n">
        <x:v>2772</x:v>
      </x:c>
      <x:c r="O19" s="34" t="n">
        <x:v>7</x:v>
      </x:c>
      <x:c r="P19" s="34" t="n">
        <x:v>6.199998</x:v>
      </x:c>
      <x:c r="Q19" s="34" t="n">
        <x:v>13.123027</x:v>
      </x:c>
      <x:c r="R19" s="34" t="n">
        <x:v>13.123027</x:v>
      </x:c>
      <x:c r="S19" s="34" t="n">
        <x:v>2.789999</x:v>
      </x:c>
      <x:c r="T19" s="34" t="n">
        <x:v>2.789999</x:v>
      </x:c>
      <x:c r="U19" s="34" t="n">
        <x:v>10.333028</x:v>
      </x:c>
      <x:c r="V19" s="34" t="n">
        <x:v>92.997254</x:v>
      </x:c>
      <x:c r="W19" s="34" t="n">
        <x:v>2339.315</x:v>
      </x:c>
      <x:c r="X19" s="34" t="n">
        <x:v>476.394</x:v>
      </x:c>
      <x:c r="Y19" s="34" t="n">
        <x:v>5610.132</x:v>
      </x:c>
      <x:c r="Z19" s="34" t="n">
        <x:v>5133.739</x:v>
      </x:c>
      <x:c r="AA19" s="34" t="n">
        <x:v>3270.817</x:v>
      </x:c>
      <x:c r="AB19" s="34" t="n">
        <x:v>1862.921</x:v>
      </x:c>
      <x:c r="AC19" s="34" t="n">
        <x:v>1905.575</x:v>
      </x:c>
      <x:c r="AD19" s="34" t="n">
        <x:v>187.564</x:v>
      </x:c>
      <x:c r="AE19" s="34" t="n">
        <x:v>3516.993</x:v>
      </x:c>
      <x:c r="AF19" s="34" t="n">
        <x:v>0</x:v>
      </x:c>
      <x:c r="AG19" s="34" t="n">
        <x:v>0</x:v>
      </x:c>
      <x:c r="AH19" s="34" t="n">
        <x:v>-3270.817</x:v>
      </x:c>
      <x:c r="AI19" s="34" t="str">
        <x:v>model_estimate</x:v>
      </x:c>
      <x:c r="AJ19" s="34" t="str">
        <x:v>Nippon Steel 공식 생산·배출·용량 총량에 맞춘 지역 블록 배분</x:v>
      </x:c>
      <x:c r="AK19" s="34" t="str">
        <x:v>CAND-18F73BD54A9F34</x:v>
      </x:c>
      <x:c r="AL19" s="34" t="str">
        <x:v>P1</x:v>
      </x:c>
      <x:c r="AM19" s="34" t="str">
        <x:v>PORT-6742936593A9</x:v>
      </x:c>
      <x:c r="AN19" s="34" t="n">
        <x:v>1000</x:v>
      </x:c>
      <x:c r="AO19" s="34" t="n">
        <x:v>85.949846</x:v>
      </x:c>
      <x:c r="AP19" s="34" t="n">
        <x:v>25.696198</x:v>
      </x:c>
      <x:c r="AQ19" s="34" t="n">
        <x:v>454.753949</x:v>
      </x:c>
      <x:c r="AR19" s="34" t="n">
        <x:v>38138.549</x:v>
      </x:c>
      <x:c r="AS19" s="34" t="n">
        <x:v>83.866339</x:v>
      </x:c>
      <x:c r="AT19" s="40" t="b">
        <x:v>1</x:v>
      </x:c>
      <x:c r="AU19" s="40" t="b">
        <x:v>1</x:v>
      </x:c>
      <x:c r="AV19" s="34" t="str"/>
      <x:c r="AW19" s="34" t="n">
        <x:v>0</x:v>
      </x:c>
      <x:c r="AX19" s="34" t="str">
        <x:v>3.446647212967946e-06</x:v>
      </x:c>
      <x:c r="AY19" s="40" t="b">
        <x:v>1</x:v>
      </x:c>
      <x:c r="AZ19" s="40" t="b">
        <x:v>1</x:v>
      </x:c>
      <x:c r="BA19" s="40" t="b">
        <x:v>1</x:v>
      </x:c>
      <x:c r="BB19" s="40" t="b">
        <x:v>1</x:v>
      </x:c>
      <x:c r="BC19" s="34" t="str"/>
      <x:c r="BD19" s="34" t="n">
        <x:v>0</x:v>
      </x:c>
      <x:c r="BE19" s="34" t="n">
        <x:v>0</x:v>
      </x:c>
      <x:c r="BF19" s="34" t="n">
        <x:v>0</x:v>
      </x:c>
      <x:c r="BG19" s="34" t="n">
        <x:v>2</x:v>
      </x:c>
      <x:c r="BH19" s="34" t="n">
        <x:v>2</x:v>
      </x:c>
      <x:c r="BI19" s="34" t="n">
        <x:v>0.47641018879999986</x:v>
      </x:c>
      <x:c r="BJ19" s="34" t="n">
        <x:v>0.65</x:v>
      </x:c>
      <x:c r="BK19" s="34" t="n">
        <x:v>2.16</x:v>
      </x:c>
    </x:row>
    <x:row r="20">
      <x:c r="A20" s="34" t="str">
        <x:v>NIPPON_STEEL_JP</x:v>
      </x:c>
      <x:c r="B20" s="34" t="str">
        <x:v>Nippon Steel</x:v>
      </x:c>
      <x:c r="C20" s="34" t="str">
        <x:v>DISCLOSED_PATH</x:v>
      </x:c>
      <x:c r="D20" s="34" t="str">
        <x:v>P1</x:v>
      </x:c>
      <x:c r="E20" s="34" t="str">
        <x:v>NS-SETOUCHI</x:v>
      </x:c>
      <x:c r="F20" s="34" t="str">
        <x:v>Setouchi Works Hirohata 블록</x:v>
      </x:c>
      <x:c r="G20" s="34" t="str">
        <x:v>세토우치</x:v>
      </x:c>
      <x:c r="H20" s="34" t="n">
        <x:v>2038</x:v>
      </x:c>
      <x:c r="I20" s="34" t="str">
        <x:v>BF_BOF</x:v>
      </x:c>
      <x:c r="J20" s="34" t="str">
        <x:v>기준 BF-BOF 복합 블록</x:v>
      </x:c>
      <x:c r="K20" s="34" t="str">
        <x:v>SCRAP_EAF</x:v>
      </x:c>
      <x:c r="L20" s="34" t="str">
        <x:v>스크랩 기반 대형 EAF</x:v>
      </x:c>
      <x:c r="M20" s="34" t="n">
        <x:v>4620</x:v>
      </x:c>
      <x:c r="N20" s="34" t="n">
        <x:v>2970</x:v>
      </x:c>
      <x:c r="O20" s="34" t="n">
        <x:v>7.5</x:v>
      </x:c>
      <x:c r="P20" s="34" t="n">
        <x:v>6.3</x:v>
      </x:c>
      <x:c r="Q20" s="34" t="n">
        <x:v>13.334693</x:v>
      </x:c>
      <x:c r="R20" s="34" t="n">
        <x:v>13.334693</x:v>
      </x:c>
      <x:c r="S20" s="34" t="n">
        <x:v>2.835</x:v>
      </x:c>
      <x:c r="T20" s="34" t="n">
        <x:v>2.835</x:v>
      </x:c>
      <x:c r="U20" s="34" t="n">
        <x:v>10.499693</x:v>
      </x:c>
      <x:c r="V20" s="34" t="n">
        <x:v>31.49908</x:v>
      </x:c>
      <x:c r="W20" s="34" t="n">
        <x:v>1472.222</x:v>
      </x:c>
      <x:c r="X20" s="34" t="n">
        <x:v>370.181</x:v>
      </x:c>
      <x:c r="Y20" s="34" t="n">
        <x:v>2563.443</x:v>
      </x:c>
      <x:c r="Z20" s="34" t="n">
        <x:v>2193.262</x:v>
      </x:c>
      <x:c r="AA20" s="34" t="n">
        <x:v>1091.221</x:v>
      </x:c>
      <x:c r="AB20" s="34" t="n">
        <x:v>1102.041</x:v>
      </x:c>
      <x:c r="AC20" s="34" t="n">
        <x:v>1480.725</x:v>
      </x:c>
      <x:c r="AD20" s="34" t="n">
        <x:v>53.641</x:v>
      </x:c>
      <x:c r="AE20" s="34" t="n">
        <x:v>1029.077</x:v>
      </x:c>
      <x:c r="AF20" s="34" t="n">
        <x:v>0</x:v>
      </x:c>
      <x:c r="AG20" s="34" t="n">
        <x:v>0</x:v>
      </x:c>
      <x:c r="AH20" s="34" t="n">
        <x:v>-1091.221</x:v>
      </x:c>
      <x:c r="AI20" s="34" t="str">
        <x:v>model_estimate</x:v>
      </x:c>
      <x:c r="AJ20" s="34" t="str">
        <x:v>Hirohata EAF 투자 방향을 반영한 복합 블록; 생산량·재투자연도 추정</x:v>
      </x:c>
      <x:c r="AK20" s="34" t="str">
        <x:v>CAND-18F73BD54A9F34</x:v>
      </x:c>
      <x:c r="AL20" s="34" t="str">
        <x:v>P1</x:v>
      </x:c>
      <x:c r="AM20" s="34" t="str">
        <x:v>PORT-6742936593A9</x:v>
      </x:c>
      <x:c r="AN20" s="34" t="n">
        <x:v>1000</x:v>
      </x:c>
      <x:c r="AO20" s="34" t="n">
        <x:v>85.949846</x:v>
      </x:c>
      <x:c r="AP20" s="34" t="n">
        <x:v>25.696198</x:v>
      </x:c>
      <x:c r="AQ20" s="34" t="n">
        <x:v>454.753949</x:v>
      </x:c>
      <x:c r="AR20" s="34" t="n">
        <x:v>38138.549</x:v>
      </x:c>
      <x:c r="AS20" s="34" t="n">
        <x:v>83.866339</x:v>
      </x:c>
      <x:c r="AT20" s="40" t="b">
        <x:v>1</x:v>
      </x:c>
      <x:c r="AU20" s="40" t="b">
        <x:v>1</x:v>
      </x:c>
      <x:c r="AV20" s="34" t="str"/>
      <x:c r="AW20" s="34" t="n">
        <x:v>0</x:v>
      </x:c>
      <x:c r="AX20" s="34" t="str">
        <x:v>3.446647212967946e-06</x:v>
      </x:c>
      <x:c r="AY20" s="40" t="b">
        <x:v>1</x:v>
      </x:c>
      <x:c r="AZ20" s="40" t="b">
        <x:v>1</x:v>
      </x:c>
      <x:c r="BA20" s="40" t="b">
        <x:v>1</x:v>
      </x:c>
      <x:c r="BB20" s="40" t="b">
        <x:v>1</x:v>
      </x:c>
      <x:c r="BC20" s="34" t="str"/>
      <x:c r="BD20" s="34" t="n">
        <x:v>0</x:v>
      </x:c>
      <x:c r="BE20" s="34" t="n">
        <x:v>0</x:v>
      </x:c>
      <x:c r="BF20" s="34" t="n">
        <x:v>0</x:v>
      </x:c>
      <x:c r="BG20" s="34" t="n">
        <x:v>2</x:v>
      </x:c>
      <x:c r="BH20" s="34" t="n">
        <x:v>2</x:v>
      </x:c>
      <x:c r="BI20" s="34" t="n">
        <x:v>0.47641018879999986</x:v>
      </x:c>
      <x:c r="BJ20" s="34" t="n">
        <x:v>0.65</x:v>
      </x:c>
      <x:c r="BK20" s="34" t="n">
        <x:v>2.16</x:v>
      </x:c>
    </x:row>
    <x:row r="21">
      <x:c r="A21" s="34" t="str">
        <x:v>NIPPON_STEEL_JP</x:v>
      </x:c>
      <x:c r="B21" s="34" t="str">
        <x:v>Nippon Steel</x:v>
      </x:c>
      <x:c r="C21" s="34" t="str">
        <x:v>ACCELERATED_15C</x:v>
      </x:c>
      <x:c r="D21" s="34" t="str">
        <x:v>P1</x:v>
      </x:c>
      <x:c r="E21" s="34" t="str">
        <x:v>NS-EAST</x:v>
      </x:c>
      <x:c r="F21" s="34" t="str">
        <x:v>East Nippon Works 블록</x:v>
      </x:c>
      <x:c r="G21" s="34" t="str">
        <x:v>동일본</x:v>
      </x:c>
      <x:c r="H21" s="34" t="n">
        <x:v>2034</x:v>
      </x:c>
      <x:c r="I21" s="34" t="str">
        <x:v>BF_BOF</x:v>
      </x:c>
      <x:c r="J21" s="34" t="str">
        <x:v>기준 BF-BOF 복합 블록</x:v>
      </x:c>
      <x:c r="K21" s="34" t="str">
        <x:v>H2_DRI_EAF</x:v>
      </x:c>
      <x:c r="L21" s="34" t="str">
        <x:v>수소 DRI + EAF</x:v>
      </x:c>
      <x:c r="M21" s="34" t="n">
        <x:v>8019</x:v>
      </x:c>
      <x:c r="N21" s="34" t="n">
        <x:v>6237</x:v>
      </x:c>
      <x:c r="O21" s="34" t="n">
        <x:v>8.1</x:v>
      </x:c>
      <x:c r="P21" s="34" t="n">
        <x:v>7.200001</x:v>
      </x:c>
      <x:c r="Q21" s="34" t="n">
        <x:v>15.239652</x:v>
      </x:c>
      <x:c r="R21" s="34" t="n">
        <x:v>15.239652</x:v>
      </x:c>
      <x:c r="S21" s="34" t="n">
        <x:v>1.44</x:v>
      </x:c>
      <x:c r="T21" s="34" t="n">
        <x:v>1.44</x:v>
      </x:c>
      <x:c r="U21" s="34" t="n">
        <x:v>13.799651</x:v>
      </x:c>
      <x:c r="V21" s="34" t="n">
        <x:v>96.597559</x:v>
      </x:c>
      <x:c r="W21" s="34" t="n">
        <x:v>21538.694</x:v>
      </x:c>
      <x:c r="X21" s="34" t="n">
        <x:v>1348.254</x:v>
      </x:c>
      <x:c r="Y21" s="34" t="n">
        <x:v>26585.738</x:v>
      </x:c>
      <x:c r="Z21" s="34" t="n">
        <x:v>25237.484</x:v>
      </x:c>
      <x:c r="AA21" s="34" t="n">
        <x:v>5047.043</x:v>
      </x:c>
      <x:c r="AB21" s="34" t="n">
        <x:v>20190.441</x:v>
      </x:c>
      <x:c r="AC21" s="34" t="n">
        <x:v>3852.154</x:v>
      </x:c>
      <x:c r="AD21" s="34" t="n">
        <x:v>346.602</x:v>
      </x:c>
      <x:c r="AE21" s="34" t="n">
        <x:v>2763.891</x:v>
      </x:c>
      <x:c r="AF21" s="34" t="n">
        <x:v>19623.091</x:v>
      </x:c>
      <x:c r="AG21" s="34" t="n">
        <x:v>0</x:v>
      </x:c>
      <x:c r="AH21" s="34" t="n">
        <x:v>-5047.043</x:v>
      </x:c>
      <x:c r="AI21" s="34" t="str">
        <x:v>model_estimate</x:v>
      </x:c>
      <x:c r="AJ21" s="34" t="str">
        <x:v>Nippon Steel 공식 생산·배출·용량 총량에 맞춘 지역 블록 배분</x:v>
      </x:c>
      <x:c r="AK21" s="34" t="str">
        <x:v>CAND-18F73BD54A9F34</x:v>
      </x:c>
      <x:c r="AL21" s="34" t="str">
        <x:v>P1</x:v>
      </x:c>
      <x:c r="AM21" s="34" t="str">
        <x:v>PORT-6742936593A9</x:v>
      </x:c>
      <x:c r="AN21" s="34" t="n">
        <x:v>1000</x:v>
      </x:c>
      <x:c r="AO21" s="34" t="n">
        <x:v>76.756785</x:v>
      </x:c>
      <x:c r="AP21" s="34" t="n">
        <x:v>27.904392</x:v>
      </x:c>
      <x:c r="AQ21" s="34" t="n">
        <x:v>454.753949</x:v>
      </x:c>
      <x:c r="AR21" s="34" t="n">
        <x:v>33926.565</x:v>
      </x:c>
      <x:c r="AS21" s="34" t="n">
        <x:v>74.604223</x:v>
      </x:c>
      <x:c r="AT21" s="40" t="b">
        <x:v>1</x:v>
      </x:c>
      <x:c r="AU21" s="40" t="b">
        <x:v>1</x:v>
      </x:c>
      <x:c r="AV21" s="34" t="str"/>
      <x:c r="AW21" s="34" t="n">
        <x:v>0</x:v>
      </x:c>
      <x:c r="AX21" s="34" t="str">
        <x:v>3.446647212967946e-06</x:v>
      </x:c>
      <x:c r="AY21" s="40" t="b">
        <x:v>1</x:v>
      </x:c>
      <x:c r="AZ21" s="40" t="b">
        <x:v>1</x:v>
      </x:c>
      <x:c r="BA21" s="40" t="b">
        <x:v>1</x:v>
      </x:c>
      <x:c r="BB21" s="40" t="b">
        <x:v>1</x:v>
      </x:c>
      <x:c r="BC21" s="34" t="str"/>
      <x:c r="BD21" s="34" t="n">
        <x:v>0</x:v>
      </x:c>
      <x:c r="BE21" s="34" t="n">
        <x:v>0</x:v>
      </x:c>
      <x:c r="BF21" s="34" t="n">
        <x:v>0</x:v>
      </x:c>
      <x:c r="BG21" s="34" t="n">
        <x:v>2</x:v>
      </x:c>
      <x:c r="BH21" s="34" t="n">
        <x:v>2</x:v>
      </x:c>
      <x:c r="BI21" s="34" t="n">
        <x:v>0.47641018879999986</x:v>
      </x:c>
      <x:c r="BJ21" s="34" t="n">
        <x:v>0.65</x:v>
      </x:c>
      <x:c r="BK21" s="34" t="n">
        <x:v>2.16</x:v>
      </x:c>
    </x:row>
    <x:row r="22">
      <x:c r="A22" s="34" t="str">
        <x:v>NIPPON_STEEL_JP</x:v>
      </x:c>
      <x:c r="B22" s="34" t="str">
        <x:v>Nippon Steel</x:v>
      </x:c>
      <x:c r="C22" s="34" t="str">
        <x:v>ACCELERATED_15C</x:v>
      </x:c>
      <x:c r="D22" s="34" t="str">
        <x:v>P1</x:v>
      </x:c>
      <x:c r="E22" s="34" t="str">
        <x:v>NS-KANSAI</x:v>
      </x:c>
      <x:c r="F22" s="34" t="str">
        <x:v>Kansai Works 블록</x:v>
      </x:c>
      <x:c r="G22" s="34" t="str">
        <x:v>간사이</x:v>
      </x:c>
      <x:c r="H22" s="34" t="n">
        <x:v>2036</x:v>
      </x:c>
      <x:c r="I22" s="34" t="str">
        <x:v>BF_BOF</x:v>
      </x:c>
      <x:c r="J22" s="34" t="str">
        <x:v>기준 BF-BOF 복합 블록</x:v>
      </x:c>
      <x:c r="K22" s="34" t="str">
        <x:v>H2_DRI_EAF</x:v>
      </x:c>
      <x:c r="L22" s="34" t="str">
        <x:v>수소 DRI + EAF</x:v>
      </x:c>
      <x:c r="M22" s="34" t="n">
        <x:v>6237</x:v>
      </x:c>
      <x:c r="N22" s="34" t="n">
        <x:v>4851</x:v>
      </x:c>
      <x:c r="O22" s="34" t="n">
        <x:v>6.3</x:v>
      </x:c>
      <x:c r="P22" s="34" t="n">
        <x:v>5.600001</x:v>
      </x:c>
      <x:c r="Q22" s="34" t="n">
        <x:v>11.853062</x:v>
      </x:c>
      <x:c r="R22" s="34" t="n">
        <x:v>11.853062</x:v>
      </x:c>
      <x:c r="S22" s="34" t="n">
        <x:v>1.12</x:v>
      </x:c>
      <x:c r="T22" s="34" t="n">
        <x:v>1.12</x:v>
      </x:c>
      <x:c r="U22" s="34" t="n">
        <x:v>10.733062</x:v>
      </x:c>
      <x:c r="V22" s="34" t="n">
        <x:v>53.665311</x:v>
      </x:c>
      <x:c r="W22" s="34" t="n">
        <x:v>11957.133</x:v>
      </x:c>
      <x:c r="X22" s="34" t="n">
        <x:v>942.155</x:v>
      </x:c>
      <x:c r="Y22" s="34" t="n">
        <x:v>14756.282</x:v>
      </x:c>
      <x:c r="Z22" s="34" t="n">
        <x:v>13814.127</x:v>
      </x:c>
      <x:c r="AA22" s="34" t="n">
        <x:v>2799.149</x:v>
      </x:c>
      <x:c r="AB22" s="34" t="n">
        <x:v>11014.978</x:v>
      </x:c>
      <x:c r="AC22" s="34" t="n">
        <x:v>2691.871</x:v>
      </x:c>
      <x:c r="AD22" s="34" t="n">
        <x:v>181.997</x:v>
      </x:c>
      <x:c r="AE22" s="34" t="n">
        <x:v>1472.667</x:v>
      </x:c>
      <x:c r="AF22" s="34" t="n">
        <x:v>10409.747</x:v>
      </x:c>
      <x:c r="AG22" s="34" t="n">
        <x:v>0</x:v>
      </x:c>
      <x:c r="AH22" s="34" t="n">
        <x:v>-2799.149</x:v>
      </x:c>
      <x:c r="AI22" s="34" t="str">
        <x:v>model_estimate</x:v>
      </x:c>
      <x:c r="AJ22" s="34" t="str">
        <x:v>Nippon Steel 공식 생산·배출·용량 총량에 맞춘 지역 블록 배분</x:v>
      </x:c>
      <x:c r="AK22" s="34" t="str">
        <x:v>CAND-18F73BD54A9F34</x:v>
      </x:c>
      <x:c r="AL22" s="34" t="str">
        <x:v>P1</x:v>
      </x:c>
      <x:c r="AM22" s="34" t="str">
        <x:v>PORT-6742936593A9</x:v>
      </x:c>
      <x:c r="AN22" s="34" t="n">
        <x:v>1000</x:v>
      </x:c>
      <x:c r="AO22" s="34" t="n">
        <x:v>76.756785</x:v>
      </x:c>
      <x:c r="AP22" s="34" t="n">
        <x:v>27.904392</x:v>
      </x:c>
      <x:c r="AQ22" s="34" t="n">
        <x:v>454.753949</x:v>
      </x:c>
      <x:c r="AR22" s="34" t="n">
        <x:v>33926.565</x:v>
      </x:c>
      <x:c r="AS22" s="34" t="n">
        <x:v>74.604223</x:v>
      </x:c>
      <x:c r="AT22" s="40" t="b">
        <x:v>1</x:v>
      </x:c>
      <x:c r="AU22" s="40" t="b">
        <x:v>1</x:v>
      </x:c>
      <x:c r="AV22" s="34" t="str"/>
      <x:c r="AW22" s="34" t="n">
        <x:v>0</x:v>
      </x:c>
      <x:c r="AX22" s="34" t="str">
        <x:v>3.446647212967946e-06</x:v>
      </x:c>
      <x:c r="AY22" s="40" t="b">
        <x:v>1</x:v>
      </x:c>
      <x:c r="AZ22" s="40" t="b">
        <x:v>1</x:v>
      </x:c>
      <x:c r="BA22" s="40" t="b">
        <x:v>1</x:v>
      </x:c>
      <x:c r="BB22" s="40" t="b">
        <x:v>1</x:v>
      </x:c>
      <x:c r="BC22" s="34" t="str"/>
      <x:c r="BD22" s="34" t="n">
        <x:v>0</x:v>
      </x:c>
      <x:c r="BE22" s="34" t="n">
        <x:v>0</x:v>
      </x:c>
      <x:c r="BF22" s="34" t="n">
        <x:v>0</x:v>
      </x:c>
      <x:c r="BG22" s="34" t="n">
        <x:v>2</x:v>
      </x:c>
      <x:c r="BH22" s="34" t="n">
        <x:v>2</x:v>
      </x:c>
      <x:c r="BI22" s="34" t="n">
        <x:v>0.47641018879999986</x:v>
      </x:c>
      <x:c r="BJ22" s="34" t="n">
        <x:v>0.65</x:v>
      </x:c>
      <x:c r="BK22" s="34" t="n">
        <x:v>2.16</x:v>
      </x:c>
    </x:row>
    <x:row r="23">
      <x:c r="A23" s="34" t="str">
        <x:v>NIPPON_STEEL_JP</x:v>
      </x:c>
      <x:c r="B23" s="34" t="str">
        <x:v>Nippon Steel</x:v>
      </x:c>
      <x:c r="C23" s="34" t="str">
        <x:v>ACCELERATED_15C</x:v>
      </x:c>
      <x:c r="D23" s="34" t="str">
        <x:v>P1</x:v>
      </x:c>
      <x:c r="E23" s="34" t="str">
        <x:v>NS-KYUSHU</x:v>
      </x:c>
      <x:c r="F23" s="34" t="str">
        <x:v>Kyushu Works Yawata 블록</x:v>
      </x:c>
      <x:c r="G23" s="34" t="str">
        <x:v>규슈</x:v>
      </x:c>
      <x:c r="H23" s="34" t="n">
        <x:v>2029</x:v>
      </x:c>
      <x:c r="I23" s="34" t="str">
        <x:v>BF_BOF</x:v>
      </x:c>
      <x:c r="J23" s="34" t="str">
        <x:v>기준 BF-BOF 복합 블록</x:v>
      </x:c>
      <x:c r="K23" s="34" t="str">
        <x:v>SCRAP_EAF</x:v>
      </x:c>
      <x:c r="L23" s="34" t="str">
        <x:v>스크랩 기반 대형 EAF</x:v>
      </x:c>
      <x:c r="M23" s="34" t="n">
        <x:v>6160</x:v>
      </x:c>
      <x:c r="N23" s="34" t="n">
        <x:v>3960</x:v>
      </x:c>
      <x:c r="O23" s="34" t="n">
        <x:v>10</x:v>
      </x:c>
      <x:c r="P23" s="34" t="n">
        <x:v>9</x:v>
      </x:c>
      <x:c r="Q23" s="34" t="n">
        <x:v>19.049562</x:v>
      </x:c>
      <x:c r="R23" s="34" t="n">
        <x:v>4.05</x:v>
      </x:c>
      <x:c r="S23" s="34" t="n">
        <x:v>4.05</x:v>
      </x:c>
      <x:c r="T23" s="34" t="n">
        <x:v>4.05</x:v>
      </x:c>
      <x:c r="U23" s="34" t="n">
        <x:v>14.999562</x:v>
      </x:c>
      <x:c r="V23" s="34" t="n">
        <x:v>179.994744</x:v>
      </x:c>
      <x:c r="W23" s="34" t="n">
        <x:v>2492.385</x:v>
      </x:c>
      <x:c r="X23" s="34" t="n">
        <x:v>958.973</x:v>
      </x:c>
      <x:c r="Y23" s="34" t="n">
        <x:v>11668.319</x:v>
      </x:c>
      <x:c r="Z23" s="34" t="n">
        <x:v>10709.345</x:v>
      </x:c>
      <x:c r="AA23" s="34" t="n">
        <x:v>9175.933</x:v>
      </x:c>
      <x:c r="AB23" s="34" t="n">
        <x:v>1533.412</x:v>
      </x:c>
      <x:c r="AC23" s="34" t="n">
        <x:v>3196.578</x:v>
      </x:c>
      <x:c r="AD23" s="34" t="n">
        <x:v>462.398</x:v>
      </x:c>
      <x:c r="AE23" s="34" t="n">
        <x:v>8009.343</x:v>
      </x:c>
      <x:c r="AF23" s="34" t="n">
        <x:v>0</x:v>
      </x:c>
      <x:c r="AG23" s="34" t="n">
        <x:v>0</x:v>
      </x:c>
      <x:c r="AH23" s="34" t="n">
        <x:v>-9175.933</x:v>
      </x:c>
      <x:c r="AI23" s="34" t="str">
        <x:v>model_estimate</x:v>
      </x:c>
      <x:c r="AJ23" s="34" t="str">
        <x:v>Yawata BF→EAF 공시 방향을 반영해 조기 재투자 창을 설정; 블록 생산량 추정</x:v>
      </x:c>
      <x:c r="AK23" s="34" t="str">
        <x:v>CAND-18F73BD54A9F34</x:v>
      </x:c>
      <x:c r="AL23" s="34" t="str">
        <x:v>P1</x:v>
      </x:c>
      <x:c r="AM23" s="34" t="str">
        <x:v>PORT-6742936593A9</x:v>
      </x:c>
      <x:c r="AN23" s="34" t="n">
        <x:v>1000</x:v>
      </x:c>
      <x:c r="AO23" s="34" t="n">
        <x:v>76.756785</x:v>
      </x:c>
      <x:c r="AP23" s="34" t="n">
        <x:v>27.904392</x:v>
      </x:c>
      <x:c r="AQ23" s="34" t="n">
        <x:v>454.753949</x:v>
      </x:c>
      <x:c r="AR23" s="34" t="n">
        <x:v>33926.565</x:v>
      </x:c>
      <x:c r="AS23" s="34" t="n">
        <x:v>74.604223</x:v>
      </x:c>
      <x:c r="AT23" s="40" t="b">
        <x:v>1</x:v>
      </x:c>
      <x:c r="AU23" s="40" t="b">
        <x:v>1</x:v>
      </x:c>
      <x:c r="AV23" s="34" t="str"/>
      <x:c r="AW23" s="34" t="n">
        <x:v>0</x:v>
      </x:c>
      <x:c r="AX23" s="34" t="str">
        <x:v>3.446647212967946e-06</x:v>
      </x:c>
      <x:c r="AY23" s="40" t="b">
        <x:v>1</x:v>
      </x:c>
      <x:c r="AZ23" s="40" t="b">
        <x:v>1</x:v>
      </x:c>
      <x:c r="BA23" s="40" t="b">
        <x:v>1</x:v>
      </x:c>
      <x:c r="BB23" s="40" t="b">
        <x:v>1</x:v>
      </x:c>
      <x:c r="BC23" s="34" t="str"/>
      <x:c r="BD23" s="34" t="n">
        <x:v>0</x:v>
      </x:c>
      <x:c r="BE23" s="34" t="n">
        <x:v>0</x:v>
      </x:c>
      <x:c r="BF23" s="34" t="n">
        <x:v>0</x:v>
      </x:c>
      <x:c r="BG23" s="34" t="n">
        <x:v>2</x:v>
      </x:c>
      <x:c r="BH23" s="34" t="n">
        <x:v>2</x:v>
      </x:c>
      <x:c r="BI23" s="34" t="n">
        <x:v>0.47641018879999986</x:v>
      </x:c>
      <x:c r="BJ23" s="34" t="n">
        <x:v>0.65</x:v>
      </x:c>
      <x:c r="BK23" s="34" t="n">
        <x:v>2.16</x:v>
      </x:c>
    </x:row>
    <x:row r="24">
      <x:c r="A24" s="34" t="str">
        <x:v>NIPPON_STEEL_JP</x:v>
      </x:c>
      <x:c r="B24" s="34" t="str">
        <x:v>Nippon Steel</x:v>
      </x:c>
      <x:c r="C24" s="34" t="str">
        <x:v>ACCELERATED_15C</x:v>
      </x:c>
      <x:c r="D24" s="34" t="str">
        <x:v>P1</x:v>
      </x:c>
      <x:c r="E24" s="34" t="str">
        <x:v>NS-NAGOYA</x:v>
      </x:c>
      <x:c r="F24" s="34" t="str">
        <x:v>Nagoya Works 블록</x:v>
      </x:c>
      <x:c r="G24" s="34" t="str">
        <x:v>나고야</x:v>
      </x:c>
      <x:c r="H24" s="34" t="n">
        <x:v>2032</x:v>
      </x:c>
      <x:c r="I24" s="34" t="str">
        <x:v>BF_BOF</x:v>
      </x:c>
      <x:c r="J24" s="34" t="str">
        <x:v>기준 BF-BOF 복합 블록</x:v>
      </x:c>
      <x:c r="K24" s="34" t="str">
        <x:v>SCRAP_EAF</x:v>
      </x:c>
      <x:c r="L24" s="34" t="str">
        <x:v>스크랩 기반 대형 EAF</x:v>
      </x:c>
      <x:c r="M24" s="34" t="n">
        <x:v>4312</x:v>
      </x:c>
      <x:c r="N24" s="34" t="n">
        <x:v>2772</x:v>
      </x:c>
      <x:c r="O24" s="34" t="n">
        <x:v>7</x:v>
      </x:c>
      <x:c r="P24" s="34" t="n">
        <x:v>6.199998</x:v>
      </x:c>
      <x:c r="Q24" s="34" t="n">
        <x:v>13.123027</x:v>
      </x:c>
      <x:c r="R24" s="34" t="n">
        <x:v>13.123027</x:v>
      </x:c>
      <x:c r="S24" s="34" t="n">
        <x:v>2.789999</x:v>
      </x:c>
      <x:c r="T24" s="34" t="n">
        <x:v>2.789999</x:v>
      </x:c>
      <x:c r="U24" s="34" t="n">
        <x:v>10.333028</x:v>
      </x:c>
      <x:c r="V24" s="34" t="n">
        <x:v>92.997254</x:v>
      </x:c>
      <x:c r="W24" s="34" t="n">
        <x:v>1141.656</x:v>
      </x:c>
      <x:c r="X24" s="34" t="n">
        <x:v>571.672</x:v>
      </x:c>
      <x:c r="Y24" s="34" t="n">
        <x:v>5978.303</x:v>
      </x:c>
      <x:c r="Z24" s="34" t="n">
        <x:v>5406.631</x:v>
      </x:c>
      <x:c r="AA24" s="34" t="n">
        <x:v>4836.648</x:v>
      </x:c>
      <x:c r="AB24" s="34" t="n">
        <x:v>569.983</x:v>
      </x:c>
      <x:c r="AC24" s="34" t="n">
        <x:v>1905.575</x:v>
      </x:c>
      <x:c r="AD24" s="34" t="n">
        <x:v>187.564</x:v>
      </x:c>
      <x:c r="AE24" s="34" t="n">
        <x:v>3885.164</x:v>
      </x:c>
      <x:c r="AF24" s="34" t="n">
        <x:v>0</x:v>
      </x:c>
      <x:c r="AG24" s="34" t="n">
        <x:v>0</x:v>
      </x:c>
      <x:c r="AH24" s="34" t="n">
        <x:v>-4836.648</x:v>
      </x:c>
      <x:c r="AI24" s="34" t="str">
        <x:v>model_estimate</x:v>
      </x:c>
      <x:c r="AJ24" s="34" t="str">
        <x:v>Nippon Steel 공식 생산·배출·용량 총량에 맞춘 지역 블록 배분</x:v>
      </x:c>
      <x:c r="AK24" s="34" t="str">
        <x:v>CAND-18F73BD54A9F34</x:v>
      </x:c>
      <x:c r="AL24" s="34" t="str">
        <x:v>P1</x:v>
      </x:c>
      <x:c r="AM24" s="34" t="str">
        <x:v>PORT-6742936593A9</x:v>
      </x:c>
      <x:c r="AN24" s="34" t="n">
        <x:v>1000</x:v>
      </x:c>
      <x:c r="AO24" s="34" t="n">
        <x:v>76.756785</x:v>
      </x:c>
      <x:c r="AP24" s="34" t="n">
        <x:v>27.904392</x:v>
      </x:c>
      <x:c r="AQ24" s="34" t="n">
        <x:v>454.753949</x:v>
      </x:c>
      <x:c r="AR24" s="34" t="n">
        <x:v>33926.565</x:v>
      </x:c>
      <x:c r="AS24" s="34" t="n">
        <x:v>74.604223</x:v>
      </x:c>
      <x:c r="AT24" s="40" t="b">
        <x:v>1</x:v>
      </x:c>
      <x:c r="AU24" s="40" t="b">
        <x:v>1</x:v>
      </x:c>
      <x:c r="AV24" s="34" t="str"/>
      <x:c r="AW24" s="34" t="n">
        <x:v>0</x:v>
      </x:c>
      <x:c r="AX24" s="34" t="str">
        <x:v>3.446647212967946e-06</x:v>
      </x:c>
      <x:c r="AY24" s="40" t="b">
        <x:v>1</x:v>
      </x:c>
      <x:c r="AZ24" s="40" t="b">
        <x:v>1</x:v>
      </x:c>
      <x:c r="BA24" s="40" t="b">
        <x:v>1</x:v>
      </x:c>
      <x:c r="BB24" s="40" t="b">
        <x:v>1</x:v>
      </x:c>
      <x:c r="BC24" s="34" t="str"/>
      <x:c r="BD24" s="34" t="n">
        <x:v>0</x:v>
      </x:c>
      <x:c r="BE24" s="34" t="n">
        <x:v>0</x:v>
      </x:c>
      <x:c r="BF24" s="34" t="n">
        <x:v>0</x:v>
      </x:c>
      <x:c r="BG24" s="34" t="n">
        <x:v>2</x:v>
      </x:c>
      <x:c r="BH24" s="34" t="n">
        <x:v>2</x:v>
      </x:c>
      <x:c r="BI24" s="34" t="n">
        <x:v>0.47641018879999986</x:v>
      </x:c>
      <x:c r="BJ24" s="34" t="n">
        <x:v>0.65</x:v>
      </x:c>
      <x:c r="BK24" s="34" t="n">
        <x:v>2.16</x:v>
      </x:c>
    </x:row>
    <x:row r="25">
      <x:c r="A25" s="34" t="str">
        <x:v>NIPPON_STEEL_JP</x:v>
      </x:c>
      <x:c r="B25" s="34" t="str">
        <x:v>Nippon Steel</x:v>
      </x:c>
      <x:c r="C25" s="34" t="str">
        <x:v>ACCELERATED_15C</x:v>
      </x:c>
      <x:c r="D25" s="34" t="str">
        <x:v>P1</x:v>
      </x:c>
      <x:c r="E25" s="34" t="str">
        <x:v>NS-SETOUCHI</x:v>
      </x:c>
      <x:c r="F25" s="34" t="str">
        <x:v>Setouchi Works Hirohata 블록</x:v>
      </x:c>
      <x:c r="G25" s="34" t="str">
        <x:v>세토우치</x:v>
      </x:c>
      <x:c r="H25" s="34" t="n">
        <x:v>2038</x:v>
      </x:c>
      <x:c r="I25" s="34" t="str">
        <x:v>BF_BOF</x:v>
      </x:c>
      <x:c r="J25" s="34" t="str">
        <x:v>기준 BF-BOF 복합 블록</x:v>
      </x:c>
      <x:c r="K25" s="34" t="str">
        <x:v>SCRAP_EAF</x:v>
      </x:c>
      <x:c r="L25" s="34" t="str">
        <x:v>스크랩 기반 대형 EAF</x:v>
      </x:c>
      <x:c r="M25" s="34" t="n">
        <x:v>4620</x:v>
      </x:c>
      <x:c r="N25" s="34" t="n">
        <x:v>2970</x:v>
      </x:c>
      <x:c r="O25" s="34" t="n">
        <x:v>7.5</x:v>
      </x:c>
      <x:c r="P25" s="34" t="n">
        <x:v>6.3</x:v>
      </x:c>
      <x:c r="Q25" s="34" t="n">
        <x:v>13.334693</x:v>
      </x:c>
      <x:c r="R25" s="34" t="n">
        <x:v>13.334693</x:v>
      </x:c>
      <x:c r="S25" s="34" t="n">
        <x:v>2.835</x:v>
      </x:c>
      <x:c r="T25" s="34" t="n">
        <x:v>2.835</x:v>
      </x:c>
      <x:c r="U25" s="34" t="n">
        <x:v>10.499693</x:v>
      </x:c>
      <x:c r="V25" s="34" t="n">
        <x:v>31.49908</x:v>
      </x:c>
      <x:c r="W25" s="34" t="n">
        <x:v>1061.969</x:v>
      </x:c>
      <x:c r="X25" s="34" t="n">
        <x:v>444.218</x:v>
      </x:c>
      <x:c r="Y25" s="34" t="n">
        <x:v>2695.327</x:v>
      </x:c>
      <x:c r="Z25" s="34" t="n">
        <x:v>2251.11</x:v>
      </x:c>
      <x:c r="AA25" s="34" t="n">
        <x:v>1633.359</x:v>
      </x:c>
      <x:c r="AB25" s="34" t="n">
        <x:v>617.751</x:v>
      </x:c>
      <x:c r="AC25" s="34" t="n">
        <x:v>1480.725</x:v>
      </x:c>
      <x:c r="AD25" s="34" t="n">
        <x:v>53.641</x:v>
      </x:c>
      <x:c r="AE25" s="34" t="n">
        <x:v>1160.962</x:v>
      </x:c>
      <x:c r="AF25" s="34" t="n">
        <x:v>0</x:v>
      </x:c>
      <x:c r="AG25" s="34" t="n">
        <x:v>0</x:v>
      </x:c>
      <x:c r="AH25" s="34" t="n">
        <x:v>-1633.359</x:v>
      </x:c>
      <x:c r="AI25" s="34" t="str">
        <x:v>model_estimate</x:v>
      </x:c>
      <x:c r="AJ25" s="34" t="str">
        <x:v>Hirohata EAF 투자 방향을 반영한 복합 블록; 생산량·재투자연도 추정</x:v>
      </x:c>
      <x:c r="AK25" s="34" t="str">
        <x:v>CAND-18F73BD54A9F34</x:v>
      </x:c>
      <x:c r="AL25" s="34" t="str">
        <x:v>P1</x:v>
      </x:c>
      <x:c r="AM25" s="34" t="str">
        <x:v>PORT-6742936593A9</x:v>
      </x:c>
      <x:c r="AN25" s="34" t="n">
        <x:v>1000</x:v>
      </x:c>
      <x:c r="AO25" s="34" t="n">
        <x:v>76.756785</x:v>
      </x:c>
      <x:c r="AP25" s="34" t="n">
        <x:v>27.904392</x:v>
      </x:c>
      <x:c r="AQ25" s="34" t="n">
        <x:v>454.753949</x:v>
      </x:c>
      <x:c r="AR25" s="34" t="n">
        <x:v>33926.565</x:v>
      </x:c>
      <x:c r="AS25" s="34" t="n">
        <x:v>74.604223</x:v>
      </x:c>
      <x:c r="AT25" s="40" t="b">
        <x:v>1</x:v>
      </x:c>
      <x:c r="AU25" s="40" t="b">
        <x:v>1</x:v>
      </x:c>
      <x:c r="AV25" s="34" t="str"/>
      <x:c r="AW25" s="34" t="n">
        <x:v>0</x:v>
      </x:c>
      <x:c r="AX25" s="34" t="str">
        <x:v>3.446647212967946e-06</x:v>
      </x:c>
      <x:c r="AY25" s="40" t="b">
        <x:v>1</x:v>
      </x:c>
      <x:c r="AZ25" s="40" t="b">
        <x:v>1</x:v>
      </x:c>
      <x:c r="BA25" s="40" t="b">
        <x:v>1</x:v>
      </x:c>
      <x:c r="BB25" s="40" t="b">
        <x:v>1</x:v>
      </x:c>
      <x:c r="BC25" s="34" t="str"/>
      <x:c r="BD25" s="34" t="n">
        <x:v>0</x:v>
      </x:c>
      <x:c r="BE25" s="34" t="n">
        <x:v>0</x:v>
      </x:c>
      <x:c r="BF25" s="34" t="n">
        <x:v>0</x:v>
      </x:c>
      <x:c r="BG25" s="34" t="n">
        <x:v>2</x:v>
      </x:c>
      <x:c r="BH25" s="34" t="n">
        <x:v>2</x:v>
      </x:c>
      <x:c r="BI25" s="34" t="n">
        <x:v>0.47641018879999986</x:v>
      </x:c>
      <x:c r="BJ25" s="34" t="n">
        <x:v>0.65</x:v>
      </x:c>
      <x:c r="BK25" s="34" t="n">
        <x:v>2.16</x:v>
      </x:c>
    </x:row>
    <x:row r="26">
      <x:c r="A26" s="34" t="str">
        <x:v>POSCO_KR</x:v>
      </x:c>
      <x:c r="B26" s="34" t="str">
        <x:v>POSCO</x:v>
      </x:c>
      <x:c r="C26" s="34" t="str">
        <x:v>DISCLOSED_PATH</x:v>
      </x:c>
      <x:c r="D26" s="34" t="str">
        <x:v>P1</x:v>
      </x:c>
      <x:c r="E26" s="34" t="str">
        <x:v>POS-GWY-E</x:v>
      </x:c>
      <x:c r="F26" s="34" t="str">
        <x:v>광양제철소 BF 블록 B</x:v>
      </x:c>
      <x:c r="G26" s="34" t="str">
        <x:v>광양</x:v>
      </x:c>
      <x:c r="H26" s="34" t="n">
        <x:v>2037</x:v>
      </x:c>
      <x:c r="I26" s="34" t="str">
        <x:v>BF_BOF</x:v>
      </x:c>
      <x:c r="J26" s="34" t="str">
        <x:v>기준 BF-BOF 복합 블록</x:v>
      </x:c>
      <x:c r="K26" s="34" t="str">
        <x:v>BF_RELINE</x:v>
      </x:c>
      <x:c r="L26" s="34" t="str">
        <x:v>BF 개수·효율 패키지</x:v>
      </x:c>
      <x:c r="M26" s="34" t="n">
        <x:v>2575</x:v>
      </x:c>
      <x:c r="N26" s="34" t="n">
        <x:v>515</x:v>
      </x:c>
      <x:c r="O26" s="34" t="n">
        <x:v>10.3</x:v>
      </x:c>
      <x:c r="P26" s="34" t="n">
        <x:v>9.502996</x:v>
      </x:c>
      <x:c r="Q26" s="34" t="n">
        <x:v>19.725693</x:v>
      </x:c>
      <x:c r="R26" s="34" t="n">
        <x:v>19.725693</x:v>
      </x:c>
      <x:c r="S26" s="34" t="n">
        <x:v>18.055693</x:v>
      </x:c>
      <x:c r="T26" s="34" t="n">
        <x:v>18.055693</x:v>
      </x:c>
      <x:c r="U26" s="34" t="n">
        <x:v>1.67</x:v>
      </x:c>
      <x:c r="V26" s="34" t="n">
        <x:v>6.679998</x:v>
      </x:c>
      <x:c r="W26" s="34" t="n">
        <x:v>154.145</x:v>
      </x:c>
      <x:c r="X26" s="34" t="n">
        <x:v>0</x:v>
      </x:c>
      <x:c r="Y26" s="34" t="n">
        <x:v>393.911</x:v>
      </x:c>
      <x:c r="Z26" s="34" t="n">
        <x:v>393.911</x:v>
      </x:c>
      <x:c r="AA26" s="34" t="n">
        <x:v>239.766</x:v>
      </x:c>
      <x:c r="AB26" s="34" t="n">
        <x:v>154.145</x:v>
      </x:c>
      <x:c r="AC26" s="34" t="n">
        <x:v>270.88</x:v>
      </x:c>
      <x:c r="AD26" s="34" t="n">
        <x:v>73.935</x:v>
      </x:c>
      <x:c r="AE26" s="34" t="n">
        <x:v>49.095</x:v>
      </x:c>
      <x:c r="AF26" s="34" t="n">
        <x:v>0</x:v>
      </x:c>
      <x:c r="AG26" s="34" t="n">
        <x:v>0</x:v>
      </x:c>
      <x:c r="AH26" s="34" t="n">
        <x:v>-239.766</x:v>
      </x:c>
      <x:c r="AI26" s="34" t="str">
        <x:v>model_estimate</x:v>
      </x:c>
      <x:c r="AJ26" s="34" t="str">
        <x:v>POSCO 공식 국내 생산·배출 총량에 맞춘 설비 블록 배분; 개별 생산량·재투자연도는 추정</x:v>
      </x:c>
      <x:c r="AK26" s="34" t="str">
        <x:v>CAND-2F5D03A613EDBE</x:v>
      </x:c>
      <x:c r="AL26" s="34" t="str">
        <x:v>P1</x:v>
      </x:c>
      <x:c r="AM26" s="34" t="str">
        <x:v>PORT-0E469489028A</x:v>
      </x:c>
      <x:c r="AN26" s="34" t="n">
        <x:v>1000</x:v>
      </x:c>
      <x:c r="AO26" s="34" t="n">
        <x:v>8.976264</x:v>
      </x:c>
      <x:c r="AP26" s="34" t="n">
        <x:v>7.615491</x:v>
      </x:c>
      <x:c r="AQ26" s="34" t="n">
        <x:v>261.543846</x:v>
      </x:c>
      <x:c r="AR26" s="34" t="n">
        <x:v>2124.876</x:v>
      </x:c>
      <x:c r="AS26" s="34" t="n">
        <x:v>8.124359</x:v>
      </x:c>
      <x:c r="AT26" s="40" t="b">
        <x:v>1</x:v>
      </x:c>
      <x:c r="AU26" s="40" t="b">
        <x:v>1</x:v>
      </x:c>
      <x:c r="AV26" s="34" t="str"/>
      <x:c r="AW26" s="34" t="n">
        <x:v>0</x:v>
      </x:c>
      <x:c r="AX26" s="34" t="str">
        <x:v>2.0275124185786808e-05</x:v>
      </x:c>
      <x:c r="AY26" s="40" t="b">
        <x:v>1</x:v>
      </x:c>
      <x:c r="AZ26" s="40" t="b">
        <x:v>1</x:v>
      </x:c>
      <x:c r="BA26" s="40" t="b">
        <x:v>1</x:v>
      </x:c>
      <x:c r="BB26" s="40" t="b">
        <x:v>1</x:v>
      </x:c>
      <x:c r="BC26" s="34" t="str"/>
      <x:c r="BD26" s="34" t="n">
        <x:v>0</x:v>
      </x:c>
      <x:c r="BE26" s="34" t="n">
        <x:v>0</x:v>
      </x:c>
      <x:c r="BF26" s="34" t="n">
        <x:v>0</x:v>
      </x:c>
      <x:c r="BG26" s="34" t="n">
        <x:v>2</x:v>
      </x:c>
      <x:c r="BH26" s="34" t="n">
        <x:v>3</x:v>
      </x:c>
      <x:c r="BI26" s="34" t="n">
        <x:v>0.2589598719999999</x:v>
      </x:c>
      <x:c r="BJ26" s="34" t="n">
        <x:v>0.65</x:v>
      </x:c>
      <x:c r="BK26" s="34" t="n">
        <x:v>0.7399999999999999</x:v>
      </x:c>
    </x:row>
    <x:row r="27">
      <x:c r="A27" s="34" t="str">
        <x:v>POSCO_KR</x:v>
      </x:c>
      <x:c r="B27" s="34" t="str">
        <x:v>POSCO</x:v>
      </x:c>
      <x:c r="C27" s="34" t="str">
        <x:v>DISCLOSED_PATH</x:v>
      </x:c>
      <x:c r="D27" s="34" t="str">
        <x:v>P1</x:v>
      </x:c>
      <x:c r="E27" s="34" t="str">
        <x:v>POS-GWY-EAF</x:v>
      </x:c>
      <x:c r="F27" s="34" t="str">
        <x:v>광양 기존 EAF 블록</x:v>
      </x:c>
      <x:c r="G27" s="34" t="str">
        <x:v>광양</x:v>
      </x:c>
      <x:c r="H27" s="34" t="n">
        <x:v>2033</x:v>
      </x:c>
      <x:c r="I27" s="34" t="str">
        <x:v>EAF_BASELINE</x:v>
      </x:c>
      <x:c r="J27" s="34" t="str">
        <x:v>기존 전기로 기준 블록</x:v>
      </x:c>
      <x:c r="K27" s="34" t="str">
        <x:v>EAF_RENEWABLE</x:v>
      </x:c>
      <x:c r="L27" s="34" t="str">
        <x:v>기존 EAF 재생전력 업그레이드</x:v>
      </x:c>
      <x:c r="M27" s="34" t="n">
        <x:v>312</x:v>
      </x:c>
      <x:c r="N27" s="34" t="n">
        <x:v>96</x:v>
      </x:c>
      <x:c r="O27" s="34" t="n">
        <x:v>1.2</x:v>
      </x:c>
      <x:c r="P27" s="34" t="n">
        <x:v>1.134</x:v>
      </x:c>
      <x:c r="Q27" s="34" t="n">
        <x:v>0.5103</x:v>
      </x:c>
      <x:c r="R27" s="34" t="n">
        <x:v>0.5103</x:v>
      </x:c>
      <x:c r="S27" s="34" t="n">
        <x:v>0.1134</x:v>
      </x:c>
      <x:c r="T27" s="34" t="n">
        <x:v>0.1134</x:v>
      </x:c>
      <x:c r="U27" s="34" t="n">
        <x:v>0.3969</x:v>
      </x:c>
      <x:c r="V27" s="34" t="n">
        <x:v>3.1752</x:v>
      </x:c>
      <x:c r="W27" s="34" t="n">
        <x:v>0.246</x:v>
      </x:c>
      <x:c r="X27" s="34" t="n">
        <x:v>6.255</x:v>
      </x:c>
      <x:c r="Y27" s="34" t="n">
        <x:v>115.773</x:v>
      </x:c>
      <x:c r="Z27" s="34" t="n">
        <x:v>109.517</x:v>
      </x:c>
      <x:c r="AA27" s="34" t="n">
        <x:v>115.527</x:v>
      </x:c>
      <x:c r="AB27" s="34" t="n">
        <x:v>-6.009</x:v>
      </x:c>
      <x:c r="AC27" s="34" t="n">
        <x:v>62.553</x:v>
      </x:c>
      <x:c r="AD27" s="34" t="n">
        <x:v>14.814</x:v>
      </x:c>
      <x:c r="AE27" s="34" t="n">
        <x:v>38.405</x:v>
      </x:c>
      <x:c r="AF27" s="34" t="n">
        <x:v>0</x:v>
      </x:c>
      <x:c r="AG27" s="34" t="n">
        <x:v>0</x:v>
      </x:c>
      <x:c r="AH27" s="34" t="n">
        <x:v>-115.527</x:v>
      </x:c>
      <x:c r="AI27" s="34" t="str">
        <x:v>model_estimate</x:v>
      </x:c>
      <x:c r="AJ27" s="34" t="str">
        <x:v>2025 공식 EAF 생산 1.135Mt에 맞춘 모델 블록; 집약도·재투자연도 추정</x:v>
      </x:c>
      <x:c r="AK27" s="34" t="str">
        <x:v>CAND-2F5D03A613EDBE</x:v>
      </x:c>
      <x:c r="AL27" s="34" t="str">
        <x:v>P1</x:v>
      </x:c>
      <x:c r="AM27" s="34" t="str">
        <x:v>PORT-0E469489028A</x:v>
      </x:c>
      <x:c r="AN27" s="34" t="n">
        <x:v>1000</x:v>
      </x:c>
      <x:c r="AO27" s="34" t="n">
        <x:v>8.976264</x:v>
      </x:c>
      <x:c r="AP27" s="34" t="n">
        <x:v>7.615491</x:v>
      </x:c>
      <x:c r="AQ27" s="34" t="n">
        <x:v>261.543846</x:v>
      </x:c>
      <x:c r="AR27" s="34" t="n">
        <x:v>2124.876</x:v>
      </x:c>
      <x:c r="AS27" s="34" t="n">
        <x:v>8.124359</x:v>
      </x:c>
      <x:c r="AT27" s="40" t="b">
        <x:v>1</x:v>
      </x:c>
      <x:c r="AU27" s="40" t="b">
        <x:v>1</x:v>
      </x:c>
      <x:c r="AV27" s="34" t="str"/>
      <x:c r="AW27" s="34" t="n">
        <x:v>0</x:v>
      </x:c>
      <x:c r="AX27" s="34" t="str">
        <x:v>2.0275124185786808e-05</x:v>
      </x:c>
      <x:c r="AY27" s="40" t="b">
        <x:v>1</x:v>
      </x:c>
      <x:c r="AZ27" s="40" t="b">
        <x:v>1</x:v>
      </x:c>
      <x:c r="BA27" s="40" t="b">
        <x:v>1</x:v>
      </x:c>
      <x:c r="BB27" s="40" t="b">
        <x:v>1</x:v>
      </x:c>
      <x:c r="BC27" s="34" t="str"/>
      <x:c r="BD27" s="34" t="n">
        <x:v>0</x:v>
      </x:c>
      <x:c r="BE27" s="34" t="n">
        <x:v>0</x:v>
      </x:c>
      <x:c r="BF27" s="34" t="n">
        <x:v>0</x:v>
      </x:c>
      <x:c r="BG27" s="34" t="n">
        <x:v>2</x:v>
      </x:c>
      <x:c r="BH27" s="34" t="n">
        <x:v>3</x:v>
      </x:c>
      <x:c r="BI27" s="34" t="n">
        <x:v>0.2589598719999999</x:v>
      </x:c>
      <x:c r="BJ27" s="34" t="n">
        <x:v>0.65</x:v>
      </x:c>
      <x:c r="BK27" s="34" t="n">
        <x:v>0.7399999999999999</x:v>
      </x:c>
    </x:row>
    <x:row r="28">
      <x:c r="A28" s="34" t="str">
        <x:v>POSCO_KR</x:v>
      </x:c>
      <x:c r="B28" s="34" t="str">
        <x:v>POSCO</x:v>
      </x:c>
      <x:c r="C28" s="34" t="str">
        <x:v>DISCLOSED_PATH</x:v>
      </x:c>
      <x:c r="D28" s="34" t="str">
        <x:v>P1</x:v>
      </x:c>
      <x:c r="E28" s="34" t="str">
        <x:v>POS-GWY-W</x:v>
      </x:c>
      <x:c r="F28" s="34" t="str">
        <x:v>광양제철소 BF 블록 A</x:v>
      </x:c>
      <x:c r="G28" s="34" t="str">
        <x:v>광양</x:v>
      </x:c>
      <x:c r="H28" s="34" t="n">
        <x:v>2035</x:v>
      </x:c>
      <x:c r="I28" s="34" t="str">
        <x:v>BF_BOF</x:v>
      </x:c>
      <x:c r="J28" s="34" t="str">
        <x:v>기준 BF-BOF 복합 블록</x:v>
      </x:c>
      <x:c r="K28" s="34" t="str">
        <x:v>SCRAP_EAF</x:v>
      </x:c>
      <x:c r="L28" s="34" t="str">
        <x:v>스크랩 기반 대형 EAF</x:v>
      </x:c>
      <x:c r="M28" s="34" t="n">
        <x:v>5768</x:v>
      </x:c>
      <x:c r="N28" s="34" t="n">
        <x:v>3708</x:v>
      </x:c>
      <x:c r="O28" s="34" t="n">
        <x:v>10.3</x:v>
      </x:c>
      <x:c r="P28" s="34" t="n">
        <x:v>9.499999</x:v>
      </x:c>
      <x:c r="Q28" s="34" t="n">
        <x:v>19.719471</x:v>
      </x:c>
      <x:c r="R28" s="34" t="n">
        <x:v>19.719471</x:v>
      </x:c>
      <x:c r="S28" s="34" t="n">
        <x:v>4.275</x:v>
      </x:c>
      <x:c r="T28" s="34" t="n">
        <x:v>4.275</x:v>
      </x:c>
      <x:c r="U28" s="34" t="n">
        <x:v>15.444471</x:v>
      </x:c>
      <x:c r="V28" s="34" t="n">
        <x:v>92.666828</x:v>
      </x:c>
      <x:c r="W28" s="34" t="n">
        <x:v>1274.002</x:v>
      </x:c>
      <x:c r="X28" s="34" t="n">
        <x:v>325.616</x:v>
      </x:c>
      <x:c r="Y28" s="34" t="n">
        <x:v>4627.949</x:v>
      </x:c>
      <x:c r="Z28" s="34" t="n">
        <x:v>4302.332</x:v>
      </x:c>
      <x:c r="AA28" s="34" t="n">
        <x:v>3353.947</x:v>
      </x:c>
      <x:c r="AB28" s="34" t="n">
        <x:v>948.385</x:v>
      </x:c>
      <x:c r="AC28" s="34" t="n">
        <x:v>2170.777</x:v>
      </x:c>
      <x:c r="AD28" s="34" t="n">
        <x:v>263.8</x:v>
      </x:c>
      <x:c r="AE28" s="34" t="n">
        <x:v>2193.372</x:v>
      </x:c>
      <x:c r="AF28" s="34" t="n">
        <x:v>0</x:v>
      </x:c>
      <x:c r="AG28" s="34" t="n">
        <x:v>0</x:v>
      </x:c>
      <x:c r="AH28" s="34" t="n">
        <x:v>-3353.947</x:v>
      </x:c>
      <x:c r="AI28" s="34" t="str">
        <x:v>model_estimate</x:v>
      </x:c>
      <x:c r="AJ28" s="34" t="str">
        <x:v>POSCO 공식 국내 생산·배출 총량에 맞춘 설비 블록 배분; 개별 생산량·재투자연도는 추정</x:v>
      </x:c>
      <x:c r="AK28" s="34" t="str">
        <x:v>CAND-2F5D03A613EDBE</x:v>
      </x:c>
      <x:c r="AL28" s="34" t="str">
        <x:v>P1</x:v>
      </x:c>
      <x:c r="AM28" s="34" t="str">
        <x:v>PORT-0E469489028A</x:v>
      </x:c>
      <x:c r="AN28" s="34" t="n">
        <x:v>1000</x:v>
      </x:c>
      <x:c r="AO28" s="34" t="n">
        <x:v>8.976264</x:v>
      </x:c>
      <x:c r="AP28" s="34" t="n">
        <x:v>7.615491</x:v>
      </x:c>
      <x:c r="AQ28" s="34" t="n">
        <x:v>261.543846</x:v>
      </x:c>
      <x:c r="AR28" s="34" t="n">
        <x:v>2124.876</x:v>
      </x:c>
      <x:c r="AS28" s="34" t="n">
        <x:v>8.124359</x:v>
      </x:c>
      <x:c r="AT28" s="40" t="b">
        <x:v>1</x:v>
      </x:c>
      <x:c r="AU28" s="40" t="b">
        <x:v>1</x:v>
      </x:c>
      <x:c r="AV28" s="34" t="str"/>
      <x:c r="AW28" s="34" t="n">
        <x:v>0</x:v>
      </x:c>
      <x:c r="AX28" s="34" t="str">
        <x:v>2.0275124185786808e-05</x:v>
      </x:c>
      <x:c r="AY28" s="40" t="b">
        <x:v>1</x:v>
      </x:c>
      <x:c r="AZ28" s="40" t="b">
        <x:v>1</x:v>
      </x:c>
      <x:c r="BA28" s="40" t="b">
        <x:v>1</x:v>
      </x:c>
      <x:c r="BB28" s="40" t="b">
        <x:v>1</x:v>
      </x:c>
      <x:c r="BC28" s="34" t="str"/>
      <x:c r="BD28" s="34" t="n">
        <x:v>0</x:v>
      </x:c>
      <x:c r="BE28" s="34" t="n">
        <x:v>0</x:v>
      </x:c>
      <x:c r="BF28" s="34" t="n">
        <x:v>0</x:v>
      </x:c>
      <x:c r="BG28" s="34" t="n">
        <x:v>2</x:v>
      </x:c>
      <x:c r="BH28" s="34" t="n">
        <x:v>3</x:v>
      </x:c>
      <x:c r="BI28" s="34" t="n">
        <x:v>0.2589598719999999</x:v>
      </x:c>
      <x:c r="BJ28" s="34" t="n">
        <x:v>0.65</x:v>
      </x:c>
      <x:c r="BK28" s="34" t="n">
        <x:v>0.7399999999999999</x:v>
      </x:c>
    </x:row>
    <x:row r="29">
      <x:c r="A29" s="34" t="str">
        <x:v>POSCO_KR</x:v>
      </x:c>
      <x:c r="B29" s="34" t="str">
        <x:v>POSCO</x:v>
      </x:c>
      <x:c r="C29" s="34" t="str">
        <x:v>DISCLOSED_PATH</x:v>
      </x:c>
      <x:c r="D29" s="34" t="str">
        <x:v>P1</x:v>
      </x:c>
      <x:c r="E29" s="34" t="str">
        <x:v>POS-POH-N</x:v>
      </x:c>
      <x:c r="F29" s="34" t="str">
        <x:v>포항제철소 BF 블록 A</x:v>
      </x:c>
      <x:c r="G29" s="34" t="str">
        <x:v>포항</x:v>
      </x:c>
      <x:c r="H29" s="34" t="n">
        <x:v>2029</x:v>
      </x:c>
      <x:c r="I29" s="34" t="str">
        <x:v>BF_BOF</x:v>
      </x:c>
      <x:c r="J29" s="34" t="str">
        <x:v>기준 BF-BOF 복합 블록</x:v>
      </x:c>
      <x:c r="K29" s="34" t="str">
        <x:v>SCRAP_EAF</x:v>
      </x:c>
      <x:c r="L29" s="34" t="str">
        <x:v>스크랩 기반 대형 EAF</x:v>
      </x:c>
      <x:c r="M29" s="34" t="n">
        <x:v>4592</x:v>
      </x:c>
      <x:c r="N29" s="34" t="n">
        <x:v>2952</x:v>
      </x:c>
      <x:c r="O29" s="34" t="n">
        <x:v>8.2</x:v>
      </x:c>
      <x:c r="P29" s="34" t="n">
        <x:v>7.599998</x:v>
      </x:c>
      <x:c r="Q29" s="34" t="n">
        <x:v>15.775574</x:v>
      </x:c>
      <x:c r="R29" s="34" t="n">
        <x:v>3.419999</x:v>
      </x:c>
      <x:c r="S29" s="34" t="n">
        <x:v>3.419999</x:v>
      </x:c>
      <x:c r="T29" s="34" t="n">
        <x:v>3.419999</x:v>
      </x:c>
      <x:c r="U29" s="34" t="n">
        <x:v>12.355575</x:v>
      </x:c>
      <x:c r="V29" s="34" t="n">
        <x:v>148.266898</x:v>
      </x:c>
      <x:c r="W29" s="34" t="n">
        <x:v>1376.259</x:v>
      </x:c>
      <x:c r="X29" s="34" t="n">
        <x:v>357.436</x:v>
      </x:c>
      <x:c r="Y29" s="34" t="n">
        <x:v>6763.368</x:v>
      </x:c>
      <x:c r="Z29" s="34" t="n">
        <x:v>6405.932</x:v>
      </x:c>
      <x:c r="AA29" s="34" t="n">
        <x:v>5387.108</x:v>
      </x:c>
      <x:c r="AB29" s="34" t="n">
        <x:v>1018.824</x:v>
      </x:c>
      <x:c r="AC29" s="34" t="n">
        <x:v>2382.904</x:v>
      </x:c>
      <x:c r="AD29" s="34" t="n">
        <x:v>446.25</x:v>
      </x:c>
      <x:c r="AE29" s="34" t="n">
        <x:v>3934.214</x:v>
      </x:c>
      <x:c r="AF29" s="34" t="n">
        <x:v>0</x:v>
      </x:c>
      <x:c r="AG29" s="34" t="n">
        <x:v>0</x:v>
      </x:c>
      <x:c r="AH29" s="34" t="n">
        <x:v>-5387.108</x:v>
      </x:c>
      <x:c r="AI29" s="34" t="str">
        <x:v>model_estimate</x:v>
      </x:c>
      <x:c r="AJ29" s="34" t="str">
        <x:v>POSCO 공식 국내 생산·배출 총량에 맞춘 설비 블록 배분; 개별 생산량·재투자연도는 추정</x:v>
      </x:c>
      <x:c r="AK29" s="34" t="str">
        <x:v>CAND-2F5D03A613EDBE</x:v>
      </x:c>
      <x:c r="AL29" s="34" t="str">
        <x:v>P1</x:v>
      </x:c>
      <x:c r="AM29" s="34" t="str">
        <x:v>PORT-0E469489028A</x:v>
      </x:c>
      <x:c r="AN29" s="34" t="n">
        <x:v>1000</x:v>
      </x:c>
      <x:c r="AO29" s="34" t="n">
        <x:v>8.976264</x:v>
      </x:c>
      <x:c r="AP29" s="34" t="n">
        <x:v>7.615491</x:v>
      </x:c>
      <x:c r="AQ29" s="34" t="n">
        <x:v>261.543846</x:v>
      </x:c>
      <x:c r="AR29" s="34" t="n">
        <x:v>2124.876</x:v>
      </x:c>
      <x:c r="AS29" s="34" t="n">
        <x:v>8.124359</x:v>
      </x:c>
      <x:c r="AT29" s="40" t="b">
        <x:v>1</x:v>
      </x:c>
      <x:c r="AU29" s="40" t="b">
        <x:v>1</x:v>
      </x:c>
      <x:c r="AV29" s="34" t="str"/>
      <x:c r="AW29" s="34" t="n">
        <x:v>0</x:v>
      </x:c>
      <x:c r="AX29" s="34" t="str">
        <x:v>2.0275124185786808e-05</x:v>
      </x:c>
      <x:c r="AY29" s="40" t="b">
        <x:v>1</x:v>
      </x:c>
      <x:c r="AZ29" s="40" t="b">
        <x:v>1</x:v>
      </x:c>
      <x:c r="BA29" s="40" t="b">
        <x:v>1</x:v>
      </x:c>
      <x:c r="BB29" s="40" t="b">
        <x:v>1</x:v>
      </x:c>
      <x:c r="BC29" s="34" t="str"/>
      <x:c r="BD29" s="34" t="n">
        <x:v>0</x:v>
      </x:c>
      <x:c r="BE29" s="34" t="n">
        <x:v>0</x:v>
      </x:c>
      <x:c r="BF29" s="34" t="n">
        <x:v>0</x:v>
      </x:c>
      <x:c r="BG29" s="34" t="n">
        <x:v>2</x:v>
      </x:c>
      <x:c r="BH29" s="34" t="n">
        <x:v>3</x:v>
      </x:c>
      <x:c r="BI29" s="34" t="n">
        <x:v>0.2589598719999999</x:v>
      </x:c>
      <x:c r="BJ29" s="34" t="n">
        <x:v>0.65</x:v>
      </x:c>
      <x:c r="BK29" s="34" t="n">
        <x:v>0.7399999999999999</x:v>
      </x:c>
    </x:row>
    <x:row r="30">
      <x:c r="A30" s="34" t="str">
        <x:v>POSCO_KR</x:v>
      </x:c>
      <x:c r="B30" s="34" t="str">
        <x:v>POSCO</x:v>
      </x:c>
      <x:c r="C30" s="34" t="str">
        <x:v>DISCLOSED_PATH</x:v>
      </x:c>
      <x:c r="D30" s="34" t="str">
        <x:v>P1</x:v>
      </x:c>
      <x:c r="E30" s="34" t="str">
        <x:v>POS-POH-S</x:v>
      </x:c>
      <x:c r="F30" s="34" t="str">
        <x:v>포항제철소 BF 블록 B</x:v>
      </x:c>
      <x:c r="G30" s="34" t="str">
        <x:v>포항</x:v>
      </x:c>
      <x:c r="H30" s="34" t="n">
        <x:v>2032</x:v>
      </x:c>
      <x:c r="I30" s="34" t="str">
        <x:v>BF_BOF</x:v>
      </x:c>
      <x:c r="J30" s="34" t="str">
        <x:v>기준 BF-BOF 복합 블록</x:v>
      </x:c>
      <x:c r="K30" s="34" t="str">
        <x:v>BF_RELINE</x:v>
      </x:c>
      <x:c r="L30" s="34" t="str">
        <x:v>BF 개수·효율 패키지</x:v>
      </x:c>
      <x:c r="M30" s="34" t="n">
        <x:v>1850</x:v>
      </x:c>
      <x:c r="N30" s="34" t="n">
        <x:v>370</x:v>
      </x:c>
      <x:c r="O30" s="34" t="n">
        <x:v>7.4</x:v>
      </x:c>
      <x:c r="P30" s="34" t="n">
        <x:v>6.800001</x:v>
      </x:c>
      <x:c r="Q30" s="34" t="n">
        <x:v>14.114992</x:v>
      </x:c>
      <x:c r="R30" s="34" t="n">
        <x:v>14.114992</x:v>
      </x:c>
      <x:c r="S30" s="34" t="n">
        <x:v>12.920001</x:v>
      </x:c>
      <x:c r="T30" s="34" t="n">
        <x:v>12.920001</x:v>
      </x:c>
      <x:c r="U30" s="34" t="n">
        <x:v>1.194991</x:v>
      </x:c>
      <x:c r="V30" s="34" t="n">
        <x:v>10.754922</x:v>
      </x:c>
      <x:c r="W30" s="34" t="n">
        <x:v>9.531</x:v>
      </x:c>
      <x:c r="X30" s="34" t="n">
        <x:v>0</x:v>
      </x:c>
      <x:c r="Y30" s="34" t="n">
        <x:v>401.351</x:v>
      </x:c>
      <x:c r="Z30" s="34" t="n">
        <x:v>401.351</x:v>
      </x:c>
      <x:c r="AA30" s="34" t="n">
        <x:v>391.819</x:v>
      </x:c>
      <x:c r="AB30" s="34" t="n">
        <x:v>9.531</x:v>
      </x:c>
      <x:c r="AC30" s="34" t="n">
        <x:v>254.352</x:v>
      </x:c>
      <x:c r="AD30" s="34" t="n">
        <x:v>102.858</x:v>
      </x:c>
      <x:c r="AE30" s="34" t="n">
        <x:v>44.141</x:v>
      </x:c>
      <x:c r="AF30" s="34" t="n">
        <x:v>0</x:v>
      </x:c>
      <x:c r="AG30" s="34" t="n">
        <x:v>0</x:v>
      </x:c>
      <x:c r="AH30" s="34" t="n">
        <x:v>-391.819</x:v>
      </x:c>
      <x:c r="AI30" s="34" t="str">
        <x:v>model_estimate</x:v>
      </x:c>
      <x:c r="AJ30" s="34" t="str">
        <x:v>POSCO 공식 국내 생산·배출 총량에 맞춘 설비 블록 배분; 개별 생산량·재투자연도는 추정</x:v>
      </x:c>
      <x:c r="AK30" s="34" t="str">
        <x:v>CAND-2F5D03A613EDBE</x:v>
      </x:c>
      <x:c r="AL30" s="34" t="str">
        <x:v>P1</x:v>
      </x:c>
      <x:c r="AM30" s="34" t="str">
        <x:v>PORT-0E469489028A</x:v>
      </x:c>
      <x:c r="AN30" s="34" t="n">
        <x:v>1000</x:v>
      </x:c>
      <x:c r="AO30" s="34" t="n">
        <x:v>8.976264</x:v>
      </x:c>
      <x:c r="AP30" s="34" t="n">
        <x:v>7.615491</x:v>
      </x:c>
      <x:c r="AQ30" s="34" t="n">
        <x:v>261.543846</x:v>
      </x:c>
      <x:c r="AR30" s="34" t="n">
        <x:v>2124.876</x:v>
      </x:c>
      <x:c r="AS30" s="34" t="n">
        <x:v>8.124359</x:v>
      </x:c>
      <x:c r="AT30" s="40" t="b">
        <x:v>1</x:v>
      </x:c>
      <x:c r="AU30" s="40" t="b">
        <x:v>1</x:v>
      </x:c>
      <x:c r="AV30" s="34" t="str"/>
      <x:c r="AW30" s="34" t="n">
        <x:v>0</x:v>
      </x:c>
      <x:c r="AX30" s="34" t="str">
        <x:v>2.0275124185786808e-05</x:v>
      </x:c>
      <x:c r="AY30" s="40" t="b">
        <x:v>1</x:v>
      </x:c>
      <x:c r="AZ30" s="40" t="b">
        <x:v>1</x:v>
      </x:c>
      <x:c r="BA30" s="40" t="b">
        <x:v>1</x:v>
      </x:c>
      <x:c r="BB30" s="40" t="b">
        <x:v>1</x:v>
      </x:c>
      <x:c r="BC30" s="34" t="str"/>
      <x:c r="BD30" s="34" t="n">
        <x:v>0</x:v>
      </x:c>
      <x:c r="BE30" s="34" t="n">
        <x:v>0</x:v>
      </x:c>
      <x:c r="BF30" s="34" t="n">
        <x:v>0</x:v>
      </x:c>
      <x:c r="BG30" s="34" t="n">
        <x:v>2</x:v>
      </x:c>
      <x:c r="BH30" s="34" t="n">
        <x:v>3</x:v>
      </x:c>
      <x:c r="BI30" s="34" t="n">
        <x:v>0.2589598719999999</x:v>
      </x:c>
      <x:c r="BJ30" s="34" t="n">
        <x:v>0.65</x:v>
      </x:c>
      <x:c r="BK30" s="34" t="n">
        <x:v>0.7399999999999999</x:v>
      </x:c>
    </x:row>
    <x:row r="31">
      <x:c r="A31" s="34" t="str">
        <x:v>POSCO_KR</x:v>
      </x:c>
      <x:c r="B31" s="34" t="str">
        <x:v>POSCO</x:v>
      </x:c>
      <x:c r="C31" s="34" t="str">
        <x:v>ACCELERATED_15C</x:v>
      </x:c>
      <x:c r="D31" s="34" t="str">
        <x:v>P1</x:v>
      </x:c>
      <x:c r="E31" s="34" t="str">
        <x:v>POS-GWY-E</x:v>
      </x:c>
      <x:c r="F31" s="34" t="str">
        <x:v>광양제철소 BF 블록 B</x:v>
      </x:c>
      <x:c r="G31" s="34" t="str">
        <x:v>광양</x:v>
      </x:c>
      <x:c r="H31" s="34" t="n">
        <x:v>2037</x:v>
      </x:c>
      <x:c r="I31" s="34" t="str">
        <x:v>BF_BOF</x:v>
      </x:c>
      <x:c r="J31" s="34" t="str">
        <x:v>기준 BF-BOF 복합 블록</x:v>
      </x:c>
      <x:c r="K31" s="34" t="str">
        <x:v>BF_RELINE</x:v>
      </x:c>
      <x:c r="L31" s="34" t="str">
        <x:v>BF 개수·효율 패키지</x:v>
      </x:c>
      <x:c r="M31" s="34" t="n">
        <x:v>2575</x:v>
      </x:c>
      <x:c r="N31" s="34" t="n">
        <x:v>515</x:v>
      </x:c>
      <x:c r="O31" s="34" t="n">
        <x:v>10.3</x:v>
      </x:c>
      <x:c r="P31" s="34" t="n">
        <x:v>9.502996</x:v>
      </x:c>
      <x:c r="Q31" s="34" t="n">
        <x:v>19.725693</x:v>
      </x:c>
      <x:c r="R31" s="34" t="n">
        <x:v>19.725693</x:v>
      </x:c>
      <x:c r="S31" s="34" t="n">
        <x:v>18.055693</x:v>
      </x:c>
      <x:c r="T31" s="34" t="n">
        <x:v>18.055693</x:v>
      </x:c>
      <x:c r="U31" s="34" t="n">
        <x:v>1.67</x:v>
      </x:c>
      <x:c r="V31" s="34" t="n">
        <x:v>6.679998</x:v>
      </x:c>
      <x:c r="W31" s="34" t="n">
        <x:v>45.76</x:v>
      </x:c>
      <x:c r="X31" s="34" t="n">
        <x:v>0</x:v>
      </x:c>
      <x:c r="Y31" s="34" t="n">
        <x:v>400.609</x:v>
      </x:c>
      <x:c r="Z31" s="34" t="n">
        <x:v>400.609</x:v>
      </x:c>
      <x:c r="AA31" s="34" t="n">
        <x:v>354.849</x:v>
      </x:c>
      <x:c r="AB31" s="34" t="n">
        <x:v>45.76</x:v>
      </x:c>
      <x:c r="AC31" s="34" t="n">
        <x:v>270.88</x:v>
      </x:c>
      <x:c r="AD31" s="34" t="n">
        <x:v>73.935</x:v>
      </x:c>
      <x:c r="AE31" s="34" t="n">
        <x:v>55.794</x:v>
      </x:c>
      <x:c r="AF31" s="34" t="n">
        <x:v>0</x:v>
      </x:c>
      <x:c r="AG31" s="34" t="n">
        <x:v>0</x:v>
      </x:c>
      <x:c r="AH31" s="34" t="n">
        <x:v>-354.849</x:v>
      </x:c>
      <x:c r="AI31" s="34" t="str">
        <x:v>model_estimate</x:v>
      </x:c>
      <x:c r="AJ31" s="34" t="str">
        <x:v>POSCO 공식 국내 생산·배출 총량에 맞춘 설비 블록 배분; 개별 생산량·재투자연도는 추정</x:v>
      </x:c>
      <x:c r="AK31" s="34" t="str">
        <x:v>CAND-2F5D03A613EDBE</x:v>
      </x:c>
      <x:c r="AL31" s="34" t="str">
        <x:v>P1</x:v>
      </x:c>
      <x:c r="AM31" s="34" t="str">
        <x:v>PORT-0E469489028A</x:v>
      </x:c>
      <x:c r="AN31" s="34" t="n">
        <x:v>1000</x:v>
      </x:c>
      <x:c r="AO31" s="34" t="n">
        <x:v>-5.728423</x:v>
      </x:c>
      <x:c r="AP31" s="34" t="n">
        <x:v>8.177309</x:v>
      </x:c>
      <x:c r="AQ31" s="34" t="n">
        <x:v>261.543846</x:v>
      </x:c>
      <x:c r="AR31" s="34" t="n">
        <x:v>-1733.653</x:v>
      </x:c>
      <x:c r="AS31" s="34" t="n">
        <x:v>-6.628536</x:v>
      </x:c>
      <x:c r="AT31" s="40" t="b">
        <x:v>0</x:v>
      </x:c>
      <x:c r="AU31" s="40" t="b">
        <x:v>0</x:v>
      </x:c>
      <x:c r="AV31" s="34" t="n">
        <x:v>2035</x:v>
      </x:c>
      <x:c r="AW31" s="34" t="n">
        <x:v>19.084092670000008</x:v>
      </x:c>
      <x:c r="AX31" s="34" t="n">
        <x:v>-19.084092670000008</x:v>
      </x:c>
      <x:c r="AY31" s="40" t="b">
        <x:v>1</x:v>
      </x:c>
      <x:c r="AZ31" s="40" t="b">
        <x:v>1</x:v>
      </x:c>
      <x:c r="BA31" s="40" t="b">
        <x:v>1</x:v>
      </x:c>
      <x:c r="BB31" s="40" t="b">
        <x:v>1</x:v>
      </x:c>
      <x:c r="BC31" s="34" t="str"/>
      <x:c r="BD31" s="34" t="n">
        <x:v>0</x:v>
      </x:c>
      <x:c r="BE31" s="34" t="n">
        <x:v>0</x:v>
      </x:c>
      <x:c r="BF31" s="34" t="n">
        <x:v>0</x:v>
      </x:c>
      <x:c r="BG31" s="34" t="n">
        <x:v>2</x:v>
      </x:c>
      <x:c r="BH31" s="34" t="n">
        <x:v>3</x:v>
      </x:c>
      <x:c r="BI31" s="34" t="n">
        <x:v>0.2589598719999999</x:v>
      </x:c>
      <x:c r="BJ31" s="34" t="n">
        <x:v>0.65</x:v>
      </x:c>
      <x:c r="BK31" s="34" t="n">
        <x:v>0.7399999999999999</x:v>
      </x:c>
    </x:row>
    <x:row r="32">
      <x:c r="A32" s="34" t="str">
        <x:v>POSCO_KR</x:v>
      </x:c>
      <x:c r="B32" s="34" t="str">
        <x:v>POSCO</x:v>
      </x:c>
      <x:c r="C32" s="34" t="str">
        <x:v>ACCELERATED_15C</x:v>
      </x:c>
      <x:c r="D32" s="34" t="str">
        <x:v>P1</x:v>
      </x:c>
      <x:c r="E32" s="34" t="str">
        <x:v>POS-GWY-EAF</x:v>
      </x:c>
      <x:c r="F32" s="34" t="str">
        <x:v>광양 기존 EAF 블록</x:v>
      </x:c>
      <x:c r="G32" s="34" t="str">
        <x:v>광양</x:v>
      </x:c>
      <x:c r="H32" s="34" t="n">
        <x:v>2033</x:v>
      </x:c>
      <x:c r="I32" s="34" t="str">
        <x:v>EAF_BASELINE</x:v>
      </x:c>
      <x:c r="J32" s="34" t="str">
        <x:v>기존 전기로 기준 블록</x:v>
      </x:c>
      <x:c r="K32" s="34" t="str">
        <x:v>EAF_RENEWABLE</x:v>
      </x:c>
      <x:c r="L32" s="34" t="str">
        <x:v>기존 EAF 재생전력 업그레이드</x:v>
      </x:c>
      <x:c r="M32" s="34" t="n">
        <x:v>312</x:v>
      </x:c>
      <x:c r="N32" s="34" t="n">
        <x:v>96</x:v>
      </x:c>
      <x:c r="O32" s="34" t="n">
        <x:v>1.2</x:v>
      </x:c>
      <x:c r="P32" s="34" t="n">
        <x:v>1.134</x:v>
      </x:c>
      <x:c r="Q32" s="34" t="n">
        <x:v>0.5103</x:v>
      </x:c>
      <x:c r="R32" s="34" t="n">
        <x:v>0.5103</x:v>
      </x:c>
      <x:c r="S32" s="34" t="n">
        <x:v>0.1134</x:v>
      </x:c>
      <x:c r="T32" s="34" t="n">
        <x:v>0.1134</x:v>
      </x:c>
      <x:c r="U32" s="34" t="n">
        <x:v>0.3969</x:v>
      </x:c>
      <x:c r="V32" s="34" t="n">
        <x:v>3.1752</x:v>
      </x:c>
      <x:c r="W32" s="34" t="n">
        <x:v>-49.178</x:v>
      </x:c>
      <x:c r="X32" s="34" t="n">
        <x:v>9.383</x:v>
      </x:c>
      <x:c r="Y32" s="34" t="n">
        <x:v>120.354</x:v>
      </x:c>
      <x:c r="Z32" s="34" t="n">
        <x:v>110.971</x:v>
      </x:c>
      <x:c r="AA32" s="34" t="n">
        <x:v>169.532</x:v>
      </x:c>
      <x:c r="AB32" s="34" t="n">
        <x:v>-58.561</x:v>
      </x:c>
      <x:c r="AC32" s="34" t="n">
        <x:v>62.553</x:v>
      </x:c>
      <x:c r="AD32" s="34" t="n">
        <x:v>14.814</x:v>
      </x:c>
      <x:c r="AE32" s="34" t="n">
        <x:v>42.986</x:v>
      </x:c>
      <x:c r="AF32" s="34" t="n">
        <x:v>0</x:v>
      </x:c>
      <x:c r="AG32" s="34" t="n">
        <x:v>0</x:v>
      </x:c>
      <x:c r="AH32" s="34" t="n">
        <x:v>-169.532</x:v>
      </x:c>
      <x:c r="AI32" s="34" t="str">
        <x:v>model_estimate</x:v>
      </x:c>
      <x:c r="AJ32" s="34" t="str">
        <x:v>2025 공식 EAF 생산 1.135Mt에 맞춘 모델 블록; 집약도·재투자연도 추정</x:v>
      </x:c>
      <x:c r="AK32" s="34" t="str">
        <x:v>CAND-2F5D03A613EDBE</x:v>
      </x:c>
      <x:c r="AL32" s="34" t="str">
        <x:v>P1</x:v>
      </x:c>
      <x:c r="AM32" s="34" t="str">
        <x:v>PORT-0E469489028A</x:v>
      </x:c>
      <x:c r="AN32" s="34" t="n">
        <x:v>1000</x:v>
      </x:c>
      <x:c r="AO32" s="34" t="n">
        <x:v>-5.728423</x:v>
      </x:c>
      <x:c r="AP32" s="34" t="n">
        <x:v>8.177309</x:v>
      </x:c>
      <x:c r="AQ32" s="34" t="n">
        <x:v>261.543846</x:v>
      </x:c>
      <x:c r="AR32" s="34" t="n">
        <x:v>-1733.653</x:v>
      </x:c>
      <x:c r="AS32" s="34" t="n">
        <x:v>-6.628536</x:v>
      </x:c>
      <x:c r="AT32" s="40" t="b">
        <x:v>0</x:v>
      </x:c>
      <x:c r="AU32" s="40" t="b">
        <x:v>0</x:v>
      </x:c>
      <x:c r="AV32" s="34" t="n">
        <x:v>2035</x:v>
      </x:c>
      <x:c r="AW32" s="34" t="n">
        <x:v>19.084092670000008</x:v>
      </x:c>
      <x:c r="AX32" s="34" t="n">
        <x:v>-19.084092670000008</x:v>
      </x:c>
      <x:c r="AY32" s="40" t="b">
        <x:v>1</x:v>
      </x:c>
      <x:c r="AZ32" s="40" t="b">
        <x:v>1</x:v>
      </x:c>
      <x:c r="BA32" s="40" t="b">
        <x:v>1</x:v>
      </x:c>
      <x:c r="BB32" s="40" t="b">
        <x:v>1</x:v>
      </x:c>
      <x:c r="BC32" s="34" t="str"/>
      <x:c r="BD32" s="34" t="n">
        <x:v>0</x:v>
      </x:c>
      <x:c r="BE32" s="34" t="n">
        <x:v>0</x:v>
      </x:c>
      <x:c r="BF32" s="34" t="n">
        <x:v>0</x:v>
      </x:c>
      <x:c r="BG32" s="34" t="n">
        <x:v>2</x:v>
      </x:c>
      <x:c r="BH32" s="34" t="n">
        <x:v>3</x:v>
      </x:c>
      <x:c r="BI32" s="34" t="n">
        <x:v>0.2589598719999999</x:v>
      </x:c>
      <x:c r="BJ32" s="34" t="n">
        <x:v>0.65</x:v>
      </x:c>
      <x:c r="BK32" s="34" t="n">
        <x:v>0.7399999999999999</x:v>
      </x:c>
    </x:row>
    <x:row r="33">
      <x:c r="A33" s="34" t="str">
        <x:v>POSCO_KR</x:v>
      </x:c>
      <x:c r="B33" s="34" t="str">
        <x:v>POSCO</x:v>
      </x:c>
      <x:c r="C33" s="34" t="str">
        <x:v>ACCELERATED_15C</x:v>
      </x:c>
      <x:c r="D33" s="34" t="str">
        <x:v>P1</x:v>
      </x:c>
      <x:c r="E33" s="34" t="str">
        <x:v>POS-GWY-W</x:v>
      </x:c>
      <x:c r="F33" s="34" t="str">
        <x:v>광양제철소 BF 블록 A</x:v>
      </x:c>
      <x:c r="G33" s="34" t="str">
        <x:v>광양</x:v>
      </x:c>
      <x:c r="H33" s="34" t="n">
        <x:v>2035</x:v>
      </x:c>
      <x:c r="I33" s="34" t="str">
        <x:v>BF_BOF</x:v>
      </x:c>
      <x:c r="J33" s="34" t="str">
        <x:v>기준 BF-BOF 복합 블록</x:v>
      </x:c>
      <x:c r="K33" s="34" t="str">
        <x:v>SCRAP_EAF</x:v>
      </x:c>
      <x:c r="L33" s="34" t="str">
        <x:v>스크랩 기반 대형 EAF</x:v>
      </x:c>
      <x:c r="M33" s="34" t="n">
        <x:v>5768</x:v>
      </x:c>
      <x:c r="N33" s="34" t="n">
        <x:v>3708</x:v>
      </x:c>
      <x:c r="O33" s="34" t="n">
        <x:v>10.3</x:v>
      </x:c>
      <x:c r="P33" s="34" t="n">
        <x:v>9.499999</x:v>
      </x:c>
      <x:c r="Q33" s="34" t="n">
        <x:v>19.719471</x:v>
      </x:c>
      <x:c r="R33" s="34" t="n">
        <x:v>19.719471</x:v>
      </x:c>
      <x:c r="S33" s="34" t="n">
        <x:v>4.275</x:v>
      </x:c>
      <x:c r="T33" s="34" t="n">
        <x:v>4.275</x:v>
      </x:c>
      <x:c r="U33" s="34" t="n">
        <x:v>15.444471</x:v>
      </x:c>
      <x:c r="V33" s="34" t="n">
        <x:v>92.666828</x:v>
      </x:c>
      <x:c r="W33" s="34" t="n">
        <x:v>-39.988</x:v>
      </x:c>
      <x:c r="X33" s="34" t="n">
        <x:v>434.155</x:v>
      </x:c>
      <x:c r="Y33" s="34" t="n">
        <x:v>4908.849</x:v>
      </x:c>
      <x:c r="Z33" s="34" t="n">
        <x:v>4474.693</x:v>
      </x:c>
      <x:c r="AA33" s="34" t="n">
        <x:v>4948.836</x:v>
      </x:c>
      <x:c r="AB33" s="34" t="n">
        <x:v>-474.143</x:v>
      </x:c>
      <x:c r="AC33" s="34" t="n">
        <x:v>2170.777</x:v>
      </x:c>
      <x:c r="AD33" s="34" t="n">
        <x:v>263.8</x:v>
      </x:c>
      <x:c r="AE33" s="34" t="n">
        <x:v>2474.272</x:v>
      </x:c>
      <x:c r="AF33" s="34" t="n">
        <x:v>0</x:v>
      </x:c>
      <x:c r="AG33" s="34" t="n">
        <x:v>0</x:v>
      </x:c>
      <x:c r="AH33" s="34" t="n">
        <x:v>-4948.836</x:v>
      </x:c>
      <x:c r="AI33" s="34" t="str">
        <x:v>model_estimate</x:v>
      </x:c>
      <x:c r="AJ33" s="34" t="str">
        <x:v>POSCO 공식 국내 생산·배출 총량에 맞춘 설비 블록 배분; 개별 생산량·재투자연도는 추정</x:v>
      </x:c>
      <x:c r="AK33" s="34" t="str">
        <x:v>CAND-2F5D03A613EDBE</x:v>
      </x:c>
      <x:c r="AL33" s="34" t="str">
        <x:v>P1</x:v>
      </x:c>
      <x:c r="AM33" s="34" t="str">
        <x:v>PORT-0E469489028A</x:v>
      </x:c>
      <x:c r="AN33" s="34" t="n">
        <x:v>1000</x:v>
      </x:c>
      <x:c r="AO33" s="34" t="n">
        <x:v>-5.728423</x:v>
      </x:c>
      <x:c r="AP33" s="34" t="n">
        <x:v>8.177309</x:v>
      </x:c>
      <x:c r="AQ33" s="34" t="n">
        <x:v>261.543846</x:v>
      </x:c>
      <x:c r="AR33" s="34" t="n">
        <x:v>-1733.653</x:v>
      </x:c>
      <x:c r="AS33" s="34" t="n">
        <x:v>-6.628536</x:v>
      </x:c>
      <x:c r="AT33" s="40" t="b">
        <x:v>0</x:v>
      </x:c>
      <x:c r="AU33" s="40" t="b">
        <x:v>0</x:v>
      </x:c>
      <x:c r="AV33" s="34" t="n">
        <x:v>2035</x:v>
      </x:c>
      <x:c r="AW33" s="34" t="n">
        <x:v>19.084092670000008</x:v>
      </x:c>
      <x:c r="AX33" s="34" t="n">
        <x:v>-19.084092670000008</x:v>
      </x:c>
      <x:c r="AY33" s="40" t="b">
        <x:v>1</x:v>
      </x:c>
      <x:c r="AZ33" s="40" t="b">
        <x:v>1</x:v>
      </x:c>
      <x:c r="BA33" s="40" t="b">
        <x:v>1</x:v>
      </x:c>
      <x:c r="BB33" s="40" t="b">
        <x:v>1</x:v>
      </x:c>
      <x:c r="BC33" s="34" t="str"/>
      <x:c r="BD33" s="34" t="n">
        <x:v>0</x:v>
      </x:c>
      <x:c r="BE33" s="34" t="n">
        <x:v>0</x:v>
      </x:c>
      <x:c r="BF33" s="34" t="n">
        <x:v>0</x:v>
      </x:c>
      <x:c r="BG33" s="34" t="n">
        <x:v>2</x:v>
      </x:c>
      <x:c r="BH33" s="34" t="n">
        <x:v>3</x:v>
      </x:c>
      <x:c r="BI33" s="34" t="n">
        <x:v>0.2589598719999999</x:v>
      </x:c>
      <x:c r="BJ33" s="34" t="n">
        <x:v>0.65</x:v>
      </x:c>
      <x:c r="BK33" s="34" t="n">
        <x:v>0.7399999999999999</x:v>
      </x:c>
    </x:row>
    <x:row r="34">
      <x:c r="A34" s="34" t="str">
        <x:v>POSCO_KR</x:v>
      </x:c>
      <x:c r="B34" s="34" t="str">
        <x:v>POSCO</x:v>
      </x:c>
      <x:c r="C34" s="34" t="str">
        <x:v>ACCELERATED_15C</x:v>
      </x:c>
      <x:c r="D34" s="34" t="str">
        <x:v>P1</x:v>
      </x:c>
      <x:c r="E34" s="34" t="str">
        <x:v>POS-POH-N</x:v>
      </x:c>
      <x:c r="F34" s="34" t="str">
        <x:v>포항제철소 BF 블록 A</x:v>
      </x:c>
      <x:c r="G34" s="34" t="str">
        <x:v>포항</x:v>
      </x:c>
      <x:c r="H34" s="34" t="n">
        <x:v>2029</x:v>
      </x:c>
      <x:c r="I34" s="34" t="str">
        <x:v>BF_BOF</x:v>
      </x:c>
      <x:c r="J34" s="34" t="str">
        <x:v>기준 BF-BOF 복합 블록</x:v>
      </x:c>
      <x:c r="K34" s="34" t="str">
        <x:v>SCRAP_EAF</x:v>
      </x:c>
      <x:c r="L34" s="34" t="str">
        <x:v>스크랩 기반 대형 EAF</x:v>
      </x:c>
      <x:c r="M34" s="34" t="n">
        <x:v>4592</x:v>
      </x:c>
      <x:c r="N34" s="34" t="n">
        <x:v>2952</x:v>
      </x:c>
      <x:c r="O34" s="34" t="n">
        <x:v>8.2</x:v>
      </x:c>
      <x:c r="P34" s="34" t="n">
        <x:v>7.599998</x:v>
      </x:c>
      <x:c r="Q34" s="34" t="n">
        <x:v>15.775574</x:v>
      </x:c>
      <x:c r="R34" s="34" t="n">
        <x:v>3.419999</x:v>
      </x:c>
      <x:c r="S34" s="34" t="n">
        <x:v>3.419999</x:v>
      </x:c>
      <x:c r="T34" s="34" t="n">
        <x:v>3.419999</x:v>
      </x:c>
      <x:c r="U34" s="34" t="n">
        <x:v>12.355575</x:v>
      </x:c>
      <x:c r="V34" s="34" t="n">
        <x:v>148.266898</x:v>
      </x:c>
      <x:c r="W34" s="34" t="n">
        <x:v>-603.64</x:v>
      </x:c>
      <x:c r="X34" s="34" t="n">
        <x:v>476.581</x:v>
      </x:c>
      <x:c r="Y34" s="34" t="n">
        <x:v>7158.885</x:v>
      </x:c>
      <x:c r="Z34" s="34" t="n">
        <x:v>6682.305</x:v>
      </x:c>
      <x:c r="AA34" s="34" t="n">
        <x:v>7762.525</x:v>
      </x:c>
      <x:c r="AB34" s="34" t="n">
        <x:v>-1080.221</x:v>
      </x:c>
      <x:c r="AC34" s="34" t="n">
        <x:v>2382.904</x:v>
      </x:c>
      <x:c r="AD34" s="34" t="n">
        <x:v>446.25</x:v>
      </x:c>
      <x:c r="AE34" s="34" t="n">
        <x:v>4329.731</x:v>
      </x:c>
      <x:c r="AF34" s="34" t="n">
        <x:v>0</x:v>
      </x:c>
      <x:c r="AG34" s="34" t="n">
        <x:v>0</x:v>
      </x:c>
      <x:c r="AH34" s="34" t="n">
        <x:v>-7762.525</x:v>
      </x:c>
      <x:c r="AI34" s="34" t="str">
        <x:v>model_estimate</x:v>
      </x:c>
      <x:c r="AJ34" s="34" t="str">
        <x:v>POSCO 공식 국내 생산·배출 총량에 맞춘 설비 블록 배분; 개별 생산량·재투자연도는 추정</x:v>
      </x:c>
      <x:c r="AK34" s="34" t="str">
        <x:v>CAND-2F5D03A613EDBE</x:v>
      </x:c>
      <x:c r="AL34" s="34" t="str">
        <x:v>P1</x:v>
      </x:c>
      <x:c r="AM34" s="34" t="str">
        <x:v>PORT-0E469489028A</x:v>
      </x:c>
      <x:c r="AN34" s="34" t="n">
        <x:v>1000</x:v>
      </x:c>
      <x:c r="AO34" s="34" t="n">
        <x:v>-5.728423</x:v>
      </x:c>
      <x:c r="AP34" s="34" t="n">
        <x:v>8.177309</x:v>
      </x:c>
      <x:c r="AQ34" s="34" t="n">
        <x:v>261.543846</x:v>
      </x:c>
      <x:c r="AR34" s="34" t="n">
        <x:v>-1733.653</x:v>
      </x:c>
      <x:c r="AS34" s="34" t="n">
        <x:v>-6.628536</x:v>
      </x:c>
      <x:c r="AT34" s="40" t="b">
        <x:v>0</x:v>
      </x:c>
      <x:c r="AU34" s="40" t="b">
        <x:v>0</x:v>
      </x:c>
      <x:c r="AV34" s="34" t="n">
        <x:v>2035</x:v>
      </x:c>
      <x:c r="AW34" s="34" t="n">
        <x:v>19.084092670000008</x:v>
      </x:c>
      <x:c r="AX34" s="34" t="n">
        <x:v>-19.084092670000008</x:v>
      </x:c>
      <x:c r="AY34" s="40" t="b">
        <x:v>1</x:v>
      </x:c>
      <x:c r="AZ34" s="40" t="b">
        <x:v>1</x:v>
      </x:c>
      <x:c r="BA34" s="40" t="b">
        <x:v>1</x:v>
      </x:c>
      <x:c r="BB34" s="40" t="b">
        <x:v>1</x:v>
      </x:c>
      <x:c r="BC34" s="34" t="str"/>
      <x:c r="BD34" s="34" t="n">
        <x:v>0</x:v>
      </x:c>
      <x:c r="BE34" s="34" t="n">
        <x:v>0</x:v>
      </x:c>
      <x:c r="BF34" s="34" t="n">
        <x:v>0</x:v>
      </x:c>
      <x:c r="BG34" s="34" t="n">
        <x:v>2</x:v>
      </x:c>
      <x:c r="BH34" s="34" t="n">
        <x:v>3</x:v>
      </x:c>
      <x:c r="BI34" s="34" t="n">
        <x:v>0.2589598719999999</x:v>
      </x:c>
      <x:c r="BJ34" s="34" t="n">
        <x:v>0.65</x:v>
      </x:c>
      <x:c r="BK34" s="34" t="n">
        <x:v>0.7399999999999999</x:v>
      </x:c>
    </x:row>
    <x:row r="35">
      <x:c r="A35" s="34" t="str">
        <x:v>POSCO_KR</x:v>
      </x:c>
      <x:c r="B35" s="34" t="str">
        <x:v>POSCO</x:v>
      </x:c>
      <x:c r="C35" s="34" t="str">
        <x:v>ACCELERATED_15C</x:v>
      </x:c>
      <x:c r="D35" s="34" t="str">
        <x:v>P1</x:v>
      </x:c>
      <x:c r="E35" s="34" t="str">
        <x:v>POS-POH-S</x:v>
      </x:c>
      <x:c r="F35" s="34" t="str">
        <x:v>포항제철소 BF 블록 B</x:v>
      </x:c>
      <x:c r="G35" s="34" t="str">
        <x:v>포항</x:v>
      </x:c>
      <x:c r="H35" s="34" t="n">
        <x:v>2032</x:v>
      </x:c>
      <x:c r="I35" s="34" t="str">
        <x:v>BF_BOF</x:v>
      </x:c>
      <x:c r="J35" s="34" t="str">
        <x:v>기준 BF-BOF 복합 블록</x:v>
      </x:c>
      <x:c r="K35" s="34" t="str">
        <x:v>BF_RELINE</x:v>
      </x:c>
      <x:c r="L35" s="34" t="str">
        <x:v>BF 개수·효율 패키지</x:v>
      </x:c>
      <x:c r="M35" s="34" t="n">
        <x:v>1850</x:v>
      </x:c>
      <x:c r="N35" s="34" t="n">
        <x:v>370</x:v>
      </x:c>
      <x:c r="O35" s="34" t="n">
        <x:v>7.4</x:v>
      </x:c>
      <x:c r="P35" s="34" t="n">
        <x:v>6.800001</x:v>
      </x:c>
      <x:c r="Q35" s="34" t="n">
        <x:v>14.114992</x:v>
      </x:c>
      <x:c r="R35" s="34" t="n">
        <x:v>14.114992</x:v>
      </x:c>
      <x:c r="S35" s="34" t="n">
        <x:v>12.920001</x:v>
      </x:c>
      <x:c r="T35" s="34" t="n">
        <x:v>12.920001</x:v>
      </x:c>
      <x:c r="U35" s="34" t="n">
        <x:v>1.194991</x:v>
      </x:c>
      <x:c r="V35" s="34" t="n">
        <x:v>10.754922</x:v>
      </x:c>
      <x:c r="W35" s="34" t="n">
        <x:v>-166.488</x:v>
      </x:c>
      <x:c r="X35" s="34" t="n">
        <x:v>0</x:v>
      </x:c>
      <x:c r="Y35" s="34" t="n">
        <x:v>406.416</x:v>
      </x:c>
      <x:c r="Z35" s="34" t="n">
        <x:v>406.416</x:v>
      </x:c>
      <x:c r="AA35" s="34" t="n">
        <x:v>572.904</x:v>
      </x:c>
      <x:c r="AB35" s="34" t="n">
        <x:v>-166.488</x:v>
      </x:c>
      <x:c r="AC35" s="34" t="n">
        <x:v>254.352</x:v>
      </x:c>
      <x:c r="AD35" s="34" t="n">
        <x:v>102.858</x:v>
      </x:c>
      <x:c r="AE35" s="34" t="n">
        <x:v>49.206</x:v>
      </x:c>
      <x:c r="AF35" s="34" t="n">
        <x:v>0</x:v>
      </x:c>
      <x:c r="AG35" s="34" t="n">
        <x:v>0</x:v>
      </x:c>
      <x:c r="AH35" s="34" t="n">
        <x:v>-572.904</x:v>
      </x:c>
      <x:c r="AI35" s="34" t="str">
        <x:v>model_estimate</x:v>
      </x:c>
      <x:c r="AJ35" s="34" t="str">
        <x:v>POSCO 공식 국내 생산·배출 총량에 맞춘 설비 블록 배분; 개별 생산량·재투자연도는 추정</x:v>
      </x:c>
      <x:c r="AK35" s="34" t="str">
        <x:v>CAND-2F5D03A613EDBE</x:v>
      </x:c>
      <x:c r="AL35" s="34" t="str">
        <x:v>P1</x:v>
      </x:c>
      <x:c r="AM35" s="34" t="str">
        <x:v>PORT-0E469489028A</x:v>
      </x:c>
      <x:c r="AN35" s="34" t="n">
        <x:v>1000</x:v>
      </x:c>
      <x:c r="AO35" s="34" t="n">
        <x:v>-5.728423</x:v>
      </x:c>
      <x:c r="AP35" s="34" t="n">
        <x:v>8.177309</x:v>
      </x:c>
      <x:c r="AQ35" s="34" t="n">
        <x:v>261.543846</x:v>
      </x:c>
      <x:c r="AR35" s="34" t="n">
        <x:v>-1733.653</x:v>
      </x:c>
      <x:c r="AS35" s="34" t="n">
        <x:v>-6.628536</x:v>
      </x:c>
      <x:c r="AT35" s="40" t="b">
        <x:v>0</x:v>
      </x:c>
      <x:c r="AU35" s="40" t="b">
        <x:v>0</x:v>
      </x:c>
      <x:c r="AV35" s="34" t="n">
        <x:v>2035</x:v>
      </x:c>
      <x:c r="AW35" s="34" t="n">
        <x:v>19.084092670000008</x:v>
      </x:c>
      <x:c r="AX35" s="34" t="n">
        <x:v>-19.084092670000008</x:v>
      </x:c>
      <x:c r="AY35" s="40" t="b">
        <x:v>1</x:v>
      </x:c>
      <x:c r="AZ35" s="40" t="b">
        <x:v>1</x:v>
      </x:c>
      <x:c r="BA35" s="40" t="b">
        <x:v>1</x:v>
      </x:c>
      <x:c r="BB35" s="40" t="b">
        <x:v>1</x:v>
      </x:c>
      <x:c r="BC35" s="34" t="str"/>
      <x:c r="BD35" s="34" t="n">
        <x:v>0</x:v>
      </x:c>
      <x:c r="BE35" s="34" t="n">
        <x:v>0</x:v>
      </x:c>
      <x:c r="BF35" s="34" t="n">
        <x:v>0</x:v>
      </x:c>
      <x:c r="BG35" s="34" t="n">
        <x:v>2</x:v>
      </x:c>
      <x:c r="BH35" s="34" t="n">
        <x:v>3</x:v>
      </x:c>
      <x:c r="BI35" s="34" t="n">
        <x:v>0.2589598719999999</x:v>
      </x:c>
      <x:c r="BJ35" s="34" t="n">
        <x:v>0.65</x:v>
      </x:c>
      <x:c r="BK35" s="34" t="n">
        <x:v>0.7399999999999999</x:v>
      </x:c>
    </x:row>
    <x:row r="36">
      <x:c r="A36" s="34" t="str">
        <x:v>KOBE_STEEL_JP</x:v>
      </x:c>
      <x:c r="B36" s="34" t="str">
        <x:v>Kobe Steel</x:v>
      </x:c>
      <x:c r="C36" s="34" t="str">
        <x:v>DISCLOSED_PATH</x:v>
      </x:c>
      <x:c r="D36" s="34" t="str">
        <x:v>P3</x:v>
      </x:c>
      <x:c r="E36" s="34" t="str">
        <x:v>KOB-BF1</x:v>
      </x:c>
      <x:c r="F36" s="34" t="str">
        <x:v>Kakogawa Works BF 블록 1</x:v>
      </x:c>
      <x:c r="G36" s="34" t="str">
        <x:v>가코가와</x:v>
      </x:c>
      <x:c r="H36" s="34" t="n">
        <x:v>2029</x:v>
      </x:c>
      <x:c r="I36" s="34" t="str">
        <x:v>BF_BOF</x:v>
      </x:c>
      <x:c r="J36" s="34" t="str">
        <x:v>기준 BF-BOF 복합 블록</x:v>
      </x:c>
      <x:c r="K36" s="34" t="str">
        <x:v>H2_DRI_EAF</x:v>
      </x:c>
      <x:c r="L36" s="34" t="str">
        <x:v>수소 DRI + EAF</x:v>
      </x:c>
      <x:c r="M36" s="34" t="n">
        <x:v>3118.5</x:v>
      </x:c>
      <x:c r="N36" s="34" t="n">
        <x:v>2425.5</x:v>
      </x:c>
      <x:c r="O36" s="34" t="n">
        <x:v>3.15</x:v>
      </x:c>
      <x:c r="P36" s="34" t="n">
        <x:v>2.95</x:v>
      </x:c>
      <x:c r="Q36" s="34" t="n">
        <x:v>7.173636</x:v>
      </x:c>
      <x:c r="R36" s="34" t="n">
        <x:v>0.59</x:v>
      </x:c>
      <x:c r="S36" s="34" t="n">
        <x:v>0.59</x:v>
      </x:c>
      <x:c r="T36" s="34" t="n">
        <x:v>0.59</x:v>
      </x:c>
      <x:c r="U36" s="34" t="n">
        <x:v>6.583636</x:v>
      </x:c>
      <x:c r="V36" s="34" t="n">
        <x:v>79.003637</x:v>
      </x:c>
      <x:c r="W36" s="34" t="n">
        <x:v>15969.27</x:v>
      </x:c>
      <x:c r="X36" s="34" t="n">
        <x:v>1601.173</x:v>
      </x:c>
      <x:c r="Y36" s="34" t="n">
        <x:v>18731.053</x:v>
      </x:c>
      <x:c r="Z36" s="34" t="n">
        <x:v>17129.88</x:v>
      </x:c>
      <x:c r="AA36" s="34" t="n">
        <x:v>2761.783</x:v>
      </x:c>
      <x:c r="AB36" s="34" t="n">
        <x:v>14368.097</x:v>
      </x:c>
      <x:c r="AC36" s="34" t="n">
        <x:v>1957.904</x:v>
      </x:c>
      <x:c r="AD36" s="34" t="n">
        <x:v>238.172</x:v>
      </x:c>
      <x:c r="AE36" s="34" t="n">
        <x:v>1975.516</x:v>
      </x:c>
      <x:c r="AF36" s="34" t="n">
        <x:v>14485.97</x:v>
      </x:c>
      <x:c r="AG36" s="34" t="n">
        <x:v>73.491</x:v>
      </x:c>
      <x:c r="AH36" s="34" t="n">
        <x:v>-2761.783</x:v>
      </x:c>
      <x:c r="AI36" s="34" t="str">
        <x:v>model_estimate</x:v>
      </x:c>
      <x:c r="AJ36" s="34" t="str">
        <x:v>Kobe Steel 공식 조강·목표경계 배출 총량에 맞춘 블록 배분</x:v>
      </x:c>
      <x:c r="AK36" s="34" t="str">
        <x:v>CAND-314B41E5534D98</x:v>
      </x:c>
      <x:c r="AL36" s="34" t="str">
        <x:v>P3</x:v>
      </x:c>
      <x:c r="AM36" s="34" t="str">
        <x:v>PORT-9862FC05DA24</x:v>
      </x:c>
      <x:c r="AN36" s="34" t="n">
        <x:v>1000</x:v>
      </x:c>
      <x:c r="AO36" s="34" t="n">
        <x:v>178.554045</x:v>
      </x:c>
      <x:c r="AP36" s="34" t="n">
        <x:v>33.174917</x:v>
      </x:c>
      <x:c r="AQ36" s="34" t="n">
        <x:v>105.301092</x:v>
      </x:c>
      <x:c r="AR36" s="34" t="n">
        <x:v>18546.646</x:v>
      </x:c>
      <x:c r="AS36" s="34" t="n">
        <x:v>176.129668</x:v>
      </x:c>
      <x:c r="AT36" s="40" t="b">
        <x:v>1</x:v>
      </x:c>
      <x:c r="AU36" s="40" t="b">
        <x:v>1</x:v>
      </x:c>
      <x:c r="AV36" s="34" t="str"/>
      <x:c r="AW36" s="34" t="n">
        <x:v>0</x:v>
      </x:c>
      <x:c r="AX36" s="34" t="str">
        <x:v>9.990856690045291e-05</x:v>
      </x:c>
      <x:c r="AY36" s="40" t="b">
        <x:v>1</x:v>
      </x:c>
      <x:c r="AZ36" s="40" t="b">
        <x:v>1</x:v>
      </x:c>
      <x:c r="BA36" s="40" t="b">
        <x:v>1</x:v>
      </x:c>
      <x:c r="BB36" s="40" t="b">
        <x:v>1</x:v>
      </x:c>
      <x:c r="BC36" s="34" t="str"/>
      <x:c r="BD36" s="34" t="n">
        <x:v>0</x:v>
      </x:c>
      <x:c r="BE36" s="34" t="n">
        <x:v>0</x:v>
      </x:c>
      <x:c r="BF36" s="34" t="n">
        <x:v>0</x:v>
      </x:c>
      <x:c r="BG36" s="34" t="n">
        <x:v>1</x:v>
      </x:c>
      <x:c r="BH36" s="34" t="n">
        <x:v>1</x:v>
      </x:c>
      <x:c r="BI36" s="34" t="n">
        <x:v>0.3612199999999999</x:v>
      </x:c>
      <x:c r="BJ36" s="34" t="n">
        <x:v>0.6</x:v>
      </x:c>
      <x:c r="BK36" s="34" t="n">
        <x:v>1.54</x:v>
      </x:c>
    </x:row>
    <x:row r="37">
      <x:c r="A37" s="34" t="str">
        <x:v>KOBE_STEEL_JP</x:v>
      </x:c>
      <x:c r="B37" s="34" t="str">
        <x:v>Kobe Steel</x:v>
      </x:c>
      <x:c r="C37" s="34" t="str">
        <x:v>DISCLOSED_PATH</x:v>
      </x:c>
      <x:c r="D37" s="34" t="str">
        <x:v>P3</x:v>
      </x:c>
      <x:c r="E37" s="34" t="str">
        <x:v>KOB-BF3</x:v>
      </x:c>
      <x:c r="F37" s="34" t="str">
        <x:v>Kakogawa Works BF 블록 3</x:v>
      </x:c>
      <x:c r="G37" s="34" t="str">
        <x:v>가코가와</x:v>
      </x:c>
      <x:c r="H37" s="34" t="n">
        <x:v>2037</x:v>
      </x:c>
      <x:c r="I37" s="34" t="str">
        <x:v>BF_BOF</x:v>
      </x:c>
      <x:c r="J37" s="34" t="str">
        <x:v>기준 BF-BOF 복합 블록</x:v>
      </x:c>
      <x:c r="K37" s="34" t="str">
        <x:v>H2_DRI_EAF</x:v>
      </x:c>
      <x:c r="L37" s="34" t="str">
        <x:v>수소 DRI + EAF</x:v>
      </x:c>
      <x:c r="M37" s="34" t="n">
        <x:v>3019.5</x:v>
      </x:c>
      <x:c r="N37" s="34" t="n">
        <x:v>2348.5</x:v>
      </x:c>
      <x:c r="O37" s="34" t="n">
        <x:v>3.05</x:v>
      </x:c>
      <x:c r="P37" s="34" t="n">
        <x:v>2.909999</x:v>
      </x:c>
      <x:c r="Q37" s="34" t="n">
        <x:v>7.076364</x:v>
      </x:c>
      <x:c r="R37" s="34" t="n">
        <x:v>7.076364</x:v>
      </x:c>
      <x:c r="S37" s="34" t="n">
        <x:v>0.582</x:v>
      </x:c>
      <x:c r="T37" s="34" t="n">
        <x:v>0.582</x:v>
      </x:c>
      <x:c r="U37" s="34" t="n">
        <x:v>6.494364</x:v>
      </x:c>
      <x:c r="V37" s="34" t="n">
        <x:v>25.977455</x:v>
      </x:c>
      <x:c r="W37" s="34" t="n">
        <x:v>4795.39</x:v>
      </x:c>
      <x:c r="X37" s="34" t="n">
        <x:v>614.214</x:v>
      </x:c>
      <x:c r="Y37" s="34" t="n">
        <x:v>5699.379</x:v>
      </x:c>
      <x:c r="Z37" s="34" t="n">
        <x:v>5085.165</x:v>
      </x:c>
      <x:c r="AA37" s="34" t="n">
        <x:v>903.989</x:v>
      </x:c>
      <x:c r="AB37" s="34" t="n">
        <x:v>4181.176</x:v>
      </x:c>
      <x:c r="AC37" s="34" t="n">
        <x:v>1235.268</x:v>
      </x:c>
      <x:c r="AD37" s="34" t="n">
        <x:v>62.261</x:v>
      </x:c>
      <x:c r="AE37" s="34" t="n">
        <x:v>533.241</x:v>
      </x:c>
      <x:c r="AF37" s="34" t="n">
        <x:v>3845.304</x:v>
      </x:c>
      <x:c r="AG37" s="34" t="n">
        <x:v>23.305</x:v>
      </x:c>
      <x:c r="AH37" s="34" t="n">
        <x:v>-903.989</x:v>
      </x:c>
      <x:c r="AI37" s="34" t="str">
        <x:v>model_estimate</x:v>
      </x:c>
      <x:c r="AJ37" s="34" t="str">
        <x:v>2016년 BF3 개수와 장기 수명주기를 반영한 재투자연도 추정</x:v>
      </x:c>
      <x:c r="AK37" s="34" t="str">
        <x:v>CAND-314B41E5534D98</x:v>
      </x:c>
      <x:c r="AL37" s="34" t="str">
        <x:v>P3</x:v>
      </x:c>
      <x:c r="AM37" s="34" t="str">
        <x:v>PORT-9862FC05DA24</x:v>
      </x:c>
      <x:c r="AN37" s="34" t="n">
        <x:v>1000</x:v>
      </x:c>
      <x:c r="AO37" s="34" t="n">
        <x:v>178.554045</x:v>
      </x:c>
      <x:c r="AP37" s="34" t="n">
        <x:v>33.174917</x:v>
      </x:c>
      <x:c r="AQ37" s="34" t="n">
        <x:v>105.301092</x:v>
      </x:c>
      <x:c r="AR37" s="34" t="n">
        <x:v>18546.646</x:v>
      </x:c>
      <x:c r="AS37" s="34" t="n">
        <x:v>176.129668</x:v>
      </x:c>
      <x:c r="AT37" s="40" t="b">
        <x:v>1</x:v>
      </x:c>
      <x:c r="AU37" s="40" t="b">
        <x:v>1</x:v>
      </x:c>
      <x:c r="AV37" s="34" t="str"/>
      <x:c r="AW37" s="34" t="n">
        <x:v>0</x:v>
      </x:c>
      <x:c r="AX37" s="34" t="str">
        <x:v>9.990856690045291e-05</x:v>
      </x:c>
      <x:c r="AY37" s="40" t="b">
        <x:v>1</x:v>
      </x:c>
      <x:c r="AZ37" s="40" t="b">
        <x:v>1</x:v>
      </x:c>
      <x:c r="BA37" s="40" t="b">
        <x:v>1</x:v>
      </x:c>
      <x:c r="BB37" s="40" t="b">
        <x:v>1</x:v>
      </x:c>
      <x:c r="BC37" s="34" t="str"/>
      <x:c r="BD37" s="34" t="n">
        <x:v>0</x:v>
      </x:c>
      <x:c r="BE37" s="34" t="n">
        <x:v>0</x:v>
      </x:c>
      <x:c r="BF37" s="34" t="n">
        <x:v>0</x:v>
      </x:c>
      <x:c r="BG37" s="34" t="n">
        <x:v>1</x:v>
      </x:c>
      <x:c r="BH37" s="34" t="n">
        <x:v>1</x:v>
      </x:c>
      <x:c r="BI37" s="34" t="n">
        <x:v>0.3612199999999999</x:v>
      </x:c>
      <x:c r="BJ37" s="34" t="n">
        <x:v>0.6</x:v>
      </x:c>
      <x:c r="BK37" s="34" t="n">
        <x:v>1.54</x:v>
      </x:c>
    </x:row>
    <x:row r="38">
      <x:c r="A38" s="34" t="str">
        <x:v>KOBE_STEEL_JP</x:v>
      </x:c>
      <x:c r="B38" s="34" t="str">
        <x:v>Kobe Steel</x:v>
      </x:c>
      <x:c r="C38" s="34" t="str">
        <x:v>DISCLOSED_PATH</x:v>
      </x:c>
      <x:c r="D38" s="34" t="str">
        <x:v>P3</x:v>
      </x:c>
      <x:c r="E38" s="34" t="str">
        <x:v>KOB-TAKA</x:v>
      </x:c>
      <x:c r="F38" s="34" t="str">
        <x:v>Takasago Works EAF block</x:v>
      </x:c>
      <x:c r="G38" s="34" t="str">
        <x:v>다카사고</x:v>
      </x:c>
      <x:c r="H38" s="34" t="n">
        <x:v>2033</x:v>
      </x:c>
      <x:c r="I38" s="34" t="str">
        <x:v>EAF_BASELINE</x:v>
      </x:c>
      <x:c r="J38" s="34" t="str">
        <x:v>기존 전기로 기준 블록</x:v>
      </x:c>
      <x:c r="K38" s="34" t="str">
        <x:v>EAF_RENEWABLE</x:v>
      </x:c>
      <x:c r="L38" s="34" t="str">
        <x:v>기존 EAF 재생전력 업그레이드</x:v>
      </x:c>
      <x:c r="M38" s="34" t="n">
        <x:v>40.04</x:v>
      </x:c>
      <x:c r="N38" s="34" t="n">
        <x:v>12.32</x:v>
      </x:c>
      <x:c r="O38" s="34" t="n">
        <x:v>0.14</x:v>
      </x:c>
      <x:c r="P38" s="34" t="n">
        <x:v>0.1</x:v>
      </x:c>
      <x:c r="Q38" s="34" t="n">
        <x:v>0.05</x:v>
      </x:c>
      <x:c r="R38" s="34" t="n">
        <x:v>0.05</x:v>
      </x:c>
      <x:c r="S38" s="34" t="n">
        <x:v>0.01</x:v>
      </x:c>
      <x:c r="T38" s="34" t="n">
        <x:v>0.01</x:v>
      </x:c>
      <x:c r="U38" s="34" t="n">
        <x:v>0.04</x:v>
      </x:c>
      <x:c r="V38" s="34" t="n">
        <x:v>0.32</x:v>
      </x:c>
      <x:c r="W38" s="34" t="n">
        <x:v>-1.417</x:v>
      </x:c>
      <x:c r="X38" s="34" t="n">
        <x:v>1.21</x:v>
      </x:c>
      <x:c r="Y38" s="34" t="n">
        <x:v>9.834</x:v>
      </x:c>
      <x:c r="Z38" s="34" t="n">
        <x:v>8.624</x:v>
      </x:c>
      <x:c r="AA38" s="34" t="n">
        <x:v>11.251</x:v>
      </x:c>
      <x:c r="AB38" s="34" t="n">
        <x:v>-2.627</x:v>
      </x:c>
      <x:c r="AC38" s="34" t="n">
        <x:v>8.028</x:v>
      </x:c>
      <x:c r="AD38" s="34" t="n">
        <x:v>0</x:v>
      </x:c>
      <x:c r="AE38" s="34" t="n">
        <x:v>1.757</x:v>
      </x:c>
      <x:c r="AF38" s="34" t="n">
        <x:v>0</x:v>
      </x:c>
      <x:c r="AG38" s="34" t="n">
        <x:v>0.05</x:v>
      </x:c>
      <x:c r="AH38" s="34" t="n">
        <x:v>-11.251</x:v>
      </x:c>
      <x:c r="AI38" s="34" t="str">
        <x:v>model_estimate</x:v>
      </x:c>
      <x:c r="AJ38" s="34" t="str">
        <x:v>다카사고 포함 공식 조강 총량에 맞춘 소규모 EAF 블록 추정</x:v>
      </x:c>
      <x:c r="AK38" s="34" t="str">
        <x:v>CAND-314B41E5534D98</x:v>
      </x:c>
      <x:c r="AL38" s="34" t="str">
        <x:v>P3</x:v>
      </x:c>
      <x:c r="AM38" s="34" t="str">
        <x:v>PORT-9862FC05DA24</x:v>
      </x:c>
      <x:c r="AN38" s="34" t="n">
        <x:v>1000</x:v>
      </x:c>
      <x:c r="AO38" s="34" t="n">
        <x:v>178.554045</x:v>
      </x:c>
      <x:c r="AP38" s="34" t="n">
        <x:v>33.174917</x:v>
      </x:c>
      <x:c r="AQ38" s="34" t="n">
        <x:v>105.301092</x:v>
      </x:c>
      <x:c r="AR38" s="34" t="n">
        <x:v>18546.646</x:v>
      </x:c>
      <x:c r="AS38" s="34" t="n">
        <x:v>176.129668</x:v>
      </x:c>
      <x:c r="AT38" s="40" t="b">
        <x:v>1</x:v>
      </x:c>
      <x:c r="AU38" s="40" t="b">
        <x:v>1</x:v>
      </x:c>
      <x:c r="AV38" s="34" t="str"/>
      <x:c r="AW38" s="34" t="n">
        <x:v>0</x:v>
      </x:c>
      <x:c r="AX38" s="34" t="str">
        <x:v>9.990856690045291e-05</x:v>
      </x:c>
      <x:c r="AY38" s="40" t="b">
        <x:v>1</x:v>
      </x:c>
      <x:c r="AZ38" s="40" t="b">
        <x:v>1</x:v>
      </x:c>
      <x:c r="BA38" s="40" t="b">
        <x:v>1</x:v>
      </x:c>
      <x:c r="BB38" s="40" t="b">
        <x:v>1</x:v>
      </x:c>
      <x:c r="BC38" s="34" t="str"/>
      <x:c r="BD38" s="34" t="n">
        <x:v>0</x:v>
      </x:c>
      <x:c r="BE38" s="34" t="n">
        <x:v>0</x:v>
      </x:c>
      <x:c r="BF38" s="34" t="n">
        <x:v>0</x:v>
      </x:c>
      <x:c r="BG38" s="34" t="n">
        <x:v>1</x:v>
      </x:c>
      <x:c r="BH38" s="34" t="n">
        <x:v>1</x:v>
      </x:c>
      <x:c r="BI38" s="34" t="n">
        <x:v>0.3612199999999999</x:v>
      </x:c>
      <x:c r="BJ38" s="34" t="n">
        <x:v>0.6</x:v>
      </x:c>
      <x:c r="BK38" s="34" t="n">
        <x:v>1.54</x:v>
      </x:c>
    </x:row>
    <x:row r="39">
      <x:c r="A39" s="34" t="str">
        <x:v>KOBE_STEEL_JP</x:v>
      </x:c>
      <x:c r="B39" s="34" t="str">
        <x:v>Kobe Steel</x:v>
      </x:c>
      <x:c r="C39" s="34" t="str">
        <x:v>ACCELERATED_15C</x:v>
      </x:c>
      <x:c r="D39" s="34" t="str">
        <x:v>P3</x:v>
      </x:c>
      <x:c r="E39" s="34" t="str">
        <x:v>KOB-BF1</x:v>
      </x:c>
      <x:c r="F39" s="34" t="str">
        <x:v>Kakogawa Works BF 블록 1</x:v>
      </x:c>
      <x:c r="G39" s="34" t="str">
        <x:v>가코가와</x:v>
      </x:c>
      <x:c r="H39" s="34" t="n">
        <x:v>2029</x:v>
      </x:c>
      <x:c r="I39" s="34" t="str">
        <x:v>BF_BOF</x:v>
      </x:c>
      <x:c r="J39" s="34" t="str">
        <x:v>기준 BF-BOF 복합 블록</x:v>
      </x:c>
      <x:c r="K39" s="34" t="str">
        <x:v>H2_DRI_EAF</x:v>
      </x:c>
      <x:c r="L39" s="34" t="str">
        <x:v>수소 DRI + EAF</x:v>
      </x:c>
      <x:c r="M39" s="34" t="n">
        <x:v>3118.5</x:v>
      </x:c>
      <x:c r="N39" s="34" t="n">
        <x:v>2425.5</x:v>
      </x:c>
      <x:c r="O39" s="34" t="n">
        <x:v>3.15</x:v>
      </x:c>
      <x:c r="P39" s="34" t="n">
        <x:v>2.95</x:v>
      </x:c>
      <x:c r="Q39" s="34" t="n">
        <x:v>7.173636</x:v>
      </x:c>
      <x:c r="R39" s="34" t="n">
        <x:v>0.59</x:v>
      </x:c>
      <x:c r="S39" s="34" t="n">
        <x:v>0.59</x:v>
      </x:c>
      <x:c r="T39" s="34" t="n">
        <x:v>0.59</x:v>
      </x:c>
      <x:c r="U39" s="34" t="n">
        <x:v>6.583636</x:v>
      </x:c>
      <x:c r="V39" s="34" t="n">
        <x:v>79.003637</x:v>
      </x:c>
      <x:c r="W39" s="34" t="n">
        <x:v>15929.427</x:v>
      </x:c>
      <x:c r="X39" s="34" t="n">
        <x:v>2259.504</x:v>
      </x:c>
      <x:c r="Y39" s="34" t="n">
        <x:v>19956.946</x:v>
      </x:c>
      <x:c r="Z39" s="34" t="n">
        <x:v>17697.441</x:v>
      </x:c>
      <x:c r="AA39" s="34" t="n">
        <x:v>4027.518</x:v>
      </x:c>
      <x:c r="AB39" s="34" t="n">
        <x:v>13669.923</x:v>
      </x:c>
      <x:c r="AC39" s="34" t="n">
        <x:v>1957.904</x:v>
      </x:c>
      <x:c r="AD39" s="34" t="n">
        <x:v>238.172</x:v>
      </x:c>
      <x:c r="AE39" s="34" t="n">
        <x:v>2156.484</x:v>
      </x:c>
      <x:c r="AF39" s="34" t="n">
        <x:v>15526.18</x:v>
      </x:c>
      <x:c r="AG39" s="34" t="n">
        <x:v>78.206</x:v>
      </x:c>
      <x:c r="AH39" s="34" t="n">
        <x:v>-4027.518</x:v>
      </x:c>
      <x:c r="AI39" s="34" t="str">
        <x:v>model_estimate</x:v>
      </x:c>
      <x:c r="AJ39" s="34" t="str">
        <x:v>Kobe Steel 공식 조강·목표경계 배출 총량에 맞춘 블록 배분</x:v>
      </x:c>
      <x:c r="AK39" s="34" t="str">
        <x:v>CAND-314B41E5534D98</x:v>
      </x:c>
      <x:c r="AL39" s="34" t="str">
        <x:v>P3</x:v>
      </x:c>
      <x:c r="AM39" s="34" t="str">
        <x:v>PORT-9862FC05DA24</x:v>
      </x:c>
      <x:c r="AN39" s="34" t="n">
        <x:v>1000</x:v>
      </x:c>
      <x:c r="AO39" s="34" t="n">
        <x:v>169.659222</x:v>
      </x:c>
      <x:c r="AP39" s="34" t="n">
        <x:v>34.732335</x:v>
      </x:c>
      <x:c r="AQ39" s="34" t="n">
        <x:v>105.301092</x:v>
      </x:c>
      <x:c r="AR39" s="34" t="n">
        <x:v>17627.204</x:v>
      </x:c>
      <x:c r="AS39" s="34" t="n">
        <x:v>167.398115</x:v>
      </x:c>
      <x:c r="AT39" s="40" t="b">
        <x:v>1</x:v>
      </x:c>
      <x:c r="AU39" s="40" t="b">
        <x:v>1</x:v>
      </x:c>
      <x:c r="AV39" s="34" t="str"/>
      <x:c r="AW39" s="34" t="n">
        <x:v>0</x:v>
      </x:c>
      <x:c r="AX39" s="34" t="str">
        <x:v>9.990856690045291e-05</x:v>
      </x:c>
      <x:c r="AY39" s="40" t="b">
        <x:v>1</x:v>
      </x:c>
      <x:c r="AZ39" s="40" t="b">
        <x:v>1</x:v>
      </x:c>
      <x:c r="BA39" s="40" t="b">
        <x:v>1</x:v>
      </x:c>
      <x:c r="BB39" s="40" t="b">
        <x:v>1</x:v>
      </x:c>
      <x:c r="BC39" s="34" t="str"/>
      <x:c r="BD39" s="34" t="n">
        <x:v>0</x:v>
      </x:c>
      <x:c r="BE39" s="34" t="n">
        <x:v>0</x:v>
      </x:c>
      <x:c r="BF39" s="34" t="n">
        <x:v>0</x:v>
      </x:c>
      <x:c r="BG39" s="34" t="n">
        <x:v>1</x:v>
      </x:c>
      <x:c r="BH39" s="34" t="n">
        <x:v>1</x:v>
      </x:c>
      <x:c r="BI39" s="34" t="n">
        <x:v>0.3612199999999999</x:v>
      </x:c>
      <x:c r="BJ39" s="34" t="n">
        <x:v>0.6</x:v>
      </x:c>
      <x:c r="BK39" s="34" t="n">
        <x:v>1.54</x:v>
      </x:c>
    </x:row>
    <x:row r="40">
      <x:c r="A40" s="34" t="str">
        <x:v>KOBE_STEEL_JP</x:v>
      </x:c>
      <x:c r="B40" s="34" t="str">
        <x:v>Kobe Steel</x:v>
      </x:c>
      <x:c r="C40" s="34" t="str">
        <x:v>ACCELERATED_15C</x:v>
      </x:c>
      <x:c r="D40" s="34" t="str">
        <x:v>P3</x:v>
      </x:c>
      <x:c r="E40" s="34" t="str">
        <x:v>KOB-BF3</x:v>
      </x:c>
      <x:c r="F40" s="34" t="str">
        <x:v>Kakogawa Works BF 블록 3</x:v>
      </x:c>
      <x:c r="G40" s="34" t="str">
        <x:v>가코가와</x:v>
      </x:c>
      <x:c r="H40" s="34" t="n">
        <x:v>2037</x:v>
      </x:c>
      <x:c r="I40" s="34" t="str">
        <x:v>BF_BOF</x:v>
      </x:c>
      <x:c r="J40" s="34" t="str">
        <x:v>기준 BF-BOF 복합 블록</x:v>
      </x:c>
      <x:c r="K40" s="34" t="str">
        <x:v>H2_DRI_EAF</x:v>
      </x:c>
      <x:c r="L40" s="34" t="str">
        <x:v>수소 DRI + EAF</x:v>
      </x:c>
      <x:c r="M40" s="34" t="n">
        <x:v>3019.5</x:v>
      </x:c>
      <x:c r="N40" s="34" t="n">
        <x:v>2348.5</x:v>
      </x:c>
      <x:c r="O40" s="34" t="n">
        <x:v>3.05</x:v>
      </x:c>
      <x:c r="P40" s="34" t="n">
        <x:v>2.909999</x:v>
      </x:c>
      <x:c r="Q40" s="34" t="n">
        <x:v>7.076364</x:v>
      </x:c>
      <x:c r="R40" s="34" t="n">
        <x:v>7.076364</x:v>
      </x:c>
      <x:c r="S40" s="34" t="n">
        <x:v>0.582</x:v>
      </x:c>
      <x:c r="T40" s="34" t="n">
        <x:v>0.582</x:v>
      </x:c>
      <x:c r="U40" s="34" t="n">
        <x:v>6.494364</x:v>
      </x:c>
      <x:c r="V40" s="34" t="n">
        <x:v>25.977455</x:v>
      </x:c>
      <x:c r="W40" s="34" t="n">
        <x:v>4800.539</x:v>
      </x:c>
      <x:c r="X40" s="34" t="n">
        <x:v>834.977</x:v>
      </x:c>
      <x:c r="Y40" s="34" t="n">
        <x:v>6152.069</x:v>
      </x:c>
      <x:c r="Z40" s="34" t="n">
        <x:v>5317.092</x:v>
      </x:c>
      <x:c r="AA40" s="34" t="n">
        <x:v>1351.53</x:v>
      </x:c>
      <x:c r="AB40" s="34" t="n">
        <x:v>3965.562</x:v>
      </x:c>
      <x:c r="AC40" s="34" t="n">
        <x:v>1235.268</x:v>
      </x:c>
      <x:c r="AD40" s="34" t="n">
        <x:v>62.261</x:v>
      </x:c>
      <x:c r="AE40" s="34" t="n">
        <x:v>599.616</x:v>
      </x:c>
      <x:c r="AF40" s="34" t="n">
        <x:v>4229.879</x:v>
      </x:c>
      <x:c r="AG40" s="34" t="n">
        <x:v>25.045</x:v>
      </x:c>
      <x:c r="AH40" s="34" t="n">
        <x:v>-1351.53</x:v>
      </x:c>
      <x:c r="AI40" s="34" t="str">
        <x:v>model_estimate</x:v>
      </x:c>
      <x:c r="AJ40" s="34" t="str">
        <x:v>2016년 BF3 개수와 장기 수명주기를 반영한 재투자연도 추정</x:v>
      </x:c>
      <x:c r="AK40" s="34" t="str">
        <x:v>CAND-314B41E5534D98</x:v>
      </x:c>
      <x:c r="AL40" s="34" t="str">
        <x:v>P3</x:v>
      </x:c>
      <x:c r="AM40" s="34" t="str">
        <x:v>PORT-9862FC05DA24</x:v>
      </x:c>
      <x:c r="AN40" s="34" t="n">
        <x:v>1000</x:v>
      </x:c>
      <x:c r="AO40" s="34" t="n">
        <x:v>169.659222</x:v>
      </x:c>
      <x:c r="AP40" s="34" t="n">
        <x:v>34.732335</x:v>
      </x:c>
      <x:c r="AQ40" s="34" t="n">
        <x:v>105.301092</x:v>
      </x:c>
      <x:c r="AR40" s="34" t="n">
        <x:v>17627.204</x:v>
      </x:c>
      <x:c r="AS40" s="34" t="n">
        <x:v>167.398115</x:v>
      </x:c>
      <x:c r="AT40" s="40" t="b">
        <x:v>1</x:v>
      </x:c>
      <x:c r="AU40" s="40" t="b">
        <x:v>1</x:v>
      </x:c>
      <x:c r="AV40" s="34" t="str"/>
      <x:c r="AW40" s="34" t="n">
        <x:v>0</x:v>
      </x:c>
      <x:c r="AX40" s="34" t="str">
        <x:v>9.990856690045291e-05</x:v>
      </x:c>
      <x:c r="AY40" s="40" t="b">
        <x:v>1</x:v>
      </x:c>
      <x:c r="AZ40" s="40" t="b">
        <x:v>1</x:v>
      </x:c>
      <x:c r="BA40" s="40" t="b">
        <x:v>1</x:v>
      </x:c>
      <x:c r="BB40" s="40" t="b">
        <x:v>1</x:v>
      </x:c>
      <x:c r="BC40" s="34" t="str"/>
      <x:c r="BD40" s="34" t="n">
        <x:v>0</x:v>
      </x:c>
      <x:c r="BE40" s="34" t="n">
        <x:v>0</x:v>
      </x:c>
      <x:c r="BF40" s="34" t="n">
        <x:v>0</x:v>
      </x:c>
      <x:c r="BG40" s="34" t="n">
        <x:v>1</x:v>
      </x:c>
      <x:c r="BH40" s="34" t="n">
        <x:v>1</x:v>
      </x:c>
      <x:c r="BI40" s="34" t="n">
        <x:v>0.3612199999999999</x:v>
      </x:c>
      <x:c r="BJ40" s="34" t="n">
        <x:v>0.6</x:v>
      </x:c>
      <x:c r="BK40" s="34" t="n">
        <x:v>1.54</x:v>
      </x:c>
    </x:row>
    <x:row r="41">
      <x:c r="A41" s="34" t="str">
        <x:v>KOBE_STEEL_JP</x:v>
      </x:c>
      <x:c r="B41" s="34" t="str">
        <x:v>Kobe Steel</x:v>
      </x:c>
      <x:c r="C41" s="34" t="str">
        <x:v>ACCELERATED_15C</x:v>
      </x:c>
      <x:c r="D41" s="34" t="str">
        <x:v>P3</x:v>
      </x:c>
      <x:c r="E41" s="34" t="str">
        <x:v>KOB-TAKA</x:v>
      </x:c>
      <x:c r="F41" s="34" t="str">
        <x:v>Takasago Works EAF block</x:v>
      </x:c>
      <x:c r="G41" s="34" t="str">
        <x:v>다카사고</x:v>
      </x:c>
      <x:c r="H41" s="34" t="n">
        <x:v>2033</x:v>
      </x:c>
      <x:c r="I41" s="34" t="str">
        <x:v>EAF_BASELINE</x:v>
      </x:c>
      <x:c r="J41" s="34" t="str">
        <x:v>기존 전기로 기준 블록</x:v>
      </x:c>
      <x:c r="K41" s="34" t="str">
        <x:v>EAF_RENEWABLE</x:v>
      </x:c>
      <x:c r="L41" s="34" t="str">
        <x:v>기존 EAF 재생전력 업그레이드</x:v>
      </x:c>
      <x:c r="M41" s="34" t="n">
        <x:v>40.04</x:v>
      </x:c>
      <x:c r="N41" s="34" t="n">
        <x:v>12.32</x:v>
      </x:c>
      <x:c r="O41" s="34" t="n">
        <x:v>0.14</x:v>
      </x:c>
      <x:c r="P41" s="34" t="n">
        <x:v>0.1</x:v>
      </x:c>
      <x:c r="Q41" s="34" t="n">
        <x:v>0.05</x:v>
      </x:c>
      <x:c r="R41" s="34" t="n">
        <x:v>0.05</x:v>
      </x:c>
      <x:c r="S41" s="34" t="n">
        <x:v>0.01</x:v>
      </x:c>
      <x:c r="T41" s="34" t="n">
        <x:v>0.01</x:v>
      </x:c>
      <x:c r="U41" s="34" t="n">
        <x:v>0.04</x:v>
      </x:c>
      <x:c r="V41" s="34" t="n">
        <x:v>0.32</x:v>
      </x:c>
      <x:c r="W41" s="34" t="n">
        <x:v>-6.667</x:v>
      </x:c>
      <x:c r="X41" s="34" t="n">
        <x:v>1.614</x:v>
      </x:c>
      <x:c r="Y41" s="34" t="n">
        <x:v>10.027</x:v>
      </x:c>
      <x:c r="Z41" s="34" t="n">
        <x:v>8.413</x:v>
      </x:c>
      <x:c r="AA41" s="34" t="n">
        <x:v>16.694</x:v>
      </x:c>
      <x:c r="AB41" s="34" t="n">
        <x:v>-8.281</x:v>
      </x:c>
      <x:c r="AC41" s="34" t="n">
        <x:v>8.028</x:v>
      </x:c>
      <x:c r="AD41" s="34" t="n">
        <x:v>0</x:v>
      </x:c>
      <x:c r="AE41" s="34" t="n">
        <x:v>1.948</x:v>
      </x:c>
      <x:c r="AF41" s="34" t="n">
        <x:v>0</x:v>
      </x:c>
      <x:c r="AG41" s="34" t="n">
        <x:v>0.051</x:v>
      </x:c>
      <x:c r="AH41" s="34" t="n">
        <x:v>-16.694</x:v>
      </x:c>
      <x:c r="AI41" s="34" t="str">
        <x:v>model_estimate</x:v>
      </x:c>
      <x:c r="AJ41" s="34" t="str">
        <x:v>다카사고 포함 공식 조강 총량에 맞춘 소규모 EAF 블록 추정</x:v>
      </x:c>
      <x:c r="AK41" s="34" t="str">
        <x:v>CAND-314B41E5534D98</x:v>
      </x:c>
      <x:c r="AL41" s="34" t="str">
        <x:v>P3</x:v>
      </x:c>
      <x:c r="AM41" s="34" t="str">
        <x:v>PORT-9862FC05DA24</x:v>
      </x:c>
      <x:c r="AN41" s="34" t="n">
        <x:v>1000</x:v>
      </x:c>
      <x:c r="AO41" s="34" t="n">
        <x:v>169.659222</x:v>
      </x:c>
      <x:c r="AP41" s="34" t="n">
        <x:v>34.732335</x:v>
      </x:c>
      <x:c r="AQ41" s="34" t="n">
        <x:v>105.301092</x:v>
      </x:c>
      <x:c r="AR41" s="34" t="n">
        <x:v>17627.204</x:v>
      </x:c>
      <x:c r="AS41" s="34" t="n">
        <x:v>167.398115</x:v>
      </x:c>
      <x:c r="AT41" s="40" t="b">
        <x:v>1</x:v>
      </x:c>
      <x:c r="AU41" s="40" t="b">
        <x:v>1</x:v>
      </x:c>
      <x:c r="AV41" s="34" t="str"/>
      <x:c r="AW41" s="34" t="n">
        <x:v>0</x:v>
      </x:c>
      <x:c r="AX41" s="34" t="str">
        <x:v>9.990856690045291e-05</x:v>
      </x:c>
      <x:c r="AY41" s="40" t="b">
        <x:v>1</x:v>
      </x:c>
      <x:c r="AZ41" s="40" t="b">
        <x:v>1</x:v>
      </x:c>
      <x:c r="BA41" s="40" t="b">
        <x:v>1</x:v>
      </x:c>
      <x:c r="BB41" s="40" t="b">
        <x:v>1</x:v>
      </x:c>
      <x:c r="BC41" s="34" t="str"/>
      <x:c r="BD41" s="34" t="n">
        <x:v>0</x:v>
      </x:c>
      <x:c r="BE41" s="34" t="n">
        <x:v>0</x:v>
      </x:c>
      <x:c r="BF41" s="34" t="n">
        <x:v>0</x:v>
      </x:c>
      <x:c r="BG41" s="34" t="n">
        <x:v>1</x:v>
      </x:c>
      <x:c r="BH41" s="34" t="n">
        <x:v>1</x:v>
      </x:c>
      <x:c r="BI41" s="34" t="n">
        <x:v>0.3612199999999999</x:v>
      </x:c>
      <x:c r="BJ41" s="34" t="n">
        <x:v>0.6</x:v>
      </x:c>
      <x:c r="BK41" s="34" t="n">
        <x:v>1.54</x:v>
      </x:c>
    </x:row>
    <x:row r="42">
      <x:c r="A42" s="34" t="str">
        <x:v>NIPPON_STEEL_JP</x:v>
      </x:c>
      <x:c r="B42" s="34" t="str">
        <x:v>Nippon Steel</x:v>
      </x:c>
      <x:c r="C42" s="34" t="str">
        <x:v>DISCLOSED_PATH</x:v>
      </x:c>
      <x:c r="D42" s="34" t="str">
        <x:v>P3</x:v>
      </x:c>
      <x:c r="E42" s="34" t="str">
        <x:v>NS-EAST</x:v>
      </x:c>
      <x:c r="F42" s="34" t="str">
        <x:v>East Nippon Works 블록</x:v>
      </x:c>
      <x:c r="G42" s="34" t="str">
        <x:v>동일본</x:v>
      </x:c>
      <x:c r="H42" s="34" t="n">
        <x:v>2034</x:v>
      </x:c>
      <x:c r="I42" s="34" t="str">
        <x:v>BF_BOF</x:v>
      </x:c>
      <x:c r="J42" s="34" t="str">
        <x:v>기준 BF-BOF 복합 블록</x:v>
      </x:c>
      <x:c r="K42" s="34" t="str">
        <x:v>SCRAP_EAF</x:v>
      </x:c>
      <x:c r="L42" s="34" t="str">
        <x:v>스크랩 기반 대형 EAF</x:v>
      </x:c>
      <x:c r="M42" s="34" t="n">
        <x:v>4989.6</x:v>
      </x:c>
      <x:c r="N42" s="34" t="n">
        <x:v>3207.6</x:v>
      </x:c>
      <x:c r="O42" s="34" t="n">
        <x:v>8.1</x:v>
      </x:c>
      <x:c r="P42" s="34" t="n">
        <x:v>7.200001</x:v>
      </x:c>
      <x:c r="Q42" s="34" t="n">
        <x:v>15.239652</x:v>
      </x:c>
      <x:c r="R42" s="34" t="n">
        <x:v>15.239652</x:v>
      </x:c>
      <x:c r="S42" s="34" t="n">
        <x:v>3.24</x:v>
      </x:c>
      <x:c r="T42" s="34" t="n">
        <x:v>3.24</x:v>
      </x:c>
      <x:c r="U42" s="34" t="n">
        <x:v>11.999651</x:v>
      </x:c>
      <x:c r="V42" s="34" t="n">
        <x:v>83.997558</x:v>
      </x:c>
      <x:c r="W42" s="34" t="n">
        <x:v>2239.081</x:v>
      </x:c>
      <x:c r="X42" s="34" t="n">
        <x:v>509.842</x:v>
      </x:c>
      <x:c r="Y42" s="34" t="n">
        <x:v>5188.535</x:v>
      </x:c>
      <x:c r="Z42" s="34" t="n">
        <x:v>4678.693</x:v>
      </x:c>
      <x:c r="AA42" s="34" t="n">
        <x:v>2949.454</x:v>
      </x:c>
      <x:c r="AB42" s="34" t="n">
        <x:v>1729.239</x:v>
      </x:c>
      <x:c r="AC42" s="34" t="n">
        <x:v>1981.108</x:v>
      </x:c>
      <x:c r="AD42" s="34" t="n">
        <x:v>159.97</x:v>
      </x:c>
      <x:c r="AE42" s="34" t="n">
        <x:v>3023.451</x:v>
      </x:c>
      <x:c r="AF42" s="34" t="n">
        <x:v>0</x:v>
      </x:c>
      <x:c r="AG42" s="34" t="n">
        <x:v>24.006</x:v>
      </x:c>
      <x:c r="AH42" s="34" t="n">
        <x:v>-2949.454</x:v>
      </x:c>
      <x:c r="AI42" s="34" t="str">
        <x:v>model_estimate</x:v>
      </x:c>
      <x:c r="AJ42" s="34" t="str">
        <x:v>Nippon Steel 공식 생산·배출·용량 총량에 맞춘 지역 블록 배분</x:v>
      </x:c>
      <x:c r="AK42" s="34" t="str">
        <x:v>CAND-32B1C4DEC95227</x:v>
      </x:c>
      <x:c r="AL42" s="34" t="str">
        <x:v>P3</x:v>
      </x:c>
      <x:c r="AM42" s="34" t="str">
        <x:v>PORT-0ACD636A8AEE</x:v>
      </x:c>
      <x:c r="AN42" s="34" t="n">
        <x:v>1000</x:v>
      </x:c>
      <x:c r="AO42" s="34" t="n">
        <x:v>57.952455</x:v>
      </x:c>
      <x:c r="AP42" s="34" t="n">
        <x:v>13.342227</x:v>
      </x:c>
      <x:c r="AQ42" s="34" t="n">
        <x:v>446.878947</x:v>
      </x:c>
      <x:c r="AR42" s="34" t="n">
        <x:v>25357.995</x:v>
      </x:c>
      <x:c r="AS42" s="34" t="n">
        <x:v>56.744663</x:v>
      </x:c>
      <x:c r="AT42" s="40" t="b">
        <x:v>1</x:v>
      </x:c>
      <x:c r="AU42" s="40" t="b">
        <x:v>0</x:v>
      </x:c>
      <x:c r="AV42" s="34" t="str"/>
      <x:c r="AW42" s="34" t="n">
        <x:v>0</x:v>
      </x:c>
      <x:c r="AX42" s="34" t="str">
        <x:v>3.446647212967946e-06</x:v>
      </x:c>
      <x:c r="AY42" s="40" t="b">
        <x:v>0</x:v>
      </x:c>
      <x:c r="AZ42" s="40" t="b">
        <x:v>0</x:v>
      </x:c>
      <x:c r="BA42" s="40" t="b">
        <x:v>1</x:v>
      </x:c>
      <x:c r="BB42" s="40" t="b">
        <x:v>1</x:v>
      </x:c>
      <x:c r="BC42" s="34" t="n">
        <x:v>2034</x:v>
      </x:c>
      <x:c r="BD42" s="34" t="n">
        <x:v>3.3599990099999992</x:v>
      </x:c>
      <x:c r="BE42" s="34" t="n">
        <x:v>0</x:v>
      </x:c>
      <x:c r="BF42" s="34" t="n">
        <x:v>0</x:v>
      </x:c>
      <x:c r="BG42" s="34" t="n">
        <x:v>2</x:v>
      </x:c>
      <x:c r="BH42" s="34" t="n">
        <x:v>2</x:v>
      </x:c>
      <x:c r="BI42" s="34" t="n">
        <x:v>0.47641018879999986</x:v>
      </x:c>
      <x:c r="BJ42" s="34" t="n">
        <x:v>0.65</x:v>
      </x:c>
      <x:c r="BK42" s="34" t="n">
        <x:v>2.16</x:v>
      </x:c>
    </x:row>
    <x:row r="43">
      <x:c r="A43" s="34" t="str">
        <x:v>NIPPON_STEEL_JP</x:v>
      </x:c>
      <x:c r="B43" s="34" t="str">
        <x:v>Nippon Steel</x:v>
      </x:c>
      <x:c r="C43" s="34" t="str">
        <x:v>DISCLOSED_PATH</x:v>
      </x:c>
      <x:c r="D43" s="34" t="str">
        <x:v>P3</x:v>
      </x:c>
      <x:c r="E43" s="34" t="str">
        <x:v>NS-KANSAI</x:v>
      </x:c>
      <x:c r="F43" s="34" t="str">
        <x:v>Kansai Works 블록</x:v>
      </x:c>
      <x:c r="G43" s="34" t="str">
        <x:v>간사이</x:v>
      </x:c>
      <x:c r="H43" s="34" t="n">
        <x:v>2036</x:v>
      </x:c>
      <x:c r="I43" s="34" t="str">
        <x:v>BF_BOF</x:v>
      </x:c>
      <x:c r="J43" s="34" t="str">
        <x:v>기준 BF-BOF 복합 블록</x:v>
      </x:c>
      <x:c r="K43" s="34" t="str">
        <x:v>H2_DRI_EAF</x:v>
      </x:c>
      <x:c r="L43" s="34" t="str">
        <x:v>수소 DRI + EAF</x:v>
      </x:c>
      <x:c r="M43" s="34" t="n">
        <x:v>6237</x:v>
      </x:c>
      <x:c r="N43" s="34" t="n">
        <x:v>4851</x:v>
      </x:c>
      <x:c r="O43" s="34" t="n">
        <x:v>6.3</x:v>
      </x:c>
      <x:c r="P43" s="34" t="n">
        <x:v>5.600001</x:v>
      </x:c>
      <x:c r="Q43" s="34" t="n">
        <x:v>11.853062</x:v>
      </x:c>
      <x:c r="R43" s="34" t="n">
        <x:v>11.853062</x:v>
      </x:c>
      <x:c r="S43" s="34" t="n">
        <x:v>1.12</x:v>
      </x:c>
      <x:c r="T43" s="34" t="n">
        <x:v>1.12</x:v>
      </x:c>
      <x:c r="U43" s="34" t="n">
        <x:v>10.733062</x:v>
      </x:c>
      <x:c r="V43" s="34" t="n">
        <x:v>53.665311</x:v>
      </x:c>
      <x:c r="W43" s="34" t="n">
        <x:v>11860.997</x:v>
      </x:c>
      <x:c r="X43" s="34" t="n">
        <x:v>1444.305</x:v>
      </x:c>
      <x:c r="Y43" s="34" t="n">
        <x:v>13735.576</x:v>
      </x:c>
      <x:c r="Z43" s="34" t="n">
        <x:v>12291.27</x:v>
      </x:c>
      <x:c r="AA43" s="34" t="n">
        <x:v>1874.579</x:v>
      </x:c>
      <x:c r="AB43" s="34" t="n">
        <x:v>10416.691</x:v>
      </x:c>
      <x:c r="AC43" s="34" t="n">
        <x:v>2691.871</x:v>
      </x:c>
      <x:c r="AD43" s="34" t="n">
        <x:v>181.997</x:v>
      </x:c>
      <x:c r="AE43" s="34" t="n">
        <x:v>1314.06</x:v>
      </x:c>
      <x:c r="AF43" s="34" t="n">
        <x:v>9492.007</x:v>
      </x:c>
      <x:c r="AG43" s="34" t="n">
        <x:v>55.641</x:v>
      </x:c>
      <x:c r="AH43" s="34" t="n">
        <x:v>-1874.579</x:v>
      </x:c>
      <x:c r="AI43" s="34" t="str">
        <x:v>model_estimate</x:v>
      </x:c>
      <x:c r="AJ43" s="34" t="str">
        <x:v>Nippon Steel 공식 생산·배출·용량 총량에 맞춘 지역 블록 배분</x:v>
      </x:c>
      <x:c r="AK43" s="34" t="str">
        <x:v>CAND-32B1C4DEC95227</x:v>
      </x:c>
      <x:c r="AL43" s="34" t="str">
        <x:v>P3</x:v>
      </x:c>
      <x:c r="AM43" s="34" t="str">
        <x:v>PORT-0ACD636A8AEE</x:v>
      </x:c>
      <x:c r="AN43" s="34" t="n">
        <x:v>1000</x:v>
      </x:c>
      <x:c r="AO43" s="34" t="n">
        <x:v>57.952455</x:v>
      </x:c>
      <x:c r="AP43" s="34" t="n">
        <x:v>13.342227</x:v>
      </x:c>
      <x:c r="AQ43" s="34" t="n">
        <x:v>446.878947</x:v>
      </x:c>
      <x:c r="AR43" s="34" t="n">
        <x:v>25357.995</x:v>
      </x:c>
      <x:c r="AS43" s="34" t="n">
        <x:v>56.744663</x:v>
      </x:c>
      <x:c r="AT43" s="40" t="b">
        <x:v>1</x:v>
      </x:c>
      <x:c r="AU43" s="40" t="b">
        <x:v>0</x:v>
      </x:c>
      <x:c r="AV43" s="34" t="str"/>
      <x:c r="AW43" s="34" t="n">
        <x:v>0</x:v>
      </x:c>
      <x:c r="AX43" s="34" t="str">
        <x:v>3.446647212967946e-06</x:v>
      </x:c>
      <x:c r="AY43" s="40" t="b">
        <x:v>0</x:v>
      </x:c>
      <x:c r="AZ43" s="40" t="b">
        <x:v>0</x:v>
      </x:c>
      <x:c r="BA43" s="40" t="b">
        <x:v>1</x:v>
      </x:c>
      <x:c r="BB43" s="40" t="b">
        <x:v>1</x:v>
      </x:c>
      <x:c r="BC43" s="34" t="n">
        <x:v>2034</x:v>
      </x:c>
      <x:c r="BD43" s="34" t="n">
        <x:v>3.3599990099999992</x:v>
      </x:c>
      <x:c r="BE43" s="34" t="n">
        <x:v>0</x:v>
      </x:c>
      <x:c r="BF43" s="34" t="n">
        <x:v>0</x:v>
      </x:c>
      <x:c r="BG43" s="34" t="n">
        <x:v>2</x:v>
      </x:c>
      <x:c r="BH43" s="34" t="n">
        <x:v>2</x:v>
      </x:c>
      <x:c r="BI43" s="34" t="n">
        <x:v>0.47641018879999986</x:v>
      </x:c>
      <x:c r="BJ43" s="34" t="n">
        <x:v>0.65</x:v>
      </x:c>
      <x:c r="BK43" s="34" t="n">
        <x:v>2.16</x:v>
      </x:c>
    </x:row>
    <x:row r="44">
      <x:c r="A44" s="34" t="str">
        <x:v>NIPPON_STEEL_JP</x:v>
      </x:c>
      <x:c r="B44" s="34" t="str">
        <x:v>Nippon Steel</x:v>
      </x:c>
      <x:c r="C44" s="34" t="str">
        <x:v>DISCLOSED_PATH</x:v>
      </x:c>
      <x:c r="D44" s="34" t="str">
        <x:v>P3</x:v>
      </x:c>
      <x:c r="E44" s="34" t="str">
        <x:v>NS-KYUSHU</x:v>
      </x:c>
      <x:c r="F44" s="34" t="str">
        <x:v>Kyushu Works Yawata 블록</x:v>
      </x:c>
      <x:c r="G44" s="34" t="str">
        <x:v>규슈</x:v>
      </x:c>
      <x:c r="H44" s="34" t="n">
        <x:v>2029</x:v>
      </x:c>
      <x:c r="I44" s="34" t="str">
        <x:v>BF_BOF</x:v>
      </x:c>
      <x:c r="J44" s="34" t="str">
        <x:v>기준 BF-BOF 복합 블록</x:v>
      </x:c>
      <x:c r="K44" s="34" t="str">
        <x:v>SCRAP_EAF</x:v>
      </x:c>
      <x:c r="L44" s="34" t="str">
        <x:v>스크랩 기반 대형 EAF</x:v>
      </x:c>
      <x:c r="M44" s="34" t="n">
        <x:v>6160</x:v>
      </x:c>
      <x:c r="N44" s="34" t="n">
        <x:v>3960</x:v>
      </x:c>
      <x:c r="O44" s="34" t="n">
        <x:v>10</x:v>
      </x:c>
      <x:c r="P44" s="34" t="n">
        <x:v>9</x:v>
      </x:c>
      <x:c r="Q44" s="34" t="n">
        <x:v>19.049562</x:v>
      </x:c>
      <x:c r="R44" s="34" t="n">
        <x:v>4.05</x:v>
      </x:c>
      <x:c r="S44" s="34" t="n">
        <x:v>4.05</x:v>
      </x:c>
      <x:c r="T44" s="34" t="n">
        <x:v>4.05</x:v>
      </x:c>
      <x:c r="U44" s="34" t="n">
        <x:v>14.999562</x:v>
      </x:c>
      <x:c r="V44" s="34" t="n">
        <x:v>179.994744</x:v>
      </x:c>
      <x:c r="W44" s="34" t="n">
        <x:v>4753.792</x:v>
      </x:c>
      <x:c r="X44" s="34" t="n">
        <x:v>873.395</x:v>
      </x:c>
      <x:c r="Y44" s="34" t="n">
        <x:v>11045.989</x:v>
      </x:c>
      <x:c r="Z44" s="34" t="n">
        <x:v>10172.594</x:v>
      </x:c>
      <x:c r="AA44" s="34" t="n">
        <x:v>6292.198</x:v>
      </x:c>
      <x:c r="AB44" s="34" t="n">
        <x:v>3880.397</x:v>
      </x:c>
      <x:c r="AC44" s="34" t="n">
        <x:v>3196.578</x:v>
      </x:c>
      <x:c r="AD44" s="34" t="n">
        <x:v>462.398</x:v>
      </x:c>
      <x:c r="AE44" s="34" t="n">
        <x:v>7337.214</x:v>
      </x:c>
      <x:c r="AF44" s="34" t="n">
        <x:v>0</x:v>
      </x:c>
      <x:c r="AG44" s="34" t="n">
        <x:v>49.799</x:v>
      </x:c>
      <x:c r="AH44" s="34" t="n">
        <x:v>-6292.198</x:v>
      </x:c>
      <x:c r="AI44" s="34" t="str">
        <x:v>model_estimate</x:v>
      </x:c>
      <x:c r="AJ44" s="34" t="str">
        <x:v>Yawata BF→EAF 공시 방향을 반영해 조기 재투자 창을 설정; 블록 생산량 추정</x:v>
      </x:c>
      <x:c r="AK44" s="34" t="str">
        <x:v>CAND-32B1C4DEC95227</x:v>
      </x:c>
      <x:c r="AL44" s="34" t="str">
        <x:v>P3</x:v>
      </x:c>
      <x:c r="AM44" s="34" t="str">
        <x:v>PORT-0ACD636A8AEE</x:v>
      </x:c>
      <x:c r="AN44" s="34" t="n">
        <x:v>1000</x:v>
      </x:c>
      <x:c r="AO44" s="34" t="n">
        <x:v>57.952455</x:v>
      </x:c>
      <x:c r="AP44" s="34" t="n">
        <x:v>13.342227</x:v>
      </x:c>
      <x:c r="AQ44" s="34" t="n">
        <x:v>446.878947</x:v>
      </x:c>
      <x:c r="AR44" s="34" t="n">
        <x:v>25357.995</x:v>
      </x:c>
      <x:c r="AS44" s="34" t="n">
        <x:v>56.744663</x:v>
      </x:c>
      <x:c r="AT44" s="40" t="b">
        <x:v>1</x:v>
      </x:c>
      <x:c r="AU44" s="40" t="b">
        <x:v>0</x:v>
      </x:c>
      <x:c r="AV44" s="34" t="str"/>
      <x:c r="AW44" s="34" t="n">
        <x:v>0</x:v>
      </x:c>
      <x:c r="AX44" s="34" t="str">
        <x:v>3.446647212967946e-06</x:v>
      </x:c>
      <x:c r="AY44" s="40" t="b">
        <x:v>0</x:v>
      </x:c>
      <x:c r="AZ44" s="40" t="b">
        <x:v>0</x:v>
      </x:c>
      <x:c r="BA44" s="40" t="b">
        <x:v>1</x:v>
      </x:c>
      <x:c r="BB44" s="40" t="b">
        <x:v>1</x:v>
      </x:c>
      <x:c r="BC44" s="34" t="n">
        <x:v>2034</x:v>
      </x:c>
      <x:c r="BD44" s="34" t="n">
        <x:v>3.3599990099999992</x:v>
      </x:c>
      <x:c r="BE44" s="34" t="n">
        <x:v>0</x:v>
      </x:c>
      <x:c r="BF44" s="34" t="n">
        <x:v>0</x:v>
      </x:c>
      <x:c r="BG44" s="34" t="n">
        <x:v>2</x:v>
      </x:c>
      <x:c r="BH44" s="34" t="n">
        <x:v>2</x:v>
      </x:c>
      <x:c r="BI44" s="34" t="n">
        <x:v>0.47641018879999986</x:v>
      </x:c>
      <x:c r="BJ44" s="34" t="n">
        <x:v>0.65</x:v>
      </x:c>
      <x:c r="BK44" s="34" t="n">
        <x:v>2.16</x:v>
      </x:c>
    </x:row>
    <x:row r="45">
      <x:c r="A45" s="34" t="str">
        <x:v>NIPPON_STEEL_JP</x:v>
      </x:c>
      <x:c r="B45" s="34" t="str">
        <x:v>Nippon Steel</x:v>
      </x:c>
      <x:c r="C45" s="34" t="str">
        <x:v>DISCLOSED_PATH</x:v>
      </x:c>
      <x:c r="D45" s="34" t="str">
        <x:v>P3</x:v>
      </x:c>
      <x:c r="E45" s="34" t="str">
        <x:v>NS-NAGOYA</x:v>
      </x:c>
      <x:c r="F45" s="34" t="str">
        <x:v>Nagoya Works 블록</x:v>
      </x:c>
      <x:c r="G45" s="34" t="str">
        <x:v>나고야</x:v>
      </x:c>
      <x:c r="H45" s="34" t="n">
        <x:v>2032</x:v>
      </x:c>
      <x:c r="I45" s="34" t="str">
        <x:v>BF_BOF</x:v>
      </x:c>
      <x:c r="J45" s="34" t="str">
        <x:v>기준 BF-BOF 복합 블록</x:v>
      </x:c>
      <x:c r="K45" s="34" t="str">
        <x:v>SCRAP_EAF</x:v>
      </x:c>
      <x:c r="L45" s="34" t="str">
        <x:v>스크랩 기반 대형 EAF</x:v>
      </x:c>
      <x:c r="M45" s="34" t="n">
        <x:v>4312</x:v>
      </x:c>
      <x:c r="N45" s="34" t="n">
        <x:v>2772</x:v>
      </x:c>
      <x:c r="O45" s="34" t="n">
        <x:v>7</x:v>
      </x:c>
      <x:c r="P45" s="34" t="n">
        <x:v>6.199998</x:v>
      </x:c>
      <x:c r="Q45" s="34" t="n">
        <x:v>13.123027</x:v>
      </x:c>
      <x:c r="R45" s="34" t="n">
        <x:v>13.123027</x:v>
      </x:c>
      <x:c r="S45" s="34" t="n">
        <x:v>2.789999</x:v>
      </x:c>
      <x:c r="T45" s="34" t="n">
        <x:v>2.789999</x:v>
      </x:c>
      <x:c r="U45" s="34" t="n">
        <x:v>10.333028</x:v>
      </x:c>
      <x:c r="V45" s="34" t="n">
        <x:v>92.997254</x:v>
      </x:c>
      <x:c r="W45" s="34" t="n">
        <x:v>2365.146</x:v>
      </x:c>
      <x:c r="X45" s="34" t="n">
        <x:v>499.835</x:v>
      </x:c>
      <x:c r="Y45" s="34" t="n">
        <x:v>5635.963</x:v>
      </x:c>
      <x:c r="Z45" s="34" t="n">
        <x:v>5136.128</x:v>
      </x:c>
      <x:c r="AA45" s="34" t="n">
        <x:v>3270.817</x:v>
      </x:c>
      <x:c r="AB45" s="34" t="n">
        <x:v>1865.311</x:v>
      </x:c>
      <x:c r="AC45" s="34" t="n">
        <x:v>1905.575</x:v>
      </x:c>
      <x:c r="AD45" s="34" t="n">
        <x:v>187.564</x:v>
      </x:c>
      <x:c r="AE45" s="34" t="n">
        <x:v>3516.993</x:v>
      </x:c>
      <x:c r="AF45" s="34" t="n">
        <x:v>0</x:v>
      </x:c>
      <x:c r="AG45" s="34" t="n">
        <x:v>25.831</x:v>
      </x:c>
      <x:c r="AH45" s="34" t="n">
        <x:v>-3270.817</x:v>
      </x:c>
      <x:c r="AI45" s="34" t="str">
        <x:v>model_estimate</x:v>
      </x:c>
      <x:c r="AJ45" s="34" t="str">
        <x:v>Nippon Steel 공식 생산·배출·용량 총량에 맞춘 지역 블록 배분</x:v>
      </x:c>
      <x:c r="AK45" s="34" t="str">
        <x:v>CAND-32B1C4DEC95227</x:v>
      </x:c>
      <x:c r="AL45" s="34" t="str">
        <x:v>P3</x:v>
      </x:c>
      <x:c r="AM45" s="34" t="str">
        <x:v>PORT-0ACD636A8AEE</x:v>
      </x:c>
      <x:c r="AN45" s="34" t="n">
        <x:v>1000</x:v>
      </x:c>
      <x:c r="AO45" s="34" t="n">
        <x:v>57.952455</x:v>
      </x:c>
      <x:c r="AP45" s="34" t="n">
        <x:v>13.342227</x:v>
      </x:c>
      <x:c r="AQ45" s="34" t="n">
        <x:v>446.878947</x:v>
      </x:c>
      <x:c r="AR45" s="34" t="n">
        <x:v>25357.995</x:v>
      </x:c>
      <x:c r="AS45" s="34" t="n">
        <x:v>56.744663</x:v>
      </x:c>
      <x:c r="AT45" s="40" t="b">
        <x:v>1</x:v>
      </x:c>
      <x:c r="AU45" s="40" t="b">
        <x:v>0</x:v>
      </x:c>
      <x:c r="AV45" s="34" t="str"/>
      <x:c r="AW45" s="34" t="n">
        <x:v>0</x:v>
      </x:c>
      <x:c r="AX45" s="34" t="str">
        <x:v>3.446647212967946e-06</x:v>
      </x:c>
      <x:c r="AY45" s="40" t="b">
        <x:v>0</x:v>
      </x:c>
      <x:c r="AZ45" s="40" t="b">
        <x:v>0</x:v>
      </x:c>
      <x:c r="BA45" s="40" t="b">
        <x:v>1</x:v>
      </x:c>
      <x:c r="BB45" s="40" t="b">
        <x:v>1</x:v>
      </x:c>
      <x:c r="BC45" s="34" t="n">
        <x:v>2034</x:v>
      </x:c>
      <x:c r="BD45" s="34" t="n">
        <x:v>3.3599990099999992</x:v>
      </x:c>
      <x:c r="BE45" s="34" t="n">
        <x:v>0</x:v>
      </x:c>
      <x:c r="BF45" s="34" t="n">
        <x:v>0</x:v>
      </x:c>
      <x:c r="BG45" s="34" t="n">
        <x:v>2</x:v>
      </x:c>
      <x:c r="BH45" s="34" t="n">
        <x:v>2</x:v>
      </x:c>
      <x:c r="BI45" s="34" t="n">
        <x:v>0.47641018879999986</x:v>
      </x:c>
      <x:c r="BJ45" s="34" t="n">
        <x:v>0.65</x:v>
      </x:c>
      <x:c r="BK45" s="34" t="n">
        <x:v>2.16</x:v>
      </x:c>
    </x:row>
    <x:row r="46">
      <x:c r="A46" s="34" t="str">
        <x:v>NIPPON_STEEL_JP</x:v>
      </x:c>
      <x:c r="B46" s="34" t="str">
        <x:v>Nippon Steel</x:v>
      </x:c>
      <x:c r="C46" s="34" t="str">
        <x:v>DISCLOSED_PATH</x:v>
      </x:c>
      <x:c r="D46" s="34" t="str">
        <x:v>P3</x:v>
      </x:c>
      <x:c r="E46" s="34" t="str">
        <x:v>NS-SETOUCHI</x:v>
      </x:c>
      <x:c r="F46" s="34" t="str">
        <x:v>Setouchi Works Hirohata 블록</x:v>
      </x:c>
      <x:c r="G46" s="34" t="str">
        <x:v>세토우치</x:v>
      </x:c>
      <x:c r="H46" s="34" t="n">
        <x:v>2038</x:v>
      </x:c>
      <x:c r="I46" s="34" t="str">
        <x:v>BF_BOF</x:v>
      </x:c>
      <x:c r="J46" s="34" t="str">
        <x:v>기준 BF-BOF 복합 블록</x:v>
      </x:c>
      <x:c r="K46" s="34" t="str">
        <x:v>H2_DRI_EAF</x:v>
      </x:c>
      <x:c r="L46" s="34" t="str">
        <x:v>수소 DRI + EAF</x:v>
      </x:c>
      <x:c r="M46" s="34" t="n">
        <x:v>7425</x:v>
      </x:c>
      <x:c r="N46" s="34" t="n">
        <x:v>5775</x:v>
      </x:c>
      <x:c r="O46" s="34" t="n">
        <x:v>7.5</x:v>
      </x:c>
      <x:c r="P46" s="34" t="n">
        <x:v>6.3</x:v>
      </x:c>
      <x:c r="Q46" s="34" t="n">
        <x:v>13.334693</x:v>
      </x:c>
      <x:c r="R46" s="34" t="n">
        <x:v>13.334693</x:v>
      </x:c>
      <x:c r="S46" s="34" t="n">
        <x:v>1.26</x:v>
      </x:c>
      <x:c r="T46" s="34" t="n">
        <x:v>1.26</x:v>
      </x:c>
      <x:c r="U46" s="34" t="n">
        <x:v>12.074693</x:v>
      </x:c>
      <x:c r="V46" s="34" t="n">
        <x:v>36.22408</x:v>
      </x:c>
      <x:c r="W46" s="34" t="n">
        <x:v>8713.179</x:v>
      </x:c>
      <x:c r="X46" s="34" t="n">
        <x:v>1246.821</x:v>
      </x:c>
      <x:c r="Y46" s="34" t="n">
        <x:v>9968.087</x:v>
      </x:c>
      <x:c r="Z46" s="34" t="n">
        <x:v>8721.266</x:v>
      </x:c>
      <x:c r="AA46" s="34" t="n">
        <x:v>1254.908</x:v>
      </x:c>
      <x:c r="AB46" s="34" t="n">
        <x:v>7466.358</x:v>
      </x:c>
      <x:c r="AC46" s="34" t="n">
        <x:v>2879.188</x:v>
      </x:c>
      <x:c r="AD46" s="34" t="n">
        <x:v>116.221</x:v>
      </x:c>
      <x:c r="AE46" s="34" t="n">
        <x:v>845.313</x:v>
      </x:c>
      <x:c r="AF46" s="34" t="n">
        <x:v>6085.624</x:v>
      </x:c>
      <x:c r="AG46" s="34" t="n">
        <x:v>41.741</x:v>
      </x:c>
      <x:c r="AH46" s="34" t="n">
        <x:v>-1254.908</x:v>
      </x:c>
      <x:c r="AI46" s="34" t="str">
        <x:v>model_estimate</x:v>
      </x:c>
      <x:c r="AJ46" s="34" t="str">
        <x:v>Hirohata EAF 투자 방향을 반영한 복합 블록; 생산량·재투자연도 추정</x:v>
      </x:c>
      <x:c r="AK46" s="34" t="str">
        <x:v>CAND-32B1C4DEC95227</x:v>
      </x:c>
      <x:c r="AL46" s="34" t="str">
        <x:v>P3</x:v>
      </x:c>
      <x:c r="AM46" s="34" t="str">
        <x:v>PORT-0ACD636A8AEE</x:v>
      </x:c>
      <x:c r="AN46" s="34" t="n">
        <x:v>1000</x:v>
      </x:c>
      <x:c r="AO46" s="34" t="n">
        <x:v>57.952455</x:v>
      </x:c>
      <x:c r="AP46" s="34" t="n">
        <x:v>13.342227</x:v>
      </x:c>
      <x:c r="AQ46" s="34" t="n">
        <x:v>446.878947</x:v>
      </x:c>
      <x:c r="AR46" s="34" t="n">
        <x:v>25357.995</x:v>
      </x:c>
      <x:c r="AS46" s="34" t="n">
        <x:v>56.744663</x:v>
      </x:c>
      <x:c r="AT46" s="40" t="b">
        <x:v>1</x:v>
      </x:c>
      <x:c r="AU46" s="40" t="b">
        <x:v>0</x:v>
      </x:c>
      <x:c r="AV46" s="34" t="str"/>
      <x:c r="AW46" s="34" t="n">
        <x:v>0</x:v>
      </x:c>
      <x:c r="AX46" s="34" t="str">
        <x:v>3.446647212967946e-06</x:v>
      </x:c>
      <x:c r="AY46" s="40" t="b">
        <x:v>0</x:v>
      </x:c>
      <x:c r="AZ46" s="40" t="b">
        <x:v>0</x:v>
      </x:c>
      <x:c r="BA46" s="40" t="b">
        <x:v>1</x:v>
      </x:c>
      <x:c r="BB46" s="40" t="b">
        <x:v>1</x:v>
      </x:c>
      <x:c r="BC46" s="34" t="n">
        <x:v>2034</x:v>
      </x:c>
      <x:c r="BD46" s="34" t="n">
        <x:v>3.3599990099999992</x:v>
      </x:c>
      <x:c r="BE46" s="34" t="n">
        <x:v>0</x:v>
      </x:c>
      <x:c r="BF46" s="34" t="n">
        <x:v>0</x:v>
      </x:c>
      <x:c r="BG46" s="34" t="n">
        <x:v>2</x:v>
      </x:c>
      <x:c r="BH46" s="34" t="n">
        <x:v>2</x:v>
      </x:c>
      <x:c r="BI46" s="34" t="n">
        <x:v>0.47641018879999986</x:v>
      </x:c>
      <x:c r="BJ46" s="34" t="n">
        <x:v>0.65</x:v>
      </x:c>
      <x:c r="BK46" s="34" t="n">
        <x:v>2.16</x:v>
      </x:c>
    </x:row>
    <x:row r="47">
      <x:c r="A47" s="34" t="str">
        <x:v>NIPPON_STEEL_JP</x:v>
      </x:c>
      <x:c r="B47" s="34" t="str">
        <x:v>Nippon Steel</x:v>
      </x:c>
      <x:c r="C47" s="34" t="str">
        <x:v>ACCELERATED_15C</x:v>
      </x:c>
      <x:c r="D47" s="34" t="str">
        <x:v>P3</x:v>
      </x:c>
      <x:c r="E47" s="34" t="str">
        <x:v>NS-EAST</x:v>
      </x:c>
      <x:c r="F47" s="34" t="str">
        <x:v>East Nippon Works 블록</x:v>
      </x:c>
      <x:c r="G47" s="34" t="str">
        <x:v>동일본</x:v>
      </x:c>
      <x:c r="H47" s="34" t="n">
        <x:v>2034</x:v>
      </x:c>
      <x:c r="I47" s="34" t="str">
        <x:v>BF_BOF</x:v>
      </x:c>
      <x:c r="J47" s="34" t="str">
        <x:v>기준 BF-BOF 복합 블록</x:v>
      </x:c>
      <x:c r="K47" s="34" t="str">
        <x:v>SCRAP_EAF</x:v>
      </x:c>
      <x:c r="L47" s="34" t="str">
        <x:v>스크랩 기반 대형 EAF</x:v>
      </x:c>
      <x:c r="M47" s="34" t="n">
        <x:v>4989.6</x:v>
      </x:c>
      <x:c r="N47" s="34" t="n">
        <x:v>3207.6</x:v>
      </x:c>
      <x:c r="O47" s="34" t="n">
        <x:v>8.1</x:v>
      </x:c>
      <x:c r="P47" s="34" t="n">
        <x:v>7.200001</x:v>
      </x:c>
      <x:c r="Q47" s="34" t="n">
        <x:v>15.239652</x:v>
      </x:c>
      <x:c r="R47" s="34" t="n">
        <x:v>15.239652</x:v>
      </x:c>
      <x:c r="S47" s="34" t="n">
        <x:v>3.24</x:v>
      </x:c>
      <x:c r="T47" s="34" t="n">
        <x:v>3.24</x:v>
      </x:c>
      <x:c r="U47" s="34" t="n">
        <x:v>11.999651</x:v>
      </x:c>
      <x:c r="V47" s="34" t="n">
        <x:v>83.997558</x:v>
      </x:c>
      <x:c r="W47" s="34" t="n">
        <x:v>1142.64</x:v>
      </x:c>
      <x:c r="X47" s="34" t="n">
        <x:v>597.453</x:v>
      </x:c>
      <x:c r="Y47" s="34" t="n">
        <x:v>5531.356</x:v>
      </x:c>
      <x:c r="Z47" s="34" t="n">
        <x:v>4933.904</x:v>
      </x:c>
      <x:c r="AA47" s="34" t="n">
        <x:v>4388.717</x:v>
      </x:c>
      <x:c r="AB47" s="34" t="n">
        <x:v>545.187</x:v>
      </x:c>
      <x:c r="AC47" s="34" t="n">
        <x:v>1981.108</x:v>
      </x:c>
      <x:c r="AD47" s="34" t="n">
        <x:v>159.97</x:v>
      </x:c>
      <x:c r="AE47" s="34" t="n">
        <x:v>3364.736</x:v>
      </x:c>
      <x:c r="AF47" s="34" t="n">
        <x:v>0</x:v>
      </x:c>
      <x:c r="AG47" s="34" t="n">
        <x:v>25.542</x:v>
      </x:c>
      <x:c r="AH47" s="34" t="n">
        <x:v>-4388.717</x:v>
      </x:c>
      <x:c r="AI47" s="34" t="str">
        <x:v>model_estimate</x:v>
      </x:c>
      <x:c r="AJ47" s="34" t="str">
        <x:v>Nippon Steel 공식 생산·배출·용량 총량에 맞춘 지역 블록 배분</x:v>
      </x:c>
      <x:c r="AK47" s="34" t="str">
        <x:v>CAND-32B1C4DEC95227</x:v>
      </x:c>
      <x:c r="AL47" s="34" t="str">
        <x:v>P3</x:v>
      </x:c>
      <x:c r="AM47" s="34" t="str">
        <x:v>PORT-0ACD636A8AEE</x:v>
      </x:c>
      <x:c r="AN47" s="34" t="n">
        <x:v>1000</x:v>
      </x:c>
      <x:c r="AO47" s="34" t="n">
        <x:v>45.577186</x:v>
      </x:c>
      <x:c r="AP47" s="34" t="n">
        <x:v>14.234655</x:v>
      </x:c>
      <x:c r="AQ47" s="34" t="n">
        <x:v>446.878947</x:v>
      </x:c>
      <x:c r="AR47" s="34" t="n">
        <x:v>19867.245</x:v>
      </x:c>
      <x:c r="AS47" s="34" t="n">
        <x:v>44.457778</x:v>
      </x:c>
      <x:c r="AT47" s="40" t="b">
        <x:v>1</x:v>
      </x:c>
      <x:c r="AU47" s="40" t="b">
        <x:v>1</x:v>
      </x:c>
      <x:c r="AV47" s="34" t="str"/>
      <x:c r="AW47" s="34" t="n">
        <x:v>0</x:v>
      </x:c>
      <x:c r="AX47" s="34" t="str">
        <x:v>3.446647212967946e-06</x:v>
      </x:c>
      <x:c r="AY47" s="40" t="b">
        <x:v>1</x:v>
      </x:c>
      <x:c r="AZ47" s="40" t="b">
        <x:v>1</x:v>
      </x:c>
      <x:c r="BA47" s="40" t="b">
        <x:v>1</x:v>
      </x:c>
      <x:c r="BB47" s="40" t="b">
        <x:v>1</x:v>
      </x:c>
      <x:c r="BC47" s="34" t="str"/>
      <x:c r="BD47" s="34" t="n">
        <x:v>0</x:v>
      </x:c>
      <x:c r="BE47" s="34" t="n">
        <x:v>0</x:v>
      </x:c>
      <x:c r="BF47" s="34" t="n">
        <x:v>0</x:v>
      </x:c>
      <x:c r="BG47" s="34" t="n">
        <x:v>2</x:v>
      </x:c>
      <x:c r="BH47" s="34" t="n">
        <x:v>2</x:v>
      </x:c>
      <x:c r="BI47" s="34" t="n">
        <x:v>0.47641018879999986</x:v>
      </x:c>
      <x:c r="BJ47" s="34" t="n">
        <x:v>0.65</x:v>
      </x:c>
      <x:c r="BK47" s="34" t="n">
        <x:v>2.16</x:v>
      </x:c>
    </x:row>
    <x:row r="48">
      <x:c r="A48" s="34" t="str">
        <x:v>NIPPON_STEEL_JP</x:v>
      </x:c>
      <x:c r="B48" s="34" t="str">
        <x:v>Nippon Steel</x:v>
      </x:c>
      <x:c r="C48" s="34" t="str">
        <x:v>ACCELERATED_15C</x:v>
      </x:c>
      <x:c r="D48" s="34" t="str">
        <x:v>P3</x:v>
      </x:c>
      <x:c r="E48" s="34" t="str">
        <x:v>NS-KANSAI</x:v>
      </x:c>
      <x:c r="F48" s="34" t="str">
        <x:v>Kansai Works 블록</x:v>
      </x:c>
      <x:c r="G48" s="34" t="str">
        <x:v>간사이</x:v>
      </x:c>
      <x:c r="H48" s="34" t="n">
        <x:v>2036</x:v>
      </x:c>
      <x:c r="I48" s="34" t="str">
        <x:v>BF_BOF</x:v>
      </x:c>
      <x:c r="J48" s="34" t="str">
        <x:v>기준 BF-BOF 복합 블록</x:v>
      </x:c>
      <x:c r="K48" s="34" t="str">
        <x:v>H2_DRI_EAF</x:v>
      </x:c>
      <x:c r="L48" s="34" t="str">
        <x:v>수소 DRI + EAF</x:v>
      </x:c>
      <x:c r="M48" s="34" t="n">
        <x:v>6237</x:v>
      </x:c>
      <x:c r="N48" s="34" t="n">
        <x:v>4851</x:v>
      </x:c>
      <x:c r="O48" s="34" t="n">
        <x:v>6.3</x:v>
      </x:c>
      <x:c r="P48" s="34" t="n">
        <x:v>5.600001</x:v>
      </x:c>
      <x:c r="Q48" s="34" t="n">
        <x:v>11.853062</x:v>
      </x:c>
      <x:c r="R48" s="34" t="n">
        <x:v>11.853062</x:v>
      </x:c>
      <x:c r="S48" s="34" t="n">
        <x:v>1.12</x:v>
      </x:c>
      <x:c r="T48" s="34" t="n">
        <x:v>1.12</x:v>
      </x:c>
      <x:c r="U48" s="34" t="n">
        <x:v>10.733062</x:v>
      </x:c>
      <x:c r="V48" s="34" t="n">
        <x:v>53.665311</x:v>
      </x:c>
      <x:c r="W48" s="34" t="n">
        <x:v>12016.929</x:v>
      </x:c>
      <x:c r="X48" s="34" t="n">
        <x:v>1994.58</x:v>
      </x:c>
      <x:c r="Y48" s="34" t="n">
        <x:v>14816.077</x:v>
      </x:c>
      <x:c r="Z48" s="34" t="n">
        <x:v>12821.497</x:v>
      </x:c>
      <x:c r="AA48" s="34" t="n">
        <x:v>2799.149</x:v>
      </x:c>
      <x:c r="AB48" s="34" t="n">
        <x:v>10022.349</x:v>
      </x:c>
      <x:c r="AC48" s="34" t="n">
        <x:v>2691.871</x:v>
      </x:c>
      <x:c r="AD48" s="34" t="n">
        <x:v>181.997</x:v>
      </x:c>
      <x:c r="AE48" s="34" t="n">
        <x:v>1472.667</x:v>
      </x:c>
      <x:c r="AF48" s="34" t="n">
        <x:v>10409.747</x:v>
      </x:c>
      <x:c r="AG48" s="34" t="n">
        <x:v>59.796</x:v>
      </x:c>
      <x:c r="AH48" s="34" t="n">
        <x:v>-2799.149</x:v>
      </x:c>
      <x:c r="AI48" s="34" t="str">
        <x:v>model_estimate</x:v>
      </x:c>
      <x:c r="AJ48" s="34" t="str">
        <x:v>Nippon Steel 공식 생산·배출·용량 총량에 맞춘 지역 블록 배분</x:v>
      </x:c>
      <x:c r="AK48" s="34" t="str">
        <x:v>CAND-32B1C4DEC95227</x:v>
      </x:c>
      <x:c r="AL48" s="34" t="str">
        <x:v>P3</x:v>
      </x:c>
      <x:c r="AM48" s="34" t="str">
        <x:v>PORT-0ACD636A8AEE</x:v>
      </x:c>
      <x:c r="AN48" s="34" t="n">
        <x:v>1000</x:v>
      </x:c>
      <x:c r="AO48" s="34" t="n">
        <x:v>45.577186</x:v>
      </x:c>
      <x:c r="AP48" s="34" t="n">
        <x:v>14.234655</x:v>
      </x:c>
      <x:c r="AQ48" s="34" t="n">
        <x:v>446.878947</x:v>
      </x:c>
      <x:c r="AR48" s="34" t="n">
        <x:v>19867.245</x:v>
      </x:c>
      <x:c r="AS48" s="34" t="n">
        <x:v>44.457778</x:v>
      </x:c>
      <x:c r="AT48" s="40" t="b">
        <x:v>1</x:v>
      </x:c>
      <x:c r="AU48" s="40" t="b">
        <x:v>1</x:v>
      </x:c>
      <x:c r="AV48" s="34" t="str"/>
      <x:c r="AW48" s="34" t="n">
        <x:v>0</x:v>
      </x:c>
      <x:c r="AX48" s="34" t="str">
        <x:v>3.446647212967946e-06</x:v>
      </x:c>
      <x:c r="AY48" s="40" t="b">
        <x:v>1</x:v>
      </x:c>
      <x:c r="AZ48" s="40" t="b">
        <x:v>1</x:v>
      </x:c>
      <x:c r="BA48" s="40" t="b">
        <x:v>1</x:v>
      </x:c>
      <x:c r="BB48" s="40" t="b">
        <x:v>1</x:v>
      </x:c>
      <x:c r="BC48" s="34" t="str"/>
      <x:c r="BD48" s="34" t="n">
        <x:v>0</x:v>
      </x:c>
      <x:c r="BE48" s="34" t="n">
        <x:v>0</x:v>
      </x:c>
      <x:c r="BF48" s="34" t="n">
        <x:v>0</x:v>
      </x:c>
      <x:c r="BG48" s="34" t="n">
        <x:v>2</x:v>
      </x:c>
      <x:c r="BH48" s="34" t="n">
        <x:v>2</x:v>
      </x:c>
      <x:c r="BI48" s="34" t="n">
        <x:v>0.47641018879999986</x:v>
      </x:c>
      <x:c r="BJ48" s="34" t="n">
        <x:v>0.65</x:v>
      </x:c>
      <x:c r="BK48" s="34" t="n">
        <x:v>2.16</x:v>
      </x:c>
    </x:row>
    <x:row r="49">
      <x:c r="A49" s="34" t="str">
        <x:v>NIPPON_STEEL_JP</x:v>
      </x:c>
      <x:c r="B49" s="34" t="str">
        <x:v>Nippon Steel</x:v>
      </x:c>
      <x:c r="C49" s="34" t="str">
        <x:v>ACCELERATED_15C</x:v>
      </x:c>
      <x:c r="D49" s="34" t="str">
        <x:v>P3</x:v>
      </x:c>
      <x:c r="E49" s="34" t="str">
        <x:v>NS-KYUSHU</x:v>
      </x:c>
      <x:c r="F49" s="34" t="str">
        <x:v>Kyushu Works Yawata 블록</x:v>
      </x:c>
      <x:c r="G49" s="34" t="str">
        <x:v>규슈</x:v>
      </x:c>
      <x:c r="H49" s="34" t="n">
        <x:v>2029</x:v>
      </x:c>
      <x:c r="I49" s="34" t="str">
        <x:v>BF_BOF</x:v>
      </x:c>
      <x:c r="J49" s="34" t="str">
        <x:v>기준 BF-BOF 복합 블록</x:v>
      </x:c>
      <x:c r="K49" s="34" t="str">
        <x:v>SCRAP_EAF</x:v>
      </x:c>
      <x:c r="L49" s="34" t="str">
        <x:v>스크랩 기반 대형 EAF</x:v>
      </x:c>
      <x:c r="M49" s="34" t="n">
        <x:v>6160</x:v>
      </x:c>
      <x:c r="N49" s="34" t="n">
        <x:v>3960</x:v>
      </x:c>
      <x:c r="O49" s="34" t="n">
        <x:v>10</x:v>
      </x:c>
      <x:c r="P49" s="34" t="n">
        <x:v>9</x:v>
      </x:c>
      <x:c r="Q49" s="34" t="n">
        <x:v>19.049562</x:v>
      </x:c>
      <x:c r="R49" s="34" t="n">
        <x:v>4.05</x:v>
      </x:c>
      <x:c r="S49" s="34" t="n">
        <x:v>4.05</x:v>
      </x:c>
      <x:c r="T49" s="34" t="n">
        <x:v>4.05</x:v>
      </x:c>
      <x:c r="U49" s="34" t="n">
        <x:v>14.999562</x:v>
      </x:c>
      <x:c r="V49" s="34" t="n">
        <x:v>179.994744</x:v>
      </x:c>
      <x:c r="W49" s="34" t="n">
        <x:v>2545.209</x:v>
      </x:c>
      <x:c r="X49" s="34" t="n">
        <x:v>988.176</x:v>
      </x:c>
      <x:c r="Y49" s="34" t="n">
        <x:v>11721.143</x:v>
      </x:c>
      <x:c r="Z49" s="34" t="n">
        <x:v>10732.967</x:v>
      </x:c>
      <x:c r="AA49" s="34" t="n">
        <x:v>9175.933</x:v>
      </x:c>
      <x:c r="AB49" s="34" t="n">
        <x:v>1557.033</x:v>
      </x:c>
      <x:c r="AC49" s="34" t="n">
        <x:v>3196.578</x:v>
      </x:c>
      <x:c r="AD49" s="34" t="n">
        <x:v>462.398</x:v>
      </x:c>
      <x:c r="AE49" s="34" t="n">
        <x:v>8009.343</x:v>
      </x:c>
      <x:c r="AF49" s="34" t="n">
        <x:v>0</x:v>
      </x:c>
      <x:c r="AG49" s="34" t="n">
        <x:v>52.824</x:v>
      </x:c>
      <x:c r="AH49" s="34" t="n">
        <x:v>-9175.933</x:v>
      </x:c>
      <x:c r="AI49" s="34" t="str">
        <x:v>model_estimate</x:v>
      </x:c>
      <x:c r="AJ49" s="34" t="str">
        <x:v>Yawata BF→EAF 공시 방향을 반영해 조기 재투자 창을 설정; 블록 생산량 추정</x:v>
      </x:c>
      <x:c r="AK49" s="34" t="str">
        <x:v>CAND-32B1C4DEC95227</x:v>
      </x:c>
      <x:c r="AL49" s="34" t="str">
        <x:v>P3</x:v>
      </x:c>
      <x:c r="AM49" s="34" t="str">
        <x:v>PORT-0ACD636A8AEE</x:v>
      </x:c>
      <x:c r="AN49" s="34" t="n">
        <x:v>1000</x:v>
      </x:c>
      <x:c r="AO49" s="34" t="n">
        <x:v>45.577186</x:v>
      </x:c>
      <x:c r="AP49" s="34" t="n">
        <x:v>14.234655</x:v>
      </x:c>
      <x:c r="AQ49" s="34" t="n">
        <x:v>446.878947</x:v>
      </x:c>
      <x:c r="AR49" s="34" t="n">
        <x:v>19867.245</x:v>
      </x:c>
      <x:c r="AS49" s="34" t="n">
        <x:v>44.457778</x:v>
      </x:c>
      <x:c r="AT49" s="40" t="b">
        <x:v>1</x:v>
      </x:c>
      <x:c r="AU49" s="40" t="b">
        <x:v>1</x:v>
      </x:c>
      <x:c r="AV49" s="34" t="str"/>
      <x:c r="AW49" s="34" t="n">
        <x:v>0</x:v>
      </x:c>
      <x:c r="AX49" s="34" t="str">
        <x:v>3.446647212967946e-06</x:v>
      </x:c>
      <x:c r="AY49" s="40" t="b">
        <x:v>1</x:v>
      </x:c>
      <x:c r="AZ49" s="40" t="b">
        <x:v>1</x:v>
      </x:c>
      <x:c r="BA49" s="40" t="b">
        <x:v>1</x:v>
      </x:c>
      <x:c r="BB49" s="40" t="b">
        <x:v>1</x:v>
      </x:c>
      <x:c r="BC49" s="34" t="str"/>
      <x:c r="BD49" s="34" t="n">
        <x:v>0</x:v>
      </x:c>
      <x:c r="BE49" s="34" t="n">
        <x:v>0</x:v>
      </x:c>
      <x:c r="BF49" s="34" t="n">
        <x:v>0</x:v>
      </x:c>
      <x:c r="BG49" s="34" t="n">
        <x:v>2</x:v>
      </x:c>
      <x:c r="BH49" s="34" t="n">
        <x:v>2</x:v>
      </x:c>
      <x:c r="BI49" s="34" t="n">
        <x:v>0.47641018879999986</x:v>
      </x:c>
      <x:c r="BJ49" s="34" t="n">
        <x:v>0.65</x:v>
      </x:c>
      <x:c r="BK49" s="34" t="n">
        <x:v>2.16</x:v>
      </x:c>
    </x:row>
    <x:row r="50">
      <x:c r="A50" s="34" t="str">
        <x:v>NIPPON_STEEL_JP</x:v>
      </x:c>
      <x:c r="B50" s="34" t="str">
        <x:v>Nippon Steel</x:v>
      </x:c>
      <x:c r="C50" s="34" t="str">
        <x:v>ACCELERATED_15C</x:v>
      </x:c>
      <x:c r="D50" s="34" t="str">
        <x:v>P3</x:v>
      </x:c>
      <x:c r="E50" s="34" t="str">
        <x:v>NS-NAGOYA</x:v>
      </x:c>
      <x:c r="F50" s="34" t="str">
        <x:v>Nagoya Works 블록</x:v>
      </x:c>
      <x:c r="G50" s="34" t="str">
        <x:v>나고야</x:v>
      </x:c>
      <x:c r="H50" s="34" t="n">
        <x:v>2032</x:v>
      </x:c>
      <x:c r="I50" s="34" t="str">
        <x:v>BF_BOF</x:v>
      </x:c>
      <x:c r="J50" s="34" t="str">
        <x:v>기준 BF-BOF 복합 블록</x:v>
      </x:c>
      <x:c r="K50" s="34" t="str">
        <x:v>SCRAP_EAF</x:v>
      </x:c>
      <x:c r="L50" s="34" t="str">
        <x:v>스크랩 기반 대형 EAF</x:v>
      </x:c>
      <x:c r="M50" s="34" t="n">
        <x:v>4312</x:v>
      </x:c>
      <x:c r="N50" s="34" t="n">
        <x:v>2772</x:v>
      </x:c>
      <x:c r="O50" s="34" t="n">
        <x:v>7</x:v>
      </x:c>
      <x:c r="P50" s="34" t="n">
        <x:v>6.199998</x:v>
      </x:c>
      <x:c r="Q50" s="34" t="n">
        <x:v>13.123027</x:v>
      </x:c>
      <x:c r="R50" s="34" t="n">
        <x:v>13.123027</x:v>
      </x:c>
      <x:c r="S50" s="34" t="n">
        <x:v>2.789999</x:v>
      </x:c>
      <x:c r="T50" s="34" t="n">
        <x:v>2.789999</x:v>
      </x:c>
      <x:c r="U50" s="34" t="n">
        <x:v>10.333028</x:v>
      </x:c>
      <x:c r="V50" s="34" t="n">
        <x:v>92.997254</x:v>
      </x:c>
      <x:c r="W50" s="34" t="n">
        <x:v>1169.143</x:v>
      </x:c>
      <x:c r="X50" s="34" t="n">
        <x:v>575.125</x:v>
      </x:c>
      <x:c r="Y50" s="34" t="n">
        <x:v>6005.791</x:v>
      </x:c>
      <x:c r="Z50" s="34" t="n">
        <x:v>5430.665</x:v>
      </x:c>
      <x:c r="AA50" s="34" t="n">
        <x:v>4836.648</x:v>
      </x:c>
      <x:c r="AB50" s="34" t="n">
        <x:v>594.018</x:v>
      </x:c>
      <x:c r="AC50" s="34" t="n">
        <x:v>1905.575</x:v>
      </x:c>
      <x:c r="AD50" s="34" t="n">
        <x:v>187.564</x:v>
      </x:c>
      <x:c r="AE50" s="34" t="n">
        <x:v>3885.164</x:v>
      </x:c>
      <x:c r="AF50" s="34" t="n">
        <x:v>0</x:v>
      </x:c>
      <x:c r="AG50" s="34" t="n">
        <x:v>27.488</x:v>
      </x:c>
      <x:c r="AH50" s="34" t="n">
        <x:v>-4836.648</x:v>
      </x:c>
      <x:c r="AI50" s="34" t="str">
        <x:v>model_estimate</x:v>
      </x:c>
      <x:c r="AJ50" s="34" t="str">
        <x:v>Nippon Steel 공식 생산·배출·용량 총량에 맞춘 지역 블록 배분</x:v>
      </x:c>
      <x:c r="AK50" s="34" t="str">
        <x:v>CAND-32B1C4DEC95227</x:v>
      </x:c>
      <x:c r="AL50" s="34" t="str">
        <x:v>P3</x:v>
      </x:c>
      <x:c r="AM50" s="34" t="str">
        <x:v>PORT-0ACD636A8AEE</x:v>
      </x:c>
      <x:c r="AN50" s="34" t="n">
        <x:v>1000</x:v>
      </x:c>
      <x:c r="AO50" s="34" t="n">
        <x:v>45.577186</x:v>
      </x:c>
      <x:c r="AP50" s="34" t="n">
        <x:v>14.234655</x:v>
      </x:c>
      <x:c r="AQ50" s="34" t="n">
        <x:v>446.878947</x:v>
      </x:c>
      <x:c r="AR50" s="34" t="n">
        <x:v>19867.245</x:v>
      </x:c>
      <x:c r="AS50" s="34" t="n">
        <x:v>44.457778</x:v>
      </x:c>
      <x:c r="AT50" s="40" t="b">
        <x:v>1</x:v>
      </x:c>
      <x:c r="AU50" s="40" t="b">
        <x:v>1</x:v>
      </x:c>
      <x:c r="AV50" s="34" t="str"/>
      <x:c r="AW50" s="34" t="n">
        <x:v>0</x:v>
      </x:c>
      <x:c r="AX50" s="34" t="str">
        <x:v>3.446647212967946e-06</x:v>
      </x:c>
      <x:c r="AY50" s="40" t="b">
        <x:v>1</x:v>
      </x:c>
      <x:c r="AZ50" s="40" t="b">
        <x:v>1</x:v>
      </x:c>
      <x:c r="BA50" s="40" t="b">
        <x:v>1</x:v>
      </x:c>
      <x:c r="BB50" s="40" t="b">
        <x:v>1</x:v>
      </x:c>
      <x:c r="BC50" s="34" t="str"/>
      <x:c r="BD50" s="34" t="n">
        <x:v>0</x:v>
      </x:c>
      <x:c r="BE50" s="34" t="n">
        <x:v>0</x:v>
      </x:c>
      <x:c r="BF50" s="34" t="n">
        <x:v>0</x:v>
      </x:c>
      <x:c r="BG50" s="34" t="n">
        <x:v>2</x:v>
      </x:c>
      <x:c r="BH50" s="34" t="n">
        <x:v>2</x:v>
      </x:c>
      <x:c r="BI50" s="34" t="n">
        <x:v>0.47641018879999986</x:v>
      </x:c>
      <x:c r="BJ50" s="34" t="n">
        <x:v>0.65</x:v>
      </x:c>
      <x:c r="BK50" s="34" t="n">
        <x:v>2.16</x:v>
      </x:c>
    </x:row>
    <x:row r="51">
      <x:c r="A51" s="34" t="str">
        <x:v>NIPPON_STEEL_JP</x:v>
      </x:c>
      <x:c r="B51" s="34" t="str">
        <x:v>Nippon Steel</x:v>
      </x:c>
      <x:c r="C51" s="34" t="str">
        <x:v>ACCELERATED_15C</x:v>
      </x:c>
      <x:c r="D51" s="34" t="str">
        <x:v>P3</x:v>
      </x:c>
      <x:c r="E51" s="34" t="str">
        <x:v>NS-SETOUCHI</x:v>
      </x:c>
      <x:c r="F51" s="34" t="str">
        <x:v>Setouchi Works Hirohata 블록</x:v>
      </x:c>
      <x:c r="G51" s="34" t="str">
        <x:v>세토우치</x:v>
      </x:c>
      <x:c r="H51" s="34" t="n">
        <x:v>2038</x:v>
      </x:c>
      <x:c r="I51" s="34" t="str">
        <x:v>BF_BOF</x:v>
      </x:c>
      <x:c r="J51" s="34" t="str">
        <x:v>기준 BF-BOF 복합 블록</x:v>
      </x:c>
      <x:c r="K51" s="34" t="str">
        <x:v>H2_DRI_EAF</x:v>
      </x:c>
      <x:c r="L51" s="34" t="str">
        <x:v>수소 DRI + EAF</x:v>
      </x:c>
      <x:c r="M51" s="34" t="n">
        <x:v>7425</x:v>
      </x:c>
      <x:c r="N51" s="34" t="n">
        <x:v>5775</x:v>
      </x:c>
      <x:c r="O51" s="34" t="n">
        <x:v>7.5</x:v>
      </x:c>
      <x:c r="P51" s="34" t="n">
        <x:v>6.3</x:v>
      </x:c>
      <x:c r="Q51" s="34" t="n">
        <x:v>13.334693</x:v>
      </x:c>
      <x:c r="R51" s="34" t="n">
        <x:v>13.334693</x:v>
      </x:c>
      <x:c r="S51" s="34" t="n">
        <x:v>1.26</x:v>
      </x:c>
      <x:c r="T51" s="34" t="n">
        <x:v>1.26</x:v>
      </x:c>
      <x:c r="U51" s="34" t="n">
        <x:v>12.074693</x:v>
      </x:c>
      <x:c r="V51" s="34" t="n">
        <x:v>36.22408</x:v>
      </x:c>
      <x:c r="W51" s="34" t="n">
        <x:v>8829.358</x:v>
      </x:c>
      <x:c r="X51" s="34" t="n">
        <x:v>1680.7</x:v>
      </x:c>
      <x:c r="Y51" s="34" t="n">
        <x:v>10707.727</x:v>
      </x:c>
      <x:c r="Z51" s="34" t="n">
        <x:v>9027.028</x:v>
      </x:c>
      <x:c r="AA51" s="34" t="n">
        <x:v>1878.37</x:v>
      </x:c>
      <x:c r="AB51" s="34" t="n">
        <x:v>7148.658</x:v>
      </x:c>
      <x:c r="AC51" s="34" t="n">
        <x:v>2879.188</x:v>
      </x:c>
      <x:c r="AD51" s="34" t="n">
        <x:v>116.221</x:v>
      </x:c>
      <x:c r="AE51" s="34" t="n">
        <x:v>953.647</x:v>
      </x:c>
      <x:c r="AF51" s="34" t="n">
        <x:v>6714.086</x:v>
      </x:c>
      <x:c r="AG51" s="34" t="n">
        <x:v>44.585</x:v>
      </x:c>
      <x:c r="AH51" s="34" t="n">
        <x:v>-1878.37</x:v>
      </x:c>
      <x:c r="AI51" s="34" t="str">
        <x:v>model_estimate</x:v>
      </x:c>
      <x:c r="AJ51" s="34" t="str">
        <x:v>Hirohata EAF 투자 방향을 반영한 복합 블록; 생산량·재투자연도 추정</x:v>
      </x:c>
      <x:c r="AK51" s="34" t="str">
        <x:v>CAND-32B1C4DEC95227</x:v>
      </x:c>
      <x:c r="AL51" s="34" t="str">
        <x:v>P3</x:v>
      </x:c>
      <x:c r="AM51" s="34" t="str">
        <x:v>PORT-0ACD636A8AEE</x:v>
      </x:c>
      <x:c r="AN51" s="34" t="n">
        <x:v>1000</x:v>
      </x:c>
      <x:c r="AO51" s="34" t="n">
        <x:v>45.577186</x:v>
      </x:c>
      <x:c r="AP51" s="34" t="n">
        <x:v>14.234655</x:v>
      </x:c>
      <x:c r="AQ51" s="34" t="n">
        <x:v>446.878947</x:v>
      </x:c>
      <x:c r="AR51" s="34" t="n">
        <x:v>19867.245</x:v>
      </x:c>
      <x:c r="AS51" s="34" t="n">
        <x:v>44.457778</x:v>
      </x:c>
      <x:c r="AT51" s="40" t="b">
        <x:v>1</x:v>
      </x:c>
      <x:c r="AU51" s="40" t="b">
        <x:v>1</x:v>
      </x:c>
      <x:c r="AV51" s="34" t="str"/>
      <x:c r="AW51" s="34" t="n">
        <x:v>0</x:v>
      </x:c>
      <x:c r="AX51" s="34" t="str">
        <x:v>3.446647212967946e-06</x:v>
      </x:c>
      <x:c r="AY51" s="40" t="b">
        <x:v>1</x:v>
      </x:c>
      <x:c r="AZ51" s="40" t="b">
        <x:v>1</x:v>
      </x:c>
      <x:c r="BA51" s="40" t="b">
        <x:v>1</x:v>
      </x:c>
      <x:c r="BB51" s="40" t="b">
        <x:v>1</x:v>
      </x:c>
      <x:c r="BC51" s="34" t="str"/>
      <x:c r="BD51" s="34" t="n">
        <x:v>0</x:v>
      </x:c>
      <x:c r="BE51" s="34" t="n">
        <x:v>0</x:v>
      </x:c>
      <x:c r="BF51" s="34" t="n">
        <x:v>0</x:v>
      </x:c>
      <x:c r="BG51" s="34" t="n">
        <x:v>2</x:v>
      </x:c>
      <x:c r="BH51" s="34" t="n">
        <x:v>2</x:v>
      </x:c>
      <x:c r="BI51" s="34" t="n">
        <x:v>0.47641018879999986</x:v>
      </x:c>
      <x:c r="BJ51" s="34" t="n">
        <x:v>0.65</x:v>
      </x:c>
      <x:c r="BK51" s="34" t="n">
        <x:v>2.16</x:v>
      </x:c>
    </x:row>
    <x:row r="52">
      <x:c r="A52" s="34" t="str">
        <x:v>POSCO_KR</x:v>
      </x:c>
      <x:c r="B52" s="34" t="str">
        <x:v>POSCO</x:v>
      </x:c>
      <x:c r="C52" s="34" t="str">
        <x:v>DISCLOSED_PATH</x:v>
      </x:c>
      <x:c r="D52" s="34" t="str">
        <x:v>P1</x:v>
      </x:c>
      <x:c r="E52" s="34" t="str">
        <x:v>POS-GWY-E</x:v>
      </x:c>
      <x:c r="F52" s="34" t="str">
        <x:v>광양제철소 BF 블록 B</x:v>
      </x:c>
      <x:c r="G52" s="34" t="str">
        <x:v>광양</x:v>
      </x:c>
      <x:c r="H52" s="34" t="n">
        <x:v>2037</x:v>
      </x:c>
      <x:c r="I52" s="34" t="str">
        <x:v>BF_BOF</x:v>
      </x:c>
      <x:c r="J52" s="34" t="str">
        <x:v>기준 BF-BOF 복합 블록</x:v>
      </x:c>
      <x:c r="K52" s="34" t="str">
        <x:v>H2_DRI_EAF</x:v>
      </x:c>
      <x:c r="L52" s="34" t="str">
        <x:v>수소 DRI + EAF</x:v>
      </x:c>
      <x:c r="M52" s="34" t="n">
        <x:v>9270</x:v>
      </x:c>
      <x:c r="N52" s="34" t="n">
        <x:v>7210</x:v>
      </x:c>
      <x:c r="O52" s="34" t="n">
        <x:v>10.3</x:v>
      </x:c>
      <x:c r="P52" s="34" t="n">
        <x:v>9.502996</x:v>
      </x:c>
      <x:c r="Q52" s="34" t="n">
        <x:v>19.725693</x:v>
      </x:c>
      <x:c r="R52" s="34" t="n">
        <x:v>19.725693</x:v>
      </x:c>
      <x:c r="S52" s="34" t="n">
        <x:v>1.900599</x:v>
      </x:c>
      <x:c r="T52" s="34" t="n">
        <x:v>1.900599</x:v>
      </x:c>
      <x:c r="U52" s="34" t="n">
        <x:v>17.825093</x:v>
      </x:c>
      <x:c r="V52" s="34" t="n">
        <x:v>71.300373</x:v>
      </x:c>
      <x:c r="W52" s="34" t="n">
        <x:v>11433.805</x:v>
      </x:c>
      <x:c r="X52" s="34" t="n">
        <x:v>834.312</x:v>
      </x:c>
      <x:c r="Y52" s="34" t="n">
        <x:v>13992.993</x:v>
      </x:c>
      <x:c r="Z52" s="34" t="n">
        <x:v>13158.681</x:v>
      </x:c>
      <x:c r="AA52" s="34" t="n">
        <x:v>2559.188</x:v>
      </x:c>
      <x:c r="AB52" s="34" t="n">
        <x:v>10599.493</x:v>
      </x:c>
      <x:c r="AC52" s="34" t="n">
        <x:v>3792.327</x:v>
      </x:c>
      <x:c r="AD52" s="34" t="n">
        <x:v>295.74</x:v>
      </x:c>
      <x:c r="AE52" s="34" t="n">
        <x:v>1153.737</x:v>
      </x:c>
      <x:c r="AF52" s="34" t="n">
        <x:v>8751.189</x:v>
      </x:c>
      <x:c r="AG52" s="34" t="n">
        <x:v>0</x:v>
      </x:c>
      <x:c r="AH52" s="34" t="n">
        <x:v>-2559.188</x:v>
      </x:c>
      <x:c r="AI52" s="34" t="str">
        <x:v>model_estimate</x:v>
      </x:c>
      <x:c r="AJ52" s="34" t="str">
        <x:v>POSCO 공식 국내 생산·배출 총량에 맞춘 설비 블록 배분; 개별 생산량·재투자연도는 추정</x:v>
      </x:c>
      <x:c r="AK52" s="34" t="str">
        <x:v>CAND-44C957BBFA61A4</x:v>
      </x:c>
      <x:c r="AL52" s="34" t="str">
        <x:v>P1</x:v>
      </x:c>
      <x:c r="AM52" s="34" t="str">
        <x:v>PORT-96133A6427FE</x:v>
      </x:c>
      <x:c r="AN52" s="34" t="n">
        <x:v>1000</x:v>
      </x:c>
      <x:c r="AO52" s="34" t="n">
        <x:v>70.973588</x:v>
      </x:c>
      <x:c r="AP52" s="34" t="n">
        <x:v>20.481379</x:v>
      </x:c>
      <x:c r="AQ52" s="34" t="n">
        <x:v>430.20423</x:v>
      </x:c>
      <x:c r="AR52" s="34" t="n">
        <x:v>29693.364</x:v>
      </x:c>
      <x:c r="AS52" s="34" t="n">
        <x:v>69.021552</x:v>
      </x:c>
      <x:c r="AT52" s="40" t="b">
        <x:v>1</x:v>
      </x:c>
      <x:c r="AU52" s="40" t="b">
        <x:v>1</x:v>
      </x:c>
      <x:c r="AV52" s="34" t="str"/>
      <x:c r="AW52" s="34" t="n">
        <x:v>0</x:v>
      </x:c>
      <x:c r="AX52" s="34" t="str">
        <x:v>2.0275124185786808e-05</x:v>
      </x:c>
      <x:c r="AY52" s="40" t="b">
        <x:v>1</x:v>
      </x:c>
      <x:c r="AZ52" s="40" t="b">
        <x:v>1</x:v>
      </x:c>
      <x:c r="BA52" s="40" t="b">
        <x:v>1</x:v>
      </x:c>
      <x:c r="BB52" s="40" t="b">
        <x:v>1</x:v>
      </x:c>
      <x:c r="BC52" s="34" t="str"/>
      <x:c r="BD52" s="34" t="n">
        <x:v>0</x:v>
      </x:c>
      <x:c r="BE52" s="34" t="n">
        <x:v>0</x:v>
      </x:c>
      <x:c r="BF52" s="34" t="n">
        <x:v>0</x:v>
      </x:c>
      <x:c r="BG52" s="34" t="n">
        <x:v>2</x:v>
      </x:c>
      <x:c r="BH52" s="34" t="n">
        <x:v>3</x:v>
      </x:c>
      <x:c r="BI52" s="34" t="n">
        <x:v>0.45933660799999987</x:v>
      </x:c>
      <x:c r="BJ52" s="34" t="n">
        <x:v>0.65</x:v>
      </x:c>
      <x:c r="BK52" s="34" t="n">
        <x:v>2.02</x:v>
      </x:c>
    </x:row>
    <x:row r="53">
      <x:c r="A53" s="34" t="str">
        <x:v>POSCO_KR</x:v>
      </x:c>
      <x:c r="B53" s="34" t="str">
        <x:v>POSCO</x:v>
      </x:c>
      <x:c r="C53" s="34" t="str">
        <x:v>DISCLOSED_PATH</x:v>
      </x:c>
      <x:c r="D53" s="34" t="str">
        <x:v>P1</x:v>
      </x:c>
      <x:c r="E53" s="34" t="str">
        <x:v>POS-GWY-EAF</x:v>
      </x:c>
      <x:c r="F53" s="34" t="str">
        <x:v>광양 기존 EAF 블록</x:v>
      </x:c>
      <x:c r="G53" s="34" t="str">
        <x:v>광양</x:v>
      </x:c>
      <x:c r="H53" s="34" t="n">
        <x:v>2033</x:v>
      </x:c>
      <x:c r="I53" s="34" t="str">
        <x:v>EAF_BASELINE</x:v>
      </x:c>
      <x:c r="J53" s="34" t="str">
        <x:v>기존 전기로 기준 블록</x:v>
      </x:c>
      <x:c r="K53" s="34" t="str">
        <x:v>EAF_RENEWABLE</x:v>
      </x:c>
      <x:c r="L53" s="34" t="str">
        <x:v>기존 EAF 재생전력 업그레이드</x:v>
      </x:c>
      <x:c r="M53" s="34" t="n">
        <x:v>312</x:v>
      </x:c>
      <x:c r="N53" s="34" t="n">
        <x:v>96</x:v>
      </x:c>
      <x:c r="O53" s="34" t="n">
        <x:v>1.2</x:v>
      </x:c>
      <x:c r="P53" s="34" t="n">
        <x:v>1.134</x:v>
      </x:c>
      <x:c r="Q53" s="34" t="n">
        <x:v>0.5103</x:v>
      </x:c>
      <x:c r="R53" s="34" t="n">
        <x:v>0.5103</x:v>
      </x:c>
      <x:c r="S53" s="34" t="n">
        <x:v>0.1134</x:v>
      </x:c>
      <x:c r="T53" s="34" t="n">
        <x:v>0.1134</x:v>
      </x:c>
      <x:c r="U53" s="34" t="n">
        <x:v>0.3969</x:v>
      </x:c>
      <x:c r="V53" s="34" t="n">
        <x:v>3.1752</x:v>
      </x:c>
      <x:c r="W53" s="34" t="n">
        <x:v>0.246</x:v>
      </x:c>
      <x:c r="X53" s="34" t="n">
        <x:v>6.255</x:v>
      </x:c>
      <x:c r="Y53" s="34" t="n">
        <x:v>115.773</x:v>
      </x:c>
      <x:c r="Z53" s="34" t="n">
        <x:v>109.517</x:v>
      </x:c>
      <x:c r="AA53" s="34" t="n">
        <x:v>115.527</x:v>
      </x:c>
      <x:c r="AB53" s="34" t="n">
        <x:v>-6.009</x:v>
      </x:c>
      <x:c r="AC53" s="34" t="n">
        <x:v>62.553</x:v>
      </x:c>
      <x:c r="AD53" s="34" t="n">
        <x:v>14.814</x:v>
      </x:c>
      <x:c r="AE53" s="34" t="n">
        <x:v>38.405</x:v>
      </x:c>
      <x:c r="AF53" s="34" t="n">
        <x:v>0</x:v>
      </x:c>
      <x:c r="AG53" s="34" t="n">
        <x:v>0</x:v>
      </x:c>
      <x:c r="AH53" s="34" t="n">
        <x:v>-115.527</x:v>
      </x:c>
      <x:c r="AI53" s="34" t="str">
        <x:v>model_estimate</x:v>
      </x:c>
      <x:c r="AJ53" s="34" t="str">
        <x:v>2025 공식 EAF 생산 1.135Mt에 맞춘 모델 블록; 집약도·재투자연도 추정</x:v>
      </x:c>
      <x:c r="AK53" s="34" t="str">
        <x:v>CAND-44C957BBFA61A4</x:v>
      </x:c>
      <x:c r="AL53" s="34" t="str">
        <x:v>P1</x:v>
      </x:c>
      <x:c r="AM53" s="34" t="str">
        <x:v>PORT-96133A6427FE</x:v>
      </x:c>
      <x:c r="AN53" s="34" t="n">
        <x:v>1000</x:v>
      </x:c>
      <x:c r="AO53" s="34" t="n">
        <x:v>70.973588</x:v>
      </x:c>
      <x:c r="AP53" s="34" t="n">
        <x:v>20.481379</x:v>
      </x:c>
      <x:c r="AQ53" s="34" t="n">
        <x:v>430.20423</x:v>
      </x:c>
      <x:c r="AR53" s="34" t="n">
        <x:v>29693.364</x:v>
      </x:c>
      <x:c r="AS53" s="34" t="n">
        <x:v>69.021552</x:v>
      </x:c>
      <x:c r="AT53" s="40" t="b">
        <x:v>1</x:v>
      </x:c>
      <x:c r="AU53" s="40" t="b">
        <x:v>1</x:v>
      </x:c>
      <x:c r="AV53" s="34" t="str"/>
      <x:c r="AW53" s="34" t="n">
        <x:v>0</x:v>
      </x:c>
      <x:c r="AX53" s="34" t="str">
        <x:v>2.0275124185786808e-05</x:v>
      </x:c>
      <x:c r="AY53" s="40" t="b">
        <x:v>1</x:v>
      </x:c>
      <x:c r="AZ53" s="40" t="b">
        <x:v>1</x:v>
      </x:c>
      <x:c r="BA53" s="40" t="b">
        <x:v>1</x:v>
      </x:c>
      <x:c r="BB53" s="40" t="b">
        <x:v>1</x:v>
      </x:c>
      <x:c r="BC53" s="34" t="str"/>
      <x:c r="BD53" s="34" t="n">
        <x:v>0</x:v>
      </x:c>
      <x:c r="BE53" s="34" t="n">
        <x:v>0</x:v>
      </x:c>
      <x:c r="BF53" s="34" t="n">
        <x:v>0</x:v>
      </x:c>
      <x:c r="BG53" s="34" t="n">
        <x:v>2</x:v>
      </x:c>
      <x:c r="BH53" s="34" t="n">
        <x:v>3</x:v>
      </x:c>
      <x:c r="BI53" s="34" t="n">
        <x:v>0.45933660799999987</x:v>
      </x:c>
      <x:c r="BJ53" s="34" t="n">
        <x:v>0.65</x:v>
      </x:c>
      <x:c r="BK53" s="34" t="n">
        <x:v>2.02</x:v>
      </x:c>
    </x:row>
    <x:row r="54">
      <x:c r="A54" s="34" t="str">
        <x:v>POSCO_KR</x:v>
      </x:c>
      <x:c r="B54" s="34" t="str">
        <x:v>POSCO</x:v>
      </x:c>
      <x:c r="C54" s="34" t="str">
        <x:v>DISCLOSED_PATH</x:v>
      </x:c>
      <x:c r="D54" s="34" t="str">
        <x:v>P1</x:v>
      </x:c>
      <x:c r="E54" s="34" t="str">
        <x:v>POS-GWY-W</x:v>
      </x:c>
      <x:c r="F54" s="34" t="str">
        <x:v>광양제철소 BF 블록 A</x:v>
      </x:c>
      <x:c r="G54" s="34" t="str">
        <x:v>광양</x:v>
      </x:c>
      <x:c r="H54" s="34" t="n">
        <x:v>2035</x:v>
      </x:c>
      <x:c r="I54" s="34" t="str">
        <x:v>BF_BOF</x:v>
      </x:c>
      <x:c r="J54" s="34" t="str">
        <x:v>기준 BF-BOF 복합 블록</x:v>
      </x:c>
      <x:c r="K54" s="34" t="str">
        <x:v>SCRAP_EAF</x:v>
      </x:c>
      <x:c r="L54" s="34" t="str">
        <x:v>스크랩 기반 대형 EAF</x:v>
      </x:c>
      <x:c r="M54" s="34" t="n">
        <x:v>5768</x:v>
      </x:c>
      <x:c r="N54" s="34" t="n">
        <x:v>3708</x:v>
      </x:c>
      <x:c r="O54" s="34" t="n">
        <x:v>10.3</x:v>
      </x:c>
      <x:c r="P54" s="34" t="n">
        <x:v>9.499999</x:v>
      </x:c>
      <x:c r="Q54" s="34" t="n">
        <x:v>19.719471</x:v>
      </x:c>
      <x:c r="R54" s="34" t="n">
        <x:v>19.719471</x:v>
      </x:c>
      <x:c r="S54" s="34" t="n">
        <x:v>4.275</x:v>
      </x:c>
      <x:c r="T54" s="34" t="n">
        <x:v>4.275</x:v>
      </x:c>
      <x:c r="U54" s="34" t="n">
        <x:v>15.444471</x:v>
      </x:c>
      <x:c r="V54" s="34" t="n">
        <x:v>92.666828</x:v>
      </x:c>
      <x:c r="W54" s="34" t="n">
        <x:v>1274.002</x:v>
      </x:c>
      <x:c r="X54" s="34" t="n">
        <x:v>325.616</x:v>
      </x:c>
      <x:c r="Y54" s="34" t="n">
        <x:v>4627.949</x:v>
      </x:c>
      <x:c r="Z54" s="34" t="n">
        <x:v>4302.332</x:v>
      </x:c>
      <x:c r="AA54" s="34" t="n">
        <x:v>3353.947</x:v>
      </x:c>
      <x:c r="AB54" s="34" t="n">
        <x:v>948.385</x:v>
      </x:c>
      <x:c r="AC54" s="34" t="n">
        <x:v>2170.777</x:v>
      </x:c>
      <x:c r="AD54" s="34" t="n">
        <x:v>263.8</x:v>
      </x:c>
      <x:c r="AE54" s="34" t="n">
        <x:v>2193.372</x:v>
      </x:c>
      <x:c r="AF54" s="34" t="n">
        <x:v>0</x:v>
      </x:c>
      <x:c r="AG54" s="34" t="n">
        <x:v>0</x:v>
      </x:c>
      <x:c r="AH54" s="34" t="n">
        <x:v>-3353.947</x:v>
      </x:c>
      <x:c r="AI54" s="34" t="str">
        <x:v>model_estimate</x:v>
      </x:c>
      <x:c r="AJ54" s="34" t="str">
        <x:v>POSCO 공식 국내 생산·배출 총량에 맞춘 설비 블록 배분; 개별 생산량·재투자연도는 추정</x:v>
      </x:c>
      <x:c r="AK54" s="34" t="str">
        <x:v>CAND-44C957BBFA61A4</x:v>
      </x:c>
      <x:c r="AL54" s="34" t="str">
        <x:v>P1</x:v>
      </x:c>
      <x:c r="AM54" s="34" t="str">
        <x:v>PORT-96133A6427FE</x:v>
      </x:c>
      <x:c r="AN54" s="34" t="n">
        <x:v>1000</x:v>
      </x:c>
      <x:c r="AO54" s="34" t="n">
        <x:v>70.973588</x:v>
      </x:c>
      <x:c r="AP54" s="34" t="n">
        <x:v>20.481379</x:v>
      </x:c>
      <x:c r="AQ54" s="34" t="n">
        <x:v>430.20423</x:v>
      </x:c>
      <x:c r="AR54" s="34" t="n">
        <x:v>29693.364</x:v>
      </x:c>
      <x:c r="AS54" s="34" t="n">
        <x:v>69.021552</x:v>
      </x:c>
      <x:c r="AT54" s="40" t="b">
        <x:v>1</x:v>
      </x:c>
      <x:c r="AU54" s="40" t="b">
        <x:v>1</x:v>
      </x:c>
      <x:c r="AV54" s="34" t="str"/>
      <x:c r="AW54" s="34" t="n">
        <x:v>0</x:v>
      </x:c>
      <x:c r="AX54" s="34" t="str">
        <x:v>2.0275124185786808e-05</x:v>
      </x:c>
      <x:c r="AY54" s="40" t="b">
        <x:v>1</x:v>
      </x:c>
      <x:c r="AZ54" s="40" t="b">
        <x:v>1</x:v>
      </x:c>
      <x:c r="BA54" s="40" t="b">
        <x:v>1</x:v>
      </x:c>
      <x:c r="BB54" s="40" t="b">
        <x:v>1</x:v>
      </x:c>
      <x:c r="BC54" s="34" t="str"/>
      <x:c r="BD54" s="34" t="n">
        <x:v>0</x:v>
      </x:c>
      <x:c r="BE54" s="34" t="n">
        <x:v>0</x:v>
      </x:c>
      <x:c r="BF54" s="34" t="n">
        <x:v>0</x:v>
      </x:c>
      <x:c r="BG54" s="34" t="n">
        <x:v>2</x:v>
      </x:c>
      <x:c r="BH54" s="34" t="n">
        <x:v>3</x:v>
      </x:c>
      <x:c r="BI54" s="34" t="n">
        <x:v>0.45933660799999987</x:v>
      </x:c>
      <x:c r="BJ54" s="34" t="n">
        <x:v>0.65</x:v>
      </x:c>
      <x:c r="BK54" s="34" t="n">
        <x:v>2.02</x:v>
      </x:c>
    </x:row>
    <x:row r="55">
      <x:c r="A55" s="34" t="str">
        <x:v>POSCO_KR</x:v>
      </x:c>
      <x:c r="B55" s="34" t="str">
        <x:v>POSCO</x:v>
      </x:c>
      <x:c r="C55" s="34" t="str">
        <x:v>DISCLOSED_PATH</x:v>
      </x:c>
      <x:c r="D55" s="34" t="str">
        <x:v>P1</x:v>
      </x:c>
      <x:c r="E55" s="34" t="str">
        <x:v>POS-POH-N</x:v>
      </x:c>
      <x:c r="F55" s="34" t="str">
        <x:v>포항제철소 BF 블록 A</x:v>
      </x:c>
      <x:c r="G55" s="34" t="str">
        <x:v>포항</x:v>
      </x:c>
      <x:c r="H55" s="34" t="n">
        <x:v>2029</x:v>
      </x:c>
      <x:c r="I55" s="34" t="str">
        <x:v>BF_BOF</x:v>
      </x:c>
      <x:c r="J55" s="34" t="str">
        <x:v>기준 BF-BOF 복합 블록</x:v>
      </x:c>
      <x:c r="K55" s="34" t="str">
        <x:v>SCRAP_EAF</x:v>
      </x:c>
      <x:c r="L55" s="34" t="str">
        <x:v>스크랩 기반 대형 EAF</x:v>
      </x:c>
      <x:c r="M55" s="34" t="n">
        <x:v>4592</x:v>
      </x:c>
      <x:c r="N55" s="34" t="n">
        <x:v>2952</x:v>
      </x:c>
      <x:c r="O55" s="34" t="n">
        <x:v>8.2</x:v>
      </x:c>
      <x:c r="P55" s="34" t="n">
        <x:v>7.599998</x:v>
      </x:c>
      <x:c r="Q55" s="34" t="n">
        <x:v>15.775574</x:v>
      </x:c>
      <x:c r="R55" s="34" t="n">
        <x:v>3.419999</x:v>
      </x:c>
      <x:c r="S55" s="34" t="n">
        <x:v>3.419999</x:v>
      </x:c>
      <x:c r="T55" s="34" t="n">
        <x:v>3.419999</x:v>
      </x:c>
      <x:c r="U55" s="34" t="n">
        <x:v>12.355575</x:v>
      </x:c>
      <x:c r="V55" s="34" t="n">
        <x:v>148.266898</x:v>
      </x:c>
      <x:c r="W55" s="34" t="n">
        <x:v>1376.259</x:v>
      </x:c>
      <x:c r="X55" s="34" t="n">
        <x:v>357.436</x:v>
      </x:c>
      <x:c r="Y55" s="34" t="n">
        <x:v>6763.368</x:v>
      </x:c>
      <x:c r="Z55" s="34" t="n">
        <x:v>6405.932</x:v>
      </x:c>
      <x:c r="AA55" s="34" t="n">
        <x:v>5387.108</x:v>
      </x:c>
      <x:c r="AB55" s="34" t="n">
        <x:v>1018.824</x:v>
      </x:c>
      <x:c r="AC55" s="34" t="n">
        <x:v>2382.904</x:v>
      </x:c>
      <x:c r="AD55" s="34" t="n">
        <x:v>446.25</x:v>
      </x:c>
      <x:c r="AE55" s="34" t="n">
        <x:v>3934.214</x:v>
      </x:c>
      <x:c r="AF55" s="34" t="n">
        <x:v>0</x:v>
      </x:c>
      <x:c r="AG55" s="34" t="n">
        <x:v>0</x:v>
      </x:c>
      <x:c r="AH55" s="34" t="n">
        <x:v>-5387.108</x:v>
      </x:c>
      <x:c r="AI55" s="34" t="str">
        <x:v>model_estimate</x:v>
      </x:c>
      <x:c r="AJ55" s="34" t="str">
        <x:v>POSCO 공식 국내 생산·배출 총량에 맞춘 설비 블록 배분; 개별 생산량·재투자연도는 추정</x:v>
      </x:c>
      <x:c r="AK55" s="34" t="str">
        <x:v>CAND-44C957BBFA61A4</x:v>
      </x:c>
      <x:c r="AL55" s="34" t="str">
        <x:v>P1</x:v>
      </x:c>
      <x:c r="AM55" s="34" t="str">
        <x:v>PORT-96133A6427FE</x:v>
      </x:c>
      <x:c r="AN55" s="34" t="n">
        <x:v>1000</x:v>
      </x:c>
      <x:c r="AO55" s="34" t="n">
        <x:v>70.973588</x:v>
      </x:c>
      <x:c r="AP55" s="34" t="n">
        <x:v>20.481379</x:v>
      </x:c>
      <x:c r="AQ55" s="34" t="n">
        <x:v>430.20423</x:v>
      </x:c>
      <x:c r="AR55" s="34" t="n">
        <x:v>29693.364</x:v>
      </x:c>
      <x:c r="AS55" s="34" t="n">
        <x:v>69.021552</x:v>
      </x:c>
      <x:c r="AT55" s="40" t="b">
        <x:v>1</x:v>
      </x:c>
      <x:c r="AU55" s="40" t="b">
        <x:v>1</x:v>
      </x:c>
      <x:c r="AV55" s="34" t="str"/>
      <x:c r="AW55" s="34" t="n">
        <x:v>0</x:v>
      </x:c>
      <x:c r="AX55" s="34" t="str">
        <x:v>2.0275124185786808e-05</x:v>
      </x:c>
      <x:c r="AY55" s="40" t="b">
        <x:v>1</x:v>
      </x:c>
      <x:c r="AZ55" s="40" t="b">
        <x:v>1</x:v>
      </x:c>
      <x:c r="BA55" s="40" t="b">
        <x:v>1</x:v>
      </x:c>
      <x:c r="BB55" s="40" t="b">
        <x:v>1</x:v>
      </x:c>
      <x:c r="BC55" s="34" t="str"/>
      <x:c r="BD55" s="34" t="n">
        <x:v>0</x:v>
      </x:c>
      <x:c r="BE55" s="34" t="n">
        <x:v>0</x:v>
      </x:c>
      <x:c r="BF55" s="34" t="n">
        <x:v>0</x:v>
      </x:c>
      <x:c r="BG55" s="34" t="n">
        <x:v>2</x:v>
      </x:c>
      <x:c r="BH55" s="34" t="n">
        <x:v>3</x:v>
      </x:c>
      <x:c r="BI55" s="34" t="n">
        <x:v>0.45933660799999987</x:v>
      </x:c>
      <x:c r="BJ55" s="34" t="n">
        <x:v>0.65</x:v>
      </x:c>
      <x:c r="BK55" s="34" t="n">
        <x:v>2.02</x:v>
      </x:c>
    </x:row>
    <x:row r="56">
      <x:c r="A56" s="34" t="str">
        <x:v>POSCO_KR</x:v>
      </x:c>
      <x:c r="B56" s="34" t="str">
        <x:v>POSCO</x:v>
      </x:c>
      <x:c r="C56" s="34" t="str">
        <x:v>DISCLOSED_PATH</x:v>
      </x:c>
      <x:c r="D56" s="34" t="str">
        <x:v>P1</x:v>
      </x:c>
      <x:c r="E56" s="34" t="str">
        <x:v>POS-POH-S</x:v>
      </x:c>
      <x:c r="F56" s="34" t="str">
        <x:v>포항제철소 BF 블록 B</x:v>
      </x:c>
      <x:c r="G56" s="34" t="str">
        <x:v>포항</x:v>
      </x:c>
      <x:c r="H56" s="34" t="n">
        <x:v>2032</x:v>
      </x:c>
      <x:c r="I56" s="34" t="str">
        <x:v>BF_BOF</x:v>
      </x:c>
      <x:c r="J56" s="34" t="str">
        <x:v>기준 BF-BOF 복합 블록</x:v>
      </x:c>
      <x:c r="K56" s="34" t="str">
        <x:v>H2_DRI_EAF</x:v>
      </x:c>
      <x:c r="L56" s="34" t="str">
        <x:v>수소 DRI + EAF</x:v>
      </x:c>
      <x:c r="M56" s="34" t="n">
        <x:v>6660</x:v>
      </x:c>
      <x:c r="N56" s="34" t="n">
        <x:v>5180</x:v>
      </x:c>
      <x:c r="O56" s="34" t="n">
        <x:v>7.4</x:v>
      </x:c>
      <x:c r="P56" s="34" t="n">
        <x:v>6.800001</x:v>
      </x:c>
      <x:c r="Q56" s="34" t="n">
        <x:v>14.114992</x:v>
      </x:c>
      <x:c r="R56" s="34" t="n">
        <x:v>14.114992</x:v>
      </x:c>
      <x:c r="S56" s="34" t="n">
        <x:v>1.36</x:v>
      </x:c>
      <x:c r="T56" s="34" t="n">
        <x:v>1.36</x:v>
      </x:c>
      <x:c r="U56" s="34" t="n">
        <x:v>12.754992</x:v>
      </x:c>
      <x:c r="V56" s="34" t="n">
        <x:v>114.794931</x:v>
      </x:c>
      <x:c r="W56" s="34" t="n">
        <x:v>17916.074</x:v>
      </x:c>
      <x:c r="X56" s="34" t="n">
        <x:v>783.403</x:v>
      </x:c>
      <x:c r="Y56" s="34" t="n">
        <x:v>22098.241</x:v>
      </x:c>
      <x:c r="Z56" s="34" t="n">
        <x:v>21314.838</x:v>
      </x:c>
      <x:c r="AA56" s="34" t="n">
        <x:v>4182.167</x:v>
      </x:c>
      <x:c r="AB56" s="34" t="n">
        <x:v>17132.671</x:v>
      </x:c>
      <x:c r="AC56" s="34" t="n">
        <x:v>3560.923</x:v>
      </x:c>
      <x:c r="AD56" s="34" t="n">
        <x:v>514.289</x:v>
      </x:c>
      <x:c r="AE56" s="34" t="n">
        <x:v>2030.494</x:v>
      </x:c>
      <x:c r="AF56" s="34" t="n">
        <x:v>15992.535</x:v>
      </x:c>
      <x:c r="AG56" s="34" t="n">
        <x:v>0</x:v>
      </x:c>
      <x:c r="AH56" s="34" t="n">
        <x:v>-4182.167</x:v>
      </x:c>
      <x:c r="AI56" s="34" t="str">
        <x:v>model_estimate</x:v>
      </x:c>
      <x:c r="AJ56" s="34" t="str">
        <x:v>POSCO 공식 국내 생산·배출 총량에 맞춘 설비 블록 배분; 개별 생산량·재투자연도는 추정</x:v>
      </x:c>
      <x:c r="AK56" s="34" t="str">
        <x:v>CAND-44C957BBFA61A4</x:v>
      </x:c>
      <x:c r="AL56" s="34" t="str">
        <x:v>P1</x:v>
      </x:c>
      <x:c r="AM56" s="34" t="str">
        <x:v>PORT-96133A6427FE</x:v>
      </x:c>
      <x:c r="AN56" s="34" t="n">
        <x:v>1000</x:v>
      </x:c>
      <x:c r="AO56" s="34" t="n">
        <x:v>70.973588</x:v>
      </x:c>
      <x:c r="AP56" s="34" t="n">
        <x:v>20.481379</x:v>
      </x:c>
      <x:c r="AQ56" s="34" t="n">
        <x:v>430.20423</x:v>
      </x:c>
      <x:c r="AR56" s="34" t="n">
        <x:v>29693.364</x:v>
      </x:c>
      <x:c r="AS56" s="34" t="n">
        <x:v>69.021552</x:v>
      </x:c>
      <x:c r="AT56" s="40" t="b">
        <x:v>1</x:v>
      </x:c>
      <x:c r="AU56" s="40" t="b">
        <x:v>1</x:v>
      </x:c>
      <x:c r="AV56" s="34" t="str"/>
      <x:c r="AW56" s="34" t="n">
        <x:v>0</x:v>
      </x:c>
      <x:c r="AX56" s="34" t="str">
        <x:v>2.0275124185786808e-05</x:v>
      </x:c>
      <x:c r="AY56" s="40" t="b">
        <x:v>1</x:v>
      </x:c>
      <x:c r="AZ56" s="40" t="b">
        <x:v>1</x:v>
      </x:c>
      <x:c r="BA56" s="40" t="b">
        <x:v>1</x:v>
      </x:c>
      <x:c r="BB56" s="40" t="b">
        <x:v>1</x:v>
      </x:c>
      <x:c r="BC56" s="34" t="str"/>
      <x:c r="BD56" s="34" t="n">
        <x:v>0</x:v>
      </x:c>
      <x:c r="BE56" s="34" t="n">
        <x:v>0</x:v>
      </x:c>
      <x:c r="BF56" s="34" t="n">
        <x:v>0</x:v>
      </x:c>
      <x:c r="BG56" s="34" t="n">
        <x:v>2</x:v>
      </x:c>
      <x:c r="BH56" s="34" t="n">
        <x:v>3</x:v>
      </x:c>
      <x:c r="BI56" s="34" t="n">
        <x:v>0.45933660799999987</x:v>
      </x:c>
      <x:c r="BJ56" s="34" t="n">
        <x:v>0.65</x:v>
      </x:c>
      <x:c r="BK56" s="34" t="n">
        <x:v>2.02</x:v>
      </x:c>
    </x:row>
    <x:row r="57">
      <x:c r="A57" s="34" t="str">
        <x:v>POSCO_KR</x:v>
      </x:c>
      <x:c r="B57" s="34" t="str">
        <x:v>POSCO</x:v>
      </x:c>
      <x:c r="C57" s="34" t="str">
        <x:v>ACCELERATED_15C</x:v>
      </x:c>
      <x:c r="D57" s="34" t="str">
        <x:v>P1</x:v>
      </x:c>
      <x:c r="E57" s="34" t="str">
        <x:v>POS-GWY-E</x:v>
      </x:c>
      <x:c r="F57" s="34" t="str">
        <x:v>광양제철소 BF 블록 B</x:v>
      </x:c>
      <x:c r="G57" s="34" t="str">
        <x:v>광양</x:v>
      </x:c>
      <x:c r="H57" s="34" t="n">
        <x:v>2037</x:v>
      </x:c>
      <x:c r="I57" s="34" t="str">
        <x:v>BF_BOF</x:v>
      </x:c>
      <x:c r="J57" s="34" t="str">
        <x:v>기준 BF-BOF 복합 블록</x:v>
      </x:c>
      <x:c r="K57" s="34" t="str">
        <x:v>H2_DRI_EAF</x:v>
      </x:c>
      <x:c r="L57" s="34" t="str">
        <x:v>수소 DRI + EAF</x:v>
      </x:c>
      <x:c r="M57" s="34" t="n">
        <x:v>9270</x:v>
      </x:c>
      <x:c r="N57" s="34" t="n">
        <x:v>7210</x:v>
      </x:c>
      <x:c r="O57" s="34" t="n">
        <x:v>10.3</x:v>
      </x:c>
      <x:c r="P57" s="34" t="n">
        <x:v>9.502996</x:v>
      </x:c>
      <x:c r="Q57" s="34" t="n">
        <x:v>19.725693</x:v>
      </x:c>
      <x:c r="R57" s="34" t="n">
        <x:v>19.725693</x:v>
      </x:c>
      <x:c r="S57" s="34" t="n">
        <x:v>1.900599</x:v>
      </x:c>
      <x:c r="T57" s="34" t="n">
        <x:v>1.900599</x:v>
      </x:c>
      <x:c r="U57" s="34" t="n">
        <x:v>17.825093</x:v>
      </x:c>
      <x:c r="V57" s="34" t="n">
        <x:v>71.300373</x:v>
      </x:c>
      <x:c r="W57" s="34" t="n">
        <x:v>11228.957</x:v>
      </x:c>
      <x:c r="X57" s="34" t="n">
        <x:v>1137.698</x:v>
      </x:c>
      <x:c r="Y57" s="34" t="n">
        <x:v>15016.511</x:v>
      </x:c>
      <x:c r="Z57" s="34" t="n">
        <x:v>13878.813</x:v>
      </x:c>
      <x:c r="AA57" s="34" t="n">
        <x:v>3787.555</x:v>
      </x:c>
      <x:c r="AB57" s="34" t="n">
        <x:v>10091.259</x:v>
      </x:c>
      <x:c r="AC57" s="34" t="n">
        <x:v>3792.327</x:v>
      </x:c>
      <x:c r="AD57" s="34" t="n">
        <x:v>295.74</x:v>
      </x:c>
      <x:c r="AE57" s="34" t="n">
        <x:v>1311.15</x:v>
      </x:c>
      <x:c r="AF57" s="34" t="n">
        <x:v>9617.294</x:v>
      </x:c>
      <x:c r="AG57" s="34" t="n">
        <x:v>0</x:v>
      </x:c>
      <x:c r="AH57" s="34" t="n">
        <x:v>-3787.555</x:v>
      </x:c>
      <x:c r="AI57" s="34" t="str">
        <x:v>model_estimate</x:v>
      </x:c>
      <x:c r="AJ57" s="34" t="str">
        <x:v>POSCO 공식 국내 생산·배출 총량에 맞춘 설비 블록 배분; 개별 생산량·재투자연도는 추정</x:v>
      </x:c>
      <x:c r="AK57" s="34" t="str">
        <x:v>CAND-44C957BBFA61A4</x:v>
      </x:c>
      <x:c r="AL57" s="34" t="str">
        <x:v>P1</x:v>
      </x:c>
      <x:c r="AM57" s="34" t="str">
        <x:v>PORT-96133A6427FE</x:v>
      </x:c>
      <x:c r="AN57" s="34" t="n">
        <x:v>1000</x:v>
      </x:c>
      <x:c r="AO57" s="34" t="n">
        <x:v>59.924202</x:v>
      </x:c>
      <x:c r="AP57" s="34" t="n">
        <x:v>22.278135</x:v>
      </x:c>
      <x:c r="AQ57" s="34" t="n">
        <x:v>430.20423</x:v>
      </x:c>
      <x:c r="AR57" s="34" t="n">
        <x:v>24922.922</x:v>
      </x:c>
      <x:c r="AS57" s="34" t="n">
        <x:v>57.932769</x:v>
      </x:c>
      <x:c r="AT57" s="40" t="b">
        <x:v>1</x:v>
      </x:c>
      <x:c r="AU57" s="40" t="b">
        <x:v>1</x:v>
      </x:c>
      <x:c r="AV57" s="34" t="str"/>
      <x:c r="AW57" s="34" t="n">
        <x:v>0</x:v>
      </x:c>
      <x:c r="AX57" s="34" t="str">
        <x:v>2.0275124185786808e-05</x:v>
      </x:c>
      <x:c r="AY57" s="40" t="b">
        <x:v>1</x:v>
      </x:c>
      <x:c r="AZ57" s="40" t="b">
        <x:v>1</x:v>
      </x:c>
      <x:c r="BA57" s="40" t="b">
        <x:v>1</x:v>
      </x:c>
      <x:c r="BB57" s="40" t="b">
        <x:v>1</x:v>
      </x:c>
      <x:c r="BC57" s="34" t="str"/>
      <x:c r="BD57" s="34" t="n">
        <x:v>0</x:v>
      </x:c>
      <x:c r="BE57" s="34" t="n">
        <x:v>0</x:v>
      </x:c>
      <x:c r="BF57" s="34" t="n">
        <x:v>0</x:v>
      </x:c>
      <x:c r="BG57" s="34" t="n">
        <x:v>2</x:v>
      </x:c>
      <x:c r="BH57" s="34" t="n">
        <x:v>3</x:v>
      </x:c>
      <x:c r="BI57" s="34" t="n">
        <x:v>0.45933660799999987</x:v>
      </x:c>
      <x:c r="BJ57" s="34" t="n">
        <x:v>0.65</x:v>
      </x:c>
      <x:c r="BK57" s="34" t="n">
        <x:v>2.02</x:v>
      </x:c>
    </x:row>
    <x:row r="58">
      <x:c r="A58" s="34" t="str">
        <x:v>POSCO_KR</x:v>
      </x:c>
      <x:c r="B58" s="34" t="str">
        <x:v>POSCO</x:v>
      </x:c>
      <x:c r="C58" s="34" t="str">
        <x:v>ACCELERATED_15C</x:v>
      </x:c>
      <x:c r="D58" s="34" t="str">
        <x:v>P1</x:v>
      </x:c>
      <x:c r="E58" s="34" t="str">
        <x:v>POS-GWY-EAF</x:v>
      </x:c>
      <x:c r="F58" s="34" t="str">
        <x:v>광양 기존 EAF 블록</x:v>
      </x:c>
      <x:c r="G58" s="34" t="str">
        <x:v>광양</x:v>
      </x:c>
      <x:c r="H58" s="34" t="n">
        <x:v>2033</x:v>
      </x:c>
      <x:c r="I58" s="34" t="str">
        <x:v>EAF_BASELINE</x:v>
      </x:c>
      <x:c r="J58" s="34" t="str">
        <x:v>기존 전기로 기준 블록</x:v>
      </x:c>
      <x:c r="K58" s="34" t="str">
        <x:v>EAF_RENEWABLE</x:v>
      </x:c>
      <x:c r="L58" s="34" t="str">
        <x:v>기존 EAF 재생전력 업그레이드</x:v>
      </x:c>
      <x:c r="M58" s="34" t="n">
        <x:v>312</x:v>
      </x:c>
      <x:c r="N58" s="34" t="n">
        <x:v>96</x:v>
      </x:c>
      <x:c r="O58" s="34" t="n">
        <x:v>1.2</x:v>
      </x:c>
      <x:c r="P58" s="34" t="n">
        <x:v>1.134</x:v>
      </x:c>
      <x:c r="Q58" s="34" t="n">
        <x:v>0.5103</x:v>
      </x:c>
      <x:c r="R58" s="34" t="n">
        <x:v>0.5103</x:v>
      </x:c>
      <x:c r="S58" s="34" t="n">
        <x:v>0.1134</x:v>
      </x:c>
      <x:c r="T58" s="34" t="n">
        <x:v>0.1134</x:v>
      </x:c>
      <x:c r="U58" s="34" t="n">
        <x:v>0.3969</x:v>
      </x:c>
      <x:c r="V58" s="34" t="n">
        <x:v>3.1752</x:v>
      </x:c>
      <x:c r="W58" s="34" t="n">
        <x:v>-49.178</x:v>
      </x:c>
      <x:c r="X58" s="34" t="n">
        <x:v>9.383</x:v>
      </x:c>
      <x:c r="Y58" s="34" t="n">
        <x:v>120.354</x:v>
      </x:c>
      <x:c r="Z58" s="34" t="n">
        <x:v>110.971</x:v>
      </x:c>
      <x:c r="AA58" s="34" t="n">
        <x:v>169.532</x:v>
      </x:c>
      <x:c r="AB58" s="34" t="n">
        <x:v>-58.561</x:v>
      </x:c>
      <x:c r="AC58" s="34" t="n">
        <x:v>62.553</x:v>
      </x:c>
      <x:c r="AD58" s="34" t="n">
        <x:v>14.814</x:v>
      </x:c>
      <x:c r="AE58" s="34" t="n">
        <x:v>42.986</x:v>
      </x:c>
      <x:c r="AF58" s="34" t="n">
        <x:v>0</x:v>
      </x:c>
      <x:c r="AG58" s="34" t="n">
        <x:v>0</x:v>
      </x:c>
      <x:c r="AH58" s="34" t="n">
        <x:v>-169.532</x:v>
      </x:c>
      <x:c r="AI58" s="34" t="str">
        <x:v>model_estimate</x:v>
      </x:c>
      <x:c r="AJ58" s="34" t="str">
        <x:v>2025 공식 EAF 생산 1.135Mt에 맞춘 모델 블록; 집약도·재투자연도 추정</x:v>
      </x:c>
      <x:c r="AK58" s="34" t="str">
        <x:v>CAND-44C957BBFA61A4</x:v>
      </x:c>
      <x:c r="AL58" s="34" t="str">
        <x:v>P1</x:v>
      </x:c>
      <x:c r="AM58" s="34" t="str">
        <x:v>PORT-96133A6427FE</x:v>
      </x:c>
      <x:c r="AN58" s="34" t="n">
        <x:v>1000</x:v>
      </x:c>
      <x:c r="AO58" s="34" t="n">
        <x:v>59.924202</x:v>
      </x:c>
      <x:c r="AP58" s="34" t="n">
        <x:v>22.278135</x:v>
      </x:c>
      <x:c r="AQ58" s="34" t="n">
        <x:v>430.20423</x:v>
      </x:c>
      <x:c r="AR58" s="34" t="n">
        <x:v>24922.922</x:v>
      </x:c>
      <x:c r="AS58" s="34" t="n">
        <x:v>57.932769</x:v>
      </x:c>
      <x:c r="AT58" s="40" t="b">
        <x:v>1</x:v>
      </x:c>
      <x:c r="AU58" s="40" t="b">
        <x:v>1</x:v>
      </x:c>
      <x:c r="AV58" s="34" t="str"/>
      <x:c r="AW58" s="34" t="n">
        <x:v>0</x:v>
      </x:c>
      <x:c r="AX58" s="34" t="str">
        <x:v>2.0275124185786808e-05</x:v>
      </x:c>
      <x:c r="AY58" s="40" t="b">
        <x:v>1</x:v>
      </x:c>
      <x:c r="AZ58" s="40" t="b">
        <x:v>1</x:v>
      </x:c>
      <x:c r="BA58" s="40" t="b">
        <x:v>1</x:v>
      </x:c>
      <x:c r="BB58" s="40" t="b">
        <x:v>1</x:v>
      </x:c>
      <x:c r="BC58" s="34" t="str"/>
      <x:c r="BD58" s="34" t="n">
        <x:v>0</x:v>
      </x:c>
      <x:c r="BE58" s="34" t="n">
        <x:v>0</x:v>
      </x:c>
      <x:c r="BF58" s="34" t="n">
        <x:v>0</x:v>
      </x:c>
      <x:c r="BG58" s="34" t="n">
        <x:v>2</x:v>
      </x:c>
      <x:c r="BH58" s="34" t="n">
        <x:v>3</x:v>
      </x:c>
      <x:c r="BI58" s="34" t="n">
        <x:v>0.45933660799999987</x:v>
      </x:c>
      <x:c r="BJ58" s="34" t="n">
        <x:v>0.65</x:v>
      </x:c>
      <x:c r="BK58" s="34" t="n">
        <x:v>2.02</x:v>
      </x:c>
    </x:row>
    <x:row r="59">
      <x:c r="A59" s="34" t="str">
        <x:v>POSCO_KR</x:v>
      </x:c>
      <x:c r="B59" s="34" t="str">
        <x:v>POSCO</x:v>
      </x:c>
      <x:c r="C59" s="34" t="str">
        <x:v>ACCELERATED_15C</x:v>
      </x:c>
      <x:c r="D59" s="34" t="str">
        <x:v>P1</x:v>
      </x:c>
      <x:c r="E59" s="34" t="str">
        <x:v>POS-GWY-W</x:v>
      </x:c>
      <x:c r="F59" s="34" t="str">
        <x:v>광양제철소 BF 블록 A</x:v>
      </x:c>
      <x:c r="G59" s="34" t="str">
        <x:v>광양</x:v>
      </x:c>
      <x:c r="H59" s="34" t="n">
        <x:v>2035</x:v>
      </x:c>
      <x:c r="I59" s="34" t="str">
        <x:v>BF_BOF</x:v>
      </x:c>
      <x:c r="J59" s="34" t="str">
        <x:v>기준 BF-BOF 복합 블록</x:v>
      </x:c>
      <x:c r="K59" s="34" t="str">
        <x:v>SCRAP_EAF</x:v>
      </x:c>
      <x:c r="L59" s="34" t="str">
        <x:v>스크랩 기반 대형 EAF</x:v>
      </x:c>
      <x:c r="M59" s="34" t="n">
        <x:v>5768</x:v>
      </x:c>
      <x:c r="N59" s="34" t="n">
        <x:v>3708</x:v>
      </x:c>
      <x:c r="O59" s="34" t="n">
        <x:v>10.3</x:v>
      </x:c>
      <x:c r="P59" s="34" t="n">
        <x:v>9.499999</x:v>
      </x:c>
      <x:c r="Q59" s="34" t="n">
        <x:v>19.719471</x:v>
      </x:c>
      <x:c r="R59" s="34" t="n">
        <x:v>19.719471</x:v>
      </x:c>
      <x:c r="S59" s="34" t="n">
        <x:v>4.275</x:v>
      </x:c>
      <x:c r="T59" s="34" t="n">
        <x:v>4.275</x:v>
      </x:c>
      <x:c r="U59" s="34" t="n">
        <x:v>15.444471</x:v>
      </x:c>
      <x:c r="V59" s="34" t="n">
        <x:v>92.666828</x:v>
      </x:c>
      <x:c r="W59" s="34" t="n">
        <x:v>-39.988</x:v>
      </x:c>
      <x:c r="X59" s="34" t="n">
        <x:v>434.155</x:v>
      </x:c>
      <x:c r="Y59" s="34" t="n">
        <x:v>4908.849</x:v>
      </x:c>
      <x:c r="Z59" s="34" t="n">
        <x:v>4474.693</x:v>
      </x:c>
      <x:c r="AA59" s="34" t="n">
        <x:v>4948.836</x:v>
      </x:c>
      <x:c r="AB59" s="34" t="n">
        <x:v>-474.143</x:v>
      </x:c>
      <x:c r="AC59" s="34" t="n">
        <x:v>2170.777</x:v>
      </x:c>
      <x:c r="AD59" s="34" t="n">
        <x:v>263.8</x:v>
      </x:c>
      <x:c r="AE59" s="34" t="n">
        <x:v>2474.272</x:v>
      </x:c>
      <x:c r="AF59" s="34" t="n">
        <x:v>0</x:v>
      </x:c>
      <x:c r="AG59" s="34" t="n">
        <x:v>0</x:v>
      </x:c>
      <x:c r="AH59" s="34" t="n">
        <x:v>-4948.836</x:v>
      </x:c>
      <x:c r="AI59" s="34" t="str">
        <x:v>model_estimate</x:v>
      </x:c>
      <x:c r="AJ59" s="34" t="str">
        <x:v>POSCO 공식 국내 생산·배출 총량에 맞춘 설비 블록 배분; 개별 생산량·재투자연도는 추정</x:v>
      </x:c>
      <x:c r="AK59" s="34" t="str">
        <x:v>CAND-44C957BBFA61A4</x:v>
      </x:c>
      <x:c r="AL59" s="34" t="str">
        <x:v>P1</x:v>
      </x:c>
      <x:c r="AM59" s="34" t="str">
        <x:v>PORT-96133A6427FE</x:v>
      </x:c>
      <x:c r="AN59" s="34" t="n">
        <x:v>1000</x:v>
      </x:c>
      <x:c r="AO59" s="34" t="n">
        <x:v>59.924202</x:v>
      </x:c>
      <x:c r="AP59" s="34" t="n">
        <x:v>22.278135</x:v>
      </x:c>
      <x:c r="AQ59" s="34" t="n">
        <x:v>430.20423</x:v>
      </x:c>
      <x:c r="AR59" s="34" t="n">
        <x:v>24922.922</x:v>
      </x:c>
      <x:c r="AS59" s="34" t="n">
        <x:v>57.932769</x:v>
      </x:c>
      <x:c r="AT59" s="40" t="b">
        <x:v>1</x:v>
      </x:c>
      <x:c r="AU59" s="40" t="b">
        <x:v>1</x:v>
      </x:c>
      <x:c r="AV59" s="34" t="str"/>
      <x:c r="AW59" s="34" t="n">
        <x:v>0</x:v>
      </x:c>
      <x:c r="AX59" s="34" t="str">
        <x:v>2.0275124185786808e-05</x:v>
      </x:c>
      <x:c r="AY59" s="40" t="b">
        <x:v>1</x:v>
      </x:c>
      <x:c r="AZ59" s="40" t="b">
        <x:v>1</x:v>
      </x:c>
      <x:c r="BA59" s="40" t="b">
        <x:v>1</x:v>
      </x:c>
      <x:c r="BB59" s="40" t="b">
        <x:v>1</x:v>
      </x:c>
      <x:c r="BC59" s="34" t="str"/>
      <x:c r="BD59" s="34" t="n">
        <x:v>0</x:v>
      </x:c>
      <x:c r="BE59" s="34" t="n">
        <x:v>0</x:v>
      </x:c>
      <x:c r="BF59" s="34" t="n">
        <x:v>0</x:v>
      </x:c>
      <x:c r="BG59" s="34" t="n">
        <x:v>2</x:v>
      </x:c>
      <x:c r="BH59" s="34" t="n">
        <x:v>3</x:v>
      </x:c>
      <x:c r="BI59" s="34" t="n">
        <x:v>0.45933660799999987</x:v>
      </x:c>
      <x:c r="BJ59" s="34" t="n">
        <x:v>0.65</x:v>
      </x:c>
      <x:c r="BK59" s="34" t="n">
        <x:v>2.02</x:v>
      </x:c>
    </x:row>
    <x:row r="60">
      <x:c r="A60" s="34" t="str">
        <x:v>POSCO_KR</x:v>
      </x:c>
      <x:c r="B60" s="34" t="str">
        <x:v>POSCO</x:v>
      </x:c>
      <x:c r="C60" s="34" t="str">
        <x:v>ACCELERATED_15C</x:v>
      </x:c>
      <x:c r="D60" s="34" t="str">
        <x:v>P1</x:v>
      </x:c>
      <x:c r="E60" s="34" t="str">
        <x:v>POS-POH-N</x:v>
      </x:c>
      <x:c r="F60" s="34" t="str">
        <x:v>포항제철소 BF 블록 A</x:v>
      </x:c>
      <x:c r="G60" s="34" t="str">
        <x:v>포항</x:v>
      </x:c>
      <x:c r="H60" s="34" t="n">
        <x:v>2029</x:v>
      </x:c>
      <x:c r="I60" s="34" t="str">
        <x:v>BF_BOF</x:v>
      </x:c>
      <x:c r="J60" s="34" t="str">
        <x:v>기준 BF-BOF 복합 블록</x:v>
      </x:c>
      <x:c r="K60" s="34" t="str">
        <x:v>SCRAP_EAF</x:v>
      </x:c>
      <x:c r="L60" s="34" t="str">
        <x:v>스크랩 기반 대형 EAF</x:v>
      </x:c>
      <x:c r="M60" s="34" t="n">
        <x:v>4592</x:v>
      </x:c>
      <x:c r="N60" s="34" t="n">
        <x:v>2952</x:v>
      </x:c>
      <x:c r="O60" s="34" t="n">
        <x:v>8.2</x:v>
      </x:c>
      <x:c r="P60" s="34" t="n">
        <x:v>7.599998</x:v>
      </x:c>
      <x:c r="Q60" s="34" t="n">
        <x:v>15.775574</x:v>
      </x:c>
      <x:c r="R60" s="34" t="n">
        <x:v>3.419999</x:v>
      </x:c>
      <x:c r="S60" s="34" t="n">
        <x:v>3.419999</x:v>
      </x:c>
      <x:c r="T60" s="34" t="n">
        <x:v>3.419999</x:v>
      </x:c>
      <x:c r="U60" s="34" t="n">
        <x:v>12.355575</x:v>
      </x:c>
      <x:c r="V60" s="34" t="n">
        <x:v>148.266898</x:v>
      </x:c>
      <x:c r="W60" s="34" t="n">
        <x:v>-603.64</x:v>
      </x:c>
      <x:c r="X60" s="34" t="n">
        <x:v>476.581</x:v>
      </x:c>
      <x:c r="Y60" s="34" t="n">
        <x:v>7158.885</x:v>
      </x:c>
      <x:c r="Z60" s="34" t="n">
        <x:v>6682.305</x:v>
      </x:c>
      <x:c r="AA60" s="34" t="n">
        <x:v>7762.525</x:v>
      </x:c>
      <x:c r="AB60" s="34" t="n">
        <x:v>-1080.221</x:v>
      </x:c>
      <x:c r="AC60" s="34" t="n">
        <x:v>2382.904</x:v>
      </x:c>
      <x:c r="AD60" s="34" t="n">
        <x:v>446.25</x:v>
      </x:c>
      <x:c r="AE60" s="34" t="n">
        <x:v>4329.731</x:v>
      </x:c>
      <x:c r="AF60" s="34" t="n">
        <x:v>0</x:v>
      </x:c>
      <x:c r="AG60" s="34" t="n">
        <x:v>0</x:v>
      </x:c>
      <x:c r="AH60" s="34" t="n">
        <x:v>-7762.525</x:v>
      </x:c>
      <x:c r="AI60" s="34" t="str">
        <x:v>model_estimate</x:v>
      </x:c>
      <x:c r="AJ60" s="34" t="str">
        <x:v>POSCO 공식 국내 생산·배출 총량에 맞춘 설비 블록 배분; 개별 생산량·재투자연도는 추정</x:v>
      </x:c>
      <x:c r="AK60" s="34" t="str">
        <x:v>CAND-44C957BBFA61A4</x:v>
      </x:c>
      <x:c r="AL60" s="34" t="str">
        <x:v>P1</x:v>
      </x:c>
      <x:c r="AM60" s="34" t="str">
        <x:v>PORT-96133A6427FE</x:v>
      </x:c>
      <x:c r="AN60" s="34" t="n">
        <x:v>1000</x:v>
      </x:c>
      <x:c r="AO60" s="34" t="n">
        <x:v>59.924202</x:v>
      </x:c>
      <x:c r="AP60" s="34" t="n">
        <x:v>22.278135</x:v>
      </x:c>
      <x:c r="AQ60" s="34" t="n">
        <x:v>430.20423</x:v>
      </x:c>
      <x:c r="AR60" s="34" t="n">
        <x:v>24922.922</x:v>
      </x:c>
      <x:c r="AS60" s="34" t="n">
        <x:v>57.932769</x:v>
      </x:c>
      <x:c r="AT60" s="40" t="b">
        <x:v>1</x:v>
      </x:c>
      <x:c r="AU60" s="40" t="b">
        <x:v>1</x:v>
      </x:c>
      <x:c r="AV60" s="34" t="str"/>
      <x:c r="AW60" s="34" t="n">
        <x:v>0</x:v>
      </x:c>
      <x:c r="AX60" s="34" t="str">
        <x:v>2.0275124185786808e-05</x:v>
      </x:c>
      <x:c r="AY60" s="40" t="b">
        <x:v>1</x:v>
      </x:c>
      <x:c r="AZ60" s="40" t="b">
        <x:v>1</x:v>
      </x:c>
      <x:c r="BA60" s="40" t="b">
        <x:v>1</x:v>
      </x:c>
      <x:c r="BB60" s="40" t="b">
        <x:v>1</x:v>
      </x:c>
      <x:c r="BC60" s="34" t="str"/>
      <x:c r="BD60" s="34" t="n">
        <x:v>0</x:v>
      </x:c>
      <x:c r="BE60" s="34" t="n">
        <x:v>0</x:v>
      </x:c>
      <x:c r="BF60" s="34" t="n">
        <x:v>0</x:v>
      </x:c>
      <x:c r="BG60" s="34" t="n">
        <x:v>2</x:v>
      </x:c>
      <x:c r="BH60" s="34" t="n">
        <x:v>3</x:v>
      </x:c>
      <x:c r="BI60" s="34" t="n">
        <x:v>0.45933660799999987</x:v>
      </x:c>
      <x:c r="BJ60" s="34" t="n">
        <x:v>0.65</x:v>
      </x:c>
      <x:c r="BK60" s="34" t="n">
        <x:v>2.02</x:v>
      </x:c>
    </x:row>
    <x:row r="61">
      <x:c r="A61" s="34" t="str">
        <x:v>POSCO_KR</x:v>
      </x:c>
      <x:c r="B61" s="34" t="str">
        <x:v>POSCO</x:v>
      </x:c>
      <x:c r="C61" s="34" t="str">
        <x:v>ACCELERATED_15C</x:v>
      </x:c>
      <x:c r="D61" s="34" t="str">
        <x:v>P1</x:v>
      </x:c>
      <x:c r="E61" s="34" t="str">
        <x:v>POS-POH-S</x:v>
      </x:c>
      <x:c r="F61" s="34" t="str">
        <x:v>포항제철소 BF 블록 B</x:v>
      </x:c>
      <x:c r="G61" s="34" t="str">
        <x:v>포항</x:v>
      </x:c>
      <x:c r="H61" s="34" t="n">
        <x:v>2032</x:v>
      </x:c>
      <x:c r="I61" s="34" t="str">
        <x:v>BF_BOF</x:v>
      </x:c>
      <x:c r="J61" s="34" t="str">
        <x:v>기준 BF-BOF 복합 블록</x:v>
      </x:c>
      <x:c r="K61" s="34" t="str">
        <x:v>H2_DRI_EAF</x:v>
      </x:c>
      <x:c r="L61" s="34" t="str">
        <x:v>수소 DRI + EAF</x:v>
      </x:c>
      <x:c r="M61" s="34" t="n">
        <x:v>6660</x:v>
      </x:c>
      <x:c r="N61" s="34" t="n">
        <x:v>5180</x:v>
      </x:c>
      <x:c r="O61" s="34" t="n">
        <x:v>7.4</x:v>
      </x:c>
      <x:c r="P61" s="34" t="n">
        <x:v>6.800001</x:v>
      </x:c>
      <x:c r="Q61" s="34" t="n">
        <x:v>14.114992</x:v>
      </x:c>
      <x:c r="R61" s="34" t="n">
        <x:v>14.114992</x:v>
      </x:c>
      <x:c r="S61" s="34" t="n">
        <x:v>1.36</x:v>
      </x:c>
      <x:c r="T61" s="34" t="n">
        <x:v>1.36</x:v>
      </x:c>
      <x:c r="U61" s="34" t="n">
        <x:v>12.754992</x:v>
      </x:c>
      <x:c r="V61" s="34" t="n">
        <x:v>114.794931</x:v>
      </x:c>
      <x:c r="W61" s="34" t="n">
        <x:v>17512.865</x:v>
      </x:c>
      <x:c r="X61" s="34" t="n">
        <x:v>1068.277</x:v>
      </x:c>
      <x:c r="Y61" s="34" t="n">
        <x:v>23627.878</x:v>
      </x:c>
      <x:c r="Z61" s="34" t="n">
        <x:v>22559.601</x:v>
      </x:c>
      <x:c r="AA61" s="34" t="n">
        <x:v>6115.012</x:v>
      </x:c>
      <x:c r="AB61" s="34" t="n">
        <x:v>16444.589</x:v>
      </x:c>
      <x:c r="AC61" s="34" t="n">
        <x:v>3560.923</x:v>
      </x:c>
      <x:c r="AD61" s="34" t="n">
        <x:v>514.289</x:v>
      </x:c>
      <x:c r="AE61" s="34" t="n">
        <x:v>2263.493</x:v>
      </x:c>
      <x:c r="AF61" s="34" t="n">
        <x:v>17289.173</x:v>
      </x:c>
      <x:c r="AG61" s="34" t="n">
        <x:v>0</x:v>
      </x:c>
      <x:c r="AH61" s="34" t="n">
        <x:v>-6115.012</x:v>
      </x:c>
      <x:c r="AI61" s="34" t="str">
        <x:v>model_estimate</x:v>
      </x:c>
      <x:c r="AJ61" s="34" t="str">
        <x:v>POSCO 공식 국내 생산·배출 총량에 맞춘 설비 블록 배분; 개별 생산량·재투자연도는 추정</x:v>
      </x:c>
      <x:c r="AK61" s="34" t="str">
        <x:v>CAND-44C957BBFA61A4</x:v>
      </x:c>
      <x:c r="AL61" s="34" t="str">
        <x:v>P1</x:v>
      </x:c>
      <x:c r="AM61" s="34" t="str">
        <x:v>PORT-96133A6427FE</x:v>
      </x:c>
      <x:c r="AN61" s="34" t="n">
        <x:v>1000</x:v>
      </x:c>
      <x:c r="AO61" s="34" t="n">
        <x:v>59.924202</x:v>
      </x:c>
      <x:c r="AP61" s="34" t="n">
        <x:v>22.278135</x:v>
      </x:c>
      <x:c r="AQ61" s="34" t="n">
        <x:v>430.20423</x:v>
      </x:c>
      <x:c r="AR61" s="34" t="n">
        <x:v>24922.922</x:v>
      </x:c>
      <x:c r="AS61" s="34" t="n">
        <x:v>57.932769</x:v>
      </x:c>
      <x:c r="AT61" s="40" t="b">
        <x:v>1</x:v>
      </x:c>
      <x:c r="AU61" s="40" t="b">
        <x:v>1</x:v>
      </x:c>
      <x:c r="AV61" s="34" t="str"/>
      <x:c r="AW61" s="34" t="n">
        <x:v>0</x:v>
      </x:c>
      <x:c r="AX61" s="34" t="str">
        <x:v>2.0275124185786808e-05</x:v>
      </x:c>
      <x:c r="AY61" s="40" t="b">
        <x:v>1</x:v>
      </x:c>
      <x:c r="AZ61" s="40" t="b">
        <x:v>1</x:v>
      </x:c>
      <x:c r="BA61" s="40" t="b">
        <x:v>1</x:v>
      </x:c>
      <x:c r="BB61" s="40" t="b">
        <x:v>1</x:v>
      </x:c>
      <x:c r="BC61" s="34" t="str"/>
      <x:c r="BD61" s="34" t="n">
        <x:v>0</x:v>
      </x:c>
      <x:c r="BE61" s="34" t="n">
        <x:v>0</x:v>
      </x:c>
      <x:c r="BF61" s="34" t="n">
        <x:v>0</x:v>
      </x:c>
      <x:c r="BG61" s="34" t="n">
        <x:v>2</x:v>
      </x:c>
      <x:c r="BH61" s="34" t="n">
        <x:v>3</x:v>
      </x:c>
      <x:c r="BI61" s="34" t="n">
        <x:v>0.45933660799999987</x:v>
      </x:c>
      <x:c r="BJ61" s="34" t="n">
        <x:v>0.65</x:v>
      </x:c>
      <x:c r="BK61" s="34" t="n">
        <x:v>2.02</x:v>
      </x:c>
    </x:row>
    <x:row r="62">
      <x:c r="A62" s="34" t="str">
        <x:v>POSCO_KR</x:v>
      </x:c>
      <x:c r="B62" s="34" t="str">
        <x:v>POSCO</x:v>
      </x:c>
      <x:c r="C62" s="34" t="str">
        <x:v>DISCLOSED_PATH</x:v>
      </x:c>
      <x:c r="D62" s="34" t="str">
        <x:v>P2</x:v>
      </x:c>
      <x:c r="E62" s="34" t="str">
        <x:v>POS-GWY-E</x:v>
      </x:c>
      <x:c r="F62" s="34" t="str">
        <x:v>광양제철소 BF 블록 B</x:v>
      </x:c>
      <x:c r="G62" s="34" t="str">
        <x:v>광양</x:v>
      </x:c>
      <x:c r="H62" s="34" t="n">
        <x:v>2037</x:v>
      </x:c>
      <x:c r="I62" s="34" t="str">
        <x:v>BF_BOF</x:v>
      </x:c>
      <x:c r="J62" s="34" t="str">
        <x:v>기준 BF-BOF 복합 블록</x:v>
      </x:c>
      <x:c r="K62" s="34" t="str">
        <x:v>H2_DRI_EAF</x:v>
      </x:c>
      <x:c r="L62" s="34" t="str">
        <x:v>수소 DRI + EAF</x:v>
      </x:c>
      <x:c r="M62" s="34" t="n">
        <x:v>9270</x:v>
      </x:c>
      <x:c r="N62" s="34" t="n">
        <x:v>7210</x:v>
      </x:c>
      <x:c r="O62" s="34" t="n">
        <x:v>10.3</x:v>
      </x:c>
      <x:c r="P62" s="34" t="n">
        <x:v>9.502996</x:v>
      </x:c>
      <x:c r="Q62" s="34" t="n">
        <x:v>19.725693</x:v>
      </x:c>
      <x:c r="R62" s="34" t="n">
        <x:v>19.725693</x:v>
      </x:c>
      <x:c r="S62" s="34" t="n">
        <x:v>1.900599</x:v>
      </x:c>
      <x:c r="T62" s="34" t="n">
        <x:v>1.900599</x:v>
      </x:c>
      <x:c r="U62" s="34" t="n">
        <x:v>17.825093</x:v>
      </x:c>
      <x:c r="V62" s="34" t="n">
        <x:v>71.300373</x:v>
      </x:c>
      <x:c r="W62" s="34" t="n">
        <x:v>11451.871</x:v>
      </x:c>
      <x:c r="X62" s="34" t="n">
        <x:v>1050.235</x:v>
      </x:c>
      <x:c r="Y62" s="34" t="n">
        <x:v>14011.059</x:v>
      </x:c>
      <x:c r="Z62" s="34" t="n">
        <x:v>12960.824</x:v>
      </x:c>
      <x:c r="AA62" s="34" t="n">
        <x:v>2559.188</x:v>
      </x:c>
      <x:c r="AB62" s="34" t="n">
        <x:v>10401.636</x:v>
      </x:c>
      <x:c r="AC62" s="34" t="n">
        <x:v>3792.327</x:v>
      </x:c>
      <x:c r="AD62" s="34" t="n">
        <x:v>295.74</x:v>
      </x:c>
      <x:c r="AE62" s="34" t="n">
        <x:v>1153.737</x:v>
      </x:c>
      <x:c r="AF62" s="34" t="n">
        <x:v>8751.189</x:v>
      </x:c>
      <x:c r="AG62" s="34" t="n">
        <x:v>18.066</x:v>
      </x:c>
      <x:c r="AH62" s="34" t="n">
        <x:v>-2559.188</x:v>
      </x:c>
      <x:c r="AI62" s="34" t="str">
        <x:v>model_estimate</x:v>
      </x:c>
      <x:c r="AJ62" s="34" t="str">
        <x:v>POSCO 공식 국내 생산·배출 총량에 맞춘 설비 블록 배분; 개별 생산량·재투자연도는 추정</x:v>
      </x:c>
      <x:c r="AK62" s="34" t="str">
        <x:v>CAND-466C04961ED513</x:v>
      </x:c>
      <x:c r="AL62" s="34" t="str">
        <x:v>P2</x:v>
      </x:c>
      <x:c r="AM62" s="34" t="str">
        <x:v>PORT-7ED23B40E316</x:v>
      </x:c>
      <x:c r="AN62" s="34" t="n">
        <x:v>1000</x:v>
      </x:c>
      <x:c r="AO62" s="34" t="n">
        <x:v>32.779683</x:v>
      </x:c>
      <x:c r="AP62" s="34" t="n">
        <x:v>11.005763</x:v>
      </x:c>
      <x:c r="AQ62" s="34" t="n">
        <x:v>414.904229</x:v>
      </x:c>
      <x:c r="AR62" s="34" t="n">
        <x:v>13064.613</x:v>
      </x:c>
      <x:c r="AS62" s="34" t="n">
        <x:v>31.488261</x:v>
      </x:c>
      <x:c r="AT62" s="40" t="b">
        <x:v>1</x:v>
      </x:c>
      <x:c r="AU62" s="40" t="b">
        <x:v>0</x:v>
      </x:c>
      <x:c r="AV62" s="34" t="str"/>
      <x:c r="AW62" s="34" t="n">
        <x:v>0</x:v>
      </x:c>
      <x:c r="AX62" s="34" t="str">
        <x:v>2.0275124185786808e-05</x:v>
      </x:c>
      <x:c r="AY62" s="40" t="b">
        <x:v>0</x:v>
      </x:c>
      <x:c r="AZ62" s="40" t="b">
        <x:v>0</x:v>
      </x:c>
      <x:c r="BA62" s="40" t="b">
        <x:v>1</x:v>
      </x:c>
      <x:c r="BB62" s="40" t="b">
        <x:v>1</x:v>
      </x:c>
      <x:c r="BC62" s="34" t="n">
        <x:v>2035</x:v>
      </x:c>
      <x:c r="BD62" s="34" t="n">
        <x:v>4.530597659999998</x:v>
      </x:c>
      <x:c r="BE62" s="34" t="n">
        <x:v>0</x:v>
      </x:c>
      <x:c r="BF62" s="34" t="n">
        <x:v>0</x:v>
      </x:c>
      <x:c r="BG62" s="34" t="n">
        <x:v>2</x:v>
      </x:c>
      <x:c r="BH62" s="34" t="n">
        <x:v>3</x:v>
      </x:c>
      <x:c r="BI62" s="34" t="n">
        <x:v>0.3934020479999999</x:v>
      </x:c>
      <x:c r="BJ62" s="34" t="n">
        <x:v>0.65</x:v>
      </x:c>
      <x:c r="BK62" s="34" t="n">
        <x:v>1.54</x:v>
      </x:c>
    </x:row>
    <x:row r="63">
      <x:c r="A63" s="34" t="str">
        <x:v>POSCO_KR</x:v>
      </x:c>
      <x:c r="B63" s="34" t="str">
        <x:v>POSCO</x:v>
      </x:c>
      <x:c r="C63" s="34" t="str">
        <x:v>DISCLOSED_PATH</x:v>
      </x:c>
      <x:c r="D63" s="34" t="str">
        <x:v>P2</x:v>
      </x:c>
      <x:c r="E63" s="34" t="str">
        <x:v>POS-GWY-EAF</x:v>
      </x:c>
      <x:c r="F63" s="34" t="str">
        <x:v>광양 기존 EAF 블록</x:v>
      </x:c>
      <x:c r="G63" s="34" t="str">
        <x:v>광양</x:v>
      </x:c>
      <x:c r="H63" s="34" t="n">
        <x:v>2033</x:v>
      </x:c>
      <x:c r="I63" s="34" t="str">
        <x:v>EAF_BASELINE</x:v>
      </x:c>
      <x:c r="J63" s="34" t="str">
        <x:v>기존 전기로 기준 블록</x:v>
      </x:c>
      <x:c r="K63" s="34" t="str">
        <x:v>EAF_RENEWABLE</x:v>
      </x:c>
      <x:c r="L63" s="34" t="str">
        <x:v>기존 EAF 재생전력 업그레이드</x:v>
      </x:c>
      <x:c r="M63" s="34" t="n">
        <x:v>312</x:v>
      </x:c>
      <x:c r="N63" s="34" t="n">
        <x:v>96</x:v>
      </x:c>
      <x:c r="O63" s="34" t="n">
        <x:v>1.2</x:v>
      </x:c>
      <x:c r="P63" s="34" t="n">
        <x:v>1.134</x:v>
      </x:c>
      <x:c r="Q63" s="34" t="n">
        <x:v>0.5103</x:v>
      </x:c>
      <x:c r="R63" s="34" t="n">
        <x:v>0.5103</x:v>
      </x:c>
      <x:c r="S63" s="34" t="n">
        <x:v>0.1134</x:v>
      </x:c>
      <x:c r="T63" s="34" t="n">
        <x:v>0.1134</x:v>
      </x:c>
      <x:c r="U63" s="34" t="n">
        <x:v>0.3969</x:v>
      </x:c>
      <x:c r="V63" s="34" t="n">
        <x:v>3.1752</x:v>
      </x:c>
      <x:c r="W63" s="34" t="n">
        <x:v>0.429</x:v>
      </x:c>
      <x:c r="X63" s="34" t="n">
        <x:v>6.268</x:v>
      </x:c>
      <x:c r="Y63" s="34" t="n">
        <x:v>115.955</x:v>
      </x:c>
      <x:c r="Z63" s="34" t="n">
        <x:v>109.687</x:v>
      </x:c>
      <x:c r="AA63" s="34" t="n">
        <x:v>115.527</x:v>
      </x:c>
      <x:c r="AB63" s="34" t="n">
        <x:v>-5.839</x:v>
      </x:c>
      <x:c r="AC63" s="34" t="n">
        <x:v>62.553</x:v>
      </x:c>
      <x:c r="AD63" s="34" t="n">
        <x:v>14.814</x:v>
      </x:c>
      <x:c r="AE63" s="34" t="n">
        <x:v>38.405</x:v>
      </x:c>
      <x:c r="AF63" s="34" t="n">
        <x:v>0</x:v>
      </x:c>
      <x:c r="AG63" s="34" t="n">
        <x:v>0.183</x:v>
      </x:c>
      <x:c r="AH63" s="34" t="n">
        <x:v>-115.527</x:v>
      </x:c>
      <x:c r="AI63" s="34" t="str">
        <x:v>model_estimate</x:v>
      </x:c>
      <x:c r="AJ63" s="34" t="str">
        <x:v>2025 공식 EAF 생산 1.135Mt에 맞춘 모델 블록; 집약도·재투자연도 추정</x:v>
      </x:c>
      <x:c r="AK63" s="34" t="str">
        <x:v>CAND-466C04961ED513</x:v>
      </x:c>
      <x:c r="AL63" s="34" t="str">
        <x:v>P2</x:v>
      </x:c>
      <x:c r="AM63" s="34" t="str">
        <x:v>PORT-7ED23B40E316</x:v>
      </x:c>
      <x:c r="AN63" s="34" t="n">
        <x:v>1000</x:v>
      </x:c>
      <x:c r="AO63" s="34" t="n">
        <x:v>32.779683</x:v>
      </x:c>
      <x:c r="AP63" s="34" t="n">
        <x:v>11.005763</x:v>
      </x:c>
      <x:c r="AQ63" s="34" t="n">
        <x:v>414.904229</x:v>
      </x:c>
      <x:c r="AR63" s="34" t="n">
        <x:v>13064.613</x:v>
      </x:c>
      <x:c r="AS63" s="34" t="n">
        <x:v>31.488261</x:v>
      </x:c>
      <x:c r="AT63" s="40" t="b">
        <x:v>1</x:v>
      </x:c>
      <x:c r="AU63" s="40" t="b">
        <x:v>0</x:v>
      </x:c>
      <x:c r="AV63" s="34" t="str"/>
      <x:c r="AW63" s="34" t="n">
        <x:v>0</x:v>
      </x:c>
      <x:c r="AX63" s="34" t="str">
        <x:v>2.0275124185786808e-05</x:v>
      </x:c>
      <x:c r="AY63" s="40" t="b">
        <x:v>0</x:v>
      </x:c>
      <x:c r="AZ63" s="40" t="b">
        <x:v>0</x:v>
      </x:c>
      <x:c r="BA63" s="40" t="b">
        <x:v>1</x:v>
      </x:c>
      <x:c r="BB63" s="40" t="b">
        <x:v>1</x:v>
      </x:c>
      <x:c r="BC63" s="34" t="n">
        <x:v>2035</x:v>
      </x:c>
      <x:c r="BD63" s="34" t="n">
        <x:v>4.530597659999998</x:v>
      </x:c>
      <x:c r="BE63" s="34" t="n">
        <x:v>0</x:v>
      </x:c>
      <x:c r="BF63" s="34" t="n">
        <x:v>0</x:v>
      </x:c>
      <x:c r="BG63" s="34" t="n">
        <x:v>2</x:v>
      </x:c>
      <x:c r="BH63" s="34" t="n">
        <x:v>3</x:v>
      </x:c>
      <x:c r="BI63" s="34" t="n">
        <x:v>0.3934020479999999</x:v>
      </x:c>
      <x:c r="BJ63" s="34" t="n">
        <x:v>0.65</x:v>
      </x:c>
      <x:c r="BK63" s="34" t="n">
        <x:v>1.54</x:v>
      </x:c>
    </x:row>
    <x:row r="64">
      <x:c r="A64" s="34" t="str">
        <x:v>POSCO_KR</x:v>
      </x:c>
      <x:c r="B64" s="34" t="str">
        <x:v>POSCO</x:v>
      </x:c>
      <x:c r="C64" s="34" t="str">
        <x:v>DISCLOSED_PATH</x:v>
      </x:c>
      <x:c r="D64" s="34" t="str">
        <x:v>P2</x:v>
      </x:c>
      <x:c r="E64" s="34" t="str">
        <x:v>POS-GWY-W</x:v>
      </x:c>
      <x:c r="F64" s="34" t="str">
        <x:v>광양제철소 BF 블록 A</x:v>
      </x:c>
      <x:c r="G64" s="34" t="str">
        <x:v>광양</x:v>
      </x:c>
      <x:c r="H64" s="34" t="n">
        <x:v>2035</x:v>
      </x:c>
      <x:c r="I64" s="34" t="str">
        <x:v>BF_BOF</x:v>
      </x:c>
      <x:c r="J64" s="34" t="str">
        <x:v>기준 BF-BOF 복합 블록</x:v>
      </x:c>
      <x:c r="K64" s="34" t="str">
        <x:v>SCRAP_EAF</x:v>
      </x:c>
      <x:c r="L64" s="34" t="str">
        <x:v>스크랩 기반 대형 EAF</x:v>
      </x:c>
      <x:c r="M64" s="34" t="n">
        <x:v>5768</x:v>
      </x:c>
      <x:c r="N64" s="34" t="n">
        <x:v>3708</x:v>
      </x:c>
      <x:c r="O64" s="34" t="n">
        <x:v>10.3</x:v>
      </x:c>
      <x:c r="P64" s="34" t="n">
        <x:v>9.499999</x:v>
      </x:c>
      <x:c r="Q64" s="34" t="n">
        <x:v>19.719471</x:v>
      </x:c>
      <x:c r="R64" s="34" t="n">
        <x:v>19.719471</x:v>
      </x:c>
      <x:c r="S64" s="34" t="n">
        <x:v>4.275</x:v>
      </x:c>
      <x:c r="T64" s="34" t="n">
        <x:v>4.275</x:v>
      </x:c>
      <x:c r="U64" s="34" t="n">
        <x:v>15.444471</x:v>
      </x:c>
      <x:c r="V64" s="34" t="n">
        <x:v>92.666828</x:v>
      </x:c>
      <x:c r="W64" s="34" t="n">
        <x:v>1281.633</x:v>
      </x:c>
      <x:c r="X64" s="34" t="n">
        <x:v>326.268</x:v>
      </x:c>
      <x:c r="Y64" s="34" t="n">
        <x:v>4635.581</x:v>
      </x:c>
      <x:c r="Z64" s="34" t="n">
        <x:v>4309.313</x:v>
      </x:c>
      <x:c r="AA64" s="34" t="n">
        <x:v>3353.947</x:v>
      </x:c>
      <x:c r="AB64" s="34" t="n">
        <x:v>955.366</x:v>
      </x:c>
      <x:c r="AC64" s="34" t="n">
        <x:v>2170.777</x:v>
      </x:c>
      <x:c r="AD64" s="34" t="n">
        <x:v>263.8</x:v>
      </x:c>
      <x:c r="AE64" s="34" t="n">
        <x:v>2193.372</x:v>
      </x:c>
      <x:c r="AF64" s="34" t="n">
        <x:v>0</x:v>
      </x:c>
      <x:c r="AG64" s="34" t="n">
        <x:v>7.632</x:v>
      </x:c>
      <x:c r="AH64" s="34" t="n">
        <x:v>-3353.947</x:v>
      </x:c>
      <x:c r="AI64" s="34" t="str">
        <x:v>model_estimate</x:v>
      </x:c>
      <x:c r="AJ64" s="34" t="str">
        <x:v>POSCO 공식 국내 생산·배출 총량에 맞춘 설비 블록 배분; 개별 생산량·재투자연도는 추정</x:v>
      </x:c>
      <x:c r="AK64" s="34" t="str">
        <x:v>CAND-466C04961ED513</x:v>
      </x:c>
      <x:c r="AL64" s="34" t="str">
        <x:v>P2</x:v>
      </x:c>
      <x:c r="AM64" s="34" t="str">
        <x:v>PORT-7ED23B40E316</x:v>
      </x:c>
      <x:c r="AN64" s="34" t="n">
        <x:v>1000</x:v>
      </x:c>
      <x:c r="AO64" s="34" t="n">
        <x:v>32.779683</x:v>
      </x:c>
      <x:c r="AP64" s="34" t="n">
        <x:v>11.005763</x:v>
      </x:c>
      <x:c r="AQ64" s="34" t="n">
        <x:v>414.904229</x:v>
      </x:c>
      <x:c r="AR64" s="34" t="n">
        <x:v>13064.613</x:v>
      </x:c>
      <x:c r="AS64" s="34" t="n">
        <x:v>31.488261</x:v>
      </x:c>
      <x:c r="AT64" s="40" t="b">
        <x:v>1</x:v>
      </x:c>
      <x:c r="AU64" s="40" t="b">
        <x:v>0</x:v>
      </x:c>
      <x:c r="AV64" s="34" t="str"/>
      <x:c r="AW64" s="34" t="n">
        <x:v>0</x:v>
      </x:c>
      <x:c r="AX64" s="34" t="str">
        <x:v>2.0275124185786808e-05</x:v>
      </x:c>
      <x:c r="AY64" s="40" t="b">
        <x:v>0</x:v>
      </x:c>
      <x:c r="AZ64" s="40" t="b">
        <x:v>0</x:v>
      </x:c>
      <x:c r="BA64" s="40" t="b">
        <x:v>1</x:v>
      </x:c>
      <x:c r="BB64" s="40" t="b">
        <x:v>1</x:v>
      </x:c>
      <x:c r="BC64" s="34" t="n">
        <x:v>2035</x:v>
      </x:c>
      <x:c r="BD64" s="34" t="n">
        <x:v>4.530597659999998</x:v>
      </x:c>
      <x:c r="BE64" s="34" t="n">
        <x:v>0</x:v>
      </x:c>
      <x:c r="BF64" s="34" t="n">
        <x:v>0</x:v>
      </x:c>
      <x:c r="BG64" s="34" t="n">
        <x:v>2</x:v>
      </x:c>
      <x:c r="BH64" s="34" t="n">
        <x:v>3</x:v>
      </x:c>
      <x:c r="BI64" s="34" t="n">
        <x:v>0.3934020479999999</x:v>
      </x:c>
      <x:c r="BJ64" s="34" t="n">
        <x:v>0.65</x:v>
      </x:c>
      <x:c r="BK64" s="34" t="n">
        <x:v>1.54</x:v>
      </x:c>
    </x:row>
    <x:row r="65">
      <x:c r="A65" s="34" t="str">
        <x:v>POSCO_KR</x:v>
      </x:c>
      <x:c r="B65" s="34" t="str">
        <x:v>POSCO</x:v>
      </x:c>
      <x:c r="C65" s="34" t="str">
        <x:v>DISCLOSED_PATH</x:v>
      </x:c>
      <x:c r="D65" s="34" t="str">
        <x:v>P2</x:v>
      </x:c>
      <x:c r="E65" s="34" t="str">
        <x:v>POS-POH-N</x:v>
      </x:c>
      <x:c r="F65" s="34" t="str">
        <x:v>포항제철소 BF 블록 A</x:v>
      </x:c>
      <x:c r="G65" s="34" t="str">
        <x:v>포항</x:v>
      </x:c>
      <x:c r="H65" s="34" t="n">
        <x:v>2029</x:v>
      </x:c>
      <x:c r="I65" s="34" t="str">
        <x:v>BF_BOF</x:v>
      </x:c>
      <x:c r="J65" s="34" t="str">
        <x:v>기준 BF-BOF 복합 블록</x:v>
      </x:c>
      <x:c r="K65" s="34" t="str">
        <x:v>SCRAP_EAF</x:v>
      </x:c>
      <x:c r="L65" s="34" t="str">
        <x:v>스크랩 기반 대형 EAF</x:v>
      </x:c>
      <x:c r="M65" s="34" t="n">
        <x:v>4592</x:v>
      </x:c>
      <x:c r="N65" s="34" t="n">
        <x:v>2952</x:v>
      </x:c>
      <x:c r="O65" s="34" t="n">
        <x:v>8.2</x:v>
      </x:c>
      <x:c r="P65" s="34" t="n">
        <x:v>7.599998</x:v>
      </x:c>
      <x:c r="Q65" s="34" t="n">
        <x:v>15.775574</x:v>
      </x:c>
      <x:c r="R65" s="34" t="n">
        <x:v>3.419999</x:v>
      </x:c>
      <x:c r="S65" s="34" t="n">
        <x:v>3.419999</x:v>
      </x:c>
      <x:c r="T65" s="34" t="n">
        <x:v>3.419999</x:v>
      </x:c>
      <x:c r="U65" s="34" t="n">
        <x:v>12.355575</x:v>
      </x:c>
      <x:c r="V65" s="34" t="n">
        <x:v>148.266898</x:v>
      </x:c>
      <x:c r="W65" s="34" t="n">
        <x:v>1386.926</x:v>
      </x:c>
      <x:c r="X65" s="34" t="n">
        <x:v>358.36</x:v>
      </x:c>
      <x:c r="Y65" s="34" t="n">
        <x:v>6774.035</x:v>
      </x:c>
      <x:c r="Z65" s="34" t="n">
        <x:v>6415.675</x:v>
      </x:c>
      <x:c r="AA65" s="34" t="n">
        <x:v>5387.108</x:v>
      </x:c>
      <x:c r="AB65" s="34" t="n">
        <x:v>1028.566</x:v>
      </x:c>
      <x:c r="AC65" s="34" t="n">
        <x:v>2382.904</x:v>
      </x:c>
      <x:c r="AD65" s="34" t="n">
        <x:v>446.25</x:v>
      </x:c>
      <x:c r="AE65" s="34" t="n">
        <x:v>3934.214</x:v>
      </x:c>
      <x:c r="AF65" s="34" t="n">
        <x:v>0</x:v>
      </x:c>
      <x:c r="AG65" s="34" t="n">
        <x:v>10.667</x:v>
      </x:c>
      <x:c r="AH65" s="34" t="n">
        <x:v>-5387.108</x:v>
      </x:c>
      <x:c r="AI65" s="34" t="str">
        <x:v>model_estimate</x:v>
      </x:c>
      <x:c r="AJ65" s="34" t="str">
        <x:v>POSCO 공식 국내 생산·배출 총량에 맞춘 설비 블록 배분; 개별 생산량·재투자연도는 추정</x:v>
      </x:c>
      <x:c r="AK65" s="34" t="str">
        <x:v>CAND-466C04961ED513</x:v>
      </x:c>
      <x:c r="AL65" s="34" t="str">
        <x:v>P2</x:v>
      </x:c>
      <x:c r="AM65" s="34" t="str">
        <x:v>PORT-7ED23B40E316</x:v>
      </x:c>
      <x:c r="AN65" s="34" t="n">
        <x:v>1000</x:v>
      </x:c>
      <x:c r="AO65" s="34" t="n">
        <x:v>32.779683</x:v>
      </x:c>
      <x:c r="AP65" s="34" t="n">
        <x:v>11.005763</x:v>
      </x:c>
      <x:c r="AQ65" s="34" t="n">
        <x:v>414.904229</x:v>
      </x:c>
      <x:c r="AR65" s="34" t="n">
        <x:v>13064.613</x:v>
      </x:c>
      <x:c r="AS65" s="34" t="n">
        <x:v>31.488261</x:v>
      </x:c>
      <x:c r="AT65" s="40" t="b">
        <x:v>1</x:v>
      </x:c>
      <x:c r="AU65" s="40" t="b">
        <x:v>0</x:v>
      </x:c>
      <x:c r="AV65" s="34" t="str"/>
      <x:c r="AW65" s="34" t="n">
        <x:v>0</x:v>
      </x:c>
      <x:c r="AX65" s="34" t="str">
        <x:v>2.0275124185786808e-05</x:v>
      </x:c>
      <x:c r="AY65" s="40" t="b">
        <x:v>0</x:v>
      </x:c>
      <x:c r="AZ65" s="40" t="b">
        <x:v>0</x:v>
      </x:c>
      <x:c r="BA65" s="40" t="b">
        <x:v>1</x:v>
      </x:c>
      <x:c r="BB65" s="40" t="b">
        <x:v>1</x:v>
      </x:c>
      <x:c r="BC65" s="34" t="n">
        <x:v>2035</x:v>
      </x:c>
      <x:c r="BD65" s="34" t="n">
        <x:v>4.530597659999998</x:v>
      </x:c>
      <x:c r="BE65" s="34" t="n">
        <x:v>0</x:v>
      </x:c>
      <x:c r="BF65" s="34" t="n">
        <x:v>0</x:v>
      </x:c>
      <x:c r="BG65" s="34" t="n">
        <x:v>2</x:v>
      </x:c>
      <x:c r="BH65" s="34" t="n">
        <x:v>3</x:v>
      </x:c>
      <x:c r="BI65" s="34" t="n">
        <x:v>0.3934020479999999</x:v>
      </x:c>
      <x:c r="BJ65" s="34" t="n">
        <x:v>0.65</x:v>
      </x:c>
      <x:c r="BK65" s="34" t="n">
        <x:v>1.54</x:v>
      </x:c>
    </x:row>
    <x:row r="66">
      <x:c r="A66" s="34" t="str">
        <x:v>POSCO_KR</x:v>
      </x:c>
      <x:c r="B66" s="34" t="str">
        <x:v>POSCO</x:v>
      </x:c>
      <x:c r="C66" s="34" t="str">
        <x:v>DISCLOSED_PATH</x:v>
      </x:c>
      <x:c r="D66" s="34" t="str">
        <x:v>P2</x:v>
      </x:c>
      <x:c r="E66" s="34" t="str">
        <x:v>POS-POH-S</x:v>
      </x:c>
      <x:c r="F66" s="34" t="str">
        <x:v>포항제철소 BF 블록 B</x:v>
      </x:c>
      <x:c r="G66" s="34" t="str">
        <x:v>포항</x:v>
      </x:c>
      <x:c r="H66" s="34" t="n">
        <x:v>2032</x:v>
      </x:c>
      <x:c r="I66" s="34" t="str">
        <x:v>BF_BOF</x:v>
      </x:c>
      <x:c r="J66" s="34" t="str">
        <x:v>기준 BF-BOF 복합 블록</x:v>
      </x:c>
      <x:c r="K66" s="34" t="str">
        <x:v>SCRAP_EAF</x:v>
      </x:c>
      <x:c r="L66" s="34" t="str">
        <x:v>스크랩 기반 대형 EAF</x:v>
      </x:c>
      <x:c r="M66" s="34" t="n">
        <x:v>4144</x:v>
      </x:c>
      <x:c r="N66" s="34" t="n">
        <x:v>2664</x:v>
      </x:c>
      <x:c r="O66" s="34" t="n">
        <x:v>7.4</x:v>
      </x:c>
      <x:c r="P66" s="34" t="n">
        <x:v>6.800001</x:v>
      </x:c>
      <x:c r="Q66" s="34" t="n">
        <x:v>14.114992</x:v>
      </x:c>
      <x:c r="R66" s="34" t="n">
        <x:v>14.114992</x:v>
      </x:c>
      <x:c r="S66" s="34" t="n">
        <x:v>3.06</x:v>
      </x:c>
      <x:c r="T66" s="34" t="n">
        <x:v>3.06</x:v>
      </x:c>
      <x:c r="U66" s="34" t="n">
        <x:v>11.054992</x:v>
      </x:c>
      <x:c r="V66" s="34" t="n">
        <x:v>99.49493</x:v>
      </x:c>
      <x:c r="W66" s="34" t="n">
        <x:v>960.133</x:v>
      </x:c>
      <x:c r="X66" s="34" t="n">
        <x:v>275.249</x:v>
      </x:c>
      <x:c r="Y66" s="34" t="n">
        <x:v>4584.896</x:v>
      </x:c>
      <x:c r="Z66" s="34" t="n">
        <x:v>4309.647</x:v>
      </x:c>
      <x:c r="AA66" s="34" t="n">
        <x:v>3624.763</x:v>
      </x:c>
      <x:c r="AB66" s="34" t="n">
        <x:v>684.884</x:v>
      </x:c>
      <x:c r="AC66" s="34" t="n">
        <x:v>1831.332</x:v>
      </x:c>
      <x:c r="AD66" s="34" t="n">
        <x:v>274.288</x:v>
      </x:c>
      <x:c r="AE66" s="34" t="n">
        <x:v>2471.906</x:v>
      </x:c>
      <x:c r="AF66" s="34" t="n">
        <x:v>0</x:v>
      </x:c>
      <x:c r="AG66" s="34" t="n">
        <x:v>7.371</x:v>
      </x:c>
      <x:c r="AH66" s="34" t="n">
        <x:v>-3624.763</x:v>
      </x:c>
      <x:c r="AI66" s="34" t="str">
        <x:v>model_estimate</x:v>
      </x:c>
      <x:c r="AJ66" s="34" t="str">
        <x:v>POSCO 공식 국내 생산·배출 총량에 맞춘 설비 블록 배분; 개별 생산량·재투자연도는 추정</x:v>
      </x:c>
      <x:c r="AK66" s="34" t="str">
        <x:v>CAND-466C04961ED513</x:v>
      </x:c>
      <x:c r="AL66" s="34" t="str">
        <x:v>P2</x:v>
      </x:c>
      <x:c r="AM66" s="34" t="str">
        <x:v>PORT-7ED23B40E316</x:v>
      </x:c>
      <x:c r="AN66" s="34" t="n">
        <x:v>1000</x:v>
      </x:c>
      <x:c r="AO66" s="34" t="n">
        <x:v>32.779683</x:v>
      </x:c>
      <x:c r="AP66" s="34" t="n">
        <x:v>11.005763</x:v>
      </x:c>
      <x:c r="AQ66" s="34" t="n">
        <x:v>414.904229</x:v>
      </x:c>
      <x:c r="AR66" s="34" t="n">
        <x:v>13064.613</x:v>
      </x:c>
      <x:c r="AS66" s="34" t="n">
        <x:v>31.488261</x:v>
      </x:c>
      <x:c r="AT66" s="40" t="b">
        <x:v>1</x:v>
      </x:c>
      <x:c r="AU66" s="40" t="b">
        <x:v>0</x:v>
      </x:c>
      <x:c r="AV66" s="34" t="str"/>
      <x:c r="AW66" s="34" t="n">
        <x:v>0</x:v>
      </x:c>
      <x:c r="AX66" s="34" t="str">
        <x:v>2.0275124185786808e-05</x:v>
      </x:c>
      <x:c r="AY66" s="40" t="b">
        <x:v>0</x:v>
      </x:c>
      <x:c r="AZ66" s="40" t="b">
        <x:v>0</x:v>
      </x:c>
      <x:c r="BA66" s="40" t="b">
        <x:v>1</x:v>
      </x:c>
      <x:c r="BB66" s="40" t="b">
        <x:v>1</x:v>
      </x:c>
      <x:c r="BC66" s="34" t="n">
        <x:v>2035</x:v>
      </x:c>
      <x:c r="BD66" s="34" t="n">
        <x:v>4.530597659999998</x:v>
      </x:c>
      <x:c r="BE66" s="34" t="n">
        <x:v>0</x:v>
      </x:c>
      <x:c r="BF66" s="34" t="n">
        <x:v>0</x:v>
      </x:c>
      <x:c r="BG66" s="34" t="n">
        <x:v>2</x:v>
      </x:c>
      <x:c r="BH66" s="34" t="n">
        <x:v>3</x:v>
      </x:c>
      <x:c r="BI66" s="34" t="n">
        <x:v>0.3934020479999999</x:v>
      </x:c>
      <x:c r="BJ66" s="34" t="n">
        <x:v>0.65</x:v>
      </x:c>
      <x:c r="BK66" s="34" t="n">
        <x:v>1.54</x:v>
      </x:c>
    </x:row>
    <x:row r="67">
      <x:c r="A67" s="34" t="str">
        <x:v>POSCO_KR</x:v>
      </x:c>
      <x:c r="B67" s="34" t="str">
        <x:v>POSCO</x:v>
      </x:c>
      <x:c r="C67" s="34" t="str">
        <x:v>ACCELERATED_15C</x:v>
      </x:c>
      <x:c r="D67" s="34" t="str">
        <x:v>P2</x:v>
      </x:c>
      <x:c r="E67" s="34" t="str">
        <x:v>POS-GWY-E</x:v>
      </x:c>
      <x:c r="F67" s="34" t="str">
        <x:v>광양제철소 BF 블록 B</x:v>
      </x:c>
      <x:c r="G67" s="34" t="str">
        <x:v>광양</x:v>
      </x:c>
      <x:c r="H67" s="34" t="n">
        <x:v>2037</x:v>
      </x:c>
      <x:c r="I67" s="34" t="str">
        <x:v>BF_BOF</x:v>
      </x:c>
      <x:c r="J67" s="34" t="str">
        <x:v>기준 BF-BOF 복합 블록</x:v>
      </x:c>
      <x:c r="K67" s="34" t="str">
        <x:v>H2_DRI_EAF</x:v>
      </x:c>
      <x:c r="L67" s="34" t="str">
        <x:v>수소 DRI + EAF</x:v>
      </x:c>
      <x:c r="M67" s="34" t="n">
        <x:v>9270</x:v>
      </x:c>
      <x:c r="N67" s="34" t="n">
        <x:v>7210</x:v>
      </x:c>
      <x:c r="O67" s="34" t="n">
        <x:v>10.3</x:v>
      </x:c>
      <x:c r="P67" s="34" t="n">
        <x:v>9.502996</x:v>
      </x:c>
      <x:c r="Q67" s="34" t="n">
        <x:v>19.725693</x:v>
      </x:c>
      <x:c r="R67" s="34" t="n">
        <x:v>19.725693</x:v>
      </x:c>
      <x:c r="S67" s="34" t="n">
        <x:v>1.900599</x:v>
      </x:c>
      <x:c r="T67" s="34" t="n">
        <x:v>1.900599</x:v>
      </x:c>
      <x:c r="U67" s="34" t="n">
        <x:v>17.825093</x:v>
      </x:c>
      <x:c r="V67" s="34" t="n">
        <x:v>71.300373</x:v>
      </x:c>
      <x:c r="W67" s="34" t="n">
        <x:v>11248.125</x:v>
      </x:c>
      <x:c r="X67" s="34" t="n">
        <x:v>1452.798</x:v>
      </x:c>
      <x:c r="Y67" s="34" t="n">
        <x:v>15035.68</x:v>
      </x:c>
      <x:c r="Z67" s="34" t="n">
        <x:v>13582.882</x:v>
      </x:c>
      <x:c r="AA67" s="34" t="n">
        <x:v>3787.555</x:v>
      </x:c>
      <x:c r="AB67" s="34" t="n">
        <x:v>9795.327</x:v>
      </x:c>
      <x:c r="AC67" s="34" t="n">
        <x:v>3792.327</x:v>
      </x:c>
      <x:c r="AD67" s="34" t="n">
        <x:v>295.74</x:v>
      </x:c>
      <x:c r="AE67" s="34" t="n">
        <x:v>1311.15</x:v>
      </x:c>
      <x:c r="AF67" s="34" t="n">
        <x:v>9617.294</x:v>
      </x:c>
      <x:c r="AG67" s="34" t="n">
        <x:v>19.169</x:v>
      </x:c>
      <x:c r="AH67" s="34" t="n">
        <x:v>-3787.555</x:v>
      </x:c>
      <x:c r="AI67" s="34" t="str">
        <x:v>model_estimate</x:v>
      </x:c>
      <x:c r="AJ67" s="34" t="str">
        <x:v>POSCO 공식 국내 생산·배출 총량에 맞춘 설비 블록 배분; 개별 생산량·재투자연도는 추정</x:v>
      </x:c>
      <x:c r="AK67" s="34" t="str">
        <x:v>CAND-466C04961ED513</x:v>
      </x:c>
      <x:c r="AL67" s="34" t="str">
        <x:v>P2</x:v>
      </x:c>
      <x:c r="AM67" s="34" t="str">
        <x:v>PORT-7ED23B40E316</x:v>
      </x:c>
      <x:c r="AN67" s="34" t="n">
        <x:v>1000</x:v>
      </x:c>
      <x:c r="AO67" s="34" t="n">
        <x:v>19.099809</x:v>
      </x:c>
      <x:c r="AP67" s="34" t="n">
        <x:v>11.886727</x:v>
      </x:c>
      <x:c r="AQ67" s="34" t="n">
        <x:v>414.904229</x:v>
      </x:c>
      <x:c r="AR67" s="34" t="n">
        <x:v>7402.041</x:v>
      </x:c>
      <x:c r="AS67" s="34" t="n">
        <x:v>17.84036</x:v>
      </x:c>
      <x:c r="AT67" s="40" t="b">
        <x:v>1</x:v>
      </x:c>
      <x:c r="AU67" s="40" t="b">
        <x:v>1</x:v>
      </x:c>
      <x:c r="AV67" s="34" t="str"/>
      <x:c r="AW67" s="34" t="n">
        <x:v>0</x:v>
      </x:c>
      <x:c r="AX67" s="34" t="str">
        <x:v>2.0275124185786808e-05</x:v>
      </x:c>
      <x:c r="AY67" s="40" t="b">
        <x:v>1</x:v>
      </x:c>
      <x:c r="AZ67" s="40" t="b">
        <x:v>1</x:v>
      </x:c>
      <x:c r="BA67" s="40" t="b">
        <x:v>1</x:v>
      </x:c>
      <x:c r="BB67" s="40" t="b">
        <x:v>1</x:v>
      </x:c>
      <x:c r="BC67" s="34" t="str"/>
      <x:c r="BD67" s="34" t="n">
        <x:v>0</x:v>
      </x:c>
      <x:c r="BE67" s="34" t="n">
        <x:v>0</x:v>
      </x:c>
      <x:c r="BF67" s="34" t="n">
        <x:v>0</x:v>
      </x:c>
      <x:c r="BG67" s="34" t="n">
        <x:v>2</x:v>
      </x:c>
      <x:c r="BH67" s="34" t="n">
        <x:v>3</x:v>
      </x:c>
      <x:c r="BI67" s="34" t="n">
        <x:v>0.3934020479999999</x:v>
      </x:c>
      <x:c r="BJ67" s="34" t="n">
        <x:v>0.65</x:v>
      </x:c>
      <x:c r="BK67" s="34" t="n">
        <x:v>1.54</x:v>
      </x:c>
    </x:row>
    <x:row r="68">
      <x:c r="A68" s="34" t="str">
        <x:v>POSCO_KR</x:v>
      </x:c>
      <x:c r="B68" s="34" t="str">
        <x:v>POSCO</x:v>
      </x:c>
      <x:c r="C68" s="34" t="str">
        <x:v>ACCELERATED_15C</x:v>
      </x:c>
      <x:c r="D68" s="34" t="str">
        <x:v>P2</x:v>
      </x:c>
      <x:c r="E68" s="34" t="str">
        <x:v>POS-GWY-EAF</x:v>
      </x:c>
      <x:c r="F68" s="34" t="str">
        <x:v>광양 기존 EAF 블록</x:v>
      </x:c>
      <x:c r="G68" s="34" t="str">
        <x:v>광양</x:v>
      </x:c>
      <x:c r="H68" s="34" t="n">
        <x:v>2033</x:v>
      </x:c>
      <x:c r="I68" s="34" t="str">
        <x:v>EAF_BASELINE</x:v>
      </x:c>
      <x:c r="J68" s="34" t="str">
        <x:v>기존 전기로 기준 블록</x:v>
      </x:c>
      <x:c r="K68" s="34" t="str">
        <x:v>EAF_RENEWABLE</x:v>
      </x:c>
      <x:c r="L68" s="34" t="str">
        <x:v>기존 EAF 재생전력 업그레이드</x:v>
      </x:c>
      <x:c r="M68" s="34" t="n">
        <x:v>312</x:v>
      </x:c>
      <x:c r="N68" s="34" t="n">
        <x:v>96</x:v>
      </x:c>
      <x:c r="O68" s="34" t="n">
        <x:v>1.2</x:v>
      </x:c>
      <x:c r="P68" s="34" t="n">
        <x:v>1.134</x:v>
      </x:c>
      <x:c r="Q68" s="34" t="n">
        <x:v>0.5103</x:v>
      </x:c>
      <x:c r="R68" s="34" t="n">
        <x:v>0.5103</x:v>
      </x:c>
      <x:c r="S68" s="34" t="n">
        <x:v>0.1134</x:v>
      </x:c>
      <x:c r="T68" s="34" t="n">
        <x:v>0.1134</x:v>
      </x:c>
      <x:c r="U68" s="34" t="n">
        <x:v>0.3969</x:v>
      </x:c>
      <x:c r="V68" s="34" t="n">
        <x:v>3.1752</x:v>
      </x:c>
      <x:c r="W68" s="34" t="n">
        <x:v>-48.989</x:v>
      </x:c>
      <x:c r="X68" s="34" t="n">
        <x:v>9.402</x:v>
      </x:c>
      <x:c r="Y68" s="34" t="n">
        <x:v>120.544</x:v>
      </x:c>
      <x:c r="Z68" s="34" t="n">
        <x:v>111.142</x:v>
      </x:c>
      <x:c r="AA68" s="34" t="n">
        <x:v>169.532</x:v>
      </x:c>
      <x:c r="AB68" s="34" t="n">
        <x:v>-58.39</x:v>
      </x:c>
      <x:c r="AC68" s="34" t="n">
        <x:v>62.553</x:v>
      </x:c>
      <x:c r="AD68" s="34" t="n">
        <x:v>14.814</x:v>
      </x:c>
      <x:c r="AE68" s="34" t="n">
        <x:v>42.986</x:v>
      </x:c>
      <x:c r="AF68" s="34" t="n">
        <x:v>0</x:v>
      </x:c>
      <x:c r="AG68" s="34" t="n">
        <x:v>0.19</x:v>
      </x:c>
      <x:c r="AH68" s="34" t="n">
        <x:v>-169.532</x:v>
      </x:c>
      <x:c r="AI68" s="34" t="str">
        <x:v>model_estimate</x:v>
      </x:c>
      <x:c r="AJ68" s="34" t="str">
        <x:v>2025 공식 EAF 생산 1.135Mt에 맞춘 모델 블록; 집약도·재투자연도 추정</x:v>
      </x:c>
      <x:c r="AK68" s="34" t="str">
        <x:v>CAND-466C04961ED513</x:v>
      </x:c>
      <x:c r="AL68" s="34" t="str">
        <x:v>P2</x:v>
      </x:c>
      <x:c r="AM68" s="34" t="str">
        <x:v>PORT-7ED23B40E316</x:v>
      </x:c>
      <x:c r="AN68" s="34" t="n">
        <x:v>1000</x:v>
      </x:c>
      <x:c r="AO68" s="34" t="n">
        <x:v>19.099809</x:v>
      </x:c>
      <x:c r="AP68" s="34" t="n">
        <x:v>11.886727</x:v>
      </x:c>
      <x:c r="AQ68" s="34" t="n">
        <x:v>414.904229</x:v>
      </x:c>
      <x:c r="AR68" s="34" t="n">
        <x:v>7402.041</x:v>
      </x:c>
      <x:c r="AS68" s="34" t="n">
        <x:v>17.84036</x:v>
      </x:c>
      <x:c r="AT68" s="40" t="b">
        <x:v>1</x:v>
      </x:c>
      <x:c r="AU68" s="40" t="b">
        <x:v>1</x:v>
      </x:c>
      <x:c r="AV68" s="34" t="str"/>
      <x:c r="AW68" s="34" t="n">
        <x:v>0</x:v>
      </x:c>
      <x:c r="AX68" s="34" t="str">
        <x:v>2.0275124185786808e-05</x:v>
      </x:c>
      <x:c r="AY68" s="40" t="b">
        <x:v>1</x:v>
      </x:c>
      <x:c r="AZ68" s="40" t="b">
        <x:v>1</x:v>
      </x:c>
      <x:c r="BA68" s="40" t="b">
        <x:v>1</x:v>
      </x:c>
      <x:c r="BB68" s="40" t="b">
        <x:v>1</x:v>
      </x:c>
      <x:c r="BC68" s="34" t="str"/>
      <x:c r="BD68" s="34" t="n">
        <x:v>0</x:v>
      </x:c>
      <x:c r="BE68" s="34" t="n">
        <x:v>0</x:v>
      </x:c>
      <x:c r="BF68" s="34" t="n">
        <x:v>0</x:v>
      </x:c>
      <x:c r="BG68" s="34" t="n">
        <x:v>2</x:v>
      </x:c>
      <x:c r="BH68" s="34" t="n">
        <x:v>3</x:v>
      </x:c>
      <x:c r="BI68" s="34" t="n">
        <x:v>0.3934020479999999</x:v>
      </x:c>
      <x:c r="BJ68" s="34" t="n">
        <x:v>0.65</x:v>
      </x:c>
      <x:c r="BK68" s="34" t="n">
        <x:v>1.54</x:v>
      </x:c>
    </x:row>
    <x:row r="69">
      <x:c r="A69" s="34" t="str">
        <x:v>POSCO_KR</x:v>
      </x:c>
      <x:c r="B69" s="34" t="str">
        <x:v>POSCO</x:v>
      </x:c>
      <x:c r="C69" s="34" t="str">
        <x:v>ACCELERATED_15C</x:v>
      </x:c>
      <x:c r="D69" s="34" t="str">
        <x:v>P2</x:v>
      </x:c>
      <x:c r="E69" s="34" t="str">
        <x:v>POS-GWY-W</x:v>
      </x:c>
      <x:c r="F69" s="34" t="str">
        <x:v>광양제철소 BF 블록 A</x:v>
      </x:c>
      <x:c r="G69" s="34" t="str">
        <x:v>광양</x:v>
      </x:c>
      <x:c r="H69" s="34" t="n">
        <x:v>2035</x:v>
      </x:c>
      <x:c r="I69" s="34" t="str">
        <x:v>BF_BOF</x:v>
      </x:c>
      <x:c r="J69" s="34" t="str">
        <x:v>기준 BF-BOF 복합 블록</x:v>
      </x:c>
      <x:c r="K69" s="34" t="str">
        <x:v>SCRAP_EAF</x:v>
      </x:c>
      <x:c r="L69" s="34" t="str">
        <x:v>스크랩 기반 대형 EAF</x:v>
      </x:c>
      <x:c r="M69" s="34" t="n">
        <x:v>5768</x:v>
      </x:c>
      <x:c r="N69" s="34" t="n">
        <x:v>3708</x:v>
      </x:c>
      <x:c r="O69" s="34" t="n">
        <x:v>10.3</x:v>
      </x:c>
      <x:c r="P69" s="34" t="n">
        <x:v>9.499999</x:v>
      </x:c>
      <x:c r="Q69" s="34" t="n">
        <x:v>19.719471</x:v>
      </x:c>
      <x:c r="R69" s="34" t="n">
        <x:v>19.719471</x:v>
      </x:c>
      <x:c r="S69" s="34" t="n">
        <x:v>4.275</x:v>
      </x:c>
      <x:c r="T69" s="34" t="n">
        <x:v>4.275</x:v>
      </x:c>
      <x:c r="U69" s="34" t="n">
        <x:v>15.444471</x:v>
      </x:c>
      <x:c r="V69" s="34" t="n">
        <x:v>92.666828</x:v>
      </x:c>
      <x:c r="W69" s="34" t="n">
        <x:v>-31.935</x:v>
      </x:c>
      <x:c r="X69" s="34" t="n">
        <x:v>435.024</x:v>
      </x:c>
      <x:c r="Y69" s="34" t="n">
        <x:v>4916.902</x:v>
      </x:c>
      <x:c r="Z69" s="34" t="n">
        <x:v>4481.878</x:v>
      </x:c>
      <x:c r="AA69" s="34" t="n">
        <x:v>4948.836</x:v>
      </x:c>
      <x:c r="AB69" s="34" t="n">
        <x:v>-466.958</x:v>
      </x:c>
      <x:c r="AC69" s="34" t="n">
        <x:v>2170.777</x:v>
      </x:c>
      <x:c r="AD69" s="34" t="n">
        <x:v>263.8</x:v>
      </x:c>
      <x:c r="AE69" s="34" t="n">
        <x:v>2474.272</x:v>
      </x:c>
      <x:c r="AF69" s="34" t="n">
        <x:v>0</x:v>
      </x:c>
      <x:c r="AG69" s="34" t="n">
        <x:v>8.053</x:v>
      </x:c>
      <x:c r="AH69" s="34" t="n">
        <x:v>-4948.836</x:v>
      </x:c>
      <x:c r="AI69" s="34" t="str">
        <x:v>model_estimate</x:v>
      </x:c>
      <x:c r="AJ69" s="34" t="str">
        <x:v>POSCO 공식 국내 생산·배출 총량에 맞춘 설비 블록 배분; 개별 생산량·재투자연도는 추정</x:v>
      </x:c>
      <x:c r="AK69" s="34" t="str">
        <x:v>CAND-466C04961ED513</x:v>
      </x:c>
      <x:c r="AL69" s="34" t="str">
        <x:v>P2</x:v>
      </x:c>
      <x:c r="AM69" s="34" t="str">
        <x:v>PORT-7ED23B40E316</x:v>
      </x:c>
      <x:c r="AN69" s="34" t="n">
        <x:v>1000</x:v>
      </x:c>
      <x:c r="AO69" s="34" t="n">
        <x:v>19.099809</x:v>
      </x:c>
      <x:c r="AP69" s="34" t="n">
        <x:v>11.886727</x:v>
      </x:c>
      <x:c r="AQ69" s="34" t="n">
        <x:v>414.904229</x:v>
      </x:c>
      <x:c r="AR69" s="34" t="n">
        <x:v>7402.041</x:v>
      </x:c>
      <x:c r="AS69" s="34" t="n">
        <x:v>17.84036</x:v>
      </x:c>
      <x:c r="AT69" s="40" t="b">
        <x:v>1</x:v>
      </x:c>
      <x:c r="AU69" s="40" t="b">
        <x:v>1</x:v>
      </x:c>
      <x:c r="AV69" s="34" t="str"/>
      <x:c r="AW69" s="34" t="n">
        <x:v>0</x:v>
      </x:c>
      <x:c r="AX69" s="34" t="str">
        <x:v>2.0275124185786808e-05</x:v>
      </x:c>
      <x:c r="AY69" s="40" t="b">
        <x:v>1</x:v>
      </x:c>
      <x:c r="AZ69" s="40" t="b">
        <x:v>1</x:v>
      </x:c>
      <x:c r="BA69" s="40" t="b">
        <x:v>1</x:v>
      </x:c>
      <x:c r="BB69" s="40" t="b">
        <x:v>1</x:v>
      </x:c>
      <x:c r="BC69" s="34" t="str"/>
      <x:c r="BD69" s="34" t="n">
        <x:v>0</x:v>
      </x:c>
      <x:c r="BE69" s="34" t="n">
        <x:v>0</x:v>
      </x:c>
      <x:c r="BF69" s="34" t="n">
        <x:v>0</x:v>
      </x:c>
      <x:c r="BG69" s="34" t="n">
        <x:v>2</x:v>
      </x:c>
      <x:c r="BH69" s="34" t="n">
        <x:v>3</x:v>
      </x:c>
      <x:c r="BI69" s="34" t="n">
        <x:v>0.3934020479999999</x:v>
      </x:c>
      <x:c r="BJ69" s="34" t="n">
        <x:v>0.65</x:v>
      </x:c>
      <x:c r="BK69" s="34" t="n">
        <x:v>1.54</x:v>
      </x:c>
    </x:row>
    <x:row r="70">
      <x:c r="A70" s="34" t="str">
        <x:v>POSCO_KR</x:v>
      </x:c>
      <x:c r="B70" s="34" t="str">
        <x:v>POSCO</x:v>
      </x:c>
      <x:c r="C70" s="34" t="str">
        <x:v>ACCELERATED_15C</x:v>
      </x:c>
      <x:c r="D70" s="34" t="str">
        <x:v>P2</x:v>
      </x:c>
      <x:c r="E70" s="34" t="str">
        <x:v>POS-POH-N</x:v>
      </x:c>
      <x:c r="F70" s="34" t="str">
        <x:v>포항제철소 BF 블록 A</x:v>
      </x:c>
      <x:c r="G70" s="34" t="str">
        <x:v>포항</x:v>
      </x:c>
      <x:c r="H70" s="34" t="n">
        <x:v>2029</x:v>
      </x:c>
      <x:c r="I70" s="34" t="str">
        <x:v>BF_BOF</x:v>
      </x:c>
      <x:c r="J70" s="34" t="str">
        <x:v>기준 BF-BOF 복합 블록</x:v>
      </x:c>
      <x:c r="K70" s="34" t="str">
        <x:v>SCRAP_EAF</x:v>
      </x:c>
      <x:c r="L70" s="34" t="str">
        <x:v>스크랩 기반 대형 EAF</x:v>
      </x:c>
      <x:c r="M70" s="34" t="n">
        <x:v>4592</x:v>
      </x:c>
      <x:c r="N70" s="34" t="n">
        <x:v>2952</x:v>
      </x:c>
      <x:c r="O70" s="34" t="n">
        <x:v>8.2</x:v>
      </x:c>
      <x:c r="P70" s="34" t="n">
        <x:v>7.599998</x:v>
      </x:c>
      <x:c r="Q70" s="34" t="n">
        <x:v>15.775574</x:v>
      </x:c>
      <x:c r="R70" s="34" t="n">
        <x:v>3.419999</x:v>
      </x:c>
      <x:c r="S70" s="34" t="n">
        <x:v>3.419999</x:v>
      </x:c>
      <x:c r="T70" s="34" t="n">
        <x:v>3.419999</x:v>
      </x:c>
      <x:c r="U70" s="34" t="n">
        <x:v>12.355575</x:v>
      </x:c>
      <x:c r="V70" s="34" t="n">
        <x:v>148.266898</x:v>
      </x:c>
      <x:c r="W70" s="34" t="n">
        <x:v>-592.38</x:v>
      </x:c>
      <x:c r="X70" s="34" t="n">
        <x:v>477.534</x:v>
      </x:c>
      <x:c r="Y70" s="34" t="n">
        <x:v>7170.146</x:v>
      </x:c>
      <x:c r="Z70" s="34" t="n">
        <x:v>6692.612</x:v>
      </x:c>
      <x:c r="AA70" s="34" t="n">
        <x:v>7762.525</x:v>
      </x:c>
      <x:c r="AB70" s="34" t="n">
        <x:v>-1069.914</x:v>
      </x:c>
      <x:c r="AC70" s="34" t="n">
        <x:v>2382.904</x:v>
      </x:c>
      <x:c r="AD70" s="34" t="n">
        <x:v>446.25</x:v>
      </x:c>
      <x:c r="AE70" s="34" t="n">
        <x:v>4329.731</x:v>
      </x:c>
      <x:c r="AF70" s="34" t="n">
        <x:v>0</x:v>
      </x:c>
      <x:c r="AG70" s="34" t="n">
        <x:v>11.26</x:v>
      </x:c>
      <x:c r="AH70" s="34" t="n">
        <x:v>-7762.525</x:v>
      </x:c>
      <x:c r="AI70" s="34" t="str">
        <x:v>model_estimate</x:v>
      </x:c>
      <x:c r="AJ70" s="34" t="str">
        <x:v>POSCO 공식 국내 생산·배출 총량에 맞춘 설비 블록 배분; 개별 생산량·재투자연도는 추정</x:v>
      </x:c>
      <x:c r="AK70" s="34" t="str">
        <x:v>CAND-466C04961ED513</x:v>
      </x:c>
      <x:c r="AL70" s="34" t="str">
        <x:v>P2</x:v>
      </x:c>
      <x:c r="AM70" s="34" t="str">
        <x:v>PORT-7ED23B40E316</x:v>
      </x:c>
      <x:c r="AN70" s="34" t="n">
        <x:v>1000</x:v>
      </x:c>
      <x:c r="AO70" s="34" t="n">
        <x:v>19.099809</x:v>
      </x:c>
      <x:c r="AP70" s="34" t="n">
        <x:v>11.886727</x:v>
      </x:c>
      <x:c r="AQ70" s="34" t="n">
        <x:v>414.904229</x:v>
      </x:c>
      <x:c r="AR70" s="34" t="n">
        <x:v>7402.041</x:v>
      </x:c>
      <x:c r="AS70" s="34" t="n">
        <x:v>17.84036</x:v>
      </x:c>
      <x:c r="AT70" s="40" t="b">
        <x:v>1</x:v>
      </x:c>
      <x:c r="AU70" s="40" t="b">
        <x:v>1</x:v>
      </x:c>
      <x:c r="AV70" s="34" t="str"/>
      <x:c r="AW70" s="34" t="n">
        <x:v>0</x:v>
      </x:c>
      <x:c r="AX70" s="34" t="str">
        <x:v>2.0275124185786808e-05</x:v>
      </x:c>
      <x:c r="AY70" s="40" t="b">
        <x:v>1</x:v>
      </x:c>
      <x:c r="AZ70" s="40" t="b">
        <x:v>1</x:v>
      </x:c>
      <x:c r="BA70" s="40" t="b">
        <x:v>1</x:v>
      </x:c>
      <x:c r="BB70" s="40" t="b">
        <x:v>1</x:v>
      </x:c>
      <x:c r="BC70" s="34" t="str"/>
      <x:c r="BD70" s="34" t="n">
        <x:v>0</x:v>
      </x:c>
      <x:c r="BE70" s="34" t="n">
        <x:v>0</x:v>
      </x:c>
      <x:c r="BF70" s="34" t="n">
        <x:v>0</x:v>
      </x:c>
      <x:c r="BG70" s="34" t="n">
        <x:v>2</x:v>
      </x:c>
      <x:c r="BH70" s="34" t="n">
        <x:v>3</x:v>
      </x:c>
      <x:c r="BI70" s="34" t="n">
        <x:v>0.3934020479999999</x:v>
      </x:c>
      <x:c r="BJ70" s="34" t="n">
        <x:v>0.65</x:v>
      </x:c>
      <x:c r="BK70" s="34" t="n">
        <x:v>1.54</x:v>
      </x:c>
    </x:row>
    <x:row r="71">
      <x:c r="A71" s="34" t="str">
        <x:v>POSCO_KR</x:v>
      </x:c>
      <x:c r="B71" s="34" t="str">
        <x:v>POSCO</x:v>
      </x:c>
      <x:c r="C71" s="34" t="str">
        <x:v>ACCELERATED_15C</x:v>
      </x:c>
      <x:c r="D71" s="34" t="str">
        <x:v>P2</x:v>
      </x:c>
      <x:c r="E71" s="34" t="str">
        <x:v>POS-POH-S</x:v>
      </x:c>
      <x:c r="F71" s="34" t="str">
        <x:v>포항제철소 BF 블록 B</x:v>
      </x:c>
      <x:c r="G71" s="34" t="str">
        <x:v>포항</x:v>
      </x:c>
      <x:c r="H71" s="34" t="n">
        <x:v>2032</x:v>
      </x:c>
      <x:c r="I71" s="34" t="str">
        <x:v>BF_BOF</x:v>
      </x:c>
      <x:c r="J71" s="34" t="str">
        <x:v>기준 BF-BOF 복합 블록</x:v>
      </x:c>
      <x:c r="K71" s="34" t="str">
        <x:v>SCRAP_EAF</x:v>
      </x:c>
      <x:c r="L71" s="34" t="str">
        <x:v>스크랩 기반 대형 EAF</x:v>
      </x:c>
      <x:c r="M71" s="34" t="n">
        <x:v>4144</x:v>
      </x:c>
      <x:c r="N71" s="34" t="n">
        <x:v>2664</x:v>
      </x:c>
      <x:c r="O71" s="34" t="n">
        <x:v>7.4</x:v>
      </x:c>
      <x:c r="P71" s="34" t="n">
        <x:v>6.800001</x:v>
      </x:c>
      <x:c r="Q71" s="34" t="n">
        <x:v>14.114992</x:v>
      </x:c>
      <x:c r="R71" s="34" t="n">
        <x:v>14.114992</x:v>
      </x:c>
      <x:c r="S71" s="34" t="n">
        <x:v>3.06</x:v>
      </x:c>
      <x:c r="T71" s="34" t="n">
        <x:v>3.06</x:v>
      </x:c>
      <x:c r="U71" s="34" t="n">
        <x:v>11.054992</x:v>
      </x:c>
      <x:c r="V71" s="34" t="n">
        <x:v>99.49493</x:v>
      </x:c>
      <x:c r="W71" s="34" t="n">
        <x:v>-431.025</x:v>
      </x:c>
      <x:c r="X71" s="34" t="n">
        <x:v>366.999</x:v>
      </x:c>
      <x:c r="Y71" s="34" t="n">
        <x:v>4868.971</x:v>
      </x:c>
      <x:c r="Z71" s="34" t="n">
        <x:v>4501.973</x:v>
      </x:c>
      <x:c r="AA71" s="34" t="n">
        <x:v>5299.996</x:v>
      </x:c>
      <x:c r="AB71" s="34" t="n">
        <x:v>-798.024</x:v>
      </x:c>
      <x:c r="AC71" s="34" t="n">
        <x:v>1831.332</x:v>
      </x:c>
      <x:c r="AD71" s="34" t="n">
        <x:v>274.288</x:v>
      </x:c>
      <x:c r="AE71" s="34" t="n">
        <x:v>2755.556</x:v>
      </x:c>
      <x:c r="AF71" s="34" t="n">
        <x:v>0</x:v>
      </x:c>
      <x:c r="AG71" s="34" t="n">
        <x:v>7.796</x:v>
      </x:c>
      <x:c r="AH71" s="34" t="n">
        <x:v>-5299.996</x:v>
      </x:c>
      <x:c r="AI71" s="34" t="str">
        <x:v>model_estimate</x:v>
      </x:c>
      <x:c r="AJ71" s="34" t="str">
        <x:v>POSCO 공식 국내 생산·배출 총량에 맞춘 설비 블록 배분; 개별 생산량·재투자연도는 추정</x:v>
      </x:c>
      <x:c r="AK71" s="34" t="str">
        <x:v>CAND-466C04961ED513</x:v>
      </x:c>
      <x:c r="AL71" s="34" t="str">
        <x:v>P2</x:v>
      </x:c>
      <x:c r="AM71" s="34" t="str">
        <x:v>PORT-7ED23B40E316</x:v>
      </x:c>
      <x:c r="AN71" s="34" t="n">
        <x:v>1000</x:v>
      </x:c>
      <x:c r="AO71" s="34" t="n">
        <x:v>19.099809</x:v>
      </x:c>
      <x:c r="AP71" s="34" t="n">
        <x:v>11.886727</x:v>
      </x:c>
      <x:c r="AQ71" s="34" t="n">
        <x:v>414.904229</x:v>
      </x:c>
      <x:c r="AR71" s="34" t="n">
        <x:v>7402.041</x:v>
      </x:c>
      <x:c r="AS71" s="34" t="n">
        <x:v>17.84036</x:v>
      </x:c>
      <x:c r="AT71" s="40" t="b">
        <x:v>1</x:v>
      </x:c>
      <x:c r="AU71" s="40" t="b">
        <x:v>1</x:v>
      </x:c>
      <x:c r="AV71" s="34" t="str"/>
      <x:c r="AW71" s="34" t="n">
        <x:v>0</x:v>
      </x:c>
      <x:c r="AX71" s="34" t="str">
        <x:v>2.0275124185786808e-05</x:v>
      </x:c>
      <x:c r="AY71" s="40" t="b">
        <x:v>1</x:v>
      </x:c>
      <x:c r="AZ71" s="40" t="b">
        <x:v>1</x:v>
      </x:c>
      <x:c r="BA71" s="40" t="b">
        <x:v>1</x:v>
      </x:c>
      <x:c r="BB71" s="40" t="b">
        <x:v>1</x:v>
      </x:c>
      <x:c r="BC71" s="34" t="str"/>
      <x:c r="BD71" s="34" t="n">
        <x:v>0</x:v>
      </x:c>
      <x:c r="BE71" s="34" t="n">
        <x:v>0</x:v>
      </x:c>
      <x:c r="BF71" s="34" t="n">
        <x:v>0</x:v>
      </x:c>
      <x:c r="BG71" s="34" t="n">
        <x:v>2</x:v>
      </x:c>
      <x:c r="BH71" s="34" t="n">
        <x:v>3</x:v>
      </x:c>
      <x:c r="BI71" s="34" t="n">
        <x:v>0.3934020479999999</x:v>
      </x:c>
      <x:c r="BJ71" s="34" t="n">
        <x:v>0.65</x:v>
      </x:c>
      <x:c r="BK71" s="34" t="n">
        <x:v>1.54</x:v>
      </x:c>
    </x:row>
    <x:row r="72">
      <x:c r="A72" s="34" t="str">
        <x:v>KOBE_STEEL_JP</x:v>
      </x:c>
      <x:c r="B72" s="34" t="str">
        <x:v>Kobe Steel</x:v>
      </x:c>
      <x:c r="C72" s="34" t="str">
        <x:v>DISCLOSED_PATH</x:v>
      </x:c>
      <x:c r="D72" s="34" t="str">
        <x:v>P3</x:v>
      </x:c>
      <x:c r="E72" s="34" t="str">
        <x:v>KOB-BF1</x:v>
      </x:c>
      <x:c r="F72" s="34" t="str">
        <x:v>Kakogawa Works BF 블록 1</x:v>
      </x:c>
      <x:c r="G72" s="34" t="str">
        <x:v>가코가와</x:v>
      </x:c>
      <x:c r="H72" s="34" t="n">
        <x:v>2029</x:v>
      </x:c>
      <x:c r="I72" s="34" t="str">
        <x:v>BF_BOF</x:v>
      </x:c>
      <x:c r="J72" s="34" t="str">
        <x:v>기준 BF-BOF 복합 블록</x:v>
      </x:c>
      <x:c r="K72" s="34" t="str">
        <x:v>H2_DRI_EAF</x:v>
      </x:c>
      <x:c r="L72" s="34" t="str">
        <x:v>수소 DRI + EAF</x:v>
      </x:c>
      <x:c r="M72" s="34" t="n">
        <x:v>3118.5</x:v>
      </x:c>
      <x:c r="N72" s="34" t="n">
        <x:v>2425.5</x:v>
      </x:c>
      <x:c r="O72" s="34" t="n">
        <x:v>3.15</x:v>
      </x:c>
      <x:c r="P72" s="34" t="n">
        <x:v>2.95</x:v>
      </x:c>
      <x:c r="Q72" s="34" t="n">
        <x:v>7.173636</x:v>
      </x:c>
      <x:c r="R72" s="34" t="n">
        <x:v>0.59</x:v>
      </x:c>
      <x:c r="S72" s="34" t="n">
        <x:v>0.59</x:v>
      </x:c>
      <x:c r="T72" s="34" t="n">
        <x:v>0.59</x:v>
      </x:c>
      <x:c r="U72" s="34" t="n">
        <x:v>6.583636</x:v>
      </x:c>
      <x:c r="V72" s="34" t="n">
        <x:v>79.003637</x:v>
      </x:c>
      <x:c r="W72" s="34" t="n">
        <x:v>15969.27</x:v>
      </x:c>
      <x:c r="X72" s="34" t="n">
        <x:v>1601.173</x:v>
      </x:c>
      <x:c r="Y72" s="34" t="n">
        <x:v>18731.053</x:v>
      </x:c>
      <x:c r="Z72" s="34" t="n">
        <x:v>17129.88</x:v>
      </x:c>
      <x:c r="AA72" s="34" t="n">
        <x:v>2761.783</x:v>
      </x:c>
      <x:c r="AB72" s="34" t="n">
        <x:v>14368.097</x:v>
      </x:c>
      <x:c r="AC72" s="34" t="n">
        <x:v>1957.904</x:v>
      </x:c>
      <x:c r="AD72" s="34" t="n">
        <x:v>238.172</x:v>
      </x:c>
      <x:c r="AE72" s="34" t="n">
        <x:v>1975.516</x:v>
      </x:c>
      <x:c r="AF72" s="34" t="n">
        <x:v>14485.97</x:v>
      </x:c>
      <x:c r="AG72" s="34" t="n">
        <x:v>73.491</x:v>
      </x:c>
      <x:c r="AH72" s="34" t="n">
        <x:v>-2761.783</x:v>
      </x:c>
      <x:c r="AI72" s="34" t="str">
        <x:v>model_estimate</x:v>
      </x:c>
      <x:c r="AJ72" s="34" t="str">
        <x:v>Kobe Steel 공식 조강·목표경계 배출 총량에 맞춘 블록 배분</x:v>
      </x:c>
      <x:c r="AK72" s="34" t="str">
        <x:v>CAND-4D158AE8BC3521</x:v>
      </x:c>
      <x:c r="AL72" s="34" t="str">
        <x:v>P3</x:v>
      </x:c>
      <x:c r="AM72" s="34" t="str">
        <x:v>PORT-1144EBE63B41</x:v>
      </x:c>
      <x:c r="AN72" s="34" t="n">
        <x:v>1000</x:v>
      </x:c>
      <x:c r="AO72" s="34" t="n">
        <x:v>145.802222</x:v>
      </x:c>
      <x:c r="AP72" s="34" t="n">
        <x:v>26.900501</x:v>
      </x:c>
      <x:c r="AQ72" s="34" t="n">
        <x:v>102.391093</x:v>
      </x:c>
      <x:c r="AR72" s="34" t="n">
        <x:v>14716.433</x:v>
      </x:c>
      <x:c r="AS72" s="34" t="n">
        <x:v>143.727666</x:v>
      </x:c>
      <x:c r="AT72" s="40" t="b">
        <x:v>1</x:v>
      </x:c>
      <x:c r="AU72" s="40" t="b">
        <x:v>1</x:v>
      </x:c>
      <x:c r="AV72" s="34" t="str"/>
      <x:c r="AW72" s="34" t="n">
        <x:v>0</x:v>
      </x:c>
      <x:c r="AX72" s="34" t="str">
        <x:v>9.990856690045291e-05</x:v>
      </x:c>
      <x:c r="AY72" s="40" t="b">
        <x:v>1</x:v>
      </x:c>
      <x:c r="AZ72" s="40" t="b">
        <x:v>1</x:v>
      </x:c>
      <x:c r="BA72" s="40" t="b">
        <x:v>1</x:v>
      </x:c>
      <x:c r="BB72" s="40" t="b">
        <x:v>1</x:v>
      </x:c>
      <x:c r="BC72" s="34" t="str"/>
      <x:c r="BD72" s="34" t="n">
        <x:v>0</x:v>
      </x:c>
      <x:c r="BE72" s="34" t="n">
        <x:v>0</x:v>
      </x:c>
      <x:c r="BF72" s="34" t="n">
        <x:v>0</x:v>
      </x:c>
      <x:c r="BG72" s="34" t="n">
        <x:v>1</x:v>
      </x:c>
      <x:c r="BH72" s="34" t="n">
        <x:v>1</x:v>
      </x:c>
      <x:c r="BI72" s="34" t="n">
        <x:v>0.28332</x:v>
      </x:c>
      <x:c r="BJ72" s="34" t="n">
        <x:v>0.6</x:v>
      </x:c>
      <x:c r="BK72" s="34" t="n">
        <x:v>1.06</x:v>
      </x:c>
    </x:row>
    <x:row r="73">
      <x:c r="A73" s="34" t="str">
        <x:v>KOBE_STEEL_JP</x:v>
      </x:c>
      <x:c r="B73" s="34" t="str">
        <x:v>Kobe Steel</x:v>
      </x:c>
      <x:c r="C73" s="34" t="str">
        <x:v>DISCLOSED_PATH</x:v>
      </x:c>
      <x:c r="D73" s="34" t="str">
        <x:v>P3</x:v>
      </x:c>
      <x:c r="E73" s="34" t="str">
        <x:v>KOB-BF3</x:v>
      </x:c>
      <x:c r="F73" s="34" t="str">
        <x:v>Kakogawa Works BF 블록 3</x:v>
      </x:c>
      <x:c r="G73" s="34" t="str">
        <x:v>가코가와</x:v>
      </x:c>
      <x:c r="H73" s="34" t="n">
        <x:v>2037</x:v>
      </x:c>
      <x:c r="I73" s="34" t="str">
        <x:v>BF_BOF</x:v>
      </x:c>
      <x:c r="J73" s="34" t="str">
        <x:v>기준 BF-BOF 복합 블록</x:v>
      </x:c>
      <x:c r="K73" s="34" t="str">
        <x:v>SCRAP_EAF</x:v>
      </x:c>
      <x:c r="L73" s="34" t="str">
        <x:v>스크랩 기반 대형 EAF</x:v>
      </x:c>
      <x:c r="M73" s="34" t="n">
        <x:v>1878.8</x:v>
      </x:c>
      <x:c r="N73" s="34" t="n">
        <x:v>1207.8</x:v>
      </x:c>
      <x:c r="O73" s="34" t="n">
        <x:v>3.05</x:v>
      </x:c>
      <x:c r="P73" s="34" t="n">
        <x:v>2.909999</x:v>
      </x:c>
      <x:c r="Q73" s="34" t="n">
        <x:v>7.076364</x:v>
      </x:c>
      <x:c r="R73" s="34" t="n">
        <x:v>7.076364</x:v>
      </x:c>
      <x:c r="S73" s="34" t="n">
        <x:v>1.3095</x:v>
      </x:c>
      <x:c r="T73" s="34" t="n">
        <x:v>1.3095</x:v>
      </x:c>
      <x:c r="U73" s="34" t="n">
        <x:v>5.766864</x:v>
      </x:c>
      <x:c r="V73" s="34" t="n">
        <x:v>23.067457</x:v>
      </x:c>
      <x:c r="W73" s="34" t="n">
        <x:v>510.617</x:v>
      </x:c>
      <x:c r="X73" s="34" t="n">
        <x:v>159.654</x:v>
      </x:c>
      <x:c r="Y73" s="34" t="n">
        <x:v>1313.34</x:v>
      </x:c>
      <x:c r="Z73" s="34" t="n">
        <x:v>1153.687</x:v>
      </x:c>
      <x:c r="AA73" s="34" t="n">
        <x:v>802.724</x:v>
      </x:c>
      <x:c r="AB73" s="34" t="n">
        <x:v>350.963</x:v>
      </x:c>
      <x:c r="AC73" s="34" t="n">
        <x:v>635.28</x:v>
      </x:c>
      <x:c r="AD73" s="34" t="n">
        <x:v>22.64</x:v>
      </x:c>
      <x:c r="AE73" s="34" t="n">
        <x:v>649.163</x:v>
      </x:c>
      <x:c r="AF73" s="34" t="n">
        <x:v>0</x:v>
      </x:c>
      <x:c r="AG73" s="34" t="n">
        <x:v>6.256</x:v>
      </x:c>
      <x:c r="AH73" s="34" t="n">
        <x:v>-802.724</x:v>
      </x:c>
      <x:c r="AI73" s="34" t="str">
        <x:v>model_estimate</x:v>
      </x:c>
      <x:c r="AJ73" s="34" t="str">
        <x:v>2016년 BF3 개수와 장기 수명주기를 반영한 재투자연도 추정</x:v>
      </x:c>
      <x:c r="AK73" s="34" t="str">
        <x:v>CAND-4D158AE8BC3521</x:v>
      </x:c>
      <x:c r="AL73" s="34" t="str">
        <x:v>P3</x:v>
      </x:c>
      <x:c r="AM73" s="34" t="str">
        <x:v>PORT-1144EBE63B41</x:v>
      </x:c>
      <x:c r="AN73" s="34" t="n">
        <x:v>1000</x:v>
      </x:c>
      <x:c r="AO73" s="34" t="n">
        <x:v>145.802222</x:v>
      </x:c>
      <x:c r="AP73" s="34" t="n">
        <x:v>26.900501</x:v>
      </x:c>
      <x:c r="AQ73" s="34" t="n">
        <x:v>102.391093</x:v>
      </x:c>
      <x:c r="AR73" s="34" t="n">
        <x:v>14716.433</x:v>
      </x:c>
      <x:c r="AS73" s="34" t="n">
        <x:v>143.727666</x:v>
      </x:c>
      <x:c r="AT73" s="40" t="b">
        <x:v>1</x:v>
      </x:c>
      <x:c r="AU73" s="40" t="b">
        <x:v>1</x:v>
      </x:c>
      <x:c r="AV73" s="34" t="str"/>
      <x:c r="AW73" s="34" t="n">
        <x:v>0</x:v>
      </x:c>
      <x:c r="AX73" s="34" t="str">
        <x:v>9.990856690045291e-05</x:v>
      </x:c>
      <x:c r="AY73" s="40" t="b">
        <x:v>1</x:v>
      </x:c>
      <x:c r="AZ73" s="40" t="b">
        <x:v>1</x:v>
      </x:c>
      <x:c r="BA73" s="40" t="b">
        <x:v>1</x:v>
      </x:c>
      <x:c r="BB73" s="40" t="b">
        <x:v>1</x:v>
      </x:c>
      <x:c r="BC73" s="34" t="str"/>
      <x:c r="BD73" s="34" t="n">
        <x:v>0</x:v>
      </x:c>
      <x:c r="BE73" s="34" t="n">
        <x:v>0</x:v>
      </x:c>
      <x:c r="BF73" s="34" t="n">
        <x:v>0</x:v>
      </x:c>
      <x:c r="BG73" s="34" t="n">
        <x:v>1</x:v>
      </x:c>
      <x:c r="BH73" s="34" t="n">
        <x:v>1</x:v>
      </x:c>
      <x:c r="BI73" s="34" t="n">
        <x:v>0.28332</x:v>
      </x:c>
      <x:c r="BJ73" s="34" t="n">
        <x:v>0.6</x:v>
      </x:c>
      <x:c r="BK73" s="34" t="n">
        <x:v>1.06</x:v>
      </x:c>
    </x:row>
    <x:row r="74">
      <x:c r="A74" s="34" t="str">
        <x:v>KOBE_STEEL_JP</x:v>
      </x:c>
      <x:c r="B74" s="34" t="str">
        <x:v>Kobe Steel</x:v>
      </x:c>
      <x:c r="C74" s="34" t="str">
        <x:v>DISCLOSED_PATH</x:v>
      </x:c>
      <x:c r="D74" s="34" t="str">
        <x:v>P3</x:v>
      </x:c>
      <x:c r="E74" s="34" t="str">
        <x:v>KOB-TAKA</x:v>
      </x:c>
      <x:c r="F74" s="34" t="str">
        <x:v>Takasago Works EAF block</x:v>
      </x:c>
      <x:c r="G74" s="34" t="str">
        <x:v>다카사고</x:v>
      </x:c>
      <x:c r="H74" s="34" t="n">
        <x:v>2033</x:v>
      </x:c>
      <x:c r="I74" s="34" t="str">
        <x:v>EAF_BASELINE</x:v>
      </x:c>
      <x:c r="J74" s="34" t="str">
        <x:v>기존 전기로 기준 블록</x:v>
      </x:c>
      <x:c r="K74" s="34" t="str">
        <x:v>EAF_RENEWABLE</x:v>
      </x:c>
      <x:c r="L74" s="34" t="str">
        <x:v>기존 EAF 재생전력 업그레이드</x:v>
      </x:c>
      <x:c r="M74" s="34" t="n">
        <x:v>40.04</x:v>
      </x:c>
      <x:c r="N74" s="34" t="n">
        <x:v>12.32</x:v>
      </x:c>
      <x:c r="O74" s="34" t="n">
        <x:v>0.14</x:v>
      </x:c>
      <x:c r="P74" s="34" t="n">
        <x:v>0.1</x:v>
      </x:c>
      <x:c r="Q74" s="34" t="n">
        <x:v>0.05</x:v>
      </x:c>
      <x:c r="R74" s="34" t="n">
        <x:v>0.05</x:v>
      </x:c>
      <x:c r="S74" s="34" t="n">
        <x:v>0.01</x:v>
      </x:c>
      <x:c r="T74" s="34" t="n">
        <x:v>0.01</x:v>
      </x:c>
      <x:c r="U74" s="34" t="n">
        <x:v>0.04</x:v>
      </x:c>
      <x:c r="V74" s="34" t="n">
        <x:v>0.32</x:v>
      </x:c>
      <x:c r="W74" s="34" t="n">
        <x:v>-1.417</x:v>
      </x:c>
      <x:c r="X74" s="34" t="n">
        <x:v>1.21</x:v>
      </x:c>
      <x:c r="Y74" s="34" t="n">
        <x:v>9.834</x:v>
      </x:c>
      <x:c r="Z74" s="34" t="n">
        <x:v>8.624</x:v>
      </x:c>
      <x:c r="AA74" s="34" t="n">
        <x:v>11.251</x:v>
      </x:c>
      <x:c r="AB74" s="34" t="n">
        <x:v>-2.627</x:v>
      </x:c>
      <x:c r="AC74" s="34" t="n">
        <x:v>8.028</x:v>
      </x:c>
      <x:c r="AD74" s="34" t="n">
        <x:v>0</x:v>
      </x:c>
      <x:c r="AE74" s="34" t="n">
        <x:v>1.757</x:v>
      </x:c>
      <x:c r="AF74" s="34" t="n">
        <x:v>0</x:v>
      </x:c>
      <x:c r="AG74" s="34" t="n">
        <x:v>0.05</x:v>
      </x:c>
      <x:c r="AH74" s="34" t="n">
        <x:v>-11.251</x:v>
      </x:c>
      <x:c r="AI74" s="34" t="str">
        <x:v>model_estimate</x:v>
      </x:c>
      <x:c r="AJ74" s="34" t="str">
        <x:v>다카사고 포함 공식 조강 총량에 맞춘 소규모 EAF 블록 추정</x:v>
      </x:c>
      <x:c r="AK74" s="34" t="str">
        <x:v>CAND-4D158AE8BC3521</x:v>
      </x:c>
      <x:c r="AL74" s="34" t="str">
        <x:v>P3</x:v>
      </x:c>
      <x:c r="AM74" s="34" t="str">
        <x:v>PORT-1144EBE63B41</x:v>
      </x:c>
      <x:c r="AN74" s="34" t="n">
        <x:v>1000</x:v>
      </x:c>
      <x:c r="AO74" s="34" t="n">
        <x:v>145.802222</x:v>
      </x:c>
      <x:c r="AP74" s="34" t="n">
        <x:v>26.900501</x:v>
      </x:c>
      <x:c r="AQ74" s="34" t="n">
        <x:v>102.391093</x:v>
      </x:c>
      <x:c r="AR74" s="34" t="n">
        <x:v>14716.433</x:v>
      </x:c>
      <x:c r="AS74" s="34" t="n">
        <x:v>143.727666</x:v>
      </x:c>
      <x:c r="AT74" s="40" t="b">
        <x:v>1</x:v>
      </x:c>
      <x:c r="AU74" s="40" t="b">
        <x:v>1</x:v>
      </x:c>
      <x:c r="AV74" s="34" t="str"/>
      <x:c r="AW74" s="34" t="n">
        <x:v>0</x:v>
      </x:c>
      <x:c r="AX74" s="34" t="str">
        <x:v>9.990856690045291e-05</x:v>
      </x:c>
      <x:c r="AY74" s="40" t="b">
        <x:v>1</x:v>
      </x:c>
      <x:c r="AZ74" s="40" t="b">
        <x:v>1</x:v>
      </x:c>
      <x:c r="BA74" s="40" t="b">
        <x:v>1</x:v>
      </x:c>
      <x:c r="BB74" s="40" t="b">
        <x:v>1</x:v>
      </x:c>
      <x:c r="BC74" s="34" t="str"/>
      <x:c r="BD74" s="34" t="n">
        <x:v>0</x:v>
      </x:c>
      <x:c r="BE74" s="34" t="n">
        <x:v>0</x:v>
      </x:c>
      <x:c r="BF74" s="34" t="n">
        <x:v>0</x:v>
      </x:c>
      <x:c r="BG74" s="34" t="n">
        <x:v>1</x:v>
      </x:c>
      <x:c r="BH74" s="34" t="n">
        <x:v>1</x:v>
      </x:c>
      <x:c r="BI74" s="34" t="n">
        <x:v>0.28332</x:v>
      </x:c>
      <x:c r="BJ74" s="34" t="n">
        <x:v>0.6</x:v>
      </x:c>
      <x:c r="BK74" s="34" t="n">
        <x:v>1.06</x:v>
      </x:c>
    </x:row>
    <x:row r="75">
      <x:c r="A75" s="34" t="str">
        <x:v>KOBE_STEEL_JP</x:v>
      </x:c>
      <x:c r="B75" s="34" t="str">
        <x:v>Kobe Steel</x:v>
      </x:c>
      <x:c r="C75" s="34" t="str">
        <x:v>ACCELERATED_15C</x:v>
      </x:c>
      <x:c r="D75" s="34" t="str">
        <x:v>P3</x:v>
      </x:c>
      <x:c r="E75" s="34" t="str">
        <x:v>KOB-BF1</x:v>
      </x:c>
      <x:c r="F75" s="34" t="str">
        <x:v>Kakogawa Works BF 블록 1</x:v>
      </x:c>
      <x:c r="G75" s="34" t="str">
        <x:v>가코가와</x:v>
      </x:c>
      <x:c r="H75" s="34" t="n">
        <x:v>2029</x:v>
      </x:c>
      <x:c r="I75" s="34" t="str">
        <x:v>BF_BOF</x:v>
      </x:c>
      <x:c r="J75" s="34" t="str">
        <x:v>기준 BF-BOF 복합 블록</x:v>
      </x:c>
      <x:c r="K75" s="34" t="str">
        <x:v>H2_DRI_EAF</x:v>
      </x:c>
      <x:c r="L75" s="34" t="str">
        <x:v>수소 DRI + EAF</x:v>
      </x:c>
      <x:c r="M75" s="34" t="n">
        <x:v>3118.5</x:v>
      </x:c>
      <x:c r="N75" s="34" t="n">
        <x:v>2425.5</x:v>
      </x:c>
      <x:c r="O75" s="34" t="n">
        <x:v>3.15</x:v>
      </x:c>
      <x:c r="P75" s="34" t="n">
        <x:v>2.95</x:v>
      </x:c>
      <x:c r="Q75" s="34" t="n">
        <x:v>7.173636</x:v>
      </x:c>
      <x:c r="R75" s="34" t="n">
        <x:v>0.59</x:v>
      </x:c>
      <x:c r="S75" s="34" t="n">
        <x:v>0.59</x:v>
      </x:c>
      <x:c r="T75" s="34" t="n">
        <x:v>0.59</x:v>
      </x:c>
      <x:c r="U75" s="34" t="n">
        <x:v>6.583636</x:v>
      </x:c>
      <x:c r="V75" s="34" t="n">
        <x:v>79.003637</x:v>
      </x:c>
      <x:c r="W75" s="34" t="n">
        <x:v>15929.427</x:v>
      </x:c>
      <x:c r="X75" s="34" t="n">
        <x:v>2259.504</x:v>
      </x:c>
      <x:c r="Y75" s="34" t="n">
        <x:v>19956.946</x:v>
      </x:c>
      <x:c r="Z75" s="34" t="n">
        <x:v>17697.441</x:v>
      </x:c>
      <x:c r="AA75" s="34" t="n">
        <x:v>4027.518</x:v>
      </x:c>
      <x:c r="AB75" s="34" t="n">
        <x:v>13669.923</x:v>
      </x:c>
      <x:c r="AC75" s="34" t="n">
        <x:v>1957.904</x:v>
      </x:c>
      <x:c r="AD75" s="34" t="n">
        <x:v>238.172</x:v>
      </x:c>
      <x:c r="AE75" s="34" t="n">
        <x:v>2156.484</x:v>
      </x:c>
      <x:c r="AF75" s="34" t="n">
        <x:v>15526.18</x:v>
      </x:c>
      <x:c r="AG75" s="34" t="n">
        <x:v>78.206</x:v>
      </x:c>
      <x:c r="AH75" s="34" t="n">
        <x:v>-4027.518</x:v>
      </x:c>
      <x:c r="AI75" s="34" t="str">
        <x:v>model_estimate</x:v>
      </x:c>
      <x:c r="AJ75" s="34" t="str">
        <x:v>Kobe Steel 공식 조강·목표경계 배출 총량에 맞춘 블록 배분</x:v>
      </x:c>
      <x:c r="AK75" s="34" t="str">
        <x:v>CAND-4D158AE8BC3521</x:v>
      </x:c>
      <x:c r="AL75" s="34" t="str">
        <x:v>P3</x:v>
      </x:c>
      <x:c r="AM75" s="34" t="str">
        <x:v>PORT-1144EBE63B41</x:v>
      </x:c>
      <x:c r="AN75" s="34" t="n">
        <x:v>1000</x:v>
      </x:c>
      <x:c r="AO75" s="34" t="n">
        <x:v>135.453174</x:v>
      </x:c>
      <x:c r="AP75" s="34" t="n">
        <x:v>27.940397</x:v>
      </x:c>
      <x:c r="AQ75" s="34" t="n">
        <x:v>102.391093</x:v>
      </x:c>
      <x:c r="AR75" s="34" t="n">
        <x:v>13664.434</x:v>
      </x:c>
      <x:c r="AS75" s="34" t="n">
        <x:v>133.453347</x:v>
      </x:c>
      <x:c r="AT75" s="40" t="b">
        <x:v>1</x:v>
      </x:c>
      <x:c r="AU75" s="40" t="b">
        <x:v>1</x:v>
      </x:c>
      <x:c r="AV75" s="34" t="str"/>
      <x:c r="AW75" s="34" t="n">
        <x:v>0</x:v>
      </x:c>
      <x:c r="AX75" s="34" t="str">
        <x:v>9.990856690045291e-05</x:v>
      </x:c>
      <x:c r="AY75" s="40" t="b">
        <x:v>1</x:v>
      </x:c>
      <x:c r="AZ75" s="40" t="b">
        <x:v>1</x:v>
      </x:c>
      <x:c r="BA75" s="40" t="b">
        <x:v>1</x:v>
      </x:c>
      <x:c r="BB75" s="40" t="b">
        <x:v>1</x:v>
      </x:c>
      <x:c r="BC75" s="34" t="str"/>
      <x:c r="BD75" s="34" t="n">
        <x:v>0</x:v>
      </x:c>
      <x:c r="BE75" s="34" t="n">
        <x:v>0</x:v>
      </x:c>
      <x:c r="BF75" s="34" t="n">
        <x:v>0</x:v>
      </x:c>
      <x:c r="BG75" s="34" t="n">
        <x:v>1</x:v>
      </x:c>
      <x:c r="BH75" s="34" t="n">
        <x:v>1</x:v>
      </x:c>
      <x:c r="BI75" s="34" t="n">
        <x:v>0.28332</x:v>
      </x:c>
      <x:c r="BJ75" s="34" t="n">
        <x:v>0.6</x:v>
      </x:c>
      <x:c r="BK75" s="34" t="n">
        <x:v>1.06</x:v>
      </x:c>
    </x:row>
    <x:row r="76">
      <x:c r="A76" s="34" t="str">
        <x:v>KOBE_STEEL_JP</x:v>
      </x:c>
      <x:c r="B76" s="34" t="str">
        <x:v>Kobe Steel</x:v>
      </x:c>
      <x:c r="C76" s="34" t="str">
        <x:v>ACCELERATED_15C</x:v>
      </x:c>
      <x:c r="D76" s="34" t="str">
        <x:v>P3</x:v>
      </x:c>
      <x:c r="E76" s="34" t="str">
        <x:v>KOB-BF3</x:v>
      </x:c>
      <x:c r="F76" s="34" t="str">
        <x:v>Kakogawa Works BF 블록 3</x:v>
      </x:c>
      <x:c r="G76" s="34" t="str">
        <x:v>가코가와</x:v>
      </x:c>
      <x:c r="H76" s="34" t="n">
        <x:v>2037</x:v>
      </x:c>
      <x:c r="I76" s="34" t="str">
        <x:v>BF_BOF</x:v>
      </x:c>
      <x:c r="J76" s="34" t="str">
        <x:v>기준 BF-BOF 복합 블록</x:v>
      </x:c>
      <x:c r="K76" s="34" t="str">
        <x:v>SCRAP_EAF</x:v>
      </x:c>
      <x:c r="L76" s="34" t="str">
        <x:v>스크랩 기반 대형 EAF</x:v>
      </x:c>
      <x:c r="M76" s="34" t="n">
        <x:v>1878.8</x:v>
      </x:c>
      <x:c r="N76" s="34" t="n">
        <x:v>1207.8</x:v>
      </x:c>
      <x:c r="O76" s="34" t="n">
        <x:v>3.05</x:v>
      </x:c>
      <x:c r="P76" s="34" t="n">
        <x:v>2.909999</x:v>
      </x:c>
      <x:c r="Q76" s="34" t="n">
        <x:v>7.076364</x:v>
      </x:c>
      <x:c r="R76" s="34" t="n">
        <x:v>7.076364</x:v>
      </x:c>
      <x:c r="S76" s="34" t="n">
        <x:v>1.3095</x:v>
      </x:c>
      <x:c r="T76" s="34" t="n">
        <x:v>1.3095</x:v>
      </x:c>
      <x:c r="U76" s="34" t="n">
        <x:v>5.766864</x:v>
      </x:c>
      <x:c r="V76" s="34" t="n">
        <x:v>23.067457</x:v>
      </x:c>
      <x:c r="W76" s="34" t="n">
        <x:v>194.377</x:v>
      </x:c>
      <x:c r="X76" s="34" t="n">
        <x:v>191.585</x:v>
      </x:c>
      <x:c r="Y76" s="34" t="n">
        <x:v>1394.508</x:v>
      </x:c>
      <x:c r="Z76" s="34" t="n">
        <x:v>1202.923</x:v>
      </x:c>
      <x:c r="AA76" s="34" t="n">
        <x:v>1200.131</x:v>
      </x:c>
      <x:c r="AB76" s="34" t="n">
        <x:v>2.792</x:v>
      </x:c>
      <x:c r="AC76" s="34" t="n">
        <x:v>635.28</x:v>
      </x:c>
      <x:c r="AD76" s="34" t="n">
        <x:v>22.64</x:v>
      </x:c>
      <x:c r="AE76" s="34" t="n">
        <x:v>729.967</x:v>
      </x:c>
      <x:c r="AF76" s="34" t="n">
        <x:v>0</x:v>
      </x:c>
      <x:c r="AG76" s="34" t="n">
        <x:v>6.62</x:v>
      </x:c>
      <x:c r="AH76" s="34" t="n">
        <x:v>-1200.131</x:v>
      </x:c>
      <x:c r="AI76" s="34" t="str">
        <x:v>model_estimate</x:v>
      </x:c>
      <x:c r="AJ76" s="34" t="str">
        <x:v>2016년 BF3 개수와 장기 수명주기를 반영한 재투자연도 추정</x:v>
      </x:c>
      <x:c r="AK76" s="34" t="str">
        <x:v>CAND-4D158AE8BC3521</x:v>
      </x:c>
      <x:c r="AL76" s="34" t="str">
        <x:v>P3</x:v>
      </x:c>
      <x:c r="AM76" s="34" t="str">
        <x:v>PORT-1144EBE63B41</x:v>
      </x:c>
      <x:c r="AN76" s="34" t="n">
        <x:v>1000</x:v>
      </x:c>
      <x:c r="AO76" s="34" t="n">
        <x:v>135.453174</x:v>
      </x:c>
      <x:c r="AP76" s="34" t="n">
        <x:v>27.940397</x:v>
      </x:c>
      <x:c r="AQ76" s="34" t="n">
        <x:v>102.391093</x:v>
      </x:c>
      <x:c r="AR76" s="34" t="n">
        <x:v>13664.434</x:v>
      </x:c>
      <x:c r="AS76" s="34" t="n">
        <x:v>133.453347</x:v>
      </x:c>
      <x:c r="AT76" s="40" t="b">
        <x:v>1</x:v>
      </x:c>
      <x:c r="AU76" s="40" t="b">
        <x:v>1</x:v>
      </x:c>
      <x:c r="AV76" s="34" t="str"/>
      <x:c r="AW76" s="34" t="n">
        <x:v>0</x:v>
      </x:c>
      <x:c r="AX76" s="34" t="str">
        <x:v>9.990856690045291e-05</x:v>
      </x:c>
      <x:c r="AY76" s="40" t="b">
        <x:v>1</x:v>
      </x:c>
      <x:c r="AZ76" s="40" t="b">
        <x:v>1</x:v>
      </x:c>
      <x:c r="BA76" s="40" t="b">
        <x:v>1</x:v>
      </x:c>
      <x:c r="BB76" s="40" t="b">
        <x:v>1</x:v>
      </x:c>
      <x:c r="BC76" s="34" t="str"/>
      <x:c r="BD76" s="34" t="n">
        <x:v>0</x:v>
      </x:c>
      <x:c r="BE76" s="34" t="n">
        <x:v>0</x:v>
      </x:c>
      <x:c r="BF76" s="34" t="n">
        <x:v>0</x:v>
      </x:c>
      <x:c r="BG76" s="34" t="n">
        <x:v>1</x:v>
      </x:c>
      <x:c r="BH76" s="34" t="n">
        <x:v>1</x:v>
      </x:c>
      <x:c r="BI76" s="34" t="n">
        <x:v>0.28332</x:v>
      </x:c>
      <x:c r="BJ76" s="34" t="n">
        <x:v>0.6</x:v>
      </x:c>
      <x:c r="BK76" s="34" t="n">
        <x:v>1.06</x:v>
      </x:c>
    </x:row>
    <x:row r="77">
      <x:c r="A77" s="34" t="str">
        <x:v>KOBE_STEEL_JP</x:v>
      </x:c>
      <x:c r="B77" s="34" t="str">
        <x:v>Kobe Steel</x:v>
      </x:c>
      <x:c r="C77" s="34" t="str">
        <x:v>ACCELERATED_15C</x:v>
      </x:c>
      <x:c r="D77" s="34" t="str">
        <x:v>P3</x:v>
      </x:c>
      <x:c r="E77" s="34" t="str">
        <x:v>KOB-TAKA</x:v>
      </x:c>
      <x:c r="F77" s="34" t="str">
        <x:v>Takasago Works EAF block</x:v>
      </x:c>
      <x:c r="G77" s="34" t="str">
        <x:v>다카사고</x:v>
      </x:c>
      <x:c r="H77" s="34" t="n">
        <x:v>2033</x:v>
      </x:c>
      <x:c r="I77" s="34" t="str">
        <x:v>EAF_BASELINE</x:v>
      </x:c>
      <x:c r="J77" s="34" t="str">
        <x:v>기존 전기로 기준 블록</x:v>
      </x:c>
      <x:c r="K77" s="34" t="str">
        <x:v>EAF_RENEWABLE</x:v>
      </x:c>
      <x:c r="L77" s="34" t="str">
        <x:v>기존 EAF 재생전력 업그레이드</x:v>
      </x:c>
      <x:c r="M77" s="34" t="n">
        <x:v>40.04</x:v>
      </x:c>
      <x:c r="N77" s="34" t="n">
        <x:v>12.32</x:v>
      </x:c>
      <x:c r="O77" s="34" t="n">
        <x:v>0.14</x:v>
      </x:c>
      <x:c r="P77" s="34" t="n">
        <x:v>0.1</x:v>
      </x:c>
      <x:c r="Q77" s="34" t="n">
        <x:v>0.05</x:v>
      </x:c>
      <x:c r="R77" s="34" t="n">
        <x:v>0.05</x:v>
      </x:c>
      <x:c r="S77" s="34" t="n">
        <x:v>0.01</x:v>
      </x:c>
      <x:c r="T77" s="34" t="n">
        <x:v>0.01</x:v>
      </x:c>
      <x:c r="U77" s="34" t="n">
        <x:v>0.04</x:v>
      </x:c>
      <x:c r="V77" s="34" t="n">
        <x:v>0.32</x:v>
      </x:c>
      <x:c r="W77" s="34" t="n">
        <x:v>-6.667</x:v>
      </x:c>
      <x:c r="X77" s="34" t="n">
        <x:v>1.614</x:v>
      </x:c>
      <x:c r="Y77" s="34" t="n">
        <x:v>10.027</x:v>
      </x:c>
      <x:c r="Z77" s="34" t="n">
        <x:v>8.413</x:v>
      </x:c>
      <x:c r="AA77" s="34" t="n">
        <x:v>16.694</x:v>
      </x:c>
      <x:c r="AB77" s="34" t="n">
        <x:v>-8.281</x:v>
      </x:c>
      <x:c r="AC77" s="34" t="n">
        <x:v>8.028</x:v>
      </x:c>
      <x:c r="AD77" s="34" t="n">
        <x:v>0</x:v>
      </x:c>
      <x:c r="AE77" s="34" t="n">
        <x:v>1.948</x:v>
      </x:c>
      <x:c r="AF77" s="34" t="n">
        <x:v>0</x:v>
      </x:c>
      <x:c r="AG77" s="34" t="n">
        <x:v>0.051</x:v>
      </x:c>
      <x:c r="AH77" s="34" t="n">
        <x:v>-16.694</x:v>
      </x:c>
      <x:c r="AI77" s="34" t="str">
        <x:v>model_estimate</x:v>
      </x:c>
      <x:c r="AJ77" s="34" t="str">
        <x:v>다카사고 포함 공식 조강 총량에 맞춘 소규모 EAF 블록 추정</x:v>
      </x:c>
      <x:c r="AK77" s="34" t="str">
        <x:v>CAND-4D158AE8BC3521</x:v>
      </x:c>
      <x:c r="AL77" s="34" t="str">
        <x:v>P3</x:v>
      </x:c>
      <x:c r="AM77" s="34" t="str">
        <x:v>PORT-1144EBE63B41</x:v>
      </x:c>
      <x:c r="AN77" s="34" t="n">
        <x:v>1000</x:v>
      </x:c>
      <x:c r="AO77" s="34" t="n">
        <x:v>135.453174</x:v>
      </x:c>
      <x:c r="AP77" s="34" t="n">
        <x:v>27.940397</x:v>
      </x:c>
      <x:c r="AQ77" s="34" t="n">
        <x:v>102.391093</x:v>
      </x:c>
      <x:c r="AR77" s="34" t="n">
        <x:v>13664.434</x:v>
      </x:c>
      <x:c r="AS77" s="34" t="n">
        <x:v>133.453347</x:v>
      </x:c>
      <x:c r="AT77" s="40" t="b">
        <x:v>1</x:v>
      </x:c>
      <x:c r="AU77" s="40" t="b">
        <x:v>1</x:v>
      </x:c>
      <x:c r="AV77" s="34" t="str"/>
      <x:c r="AW77" s="34" t="n">
        <x:v>0</x:v>
      </x:c>
      <x:c r="AX77" s="34" t="str">
        <x:v>9.990856690045291e-05</x:v>
      </x:c>
      <x:c r="AY77" s="40" t="b">
        <x:v>1</x:v>
      </x:c>
      <x:c r="AZ77" s="40" t="b">
        <x:v>1</x:v>
      </x:c>
      <x:c r="BA77" s="40" t="b">
        <x:v>1</x:v>
      </x:c>
      <x:c r="BB77" s="40" t="b">
        <x:v>1</x:v>
      </x:c>
      <x:c r="BC77" s="34" t="str"/>
      <x:c r="BD77" s="34" t="n">
        <x:v>0</x:v>
      </x:c>
      <x:c r="BE77" s="34" t="n">
        <x:v>0</x:v>
      </x:c>
      <x:c r="BF77" s="34" t="n">
        <x:v>0</x:v>
      </x:c>
      <x:c r="BG77" s="34" t="n">
        <x:v>1</x:v>
      </x:c>
      <x:c r="BH77" s="34" t="n">
        <x:v>1</x:v>
      </x:c>
      <x:c r="BI77" s="34" t="n">
        <x:v>0.28332</x:v>
      </x:c>
      <x:c r="BJ77" s="34" t="n">
        <x:v>0.6</x:v>
      </x:c>
      <x:c r="BK77" s="34" t="n">
        <x:v>1.06</x:v>
      </x:c>
    </x:row>
    <x:row r="78">
      <x:c r="A78" s="34" t="str">
        <x:v>POSCO_KR</x:v>
      </x:c>
      <x:c r="B78" s="34" t="str">
        <x:v>POSCO</x:v>
      </x:c>
      <x:c r="C78" s="34" t="str">
        <x:v>DISCLOSED_PATH</x:v>
      </x:c>
      <x:c r="D78" s="34" t="str">
        <x:v>P2</x:v>
      </x:c>
      <x:c r="E78" s="34" t="str">
        <x:v>POS-GWY-E</x:v>
      </x:c>
      <x:c r="F78" s="34" t="str">
        <x:v>광양제철소 BF 블록 B</x:v>
      </x:c>
      <x:c r="G78" s="34" t="str">
        <x:v>광양</x:v>
      </x:c>
      <x:c r="H78" s="34" t="n">
        <x:v>2037</x:v>
      </x:c>
      <x:c r="I78" s="34" t="str">
        <x:v>BF_BOF</x:v>
      </x:c>
      <x:c r="J78" s="34" t="str">
        <x:v>기준 BF-BOF 복합 블록</x:v>
      </x:c>
      <x:c r="K78" s="34" t="str">
        <x:v>H2_DRI_EAF</x:v>
      </x:c>
      <x:c r="L78" s="34" t="str">
        <x:v>수소 DRI + EAF</x:v>
      </x:c>
      <x:c r="M78" s="34" t="n">
        <x:v>9270</x:v>
      </x:c>
      <x:c r="N78" s="34" t="n">
        <x:v>7210</x:v>
      </x:c>
      <x:c r="O78" s="34" t="n">
        <x:v>10.3</x:v>
      </x:c>
      <x:c r="P78" s="34" t="n">
        <x:v>9.502996</x:v>
      </x:c>
      <x:c r="Q78" s="34" t="n">
        <x:v>19.725693</x:v>
      </x:c>
      <x:c r="R78" s="34" t="n">
        <x:v>19.725693</x:v>
      </x:c>
      <x:c r="S78" s="34" t="n">
        <x:v>1.900599</x:v>
      </x:c>
      <x:c r="T78" s="34" t="n">
        <x:v>1.900599</x:v>
      </x:c>
      <x:c r="U78" s="34" t="n">
        <x:v>17.825093</x:v>
      </x:c>
      <x:c r="V78" s="34" t="n">
        <x:v>71.300373</x:v>
      </x:c>
      <x:c r="W78" s="34" t="n">
        <x:v>11451.871</x:v>
      </x:c>
      <x:c r="X78" s="34" t="n">
        <x:v>1050.235</x:v>
      </x:c>
      <x:c r="Y78" s="34" t="n">
        <x:v>14011.059</x:v>
      </x:c>
      <x:c r="Z78" s="34" t="n">
        <x:v>12960.824</x:v>
      </x:c>
      <x:c r="AA78" s="34" t="n">
        <x:v>2559.188</x:v>
      </x:c>
      <x:c r="AB78" s="34" t="n">
        <x:v>10401.636</x:v>
      </x:c>
      <x:c r="AC78" s="34" t="n">
        <x:v>3792.327</x:v>
      </x:c>
      <x:c r="AD78" s="34" t="n">
        <x:v>295.74</x:v>
      </x:c>
      <x:c r="AE78" s="34" t="n">
        <x:v>1153.737</x:v>
      </x:c>
      <x:c r="AF78" s="34" t="n">
        <x:v>8751.189</x:v>
      </x:c>
      <x:c r="AG78" s="34" t="n">
        <x:v>18.066</x:v>
      </x:c>
      <x:c r="AH78" s="34" t="n">
        <x:v>-2559.188</x:v>
      </x:c>
      <x:c r="AI78" s="34" t="str">
        <x:v>model_estimate</x:v>
      </x:c>
      <x:c r="AJ78" s="34" t="str">
        <x:v>POSCO 공식 국내 생산·배출 총량에 맞춘 설비 블록 배분; 개별 생산량·재투자연도는 추정</x:v>
      </x:c>
      <x:c r="AK78" s="34" t="str">
        <x:v>CAND-4EF614D30D6D91</x:v>
      </x:c>
      <x:c r="AL78" s="34" t="str">
        <x:v>P2</x:v>
      </x:c>
      <x:c r="AM78" s="34" t="str">
        <x:v>PORT-96133A6427FE</x:v>
      </x:c>
      <x:c r="AN78" s="34" t="n">
        <x:v>1000</x:v>
      </x:c>
      <x:c r="AO78" s="34" t="n">
        <x:v>69.411812</x:v>
      </x:c>
      <x:c r="AP78" s="34" t="n">
        <x:v>17.809403</x:v>
      </x:c>
      <x:c r="AQ78" s="34" t="n">
        <x:v>430.20423</x:v>
      </x:c>
      <x:c r="AR78" s="34" t="n">
        <x:v>29134.516</x:v>
      </x:c>
      <x:c r="AS78" s="34" t="n">
        <x:v>67.722522</x:v>
      </x:c>
      <x:c r="AT78" s="40" t="b">
        <x:v>1</x:v>
      </x:c>
      <x:c r="AU78" s="40" t="b">
        <x:v>1</x:v>
      </x:c>
      <x:c r="AV78" s="34" t="str"/>
      <x:c r="AW78" s="34" t="n">
        <x:v>0</x:v>
      </x:c>
      <x:c r="AX78" s="34" t="str">
        <x:v>2.0275124185786808e-05</x:v>
      </x:c>
      <x:c r="AY78" s="40" t="b">
        <x:v>1</x:v>
      </x:c>
      <x:c r="AZ78" s="40" t="b">
        <x:v>1</x:v>
      </x:c>
      <x:c r="BA78" s="40" t="b">
        <x:v>1</x:v>
      </x:c>
      <x:c r="BB78" s="40" t="b">
        <x:v>1</x:v>
      </x:c>
      <x:c r="BC78" s="34" t="str"/>
      <x:c r="BD78" s="34" t="n">
        <x:v>0</x:v>
      </x:c>
      <x:c r="BE78" s="34" t="n">
        <x:v>0</x:v>
      </x:c>
      <x:c r="BF78" s="34" t="n">
        <x:v>0</x:v>
      </x:c>
      <x:c r="BG78" s="34" t="n">
        <x:v>2</x:v>
      </x:c>
      <x:c r="BH78" s="34" t="n">
        <x:v>3</x:v>
      </x:c>
      <x:c r="BI78" s="34" t="n">
        <x:v>0.45933660799999987</x:v>
      </x:c>
      <x:c r="BJ78" s="34" t="n">
        <x:v>0.65</x:v>
      </x:c>
      <x:c r="BK78" s="34" t="n">
        <x:v>2.02</x:v>
      </x:c>
    </x:row>
    <x:row r="79">
      <x:c r="A79" s="34" t="str">
        <x:v>POSCO_KR</x:v>
      </x:c>
      <x:c r="B79" s="34" t="str">
        <x:v>POSCO</x:v>
      </x:c>
      <x:c r="C79" s="34" t="str">
        <x:v>DISCLOSED_PATH</x:v>
      </x:c>
      <x:c r="D79" s="34" t="str">
        <x:v>P2</x:v>
      </x:c>
      <x:c r="E79" s="34" t="str">
        <x:v>POS-GWY-EAF</x:v>
      </x:c>
      <x:c r="F79" s="34" t="str">
        <x:v>광양 기존 EAF 블록</x:v>
      </x:c>
      <x:c r="G79" s="34" t="str">
        <x:v>광양</x:v>
      </x:c>
      <x:c r="H79" s="34" t="n">
        <x:v>2033</x:v>
      </x:c>
      <x:c r="I79" s="34" t="str">
        <x:v>EAF_BASELINE</x:v>
      </x:c>
      <x:c r="J79" s="34" t="str">
        <x:v>기존 전기로 기준 블록</x:v>
      </x:c>
      <x:c r="K79" s="34" t="str">
        <x:v>EAF_RENEWABLE</x:v>
      </x:c>
      <x:c r="L79" s="34" t="str">
        <x:v>기존 EAF 재생전력 업그레이드</x:v>
      </x:c>
      <x:c r="M79" s="34" t="n">
        <x:v>312</x:v>
      </x:c>
      <x:c r="N79" s="34" t="n">
        <x:v>96</x:v>
      </x:c>
      <x:c r="O79" s="34" t="n">
        <x:v>1.2</x:v>
      </x:c>
      <x:c r="P79" s="34" t="n">
        <x:v>1.134</x:v>
      </x:c>
      <x:c r="Q79" s="34" t="n">
        <x:v>0.5103</x:v>
      </x:c>
      <x:c r="R79" s="34" t="n">
        <x:v>0.5103</x:v>
      </x:c>
      <x:c r="S79" s="34" t="n">
        <x:v>0.1134</x:v>
      </x:c>
      <x:c r="T79" s="34" t="n">
        <x:v>0.1134</x:v>
      </x:c>
      <x:c r="U79" s="34" t="n">
        <x:v>0.3969</x:v>
      </x:c>
      <x:c r="V79" s="34" t="n">
        <x:v>3.1752</x:v>
      </x:c>
      <x:c r="W79" s="34" t="n">
        <x:v>0.429</x:v>
      </x:c>
      <x:c r="X79" s="34" t="n">
        <x:v>6.268</x:v>
      </x:c>
      <x:c r="Y79" s="34" t="n">
        <x:v>115.955</x:v>
      </x:c>
      <x:c r="Z79" s="34" t="n">
        <x:v>109.687</x:v>
      </x:c>
      <x:c r="AA79" s="34" t="n">
        <x:v>115.527</x:v>
      </x:c>
      <x:c r="AB79" s="34" t="n">
        <x:v>-5.839</x:v>
      </x:c>
      <x:c r="AC79" s="34" t="n">
        <x:v>62.553</x:v>
      </x:c>
      <x:c r="AD79" s="34" t="n">
        <x:v>14.814</x:v>
      </x:c>
      <x:c r="AE79" s="34" t="n">
        <x:v>38.405</x:v>
      </x:c>
      <x:c r="AF79" s="34" t="n">
        <x:v>0</x:v>
      </x:c>
      <x:c r="AG79" s="34" t="n">
        <x:v>0.183</x:v>
      </x:c>
      <x:c r="AH79" s="34" t="n">
        <x:v>-115.527</x:v>
      </x:c>
      <x:c r="AI79" s="34" t="str">
        <x:v>model_estimate</x:v>
      </x:c>
      <x:c r="AJ79" s="34" t="str">
        <x:v>2025 공식 EAF 생산 1.135Mt에 맞춘 모델 블록; 집약도·재투자연도 추정</x:v>
      </x:c>
      <x:c r="AK79" s="34" t="str">
        <x:v>CAND-4EF614D30D6D91</x:v>
      </x:c>
      <x:c r="AL79" s="34" t="str">
        <x:v>P2</x:v>
      </x:c>
      <x:c r="AM79" s="34" t="str">
        <x:v>PORT-96133A6427FE</x:v>
      </x:c>
      <x:c r="AN79" s="34" t="n">
        <x:v>1000</x:v>
      </x:c>
      <x:c r="AO79" s="34" t="n">
        <x:v>69.411812</x:v>
      </x:c>
      <x:c r="AP79" s="34" t="n">
        <x:v>17.809403</x:v>
      </x:c>
      <x:c r="AQ79" s="34" t="n">
        <x:v>430.20423</x:v>
      </x:c>
      <x:c r="AR79" s="34" t="n">
        <x:v>29134.516</x:v>
      </x:c>
      <x:c r="AS79" s="34" t="n">
        <x:v>67.722522</x:v>
      </x:c>
      <x:c r="AT79" s="40" t="b">
        <x:v>1</x:v>
      </x:c>
      <x:c r="AU79" s="40" t="b">
        <x:v>1</x:v>
      </x:c>
      <x:c r="AV79" s="34" t="str"/>
      <x:c r="AW79" s="34" t="n">
        <x:v>0</x:v>
      </x:c>
      <x:c r="AX79" s="34" t="str">
        <x:v>2.0275124185786808e-05</x:v>
      </x:c>
      <x:c r="AY79" s="40" t="b">
        <x:v>1</x:v>
      </x:c>
      <x:c r="AZ79" s="40" t="b">
        <x:v>1</x:v>
      </x:c>
      <x:c r="BA79" s="40" t="b">
        <x:v>1</x:v>
      </x:c>
      <x:c r="BB79" s="40" t="b">
        <x:v>1</x:v>
      </x:c>
      <x:c r="BC79" s="34" t="str"/>
      <x:c r="BD79" s="34" t="n">
        <x:v>0</x:v>
      </x:c>
      <x:c r="BE79" s="34" t="n">
        <x:v>0</x:v>
      </x:c>
      <x:c r="BF79" s="34" t="n">
        <x:v>0</x:v>
      </x:c>
      <x:c r="BG79" s="34" t="n">
        <x:v>2</x:v>
      </x:c>
      <x:c r="BH79" s="34" t="n">
        <x:v>3</x:v>
      </x:c>
      <x:c r="BI79" s="34" t="n">
        <x:v>0.45933660799999987</x:v>
      </x:c>
      <x:c r="BJ79" s="34" t="n">
        <x:v>0.65</x:v>
      </x:c>
      <x:c r="BK79" s="34" t="n">
        <x:v>2.02</x:v>
      </x:c>
    </x:row>
    <x:row r="80">
      <x:c r="A80" s="34" t="str">
        <x:v>POSCO_KR</x:v>
      </x:c>
      <x:c r="B80" s="34" t="str">
        <x:v>POSCO</x:v>
      </x:c>
      <x:c r="C80" s="34" t="str">
        <x:v>DISCLOSED_PATH</x:v>
      </x:c>
      <x:c r="D80" s="34" t="str">
        <x:v>P2</x:v>
      </x:c>
      <x:c r="E80" s="34" t="str">
        <x:v>POS-GWY-W</x:v>
      </x:c>
      <x:c r="F80" s="34" t="str">
        <x:v>광양제철소 BF 블록 A</x:v>
      </x:c>
      <x:c r="G80" s="34" t="str">
        <x:v>광양</x:v>
      </x:c>
      <x:c r="H80" s="34" t="n">
        <x:v>2035</x:v>
      </x:c>
      <x:c r="I80" s="34" t="str">
        <x:v>BF_BOF</x:v>
      </x:c>
      <x:c r="J80" s="34" t="str">
        <x:v>기준 BF-BOF 복합 블록</x:v>
      </x:c>
      <x:c r="K80" s="34" t="str">
        <x:v>SCRAP_EAF</x:v>
      </x:c>
      <x:c r="L80" s="34" t="str">
        <x:v>스크랩 기반 대형 EAF</x:v>
      </x:c>
      <x:c r="M80" s="34" t="n">
        <x:v>5768</x:v>
      </x:c>
      <x:c r="N80" s="34" t="n">
        <x:v>3708</x:v>
      </x:c>
      <x:c r="O80" s="34" t="n">
        <x:v>10.3</x:v>
      </x:c>
      <x:c r="P80" s="34" t="n">
        <x:v>9.499999</x:v>
      </x:c>
      <x:c r="Q80" s="34" t="n">
        <x:v>19.719471</x:v>
      </x:c>
      <x:c r="R80" s="34" t="n">
        <x:v>19.719471</x:v>
      </x:c>
      <x:c r="S80" s="34" t="n">
        <x:v>4.275</x:v>
      </x:c>
      <x:c r="T80" s="34" t="n">
        <x:v>4.275</x:v>
      </x:c>
      <x:c r="U80" s="34" t="n">
        <x:v>15.444471</x:v>
      </x:c>
      <x:c r="V80" s="34" t="n">
        <x:v>92.666828</x:v>
      </x:c>
      <x:c r="W80" s="34" t="n">
        <x:v>1281.633</x:v>
      </x:c>
      <x:c r="X80" s="34" t="n">
        <x:v>326.268</x:v>
      </x:c>
      <x:c r="Y80" s="34" t="n">
        <x:v>4635.581</x:v>
      </x:c>
      <x:c r="Z80" s="34" t="n">
        <x:v>4309.313</x:v>
      </x:c>
      <x:c r="AA80" s="34" t="n">
        <x:v>3353.947</x:v>
      </x:c>
      <x:c r="AB80" s="34" t="n">
        <x:v>955.366</x:v>
      </x:c>
      <x:c r="AC80" s="34" t="n">
        <x:v>2170.777</x:v>
      </x:c>
      <x:c r="AD80" s="34" t="n">
        <x:v>263.8</x:v>
      </x:c>
      <x:c r="AE80" s="34" t="n">
        <x:v>2193.372</x:v>
      </x:c>
      <x:c r="AF80" s="34" t="n">
        <x:v>0</x:v>
      </x:c>
      <x:c r="AG80" s="34" t="n">
        <x:v>7.632</x:v>
      </x:c>
      <x:c r="AH80" s="34" t="n">
        <x:v>-3353.947</x:v>
      </x:c>
      <x:c r="AI80" s="34" t="str">
        <x:v>model_estimate</x:v>
      </x:c>
      <x:c r="AJ80" s="34" t="str">
        <x:v>POSCO 공식 국내 생산·배출 총량에 맞춘 설비 블록 배분; 개별 생산량·재투자연도는 추정</x:v>
      </x:c>
      <x:c r="AK80" s="34" t="str">
        <x:v>CAND-4EF614D30D6D91</x:v>
      </x:c>
      <x:c r="AL80" s="34" t="str">
        <x:v>P2</x:v>
      </x:c>
      <x:c r="AM80" s="34" t="str">
        <x:v>PORT-96133A6427FE</x:v>
      </x:c>
      <x:c r="AN80" s="34" t="n">
        <x:v>1000</x:v>
      </x:c>
      <x:c r="AO80" s="34" t="n">
        <x:v>69.411812</x:v>
      </x:c>
      <x:c r="AP80" s="34" t="n">
        <x:v>17.809403</x:v>
      </x:c>
      <x:c r="AQ80" s="34" t="n">
        <x:v>430.20423</x:v>
      </x:c>
      <x:c r="AR80" s="34" t="n">
        <x:v>29134.516</x:v>
      </x:c>
      <x:c r="AS80" s="34" t="n">
        <x:v>67.722522</x:v>
      </x:c>
      <x:c r="AT80" s="40" t="b">
        <x:v>1</x:v>
      </x:c>
      <x:c r="AU80" s="40" t="b">
        <x:v>1</x:v>
      </x:c>
      <x:c r="AV80" s="34" t="str"/>
      <x:c r="AW80" s="34" t="n">
        <x:v>0</x:v>
      </x:c>
      <x:c r="AX80" s="34" t="str">
        <x:v>2.0275124185786808e-05</x:v>
      </x:c>
      <x:c r="AY80" s="40" t="b">
        <x:v>1</x:v>
      </x:c>
      <x:c r="AZ80" s="40" t="b">
        <x:v>1</x:v>
      </x:c>
      <x:c r="BA80" s="40" t="b">
        <x:v>1</x:v>
      </x:c>
      <x:c r="BB80" s="40" t="b">
        <x:v>1</x:v>
      </x:c>
      <x:c r="BC80" s="34" t="str"/>
      <x:c r="BD80" s="34" t="n">
        <x:v>0</x:v>
      </x:c>
      <x:c r="BE80" s="34" t="n">
        <x:v>0</x:v>
      </x:c>
      <x:c r="BF80" s="34" t="n">
        <x:v>0</x:v>
      </x:c>
      <x:c r="BG80" s="34" t="n">
        <x:v>2</x:v>
      </x:c>
      <x:c r="BH80" s="34" t="n">
        <x:v>3</x:v>
      </x:c>
      <x:c r="BI80" s="34" t="n">
        <x:v>0.45933660799999987</x:v>
      </x:c>
      <x:c r="BJ80" s="34" t="n">
        <x:v>0.65</x:v>
      </x:c>
      <x:c r="BK80" s="34" t="n">
        <x:v>2.02</x:v>
      </x:c>
    </x:row>
    <x:row r="81">
      <x:c r="A81" s="34" t="str">
        <x:v>POSCO_KR</x:v>
      </x:c>
      <x:c r="B81" s="34" t="str">
        <x:v>POSCO</x:v>
      </x:c>
      <x:c r="C81" s="34" t="str">
        <x:v>DISCLOSED_PATH</x:v>
      </x:c>
      <x:c r="D81" s="34" t="str">
        <x:v>P2</x:v>
      </x:c>
      <x:c r="E81" s="34" t="str">
        <x:v>POS-POH-N</x:v>
      </x:c>
      <x:c r="F81" s="34" t="str">
        <x:v>포항제철소 BF 블록 A</x:v>
      </x:c>
      <x:c r="G81" s="34" t="str">
        <x:v>포항</x:v>
      </x:c>
      <x:c r="H81" s="34" t="n">
        <x:v>2029</x:v>
      </x:c>
      <x:c r="I81" s="34" t="str">
        <x:v>BF_BOF</x:v>
      </x:c>
      <x:c r="J81" s="34" t="str">
        <x:v>기준 BF-BOF 복합 블록</x:v>
      </x:c>
      <x:c r="K81" s="34" t="str">
        <x:v>SCRAP_EAF</x:v>
      </x:c>
      <x:c r="L81" s="34" t="str">
        <x:v>스크랩 기반 대형 EAF</x:v>
      </x:c>
      <x:c r="M81" s="34" t="n">
        <x:v>4592</x:v>
      </x:c>
      <x:c r="N81" s="34" t="n">
        <x:v>2952</x:v>
      </x:c>
      <x:c r="O81" s="34" t="n">
        <x:v>8.2</x:v>
      </x:c>
      <x:c r="P81" s="34" t="n">
        <x:v>7.599998</x:v>
      </x:c>
      <x:c r="Q81" s="34" t="n">
        <x:v>15.775574</x:v>
      </x:c>
      <x:c r="R81" s="34" t="n">
        <x:v>3.419999</x:v>
      </x:c>
      <x:c r="S81" s="34" t="n">
        <x:v>3.419999</x:v>
      </x:c>
      <x:c r="T81" s="34" t="n">
        <x:v>3.419999</x:v>
      </x:c>
      <x:c r="U81" s="34" t="n">
        <x:v>12.355575</x:v>
      </x:c>
      <x:c r="V81" s="34" t="n">
        <x:v>148.266898</x:v>
      </x:c>
      <x:c r="W81" s="34" t="n">
        <x:v>1386.926</x:v>
      </x:c>
      <x:c r="X81" s="34" t="n">
        <x:v>358.36</x:v>
      </x:c>
      <x:c r="Y81" s="34" t="n">
        <x:v>6774.035</x:v>
      </x:c>
      <x:c r="Z81" s="34" t="n">
        <x:v>6415.675</x:v>
      </x:c>
      <x:c r="AA81" s="34" t="n">
        <x:v>5387.108</x:v>
      </x:c>
      <x:c r="AB81" s="34" t="n">
        <x:v>1028.566</x:v>
      </x:c>
      <x:c r="AC81" s="34" t="n">
        <x:v>2382.904</x:v>
      </x:c>
      <x:c r="AD81" s="34" t="n">
        <x:v>446.25</x:v>
      </x:c>
      <x:c r="AE81" s="34" t="n">
        <x:v>3934.214</x:v>
      </x:c>
      <x:c r="AF81" s="34" t="n">
        <x:v>0</x:v>
      </x:c>
      <x:c r="AG81" s="34" t="n">
        <x:v>10.667</x:v>
      </x:c>
      <x:c r="AH81" s="34" t="n">
        <x:v>-5387.108</x:v>
      </x:c>
      <x:c r="AI81" s="34" t="str">
        <x:v>model_estimate</x:v>
      </x:c>
      <x:c r="AJ81" s="34" t="str">
        <x:v>POSCO 공식 국내 생산·배출 총량에 맞춘 설비 블록 배분; 개별 생산량·재투자연도는 추정</x:v>
      </x:c>
      <x:c r="AK81" s="34" t="str">
        <x:v>CAND-4EF614D30D6D91</x:v>
      </x:c>
      <x:c r="AL81" s="34" t="str">
        <x:v>P2</x:v>
      </x:c>
      <x:c r="AM81" s="34" t="str">
        <x:v>PORT-96133A6427FE</x:v>
      </x:c>
      <x:c r="AN81" s="34" t="n">
        <x:v>1000</x:v>
      </x:c>
      <x:c r="AO81" s="34" t="n">
        <x:v>69.411812</x:v>
      </x:c>
      <x:c r="AP81" s="34" t="n">
        <x:v>17.809403</x:v>
      </x:c>
      <x:c r="AQ81" s="34" t="n">
        <x:v>430.20423</x:v>
      </x:c>
      <x:c r="AR81" s="34" t="n">
        <x:v>29134.516</x:v>
      </x:c>
      <x:c r="AS81" s="34" t="n">
        <x:v>67.722522</x:v>
      </x:c>
      <x:c r="AT81" s="40" t="b">
        <x:v>1</x:v>
      </x:c>
      <x:c r="AU81" s="40" t="b">
        <x:v>1</x:v>
      </x:c>
      <x:c r="AV81" s="34" t="str"/>
      <x:c r="AW81" s="34" t="n">
        <x:v>0</x:v>
      </x:c>
      <x:c r="AX81" s="34" t="str">
        <x:v>2.0275124185786808e-05</x:v>
      </x:c>
      <x:c r="AY81" s="40" t="b">
        <x:v>1</x:v>
      </x:c>
      <x:c r="AZ81" s="40" t="b">
        <x:v>1</x:v>
      </x:c>
      <x:c r="BA81" s="40" t="b">
        <x:v>1</x:v>
      </x:c>
      <x:c r="BB81" s="40" t="b">
        <x:v>1</x:v>
      </x:c>
      <x:c r="BC81" s="34" t="str"/>
      <x:c r="BD81" s="34" t="n">
        <x:v>0</x:v>
      </x:c>
      <x:c r="BE81" s="34" t="n">
        <x:v>0</x:v>
      </x:c>
      <x:c r="BF81" s="34" t="n">
        <x:v>0</x:v>
      </x:c>
      <x:c r="BG81" s="34" t="n">
        <x:v>2</x:v>
      </x:c>
      <x:c r="BH81" s="34" t="n">
        <x:v>3</x:v>
      </x:c>
      <x:c r="BI81" s="34" t="n">
        <x:v>0.45933660799999987</x:v>
      </x:c>
      <x:c r="BJ81" s="34" t="n">
        <x:v>0.65</x:v>
      </x:c>
      <x:c r="BK81" s="34" t="n">
        <x:v>2.02</x:v>
      </x:c>
    </x:row>
    <x:row r="82">
      <x:c r="A82" s="34" t="str">
        <x:v>POSCO_KR</x:v>
      </x:c>
      <x:c r="B82" s="34" t="str">
        <x:v>POSCO</x:v>
      </x:c>
      <x:c r="C82" s="34" t="str">
        <x:v>DISCLOSED_PATH</x:v>
      </x:c>
      <x:c r="D82" s="34" t="str">
        <x:v>P2</x:v>
      </x:c>
      <x:c r="E82" s="34" t="str">
        <x:v>POS-POH-S</x:v>
      </x:c>
      <x:c r="F82" s="34" t="str">
        <x:v>포항제철소 BF 블록 B</x:v>
      </x:c>
      <x:c r="G82" s="34" t="str">
        <x:v>포항</x:v>
      </x:c>
      <x:c r="H82" s="34" t="n">
        <x:v>2032</x:v>
      </x:c>
      <x:c r="I82" s="34" t="str">
        <x:v>BF_BOF</x:v>
      </x:c>
      <x:c r="J82" s="34" t="str">
        <x:v>기준 BF-BOF 복합 블록</x:v>
      </x:c>
      <x:c r="K82" s="34" t="str">
        <x:v>H2_DRI_EAF</x:v>
      </x:c>
      <x:c r="L82" s="34" t="str">
        <x:v>수소 DRI + EAF</x:v>
      </x:c>
      <x:c r="M82" s="34" t="n">
        <x:v>6660</x:v>
      </x:c>
      <x:c r="N82" s="34" t="n">
        <x:v>5180</x:v>
      </x:c>
      <x:c r="O82" s="34" t="n">
        <x:v>7.4</x:v>
      </x:c>
      <x:c r="P82" s="34" t="n">
        <x:v>6.800001</x:v>
      </x:c>
      <x:c r="Q82" s="34" t="n">
        <x:v>14.114992</x:v>
      </x:c>
      <x:c r="R82" s="34" t="n">
        <x:v>14.114992</x:v>
      </x:c>
      <x:c r="S82" s="34" t="n">
        <x:v>1.36</x:v>
      </x:c>
      <x:c r="T82" s="34" t="n">
        <x:v>1.36</x:v>
      </x:c>
      <x:c r="U82" s="34" t="n">
        <x:v>12.754992</x:v>
      </x:c>
      <x:c r="V82" s="34" t="n">
        <x:v>114.794931</x:v>
      </x:c>
      <x:c r="W82" s="34" t="n">
        <x:v>17942.234</x:v>
      </x:c>
      <x:c r="X82" s="34" t="n">
        <x:v>1187.447</x:v>
      </x:c>
      <x:c r="Y82" s="34" t="n">
        <x:v>22124.401</x:v>
      </x:c>
      <x:c r="Z82" s="34" t="n">
        <x:v>20936.954</x:v>
      </x:c>
      <x:c r="AA82" s="34" t="n">
        <x:v>4182.167</x:v>
      </x:c>
      <x:c r="AB82" s="34" t="n">
        <x:v>16754.787</x:v>
      </x:c>
      <x:c r="AC82" s="34" t="n">
        <x:v>3560.923</x:v>
      </x:c>
      <x:c r="AD82" s="34" t="n">
        <x:v>514.289</x:v>
      </x:c>
      <x:c r="AE82" s="34" t="n">
        <x:v>2030.494</x:v>
      </x:c>
      <x:c r="AF82" s="34" t="n">
        <x:v>15992.535</x:v>
      </x:c>
      <x:c r="AG82" s="34" t="n">
        <x:v>26.16</x:v>
      </x:c>
      <x:c r="AH82" s="34" t="n">
        <x:v>-4182.167</x:v>
      </x:c>
      <x:c r="AI82" s="34" t="str">
        <x:v>model_estimate</x:v>
      </x:c>
      <x:c r="AJ82" s="34" t="str">
        <x:v>POSCO 공식 국내 생산·배출 총량에 맞춘 설비 블록 배분; 개별 생산량·재투자연도는 추정</x:v>
      </x:c>
      <x:c r="AK82" s="34" t="str">
        <x:v>CAND-4EF614D30D6D91</x:v>
      </x:c>
      <x:c r="AL82" s="34" t="str">
        <x:v>P2</x:v>
      </x:c>
      <x:c r="AM82" s="34" t="str">
        <x:v>PORT-96133A6427FE</x:v>
      </x:c>
      <x:c r="AN82" s="34" t="n">
        <x:v>1000</x:v>
      </x:c>
      <x:c r="AO82" s="34" t="n">
        <x:v>69.411812</x:v>
      </x:c>
      <x:c r="AP82" s="34" t="n">
        <x:v>17.809403</x:v>
      </x:c>
      <x:c r="AQ82" s="34" t="n">
        <x:v>430.20423</x:v>
      </x:c>
      <x:c r="AR82" s="34" t="n">
        <x:v>29134.516</x:v>
      </x:c>
      <x:c r="AS82" s="34" t="n">
        <x:v>67.722522</x:v>
      </x:c>
      <x:c r="AT82" s="40" t="b">
        <x:v>1</x:v>
      </x:c>
      <x:c r="AU82" s="40" t="b">
        <x:v>1</x:v>
      </x:c>
      <x:c r="AV82" s="34" t="str"/>
      <x:c r="AW82" s="34" t="n">
        <x:v>0</x:v>
      </x:c>
      <x:c r="AX82" s="34" t="str">
        <x:v>2.0275124185786808e-05</x:v>
      </x:c>
      <x:c r="AY82" s="40" t="b">
        <x:v>1</x:v>
      </x:c>
      <x:c r="AZ82" s="40" t="b">
        <x:v>1</x:v>
      </x:c>
      <x:c r="BA82" s="40" t="b">
        <x:v>1</x:v>
      </x:c>
      <x:c r="BB82" s="40" t="b">
        <x:v>1</x:v>
      </x:c>
      <x:c r="BC82" s="34" t="str"/>
      <x:c r="BD82" s="34" t="n">
        <x:v>0</x:v>
      </x:c>
      <x:c r="BE82" s="34" t="n">
        <x:v>0</x:v>
      </x:c>
      <x:c r="BF82" s="34" t="n">
        <x:v>0</x:v>
      </x:c>
      <x:c r="BG82" s="34" t="n">
        <x:v>2</x:v>
      </x:c>
      <x:c r="BH82" s="34" t="n">
        <x:v>3</x:v>
      </x:c>
      <x:c r="BI82" s="34" t="n">
        <x:v>0.45933660799999987</x:v>
      </x:c>
      <x:c r="BJ82" s="34" t="n">
        <x:v>0.65</x:v>
      </x:c>
      <x:c r="BK82" s="34" t="n">
        <x:v>2.02</x:v>
      </x:c>
    </x:row>
    <x:row r="83">
      <x:c r="A83" s="34" t="str">
        <x:v>POSCO_KR</x:v>
      </x:c>
      <x:c r="B83" s="34" t="str">
        <x:v>POSCO</x:v>
      </x:c>
      <x:c r="C83" s="34" t="str">
        <x:v>ACCELERATED_15C</x:v>
      </x:c>
      <x:c r="D83" s="34" t="str">
        <x:v>P2</x:v>
      </x:c>
      <x:c r="E83" s="34" t="str">
        <x:v>POS-GWY-E</x:v>
      </x:c>
      <x:c r="F83" s="34" t="str">
        <x:v>광양제철소 BF 블록 B</x:v>
      </x:c>
      <x:c r="G83" s="34" t="str">
        <x:v>광양</x:v>
      </x:c>
      <x:c r="H83" s="34" t="n">
        <x:v>2037</x:v>
      </x:c>
      <x:c r="I83" s="34" t="str">
        <x:v>BF_BOF</x:v>
      </x:c>
      <x:c r="J83" s="34" t="str">
        <x:v>기준 BF-BOF 복합 블록</x:v>
      </x:c>
      <x:c r="K83" s="34" t="str">
        <x:v>H2_DRI_EAF</x:v>
      </x:c>
      <x:c r="L83" s="34" t="str">
        <x:v>수소 DRI + EAF</x:v>
      </x:c>
      <x:c r="M83" s="34" t="n">
        <x:v>9270</x:v>
      </x:c>
      <x:c r="N83" s="34" t="n">
        <x:v>7210</x:v>
      </x:c>
      <x:c r="O83" s="34" t="n">
        <x:v>10.3</x:v>
      </x:c>
      <x:c r="P83" s="34" t="n">
        <x:v>9.502996</x:v>
      </x:c>
      <x:c r="Q83" s="34" t="n">
        <x:v>19.725693</x:v>
      </x:c>
      <x:c r="R83" s="34" t="n">
        <x:v>19.725693</x:v>
      </x:c>
      <x:c r="S83" s="34" t="n">
        <x:v>1.900599</x:v>
      </x:c>
      <x:c r="T83" s="34" t="n">
        <x:v>1.900599</x:v>
      </x:c>
      <x:c r="U83" s="34" t="n">
        <x:v>17.825093</x:v>
      </x:c>
      <x:c r="V83" s="34" t="n">
        <x:v>71.300373</x:v>
      </x:c>
      <x:c r="W83" s="34" t="n">
        <x:v>11248.125</x:v>
      </x:c>
      <x:c r="X83" s="34" t="n">
        <x:v>1452.798</x:v>
      </x:c>
      <x:c r="Y83" s="34" t="n">
        <x:v>15035.68</x:v>
      </x:c>
      <x:c r="Z83" s="34" t="n">
        <x:v>13582.882</x:v>
      </x:c>
      <x:c r="AA83" s="34" t="n">
        <x:v>3787.555</x:v>
      </x:c>
      <x:c r="AB83" s="34" t="n">
        <x:v>9795.327</x:v>
      </x:c>
      <x:c r="AC83" s="34" t="n">
        <x:v>3792.327</x:v>
      </x:c>
      <x:c r="AD83" s="34" t="n">
        <x:v>295.74</x:v>
      </x:c>
      <x:c r="AE83" s="34" t="n">
        <x:v>1311.15</x:v>
      </x:c>
      <x:c r="AF83" s="34" t="n">
        <x:v>9617.294</x:v>
      </x:c>
      <x:c r="AG83" s="34" t="n">
        <x:v>19.169</x:v>
      </x:c>
      <x:c r="AH83" s="34" t="n">
        <x:v>-3787.555</x:v>
      </x:c>
      <x:c r="AI83" s="34" t="str">
        <x:v>model_estimate</x:v>
      </x:c>
      <x:c r="AJ83" s="34" t="str">
        <x:v>POSCO 공식 국내 생산·배출 총량에 맞춘 설비 블록 배분; 개별 생산량·재투자연도는 추정</x:v>
      </x:c>
      <x:c r="AK83" s="34" t="str">
        <x:v>CAND-4EF614D30D6D91</x:v>
      </x:c>
      <x:c r="AL83" s="34" t="str">
        <x:v>P2</x:v>
      </x:c>
      <x:c r="AM83" s="34" t="str">
        <x:v>PORT-96133A6427FE</x:v>
      </x:c>
      <x:c r="AN83" s="34" t="n">
        <x:v>1000</x:v>
      </x:c>
      <x:c r="AO83" s="34" t="n">
        <x:v>57.715356</x:v>
      </x:c>
      <x:c r="AP83" s="34" t="n">
        <x:v>19.099566</x:v>
      </x:c>
      <x:c r="AQ83" s="34" t="n">
        <x:v>430.20423</x:v>
      </x:c>
      <x:c r="AR83" s="34" t="n">
        <x:v>24083.473</x:v>
      </x:c>
      <x:c r="AS83" s="34" t="n">
        <x:v>55.981487</x:v>
      </x:c>
      <x:c r="AT83" s="40" t="b">
        <x:v>1</x:v>
      </x:c>
      <x:c r="AU83" s="40" t="b">
        <x:v>1</x:v>
      </x:c>
      <x:c r="AV83" s="34" t="str"/>
      <x:c r="AW83" s="34" t="n">
        <x:v>0</x:v>
      </x:c>
      <x:c r="AX83" s="34" t="str">
        <x:v>2.0275124185786808e-05</x:v>
      </x:c>
      <x:c r="AY83" s="40" t="b">
        <x:v>1</x:v>
      </x:c>
      <x:c r="AZ83" s="40" t="b">
        <x:v>1</x:v>
      </x:c>
      <x:c r="BA83" s="40" t="b">
        <x:v>1</x:v>
      </x:c>
      <x:c r="BB83" s="40" t="b">
        <x:v>1</x:v>
      </x:c>
      <x:c r="BC83" s="34" t="str"/>
      <x:c r="BD83" s="34" t="n">
        <x:v>0</x:v>
      </x:c>
      <x:c r="BE83" s="34" t="n">
        <x:v>0</x:v>
      </x:c>
      <x:c r="BF83" s="34" t="n">
        <x:v>0</x:v>
      </x:c>
      <x:c r="BG83" s="34" t="n">
        <x:v>2</x:v>
      </x:c>
      <x:c r="BH83" s="34" t="n">
        <x:v>3</x:v>
      </x:c>
      <x:c r="BI83" s="34" t="n">
        <x:v>0.45933660799999987</x:v>
      </x:c>
      <x:c r="BJ83" s="34" t="n">
        <x:v>0.65</x:v>
      </x:c>
      <x:c r="BK83" s="34" t="n">
        <x:v>2.02</x:v>
      </x:c>
    </x:row>
    <x:row r="84">
      <x:c r="A84" s="34" t="str">
        <x:v>POSCO_KR</x:v>
      </x:c>
      <x:c r="B84" s="34" t="str">
        <x:v>POSCO</x:v>
      </x:c>
      <x:c r="C84" s="34" t="str">
        <x:v>ACCELERATED_15C</x:v>
      </x:c>
      <x:c r="D84" s="34" t="str">
        <x:v>P2</x:v>
      </x:c>
      <x:c r="E84" s="34" t="str">
        <x:v>POS-GWY-EAF</x:v>
      </x:c>
      <x:c r="F84" s="34" t="str">
        <x:v>광양 기존 EAF 블록</x:v>
      </x:c>
      <x:c r="G84" s="34" t="str">
        <x:v>광양</x:v>
      </x:c>
      <x:c r="H84" s="34" t="n">
        <x:v>2033</x:v>
      </x:c>
      <x:c r="I84" s="34" t="str">
        <x:v>EAF_BASELINE</x:v>
      </x:c>
      <x:c r="J84" s="34" t="str">
        <x:v>기존 전기로 기준 블록</x:v>
      </x:c>
      <x:c r="K84" s="34" t="str">
        <x:v>EAF_RENEWABLE</x:v>
      </x:c>
      <x:c r="L84" s="34" t="str">
        <x:v>기존 EAF 재생전력 업그레이드</x:v>
      </x:c>
      <x:c r="M84" s="34" t="n">
        <x:v>312</x:v>
      </x:c>
      <x:c r="N84" s="34" t="n">
        <x:v>96</x:v>
      </x:c>
      <x:c r="O84" s="34" t="n">
        <x:v>1.2</x:v>
      </x:c>
      <x:c r="P84" s="34" t="n">
        <x:v>1.134</x:v>
      </x:c>
      <x:c r="Q84" s="34" t="n">
        <x:v>0.5103</x:v>
      </x:c>
      <x:c r="R84" s="34" t="n">
        <x:v>0.5103</x:v>
      </x:c>
      <x:c r="S84" s="34" t="n">
        <x:v>0.1134</x:v>
      </x:c>
      <x:c r="T84" s="34" t="n">
        <x:v>0.1134</x:v>
      </x:c>
      <x:c r="U84" s="34" t="n">
        <x:v>0.3969</x:v>
      </x:c>
      <x:c r="V84" s="34" t="n">
        <x:v>3.1752</x:v>
      </x:c>
      <x:c r="W84" s="34" t="n">
        <x:v>-48.989</x:v>
      </x:c>
      <x:c r="X84" s="34" t="n">
        <x:v>9.402</x:v>
      </x:c>
      <x:c r="Y84" s="34" t="n">
        <x:v>120.544</x:v>
      </x:c>
      <x:c r="Z84" s="34" t="n">
        <x:v>111.142</x:v>
      </x:c>
      <x:c r="AA84" s="34" t="n">
        <x:v>169.532</x:v>
      </x:c>
      <x:c r="AB84" s="34" t="n">
        <x:v>-58.39</x:v>
      </x:c>
      <x:c r="AC84" s="34" t="n">
        <x:v>62.553</x:v>
      </x:c>
      <x:c r="AD84" s="34" t="n">
        <x:v>14.814</x:v>
      </x:c>
      <x:c r="AE84" s="34" t="n">
        <x:v>42.986</x:v>
      </x:c>
      <x:c r="AF84" s="34" t="n">
        <x:v>0</x:v>
      </x:c>
      <x:c r="AG84" s="34" t="n">
        <x:v>0.19</x:v>
      </x:c>
      <x:c r="AH84" s="34" t="n">
        <x:v>-169.532</x:v>
      </x:c>
      <x:c r="AI84" s="34" t="str">
        <x:v>model_estimate</x:v>
      </x:c>
      <x:c r="AJ84" s="34" t="str">
        <x:v>2025 공식 EAF 생산 1.135Mt에 맞춘 모델 블록; 집약도·재투자연도 추정</x:v>
      </x:c>
      <x:c r="AK84" s="34" t="str">
        <x:v>CAND-4EF614D30D6D91</x:v>
      </x:c>
      <x:c r="AL84" s="34" t="str">
        <x:v>P2</x:v>
      </x:c>
      <x:c r="AM84" s="34" t="str">
        <x:v>PORT-96133A6427FE</x:v>
      </x:c>
      <x:c r="AN84" s="34" t="n">
        <x:v>1000</x:v>
      </x:c>
      <x:c r="AO84" s="34" t="n">
        <x:v>57.715356</x:v>
      </x:c>
      <x:c r="AP84" s="34" t="n">
        <x:v>19.099566</x:v>
      </x:c>
      <x:c r="AQ84" s="34" t="n">
        <x:v>430.20423</x:v>
      </x:c>
      <x:c r="AR84" s="34" t="n">
        <x:v>24083.473</x:v>
      </x:c>
      <x:c r="AS84" s="34" t="n">
        <x:v>55.981487</x:v>
      </x:c>
      <x:c r="AT84" s="40" t="b">
        <x:v>1</x:v>
      </x:c>
      <x:c r="AU84" s="40" t="b">
        <x:v>1</x:v>
      </x:c>
      <x:c r="AV84" s="34" t="str"/>
      <x:c r="AW84" s="34" t="n">
        <x:v>0</x:v>
      </x:c>
      <x:c r="AX84" s="34" t="str">
        <x:v>2.0275124185786808e-05</x:v>
      </x:c>
      <x:c r="AY84" s="40" t="b">
        <x:v>1</x:v>
      </x:c>
      <x:c r="AZ84" s="40" t="b">
        <x:v>1</x:v>
      </x:c>
      <x:c r="BA84" s="40" t="b">
        <x:v>1</x:v>
      </x:c>
      <x:c r="BB84" s="40" t="b">
        <x:v>1</x:v>
      </x:c>
      <x:c r="BC84" s="34" t="str"/>
      <x:c r="BD84" s="34" t="n">
        <x:v>0</x:v>
      </x:c>
      <x:c r="BE84" s="34" t="n">
        <x:v>0</x:v>
      </x:c>
      <x:c r="BF84" s="34" t="n">
        <x:v>0</x:v>
      </x:c>
      <x:c r="BG84" s="34" t="n">
        <x:v>2</x:v>
      </x:c>
      <x:c r="BH84" s="34" t="n">
        <x:v>3</x:v>
      </x:c>
      <x:c r="BI84" s="34" t="n">
        <x:v>0.45933660799999987</x:v>
      </x:c>
      <x:c r="BJ84" s="34" t="n">
        <x:v>0.65</x:v>
      </x:c>
      <x:c r="BK84" s="34" t="n">
        <x:v>2.02</x:v>
      </x:c>
    </x:row>
    <x:row r="85">
      <x:c r="A85" s="34" t="str">
        <x:v>POSCO_KR</x:v>
      </x:c>
      <x:c r="B85" s="34" t="str">
        <x:v>POSCO</x:v>
      </x:c>
      <x:c r="C85" s="34" t="str">
        <x:v>ACCELERATED_15C</x:v>
      </x:c>
      <x:c r="D85" s="34" t="str">
        <x:v>P2</x:v>
      </x:c>
      <x:c r="E85" s="34" t="str">
        <x:v>POS-GWY-W</x:v>
      </x:c>
      <x:c r="F85" s="34" t="str">
        <x:v>광양제철소 BF 블록 A</x:v>
      </x:c>
      <x:c r="G85" s="34" t="str">
        <x:v>광양</x:v>
      </x:c>
      <x:c r="H85" s="34" t="n">
        <x:v>2035</x:v>
      </x:c>
      <x:c r="I85" s="34" t="str">
        <x:v>BF_BOF</x:v>
      </x:c>
      <x:c r="J85" s="34" t="str">
        <x:v>기준 BF-BOF 복합 블록</x:v>
      </x:c>
      <x:c r="K85" s="34" t="str">
        <x:v>SCRAP_EAF</x:v>
      </x:c>
      <x:c r="L85" s="34" t="str">
        <x:v>스크랩 기반 대형 EAF</x:v>
      </x:c>
      <x:c r="M85" s="34" t="n">
        <x:v>5768</x:v>
      </x:c>
      <x:c r="N85" s="34" t="n">
        <x:v>3708</x:v>
      </x:c>
      <x:c r="O85" s="34" t="n">
        <x:v>10.3</x:v>
      </x:c>
      <x:c r="P85" s="34" t="n">
        <x:v>9.499999</x:v>
      </x:c>
      <x:c r="Q85" s="34" t="n">
        <x:v>19.719471</x:v>
      </x:c>
      <x:c r="R85" s="34" t="n">
        <x:v>19.719471</x:v>
      </x:c>
      <x:c r="S85" s="34" t="n">
        <x:v>4.275</x:v>
      </x:c>
      <x:c r="T85" s="34" t="n">
        <x:v>4.275</x:v>
      </x:c>
      <x:c r="U85" s="34" t="n">
        <x:v>15.444471</x:v>
      </x:c>
      <x:c r="V85" s="34" t="n">
        <x:v>92.666828</x:v>
      </x:c>
      <x:c r="W85" s="34" t="n">
        <x:v>-31.935</x:v>
      </x:c>
      <x:c r="X85" s="34" t="n">
        <x:v>435.024</x:v>
      </x:c>
      <x:c r="Y85" s="34" t="n">
        <x:v>4916.902</x:v>
      </x:c>
      <x:c r="Z85" s="34" t="n">
        <x:v>4481.878</x:v>
      </x:c>
      <x:c r="AA85" s="34" t="n">
        <x:v>4948.836</x:v>
      </x:c>
      <x:c r="AB85" s="34" t="n">
        <x:v>-466.958</x:v>
      </x:c>
      <x:c r="AC85" s="34" t="n">
        <x:v>2170.777</x:v>
      </x:c>
      <x:c r="AD85" s="34" t="n">
        <x:v>263.8</x:v>
      </x:c>
      <x:c r="AE85" s="34" t="n">
        <x:v>2474.272</x:v>
      </x:c>
      <x:c r="AF85" s="34" t="n">
        <x:v>0</x:v>
      </x:c>
      <x:c r="AG85" s="34" t="n">
        <x:v>8.053</x:v>
      </x:c>
      <x:c r="AH85" s="34" t="n">
        <x:v>-4948.836</x:v>
      </x:c>
      <x:c r="AI85" s="34" t="str">
        <x:v>model_estimate</x:v>
      </x:c>
      <x:c r="AJ85" s="34" t="str">
        <x:v>POSCO 공식 국내 생산·배출 총량에 맞춘 설비 블록 배분; 개별 생산량·재투자연도는 추정</x:v>
      </x:c>
      <x:c r="AK85" s="34" t="str">
        <x:v>CAND-4EF614D30D6D91</x:v>
      </x:c>
      <x:c r="AL85" s="34" t="str">
        <x:v>P2</x:v>
      </x:c>
      <x:c r="AM85" s="34" t="str">
        <x:v>PORT-96133A6427FE</x:v>
      </x:c>
      <x:c r="AN85" s="34" t="n">
        <x:v>1000</x:v>
      </x:c>
      <x:c r="AO85" s="34" t="n">
        <x:v>57.715356</x:v>
      </x:c>
      <x:c r="AP85" s="34" t="n">
        <x:v>19.099566</x:v>
      </x:c>
      <x:c r="AQ85" s="34" t="n">
        <x:v>430.20423</x:v>
      </x:c>
      <x:c r="AR85" s="34" t="n">
        <x:v>24083.473</x:v>
      </x:c>
      <x:c r="AS85" s="34" t="n">
        <x:v>55.981487</x:v>
      </x:c>
      <x:c r="AT85" s="40" t="b">
        <x:v>1</x:v>
      </x:c>
      <x:c r="AU85" s="40" t="b">
        <x:v>1</x:v>
      </x:c>
      <x:c r="AV85" s="34" t="str"/>
      <x:c r="AW85" s="34" t="n">
        <x:v>0</x:v>
      </x:c>
      <x:c r="AX85" s="34" t="str">
        <x:v>2.0275124185786808e-05</x:v>
      </x:c>
      <x:c r="AY85" s="40" t="b">
        <x:v>1</x:v>
      </x:c>
      <x:c r="AZ85" s="40" t="b">
        <x:v>1</x:v>
      </x:c>
      <x:c r="BA85" s="40" t="b">
        <x:v>1</x:v>
      </x:c>
      <x:c r="BB85" s="40" t="b">
        <x:v>1</x:v>
      </x:c>
      <x:c r="BC85" s="34" t="str"/>
      <x:c r="BD85" s="34" t="n">
        <x:v>0</x:v>
      </x:c>
      <x:c r="BE85" s="34" t="n">
        <x:v>0</x:v>
      </x:c>
      <x:c r="BF85" s="34" t="n">
        <x:v>0</x:v>
      </x:c>
      <x:c r="BG85" s="34" t="n">
        <x:v>2</x:v>
      </x:c>
      <x:c r="BH85" s="34" t="n">
        <x:v>3</x:v>
      </x:c>
      <x:c r="BI85" s="34" t="n">
        <x:v>0.45933660799999987</x:v>
      </x:c>
      <x:c r="BJ85" s="34" t="n">
        <x:v>0.65</x:v>
      </x:c>
      <x:c r="BK85" s="34" t="n">
        <x:v>2.02</x:v>
      </x:c>
    </x:row>
    <x:row r="86">
      <x:c r="A86" s="34" t="str">
        <x:v>POSCO_KR</x:v>
      </x:c>
      <x:c r="B86" s="34" t="str">
        <x:v>POSCO</x:v>
      </x:c>
      <x:c r="C86" s="34" t="str">
        <x:v>ACCELERATED_15C</x:v>
      </x:c>
      <x:c r="D86" s="34" t="str">
        <x:v>P2</x:v>
      </x:c>
      <x:c r="E86" s="34" t="str">
        <x:v>POS-POH-N</x:v>
      </x:c>
      <x:c r="F86" s="34" t="str">
        <x:v>포항제철소 BF 블록 A</x:v>
      </x:c>
      <x:c r="G86" s="34" t="str">
        <x:v>포항</x:v>
      </x:c>
      <x:c r="H86" s="34" t="n">
        <x:v>2029</x:v>
      </x:c>
      <x:c r="I86" s="34" t="str">
        <x:v>BF_BOF</x:v>
      </x:c>
      <x:c r="J86" s="34" t="str">
        <x:v>기준 BF-BOF 복합 블록</x:v>
      </x:c>
      <x:c r="K86" s="34" t="str">
        <x:v>SCRAP_EAF</x:v>
      </x:c>
      <x:c r="L86" s="34" t="str">
        <x:v>스크랩 기반 대형 EAF</x:v>
      </x:c>
      <x:c r="M86" s="34" t="n">
        <x:v>4592</x:v>
      </x:c>
      <x:c r="N86" s="34" t="n">
        <x:v>2952</x:v>
      </x:c>
      <x:c r="O86" s="34" t="n">
        <x:v>8.2</x:v>
      </x:c>
      <x:c r="P86" s="34" t="n">
        <x:v>7.599998</x:v>
      </x:c>
      <x:c r="Q86" s="34" t="n">
        <x:v>15.775574</x:v>
      </x:c>
      <x:c r="R86" s="34" t="n">
        <x:v>3.419999</x:v>
      </x:c>
      <x:c r="S86" s="34" t="n">
        <x:v>3.419999</x:v>
      </x:c>
      <x:c r="T86" s="34" t="n">
        <x:v>3.419999</x:v>
      </x:c>
      <x:c r="U86" s="34" t="n">
        <x:v>12.355575</x:v>
      </x:c>
      <x:c r="V86" s="34" t="n">
        <x:v>148.266898</x:v>
      </x:c>
      <x:c r="W86" s="34" t="n">
        <x:v>-592.38</x:v>
      </x:c>
      <x:c r="X86" s="34" t="n">
        <x:v>477.534</x:v>
      </x:c>
      <x:c r="Y86" s="34" t="n">
        <x:v>7170.146</x:v>
      </x:c>
      <x:c r="Z86" s="34" t="n">
        <x:v>6692.612</x:v>
      </x:c>
      <x:c r="AA86" s="34" t="n">
        <x:v>7762.525</x:v>
      </x:c>
      <x:c r="AB86" s="34" t="n">
        <x:v>-1069.914</x:v>
      </x:c>
      <x:c r="AC86" s="34" t="n">
        <x:v>2382.904</x:v>
      </x:c>
      <x:c r="AD86" s="34" t="n">
        <x:v>446.25</x:v>
      </x:c>
      <x:c r="AE86" s="34" t="n">
        <x:v>4329.731</x:v>
      </x:c>
      <x:c r="AF86" s="34" t="n">
        <x:v>0</x:v>
      </x:c>
      <x:c r="AG86" s="34" t="n">
        <x:v>11.26</x:v>
      </x:c>
      <x:c r="AH86" s="34" t="n">
        <x:v>-7762.525</x:v>
      </x:c>
      <x:c r="AI86" s="34" t="str">
        <x:v>model_estimate</x:v>
      </x:c>
      <x:c r="AJ86" s="34" t="str">
        <x:v>POSCO 공식 국내 생산·배출 총량에 맞춘 설비 블록 배분; 개별 생산량·재투자연도는 추정</x:v>
      </x:c>
      <x:c r="AK86" s="34" t="str">
        <x:v>CAND-4EF614D30D6D91</x:v>
      </x:c>
      <x:c r="AL86" s="34" t="str">
        <x:v>P2</x:v>
      </x:c>
      <x:c r="AM86" s="34" t="str">
        <x:v>PORT-96133A6427FE</x:v>
      </x:c>
      <x:c r="AN86" s="34" t="n">
        <x:v>1000</x:v>
      </x:c>
      <x:c r="AO86" s="34" t="n">
        <x:v>57.715356</x:v>
      </x:c>
      <x:c r="AP86" s="34" t="n">
        <x:v>19.099566</x:v>
      </x:c>
      <x:c r="AQ86" s="34" t="n">
        <x:v>430.20423</x:v>
      </x:c>
      <x:c r="AR86" s="34" t="n">
        <x:v>24083.473</x:v>
      </x:c>
      <x:c r="AS86" s="34" t="n">
        <x:v>55.981487</x:v>
      </x:c>
      <x:c r="AT86" s="40" t="b">
        <x:v>1</x:v>
      </x:c>
      <x:c r="AU86" s="40" t="b">
        <x:v>1</x:v>
      </x:c>
      <x:c r="AV86" s="34" t="str"/>
      <x:c r="AW86" s="34" t="n">
        <x:v>0</x:v>
      </x:c>
      <x:c r="AX86" s="34" t="str">
        <x:v>2.0275124185786808e-05</x:v>
      </x:c>
      <x:c r="AY86" s="40" t="b">
        <x:v>1</x:v>
      </x:c>
      <x:c r="AZ86" s="40" t="b">
        <x:v>1</x:v>
      </x:c>
      <x:c r="BA86" s="40" t="b">
        <x:v>1</x:v>
      </x:c>
      <x:c r="BB86" s="40" t="b">
        <x:v>1</x:v>
      </x:c>
      <x:c r="BC86" s="34" t="str"/>
      <x:c r="BD86" s="34" t="n">
        <x:v>0</x:v>
      </x:c>
      <x:c r="BE86" s="34" t="n">
        <x:v>0</x:v>
      </x:c>
      <x:c r="BF86" s="34" t="n">
        <x:v>0</x:v>
      </x:c>
      <x:c r="BG86" s="34" t="n">
        <x:v>2</x:v>
      </x:c>
      <x:c r="BH86" s="34" t="n">
        <x:v>3</x:v>
      </x:c>
      <x:c r="BI86" s="34" t="n">
        <x:v>0.45933660799999987</x:v>
      </x:c>
      <x:c r="BJ86" s="34" t="n">
        <x:v>0.65</x:v>
      </x:c>
      <x:c r="BK86" s="34" t="n">
        <x:v>2.02</x:v>
      </x:c>
    </x:row>
    <x:row r="87">
      <x:c r="A87" s="34" t="str">
        <x:v>POSCO_KR</x:v>
      </x:c>
      <x:c r="B87" s="34" t="str">
        <x:v>POSCO</x:v>
      </x:c>
      <x:c r="C87" s="34" t="str">
        <x:v>ACCELERATED_15C</x:v>
      </x:c>
      <x:c r="D87" s="34" t="str">
        <x:v>P2</x:v>
      </x:c>
      <x:c r="E87" s="34" t="str">
        <x:v>POS-POH-S</x:v>
      </x:c>
      <x:c r="F87" s="34" t="str">
        <x:v>포항제철소 BF 블록 B</x:v>
      </x:c>
      <x:c r="G87" s="34" t="str">
        <x:v>포항</x:v>
      </x:c>
      <x:c r="H87" s="34" t="n">
        <x:v>2032</x:v>
      </x:c>
      <x:c r="I87" s="34" t="str">
        <x:v>BF_BOF</x:v>
      </x:c>
      <x:c r="J87" s="34" t="str">
        <x:v>기준 BF-BOF 복합 블록</x:v>
      </x:c>
      <x:c r="K87" s="34" t="str">
        <x:v>H2_DRI_EAF</x:v>
      </x:c>
      <x:c r="L87" s="34" t="str">
        <x:v>수소 DRI + EAF</x:v>
      </x:c>
      <x:c r="M87" s="34" t="n">
        <x:v>6660</x:v>
      </x:c>
      <x:c r="N87" s="34" t="n">
        <x:v>5180</x:v>
      </x:c>
      <x:c r="O87" s="34" t="n">
        <x:v>7.4</x:v>
      </x:c>
      <x:c r="P87" s="34" t="n">
        <x:v>6.800001</x:v>
      </x:c>
      <x:c r="Q87" s="34" t="n">
        <x:v>14.114992</x:v>
      </x:c>
      <x:c r="R87" s="34" t="n">
        <x:v>14.114992</x:v>
      </x:c>
      <x:c r="S87" s="34" t="n">
        <x:v>1.36</x:v>
      </x:c>
      <x:c r="T87" s="34" t="n">
        <x:v>1.36</x:v>
      </x:c>
      <x:c r="U87" s="34" t="n">
        <x:v>12.754992</x:v>
      </x:c>
      <x:c r="V87" s="34" t="n">
        <x:v>114.794931</x:v>
      </x:c>
      <x:c r="W87" s="34" t="n">
        <x:v>17540.672</x:v>
      </x:c>
      <x:c r="X87" s="34" t="n">
        <x:v>1657.264</x:v>
      </x:c>
      <x:c r="Y87" s="34" t="n">
        <x:v>23655.684</x:v>
      </x:c>
      <x:c r="Z87" s="34" t="n">
        <x:v>21998.42</x:v>
      </x:c>
      <x:c r="AA87" s="34" t="n">
        <x:v>6115.012</x:v>
      </x:c>
      <x:c r="AB87" s="34" t="n">
        <x:v>15883.408</x:v>
      </x:c>
      <x:c r="AC87" s="34" t="n">
        <x:v>3560.923</x:v>
      </x:c>
      <x:c r="AD87" s="34" t="n">
        <x:v>514.289</x:v>
      </x:c>
      <x:c r="AE87" s="34" t="n">
        <x:v>2263.493</x:v>
      </x:c>
      <x:c r="AF87" s="34" t="n">
        <x:v>17289.173</x:v>
      </x:c>
      <x:c r="AG87" s="34" t="n">
        <x:v>27.806</x:v>
      </x:c>
      <x:c r="AH87" s="34" t="n">
        <x:v>-6115.012</x:v>
      </x:c>
      <x:c r="AI87" s="34" t="str">
        <x:v>model_estimate</x:v>
      </x:c>
      <x:c r="AJ87" s="34" t="str">
        <x:v>POSCO 공식 국내 생산·배출 총량에 맞춘 설비 블록 배분; 개별 생산량·재투자연도는 추정</x:v>
      </x:c>
      <x:c r="AK87" s="34" t="str">
        <x:v>CAND-4EF614D30D6D91</x:v>
      </x:c>
      <x:c r="AL87" s="34" t="str">
        <x:v>P2</x:v>
      </x:c>
      <x:c r="AM87" s="34" t="str">
        <x:v>PORT-96133A6427FE</x:v>
      </x:c>
      <x:c r="AN87" s="34" t="n">
        <x:v>1000</x:v>
      </x:c>
      <x:c r="AO87" s="34" t="n">
        <x:v>57.715356</x:v>
      </x:c>
      <x:c r="AP87" s="34" t="n">
        <x:v>19.099566</x:v>
      </x:c>
      <x:c r="AQ87" s="34" t="n">
        <x:v>430.20423</x:v>
      </x:c>
      <x:c r="AR87" s="34" t="n">
        <x:v>24083.473</x:v>
      </x:c>
      <x:c r="AS87" s="34" t="n">
        <x:v>55.981487</x:v>
      </x:c>
      <x:c r="AT87" s="40" t="b">
        <x:v>1</x:v>
      </x:c>
      <x:c r="AU87" s="40" t="b">
        <x:v>1</x:v>
      </x:c>
      <x:c r="AV87" s="34" t="str"/>
      <x:c r="AW87" s="34" t="n">
        <x:v>0</x:v>
      </x:c>
      <x:c r="AX87" s="34" t="str">
        <x:v>2.0275124185786808e-05</x:v>
      </x:c>
      <x:c r="AY87" s="40" t="b">
        <x:v>1</x:v>
      </x:c>
      <x:c r="AZ87" s="40" t="b">
        <x:v>1</x:v>
      </x:c>
      <x:c r="BA87" s="40" t="b">
        <x:v>1</x:v>
      </x:c>
      <x:c r="BB87" s="40" t="b">
        <x:v>1</x:v>
      </x:c>
      <x:c r="BC87" s="34" t="str"/>
      <x:c r="BD87" s="34" t="n">
        <x:v>0</x:v>
      </x:c>
      <x:c r="BE87" s="34" t="n">
        <x:v>0</x:v>
      </x:c>
      <x:c r="BF87" s="34" t="n">
        <x:v>0</x:v>
      </x:c>
      <x:c r="BG87" s="34" t="n">
        <x:v>2</x:v>
      </x:c>
      <x:c r="BH87" s="34" t="n">
        <x:v>3</x:v>
      </x:c>
      <x:c r="BI87" s="34" t="n">
        <x:v>0.45933660799999987</x:v>
      </x:c>
      <x:c r="BJ87" s="34" t="n">
        <x:v>0.65</x:v>
      </x:c>
      <x:c r="BK87" s="34" t="n">
        <x:v>2.02</x:v>
      </x:c>
    </x:row>
    <x:row r="88">
      <x:c r="A88" s="34" t="str">
        <x:v>POSCO_KR</x:v>
      </x:c>
      <x:c r="B88" s="34" t="str">
        <x:v>POSCO</x:v>
      </x:c>
      <x:c r="C88" s="34" t="str">
        <x:v>DISCLOSED_PATH</x:v>
      </x:c>
      <x:c r="D88" s="34" t="str">
        <x:v>P3</x:v>
      </x:c>
      <x:c r="E88" s="34" t="str">
        <x:v>POS-GWY-E</x:v>
      </x:c>
      <x:c r="F88" s="34" t="str">
        <x:v>광양제철소 BF 블록 B</x:v>
      </x:c>
      <x:c r="G88" s="34" t="str">
        <x:v>광양</x:v>
      </x:c>
      <x:c r="H88" s="34" t="n">
        <x:v>2037</x:v>
      </x:c>
      <x:c r="I88" s="34" t="str">
        <x:v>BF_BOF</x:v>
      </x:c>
      <x:c r="J88" s="34" t="str">
        <x:v>기준 BF-BOF 복합 블록</x:v>
      </x:c>
      <x:c r="K88" s="34" t="str">
        <x:v>H2_DRI_EAF</x:v>
      </x:c>
      <x:c r="L88" s="34" t="str">
        <x:v>수소 DRI + EAF</x:v>
      </x:c>
      <x:c r="M88" s="34" t="n">
        <x:v>9270</x:v>
      </x:c>
      <x:c r="N88" s="34" t="n">
        <x:v>7210</x:v>
      </x:c>
      <x:c r="O88" s="34" t="n">
        <x:v>10.3</x:v>
      </x:c>
      <x:c r="P88" s="34" t="n">
        <x:v>9.502996</x:v>
      </x:c>
      <x:c r="Q88" s="34" t="n">
        <x:v>19.725693</x:v>
      </x:c>
      <x:c r="R88" s="34" t="n">
        <x:v>19.725693</x:v>
      </x:c>
      <x:c r="S88" s="34" t="n">
        <x:v>1.900599</x:v>
      </x:c>
      <x:c r="T88" s="34" t="n">
        <x:v>1.900599</x:v>
      </x:c>
      <x:c r="U88" s="34" t="n">
        <x:v>17.825093</x:v>
      </x:c>
      <x:c r="V88" s="34" t="n">
        <x:v>71.300373</x:v>
      </x:c>
      <x:c r="W88" s="34" t="n">
        <x:v>11491.723</x:v>
      </x:c>
      <x:c r="X88" s="34" t="n">
        <x:v>1376.256</x:v>
      </x:c>
      <x:c r="Y88" s="34" t="n">
        <x:v>14050.911</x:v>
      </x:c>
      <x:c r="Z88" s="34" t="n">
        <x:v>12674.655</x:v>
      </x:c>
      <x:c r="AA88" s="34" t="n">
        <x:v>2559.188</x:v>
      </x:c>
      <x:c r="AB88" s="34" t="n">
        <x:v>10115.467</x:v>
      </x:c>
      <x:c r="AC88" s="34" t="n">
        <x:v>3792.327</x:v>
      </x:c>
      <x:c r="AD88" s="34" t="n">
        <x:v>295.74</x:v>
      </x:c>
      <x:c r="AE88" s="34" t="n">
        <x:v>1153.737</x:v>
      </x:c>
      <x:c r="AF88" s="34" t="n">
        <x:v>8751.189</x:v>
      </x:c>
      <x:c r="AG88" s="34" t="n">
        <x:v>57.918</x:v>
      </x:c>
      <x:c r="AH88" s="34" t="n">
        <x:v>-2559.188</x:v>
      </x:c>
      <x:c r="AI88" s="34" t="str">
        <x:v>model_estimate</x:v>
      </x:c>
      <x:c r="AJ88" s="34" t="str">
        <x:v>POSCO 공식 국내 생산·배출 총량에 맞춘 설비 블록 배분; 개별 생산량·재투자연도는 추정</x:v>
      </x:c>
      <x:c r="AK88" s="34" t="str">
        <x:v>CAND-6339E6B83A8408</x:v>
      </x:c>
      <x:c r="AL88" s="34" t="str">
        <x:v>P3</x:v>
      </x:c>
      <x:c r="AM88" s="34" t="str">
        <x:v>PORT-8826D0B469EE</x:v>
      </x:c>
      <x:c r="AN88" s="34" t="n">
        <x:v>1000</x:v>
      </x:c>
      <x:c r="AO88" s="34" t="n">
        <x:v>63.190087</x:v>
      </x:c>
      <x:c r="AP88" s="34" t="n">
        <x:v>13.913035</x:v>
      </x:c>
      <x:c r="AQ88" s="34" t="n">
        <x:v>429.154227</x:v>
      </x:c>
      <x:c r="AR88" s="34" t="n">
        <x:v>26569.752</x:v>
      </x:c>
      <x:c r="AS88" s="34" t="n">
        <x:v>61.911896</x:v>
      </x:c>
      <x:c r="AT88" s="40" t="b">
        <x:v>1</x:v>
      </x:c>
      <x:c r="AU88" s="40" t="b">
        <x:v>1</x:v>
      </x:c>
      <x:c r="AV88" s="34" t="str"/>
      <x:c r="AW88" s="34" t="n">
        <x:v>0</x:v>
      </x:c>
      <x:c r="AX88" s="34" t="str">
        <x:v>2.0275124185786808e-05</x:v>
      </x:c>
      <x:c r="AY88" s="40" t="b">
        <x:v>1</x:v>
      </x:c>
      <x:c r="AZ88" s="40" t="b">
        <x:v>1</x:v>
      </x:c>
      <x:c r="BA88" s="40" t="b">
        <x:v>1</x:v>
      </x:c>
      <x:c r="BB88" s="40" t="b">
        <x:v>1</x:v>
      </x:c>
      <x:c r="BC88" s="34" t="str"/>
      <x:c r="BD88" s="34" t="n">
        <x:v>0</x:v>
      </x:c>
      <x:c r="BE88" s="34" t="n">
        <x:v>0</x:v>
      </x:c>
      <x:c r="BF88" s="34" t="n">
        <x:v>0</x:v>
      </x:c>
      <x:c r="BG88" s="34" t="n">
        <x:v>3</x:v>
      </x:c>
      <x:c r="BH88" s="34" t="n">
        <x:v>3</x:v>
      </x:c>
      <x:c r="BI88" s="34" t="n">
        <x:v>0.459336608</x:v>
      </x:c>
      <x:c r="BJ88" s="34" t="n">
        <x:v>0.65</x:v>
      </x:c>
      <x:c r="BK88" s="34" t="n">
        <x:v>2.02</x:v>
      </x:c>
    </x:row>
    <x:row r="89">
      <x:c r="A89" s="34" t="str">
        <x:v>POSCO_KR</x:v>
      </x:c>
      <x:c r="B89" s="34" t="str">
        <x:v>POSCO</x:v>
      </x:c>
      <x:c r="C89" s="34" t="str">
        <x:v>DISCLOSED_PATH</x:v>
      </x:c>
      <x:c r="D89" s="34" t="str">
        <x:v>P3</x:v>
      </x:c>
      <x:c r="E89" s="34" t="str">
        <x:v>POS-GWY-EAF</x:v>
      </x:c>
      <x:c r="F89" s="34" t="str">
        <x:v>광양 기존 EAF 블록</x:v>
      </x:c>
      <x:c r="G89" s="34" t="str">
        <x:v>광양</x:v>
      </x:c>
      <x:c r="H89" s="34" t="n">
        <x:v>2033</x:v>
      </x:c>
      <x:c r="I89" s="34" t="str">
        <x:v>EAF_BASELINE</x:v>
      </x:c>
      <x:c r="J89" s="34" t="str">
        <x:v>기존 전기로 기준 블록</x:v>
      </x:c>
      <x:c r="K89" s="34" t="str">
        <x:v>EAF_RENEWABLE</x:v>
      </x:c>
      <x:c r="L89" s="34" t="str">
        <x:v>기존 EAF 재생전력 업그레이드</x:v>
      </x:c>
      <x:c r="M89" s="34" t="n">
        <x:v>312</x:v>
      </x:c>
      <x:c r="N89" s="34" t="n">
        <x:v>96</x:v>
      </x:c>
      <x:c r="O89" s="34" t="n">
        <x:v>1.2</x:v>
      </x:c>
      <x:c r="P89" s="34" t="n">
        <x:v>1.134</x:v>
      </x:c>
      <x:c r="Q89" s="34" t="n">
        <x:v>0.5103</x:v>
      </x:c>
      <x:c r="R89" s="34" t="n">
        <x:v>0.5103</x:v>
      </x:c>
      <x:c r="S89" s="34" t="n">
        <x:v>0.1134</x:v>
      </x:c>
      <x:c r="T89" s="34" t="n">
        <x:v>0.1134</x:v>
      </x:c>
      <x:c r="U89" s="34" t="n">
        <x:v>0.3969</x:v>
      </x:c>
      <x:c r="V89" s="34" t="n">
        <x:v>3.1752</x:v>
      </x:c>
      <x:c r="W89" s="34" t="n">
        <x:v>0.747</x:v>
      </x:c>
      <x:c r="X89" s="34" t="n">
        <x:v>6.288</x:v>
      </x:c>
      <x:c r="Y89" s="34" t="n">
        <x:v>116.274</x:v>
      </x:c>
      <x:c r="Z89" s="34" t="n">
        <x:v>109.986</x:v>
      </x:c>
      <x:c r="AA89" s="34" t="n">
        <x:v>115.527</x:v>
      </x:c>
      <x:c r="AB89" s="34" t="n">
        <x:v>-5.541</x:v>
      </x:c>
      <x:c r="AC89" s="34" t="n">
        <x:v>62.553</x:v>
      </x:c>
      <x:c r="AD89" s="34" t="n">
        <x:v>14.814</x:v>
      </x:c>
      <x:c r="AE89" s="34" t="n">
        <x:v>38.405</x:v>
      </x:c>
      <x:c r="AF89" s="34" t="n">
        <x:v>0</x:v>
      </x:c>
      <x:c r="AG89" s="34" t="n">
        <x:v>0.501</x:v>
      </x:c>
      <x:c r="AH89" s="34" t="n">
        <x:v>-115.527</x:v>
      </x:c>
      <x:c r="AI89" s="34" t="str">
        <x:v>model_estimate</x:v>
      </x:c>
      <x:c r="AJ89" s="34" t="str">
        <x:v>2025 공식 EAF 생산 1.135Mt에 맞춘 모델 블록; 집약도·재투자연도 추정</x:v>
      </x:c>
      <x:c r="AK89" s="34" t="str">
        <x:v>CAND-6339E6B83A8408</x:v>
      </x:c>
      <x:c r="AL89" s="34" t="str">
        <x:v>P3</x:v>
      </x:c>
      <x:c r="AM89" s="34" t="str">
        <x:v>PORT-8826D0B469EE</x:v>
      </x:c>
      <x:c r="AN89" s="34" t="n">
        <x:v>1000</x:v>
      </x:c>
      <x:c r="AO89" s="34" t="n">
        <x:v>63.190087</x:v>
      </x:c>
      <x:c r="AP89" s="34" t="n">
        <x:v>13.913035</x:v>
      </x:c>
      <x:c r="AQ89" s="34" t="n">
        <x:v>429.154227</x:v>
      </x:c>
      <x:c r="AR89" s="34" t="n">
        <x:v>26569.752</x:v>
      </x:c>
      <x:c r="AS89" s="34" t="n">
        <x:v>61.911896</x:v>
      </x:c>
      <x:c r="AT89" s="40" t="b">
        <x:v>1</x:v>
      </x:c>
      <x:c r="AU89" s="40" t="b">
        <x:v>1</x:v>
      </x:c>
      <x:c r="AV89" s="34" t="str"/>
      <x:c r="AW89" s="34" t="n">
        <x:v>0</x:v>
      </x:c>
      <x:c r="AX89" s="34" t="str">
        <x:v>2.0275124185786808e-05</x:v>
      </x:c>
      <x:c r="AY89" s="40" t="b">
        <x:v>1</x:v>
      </x:c>
      <x:c r="AZ89" s="40" t="b">
        <x:v>1</x:v>
      </x:c>
      <x:c r="BA89" s="40" t="b">
        <x:v>1</x:v>
      </x:c>
      <x:c r="BB89" s="40" t="b">
        <x:v>1</x:v>
      </x:c>
      <x:c r="BC89" s="34" t="str"/>
      <x:c r="BD89" s="34" t="n">
        <x:v>0</x:v>
      </x:c>
      <x:c r="BE89" s="34" t="n">
        <x:v>0</x:v>
      </x:c>
      <x:c r="BF89" s="34" t="n">
        <x:v>0</x:v>
      </x:c>
      <x:c r="BG89" s="34" t="n">
        <x:v>3</x:v>
      </x:c>
      <x:c r="BH89" s="34" t="n">
        <x:v>3</x:v>
      </x:c>
      <x:c r="BI89" s="34" t="n">
        <x:v>0.459336608</x:v>
      </x:c>
      <x:c r="BJ89" s="34" t="n">
        <x:v>0.65</x:v>
      </x:c>
      <x:c r="BK89" s="34" t="n">
        <x:v>2.02</x:v>
      </x:c>
    </x:row>
    <x:row r="90">
      <x:c r="A90" s="34" t="str">
        <x:v>POSCO_KR</x:v>
      </x:c>
      <x:c r="B90" s="34" t="str">
        <x:v>POSCO</x:v>
      </x:c>
      <x:c r="C90" s="34" t="str">
        <x:v>DISCLOSED_PATH</x:v>
      </x:c>
      <x:c r="D90" s="34" t="str">
        <x:v>P3</x:v>
      </x:c>
      <x:c r="E90" s="34" t="str">
        <x:v>POS-GWY-W</x:v>
      </x:c>
      <x:c r="F90" s="34" t="str">
        <x:v>광양제철소 BF 블록 A</x:v>
      </x:c>
      <x:c r="G90" s="34" t="str">
        <x:v>광양</x:v>
      </x:c>
      <x:c r="H90" s="34" t="n">
        <x:v>2035</x:v>
      </x:c>
      <x:c r="I90" s="34" t="str">
        <x:v>BF_BOF</x:v>
      </x:c>
      <x:c r="J90" s="34" t="str">
        <x:v>기준 BF-BOF 복합 블록</x:v>
      </x:c>
      <x:c r="K90" s="34" t="str">
        <x:v>H2_DRI_EAF</x:v>
      </x:c>
      <x:c r="L90" s="34" t="str">
        <x:v>수소 DRI + EAF</x:v>
      </x:c>
      <x:c r="M90" s="34" t="n">
        <x:v>9270</x:v>
      </x:c>
      <x:c r="N90" s="34" t="n">
        <x:v>7210</x:v>
      </x:c>
      <x:c r="O90" s="34" t="n">
        <x:v>10.3</x:v>
      </x:c>
      <x:c r="P90" s="34" t="n">
        <x:v>9.499999</x:v>
      </x:c>
      <x:c r="Q90" s="34" t="n">
        <x:v>19.719471</x:v>
      </x:c>
      <x:c r="R90" s="34" t="n">
        <x:v>19.719471</x:v>
      </x:c>
      <x:c r="S90" s="34" t="n">
        <x:v>1.9</x:v>
      </x:c>
      <x:c r="T90" s="34" t="n">
        <x:v>1.9</x:v>
      </x:c>
      <x:c r="U90" s="34" t="n">
        <x:v>17.819471</x:v>
      </x:c>
      <x:c r="V90" s="34" t="n">
        <x:v>106.916827</x:v>
      </x:c>
      <x:c r="W90" s="34" t="n">
        <x:v>16507.886</x:v>
      </x:c>
      <x:c r="X90" s="34" t="n">
        <x:v>1792.019</x:v>
      </x:c>
      <x:c r="Y90" s="34" t="n">
        <x:v>20377.592</x:v>
      </x:c>
      <x:c r="Z90" s="34" t="n">
        <x:v>18585.573</x:v>
      </x:c>
      <x:c r="AA90" s="34" t="n">
        <x:v>3869.706</x:v>
      </x:c>
      <x:c r="AB90" s="34" t="n">
        <x:v>14715.867</x:v>
      </x:c>
      <x:c r="AC90" s="34" t="n">
        <x:v>4220.954</x:v>
      </x:c>
      <x:c r="AD90" s="34" t="n">
        <x:v>468.979</x:v>
      </x:c>
      <x:c r="AE90" s="34" t="n">
        <x:v>1808.57</x:v>
      </x:c>
      <x:c r="AF90" s="34" t="n">
        <x:v>13797.051</x:v>
      </x:c>
      <x:c r="AG90" s="34" t="n">
        <x:v>82.038</x:v>
      </x:c>
      <x:c r="AH90" s="34" t="n">
        <x:v>-3869.706</x:v>
      </x:c>
      <x:c r="AI90" s="34" t="str">
        <x:v>model_estimate</x:v>
      </x:c>
      <x:c r="AJ90" s="34" t="str">
        <x:v>POSCO 공식 국내 생산·배출 총량에 맞춘 설비 블록 배분; 개별 생산량·재투자연도는 추정</x:v>
      </x:c>
      <x:c r="AK90" s="34" t="str">
        <x:v>CAND-6339E6B83A8408</x:v>
      </x:c>
      <x:c r="AL90" s="34" t="str">
        <x:v>P3</x:v>
      </x:c>
      <x:c r="AM90" s="34" t="str">
        <x:v>PORT-8826D0B469EE</x:v>
      </x:c>
      <x:c r="AN90" s="34" t="n">
        <x:v>1000</x:v>
      </x:c>
      <x:c r="AO90" s="34" t="n">
        <x:v>63.190087</x:v>
      </x:c>
      <x:c r="AP90" s="34" t="n">
        <x:v>13.913035</x:v>
      </x:c>
      <x:c r="AQ90" s="34" t="n">
        <x:v>429.154227</x:v>
      </x:c>
      <x:c r="AR90" s="34" t="n">
        <x:v>26569.752</x:v>
      </x:c>
      <x:c r="AS90" s="34" t="n">
        <x:v>61.911896</x:v>
      </x:c>
      <x:c r="AT90" s="40" t="b">
        <x:v>1</x:v>
      </x:c>
      <x:c r="AU90" s="40" t="b">
        <x:v>1</x:v>
      </x:c>
      <x:c r="AV90" s="34" t="str"/>
      <x:c r="AW90" s="34" t="n">
        <x:v>0</x:v>
      </x:c>
      <x:c r="AX90" s="34" t="str">
        <x:v>2.0275124185786808e-05</x:v>
      </x:c>
      <x:c r="AY90" s="40" t="b">
        <x:v>1</x:v>
      </x:c>
      <x:c r="AZ90" s="40" t="b">
        <x:v>1</x:v>
      </x:c>
      <x:c r="BA90" s="40" t="b">
        <x:v>1</x:v>
      </x:c>
      <x:c r="BB90" s="40" t="b">
        <x:v>1</x:v>
      </x:c>
      <x:c r="BC90" s="34" t="str"/>
      <x:c r="BD90" s="34" t="n">
        <x:v>0</x:v>
      </x:c>
      <x:c r="BE90" s="34" t="n">
        <x:v>0</x:v>
      </x:c>
      <x:c r="BF90" s="34" t="n">
        <x:v>0</x:v>
      </x:c>
      <x:c r="BG90" s="34" t="n">
        <x:v>3</x:v>
      </x:c>
      <x:c r="BH90" s="34" t="n">
        <x:v>3</x:v>
      </x:c>
      <x:c r="BI90" s="34" t="n">
        <x:v>0.459336608</x:v>
      </x:c>
      <x:c r="BJ90" s="34" t="n">
        <x:v>0.65</x:v>
      </x:c>
      <x:c r="BK90" s="34" t="n">
        <x:v>2.02</x:v>
      </x:c>
    </x:row>
    <x:row r="91">
      <x:c r="A91" s="34" t="str">
        <x:v>POSCO_KR</x:v>
      </x:c>
      <x:c r="B91" s="34" t="str">
        <x:v>POSCO</x:v>
      </x:c>
      <x:c r="C91" s="34" t="str">
        <x:v>DISCLOSED_PATH</x:v>
      </x:c>
      <x:c r="D91" s="34" t="str">
        <x:v>P3</x:v>
      </x:c>
      <x:c r="E91" s="34" t="str">
        <x:v>POS-POH-N</x:v>
      </x:c>
      <x:c r="F91" s="34" t="str">
        <x:v>포항제철소 BF 블록 A</x:v>
      </x:c>
      <x:c r="G91" s="34" t="str">
        <x:v>포항</x:v>
      </x:c>
      <x:c r="H91" s="34" t="n">
        <x:v>2029</x:v>
      </x:c>
      <x:c r="I91" s="34" t="str">
        <x:v>BF_BOF</x:v>
      </x:c>
      <x:c r="J91" s="34" t="str">
        <x:v>기준 BF-BOF 복합 블록</x:v>
      </x:c>
      <x:c r="K91" s="34" t="str">
        <x:v>SCRAP_EAF</x:v>
      </x:c>
      <x:c r="L91" s="34" t="str">
        <x:v>스크랩 기반 대형 EAF</x:v>
      </x:c>
      <x:c r="M91" s="34" t="n">
        <x:v>4592</x:v>
      </x:c>
      <x:c r="N91" s="34" t="n">
        <x:v>2952</x:v>
      </x:c>
      <x:c r="O91" s="34" t="n">
        <x:v>8.2</x:v>
      </x:c>
      <x:c r="P91" s="34" t="n">
        <x:v>7.599998</x:v>
      </x:c>
      <x:c r="Q91" s="34" t="n">
        <x:v>15.775574</x:v>
      </x:c>
      <x:c r="R91" s="34" t="n">
        <x:v>3.419999</x:v>
      </x:c>
      <x:c r="S91" s="34" t="n">
        <x:v>3.419999</x:v>
      </x:c>
      <x:c r="T91" s="34" t="n">
        <x:v>3.419999</x:v>
      </x:c>
      <x:c r="U91" s="34" t="n">
        <x:v>12.355575</x:v>
      </x:c>
      <x:c r="V91" s="34" t="n">
        <x:v>148.266898</x:v>
      </x:c>
      <x:c r="W91" s="34" t="n">
        <x:v>1406.474</x:v>
      </x:c>
      <x:c r="X91" s="34" t="n">
        <x:v>359.873</x:v>
      </x:c>
      <x:c r="Y91" s="34" t="n">
        <x:v>6793.582</x:v>
      </x:c>
      <x:c r="Z91" s="34" t="n">
        <x:v>6433.709</x:v>
      </x:c>
      <x:c r="AA91" s="34" t="n">
        <x:v>5387.108</x:v>
      </x:c>
      <x:c r="AB91" s="34" t="n">
        <x:v>1046.6</x:v>
      </x:c>
      <x:c r="AC91" s="34" t="n">
        <x:v>2382.904</x:v>
      </x:c>
      <x:c r="AD91" s="34" t="n">
        <x:v>446.25</x:v>
      </x:c>
      <x:c r="AE91" s="34" t="n">
        <x:v>3934.214</x:v>
      </x:c>
      <x:c r="AF91" s="34" t="n">
        <x:v>0</x:v>
      </x:c>
      <x:c r="AG91" s="34" t="n">
        <x:v>30.214</x:v>
      </x:c>
      <x:c r="AH91" s="34" t="n">
        <x:v>-5387.108</x:v>
      </x:c>
      <x:c r="AI91" s="34" t="str">
        <x:v>model_estimate</x:v>
      </x:c>
      <x:c r="AJ91" s="34" t="str">
        <x:v>POSCO 공식 국내 생산·배출 총량에 맞춘 설비 블록 배분; 개별 생산량·재투자연도는 추정</x:v>
      </x:c>
      <x:c r="AK91" s="34" t="str">
        <x:v>CAND-6339E6B83A8408</x:v>
      </x:c>
      <x:c r="AL91" s="34" t="str">
        <x:v>P3</x:v>
      </x:c>
      <x:c r="AM91" s="34" t="str">
        <x:v>PORT-8826D0B469EE</x:v>
      </x:c>
      <x:c r="AN91" s="34" t="n">
        <x:v>1000</x:v>
      </x:c>
      <x:c r="AO91" s="34" t="n">
        <x:v>63.190087</x:v>
      </x:c>
      <x:c r="AP91" s="34" t="n">
        <x:v>13.913035</x:v>
      </x:c>
      <x:c r="AQ91" s="34" t="n">
        <x:v>429.154227</x:v>
      </x:c>
      <x:c r="AR91" s="34" t="n">
        <x:v>26569.752</x:v>
      </x:c>
      <x:c r="AS91" s="34" t="n">
        <x:v>61.911896</x:v>
      </x:c>
      <x:c r="AT91" s="40" t="b">
        <x:v>1</x:v>
      </x:c>
      <x:c r="AU91" s="40" t="b">
        <x:v>1</x:v>
      </x:c>
      <x:c r="AV91" s="34" t="str"/>
      <x:c r="AW91" s="34" t="n">
        <x:v>0</x:v>
      </x:c>
      <x:c r="AX91" s="34" t="str">
        <x:v>2.0275124185786808e-05</x:v>
      </x:c>
      <x:c r="AY91" s="40" t="b">
        <x:v>1</x:v>
      </x:c>
      <x:c r="AZ91" s="40" t="b">
        <x:v>1</x:v>
      </x:c>
      <x:c r="BA91" s="40" t="b">
        <x:v>1</x:v>
      </x:c>
      <x:c r="BB91" s="40" t="b">
        <x:v>1</x:v>
      </x:c>
      <x:c r="BC91" s="34" t="str"/>
      <x:c r="BD91" s="34" t="n">
        <x:v>0</x:v>
      </x:c>
      <x:c r="BE91" s="34" t="n">
        <x:v>0</x:v>
      </x:c>
      <x:c r="BF91" s="34" t="n">
        <x:v>0</x:v>
      </x:c>
      <x:c r="BG91" s="34" t="n">
        <x:v>3</x:v>
      </x:c>
      <x:c r="BH91" s="34" t="n">
        <x:v>3</x:v>
      </x:c>
      <x:c r="BI91" s="34" t="n">
        <x:v>0.459336608</x:v>
      </x:c>
      <x:c r="BJ91" s="34" t="n">
        <x:v>0.65</x:v>
      </x:c>
      <x:c r="BK91" s="34" t="n">
        <x:v>2.02</x:v>
      </x:c>
    </x:row>
    <x:row r="92">
      <x:c r="A92" s="34" t="str">
        <x:v>POSCO_KR</x:v>
      </x:c>
      <x:c r="B92" s="34" t="str">
        <x:v>POSCO</x:v>
      </x:c>
      <x:c r="C92" s="34" t="str">
        <x:v>DISCLOSED_PATH</x:v>
      </x:c>
      <x:c r="D92" s="34" t="str">
        <x:v>P3</x:v>
      </x:c>
      <x:c r="E92" s="34" t="str">
        <x:v>POS-POH-S</x:v>
      </x:c>
      <x:c r="F92" s="34" t="str">
        <x:v>포항제철소 BF 블록 B</x:v>
      </x:c>
      <x:c r="G92" s="34" t="str">
        <x:v>포항</x:v>
      </x:c>
      <x:c r="H92" s="34" t="n">
        <x:v>2032</x:v>
      </x:c>
      <x:c r="I92" s="34" t="str">
        <x:v>BF_BOF</x:v>
      </x:c>
      <x:c r="J92" s="34" t="str">
        <x:v>기준 BF-BOF 복합 블록</x:v>
      </x:c>
      <x:c r="K92" s="34" t="str">
        <x:v>SCRAP_EAF</x:v>
      </x:c>
      <x:c r="L92" s="34" t="str">
        <x:v>스크랩 기반 대형 EAF</x:v>
      </x:c>
      <x:c r="M92" s="34" t="n">
        <x:v>4144</x:v>
      </x:c>
      <x:c r="N92" s="34" t="n">
        <x:v>2664</x:v>
      </x:c>
      <x:c r="O92" s="34" t="n">
        <x:v>7.4</x:v>
      </x:c>
      <x:c r="P92" s="34" t="n">
        <x:v>6.800001</x:v>
      </x:c>
      <x:c r="Q92" s="34" t="n">
        <x:v>14.114992</x:v>
      </x:c>
      <x:c r="R92" s="34" t="n">
        <x:v>14.114992</x:v>
      </x:c>
      <x:c r="S92" s="34" t="n">
        <x:v>3.06</x:v>
      </x:c>
      <x:c r="T92" s="34" t="n">
        <x:v>3.06</x:v>
      </x:c>
      <x:c r="U92" s="34" t="n">
        <x:v>11.054992</x:v>
      </x:c>
      <x:c r="V92" s="34" t="n">
        <x:v>99.49493</x:v>
      </x:c>
      <x:c r="W92" s="34" t="n">
        <x:v>973.501</x:v>
      </x:c>
      <x:c r="X92" s="34" t="n">
        <x:v>276.142</x:v>
      </x:c>
      <x:c r="Y92" s="34" t="n">
        <x:v>4598.263</x:v>
      </x:c>
      <x:c r="Z92" s="34" t="n">
        <x:v>4322.122</x:v>
      </x:c>
      <x:c r="AA92" s="34" t="n">
        <x:v>3624.763</x:v>
      </x:c>
      <x:c r="AB92" s="34" t="n">
        <x:v>697.359</x:v>
      </x:c>
      <x:c r="AC92" s="34" t="n">
        <x:v>1831.332</x:v>
      </x:c>
      <x:c r="AD92" s="34" t="n">
        <x:v>274.288</x:v>
      </x:c>
      <x:c r="AE92" s="34" t="n">
        <x:v>2471.906</x:v>
      </x:c>
      <x:c r="AF92" s="34" t="n">
        <x:v>0</x:v>
      </x:c>
      <x:c r="AG92" s="34" t="n">
        <x:v>20.738</x:v>
      </x:c>
      <x:c r="AH92" s="34" t="n">
        <x:v>-3624.763</x:v>
      </x:c>
      <x:c r="AI92" s="34" t="str">
        <x:v>model_estimate</x:v>
      </x:c>
      <x:c r="AJ92" s="34" t="str">
        <x:v>POSCO 공식 국내 생산·배출 총량에 맞춘 설비 블록 배분; 개별 생산량·재투자연도는 추정</x:v>
      </x:c>
      <x:c r="AK92" s="34" t="str">
        <x:v>CAND-6339E6B83A8408</x:v>
      </x:c>
      <x:c r="AL92" s="34" t="str">
        <x:v>P3</x:v>
      </x:c>
      <x:c r="AM92" s="34" t="str">
        <x:v>PORT-8826D0B469EE</x:v>
      </x:c>
      <x:c r="AN92" s="34" t="n">
        <x:v>1000</x:v>
      </x:c>
      <x:c r="AO92" s="34" t="n">
        <x:v>63.190087</x:v>
      </x:c>
      <x:c r="AP92" s="34" t="n">
        <x:v>13.913035</x:v>
      </x:c>
      <x:c r="AQ92" s="34" t="n">
        <x:v>429.154227</x:v>
      </x:c>
      <x:c r="AR92" s="34" t="n">
        <x:v>26569.752</x:v>
      </x:c>
      <x:c r="AS92" s="34" t="n">
        <x:v>61.911896</x:v>
      </x:c>
      <x:c r="AT92" s="40" t="b">
        <x:v>1</x:v>
      </x:c>
      <x:c r="AU92" s="40" t="b">
        <x:v>1</x:v>
      </x:c>
      <x:c r="AV92" s="34" t="str"/>
      <x:c r="AW92" s="34" t="n">
        <x:v>0</x:v>
      </x:c>
      <x:c r="AX92" s="34" t="str">
        <x:v>2.0275124185786808e-05</x:v>
      </x:c>
      <x:c r="AY92" s="40" t="b">
        <x:v>1</x:v>
      </x:c>
      <x:c r="AZ92" s="40" t="b">
        <x:v>1</x:v>
      </x:c>
      <x:c r="BA92" s="40" t="b">
        <x:v>1</x:v>
      </x:c>
      <x:c r="BB92" s="40" t="b">
        <x:v>1</x:v>
      </x:c>
      <x:c r="BC92" s="34" t="str"/>
      <x:c r="BD92" s="34" t="n">
        <x:v>0</x:v>
      </x:c>
      <x:c r="BE92" s="34" t="n">
        <x:v>0</x:v>
      </x:c>
      <x:c r="BF92" s="34" t="n">
        <x:v>0</x:v>
      </x:c>
      <x:c r="BG92" s="34" t="n">
        <x:v>3</x:v>
      </x:c>
      <x:c r="BH92" s="34" t="n">
        <x:v>3</x:v>
      </x:c>
      <x:c r="BI92" s="34" t="n">
        <x:v>0.459336608</x:v>
      </x:c>
      <x:c r="BJ92" s="34" t="n">
        <x:v>0.65</x:v>
      </x:c>
      <x:c r="BK92" s="34" t="n">
        <x:v>2.02</x:v>
      </x:c>
    </x:row>
    <x:row r="93">
      <x:c r="A93" s="34" t="str">
        <x:v>POSCO_KR</x:v>
      </x:c>
      <x:c r="B93" s="34" t="str">
        <x:v>POSCO</x:v>
      </x:c>
      <x:c r="C93" s="34" t="str">
        <x:v>ACCELERATED_15C</x:v>
      </x:c>
      <x:c r="D93" s="34" t="str">
        <x:v>P3</x:v>
      </x:c>
      <x:c r="E93" s="34" t="str">
        <x:v>POS-GWY-E</x:v>
      </x:c>
      <x:c r="F93" s="34" t="str">
        <x:v>광양제철소 BF 블록 B</x:v>
      </x:c>
      <x:c r="G93" s="34" t="str">
        <x:v>광양</x:v>
      </x:c>
      <x:c r="H93" s="34" t="n">
        <x:v>2037</x:v>
      </x:c>
      <x:c r="I93" s="34" t="str">
        <x:v>BF_BOF</x:v>
      </x:c>
      <x:c r="J93" s="34" t="str">
        <x:v>기준 BF-BOF 복합 블록</x:v>
      </x:c>
      <x:c r="K93" s="34" t="str">
        <x:v>H2_DRI_EAF</x:v>
      </x:c>
      <x:c r="L93" s="34" t="str">
        <x:v>수소 DRI + EAF</x:v>
      </x:c>
      <x:c r="M93" s="34" t="n">
        <x:v>9270</x:v>
      </x:c>
      <x:c r="N93" s="34" t="n">
        <x:v>7210</x:v>
      </x:c>
      <x:c r="O93" s="34" t="n">
        <x:v>10.3</x:v>
      </x:c>
      <x:c r="P93" s="34" t="n">
        <x:v>9.502996</x:v>
      </x:c>
      <x:c r="Q93" s="34" t="n">
        <x:v>19.725693</x:v>
      </x:c>
      <x:c r="R93" s="34" t="n">
        <x:v>19.725693</x:v>
      </x:c>
      <x:c r="S93" s="34" t="n">
        <x:v>1.900599</x:v>
      </x:c>
      <x:c r="T93" s="34" t="n">
        <x:v>1.900599</x:v>
      </x:c>
      <x:c r="U93" s="34" t="n">
        <x:v>17.825093</x:v>
      </x:c>
      <x:c r="V93" s="34" t="n">
        <x:v>71.300373</x:v>
      </x:c>
      <x:c r="W93" s="34" t="n">
        <x:v>11290.831</x:v>
      </x:c>
      <x:c r="X93" s="34" t="n">
        <x:v>1928.923</x:v>
      </x:c>
      <x:c r="Y93" s="34" t="n">
        <x:v>15078.386</x:v>
      </x:c>
      <x:c r="Z93" s="34" t="n">
        <x:v>13149.463</x:v>
      </x:c>
      <x:c r="AA93" s="34" t="n">
        <x:v>3787.555</x:v>
      </x:c>
      <x:c r="AB93" s="34" t="n">
        <x:v>9361.908</x:v>
      </x:c>
      <x:c r="AC93" s="34" t="n">
        <x:v>3792.327</x:v>
      </x:c>
      <x:c r="AD93" s="34" t="n">
        <x:v>295.74</x:v>
      </x:c>
      <x:c r="AE93" s="34" t="n">
        <x:v>1311.15</x:v>
      </x:c>
      <x:c r="AF93" s="34" t="n">
        <x:v>9617.294</x:v>
      </x:c>
      <x:c r="AG93" s="34" t="n">
        <x:v>61.875</x:v>
      </x:c>
      <x:c r="AH93" s="34" t="n">
        <x:v>-3787.555</x:v>
      </x:c>
      <x:c r="AI93" s="34" t="str">
        <x:v>model_estimate</x:v>
      </x:c>
      <x:c r="AJ93" s="34" t="str">
        <x:v>POSCO 공식 국내 생산·배출 총량에 맞춘 설비 블록 배분; 개별 생산량·재투자연도는 추정</x:v>
      </x:c>
      <x:c r="AK93" s="34" t="str">
        <x:v>CAND-6339E6B83A8408</x:v>
      </x:c>
      <x:c r="AL93" s="34" t="str">
        <x:v>P3</x:v>
      </x:c>
      <x:c r="AM93" s="34" t="str">
        <x:v>PORT-8826D0B469EE</x:v>
      </x:c>
      <x:c r="AN93" s="34" t="n">
        <x:v>1000</x:v>
      </x:c>
      <x:c r="AO93" s="34" t="n">
        <x:v>50.471707</x:v>
      </x:c>
      <x:c r="AP93" s="34" t="n">
        <x:v>14.689844</x:v>
      </x:c>
      <x:c r="AQ93" s="34" t="n">
        <x:v>429.154227</x:v>
      </x:c>
      <x:c r="AR93" s="34" t="n">
        <x:v>21116.24</x:v>
      </x:c>
      <x:c r="AS93" s="34" t="n">
        <x:v>49.204315</x:v>
      </x:c>
      <x:c r="AT93" s="40" t="b">
        <x:v>1</x:v>
      </x:c>
      <x:c r="AU93" s="40" t="b">
        <x:v>1</x:v>
      </x:c>
      <x:c r="AV93" s="34" t="str"/>
      <x:c r="AW93" s="34" t="n">
        <x:v>0</x:v>
      </x:c>
      <x:c r="AX93" s="34" t="str">
        <x:v>2.0275124185786808e-05</x:v>
      </x:c>
      <x:c r="AY93" s="40" t="b">
        <x:v>1</x:v>
      </x:c>
      <x:c r="AZ93" s="40" t="b">
        <x:v>1</x:v>
      </x:c>
      <x:c r="BA93" s="40" t="b">
        <x:v>1</x:v>
      </x:c>
      <x:c r="BB93" s="40" t="b">
        <x:v>1</x:v>
      </x:c>
      <x:c r="BC93" s="34" t="str"/>
      <x:c r="BD93" s="34" t="n">
        <x:v>0</x:v>
      </x:c>
      <x:c r="BE93" s="34" t="n">
        <x:v>0</x:v>
      </x:c>
      <x:c r="BF93" s="34" t="n">
        <x:v>0</x:v>
      </x:c>
      <x:c r="BG93" s="34" t="n">
        <x:v>3</x:v>
      </x:c>
      <x:c r="BH93" s="34" t="n">
        <x:v>3</x:v>
      </x:c>
      <x:c r="BI93" s="34" t="n">
        <x:v>0.459336608</x:v>
      </x:c>
      <x:c r="BJ93" s="34" t="n">
        <x:v>0.65</x:v>
      </x:c>
      <x:c r="BK93" s="34" t="n">
        <x:v>2.02</x:v>
      </x:c>
    </x:row>
    <x:row r="94">
      <x:c r="A94" s="34" t="str">
        <x:v>POSCO_KR</x:v>
      </x:c>
      <x:c r="B94" s="34" t="str">
        <x:v>POSCO</x:v>
      </x:c>
      <x:c r="C94" s="34" t="str">
        <x:v>ACCELERATED_15C</x:v>
      </x:c>
      <x:c r="D94" s="34" t="str">
        <x:v>P3</x:v>
      </x:c>
      <x:c r="E94" s="34" t="str">
        <x:v>POS-GWY-EAF</x:v>
      </x:c>
      <x:c r="F94" s="34" t="str">
        <x:v>광양 기존 EAF 블록</x:v>
      </x:c>
      <x:c r="G94" s="34" t="str">
        <x:v>광양</x:v>
      </x:c>
      <x:c r="H94" s="34" t="n">
        <x:v>2033</x:v>
      </x:c>
      <x:c r="I94" s="34" t="str">
        <x:v>EAF_BASELINE</x:v>
      </x:c>
      <x:c r="J94" s="34" t="str">
        <x:v>기존 전기로 기준 블록</x:v>
      </x:c>
      <x:c r="K94" s="34" t="str">
        <x:v>EAF_RENEWABLE</x:v>
      </x:c>
      <x:c r="L94" s="34" t="str">
        <x:v>기존 EAF 재생전력 업그레이드</x:v>
      </x:c>
      <x:c r="M94" s="34" t="n">
        <x:v>312</x:v>
      </x:c>
      <x:c r="N94" s="34" t="n">
        <x:v>96</x:v>
      </x:c>
      <x:c r="O94" s="34" t="n">
        <x:v>1.2</x:v>
      </x:c>
      <x:c r="P94" s="34" t="n">
        <x:v>1.134</x:v>
      </x:c>
      <x:c r="Q94" s="34" t="n">
        <x:v>0.5103</x:v>
      </x:c>
      <x:c r="R94" s="34" t="n">
        <x:v>0.5103</x:v>
      </x:c>
      <x:c r="S94" s="34" t="n">
        <x:v>0.1134</x:v>
      </x:c>
      <x:c r="T94" s="34" t="n">
        <x:v>0.1134</x:v>
      </x:c>
      <x:c r="U94" s="34" t="n">
        <x:v>0.3969</x:v>
      </x:c>
      <x:c r="V94" s="34" t="n">
        <x:v>3.1752</x:v>
      </x:c>
      <x:c r="W94" s="34" t="n">
        <x:v>-48.656</x:v>
      </x:c>
      <x:c r="X94" s="34" t="n">
        <x:v>9.432</x:v>
      </x:c>
      <x:c r="Y94" s="34" t="n">
        <x:v>120.876</x:v>
      </x:c>
      <x:c r="Z94" s="34" t="n">
        <x:v>111.444</x:v>
      </x:c>
      <x:c r="AA94" s="34" t="n">
        <x:v>169.532</x:v>
      </x:c>
      <x:c r="AB94" s="34" t="n">
        <x:v>-58.089</x:v>
      </x:c>
      <x:c r="AC94" s="34" t="n">
        <x:v>62.553</x:v>
      </x:c>
      <x:c r="AD94" s="34" t="n">
        <x:v>14.814</x:v>
      </x:c>
      <x:c r="AE94" s="34" t="n">
        <x:v>42.986</x:v>
      </x:c>
      <x:c r="AF94" s="34" t="n">
        <x:v>0</x:v>
      </x:c>
      <x:c r="AG94" s="34" t="n">
        <x:v>0.522</x:v>
      </x:c>
      <x:c r="AH94" s="34" t="n">
        <x:v>-169.532</x:v>
      </x:c>
      <x:c r="AI94" s="34" t="str">
        <x:v>model_estimate</x:v>
      </x:c>
      <x:c r="AJ94" s="34" t="str">
        <x:v>2025 공식 EAF 생산 1.135Mt에 맞춘 모델 블록; 집약도·재투자연도 추정</x:v>
      </x:c>
      <x:c r="AK94" s="34" t="str">
        <x:v>CAND-6339E6B83A8408</x:v>
      </x:c>
      <x:c r="AL94" s="34" t="str">
        <x:v>P3</x:v>
      </x:c>
      <x:c r="AM94" s="34" t="str">
        <x:v>PORT-8826D0B469EE</x:v>
      </x:c>
      <x:c r="AN94" s="34" t="n">
        <x:v>1000</x:v>
      </x:c>
      <x:c r="AO94" s="34" t="n">
        <x:v>50.471707</x:v>
      </x:c>
      <x:c r="AP94" s="34" t="n">
        <x:v>14.689844</x:v>
      </x:c>
      <x:c r="AQ94" s="34" t="n">
        <x:v>429.154227</x:v>
      </x:c>
      <x:c r="AR94" s="34" t="n">
        <x:v>21116.24</x:v>
      </x:c>
      <x:c r="AS94" s="34" t="n">
        <x:v>49.204315</x:v>
      </x:c>
      <x:c r="AT94" s="40" t="b">
        <x:v>1</x:v>
      </x:c>
      <x:c r="AU94" s="40" t="b">
        <x:v>1</x:v>
      </x:c>
      <x:c r="AV94" s="34" t="str"/>
      <x:c r="AW94" s="34" t="n">
        <x:v>0</x:v>
      </x:c>
      <x:c r="AX94" s="34" t="str">
        <x:v>2.0275124185786808e-05</x:v>
      </x:c>
      <x:c r="AY94" s="40" t="b">
        <x:v>1</x:v>
      </x:c>
      <x:c r="AZ94" s="40" t="b">
        <x:v>1</x:v>
      </x:c>
      <x:c r="BA94" s="40" t="b">
        <x:v>1</x:v>
      </x:c>
      <x:c r="BB94" s="40" t="b">
        <x:v>1</x:v>
      </x:c>
      <x:c r="BC94" s="34" t="str"/>
      <x:c r="BD94" s="34" t="n">
        <x:v>0</x:v>
      </x:c>
      <x:c r="BE94" s="34" t="n">
        <x:v>0</x:v>
      </x:c>
      <x:c r="BF94" s="34" t="n">
        <x:v>0</x:v>
      </x:c>
      <x:c r="BG94" s="34" t="n">
        <x:v>3</x:v>
      </x:c>
      <x:c r="BH94" s="34" t="n">
        <x:v>3</x:v>
      </x:c>
      <x:c r="BI94" s="34" t="n">
        <x:v>0.459336608</x:v>
      </x:c>
      <x:c r="BJ94" s="34" t="n">
        <x:v>0.65</x:v>
      </x:c>
      <x:c r="BK94" s="34" t="n">
        <x:v>2.02</x:v>
      </x:c>
    </x:row>
    <x:row r="95">
      <x:c r="A95" s="34" t="str">
        <x:v>POSCO_KR</x:v>
      </x:c>
      <x:c r="B95" s="34" t="str">
        <x:v>POSCO</x:v>
      </x:c>
      <x:c r="C95" s="34" t="str">
        <x:v>ACCELERATED_15C</x:v>
      </x:c>
      <x:c r="D95" s="34" t="str">
        <x:v>P3</x:v>
      </x:c>
      <x:c r="E95" s="34" t="str">
        <x:v>POS-GWY-W</x:v>
      </x:c>
      <x:c r="F95" s="34" t="str">
        <x:v>광양제철소 BF 블록 A</x:v>
      </x:c>
      <x:c r="G95" s="34" t="str">
        <x:v>광양</x:v>
      </x:c>
      <x:c r="H95" s="34" t="n">
        <x:v>2035</x:v>
      </x:c>
      <x:c r="I95" s="34" t="str">
        <x:v>BF_BOF</x:v>
      </x:c>
      <x:c r="J95" s="34" t="str">
        <x:v>기준 BF-BOF 복합 블록</x:v>
      </x:c>
      <x:c r="K95" s="34" t="str">
        <x:v>H2_DRI_EAF</x:v>
      </x:c>
      <x:c r="L95" s="34" t="str">
        <x:v>수소 DRI + EAF</x:v>
      </x:c>
      <x:c r="M95" s="34" t="n">
        <x:v>9270</x:v>
      </x:c>
      <x:c r="N95" s="34" t="n">
        <x:v>7210</x:v>
      </x:c>
      <x:c r="O95" s="34" t="n">
        <x:v>10.3</x:v>
      </x:c>
      <x:c r="P95" s="34" t="n">
        <x:v>9.499999</x:v>
      </x:c>
      <x:c r="Q95" s="34" t="n">
        <x:v>19.719471</x:v>
      </x:c>
      <x:c r="R95" s="34" t="n">
        <x:v>19.719471</x:v>
      </x:c>
      <x:c r="S95" s="34" t="n">
        <x:v>1.9</x:v>
      </x:c>
      <x:c r="T95" s="34" t="n">
        <x:v>1.9</x:v>
      </x:c>
      <x:c r="U95" s="34" t="n">
        <x:v>17.819471</x:v>
      </x:c>
      <x:c r="V95" s="34" t="n">
        <x:v>106.916827</x:v>
      </x:c>
      <x:c r="W95" s="34" t="n">
        <x:v>16173.801</x:v>
      </x:c>
      <x:c r="X95" s="34" t="n">
        <x:v>2525.656</x:v>
      </x:c>
      <x:c r="Y95" s="34" t="n">
        <x:v>21883.653</x:v>
      </x:c>
      <x:c r="Z95" s="34" t="n">
        <x:v>19357.997</x:v>
      </x:c>
      <x:c r="AA95" s="34" t="n">
        <x:v>5709.852</x:v>
      </x:c>
      <x:c r="AB95" s="34" t="n">
        <x:v>13648.145</x:v>
      </x:c>
      <x:c r="AC95" s="34" t="n">
        <x:v>4220.954</x:v>
      </x:c>
      <x:c r="AD95" s="34" t="n">
        <x:v>468.979</x:v>
      </x:c>
      <x:c r="AE95" s="34" t="n">
        <x:v>2040.189</x:v>
      </x:c>
      <x:c r="AF95" s="34" t="n">
        <x:v>15065.694</x:v>
      </x:c>
      <x:c r="AG95" s="34" t="n">
        <x:v>87.837</x:v>
      </x:c>
      <x:c r="AH95" s="34" t="n">
        <x:v>-5709.852</x:v>
      </x:c>
      <x:c r="AI95" s="34" t="str">
        <x:v>model_estimate</x:v>
      </x:c>
      <x:c r="AJ95" s="34" t="str">
        <x:v>POSCO 공식 국내 생산·배출 총량에 맞춘 설비 블록 배분; 개별 생산량·재투자연도는 추정</x:v>
      </x:c>
      <x:c r="AK95" s="34" t="str">
        <x:v>CAND-6339E6B83A8408</x:v>
      </x:c>
      <x:c r="AL95" s="34" t="str">
        <x:v>P3</x:v>
      </x:c>
      <x:c r="AM95" s="34" t="str">
        <x:v>PORT-8826D0B469EE</x:v>
      </x:c>
      <x:c r="AN95" s="34" t="n">
        <x:v>1000</x:v>
      </x:c>
      <x:c r="AO95" s="34" t="n">
        <x:v>50.471707</x:v>
      </x:c>
      <x:c r="AP95" s="34" t="n">
        <x:v>14.689844</x:v>
      </x:c>
      <x:c r="AQ95" s="34" t="n">
        <x:v>429.154227</x:v>
      </x:c>
      <x:c r="AR95" s="34" t="n">
        <x:v>21116.24</x:v>
      </x:c>
      <x:c r="AS95" s="34" t="n">
        <x:v>49.204315</x:v>
      </x:c>
      <x:c r="AT95" s="40" t="b">
        <x:v>1</x:v>
      </x:c>
      <x:c r="AU95" s="40" t="b">
        <x:v>1</x:v>
      </x:c>
      <x:c r="AV95" s="34" t="str"/>
      <x:c r="AW95" s="34" t="n">
        <x:v>0</x:v>
      </x:c>
      <x:c r="AX95" s="34" t="str">
        <x:v>2.0275124185786808e-05</x:v>
      </x:c>
      <x:c r="AY95" s="40" t="b">
        <x:v>1</x:v>
      </x:c>
      <x:c r="AZ95" s="40" t="b">
        <x:v>1</x:v>
      </x:c>
      <x:c r="BA95" s="40" t="b">
        <x:v>1</x:v>
      </x:c>
      <x:c r="BB95" s="40" t="b">
        <x:v>1</x:v>
      </x:c>
      <x:c r="BC95" s="34" t="str"/>
      <x:c r="BD95" s="34" t="n">
        <x:v>0</x:v>
      </x:c>
      <x:c r="BE95" s="34" t="n">
        <x:v>0</x:v>
      </x:c>
      <x:c r="BF95" s="34" t="n">
        <x:v>0</x:v>
      </x:c>
      <x:c r="BG95" s="34" t="n">
        <x:v>3</x:v>
      </x:c>
      <x:c r="BH95" s="34" t="n">
        <x:v>3</x:v>
      </x:c>
      <x:c r="BI95" s="34" t="n">
        <x:v>0.459336608</x:v>
      </x:c>
      <x:c r="BJ95" s="34" t="n">
        <x:v>0.65</x:v>
      </x:c>
      <x:c r="BK95" s="34" t="n">
        <x:v>2.02</x:v>
      </x:c>
    </x:row>
    <x:row r="96">
      <x:c r="A96" s="34" t="str">
        <x:v>POSCO_KR</x:v>
      </x:c>
      <x:c r="B96" s="34" t="str">
        <x:v>POSCO</x:v>
      </x:c>
      <x:c r="C96" s="34" t="str">
        <x:v>ACCELERATED_15C</x:v>
      </x:c>
      <x:c r="D96" s="34" t="str">
        <x:v>P3</x:v>
      </x:c>
      <x:c r="E96" s="34" t="str">
        <x:v>POS-POH-N</x:v>
      </x:c>
      <x:c r="F96" s="34" t="str">
        <x:v>포항제철소 BF 블록 A</x:v>
      </x:c>
      <x:c r="G96" s="34" t="str">
        <x:v>포항</x:v>
      </x:c>
      <x:c r="H96" s="34" t="n">
        <x:v>2029</x:v>
      </x:c>
      <x:c r="I96" s="34" t="str">
        <x:v>BF_BOF</x:v>
      </x:c>
      <x:c r="J96" s="34" t="str">
        <x:v>기준 BF-BOF 복합 블록</x:v>
      </x:c>
      <x:c r="K96" s="34" t="str">
        <x:v>SCRAP_EAF</x:v>
      </x:c>
      <x:c r="L96" s="34" t="str">
        <x:v>스크랩 기반 대형 EAF</x:v>
      </x:c>
      <x:c r="M96" s="34" t="n">
        <x:v>4592</x:v>
      </x:c>
      <x:c r="N96" s="34" t="n">
        <x:v>2952</x:v>
      </x:c>
      <x:c r="O96" s="34" t="n">
        <x:v>8.2</x:v>
      </x:c>
      <x:c r="P96" s="34" t="n">
        <x:v>7.599998</x:v>
      </x:c>
      <x:c r="Q96" s="34" t="n">
        <x:v>15.775574</x:v>
      </x:c>
      <x:c r="R96" s="34" t="n">
        <x:v>3.419999</x:v>
      </x:c>
      <x:c r="S96" s="34" t="n">
        <x:v>3.419999</x:v>
      </x:c>
      <x:c r="T96" s="34" t="n">
        <x:v>3.419999</x:v>
      </x:c>
      <x:c r="U96" s="34" t="n">
        <x:v>12.355575</x:v>
      </x:c>
      <x:c r="V96" s="34" t="n">
        <x:v>148.266898</x:v>
      </x:c>
      <x:c r="W96" s="34" t="n">
        <x:v>-571.646</x:v>
      </x:c>
      <x:c r="X96" s="34" t="n">
        <x:v>479.083</x:v>
      </x:c>
      <x:c r="Y96" s="34" t="n">
        <x:v>7190.879</x:v>
      </x:c>
      <x:c r="Z96" s="34" t="n">
        <x:v>6711.797</x:v>
      </x:c>
      <x:c r="AA96" s="34" t="n">
        <x:v>7762.525</x:v>
      </x:c>
      <x:c r="AB96" s="34" t="n">
        <x:v>-1050.729</x:v>
      </x:c>
      <x:c r="AC96" s="34" t="n">
        <x:v>2382.904</x:v>
      </x:c>
      <x:c r="AD96" s="34" t="n">
        <x:v>446.25</x:v>
      </x:c>
      <x:c r="AE96" s="34" t="n">
        <x:v>4329.731</x:v>
      </x:c>
      <x:c r="AF96" s="34" t="n">
        <x:v>0</x:v>
      </x:c>
      <x:c r="AG96" s="34" t="n">
        <x:v>31.994</x:v>
      </x:c>
      <x:c r="AH96" s="34" t="n">
        <x:v>-7762.525</x:v>
      </x:c>
      <x:c r="AI96" s="34" t="str">
        <x:v>model_estimate</x:v>
      </x:c>
      <x:c r="AJ96" s="34" t="str">
        <x:v>POSCO 공식 국내 생산·배출 총량에 맞춘 설비 블록 배분; 개별 생산량·재투자연도는 추정</x:v>
      </x:c>
      <x:c r="AK96" s="34" t="str">
        <x:v>CAND-6339E6B83A8408</x:v>
      </x:c>
      <x:c r="AL96" s="34" t="str">
        <x:v>P3</x:v>
      </x:c>
      <x:c r="AM96" s="34" t="str">
        <x:v>PORT-8826D0B469EE</x:v>
      </x:c>
      <x:c r="AN96" s="34" t="n">
        <x:v>1000</x:v>
      </x:c>
      <x:c r="AO96" s="34" t="n">
        <x:v>50.471707</x:v>
      </x:c>
      <x:c r="AP96" s="34" t="n">
        <x:v>14.689844</x:v>
      </x:c>
      <x:c r="AQ96" s="34" t="n">
        <x:v>429.154227</x:v>
      </x:c>
      <x:c r="AR96" s="34" t="n">
        <x:v>21116.24</x:v>
      </x:c>
      <x:c r="AS96" s="34" t="n">
        <x:v>49.204315</x:v>
      </x:c>
      <x:c r="AT96" s="40" t="b">
        <x:v>1</x:v>
      </x:c>
      <x:c r="AU96" s="40" t="b">
        <x:v>1</x:v>
      </x:c>
      <x:c r="AV96" s="34" t="str"/>
      <x:c r="AW96" s="34" t="n">
        <x:v>0</x:v>
      </x:c>
      <x:c r="AX96" s="34" t="str">
        <x:v>2.0275124185786808e-05</x:v>
      </x:c>
      <x:c r="AY96" s="40" t="b">
        <x:v>1</x:v>
      </x:c>
      <x:c r="AZ96" s="40" t="b">
        <x:v>1</x:v>
      </x:c>
      <x:c r="BA96" s="40" t="b">
        <x:v>1</x:v>
      </x:c>
      <x:c r="BB96" s="40" t="b">
        <x:v>1</x:v>
      </x:c>
      <x:c r="BC96" s="34" t="str"/>
      <x:c r="BD96" s="34" t="n">
        <x:v>0</x:v>
      </x:c>
      <x:c r="BE96" s="34" t="n">
        <x:v>0</x:v>
      </x:c>
      <x:c r="BF96" s="34" t="n">
        <x:v>0</x:v>
      </x:c>
      <x:c r="BG96" s="34" t="n">
        <x:v>3</x:v>
      </x:c>
      <x:c r="BH96" s="34" t="n">
        <x:v>3</x:v>
      </x:c>
      <x:c r="BI96" s="34" t="n">
        <x:v>0.459336608</x:v>
      </x:c>
      <x:c r="BJ96" s="34" t="n">
        <x:v>0.65</x:v>
      </x:c>
      <x:c r="BK96" s="34" t="n">
        <x:v>2.02</x:v>
      </x:c>
    </x:row>
    <x:row r="97">
      <x:c r="A97" s="34" t="str">
        <x:v>POSCO_KR</x:v>
      </x:c>
      <x:c r="B97" s="34" t="str">
        <x:v>POSCO</x:v>
      </x:c>
      <x:c r="C97" s="34" t="str">
        <x:v>ACCELERATED_15C</x:v>
      </x:c>
      <x:c r="D97" s="34" t="str">
        <x:v>P3</x:v>
      </x:c>
      <x:c r="E97" s="34" t="str">
        <x:v>POS-POH-S</x:v>
      </x:c>
      <x:c r="F97" s="34" t="str">
        <x:v>포항제철소 BF 블록 B</x:v>
      </x:c>
      <x:c r="G97" s="34" t="str">
        <x:v>포항</x:v>
      </x:c>
      <x:c r="H97" s="34" t="n">
        <x:v>2032</x:v>
      </x:c>
      <x:c r="I97" s="34" t="str">
        <x:v>BF_BOF</x:v>
      </x:c>
      <x:c r="J97" s="34" t="str">
        <x:v>기준 BF-BOF 복합 블록</x:v>
      </x:c>
      <x:c r="K97" s="34" t="str">
        <x:v>SCRAP_EAF</x:v>
      </x:c>
      <x:c r="L97" s="34" t="str">
        <x:v>스크랩 기반 대형 EAF</x:v>
      </x:c>
      <x:c r="M97" s="34" t="n">
        <x:v>4144</x:v>
      </x:c>
      <x:c r="N97" s="34" t="n">
        <x:v>2664</x:v>
      </x:c>
      <x:c r="O97" s="34" t="n">
        <x:v>7.4</x:v>
      </x:c>
      <x:c r="P97" s="34" t="n">
        <x:v>6.800001</x:v>
      </x:c>
      <x:c r="Q97" s="34" t="n">
        <x:v>14.114992</x:v>
      </x:c>
      <x:c r="R97" s="34" t="n">
        <x:v>14.114992</x:v>
      </x:c>
      <x:c r="S97" s="34" t="n">
        <x:v>3.06</x:v>
      </x:c>
      <x:c r="T97" s="34" t="n">
        <x:v>3.06</x:v>
      </x:c>
      <x:c r="U97" s="34" t="n">
        <x:v>11.054992</x:v>
      </x:c>
      <x:c r="V97" s="34" t="n">
        <x:v>99.49493</x:v>
      </x:c>
      <x:c r="W97" s="34" t="n">
        <x:v>-416.806</x:v>
      </x:c>
      <x:c r="X97" s="34" t="n">
        <x:v>368.189</x:v>
      </x:c>
      <x:c r="Y97" s="34" t="n">
        <x:v>4883.19</x:v>
      </x:c>
      <x:c r="Z97" s="34" t="n">
        <x:v>4515.001</x:v>
      </x:c>
      <x:c r="AA97" s="34" t="n">
        <x:v>5299.996</x:v>
      </x:c>
      <x:c r="AB97" s="34" t="n">
        <x:v>-784.996</x:v>
      </x:c>
      <x:c r="AC97" s="34" t="n">
        <x:v>1831.332</x:v>
      </x:c>
      <x:c r="AD97" s="34" t="n">
        <x:v>274.288</x:v>
      </x:c>
      <x:c r="AE97" s="34" t="n">
        <x:v>2755.556</x:v>
      </x:c>
      <x:c r="AF97" s="34" t="n">
        <x:v>0</x:v>
      </x:c>
      <x:c r="AG97" s="34" t="n">
        <x:v>22.014</x:v>
      </x:c>
      <x:c r="AH97" s="34" t="n">
        <x:v>-5299.996</x:v>
      </x:c>
      <x:c r="AI97" s="34" t="str">
        <x:v>model_estimate</x:v>
      </x:c>
      <x:c r="AJ97" s="34" t="str">
        <x:v>POSCO 공식 국내 생산·배출 총량에 맞춘 설비 블록 배분; 개별 생산량·재투자연도는 추정</x:v>
      </x:c>
      <x:c r="AK97" s="34" t="str">
        <x:v>CAND-6339E6B83A8408</x:v>
      </x:c>
      <x:c r="AL97" s="34" t="str">
        <x:v>P3</x:v>
      </x:c>
      <x:c r="AM97" s="34" t="str">
        <x:v>PORT-8826D0B469EE</x:v>
      </x:c>
      <x:c r="AN97" s="34" t="n">
        <x:v>1000</x:v>
      </x:c>
      <x:c r="AO97" s="34" t="n">
        <x:v>50.471707</x:v>
      </x:c>
      <x:c r="AP97" s="34" t="n">
        <x:v>14.689844</x:v>
      </x:c>
      <x:c r="AQ97" s="34" t="n">
        <x:v>429.154227</x:v>
      </x:c>
      <x:c r="AR97" s="34" t="n">
        <x:v>21116.24</x:v>
      </x:c>
      <x:c r="AS97" s="34" t="n">
        <x:v>49.204315</x:v>
      </x:c>
      <x:c r="AT97" s="40" t="b">
        <x:v>1</x:v>
      </x:c>
      <x:c r="AU97" s="40" t="b">
        <x:v>1</x:v>
      </x:c>
      <x:c r="AV97" s="34" t="str"/>
      <x:c r="AW97" s="34" t="n">
        <x:v>0</x:v>
      </x:c>
      <x:c r="AX97" s="34" t="str">
        <x:v>2.0275124185786808e-05</x:v>
      </x:c>
      <x:c r="AY97" s="40" t="b">
        <x:v>1</x:v>
      </x:c>
      <x:c r="AZ97" s="40" t="b">
        <x:v>1</x:v>
      </x:c>
      <x:c r="BA97" s="40" t="b">
        <x:v>1</x:v>
      </x:c>
      <x:c r="BB97" s="40" t="b">
        <x:v>1</x:v>
      </x:c>
      <x:c r="BC97" s="34" t="str"/>
      <x:c r="BD97" s="34" t="n">
        <x:v>0</x:v>
      </x:c>
      <x:c r="BE97" s="34" t="n">
        <x:v>0</x:v>
      </x:c>
      <x:c r="BF97" s="34" t="n">
        <x:v>0</x:v>
      </x:c>
      <x:c r="BG97" s="34" t="n">
        <x:v>3</x:v>
      </x:c>
      <x:c r="BH97" s="34" t="n">
        <x:v>3</x:v>
      </x:c>
      <x:c r="BI97" s="34" t="n">
        <x:v>0.459336608</x:v>
      </x:c>
      <x:c r="BJ97" s="34" t="n">
        <x:v>0.65</x:v>
      </x:c>
      <x:c r="BK97" s="34" t="n">
        <x:v>2.02</x:v>
      </x:c>
    </x:row>
    <x:row r="98">
      <x:c r="A98" s="34" t="str">
        <x:v>POSCO_KR</x:v>
      </x:c>
      <x:c r="B98" s="34" t="str">
        <x:v>POSCO</x:v>
      </x:c>
      <x:c r="C98" s="34" t="str">
        <x:v>DISCLOSED_PATH</x:v>
      </x:c>
      <x:c r="D98" s="34" t="str">
        <x:v>P1</x:v>
      </x:c>
      <x:c r="E98" s="34" t="str">
        <x:v>POS-GWY-E</x:v>
      </x:c>
      <x:c r="F98" s="34" t="str">
        <x:v>광양제철소 BF 블록 B</x:v>
      </x:c>
      <x:c r="G98" s="34" t="str">
        <x:v>광양</x:v>
      </x:c>
      <x:c r="H98" s="34" t="n">
        <x:v>2037</x:v>
      </x:c>
      <x:c r="I98" s="34" t="str">
        <x:v>BF_BOF</x:v>
      </x:c>
      <x:c r="J98" s="34" t="str">
        <x:v>기준 BF-BOF 복합 블록</x:v>
      </x:c>
      <x:c r="K98" s="34" t="str">
        <x:v>SCRAP_EAF</x:v>
      </x:c>
      <x:c r="L98" s="34" t="str">
        <x:v>스크랩 기반 대형 EAF</x:v>
      </x:c>
      <x:c r="M98" s="34" t="n">
        <x:v>5768</x:v>
      </x:c>
      <x:c r="N98" s="34" t="n">
        <x:v>3708</x:v>
      </x:c>
      <x:c r="O98" s="34" t="n">
        <x:v>10.3</x:v>
      </x:c>
      <x:c r="P98" s="34" t="n">
        <x:v>9.502996</x:v>
      </x:c>
      <x:c r="Q98" s="34" t="n">
        <x:v>19.725693</x:v>
      </x:c>
      <x:c r="R98" s="34" t="n">
        <x:v>19.725693</x:v>
      </x:c>
      <x:c r="S98" s="34" t="n">
        <x:v>4.276348</x:v>
      </x:c>
      <x:c r="T98" s="34" t="n">
        <x:v>4.276348</x:v>
      </x:c>
      <x:c r="U98" s="34" t="n">
        <x:v>15.449344</x:v>
      </x:c>
      <x:c r="V98" s="34" t="n">
        <x:v>61.797377</x:v>
      </x:c>
      <x:c r="W98" s="34" t="n">
        <x:v>1297.81</x:v>
      </x:c>
      <x:c r="X98" s="34" t="n">
        <x:v>292.551</x:v>
      </x:c>
      <x:c r="Y98" s="34" t="n">
        <x:v>3515.907</x:v>
      </x:c>
      <x:c r="Z98" s="34" t="n">
        <x:v>3223.356</x:v>
      </x:c>
      <x:c r="AA98" s="34" t="n">
        <x:v>2218.097</x:v>
      </x:c>
      <x:c r="AB98" s="34" t="n">
        <x:v>1005.259</x:v>
      </x:c>
      <x:c r="AC98" s="34" t="n">
        <x:v>1950.339</x:v>
      </x:c>
      <x:c r="AD98" s="34" t="n">
        <x:v>166.354</x:v>
      </x:c>
      <x:c r="AE98" s="34" t="n">
        <x:v>1399.213</x:v>
      </x:c>
      <x:c r="AF98" s="34" t="n">
        <x:v>0</x:v>
      </x:c>
      <x:c r="AG98" s="34" t="n">
        <x:v>0</x:v>
      </x:c>
      <x:c r="AH98" s="34" t="n">
        <x:v>-2218.097</x:v>
      </x:c>
      <x:c r="AI98" s="34" t="str">
        <x:v>model_estimate</x:v>
      </x:c>
      <x:c r="AJ98" s="34" t="str">
        <x:v>POSCO 공식 국내 생산·배출 총량에 맞춘 설비 블록 배분; 개별 생산량·재투자연도는 추정</x:v>
      </x:c>
      <x:c r="AK98" s="34" t="str">
        <x:v>CAND-63781C106D5099</x:v>
      </x:c>
      <x:c r="AL98" s="34" t="str">
        <x:v>P1</x:v>
      </x:c>
      <x:c r="AM98" s="34" t="str">
        <x:v>PORT-41705C04BF44</x:v>
      </x:c>
      <x:c r="AN98" s="34" t="n">
        <x:v>1000</x:v>
      </x:c>
      <x:c r="AO98" s="34" t="n">
        <x:v>10.11264</x:v>
      </x:c>
      <x:c r="AP98" s="34" t="n">
        <x:v>7.784491</x:v>
      </x:c>
      <x:c r="AQ98" s="34" t="n">
        <x:v>234.011233</x:v>
      </x:c>
      <x:c r="AR98" s="34" t="n">
        <x:v>2160.761</x:v>
      </x:c>
      <x:c r="AS98" s="34" t="n">
        <x:v>9.233578</x:v>
      </x:c>
      <x:c r="AT98" s="40" t="b">
        <x:v>1</x:v>
      </x:c>
      <x:c r="AU98" s="40" t="b">
        <x:v>1</x:v>
      </x:c>
      <x:c r="AV98" s="34" t="str"/>
      <x:c r="AW98" s="34" t="n">
        <x:v>0</x:v>
      </x:c>
      <x:c r="AX98" s="34" t="str">
        <x:v>2.0275124185786808e-05</x:v>
      </x:c>
      <x:c r="AY98" s="40" t="b">
        <x:v>1</x:v>
      </x:c>
      <x:c r="AZ98" s="40" t="b">
        <x:v>1</x:v>
      </x:c>
      <x:c r="BA98" s="40" t="b">
        <x:v>1</x:v>
      </x:c>
      <x:c r="BB98" s="40" t="b">
        <x:v>1</x:v>
      </x:c>
      <x:c r="BC98" s="34" t="str"/>
      <x:c r="BD98" s="34" t="n">
        <x:v>0</x:v>
      </x:c>
      <x:c r="BE98" s="34" t="n">
        <x:v>0</x:v>
      </x:c>
      <x:c r="BF98" s="34" t="n">
        <x:v>0</x:v>
      </x:c>
      <x:c r="BG98" s="34" t="n">
        <x:v>2</x:v>
      </x:c>
      <x:c r="BH98" s="34" t="n">
        <x:v>3</x:v>
      </x:c>
      <x:c r="BI98" s="34" t="n">
        <x:v>0.2589598719999999</x:v>
      </x:c>
      <x:c r="BJ98" s="34" t="n">
        <x:v>0.65</x:v>
      </x:c>
      <x:c r="BK98" s="34" t="n">
        <x:v>0.7399999999999999</x:v>
      </x:c>
    </x:row>
    <x:row r="99">
      <x:c r="A99" s="34" t="str">
        <x:v>POSCO_KR</x:v>
      </x:c>
      <x:c r="B99" s="34" t="str">
        <x:v>POSCO</x:v>
      </x:c>
      <x:c r="C99" s="34" t="str">
        <x:v>DISCLOSED_PATH</x:v>
      </x:c>
      <x:c r="D99" s="34" t="str">
        <x:v>P1</x:v>
      </x:c>
      <x:c r="E99" s="34" t="str">
        <x:v>POS-GWY-EAF</x:v>
      </x:c>
      <x:c r="F99" s="34" t="str">
        <x:v>광양 기존 EAF 블록</x:v>
      </x:c>
      <x:c r="G99" s="34" t="str">
        <x:v>광양</x:v>
      </x:c>
      <x:c r="H99" s="34" t="n">
        <x:v>2033</x:v>
      </x:c>
      <x:c r="I99" s="34" t="str">
        <x:v>EAF_BASELINE</x:v>
      </x:c>
      <x:c r="J99" s="34" t="str">
        <x:v>기존 전기로 기준 블록</x:v>
      </x:c>
      <x:c r="K99" s="34" t="str">
        <x:v>EAF_RENEWABLE</x:v>
      </x:c>
      <x:c r="L99" s="34" t="str">
        <x:v>기존 EAF 재생전력 업그레이드</x:v>
      </x:c>
      <x:c r="M99" s="34" t="n">
        <x:v>312</x:v>
      </x:c>
      <x:c r="N99" s="34" t="n">
        <x:v>96</x:v>
      </x:c>
      <x:c r="O99" s="34" t="n">
        <x:v>1.2</x:v>
      </x:c>
      <x:c r="P99" s="34" t="n">
        <x:v>1.134</x:v>
      </x:c>
      <x:c r="Q99" s="34" t="n">
        <x:v>0.5103</x:v>
      </x:c>
      <x:c r="R99" s="34" t="n">
        <x:v>0.5103</x:v>
      </x:c>
      <x:c r="S99" s="34" t="n">
        <x:v>0.1134</x:v>
      </x:c>
      <x:c r="T99" s="34" t="n">
        <x:v>0.1134</x:v>
      </x:c>
      <x:c r="U99" s="34" t="n">
        <x:v>0.3969</x:v>
      </x:c>
      <x:c r="V99" s="34" t="n">
        <x:v>3.1752</x:v>
      </x:c>
      <x:c r="W99" s="34" t="n">
        <x:v>0.246</x:v>
      </x:c>
      <x:c r="X99" s="34" t="n">
        <x:v>6.255</x:v>
      </x:c>
      <x:c r="Y99" s="34" t="n">
        <x:v>115.773</x:v>
      </x:c>
      <x:c r="Z99" s="34" t="n">
        <x:v>109.517</x:v>
      </x:c>
      <x:c r="AA99" s="34" t="n">
        <x:v>115.527</x:v>
      </x:c>
      <x:c r="AB99" s="34" t="n">
        <x:v>-6.009</x:v>
      </x:c>
      <x:c r="AC99" s="34" t="n">
        <x:v>62.553</x:v>
      </x:c>
      <x:c r="AD99" s="34" t="n">
        <x:v>14.814</x:v>
      </x:c>
      <x:c r="AE99" s="34" t="n">
        <x:v>38.405</x:v>
      </x:c>
      <x:c r="AF99" s="34" t="n">
        <x:v>0</x:v>
      </x:c>
      <x:c r="AG99" s="34" t="n">
        <x:v>0</x:v>
      </x:c>
      <x:c r="AH99" s="34" t="n">
        <x:v>-115.527</x:v>
      </x:c>
      <x:c r="AI99" s="34" t="str">
        <x:v>model_estimate</x:v>
      </x:c>
      <x:c r="AJ99" s="34" t="str">
        <x:v>2025 공식 EAF 생산 1.135Mt에 맞춘 모델 블록; 집약도·재투자연도 추정</x:v>
      </x:c>
      <x:c r="AK99" s="34" t="str">
        <x:v>CAND-63781C106D5099</x:v>
      </x:c>
      <x:c r="AL99" s="34" t="str">
        <x:v>P1</x:v>
      </x:c>
      <x:c r="AM99" s="34" t="str">
        <x:v>PORT-41705C04BF44</x:v>
      </x:c>
      <x:c r="AN99" s="34" t="n">
        <x:v>1000</x:v>
      </x:c>
      <x:c r="AO99" s="34" t="n">
        <x:v>10.11264</x:v>
      </x:c>
      <x:c r="AP99" s="34" t="n">
        <x:v>7.784491</x:v>
      </x:c>
      <x:c r="AQ99" s="34" t="n">
        <x:v>234.011233</x:v>
      </x:c>
      <x:c r="AR99" s="34" t="n">
        <x:v>2160.761</x:v>
      </x:c>
      <x:c r="AS99" s="34" t="n">
        <x:v>9.233578</x:v>
      </x:c>
      <x:c r="AT99" s="40" t="b">
        <x:v>1</x:v>
      </x:c>
      <x:c r="AU99" s="40" t="b">
        <x:v>1</x:v>
      </x:c>
      <x:c r="AV99" s="34" t="str"/>
      <x:c r="AW99" s="34" t="n">
        <x:v>0</x:v>
      </x:c>
      <x:c r="AX99" s="34" t="str">
        <x:v>2.0275124185786808e-05</x:v>
      </x:c>
      <x:c r="AY99" s="40" t="b">
        <x:v>1</x:v>
      </x:c>
      <x:c r="AZ99" s="40" t="b">
        <x:v>1</x:v>
      </x:c>
      <x:c r="BA99" s="40" t="b">
        <x:v>1</x:v>
      </x:c>
      <x:c r="BB99" s="40" t="b">
        <x:v>1</x:v>
      </x:c>
      <x:c r="BC99" s="34" t="str"/>
      <x:c r="BD99" s="34" t="n">
        <x:v>0</x:v>
      </x:c>
      <x:c r="BE99" s="34" t="n">
        <x:v>0</x:v>
      </x:c>
      <x:c r="BF99" s="34" t="n">
        <x:v>0</x:v>
      </x:c>
      <x:c r="BG99" s="34" t="n">
        <x:v>2</x:v>
      </x:c>
      <x:c r="BH99" s="34" t="n">
        <x:v>3</x:v>
      </x:c>
      <x:c r="BI99" s="34" t="n">
        <x:v>0.2589598719999999</x:v>
      </x:c>
      <x:c r="BJ99" s="34" t="n">
        <x:v>0.65</x:v>
      </x:c>
      <x:c r="BK99" s="34" t="n">
        <x:v>0.7399999999999999</x:v>
      </x:c>
    </x:row>
    <x:row r="100">
      <x:c r="A100" s="34" t="str">
        <x:v>POSCO_KR</x:v>
      </x:c>
      <x:c r="B100" s="34" t="str">
        <x:v>POSCO</x:v>
      </x:c>
      <x:c r="C100" s="34" t="str">
        <x:v>DISCLOSED_PATH</x:v>
      </x:c>
      <x:c r="D100" s="34" t="str">
        <x:v>P1</x:v>
      </x:c>
      <x:c r="E100" s="34" t="str">
        <x:v>POS-GWY-W</x:v>
      </x:c>
      <x:c r="F100" s="34" t="str">
        <x:v>광양제철소 BF 블록 A</x:v>
      </x:c>
      <x:c r="G100" s="34" t="str">
        <x:v>광양</x:v>
      </x:c>
      <x:c r="H100" s="34" t="n">
        <x:v>2035</x:v>
      </x:c>
      <x:c r="I100" s="34" t="str">
        <x:v>BF_BOF</x:v>
      </x:c>
      <x:c r="J100" s="34" t="str">
        <x:v>기준 BF-BOF 복합 블록</x:v>
      </x:c>
      <x:c r="K100" s="34" t="str">
        <x:v>BF_RELINE</x:v>
      </x:c>
      <x:c r="L100" s="34" t="str">
        <x:v>BF 개수·효율 패키지</x:v>
      </x:c>
      <x:c r="M100" s="34" t="n">
        <x:v>2575</x:v>
      </x:c>
      <x:c r="N100" s="34" t="n">
        <x:v>515</x:v>
      </x:c>
      <x:c r="O100" s="34" t="n">
        <x:v>10.3</x:v>
      </x:c>
      <x:c r="P100" s="34" t="n">
        <x:v>9.499999</x:v>
      </x:c>
      <x:c r="Q100" s="34" t="n">
        <x:v>19.719471</x:v>
      </x:c>
      <x:c r="R100" s="34" t="n">
        <x:v>19.719471</x:v>
      </x:c>
      <x:c r="S100" s="34" t="n">
        <x:v>18.049998</x:v>
      </x:c>
      <x:c r="T100" s="34" t="n">
        <x:v>18.049998</x:v>
      </x:c>
      <x:c r="U100" s="34" t="n">
        <x:v>1.669473</x:v>
      </x:c>
      <x:c r="V100" s="34" t="n">
        <x:v>10.016837</x:v>
      </x:c>
      <x:c r="W100" s="34" t="n">
        <x:v>133.156</x:v>
      </x:c>
      <x:c r="X100" s="34" t="n">
        <x:v>0</x:v>
      </x:c>
      <x:c r="Y100" s="34" t="n">
        <x:v>495.702</x:v>
      </x:c>
      <x:c r="Z100" s="34" t="n">
        <x:v>495.702</x:v>
      </x:c>
      <x:c r="AA100" s="34" t="n">
        <x:v>362.546</x:v>
      </x:c>
      <x:c r="AB100" s="34" t="n">
        <x:v>133.156</x:v>
      </x:c>
      <x:c r="AC100" s="34" t="n">
        <x:v>301.497</x:v>
      </x:c>
      <x:c r="AD100" s="34" t="n">
        <x:v>117.245</x:v>
      </x:c>
      <x:c r="AE100" s="34" t="n">
        <x:v>76.96</x:v>
      </x:c>
      <x:c r="AF100" s="34" t="n">
        <x:v>0</x:v>
      </x:c>
      <x:c r="AG100" s="34" t="n">
        <x:v>0</x:v>
      </x:c>
      <x:c r="AH100" s="34" t="n">
        <x:v>-362.546</x:v>
      </x:c>
      <x:c r="AI100" s="34" t="str">
        <x:v>model_estimate</x:v>
      </x:c>
      <x:c r="AJ100" s="34" t="str">
        <x:v>POSCO 공식 국내 생산·배출 총량에 맞춘 설비 블록 배분; 개별 생산량·재투자연도는 추정</x:v>
      </x:c>
      <x:c r="AK100" s="34" t="str">
        <x:v>CAND-63781C106D5099</x:v>
      </x:c>
      <x:c r="AL100" s="34" t="str">
        <x:v>P1</x:v>
      </x:c>
      <x:c r="AM100" s="34" t="str">
        <x:v>PORT-41705C04BF44</x:v>
      </x:c>
      <x:c r="AN100" s="34" t="n">
        <x:v>1000</x:v>
      </x:c>
      <x:c r="AO100" s="34" t="n">
        <x:v>10.11264</x:v>
      </x:c>
      <x:c r="AP100" s="34" t="n">
        <x:v>7.784491</x:v>
      </x:c>
      <x:c r="AQ100" s="34" t="n">
        <x:v>234.011233</x:v>
      </x:c>
      <x:c r="AR100" s="34" t="n">
        <x:v>2160.761</x:v>
      </x:c>
      <x:c r="AS100" s="34" t="n">
        <x:v>9.233578</x:v>
      </x:c>
      <x:c r="AT100" s="40" t="b">
        <x:v>1</x:v>
      </x:c>
      <x:c r="AU100" s="40" t="b">
        <x:v>1</x:v>
      </x:c>
      <x:c r="AV100" s="34" t="str"/>
      <x:c r="AW100" s="34" t="n">
        <x:v>0</x:v>
      </x:c>
      <x:c r="AX100" s="34" t="str">
        <x:v>2.0275124185786808e-05</x:v>
      </x:c>
      <x:c r="AY100" s="40" t="b">
        <x:v>1</x:v>
      </x:c>
      <x:c r="AZ100" s="40" t="b">
        <x:v>1</x:v>
      </x:c>
      <x:c r="BA100" s="40" t="b">
        <x:v>1</x:v>
      </x:c>
      <x:c r="BB100" s="40" t="b">
        <x:v>1</x:v>
      </x:c>
      <x:c r="BC100" s="34" t="str"/>
      <x:c r="BD100" s="34" t="n">
        <x:v>0</x:v>
      </x:c>
      <x:c r="BE100" s="34" t="n">
        <x:v>0</x:v>
      </x:c>
      <x:c r="BF100" s="34" t="n">
        <x:v>0</x:v>
      </x:c>
      <x:c r="BG100" s="34" t="n">
        <x:v>2</x:v>
      </x:c>
      <x:c r="BH100" s="34" t="n">
        <x:v>3</x:v>
      </x:c>
      <x:c r="BI100" s="34" t="n">
        <x:v>0.2589598719999999</x:v>
      </x:c>
      <x:c r="BJ100" s="34" t="n">
        <x:v>0.65</x:v>
      </x:c>
      <x:c r="BK100" s="34" t="n">
        <x:v>0.7399999999999999</x:v>
      </x:c>
    </x:row>
    <x:row r="101">
      <x:c r="A101" s="34" t="str">
        <x:v>POSCO_KR</x:v>
      </x:c>
      <x:c r="B101" s="34" t="str">
        <x:v>POSCO</x:v>
      </x:c>
      <x:c r="C101" s="34" t="str">
        <x:v>DISCLOSED_PATH</x:v>
      </x:c>
      <x:c r="D101" s="34" t="str">
        <x:v>P1</x:v>
      </x:c>
      <x:c r="E101" s="34" t="str">
        <x:v>POS-POH-N</x:v>
      </x:c>
      <x:c r="F101" s="34" t="str">
        <x:v>포항제철소 BF 블록 A</x:v>
      </x:c>
      <x:c r="G101" s="34" t="str">
        <x:v>포항</x:v>
      </x:c>
      <x:c r="H101" s="34" t="n">
        <x:v>2029</x:v>
      </x:c>
      <x:c r="I101" s="34" t="str">
        <x:v>BF_BOF</x:v>
      </x:c>
      <x:c r="J101" s="34" t="str">
        <x:v>기준 BF-BOF 복합 블록</x:v>
      </x:c>
      <x:c r="K101" s="34" t="str">
        <x:v>SCRAP_EAF</x:v>
      </x:c>
      <x:c r="L101" s="34" t="str">
        <x:v>스크랩 기반 대형 EAF</x:v>
      </x:c>
      <x:c r="M101" s="34" t="n">
        <x:v>4592</x:v>
      </x:c>
      <x:c r="N101" s="34" t="n">
        <x:v>2952</x:v>
      </x:c>
      <x:c r="O101" s="34" t="n">
        <x:v>8.2</x:v>
      </x:c>
      <x:c r="P101" s="34" t="n">
        <x:v>7.599998</x:v>
      </x:c>
      <x:c r="Q101" s="34" t="n">
        <x:v>15.775574</x:v>
      </x:c>
      <x:c r="R101" s="34" t="n">
        <x:v>3.419999</x:v>
      </x:c>
      <x:c r="S101" s="34" t="n">
        <x:v>3.419999</x:v>
      </x:c>
      <x:c r="T101" s="34" t="n">
        <x:v>3.419999</x:v>
      </x:c>
      <x:c r="U101" s="34" t="n">
        <x:v>12.355575</x:v>
      </x:c>
      <x:c r="V101" s="34" t="n">
        <x:v>148.266898</x:v>
      </x:c>
      <x:c r="W101" s="34" t="n">
        <x:v>1376.259</x:v>
      </x:c>
      <x:c r="X101" s="34" t="n">
        <x:v>357.436</x:v>
      </x:c>
      <x:c r="Y101" s="34" t="n">
        <x:v>6763.368</x:v>
      </x:c>
      <x:c r="Z101" s="34" t="n">
        <x:v>6405.932</x:v>
      </x:c>
      <x:c r="AA101" s="34" t="n">
        <x:v>5387.108</x:v>
      </x:c>
      <x:c r="AB101" s="34" t="n">
        <x:v>1018.824</x:v>
      </x:c>
      <x:c r="AC101" s="34" t="n">
        <x:v>2382.904</x:v>
      </x:c>
      <x:c r="AD101" s="34" t="n">
        <x:v>446.25</x:v>
      </x:c>
      <x:c r="AE101" s="34" t="n">
        <x:v>3934.214</x:v>
      </x:c>
      <x:c r="AF101" s="34" t="n">
        <x:v>0</x:v>
      </x:c>
      <x:c r="AG101" s="34" t="n">
        <x:v>0</x:v>
      </x:c>
      <x:c r="AH101" s="34" t="n">
        <x:v>-5387.108</x:v>
      </x:c>
      <x:c r="AI101" s="34" t="str">
        <x:v>model_estimate</x:v>
      </x:c>
      <x:c r="AJ101" s="34" t="str">
        <x:v>POSCO 공식 국내 생산·배출 총량에 맞춘 설비 블록 배분; 개별 생산량·재투자연도는 추정</x:v>
      </x:c>
      <x:c r="AK101" s="34" t="str">
        <x:v>CAND-63781C106D5099</x:v>
      </x:c>
      <x:c r="AL101" s="34" t="str">
        <x:v>P1</x:v>
      </x:c>
      <x:c r="AM101" s="34" t="str">
        <x:v>PORT-41705C04BF44</x:v>
      </x:c>
      <x:c r="AN101" s="34" t="n">
        <x:v>1000</x:v>
      </x:c>
      <x:c r="AO101" s="34" t="n">
        <x:v>10.11264</x:v>
      </x:c>
      <x:c r="AP101" s="34" t="n">
        <x:v>7.784491</x:v>
      </x:c>
      <x:c r="AQ101" s="34" t="n">
        <x:v>234.011233</x:v>
      </x:c>
      <x:c r="AR101" s="34" t="n">
        <x:v>2160.761</x:v>
      </x:c>
      <x:c r="AS101" s="34" t="n">
        <x:v>9.233578</x:v>
      </x:c>
      <x:c r="AT101" s="40" t="b">
        <x:v>1</x:v>
      </x:c>
      <x:c r="AU101" s="40" t="b">
        <x:v>1</x:v>
      </x:c>
      <x:c r="AV101" s="34" t="str"/>
      <x:c r="AW101" s="34" t="n">
        <x:v>0</x:v>
      </x:c>
      <x:c r="AX101" s="34" t="str">
        <x:v>2.0275124185786808e-05</x:v>
      </x:c>
      <x:c r="AY101" s="40" t="b">
        <x:v>1</x:v>
      </x:c>
      <x:c r="AZ101" s="40" t="b">
        <x:v>1</x:v>
      </x:c>
      <x:c r="BA101" s="40" t="b">
        <x:v>1</x:v>
      </x:c>
      <x:c r="BB101" s="40" t="b">
        <x:v>1</x:v>
      </x:c>
      <x:c r="BC101" s="34" t="str"/>
      <x:c r="BD101" s="34" t="n">
        <x:v>0</x:v>
      </x:c>
      <x:c r="BE101" s="34" t="n">
        <x:v>0</x:v>
      </x:c>
      <x:c r="BF101" s="34" t="n">
        <x:v>0</x:v>
      </x:c>
      <x:c r="BG101" s="34" t="n">
        <x:v>2</x:v>
      </x:c>
      <x:c r="BH101" s="34" t="n">
        <x:v>3</x:v>
      </x:c>
      <x:c r="BI101" s="34" t="n">
        <x:v>0.2589598719999999</x:v>
      </x:c>
      <x:c r="BJ101" s="34" t="n">
        <x:v>0.65</x:v>
      </x:c>
      <x:c r="BK101" s="34" t="n">
        <x:v>0.7399999999999999</x:v>
      </x:c>
    </x:row>
    <x:row r="102">
      <x:c r="A102" s="34" t="str">
        <x:v>POSCO_KR</x:v>
      </x:c>
      <x:c r="B102" s="34" t="str">
        <x:v>POSCO</x:v>
      </x:c>
      <x:c r="C102" s="34" t="str">
        <x:v>DISCLOSED_PATH</x:v>
      </x:c>
      <x:c r="D102" s="34" t="str">
        <x:v>P1</x:v>
      </x:c>
      <x:c r="E102" s="34" t="str">
        <x:v>POS-POH-S</x:v>
      </x:c>
      <x:c r="F102" s="34" t="str">
        <x:v>포항제철소 BF 블록 B</x:v>
      </x:c>
      <x:c r="G102" s="34" t="str">
        <x:v>포항</x:v>
      </x:c>
      <x:c r="H102" s="34" t="n">
        <x:v>2032</x:v>
      </x:c>
      <x:c r="I102" s="34" t="str">
        <x:v>BF_BOF</x:v>
      </x:c>
      <x:c r="J102" s="34" t="str">
        <x:v>기준 BF-BOF 복합 블록</x:v>
      </x:c>
      <x:c r="K102" s="34" t="str">
        <x:v>BF_RELINE</x:v>
      </x:c>
      <x:c r="L102" s="34" t="str">
        <x:v>BF 개수·효율 패키지</x:v>
      </x:c>
      <x:c r="M102" s="34" t="n">
        <x:v>1850</x:v>
      </x:c>
      <x:c r="N102" s="34" t="n">
        <x:v>370</x:v>
      </x:c>
      <x:c r="O102" s="34" t="n">
        <x:v>7.4</x:v>
      </x:c>
      <x:c r="P102" s="34" t="n">
        <x:v>6.800001</x:v>
      </x:c>
      <x:c r="Q102" s="34" t="n">
        <x:v>14.114992</x:v>
      </x:c>
      <x:c r="R102" s="34" t="n">
        <x:v>14.114992</x:v>
      </x:c>
      <x:c r="S102" s="34" t="n">
        <x:v>12.920001</x:v>
      </x:c>
      <x:c r="T102" s="34" t="n">
        <x:v>12.920001</x:v>
      </x:c>
      <x:c r="U102" s="34" t="n">
        <x:v>1.194991</x:v>
      </x:c>
      <x:c r="V102" s="34" t="n">
        <x:v>10.754922</x:v>
      </x:c>
      <x:c r="W102" s="34" t="n">
        <x:v>9.531</x:v>
      </x:c>
      <x:c r="X102" s="34" t="n">
        <x:v>0</x:v>
      </x:c>
      <x:c r="Y102" s="34" t="n">
        <x:v>401.351</x:v>
      </x:c>
      <x:c r="Z102" s="34" t="n">
        <x:v>401.351</x:v>
      </x:c>
      <x:c r="AA102" s="34" t="n">
        <x:v>391.819</x:v>
      </x:c>
      <x:c r="AB102" s="34" t="n">
        <x:v>9.531</x:v>
      </x:c>
      <x:c r="AC102" s="34" t="n">
        <x:v>254.352</x:v>
      </x:c>
      <x:c r="AD102" s="34" t="n">
        <x:v>102.858</x:v>
      </x:c>
      <x:c r="AE102" s="34" t="n">
        <x:v>44.141</x:v>
      </x:c>
      <x:c r="AF102" s="34" t="n">
        <x:v>0</x:v>
      </x:c>
      <x:c r="AG102" s="34" t="n">
        <x:v>0</x:v>
      </x:c>
      <x:c r="AH102" s="34" t="n">
        <x:v>-391.819</x:v>
      </x:c>
      <x:c r="AI102" s="34" t="str">
        <x:v>model_estimate</x:v>
      </x:c>
      <x:c r="AJ102" s="34" t="str">
        <x:v>POSCO 공식 국내 생산·배출 총량에 맞춘 설비 블록 배분; 개별 생산량·재투자연도는 추정</x:v>
      </x:c>
      <x:c r="AK102" s="34" t="str">
        <x:v>CAND-63781C106D5099</x:v>
      </x:c>
      <x:c r="AL102" s="34" t="str">
        <x:v>P1</x:v>
      </x:c>
      <x:c r="AM102" s="34" t="str">
        <x:v>PORT-41705C04BF44</x:v>
      </x:c>
      <x:c r="AN102" s="34" t="n">
        <x:v>1000</x:v>
      </x:c>
      <x:c r="AO102" s="34" t="n">
        <x:v>10.11264</x:v>
      </x:c>
      <x:c r="AP102" s="34" t="n">
        <x:v>7.784491</x:v>
      </x:c>
      <x:c r="AQ102" s="34" t="n">
        <x:v>234.011233</x:v>
      </x:c>
      <x:c r="AR102" s="34" t="n">
        <x:v>2160.761</x:v>
      </x:c>
      <x:c r="AS102" s="34" t="n">
        <x:v>9.233578</x:v>
      </x:c>
      <x:c r="AT102" s="40" t="b">
        <x:v>1</x:v>
      </x:c>
      <x:c r="AU102" s="40" t="b">
        <x:v>1</x:v>
      </x:c>
      <x:c r="AV102" s="34" t="str"/>
      <x:c r="AW102" s="34" t="n">
        <x:v>0</x:v>
      </x:c>
      <x:c r="AX102" s="34" t="str">
        <x:v>2.0275124185786808e-05</x:v>
      </x:c>
      <x:c r="AY102" s="40" t="b">
        <x:v>1</x:v>
      </x:c>
      <x:c r="AZ102" s="40" t="b">
        <x:v>1</x:v>
      </x:c>
      <x:c r="BA102" s="40" t="b">
        <x:v>1</x:v>
      </x:c>
      <x:c r="BB102" s="40" t="b">
        <x:v>1</x:v>
      </x:c>
      <x:c r="BC102" s="34" t="str"/>
      <x:c r="BD102" s="34" t="n">
        <x:v>0</x:v>
      </x:c>
      <x:c r="BE102" s="34" t="n">
        <x:v>0</x:v>
      </x:c>
      <x:c r="BF102" s="34" t="n">
        <x:v>0</x:v>
      </x:c>
      <x:c r="BG102" s="34" t="n">
        <x:v>2</x:v>
      </x:c>
      <x:c r="BH102" s="34" t="n">
        <x:v>3</x:v>
      </x:c>
      <x:c r="BI102" s="34" t="n">
        <x:v>0.2589598719999999</x:v>
      </x:c>
      <x:c r="BJ102" s="34" t="n">
        <x:v>0.65</x:v>
      </x:c>
      <x:c r="BK102" s="34" t="n">
        <x:v>0.7399999999999999</x:v>
      </x:c>
    </x:row>
    <x:row r="103">
      <x:c r="A103" s="34" t="str">
        <x:v>POSCO_KR</x:v>
      </x:c>
      <x:c r="B103" s="34" t="str">
        <x:v>POSCO</x:v>
      </x:c>
      <x:c r="C103" s="34" t="str">
        <x:v>ACCELERATED_15C</x:v>
      </x:c>
      <x:c r="D103" s="34" t="str">
        <x:v>P1</x:v>
      </x:c>
      <x:c r="E103" s="34" t="str">
        <x:v>POS-GWY-E</x:v>
      </x:c>
      <x:c r="F103" s="34" t="str">
        <x:v>광양제철소 BF 블록 B</x:v>
      </x:c>
      <x:c r="G103" s="34" t="str">
        <x:v>광양</x:v>
      </x:c>
      <x:c r="H103" s="34" t="n">
        <x:v>2037</x:v>
      </x:c>
      <x:c r="I103" s="34" t="str">
        <x:v>BF_BOF</x:v>
      </x:c>
      <x:c r="J103" s="34" t="str">
        <x:v>기준 BF-BOF 복합 블록</x:v>
      </x:c>
      <x:c r="K103" s="34" t="str">
        <x:v>SCRAP_EAF</x:v>
      </x:c>
      <x:c r="L103" s="34" t="str">
        <x:v>스크랩 기반 대형 EAF</x:v>
      </x:c>
      <x:c r="M103" s="34" t="n">
        <x:v>5768</x:v>
      </x:c>
      <x:c r="N103" s="34" t="n">
        <x:v>3708</x:v>
      </x:c>
      <x:c r="O103" s="34" t="n">
        <x:v>10.3</x:v>
      </x:c>
      <x:c r="P103" s="34" t="n">
        <x:v>9.502996</x:v>
      </x:c>
      <x:c r="Q103" s="34" t="n">
        <x:v>19.725693</x:v>
      </x:c>
      <x:c r="R103" s="34" t="n">
        <x:v>19.725693</x:v>
      </x:c>
      <x:c r="S103" s="34" t="n">
        <x:v>4.276348</x:v>
      </x:c>
      <x:c r="T103" s="34" t="n">
        <x:v>4.276348</x:v>
      </x:c>
      <x:c r="U103" s="34" t="n">
        <x:v>15.449344</x:v>
      </x:c>
      <x:c r="V103" s="34" t="n">
        <x:v>61.797377</x:v>
      </x:c>
      <x:c r="W103" s="34" t="n">
        <x:v>424.066</x:v>
      </x:c>
      <x:c r="X103" s="34" t="n">
        <x:v>390.068</x:v>
      </x:c>
      <x:c r="Y103" s="34" t="n">
        <x:v>3706.812</x:v>
      </x:c>
      <x:c r="Z103" s="34" t="n">
        <x:v>3316.744</x:v>
      </x:c>
      <x:c r="AA103" s="34" t="n">
        <x:v>3282.745</x:v>
      </x:c>
      <x:c r="AB103" s="34" t="n">
        <x:v>33.999</x:v>
      </x:c>
      <x:c r="AC103" s="34" t="n">
        <x:v>1950.339</x:v>
      </x:c>
      <x:c r="AD103" s="34" t="n">
        <x:v>166.354</x:v>
      </x:c>
      <x:c r="AE103" s="34" t="n">
        <x:v>1590.118</x:v>
      </x:c>
      <x:c r="AF103" s="34" t="n">
        <x:v>0</x:v>
      </x:c>
      <x:c r="AG103" s="34" t="n">
        <x:v>0</x:v>
      </x:c>
      <x:c r="AH103" s="34" t="n">
        <x:v>-3282.745</x:v>
      </x:c>
      <x:c r="AI103" s="34" t="str">
        <x:v>model_estimate</x:v>
      </x:c>
      <x:c r="AJ103" s="34" t="str">
        <x:v>POSCO 공식 국내 생산·배출 총량에 맞춘 설비 블록 배분; 개별 생산량·재투자연도는 추정</x:v>
      </x:c>
      <x:c r="AK103" s="34" t="str">
        <x:v>CAND-63781C106D5099</x:v>
      </x:c>
      <x:c r="AL103" s="34" t="str">
        <x:v>P1</x:v>
      </x:c>
      <x:c r="AM103" s="34" t="str">
        <x:v>PORT-41705C04BF44</x:v>
      </x:c>
      <x:c r="AN103" s="34" t="n">
        <x:v>1000</x:v>
      </x:c>
      <x:c r="AO103" s="34" t="n">
        <x:v>-4.634224</x:v>
      </x:c>
      <x:c r="AP103" s="34" t="n">
        <x:v>8.247921</x:v>
      </x:c>
      <x:c r="AQ103" s="34" t="n">
        <x:v>234.011233</x:v>
      </x:c>
      <x:c r="AR103" s="34" t="n">
        <x:v>-1300.659</x:v>
      </x:c>
      <x:c r="AS103" s="34" t="n">
        <x:v>-5.558105</x:v>
      </x:c>
      <x:c r="AT103" s="40" t="b">
        <x:v>0</x:v>
      </x:c>
      <x:c r="AU103" s="40" t="b">
        <x:v>0</x:v>
      </x:c>
      <x:c r="AV103" s="34" t="n">
        <x:v>2035</x:v>
      </x:c>
      <x:c r="AW103" s="34" t="n">
        <x:v>19.079746585000006</x:v>
      </x:c>
      <x:c r="AX103" s="34" t="n">
        <x:v>-19.079746585000006</x:v>
      </x:c>
      <x:c r="AY103" s="40" t="b">
        <x:v>1</x:v>
      </x:c>
      <x:c r="AZ103" s="40" t="b">
        <x:v>1</x:v>
      </x:c>
      <x:c r="BA103" s="40" t="b">
        <x:v>1</x:v>
      </x:c>
      <x:c r="BB103" s="40" t="b">
        <x:v>1</x:v>
      </x:c>
      <x:c r="BC103" s="34" t="str"/>
      <x:c r="BD103" s="34" t="n">
        <x:v>0</x:v>
      </x:c>
      <x:c r="BE103" s="34" t="n">
        <x:v>0</x:v>
      </x:c>
      <x:c r="BF103" s="34" t="n">
        <x:v>0</x:v>
      </x:c>
      <x:c r="BG103" s="34" t="n">
        <x:v>2</x:v>
      </x:c>
      <x:c r="BH103" s="34" t="n">
        <x:v>3</x:v>
      </x:c>
      <x:c r="BI103" s="34" t="n">
        <x:v>0.2589598719999999</x:v>
      </x:c>
      <x:c r="BJ103" s="34" t="n">
        <x:v>0.65</x:v>
      </x:c>
      <x:c r="BK103" s="34" t="n">
        <x:v>0.7399999999999999</x:v>
      </x:c>
    </x:row>
    <x:row r="104">
      <x:c r="A104" s="34" t="str">
        <x:v>POSCO_KR</x:v>
      </x:c>
      <x:c r="B104" s="34" t="str">
        <x:v>POSCO</x:v>
      </x:c>
      <x:c r="C104" s="34" t="str">
        <x:v>ACCELERATED_15C</x:v>
      </x:c>
      <x:c r="D104" s="34" t="str">
        <x:v>P1</x:v>
      </x:c>
      <x:c r="E104" s="34" t="str">
        <x:v>POS-GWY-EAF</x:v>
      </x:c>
      <x:c r="F104" s="34" t="str">
        <x:v>광양 기존 EAF 블록</x:v>
      </x:c>
      <x:c r="G104" s="34" t="str">
        <x:v>광양</x:v>
      </x:c>
      <x:c r="H104" s="34" t="n">
        <x:v>2033</x:v>
      </x:c>
      <x:c r="I104" s="34" t="str">
        <x:v>EAF_BASELINE</x:v>
      </x:c>
      <x:c r="J104" s="34" t="str">
        <x:v>기존 전기로 기준 블록</x:v>
      </x:c>
      <x:c r="K104" s="34" t="str">
        <x:v>EAF_RENEWABLE</x:v>
      </x:c>
      <x:c r="L104" s="34" t="str">
        <x:v>기존 EAF 재생전력 업그레이드</x:v>
      </x:c>
      <x:c r="M104" s="34" t="n">
        <x:v>312</x:v>
      </x:c>
      <x:c r="N104" s="34" t="n">
        <x:v>96</x:v>
      </x:c>
      <x:c r="O104" s="34" t="n">
        <x:v>1.2</x:v>
      </x:c>
      <x:c r="P104" s="34" t="n">
        <x:v>1.134</x:v>
      </x:c>
      <x:c r="Q104" s="34" t="n">
        <x:v>0.5103</x:v>
      </x:c>
      <x:c r="R104" s="34" t="n">
        <x:v>0.5103</x:v>
      </x:c>
      <x:c r="S104" s="34" t="n">
        <x:v>0.1134</x:v>
      </x:c>
      <x:c r="T104" s="34" t="n">
        <x:v>0.1134</x:v>
      </x:c>
      <x:c r="U104" s="34" t="n">
        <x:v>0.3969</x:v>
      </x:c>
      <x:c r="V104" s="34" t="n">
        <x:v>3.1752</x:v>
      </x:c>
      <x:c r="W104" s="34" t="n">
        <x:v>-49.178</x:v>
      </x:c>
      <x:c r="X104" s="34" t="n">
        <x:v>9.383</x:v>
      </x:c>
      <x:c r="Y104" s="34" t="n">
        <x:v>120.354</x:v>
      </x:c>
      <x:c r="Z104" s="34" t="n">
        <x:v>110.971</x:v>
      </x:c>
      <x:c r="AA104" s="34" t="n">
        <x:v>169.532</x:v>
      </x:c>
      <x:c r="AB104" s="34" t="n">
        <x:v>-58.561</x:v>
      </x:c>
      <x:c r="AC104" s="34" t="n">
        <x:v>62.553</x:v>
      </x:c>
      <x:c r="AD104" s="34" t="n">
        <x:v>14.814</x:v>
      </x:c>
      <x:c r="AE104" s="34" t="n">
        <x:v>42.986</x:v>
      </x:c>
      <x:c r="AF104" s="34" t="n">
        <x:v>0</x:v>
      </x:c>
      <x:c r="AG104" s="34" t="n">
        <x:v>0</x:v>
      </x:c>
      <x:c r="AH104" s="34" t="n">
        <x:v>-169.532</x:v>
      </x:c>
      <x:c r="AI104" s="34" t="str">
        <x:v>model_estimate</x:v>
      </x:c>
      <x:c r="AJ104" s="34" t="str">
        <x:v>2025 공식 EAF 생산 1.135Mt에 맞춘 모델 블록; 집약도·재투자연도 추정</x:v>
      </x:c>
      <x:c r="AK104" s="34" t="str">
        <x:v>CAND-63781C106D5099</x:v>
      </x:c>
      <x:c r="AL104" s="34" t="str">
        <x:v>P1</x:v>
      </x:c>
      <x:c r="AM104" s="34" t="str">
        <x:v>PORT-41705C04BF44</x:v>
      </x:c>
      <x:c r="AN104" s="34" t="n">
        <x:v>1000</x:v>
      </x:c>
      <x:c r="AO104" s="34" t="n">
        <x:v>-4.634224</x:v>
      </x:c>
      <x:c r="AP104" s="34" t="n">
        <x:v>8.247921</x:v>
      </x:c>
      <x:c r="AQ104" s="34" t="n">
        <x:v>234.011233</x:v>
      </x:c>
      <x:c r="AR104" s="34" t="n">
        <x:v>-1300.659</x:v>
      </x:c>
      <x:c r="AS104" s="34" t="n">
        <x:v>-5.558105</x:v>
      </x:c>
      <x:c r="AT104" s="40" t="b">
        <x:v>0</x:v>
      </x:c>
      <x:c r="AU104" s="40" t="b">
        <x:v>0</x:v>
      </x:c>
      <x:c r="AV104" s="34" t="n">
        <x:v>2035</x:v>
      </x:c>
      <x:c r="AW104" s="34" t="n">
        <x:v>19.079746585000006</x:v>
      </x:c>
      <x:c r="AX104" s="34" t="n">
        <x:v>-19.079746585000006</x:v>
      </x:c>
      <x:c r="AY104" s="40" t="b">
        <x:v>1</x:v>
      </x:c>
      <x:c r="AZ104" s="40" t="b">
        <x:v>1</x:v>
      </x:c>
      <x:c r="BA104" s="40" t="b">
        <x:v>1</x:v>
      </x:c>
      <x:c r="BB104" s="40" t="b">
        <x:v>1</x:v>
      </x:c>
      <x:c r="BC104" s="34" t="str"/>
      <x:c r="BD104" s="34" t="n">
        <x:v>0</x:v>
      </x:c>
      <x:c r="BE104" s="34" t="n">
        <x:v>0</x:v>
      </x:c>
      <x:c r="BF104" s="34" t="n">
        <x:v>0</x:v>
      </x:c>
      <x:c r="BG104" s="34" t="n">
        <x:v>2</x:v>
      </x:c>
      <x:c r="BH104" s="34" t="n">
        <x:v>3</x:v>
      </x:c>
      <x:c r="BI104" s="34" t="n">
        <x:v>0.2589598719999999</x:v>
      </x:c>
      <x:c r="BJ104" s="34" t="n">
        <x:v>0.65</x:v>
      </x:c>
      <x:c r="BK104" s="34" t="n">
        <x:v>0.7399999999999999</x:v>
      </x:c>
    </x:row>
    <x:row r="105">
      <x:c r="A105" s="34" t="str">
        <x:v>POSCO_KR</x:v>
      </x:c>
      <x:c r="B105" s="34" t="str">
        <x:v>POSCO</x:v>
      </x:c>
      <x:c r="C105" s="34" t="str">
        <x:v>ACCELERATED_15C</x:v>
      </x:c>
      <x:c r="D105" s="34" t="str">
        <x:v>P1</x:v>
      </x:c>
      <x:c r="E105" s="34" t="str">
        <x:v>POS-GWY-W</x:v>
      </x:c>
      <x:c r="F105" s="34" t="str">
        <x:v>광양제철소 BF 블록 A</x:v>
      </x:c>
      <x:c r="G105" s="34" t="str">
        <x:v>광양</x:v>
      </x:c>
      <x:c r="H105" s="34" t="n">
        <x:v>2035</x:v>
      </x:c>
      <x:c r="I105" s="34" t="str">
        <x:v>BF_BOF</x:v>
      </x:c>
      <x:c r="J105" s="34" t="str">
        <x:v>기준 BF-BOF 복합 블록</x:v>
      </x:c>
      <x:c r="K105" s="34" t="str">
        <x:v>BF_RELINE</x:v>
      </x:c>
      <x:c r="L105" s="34" t="str">
        <x:v>BF 개수·효율 패키지</x:v>
      </x:c>
      <x:c r="M105" s="34" t="n">
        <x:v>2575</x:v>
      </x:c>
      <x:c r="N105" s="34" t="n">
        <x:v>515</x:v>
      </x:c>
      <x:c r="O105" s="34" t="n">
        <x:v>10.3</x:v>
      </x:c>
      <x:c r="P105" s="34" t="n">
        <x:v>9.499999</x:v>
      </x:c>
      <x:c r="Q105" s="34" t="n">
        <x:v>19.719471</x:v>
      </x:c>
      <x:c r="R105" s="34" t="n">
        <x:v>19.719471</x:v>
      </x:c>
      <x:c r="S105" s="34" t="n">
        <x:v>18.049998</x:v>
      </x:c>
      <x:c r="T105" s="34" t="n">
        <x:v>18.049998</x:v>
      </x:c>
      <x:c r="U105" s="34" t="n">
        <x:v>1.669473</x:v>
      </x:c>
      <x:c r="V105" s="34" t="n">
        <x:v>10.016837</x:v>
      </x:c>
      <x:c r="W105" s="34" t="n">
        <x:v>-29.387</x:v>
      </x:c>
      <x:c r="X105" s="34" t="n">
        <x:v>0</x:v>
      </x:c>
      <x:c r="Y105" s="34" t="n">
        <x:v>505.558</x:v>
      </x:c>
      <x:c r="Z105" s="34" t="n">
        <x:v>505.558</x:v>
      </x:c>
      <x:c r="AA105" s="34" t="n">
        <x:v>534.945</x:v>
      </x:c>
      <x:c r="AB105" s="34" t="n">
        <x:v>-29.387</x:v>
      </x:c>
      <x:c r="AC105" s="34" t="n">
        <x:v>301.497</x:v>
      </x:c>
      <x:c r="AD105" s="34" t="n">
        <x:v>117.245</x:v>
      </x:c>
      <x:c r="AE105" s="34" t="n">
        <x:v>86.817</x:v>
      </x:c>
      <x:c r="AF105" s="34" t="n">
        <x:v>0</x:v>
      </x:c>
      <x:c r="AG105" s="34" t="n">
        <x:v>0</x:v>
      </x:c>
      <x:c r="AH105" s="34" t="n">
        <x:v>-534.945</x:v>
      </x:c>
      <x:c r="AI105" s="34" t="str">
        <x:v>model_estimate</x:v>
      </x:c>
      <x:c r="AJ105" s="34" t="str">
        <x:v>POSCO 공식 국내 생산·배출 총량에 맞춘 설비 블록 배분; 개별 생산량·재투자연도는 추정</x:v>
      </x:c>
      <x:c r="AK105" s="34" t="str">
        <x:v>CAND-63781C106D5099</x:v>
      </x:c>
      <x:c r="AL105" s="34" t="str">
        <x:v>P1</x:v>
      </x:c>
      <x:c r="AM105" s="34" t="str">
        <x:v>PORT-41705C04BF44</x:v>
      </x:c>
      <x:c r="AN105" s="34" t="n">
        <x:v>1000</x:v>
      </x:c>
      <x:c r="AO105" s="34" t="n">
        <x:v>-4.634224</x:v>
      </x:c>
      <x:c r="AP105" s="34" t="n">
        <x:v>8.247921</x:v>
      </x:c>
      <x:c r="AQ105" s="34" t="n">
        <x:v>234.011233</x:v>
      </x:c>
      <x:c r="AR105" s="34" t="n">
        <x:v>-1300.659</x:v>
      </x:c>
      <x:c r="AS105" s="34" t="n">
        <x:v>-5.558105</x:v>
      </x:c>
      <x:c r="AT105" s="40" t="b">
        <x:v>0</x:v>
      </x:c>
      <x:c r="AU105" s="40" t="b">
        <x:v>0</x:v>
      </x:c>
      <x:c r="AV105" s="34" t="n">
        <x:v>2035</x:v>
      </x:c>
      <x:c r="AW105" s="34" t="n">
        <x:v>19.079746585000006</x:v>
      </x:c>
      <x:c r="AX105" s="34" t="n">
        <x:v>-19.079746585000006</x:v>
      </x:c>
      <x:c r="AY105" s="40" t="b">
        <x:v>1</x:v>
      </x:c>
      <x:c r="AZ105" s="40" t="b">
        <x:v>1</x:v>
      </x:c>
      <x:c r="BA105" s="40" t="b">
        <x:v>1</x:v>
      </x:c>
      <x:c r="BB105" s="40" t="b">
        <x:v>1</x:v>
      </x:c>
      <x:c r="BC105" s="34" t="str"/>
      <x:c r="BD105" s="34" t="n">
        <x:v>0</x:v>
      </x:c>
      <x:c r="BE105" s="34" t="n">
        <x:v>0</x:v>
      </x:c>
      <x:c r="BF105" s="34" t="n">
        <x:v>0</x:v>
      </x:c>
      <x:c r="BG105" s="34" t="n">
        <x:v>2</x:v>
      </x:c>
      <x:c r="BH105" s="34" t="n">
        <x:v>3</x:v>
      </x:c>
      <x:c r="BI105" s="34" t="n">
        <x:v>0.2589598719999999</x:v>
      </x:c>
      <x:c r="BJ105" s="34" t="n">
        <x:v>0.65</x:v>
      </x:c>
      <x:c r="BK105" s="34" t="n">
        <x:v>0.7399999999999999</x:v>
      </x:c>
    </x:row>
    <x:row r="106">
      <x:c r="A106" s="34" t="str">
        <x:v>POSCO_KR</x:v>
      </x:c>
      <x:c r="B106" s="34" t="str">
        <x:v>POSCO</x:v>
      </x:c>
      <x:c r="C106" s="34" t="str">
        <x:v>ACCELERATED_15C</x:v>
      </x:c>
      <x:c r="D106" s="34" t="str">
        <x:v>P1</x:v>
      </x:c>
      <x:c r="E106" s="34" t="str">
        <x:v>POS-POH-N</x:v>
      </x:c>
      <x:c r="F106" s="34" t="str">
        <x:v>포항제철소 BF 블록 A</x:v>
      </x:c>
      <x:c r="G106" s="34" t="str">
        <x:v>포항</x:v>
      </x:c>
      <x:c r="H106" s="34" t="n">
        <x:v>2029</x:v>
      </x:c>
      <x:c r="I106" s="34" t="str">
        <x:v>BF_BOF</x:v>
      </x:c>
      <x:c r="J106" s="34" t="str">
        <x:v>기준 BF-BOF 복합 블록</x:v>
      </x:c>
      <x:c r="K106" s="34" t="str">
        <x:v>SCRAP_EAF</x:v>
      </x:c>
      <x:c r="L106" s="34" t="str">
        <x:v>스크랩 기반 대형 EAF</x:v>
      </x:c>
      <x:c r="M106" s="34" t="n">
        <x:v>4592</x:v>
      </x:c>
      <x:c r="N106" s="34" t="n">
        <x:v>2952</x:v>
      </x:c>
      <x:c r="O106" s="34" t="n">
        <x:v>8.2</x:v>
      </x:c>
      <x:c r="P106" s="34" t="n">
        <x:v>7.599998</x:v>
      </x:c>
      <x:c r="Q106" s="34" t="n">
        <x:v>15.775574</x:v>
      </x:c>
      <x:c r="R106" s="34" t="n">
        <x:v>3.419999</x:v>
      </x:c>
      <x:c r="S106" s="34" t="n">
        <x:v>3.419999</x:v>
      </x:c>
      <x:c r="T106" s="34" t="n">
        <x:v>3.419999</x:v>
      </x:c>
      <x:c r="U106" s="34" t="n">
        <x:v>12.355575</x:v>
      </x:c>
      <x:c r="V106" s="34" t="n">
        <x:v>148.266898</x:v>
      </x:c>
      <x:c r="W106" s="34" t="n">
        <x:v>-603.64</x:v>
      </x:c>
      <x:c r="X106" s="34" t="n">
        <x:v>476.581</x:v>
      </x:c>
      <x:c r="Y106" s="34" t="n">
        <x:v>7158.885</x:v>
      </x:c>
      <x:c r="Z106" s="34" t="n">
        <x:v>6682.305</x:v>
      </x:c>
      <x:c r="AA106" s="34" t="n">
        <x:v>7762.525</x:v>
      </x:c>
      <x:c r="AB106" s="34" t="n">
        <x:v>-1080.221</x:v>
      </x:c>
      <x:c r="AC106" s="34" t="n">
        <x:v>2382.904</x:v>
      </x:c>
      <x:c r="AD106" s="34" t="n">
        <x:v>446.25</x:v>
      </x:c>
      <x:c r="AE106" s="34" t="n">
        <x:v>4329.731</x:v>
      </x:c>
      <x:c r="AF106" s="34" t="n">
        <x:v>0</x:v>
      </x:c>
      <x:c r="AG106" s="34" t="n">
        <x:v>0</x:v>
      </x:c>
      <x:c r="AH106" s="34" t="n">
        <x:v>-7762.525</x:v>
      </x:c>
      <x:c r="AI106" s="34" t="str">
        <x:v>model_estimate</x:v>
      </x:c>
      <x:c r="AJ106" s="34" t="str">
        <x:v>POSCO 공식 국내 생산·배출 총량에 맞춘 설비 블록 배분; 개별 생산량·재투자연도는 추정</x:v>
      </x:c>
      <x:c r="AK106" s="34" t="str">
        <x:v>CAND-63781C106D5099</x:v>
      </x:c>
      <x:c r="AL106" s="34" t="str">
        <x:v>P1</x:v>
      </x:c>
      <x:c r="AM106" s="34" t="str">
        <x:v>PORT-41705C04BF44</x:v>
      </x:c>
      <x:c r="AN106" s="34" t="n">
        <x:v>1000</x:v>
      </x:c>
      <x:c r="AO106" s="34" t="n">
        <x:v>-4.634224</x:v>
      </x:c>
      <x:c r="AP106" s="34" t="n">
        <x:v>8.247921</x:v>
      </x:c>
      <x:c r="AQ106" s="34" t="n">
        <x:v>234.011233</x:v>
      </x:c>
      <x:c r="AR106" s="34" t="n">
        <x:v>-1300.659</x:v>
      </x:c>
      <x:c r="AS106" s="34" t="n">
        <x:v>-5.558105</x:v>
      </x:c>
      <x:c r="AT106" s="40" t="b">
        <x:v>0</x:v>
      </x:c>
      <x:c r="AU106" s="40" t="b">
        <x:v>0</x:v>
      </x:c>
      <x:c r="AV106" s="34" t="n">
        <x:v>2035</x:v>
      </x:c>
      <x:c r="AW106" s="34" t="n">
        <x:v>19.079746585000006</x:v>
      </x:c>
      <x:c r="AX106" s="34" t="n">
        <x:v>-19.079746585000006</x:v>
      </x:c>
      <x:c r="AY106" s="40" t="b">
        <x:v>1</x:v>
      </x:c>
      <x:c r="AZ106" s="40" t="b">
        <x:v>1</x:v>
      </x:c>
      <x:c r="BA106" s="40" t="b">
        <x:v>1</x:v>
      </x:c>
      <x:c r="BB106" s="40" t="b">
        <x:v>1</x:v>
      </x:c>
      <x:c r="BC106" s="34" t="str"/>
      <x:c r="BD106" s="34" t="n">
        <x:v>0</x:v>
      </x:c>
      <x:c r="BE106" s="34" t="n">
        <x:v>0</x:v>
      </x:c>
      <x:c r="BF106" s="34" t="n">
        <x:v>0</x:v>
      </x:c>
      <x:c r="BG106" s="34" t="n">
        <x:v>2</x:v>
      </x:c>
      <x:c r="BH106" s="34" t="n">
        <x:v>3</x:v>
      </x:c>
      <x:c r="BI106" s="34" t="n">
        <x:v>0.2589598719999999</x:v>
      </x:c>
      <x:c r="BJ106" s="34" t="n">
        <x:v>0.65</x:v>
      </x:c>
      <x:c r="BK106" s="34" t="n">
        <x:v>0.7399999999999999</x:v>
      </x:c>
    </x:row>
    <x:row r="107">
      <x:c r="A107" s="34" t="str">
        <x:v>POSCO_KR</x:v>
      </x:c>
      <x:c r="B107" s="34" t="str">
        <x:v>POSCO</x:v>
      </x:c>
      <x:c r="C107" s="34" t="str">
        <x:v>ACCELERATED_15C</x:v>
      </x:c>
      <x:c r="D107" s="34" t="str">
        <x:v>P1</x:v>
      </x:c>
      <x:c r="E107" s="34" t="str">
        <x:v>POS-POH-S</x:v>
      </x:c>
      <x:c r="F107" s="34" t="str">
        <x:v>포항제철소 BF 블록 B</x:v>
      </x:c>
      <x:c r="G107" s="34" t="str">
        <x:v>포항</x:v>
      </x:c>
      <x:c r="H107" s="34" t="n">
        <x:v>2032</x:v>
      </x:c>
      <x:c r="I107" s="34" t="str">
        <x:v>BF_BOF</x:v>
      </x:c>
      <x:c r="J107" s="34" t="str">
        <x:v>기준 BF-BOF 복합 블록</x:v>
      </x:c>
      <x:c r="K107" s="34" t="str">
        <x:v>BF_RELINE</x:v>
      </x:c>
      <x:c r="L107" s="34" t="str">
        <x:v>BF 개수·효율 패키지</x:v>
      </x:c>
      <x:c r="M107" s="34" t="n">
        <x:v>1850</x:v>
      </x:c>
      <x:c r="N107" s="34" t="n">
        <x:v>370</x:v>
      </x:c>
      <x:c r="O107" s="34" t="n">
        <x:v>7.4</x:v>
      </x:c>
      <x:c r="P107" s="34" t="n">
        <x:v>6.800001</x:v>
      </x:c>
      <x:c r="Q107" s="34" t="n">
        <x:v>14.114992</x:v>
      </x:c>
      <x:c r="R107" s="34" t="n">
        <x:v>14.114992</x:v>
      </x:c>
      <x:c r="S107" s="34" t="n">
        <x:v>12.920001</x:v>
      </x:c>
      <x:c r="T107" s="34" t="n">
        <x:v>12.920001</x:v>
      </x:c>
      <x:c r="U107" s="34" t="n">
        <x:v>1.194991</x:v>
      </x:c>
      <x:c r="V107" s="34" t="n">
        <x:v>10.754922</x:v>
      </x:c>
      <x:c r="W107" s="34" t="n">
        <x:v>-166.488</x:v>
      </x:c>
      <x:c r="X107" s="34" t="n">
        <x:v>0</x:v>
      </x:c>
      <x:c r="Y107" s="34" t="n">
        <x:v>406.416</x:v>
      </x:c>
      <x:c r="Z107" s="34" t="n">
        <x:v>406.416</x:v>
      </x:c>
      <x:c r="AA107" s="34" t="n">
        <x:v>572.904</x:v>
      </x:c>
      <x:c r="AB107" s="34" t="n">
        <x:v>-166.488</x:v>
      </x:c>
      <x:c r="AC107" s="34" t="n">
        <x:v>254.352</x:v>
      </x:c>
      <x:c r="AD107" s="34" t="n">
        <x:v>102.858</x:v>
      </x:c>
      <x:c r="AE107" s="34" t="n">
        <x:v>49.206</x:v>
      </x:c>
      <x:c r="AF107" s="34" t="n">
        <x:v>0</x:v>
      </x:c>
      <x:c r="AG107" s="34" t="n">
        <x:v>0</x:v>
      </x:c>
      <x:c r="AH107" s="34" t="n">
        <x:v>-572.904</x:v>
      </x:c>
      <x:c r="AI107" s="34" t="str">
        <x:v>model_estimate</x:v>
      </x:c>
      <x:c r="AJ107" s="34" t="str">
        <x:v>POSCO 공식 국내 생산·배출 총량에 맞춘 설비 블록 배분; 개별 생산량·재투자연도는 추정</x:v>
      </x:c>
      <x:c r="AK107" s="34" t="str">
        <x:v>CAND-63781C106D5099</x:v>
      </x:c>
      <x:c r="AL107" s="34" t="str">
        <x:v>P1</x:v>
      </x:c>
      <x:c r="AM107" s="34" t="str">
        <x:v>PORT-41705C04BF44</x:v>
      </x:c>
      <x:c r="AN107" s="34" t="n">
        <x:v>1000</x:v>
      </x:c>
      <x:c r="AO107" s="34" t="n">
        <x:v>-4.634224</x:v>
      </x:c>
      <x:c r="AP107" s="34" t="n">
        <x:v>8.247921</x:v>
      </x:c>
      <x:c r="AQ107" s="34" t="n">
        <x:v>234.011233</x:v>
      </x:c>
      <x:c r="AR107" s="34" t="n">
        <x:v>-1300.659</x:v>
      </x:c>
      <x:c r="AS107" s="34" t="n">
        <x:v>-5.558105</x:v>
      </x:c>
      <x:c r="AT107" s="40" t="b">
        <x:v>0</x:v>
      </x:c>
      <x:c r="AU107" s="40" t="b">
        <x:v>0</x:v>
      </x:c>
      <x:c r="AV107" s="34" t="n">
        <x:v>2035</x:v>
      </x:c>
      <x:c r="AW107" s="34" t="n">
        <x:v>19.079746585000006</x:v>
      </x:c>
      <x:c r="AX107" s="34" t="n">
        <x:v>-19.079746585000006</x:v>
      </x:c>
      <x:c r="AY107" s="40" t="b">
        <x:v>1</x:v>
      </x:c>
      <x:c r="AZ107" s="40" t="b">
        <x:v>1</x:v>
      </x:c>
      <x:c r="BA107" s="40" t="b">
        <x:v>1</x:v>
      </x:c>
      <x:c r="BB107" s="40" t="b">
        <x:v>1</x:v>
      </x:c>
      <x:c r="BC107" s="34" t="str"/>
      <x:c r="BD107" s="34" t="n">
        <x:v>0</x:v>
      </x:c>
      <x:c r="BE107" s="34" t="n">
        <x:v>0</x:v>
      </x:c>
      <x:c r="BF107" s="34" t="n">
        <x:v>0</x:v>
      </x:c>
      <x:c r="BG107" s="34" t="n">
        <x:v>2</x:v>
      </x:c>
      <x:c r="BH107" s="34" t="n">
        <x:v>3</x:v>
      </x:c>
      <x:c r="BI107" s="34" t="n">
        <x:v>0.2589598719999999</x:v>
      </x:c>
      <x:c r="BJ107" s="34" t="n">
        <x:v>0.65</x:v>
      </x:c>
      <x:c r="BK107" s="34" t="n">
        <x:v>0.7399999999999999</x:v>
      </x:c>
    </x:row>
    <x:row r="108">
      <x:c r="A108" s="34" t="str">
        <x:v>NIPPON_STEEL_JP</x:v>
      </x:c>
      <x:c r="B108" s="34" t="str">
        <x:v>Nippon Steel</x:v>
      </x:c>
      <x:c r="C108" s="34" t="str">
        <x:v>DISCLOSED_PATH</x:v>
      </x:c>
      <x:c r="D108" s="34" t="str">
        <x:v>P3</x:v>
      </x:c>
      <x:c r="E108" s="34" t="str">
        <x:v>NS-EAST</x:v>
      </x:c>
      <x:c r="F108" s="34" t="str">
        <x:v>East Nippon Works 블록</x:v>
      </x:c>
      <x:c r="G108" s="34" t="str">
        <x:v>동일본</x:v>
      </x:c>
      <x:c r="H108" s="34" t="n">
        <x:v>2034</x:v>
      </x:c>
      <x:c r="I108" s="34" t="str">
        <x:v>BF_BOF</x:v>
      </x:c>
      <x:c r="J108" s="34" t="str">
        <x:v>기준 BF-BOF 복합 블록</x:v>
      </x:c>
      <x:c r="K108" s="34" t="str">
        <x:v>H2_DRI_EAF</x:v>
      </x:c>
      <x:c r="L108" s="34" t="str">
        <x:v>수소 DRI + EAF</x:v>
      </x:c>
      <x:c r="M108" s="34" t="n">
        <x:v>8019</x:v>
      </x:c>
      <x:c r="N108" s="34" t="n">
        <x:v>6237</x:v>
      </x:c>
      <x:c r="O108" s="34" t="n">
        <x:v>8.1</x:v>
      </x:c>
      <x:c r="P108" s="34" t="n">
        <x:v>7.200001</x:v>
      </x:c>
      <x:c r="Q108" s="34" t="n">
        <x:v>15.239652</x:v>
      </x:c>
      <x:c r="R108" s="34" t="n">
        <x:v>15.239652</x:v>
      </x:c>
      <x:c r="S108" s="34" t="n">
        <x:v>1.44</x:v>
      </x:c>
      <x:c r="T108" s="34" t="n">
        <x:v>1.44</x:v>
      </x:c>
      <x:c r="U108" s="34" t="n">
        <x:v>13.799651</x:v>
      </x:c>
      <x:c r="V108" s="34" t="n">
        <x:v>96.597559</x:v>
      </x:c>
      <x:c r="W108" s="34" t="n">
        <x:v>21394.63</x:v>
      </x:c>
      <x:c r="X108" s="34" t="n">
        <x:v>2398.435</x:v>
      </x:c>
      <x:c r="Y108" s="34" t="n">
        <x:v>24786.515</x:v>
      </x:c>
      <x:c r="Z108" s="34" t="n">
        <x:v>22388.08</x:v>
      </x:c>
      <x:c r="AA108" s="34" t="n">
        <x:v>3391.885</x:v>
      </x:c>
      <x:c r="AB108" s="34" t="n">
        <x:v>18996.195</x:v>
      </x:c>
      <x:c r="AC108" s="34" t="n">
        <x:v>3852.154</x:v>
      </x:c>
      <x:c r="AD108" s="34" t="n">
        <x:v>346.602</x:v>
      </x:c>
      <x:c r="AE108" s="34" t="n">
        <x:v>2483.549</x:v>
      </x:c>
      <x:c r="AF108" s="34" t="n">
        <x:v>18005.29</x:v>
      </x:c>
      <x:c r="AG108" s="34" t="n">
        <x:v>98.92</x:v>
      </x:c>
      <x:c r="AH108" s="34" t="n">
        <x:v>-3391.885</x:v>
      </x:c>
      <x:c r="AI108" s="34" t="str">
        <x:v>model_estimate</x:v>
      </x:c>
      <x:c r="AJ108" s="34" t="str">
        <x:v>Nippon Steel 공식 생산·배출·용량 총량에 맞춘 지역 블록 배분</x:v>
      </x:c>
      <x:c r="AK108" s="34" t="str">
        <x:v>CAND-7400D0EA735D98</x:v>
      </x:c>
      <x:c r="AL108" s="34" t="str">
        <x:v>P3</x:v>
      </x:c>
      <x:c r="AM108" s="34" t="str">
        <x:v>PORT-6742936593A9</x:v>
      </x:c>
      <x:c r="AN108" s="34" t="n">
        <x:v>1000</x:v>
      </x:c>
      <x:c r="AO108" s="34" t="n">
        <x:v>81.267325</x:v>
      </x:c>
      <x:c r="AP108" s="34" t="n">
        <x:v>17.588613</x:v>
      </x:c>
      <x:c r="AQ108" s="34" t="n">
        <x:v>454.753949</x:v>
      </x:c>
      <x:c r="AR108" s="34" t="n">
        <x:v>36270.549</x:v>
      </x:c>
      <x:c r="AS108" s="34" t="n">
        <x:v>79.758623</x:v>
      </x:c>
      <x:c r="AT108" s="40" t="b">
        <x:v>1</x:v>
      </x:c>
      <x:c r="AU108" s="40" t="b">
        <x:v>1</x:v>
      </x:c>
      <x:c r="AV108" s="34" t="str"/>
      <x:c r="AW108" s="34" t="n">
        <x:v>0</x:v>
      </x:c>
      <x:c r="AX108" s="34" t="str">
        <x:v>3.446647212967946e-06</x:v>
      </x:c>
      <x:c r="AY108" s="40" t="b">
        <x:v>1</x:v>
      </x:c>
      <x:c r="AZ108" s="40" t="b">
        <x:v>1</x:v>
      </x:c>
      <x:c r="BA108" s="40" t="b">
        <x:v>1</x:v>
      </x:c>
      <x:c r="BB108" s="40" t="b">
        <x:v>1</x:v>
      </x:c>
      <x:c r="BC108" s="34" t="str"/>
      <x:c r="BD108" s="34" t="n">
        <x:v>0</x:v>
      </x:c>
      <x:c r="BE108" s="34" t="n">
        <x:v>0</x:v>
      </x:c>
      <x:c r="BF108" s="34" t="n">
        <x:v>0</x:v>
      </x:c>
      <x:c r="BG108" s="34" t="n">
        <x:v>2</x:v>
      </x:c>
      <x:c r="BH108" s="34" t="n">
        <x:v>2</x:v>
      </x:c>
      <x:c r="BI108" s="34" t="n">
        <x:v>0.47641018879999986</x:v>
      </x:c>
      <x:c r="BJ108" s="34" t="n">
        <x:v>0.65</x:v>
      </x:c>
      <x:c r="BK108" s="34" t="n">
        <x:v>2.16</x:v>
      </x:c>
    </x:row>
    <x:row r="109">
      <x:c r="A109" s="34" t="str">
        <x:v>NIPPON_STEEL_JP</x:v>
      </x:c>
      <x:c r="B109" s="34" t="str">
        <x:v>Nippon Steel</x:v>
      </x:c>
      <x:c r="C109" s="34" t="str">
        <x:v>DISCLOSED_PATH</x:v>
      </x:c>
      <x:c r="D109" s="34" t="str">
        <x:v>P3</x:v>
      </x:c>
      <x:c r="E109" s="34" t="str">
        <x:v>NS-KANSAI</x:v>
      </x:c>
      <x:c r="F109" s="34" t="str">
        <x:v>Kansai Works 블록</x:v>
      </x:c>
      <x:c r="G109" s="34" t="str">
        <x:v>간사이</x:v>
      </x:c>
      <x:c r="H109" s="34" t="n">
        <x:v>2036</x:v>
      </x:c>
      <x:c r="I109" s="34" t="str">
        <x:v>BF_BOF</x:v>
      </x:c>
      <x:c r="J109" s="34" t="str">
        <x:v>기준 BF-BOF 복합 블록</x:v>
      </x:c>
      <x:c r="K109" s="34" t="str">
        <x:v>H2_DRI_EAF</x:v>
      </x:c>
      <x:c r="L109" s="34" t="str">
        <x:v>수소 DRI + EAF</x:v>
      </x:c>
      <x:c r="M109" s="34" t="n">
        <x:v>6237</x:v>
      </x:c>
      <x:c r="N109" s="34" t="n">
        <x:v>4851</x:v>
      </x:c>
      <x:c r="O109" s="34" t="n">
        <x:v>6.3</x:v>
      </x:c>
      <x:c r="P109" s="34" t="n">
        <x:v>5.600001</x:v>
      </x:c>
      <x:c r="Q109" s="34" t="n">
        <x:v>11.853062</x:v>
      </x:c>
      <x:c r="R109" s="34" t="n">
        <x:v>11.853062</x:v>
      </x:c>
      <x:c r="S109" s="34" t="n">
        <x:v>1.12</x:v>
      </x:c>
      <x:c r="T109" s="34" t="n">
        <x:v>1.12</x:v>
      </x:c>
      <x:c r="U109" s="34" t="n">
        <x:v>10.733062</x:v>
      </x:c>
      <x:c r="V109" s="34" t="n">
        <x:v>53.665311</x:v>
      </x:c>
      <x:c r="W109" s="34" t="n">
        <x:v>11860.997</x:v>
      </x:c>
      <x:c r="X109" s="34" t="n">
        <x:v>1444.305</x:v>
      </x:c>
      <x:c r="Y109" s="34" t="n">
        <x:v>13735.576</x:v>
      </x:c>
      <x:c r="Z109" s="34" t="n">
        <x:v>12291.27</x:v>
      </x:c>
      <x:c r="AA109" s="34" t="n">
        <x:v>1874.579</x:v>
      </x:c>
      <x:c r="AB109" s="34" t="n">
        <x:v>10416.691</x:v>
      </x:c>
      <x:c r="AC109" s="34" t="n">
        <x:v>2691.871</x:v>
      </x:c>
      <x:c r="AD109" s="34" t="n">
        <x:v>181.997</x:v>
      </x:c>
      <x:c r="AE109" s="34" t="n">
        <x:v>1314.06</x:v>
      </x:c>
      <x:c r="AF109" s="34" t="n">
        <x:v>9492.007</x:v>
      </x:c>
      <x:c r="AG109" s="34" t="n">
        <x:v>55.641</x:v>
      </x:c>
      <x:c r="AH109" s="34" t="n">
        <x:v>-1874.579</x:v>
      </x:c>
      <x:c r="AI109" s="34" t="str">
        <x:v>model_estimate</x:v>
      </x:c>
      <x:c r="AJ109" s="34" t="str">
        <x:v>Nippon Steel 공식 생산·배출·용량 총량에 맞춘 지역 블록 배분</x:v>
      </x:c>
      <x:c r="AK109" s="34" t="str">
        <x:v>CAND-7400D0EA735D98</x:v>
      </x:c>
      <x:c r="AL109" s="34" t="str">
        <x:v>P3</x:v>
      </x:c>
      <x:c r="AM109" s="34" t="str">
        <x:v>PORT-6742936593A9</x:v>
      </x:c>
      <x:c r="AN109" s="34" t="n">
        <x:v>1000</x:v>
      </x:c>
      <x:c r="AO109" s="34" t="n">
        <x:v>81.267325</x:v>
      </x:c>
      <x:c r="AP109" s="34" t="n">
        <x:v>17.588613</x:v>
      </x:c>
      <x:c r="AQ109" s="34" t="n">
        <x:v>454.753949</x:v>
      </x:c>
      <x:c r="AR109" s="34" t="n">
        <x:v>36270.549</x:v>
      </x:c>
      <x:c r="AS109" s="34" t="n">
        <x:v>79.758623</x:v>
      </x:c>
      <x:c r="AT109" s="40" t="b">
        <x:v>1</x:v>
      </x:c>
      <x:c r="AU109" s="40" t="b">
        <x:v>1</x:v>
      </x:c>
      <x:c r="AV109" s="34" t="str"/>
      <x:c r="AW109" s="34" t="n">
        <x:v>0</x:v>
      </x:c>
      <x:c r="AX109" s="34" t="str">
        <x:v>3.446647212967946e-06</x:v>
      </x:c>
      <x:c r="AY109" s="40" t="b">
        <x:v>1</x:v>
      </x:c>
      <x:c r="AZ109" s="40" t="b">
        <x:v>1</x:v>
      </x:c>
      <x:c r="BA109" s="40" t="b">
        <x:v>1</x:v>
      </x:c>
      <x:c r="BB109" s="40" t="b">
        <x:v>1</x:v>
      </x:c>
      <x:c r="BC109" s="34" t="str"/>
      <x:c r="BD109" s="34" t="n">
        <x:v>0</x:v>
      </x:c>
      <x:c r="BE109" s="34" t="n">
        <x:v>0</x:v>
      </x:c>
      <x:c r="BF109" s="34" t="n">
        <x:v>0</x:v>
      </x:c>
      <x:c r="BG109" s="34" t="n">
        <x:v>2</x:v>
      </x:c>
      <x:c r="BH109" s="34" t="n">
        <x:v>2</x:v>
      </x:c>
      <x:c r="BI109" s="34" t="n">
        <x:v>0.47641018879999986</x:v>
      </x:c>
      <x:c r="BJ109" s="34" t="n">
        <x:v>0.65</x:v>
      </x:c>
      <x:c r="BK109" s="34" t="n">
        <x:v>2.16</x:v>
      </x:c>
    </x:row>
    <x:row r="110">
      <x:c r="A110" s="34" t="str">
        <x:v>NIPPON_STEEL_JP</x:v>
      </x:c>
      <x:c r="B110" s="34" t="str">
        <x:v>Nippon Steel</x:v>
      </x:c>
      <x:c r="C110" s="34" t="str">
        <x:v>DISCLOSED_PATH</x:v>
      </x:c>
      <x:c r="D110" s="34" t="str">
        <x:v>P3</x:v>
      </x:c>
      <x:c r="E110" s="34" t="str">
        <x:v>NS-KYUSHU</x:v>
      </x:c>
      <x:c r="F110" s="34" t="str">
        <x:v>Kyushu Works Yawata 블록</x:v>
      </x:c>
      <x:c r="G110" s="34" t="str">
        <x:v>규슈</x:v>
      </x:c>
      <x:c r="H110" s="34" t="n">
        <x:v>2029</x:v>
      </x:c>
      <x:c r="I110" s="34" t="str">
        <x:v>BF_BOF</x:v>
      </x:c>
      <x:c r="J110" s="34" t="str">
        <x:v>기준 BF-BOF 복합 블록</x:v>
      </x:c>
      <x:c r="K110" s="34" t="str">
        <x:v>SCRAP_EAF</x:v>
      </x:c>
      <x:c r="L110" s="34" t="str">
        <x:v>스크랩 기반 대형 EAF</x:v>
      </x:c>
      <x:c r="M110" s="34" t="n">
        <x:v>6160</x:v>
      </x:c>
      <x:c r="N110" s="34" t="n">
        <x:v>3960</x:v>
      </x:c>
      <x:c r="O110" s="34" t="n">
        <x:v>10</x:v>
      </x:c>
      <x:c r="P110" s="34" t="n">
        <x:v>9</x:v>
      </x:c>
      <x:c r="Q110" s="34" t="n">
        <x:v>19.049562</x:v>
      </x:c>
      <x:c r="R110" s="34" t="n">
        <x:v>4.05</x:v>
      </x:c>
      <x:c r="S110" s="34" t="n">
        <x:v>4.05</x:v>
      </x:c>
      <x:c r="T110" s="34" t="n">
        <x:v>4.05</x:v>
      </x:c>
      <x:c r="U110" s="34" t="n">
        <x:v>14.999562</x:v>
      </x:c>
      <x:c r="V110" s="34" t="n">
        <x:v>179.994744</x:v>
      </x:c>
      <x:c r="W110" s="34" t="n">
        <x:v>4753.792</x:v>
      </x:c>
      <x:c r="X110" s="34" t="n">
        <x:v>873.395</x:v>
      </x:c>
      <x:c r="Y110" s="34" t="n">
        <x:v>11045.989</x:v>
      </x:c>
      <x:c r="Z110" s="34" t="n">
        <x:v>10172.594</x:v>
      </x:c>
      <x:c r="AA110" s="34" t="n">
        <x:v>6292.198</x:v>
      </x:c>
      <x:c r="AB110" s="34" t="n">
        <x:v>3880.397</x:v>
      </x:c>
      <x:c r="AC110" s="34" t="n">
        <x:v>3196.578</x:v>
      </x:c>
      <x:c r="AD110" s="34" t="n">
        <x:v>462.398</x:v>
      </x:c>
      <x:c r="AE110" s="34" t="n">
        <x:v>7337.214</x:v>
      </x:c>
      <x:c r="AF110" s="34" t="n">
        <x:v>0</x:v>
      </x:c>
      <x:c r="AG110" s="34" t="n">
        <x:v>49.799</x:v>
      </x:c>
      <x:c r="AH110" s="34" t="n">
        <x:v>-6292.198</x:v>
      </x:c>
      <x:c r="AI110" s="34" t="str">
        <x:v>model_estimate</x:v>
      </x:c>
      <x:c r="AJ110" s="34" t="str">
        <x:v>Yawata BF→EAF 공시 방향을 반영해 조기 재투자 창을 설정; 블록 생산량 추정</x:v>
      </x:c>
      <x:c r="AK110" s="34" t="str">
        <x:v>CAND-7400D0EA735D98</x:v>
      </x:c>
      <x:c r="AL110" s="34" t="str">
        <x:v>P3</x:v>
      </x:c>
      <x:c r="AM110" s="34" t="str">
        <x:v>PORT-6742936593A9</x:v>
      </x:c>
      <x:c r="AN110" s="34" t="n">
        <x:v>1000</x:v>
      </x:c>
      <x:c r="AO110" s="34" t="n">
        <x:v>81.267325</x:v>
      </x:c>
      <x:c r="AP110" s="34" t="n">
        <x:v>17.588613</x:v>
      </x:c>
      <x:c r="AQ110" s="34" t="n">
        <x:v>454.753949</x:v>
      </x:c>
      <x:c r="AR110" s="34" t="n">
        <x:v>36270.549</x:v>
      </x:c>
      <x:c r="AS110" s="34" t="n">
        <x:v>79.758623</x:v>
      </x:c>
      <x:c r="AT110" s="40" t="b">
        <x:v>1</x:v>
      </x:c>
      <x:c r="AU110" s="40" t="b">
        <x:v>1</x:v>
      </x:c>
      <x:c r="AV110" s="34" t="str"/>
      <x:c r="AW110" s="34" t="n">
        <x:v>0</x:v>
      </x:c>
      <x:c r="AX110" s="34" t="str">
        <x:v>3.446647212967946e-06</x:v>
      </x:c>
      <x:c r="AY110" s="40" t="b">
        <x:v>1</x:v>
      </x:c>
      <x:c r="AZ110" s="40" t="b">
        <x:v>1</x:v>
      </x:c>
      <x:c r="BA110" s="40" t="b">
        <x:v>1</x:v>
      </x:c>
      <x:c r="BB110" s="40" t="b">
        <x:v>1</x:v>
      </x:c>
      <x:c r="BC110" s="34" t="str"/>
      <x:c r="BD110" s="34" t="n">
        <x:v>0</x:v>
      </x:c>
      <x:c r="BE110" s="34" t="n">
        <x:v>0</x:v>
      </x:c>
      <x:c r="BF110" s="34" t="n">
        <x:v>0</x:v>
      </x:c>
      <x:c r="BG110" s="34" t="n">
        <x:v>2</x:v>
      </x:c>
      <x:c r="BH110" s="34" t="n">
        <x:v>2</x:v>
      </x:c>
      <x:c r="BI110" s="34" t="n">
        <x:v>0.47641018879999986</x:v>
      </x:c>
      <x:c r="BJ110" s="34" t="n">
        <x:v>0.65</x:v>
      </x:c>
      <x:c r="BK110" s="34" t="n">
        <x:v>2.16</x:v>
      </x:c>
    </x:row>
    <x:row r="111">
      <x:c r="A111" s="34" t="str">
        <x:v>NIPPON_STEEL_JP</x:v>
      </x:c>
      <x:c r="B111" s="34" t="str">
        <x:v>Nippon Steel</x:v>
      </x:c>
      <x:c r="C111" s="34" t="str">
        <x:v>DISCLOSED_PATH</x:v>
      </x:c>
      <x:c r="D111" s="34" t="str">
        <x:v>P3</x:v>
      </x:c>
      <x:c r="E111" s="34" t="str">
        <x:v>NS-NAGOYA</x:v>
      </x:c>
      <x:c r="F111" s="34" t="str">
        <x:v>Nagoya Works 블록</x:v>
      </x:c>
      <x:c r="G111" s="34" t="str">
        <x:v>나고야</x:v>
      </x:c>
      <x:c r="H111" s="34" t="n">
        <x:v>2032</x:v>
      </x:c>
      <x:c r="I111" s="34" t="str">
        <x:v>BF_BOF</x:v>
      </x:c>
      <x:c r="J111" s="34" t="str">
        <x:v>기준 BF-BOF 복합 블록</x:v>
      </x:c>
      <x:c r="K111" s="34" t="str">
        <x:v>SCRAP_EAF</x:v>
      </x:c>
      <x:c r="L111" s="34" t="str">
        <x:v>스크랩 기반 대형 EAF</x:v>
      </x:c>
      <x:c r="M111" s="34" t="n">
        <x:v>4312</x:v>
      </x:c>
      <x:c r="N111" s="34" t="n">
        <x:v>2772</x:v>
      </x:c>
      <x:c r="O111" s="34" t="n">
        <x:v>7</x:v>
      </x:c>
      <x:c r="P111" s="34" t="n">
        <x:v>6.199998</x:v>
      </x:c>
      <x:c r="Q111" s="34" t="n">
        <x:v>13.123027</x:v>
      </x:c>
      <x:c r="R111" s="34" t="n">
        <x:v>13.123027</x:v>
      </x:c>
      <x:c r="S111" s="34" t="n">
        <x:v>2.789999</x:v>
      </x:c>
      <x:c r="T111" s="34" t="n">
        <x:v>2.789999</x:v>
      </x:c>
      <x:c r="U111" s="34" t="n">
        <x:v>10.333028</x:v>
      </x:c>
      <x:c r="V111" s="34" t="n">
        <x:v>92.997254</x:v>
      </x:c>
      <x:c r="W111" s="34" t="n">
        <x:v>2365.146</x:v>
      </x:c>
      <x:c r="X111" s="34" t="n">
        <x:v>499.835</x:v>
      </x:c>
      <x:c r="Y111" s="34" t="n">
        <x:v>5635.963</x:v>
      </x:c>
      <x:c r="Z111" s="34" t="n">
        <x:v>5136.128</x:v>
      </x:c>
      <x:c r="AA111" s="34" t="n">
        <x:v>3270.817</x:v>
      </x:c>
      <x:c r="AB111" s="34" t="n">
        <x:v>1865.311</x:v>
      </x:c>
      <x:c r="AC111" s="34" t="n">
        <x:v>1905.575</x:v>
      </x:c>
      <x:c r="AD111" s="34" t="n">
        <x:v>187.564</x:v>
      </x:c>
      <x:c r="AE111" s="34" t="n">
        <x:v>3516.993</x:v>
      </x:c>
      <x:c r="AF111" s="34" t="n">
        <x:v>0</x:v>
      </x:c>
      <x:c r="AG111" s="34" t="n">
        <x:v>25.831</x:v>
      </x:c>
      <x:c r="AH111" s="34" t="n">
        <x:v>-3270.817</x:v>
      </x:c>
      <x:c r="AI111" s="34" t="str">
        <x:v>model_estimate</x:v>
      </x:c>
      <x:c r="AJ111" s="34" t="str">
        <x:v>Nippon Steel 공식 생산·배출·용량 총량에 맞춘 지역 블록 배분</x:v>
      </x:c>
      <x:c r="AK111" s="34" t="str">
        <x:v>CAND-7400D0EA735D98</x:v>
      </x:c>
      <x:c r="AL111" s="34" t="str">
        <x:v>P3</x:v>
      </x:c>
      <x:c r="AM111" s="34" t="str">
        <x:v>PORT-6742936593A9</x:v>
      </x:c>
      <x:c r="AN111" s="34" t="n">
        <x:v>1000</x:v>
      </x:c>
      <x:c r="AO111" s="34" t="n">
        <x:v>81.267325</x:v>
      </x:c>
      <x:c r="AP111" s="34" t="n">
        <x:v>17.588613</x:v>
      </x:c>
      <x:c r="AQ111" s="34" t="n">
        <x:v>454.753949</x:v>
      </x:c>
      <x:c r="AR111" s="34" t="n">
        <x:v>36270.549</x:v>
      </x:c>
      <x:c r="AS111" s="34" t="n">
        <x:v>79.758623</x:v>
      </x:c>
      <x:c r="AT111" s="40" t="b">
        <x:v>1</x:v>
      </x:c>
      <x:c r="AU111" s="40" t="b">
        <x:v>1</x:v>
      </x:c>
      <x:c r="AV111" s="34" t="str"/>
      <x:c r="AW111" s="34" t="n">
        <x:v>0</x:v>
      </x:c>
      <x:c r="AX111" s="34" t="str">
        <x:v>3.446647212967946e-06</x:v>
      </x:c>
      <x:c r="AY111" s="40" t="b">
        <x:v>1</x:v>
      </x:c>
      <x:c r="AZ111" s="40" t="b">
        <x:v>1</x:v>
      </x:c>
      <x:c r="BA111" s="40" t="b">
        <x:v>1</x:v>
      </x:c>
      <x:c r="BB111" s="40" t="b">
        <x:v>1</x:v>
      </x:c>
      <x:c r="BC111" s="34" t="str"/>
      <x:c r="BD111" s="34" t="n">
        <x:v>0</x:v>
      </x:c>
      <x:c r="BE111" s="34" t="n">
        <x:v>0</x:v>
      </x:c>
      <x:c r="BF111" s="34" t="n">
        <x:v>0</x:v>
      </x:c>
      <x:c r="BG111" s="34" t="n">
        <x:v>2</x:v>
      </x:c>
      <x:c r="BH111" s="34" t="n">
        <x:v>2</x:v>
      </x:c>
      <x:c r="BI111" s="34" t="n">
        <x:v>0.47641018879999986</x:v>
      </x:c>
      <x:c r="BJ111" s="34" t="n">
        <x:v>0.65</x:v>
      </x:c>
      <x:c r="BK111" s="34" t="n">
        <x:v>2.16</x:v>
      </x:c>
    </x:row>
    <x:row r="112">
      <x:c r="A112" s="34" t="str">
        <x:v>NIPPON_STEEL_JP</x:v>
      </x:c>
      <x:c r="B112" s="34" t="str">
        <x:v>Nippon Steel</x:v>
      </x:c>
      <x:c r="C112" s="34" t="str">
        <x:v>DISCLOSED_PATH</x:v>
      </x:c>
      <x:c r="D112" s="34" t="str">
        <x:v>P3</x:v>
      </x:c>
      <x:c r="E112" s="34" t="str">
        <x:v>NS-SETOUCHI</x:v>
      </x:c>
      <x:c r="F112" s="34" t="str">
        <x:v>Setouchi Works Hirohata 블록</x:v>
      </x:c>
      <x:c r="G112" s="34" t="str">
        <x:v>세토우치</x:v>
      </x:c>
      <x:c r="H112" s="34" t="n">
        <x:v>2038</x:v>
      </x:c>
      <x:c r="I112" s="34" t="str">
        <x:v>BF_BOF</x:v>
      </x:c>
      <x:c r="J112" s="34" t="str">
        <x:v>기준 BF-BOF 복합 블록</x:v>
      </x:c>
      <x:c r="K112" s="34" t="str">
        <x:v>SCRAP_EAF</x:v>
      </x:c>
      <x:c r="L112" s="34" t="str">
        <x:v>스크랩 기반 대형 EAF</x:v>
      </x:c>
      <x:c r="M112" s="34" t="n">
        <x:v>4620</x:v>
      </x:c>
      <x:c r="N112" s="34" t="n">
        <x:v>2970</x:v>
      </x:c>
      <x:c r="O112" s="34" t="n">
        <x:v>7.5</x:v>
      </x:c>
      <x:c r="P112" s="34" t="n">
        <x:v>6.3</x:v>
      </x:c>
      <x:c r="Q112" s="34" t="n">
        <x:v>13.334693</x:v>
      </x:c>
      <x:c r="R112" s="34" t="n">
        <x:v>13.334693</x:v>
      </x:c>
      <x:c r="S112" s="34" t="n">
        <x:v>2.835</x:v>
      </x:c>
      <x:c r="T112" s="34" t="n">
        <x:v>2.835</x:v>
      </x:c>
      <x:c r="U112" s="34" t="n">
        <x:v>10.499693</x:v>
      </x:c>
      <x:c r="V112" s="34" t="n">
        <x:v>31.49908</x:v>
      </x:c>
      <x:c r="W112" s="34" t="n">
        <x:v>1484.627</x:v>
      </x:c>
      <x:c r="X112" s="34" t="n">
        <x:v>372.672</x:v>
      </x:c>
      <x:c r="Y112" s="34" t="n">
        <x:v>2575.847</x:v>
      </x:c>
      <x:c r="Z112" s="34" t="n">
        <x:v>2203.176</x:v>
      </x:c>
      <x:c r="AA112" s="34" t="n">
        <x:v>1091.221</x:v>
      </x:c>
      <x:c r="AB112" s="34" t="n">
        <x:v>1111.955</x:v>
      </x:c>
      <x:c r="AC112" s="34" t="n">
        <x:v>1480.725</x:v>
      </x:c>
      <x:c r="AD112" s="34" t="n">
        <x:v>53.641</x:v>
      </x:c>
      <x:c r="AE112" s="34" t="n">
        <x:v>1029.077</x:v>
      </x:c>
      <x:c r="AF112" s="34" t="n">
        <x:v>0</x:v>
      </x:c>
      <x:c r="AG112" s="34" t="n">
        <x:v>12.405</x:v>
      </x:c>
      <x:c r="AH112" s="34" t="n">
        <x:v>-1091.221</x:v>
      </x:c>
      <x:c r="AI112" s="34" t="str">
        <x:v>model_estimate</x:v>
      </x:c>
      <x:c r="AJ112" s="34" t="str">
        <x:v>Hirohata EAF 투자 방향을 반영한 복합 블록; 생산량·재투자연도 추정</x:v>
      </x:c>
      <x:c r="AK112" s="34" t="str">
        <x:v>CAND-7400D0EA735D98</x:v>
      </x:c>
      <x:c r="AL112" s="34" t="str">
        <x:v>P3</x:v>
      </x:c>
      <x:c r="AM112" s="34" t="str">
        <x:v>PORT-6742936593A9</x:v>
      </x:c>
      <x:c r="AN112" s="34" t="n">
        <x:v>1000</x:v>
      </x:c>
      <x:c r="AO112" s="34" t="n">
        <x:v>81.267325</x:v>
      </x:c>
      <x:c r="AP112" s="34" t="n">
        <x:v>17.588613</x:v>
      </x:c>
      <x:c r="AQ112" s="34" t="n">
        <x:v>454.753949</x:v>
      </x:c>
      <x:c r="AR112" s="34" t="n">
        <x:v>36270.549</x:v>
      </x:c>
      <x:c r="AS112" s="34" t="n">
        <x:v>79.758623</x:v>
      </x:c>
      <x:c r="AT112" s="40" t="b">
        <x:v>1</x:v>
      </x:c>
      <x:c r="AU112" s="40" t="b">
        <x:v>1</x:v>
      </x:c>
      <x:c r="AV112" s="34" t="str"/>
      <x:c r="AW112" s="34" t="n">
        <x:v>0</x:v>
      </x:c>
      <x:c r="AX112" s="34" t="str">
        <x:v>3.446647212967946e-06</x:v>
      </x:c>
      <x:c r="AY112" s="40" t="b">
        <x:v>1</x:v>
      </x:c>
      <x:c r="AZ112" s="40" t="b">
        <x:v>1</x:v>
      </x:c>
      <x:c r="BA112" s="40" t="b">
        <x:v>1</x:v>
      </x:c>
      <x:c r="BB112" s="40" t="b">
        <x:v>1</x:v>
      </x:c>
      <x:c r="BC112" s="34" t="str"/>
      <x:c r="BD112" s="34" t="n">
        <x:v>0</x:v>
      </x:c>
      <x:c r="BE112" s="34" t="n">
        <x:v>0</x:v>
      </x:c>
      <x:c r="BF112" s="34" t="n">
        <x:v>0</x:v>
      </x:c>
      <x:c r="BG112" s="34" t="n">
        <x:v>2</x:v>
      </x:c>
      <x:c r="BH112" s="34" t="n">
        <x:v>2</x:v>
      </x:c>
      <x:c r="BI112" s="34" t="n">
        <x:v>0.47641018879999986</x:v>
      </x:c>
      <x:c r="BJ112" s="34" t="n">
        <x:v>0.65</x:v>
      </x:c>
      <x:c r="BK112" s="34" t="n">
        <x:v>2.16</x:v>
      </x:c>
    </x:row>
    <x:row r="113">
      <x:c r="A113" s="34" t="str">
        <x:v>NIPPON_STEEL_JP</x:v>
      </x:c>
      <x:c r="B113" s="34" t="str">
        <x:v>Nippon Steel</x:v>
      </x:c>
      <x:c r="C113" s="34" t="str">
        <x:v>ACCELERATED_15C</x:v>
      </x:c>
      <x:c r="D113" s="34" t="str">
        <x:v>P3</x:v>
      </x:c>
      <x:c r="E113" s="34" t="str">
        <x:v>NS-EAST</x:v>
      </x:c>
      <x:c r="F113" s="34" t="str">
        <x:v>East Nippon Works 블록</x:v>
      </x:c>
      <x:c r="G113" s="34" t="str">
        <x:v>동일본</x:v>
      </x:c>
      <x:c r="H113" s="34" t="n">
        <x:v>2034</x:v>
      </x:c>
      <x:c r="I113" s="34" t="str">
        <x:v>BF_BOF</x:v>
      </x:c>
      <x:c r="J113" s="34" t="str">
        <x:v>기준 BF-BOF 복합 블록</x:v>
      </x:c>
      <x:c r="K113" s="34" t="str">
        <x:v>H2_DRI_EAF</x:v>
      </x:c>
      <x:c r="L113" s="34" t="str">
        <x:v>수소 DRI + EAF</x:v>
      </x:c>
      <x:c r="M113" s="34" t="n">
        <x:v>8019</x:v>
      </x:c>
      <x:c r="N113" s="34" t="n">
        <x:v>6237</x:v>
      </x:c>
      <x:c r="O113" s="34" t="n">
        <x:v>8.1</x:v>
      </x:c>
      <x:c r="P113" s="34" t="n">
        <x:v>7.200001</x:v>
      </x:c>
      <x:c r="Q113" s="34" t="n">
        <x:v>15.239652</x:v>
      </x:c>
      <x:c r="R113" s="34" t="n">
        <x:v>15.239652</x:v>
      </x:c>
      <x:c r="S113" s="34" t="n">
        <x:v>1.44</x:v>
      </x:c>
      <x:c r="T113" s="34" t="n">
        <x:v>1.44</x:v>
      </x:c>
      <x:c r="U113" s="34" t="n">
        <x:v>13.799651</x:v>
      </x:c>
      <x:c r="V113" s="34" t="n">
        <x:v>96.597559</x:v>
      </x:c>
      <x:c r="W113" s="34" t="n">
        <x:v>21644.942</x:v>
      </x:c>
      <x:c r="X113" s="34" t="n">
        <x:v>3354.746</x:v>
      </x:c>
      <x:c r="Y113" s="34" t="n">
        <x:v>26691.986</x:v>
      </x:c>
      <x:c r="Z113" s="34" t="n">
        <x:v>23337.24</x:v>
      </x:c>
      <x:c r="AA113" s="34" t="n">
        <x:v>5047.043</x:v>
      </x:c>
      <x:c r="AB113" s="34" t="n">
        <x:v>18290.197</x:v>
      </x:c>
      <x:c r="AC113" s="34" t="n">
        <x:v>3852.154</x:v>
      </x:c>
      <x:c r="AD113" s="34" t="n">
        <x:v>346.602</x:v>
      </x:c>
      <x:c r="AE113" s="34" t="n">
        <x:v>2763.891</x:v>
      </x:c>
      <x:c r="AF113" s="34" t="n">
        <x:v>19623.091</x:v>
      </x:c>
      <x:c r="AG113" s="34" t="n">
        <x:v>106.248</x:v>
      </x:c>
      <x:c r="AH113" s="34" t="n">
        <x:v>-5047.043</x:v>
      </x:c>
      <x:c r="AI113" s="34" t="str">
        <x:v>model_estimate</x:v>
      </x:c>
      <x:c r="AJ113" s="34" t="str">
        <x:v>Nippon Steel 공식 생산·배출·용량 총량에 맞춘 지역 블록 배분</x:v>
      </x:c>
      <x:c r="AK113" s="34" t="str">
        <x:v>CAND-7400D0EA735D98</x:v>
      </x:c>
      <x:c r="AL113" s="34" t="str">
        <x:v>P3</x:v>
      </x:c>
      <x:c r="AM113" s="34" t="str">
        <x:v>PORT-6742936593A9</x:v>
      </x:c>
      <x:c r="AN113" s="34" t="n">
        <x:v>1000</x:v>
      </x:c>
      <x:c r="AO113" s="34" t="n">
        <x:v>69.771797</x:v>
      </x:c>
      <x:c r="AP113" s="34" t="n">
        <x:v>18.74197</x:v>
      </x:c>
      <x:c r="AQ113" s="34" t="n">
        <x:v>454.753949</x:v>
      </x:c>
      <x:c r="AR113" s="34" t="n">
        <x:v>31092.014</x:v>
      </x:c>
      <x:c r="AS113" s="34" t="n">
        <x:v>68.371069</x:v>
      </x:c>
      <x:c r="AT113" s="40" t="b">
        <x:v>1</x:v>
      </x:c>
      <x:c r="AU113" s="40" t="b">
        <x:v>1</x:v>
      </x:c>
      <x:c r="AV113" s="34" t="str"/>
      <x:c r="AW113" s="34" t="n">
        <x:v>0</x:v>
      </x:c>
      <x:c r="AX113" s="34" t="str">
        <x:v>3.446647212967946e-06</x:v>
      </x:c>
      <x:c r="AY113" s="40" t="b">
        <x:v>1</x:v>
      </x:c>
      <x:c r="AZ113" s="40" t="b">
        <x:v>1</x:v>
      </x:c>
      <x:c r="BA113" s="40" t="b">
        <x:v>1</x:v>
      </x:c>
      <x:c r="BB113" s="40" t="b">
        <x:v>1</x:v>
      </x:c>
      <x:c r="BC113" s="34" t="str"/>
      <x:c r="BD113" s="34" t="n">
        <x:v>0</x:v>
      </x:c>
      <x:c r="BE113" s="34" t="n">
        <x:v>0</x:v>
      </x:c>
      <x:c r="BF113" s="34" t="n">
        <x:v>0</x:v>
      </x:c>
      <x:c r="BG113" s="34" t="n">
        <x:v>2</x:v>
      </x:c>
      <x:c r="BH113" s="34" t="n">
        <x:v>2</x:v>
      </x:c>
      <x:c r="BI113" s="34" t="n">
        <x:v>0.47641018879999986</x:v>
      </x:c>
      <x:c r="BJ113" s="34" t="n">
        <x:v>0.65</x:v>
      </x:c>
      <x:c r="BK113" s="34" t="n">
        <x:v>2.16</x:v>
      </x:c>
    </x:row>
    <x:row r="114">
      <x:c r="A114" s="34" t="str">
        <x:v>NIPPON_STEEL_JP</x:v>
      </x:c>
      <x:c r="B114" s="34" t="str">
        <x:v>Nippon Steel</x:v>
      </x:c>
      <x:c r="C114" s="34" t="str">
        <x:v>ACCELERATED_15C</x:v>
      </x:c>
      <x:c r="D114" s="34" t="str">
        <x:v>P3</x:v>
      </x:c>
      <x:c r="E114" s="34" t="str">
        <x:v>NS-KANSAI</x:v>
      </x:c>
      <x:c r="F114" s="34" t="str">
        <x:v>Kansai Works 블록</x:v>
      </x:c>
      <x:c r="G114" s="34" t="str">
        <x:v>간사이</x:v>
      </x:c>
      <x:c r="H114" s="34" t="n">
        <x:v>2036</x:v>
      </x:c>
      <x:c r="I114" s="34" t="str">
        <x:v>BF_BOF</x:v>
      </x:c>
      <x:c r="J114" s="34" t="str">
        <x:v>기준 BF-BOF 복합 블록</x:v>
      </x:c>
      <x:c r="K114" s="34" t="str">
        <x:v>H2_DRI_EAF</x:v>
      </x:c>
      <x:c r="L114" s="34" t="str">
        <x:v>수소 DRI + EAF</x:v>
      </x:c>
      <x:c r="M114" s="34" t="n">
        <x:v>6237</x:v>
      </x:c>
      <x:c r="N114" s="34" t="n">
        <x:v>4851</x:v>
      </x:c>
      <x:c r="O114" s="34" t="n">
        <x:v>6.3</x:v>
      </x:c>
      <x:c r="P114" s="34" t="n">
        <x:v>5.600001</x:v>
      </x:c>
      <x:c r="Q114" s="34" t="n">
        <x:v>11.853062</x:v>
      </x:c>
      <x:c r="R114" s="34" t="n">
        <x:v>11.853062</x:v>
      </x:c>
      <x:c r="S114" s="34" t="n">
        <x:v>1.12</x:v>
      </x:c>
      <x:c r="T114" s="34" t="n">
        <x:v>1.12</x:v>
      </x:c>
      <x:c r="U114" s="34" t="n">
        <x:v>10.733062</x:v>
      </x:c>
      <x:c r="V114" s="34" t="n">
        <x:v>53.665311</x:v>
      </x:c>
      <x:c r="W114" s="34" t="n">
        <x:v>12016.929</x:v>
      </x:c>
      <x:c r="X114" s="34" t="n">
        <x:v>1994.58</x:v>
      </x:c>
      <x:c r="Y114" s="34" t="n">
        <x:v>14816.077</x:v>
      </x:c>
      <x:c r="Z114" s="34" t="n">
        <x:v>12821.497</x:v>
      </x:c>
      <x:c r="AA114" s="34" t="n">
        <x:v>2799.149</x:v>
      </x:c>
      <x:c r="AB114" s="34" t="n">
        <x:v>10022.349</x:v>
      </x:c>
      <x:c r="AC114" s="34" t="n">
        <x:v>2691.871</x:v>
      </x:c>
      <x:c r="AD114" s="34" t="n">
        <x:v>181.997</x:v>
      </x:c>
      <x:c r="AE114" s="34" t="n">
        <x:v>1472.667</x:v>
      </x:c>
      <x:c r="AF114" s="34" t="n">
        <x:v>10409.747</x:v>
      </x:c>
      <x:c r="AG114" s="34" t="n">
        <x:v>59.796</x:v>
      </x:c>
      <x:c r="AH114" s="34" t="n">
        <x:v>-2799.149</x:v>
      </x:c>
      <x:c r="AI114" s="34" t="str">
        <x:v>model_estimate</x:v>
      </x:c>
      <x:c r="AJ114" s="34" t="str">
        <x:v>Nippon Steel 공식 생산·배출·용량 총량에 맞춘 지역 블록 배분</x:v>
      </x:c>
      <x:c r="AK114" s="34" t="str">
        <x:v>CAND-7400D0EA735D98</x:v>
      </x:c>
      <x:c r="AL114" s="34" t="str">
        <x:v>P3</x:v>
      </x:c>
      <x:c r="AM114" s="34" t="str">
        <x:v>PORT-6742936593A9</x:v>
      </x:c>
      <x:c r="AN114" s="34" t="n">
        <x:v>1000</x:v>
      </x:c>
      <x:c r="AO114" s="34" t="n">
        <x:v>69.771797</x:v>
      </x:c>
      <x:c r="AP114" s="34" t="n">
        <x:v>18.74197</x:v>
      </x:c>
      <x:c r="AQ114" s="34" t="n">
        <x:v>454.753949</x:v>
      </x:c>
      <x:c r="AR114" s="34" t="n">
        <x:v>31092.014</x:v>
      </x:c>
      <x:c r="AS114" s="34" t="n">
        <x:v>68.371069</x:v>
      </x:c>
      <x:c r="AT114" s="40" t="b">
        <x:v>1</x:v>
      </x:c>
      <x:c r="AU114" s="40" t="b">
        <x:v>1</x:v>
      </x:c>
      <x:c r="AV114" s="34" t="str"/>
      <x:c r="AW114" s="34" t="n">
        <x:v>0</x:v>
      </x:c>
      <x:c r="AX114" s="34" t="str">
        <x:v>3.446647212967946e-06</x:v>
      </x:c>
      <x:c r="AY114" s="40" t="b">
        <x:v>1</x:v>
      </x:c>
      <x:c r="AZ114" s="40" t="b">
        <x:v>1</x:v>
      </x:c>
      <x:c r="BA114" s="40" t="b">
        <x:v>1</x:v>
      </x:c>
      <x:c r="BB114" s="40" t="b">
        <x:v>1</x:v>
      </x:c>
      <x:c r="BC114" s="34" t="str"/>
      <x:c r="BD114" s="34" t="n">
        <x:v>0</x:v>
      </x:c>
      <x:c r="BE114" s="34" t="n">
        <x:v>0</x:v>
      </x:c>
      <x:c r="BF114" s="34" t="n">
        <x:v>0</x:v>
      </x:c>
      <x:c r="BG114" s="34" t="n">
        <x:v>2</x:v>
      </x:c>
      <x:c r="BH114" s="34" t="n">
        <x:v>2</x:v>
      </x:c>
      <x:c r="BI114" s="34" t="n">
        <x:v>0.47641018879999986</x:v>
      </x:c>
      <x:c r="BJ114" s="34" t="n">
        <x:v>0.65</x:v>
      </x:c>
      <x:c r="BK114" s="34" t="n">
        <x:v>2.16</x:v>
      </x:c>
    </x:row>
    <x:row r="115">
      <x:c r="A115" s="34" t="str">
        <x:v>NIPPON_STEEL_JP</x:v>
      </x:c>
      <x:c r="B115" s="34" t="str">
        <x:v>Nippon Steel</x:v>
      </x:c>
      <x:c r="C115" s="34" t="str">
        <x:v>ACCELERATED_15C</x:v>
      </x:c>
      <x:c r="D115" s="34" t="str">
        <x:v>P3</x:v>
      </x:c>
      <x:c r="E115" s="34" t="str">
        <x:v>NS-KYUSHU</x:v>
      </x:c>
      <x:c r="F115" s="34" t="str">
        <x:v>Kyushu Works Yawata 블록</x:v>
      </x:c>
      <x:c r="G115" s="34" t="str">
        <x:v>규슈</x:v>
      </x:c>
      <x:c r="H115" s="34" t="n">
        <x:v>2029</x:v>
      </x:c>
      <x:c r="I115" s="34" t="str">
        <x:v>BF_BOF</x:v>
      </x:c>
      <x:c r="J115" s="34" t="str">
        <x:v>기준 BF-BOF 복합 블록</x:v>
      </x:c>
      <x:c r="K115" s="34" t="str">
        <x:v>SCRAP_EAF</x:v>
      </x:c>
      <x:c r="L115" s="34" t="str">
        <x:v>스크랩 기반 대형 EAF</x:v>
      </x:c>
      <x:c r="M115" s="34" t="n">
        <x:v>6160</x:v>
      </x:c>
      <x:c r="N115" s="34" t="n">
        <x:v>3960</x:v>
      </x:c>
      <x:c r="O115" s="34" t="n">
        <x:v>10</x:v>
      </x:c>
      <x:c r="P115" s="34" t="n">
        <x:v>9</x:v>
      </x:c>
      <x:c r="Q115" s="34" t="n">
        <x:v>19.049562</x:v>
      </x:c>
      <x:c r="R115" s="34" t="n">
        <x:v>4.05</x:v>
      </x:c>
      <x:c r="S115" s="34" t="n">
        <x:v>4.05</x:v>
      </x:c>
      <x:c r="T115" s="34" t="n">
        <x:v>4.05</x:v>
      </x:c>
      <x:c r="U115" s="34" t="n">
        <x:v>14.999562</x:v>
      </x:c>
      <x:c r="V115" s="34" t="n">
        <x:v>179.994744</x:v>
      </x:c>
      <x:c r="W115" s="34" t="n">
        <x:v>2545.209</x:v>
      </x:c>
      <x:c r="X115" s="34" t="n">
        <x:v>988.176</x:v>
      </x:c>
      <x:c r="Y115" s="34" t="n">
        <x:v>11721.143</x:v>
      </x:c>
      <x:c r="Z115" s="34" t="n">
        <x:v>10732.967</x:v>
      </x:c>
      <x:c r="AA115" s="34" t="n">
        <x:v>9175.933</x:v>
      </x:c>
      <x:c r="AB115" s="34" t="n">
        <x:v>1557.033</x:v>
      </x:c>
      <x:c r="AC115" s="34" t="n">
        <x:v>3196.578</x:v>
      </x:c>
      <x:c r="AD115" s="34" t="n">
        <x:v>462.398</x:v>
      </x:c>
      <x:c r="AE115" s="34" t="n">
        <x:v>8009.343</x:v>
      </x:c>
      <x:c r="AF115" s="34" t="n">
        <x:v>0</x:v>
      </x:c>
      <x:c r="AG115" s="34" t="n">
        <x:v>52.824</x:v>
      </x:c>
      <x:c r="AH115" s="34" t="n">
        <x:v>-9175.933</x:v>
      </x:c>
      <x:c r="AI115" s="34" t="str">
        <x:v>model_estimate</x:v>
      </x:c>
      <x:c r="AJ115" s="34" t="str">
        <x:v>Yawata BF→EAF 공시 방향을 반영해 조기 재투자 창을 설정; 블록 생산량 추정</x:v>
      </x:c>
      <x:c r="AK115" s="34" t="str">
        <x:v>CAND-7400D0EA735D98</x:v>
      </x:c>
      <x:c r="AL115" s="34" t="str">
        <x:v>P3</x:v>
      </x:c>
      <x:c r="AM115" s="34" t="str">
        <x:v>PORT-6742936593A9</x:v>
      </x:c>
      <x:c r="AN115" s="34" t="n">
        <x:v>1000</x:v>
      </x:c>
      <x:c r="AO115" s="34" t="n">
        <x:v>69.771797</x:v>
      </x:c>
      <x:c r="AP115" s="34" t="n">
        <x:v>18.74197</x:v>
      </x:c>
      <x:c r="AQ115" s="34" t="n">
        <x:v>454.753949</x:v>
      </x:c>
      <x:c r="AR115" s="34" t="n">
        <x:v>31092.014</x:v>
      </x:c>
      <x:c r="AS115" s="34" t="n">
        <x:v>68.371069</x:v>
      </x:c>
      <x:c r="AT115" s="40" t="b">
        <x:v>1</x:v>
      </x:c>
      <x:c r="AU115" s="40" t="b">
        <x:v>1</x:v>
      </x:c>
      <x:c r="AV115" s="34" t="str"/>
      <x:c r="AW115" s="34" t="n">
        <x:v>0</x:v>
      </x:c>
      <x:c r="AX115" s="34" t="str">
        <x:v>3.446647212967946e-06</x:v>
      </x:c>
      <x:c r="AY115" s="40" t="b">
        <x:v>1</x:v>
      </x:c>
      <x:c r="AZ115" s="40" t="b">
        <x:v>1</x:v>
      </x:c>
      <x:c r="BA115" s="40" t="b">
        <x:v>1</x:v>
      </x:c>
      <x:c r="BB115" s="40" t="b">
        <x:v>1</x:v>
      </x:c>
      <x:c r="BC115" s="34" t="str"/>
      <x:c r="BD115" s="34" t="n">
        <x:v>0</x:v>
      </x:c>
      <x:c r="BE115" s="34" t="n">
        <x:v>0</x:v>
      </x:c>
      <x:c r="BF115" s="34" t="n">
        <x:v>0</x:v>
      </x:c>
      <x:c r="BG115" s="34" t="n">
        <x:v>2</x:v>
      </x:c>
      <x:c r="BH115" s="34" t="n">
        <x:v>2</x:v>
      </x:c>
      <x:c r="BI115" s="34" t="n">
        <x:v>0.47641018879999986</x:v>
      </x:c>
      <x:c r="BJ115" s="34" t="n">
        <x:v>0.65</x:v>
      </x:c>
      <x:c r="BK115" s="34" t="n">
        <x:v>2.16</x:v>
      </x:c>
    </x:row>
    <x:row r="116">
      <x:c r="A116" s="34" t="str">
        <x:v>NIPPON_STEEL_JP</x:v>
      </x:c>
      <x:c r="B116" s="34" t="str">
        <x:v>Nippon Steel</x:v>
      </x:c>
      <x:c r="C116" s="34" t="str">
        <x:v>ACCELERATED_15C</x:v>
      </x:c>
      <x:c r="D116" s="34" t="str">
        <x:v>P3</x:v>
      </x:c>
      <x:c r="E116" s="34" t="str">
        <x:v>NS-NAGOYA</x:v>
      </x:c>
      <x:c r="F116" s="34" t="str">
        <x:v>Nagoya Works 블록</x:v>
      </x:c>
      <x:c r="G116" s="34" t="str">
        <x:v>나고야</x:v>
      </x:c>
      <x:c r="H116" s="34" t="n">
        <x:v>2032</x:v>
      </x:c>
      <x:c r="I116" s="34" t="str">
        <x:v>BF_BOF</x:v>
      </x:c>
      <x:c r="J116" s="34" t="str">
        <x:v>기준 BF-BOF 복합 블록</x:v>
      </x:c>
      <x:c r="K116" s="34" t="str">
        <x:v>SCRAP_EAF</x:v>
      </x:c>
      <x:c r="L116" s="34" t="str">
        <x:v>스크랩 기반 대형 EAF</x:v>
      </x:c>
      <x:c r="M116" s="34" t="n">
        <x:v>4312</x:v>
      </x:c>
      <x:c r="N116" s="34" t="n">
        <x:v>2772</x:v>
      </x:c>
      <x:c r="O116" s="34" t="n">
        <x:v>7</x:v>
      </x:c>
      <x:c r="P116" s="34" t="n">
        <x:v>6.199998</x:v>
      </x:c>
      <x:c r="Q116" s="34" t="n">
        <x:v>13.123027</x:v>
      </x:c>
      <x:c r="R116" s="34" t="n">
        <x:v>13.123027</x:v>
      </x:c>
      <x:c r="S116" s="34" t="n">
        <x:v>2.789999</x:v>
      </x:c>
      <x:c r="T116" s="34" t="n">
        <x:v>2.789999</x:v>
      </x:c>
      <x:c r="U116" s="34" t="n">
        <x:v>10.333028</x:v>
      </x:c>
      <x:c r="V116" s="34" t="n">
        <x:v>92.997254</x:v>
      </x:c>
      <x:c r="W116" s="34" t="n">
        <x:v>1169.143</x:v>
      </x:c>
      <x:c r="X116" s="34" t="n">
        <x:v>575.125</x:v>
      </x:c>
      <x:c r="Y116" s="34" t="n">
        <x:v>6005.791</x:v>
      </x:c>
      <x:c r="Z116" s="34" t="n">
        <x:v>5430.665</x:v>
      </x:c>
      <x:c r="AA116" s="34" t="n">
        <x:v>4836.648</x:v>
      </x:c>
      <x:c r="AB116" s="34" t="n">
        <x:v>594.018</x:v>
      </x:c>
      <x:c r="AC116" s="34" t="n">
        <x:v>1905.575</x:v>
      </x:c>
      <x:c r="AD116" s="34" t="n">
        <x:v>187.564</x:v>
      </x:c>
      <x:c r="AE116" s="34" t="n">
        <x:v>3885.164</x:v>
      </x:c>
      <x:c r="AF116" s="34" t="n">
        <x:v>0</x:v>
      </x:c>
      <x:c r="AG116" s="34" t="n">
        <x:v>27.488</x:v>
      </x:c>
      <x:c r="AH116" s="34" t="n">
        <x:v>-4836.648</x:v>
      </x:c>
      <x:c r="AI116" s="34" t="str">
        <x:v>model_estimate</x:v>
      </x:c>
      <x:c r="AJ116" s="34" t="str">
        <x:v>Nippon Steel 공식 생산·배출·용량 총량에 맞춘 지역 블록 배분</x:v>
      </x:c>
      <x:c r="AK116" s="34" t="str">
        <x:v>CAND-7400D0EA735D98</x:v>
      </x:c>
      <x:c r="AL116" s="34" t="str">
        <x:v>P3</x:v>
      </x:c>
      <x:c r="AM116" s="34" t="str">
        <x:v>PORT-6742936593A9</x:v>
      </x:c>
      <x:c r="AN116" s="34" t="n">
        <x:v>1000</x:v>
      </x:c>
      <x:c r="AO116" s="34" t="n">
        <x:v>69.771797</x:v>
      </x:c>
      <x:c r="AP116" s="34" t="n">
        <x:v>18.74197</x:v>
      </x:c>
      <x:c r="AQ116" s="34" t="n">
        <x:v>454.753949</x:v>
      </x:c>
      <x:c r="AR116" s="34" t="n">
        <x:v>31092.014</x:v>
      </x:c>
      <x:c r="AS116" s="34" t="n">
        <x:v>68.371069</x:v>
      </x:c>
      <x:c r="AT116" s="40" t="b">
        <x:v>1</x:v>
      </x:c>
      <x:c r="AU116" s="40" t="b">
        <x:v>1</x:v>
      </x:c>
      <x:c r="AV116" s="34" t="str"/>
      <x:c r="AW116" s="34" t="n">
        <x:v>0</x:v>
      </x:c>
      <x:c r="AX116" s="34" t="str">
        <x:v>3.446647212967946e-06</x:v>
      </x:c>
      <x:c r="AY116" s="40" t="b">
        <x:v>1</x:v>
      </x:c>
      <x:c r="AZ116" s="40" t="b">
        <x:v>1</x:v>
      </x:c>
      <x:c r="BA116" s="40" t="b">
        <x:v>1</x:v>
      </x:c>
      <x:c r="BB116" s="40" t="b">
        <x:v>1</x:v>
      </x:c>
      <x:c r="BC116" s="34" t="str"/>
      <x:c r="BD116" s="34" t="n">
        <x:v>0</x:v>
      </x:c>
      <x:c r="BE116" s="34" t="n">
        <x:v>0</x:v>
      </x:c>
      <x:c r="BF116" s="34" t="n">
        <x:v>0</x:v>
      </x:c>
      <x:c r="BG116" s="34" t="n">
        <x:v>2</x:v>
      </x:c>
      <x:c r="BH116" s="34" t="n">
        <x:v>2</x:v>
      </x:c>
      <x:c r="BI116" s="34" t="n">
        <x:v>0.47641018879999986</x:v>
      </x:c>
      <x:c r="BJ116" s="34" t="n">
        <x:v>0.65</x:v>
      </x:c>
      <x:c r="BK116" s="34" t="n">
        <x:v>2.16</x:v>
      </x:c>
    </x:row>
    <x:row r="117">
      <x:c r="A117" s="34" t="str">
        <x:v>NIPPON_STEEL_JP</x:v>
      </x:c>
      <x:c r="B117" s="34" t="str">
        <x:v>Nippon Steel</x:v>
      </x:c>
      <x:c r="C117" s="34" t="str">
        <x:v>ACCELERATED_15C</x:v>
      </x:c>
      <x:c r="D117" s="34" t="str">
        <x:v>P3</x:v>
      </x:c>
      <x:c r="E117" s="34" t="str">
        <x:v>NS-SETOUCHI</x:v>
      </x:c>
      <x:c r="F117" s="34" t="str">
        <x:v>Setouchi Works Hirohata 블록</x:v>
      </x:c>
      <x:c r="G117" s="34" t="str">
        <x:v>세토우치</x:v>
      </x:c>
      <x:c r="H117" s="34" t="n">
        <x:v>2038</x:v>
      </x:c>
      <x:c r="I117" s="34" t="str">
        <x:v>BF_BOF</x:v>
      </x:c>
      <x:c r="J117" s="34" t="str">
        <x:v>기준 BF-BOF 복합 블록</x:v>
      </x:c>
      <x:c r="K117" s="34" t="str">
        <x:v>SCRAP_EAF</x:v>
      </x:c>
      <x:c r="L117" s="34" t="str">
        <x:v>스크랩 기반 대형 EAF</x:v>
      </x:c>
      <x:c r="M117" s="34" t="n">
        <x:v>4620</x:v>
      </x:c>
      <x:c r="N117" s="34" t="n">
        <x:v>2970</x:v>
      </x:c>
      <x:c r="O117" s="34" t="n">
        <x:v>7.5</x:v>
      </x:c>
      <x:c r="P117" s="34" t="n">
        <x:v>6.3</x:v>
      </x:c>
      <x:c r="Q117" s="34" t="n">
        <x:v>13.334693</x:v>
      </x:c>
      <x:c r="R117" s="34" t="n">
        <x:v>13.334693</x:v>
      </x:c>
      <x:c r="S117" s="34" t="n">
        <x:v>2.835</x:v>
      </x:c>
      <x:c r="T117" s="34" t="n">
        <x:v>2.835</x:v>
      </x:c>
      <x:c r="U117" s="34" t="n">
        <x:v>10.499693</x:v>
      </x:c>
      <x:c r="V117" s="34" t="n">
        <x:v>31.49908</x:v>
      </x:c>
      <x:c r="W117" s="34" t="n">
        <x:v>1074.967</x:v>
      </x:c>
      <x:c r="X117" s="34" t="n">
        <x:v>446.55</x:v>
      </x:c>
      <x:c r="Y117" s="34" t="n">
        <x:v>2708.326</x:v>
      </x:c>
      <x:c r="Z117" s="34" t="n">
        <x:v>2261.776</x:v>
      </x:c>
      <x:c r="AA117" s="34" t="n">
        <x:v>1633.359</x:v>
      </x:c>
      <x:c r="AB117" s="34" t="n">
        <x:v>628.417</x:v>
      </x:c>
      <x:c r="AC117" s="34" t="n">
        <x:v>1480.725</x:v>
      </x:c>
      <x:c r="AD117" s="34" t="n">
        <x:v>53.641</x:v>
      </x:c>
      <x:c r="AE117" s="34" t="n">
        <x:v>1160.962</x:v>
      </x:c>
      <x:c r="AF117" s="34" t="n">
        <x:v>0</x:v>
      </x:c>
      <x:c r="AG117" s="34" t="n">
        <x:v>12.998</x:v>
      </x:c>
      <x:c r="AH117" s="34" t="n">
        <x:v>-1633.359</x:v>
      </x:c>
      <x:c r="AI117" s="34" t="str">
        <x:v>model_estimate</x:v>
      </x:c>
      <x:c r="AJ117" s="34" t="str">
        <x:v>Hirohata EAF 투자 방향을 반영한 복합 블록; 생산량·재투자연도 추정</x:v>
      </x:c>
      <x:c r="AK117" s="34" t="str">
        <x:v>CAND-7400D0EA735D98</x:v>
      </x:c>
      <x:c r="AL117" s="34" t="str">
        <x:v>P3</x:v>
      </x:c>
      <x:c r="AM117" s="34" t="str">
        <x:v>PORT-6742936593A9</x:v>
      </x:c>
      <x:c r="AN117" s="34" t="n">
        <x:v>1000</x:v>
      </x:c>
      <x:c r="AO117" s="34" t="n">
        <x:v>69.771797</x:v>
      </x:c>
      <x:c r="AP117" s="34" t="n">
        <x:v>18.74197</x:v>
      </x:c>
      <x:c r="AQ117" s="34" t="n">
        <x:v>454.753949</x:v>
      </x:c>
      <x:c r="AR117" s="34" t="n">
        <x:v>31092.014</x:v>
      </x:c>
      <x:c r="AS117" s="34" t="n">
        <x:v>68.371069</x:v>
      </x:c>
      <x:c r="AT117" s="40" t="b">
        <x:v>1</x:v>
      </x:c>
      <x:c r="AU117" s="40" t="b">
        <x:v>1</x:v>
      </x:c>
      <x:c r="AV117" s="34" t="str"/>
      <x:c r="AW117" s="34" t="n">
        <x:v>0</x:v>
      </x:c>
      <x:c r="AX117" s="34" t="str">
        <x:v>3.446647212967946e-06</x:v>
      </x:c>
      <x:c r="AY117" s="40" t="b">
        <x:v>1</x:v>
      </x:c>
      <x:c r="AZ117" s="40" t="b">
        <x:v>1</x:v>
      </x:c>
      <x:c r="BA117" s="40" t="b">
        <x:v>1</x:v>
      </x:c>
      <x:c r="BB117" s="40" t="b">
        <x:v>1</x:v>
      </x:c>
      <x:c r="BC117" s="34" t="str"/>
      <x:c r="BD117" s="34" t="n">
        <x:v>0</x:v>
      </x:c>
      <x:c r="BE117" s="34" t="n">
        <x:v>0</x:v>
      </x:c>
      <x:c r="BF117" s="34" t="n">
        <x:v>0</x:v>
      </x:c>
      <x:c r="BG117" s="34" t="n">
        <x:v>2</x:v>
      </x:c>
      <x:c r="BH117" s="34" t="n">
        <x:v>2</x:v>
      </x:c>
      <x:c r="BI117" s="34" t="n">
        <x:v>0.47641018879999986</x:v>
      </x:c>
      <x:c r="BJ117" s="34" t="n">
        <x:v>0.65</x:v>
      </x:c>
      <x:c r="BK117" s="34" t="n">
        <x:v>2.16</x:v>
      </x:c>
    </x:row>
    <x:row r="118">
      <x:c r="A118" s="34" t="str">
        <x:v>POSCO_KR</x:v>
      </x:c>
      <x:c r="B118" s="34" t="str">
        <x:v>POSCO</x:v>
      </x:c>
      <x:c r="C118" s="34" t="str">
        <x:v>DISCLOSED_PATH</x:v>
      </x:c>
      <x:c r="D118" s="34" t="str">
        <x:v>P1</x:v>
      </x:c>
      <x:c r="E118" s="34" t="str">
        <x:v>POS-GWY-E</x:v>
      </x:c>
      <x:c r="F118" s="34" t="str">
        <x:v>광양제철소 BF 블록 B</x:v>
      </x:c>
      <x:c r="G118" s="34" t="str">
        <x:v>광양</x:v>
      </x:c>
      <x:c r="H118" s="34" t="n">
        <x:v>2037</x:v>
      </x:c>
      <x:c r="I118" s="34" t="str">
        <x:v>BF_BOF</x:v>
      </x:c>
      <x:c r="J118" s="34" t="str">
        <x:v>기준 BF-BOF 복합 블록</x:v>
      </x:c>
      <x:c r="K118" s="34" t="str">
        <x:v>H2_DRI_EAF</x:v>
      </x:c>
      <x:c r="L118" s="34" t="str">
        <x:v>수소 DRI + EAF</x:v>
      </x:c>
      <x:c r="M118" s="34" t="n">
        <x:v>9270</x:v>
      </x:c>
      <x:c r="N118" s="34" t="n">
        <x:v>7210</x:v>
      </x:c>
      <x:c r="O118" s="34" t="n">
        <x:v>10.3</x:v>
      </x:c>
      <x:c r="P118" s="34" t="n">
        <x:v>9.502996</x:v>
      </x:c>
      <x:c r="Q118" s="34" t="n">
        <x:v>19.725693</x:v>
      </x:c>
      <x:c r="R118" s="34" t="n">
        <x:v>19.725693</x:v>
      </x:c>
      <x:c r="S118" s="34" t="n">
        <x:v>1.900599</x:v>
      </x:c>
      <x:c r="T118" s="34" t="n">
        <x:v>1.900599</x:v>
      </x:c>
      <x:c r="U118" s="34" t="n">
        <x:v>17.825093</x:v>
      </x:c>
      <x:c r="V118" s="34" t="n">
        <x:v>71.300373</x:v>
      </x:c>
      <x:c r="W118" s="34" t="n">
        <x:v>11433.805</x:v>
      </x:c>
      <x:c r="X118" s="34" t="n">
        <x:v>834.312</x:v>
      </x:c>
      <x:c r="Y118" s="34" t="n">
        <x:v>13992.993</x:v>
      </x:c>
      <x:c r="Z118" s="34" t="n">
        <x:v>13158.681</x:v>
      </x:c>
      <x:c r="AA118" s="34" t="n">
        <x:v>2559.188</x:v>
      </x:c>
      <x:c r="AB118" s="34" t="n">
        <x:v>10599.493</x:v>
      </x:c>
      <x:c r="AC118" s="34" t="n">
        <x:v>3792.327</x:v>
      </x:c>
      <x:c r="AD118" s="34" t="n">
        <x:v>295.74</x:v>
      </x:c>
      <x:c r="AE118" s="34" t="n">
        <x:v>1153.737</x:v>
      </x:c>
      <x:c r="AF118" s="34" t="n">
        <x:v>8751.189</x:v>
      </x:c>
      <x:c r="AG118" s="34" t="n">
        <x:v>0</x:v>
      </x:c>
      <x:c r="AH118" s="34" t="n">
        <x:v>-2559.188</x:v>
      </x:c>
      <x:c r="AI118" s="34" t="str">
        <x:v>model_estimate</x:v>
      </x:c>
      <x:c r="AJ118" s="34" t="str">
        <x:v>POSCO 공식 국내 생산·배출 총량에 맞춘 설비 블록 배분; 개별 생산량·재투자연도는 추정</x:v>
      </x:c>
      <x:c r="AK118" s="34" t="str">
        <x:v>CAND-7BC738434560A6</x:v>
      </x:c>
      <x:c r="AL118" s="34" t="str">
        <x:v>P1</x:v>
      </x:c>
      <x:c r="AM118" s="34" t="str">
        <x:v>PORT-7ED23B40E316</x:v>
      </x:c>
      <x:c r="AN118" s="34" t="n">
        <x:v>1000</x:v>
      </x:c>
      <x:c r="AO118" s="34" t="n">
        <x:v>33.399682</x:v>
      </x:c>
      <x:c r="AP118" s="34" t="n">
        <x:v>12.620628</x:v>
      </x:c>
      <x:c r="AQ118" s="34" t="n">
        <x:v>414.904229</x:v>
      </x:c>
      <x:c r="AR118" s="34" t="n">
        <x:v>13238.755</x:v>
      </x:c>
      <x:c r="AS118" s="34" t="n">
        <x:v>31.907979</x:v>
      </x:c>
      <x:c r="AT118" s="40" t="b">
        <x:v>1</x:v>
      </x:c>
      <x:c r="AU118" s="40" t="b">
        <x:v>0</x:v>
      </x:c>
      <x:c r="AV118" s="34" t="str"/>
      <x:c r="AW118" s="34" t="n">
        <x:v>0</x:v>
      </x:c>
      <x:c r="AX118" s="34" t="str">
        <x:v>2.0275124185786808e-05</x:v>
      </x:c>
      <x:c r="AY118" s="40" t="b">
        <x:v>0</x:v>
      </x:c>
      <x:c r="AZ118" s="40" t="b">
        <x:v>0</x:v>
      </x:c>
      <x:c r="BA118" s="40" t="b">
        <x:v>1</x:v>
      </x:c>
      <x:c r="BB118" s="40" t="b">
        <x:v>1</x:v>
      </x:c>
      <x:c r="BC118" s="34" t="n">
        <x:v>2035</x:v>
      </x:c>
      <x:c r="BD118" s="34" t="n">
        <x:v>4.530597659999998</x:v>
      </x:c>
      <x:c r="BE118" s="34" t="n">
        <x:v>0</x:v>
      </x:c>
      <x:c r="BF118" s="34" t="n">
        <x:v>0</x:v>
      </x:c>
      <x:c r="BG118" s="34" t="n">
        <x:v>2</x:v>
      </x:c>
      <x:c r="BH118" s="34" t="n">
        <x:v>3</x:v>
      </x:c>
      <x:c r="BI118" s="34" t="n">
        <x:v>0.3934020479999999</x:v>
      </x:c>
      <x:c r="BJ118" s="34" t="n">
        <x:v>0.65</x:v>
      </x:c>
      <x:c r="BK118" s="34" t="n">
        <x:v>1.54</x:v>
      </x:c>
    </x:row>
    <x:row r="119">
      <x:c r="A119" s="34" t="str">
        <x:v>POSCO_KR</x:v>
      </x:c>
      <x:c r="B119" s="34" t="str">
        <x:v>POSCO</x:v>
      </x:c>
      <x:c r="C119" s="34" t="str">
        <x:v>DISCLOSED_PATH</x:v>
      </x:c>
      <x:c r="D119" s="34" t="str">
        <x:v>P1</x:v>
      </x:c>
      <x:c r="E119" s="34" t="str">
        <x:v>POS-GWY-EAF</x:v>
      </x:c>
      <x:c r="F119" s="34" t="str">
        <x:v>광양 기존 EAF 블록</x:v>
      </x:c>
      <x:c r="G119" s="34" t="str">
        <x:v>광양</x:v>
      </x:c>
      <x:c r="H119" s="34" t="n">
        <x:v>2033</x:v>
      </x:c>
      <x:c r="I119" s="34" t="str">
        <x:v>EAF_BASELINE</x:v>
      </x:c>
      <x:c r="J119" s="34" t="str">
        <x:v>기존 전기로 기준 블록</x:v>
      </x:c>
      <x:c r="K119" s="34" t="str">
        <x:v>EAF_RENEWABLE</x:v>
      </x:c>
      <x:c r="L119" s="34" t="str">
        <x:v>기존 EAF 재생전력 업그레이드</x:v>
      </x:c>
      <x:c r="M119" s="34" t="n">
        <x:v>312</x:v>
      </x:c>
      <x:c r="N119" s="34" t="n">
        <x:v>96</x:v>
      </x:c>
      <x:c r="O119" s="34" t="n">
        <x:v>1.2</x:v>
      </x:c>
      <x:c r="P119" s="34" t="n">
        <x:v>1.134</x:v>
      </x:c>
      <x:c r="Q119" s="34" t="n">
        <x:v>0.5103</x:v>
      </x:c>
      <x:c r="R119" s="34" t="n">
        <x:v>0.5103</x:v>
      </x:c>
      <x:c r="S119" s="34" t="n">
        <x:v>0.1134</x:v>
      </x:c>
      <x:c r="T119" s="34" t="n">
        <x:v>0.1134</x:v>
      </x:c>
      <x:c r="U119" s="34" t="n">
        <x:v>0.3969</x:v>
      </x:c>
      <x:c r="V119" s="34" t="n">
        <x:v>3.1752</x:v>
      </x:c>
      <x:c r="W119" s="34" t="n">
        <x:v>0.246</x:v>
      </x:c>
      <x:c r="X119" s="34" t="n">
        <x:v>6.255</x:v>
      </x:c>
      <x:c r="Y119" s="34" t="n">
        <x:v>115.773</x:v>
      </x:c>
      <x:c r="Z119" s="34" t="n">
        <x:v>109.517</x:v>
      </x:c>
      <x:c r="AA119" s="34" t="n">
        <x:v>115.527</x:v>
      </x:c>
      <x:c r="AB119" s="34" t="n">
        <x:v>-6.009</x:v>
      </x:c>
      <x:c r="AC119" s="34" t="n">
        <x:v>62.553</x:v>
      </x:c>
      <x:c r="AD119" s="34" t="n">
        <x:v>14.814</x:v>
      </x:c>
      <x:c r="AE119" s="34" t="n">
        <x:v>38.405</x:v>
      </x:c>
      <x:c r="AF119" s="34" t="n">
        <x:v>0</x:v>
      </x:c>
      <x:c r="AG119" s="34" t="n">
        <x:v>0</x:v>
      </x:c>
      <x:c r="AH119" s="34" t="n">
        <x:v>-115.527</x:v>
      </x:c>
      <x:c r="AI119" s="34" t="str">
        <x:v>model_estimate</x:v>
      </x:c>
      <x:c r="AJ119" s="34" t="str">
        <x:v>2025 공식 EAF 생산 1.135Mt에 맞춘 모델 블록; 집약도·재투자연도 추정</x:v>
      </x:c>
      <x:c r="AK119" s="34" t="str">
        <x:v>CAND-7BC738434560A6</x:v>
      </x:c>
      <x:c r="AL119" s="34" t="str">
        <x:v>P1</x:v>
      </x:c>
      <x:c r="AM119" s="34" t="str">
        <x:v>PORT-7ED23B40E316</x:v>
      </x:c>
      <x:c r="AN119" s="34" t="n">
        <x:v>1000</x:v>
      </x:c>
      <x:c r="AO119" s="34" t="n">
        <x:v>33.399682</x:v>
      </x:c>
      <x:c r="AP119" s="34" t="n">
        <x:v>12.620628</x:v>
      </x:c>
      <x:c r="AQ119" s="34" t="n">
        <x:v>414.904229</x:v>
      </x:c>
      <x:c r="AR119" s="34" t="n">
        <x:v>13238.755</x:v>
      </x:c>
      <x:c r="AS119" s="34" t="n">
        <x:v>31.907979</x:v>
      </x:c>
      <x:c r="AT119" s="40" t="b">
        <x:v>1</x:v>
      </x:c>
      <x:c r="AU119" s="40" t="b">
        <x:v>0</x:v>
      </x:c>
      <x:c r="AV119" s="34" t="str"/>
      <x:c r="AW119" s="34" t="n">
        <x:v>0</x:v>
      </x:c>
      <x:c r="AX119" s="34" t="str">
        <x:v>2.0275124185786808e-05</x:v>
      </x:c>
      <x:c r="AY119" s="40" t="b">
        <x:v>0</x:v>
      </x:c>
      <x:c r="AZ119" s="40" t="b">
        <x:v>0</x:v>
      </x:c>
      <x:c r="BA119" s="40" t="b">
        <x:v>1</x:v>
      </x:c>
      <x:c r="BB119" s="40" t="b">
        <x:v>1</x:v>
      </x:c>
      <x:c r="BC119" s="34" t="n">
        <x:v>2035</x:v>
      </x:c>
      <x:c r="BD119" s="34" t="n">
        <x:v>4.530597659999998</x:v>
      </x:c>
      <x:c r="BE119" s="34" t="n">
        <x:v>0</x:v>
      </x:c>
      <x:c r="BF119" s="34" t="n">
        <x:v>0</x:v>
      </x:c>
      <x:c r="BG119" s="34" t="n">
        <x:v>2</x:v>
      </x:c>
      <x:c r="BH119" s="34" t="n">
        <x:v>3</x:v>
      </x:c>
      <x:c r="BI119" s="34" t="n">
        <x:v>0.3934020479999999</x:v>
      </x:c>
      <x:c r="BJ119" s="34" t="n">
        <x:v>0.65</x:v>
      </x:c>
      <x:c r="BK119" s="34" t="n">
        <x:v>1.54</x:v>
      </x:c>
    </x:row>
    <x:row r="120">
      <x:c r="A120" s="34" t="str">
        <x:v>POSCO_KR</x:v>
      </x:c>
      <x:c r="B120" s="34" t="str">
        <x:v>POSCO</x:v>
      </x:c>
      <x:c r="C120" s="34" t="str">
        <x:v>DISCLOSED_PATH</x:v>
      </x:c>
      <x:c r="D120" s="34" t="str">
        <x:v>P1</x:v>
      </x:c>
      <x:c r="E120" s="34" t="str">
        <x:v>POS-GWY-W</x:v>
      </x:c>
      <x:c r="F120" s="34" t="str">
        <x:v>광양제철소 BF 블록 A</x:v>
      </x:c>
      <x:c r="G120" s="34" t="str">
        <x:v>광양</x:v>
      </x:c>
      <x:c r="H120" s="34" t="n">
        <x:v>2035</x:v>
      </x:c>
      <x:c r="I120" s="34" t="str">
        <x:v>BF_BOF</x:v>
      </x:c>
      <x:c r="J120" s="34" t="str">
        <x:v>기준 BF-BOF 복합 블록</x:v>
      </x:c>
      <x:c r="K120" s="34" t="str">
        <x:v>SCRAP_EAF</x:v>
      </x:c>
      <x:c r="L120" s="34" t="str">
        <x:v>스크랩 기반 대형 EAF</x:v>
      </x:c>
      <x:c r="M120" s="34" t="n">
        <x:v>5768</x:v>
      </x:c>
      <x:c r="N120" s="34" t="n">
        <x:v>3708</x:v>
      </x:c>
      <x:c r="O120" s="34" t="n">
        <x:v>10.3</x:v>
      </x:c>
      <x:c r="P120" s="34" t="n">
        <x:v>9.499999</x:v>
      </x:c>
      <x:c r="Q120" s="34" t="n">
        <x:v>19.719471</x:v>
      </x:c>
      <x:c r="R120" s="34" t="n">
        <x:v>19.719471</x:v>
      </x:c>
      <x:c r="S120" s="34" t="n">
        <x:v>4.275</x:v>
      </x:c>
      <x:c r="T120" s="34" t="n">
        <x:v>4.275</x:v>
      </x:c>
      <x:c r="U120" s="34" t="n">
        <x:v>15.444471</x:v>
      </x:c>
      <x:c r="V120" s="34" t="n">
        <x:v>92.666828</x:v>
      </x:c>
      <x:c r="W120" s="34" t="n">
        <x:v>1274.002</x:v>
      </x:c>
      <x:c r="X120" s="34" t="n">
        <x:v>325.616</x:v>
      </x:c>
      <x:c r="Y120" s="34" t="n">
        <x:v>4627.949</x:v>
      </x:c>
      <x:c r="Z120" s="34" t="n">
        <x:v>4302.332</x:v>
      </x:c>
      <x:c r="AA120" s="34" t="n">
        <x:v>3353.947</x:v>
      </x:c>
      <x:c r="AB120" s="34" t="n">
        <x:v>948.385</x:v>
      </x:c>
      <x:c r="AC120" s="34" t="n">
        <x:v>2170.777</x:v>
      </x:c>
      <x:c r="AD120" s="34" t="n">
        <x:v>263.8</x:v>
      </x:c>
      <x:c r="AE120" s="34" t="n">
        <x:v>2193.372</x:v>
      </x:c>
      <x:c r="AF120" s="34" t="n">
        <x:v>0</x:v>
      </x:c>
      <x:c r="AG120" s="34" t="n">
        <x:v>0</x:v>
      </x:c>
      <x:c r="AH120" s="34" t="n">
        <x:v>-3353.947</x:v>
      </x:c>
      <x:c r="AI120" s="34" t="str">
        <x:v>model_estimate</x:v>
      </x:c>
      <x:c r="AJ120" s="34" t="str">
        <x:v>POSCO 공식 국내 생산·배출 총량에 맞춘 설비 블록 배분; 개별 생산량·재투자연도는 추정</x:v>
      </x:c>
      <x:c r="AK120" s="34" t="str">
        <x:v>CAND-7BC738434560A6</x:v>
      </x:c>
      <x:c r="AL120" s="34" t="str">
        <x:v>P1</x:v>
      </x:c>
      <x:c r="AM120" s="34" t="str">
        <x:v>PORT-7ED23B40E316</x:v>
      </x:c>
      <x:c r="AN120" s="34" t="n">
        <x:v>1000</x:v>
      </x:c>
      <x:c r="AO120" s="34" t="n">
        <x:v>33.399682</x:v>
      </x:c>
      <x:c r="AP120" s="34" t="n">
        <x:v>12.620628</x:v>
      </x:c>
      <x:c r="AQ120" s="34" t="n">
        <x:v>414.904229</x:v>
      </x:c>
      <x:c r="AR120" s="34" t="n">
        <x:v>13238.755</x:v>
      </x:c>
      <x:c r="AS120" s="34" t="n">
        <x:v>31.907979</x:v>
      </x:c>
      <x:c r="AT120" s="40" t="b">
        <x:v>1</x:v>
      </x:c>
      <x:c r="AU120" s="40" t="b">
        <x:v>0</x:v>
      </x:c>
      <x:c r="AV120" s="34" t="str"/>
      <x:c r="AW120" s="34" t="n">
        <x:v>0</x:v>
      </x:c>
      <x:c r="AX120" s="34" t="str">
        <x:v>2.0275124185786808e-05</x:v>
      </x:c>
      <x:c r="AY120" s="40" t="b">
        <x:v>0</x:v>
      </x:c>
      <x:c r="AZ120" s="40" t="b">
        <x:v>0</x:v>
      </x:c>
      <x:c r="BA120" s="40" t="b">
        <x:v>1</x:v>
      </x:c>
      <x:c r="BB120" s="40" t="b">
        <x:v>1</x:v>
      </x:c>
      <x:c r="BC120" s="34" t="n">
        <x:v>2035</x:v>
      </x:c>
      <x:c r="BD120" s="34" t="n">
        <x:v>4.530597659999998</x:v>
      </x:c>
      <x:c r="BE120" s="34" t="n">
        <x:v>0</x:v>
      </x:c>
      <x:c r="BF120" s="34" t="n">
        <x:v>0</x:v>
      </x:c>
      <x:c r="BG120" s="34" t="n">
        <x:v>2</x:v>
      </x:c>
      <x:c r="BH120" s="34" t="n">
        <x:v>3</x:v>
      </x:c>
      <x:c r="BI120" s="34" t="n">
        <x:v>0.3934020479999999</x:v>
      </x:c>
      <x:c r="BJ120" s="34" t="n">
        <x:v>0.65</x:v>
      </x:c>
      <x:c r="BK120" s="34" t="n">
        <x:v>1.54</x:v>
      </x:c>
    </x:row>
    <x:row r="121">
      <x:c r="A121" s="34" t="str">
        <x:v>POSCO_KR</x:v>
      </x:c>
      <x:c r="B121" s="34" t="str">
        <x:v>POSCO</x:v>
      </x:c>
      <x:c r="C121" s="34" t="str">
        <x:v>DISCLOSED_PATH</x:v>
      </x:c>
      <x:c r="D121" s="34" t="str">
        <x:v>P1</x:v>
      </x:c>
      <x:c r="E121" s="34" t="str">
        <x:v>POS-POH-N</x:v>
      </x:c>
      <x:c r="F121" s="34" t="str">
        <x:v>포항제철소 BF 블록 A</x:v>
      </x:c>
      <x:c r="G121" s="34" t="str">
        <x:v>포항</x:v>
      </x:c>
      <x:c r="H121" s="34" t="n">
        <x:v>2029</x:v>
      </x:c>
      <x:c r="I121" s="34" t="str">
        <x:v>BF_BOF</x:v>
      </x:c>
      <x:c r="J121" s="34" t="str">
        <x:v>기준 BF-BOF 복합 블록</x:v>
      </x:c>
      <x:c r="K121" s="34" t="str">
        <x:v>SCRAP_EAF</x:v>
      </x:c>
      <x:c r="L121" s="34" t="str">
        <x:v>스크랩 기반 대형 EAF</x:v>
      </x:c>
      <x:c r="M121" s="34" t="n">
        <x:v>4592</x:v>
      </x:c>
      <x:c r="N121" s="34" t="n">
        <x:v>2952</x:v>
      </x:c>
      <x:c r="O121" s="34" t="n">
        <x:v>8.2</x:v>
      </x:c>
      <x:c r="P121" s="34" t="n">
        <x:v>7.599998</x:v>
      </x:c>
      <x:c r="Q121" s="34" t="n">
        <x:v>15.775574</x:v>
      </x:c>
      <x:c r="R121" s="34" t="n">
        <x:v>3.419999</x:v>
      </x:c>
      <x:c r="S121" s="34" t="n">
        <x:v>3.419999</x:v>
      </x:c>
      <x:c r="T121" s="34" t="n">
        <x:v>3.419999</x:v>
      </x:c>
      <x:c r="U121" s="34" t="n">
        <x:v>12.355575</x:v>
      </x:c>
      <x:c r="V121" s="34" t="n">
        <x:v>148.266898</x:v>
      </x:c>
      <x:c r="W121" s="34" t="n">
        <x:v>1376.259</x:v>
      </x:c>
      <x:c r="X121" s="34" t="n">
        <x:v>357.436</x:v>
      </x:c>
      <x:c r="Y121" s="34" t="n">
        <x:v>6763.368</x:v>
      </x:c>
      <x:c r="Z121" s="34" t="n">
        <x:v>6405.932</x:v>
      </x:c>
      <x:c r="AA121" s="34" t="n">
        <x:v>5387.108</x:v>
      </x:c>
      <x:c r="AB121" s="34" t="n">
        <x:v>1018.824</x:v>
      </x:c>
      <x:c r="AC121" s="34" t="n">
        <x:v>2382.904</x:v>
      </x:c>
      <x:c r="AD121" s="34" t="n">
        <x:v>446.25</x:v>
      </x:c>
      <x:c r="AE121" s="34" t="n">
        <x:v>3934.214</x:v>
      </x:c>
      <x:c r="AF121" s="34" t="n">
        <x:v>0</x:v>
      </x:c>
      <x:c r="AG121" s="34" t="n">
        <x:v>0</x:v>
      </x:c>
      <x:c r="AH121" s="34" t="n">
        <x:v>-5387.108</x:v>
      </x:c>
      <x:c r="AI121" s="34" t="str">
        <x:v>model_estimate</x:v>
      </x:c>
      <x:c r="AJ121" s="34" t="str">
        <x:v>POSCO 공식 국내 생산·배출 총량에 맞춘 설비 블록 배분; 개별 생산량·재투자연도는 추정</x:v>
      </x:c>
      <x:c r="AK121" s="34" t="str">
        <x:v>CAND-7BC738434560A6</x:v>
      </x:c>
      <x:c r="AL121" s="34" t="str">
        <x:v>P1</x:v>
      </x:c>
      <x:c r="AM121" s="34" t="str">
        <x:v>PORT-7ED23B40E316</x:v>
      </x:c>
      <x:c r="AN121" s="34" t="n">
        <x:v>1000</x:v>
      </x:c>
      <x:c r="AO121" s="34" t="n">
        <x:v>33.399682</x:v>
      </x:c>
      <x:c r="AP121" s="34" t="n">
        <x:v>12.620628</x:v>
      </x:c>
      <x:c r="AQ121" s="34" t="n">
        <x:v>414.904229</x:v>
      </x:c>
      <x:c r="AR121" s="34" t="n">
        <x:v>13238.755</x:v>
      </x:c>
      <x:c r="AS121" s="34" t="n">
        <x:v>31.907979</x:v>
      </x:c>
      <x:c r="AT121" s="40" t="b">
        <x:v>1</x:v>
      </x:c>
      <x:c r="AU121" s="40" t="b">
        <x:v>0</x:v>
      </x:c>
      <x:c r="AV121" s="34" t="str"/>
      <x:c r="AW121" s="34" t="n">
        <x:v>0</x:v>
      </x:c>
      <x:c r="AX121" s="34" t="str">
        <x:v>2.0275124185786808e-05</x:v>
      </x:c>
      <x:c r="AY121" s="40" t="b">
        <x:v>0</x:v>
      </x:c>
      <x:c r="AZ121" s="40" t="b">
        <x:v>0</x:v>
      </x:c>
      <x:c r="BA121" s="40" t="b">
        <x:v>1</x:v>
      </x:c>
      <x:c r="BB121" s="40" t="b">
        <x:v>1</x:v>
      </x:c>
      <x:c r="BC121" s="34" t="n">
        <x:v>2035</x:v>
      </x:c>
      <x:c r="BD121" s="34" t="n">
        <x:v>4.530597659999998</x:v>
      </x:c>
      <x:c r="BE121" s="34" t="n">
        <x:v>0</x:v>
      </x:c>
      <x:c r="BF121" s="34" t="n">
        <x:v>0</x:v>
      </x:c>
      <x:c r="BG121" s="34" t="n">
        <x:v>2</x:v>
      </x:c>
      <x:c r="BH121" s="34" t="n">
        <x:v>3</x:v>
      </x:c>
      <x:c r="BI121" s="34" t="n">
        <x:v>0.3934020479999999</x:v>
      </x:c>
      <x:c r="BJ121" s="34" t="n">
        <x:v>0.65</x:v>
      </x:c>
      <x:c r="BK121" s="34" t="n">
        <x:v>1.54</x:v>
      </x:c>
    </x:row>
    <x:row r="122">
      <x:c r="A122" s="34" t="str">
        <x:v>POSCO_KR</x:v>
      </x:c>
      <x:c r="B122" s="34" t="str">
        <x:v>POSCO</x:v>
      </x:c>
      <x:c r="C122" s="34" t="str">
        <x:v>DISCLOSED_PATH</x:v>
      </x:c>
      <x:c r="D122" s="34" t="str">
        <x:v>P1</x:v>
      </x:c>
      <x:c r="E122" s="34" t="str">
        <x:v>POS-POH-S</x:v>
      </x:c>
      <x:c r="F122" s="34" t="str">
        <x:v>포항제철소 BF 블록 B</x:v>
      </x:c>
      <x:c r="G122" s="34" t="str">
        <x:v>포항</x:v>
      </x:c>
      <x:c r="H122" s="34" t="n">
        <x:v>2032</x:v>
      </x:c>
      <x:c r="I122" s="34" t="str">
        <x:v>BF_BOF</x:v>
      </x:c>
      <x:c r="J122" s="34" t="str">
        <x:v>기준 BF-BOF 복합 블록</x:v>
      </x:c>
      <x:c r="K122" s="34" t="str">
        <x:v>SCRAP_EAF</x:v>
      </x:c>
      <x:c r="L122" s="34" t="str">
        <x:v>스크랩 기반 대형 EAF</x:v>
      </x:c>
      <x:c r="M122" s="34" t="n">
        <x:v>4144</x:v>
      </x:c>
      <x:c r="N122" s="34" t="n">
        <x:v>2664</x:v>
      </x:c>
      <x:c r="O122" s="34" t="n">
        <x:v>7.4</x:v>
      </x:c>
      <x:c r="P122" s="34" t="n">
        <x:v>6.800001</x:v>
      </x:c>
      <x:c r="Q122" s="34" t="n">
        <x:v>14.114992</x:v>
      </x:c>
      <x:c r="R122" s="34" t="n">
        <x:v>14.114992</x:v>
      </x:c>
      <x:c r="S122" s="34" t="n">
        <x:v>3.06</x:v>
      </x:c>
      <x:c r="T122" s="34" t="n">
        <x:v>3.06</x:v>
      </x:c>
      <x:c r="U122" s="34" t="n">
        <x:v>11.054992</x:v>
      </x:c>
      <x:c r="V122" s="34" t="n">
        <x:v>99.49493</x:v>
      </x:c>
      <x:c r="W122" s="34" t="n">
        <x:v>952.763</x:v>
      </x:c>
      <x:c r="X122" s="34" t="n">
        <x:v>274.7</x:v>
      </x:c>
      <x:c r="Y122" s="34" t="n">
        <x:v>4577.525</x:v>
      </x:c>
      <x:c r="Z122" s="34" t="n">
        <x:v>4302.826</x:v>
      </x:c>
      <x:c r="AA122" s="34" t="n">
        <x:v>3624.763</x:v>
      </x:c>
      <x:c r="AB122" s="34" t="n">
        <x:v>678.063</x:v>
      </x:c>
      <x:c r="AC122" s="34" t="n">
        <x:v>1831.332</x:v>
      </x:c>
      <x:c r="AD122" s="34" t="n">
        <x:v>274.288</x:v>
      </x:c>
      <x:c r="AE122" s="34" t="n">
        <x:v>2471.906</x:v>
      </x:c>
      <x:c r="AF122" s="34" t="n">
        <x:v>0</x:v>
      </x:c>
      <x:c r="AG122" s="34" t="n">
        <x:v>0</x:v>
      </x:c>
      <x:c r="AH122" s="34" t="n">
        <x:v>-3624.763</x:v>
      </x:c>
      <x:c r="AI122" s="34" t="str">
        <x:v>model_estimate</x:v>
      </x:c>
      <x:c r="AJ122" s="34" t="str">
        <x:v>POSCO 공식 국내 생산·배출 총량에 맞춘 설비 블록 배분; 개별 생산량·재투자연도는 추정</x:v>
      </x:c>
      <x:c r="AK122" s="34" t="str">
        <x:v>CAND-7BC738434560A6</x:v>
      </x:c>
      <x:c r="AL122" s="34" t="str">
        <x:v>P1</x:v>
      </x:c>
      <x:c r="AM122" s="34" t="str">
        <x:v>PORT-7ED23B40E316</x:v>
      </x:c>
      <x:c r="AN122" s="34" t="n">
        <x:v>1000</x:v>
      </x:c>
      <x:c r="AO122" s="34" t="n">
        <x:v>33.399682</x:v>
      </x:c>
      <x:c r="AP122" s="34" t="n">
        <x:v>12.620628</x:v>
      </x:c>
      <x:c r="AQ122" s="34" t="n">
        <x:v>414.904229</x:v>
      </x:c>
      <x:c r="AR122" s="34" t="n">
        <x:v>13238.755</x:v>
      </x:c>
      <x:c r="AS122" s="34" t="n">
        <x:v>31.907979</x:v>
      </x:c>
      <x:c r="AT122" s="40" t="b">
        <x:v>1</x:v>
      </x:c>
      <x:c r="AU122" s="40" t="b">
        <x:v>0</x:v>
      </x:c>
      <x:c r="AV122" s="34" t="str"/>
      <x:c r="AW122" s="34" t="n">
        <x:v>0</x:v>
      </x:c>
      <x:c r="AX122" s="34" t="str">
        <x:v>2.0275124185786808e-05</x:v>
      </x:c>
      <x:c r="AY122" s="40" t="b">
        <x:v>0</x:v>
      </x:c>
      <x:c r="AZ122" s="40" t="b">
        <x:v>0</x:v>
      </x:c>
      <x:c r="BA122" s="40" t="b">
        <x:v>1</x:v>
      </x:c>
      <x:c r="BB122" s="40" t="b">
        <x:v>1</x:v>
      </x:c>
      <x:c r="BC122" s="34" t="n">
        <x:v>2035</x:v>
      </x:c>
      <x:c r="BD122" s="34" t="n">
        <x:v>4.530597659999998</x:v>
      </x:c>
      <x:c r="BE122" s="34" t="n">
        <x:v>0</x:v>
      </x:c>
      <x:c r="BF122" s="34" t="n">
        <x:v>0</x:v>
      </x:c>
      <x:c r="BG122" s="34" t="n">
        <x:v>2</x:v>
      </x:c>
      <x:c r="BH122" s="34" t="n">
        <x:v>3</x:v>
      </x:c>
      <x:c r="BI122" s="34" t="n">
        <x:v>0.3934020479999999</x:v>
      </x:c>
      <x:c r="BJ122" s="34" t="n">
        <x:v>0.65</x:v>
      </x:c>
      <x:c r="BK122" s="34" t="n">
        <x:v>1.54</x:v>
      </x:c>
    </x:row>
    <x:row r="123">
      <x:c r="A123" s="34" t="str">
        <x:v>POSCO_KR</x:v>
      </x:c>
      <x:c r="B123" s="34" t="str">
        <x:v>POSCO</x:v>
      </x:c>
      <x:c r="C123" s="34" t="str">
        <x:v>ACCELERATED_15C</x:v>
      </x:c>
      <x:c r="D123" s="34" t="str">
        <x:v>P1</x:v>
      </x:c>
      <x:c r="E123" s="34" t="str">
        <x:v>POS-GWY-E</x:v>
      </x:c>
      <x:c r="F123" s="34" t="str">
        <x:v>광양제철소 BF 블록 B</x:v>
      </x:c>
      <x:c r="G123" s="34" t="str">
        <x:v>광양</x:v>
      </x:c>
      <x:c r="H123" s="34" t="n">
        <x:v>2037</x:v>
      </x:c>
      <x:c r="I123" s="34" t="str">
        <x:v>BF_BOF</x:v>
      </x:c>
      <x:c r="J123" s="34" t="str">
        <x:v>기준 BF-BOF 복합 블록</x:v>
      </x:c>
      <x:c r="K123" s="34" t="str">
        <x:v>H2_DRI_EAF</x:v>
      </x:c>
      <x:c r="L123" s="34" t="str">
        <x:v>수소 DRI + EAF</x:v>
      </x:c>
      <x:c r="M123" s="34" t="n">
        <x:v>9270</x:v>
      </x:c>
      <x:c r="N123" s="34" t="n">
        <x:v>7210</x:v>
      </x:c>
      <x:c r="O123" s="34" t="n">
        <x:v>10.3</x:v>
      </x:c>
      <x:c r="P123" s="34" t="n">
        <x:v>9.502996</x:v>
      </x:c>
      <x:c r="Q123" s="34" t="n">
        <x:v>19.725693</x:v>
      </x:c>
      <x:c r="R123" s="34" t="n">
        <x:v>19.725693</x:v>
      </x:c>
      <x:c r="S123" s="34" t="n">
        <x:v>1.900599</x:v>
      </x:c>
      <x:c r="T123" s="34" t="n">
        <x:v>1.900599</x:v>
      </x:c>
      <x:c r="U123" s="34" t="n">
        <x:v>17.825093</x:v>
      </x:c>
      <x:c r="V123" s="34" t="n">
        <x:v>71.300373</x:v>
      </x:c>
      <x:c r="W123" s="34" t="n">
        <x:v>11228.957</x:v>
      </x:c>
      <x:c r="X123" s="34" t="n">
        <x:v>1137.698</x:v>
      </x:c>
      <x:c r="Y123" s="34" t="n">
        <x:v>15016.511</x:v>
      </x:c>
      <x:c r="Z123" s="34" t="n">
        <x:v>13878.813</x:v>
      </x:c>
      <x:c r="AA123" s="34" t="n">
        <x:v>3787.555</x:v>
      </x:c>
      <x:c r="AB123" s="34" t="n">
        <x:v>10091.259</x:v>
      </x:c>
      <x:c r="AC123" s="34" t="n">
        <x:v>3792.327</x:v>
      </x:c>
      <x:c r="AD123" s="34" t="n">
        <x:v>295.74</x:v>
      </x:c>
      <x:c r="AE123" s="34" t="n">
        <x:v>1311.15</x:v>
      </x:c>
      <x:c r="AF123" s="34" t="n">
        <x:v>9617.294</x:v>
      </x:c>
      <x:c r="AG123" s="34" t="n">
        <x:v>0</x:v>
      </x:c>
      <x:c r="AH123" s="34" t="n">
        <x:v>-3787.555</x:v>
      </x:c>
      <x:c r="AI123" s="34" t="str">
        <x:v>model_estimate</x:v>
      </x:c>
      <x:c r="AJ123" s="34" t="str">
        <x:v>POSCO 공식 국내 생산·배출 총량에 맞춘 설비 블록 배분; 개별 생산량·재투자연도는 추정</x:v>
      </x:c>
      <x:c r="AK123" s="34" t="str">
        <x:v>CAND-7BC738434560A6</x:v>
      </x:c>
      <x:c r="AL123" s="34" t="str">
        <x:v>P1</x:v>
      </x:c>
      <x:c r="AM123" s="34" t="str">
        <x:v>PORT-7ED23B40E316</x:v>
      </x:c>
      <x:c r="AN123" s="34" t="n">
        <x:v>1000</x:v>
      </x:c>
      <x:c r="AO123" s="34" t="n">
        <x:v>19.912146</x:v>
      </x:c>
      <x:c r="AP123" s="34" t="n">
        <x:v>13.917368</x:v>
      </x:c>
      <x:c r="AQ123" s="34" t="n">
        <x:v>414.904229</x:v>
      </x:c>
      <x:c r="AR123" s="34" t="n">
        <x:v>7673.246</x:v>
      </x:c>
      <x:c r="AS123" s="34" t="n">
        <x:v>18.494018</x:v>
      </x:c>
      <x:c r="AT123" s="40" t="b">
        <x:v>1</x:v>
      </x:c>
      <x:c r="AU123" s="40" t="b">
        <x:v>1</x:v>
      </x:c>
      <x:c r="AV123" s="34" t="str"/>
      <x:c r="AW123" s="34" t="n">
        <x:v>0</x:v>
      </x:c>
      <x:c r="AX123" s="34" t="str">
        <x:v>2.0275124185786808e-05</x:v>
      </x:c>
      <x:c r="AY123" s="40" t="b">
        <x:v>1</x:v>
      </x:c>
      <x:c r="AZ123" s="40" t="b">
        <x:v>1</x:v>
      </x:c>
      <x:c r="BA123" s="40" t="b">
        <x:v>1</x:v>
      </x:c>
      <x:c r="BB123" s="40" t="b">
        <x:v>1</x:v>
      </x:c>
      <x:c r="BC123" s="34" t="str"/>
      <x:c r="BD123" s="34" t="n">
        <x:v>0</x:v>
      </x:c>
      <x:c r="BE123" s="34" t="n">
        <x:v>0</x:v>
      </x:c>
      <x:c r="BF123" s="34" t="n">
        <x:v>0</x:v>
      </x:c>
      <x:c r="BG123" s="34" t="n">
        <x:v>2</x:v>
      </x:c>
      <x:c r="BH123" s="34" t="n">
        <x:v>3</x:v>
      </x:c>
      <x:c r="BI123" s="34" t="n">
        <x:v>0.3934020479999999</x:v>
      </x:c>
      <x:c r="BJ123" s="34" t="n">
        <x:v>0.65</x:v>
      </x:c>
      <x:c r="BK123" s="34" t="n">
        <x:v>1.54</x:v>
      </x:c>
    </x:row>
    <x:row r="124">
      <x:c r="A124" s="34" t="str">
        <x:v>POSCO_KR</x:v>
      </x:c>
      <x:c r="B124" s="34" t="str">
        <x:v>POSCO</x:v>
      </x:c>
      <x:c r="C124" s="34" t="str">
        <x:v>ACCELERATED_15C</x:v>
      </x:c>
      <x:c r="D124" s="34" t="str">
        <x:v>P1</x:v>
      </x:c>
      <x:c r="E124" s="34" t="str">
        <x:v>POS-GWY-EAF</x:v>
      </x:c>
      <x:c r="F124" s="34" t="str">
        <x:v>광양 기존 EAF 블록</x:v>
      </x:c>
      <x:c r="G124" s="34" t="str">
        <x:v>광양</x:v>
      </x:c>
      <x:c r="H124" s="34" t="n">
        <x:v>2033</x:v>
      </x:c>
      <x:c r="I124" s="34" t="str">
        <x:v>EAF_BASELINE</x:v>
      </x:c>
      <x:c r="J124" s="34" t="str">
        <x:v>기존 전기로 기준 블록</x:v>
      </x:c>
      <x:c r="K124" s="34" t="str">
        <x:v>EAF_RENEWABLE</x:v>
      </x:c>
      <x:c r="L124" s="34" t="str">
        <x:v>기존 EAF 재생전력 업그레이드</x:v>
      </x:c>
      <x:c r="M124" s="34" t="n">
        <x:v>312</x:v>
      </x:c>
      <x:c r="N124" s="34" t="n">
        <x:v>96</x:v>
      </x:c>
      <x:c r="O124" s="34" t="n">
        <x:v>1.2</x:v>
      </x:c>
      <x:c r="P124" s="34" t="n">
        <x:v>1.134</x:v>
      </x:c>
      <x:c r="Q124" s="34" t="n">
        <x:v>0.5103</x:v>
      </x:c>
      <x:c r="R124" s="34" t="n">
        <x:v>0.5103</x:v>
      </x:c>
      <x:c r="S124" s="34" t="n">
        <x:v>0.1134</x:v>
      </x:c>
      <x:c r="T124" s="34" t="n">
        <x:v>0.1134</x:v>
      </x:c>
      <x:c r="U124" s="34" t="n">
        <x:v>0.3969</x:v>
      </x:c>
      <x:c r="V124" s="34" t="n">
        <x:v>3.1752</x:v>
      </x:c>
      <x:c r="W124" s="34" t="n">
        <x:v>-49.178</x:v>
      </x:c>
      <x:c r="X124" s="34" t="n">
        <x:v>9.383</x:v>
      </x:c>
      <x:c r="Y124" s="34" t="n">
        <x:v>120.354</x:v>
      </x:c>
      <x:c r="Z124" s="34" t="n">
        <x:v>110.971</x:v>
      </x:c>
      <x:c r="AA124" s="34" t="n">
        <x:v>169.532</x:v>
      </x:c>
      <x:c r="AB124" s="34" t="n">
        <x:v>-58.561</x:v>
      </x:c>
      <x:c r="AC124" s="34" t="n">
        <x:v>62.553</x:v>
      </x:c>
      <x:c r="AD124" s="34" t="n">
        <x:v>14.814</x:v>
      </x:c>
      <x:c r="AE124" s="34" t="n">
        <x:v>42.986</x:v>
      </x:c>
      <x:c r="AF124" s="34" t="n">
        <x:v>0</x:v>
      </x:c>
      <x:c r="AG124" s="34" t="n">
        <x:v>0</x:v>
      </x:c>
      <x:c r="AH124" s="34" t="n">
        <x:v>-169.532</x:v>
      </x:c>
      <x:c r="AI124" s="34" t="str">
        <x:v>model_estimate</x:v>
      </x:c>
      <x:c r="AJ124" s="34" t="str">
        <x:v>2025 공식 EAF 생산 1.135Mt에 맞춘 모델 블록; 집약도·재투자연도 추정</x:v>
      </x:c>
      <x:c r="AK124" s="34" t="str">
        <x:v>CAND-7BC738434560A6</x:v>
      </x:c>
      <x:c r="AL124" s="34" t="str">
        <x:v>P1</x:v>
      </x:c>
      <x:c r="AM124" s="34" t="str">
        <x:v>PORT-7ED23B40E316</x:v>
      </x:c>
      <x:c r="AN124" s="34" t="n">
        <x:v>1000</x:v>
      </x:c>
      <x:c r="AO124" s="34" t="n">
        <x:v>19.912146</x:v>
      </x:c>
      <x:c r="AP124" s="34" t="n">
        <x:v>13.917368</x:v>
      </x:c>
      <x:c r="AQ124" s="34" t="n">
        <x:v>414.904229</x:v>
      </x:c>
      <x:c r="AR124" s="34" t="n">
        <x:v>7673.246</x:v>
      </x:c>
      <x:c r="AS124" s="34" t="n">
        <x:v>18.494018</x:v>
      </x:c>
      <x:c r="AT124" s="40" t="b">
        <x:v>1</x:v>
      </x:c>
      <x:c r="AU124" s="40" t="b">
        <x:v>1</x:v>
      </x:c>
      <x:c r="AV124" s="34" t="str"/>
      <x:c r="AW124" s="34" t="n">
        <x:v>0</x:v>
      </x:c>
      <x:c r="AX124" s="34" t="str">
        <x:v>2.0275124185786808e-05</x:v>
      </x:c>
      <x:c r="AY124" s="40" t="b">
        <x:v>1</x:v>
      </x:c>
      <x:c r="AZ124" s="40" t="b">
        <x:v>1</x:v>
      </x:c>
      <x:c r="BA124" s="40" t="b">
        <x:v>1</x:v>
      </x:c>
      <x:c r="BB124" s="40" t="b">
        <x:v>1</x:v>
      </x:c>
      <x:c r="BC124" s="34" t="str"/>
      <x:c r="BD124" s="34" t="n">
        <x:v>0</x:v>
      </x:c>
      <x:c r="BE124" s="34" t="n">
        <x:v>0</x:v>
      </x:c>
      <x:c r="BF124" s="34" t="n">
        <x:v>0</x:v>
      </x:c>
      <x:c r="BG124" s="34" t="n">
        <x:v>2</x:v>
      </x:c>
      <x:c r="BH124" s="34" t="n">
        <x:v>3</x:v>
      </x:c>
      <x:c r="BI124" s="34" t="n">
        <x:v>0.3934020479999999</x:v>
      </x:c>
      <x:c r="BJ124" s="34" t="n">
        <x:v>0.65</x:v>
      </x:c>
      <x:c r="BK124" s="34" t="n">
        <x:v>1.54</x:v>
      </x:c>
    </x:row>
    <x:row r="125">
      <x:c r="A125" s="34" t="str">
        <x:v>POSCO_KR</x:v>
      </x:c>
      <x:c r="B125" s="34" t="str">
        <x:v>POSCO</x:v>
      </x:c>
      <x:c r="C125" s="34" t="str">
        <x:v>ACCELERATED_15C</x:v>
      </x:c>
      <x:c r="D125" s="34" t="str">
        <x:v>P1</x:v>
      </x:c>
      <x:c r="E125" s="34" t="str">
        <x:v>POS-GWY-W</x:v>
      </x:c>
      <x:c r="F125" s="34" t="str">
        <x:v>광양제철소 BF 블록 A</x:v>
      </x:c>
      <x:c r="G125" s="34" t="str">
        <x:v>광양</x:v>
      </x:c>
      <x:c r="H125" s="34" t="n">
        <x:v>2035</x:v>
      </x:c>
      <x:c r="I125" s="34" t="str">
        <x:v>BF_BOF</x:v>
      </x:c>
      <x:c r="J125" s="34" t="str">
        <x:v>기준 BF-BOF 복합 블록</x:v>
      </x:c>
      <x:c r="K125" s="34" t="str">
        <x:v>SCRAP_EAF</x:v>
      </x:c>
      <x:c r="L125" s="34" t="str">
        <x:v>스크랩 기반 대형 EAF</x:v>
      </x:c>
      <x:c r="M125" s="34" t="n">
        <x:v>5768</x:v>
      </x:c>
      <x:c r="N125" s="34" t="n">
        <x:v>3708</x:v>
      </x:c>
      <x:c r="O125" s="34" t="n">
        <x:v>10.3</x:v>
      </x:c>
      <x:c r="P125" s="34" t="n">
        <x:v>9.499999</x:v>
      </x:c>
      <x:c r="Q125" s="34" t="n">
        <x:v>19.719471</x:v>
      </x:c>
      <x:c r="R125" s="34" t="n">
        <x:v>19.719471</x:v>
      </x:c>
      <x:c r="S125" s="34" t="n">
        <x:v>4.275</x:v>
      </x:c>
      <x:c r="T125" s="34" t="n">
        <x:v>4.275</x:v>
      </x:c>
      <x:c r="U125" s="34" t="n">
        <x:v>15.444471</x:v>
      </x:c>
      <x:c r="V125" s="34" t="n">
        <x:v>92.666828</x:v>
      </x:c>
      <x:c r="W125" s="34" t="n">
        <x:v>-39.988</x:v>
      </x:c>
      <x:c r="X125" s="34" t="n">
        <x:v>434.155</x:v>
      </x:c>
      <x:c r="Y125" s="34" t="n">
        <x:v>4908.849</x:v>
      </x:c>
      <x:c r="Z125" s="34" t="n">
        <x:v>4474.693</x:v>
      </x:c>
      <x:c r="AA125" s="34" t="n">
        <x:v>4948.836</x:v>
      </x:c>
      <x:c r="AB125" s="34" t="n">
        <x:v>-474.143</x:v>
      </x:c>
      <x:c r="AC125" s="34" t="n">
        <x:v>2170.777</x:v>
      </x:c>
      <x:c r="AD125" s="34" t="n">
        <x:v>263.8</x:v>
      </x:c>
      <x:c r="AE125" s="34" t="n">
        <x:v>2474.272</x:v>
      </x:c>
      <x:c r="AF125" s="34" t="n">
        <x:v>0</x:v>
      </x:c>
      <x:c r="AG125" s="34" t="n">
        <x:v>0</x:v>
      </x:c>
      <x:c r="AH125" s="34" t="n">
        <x:v>-4948.836</x:v>
      </x:c>
      <x:c r="AI125" s="34" t="str">
        <x:v>model_estimate</x:v>
      </x:c>
      <x:c r="AJ125" s="34" t="str">
        <x:v>POSCO 공식 국내 생산·배출 총량에 맞춘 설비 블록 배분; 개별 생산량·재투자연도는 추정</x:v>
      </x:c>
      <x:c r="AK125" s="34" t="str">
        <x:v>CAND-7BC738434560A6</x:v>
      </x:c>
      <x:c r="AL125" s="34" t="str">
        <x:v>P1</x:v>
      </x:c>
      <x:c r="AM125" s="34" t="str">
        <x:v>PORT-7ED23B40E316</x:v>
      </x:c>
      <x:c r="AN125" s="34" t="n">
        <x:v>1000</x:v>
      </x:c>
      <x:c r="AO125" s="34" t="n">
        <x:v>19.912146</x:v>
      </x:c>
      <x:c r="AP125" s="34" t="n">
        <x:v>13.917368</x:v>
      </x:c>
      <x:c r="AQ125" s="34" t="n">
        <x:v>414.904229</x:v>
      </x:c>
      <x:c r="AR125" s="34" t="n">
        <x:v>7673.246</x:v>
      </x:c>
      <x:c r="AS125" s="34" t="n">
        <x:v>18.494018</x:v>
      </x:c>
      <x:c r="AT125" s="40" t="b">
        <x:v>1</x:v>
      </x:c>
      <x:c r="AU125" s="40" t="b">
        <x:v>1</x:v>
      </x:c>
      <x:c r="AV125" s="34" t="str"/>
      <x:c r="AW125" s="34" t="n">
        <x:v>0</x:v>
      </x:c>
      <x:c r="AX125" s="34" t="str">
        <x:v>2.0275124185786808e-05</x:v>
      </x:c>
      <x:c r="AY125" s="40" t="b">
        <x:v>1</x:v>
      </x:c>
      <x:c r="AZ125" s="40" t="b">
        <x:v>1</x:v>
      </x:c>
      <x:c r="BA125" s="40" t="b">
        <x:v>1</x:v>
      </x:c>
      <x:c r="BB125" s="40" t="b">
        <x:v>1</x:v>
      </x:c>
      <x:c r="BC125" s="34" t="str"/>
      <x:c r="BD125" s="34" t="n">
        <x:v>0</x:v>
      </x:c>
      <x:c r="BE125" s="34" t="n">
        <x:v>0</x:v>
      </x:c>
      <x:c r="BF125" s="34" t="n">
        <x:v>0</x:v>
      </x:c>
      <x:c r="BG125" s="34" t="n">
        <x:v>2</x:v>
      </x:c>
      <x:c r="BH125" s="34" t="n">
        <x:v>3</x:v>
      </x:c>
      <x:c r="BI125" s="34" t="n">
        <x:v>0.3934020479999999</x:v>
      </x:c>
      <x:c r="BJ125" s="34" t="n">
        <x:v>0.65</x:v>
      </x:c>
      <x:c r="BK125" s="34" t="n">
        <x:v>1.54</x:v>
      </x:c>
    </x:row>
    <x:row r="126">
      <x:c r="A126" s="34" t="str">
        <x:v>POSCO_KR</x:v>
      </x:c>
      <x:c r="B126" s="34" t="str">
        <x:v>POSCO</x:v>
      </x:c>
      <x:c r="C126" s="34" t="str">
        <x:v>ACCELERATED_15C</x:v>
      </x:c>
      <x:c r="D126" s="34" t="str">
        <x:v>P1</x:v>
      </x:c>
      <x:c r="E126" s="34" t="str">
        <x:v>POS-POH-N</x:v>
      </x:c>
      <x:c r="F126" s="34" t="str">
        <x:v>포항제철소 BF 블록 A</x:v>
      </x:c>
      <x:c r="G126" s="34" t="str">
        <x:v>포항</x:v>
      </x:c>
      <x:c r="H126" s="34" t="n">
        <x:v>2029</x:v>
      </x:c>
      <x:c r="I126" s="34" t="str">
        <x:v>BF_BOF</x:v>
      </x:c>
      <x:c r="J126" s="34" t="str">
        <x:v>기준 BF-BOF 복합 블록</x:v>
      </x:c>
      <x:c r="K126" s="34" t="str">
        <x:v>SCRAP_EAF</x:v>
      </x:c>
      <x:c r="L126" s="34" t="str">
        <x:v>스크랩 기반 대형 EAF</x:v>
      </x:c>
      <x:c r="M126" s="34" t="n">
        <x:v>4592</x:v>
      </x:c>
      <x:c r="N126" s="34" t="n">
        <x:v>2952</x:v>
      </x:c>
      <x:c r="O126" s="34" t="n">
        <x:v>8.2</x:v>
      </x:c>
      <x:c r="P126" s="34" t="n">
        <x:v>7.599998</x:v>
      </x:c>
      <x:c r="Q126" s="34" t="n">
        <x:v>15.775574</x:v>
      </x:c>
      <x:c r="R126" s="34" t="n">
        <x:v>3.419999</x:v>
      </x:c>
      <x:c r="S126" s="34" t="n">
        <x:v>3.419999</x:v>
      </x:c>
      <x:c r="T126" s="34" t="n">
        <x:v>3.419999</x:v>
      </x:c>
      <x:c r="U126" s="34" t="n">
        <x:v>12.355575</x:v>
      </x:c>
      <x:c r="V126" s="34" t="n">
        <x:v>148.266898</x:v>
      </x:c>
      <x:c r="W126" s="34" t="n">
        <x:v>-603.64</x:v>
      </x:c>
      <x:c r="X126" s="34" t="n">
        <x:v>476.581</x:v>
      </x:c>
      <x:c r="Y126" s="34" t="n">
        <x:v>7158.885</x:v>
      </x:c>
      <x:c r="Z126" s="34" t="n">
        <x:v>6682.305</x:v>
      </x:c>
      <x:c r="AA126" s="34" t="n">
        <x:v>7762.525</x:v>
      </x:c>
      <x:c r="AB126" s="34" t="n">
        <x:v>-1080.221</x:v>
      </x:c>
      <x:c r="AC126" s="34" t="n">
        <x:v>2382.904</x:v>
      </x:c>
      <x:c r="AD126" s="34" t="n">
        <x:v>446.25</x:v>
      </x:c>
      <x:c r="AE126" s="34" t="n">
        <x:v>4329.731</x:v>
      </x:c>
      <x:c r="AF126" s="34" t="n">
        <x:v>0</x:v>
      </x:c>
      <x:c r="AG126" s="34" t="n">
        <x:v>0</x:v>
      </x:c>
      <x:c r="AH126" s="34" t="n">
        <x:v>-7762.525</x:v>
      </x:c>
      <x:c r="AI126" s="34" t="str">
        <x:v>model_estimate</x:v>
      </x:c>
      <x:c r="AJ126" s="34" t="str">
        <x:v>POSCO 공식 국내 생산·배출 총량에 맞춘 설비 블록 배분; 개별 생산량·재투자연도는 추정</x:v>
      </x:c>
      <x:c r="AK126" s="34" t="str">
        <x:v>CAND-7BC738434560A6</x:v>
      </x:c>
      <x:c r="AL126" s="34" t="str">
        <x:v>P1</x:v>
      </x:c>
      <x:c r="AM126" s="34" t="str">
        <x:v>PORT-7ED23B40E316</x:v>
      </x:c>
      <x:c r="AN126" s="34" t="n">
        <x:v>1000</x:v>
      </x:c>
      <x:c r="AO126" s="34" t="n">
        <x:v>19.912146</x:v>
      </x:c>
      <x:c r="AP126" s="34" t="n">
        <x:v>13.917368</x:v>
      </x:c>
      <x:c r="AQ126" s="34" t="n">
        <x:v>414.904229</x:v>
      </x:c>
      <x:c r="AR126" s="34" t="n">
        <x:v>7673.246</x:v>
      </x:c>
      <x:c r="AS126" s="34" t="n">
        <x:v>18.494018</x:v>
      </x:c>
      <x:c r="AT126" s="40" t="b">
        <x:v>1</x:v>
      </x:c>
      <x:c r="AU126" s="40" t="b">
        <x:v>1</x:v>
      </x:c>
      <x:c r="AV126" s="34" t="str"/>
      <x:c r="AW126" s="34" t="n">
        <x:v>0</x:v>
      </x:c>
      <x:c r="AX126" s="34" t="str">
        <x:v>2.0275124185786808e-05</x:v>
      </x:c>
      <x:c r="AY126" s="40" t="b">
        <x:v>1</x:v>
      </x:c>
      <x:c r="AZ126" s="40" t="b">
        <x:v>1</x:v>
      </x:c>
      <x:c r="BA126" s="40" t="b">
        <x:v>1</x:v>
      </x:c>
      <x:c r="BB126" s="40" t="b">
        <x:v>1</x:v>
      </x:c>
      <x:c r="BC126" s="34" t="str"/>
      <x:c r="BD126" s="34" t="n">
        <x:v>0</x:v>
      </x:c>
      <x:c r="BE126" s="34" t="n">
        <x:v>0</x:v>
      </x:c>
      <x:c r="BF126" s="34" t="n">
        <x:v>0</x:v>
      </x:c>
      <x:c r="BG126" s="34" t="n">
        <x:v>2</x:v>
      </x:c>
      <x:c r="BH126" s="34" t="n">
        <x:v>3</x:v>
      </x:c>
      <x:c r="BI126" s="34" t="n">
        <x:v>0.3934020479999999</x:v>
      </x:c>
      <x:c r="BJ126" s="34" t="n">
        <x:v>0.65</x:v>
      </x:c>
      <x:c r="BK126" s="34" t="n">
        <x:v>1.54</x:v>
      </x:c>
    </x:row>
    <x:row r="127">
      <x:c r="A127" s="34" t="str">
        <x:v>POSCO_KR</x:v>
      </x:c>
      <x:c r="B127" s="34" t="str">
        <x:v>POSCO</x:v>
      </x:c>
      <x:c r="C127" s="34" t="str">
        <x:v>ACCELERATED_15C</x:v>
      </x:c>
      <x:c r="D127" s="34" t="str">
        <x:v>P1</x:v>
      </x:c>
      <x:c r="E127" s="34" t="str">
        <x:v>POS-POH-S</x:v>
      </x:c>
      <x:c r="F127" s="34" t="str">
        <x:v>포항제철소 BF 블록 B</x:v>
      </x:c>
      <x:c r="G127" s="34" t="str">
        <x:v>포항</x:v>
      </x:c>
      <x:c r="H127" s="34" t="n">
        <x:v>2032</x:v>
      </x:c>
      <x:c r="I127" s="34" t="str">
        <x:v>BF_BOF</x:v>
      </x:c>
      <x:c r="J127" s="34" t="str">
        <x:v>기준 BF-BOF 복합 블록</x:v>
      </x:c>
      <x:c r="K127" s="34" t="str">
        <x:v>SCRAP_EAF</x:v>
      </x:c>
      <x:c r="L127" s="34" t="str">
        <x:v>스크랩 기반 대형 EAF</x:v>
      </x:c>
      <x:c r="M127" s="34" t="n">
        <x:v>4144</x:v>
      </x:c>
      <x:c r="N127" s="34" t="n">
        <x:v>2664</x:v>
      </x:c>
      <x:c r="O127" s="34" t="n">
        <x:v>7.4</x:v>
      </x:c>
      <x:c r="P127" s="34" t="n">
        <x:v>6.800001</x:v>
      </x:c>
      <x:c r="Q127" s="34" t="n">
        <x:v>14.114992</x:v>
      </x:c>
      <x:c r="R127" s="34" t="n">
        <x:v>14.114992</x:v>
      </x:c>
      <x:c r="S127" s="34" t="n">
        <x:v>3.06</x:v>
      </x:c>
      <x:c r="T127" s="34" t="n">
        <x:v>3.06</x:v>
      </x:c>
      <x:c r="U127" s="34" t="n">
        <x:v>11.054992</x:v>
      </x:c>
      <x:c r="V127" s="34" t="n">
        <x:v>99.49493</x:v>
      </x:c>
      <x:c r="W127" s="34" t="n">
        <x:v>-438.821</x:v>
      </x:c>
      <x:c r="X127" s="34" t="n">
        <x:v>366.266</x:v>
      </x:c>
      <x:c r="Y127" s="34" t="n">
        <x:v>4861.175</x:v>
      </x:c>
      <x:c r="Z127" s="34" t="n">
        <x:v>4494.909</x:v>
      </x:c>
      <x:c r="AA127" s="34" t="n">
        <x:v>5299.996</x:v>
      </x:c>
      <x:c r="AB127" s="34" t="n">
        <x:v>-805.087</x:v>
      </x:c>
      <x:c r="AC127" s="34" t="n">
        <x:v>1831.332</x:v>
      </x:c>
      <x:c r="AD127" s="34" t="n">
        <x:v>274.288</x:v>
      </x:c>
      <x:c r="AE127" s="34" t="n">
        <x:v>2755.556</x:v>
      </x:c>
      <x:c r="AF127" s="34" t="n">
        <x:v>0</x:v>
      </x:c>
      <x:c r="AG127" s="34" t="n">
        <x:v>0</x:v>
      </x:c>
      <x:c r="AH127" s="34" t="n">
        <x:v>-5299.996</x:v>
      </x:c>
      <x:c r="AI127" s="34" t="str">
        <x:v>model_estimate</x:v>
      </x:c>
      <x:c r="AJ127" s="34" t="str">
        <x:v>POSCO 공식 국내 생산·배출 총량에 맞춘 설비 블록 배분; 개별 생산량·재투자연도는 추정</x:v>
      </x:c>
      <x:c r="AK127" s="34" t="str">
        <x:v>CAND-7BC738434560A6</x:v>
      </x:c>
      <x:c r="AL127" s="34" t="str">
        <x:v>P1</x:v>
      </x:c>
      <x:c r="AM127" s="34" t="str">
        <x:v>PORT-7ED23B40E316</x:v>
      </x:c>
      <x:c r="AN127" s="34" t="n">
        <x:v>1000</x:v>
      </x:c>
      <x:c r="AO127" s="34" t="n">
        <x:v>19.912146</x:v>
      </x:c>
      <x:c r="AP127" s="34" t="n">
        <x:v>13.917368</x:v>
      </x:c>
      <x:c r="AQ127" s="34" t="n">
        <x:v>414.904229</x:v>
      </x:c>
      <x:c r="AR127" s="34" t="n">
        <x:v>7673.246</x:v>
      </x:c>
      <x:c r="AS127" s="34" t="n">
        <x:v>18.494018</x:v>
      </x:c>
      <x:c r="AT127" s="40" t="b">
        <x:v>1</x:v>
      </x:c>
      <x:c r="AU127" s="40" t="b">
        <x:v>1</x:v>
      </x:c>
      <x:c r="AV127" s="34" t="str"/>
      <x:c r="AW127" s="34" t="n">
        <x:v>0</x:v>
      </x:c>
      <x:c r="AX127" s="34" t="str">
        <x:v>2.0275124185786808e-05</x:v>
      </x:c>
      <x:c r="AY127" s="40" t="b">
        <x:v>1</x:v>
      </x:c>
      <x:c r="AZ127" s="40" t="b">
        <x:v>1</x:v>
      </x:c>
      <x:c r="BA127" s="40" t="b">
        <x:v>1</x:v>
      </x:c>
      <x:c r="BB127" s="40" t="b">
        <x:v>1</x:v>
      </x:c>
      <x:c r="BC127" s="34" t="str"/>
      <x:c r="BD127" s="34" t="n">
        <x:v>0</x:v>
      </x:c>
      <x:c r="BE127" s="34" t="n">
        <x:v>0</x:v>
      </x:c>
      <x:c r="BF127" s="34" t="n">
        <x:v>0</x:v>
      </x:c>
      <x:c r="BG127" s="34" t="n">
        <x:v>2</x:v>
      </x:c>
      <x:c r="BH127" s="34" t="n">
        <x:v>3</x:v>
      </x:c>
      <x:c r="BI127" s="34" t="n">
        <x:v>0.3934020479999999</x:v>
      </x:c>
      <x:c r="BJ127" s="34" t="n">
        <x:v>0.65</x:v>
      </x:c>
      <x:c r="BK127" s="34" t="n">
        <x:v>1.54</x:v>
      </x:c>
    </x:row>
    <x:row r="128">
      <x:c r="A128" s="34" t="str">
        <x:v>KOBE_STEEL_JP</x:v>
      </x:c>
      <x:c r="B128" s="34" t="str">
        <x:v>Kobe Steel</x:v>
      </x:c>
      <x:c r="C128" s="34" t="str">
        <x:v>DISCLOSED_PATH</x:v>
      </x:c>
      <x:c r="D128" s="34" t="str">
        <x:v>P2</x:v>
      </x:c>
      <x:c r="E128" s="34" t="str">
        <x:v>KOB-BF1</x:v>
      </x:c>
      <x:c r="F128" s="34" t="str">
        <x:v>Kakogawa Works BF 블록 1</x:v>
      </x:c>
      <x:c r="G128" s="34" t="str">
        <x:v>가코가와</x:v>
      </x:c>
      <x:c r="H128" s="34" t="n">
        <x:v>2029</x:v>
      </x:c>
      <x:c r="I128" s="34" t="str">
        <x:v>BF_BOF</x:v>
      </x:c>
      <x:c r="J128" s="34" t="str">
        <x:v>기준 BF-BOF 복합 블록</x:v>
      </x:c>
      <x:c r="K128" s="34" t="str">
        <x:v>SCRAP_EAF</x:v>
      </x:c>
      <x:c r="L128" s="34" t="str">
        <x:v>스크랩 기반 대형 EAF</x:v>
      </x:c>
      <x:c r="M128" s="34" t="n">
        <x:v>1940.4</x:v>
      </x:c>
      <x:c r="N128" s="34" t="n">
        <x:v>1247.4</x:v>
      </x:c>
      <x:c r="O128" s="34" t="n">
        <x:v>3.15</x:v>
      </x:c>
      <x:c r="P128" s="34" t="n">
        <x:v>2.95</x:v>
      </x:c>
      <x:c r="Q128" s="34" t="n">
        <x:v>7.173636</x:v>
      </x:c>
      <x:c r="R128" s="34" t="n">
        <x:v>1.3275</x:v>
      </x:c>
      <x:c r="S128" s="34" t="n">
        <x:v>1.3275</x:v>
      </x:c>
      <x:c r="T128" s="34" t="n">
        <x:v>1.3275</x:v>
      </x:c>
      <x:c r="U128" s="34" t="n">
        <x:v>5.846136</x:v>
      </x:c>
      <x:c r="V128" s="34" t="n">
        <x:v>70.153636</x:v>
      </x:c>
      <x:c r="W128" s="34" t="n">
        <x:v>1051.719</x:v>
      </x:c>
      <x:c r="X128" s="34" t="n">
        <x:v>255.792</x:v>
      </x:c>
      <x:c r="Y128" s="34" t="n">
        <x:v>3504.127</x:v>
      </x:c>
      <x:c r="Z128" s="34" t="n">
        <x:v>3248.335</x:v>
      </x:c>
      <x:c r="AA128" s="34" t="n">
        <x:v>2452.408</x:v>
      </x:c>
      <x:c r="AB128" s="34" t="n">
        <x:v>795.927</x:v>
      </x:c>
      <x:c r="AC128" s="34" t="n">
        <x:v>1006.922</x:v>
      </x:c>
      <x:c r="AD128" s="34" t="n">
        <x:v>86.608</x:v>
      </x:c>
      <x:c r="AE128" s="34" t="n">
        <x:v>2404.976</x:v>
      </x:c>
      <x:c r="AF128" s="34" t="n">
        <x:v>0</x:v>
      </x:c>
      <x:c r="AG128" s="34" t="n">
        <x:v>5.621</x:v>
      </x:c>
      <x:c r="AH128" s="34" t="n">
        <x:v>-2452.408</x:v>
      </x:c>
      <x:c r="AI128" s="34" t="str">
        <x:v>model_estimate</x:v>
      </x:c>
      <x:c r="AJ128" s="34" t="str">
        <x:v>Kobe Steel 공식 조강·목표경계 배출 총량에 맞춘 블록 배분</x:v>
      </x:c>
      <x:c r="AK128" s="34" t="str">
        <x:v>CAND-7F0A690E87B72D</x:v>
      </x:c>
      <x:c r="AL128" s="34" t="str">
        <x:v>P2</x:v>
      </x:c>
      <x:c r="AM128" s="34" t="str">
        <x:v>PORT-8384667F6B8E</x:v>
      </x:c>
      <x:c r="AN128" s="34" t="n">
        <x:v>1000</x:v>
      </x:c>
      <x:c r="AO128" s="34" t="n">
        <x:v>54.341279</x:v>
      </x:c>
      <x:c r="AP128" s="34" t="n">
        <x:v>16.535826</x:v>
      </x:c>
      <x:c r="AQ128" s="34" t="n">
        <x:v>96.451092</x:v>
      </x:c>
      <x:c r="AR128" s="34" t="n">
        <x:v>5119.663</x:v>
      </x:c>
      <x:c r="AS128" s="34" t="n">
        <x:v>53.080408</x:v>
      </x:c>
      <x:c r="AT128" s="40" t="b">
        <x:v>1</x:v>
      </x:c>
      <x:c r="AU128" s="40" t="b">
        <x:v>1</x:v>
      </x:c>
      <x:c r="AV128" s="34" t="str"/>
      <x:c r="AW128" s="34" t="n">
        <x:v>0</x:v>
      </x:c>
      <x:c r="AX128" s="34" t="str">
        <x:v>9.990856690045291e-05</x:v>
      </x:c>
      <x:c r="AY128" s="40" t="b">
        <x:v>1</x:v>
      </x:c>
      <x:c r="AZ128" s="40" t="b">
        <x:v>1</x:v>
      </x:c>
      <x:c r="BA128" s="40" t="b">
        <x:v>1</x:v>
      </x:c>
      <x:c r="BB128" s="40" t="b">
        <x:v>1</x:v>
      </x:c>
      <x:c r="BC128" s="34" t="str"/>
      <x:c r="BD128" s="34" t="n">
        <x:v>0</x:v>
      </x:c>
      <x:c r="BE128" s="34" t="n">
        <x:v>0</x:v>
      </x:c>
      <x:c r="BF128" s="34" t="n">
        <x:v>0</x:v>
      </x:c>
      <x:c r="BG128" s="34" t="n">
        <x:v>1</x:v>
      </x:c>
      <x:c r="BH128" s="34" t="n">
        <x:v>1</x:v>
      </x:c>
      <x:c r="BI128" s="34" t="n">
        <x:v>0.28332</x:v>
      </x:c>
      <x:c r="BJ128" s="34" t="n">
        <x:v>0.6</x:v>
      </x:c>
      <x:c r="BK128" s="34" t="n">
        <x:v>1.06</x:v>
      </x:c>
    </x:row>
    <x:row r="129">
      <x:c r="A129" s="34" t="str">
        <x:v>KOBE_STEEL_JP</x:v>
      </x:c>
      <x:c r="B129" s="34" t="str">
        <x:v>Kobe Steel</x:v>
      </x:c>
      <x:c r="C129" s="34" t="str">
        <x:v>DISCLOSED_PATH</x:v>
      </x:c>
      <x:c r="D129" s="34" t="str">
        <x:v>P2</x:v>
      </x:c>
      <x:c r="E129" s="34" t="str">
        <x:v>KOB-BF3</x:v>
      </x:c>
      <x:c r="F129" s="34" t="str">
        <x:v>Kakogawa Works BF 블록 3</x:v>
      </x:c>
      <x:c r="G129" s="34" t="str">
        <x:v>가코가와</x:v>
      </x:c>
      <x:c r="H129" s="34" t="n">
        <x:v>2037</x:v>
      </x:c>
      <x:c r="I129" s="34" t="str">
        <x:v>BF_BOF</x:v>
      </x:c>
      <x:c r="J129" s="34" t="str">
        <x:v>기준 BF-BOF 복합 블록</x:v>
      </x:c>
      <x:c r="K129" s="34" t="str">
        <x:v>H2_DRI_EAF</x:v>
      </x:c>
      <x:c r="L129" s="34" t="str">
        <x:v>수소 DRI + EAF</x:v>
      </x:c>
      <x:c r="M129" s="34" t="n">
        <x:v>3019.5</x:v>
      </x:c>
      <x:c r="N129" s="34" t="n">
        <x:v>2348.5</x:v>
      </x:c>
      <x:c r="O129" s="34" t="n">
        <x:v>3.05</x:v>
      </x:c>
      <x:c r="P129" s="34" t="n">
        <x:v>2.909999</x:v>
      </x:c>
      <x:c r="Q129" s="34" t="n">
        <x:v>7.076364</x:v>
      </x:c>
      <x:c r="R129" s="34" t="n">
        <x:v>7.076364</x:v>
      </x:c>
      <x:c r="S129" s="34" t="n">
        <x:v>0.582</x:v>
      </x:c>
      <x:c r="T129" s="34" t="n">
        <x:v>0.582</x:v>
      </x:c>
      <x:c r="U129" s="34" t="n">
        <x:v>6.494364</x:v>
      </x:c>
      <x:c r="V129" s="34" t="n">
        <x:v>25.977455</x:v>
      </x:c>
      <x:c r="W129" s="34" t="n">
        <x:v>4779.201</x:v>
      </x:c>
      <x:c r="X129" s="34" t="n">
        <x:v>452.811</x:v>
      </x:c>
      <x:c r="Y129" s="34" t="n">
        <x:v>5683.19</x:v>
      </x:c>
      <x:c r="Z129" s="34" t="n">
        <x:v>5230.379</x:v>
      </x:c>
      <x:c r="AA129" s="34" t="n">
        <x:v>903.989</x:v>
      </x:c>
      <x:c r="AB129" s="34" t="n">
        <x:v>4326.39</x:v>
      </x:c>
      <x:c r="AC129" s="34" t="n">
        <x:v>1235.268</x:v>
      </x:c>
      <x:c r="AD129" s="34" t="n">
        <x:v>62.261</x:v>
      </x:c>
      <x:c r="AE129" s="34" t="n">
        <x:v>533.241</x:v>
      </x:c>
      <x:c r="AF129" s="34" t="n">
        <x:v>3845.304</x:v>
      </x:c>
      <x:c r="AG129" s="34" t="n">
        <x:v>7.116</x:v>
      </x:c>
      <x:c r="AH129" s="34" t="n">
        <x:v>-903.989</x:v>
      </x:c>
      <x:c r="AI129" s="34" t="str">
        <x:v>model_estimate</x:v>
      </x:c>
      <x:c r="AJ129" s="34" t="str">
        <x:v>2016년 BF3 개수와 장기 수명주기를 반영한 재투자연도 추정</x:v>
      </x:c>
      <x:c r="AK129" s="34" t="str">
        <x:v>CAND-7F0A690E87B72D</x:v>
      </x:c>
      <x:c r="AL129" s="34" t="str">
        <x:v>P2</x:v>
      </x:c>
      <x:c r="AM129" s="34" t="str">
        <x:v>PORT-8384667F6B8E</x:v>
      </x:c>
      <x:c r="AN129" s="34" t="n">
        <x:v>1000</x:v>
      </x:c>
      <x:c r="AO129" s="34" t="n">
        <x:v>54.341279</x:v>
      </x:c>
      <x:c r="AP129" s="34" t="n">
        <x:v>16.535826</x:v>
      </x:c>
      <x:c r="AQ129" s="34" t="n">
        <x:v>96.451092</x:v>
      </x:c>
      <x:c r="AR129" s="34" t="n">
        <x:v>5119.663</x:v>
      </x:c>
      <x:c r="AS129" s="34" t="n">
        <x:v>53.080408</x:v>
      </x:c>
      <x:c r="AT129" s="40" t="b">
        <x:v>1</x:v>
      </x:c>
      <x:c r="AU129" s="40" t="b">
        <x:v>1</x:v>
      </x:c>
      <x:c r="AV129" s="34" t="str"/>
      <x:c r="AW129" s="34" t="n">
        <x:v>0</x:v>
      </x:c>
      <x:c r="AX129" s="34" t="str">
        <x:v>9.990856690045291e-05</x:v>
      </x:c>
      <x:c r="AY129" s="40" t="b">
        <x:v>1</x:v>
      </x:c>
      <x:c r="AZ129" s="40" t="b">
        <x:v>1</x:v>
      </x:c>
      <x:c r="BA129" s="40" t="b">
        <x:v>1</x:v>
      </x:c>
      <x:c r="BB129" s="40" t="b">
        <x:v>1</x:v>
      </x:c>
      <x:c r="BC129" s="34" t="str"/>
      <x:c r="BD129" s="34" t="n">
        <x:v>0</x:v>
      </x:c>
      <x:c r="BE129" s="34" t="n">
        <x:v>0</x:v>
      </x:c>
      <x:c r="BF129" s="34" t="n">
        <x:v>0</x:v>
      </x:c>
      <x:c r="BG129" s="34" t="n">
        <x:v>1</x:v>
      </x:c>
      <x:c r="BH129" s="34" t="n">
        <x:v>1</x:v>
      </x:c>
      <x:c r="BI129" s="34" t="n">
        <x:v>0.28332</x:v>
      </x:c>
      <x:c r="BJ129" s="34" t="n">
        <x:v>0.6</x:v>
      </x:c>
      <x:c r="BK129" s="34" t="n">
        <x:v>1.06</x:v>
      </x:c>
    </x:row>
    <x:row r="130">
      <x:c r="A130" s="34" t="str">
        <x:v>KOBE_STEEL_JP</x:v>
      </x:c>
      <x:c r="B130" s="34" t="str">
        <x:v>Kobe Steel</x:v>
      </x:c>
      <x:c r="C130" s="34" t="str">
        <x:v>DISCLOSED_PATH</x:v>
      </x:c>
      <x:c r="D130" s="34" t="str">
        <x:v>P2</x:v>
      </x:c>
      <x:c r="E130" s="34" t="str">
        <x:v>KOB-TAKA</x:v>
      </x:c>
      <x:c r="F130" s="34" t="str">
        <x:v>Takasago Works EAF block</x:v>
      </x:c>
      <x:c r="G130" s="34" t="str">
        <x:v>다카사고</x:v>
      </x:c>
      <x:c r="H130" s="34" t="n">
        <x:v>2033</x:v>
      </x:c>
      <x:c r="I130" s="34" t="str">
        <x:v>EAF_BASELINE</x:v>
      </x:c>
      <x:c r="J130" s="34" t="str">
        <x:v>기존 전기로 기준 블록</x:v>
      </x:c>
      <x:c r="K130" s="34" t="str">
        <x:v>EAF_RENEWABLE</x:v>
      </x:c>
      <x:c r="L130" s="34" t="str">
        <x:v>기존 EAF 재생전력 업그레이드</x:v>
      </x:c>
      <x:c r="M130" s="34" t="n">
        <x:v>40.04</x:v>
      </x:c>
      <x:c r="N130" s="34" t="n">
        <x:v>12.32</x:v>
      </x:c>
      <x:c r="O130" s="34" t="n">
        <x:v>0.14</x:v>
      </x:c>
      <x:c r="P130" s="34" t="n">
        <x:v>0.1</x:v>
      </x:c>
      <x:c r="Q130" s="34" t="n">
        <x:v>0.05</x:v>
      </x:c>
      <x:c r="R130" s="34" t="n">
        <x:v>0.05</x:v>
      </x:c>
      <x:c r="S130" s="34" t="n">
        <x:v>0.01</x:v>
      </x:c>
      <x:c r="T130" s="34" t="n">
        <x:v>0.01</x:v>
      </x:c>
      <x:c r="U130" s="34" t="n">
        <x:v>0.04</x:v>
      </x:c>
      <x:c r="V130" s="34" t="n">
        <x:v>0.32</x:v>
      </x:c>
      <x:c r="W130" s="34" t="n">
        <x:v>-1.448</x:v>
      </x:c>
      <x:c r="X130" s="34" t="n">
        <x:v>1.207</x:v>
      </x:c>
      <x:c r="Y130" s="34" t="n">
        <x:v>9.803</x:v>
      </x:c>
      <x:c r="Z130" s="34" t="n">
        <x:v>8.597</x:v>
      </x:c>
      <x:c r="AA130" s="34" t="n">
        <x:v>11.251</x:v>
      </x:c>
      <x:c r="AB130" s="34" t="n">
        <x:v>-2.654</x:v>
      </x:c>
      <x:c r="AC130" s="34" t="n">
        <x:v>8.028</x:v>
      </x:c>
      <x:c r="AD130" s="34" t="n">
        <x:v>0</x:v>
      </x:c>
      <x:c r="AE130" s="34" t="n">
        <x:v>1.757</x:v>
      </x:c>
      <x:c r="AF130" s="34" t="n">
        <x:v>0</x:v>
      </x:c>
      <x:c r="AG130" s="34" t="n">
        <x:v>0.019</x:v>
      </x:c>
      <x:c r="AH130" s="34" t="n">
        <x:v>-11.251</x:v>
      </x:c>
      <x:c r="AI130" s="34" t="str">
        <x:v>model_estimate</x:v>
      </x:c>
      <x:c r="AJ130" s="34" t="str">
        <x:v>다카사고 포함 공식 조강 총량에 맞춘 소규모 EAF 블록 추정</x:v>
      </x:c>
      <x:c r="AK130" s="34" t="str">
        <x:v>CAND-7F0A690E87B72D</x:v>
      </x:c>
      <x:c r="AL130" s="34" t="str">
        <x:v>P2</x:v>
      </x:c>
      <x:c r="AM130" s="34" t="str">
        <x:v>PORT-8384667F6B8E</x:v>
      </x:c>
      <x:c r="AN130" s="34" t="n">
        <x:v>1000</x:v>
      </x:c>
      <x:c r="AO130" s="34" t="n">
        <x:v>54.341279</x:v>
      </x:c>
      <x:c r="AP130" s="34" t="n">
        <x:v>16.535826</x:v>
      </x:c>
      <x:c r="AQ130" s="34" t="n">
        <x:v>96.451092</x:v>
      </x:c>
      <x:c r="AR130" s="34" t="n">
        <x:v>5119.663</x:v>
      </x:c>
      <x:c r="AS130" s="34" t="n">
        <x:v>53.080408</x:v>
      </x:c>
      <x:c r="AT130" s="40" t="b">
        <x:v>1</x:v>
      </x:c>
      <x:c r="AU130" s="40" t="b">
        <x:v>1</x:v>
      </x:c>
      <x:c r="AV130" s="34" t="str"/>
      <x:c r="AW130" s="34" t="n">
        <x:v>0</x:v>
      </x:c>
      <x:c r="AX130" s="34" t="str">
        <x:v>9.990856690045291e-05</x:v>
      </x:c>
      <x:c r="AY130" s="40" t="b">
        <x:v>1</x:v>
      </x:c>
      <x:c r="AZ130" s="40" t="b">
        <x:v>1</x:v>
      </x:c>
      <x:c r="BA130" s="40" t="b">
        <x:v>1</x:v>
      </x:c>
      <x:c r="BB130" s="40" t="b">
        <x:v>1</x:v>
      </x:c>
      <x:c r="BC130" s="34" t="str"/>
      <x:c r="BD130" s="34" t="n">
        <x:v>0</x:v>
      </x:c>
      <x:c r="BE130" s="34" t="n">
        <x:v>0</x:v>
      </x:c>
      <x:c r="BF130" s="34" t="n">
        <x:v>0</x:v>
      </x:c>
      <x:c r="BG130" s="34" t="n">
        <x:v>1</x:v>
      </x:c>
      <x:c r="BH130" s="34" t="n">
        <x:v>1</x:v>
      </x:c>
      <x:c r="BI130" s="34" t="n">
        <x:v>0.28332</x:v>
      </x:c>
      <x:c r="BJ130" s="34" t="n">
        <x:v>0.6</x:v>
      </x:c>
      <x:c r="BK130" s="34" t="n">
        <x:v>1.06</x:v>
      </x:c>
    </x:row>
    <x:row r="131">
      <x:c r="A131" s="34" t="str">
        <x:v>KOBE_STEEL_JP</x:v>
      </x:c>
      <x:c r="B131" s="34" t="str">
        <x:v>Kobe Steel</x:v>
      </x:c>
      <x:c r="C131" s="34" t="str">
        <x:v>ACCELERATED_15C</x:v>
      </x:c>
      <x:c r="D131" s="34" t="str">
        <x:v>P2</x:v>
      </x:c>
      <x:c r="E131" s="34" t="str">
        <x:v>KOB-BF1</x:v>
      </x:c>
      <x:c r="F131" s="34" t="str">
        <x:v>Kakogawa Works BF 블록 1</x:v>
      </x:c>
      <x:c r="G131" s="34" t="str">
        <x:v>가코가와</x:v>
      </x:c>
      <x:c r="H131" s="34" t="n">
        <x:v>2029</x:v>
      </x:c>
      <x:c r="I131" s="34" t="str">
        <x:v>BF_BOF</x:v>
      </x:c>
      <x:c r="J131" s="34" t="str">
        <x:v>기준 BF-BOF 복합 블록</x:v>
      </x:c>
      <x:c r="K131" s="34" t="str">
        <x:v>SCRAP_EAF</x:v>
      </x:c>
      <x:c r="L131" s="34" t="str">
        <x:v>스크랩 기반 대형 EAF</x:v>
      </x:c>
      <x:c r="M131" s="34" t="n">
        <x:v>1940.4</x:v>
      </x:c>
      <x:c r="N131" s="34" t="n">
        <x:v>1247.4</x:v>
      </x:c>
      <x:c r="O131" s="34" t="n">
        <x:v>3.15</x:v>
      </x:c>
      <x:c r="P131" s="34" t="n">
        <x:v>2.95</x:v>
      </x:c>
      <x:c r="Q131" s="34" t="n">
        <x:v>7.173636</x:v>
      </x:c>
      <x:c r="R131" s="34" t="n">
        <x:v>1.3275</x:v>
      </x:c>
      <x:c r="S131" s="34" t="n">
        <x:v>1.3275</x:v>
      </x:c>
      <x:c r="T131" s="34" t="n">
        <x:v>1.3275</x:v>
      </x:c>
      <x:c r="U131" s="34" t="n">
        <x:v>5.846136</x:v>
      </x:c>
      <x:c r="V131" s="34" t="n">
        <x:v>70.153636</x:v>
      </x:c>
      <x:c r="W131" s="34" t="n">
        <x:v>148.411</x:v>
      </x:c>
      <x:c r="X131" s="34" t="n">
        <x:v>302.936</x:v>
      </x:c>
      <x:c r="Y131" s="34" t="n">
        <x:v>3724.766</x:v>
      </x:c>
      <x:c r="Z131" s="34" t="n">
        <x:v>3421.831</x:v>
      </x:c>
      <x:c r="AA131" s="34" t="n">
        <x:v>3576.355</x:v>
      </x:c>
      <x:c r="AB131" s="34" t="n">
        <x:v>-154.524</x:v>
      </x:c>
      <x:c r="AC131" s="34" t="n">
        <x:v>1006.922</x:v>
      </x:c>
      <x:c r="AD131" s="34" t="n">
        <x:v>86.608</x:v>
      </x:c>
      <x:c r="AE131" s="34" t="n">
        <x:v>2625.285</x:v>
      </x:c>
      <x:c r="AF131" s="34" t="n">
        <x:v>0</x:v>
      </x:c>
      <x:c r="AG131" s="34" t="n">
        <x:v>5.952</x:v>
      </x:c>
      <x:c r="AH131" s="34" t="n">
        <x:v>-3576.355</x:v>
      </x:c>
      <x:c r="AI131" s="34" t="str">
        <x:v>model_estimate</x:v>
      </x:c>
      <x:c r="AJ131" s="34" t="str">
        <x:v>Kobe Steel 공식 조강·목표경계 배출 총량에 맞춘 블록 배분</x:v>
      </x:c>
      <x:c r="AK131" s="34" t="str">
        <x:v>CAND-7F0A690E87B72D</x:v>
      </x:c>
      <x:c r="AL131" s="34" t="str">
        <x:v>P2</x:v>
      </x:c>
      <x:c r="AM131" s="34" t="str">
        <x:v>PORT-8384667F6B8E</x:v>
      </x:c>
      <x:c r="AN131" s="34" t="n">
        <x:v>1000</x:v>
      </x:c>
      <x:c r="AO131" s="34" t="n">
        <x:v>42.993617</x:v>
      </x:c>
      <x:c r="AP131" s="34" t="n">
        <x:v>17.888931</x:v>
      </x:c>
      <x:c r="AQ131" s="34" t="n">
        <x:v>96.451092</x:v>
      </x:c>
      <x:c r="AR131" s="34" t="n">
        <x:v>4027.512</x:v>
      </x:c>
      <x:c r="AS131" s="34" t="n">
        <x:v>41.757041</x:v>
      </x:c>
      <x:c r="AT131" s="40" t="b">
        <x:v>0</x:v>
      </x:c>
      <x:c r="AU131" s="40" t="b">
        <x:v>0</x:v>
      </x:c>
      <x:c r="AV131" s="34" t="n">
        <x:v>2035</x:v>
      </x:c>
      <x:c r="AW131" s="34" t="n">
        <x:v>0.6138637290849003</x:v>
      </x:c>
      <x:c r="AX131" s="34" t="n">
        <x:v>-0.6138637290849003</x:v>
      </x:c>
      <x:c r="AY131" s="40" t="b">
        <x:v>1</x:v>
      </x:c>
      <x:c r="AZ131" s="40" t="b">
        <x:v>1</x:v>
      </x:c>
      <x:c r="BA131" s="40" t="b">
        <x:v>1</x:v>
      </x:c>
      <x:c r="BB131" s="40" t="b">
        <x:v>1</x:v>
      </x:c>
      <x:c r="BC131" s="34" t="str"/>
      <x:c r="BD131" s="34" t="n">
        <x:v>0</x:v>
      </x:c>
      <x:c r="BE131" s="34" t="n">
        <x:v>0</x:v>
      </x:c>
      <x:c r="BF131" s="34" t="n">
        <x:v>0</x:v>
      </x:c>
      <x:c r="BG131" s="34" t="n">
        <x:v>1</x:v>
      </x:c>
      <x:c r="BH131" s="34" t="n">
        <x:v>1</x:v>
      </x:c>
      <x:c r="BI131" s="34" t="n">
        <x:v>0.28332</x:v>
      </x:c>
      <x:c r="BJ131" s="34" t="n">
        <x:v>0.6</x:v>
      </x:c>
      <x:c r="BK131" s="34" t="n">
        <x:v>1.06</x:v>
      </x:c>
    </x:row>
    <x:row r="132">
      <x:c r="A132" s="34" t="str">
        <x:v>KOBE_STEEL_JP</x:v>
      </x:c>
      <x:c r="B132" s="34" t="str">
        <x:v>Kobe Steel</x:v>
      </x:c>
      <x:c r="C132" s="34" t="str">
        <x:v>ACCELERATED_15C</x:v>
      </x:c>
      <x:c r="D132" s="34" t="str">
        <x:v>P2</x:v>
      </x:c>
      <x:c r="E132" s="34" t="str">
        <x:v>KOB-BF3</x:v>
      </x:c>
      <x:c r="F132" s="34" t="str">
        <x:v>Kakogawa Works BF 블록 3</x:v>
      </x:c>
      <x:c r="G132" s="34" t="str">
        <x:v>가코가와</x:v>
      </x:c>
      <x:c r="H132" s="34" t="n">
        <x:v>2037</x:v>
      </x:c>
      <x:c r="I132" s="34" t="str">
        <x:v>BF_BOF</x:v>
      </x:c>
      <x:c r="J132" s="34" t="str">
        <x:v>기준 BF-BOF 복합 블록</x:v>
      </x:c>
      <x:c r="K132" s="34" t="str">
        <x:v>H2_DRI_EAF</x:v>
      </x:c>
      <x:c r="L132" s="34" t="str">
        <x:v>수소 DRI + EAF</x:v>
      </x:c>
      <x:c r="M132" s="34" t="n">
        <x:v>3019.5</x:v>
      </x:c>
      <x:c r="N132" s="34" t="n">
        <x:v>2348.5</x:v>
      </x:c>
      <x:c r="O132" s="34" t="n">
        <x:v>3.05</x:v>
      </x:c>
      <x:c r="P132" s="34" t="n">
        <x:v>2.909999</x:v>
      </x:c>
      <x:c r="Q132" s="34" t="n">
        <x:v>7.076364</x:v>
      </x:c>
      <x:c r="R132" s="34" t="n">
        <x:v>7.076364</x:v>
      </x:c>
      <x:c r="S132" s="34" t="n">
        <x:v>0.582</x:v>
      </x:c>
      <x:c r="T132" s="34" t="n">
        <x:v>0.582</x:v>
      </x:c>
      <x:c r="U132" s="34" t="n">
        <x:v>6.494364</x:v>
      </x:c>
      <x:c r="V132" s="34" t="n">
        <x:v>25.977455</x:v>
      </x:c>
      <x:c r="W132" s="34" t="n">
        <x:v>4783.094</x:v>
      </x:c>
      <x:c r="X132" s="34" t="n">
        <x:v>592.749</x:v>
      </x:c>
      <x:c r="Y132" s="34" t="n">
        <x:v>6134.623</x:v>
      </x:c>
      <x:c r="Z132" s="34" t="n">
        <x:v>5541.874</x:v>
      </x:c>
      <x:c r="AA132" s="34" t="n">
        <x:v>1351.53</x:v>
      </x:c>
      <x:c r="AB132" s="34" t="n">
        <x:v>4190.344</x:v>
      </x:c>
      <x:c r="AC132" s="34" t="n">
        <x:v>1235.268</x:v>
      </x:c>
      <x:c r="AD132" s="34" t="n">
        <x:v>62.261</x:v>
      </x:c>
      <x:c r="AE132" s="34" t="n">
        <x:v>599.616</x:v>
      </x:c>
      <x:c r="AF132" s="34" t="n">
        <x:v>4229.879</x:v>
      </x:c>
      <x:c r="AG132" s="34" t="n">
        <x:v>7.6</x:v>
      </x:c>
      <x:c r="AH132" s="34" t="n">
        <x:v>-1351.53</x:v>
      </x:c>
      <x:c r="AI132" s="34" t="str">
        <x:v>model_estimate</x:v>
      </x:c>
      <x:c r="AJ132" s="34" t="str">
        <x:v>2016년 BF3 개수와 장기 수명주기를 반영한 재투자연도 추정</x:v>
      </x:c>
      <x:c r="AK132" s="34" t="str">
        <x:v>CAND-7F0A690E87B72D</x:v>
      </x:c>
      <x:c r="AL132" s="34" t="str">
        <x:v>P2</x:v>
      </x:c>
      <x:c r="AM132" s="34" t="str">
        <x:v>PORT-8384667F6B8E</x:v>
      </x:c>
      <x:c r="AN132" s="34" t="n">
        <x:v>1000</x:v>
      </x:c>
      <x:c r="AO132" s="34" t="n">
        <x:v>42.993617</x:v>
      </x:c>
      <x:c r="AP132" s="34" t="n">
        <x:v>17.888931</x:v>
      </x:c>
      <x:c r="AQ132" s="34" t="n">
        <x:v>96.451092</x:v>
      </x:c>
      <x:c r="AR132" s="34" t="n">
        <x:v>4027.512</x:v>
      </x:c>
      <x:c r="AS132" s="34" t="n">
        <x:v>41.757041</x:v>
      </x:c>
      <x:c r="AT132" s="40" t="b">
        <x:v>0</x:v>
      </x:c>
      <x:c r="AU132" s="40" t="b">
        <x:v>0</x:v>
      </x:c>
      <x:c r="AV132" s="34" t="n">
        <x:v>2035</x:v>
      </x:c>
      <x:c r="AW132" s="34" t="n">
        <x:v>0.6138637290849003</x:v>
      </x:c>
      <x:c r="AX132" s="34" t="n">
        <x:v>-0.6138637290849003</x:v>
      </x:c>
      <x:c r="AY132" s="40" t="b">
        <x:v>1</x:v>
      </x:c>
      <x:c r="AZ132" s="40" t="b">
        <x:v>1</x:v>
      </x:c>
      <x:c r="BA132" s="40" t="b">
        <x:v>1</x:v>
      </x:c>
      <x:c r="BB132" s="40" t="b">
        <x:v>1</x:v>
      </x:c>
      <x:c r="BC132" s="34" t="str"/>
      <x:c r="BD132" s="34" t="n">
        <x:v>0</x:v>
      </x:c>
      <x:c r="BE132" s="34" t="n">
        <x:v>0</x:v>
      </x:c>
      <x:c r="BF132" s="34" t="n">
        <x:v>0</x:v>
      </x:c>
      <x:c r="BG132" s="34" t="n">
        <x:v>1</x:v>
      </x:c>
      <x:c r="BH132" s="34" t="n">
        <x:v>1</x:v>
      </x:c>
      <x:c r="BI132" s="34" t="n">
        <x:v>0.28332</x:v>
      </x:c>
      <x:c r="BJ132" s="34" t="n">
        <x:v>0.6</x:v>
      </x:c>
      <x:c r="BK132" s="34" t="n">
        <x:v>1.06</x:v>
      </x:c>
    </x:row>
    <x:row r="133">
      <x:c r="A133" s="34" t="str">
        <x:v>KOBE_STEEL_JP</x:v>
      </x:c>
      <x:c r="B133" s="34" t="str">
        <x:v>Kobe Steel</x:v>
      </x:c>
      <x:c r="C133" s="34" t="str">
        <x:v>ACCELERATED_15C</x:v>
      </x:c>
      <x:c r="D133" s="34" t="str">
        <x:v>P2</x:v>
      </x:c>
      <x:c r="E133" s="34" t="str">
        <x:v>KOB-TAKA</x:v>
      </x:c>
      <x:c r="F133" s="34" t="str">
        <x:v>Takasago Works EAF block</x:v>
      </x:c>
      <x:c r="G133" s="34" t="str">
        <x:v>다카사고</x:v>
      </x:c>
      <x:c r="H133" s="34" t="n">
        <x:v>2033</x:v>
      </x:c>
      <x:c r="I133" s="34" t="str">
        <x:v>EAF_BASELINE</x:v>
      </x:c>
      <x:c r="J133" s="34" t="str">
        <x:v>기존 전기로 기준 블록</x:v>
      </x:c>
      <x:c r="K133" s="34" t="str">
        <x:v>EAF_RENEWABLE</x:v>
      </x:c>
      <x:c r="L133" s="34" t="str">
        <x:v>기존 EAF 재생전력 업그레이드</x:v>
      </x:c>
      <x:c r="M133" s="34" t="n">
        <x:v>40.04</x:v>
      </x:c>
      <x:c r="N133" s="34" t="n">
        <x:v>12.32</x:v>
      </x:c>
      <x:c r="O133" s="34" t="n">
        <x:v>0.14</x:v>
      </x:c>
      <x:c r="P133" s="34" t="n">
        <x:v>0.1</x:v>
      </x:c>
      <x:c r="Q133" s="34" t="n">
        <x:v>0.05</x:v>
      </x:c>
      <x:c r="R133" s="34" t="n">
        <x:v>0.05</x:v>
      </x:c>
      <x:c r="S133" s="34" t="n">
        <x:v>0.01</x:v>
      </x:c>
      <x:c r="T133" s="34" t="n">
        <x:v>0.01</x:v>
      </x:c>
      <x:c r="U133" s="34" t="n">
        <x:v>0.04</x:v>
      </x:c>
      <x:c r="V133" s="34" t="n">
        <x:v>0.32</x:v>
      </x:c>
      <x:c r="W133" s="34" t="n">
        <x:v>-6.699</x:v>
      </x:c>
      <x:c r="X133" s="34" t="n">
        <x:v>1.609</x:v>
      </x:c>
      <x:c r="Y133" s="34" t="n">
        <x:v>9.995</x:v>
      </x:c>
      <x:c r="Z133" s="34" t="n">
        <x:v>8.386</x:v>
      </x:c>
      <x:c r="AA133" s="34" t="n">
        <x:v>16.694</x:v>
      </x:c>
      <x:c r="AB133" s="34" t="n">
        <x:v>-8.308</x:v>
      </x:c>
      <x:c r="AC133" s="34" t="n">
        <x:v>8.028</x:v>
      </x:c>
      <x:c r="AD133" s="34" t="n">
        <x:v>0</x:v>
      </x:c>
      <x:c r="AE133" s="34" t="n">
        <x:v>1.948</x:v>
      </x:c>
      <x:c r="AF133" s="34" t="n">
        <x:v>0</x:v>
      </x:c>
      <x:c r="AG133" s="34" t="n">
        <x:v>0.019</x:v>
      </x:c>
      <x:c r="AH133" s="34" t="n">
        <x:v>-16.694</x:v>
      </x:c>
      <x:c r="AI133" s="34" t="str">
        <x:v>model_estimate</x:v>
      </x:c>
      <x:c r="AJ133" s="34" t="str">
        <x:v>다카사고 포함 공식 조강 총량에 맞춘 소규모 EAF 블록 추정</x:v>
      </x:c>
      <x:c r="AK133" s="34" t="str">
        <x:v>CAND-7F0A690E87B72D</x:v>
      </x:c>
      <x:c r="AL133" s="34" t="str">
        <x:v>P2</x:v>
      </x:c>
      <x:c r="AM133" s="34" t="str">
        <x:v>PORT-8384667F6B8E</x:v>
      </x:c>
      <x:c r="AN133" s="34" t="n">
        <x:v>1000</x:v>
      </x:c>
      <x:c r="AO133" s="34" t="n">
        <x:v>42.993617</x:v>
      </x:c>
      <x:c r="AP133" s="34" t="n">
        <x:v>17.888931</x:v>
      </x:c>
      <x:c r="AQ133" s="34" t="n">
        <x:v>96.451092</x:v>
      </x:c>
      <x:c r="AR133" s="34" t="n">
        <x:v>4027.512</x:v>
      </x:c>
      <x:c r="AS133" s="34" t="n">
        <x:v>41.757041</x:v>
      </x:c>
      <x:c r="AT133" s="40" t="b">
        <x:v>0</x:v>
      </x:c>
      <x:c r="AU133" s="40" t="b">
        <x:v>0</x:v>
      </x:c>
      <x:c r="AV133" s="34" t="n">
        <x:v>2035</x:v>
      </x:c>
      <x:c r="AW133" s="34" t="n">
        <x:v>0.6138637290849003</x:v>
      </x:c>
      <x:c r="AX133" s="34" t="n">
        <x:v>-0.6138637290849003</x:v>
      </x:c>
      <x:c r="AY133" s="40" t="b">
        <x:v>1</x:v>
      </x:c>
      <x:c r="AZ133" s="40" t="b">
        <x:v>1</x:v>
      </x:c>
      <x:c r="BA133" s="40" t="b">
        <x:v>1</x:v>
      </x:c>
      <x:c r="BB133" s="40" t="b">
        <x:v>1</x:v>
      </x:c>
      <x:c r="BC133" s="34" t="str"/>
      <x:c r="BD133" s="34" t="n">
        <x:v>0</x:v>
      </x:c>
      <x:c r="BE133" s="34" t="n">
        <x:v>0</x:v>
      </x:c>
      <x:c r="BF133" s="34" t="n">
        <x:v>0</x:v>
      </x:c>
      <x:c r="BG133" s="34" t="n">
        <x:v>1</x:v>
      </x:c>
      <x:c r="BH133" s="34" t="n">
        <x:v>1</x:v>
      </x:c>
      <x:c r="BI133" s="34" t="n">
        <x:v>0.28332</x:v>
      </x:c>
      <x:c r="BJ133" s="34" t="n">
        <x:v>0.6</x:v>
      </x:c>
      <x:c r="BK133" s="34" t="n">
        <x:v>1.06</x:v>
      </x:c>
    </x:row>
    <x:row r="134">
      <x:c r="A134" s="34" t="str">
        <x:v>POSCO_KR</x:v>
      </x:c>
      <x:c r="B134" s="34" t="str">
        <x:v>POSCO</x:v>
      </x:c>
      <x:c r="C134" s="34" t="str">
        <x:v>DISCLOSED_PATH</x:v>
      </x:c>
      <x:c r="D134" s="34" t="str">
        <x:v>P2</x:v>
      </x:c>
      <x:c r="E134" s="34" t="str">
        <x:v>POS-GWY-E</x:v>
      </x:c>
      <x:c r="F134" s="34" t="str">
        <x:v>광양제철소 BF 블록 B</x:v>
      </x:c>
      <x:c r="G134" s="34" t="str">
        <x:v>광양</x:v>
      </x:c>
      <x:c r="H134" s="34" t="n">
        <x:v>2037</x:v>
      </x:c>
      <x:c r="I134" s="34" t="str">
        <x:v>BF_BOF</x:v>
      </x:c>
      <x:c r="J134" s="34" t="str">
        <x:v>기준 BF-BOF 복합 블록</x:v>
      </x:c>
      <x:c r="K134" s="34" t="str">
        <x:v>H2_DRI_EAF</x:v>
      </x:c>
      <x:c r="L134" s="34" t="str">
        <x:v>수소 DRI + EAF</x:v>
      </x:c>
      <x:c r="M134" s="34" t="n">
        <x:v>9270</x:v>
      </x:c>
      <x:c r="N134" s="34" t="n">
        <x:v>7210</x:v>
      </x:c>
      <x:c r="O134" s="34" t="n">
        <x:v>10.3</x:v>
      </x:c>
      <x:c r="P134" s="34" t="n">
        <x:v>9.502996</x:v>
      </x:c>
      <x:c r="Q134" s="34" t="n">
        <x:v>19.725693</x:v>
      </x:c>
      <x:c r="R134" s="34" t="n">
        <x:v>19.725693</x:v>
      </x:c>
      <x:c r="S134" s="34" t="n">
        <x:v>1.900599</x:v>
      </x:c>
      <x:c r="T134" s="34" t="n">
        <x:v>1.900599</x:v>
      </x:c>
      <x:c r="U134" s="34" t="n">
        <x:v>17.825093</x:v>
      </x:c>
      <x:c r="V134" s="34" t="n">
        <x:v>71.300373</x:v>
      </x:c>
      <x:c r="W134" s="34" t="n">
        <x:v>11451.871</x:v>
      </x:c>
      <x:c r="X134" s="34" t="n">
        <x:v>1050.235</x:v>
      </x:c>
      <x:c r="Y134" s="34" t="n">
        <x:v>14011.059</x:v>
      </x:c>
      <x:c r="Z134" s="34" t="n">
        <x:v>12960.824</x:v>
      </x:c>
      <x:c r="AA134" s="34" t="n">
        <x:v>2559.188</x:v>
      </x:c>
      <x:c r="AB134" s="34" t="n">
        <x:v>10401.636</x:v>
      </x:c>
      <x:c r="AC134" s="34" t="n">
        <x:v>3792.327</x:v>
      </x:c>
      <x:c r="AD134" s="34" t="n">
        <x:v>295.74</x:v>
      </x:c>
      <x:c r="AE134" s="34" t="n">
        <x:v>1153.737</x:v>
      </x:c>
      <x:c r="AF134" s="34" t="n">
        <x:v>8751.189</x:v>
      </x:c>
      <x:c r="AG134" s="34" t="n">
        <x:v>18.066</x:v>
      </x:c>
      <x:c r="AH134" s="34" t="n">
        <x:v>-2559.188</x:v>
      </x:c>
      <x:c r="AI134" s="34" t="str">
        <x:v>model_estimate</x:v>
      </x:c>
      <x:c r="AJ134" s="34" t="str">
        <x:v>POSCO 공식 국내 생산·배출 총량에 맞춘 설비 블록 배분; 개별 생산량·재투자연도는 추정</x:v>
      </x:c>
      <x:c r="AK134" s="34" t="str">
        <x:v>CAND-82FF2AA13BA34C</x:v>
      </x:c>
      <x:c r="AL134" s="34" t="str">
        <x:v>P2</x:v>
      </x:c>
      <x:c r="AM134" s="34" t="str">
        <x:v>PORT-8826D0B469EE</x:v>
      </x:c>
      <x:c r="AN134" s="34" t="n">
        <x:v>1000</x:v>
      </x:c>
      <x:c r="AO134" s="34" t="n">
        <x:v>65.127613</x:v>
      </x:c>
      <x:c r="AP134" s="34" t="n">
        <x:v>17.340078</x:v>
      </x:c>
      <x:c r="AQ134" s="34" t="n">
        <x:v>429.154227</x:v>
      </x:c>
      <x:c r="AR134" s="34" t="n">
        <x:v>27287.38</x:v>
      </x:c>
      <x:c r="AS134" s="34" t="n">
        <x:v>63.584089</x:v>
      </x:c>
      <x:c r="AT134" s="40" t="b">
        <x:v>1</x:v>
      </x:c>
      <x:c r="AU134" s="40" t="b">
        <x:v>1</x:v>
      </x:c>
      <x:c r="AV134" s="34" t="str"/>
      <x:c r="AW134" s="34" t="n">
        <x:v>0</x:v>
      </x:c>
      <x:c r="AX134" s="34" t="str">
        <x:v>2.0275124185786808e-05</x:v>
      </x:c>
      <x:c r="AY134" s="40" t="b">
        <x:v>1</x:v>
      </x:c>
      <x:c r="AZ134" s="40" t="b">
        <x:v>1</x:v>
      </x:c>
      <x:c r="BA134" s="40" t="b">
        <x:v>1</x:v>
      </x:c>
      <x:c r="BB134" s="40" t="b">
        <x:v>1</x:v>
      </x:c>
      <x:c r="BC134" s="34" t="str"/>
      <x:c r="BD134" s="34" t="n">
        <x:v>0</x:v>
      </x:c>
      <x:c r="BE134" s="34" t="n">
        <x:v>0</x:v>
      </x:c>
      <x:c r="BF134" s="34" t="n">
        <x:v>0</x:v>
      </x:c>
      <x:c r="BG134" s="34" t="n">
        <x:v>3</x:v>
      </x:c>
      <x:c r="BH134" s="34" t="n">
        <x:v>3</x:v>
      </x:c>
      <x:c r="BI134" s="34" t="n">
        <x:v>0.459336608</x:v>
      </x:c>
      <x:c r="BJ134" s="34" t="n">
        <x:v>0.65</x:v>
      </x:c>
      <x:c r="BK134" s="34" t="n">
        <x:v>2.02</x:v>
      </x:c>
    </x:row>
    <x:row r="135">
      <x:c r="A135" s="34" t="str">
        <x:v>POSCO_KR</x:v>
      </x:c>
      <x:c r="B135" s="34" t="str">
        <x:v>POSCO</x:v>
      </x:c>
      <x:c r="C135" s="34" t="str">
        <x:v>DISCLOSED_PATH</x:v>
      </x:c>
      <x:c r="D135" s="34" t="str">
        <x:v>P2</x:v>
      </x:c>
      <x:c r="E135" s="34" t="str">
        <x:v>POS-GWY-EAF</x:v>
      </x:c>
      <x:c r="F135" s="34" t="str">
        <x:v>광양 기존 EAF 블록</x:v>
      </x:c>
      <x:c r="G135" s="34" t="str">
        <x:v>광양</x:v>
      </x:c>
      <x:c r="H135" s="34" t="n">
        <x:v>2033</x:v>
      </x:c>
      <x:c r="I135" s="34" t="str">
        <x:v>EAF_BASELINE</x:v>
      </x:c>
      <x:c r="J135" s="34" t="str">
        <x:v>기존 전기로 기준 블록</x:v>
      </x:c>
      <x:c r="K135" s="34" t="str">
        <x:v>EAF_RENEWABLE</x:v>
      </x:c>
      <x:c r="L135" s="34" t="str">
        <x:v>기존 EAF 재생전력 업그레이드</x:v>
      </x:c>
      <x:c r="M135" s="34" t="n">
        <x:v>312</x:v>
      </x:c>
      <x:c r="N135" s="34" t="n">
        <x:v>96</x:v>
      </x:c>
      <x:c r="O135" s="34" t="n">
        <x:v>1.2</x:v>
      </x:c>
      <x:c r="P135" s="34" t="n">
        <x:v>1.134</x:v>
      </x:c>
      <x:c r="Q135" s="34" t="n">
        <x:v>0.5103</x:v>
      </x:c>
      <x:c r="R135" s="34" t="n">
        <x:v>0.5103</x:v>
      </x:c>
      <x:c r="S135" s="34" t="n">
        <x:v>0.1134</x:v>
      </x:c>
      <x:c r="T135" s="34" t="n">
        <x:v>0.1134</x:v>
      </x:c>
      <x:c r="U135" s="34" t="n">
        <x:v>0.3969</x:v>
      </x:c>
      <x:c r="V135" s="34" t="n">
        <x:v>3.1752</x:v>
      </x:c>
      <x:c r="W135" s="34" t="n">
        <x:v>0.429</x:v>
      </x:c>
      <x:c r="X135" s="34" t="n">
        <x:v>6.268</x:v>
      </x:c>
      <x:c r="Y135" s="34" t="n">
        <x:v>115.955</x:v>
      </x:c>
      <x:c r="Z135" s="34" t="n">
        <x:v>109.687</x:v>
      </x:c>
      <x:c r="AA135" s="34" t="n">
        <x:v>115.527</x:v>
      </x:c>
      <x:c r="AB135" s="34" t="n">
        <x:v>-5.839</x:v>
      </x:c>
      <x:c r="AC135" s="34" t="n">
        <x:v>62.553</x:v>
      </x:c>
      <x:c r="AD135" s="34" t="n">
        <x:v>14.814</x:v>
      </x:c>
      <x:c r="AE135" s="34" t="n">
        <x:v>38.405</x:v>
      </x:c>
      <x:c r="AF135" s="34" t="n">
        <x:v>0</x:v>
      </x:c>
      <x:c r="AG135" s="34" t="n">
        <x:v>0.183</x:v>
      </x:c>
      <x:c r="AH135" s="34" t="n">
        <x:v>-115.527</x:v>
      </x:c>
      <x:c r="AI135" s="34" t="str">
        <x:v>model_estimate</x:v>
      </x:c>
      <x:c r="AJ135" s="34" t="str">
        <x:v>2025 공식 EAF 생산 1.135Mt에 맞춘 모델 블록; 집약도·재투자연도 추정</x:v>
      </x:c>
      <x:c r="AK135" s="34" t="str">
        <x:v>CAND-82FF2AA13BA34C</x:v>
      </x:c>
      <x:c r="AL135" s="34" t="str">
        <x:v>P2</x:v>
      </x:c>
      <x:c r="AM135" s="34" t="str">
        <x:v>PORT-8826D0B469EE</x:v>
      </x:c>
      <x:c r="AN135" s="34" t="n">
        <x:v>1000</x:v>
      </x:c>
      <x:c r="AO135" s="34" t="n">
        <x:v>65.127613</x:v>
      </x:c>
      <x:c r="AP135" s="34" t="n">
        <x:v>17.340078</x:v>
      </x:c>
      <x:c r="AQ135" s="34" t="n">
        <x:v>429.154227</x:v>
      </x:c>
      <x:c r="AR135" s="34" t="n">
        <x:v>27287.38</x:v>
      </x:c>
      <x:c r="AS135" s="34" t="n">
        <x:v>63.584089</x:v>
      </x:c>
      <x:c r="AT135" s="40" t="b">
        <x:v>1</x:v>
      </x:c>
      <x:c r="AU135" s="40" t="b">
        <x:v>1</x:v>
      </x:c>
      <x:c r="AV135" s="34" t="str"/>
      <x:c r="AW135" s="34" t="n">
        <x:v>0</x:v>
      </x:c>
      <x:c r="AX135" s="34" t="str">
        <x:v>2.0275124185786808e-05</x:v>
      </x:c>
      <x:c r="AY135" s="40" t="b">
        <x:v>1</x:v>
      </x:c>
      <x:c r="AZ135" s="40" t="b">
        <x:v>1</x:v>
      </x:c>
      <x:c r="BA135" s="40" t="b">
        <x:v>1</x:v>
      </x:c>
      <x:c r="BB135" s="40" t="b">
        <x:v>1</x:v>
      </x:c>
      <x:c r="BC135" s="34" t="str"/>
      <x:c r="BD135" s="34" t="n">
        <x:v>0</x:v>
      </x:c>
      <x:c r="BE135" s="34" t="n">
        <x:v>0</x:v>
      </x:c>
      <x:c r="BF135" s="34" t="n">
        <x:v>0</x:v>
      </x:c>
      <x:c r="BG135" s="34" t="n">
        <x:v>3</x:v>
      </x:c>
      <x:c r="BH135" s="34" t="n">
        <x:v>3</x:v>
      </x:c>
      <x:c r="BI135" s="34" t="n">
        <x:v>0.459336608</x:v>
      </x:c>
      <x:c r="BJ135" s="34" t="n">
        <x:v>0.65</x:v>
      </x:c>
      <x:c r="BK135" s="34" t="n">
        <x:v>2.02</x:v>
      </x:c>
    </x:row>
    <x:row r="136">
      <x:c r="A136" s="34" t="str">
        <x:v>POSCO_KR</x:v>
      </x:c>
      <x:c r="B136" s="34" t="str">
        <x:v>POSCO</x:v>
      </x:c>
      <x:c r="C136" s="34" t="str">
        <x:v>DISCLOSED_PATH</x:v>
      </x:c>
      <x:c r="D136" s="34" t="str">
        <x:v>P2</x:v>
      </x:c>
      <x:c r="E136" s="34" t="str">
        <x:v>POS-GWY-W</x:v>
      </x:c>
      <x:c r="F136" s="34" t="str">
        <x:v>광양제철소 BF 블록 A</x:v>
      </x:c>
      <x:c r="G136" s="34" t="str">
        <x:v>광양</x:v>
      </x:c>
      <x:c r="H136" s="34" t="n">
        <x:v>2035</x:v>
      </x:c>
      <x:c r="I136" s="34" t="str">
        <x:v>BF_BOF</x:v>
      </x:c>
      <x:c r="J136" s="34" t="str">
        <x:v>기준 BF-BOF 복합 블록</x:v>
      </x:c>
      <x:c r="K136" s="34" t="str">
        <x:v>H2_DRI_EAF</x:v>
      </x:c>
      <x:c r="L136" s="34" t="str">
        <x:v>수소 DRI + EAF</x:v>
      </x:c>
      <x:c r="M136" s="34" t="n">
        <x:v>9270</x:v>
      </x:c>
      <x:c r="N136" s="34" t="n">
        <x:v>7210</x:v>
      </x:c>
      <x:c r="O136" s="34" t="n">
        <x:v>10.3</x:v>
      </x:c>
      <x:c r="P136" s="34" t="n">
        <x:v>9.499999</x:v>
      </x:c>
      <x:c r="Q136" s="34" t="n">
        <x:v>19.719471</x:v>
      </x:c>
      <x:c r="R136" s="34" t="n">
        <x:v>19.719471</x:v>
      </x:c>
      <x:c r="S136" s="34" t="n">
        <x:v>1.9</x:v>
      </x:c>
      <x:c r="T136" s="34" t="n">
        <x:v>1.9</x:v>
      </x:c>
      <x:c r="U136" s="34" t="n">
        <x:v>17.819471</x:v>
      </x:c>
      <x:c r="V136" s="34" t="n">
        <x:v>106.916827</x:v>
      </x:c>
      <x:c r="W136" s="34" t="n">
        <x:v>16450.8</x:v>
      </x:c>
      <x:c r="X136" s="34" t="n">
        <x:v>1272.667</x:v>
      </x:c>
      <x:c r="Y136" s="34" t="n">
        <x:v>20320.506</x:v>
      </x:c>
      <x:c r="Z136" s="34" t="n">
        <x:v>19047.84</x:v>
      </x:c>
      <x:c r="AA136" s="34" t="n">
        <x:v>3869.706</x:v>
      </x:c>
      <x:c r="AB136" s="34" t="n">
        <x:v>15178.134</x:v>
      </x:c>
      <x:c r="AC136" s="34" t="n">
        <x:v>4220.954</x:v>
      </x:c>
      <x:c r="AD136" s="34" t="n">
        <x:v>468.979</x:v>
      </x:c>
      <x:c r="AE136" s="34" t="n">
        <x:v>1808.57</x:v>
      </x:c>
      <x:c r="AF136" s="34" t="n">
        <x:v>13797.051</x:v>
      </x:c>
      <x:c r="AG136" s="34" t="n">
        <x:v>24.952</x:v>
      </x:c>
      <x:c r="AH136" s="34" t="n">
        <x:v>-3869.706</x:v>
      </x:c>
      <x:c r="AI136" s="34" t="str">
        <x:v>model_estimate</x:v>
      </x:c>
      <x:c r="AJ136" s="34" t="str">
        <x:v>POSCO 공식 국내 생산·배출 총량에 맞춘 설비 블록 배분; 개별 생산량·재투자연도는 추정</x:v>
      </x:c>
      <x:c r="AK136" s="34" t="str">
        <x:v>CAND-82FF2AA13BA34C</x:v>
      </x:c>
      <x:c r="AL136" s="34" t="str">
        <x:v>P2</x:v>
      </x:c>
      <x:c r="AM136" s="34" t="str">
        <x:v>PORT-8826D0B469EE</x:v>
      </x:c>
      <x:c r="AN136" s="34" t="n">
        <x:v>1000</x:v>
      </x:c>
      <x:c r="AO136" s="34" t="n">
        <x:v>65.127613</x:v>
      </x:c>
      <x:c r="AP136" s="34" t="n">
        <x:v>17.340078</x:v>
      </x:c>
      <x:c r="AQ136" s="34" t="n">
        <x:v>429.154227</x:v>
      </x:c>
      <x:c r="AR136" s="34" t="n">
        <x:v>27287.38</x:v>
      </x:c>
      <x:c r="AS136" s="34" t="n">
        <x:v>63.584089</x:v>
      </x:c>
      <x:c r="AT136" s="40" t="b">
        <x:v>1</x:v>
      </x:c>
      <x:c r="AU136" s="40" t="b">
        <x:v>1</x:v>
      </x:c>
      <x:c r="AV136" s="34" t="str"/>
      <x:c r="AW136" s="34" t="n">
        <x:v>0</x:v>
      </x:c>
      <x:c r="AX136" s="34" t="str">
        <x:v>2.0275124185786808e-05</x:v>
      </x:c>
      <x:c r="AY136" s="40" t="b">
        <x:v>1</x:v>
      </x:c>
      <x:c r="AZ136" s="40" t="b">
        <x:v>1</x:v>
      </x:c>
      <x:c r="BA136" s="40" t="b">
        <x:v>1</x:v>
      </x:c>
      <x:c r="BB136" s="40" t="b">
        <x:v>1</x:v>
      </x:c>
      <x:c r="BC136" s="34" t="str"/>
      <x:c r="BD136" s="34" t="n">
        <x:v>0</x:v>
      </x:c>
      <x:c r="BE136" s="34" t="n">
        <x:v>0</x:v>
      </x:c>
      <x:c r="BF136" s="34" t="n">
        <x:v>0</x:v>
      </x:c>
      <x:c r="BG136" s="34" t="n">
        <x:v>3</x:v>
      </x:c>
      <x:c r="BH136" s="34" t="n">
        <x:v>3</x:v>
      </x:c>
      <x:c r="BI136" s="34" t="n">
        <x:v>0.459336608</x:v>
      </x:c>
      <x:c r="BJ136" s="34" t="n">
        <x:v>0.65</x:v>
      </x:c>
      <x:c r="BK136" s="34" t="n">
        <x:v>2.02</x:v>
      </x:c>
    </x:row>
    <x:row r="137">
      <x:c r="A137" s="34" t="str">
        <x:v>POSCO_KR</x:v>
      </x:c>
      <x:c r="B137" s="34" t="str">
        <x:v>POSCO</x:v>
      </x:c>
      <x:c r="C137" s="34" t="str">
        <x:v>DISCLOSED_PATH</x:v>
      </x:c>
      <x:c r="D137" s="34" t="str">
        <x:v>P2</x:v>
      </x:c>
      <x:c r="E137" s="34" t="str">
        <x:v>POS-POH-N</x:v>
      </x:c>
      <x:c r="F137" s="34" t="str">
        <x:v>포항제철소 BF 블록 A</x:v>
      </x:c>
      <x:c r="G137" s="34" t="str">
        <x:v>포항</x:v>
      </x:c>
      <x:c r="H137" s="34" t="n">
        <x:v>2029</x:v>
      </x:c>
      <x:c r="I137" s="34" t="str">
        <x:v>BF_BOF</x:v>
      </x:c>
      <x:c r="J137" s="34" t="str">
        <x:v>기준 BF-BOF 복합 블록</x:v>
      </x:c>
      <x:c r="K137" s="34" t="str">
        <x:v>SCRAP_EAF</x:v>
      </x:c>
      <x:c r="L137" s="34" t="str">
        <x:v>스크랩 기반 대형 EAF</x:v>
      </x:c>
      <x:c r="M137" s="34" t="n">
        <x:v>4592</x:v>
      </x:c>
      <x:c r="N137" s="34" t="n">
        <x:v>2952</x:v>
      </x:c>
      <x:c r="O137" s="34" t="n">
        <x:v>8.2</x:v>
      </x:c>
      <x:c r="P137" s="34" t="n">
        <x:v>7.599998</x:v>
      </x:c>
      <x:c r="Q137" s="34" t="n">
        <x:v>15.775574</x:v>
      </x:c>
      <x:c r="R137" s="34" t="n">
        <x:v>3.419999</x:v>
      </x:c>
      <x:c r="S137" s="34" t="n">
        <x:v>3.419999</x:v>
      </x:c>
      <x:c r="T137" s="34" t="n">
        <x:v>3.419999</x:v>
      </x:c>
      <x:c r="U137" s="34" t="n">
        <x:v>12.355575</x:v>
      </x:c>
      <x:c r="V137" s="34" t="n">
        <x:v>148.266898</x:v>
      </x:c>
      <x:c r="W137" s="34" t="n">
        <x:v>1386.926</x:v>
      </x:c>
      <x:c r="X137" s="34" t="n">
        <x:v>358.36</x:v>
      </x:c>
      <x:c r="Y137" s="34" t="n">
        <x:v>6774.035</x:v>
      </x:c>
      <x:c r="Z137" s="34" t="n">
        <x:v>6415.675</x:v>
      </x:c>
      <x:c r="AA137" s="34" t="n">
        <x:v>5387.108</x:v>
      </x:c>
      <x:c r="AB137" s="34" t="n">
        <x:v>1028.566</x:v>
      </x:c>
      <x:c r="AC137" s="34" t="n">
        <x:v>2382.904</x:v>
      </x:c>
      <x:c r="AD137" s="34" t="n">
        <x:v>446.25</x:v>
      </x:c>
      <x:c r="AE137" s="34" t="n">
        <x:v>3934.214</x:v>
      </x:c>
      <x:c r="AF137" s="34" t="n">
        <x:v>0</x:v>
      </x:c>
      <x:c r="AG137" s="34" t="n">
        <x:v>10.667</x:v>
      </x:c>
      <x:c r="AH137" s="34" t="n">
        <x:v>-5387.108</x:v>
      </x:c>
      <x:c r="AI137" s="34" t="str">
        <x:v>model_estimate</x:v>
      </x:c>
      <x:c r="AJ137" s="34" t="str">
        <x:v>POSCO 공식 국내 생산·배출 총량에 맞춘 설비 블록 배분; 개별 생산량·재투자연도는 추정</x:v>
      </x:c>
      <x:c r="AK137" s="34" t="str">
        <x:v>CAND-82FF2AA13BA34C</x:v>
      </x:c>
      <x:c r="AL137" s="34" t="str">
        <x:v>P2</x:v>
      </x:c>
      <x:c r="AM137" s="34" t="str">
        <x:v>PORT-8826D0B469EE</x:v>
      </x:c>
      <x:c r="AN137" s="34" t="n">
        <x:v>1000</x:v>
      </x:c>
      <x:c r="AO137" s="34" t="n">
        <x:v>65.127613</x:v>
      </x:c>
      <x:c r="AP137" s="34" t="n">
        <x:v>17.340078</x:v>
      </x:c>
      <x:c r="AQ137" s="34" t="n">
        <x:v>429.154227</x:v>
      </x:c>
      <x:c r="AR137" s="34" t="n">
        <x:v>27287.38</x:v>
      </x:c>
      <x:c r="AS137" s="34" t="n">
        <x:v>63.584089</x:v>
      </x:c>
      <x:c r="AT137" s="40" t="b">
        <x:v>1</x:v>
      </x:c>
      <x:c r="AU137" s="40" t="b">
        <x:v>1</x:v>
      </x:c>
      <x:c r="AV137" s="34" t="str"/>
      <x:c r="AW137" s="34" t="n">
        <x:v>0</x:v>
      </x:c>
      <x:c r="AX137" s="34" t="str">
        <x:v>2.0275124185786808e-05</x:v>
      </x:c>
      <x:c r="AY137" s="40" t="b">
        <x:v>1</x:v>
      </x:c>
      <x:c r="AZ137" s="40" t="b">
        <x:v>1</x:v>
      </x:c>
      <x:c r="BA137" s="40" t="b">
        <x:v>1</x:v>
      </x:c>
      <x:c r="BB137" s="40" t="b">
        <x:v>1</x:v>
      </x:c>
      <x:c r="BC137" s="34" t="str"/>
      <x:c r="BD137" s="34" t="n">
        <x:v>0</x:v>
      </x:c>
      <x:c r="BE137" s="34" t="n">
        <x:v>0</x:v>
      </x:c>
      <x:c r="BF137" s="34" t="n">
        <x:v>0</x:v>
      </x:c>
      <x:c r="BG137" s="34" t="n">
        <x:v>3</x:v>
      </x:c>
      <x:c r="BH137" s="34" t="n">
        <x:v>3</x:v>
      </x:c>
      <x:c r="BI137" s="34" t="n">
        <x:v>0.459336608</x:v>
      </x:c>
      <x:c r="BJ137" s="34" t="n">
        <x:v>0.65</x:v>
      </x:c>
      <x:c r="BK137" s="34" t="n">
        <x:v>2.02</x:v>
      </x:c>
    </x:row>
    <x:row r="138">
      <x:c r="A138" s="34" t="str">
        <x:v>POSCO_KR</x:v>
      </x:c>
      <x:c r="B138" s="34" t="str">
        <x:v>POSCO</x:v>
      </x:c>
      <x:c r="C138" s="34" t="str">
        <x:v>DISCLOSED_PATH</x:v>
      </x:c>
      <x:c r="D138" s="34" t="str">
        <x:v>P2</x:v>
      </x:c>
      <x:c r="E138" s="34" t="str">
        <x:v>POS-POH-S</x:v>
      </x:c>
      <x:c r="F138" s="34" t="str">
        <x:v>포항제철소 BF 블록 B</x:v>
      </x:c>
      <x:c r="G138" s="34" t="str">
        <x:v>포항</x:v>
      </x:c>
      <x:c r="H138" s="34" t="n">
        <x:v>2032</x:v>
      </x:c>
      <x:c r="I138" s="34" t="str">
        <x:v>BF_BOF</x:v>
      </x:c>
      <x:c r="J138" s="34" t="str">
        <x:v>기준 BF-BOF 복합 블록</x:v>
      </x:c>
      <x:c r="K138" s="34" t="str">
        <x:v>SCRAP_EAF</x:v>
      </x:c>
      <x:c r="L138" s="34" t="str">
        <x:v>스크랩 기반 대형 EAF</x:v>
      </x:c>
      <x:c r="M138" s="34" t="n">
        <x:v>4144</x:v>
      </x:c>
      <x:c r="N138" s="34" t="n">
        <x:v>2664</x:v>
      </x:c>
      <x:c r="O138" s="34" t="n">
        <x:v>7.4</x:v>
      </x:c>
      <x:c r="P138" s="34" t="n">
        <x:v>6.800001</x:v>
      </x:c>
      <x:c r="Q138" s="34" t="n">
        <x:v>14.114992</x:v>
      </x:c>
      <x:c r="R138" s="34" t="n">
        <x:v>14.114992</x:v>
      </x:c>
      <x:c r="S138" s="34" t="n">
        <x:v>3.06</x:v>
      </x:c>
      <x:c r="T138" s="34" t="n">
        <x:v>3.06</x:v>
      </x:c>
      <x:c r="U138" s="34" t="n">
        <x:v>11.054992</x:v>
      </x:c>
      <x:c r="V138" s="34" t="n">
        <x:v>99.49493</x:v>
      </x:c>
      <x:c r="W138" s="34" t="n">
        <x:v>960.133</x:v>
      </x:c>
      <x:c r="X138" s="34" t="n">
        <x:v>275.249</x:v>
      </x:c>
      <x:c r="Y138" s="34" t="n">
        <x:v>4584.896</x:v>
      </x:c>
      <x:c r="Z138" s="34" t="n">
        <x:v>4309.647</x:v>
      </x:c>
      <x:c r="AA138" s="34" t="n">
        <x:v>3624.763</x:v>
      </x:c>
      <x:c r="AB138" s="34" t="n">
        <x:v>684.884</x:v>
      </x:c>
      <x:c r="AC138" s="34" t="n">
        <x:v>1831.332</x:v>
      </x:c>
      <x:c r="AD138" s="34" t="n">
        <x:v>274.288</x:v>
      </x:c>
      <x:c r="AE138" s="34" t="n">
        <x:v>2471.906</x:v>
      </x:c>
      <x:c r="AF138" s="34" t="n">
        <x:v>0</x:v>
      </x:c>
      <x:c r="AG138" s="34" t="n">
        <x:v>7.371</x:v>
      </x:c>
      <x:c r="AH138" s="34" t="n">
        <x:v>-3624.763</x:v>
      </x:c>
      <x:c r="AI138" s="34" t="str">
        <x:v>model_estimate</x:v>
      </x:c>
      <x:c r="AJ138" s="34" t="str">
        <x:v>POSCO 공식 국내 생산·배출 총량에 맞춘 설비 블록 배분; 개별 생산량·재투자연도는 추정</x:v>
      </x:c>
      <x:c r="AK138" s="34" t="str">
        <x:v>CAND-82FF2AA13BA34C</x:v>
      </x:c>
      <x:c r="AL138" s="34" t="str">
        <x:v>P2</x:v>
      </x:c>
      <x:c r="AM138" s="34" t="str">
        <x:v>PORT-8826D0B469EE</x:v>
      </x:c>
      <x:c r="AN138" s="34" t="n">
        <x:v>1000</x:v>
      </x:c>
      <x:c r="AO138" s="34" t="n">
        <x:v>65.127613</x:v>
      </x:c>
      <x:c r="AP138" s="34" t="n">
        <x:v>17.340078</x:v>
      </x:c>
      <x:c r="AQ138" s="34" t="n">
        <x:v>429.154227</x:v>
      </x:c>
      <x:c r="AR138" s="34" t="n">
        <x:v>27287.38</x:v>
      </x:c>
      <x:c r="AS138" s="34" t="n">
        <x:v>63.584089</x:v>
      </x:c>
      <x:c r="AT138" s="40" t="b">
        <x:v>1</x:v>
      </x:c>
      <x:c r="AU138" s="40" t="b">
        <x:v>1</x:v>
      </x:c>
      <x:c r="AV138" s="34" t="str"/>
      <x:c r="AW138" s="34" t="n">
        <x:v>0</x:v>
      </x:c>
      <x:c r="AX138" s="34" t="str">
        <x:v>2.0275124185786808e-05</x:v>
      </x:c>
      <x:c r="AY138" s="40" t="b">
        <x:v>1</x:v>
      </x:c>
      <x:c r="AZ138" s="40" t="b">
        <x:v>1</x:v>
      </x:c>
      <x:c r="BA138" s="40" t="b">
        <x:v>1</x:v>
      </x:c>
      <x:c r="BB138" s="40" t="b">
        <x:v>1</x:v>
      </x:c>
      <x:c r="BC138" s="34" t="str"/>
      <x:c r="BD138" s="34" t="n">
        <x:v>0</x:v>
      </x:c>
      <x:c r="BE138" s="34" t="n">
        <x:v>0</x:v>
      </x:c>
      <x:c r="BF138" s="34" t="n">
        <x:v>0</x:v>
      </x:c>
      <x:c r="BG138" s="34" t="n">
        <x:v>3</x:v>
      </x:c>
      <x:c r="BH138" s="34" t="n">
        <x:v>3</x:v>
      </x:c>
      <x:c r="BI138" s="34" t="n">
        <x:v>0.459336608</x:v>
      </x:c>
      <x:c r="BJ138" s="34" t="n">
        <x:v>0.65</x:v>
      </x:c>
      <x:c r="BK138" s="34" t="n">
        <x:v>2.02</x:v>
      </x:c>
    </x:row>
    <x:row r="139">
      <x:c r="A139" s="34" t="str">
        <x:v>POSCO_KR</x:v>
      </x:c>
      <x:c r="B139" s="34" t="str">
        <x:v>POSCO</x:v>
      </x:c>
      <x:c r="C139" s="34" t="str">
        <x:v>ACCELERATED_15C</x:v>
      </x:c>
      <x:c r="D139" s="34" t="str">
        <x:v>P2</x:v>
      </x:c>
      <x:c r="E139" s="34" t="str">
        <x:v>POS-GWY-E</x:v>
      </x:c>
      <x:c r="F139" s="34" t="str">
        <x:v>광양제철소 BF 블록 B</x:v>
      </x:c>
      <x:c r="G139" s="34" t="str">
        <x:v>광양</x:v>
      </x:c>
      <x:c r="H139" s="34" t="n">
        <x:v>2037</x:v>
      </x:c>
      <x:c r="I139" s="34" t="str">
        <x:v>BF_BOF</x:v>
      </x:c>
      <x:c r="J139" s="34" t="str">
        <x:v>기준 BF-BOF 복합 블록</x:v>
      </x:c>
      <x:c r="K139" s="34" t="str">
        <x:v>H2_DRI_EAF</x:v>
      </x:c>
      <x:c r="L139" s="34" t="str">
        <x:v>수소 DRI + EAF</x:v>
      </x:c>
      <x:c r="M139" s="34" t="n">
        <x:v>9270</x:v>
      </x:c>
      <x:c r="N139" s="34" t="n">
        <x:v>7210</x:v>
      </x:c>
      <x:c r="O139" s="34" t="n">
        <x:v>10.3</x:v>
      </x:c>
      <x:c r="P139" s="34" t="n">
        <x:v>9.502996</x:v>
      </x:c>
      <x:c r="Q139" s="34" t="n">
        <x:v>19.725693</x:v>
      </x:c>
      <x:c r="R139" s="34" t="n">
        <x:v>19.725693</x:v>
      </x:c>
      <x:c r="S139" s="34" t="n">
        <x:v>1.900599</x:v>
      </x:c>
      <x:c r="T139" s="34" t="n">
        <x:v>1.900599</x:v>
      </x:c>
      <x:c r="U139" s="34" t="n">
        <x:v>17.825093</x:v>
      </x:c>
      <x:c r="V139" s="34" t="n">
        <x:v>71.300373</x:v>
      </x:c>
      <x:c r="W139" s="34" t="n">
        <x:v>11248.125</x:v>
      </x:c>
      <x:c r="X139" s="34" t="n">
        <x:v>1452.798</x:v>
      </x:c>
      <x:c r="Y139" s="34" t="n">
        <x:v>15035.68</x:v>
      </x:c>
      <x:c r="Z139" s="34" t="n">
        <x:v>13582.882</x:v>
      </x:c>
      <x:c r="AA139" s="34" t="n">
        <x:v>3787.555</x:v>
      </x:c>
      <x:c r="AB139" s="34" t="n">
        <x:v>9795.327</x:v>
      </x:c>
      <x:c r="AC139" s="34" t="n">
        <x:v>3792.327</x:v>
      </x:c>
      <x:c r="AD139" s="34" t="n">
        <x:v>295.74</x:v>
      </x:c>
      <x:c r="AE139" s="34" t="n">
        <x:v>1311.15</x:v>
      </x:c>
      <x:c r="AF139" s="34" t="n">
        <x:v>9617.294</x:v>
      </x:c>
      <x:c r="AG139" s="34" t="n">
        <x:v>19.169</x:v>
      </x:c>
      <x:c r="AH139" s="34" t="n">
        <x:v>-3787.555</x:v>
      </x:c>
      <x:c r="AI139" s="34" t="str">
        <x:v>model_estimate</x:v>
      </x:c>
      <x:c r="AJ139" s="34" t="str">
        <x:v>POSCO 공식 국내 생산·배출 총량에 맞춘 설비 블록 배분; 개별 생산량·재투자연도는 추정</x:v>
      </x:c>
      <x:c r="AK139" s="34" t="str">
        <x:v>CAND-82FF2AA13BA34C</x:v>
      </x:c>
      <x:c r="AL139" s="34" t="str">
        <x:v>P2</x:v>
      </x:c>
      <x:c r="AM139" s="34" t="str">
        <x:v>PORT-8826D0B469EE</x:v>
      </x:c>
      <x:c r="AN139" s="34" t="n">
        <x:v>1000</x:v>
      </x:c>
      <x:c r="AO139" s="34" t="n">
        <x:v>53.31947</x:v>
      </x:c>
      <x:c r="AP139" s="34" t="n">
        <x:v>18.559119</x:v>
      </x:c>
      <x:c r="AQ139" s="34" t="n">
        <x:v>429.154227</x:v>
      </x:c>
      <x:c r="AR139" s="34" t="n">
        <x:v>22213.621</x:v>
      </x:c>
      <x:c r="AS139" s="34" t="n">
        <x:v>51.761393</x:v>
      </x:c>
      <x:c r="AT139" s="40" t="b">
        <x:v>1</x:v>
      </x:c>
      <x:c r="AU139" s="40" t="b">
        <x:v>1</x:v>
      </x:c>
      <x:c r="AV139" s="34" t="str"/>
      <x:c r="AW139" s="34" t="n">
        <x:v>0</x:v>
      </x:c>
      <x:c r="AX139" s="34" t="str">
        <x:v>2.0275124185786808e-05</x:v>
      </x:c>
      <x:c r="AY139" s="40" t="b">
        <x:v>1</x:v>
      </x:c>
      <x:c r="AZ139" s="40" t="b">
        <x:v>1</x:v>
      </x:c>
      <x:c r="BA139" s="40" t="b">
        <x:v>1</x:v>
      </x:c>
      <x:c r="BB139" s="40" t="b">
        <x:v>1</x:v>
      </x:c>
      <x:c r="BC139" s="34" t="str"/>
      <x:c r="BD139" s="34" t="n">
        <x:v>0</x:v>
      </x:c>
      <x:c r="BE139" s="34" t="n">
        <x:v>0</x:v>
      </x:c>
      <x:c r="BF139" s="34" t="n">
        <x:v>0</x:v>
      </x:c>
      <x:c r="BG139" s="34" t="n">
        <x:v>3</x:v>
      </x:c>
      <x:c r="BH139" s="34" t="n">
        <x:v>3</x:v>
      </x:c>
      <x:c r="BI139" s="34" t="n">
        <x:v>0.459336608</x:v>
      </x:c>
      <x:c r="BJ139" s="34" t="n">
        <x:v>0.65</x:v>
      </x:c>
      <x:c r="BK139" s="34" t="n">
        <x:v>2.02</x:v>
      </x:c>
    </x:row>
    <x:row r="140">
      <x:c r="A140" s="34" t="str">
        <x:v>POSCO_KR</x:v>
      </x:c>
      <x:c r="B140" s="34" t="str">
        <x:v>POSCO</x:v>
      </x:c>
      <x:c r="C140" s="34" t="str">
        <x:v>ACCELERATED_15C</x:v>
      </x:c>
      <x:c r="D140" s="34" t="str">
        <x:v>P2</x:v>
      </x:c>
      <x:c r="E140" s="34" t="str">
        <x:v>POS-GWY-EAF</x:v>
      </x:c>
      <x:c r="F140" s="34" t="str">
        <x:v>광양 기존 EAF 블록</x:v>
      </x:c>
      <x:c r="G140" s="34" t="str">
        <x:v>광양</x:v>
      </x:c>
      <x:c r="H140" s="34" t="n">
        <x:v>2033</x:v>
      </x:c>
      <x:c r="I140" s="34" t="str">
        <x:v>EAF_BASELINE</x:v>
      </x:c>
      <x:c r="J140" s="34" t="str">
        <x:v>기존 전기로 기준 블록</x:v>
      </x:c>
      <x:c r="K140" s="34" t="str">
        <x:v>EAF_RENEWABLE</x:v>
      </x:c>
      <x:c r="L140" s="34" t="str">
        <x:v>기존 EAF 재생전력 업그레이드</x:v>
      </x:c>
      <x:c r="M140" s="34" t="n">
        <x:v>312</x:v>
      </x:c>
      <x:c r="N140" s="34" t="n">
        <x:v>96</x:v>
      </x:c>
      <x:c r="O140" s="34" t="n">
        <x:v>1.2</x:v>
      </x:c>
      <x:c r="P140" s="34" t="n">
        <x:v>1.134</x:v>
      </x:c>
      <x:c r="Q140" s="34" t="n">
        <x:v>0.5103</x:v>
      </x:c>
      <x:c r="R140" s="34" t="n">
        <x:v>0.5103</x:v>
      </x:c>
      <x:c r="S140" s="34" t="n">
        <x:v>0.1134</x:v>
      </x:c>
      <x:c r="T140" s="34" t="n">
        <x:v>0.1134</x:v>
      </x:c>
      <x:c r="U140" s="34" t="n">
        <x:v>0.3969</x:v>
      </x:c>
      <x:c r="V140" s="34" t="n">
        <x:v>3.1752</x:v>
      </x:c>
      <x:c r="W140" s="34" t="n">
        <x:v>-48.989</x:v>
      </x:c>
      <x:c r="X140" s="34" t="n">
        <x:v>9.402</x:v>
      </x:c>
      <x:c r="Y140" s="34" t="n">
        <x:v>120.544</x:v>
      </x:c>
      <x:c r="Z140" s="34" t="n">
        <x:v>111.142</x:v>
      </x:c>
      <x:c r="AA140" s="34" t="n">
        <x:v>169.532</x:v>
      </x:c>
      <x:c r="AB140" s="34" t="n">
        <x:v>-58.39</x:v>
      </x:c>
      <x:c r="AC140" s="34" t="n">
        <x:v>62.553</x:v>
      </x:c>
      <x:c r="AD140" s="34" t="n">
        <x:v>14.814</x:v>
      </x:c>
      <x:c r="AE140" s="34" t="n">
        <x:v>42.986</x:v>
      </x:c>
      <x:c r="AF140" s="34" t="n">
        <x:v>0</x:v>
      </x:c>
      <x:c r="AG140" s="34" t="n">
        <x:v>0.19</x:v>
      </x:c>
      <x:c r="AH140" s="34" t="n">
        <x:v>-169.532</x:v>
      </x:c>
      <x:c r="AI140" s="34" t="str">
        <x:v>model_estimate</x:v>
      </x:c>
      <x:c r="AJ140" s="34" t="str">
        <x:v>2025 공식 EAF 생산 1.135Mt에 맞춘 모델 블록; 집약도·재투자연도 추정</x:v>
      </x:c>
      <x:c r="AK140" s="34" t="str">
        <x:v>CAND-82FF2AA13BA34C</x:v>
      </x:c>
      <x:c r="AL140" s="34" t="str">
        <x:v>P2</x:v>
      </x:c>
      <x:c r="AM140" s="34" t="str">
        <x:v>PORT-8826D0B469EE</x:v>
      </x:c>
      <x:c r="AN140" s="34" t="n">
        <x:v>1000</x:v>
      </x:c>
      <x:c r="AO140" s="34" t="n">
        <x:v>53.31947</x:v>
      </x:c>
      <x:c r="AP140" s="34" t="n">
        <x:v>18.559119</x:v>
      </x:c>
      <x:c r="AQ140" s="34" t="n">
        <x:v>429.154227</x:v>
      </x:c>
      <x:c r="AR140" s="34" t="n">
        <x:v>22213.621</x:v>
      </x:c>
      <x:c r="AS140" s="34" t="n">
        <x:v>51.761393</x:v>
      </x:c>
      <x:c r="AT140" s="40" t="b">
        <x:v>1</x:v>
      </x:c>
      <x:c r="AU140" s="40" t="b">
        <x:v>1</x:v>
      </x:c>
      <x:c r="AV140" s="34" t="str"/>
      <x:c r="AW140" s="34" t="n">
        <x:v>0</x:v>
      </x:c>
      <x:c r="AX140" s="34" t="str">
        <x:v>2.0275124185786808e-05</x:v>
      </x:c>
      <x:c r="AY140" s="40" t="b">
        <x:v>1</x:v>
      </x:c>
      <x:c r="AZ140" s="40" t="b">
        <x:v>1</x:v>
      </x:c>
      <x:c r="BA140" s="40" t="b">
        <x:v>1</x:v>
      </x:c>
      <x:c r="BB140" s="40" t="b">
        <x:v>1</x:v>
      </x:c>
      <x:c r="BC140" s="34" t="str"/>
      <x:c r="BD140" s="34" t="n">
        <x:v>0</x:v>
      </x:c>
      <x:c r="BE140" s="34" t="n">
        <x:v>0</x:v>
      </x:c>
      <x:c r="BF140" s="34" t="n">
        <x:v>0</x:v>
      </x:c>
      <x:c r="BG140" s="34" t="n">
        <x:v>3</x:v>
      </x:c>
      <x:c r="BH140" s="34" t="n">
        <x:v>3</x:v>
      </x:c>
      <x:c r="BI140" s="34" t="n">
        <x:v>0.459336608</x:v>
      </x:c>
      <x:c r="BJ140" s="34" t="n">
        <x:v>0.65</x:v>
      </x:c>
      <x:c r="BK140" s="34" t="n">
        <x:v>2.02</x:v>
      </x:c>
    </x:row>
    <x:row r="141">
      <x:c r="A141" s="34" t="str">
        <x:v>POSCO_KR</x:v>
      </x:c>
      <x:c r="B141" s="34" t="str">
        <x:v>POSCO</x:v>
      </x:c>
      <x:c r="C141" s="34" t="str">
        <x:v>ACCELERATED_15C</x:v>
      </x:c>
      <x:c r="D141" s="34" t="str">
        <x:v>P2</x:v>
      </x:c>
      <x:c r="E141" s="34" t="str">
        <x:v>POS-GWY-W</x:v>
      </x:c>
      <x:c r="F141" s="34" t="str">
        <x:v>광양제철소 BF 블록 A</x:v>
      </x:c>
      <x:c r="G141" s="34" t="str">
        <x:v>광양</x:v>
      </x:c>
      <x:c r="H141" s="34" t="n">
        <x:v>2035</x:v>
      </x:c>
      <x:c r="I141" s="34" t="str">
        <x:v>BF_BOF</x:v>
      </x:c>
      <x:c r="J141" s="34" t="str">
        <x:v>기준 BF-BOF 복합 블록</x:v>
      </x:c>
      <x:c r="K141" s="34" t="str">
        <x:v>H2_DRI_EAF</x:v>
      </x:c>
      <x:c r="L141" s="34" t="str">
        <x:v>수소 DRI + EAF</x:v>
      </x:c>
      <x:c r="M141" s="34" t="n">
        <x:v>9270</x:v>
      </x:c>
      <x:c r="N141" s="34" t="n">
        <x:v>7210</x:v>
      </x:c>
      <x:c r="O141" s="34" t="n">
        <x:v>10.3</x:v>
      </x:c>
      <x:c r="P141" s="34" t="n">
        <x:v>9.499999</x:v>
      </x:c>
      <x:c r="Q141" s="34" t="n">
        <x:v>19.719471</x:v>
      </x:c>
      <x:c r="R141" s="34" t="n">
        <x:v>19.719471</x:v>
      </x:c>
      <x:c r="S141" s="34" t="n">
        <x:v>1.9</x:v>
      </x:c>
      <x:c r="T141" s="34" t="n">
        <x:v>1.9</x:v>
      </x:c>
      <x:c r="U141" s="34" t="n">
        <x:v>17.819471</x:v>
      </x:c>
      <x:c r="V141" s="34" t="n">
        <x:v>106.916827</x:v>
      </x:c>
      <x:c r="W141" s="34" t="n">
        <x:v>16112.532</x:v>
      </x:c>
      <x:c r="X141" s="34" t="n">
        <x:v>1767.911</x:v>
      </x:c>
      <x:c r="Y141" s="34" t="n">
        <x:v>21822.384</x:v>
      </x:c>
      <x:c r="Z141" s="34" t="n">
        <x:v>20054.474</x:v>
      </x:c>
      <x:c r="AA141" s="34" t="n">
        <x:v>5709.852</x:v>
      </x:c>
      <x:c r="AB141" s="34" t="n">
        <x:v>14344.621</x:v>
      </x:c>
      <x:c r="AC141" s="34" t="n">
        <x:v>4220.954</x:v>
      </x:c>
      <x:c r="AD141" s="34" t="n">
        <x:v>468.979</x:v>
      </x:c>
      <x:c r="AE141" s="34" t="n">
        <x:v>2040.189</x:v>
      </x:c>
      <x:c r="AF141" s="34" t="n">
        <x:v>15065.694</x:v>
      </x:c>
      <x:c r="AG141" s="34" t="n">
        <x:v>26.568</x:v>
      </x:c>
      <x:c r="AH141" s="34" t="n">
        <x:v>-5709.852</x:v>
      </x:c>
      <x:c r="AI141" s="34" t="str">
        <x:v>model_estimate</x:v>
      </x:c>
      <x:c r="AJ141" s="34" t="str">
        <x:v>POSCO 공식 국내 생산·배출 총량에 맞춘 설비 블록 배분; 개별 생산량·재투자연도는 추정</x:v>
      </x:c>
      <x:c r="AK141" s="34" t="str">
        <x:v>CAND-82FF2AA13BA34C</x:v>
      </x:c>
      <x:c r="AL141" s="34" t="str">
        <x:v>P2</x:v>
      </x:c>
      <x:c r="AM141" s="34" t="str">
        <x:v>PORT-8826D0B469EE</x:v>
      </x:c>
      <x:c r="AN141" s="34" t="n">
        <x:v>1000</x:v>
      </x:c>
      <x:c r="AO141" s="34" t="n">
        <x:v>53.31947</x:v>
      </x:c>
      <x:c r="AP141" s="34" t="n">
        <x:v>18.559119</x:v>
      </x:c>
      <x:c r="AQ141" s="34" t="n">
        <x:v>429.154227</x:v>
      </x:c>
      <x:c r="AR141" s="34" t="n">
        <x:v>22213.621</x:v>
      </x:c>
      <x:c r="AS141" s="34" t="n">
        <x:v>51.761393</x:v>
      </x:c>
      <x:c r="AT141" s="40" t="b">
        <x:v>1</x:v>
      </x:c>
      <x:c r="AU141" s="40" t="b">
        <x:v>1</x:v>
      </x:c>
      <x:c r="AV141" s="34" t="str"/>
      <x:c r="AW141" s="34" t="n">
        <x:v>0</x:v>
      </x:c>
      <x:c r="AX141" s="34" t="str">
        <x:v>2.0275124185786808e-05</x:v>
      </x:c>
      <x:c r="AY141" s="40" t="b">
        <x:v>1</x:v>
      </x:c>
      <x:c r="AZ141" s="40" t="b">
        <x:v>1</x:v>
      </x:c>
      <x:c r="BA141" s="40" t="b">
        <x:v>1</x:v>
      </x:c>
      <x:c r="BB141" s="40" t="b">
        <x:v>1</x:v>
      </x:c>
      <x:c r="BC141" s="34" t="str"/>
      <x:c r="BD141" s="34" t="n">
        <x:v>0</x:v>
      </x:c>
      <x:c r="BE141" s="34" t="n">
        <x:v>0</x:v>
      </x:c>
      <x:c r="BF141" s="34" t="n">
        <x:v>0</x:v>
      </x:c>
      <x:c r="BG141" s="34" t="n">
        <x:v>3</x:v>
      </x:c>
      <x:c r="BH141" s="34" t="n">
        <x:v>3</x:v>
      </x:c>
      <x:c r="BI141" s="34" t="n">
        <x:v>0.459336608</x:v>
      </x:c>
      <x:c r="BJ141" s="34" t="n">
        <x:v>0.65</x:v>
      </x:c>
      <x:c r="BK141" s="34" t="n">
        <x:v>2.02</x:v>
      </x:c>
    </x:row>
    <x:row r="142">
      <x:c r="A142" s="34" t="str">
        <x:v>POSCO_KR</x:v>
      </x:c>
      <x:c r="B142" s="34" t="str">
        <x:v>POSCO</x:v>
      </x:c>
      <x:c r="C142" s="34" t="str">
        <x:v>ACCELERATED_15C</x:v>
      </x:c>
      <x:c r="D142" s="34" t="str">
        <x:v>P2</x:v>
      </x:c>
      <x:c r="E142" s="34" t="str">
        <x:v>POS-POH-N</x:v>
      </x:c>
      <x:c r="F142" s="34" t="str">
        <x:v>포항제철소 BF 블록 A</x:v>
      </x:c>
      <x:c r="G142" s="34" t="str">
        <x:v>포항</x:v>
      </x:c>
      <x:c r="H142" s="34" t="n">
        <x:v>2029</x:v>
      </x:c>
      <x:c r="I142" s="34" t="str">
        <x:v>BF_BOF</x:v>
      </x:c>
      <x:c r="J142" s="34" t="str">
        <x:v>기준 BF-BOF 복합 블록</x:v>
      </x:c>
      <x:c r="K142" s="34" t="str">
        <x:v>SCRAP_EAF</x:v>
      </x:c>
      <x:c r="L142" s="34" t="str">
        <x:v>스크랩 기반 대형 EAF</x:v>
      </x:c>
      <x:c r="M142" s="34" t="n">
        <x:v>4592</x:v>
      </x:c>
      <x:c r="N142" s="34" t="n">
        <x:v>2952</x:v>
      </x:c>
      <x:c r="O142" s="34" t="n">
        <x:v>8.2</x:v>
      </x:c>
      <x:c r="P142" s="34" t="n">
        <x:v>7.599998</x:v>
      </x:c>
      <x:c r="Q142" s="34" t="n">
        <x:v>15.775574</x:v>
      </x:c>
      <x:c r="R142" s="34" t="n">
        <x:v>3.419999</x:v>
      </x:c>
      <x:c r="S142" s="34" t="n">
        <x:v>3.419999</x:v>
      </x:c>
      <x:c r="T142" s="34" t="n">
        <x:v>3.419999</x:v>
      </x:c>
      <x:c r="U142" s="34" t="n">
        <x:v>12.355575</x:v>
      </x:c>
      <x:c r="V142" s="34" t="n">
        <x:v>148.266898</x:v>
      </x:c>
      <x:c r="W142" s="34" t="n">
        <x:v>-592.38</x:v>
      </x:c>
      <x:c r="X142" s="34" t="n">
        <x:v>477.534</x:v>
      </x:c>
      <x:c r="Y142" s="34" t="n">
        <x:v>7170.146</x:v>
      </x:c>
      <x:c r="Z142" s="34" t="n">
        <x:v>6692.612</x:v>
      </x:c>
      <x:c r="AA142" s="34" t="n">
        <x:v>7762.525</x:v>
      </x:c>
      <x:c r="AB142" s="34" t="n">
        <x:v>-1069.914</x:v>
      </x:c>
      <x:c r="AC142" s="34" t="n">
        <x:v>2382.904</x:v>
      </x:c>
      <x:c r="AD142" s="34" t="n">
        <x:v>446.25</x:v>
      </x:c>
      <x:c r="AE142" s="34" t="n">
        <x:v>4329.731</x:v>
      </x:c>
      <x:c r="AF142" s="34" t="n">
        <x:v>0</x:v>
      </x:c>
      <x:c r="AG142" s="34" t="n">
        <x:v>11.26</x:v>
      </x:c>
      <x:c r="AH142" s="34" t="n">
        <x:v>-7762.525</x:v>
      </x:c>
      <x:c r="AI142" s="34" t="str">
        <x:v>model_estimate</x:v>
      </x:c>
      <x:c r="AJ142" s="34" t="str">
        <x:v>POSCO 공식 국내 생산·배출 총량에 맞춘 설비 블록 배분; 개별 생산량·재투자연도는 추정</x:v>
      </x:c>
      <x:c r="AK142" s="34" t="str">
        <x:v>CAND-82FF2AA13BA34C</x:v>
      </x:c>
      <x:c r="AL142" s="34" t="str">
        <x:v>P2</x:v>
      </x:c>
      <x:c r="AM142" s="34" t="str">
        <x:v>PORT-8826D0B469EE</x:v>
      </x:c>
      <x:c r="AN142" s="34" t="n">
        <x:v>1000</x:v>
      </x:c>
      <x:c r="AO142" s="34" t="n">
        <x:v>53.31947</x:v>
      </x:c>
      <x:c r="AP142" s="34" t="n">
        <x:v>18.559119</x:v>
      </x:c>
      <x:c r="AQ142" s="34" t="n">
        <x:v>429.154227</x:v>
      </x:c>
      <x:c r="AR142" s="34" t="n">
        <x:v>22213.621</x:v>
      </x:c>
      <x:c r="AS142" s="34" t="n">
        <x:v>51.761393</x:v>
      </x:c>
      <x:c r="AT142" s="40" t="b">
        <x:v>1</x:v>
      </x:c>
      <x:c r="AU142" s="40" t="b">
        <x:v>1</x:v>
      </x:c>
      <x:c r="AV142" s="34" t="str"/>
      <x:c r="AW142" s="34" t="n">
        <x:v>0</x:v>
      </x:c>
      <x:c r="AX142" s="34" t="str">
        <x:v>2.0275124185786808e-05</x:v>
      </x:c>
      <x:c r="AY142" s="40" t="b">
        <x:v>1</x:v>
      </x:c>
      <x:c r="AZ142" s="40" t="b">
        <x:v>1</x:v>
      </x:c>
      <x:c r="BA142" s="40" t="b">
        <x:v>1</x:v>
      </x:c>
      <x:c r="BB142" s="40" t="b">
        <x:v>1</x:v>
      </x:c>
      <x:c r="BC142" s="34" t="str"/>
      <x:c r="BD142" s="34" t="n">
        <x:v>0</x:v>
      </x:c>
      <x:c r="BE142" s="34" t="n">
        <x:v>0</x:v>
      </x:c>
      <x:c r="BF142" s="34" t="n">
        <x:v>0</x:v>
      </x:c>
      <x:c r="BG142" s="34" t="n">
        <x:v>3</x:v>
      </x:c>
      <x:c r="BH142" s="34" t="n">
        <x:v>3</x:v>
      </x:c>
      <x:c r="BI142" s="34" t="n">
        <x:v>0.459336608</x:v>
      </x:c>
      <x:c r="BJ142" s="34" t="n">
        <x:v>0.65</x:v>
      </x:c>
      <x:c r="BK142" s="34" t="n">
        <x:v>2.02</x:v>
      </x:c>
    </x:row>
    <x:row r="143">
      <x:c r="A143" s="34" t="str">
        <x:v>POSCO_KR</x:v>
      </x:c>
      <x:c r="B143" s="34" t="str">
        <x:v>POSCO</x:v>
      </x:c>
      <x:c r="C143" s="34" t="str">
        <x:v>ACCELERATED_15C</x:v>
      </x:c>
      <x:c r="D143" s="34" t="str">
        <x:v>P2</x:v>
      </x:c>
      <x:c r="E143" s="34" t="str">
        <x:v>POS-POH-S</x:v>
      </x:c>
      <x:c r="F143" s="34" t="str">
        <x:v>포항제철소 BF 블록 B</x:v>
      </x:c>
      <x:c r="G143" s="34" t="str">
        <x:v>포항</x:v>
      </x:c>
      <x:c r="H143" s="34" t="n">
        <x:v>2032</x:v>
      </x:c>
      <x:c r="I143" s="34" t="str">
        <x:v>BF_BOF</x:v>
      </x:c>
      <x:c r="J143" s="34" t="str">
        <x:v>기준 BF-BOF 복합 블록</x:v>
      </x:c>
      <x:c r="K143" s="34" t="str">
        <x:v>SCRAP_EAF</x:v>
      </x:c>
      <x:c r="L143" s="34" t="str">
        <x:v>스크랩 기반 대형 EAF</x:v>
      </x:c>
      <x:c r="M143" s="34" t="n">
        <x:v>4144</x:v>
      </x:c>
      <x:c r="N143" s="34" t="n">
        <x:v>2664</x:v>
      </x:c>
      <x:c r="O143" s="34" t="n">
        <x:v>7.4</x:v>
      </x:c>
      <x:c r="P143" s="34" t="n">
        <x:v>6.800001</x:v>
      </x:c>
      <x:c r="Q143" s="34" t="n">
        <x:v>14.114992</x:v>
      </x:c>
      <x:c r="R143" s="34" t="n">
        <x:v>14.114992</x:v>
      </x:c>
      <x:c r="S143" s="34" t="n">
        <x:v>3.06</x:v>
      </x:c>
      <x:c r="T143" s="34" t="n">
        <x:v>3.06</x:v>
      </x:c>
      <x:c r="U143" s="34" t="n">
        <x:v>11.054992</x:v>
      </x:c>
      <x:c r="V143" s="34" t="n">
        <x:v>99.49493</x:v>
      </x:c>
      <x:c r="W143" s="34" t="n">
        <x:v>-431.025</x:v>
      </x:c>
      <x:c r="X143" s="34" t="n">
        <x:v>366.999</x:v>
      </x:c>
      <x:c r="Y143" s="34" t="n">
        <x:v>4868.971</x:v>
      </x:c>
      <x:c r="Z143" s="34" t="n">
        <x:v>4501.973</x:v>
      </x:c>
      <x:c r="AA143" s="34" t="n">
        <x:v>5299.996</x:v>
      </x:c>
      <x:c r="AB143" s="34" t="n">
        <x:v>-798.024</x:v>
      </x:c>
      <x:c r="AC143" s="34" t="n">
        <x:v>1831.332</x:v>
      </x:c>
      <x:c r="AD143" s="34" t="n">
        <x:v>274.288</x:v>
      </x:c>
      <x:c r="AE143" s="34" t="n">
        <x:v>2755.556</x:v>
      </x:c>
      <x:c r="AF143" s="34" t="n">
        <x:v>0</x:v>
      </x:c>
      <x:c r="AG143" s="34" t="n">
        <x:v>7.796</x:v>
      </x:c>
      <x:c r="AH143" s="34" t="n">
        <x:v>-5299.996</x:v>
      </x:c>
      <x:c r="AI143" s="34" t="str">
        <x:v>model_estimate</x:v>
      </x:c>
      <x:c r="AJ143" s="34" t="str">
        <x:v>POSCO 공식 국내 생산·배출 총량에 맞춘 설비 블록 배분; 개별 생산량·재투자연도는 추정</x:v>
      </x:c>
      <x:c r="AK143" s="34" t="str">
        <x:v>CAND-82FF2AA13BA34C</x:v>
      </x:c>
      <x:c r="AL143" s="34" t="str">
        <x:v>P2</x:v>
      </x:c>
      <x:c r="AM143" s="34" t="str">
        <x:v>PORT-8826D0B469EE</x:v>
      </x:c>
      <x:c r="AN143" s="34" t="n">
        <x:v>1000</x:v>
      </x:c>
      <x:c r="AO143" s="34" t="n">
        <x:v>53.31947</x:v>
      </x:c>
      <x:c r="AP143" s="34" t="n">
        <x:v>18.559119</x:v>
      </x:c>
      <x:c r="AQ143" s="34" t="n">
        <x:v>429.154227</x:v>
      </x:c>
      <x:c r="AR143" s="34" t="n">
        <x:v>22213.621</x:v>
      </x:c>
      <x:c r="AS143" s="34" t="n">
        <x:v>51.761393</x:v>
      </x:c>
      <x:c r="AT143" s="40" t="b">
        <x:v>1</x:v>
      </x:c>
      <x:c r="AU143" s="40" t="b">
        <x:v>1</x:v>
      </x:c>
      <x:c r="AV143" s="34" t="str"/>
      <x:c r="AW143" s="34" t="n">
        <x:v>0</x:v>
      </x:c>
      <x:c r="AX143" s="34" t="str">
        <x:v>2.0275124185786808e-05</x:v>
      </x:c>
      <x:c r="AY143" s="40" t="b">
        <x:v>1</x:v>
      </x:c>
      <x:c r="AZ143" s="40" t="b">
        <x:v>1</x:v>
      </x:c>
      <x:c r="BA143" s="40" t="b">
        <x:v>1</x:v>
      </x:c>
      <x:c r="BB143" s="40" t="b">
        <x:v>1</x:v>
      </x:c>
      <x:c r="BC143" s="34" t="str"/>
      <x:c r="BD143" s="34" t="n">
        <x:v>0</x:v>
      </x:c>
      <x:c r="BE143" s="34" t="n">
        <x:v>0</x:v>
      </x:c>
      <x:c r="BF143" s="34" t="n">
        <x:v>0</x:v>
      </x:c>
      <x:c r="BG143" s="34" t="n">
        <x:v>3</x:v>
      </x:c>
      <x:c r="BH143" s="34" t="n">
        <x:v>3</x:v>
      </x:c>
      <x:c r="BI143" s="34" t="n">
        <x:v>0.459336608</x:v>
      </x:c>
      <x:c r="BJ143" s="34" t="n">
        <x:v>0.65</x:v>
      </x:c>
      <x:c r="BK143" s="34" t="n">
        <x:v>2.02</x:v>
      </x:c>
    </x:row>
    <x:row r="144">
      <x:c r="A144" s="34" t="str">
        <x:v>NIPPON_STEEL_JP</x:v>
      </x:c>
      <x:c r="B144" s="34" t="str">
        <x:v>Nippon Steel</x:v>
      </x:c>
      <x:c r="C144" s="34" t="str">
        <x:v>DISCLOSED_PATH</x:v>
      </x:c>
      <x:c r="D144" s="34" t="str">
        <x:v>P1</x:v>
      </x:c>
      <x:c r="E144" s="34" t="str">
        <x:v>NS-EAST</x:v>
      </x:c>
      <x:c r="F144" s="34" t="str">
        <x:v>East Nippon Works 블록</x:v>
      </x:c>
      <x:c r="G144" s="34" t="str">
        <x:v>동일본</x:v>
      </x:c>
      <x:c r="H144" s="34" t="n">
        <x:v>2034</x:v>
      </x:c>
      <x:c r="I144" s="34" t="str">
        <x:v>BF_BOF</x:v>
      </x:c>
      <x:c r="J144" s="34" t="str">
        <x:v>기준 BF-BOF 복합 블록</x:v>
      </x:c>
      <x:c r="K144" s="34" t="str">
        <x:v>BF_RELINE</x:v>
      </x:c>
      <x:c r="L144" s="34" t="str">
        <x:v>BF 개수·효율 패키지</x:v>
      </x:c>
      <x:c r="M144" s="34" t="n">
        <x:v>2227.5</x:v>
      </x:c>
      <x:c r="N144" s="34" t="n">
        <x:v>445.5</x:v>
      </x:c>
      <x:c r="O144" s="34" t="n">
        <x:v>8.1</x:v>
      </x:c>
      <x:c r="P144" s="34" t="n">
        <x:v>7.200001</x:v>
      </x:c>
      <x:c r="Q144" s="34" t="n">
        <x:v>15.239652</x:v>
      </x:c>
      <x:c r="R144" s="34" t="n">
        <x:v>15.239652</x:v>
      </x:c>
      <x:c r="S144" s="34" t="n">
        <x:v>13.680002</x:v>
      </x:c>
      <x:c r="T144" s="34" t="n">
        <x:v>13.680002</x:v>
      </x:c>
      <x:c r="U144" s="34" t="n">
        <x:v>1.55965</x:v>
      </x:c>
      <x:c r="V144" s="34" t="n">
        <x:v>10.917549</x:v>
      </x:c>
      <x:c r="W144" s="34" t="n">
        <x:v>-27.548</x:v>
      </x:c>
      <x:c r="X144" s="34" t="n">
        <x:v>0</x:v>
      </x:c>
      <x:c r="Y144" s="34" t="n">
        <x:v>355.806</x:v>
      </x:c>
      <x:c r="Z144" s="34" t="n">
        <x:v>355.806</x:v>
      </x:c>
      <x:c r="AA144" s="34" t="n">
        <x:v>383.354</x:v>
      </x:c>
      <x:c r="AB144" s="34" t="n">
        <x:v>-27.548</x:v>
      </x:c>
      <x:c r="AC144" s="34" t="n">
        <x:v>275.154</x:v>
      </x:c>
      <x:c r="AD144" s="34" t="n">
        <x:v>26.662</x:v>
      </x:c>
      <x:c r="AE144" s="34" t="n">
        <x:v>53.99</x:v>
      </x:c>
      <x:c r="AF144" s="34" t="n">
        <x:v>0</x:v>
      </x:c>
      <x:c r="AG144" s="34" t="n">
        <x:v>0</x:v>
      </x:c>
      <x:c r="AH144" s="34" t="n">
        <x:v>-383.354</x:v>
      </x:c>
      <x:c r="AI144" s="34" t="str">
        <x:v>model_estimate</x:v>
      </x:c>
      <x:c r="AJ144" s="34" t="str">
        <x:v>Nippon Steel 공식 생산·배출·용량 총량에 맞춘 지역 블록 배분</x:v>
      </x:c>
      <x:c r="AK144" s="34" t="str">
        <x:v>CAND-87B9435721978E</x:v>
      </x:c>
      <x:c r="AL144" s="34" t="str">
        <x:v>P1</x:v>
      </x:c>
      <x:c r="AM144" s="34" t="str">
        <x:v>PORT-5CFD50239439</x:v>
      </x:c>
      <x:c r="AN144" s="34" t="n">
        <x:v>1000</x:v>
      </x:c>
      <x:c r="AO144" s="34" t="n">
        <x:v>22.435988</x:v>
      </x:c>
      <x:c r="AP144" s="34" t="n">
        <x:v>11.154754</x:v>
      </x:c>
      <x:c r="AQ144" s="34" t="n">
        <x:v>321.473932</x:v>
      </x:c>
      <x:c r="AR144" s="34" t="n">
        <x:v>6865.237</x:v>
      </x:c>
      <x:c r="AS144" s="34" t="n">
        <x:v>21.355503</x:v>
      </x:c>
      <x:c r="AT144" s="40" t="b">
        <x:v>1</x:v>
      </x:c>
      <x:c r="AU144" s="40" t="b">
        <x:v>1</x:v>
      </x:c>
      <x:c r="AV144" s="34" t="str"/>
      <x:c r="AW144" s="34" t="n">
        <x:v>0</x:v>
      </x:c>
      <x:c r="AX144" s="34" t="str">
        <x:v>3.446647212967946e-06</x:v>
      </x:c>
      <x:c r="AY144" s="40" t="b">
        <x:v>1</x:v>
      </x:c>
      <x:c r="AZ144" s="40" t="b">
        <x:v>1</x:v>
      </x:c>
      <x:c r="BA144" s="40" t="b">
        <x:v>1</x:v>
      </x:c>
      <x:c r="BB144" s="40" t="b">
        <x:v>1</x:v>
      </x:c>
      <x:c r="BC144" s="34" t="str"/>
      <x:c r="BD144" s="34" t="n">
        <x:v>0</x:v>
      </x:c>
      <x:c r="BE144" s="34" t="n">
        <x:v>0</x:v>
      </x:c>
      <x:c r="BF144" s="34" t="n">
        <x:v>0</x:v>
      </x:c>
      <x:c r="BG144" s="34" t="n">
        <x:v>2</x:v>
      </x:c>
      <x:c r="BH144" s="34" t="n">
        <x:v>2</x:v>
      </x:c>
      <x:c r="BI144" s="34" t="n">
        <x:v>0.28236113919999994</x:v>
      </x:c>
      <x:c r="BJ144" s="34" t="n">
        <x:v>0.65</x:v>
      </x:c>
      <x:c r="BK144" s="34" t="n">
        <x:v>0.88</x:v>
      </x:c>
    </x:row>
    <x:row r="145">
      <x:c r="A145" s="34" t="str">
        <x:v>NIPPON_STEEL_JP</x:v>
      </x:c>
      <x:c r="B145" s="34" t="str">
        <x:v>Nippon Steel</x:v>
      </x:c>
      <x:c r="C145" s="34" t="str">
        <x:v>DISCLOSED_PATH</x:v>
      </x:c>
      <x:c r="D145" s="34" t="str">
        <x:v>P1</x:v>
      </x:c>
      <x:c r="E145" s="34" t="str">
        <x:v>NS-KANSAI</x:v>
      </x:c>
      <x:c r="F145" s="34" t="str">
        <x:v>Kansai Works 블록</x:v>
      </x:c>
      <x:c r="G145" s="34" t="str">
        <x:v>간사이</x:v>
      </x:c>
      <x:c r="H145" s="34" t="n">
        <x:v>2036</x:v>
      </x:c>
      <x:c r="I145" s="34" t="str">
        <x:v>BF_BOF</x:v>
      </x:c>
      <x:c r="J145" s="34" t="str">
        <x:v>기준 BF-BOF 복합 블록</x:v>
      </x:c>
      <x:c r="K145" s="34" t="str">
        <x:v>BF_RELINE</x:v>
      </x:c>
      <x:c r="L145" s="34" t="str">
        <x:v>BF 개수·효율 패키지</x:v>
      </x:c>
      <x:c r="M145" s="34" t="n">
        <x:v>1732.5</x:v>
      </x:c>
      <x:c r="N145" s="34" t="n">
        <x:v>346.5</x:v>
      </x:c>
      <x:c r="O145" s="34" t="n">
        <x:v>6.3</x:v>
      </x:c>
      <x:c r="P145" s="34" t="n">
        <x:v>5.600001</x:v>
      </x:c>
      <x:c r="Q145" s="34" t="n">
        <x:v>11.853062</x:v>
      </x:c>
      <x:c r="R145" s="34" t="n">
        <x:v>11.853062</x:v>
      </x:c>
      <x:c r="S145" s="34" t="n">
        <x:v>10.640001</x:v>
      </x:c>
      <x:c r="T145" s="34" t="n">
        <x:v>10.640001</x:v>
      </x:c>
      <x:c r="U145" s="34" t="n">
        <x:v>1.213061</x:v>
      </x:c>
      <x:c r="V145" s="34" t="n">
        <x:v>6.065305</x:v>
      </x:c>
      <x:c r="W145" s="34" t="n">
        <x:v>22.976</x:v>
      </x:c>
      <x:c r="X145" s="34" t="n">
        <x:v>0</x:v>
      </x:c>
      <x:c r="Y145" s="34" t="n">
        <x:v>234.843</x:v>
      </x:c>
      <x:c r="Z145" s="34" t="n">
        <x:v>234.843</x:v>
      </x:c>
      <x:c r="AA145" s="34" t="n">
        <x:v>211.867</x:v>
      </x:c>
      <x:c r="AB145" s="34" t="n">
        <x:v>22.976</x:v>
      </x:c>
      <x:c r="AC145" s="34" t="n">
        <x:v>192.276</x:v>
      </x:c>
      <x:c r="AD145" s="34" t="n">
        <x:v>14</x:v>
      </x:c>
      <x:c r="AE145" s="34" t="n">
        <x:v>28.567</x:v>
      </x:c>
      <x:c r="AF145" s="34" t="n">
        <x:v>0</x:v>
      </x:c>
      <x:c r="AG145" s="34" t="n">
        <x:v>0</x:v>
      </x:c>
      <x:c r="AH145" s="34" t="n">
        <x:v>-211.867</x:v>
      </x:c>
      <x:c r="AI145" s="34" t="str">
        <x:v>model_estimate</x:v>
      </x:c>
      <x:c r="AJ145" s="34" t="str">
        <x:v>Nippon Steel 공식 생산·배출·용량 총량에 맞춘 지역 블록 배분</x:v>
      </x:c>
      <x:c r="AK145" s="34" t="str">
        <x:v>CAND-87B9435721978E</x:v>
      </x:c>
      <x:c r="AL145" s="34" t="str">
        <x:v>P1</x:v>
      </x:c>
      <x:c r="AM145" s="34" t="str">
        <x:v>PORT-5CFD50239439</x:v>
      </x:c>
      <x:c r="AN145" s="34" t="n">
        <x:v>1000</x:v>
      </x:c>
      <x:c r="AO145" s="34" t="n">
        <x:v>22.435988</x:v>
      </x:c>
      <x:c r="AP145" s="34" t="n">
        <x:v>11.154754</x:v>
      </x:c>
      <x:c r="AQ145" s="34" t="n">
        <x:v>321.473932</x:v>
      </x:c>
      <x:c r="AR145" s="34" t="n">
        <x:v>6865.237</x:v>
      </x:c>
      <x:c r="AS145" s="34" t="n">
        <x:v>21.355503</x:v>
      </x:c>
      <x:c r="AT145" s="40" t="b">
        <x:v>1</x:v>
      </x:c>
      <x:c r="AU145" s="40" t="b">
        <x:v>1</x:v>
      </x:c>
      <x:c r="AV145" s="34" t="str"/>
      <x:c r="AW145" s="34" t="n">
        <x:v>0</x:v>
      </x:c>
      <x:c r="AX145" s="34" t="str">
        <x:v>3.446647212967946e-06</x:v>
      </x:c>
      <x:c r="AY145" s="40" t="b">
        <x:v>1</x:v>
      </x:c>
      <x:c r="AZ145" s="40" t="b">
        <x:v>1</x:v>
      </x:c>
      <x:c r="BA145" s="40" t="b">
        <x:v>1</x:v>
      </x:c>
      <x:c r="BB145" s="40" t="b">
        <x:v>1</x:v>
      </x:c>
      <x:c r="BC145" s="34" t="str"/>
      <x:c r="BD145" s="34" t="n">
        <x:v>0</x:v>
      </x:c>
      <x:c r="BE145" s="34" t="n">
        <x:v>0</x:v>
      </x:c>
      <x:c r="BF145" s="34" t="n">
        <x:v>0</x:v>
      </x:c>
      <x:c r="BG145" s="34" t="n">
        <x:v>2</x:v>
      </x:c>
      <x:c r="BH145" s="34" t="n">
        <x:v>2</x:v>
      </x:c>
      <x:c r="BI145" s="34" t="n">
        <x:v>0.28236113919999994</x:v>
      </x:c>
      <x:c r="BJ145" s="34" t="n">
        <x:v>0.65</x:v>
      </x:c>
      <x:c r="BK145" s="34" t="n">
        <x:v>0.88</x:v>
      </x:c>
    </x:row>
    <x:row r="146">
      <x:c r="A146" s="34" t="str">
        <x:v>NIPPON_STEEL_JP</x:v>
      </x:c>
      <x:c r="B146" s="34" t="str">
        <x:v>Nippon Steel</x:v>
      </x:c>
      <x:c r="C146" s="34" t="str">
        <x:v>DISCLOSED_PATH</x:v>
      </x:c>
      <x:c r="D146" s="34" t="str">
        <x:v>P1</x:v>
      </x:c>
      <x:c r="E146" s="34" t="str">
        <x:v>NS-KYUSHU</x:v>
      </x:c>
      <x:c r="F146" s="34" t="str">
        <x:v>Kyushu Works Yawata 블록</x:v>
      </x:c>
      <x:c r="G146" s="34" t="str">
        <x:v>규슈</x:v>
      </x:c>
      <x:c r="H146" s="34" t="n">
        <x:v>2029</x:v>
      </x:c>
      <x:c r="I146" s="34" t="str">
        <x:v>BF_BOF</x:v>
      </x:c>
      <x:c r="J146" s="34" t="str">
        <x:v>기준 BF-BOF 복합 블록</x:v>
      </x:c>
      <x:c r="K146" s="34" t="str">
        <x:v>SCRAP_EAF</x:v>
      </x:c>
      <x:c r="L146" s="34" t="str">
        <x:v>스크랩 기반 대형 EAF</x:v>
      </x:c>
      <x:c r="M146" s="34" t="n">
        <x:v>6160</x:v>
      </x:c>
      <x:c r="N146" s="34" t="n">
        <x:v>3960</x:v>
      </x:c>
      <x:c r="O146" s="34" t="n">
        <x:v>10</x:v>
      </x:c>
      <x:c r="P146" s="34" t="n">
        <x:v>9</x:v>
      </x:c>
      <x:c r="Q146" s="34" t="n">
        <x:v>19.049562</x:v>
      </x:c>
      <x:c r="R146" s="34" t="n">
        <x:v>4.05</x:v>
      </x:c>
      <x:c r="S146" s="34" t="n">
        <x:v>4.05</x:v>
      </x:c>
      <x:c r="T146" s="34" t="n">
        <x:v>4.05</x:v>
      </x:c>
      <x:c r="U146" s="34" t="n">
        <x:v>14.999562</x:v>
      </x:c>
      <x:c r="V146" s="34" t="n">
        <x:v>179.994744</x:v>
      </x:c>
      <x:c r="W146" s="34" t="n">
        <x:v>4703.992</x:v>
      </x:c>
      <x:c r="X146" s="34" t="n">
        <x:v>799.145</x:v>
      </x:c>
      <x:c r="Y146" s="34" t="n">
        <x:v>10996.19</x:v>
      </x:c>
      <x:c r="Z146" s="34" t="n">
        <x:v>10197.045</x:v>
      </x:c>
      <x:c r="AA146" s="34" t="n">
        <x:v>6292.198</x:v>
      </x:c>
      <x:c r="AB146" s="34" t="n">
        <x:v>3904.847</x:v>
      </x:c>
      <x:c r="AC146" s="34" t="n">
        <x:v>3196.578</x:v>
      </x:c>
      <x:c r="AD146" s="34" t="n">
        <x:v>462.398</x:v>
      </x:c>
      <x:c r="AE146" s="34" t="n">
        <x:v>7337.214</x:v>
      </x:c>
      <x:c r="AF146" s="34" t="n">
        <x:v>0</x:v>
      </x:c>
      <x:c r="AG146" s="34" t="n">
        <x:v>0</x:v>
      </x:c>
      <x:c r="AH146" s="34" t="n">
        <x:v>-6292.198</x:v>
      </x:c>
      <x:c r="AI146" s="34" t="str">
        <x:v>model_estimate</x:v>
      </x:c>
      <x:c r="AJ146" s="34" t="str">
        <x:v>Yawata BF→EAF 공시 방향을 반영해 조기 재투자 창을 설정; 블록 생산량 추정</x:v>
      </x:c>
      <x:c r="AK146" s="34" t="str">
        <x:v>CAND-87B9435721978E</x:v>
      </x:c>
      <x:c r="AL146" s="34" t="str">
        <x:v>P1</x:v>
      </x:c>
      <x:c r="AM146" s="34" t="str">
        <x:v>PORT-5CFD50239439</x:v>
      </x:c>
      <x:c r="AN146" s="34" t="n">
        <x:v>1000</x:v>
      </x:c>
      <x:c r="AO146" s="34" t="n">
        <x:v>22.435988</x:v>
      </x:c>
      <x:c r="AP146" s="34" t="n">
        <x:v>11.154754</x:v>
      </x:c>
      <x:c r="AQ146" s="34" t="n">
        <x:v>321.473932</x:v>
      </x:c>
      <x:c r="AR146" s="34" t="n">
        <x:v>6865.237</x:v>
      </x:c>
      <x:c r="AS146" s="34" t="n">
        <x:v>21.355503</x:v>
      </x:c>
      <x:c r="AT146" s="40" t="b">
        <x:v>1</x:v>
      </x:c>
      <x:c r="AU146" s="40" t="b">
        <x:v>1</x:v>
      </x:c>
      <x:c r="AV146" s="34" t="str"/>
      <x:c r="AW146" s="34" t="n">
        <x:v>0</x:v>
      </x:c>
      <x:c r="AX146" s="34" t="str">
        <x:v>3.446647212967946e-06</x:v>
      </x:c>
      <x:c r="AY146" s="40" t="b">
        <x:v>1</x:v>
      </x:c>
      <x:c r="AZ146" s="40" t="b">
        <x:v>1</x:v>
      </x:c>
      <x:c r="BA146" s="40" t="b">
        <x:v>1</x:v>
      </x:c>
      <x:c r="BB146" s="40" t="b">
        <x:v>1</x:v>
      </x:c>
      <x:c r="BC146" s="34" t="str"/>
      <x:c r="BD146" s="34" t="n">
        <x:v>0</x:v>
      </x:c>
      <x:c r="BE146" s="34" t="n">
        <x:v>0</x:v>
      </x:c>
      <x:c r="BF146" s="34" t="n">
        <x:v>0</x:v>
      </x:c>
      <x:c r="BG146" s="34" t="n">
        <x:v>2</x:v>
      </x:c>
      <x:c r="BH146" s="34" t="n">
        <x:v>2</x:v>
      </x:c>
      <x:c r="BI146" s="34" t="n">
        <x:v>0.28236113919999994</x:v>
      </x:c>
      <x:c r="BJ146" s="34" t="n">
        <x:v>0.65</x:v>
      </x:c>
      <x:c r="BK146" s="34" t="n">
        <x:v>0.88</x:v>
      </x:c>
    </x:row>
    <x:row r="147">
      <x:c r="A147" s="34" t="str">
        <x:v>NIPPON_STEEL_JP</x:v>
      </x:c>
      <x:c r="B147" s="34" t="str">
        <x:v>Nippon Steel</x:v>
      </x:c>
      <x:c r="C147" s="34" t="str">
        <x:v>DISCLOSED_PATH</x:v>
      </x:c>
      <x:c r="D147" s="34" t="str">
        <x:v>P1</x:v>
      </x:c>
      <x:c r="E147" s="34" t="str">
        <x:v>NS-NAGOYA</x:v>
      </x:c>
      <x:c r="F147" s="34" t="str">
        <x:v>Nagoya Works 블록</x:v>
      </x:c>
      <x:c r="G147" s="34" t="str">
        <x:v>나고야</x:v>
      </x:c>
      <x:c r="H147" s="34" t="n">
        <x:v>2032</x:v>
      </x:c>
      <x:c r="I147" s="34" t="str">
        <x:v>BF_BOF</x:v>
      </x:c>
      <x:c r="J147" s="34" t="str">
        <x:v>기준 BF-BOF 복합 블록</x:v>
      </x:c>
      <x:c r="K147" s="34" t="str">
        <x:v>SCRAP_EAF</x:v>
      </x:c>
      <x:c r="L147" s="34" t="str">
        <x:v>스크랩 기반 대형 EAF</x:v>
      </x:c>
      <x:c r="M147" s="34" t="n">
        <x:v>4312</x:v>
      </x:c>
      <x:c r="N147" s="34" t="n">
        <x:v>2772</x:v>
      </x:c>
      <x:c r="O147" s="34" t="n">
        <x:v>7</x:v>
      </x:c>
      <x:c r="P147" s="34" t="n">
        <x:v>6.199998</x:v>
      </x:c>
      <x:c r="Q147" s="34" t="n">
        <x:v>13.123027</x:v>
      </x:c>
      <x:c r="R147" s="34" t="n">
        <x:v>13.123027</x:v>
      </x:c>
      <x:c r="S147" s="34" t="n">
        <x:v>2.789999</x:v>
      </x:c>
      <x:c r="T147" s="34" t="n">
        <x:v>2.789999</x:v>
      </x:c>
      <x:c r="U147" s="34" t="n">
        <x:v>10.333028</x:v>
      </x:c>
      <x:c r="V147" s="34" t="n">
        <x:v>92.997254</x:v>
      </x:c>
      <x:c r="W147" s="34" t="n">
        <x:v>2339.315</x:v>
      </x:c>
      <x:c r="X147" s="34" t="n">
        <x:v>476.394</x:v>
      </x:c>
      <x:c r="Y147" s="34" t="n">
        <x:v>5610.132</x:v>
      </x:c>
      <x:c r="Z147" s="34" t="n">
        <x:v>5133.739</x:v>
      </x:c>
      <x:c r="AA147" s="34" t="n">
        <x:v>3270.817</x:v>
      </x:c>
      <x:c r="AB147" s="34" t="n">
        <x:v>1862.921</x:v>
      </x:c>
      <x:c r="AC147" s="34" t="n">
        <x:v>1905.575</x:v>
      </x:c>
      <x:c r="AD147" s="34" t="n">
        <x:v>187.564</x:v>
      </x:c>
      <x:c r="AE147" s="34" t="n">
        <x:v>3516.993</x:v>
      </x:c>
      <x:c r="AF147" s="34" t="n">
        <x:v>0</x:v>
      </x:c>
      <x:c r="AG147" s="34" t="n">
        <x:v>0</x:v>
      </x:c>
      <x:c r="AH147" s="34" t="n">
        <x:v>-3270.817</x:v>
      </x:c>
      <x:c r="AI147" s="34" t="str">
        <x:v>model_estimate</x:v>
      </x:c>
      <x:c r="AJ147" s="34" t="str">
        <x:v>Nippon Steel 공식 생산·배출·용량 총량에 맞춘 지역 블록 배분</x:v>
      </x:c>
      <x:c r="AK147" s="34" t="str">
        <x:v>CAND-87B9435721978E</x:v>
      </x:c>
      <x:c r="AL147" s="34" t="str">
        <x:v>P1</x:v>
      </x:c>
      <x:c r="AM147" s="34" t="str">
        <x:v>PORT-5CFD50239439</x:v>
      </x:c>
      <x:c r="AN147" s="34" t="n">
        <x:v>1000</x:v>
      </x:c>
      <x:c r="AO147" s="34" t="n">
        <x:v>22.435988</x:v>
      </x:c>
      <x:c r="AP147" s="34" t="n">
        <x:v>11.154754</x:v>
      </x:c>
      <x:c r="AQ147" s="34" t="n">
        <x:v>321.473932</x:v>
      </x:c>
      <x:c r="AR147" s="34" t="n">
        <x:v>6865.237</x:v>
      </x:c>
      <x:c r="AS147" s="34" t="n">
        <x:v>21.355503</x:v>
      </x:c>
      <x:c r="AT147" s="40" t="b">
        <x:v>1</x:v>
      </x:c>
      <x:c r="AU147" s="40" t="b">
        <x:v>1</x:v>
      </x:c>
      <x:c r="AV147" s="34" t="str"/>
      <x:c r="AW147" s="34" t="n">
        <x:v>0</x:v>
      </x:c>
      <x:c r="AX147" s="34" t="str">
        <x:v>3.446647212967946e-06</x:v>
      </x:c>
      <x:c r="AY147" s="40" t="b">
        <x:v>1</x:v>
      </x:c>
      <x:c r="AZ147" s="40" t="b">
        <x:v>1</x:v>
      </x:c>
      <x:c r="BA147" s="40" t="b">
        <x:v>1</x:v>
      </x:c>
      <x:c r="BB147" s="40" t="b">
        <x:v>1</x:v>
      </x:c>
      <x:c r="BC147" s="34" t="str"/>
      <x:c r="BD147" s="34" t="n">
        <x:v>0</x:v>
      </x:c>
      <x:c r="BE147" s="34" t="n">
        <x:v>0</x:v>
      </x:c>
      <x:c r="BF147" s="34" t="n">
        <x:v>0</x:v>
      </x:c>
      <x:c r="BG147" s="34" t="n">
        <x:v>2</x:v>
      </x:c>
      <x:c r="BH147" s="34" t="n">
        <x:v>2</x:v>
      </x:c>
      <x:c r="BI147" s="34" t="n">
        <x:v>0.28236113919999994</x:v>
      </x:c>
      <x:c r="BJ147" s="34" t="n">
        <x:v>0.65</x:v>
      </x:c>
      <x:c r="BK147" s="34" t="n">
        <x:v>0.88</x:v>
      </x:c>
    </x:row>
    <x:row r="148">
      <x:c r="A148" s="34" t="str">
        <x:v>NIPPON_STEEL_JP</x:v>
      </x:c>
      <x:c r="B148" s="34" t="str">
        <x:v>Nippon Steel</x:v>
      </x:c>
      <x:c r="C148" s="34" t="str">
        <x:v>DISCLOSED_PATH</x:v>
      </x:c>
      <x:c r="D148" s="34" t="str">
        <x:v>P1</x:v>
      </x:c>
      <x:c r="E148" s="34" t="str">
        <x:v>NS-SETOUCHI</x:v>
      </x:c>
      <x:c r="F148" s="34" t="str">
        <x:v>Setouchi Works Hirohata 블록</x:v>
      </x:c>
      <x:c r="G148" s="34" t="str">
        <x:v>세토우치</x:v>
      </x:c>
      <x:c r="H148" s="34" t="n">
        <x:v>2038</x:v>
      </x:c>
      <x:c r="I148" s="34" t="str">
        <x:v>BF_BOF</x:v>
      </x:c>
      <x:c r="J148" s="34" t="str">
        <x:v>기준 BF-BOF 복합 블록</x:v>
      </x:c>
      <x:c r="K148" s="34" t="str">
        <x:v>SCRAP_EAF</x:v>
      </x:c>
      <x:c r="L148" s="34" t="str">
        <x:v>스크랩 기반 대형 EAF</x:v>
      </x:c>
      <x:c r="M148" s="34" t="n">
        <x:v>4620</x:v>
      </x:c>
      <x:c r="N148" s="34" t="n">
        <x:v>2970</x:v>
      </x:c>
      <x:c r="O148" s="34" t="n">
        <x:v>7.5</x:v>
      </x:c>
      <x:c r="P148" s="34" t="n">
        <x:v>6.3</x:v>
      </x:c>
      <x:c r="Q148" s="34" t="n">
        <x:v>13.334693</x:v>
      </x:c>
      <x:c r="R148" s="34" t="n">
        <x:v>13.334693</x:v>
      </x:c>
      <x:c r="S148" s="34" t="n">
        <x:v>2.835</x:v>
      </x:c>
      <x:c r="T148" s="34" t="n">
        <x:v>2.835</x:v>
      </x:c>
      <x:c r="U148" s="34" t="n">
        <x:v>10.499693</x:v>
      </x:c>
      <x:c r="V148" s="34" t="n">
        <x:v>31.49908</x:v>
      </x:c>
      <x:c r="W148" s="34" t="n">
        <x:v>1472.222</x:v>
      </x:c>
      <x:c r="X148" s="34" t="n">
        <x:v>370.181</x:v>
      </x:c>
      <x:c r="Y148" s="34" t="n">
        <x:v>2563.443</x:v>
      </x:c>
      <x:c r="Z148" s="34" t="n">
        <x:v>2193.262</x:v>
      </x:c>
      <x:c r="AA148" s="34" t="n">
        <x:v>1091.221</x:v>
      </x:c>
      <x:c r="AB148" s="34" t="n">
        <x:v>1102.041</x:v>
      </x:c>
      <x:c r="AC148" s="34" t="n">
        <x:v>1480.725</x:v>
      </x:c>
      <x:c r="AD148" s="34" t="n">
        <x:v>53.641</x:v>
      </x:c>
      <x:c r="AE148" s="34" t="n">
        <x:v>1029.077</x:v>
      </x:c>
      <x:c r="AF148" s="34" t="n">
        <x:v>0</x:v>
      </x:c>
      <x:c r="AG148" s="34" t="n">
        <x:v>0</x:v>
      </x:c>
      <x:c r="AH148" s="34" t="n">
        <x:v>-1091.221</x:v>
      </x:c>
      <x:c r="AI148" s="34" t="str">
        <x:v>model_estimate</x:v>
      </x:c>
      <x:c r="AJ148" s="34" t="str">
        <x:v>Hirohata EAF 투자 방향을 반영한 복합 블록; 생산량·재투자연도 추정</x:v>
      </x:c>
      <x:c r="AK148" s="34" t="str">
        <x:v>CAND-87B9435721978E</x:v>
      </x:c>
      <x:c r="AL148" s="34" t="str">
        <x:v>P1</x:v>
      </x:c>
      <x:c r="AM148" s="34" t="str">
        <x:v>PORT-5CFD50239439</x:v>
      </x:c>
      <x:c r="AN148" s="34" t="n">
        <x:v>1000</x:v>
      </x:c>
      <x:c r="AO148" s="34" t="n">
        <x:v>22.435988</x:v>
      </x:c>
      <x:c r="AP148" s="34" t="n">
        <x:v>11.154754</x:v>
      </x:c>
      <x:c r="AQ148" s="34" t="n">
        <x:v>321.473932</x:v>
      </x:c>
      <x:c r="AR148" s="34" t="n">
        <x:v>6865.237</x:v>
      </x:c>
      <x:c r="AS148" s="34" t="n">
        <x:v>21.355503</x:v>
      </x:c>
      <x:c r="AT148" s="40" t="b">
        <x:v>1</x:v>
      </x:c>
      <x:c r="AU148" s="40" t="b">
        <x:v>1</x:v>
      </x:c>
      <x:c r="AV148" s="34" t="str"/>
      <x:c r="AW148" s="34" t="n">
        <x:v>0</x:v>
      </x:c>
      <x:c r="AX148" s="34" t="str">
        <x:v>3.446647212967946e-06</x:v>
      </x:c>
      <x:c r="AY148" s="40" t="b">
        <x:v>1</x:v>
      </x:c>
      <x:c r="AZ148" s="40" t="b">
        <x:v>1</x:v>
      </x:c>
      <x:c r="BA148" s="40" t="b">
        <x:v>1</x:v>
      </x:c>
      <x:c r="BB148" s="40" t="b">
        <x:v>1</x:v>
      </x:c>
      <x:c r="BC148" s="34" t="str"/>
      <x:c r="BD148" s="34" t="n">
        <x:v>0</x:v>
      </x:c>
      <x:c r="BE148" s="34" t="n">
        <x:v>0</x:v>
      </x:c>
      <x:c r="BF148" s="34" t="n">
        <x:v>0</x:v>
      </x:c>
      <x:c r="BG148" s="34" t="n">
        <x:v>2</x:v>
      </x:c>
      <x:c r="BH148" s="34" t="n">
        <x:v>2</x:v>
      </x:c>
      <x:c r="BI148" s="34" t="n">
        <x:v>0.28236113919999994</x:v>
      </x:c>
      <x:c r="BJ148" s="34" t="n">
        <x:v>0.65</x:v>
      </x:c>
      <x:c r="BK148" s="34" t="n">
        <x:v>0.88</x:v>
      </x:c>
    </x:row>
    <x:row r="149">
      <x:c r="A149" s="34" t="str">
        <x:v>NIPPON_STEEL_JP</x:v>
      </x:c>
      <x:c r="B149" s="34" t="str">
        <x:v>Nippon Steel</x:v>
      </x:c>
      <x:c r="C149" s="34" t="str">
        <x:v>ACCELERATED_15C</x:v>
      </x:c>
      <x:c r="D149" s="34" t="str">
        <x:v>P1</x:v>
      </x:c>
      <x:c r="E149" s="34" t="str">
        <x:v>NS-EAST</x:v>
      </x:c>
      <x:c r="F149" s="34" t="str">
        <x:v>East Nippon Works 블록</x:v>
      </x:c>
      <x:c r="G149" s="34" t="str">
        <x:v>동일본</x:v>
      </x:c>
      <x:c r="H149" s="34" t="n">
        <x:v>2034</x:v>
      </x:c>
      <x:c r="I149" s="34" t="str">
        <x:v>BF_BOF</x:v>
      </x:c>
      <x:c r="J149" s="34" t="str">
        <x:v>기준 BF-BOF 복합 블록</x:v>
      </x:c>
      <x:c r="K149" s="34" t="str">
        <x:v>BF_RELINE</x:v>
      </x:c>
      <x:c r="L149" s="34" t="str">
        <x:v>BF 개수·효율 패키지</x:v>
      </x:c>
      <x:c r="M149" s="34" t="n">
        <x:v>2227.5</x:v>
      </x:c>
      <x:c r="N149" s="34" t="n">
        <x:v>445.5</x:v>
      </x:c>
      <x:c r="O149" s="34" t="n">
        <x:v>8.1</x:v>
      </x:c>
      <x:c r="P149" s="34" t="n">
        <x:v>7.200001</x:v>
      </x:c>
      <x:c r="Q149" s="34" t="n">
        <x:v>15.239652</x:v>
      </x:c>
      <x:c r="R149" s="34" t="n">
        <x:v>15.239652</x:v>
      </x:c>
      <x:c r="S149" s="34" t="n">
        <x:v>13.680002</x:v>
      </x:c>
      <x:c r="T149" s="34" t="n">
        <x:v>13.680002</x:v>
      </x:c>
      <x:c r="U149" s="34" t="n">
        <x:v>1.55965</x:v>
      </x:c>
      <x:c r="V149" s="34" t="n">
        <x:v>10.917549</x:v>
      </x:c>
      <x:c r="W149" s="34" t="n">
        <x:v>-208.522</x:v>
      </x:c>
      <x:c r="X149" s="34" t="n">
        <x:v>0</x:v>
      </x:c>
      <x:c r="Y149" s="34" t="n">
        <x:v>361.9</x:v>
      </x:c>
      <x:c r="Z149" s="34" t="n">
        <x:v>361.9</x:v>
      </x:c>
      <x:c r="AA149" s="34" t="n">
        <x:v>570.422</x:v>
      </x:c>
      <x:c r="AB149" s="34" t="n">
        <x:v>-208.522</x:v>
      </x:c>
      <x:c r="AC149" s="34" t="n">
        <x:v>275.154</x:v>
      </x:c>
      <x:c r="AD149" s="34" t="n">
        <x:v>26.662</x:v>
      </x:c>
      <x:c r="AE149" s="34" t="n">
        <x:v>60.085</x:v>
      </x:c>
      <x:c r="AF149" s="34" t="n">
        <x:v>0</x:v>
      </x:c>
      <x:c r="AG149" s="34" t="n">
        <x:v>0</x:v>
      </x:c>
      <x:c r="AH149" s="34" t="n">
        <x:v>-570.422</x:v>
      </x:c>
      <x:c r="AI149" s="34" t="str">
        <x:v>model_estimate</x:v>
      </x:c>
      <x:c r="AJ149" s="34" t="str">
        <x:v>Nippon Steel 공식 생산·배출·용량 총량에 맞춘 지역 블록 배분</x:v>
      </x:c>
      <x:c r="AK149" s="34" t="str">
        <x:v>CAND-87B9435721978E</x:v>
      </x:c>
      <x:c r="AL149" s="34" t="str">
        <x:v>P1</x:v>
      </x:c>
      <x:c r="AM149" s="34" t="str">
        <x:v>PORT-5CFD50239439</x:v>
      </x:c>
      <x:c r="AN149" s="34" t="n">
        <x:v>1000</x:v>
      </x:c>
      <x:c r="AO149" s="34" t="n">
        <x:v>8.626353</x:v>
      </x:c>
      <x:c r="AP149" s="34" t="n">
        <x:v>12.076235</x:v>
      </x:c>
      <x:c r="AQ149" s="34" t="n">
        <x:v>321.473932</x:v>
      </x:c>
      <x:c r="AR149" s="34" t="n">
        <x:v>2434.553</x:v>
      </x:c>
      <x:c r="AS149" s="34" t="n">
        <x:v>7.573095</x:v>
      </x:c>
      <x:c r="AT149" s="40" t="b">
        <x:v>0</x:v>
      </x:c>
      <x:c r="AU149" s="40" t="b">
        <x:v>0</x:v>
      </x:c>
      <x:c r="AV149" s="34" t="n">
        <x:v>2035</x:v>
      </x:c>
      <x:c r="AW149" s="34" t="n">
        <x:v>15.995002139999997</x:v>
      </x:c>
      <x:c r="AX149" s="34" t="n">
        <x:v>-15.995002139999997</x:v>
      </x:c>
      <x:c r="AY149" s="40" t="b">
        <x:v>1</x:v>
      </x:c>
      <x:c r="AZ149" s="40" t="b">
        <x:v>1</x:v>
      </x:c>
      <x:c r="BA149" s="40" t="b">
        <x:v>1</x:v>
      </x:c>
      <x:c r="BB149" s="40" t="b">
        <x:v>1</x:v>
      </x:c>
      <x:c r="BC149" s="34" t="str"/>
      <x:c r="BD149" s="34" t="n">
        <x:v>0</x:v>
      </x:c>
      <x:c r="BE149" s="34" t="n">
        <x:v>0</x:v>
      </x:c>
      <x:c r="BF149" s="34" t="n">
        <x:v>0</x:v>
      </x:c>
      <x:c r="BG149" s="34" t="n">
        <x:v>2</x:v>
      </x:c>
      <x:c r="BH149" s="34" t="n">
        <x:v>2</x:v>
      </x:c>
      <x:c r="BI149" s="34" t="n">
        <x:v>0.28236113919999994</x:v>
      </x:c>
      <x:c r="BJ149" s="34" t="n">
        <x:v>0.65</x:v>
      </x:c>
      <x:c r="BK149" s="34" t="n">
        <x:v>0.88</x:v>
      </x:c>
    </x:row>
    <x:row r="150">
      <x:c r="A150" s="34" t="str">
        <x:v>NIPPON_STEEL_JP</x:v>
      </x:c>
      <x:c r="B150" s="34" t="str">
        <x:v>Nippon Steel</x:v>
      </x:c>
      <x:c r="C150" s="34" t="str">
        <x:v>ACCELERATED_15C</x:v>
      </x:c>
      <x:c r="D150" s="34" t="str">
        <x:v>P1</x:v>
      </x:c>
      <x:c r="E150" s="34" t="str">
        <x:v>NS-KANSAI</x:v>
      </x:c>
      <x:c r="F150" s="34" t="str">
        <x:v>Kansai Works 블록</x:v>
      </x:c>
      <x:c r="G150" s="34" t="str">
        <x:v>간사이</x:v>
      </x:c>
      <x:c r="H150" s="34" t="n">
        <x:v>2036</x:v>
      </x:c>
      <x:c r="I150" s="34" t="str">
        <x:v>BF_BOF</x:v>
      </x:c>
      <x:c r="J150" s="34" t="str">
        <x:v>기준 BF-BOF 복합 블록</x:v>
      </x:c>
      <x:c r="K150" s="34" t="str">
        <x:v>BF_RELINE</x:v>
      </x:c>
      <x:c r="L150" s="34" t="str">
        <x:v>BF 개수·효율 패키지</x:v>
      </x:c>
      <x:c r="M150" s="34" t="n">
        <x:v>1732.5</x:v>
      </x:c>
      <x:c r="N150" s="34" t="n">
        <x:v>346.5</x:v>
      </x:c>
      <x:c r="O150" s="34" t="n">
        <x:v>6.3</x:v>
      </x:c>
      <x:c r="P150" s="34" t="n">
        <x:v>5.600001</x:v>
      </x:c>
      <x:c r="Q150" s="34" t="n">
        <x:v>11.853062</x:v>
      </x:c>
      <x:c r="R150" s="34" t="n">
        <x:v>11.853062</x:v>
      </x:c>
      <x:c r="S150" s="34" t="n">
        <x:v>10.640001</x:v>
      </x:c>
      <x:c r="T150" s="34" t="n">
        <x:v>10.640001</x:v>
      </x:c>
      <x:c r="U150" s="34" t="n">
        <x:v>1.213061</x:v>
      </x:c>
      <x:c r="V150" s="34" t="n">
        <x:v>6.065305</x:v>
      </x:c>
      <x:c r="W150" s="34" t="n">
        <x:v>-78.072</x:v>
      </x:c>
      <x:c r="X150" s="34" t="n">
        <x:v>0</x:v>
      </x:c>
      <x:c r="Y150" s="34" t="n">
        <x:v>238.291</x:v>
      </x:c>
      <x:c r="Z150" s="34" t="n">
        <x:v>238.291</x:v>
      </x:c>
      <x:c r="AA150" s="34" t="n">
        <x:v>316.362</x:v>
      </x:c>
      <x:c r="AB150" s="34" t="n">
        <x:v>-78.072</x:v>
      </x:c>
      <x:c r="AC150" s="34" t="n">
        <x:v>192.276</x:v>
      </x:c>
      <x:c r="AD150" s="34" t="n">
        <x:v>14</x:v>
      </x:c>
      <x:c r="AE150" s="34" t="n">
        <x:v>32.015</x:v>
      </x:c>
      <x:c r="AF150" s="34" t="n">
        <x:v>0</x:v>
      </x:c>
      <x:c r="AG150" s="34" t="n">
        <x:v>0</x:v>
      </x:c>
      <x:c r="AH150" s="34" t="n">
        <x:v>-316.362</x:v>
      </x:c>
      <x:c r="AI150" s="34" t="str">
        <x:v>model_estimate</x:v>
      </x:c>
      <x:c r="AJ150" s="34" t="str">
        <x:v>Nippon Steel 공식 생산·배출·용량 총량에 맞춘 지역 블록 배분</x:v>
      </x:c>
      <x:c r="AK150" s="34" t="str">
        <x:v>CAND-87B9435721978E</x:v>
      </x:c>
      <x:c r="AL150" s="34" t="str">
        <x:v>P1</x:v>
      </x:c>
      <x:c r="AM150" s="34" t="str">
        <x:v>PORT-5CFD50239439</x:v>
      </x:c>
      <x:c r="AN150" s="34" t="n">
        <x:v>1000</x:v>
      </x:c>
      <x:c r="AO150" s="34" t="n">
        <x:v>8.626353</x:v>
      </x:c>
      <x:c r="AP150" s="34" t="n">
        <x:v>12.076235</x:v>
      </x:c>
      <x:c r="AQ150" s="34" t="n">
        <x:v>321.473932</x:v>
      </x:c>
      <x:c r="AR150" s="34" t="n">
        <x:v>2434.553</x:v>
      </x:c>
      <x:c r="AS150" s="34" t="n">
        <x:v>7.573095</x:v>
      </x:c>
      <x:c r="AT150" s="40" t="b">
        <x:v>0</x:v>
      </x:c>
      <x:c r="AU150" s="40" t="b">
        <x:v>0</x:v>
      </x:c>
      <x:c r="AV150" s="34" t="n">
        <x:v>2035</x:v>
      </x:c>
      <x:c r="AW150" s="34" t="n">
        <x:v>15.995002139999997</x:v>
      </x:c>
      <x:c r="AX150" s="34" t="n">
        <x:v>-15.995002139999997</x:v>
      </x:c>
      <x:c r="AY150" s="40" t="b">
        <x:v>1</x:v>
      </x:c>
      <x:c r="AZ150" s="40" t="b">
        <x:v>1</x:v>
      </x:c>
      <x:c r="BA150" s="40" t="b">
        <x:v>1</x:v>
      </x:c>
      <x:c r="BB150" s="40" t="b">
        <x:v>1</x:v>
      </x:c>
      <x:c r="BC150" s="34" t="str"/>
      <x:c r="BD150" s="34" t="n">
        <x:v>0</x:v>
      </x:c>
      <x:c r="BE150" s="34" t="n">
        <x:v>0</x:v>
      </x:c>
      <x:c r="BF150" s="34" t="n">
        <x:v>0</x:v>
      </x:c>
      <x:c r="BG150" s="34" t="n">
        <x:v>2</x:v>
      </x:c>
      <x:c r="BH150" s="34" t="n">
        <x:v>2</x:v>
      </x:c>
      <x:c r="BI150" s="34" t="n">
        <x:v>0.28236113919999994</x:v>
      </x:c>
      <x:c r="BJ150" s="34" t="n">
        <x:v>0.65</x:v>
      </x:c>
      <x:c r="BK150" s="34" t="n">
        <x:v>0.88</x:v>
      </x:c>
    </x:row>
    <x:row r="151">
      <x:c r="A151" s="34" t="str">
        <x:v>NIPPON_STEEL_JP</x:v>
      </x:c>
      <x:c r="B151" s="34" t="str">
        <x:v>Nippon Steel</x:v>
      </x:c>
      <x:c r="C151" s="34" t="str">
        <x:v>ACCELERATED_15C</x:v>
      </x:c>
      <x:c r="D151" s="34" t="str">
        <x:v>P1</x:v>
      </x:c>
      <x:c r="E151" s="34" t="str">
        <x:v>NS-KYUSHU</x:v>
      </x:c>
      <x:c r="F151" s="34" t="str">
        <x:v>Kyushu Works Yawata 블록</x:v>
      </x:c>
      <x:c r="G151" s="34" t="str">
        <x:v>규슈</x:v>
      </x:c>
      <x:c r="H151" s="34" t="n">
        <x:v>2029</x:v>
      </x:c>
      <x:c r="I151" s="34" t="str">
        <x:v>BF_BOF</x:v>
      </x:c>
      <x:c r="J151" s="34" t="str">
        <x:v>기준 BF-BOF 복합 블록</x:v>
      </x:c>
      <x:c r="K151" s="34" t="str">
        <x:v>SCRAP_EAF</x:v>
      </x:c>
      <x:c r="L151" s="34" t="str">
        <x:v>스크랩 기반 대형 EAF</x:v>
      </x:c>
      <x:c r="M151" s="34" t="n">
        <x:v>6160</x:v>
      </x:c>
      <x:c r="N151" s="34" t="n">
        <x:v>3960</x:v>
      </x:c>
      <x:c r="O151" s="34" t="n">
        <x:v>10</x:v>
      </x:c>
      <x:c r="P151" s="34" t="n">
        <x:v>9</x:v>
      </x:c>
      <x:c r="Q151" s="34" t="n">
        <x:v>19.049562</x:v>
      </x:c>
      <x:c r="R151" s="34" t="n">
        <x:v>4.05</x:v>
      </x:c>
      <x:c r="S151" s="34" t="n">
        <x:v>4.05</x:v>
      </x:c>
      <x:c r="T151" s="34" t="n">
        <x:v>4.05</x:v>
      </x:c>
      <x:c r="U151" s="34" t="n">
        <x:v>14.999562</x:v>
      </x:c>
      <x:c r="V151" s="34" t="n">
        <x:v>179.994744</x:v>
      </x:c>
      <x:c r="W151" s="34" t="n">
        <x:v>2492.385</x:v>
      </x:c>
      <x:c r="X151" s="34" t="n">
        <x:v>958.973</x:v>
      </x:c>
      <x:c r="Y151" s="34" t="n">
        <x:v>11668.319</x:v>
      </x:c>
      <x:c r="Z151" s="34" t="n">
        <x:v>10709.345</x:v>
      </x:c>
      <x:c r="AA151" s="34" t="n">
        <x:v>9175.933</x:v>
      </x:c>
      <x:c r="AB151" s="34" t="n">
        <x:v>1533.412</x:v>
      </x:c>
      <x:c r="AC151" s="34" t="n">
        <x:v>3196.578</x:v>
      </x:c>
      <x:c r="AD151" s="34" t="n">
        <x:v>462.398</x:v>
      </x:c>
      <x:c r="AE151" s="34" t="n">
        <x:v>8009.343</x:v>
      </x:c>
      <x:c r="AF151" s="34" t="n">
        <x:v>0</x:v>
      </x:c>
      <x:c r="AG151" s="34" t="n">
        <x:v>0</x:v>
      </x:c>
      <x:c r="AH151" s="34" t="n">
        <x:v>-9175.933</x:v>
      </x:c>
      <x:c r="AI151" s="34" t="str">
        <x:v>model_estimate</x:v>
      </x:c>
      <x:c r="AJ151" s="34" t="str">
        <x:v>Yawata BF→EAF 공시 방향을 반영해 조기 재투자 창을 설정; 블록 생산량 추정</x:v>
      </x:c>
      <x:c r="AK151" s="34" t="str">
        <x:v>CAND-87B9435721978E</x:v>
      </x:c>
      <x:c r="AL151" s="34" t="str">
        <x:v>P1</x:v>
      </x:c>
      <x:c r="AM151" s="34" t="str">
        <x:v>PORT-5CFD50239439</x:v>
      </x:c>
      <x:c r="AN151" s="34" t="n">
        <x:v>1000</x:v>
      </x:c>
      <x:c r="AO151" s="34" t="n">
        <x:v>8.626353</x:v>
      </x:c>
      <x:c r="AP151" s="34" t="n">
        <x:v>12.076235</x:v>
      </x:c>
      <x:c r="AQ151" s="34" t="n">
        <x:v>321.473932</x:v>
      </x:c>
      <x:c r="AR151" s="34" t="n">
        <x:v>2434.553</x:v>
      </x:c>
      <x:c r="AS151" s="34" t="n">
        <x:v>7.573095</x:v>
      </x:c>
      <x:c r="AT151" s="40" t="b">
        <x:v>0</x:v>
      </x:c>
      <x:c r="AU151" s="40" t="b">
        <x:v>0</x:v>
      </x:c>
      <x:c r="AV151" s="34" t="n">
        <x:v>2035</x:v>
      </x:c>
      <x:c r="AW151" s="34" t="n">
        <x:v>15.995002139999997</x:v>
      </x:c>
      <x:c r="AX151" s="34" t="n">
        <x:v>-15.995002139999997</x:v>
      </x:c>
      <x:c r="AY151" s="40" t="b">
        <x:v>1</x:v>
      </x:c>
      <x:c r="AZ151" s="40" t="b">
        <x:v>1</x:v>
      </x:c>
      <x:c r="BA151" s="40" t="b">
        <x:v>1</x:v>
      </x:c>
      <x:c r="BB151" s="40" t="b">
        <x:v>1</x:v>
      </x:c>
      <x:c r="BC151" s="34" t="str"/>
      <x:c r="BD151" s="34" t="n">
        <x:v>0</x:v>
      </x:c>
      <x:c r="BE151" s="34" t="n">
        <x:v>0</x:v>
      </x:c>
      <x:c r="BF151" s="34" t="n">
        <x:v>0</x:v>
      </x:c>
      <x:c r="BG151" s="34" t="n">
        <x:v>2</x:v>
      </x:c>
      <x:c r="BH151" s="34" t="n">
        <x:v>2</x:v>
      </x:c>
      <x:c r="BI151" s="34" t="n">
        <x:v>0.28236113919999994</x:v>
      </x:c>
      <x:c r="BJ151" s="34" t="n">
        <x:v>0.65</x:v>
      </x:c>
      <x:c r="BK151" s="34" t="n">
        <x:v>0.88</x:v>
      </x:c>
    </x:row>
    <x:row r="152">
      <x:c r="A152" s="34" t="str">
        <x:v>NIPPON_STEEL_JP</x:v>
      </x:c>
      <x:c r="B152" s="34" t="str">
        <x:v>Nippon Steel</x:v>
      </x:c>
      <x:c r="C152" s="34" t="str">
        <x:v>ACCELERATED_15C</x:v>
      </x:c>
      <x:c r="D152" s="34" t="str">
        <x:v>P1</x:v>
      </x:c>
      <x:c r="E152" s="34" t="str">
        <x:v>NS-NAGOYA</x:v>
      </x:c>
      <x:c r="F152" s="34" t="str">
        <x:v>Nagoya Works 블록</x:v>
      </x:c>
      <x:c r="G152" s="34" t="str">
        <x:v>나고야</x:v>
      </x:c>
      <x:c r="H152" s="34" t="n">
        <x:v>2032</x:v>
      </x:c>
      <x:c r="I152" s="34" t="str">
        <x:v>BF_BOF</x:v>
      </x:c>
      <x:c r="J152" s="34" t="str">
        <x:v>기준 BF-BOF 복합 블록</x:v>
      </x:c>
      <x:c r="K152" s="34" t="str">
        <x:v>SCRAP_EAF</x:v>
      </x:c>
      <x:c r="L152" s="34" t="str">
        <x:v>스크랩 기반 대형 EAF</x:v>
      </x:c>
      <x:c r="M152" s="34" t="n">
        <x:v>4312</x:v>
      </x:c>
      <x:c r="N152" s="34" t="n">
        <x:v>2772</x:v>
      </x:c>
      <x:c r="O152" s="34" t="n">
        <x:v>7</x:v>
      </x:c>
      <x:c r="P152" s="34" t="n">
        <x:v>6.199998</x:v>
      </x:c>
      <x:c r="Q152" s="34" t="n">
        <x:v>13.123027</x:v>
      </x:c>
      <x:c r="R152" s="34" t="n">
        <x:v>13.123027</x:v>
      </x:c>
      <x:c r="S152" s="34" t="n">
        <x:v>2.789999</x:v>
      </x:c>
      <x:c r="T152" s="34" t="n">
        <x:v>2.789999</x:v>
      </x:c>
      <x:c r="U152" s="34" t="n">
        <x:v>10.333028</x:v>
      </x:c>
      <x:c r="V152" s="34" t="n">
        <x:v>92.997254</x:v>
      </x:c>
      <x:c r="W152" s="34" t="n">
        <x:v>1141.656</x:v>
      </x:c>
      <x:c r="X152" s="34" t="n">
        <x:v>571.672</x:v>
      </x:c>
      <x:c r="Y152" s="34" t="n">
        <x:v>5978.303</x:v>
      </x:c>
      <x:c r="Z152" s="34" t="n">
        <x:v>5406.631</x:v>
      </x:c>
      <x:c r="AA152" s="34" t="n">
        <x:v>4836.648</x:v>
      </x:c>
      <x:c r="AB152" s="34" t="n">
        <x:v>569.983</x:v>
      </x:c>
      <x:c r="AC152" s="34" t="n">
        <x:v>1905.575</x:v>
      </x:c>
      <x:c r="AD152" s="34" t="n">
        <x:v>187.564</x:v>
      </x:c>
      <x:c r="AE152" s="34" t="n">
        <x:v>3885.164</x:v>
      </x:c>
      <x:c r="AF152" s="34" t="n">
        <x:v>0</x:v>
      </x:c>
      <x:c r="AG152" s="34" t="n">
        <x:v>0</x:v>
      </x:c>
      <x:c r="AH152" s="34" t="n">
        <x:v>-4836.648</x:v>
      </x:c>
      <x:c r="AI152" s="34" t="str">
        <x:v>model_estimate</x:v>
      </x:c>
      <x:c r="AJ152" s="34" t="str">
        <x:v>Nippon Steel 공식 생산·배출·용량 총량에 맞춘 지역 블록 배분</x:v>
      </x:c>
      <x:c r="AK152" s="34" t="str">
        <x:v>CAND-87B9435721978E</x:v>
      </x:c>
      <x:c r="AL152" s="34" t="str">
        <x:v>P1</x:v>
      </x:c>
      <x:c r="AM152" s="34" t="str">
        <x:v>PORT-5CFD50239439</x:v>
      </x:c>
      <x:c r="AN152" s="34" t="n">
        <x:v>1000</x:v>
      </x:c>
      <x:c r="AO152" s="34" t="n">
        <x:v>8.626353</x:v>
      </x:c>
      <x:c r="AP152" s="34" t="n">
        <x:v>12.076235</x:v>
      </x:c>
      <x:c r="AQ152" s="34" t="n">
        <x:v>321.473932</x:v>
      </x:c>
      <x:c r="AR152" s="34" t="n">
        <x:v>2434.553</x:v>
      </x:c>
      <x:c r="AS152" s="34" t="n">
        <x:v>7.573095</x:v>
      </x:c>
      <x:c r="AT152" s="40" t="b">
        <x:v>0</x:v>
      </x:c>
      <x:c r="AU152" s="40" t="b">
        <x:v>0</x:v>
      </x:c>
      <x:c r="AV152" s="34" t="n">
        <x:v>2035</x:v>
      </x:c>
      <x:c r="AW152" s="34" t="n">
        <x:v>15.995002139999997</x:v>
      </x:c>
      <x:c r="AX152" s="34" t="n">
        <x:v>-15.995002139999997</x:v>
      </x:c>
      <x:c r="AY152" s="40" t="b">
        <x:v>1</x:v>
      </x:c>
      <x:c r="AZ152" s="40" t="b">
        <x:v>1</x:v>
      </x:c>
      <x:c r="BA152" s="40" t="b">
        <x:v>1</x:v>
      </x:c>
      <x:c r="BB152" s="40" t="b">
        <x:v>1</x:v>
      </x:c>
      <x:c r="BC152" s="34" t="str"/>
      <x:c r="BD152" s="34" t="n">
        <x:v>0</x:v>
      </x:c>
      <x:c r="BE152" s="34" t="n">
        <x:v>0</x:v>
      </x:c>
      <x:c r="BF152" s="34" t="n">
        <x:v>0</x:v>
      </x:c>
      <x:c r="BG152" s="34" t="n">
        <x:v>2</x:v>
      </x:c>
      <x:c r="BH152" s="34" t="n">
        <x:v>2</x:v>
      </x:c>
      <x:c r="BI152" s="34" t="n">
        <x:v>0.28236113919999994</x:v>
      </x:c>
      <x:c r="BJ152" s="34" t="n">
        <x:v>0.65</x:v>
      </x:c>
      <x:c r="BK152" s="34" t="n">
        <x:v>0.88</x:v>
      </x:c>
    </x:row>
    <x:row r="153">
      <x:c r="A153" s="34" t="str">
        <x:v>NIPPON_STEEL_JP</x:v>
      </x:c>
      <x:c r="B153" s="34" t="str">
        <x:v>Nippon Steel</x:v>
      </x:c>
      <x:c r="C153" s="34" t="str">
        <x:v>ACCELERATED_15C</x:v>
      </x:c>
      <x:c r="D153" s="34" t="str">
        <x:v>P1</x:v>
      </x:c>
      <x:c r="E153" s="34" t="str">
        <x:v>NS-SETOUCHI</x:v>
      </x:c>
      <x:c r="F153" s="34" t="str">
        <x:v>Setouchi Works Hirohata 블록</x:v>
      </x:c>
      <x:c r="G153" s="34" t="str">
        <x:v>세토우치</x:v>
      </x:c>
      <x:c r="H153" s="34" t="n">
        <x:v>2038</x:v>
      </x:c>
      <x:c r="I153" s="34" t="str">
        <x:v>BF_BOF</x:v>
      </x:c>
      <x:c r="J153" s="34" t="str">
        <x:v>기준 BF-BOF 복합 블록</x:v>
      </x:c>
      <x:c r="K153" s="34" t="str">
        <x:v>SCRAP_EAF</x:v>
      </x:c>
      <x:c r="L153" s="34" t="str">
        <x:v>스크랩 기반 대형 EAF</x:v>
      </x:c>
      <x:c r="M153" s="34" t="n">
        <x:v>4620</x:v>
      </x:c>
      <x:c r="N153" s="34" t="n">
        <x:v>2970</x:v>
      </x:c>
      <x:c r="O153" s="34" t="n">
        <x:v>7.5</x:v>
      </x:c>
      <x:c r="P153" s="34" t="n">
        <x:v>6.3</x:v>
      </x:c>
      <x:c r="Q153" s="34" t="n">
        <x:v>13.334693</x:v>
      </x:c>
      <x:c r="R153" s="34" t="n">
        <x:v>13.334693</x:v>
      </x:c>
      <x:c r="S153" s="34" t="n">
        <x:v>2.835</x:v>
      </x:c>
      <x:c r="T153" s="34" t="n">
        <x:v>2.835</x:v>
      </x:c>
      <x:c r="U153" s="34" t="n">
        <x:v>10.499693</x:v>
      </x:c>
      <x:c r="V153" s="34" t="n">
        <x:v>31.49908</x:v>
      </x:c>
      <x:c r="W153" s="34" t="n">
        <x:v>1061.969</x:v>
      </x:c>
      <x:c r="X153" s="34" t="n">
        <x:v>444.218</x:v>
      </x:c>
      <x:c r="Y153" s="34" t="n">
        <x:v>2695.327</x:v>
      </x:c>
      <x:c r="Z153" s="34" t="n">
        <x:v>2251.11</x:v>
      </x:c>
      <x:c r="AA153" s="34" t="n">
        <x:v>1633.359</x:v>
      </x:c>
      <x:c r="AB153" s="34" t="n">
        <x:v>617.751</x:v>
      </x:c>
      <x:c r="AC153" s="34" t="n">
        <x:v>1480.725</x:v>
      </x:c>
      <x:c r="AD153" s="34" t="n">
        <x:v>53.641</x:v>
      </x:c>
      <x:c r="AE153" s="34" t="n">
        <x:v>1160.962</x:v>
      </x:c>
      <x:c r="AF153" s="34" t="n">
        <x:v>0</x:v>
      </x:c>
      <x:c r="AG153" s="34" t="n">
        <x:v>0</x:v>
      </x:c>
      <x:c r="AH153" s="34" t="n">
        <x:v>-1633.359</x:v>
      </x:c>
      <x:c r="AI153" s="34" t="str">
        <x:v>model_estimate</x:v>
      </x:c>
      <x:c r="AJ153" s="34" t="str">
        <x:v>Hirohata EAF 투자 방향을 반영한 복합 블록; 생산량·재투자연도 추정</x:v>
      </x:c>
      <x:c r="AK153" s="34" t="str">
        <x:v>CAND-87B9435721978E</x:v>
      </x:c>
      <x:c r="AL153" s="34" t="str">
        <x:v>P1</x:v>
      </x:c>
      <x:c r="AM153" s="34" t="str">
        <x:v>PORT-5CFD50239439</x:v>
      </x:c>
      <x:c r="AN153" s="34" t="n">
        <x:v>1000</x:v>
      </x:c>
      <x:c r="AO153" s="34" t="n">
        <x:v>8.626353</x:v>
      </x:c>
      <x:c r="AP153" s="34" t="n">
        <x:v>12.076235</x:v>
      </x:c>
      <x:c r="AQ153" s="34" t="n">
        <x:v>321.473932</x:v>
      </x:c>
      <x:c r="AR153" s="34" t="n">
        <x:v>2434.553</x:v>
      </x:c>
      <x:c r="AS153" s="34" t="n">
        <x:v>7.573095</x:v>
      </x:c>
      <x:c r="AT153" s="40" t="b">
        <x:v>0</x:v>
      </x:c>
      <x:c r="AU153" s="40" t="b">
        <x:v>0</x:v>
      </x:c>
      <x:c r="AV153" s="34" t="n">
        <x:v>2035</x:v>
      </x:c>
      <x:c r="AW153" s="34" t="n">
        <x:v>15.995002139999997</x:v>
      </x:c>
      <x:c r="AX153" s="34" t="n">
        <x:v>-15.995002139999997</x:v>
      </x:c>
      <x:c r="AY153" s="40" t="b">
        <x:v>1</x:v>
      </x:c>
      <x:c r="AZ153" s="40" t="b">
        <x:v>1</x:v>
      </x:c>
      <x:c r="BA153" s="40" t="b">
        <x:v>1</x:v>
      </x:c>
      <x:c r="BB153" s="40" t="b">
        <x:v>1</x:v>
      </x:c>
      <x:c r="BC153" s="34" t="str"/>
      <x:c r="BD153" s="34" t="n">
        <x:v>0</x:v>
      </x:c>
      <x:c r="BE153" s="34" t="n">
        <x:v>0</x:v>
      </x:c>
      <x:c r="BF153" s="34" t="n">
        <x:v>0</x:v>
      </x:c>
      <x:c r="BG153" s="34" t="n">
        <x:v>2</x:v>
      </x:c>
      <x:c r="BH153" s="34" t="n">
        <x:v>2</x:v>
      </x:c>
      <x:c r="BI153" s="34" t="n">
        <x:v>0.28236113919999994</x:v>
      </x:c>
      <x:c r="BJ153" s="34" t="n">
        <x:v>0.65</x:v>
      </x:c>
      <x:c r="BK153" s="34" t="n">
        <x:v>0.88</x:v>
      </x:c>
    </x:row>
    <x:row r="154">
      <x:c r="A154" s="34" t="str">
        <x:v>POSCO_KR</x:v>
      </x:c>
      <x:c r="B154" s="34" t="str">
        <x:v>POSCO</x:v>
      </x:c>
      <x:c r="C154" s="34" t="str">
        <x:v>DISCLOSED_PATH</x:v>
      </x:c>
      <x:c r="D154" s="34" t="str">
        <x:v>P3</x:v>
      </x:c>
      <x:c r="E154" s="34" t="str">
        <x:v>POS-GWY-E</x:v>
      </x:c>
      <x:c r="F154" s="34" t="str">
        <x:v>광양제철소 BF 블록 B</x:v>
      </x:c>
      <x:c r="G154" s="34" t="str">
        <x:v>광양</x:v>
      </x:c>
      <x:c r="H154" s="34" t="n">
        <x:v>2037</x:v>
      </x:c>
      <x:c r="I154" s="34" t="str">
        <x:v>BF_BOF</x:v>
      </x:c>
      <x:c r="J154" s="34" t="str">
        <x:v>기준 BF-BOF 복합 블록</x:v>
      </x:c>
      <x:c r="K154" s="34" t="str">
        <x:v>H2_DRI_EAF</x:v>
      </x:c>
      <x:c r="L154" s="34" t="str">
        <x:v>수소 DRI + EAF</x:v>
      </x:c>
      <x:c r="M154" s="34" t="n">
        <x:v>9270</x:v>
      </x:c>
      <x:c r="N154" s="34" t="n">
        <x:v>7210</x:v>
      </x:c>
      <x:c r="O154" s="34" t="n">
        <x:v>10.3</x:v>
      </x:c>
      <x:c r="P154" s="34" t="n">
        <x:v>9.502996</x:v>
      </x:c>
      <x:c r="Q154" s="34" t="n">
        <x:v>19.725693</x:v>
      </x:c>
      <x:c r="R154" s="34" t="n">
        <x:v>19.725693</x:v>
      </x:c>
      <x:c r="S154" s="34" t="n">
        <x:v>1.900599</x:v>
      </x:c>
      <x:c r="T154" s="34" t="n">
        <x:v>1.900599</x:v>
      </x:c>
      <x:c r="U154" s="34" t="n">
        <x:v>17.825093</x:v>
      </x:c>
      <x:c r="V154" s="34" t="n">
        <x:v>71.300373</x:v>
      </x:c>
      <x:c r="W154" s="34" t="n">
        <x:v>11491.723</x:v>
      </x:c>
      <x:c r="X154" s="34" t="n">
        <x:v>1376.256</x:v>
      </x:c>
      <x:c r="Y154" s="34" t="n">
        <x:v>14050.911</x:v>
      </x:c>
      <x:c r="Z154" s="34" t="n">
        <x:v>12674.655</x:v>
      </x:c>
      <x:c r="AA154" s="34" t="n">
        <x:v>2559.188</x:v>
      </x:c>
      <x:c r="AB154" s="34" t="n">
        <x:v>10115.467</x:v>
      </x:c>
      <x:c r="AC154" s="34" t="n">
        <x:v>3792.327</x:v>
      </x:c>
      <x:c r="AD154" s="34" t="n">
        <x:v>295.74</x:v>
      </x:c>
      <x:c r="AE154" s="34" t="n">
        <x:v>1153.737</x:v>
      </x:c>
      <x:c r="AF154" s="34" t="n">
        <x:v>8751.189</x:v>
      </x:c>
      <x:c r="AG154" s="34" t="n">
        <x:v>57.918</x:v>
      </x:c>
      <x:c r="AH154" s="34" t="n">
        <x:v>-2559.188</x:v>
      </x:c>
      <x:c r="AI154" s="34" t="str">
        <x:v>model_estimate</x:v>
      </x:c>
      <x:c r="AJ154" s="34" t="str">
        <x:v>POSCO 공식 국내 생산·배출 총량에 맞춘 설비 블록 배분; 개별 생산량·재투자연도는 추정</x:v>
      </x:c>
      <x:c r="AK154" s="34" t="str">
        <x:v>CAND-921D50D4015721</x:v>
      </x:c>
      <x:c r="AL154" s="34" t="str">
        <x:v>P3</x:v>
      </x:c>
      <x:c r="AM154" s="34" t="str">
        <x:v>PORT-96133A6427FE</x:v>
      </x:c>
      <x:c r="AN154" s="34" t="n">
        <x:v>1000</x:v>
      </x:c>
      <x:c r="AO154" s="34" t="n">
        <x:v>67.203768</x:v>
      </x:c>
      <x:c r="AP154" s="34" t="n">
        <x:v>14.314542</x:v>
      </x:c>
      <x:c r="AQ154" s="34" t="n">
        <x:v>430.20423</x:v>
      </x:c>
      <x:c r="AR154" s="34" t="n">
        <x:v>28331.133</x:v>
      </x:c>
      <x:c r="AS154" s="34" t="n">
        <x:v>65.855078</x:v>
      </x:c>
      <x:c r="AT154" s="40" t="b">
        <x:v>1</x:v>
      </x:c>
      <x:c r="AU154" s="40" t="b">
        <x:v>1</x:v>
      </x:c>
      <x:c r="AV154" s="34" t="str"/>
      <x:c r="AW154" s="34" t="n">
        <x:v>0</x:v>
      </x:c>
      <x:c r="AX154" s="34" t="str">
        <x:v>2.0275124185786808e-05</x:v>
      </x:c>
      <x:c r="AY154" s="40" t="b">
        <x:v>1</x:v>
      </x:c>
      <x:c r="AZ154" s="40" t="b">
        <x:v>1</x:v>
      </x:c>
      <x:c r="BA154" s="40" t="b">
        <x:v>1</x:v>
      </x:c>
      <x:c r="BB154" s="40" t="b">
        <x:v>1</x:v>
      </x:c>
      <x:c r="BC154" s="34" t="str"/>
      <x:c r="BD154" s="34" t="n">
        <x:v>0</x:v>
      </x:c>
      <x:c r="BE154" s="34" t="n">
        <x:v>0</x:v>
      </x:c>
      <x:c r="BF154" s="34" t="n">
        <x:v>0</x:v>
      </x:c>
      <x:c r="BG154" s="34" t="n">
        <x:v>2</x:v>
      </x:c>
      <x:c r="BH154" s="34" t="n">
        <x:v>3</x:v>
      </x:c>
      <x:c r="BI154" s="34" t="n">
        <x:v>0.45933660799999987</x:v>
      </x:c>
      <x:c r="BJ154" s="34" t="n">
        <x:v>0.65</x:v>
      </x:c>
      <x:c r="BK154" s="34" t="n">
        <x:v>2.02</x:v>
      </x:c>
    </x:row>
    <x:row r="155">
      <x:c r="A155" s="34" t="str">
        <x:v>POSCO_KR</x:v>
      </x:c>
      <x:c r="B155" s="34" t="str">
        <x:v>POSCO</x:v>
      </x:c>
      <x:c r="C155" s="34" t="str">
        <x:v>DISCLOSED_PATH</x:v>
      </x:c>
      <x:c r="D155" s="34" t="str">
        <x:v>P3</x:v>
      </x:c>
      <x:c r="E155" s="34" t="str">
        <x:v>POS-GWY-EAF</x:v>
      </x:c>
      <x:c r="F155" s="34" t="str">
        <x:v>광양 기존 EAF 블록</x:v>
      </x:c>
      <x:c r="G155" s="34" t="str">
        <x:v>광양</x:v>
      </x:c>
      <x:c r="H155" s="34" t="n">
        <x:v>2033</x:v>
      </x:c>
      <x:c r="I155" s="34" t="str">
        <x:v>EAF_BASELINE</x:v>
      </x:c>
      <x:c r="J155" s="34" t="str">
        <x:v>기존 전기로 기준 블록</x:v>
      </x:c>
      <x:c r="K155" s="34" t="str">
        <x:v>EAF_RENEWABLE</x:v>
      </x:c>
      <x:c r="L155" s="34" t="str">
        <x:v>기존 EAF 재생전력 업그레이드</x:v>
      </x:c>
      <x:c r="M155" s="34" t="n">
        <x:v>312</x:v>
      </x:c>
      <x:c r="N155" s="34" t="n">
        <x:v>96</x:v>
      </x:c>
      <x:c r="O155" s="34" t="n">
        <x:v>1.2</x:v>
      </x:c>
      <x:c r="P155" s="34" t="n">
        <x:v>1.134</x:v>
      </x:c>
      <x:c r="Q155" s="34" t="n">
        <x:v>0.5103</x:v>
      </x:c>
      <x:c r="R155" s="34" t="n">
        <x:v>0.5103</x:v>
      </x:c>
      <x:c r="S155" s="34" t="n">
        <x:v>0.1134</x:v>
      </x:c>
      <x:c r="T155" s="34" t="n">
        <x:v>0.1134</x:v>
      </x:c>
      <x:c r="U155" s="34" t="n">
        <x:v>0.3969</x:v>
      </x:c>
      <x:c r="V155" s="34" t="n">
        <x:v>3.1752</x:v>
      </x:c>
      <x:c r="W155" s="34" t="n">
        <x:v>0.747</x:v>
      </x:c>
      <x:c r="X155" s="34" t="n">
        <x:v>6.288</x:v>
      </x:c>
      <x:c r="Y155" s="34" t="n">
        <x:v>116.274</x:v>
      </x:c>
      <x:c r="Z155" s="34" t="n">
        <x:v>109.986</x:v>
      </x:c>
      <x:c r="AA155" s="34" t="n">
        <x:v>115.527</x:v>
      </x:c>
      <x:c r="AB155" s="34" t="n">
        <x:v>-5.541</x:v>
      </x:c>
      <x:c r="AC155" s="34" t="n">
        <x:v>62.553</x:v>
      </x:c>
      <x:c r="AD155" s="34" t="n">
        <x:v>14.814</x:v>
      </x:c>
      <x:c r="AE155" s="34" t="n">
        <x:v>38.405</x:v>
      </x:c>
      <x:c r="AF155" s="34" t="n">
        <x:v>0</x:v>
      </x:c>
      <x:c r="AG155" s="34" t="n">
        <x:v>0.501</x:v>
      </x:c>
      <x:c r="AH155" s="34" t="n">
        <x:v>-115.527</x:v>
      </x:c>
      <x:c r="AI155" s="34" t="str">
        <x:v>model_estimate</x:v>
      </x:c>
      <x:c r="AJ155" s="34" t="str">
        <x:v>2025 공식 EAF 생산 1.135Mt에 맞춘 모델 블록; 집약도·재투자연도 추정</x:v>
      </x:c>
      <x:c r="AK155" s="34" t="str">
        <x:v>CAND-921D50D4015721</x:v>
      </x:c>
      <x:c r="AL155" s="34" t="str">
        <x:v>P3</x:v>
      </x:c>
      <x:c r="AM155" s="34" t="str">
        <x:v>PORT-96133A6427FE</x:v>
      </x:c>
      <x:c r="AN155" s="34" t="n">
        <x:v>1000</x:v>
      </x:c>
      <x:c r="AO155" s="34" t="n">
        <x:v>67.203768</x:v>
      </x:c>
      <x:c r="AP155" s="34" t="n">
        <x:v>14.314542</x:v>
      </x:c>
      <x:c r="AQ155" s="34" t="n">
        <x:v>430.20423</x:v>
      </x:c>
      <x:c r="AR155" s="34" t="n">
        <x:v>28331.133</x:v>
      </x:c>
      <x:c r="AS155" s="34" t="n">
        <x:v>65.855078</x:v>
      </x:c>
      <x:c r="AT155" s="40" t="b">
        <x:v>1</x:v>
      </x:c>
      <x:c r="AU155" s="40" t="b">
        <x:v>1</x:v>
      </x:c>
      <x:c r="AV155" s="34" t="str"/>
      <x:c r="AW155" s="34" t="n">
        <x:v>0</x:v>
      </x:c>
      <x:c r="AX155" s="34" t="str">
        <x:v>2.0275124185786808e-05</x:v>
      </x:c>
      <x:c r="AY155" s="40" t="b">
        <x:v>1</x:v>
      </x:c>
      <x:c r="AZ155" s="40" t="b">
        <x:v>1</x:v>
      </x:c>
      <x:c r="BA155" s="40" t="b">
        <x:v>1</x:v>
      </x:c>
      <x:c r="BB155" s="40" t="b">
        <x:v>1</x:v>
      </x:c>
      <x:c r="BC155" s="34" t="str"/>
      <x:c r="BD155" s="34" t="n">
        <x:v>0</x:v>
      </x:c>
      <x:c r="BE155" s="34" t="n">
        <x:v>0</x:v>
      </x:c>
      <x:c r="BF155" s="34" t="n">
        <x:v>0</x:v>
      </x:c>
      <x:c r="BG155" s="34" t="n">
        <x:v>2</x:v>
      </x:c>
      <x:c r="BH155" s="34" t="n">
        <x:v>3</x:v>
      </x:c>
      <x:c r="BI155" s="34" t="n">
        <x:v>0.45933660799999987</x:v>
      </x:c>
      <x:c r="BJ155" s="34" t="n">
        <x:v>0.65</x:v>
      </x:c>
      <x:c r="BK155" s="34" t="n">
        <x:v>2.02</x:v>
      </x:c>
    </x:row>
    <x:row r="156">
      <x:c r="A156" s="34" t="str">
        <x:v>POSCO_KR</x:v>
      </x:c>
      <x:c r="B156" s="34" t="str">
        <x:v>POSCO</x:v>
      </x:c>
      <x:c r="C156" s="34" t="str">
        <x:v>DISCLOSED_PATH</x:v>
      </x:c>
      <x:c r="D156" s="34" t="str">
        <x:v>P3</x:v>
      </x:c>
      <x:c r="E156" s="34" t="str">
        <x:v>POS-GWY-W</x:v>
      </x:c>
      <x:c r="F156" s="34" t="str">
        <x:v>광양제철소 BF 블록 A</x:v>
      </x:c>
      <x:c r="G156" s="34" t="str">
        <x:v>광양</x:v>
      </x:c>
      <x:c r="H156" s="34" t="n">
        <x:v>2035</x:v>
      </x:c>
      <x:c r="I156" s="34" t="str">
        <x:v>BF_BOF</x:v>
      </x:c>
      <x:c r="J156" s="34" t="str">
        <x:v>기준 BF-BOF 복합 블록</x:v>
      </x:c>
      <x:c r="K156" s="34" t="str">
        <x:v>SCRAP_EAF</x:v>
      </x:c>
      <x:c r="L156" s="34" t="str">
        <x:v>스크랩 기반 대형 EAF</x:v>
      </x:c>
      <x:c r="M156" s="34" t="n">
        <x:v>5768</x:v>
      </x:c>
      <x:c r="N156" s="34" t="n">
        <x:v>3708</x:v>
      </x:c>
      <x:c r="O156" s="34" t="n">
        <x:v>10.3</x:v>
      </x:c>
      <x:c r="P156" s="34" t="n">
        <x:v>9.499999</x:v>
      </x:c>
      <x:c r="Q156" s="34" t="n">
        <x:v>19.719471</x:v>
      </x:c>
      <x:c r="R156" s="34" t="n">
        <x:v>19.719471</x:v>
      </x:c>
      <x:c r="S156" s="34" t="n">
        <x:v>4.275</x:v>
      </x:c>
      <x:c r="T156" s="34" t="n">
        <x:v>4.275</x:v>
      </x:c>
      <x:c r="U156" s="34" t="n">
        <x:v>15.444471</x:v>
      </x:c>
      <x:c r="V156" s="34" t="n">
        <x:v>92.666828</x:v>
      </x:c>
      <x:c r="W156" s="34" t="n">
        <x:v>1295.268</x:v>
      </x:c>
      <x:c r="X156" s="34" t="n">
        <x:v>327.326</x:v>
      </x:c>
      <x:c r="Y156" s="34" t="n">
        <x:v>4649.216</x:v>
      </x:c>
      <x:c r="Z156" s="34" t="n">
        <x:v>4321.89</x:v>
      </x:c>
      <x:c r="AA156" s="34" t="n">
        <x:v>3353.947</x:v>
      </x:c>
      <x:c r="AB156" s="34" t="n">
        <x:v>967.943</x:v>
      </x:c>
      <x:c r="AC156" s="34" t="n">
        <x:v>2170.777</x:v>
      </x:c>
      <x:c r="AD156" s="34" t="n">
        <x:v>263.8</x:v>
      </x:c>
      <x:c r="AE156" s="34" t="n">
        <x:v>2193.372</x:v>
      </x:c>
      <x:c r="AF156" s="34" t="n">
        <x:v>0</x:v>
      </x:c>
      <x:c r="AG156" s="34" t="n">
        <x:v>21.267</x:v>
      </x:c>
      <x:c r="AH156" s="34" t="n">
        <x:v>-3353.947</x:v>
      </x:c>
      <x:c r="AI156" s="34" t="str">
        <x:v>model_estimate</x:v>
      </x:c>
      <x:c r="AJ156" s="34" t="str">
        <x:v>POSCO 공식 국내 생산·배출 총량에 맞춘 설비 블록 배분; 개별 생산량·재투자연도는 추정</x:v>
      </x:c>
      <x:c r="AK156" s="34" t="str">
        <x:v>CAND-921D50D4015721</x:v>
      </x:c>
      <x:c r="AL156" s="34" t="str">
        <x:v>P3</x:v>
      </x:c>
      <x:c r="AM156" s="34" t="str">
        <x:v>PORT-96133A6427FE</x:v>
      </x:c>
      <x:c r="AN156" s="34" t="n">
        <x:v>1000</x:v>
      </x:c>
      <x:c r="AO156" s="34" t="n">
        <x:v>67.203768</x:v>
      </x:c>
      <x:c r="AP156" s="34" t="n">
        <x:v>14.314542</x:v>
      </x:c>
      <x:c r="AQ156" s="34" t="n">
        <x:v>430.20423</x:v>
      </x:c>
      <x:c r="AR156" s="34" t="n">
        <x:v>28331.133</x:v>
      </x:c>
      <x:c r="AS156" s="34" t="n">
        <x:v>65.855078</x:v>
      </x:c>
      <x:c r="AT156" s="40" t="b">
        <x:v>1</x:v>
      </x:c>
      <x:c r="AU156" s="40" t="b">
        <x:v>1</x:v>
      </x:c>
      <x:c r="AV156" s="34" t="str"/>
      <x:c r="AW156" s="34" t="n">
        <x:v>0</x:v>
      </x:c>
      <x:c r="AX156" s="34" t="str">
        <x:v>2.0275124185786808e-05</x:v>
      </x:c>
      <x:c r="AY156" s="40" t="b">
        <x:v>1</x:v>
      </x:c>
      <x:c r="AZ156" s="40" t="b">
        <x:v>1</x:v>
      </x:c>
      <x:c r="BA156" s="40" t="b">
        <x:v>1</x:v>
      </x:c>
      <x:c r="BB156" s="40" t="b">
        <x:v>1</x:v>
      </x:c>
      <x:c r="BC156" s="34" t="str"/>
      <x:c r="BD156" s="34" t="n">
        <x:v>0</x:v>
      </x:c>
      <x:c r="BE156" s="34" t="n">
        <x:v>0</x:v>
      </x:c>
      <x:c r="BF156" s="34" t="n">
        <x:v>0</x:v>
      </x:c>
      <x:c r="BG156" s="34" t="n">
        <x:v>2</x:v>
      </x:c>
      <x:c r="BH156" s="34" t="n">
        <x:v>3</x:v>
      </x:c>
      <x:c r="BI156" s="34" t="n">
        <x:v>0.45933660799999987</x:v>
      </x:c>
      <x:c r="BJ156" s="34" t="n">
        <x:v>0.65</x:v>
      </x:c>
      <x:c r="BK156" s="34" t="n">
        <x:v>2.02</x:v>
      </x:c>
    </x:row>
    <x:row r="157">
      <x:c r="A157" s="34" t="str">
        <x:v>POSCO_KR</x:v>
      </x:c>
      <x:c r="B157" s="34" t="str">
        <x:v>POSCO</x:v>
      </x:c>
      <x:c r="C157" s="34" t="str">
        <x:v>DISCLOSED_PATH</x:v>
      </x:c>
      <x:c r="D157" s="34" t="str">
        <x:v>P3</x:v>
      </x:c>
      <x:c r="E157" s="34" t="str">
        <x:v>POS-POH-N</x:v>
      </x:c>
      <x:c r="F157" s="34" t="str">
        <x:v>포항제철소 BF 블록 A</x:v>
      </x:c>
      <x:c r="G157" s="34" t="str">
        <x:v>포항</x:v>
      </x:c>
      <x:c r="H157" s="34" t="n">
        <x:v>2029</x:v>
      </x:c>
      <x:c r="I157" s="34" t="str">
        <x:v>BF_BOF</x:v>
      </x:c>
      <x:c r="J157" s="34" t="str">
        <x:v>기준 BF-BOF 복합 블록</x:v>
      </x:c>
      <x:c r="K157" s="34" t="str">
        <x:v>SCRAP_EAF</x:v>
      </x:c>
      <x:c r="L157" s="34" t="str">
        <x:v>스크랩 기반 대형 EAF</x:v>
      </x:c>
      <x:c r="M157" s="34" t="n">
        <x:v>4592</x:v>
      </x:c>
      <x:c r="N157" s="34" t="n">
        <x:v>2952</x:v>
      </x:c>
      <x:c r="O157" s="34" t="n">
        <x:v>8.2</x:v>
      </x:c>
      <x:c r="P157" s="34" t="n">
        <x:v>7.599998</x:v>
      </x:c>
      <x:c r="Q157" s="34" t="n">
        <x:v>15.775574</x:v>
      </x:c>
      <x:c r="R157" s="34" t="n">
        <x:v>3.419999</x:v>
      </x:c>
      <x:c r="S157" s="34" t="n">
        <x:v>3.419999</x:v>
      </x:c>
      <x:c r="T157" s="34" t="n">
        <x:v>3.419999</x:v>
      </x:c>
      <x:c r="U157" s="34" t="n">
        <x:v>12.355575</x:v>
      </x:c>
      <x:c r="V157" s="34" t="n">
        <x:v>148.266898</x:v>
      </x:c>
      <x:c r="W157" s="34" t="n">
        <x:v>1406.474</x:v>
      </x:c>
      <x:c r="X157" s="34" t="n">
        <x:v>359.873</x:v>
      </x:c>
      <x:c r="Y157" s="34" t="n">
        <x:v>6793.582</x:v>
      </x:c>
      <x:c r="Z157" s="34" t="n">
        <x:v>6433.709</x:v>
      </x:c>
      <x:c r="AA157" s="34" t="n">
        <x:v>5387.108</x:v>
      </x:c>
      <x:c r="AB157" s="34" t="n">
        <x:v>1046.6</x:v>
      </x:c>
      <x:c r="AC157" s="34" t="n">
        <x:v>2382.904</x:v>
      </x:c>
      <x:c r="AD157" s="34" t="n">
        <x:v>446.25</x:v>
      </x:c>
      <x:c r="AE157" s="34" t="n">
        <x:v>3934.214</x:v>
      </x:c>
      <x:c r="AF157" s="34" t="n">
        <x:v>0</x:v>
      </x:c>
      <x:c r="AG157" s="34" t="n">
        <x:v>30.214</x:v>
      </x:c>
      <x:c r="AH157" s="34" t="n">
        <x:v>-5387.108</x:v>
      </x:c>
      <x:c r="AI157" s="34" t="str">
        <x:v>model_estimate</x:v>
      </x:c>
      <x:c r="AJ157" s="34" t="str">
        <x:v>POSCO 공식 국내 생산·배출 총량에 맞춘 설비 블록 배분; 개별 생산량·재투자연도는 추정</x:v>
      </x:c>
      <x:c r="AK157" s="34" t="str">
        <x:v>CAND-921D50D4015721</x:v>
      </x:c>
      <x:c r="AL157" s="34" t="str">
        <x:v>P3</x:v>
      </x:c>
      <x:c r="AM157" s="34" t="str">
        <x:v>PORT-96133A6427FE</x:v>
      </x:c>
      <x:c r="AN157" s="34" t="n">
        <x:v>1000</x:v>
      </x:c>
      <x:c r="AO157" s="34" t="n">
        <x:v>67.203768</x:v>
      </x:c>
      <x:c r="AP157" s="34" t="n">
        <x:v>14.314542</x:v>
      </x:c>
      <x:c r="AQ157" s="34" t="n">
        <x:v>430.20423</x:v>
      </x:c>
      <x:c r="AR157" s="34" t="n">
        <x:v>28331.133</x:v>
      </x:c>
      <x:c r="AS157" s="34" t="n">
        <x:v>65.855078</x:v>
      </x:c>
      <x:c r="AT157" s="40" t="b">
        <x:v>1</x:v>
      </x:c>
      <x:c r="AU157" s="40" t="b">
        <x:v>1</x:v>
      </x:c>
      <x:c r="AV157" s="34" t="str"/>
      <x:c r="AW157" s="34" t="n">
        <x:v>0</x:v>
      </x:c>
      <x:c r="AX157" s="34" t="str">
        <x:v>2.0275124185786808e-05</x:v>
      </x:c>
      <x:c r="AY157" s="40" t="b">
        <x:v>1</x:v>
      </x:c>
      <x:c r="AZ157" s="40" t="b">
        <x:v>1</x:v>
      </x:c>
      <x:c r="BA157" s="40" t="b">
        <x:v>1</x:v>
      </x:c>
      <x:c r="BB157" s="40" t="b">
        <x:v>1</x:v>
      </x:c>
      <x:c r="BC157" s="34" t="str"/>
      <x:c r="BD157" s="34" t="n">
        <x:v>0</x:v>
      </x:c>
      <x:c r="BE157" s="34" t="n">
        <x:v>0</x:v>
      </x:c>
      <x:c r="BF157" s="34" t="n">
        <x:v>0</x:v>
      </x:c>
      <x:c r="BG157" s="34" t="n">
        <x:v>2</x:v>
      </x:c>
      <x:c r="BH157" s="34" t="n">
        <x:v>3</x:v>
      </x:c>
      <x:c r="BI157" s="34" t="n">
        <x:v>0.45933660799999987</x:v>
      </x:c>
      <x:c r="BJ157" s="34" t="n">
        <x:v>0.65</x:v>
      </x:c>
      <x:c r="BK157" s="34" t="n">
        <x:v>2.02</x:v>
      </x:c>
    </x:row>
    <x:row r="158">
      <x:c r="A158" s="34" t="str">
        <x:v>POSCO_KR</x:v>
      </x:c>
      <x:c r="B158" s="34" t="str">
        <x:v>POSCO</x:v>
      </x:c>
      <x:c r="C158" s="34" t="str">
        <x:v>DISCLOSED_PATH</x:v>
      </x:c>
      <x:c r="D158" s="34" t="str">
        <x:v>P3</x:v>
      </x:c>
      <x:c r="E158" s="34" t="str">
        <x:v>POS-POH-S</x:v>
      </x:c>
      <x:c r="F158" s="34" t="str">
        <x:v>포항제철소 BF 블록 B</x:v>
      </x:c>
      <x:c r="G158" s="34" t="str">
        <x:v>포항</x:v>
      </x:c>
      <x:c r="H158" s="34" t="n">
        <x:v>2032</x:v>
      </x:c>
      <x:c r="I158" s="34" t="str">
        <x:v>BF_BOF</x:v>
      </x:c>
      <x:c r="J158" s="34" t="str">
        <x:v>기준 BF-BOF 복합 블록</x:v>
      </x:c>
      <x:c r="K158" s="34" t="str">
        <x:v>H2_DRI_EAF</x:v>
      </x:c>
      <x:c r="L158" s="34" t="str">
        <x:v>수소 DRI + EAF</x:v>
      </x:c>
      <x:c r="M158" s="34" t="n">
        <x:v>6660</x:v>
      </x:c>
      <x:c r="N158" s="34" t="n">
        <x:v>5180</x:v>
      </x:c>
      <x:c r="O158" s="34" t="n">
        <x:v>7.4</x:v>
      </x:c>
      <x:c r="P158" s="34" t="n">
        <x:v>6.800001</x:v>
      </x:c>
      <x:c r="Q158" s="34" t="n">
        <x:v>14.114992</x:v>
      </x:c>
      <x:c r="R158" s="34" t="n">
        <x:v>14.114992</x:v>
      </x:c>
      <x:c r="S158" s="34" t="n">
        <x:v>1.36</x:v>
      </x:c>
      <x:c r="T158" s="34" t="n">
        <x:v>1.36</x:v>
      </x:c>
      <x:c r="U158" s="34" t="n">
        <x:v>12.754992</x:v>
      </x:c>
      <x:c r="V158" s="34" t="n">
        <x:v>114.794931</x:v>
      </x:c>
      <x:c r="W158" s="34" t="n">
        <x:v>18003.878</x:v>
      </x:c>
      <x:c r="X158" s="34" t="n">
        <x:v>1797.214</x:v>
      </x:c>
      <x:c r="Y158" s="34" t="n">
        <x:v>22186.045</x:v>
      </x:c>
      <x:c r="Z158" s="34" t="n">
        <x:v>20388.831</x:v>
      </x:c>
      <x:c r="AA158" s="34" t="n">
        <x:v>4182.167</x:v>
      </x:c>
      <x:c r="AB158" s="34" t="n">
        <x:v>16206.664</x:v>
      </x:c>
      <x:c r="AC158" s="34" t="n">
        <x:v>3560.923</x:v>
      </x:c>
      <x:c r="AD158" s="34" t="n">
        <x:v>514.289</x:v>
      </x:c>
      <x:c r="AE158" s="34" t="n">
        <x:v>2030.494</x:v>
      </x:c>
      <x:c r="AF158" s="34" t="n">
        <x:v>15992.535</x:v>
      </x:c>
      <x:c r="AG158" s="34" t="n">
        <x:v>87.804</x:v>
      </x:c>
      <x:c r="AH158" s="34" t="n">
        <x:v>-4182.167</x:v>
      </x:c>
      <x:c r="AI158" s="34" t="str">
        <x:v>model_estimate</x:v>
      </x:c>
      <x:c r="AJ158" s="34" t="str">
        <x:v>POSCO 공식 국내 생산·배출 총량에 맞춘 설비 블록 배분; 개별 생산량·재투자연도는 추정</x:v>
      </x:c>
      <x:c r="AK158" s="34" t="str">
        <x:v>CAND-921D50D4015721</x:v>
      </x:c>
      <x:c r="AL158" s="34" t="str">
        <x:v>P3</x:v>
      </x:c>
      <x:c r="AM158" s="34" t="str">
        <x:v>PORT-96133A6427FE</x:v>
      </x:c>
      <x:c r="AN158" s="34" t="n">
        <x:v>1000</x:v>
      </x:c>
      <x:c r="AO158" s="34" t="n">
        <x:v>67.203768</x:v>
      </x:c>
      <x:c r="AP158" s="34" t="n">
        <x:v>14.314542</x:v>
      </x:c>
      <x:c r="AQ158" s="34" t="n">
        <x:v>430.20423</x:v>
      </x:c>
      <x:c r="AR158" s="34" t="n">
        <x:v>28331.133</x:v>
      </x:c>
      <x:c r="AS158" s="34" t="n">
        <x:v>65.855078</x:v>
      </x:c>
      <x:c r="AT158" s="40" t="b">
        <x:v>1</x:v>
      </x:c>
      <x:c r="AU158" s="40" t="b">
        <x:v>1</x:v>
      </x:c>
      <x:c r="AV158" s="34" t="str"/>
      <x:c r="AW158" s="34" t="n">
        <x:v>0</x:v>
      </x:c>
      <x:c r="AX158" s="34" t="str">
        <x:v>2.0275124185786808e-05</x:v>
      </x:c>
      <x:c r="AY158" s="40" t="b">
        <x:v>1</x:v>
      </x:c>
      <x:c r="AZ158" s="40" t="b">
        <x:v>1</x:v>
      </x:c>
      <x:c r="BA158" s="40" t="b">
        <x:v>1</x:v>
      </x:c>
      <x:c r="BB158" s="40" t="b">
        <x:v>1</x:v>
      </x:c>
      <x:c r="BC158" s="34" t="str"/>
      <x:c r="BD158" s="34" t="n">
        <x:v>0</x:v>
      </x:c>
      <x:c r="BE158" s="34" t="n">
        <x:v>0</x:v>
      </x:c>
      <x:c r="BF158" s="34" t="n">
        <x:v>0</x:v>
      </x:c>
      <x:c r="BG158" s="34" t="n">
        <x:v>2</x:v>
      </x:c>
      <x:c r="BH158" s="34" t="n">
        <x:v>3</x:v>
      </x:c>
      <x:c r="BI158" s="34" t="n">
        <x:v>0.45933660799999987</x:v>
      </x:c>
      <x:c r="BJ158" s="34" t="n">
        <x:v>0.65</x:v>
      </x:c>
      <x:c r="BK158" s="34" t="n">
        <x:v>2.02</x:v>
      </x:c>
    </x:row>
    <x:row r="159">
      <x:c r="A159" s="34" t="str">
        <x:v>POSCO_KR</x:v>
      </x:c>
      <x:c r="B159" s="34" t="str">
        <x:v>POSCO</x:v>
      </x:c>
      <x:c r="C159" s="34" t="str">
        <x:v>ACCELERATED_15C</x:v>
      </x:c>
      <x:c r="D159" s="34" t="str">
        <x:v>P3</x:v>
      </x:c>
      <x:c r="E159" s="34" t="str">
        <x:v>POS-GWY-E</x:v>
      </x:c>
      <x:c r="F159" s="34" t="str">
        <x:v>광양제철소 BF 블록 B</x:v>
      </x:c>
      <x:c r="G159" s="34" t="str">
        <x:v>광양</x:v>
      </x:c>
      <x:c r="H159" s="34" t="n">
        <x:v>2037</x:v>
      </x:c>
      <x:c r="I159" s="34" t="str">
        <x:v>BF_BOF</x:v>
      </x:c>
      <x:c r="J159" s="34" t="str">
        <x:v>기준 BF-BOF 복합 블록</x:v>
      </x:c>
      <x:c r="K159" s="34" t="str">
        <x:v>H2_DRI_EAF</x:v>
      </x:c>
      <x:c r="L159" s="34" t="str">
        <x:v>수소 DRI + EAF</x:v>
      </x:c>
      <x:c r="M159" s="34" t="n">
        <x:v>9270</x:v>
      </x:c>
      <x:c r="N159" s="34" t="n">
        <x:v>7210</x:v>
      </x:c>
      <x:c r="O159" s="34" t="n">
        <x:v>10.3</x:v>
      </x:c>
      <x:c r="P159" s="34" t="n">
        <x:v>9.502996</x:v>
      </x:c>
      <x:c r="Q159" s="34" t="n">
        <x:v>19.725693</x:v>
      </x:c>
      <x:c r="R159" s="34" t="n">
        <x:v>19.725693</x:v>
      </x:c>
      <x:c r="S159" s="34" t="n">
        <x:v>1.900599</x:v>
      </x:c>
      <x:c r="T159" s="34" t="n">
        <x:v>1.900599</x:v>
      </x:c>
      <x:c r="U159" s="34" t="n">
        <x:v>17.825093</x:v>
      </x:c>
      <x:c r="V159" s="34" t="n">
        <x:v>71.300373</x:v>
      </x:c>
      <x:c r="W159" s="34" t="n">
        <x:v>11290.831</x:v>
      </x:c>
      <x:c r="X159" s="34" t="n">
        <x:v>1928.923</x:v>
      </x:c>
      <x:c r="Y159" s="34" t="n">
        <x:v>15078.386</x:v>
      </x:c>
      <x:c r="Z159" s="34" t="n">
        <x:v>13149.463</x:v>
      </x:c>
      <x:c r="AA159" s="34" t="n">
        <x:v>3787.555</x:v>
      </x:c>
      <x:c r="AB159" s="34" t="n">
        <x:v>9361.908</x:v>
      </x:c>
      <x:c r="AC159" s="34" t="n">
        <x:v>3792.327</x:v>
      </x:c>
      <x:c r="AD159" s="34" t="n">
        <x:v>295.74</x:v>
      </x:c>
      <x:c r="AE159" s="34" t="n">
        <x:v>1311.15</x:v>
      </x:c>
      <x:c r="AF159" s="34" t="n">
        <x:v>9617.294</x:v>
      </x:c>
      <x:c r="AG159" s="34" t="n">
        <x:v>61.875</x:v>
      </x:c>
      <x:c r="AH159" s="34" t="n">
        <x:v>-3787.555</x:v>
      </x:c>
      <x:c r="AI159" s="34" t="str">
        <x:v>model_estimate</x:v>
      </x:c>
      <x:c r="AJ159" s="34" t="str">
        <x:v>POSCO 공식 국내 생산·배출 총량에 맞춘 설비 블록 배분; 개별 생산량·재투자연도는 추정</x:v>
      </x:c>
      <x:c r="AK159" s="34" t="str">
        <x:v>CAND-921D50D4015721</x:v>
      </x:c>
      <x:c r="AL159" s="34" t="str">
        <x:v>P3</x:v>
      </x:c>
      <x:c r="AM159" s="34" t="str">
        <x:v>PORT-96133A6427FE</x:v>
      </x:c>
      <x:c r="AN159" s="34" t="n">
        <x:v>1000</x:v>
      </x:c>
      <x:c r="AO159" s="34" t="n">
        <x:v>54.526789</x:v>
      </x:c>
      <x:c r="AP159" s="34" t="n">
        <x:v>15.066699</x:v>
      </x:c>
      <x:c r="AQ159" s="34" t="n">
        <x:v>430.20423</x:v>
      </x:c>
      <x:c r="AR159" s="34" t="n">
        <x:v>22859.063</x:v>
      </x:c>
      <x:c r="AS159" s="34" t="n">
        <x:v>53.135375</x:v>
      </x:c>
      <x:c r="AT159" s="40" t="b">
        <x:v>1</x:v>
      </x:c>
      <x:c r="AU159" s="40" t="b">
        <x:v>1</x:v>
      </x:c>
      <x:c r="AV159" s="34" t="str"/>
      <x:c r="AW159" s="34" t="n">
        <x:v>0</x:v>
      </x:c>
      <x:c r="AX159" s="34" t="str">
        <x:v>2.0275124185786808e-05</x:v>
      </x:c>
      <x:c r="AY159" s="40" t="b">
        <x:v>1</x:v>
      </x:c>
      <x:c r="AZ159" s="40" t="b">
        <x:v>1</x:v>
      </x:c>
      <x:c r="BA159" s="40" t="b">
        <x:v>1</x:v>
      </x:c>
      <x:c r="BB159" s="40" t="b">
        <x:v>1</x:v>
      </x:c>
      <x:c r="BC159" s="34" t="str"/>
      <x:c r="BD159" s="34" t="n">
        <x:v>0</x:v>
      </x:c>
      <x:c r="BE159" s="34" t="n">
        <x:v>0</x:v>
      </x:c>
      <x:c r="BF159" s="34" t="n">
        <x:v>0</x:v>
      </x:c>
      <x:c r="BG159" s="34" t="n">
        <x:v>2</x:v>
      </x:c>
      <x:c r="BH159" s="34" t="n">
        <x:v>3</x:v>
      </x:c>
      <x:c r="BI159" s="34" t="n">
        <x:v>0.45933660799999987</x:v>
      </x:c>
      <x:c r="BJ159" s="34" t="n">
        <x:v>0.65</x:v>
      </x:c>
      <x:c r="BK159" s="34" t="n">
        <x:v>2.02</x:v>
      </x:c>
    </x:row>
    <x:row r="160">
      <x:c r="A160" s="34" t="str">
        <x:v>POSCO_KR</x:v>
      </x:c>
      <x:c r="B160" s="34" t="str">
        <x:v>POSCO</x:v>
      </x:c>
      <x:c r="C160" s="34" t="str">
        <x:v>ACCELERATED_15C</x:v>
      </x:c>
      <x:c r="D160" s="34" t="str">
        <x:v>P3</x:v>
      </x:c>
      <x:c r="E160" s="34" t="str">
        <x:v>POS-GWY-EAF</x:v>
      </x:c>
      <x:c r="F160" s="34" t="str">
        <x:v>광양 기존 EAF 블록</x:v>
      </x:c>
      <x:c r="G160" s="34" t="str">
        <x:v>광양</x:v>
      </x:c>
      <x:c r="H160" s="34" t="n">
        <x:v>2033</x:v>
      </x:c>
      <x:c r="I160" s="34" t="str">
        <x:v>EAF_BASELINE</x:v>
      </x:c>
      <x:c r="J160" s="34" t="str">
        <x:v>기존 전기로 기준 블록</x:v>
      </x:c>
      <x:c r="K160" s="34" t="str">
        <x:v>EAF_RENEWABLE</x:v>
      </x:c>
      <x:c r="L160" s="34" t="str">
        <x:v>기존 EAF 재생전력 업그레이드</x:v>
      </x:c>
      <x:c r="M160" s="34" t="n">
        <x:v>312</x:v>
      </x:c>
      <x:c r="N160" s="34" t="n">
        <x:v>96</x:v>
      </x:c>
      <x:c r="O160" s="34" t="n">
        <x:v>1.2</x:v>
      </x:c>
      <x:c r="P160" s="34" t="n">
        <x:v>1.134</x:v>
      </x:c>
      <x:c r="Q160" s="34" t="n">
        <x:v>0.5103</x:v>
      </x:c>
      <x:c r="R160" s="34" t="n">
        <x:v>0.5103</x:v>
      </x:c>
      <x:c r="S160" s="34" t="n">
        <x:v>0.1134</x:v>
      </x:c>
      <x:c r="T160" s="34" t="n">
        <x:v>0.1134</x:v>
      </x:c>
      <x:c r="U160" s="34" t="n">
        <x:v>0.3969</x:v>
      </x:c>
      <x:c r="V160" s="34" t="n">
        <x:v>3.1752</x:v>
      </x:c>
      <x:c r="W160" s="34" t="n">
        <x:v>-48.656</x:v>
      </x:c>
      <x:c r="X160" s="34" t="n">
        <x:v>9.432</x:v>
      </x:c>
      <x:c r="Y160" s="34" t="n">
        <x:v>120.876</x:v>
      </x:c>
      <x:c r="Z160" s="34" t="n">
        <x:v>111.444</x:v>
      </x:c>
      <x:c r="AA160" s="34" t="n">
        <x:v>169.532</x:v>
      </x:c>
      <x:c r="AB160" s="34" t="n">
        <x:v>-58.089</x:v>
      </x:c>
      <x:c r="AC160" s="34" t="n">
        <x:v>62.553</x:v>
      </x:c>
      <x:c r="AD160" s="34" t="n">
        <x:v>14.814</x:v>
      </x:c>
      <x:c r="AE160" s="34" t="n">
        <x:v>42.986</x:v>
      </x:c>
      <x:c r="AF160" s="34" t="n">
        <x:v>0</x:v>
      </x:c>
      <x:c r="AG160" s="34" t="n">
        <x:v>0.522</x:v>
      </x:c>
      <x:c r="AH160" s="34" t="n">
        <x:v>-169.532</x:v>
      </x:c>
      <x:c r="AI160" s="34" t="str">
        <x:v>model_estimate</x:v>
      </x:c>
      <x:c r="AJ160" s="34" t="str">
        <x:v>2025 공식 EAF 생산 1.135Mt에 맞춘 모델 블록; 집약도·재투자연도 추정</x:v>
      </x:c>
      <x:c r="AK160" s="34" t="str">
        <x:v>CAND-921D50D4015721</x:v>
      </x:c>
      <x:c r="AL160" s="34" t="str">
        <x:v>P3</x:v>
      </x:c>
      <x:c r="AM160" s="34" t="str">
        <x:v>PORT-96133A6427FE</x:v>
      </x:c>
      <x:c r="AN160" s="34" t="n">
        <x:v>1000</x:v>
      </x:c>
      <x:c r="AO160" s="34" t="n">
        <x:v>54.526789</x:v>
      </x:c>
      <x:c r="AP160" s="34" t="n">
        <x:v>15.066699</x:v>
      </x:c>
      <x:c r="AQ160" s="34" t="n">
        <x:v>430.20423</x:v>
      </x:c>
      <x:c r="AR160" s="34" t="n">
        <x:v>22859.063</x:v>
      </x:c>
      <x:c r="AS160" s="34" t="n">
        <x:v>53.135375</x:v>
      </x:c>
      <x:c r="AT160" s="40" t="b">
        <x:v>1</x:v>
      </x:c>
      <x:c r="AU160" s="40" t="b">
        <x:v>1</x:v>
      </x:c>
      <x:c r="AV160" s="34" t="str"/>
      <x:c r="AW160" s="34" t="n">
        <x:v>0</x:v>
      </x:c>
      <x:c r="AX160" s="34" t="str">
        <x:v>2.0275124185786808e-05</x:v>
      </x:c>
      <x:c r="AY160" s="40" t="b">
        <x:v>1</x:v>
      </x:c>
      <x:c r="AZ160" s="40" t="b">
        <x:v>1</x:v>
      </x:c>
      <x:c r="BA160" s="40" t="b">
        <x:v>1</x:v>
      </x:c>
      <x:c r="BB160" s="40" t="b">
        <x:v>1</x:v>
      </x:c>
      <x:c r="BC160" s="34" t="str"/>
      <x:c r="BD160" s="34" t="n">
        <x:v>0</x:v>
      </x:c>
      <x:c r="BE160" s="34" t="n">
        <x:v>0</x:v>
      </x:c>
      <x:c r="BF160" s="34" t="n">
        <x:v>0</x:v>
      </x:c>
      <x:c r="BG160" s="34" t="n">
        <x:v>2</x:v>
      </x:c>
      <x:c r="BH160" s="34" t="n">
        <x:v>3</x:v>
      </x:c>
      <x:c r="BI160" s="34" t="n">
        <x:v>0.45933660799999987</x:v>
      </x:c>
      <x:c r="BJ160" s="34" t="n">
        <x:v>0.65</x:v>
      </x:c>
      <x:c r="BK160" s="34" t="n">
        <x:v>2.02</x:v>
      </x:c>
    </x:row>
    <x:row r="161">
      <x:c r="A161" s="34" t="str">
        <x:v>POSCO_KR</x:v>
      </x:c>
      <x:c r="B161" s="34" t="str">
        <x:v>POSCO</x:v>
      </x:c>
      <x:c r="C161" s="34" t="str">
        <x:v>ACCELERATED_15C</x:v>
      </x:c>
      <x:c r="D161" s="34" t="str">
        <x:v>P3</x:v>
      </x:c>
      <x:c r="E161" s="34" t="str">
        <x:v>POS-GWY-W</x:v>
      </x:c>
      <x:c r="F161" s="34" t="str">
        <x:v>광양제철소 BF 블록 A</x:v>
      </x:c>
      <x:c r="G161" s="34" t="str">
        <x:v>광양</x:v>
      </x:c>
      <x:c r="H161" s="34" t="n">
        <x:v>2035</x:v>
      </x:c>
      <x:c r="I161" s="34" t="str">
        <x:v>BF_BOF</x:v>
      </x:c>
      <x:c r="J161" s="34" t="str">
        <x:v>기준 BF-BOF 복합 블록</x:v>
      </x:c>
      <x:c r="K161" s="34" t="str">
        <x:v>SCRAP_EAF</x:v>
      </x:c>
      <x:c r="L161" s="34" t="str">
        <x:v>스크랩 기반 대형 EAF</x:v>
      </x:c>
      <x:c r="M161" s="34" t="n">
        <x:v>5768</x:v>
      </x:c>
      <x:c r="N161" s="34" t="n">
        <x:v>3708</x:v>
      </x:c>
      <x:c r="O161" s="34" t="n">
        <x:v>10.3</x:v>
      </x:c>
      <x:c r="P161" s="34" t="n">
        <x:v>9.499999</x:v>
      </x:c>
      <x:c r="Q161" s="34" t="n">
        <x:v>19.719471</x:v>
      </x:c>
      <x:c r="R161" s="34" t="n">
        <x:v>19.719471</x:v>
      </x:c>
      <x:c r="S161" s="34" t="n">
        <x:v>4.275</x:v>
      </x:c>
      <x:c r="T161" s="34" t="n">
        <x:v>4.275</x:v>
      </x:c>
      <x:c r="U161" s="34" t="n">
        <x:v>15.444471</x:v>
      </x:c>
      <x:c r="V161" s="34" t="n">
        <x:v>92.666828</x:v>
      </x:c>
      <x:c r="W161" s="34" t="n">
        <x:v>-17.457</x:v>
      </x:c>
      <x:c r="X161" s="34" t="n">
        <x:v>436.435</x:v>
      </x:c>
      <x:c r="Y161" s="34" t="n">
        <x:v>4931.38</x:v>
      </x:c>
      <x:c r="Z161" s="34" t="n">
        <x:v>4494.945</x:v>
      </x:c>
      <x:c r="AA161" s="34" t="n">
        <x:v>4948.836</x:v>
      </x:c>
      <x:c r="AB161" s="34" t="n">
        <x:v>-453.891</x:v>
      </x:c>
      <x:c r="AC161" s="34" t="n">
        <x:v>2170.777</x:v>
      </x:c>
      <x:c r="AD161" s="34" t="n">
        <x:v>263.8</x:v>
      </x:c>
      <x:c r="AE161" s="34" t="n">
        <x:v>2474.272</x:v>
      </x:c>
      <x:c r="AF161" s="34" t="n">
        <x:v>0</x:v>
      </x:c>
      <x:c r="AG161" s="34" t="n">
        <x:v>22.531</x:v>
      </x:c>
      <x:c r="AH161" s="34" t="n">
        <x:v>-4948.836</x:v>
      </x:c>
      <x:c r="AI161" s="34" t="str">
        <x:v>model_estimate</x:v>
      </x:c>
      <x:c r="AJ161" s="34" t="str">
        <x:v>POSCO 공식 국내 생산·배출 총량에 맞춘 설비 블록 배분; 개별 생산량·재투자연도는 추정</x:v>
      </x:c>
      <x:c r="AK161" s="34" t="str">
        <x:v>CAND-921D50D4015721</x:v>
      </x:c>
      <x:c r="AL161" s="34" t="str">
        <x:v>P3</x:v>
      </x:c>
      <x:c r="AM161" s="34" t="str">
        <x:v>PORT-96133A6427FE</x:v>
      </x:c>
      <x:c r="AN161" s="34" t="n">
        <x:v>1000</x:v>
      </x:c>
      <x:c r="AO161" s="34" t="n">
        <x:v>54.526789</x:v>
      </x:c>
      <x:c r="AP161" s="34" t="n">
        <x:v>15.066699</x:v>
      </x:c>
      <x:c r="AQ161" s="34" t="n">
        <x:v>430.20423</x:v>
      </x:c>
      <x:c r="AR161" s="34" t="n">
        <x:v>22859.063</x:v>
      </x:c>
      <x:c r="AS161" s="34" t="n">
        <x:v>53.135375</x:v>
      </x:c>
      <x:c r="AT161" s="40" t="b">
        <x:v>1</x:v>
      </x:c>
      <x:c r="AU161" s="40" t="b">
        <x:v>1</x:v>
      </x:c>
      <x:c r="AV161" s="34" t="str"/>
      <x:c r="AW161" s="34" t="n">
        <x:v>0</x:v>
      </x:c>
      <x:c r="AX161" s="34" t="str">
        <x:v>2.0275124185786808e-05</x:v>
      </x:c>
      <x:c r="AY161" s="40" t="b">
        <x:v>1</x:v>
      </x:c>
      <x:c r="AZ161" s="40" t="b">
        <x:v>1</x:v>
      </x:c>
      <x:c r="BA161" s="40" t="b">
        <x:v>1</x:v>
      </x:c>
      <x:c r="BB161" s="40" t="b">
        <x:v>1</x:v>
      </x:c>
      <x:c r="BC161" s="34" t="str"/>
      <x:c r="BD161" s="34" t="n">
        <x:v>0</x:v>
      </x:c>
      <x:c r="BE161" s="34" t="n">
        <x:v>0</x:v>
      </x:c>
      <x:c r="BF161" s="34" t="n">
        <x:v>0</x:v>
      </x:c>
      <x:c r="BG161" s="34" t="n">
        <x:v>2</x:v>
      </x:c>
      <x:c r="BH161" s="34" t="n">
        <x:v>3</x:v>
      </x:c>
      <x:c r="BI161" s="34" t="n">
        <x:v>0.45933660799999987</x:v>
      </x:c>
      <x:c r="BJ161" s="34" t="n">
        <x:v>0.65</x:v>
      </x:c>
      <x:c r="BK161" s="34" t="n">
        <x:v>2.02</x:v>
      </x:c>
    </x:row>
    <x:row r="162">
      <x:c r="A162" s="34" t="str">
        <x:v>POSCO_KR</x:v>
      </x:c>
      <x:c r="B162" s="34" t="str">
        <x:v>POSCO</x:v>
      </x:c>
      <x:c r="C162" s="34" t="str">
        <x:v>ACCELERATED_15C</x:v>
      </x:c>
      <x:c r="D162" s="34" t="str">
        <x:v>P3</x:v>
      </x:c>
      <x:c r="E162" s="34" t="str">
        <x:v>POS-POH-N</x:v>
      </x:c>
      <x:c r="F162" s="34" t="str">
        <x:v>포항제철소 BF 블록 A</x:v>
      </x:c>
      <x:c r="G162" s="34" t="str">
        <x:v>포항</x:v>
      </x:c>
      <x:c r="H162" s="34" t="n">
        <x:v>2029</x:v>
      </x:c>
      <x:c r="I162" s="34" t="str">
        <x:v>BF_BOF</x:v>
      </x:c>
      <x:c r="J162" s="34" t="str">
        <x:v>기준 BF-BOF 복합 블록</x:v>
      </x:c>
      <x:c r="K162" s="34" t="str">
        <x:v>SCRAP_EAF</x:v>
      </x:c>
      <x:c r="L162" s="34" t="str">
        <x:v>스크랩 기반 대형 EAF</x:v>
      </x:c>
      <x:c r="M162" s="34" t="n">
        <x:v>4592</x:v>
      </x:c>
      <x:c r="N162" s="34" t="n">
        <x:v>2952</x:v>
      </x:c>
      <x:c r="O162" s="34" t="n">
        <x:v>8.2</x:v>
      </x:c>
      <x:c r="P162" s="34" t="n">
        <x:v>7.599998</x:v>
      </x:c>
      <x:c r="Q162" s="34" t="n">
        <x:v>15.775574</x:v>
      </x:c>
      <x:c r="R162" s="34" t="n">
        <x:v>3.419999</x:v>
      </x:c>
      <x:c r="S162" s="34" t="n">
        <x:v>3.419999</x:v>
      </x:c>
      <x:c r="T162" s="34" t="n">
        <x:v>3.419999</x:v>
      </x:c>
      <x:c r="U162" s="34" t="n">
        <x:v>12.355575</x:v>
      </x:c>
      <x:c r="V162" s="34" t="n">
        <x:v>148.266898</x:v>
      </x:c>
      <x:c r="W162" s="34" t="n">
        <x:v>-571.646</x:v>
      </x:c>
      <x:c r="X162" s="34" t="n">
        <x:v>479.083</x:v>
      </x:c>
      <x:c r="Y162" s="34" t="n">
        <x:v>7190.879</x:v>
      </x:c>
      <x:c r="Z162" s="34" t="n">
        <x:v>6711.797</x:v>
      </x:c>
      <x:c r="AA162" s="34" t="n">
        <x:v>7762.525</x:v>
      </x:c>
      <x:c r="AB162" s="34" t="n">
        <x:v>-1050.729</x:v>
      </x:c>
      <x:c r="AC162" s="34" t="n">
        <x:v>2382.904</x:v>
      </x:c>
      <x:c r="AD162" s="34" t="n">
        <x:v>446.25</x:v>
      </x:c>
      <x:c r="AE162" s="34" t="n">
        <x:v>4329.731</x:v>
      </x:c>
      <x:c r="AF162" s="34" t="n">
        <x:v>0</x:v>
      </x:c>
      <x:c r="AG162" s="34" t="n">
        <x:v>31.994</x:v>
      </x:c>
      <x:c r="AH162" s="34" t="n">
        <x:v>-7762.525</x:v>
      </x:c>
      <x:c r="AI162" s="34" t="str">
        <x:v>model_estimate</x:v>
      </x:c>
      <x:c r="AJ162" s="34" t="str">
        <x:v>POSCO 공식 국내 생산·배출 총량에 맞춘 설비 블록 배분; 개별 생산량·재투자연도는 추정</x:v>
      </x:c>
      <x:c r="AK162" s="34" t="str">
        <x:v>CAND-921D50D4015721</x:v>
      </x:c>
      <x:c r="AL162" s="34" t="str">
        <x:v>P3</x:v>
      </x:c>
      <x:c r="AM162" s="34" t="str">
        <x:v>PORT-96133A6427FE</x:v>
      </x:c>
      <x:c r="AN162" s="34" t="n">
        <x:v>1000</x:v>
      </x:c>
      <x:c r="AO162" s="34" t="n">
        <x:v>54.526789</x:v>
      </x:c>
      <x:c r="AP162" s="34" t="n">
        <x:v>15.066699</x:v>
      </x:c>
      <x:c r="AQ162" s="34" t="n">
        <x:v>430.20423</x:v>
      </x:c>
      <x:c r="AR162" s="34" t="n">
        <x:v>22859.063</x:v>
      </x:c>
      <x:c r="AS162" s="34" t="n">
        <x:v>53.135375</x:v>
      </x:c>
      <x:c r="AT162" s="40" t="b">
        <x:v>1</x:v>
      </x:c>
      <x:c r="AU162" s="40" t="b">
        <x:v>1</x:v>
      </x:c>
      <x:c r="AV162" s="34" t="str"/>
      <x:c r="AW162" s="34" t="n">
        <x:v>0</x:v>
      </x:c>
      <x:c r="AX162" s="34" t="str">
        <x:v>2.0275124185786808e-05</x:v>
      </x:c>
      <x:c r="AY162" s="40" t="b">
        <x:v>1</x:v>
      </x:c>
      <x:c r="AZ162" s="40" t="b">
        <x:v>1</x:v>
      </x:c>
      <x:c r="BA162" s="40" t="b">
        <x:v>1</x:v>
      </x:c>
      <x:c r="BB162" s="40" t="b">
        <x:v>1</x:v>
      </x:c>
      <x:c r="BC162" s="34" t="str"/>
      <x:c r="BD162" s="34" t="n">
        <x:v>0</x:v>
      </x:c>
      <x:c r="BE162" s="34" t="n">
        <x:v>0</x:v>
      </x:c>
      <x:c r="BF162" s="34" t="n">
        <x:v>0</x:v>
      </x:c>
      <x:c r="BG162" s="34" t="n">
        <x:v>2</x:v>
      </x:c>
      <x:c r="BH162" s="34" t="n">
        <x:v>3</x:v>
      </x:c>
      <x:c r="BI162" s="34" t="n">
        <x:v>0.45933660799999987</x:v>
      </x:c>
      <x:c r="BJ162" s="34" t="n">
        <x:v>0.65</x:v>
      </x:c>
      <x:c r="BK162" s="34" t="n">
        <x:v>2.02</x:v>
      </x:c>
    </x:row>
    <x:row r="163">
      <x:c r="A163" s="34" t="str">
        <x:v>POSCO_KR</x:v>
      </x:c>
      <x:c r="B163" s="34" t="str">
        <x:v>POSCO</x:v>
      </x:c>
      <x:c r="C163" s="34" t="str">
        <x:v>ACCELERATED_15C</x:v>
      </x:c>
      <x:c r="D163" s="34" t="str">
        <x:v>P3</x:v>
      </x:c>
      <x:c r="E163" s="34" t="str">
        <x:v>POS-POH-S</x:v>
      </x:c>
      <x:c r="F163" s="34" t="str">
        <x:v>포항제철소 BF 블록 B</x:v>
      </x:c>
      <x:c r="G163" s="34" t="str">
        <x:v>포항</x:v>
      </x:c>
      <x:c r="H163" s="34" t="n">
        <x:v>2032</x:v>
      </x:c>
      <x:c r="I163" s="34" t="str">
        <x:v>BF_BOF</x:v>
      </x:c>
      <x:c r="J163" s="34" t="str">
        <x:v>기준 BF-BOF 복합 블록</x:v>
      </x:c>
      <x:c r="K163" s="34" t="str">
        <x:v>H2_DRI_EAF</x:v>
      </x:c>
      <x:c r="L163" s="34" t="str">
        <x:v>수소 DRI + EAF</x:v>
      </x:c>
      <x:c r="M163" s="34" t="n">
        <x:v>6660</x:v>
      </x:c>
      <x:c r="N163" s="34" t="n">
        <x:v>5180</x:v>
      </x:c>
      <x:c r="O163" s="34" t="n">
        <x:v>7.4</x:v>
      </x:c>
      <x:c r="P163" s="34" t="n">
        <x:v>6.800001</x:v>
      </x:c>
      <x:c r="Q163" s="34" t="n">
        <x:v>14.114992</x:v>
      </x:c>
      <x:c r="R163" s="34" t="n">
        <x:v>14.114992</x:v>
      </x:c>
      <x:c r="S163" s="34" t="n">
        <x:v>1.36</x:v>
      </x:c>
      <x:c r="T163" s="34" t="n">
        <x:v>1.36</x:v>
      </x:c>
      <x:c r="U163" s="34" t="n">
        <x:v>12.754992</x:v>
      </x:c>
      <x:c r="V163" s="34" t="n">
        <x:v>114.794931</x:v>
      </x:c>
      <x:c r="W163" s="34" t="n">
        <x:v>17606.58</x:v>
      </x:c>
      <x:c r="X163" s="34" t="n">
        <x:v>2546.716</x:v>
      </x:c>
      <x:c r="Y163" s="34" t="n">
        <x:v>23721.593</x:v>
      </x:c>
      <x:c r="Z163" s="34" t="n">
        <x:v>21174.876</x:v>
      </x:c>
      <x:c r="AA163" s="34" t="n">
        <x:v>6115.012</x:v>
      </x:c>
      <x:c r="AB163" s="34" t="n">
        <x:v>15059.864</x:v>
      </x:c>
      <x:c r="AC163" s="34" t="n">
        <x:v>3560.923</x:v>
      </x:c>
      <x:c r="AD163" s="34" t="n">
        <x:v>514.289</x:v>
      </x:c>
      <x:c r="AE163" s="34" t="n">
        <x:v>2263.493</x:v>
      </x:c>
      <x:c r="AF163" s="34" t="n">
        <x:v>17289.173</x:v>
      </x:c>
      <x:c r="AG163" s="34" t="n">
        <x:v>93.715</x:v>
      </x:c>
      <x:c r="AH163" s="34" t="n">
        <x:v>-6115.012</x:v>
      </x:c>
      <x:c r="AI163" s="34" t="str">
        <x:v>model_estimate</x:v>
      </x:c>
      <x:c r="AJ163" s="34" t="str">
        <x:v>POSCO 공식 국내 생산·배출 총량에 맞춘 설비 블록 배분; 개별 생산량·재투자연도는 추정</x:v>
      </x:c>
      <x:c r="AK163" s="34" t="str">
        <x:v>CAND-921D50D4015721</x:v>
      </x:c>
      <x:c r="AL163" s="34" t="str">
        <x:v>P3</x:v>
      </x:c>
      <x:c r="AM163" s="34" t="str">
        <x:v>PORT-96133A6427FE</x:v>
      </x:c>
      <x:c r="AN163" s="34" t="n">
        <x:v>1000</x:v>
      </x:c>
      <x:c r="AO163" s="34" t="n">
        <x:v>54.526789</x:v>
      </x:c>
      <x:c r="AP163" s="34" t="n">
        <x:v>15.066699</x:v>
      </x:c>
      <x:c r="AQ163" s="34" t="n">
        <x:v>430.20423</x:v>
      </x:c>
      <x:c r="AR163" s="34" t="n">
        <x:v>22859.063</x:v>
      </x:c>
      <x:c r="AS163" s="34" t="n">
        <x:v>53.135375</x:v>
      </x:c>
      <x:c r="AT163" s="40" t="b">
        <x:v>1</x:v>
      </x:c>
      <x:c r="AU163" s="40" t="b">
        <x:v>1</x:v>
      </x:c>
      <x:c r="AV163" s="34" t="str"/>
      <x:c r="AW163" s="34" t="n">
        <x:v>0</x:v>
      </x:c>
      <x:c r="AX163" s="34" t="str">
        <x:v>2.0275124185786808e-05</x:v>
      </x:c>
      <x:c r="AY163" s="40" t="b">
        <x:v>1</x:v>
      </x:c>
      <x:c r="AZ163" s="40" t="b">
        <x:v>1</x:v>
      </x:c>
      <x:c r="BA163" s="40" t="b">
        <x:v>1</x:v>
      </x:c>
      <x:c r="BB163" s="40" t="b">
        <x:v>1</x:v>
      </x:c>
      <x:c r="BC163" s="34" t="str"/>
      <x:c r="BD163" s="34" t="n">
        <x:v>0</x:v>
      </x:c>
      <x:c r="BE163" s="34" t="n">
        <x:v>0</x:v>
      </x:c>
      <x:c r="BF163" s="34" t="n">
        <x:v>0</x:v>
      </x:c>
      <x:c r="BG163" s="34" t="n">
        <x:v>2</x:v>
      </x:c>
      <x:c r="BH163" s="34" t="n">
        <x:v>3</x:v>
      </x:c>
      <x:c r="BI163" s="34" t="n">
        <x:v>0.45933660799999987</x:v>
      </x:c>
      <x:c r="BJ163" s="34" t="n">
        <x:v>0.65</x:v>
      </x:c>
      <x:c r="BK163" s="34" t="n">
        <x:v>2.02</x:v>
      </x:c>
    </x:row>
    <x:row r="164">
      <x:c r="A164" s="34" t="str">
        <x:v>NIPPON_STEEL_JP</x:v>
      </x:c>
      <x:c r="B164" s="34" t="str">
        <x:v>Nippon Steel</x:v>
      </x:c>
      <x:c r="C164" s="34" t="str">
        <x:v>DISCLOSED_PATH</x:v>
      </x:c>
      <x:c r="D164" s="34" t="str">
        <x:v>P1</x:v>
      </x:c>
      <x:c r="E164" s="34" t="str">
        <x:v>NS-EAST</x:v>
      </x:c>
      <x:c r="F164" s="34" t="str">
        <x:v>East Nippon Works 블록</x:v>
      </x:c>
      <x:c r="G164" s="34" t="str">
        <x:v>동일본</x:v>
      </x:c>
      <x:c r="H164" s="34" t="n">
        <x:v>2034</x:v>
      </x:c>
      <x:c r="I164" s="34" t="str">
        <x:v>BF_BOF</x:v>
      </x:c>
      <x:c r="J164" s="34" t="str">
        <x:v>기준 BF-BOF 복합 블록</x:v>
      </x:c>
      <x:c r="K164" s="34" t="str">
        <x:v>SCRAP_EAF</x:v>
      </x:c>
      <x:c r="L164" s="34" t="str">
        <x:v>스크랩 기반 대형 EAF</x:v>
      </x:c>
      <x:c r="M164" s="34" t="n">
        <x:v>4989.6</x:v>
      </x:c>
      <x:c r="N164" s="34" t="n">
        <x:v>3207.6</x:v>
      </x:c>
      <x:c r="O164" s="34" t="n">
        <x:v>8.1</x:v>
      </x:c>
      <x:c r="P164" s="34" t="n">
        <x:v>7.200001</x:v>
      </x:c>
      <x:c r="Q164" s="34" t="n">
        <x:v>15.239652</x:v>
      </x:c>
      <x:c r="R164" s="34" t="n">
        <x:v>15.239652</x:v>
      </x:c>
      <x:c r="S164" s="34" t="n">
        <x:v>3.24</x:v>
      </x:c>
      <x:c r="T164" s="34" t="n">
        <x:v>3.24</x:v>
      </x:c>
      <x:c r="U164" s="34" t="n">
        <x:v>11.999651</x:v>
      </x:c>
      <x:c r="V164" s="34" t="n">
        <x:v>83.997558</x:v>
      </x:c>
      <x:c r="W164" s="34" t="n">
        <x:v>2215.075</x:v>
      </x:c>
      <x:c r="X164" s="34" t="n">
        <x:v>495.277</x:v>
      </x:c>
      <x:c r="Y164" s="34" t="n">
        <x:v>5164.529</x:v>
      </x:c>
      <x:c r="Z164" s="34" t="n">
        <x:v>4669.252</x:v>
      </x:c>
      <x:c r="AA164" s="34" t="n">
        <x:v>2949.454</x:v>
      </x:c>
      <x:c r="AB164" s="34" t="n">
        <x:v>1719.798</x:v>
      </x:c>
      <x:c r="AC164" s="34" t="n">
        <x:v>1981.108</x:v>
      </x:c>
      <x:c r="AD164" s="34" t="n">
        <x:v>159.97</x:v>
      </x:c>
      <x:c r="AE164" s="34" t="n">
        <x:v>3023.451</x:v>
      </x:c>
      <x:c r="AF164" s="34" t="n">
        <x:v>0</x:v>
      </x:c>
      <x:c r="AG164" s="34" t="n">
        <x:v>0</x:v>
      </x:c>
      <x:c r="AH164" s="34" t="n">
        <x:v>-2949.454</x:v>
      </x:c>
      <x:c r="AI164" s="34" t="str">
        <x:v>model_estimate</x:v>
      </x:c>
      <x:c r="AJ164" s="34" t="str">
        <x:v>Nippon Steel 공식 생산·배출·용량 총량에 맞춘 지역 블록 배분</x:v>
      </x:c>
      <x:c r="AK164" s="34" t="str">
        <x:v>CAND-97FAAFFD87E907</x:v>
      </x:c>
      <x:c r="AL164" s="34" t="str">
        <x:v>P1</x:v>
      </x:c>
      <x:c r="AM164" s="34" t="str">
        <x:v>PORT-160DD6C4A97F</x:v>
      </x:c>
      <x:c r="AN164" s="34" t="n">
        <x:v>1000</x:v>
      </x:c>
      <x:c r="AO164" s="34" t="n">
        <x:v>45.804768</x:v>
      </x:c>
      <x:c r="AP164" s="34" t="n">
        <x:v>16.191114</x:v>
      </x:c>
      <x:c r="AQ164" s="34" t="n">
        <x:v>442.153947</x:v>
      </x:c>
      <x:c r="AR164" s="34" t="n">
        <x:v>19641.24</x:v>
      </x:c>
      <x:c r="AS164" s="34" t="n">
        <x:v>44.421722</x:v>
      </x:c>
      <x:c r="AT164" s="40" t="b">
        <x:v>1</x:v>
      </x:c>
      <x:c r="AU164" s="40" t="b">
        <x:v>0</x:v>
      </x:c>
      <x:c r="AV164" s="34" t="str"/>
      <x:c r="AW164" s="34" t="n">
        <x:v>0</x:v>
      </x:c>
      <x:c r="AX164" s="34" t="str">
        <x:v>3.446647212967946e-06</x:v>
      </x:c>
      <x:c r="AY164" s="40" t="b">
        <x:v>0</x:v>
      </x:c>
      <x:c r="AZ164" s="40" t="b">
        <x:v>0</x:v>
      </x:c>
      <x:c r="BA164" s="40" t="b">
        <x:v>1</x:v>
      </x:c>
      <x:c r="BB164" s="40" t="b">
        <x:v>1</x:v>
      </x:c>
      <x:c r="BC164" s="34" t="n">
        <x:v>2034</x:v>
      </x:c>
      <x:c r="BD164" s="34" t="n">
        <x:v>4.469999115000004</x:v>
      </x:c>
      <x:c r="BE164" s="34" t="n">
        <x:v>0</x:v>
      </x:c>
      <x:c r="BF164" s="34" t="n">
        <x:v>0</x:v>
      </x:c>
      <x:c r="BG164" s="34" t="n">
        <x:v>2</x:v>
      </x:c>
      <x:c r="BH164" s="34" t="n">
        <x:v>2</x:v>
      </x:c>
      <x:c r="BI164" s="34" t="n">
        <x:v>0.41255777279999983</x:v>
      </x:c>
      <x:c r="BJ164" s="34" t="n">
        <x:v>0.65</x:v>
      </x:c>
      <x:c r="BK164" s="34" t="n">
        <x:v>1.68</x:v>
      </x:c>
    </x:row>
    <x:row r="165">
      <x:c r="A165" s="34" t="str">
        <x:v>NIPPON_STEEL_JP</x:v>
      </x:c>
      <x:c r="B165" s="34" t="str">
        <x:v>Nippon Steel</x:v>
      </x:c>
      <x:c r="C165" s="34" t="str">
        <x:v>DISCLOSED_PATH</x:v>
      </x:c>
      <x:c r="D165" s="34" t="str">
        <x:v>P1</x:v>
      </x:c>
      <x:c r="E165" s="34" t="str">
        <x:v>NS-KANSAI</x:v>
      </x:c>
      <x:c r="F165" s="34" t="str">
        <x:v>Kansai Works 블록</x:v>
      </x:c>
      <x:c r="G165" s="34" t="str">
        <x:v>간사이</x:v>
      </x:c>
      <x:c r="H165" s="34" t="n">
        <x:v>2036</x:v>
      </x:c>
      <x:c r="I165" s="34" t="str">
        <x:v>BF_BOF</x:v>
      </x:c>
      <x:c r="J165" s="34" t="str">
        <x:v>기준 BF-BOF 복합 블록</x:v>
      </x:c>
      <x:c r="K165" s="34" t="str">
        <x:v>H2_DRI_EAF</x:v>
      </x:c>
      <x:c r="L165" s="34" t="str">
        <x:v>수소 DRI + EAF</x:v>
      </x:c>
      <x:c r="M165" s="34" t="n">
        <x:v>6237</x:v>
      </x:c>
      <x:c r="N165" s="34" t="n">
        <x:v>4851</x:v>
      </x:c>
      <x:c r="O165" s="34" t="n">
        <x:v>6.3</x:v>
      </x:c>
      <x:c r="P165" s="34" t="n">
        <x:v>5.600001</x:v>
      </x:c>
      <x:c r="Q165" s="34" t="n">
        <x:v>11.853062</x:v>
      </x:c>
      <x:c r="R165" s="34" t="n">
        <x:v>11.853062</x:v>
      </x:c>
      <x:c r="S165" s="34" t="n">
        <x:v>1.12</x:v>
      </x:c>
      <x:c r="T165" s="34" t="n">
        <x:v>1.12</x:v>
      </x:c>
      <x:c r="U165" s="34" t="n">
        <x:v>10.733062</x:v>
      </x:c>
      <x:c r="V165" s="34" t="n">
        <x:v>53.665311</x:v>
      </x:c>
      <x:c r="W165" s="34" t="n">
        <x:v>11805.356</x:v>
      </x:c>
      <x:c r="X165" s="34" t="n">
        <x:v>753.724</x:v>
      </x:c>
      <x:c r="Y165" s="34" t="n">
        <x:v>13679.935</x:v>
      </x:c>
      <x:c r="Z165" s="34" t="n">
        <x:v>12926.211</x:v>
      </x:c>
      <x:c r="AA165" s="34" t="n">
        <x:v>1874.579</x:v>
      </x:c>
      <x:c r="AB165" s="34" t="n">
        <x:v>11051.632</x:v>
      </x:c>
      <x:c r="AC165" s="34" t="n">
        <x:v>2691.871</x:v>
      </x:c>
      <x:c r="AD165" s="34" t="n">
        <x:v>181.997</x:v>
      </x:c>
      <x:c r="AE165" s="34" t="n">
        <x:v>1314.06</x:v>
      </x:c>
      <x:c r="AF165" s="34" t="n">
        <x:v>9492.007</x:v>
      </x:c>
      <x:c r="AG165" s="34" t="n">
        <x:v>0</x:v>
      </x:c>
      <x:c r="AH165" s="34" t="n">
        <x:v>-1874.579</x:v>
      </x:c>
      <x:c r="AI165" s="34" t="str">
        <x:v>model_estimate</x:v>
      </x:c>
      <x:c r="AJ165" s="34" t="str">
        <x:v>Nippon Steel 공식 생산·배출·용량 총량에 맞춘 지역 블록 배분</x:v>
      </x:c>
      <x:c r="AK165" s="34" t="str">
        <x:v>CAND-97FAAFFD87E907</x:v>
      </x:c>
      <x:c r="AL165" s="34" t="str">
        <x:v>P1</x:v>
      </x:c>
      <x:c r="AM165" s="34" t="str">
        <x:v>PORT-160DD6C4A97F</x:v>
      </x:c>
      <x:c r="AN165" s="34" t="n">
        <x:v>1000</x:v>
      </x:c>
      <x:c r="AO165" s="34" t="n">
        <x:v>45.804768</x:v>
      </x:c>
      <x:c r="AP165" s="34" t="n">
        <x:v>16.191114</x:v>
      </x:c>
      <x:c r="AQ165" s="34" t="n">
        <x:v>442.153947</x:v>
      </x:c>
      <x:c r="AR165" s="34" t="n">
        <x:v>19641.24</x:v>
      </x:c>
      <x:c r="AS165" s="34" t="n">
        <x:v>44.421722</x:v>
      </x:c>
      <x:c r="AT165" s="40" t="b">
        <x:v>1</x:v>
      </x:c>
      <x:c r="AU165" s="40" t="b">
        <x:v>0</x:v>
      </x:c>
      <x:c r="AV165" s="34" t="str"/>
      <x:c r="AW165" s="34" t="n">
        <x:v>0</x:v>
      </x:c>
      <x:c r="AX165" s="34" t="str">
        <x:v>3.446647212967946e-06</x:v>
      </x:c>
      <x:c r="AY165" s="40" t="b">
        <x:v>0</x:v>
      </x:c>
      <x:c r="AZ165" s="40" t="b">
        <x:v>0</x:v>
      </x:c>
      <x:c r="BA165" s="40" t="b">
        <x:v>1</x:v>
      </x:c>
      <x:c r="BB165" s="40" t="b">
        <x:v>1</x:v>
      </x:c>
      <x:c r="BC165" s="34" t="n">
        <x:v>2034</x:v>
      </x:c>
      <x:c r="BD165" s="34" t="n">
        <x:v>4.469999115000004</x:v>
      </x:c>
      <x:c r="BE165" s="34" t="n">
        <x:v>0</x:v>
      </x:c>
      <x:c r="BF165" s="34" t="n">
        <x:v>0</x:v>
      </x:c>
      <x:c r="BG165" s="34" t="n">
        <x:v>2</x:v>
      </x:c>
      <x:c r="BH165" s="34" t="n">
        <x:v>2</x:v>
      </x:c>
      <x:c r="BI165" s="34" t="n">
        <x:v>0.41255777279999983</x:v>
      </x:c>
      <x:c r="BJ165" s="34" t="n">
        <x:v>0.65</x:v>
      </x:c>
      <x:c r="BK165" s="34" t="n">
        <x:v>1.68</x:v>
      </x:c>
    </x:row>
    <x:row r="166">
      <x:c r="A166" s="34" t="str">
        <x:v>NIPPON_STEEL_JP</x:v>
      </x:c>
      <x:c r="B166" s="34" t="str">
        <x:v>Nippon Steel</x:v>
      </x:c>
      <x:c r="C166" s="34" t="str">
        <x:v>DISCLOSED_PATH</x:v>
      </x:c>
      <x:c r="D166" s="34" t="str">
        <x:v>P1</x:v>
      </x:c>
      <x:c r="E166" s="34" t="str">
        <x:v>NS-KYUSHU</x:v>
      </x:c>
      <x:c r="F166" s="34" t="str">
        <x:v>Kyushu Works Yawata 블록</x:v>
      </x:c>
      <x:c r="G166" s="34" t="str">
        <x:v>규슈</x:v>
      </x:c>
      <x:c r="H166" s="34" t="n">
        <x:v>2029</x:v>
      </x:c>
      <x:c r="I166" s="34" t="str">
        <x:v>BF_BOF</x:v>
      </x:c>
      <x:c r="J166" s="34" t="str">
        <x:v>기준 BF-BOF 복합 블록</x:v>
      </x:c>
      <x:c r="K166" s="34" t="str">
        <x:v>SCRAP_EAF</x:v>
      </x:c>
      <x:c r="L166" s="34" t="str">
        <x:v>스크랩 기반 대형 EAF</x:v>
      </x:c>
      <x:c r="M166" s="34" t="n">
        <x:v>6160</x:v>
      </x:c>
      <x:c r="N166" s="34" t="n">
        <x:v>3960</x:v>
      </x:c>
      <x:c r="O166" s="34" t="n">
        <x:v>10</x:v>
      </x:c>
      <x:c r="P166" s="34" t="n">
        <x:v>9</x:v>
      </x:c>
      <x:c r="Q166" s="34" t="n">
        <x:v>19.049562</x:v>
      </x:c>
      <x:c r="R166" s="34" t="n">
        <x:v>4.05</x:v>
      </x:c>
      <x:c r="S166" s="34" t="n">
        <x:v>4.05</x:v>
      </x:c>
      <x:c r="T166" s="34" t="n">
        <x:v>4.05</x:v>
      </x:c>
      <x:c r="U166" s="34" t="n">
        <x:v>14.999562</x:v>
      </x:c>
      <x:c r="V166" s="34" t="n">
        <x:v>179.994744</x:v>
      </x:c>
      <x:c r="W166" s="34" t="n">
        <x:v>4703.992</x:v>
      </x:c>
      <x:c r="X166" s="34" t="n">
        <x:v>799.145</x:v>
      </x:c>
      <x:c r="Y166" s="34" t="n">
        <x:v>10996.19</x:v>
      </x:c>
      <x:c r="Z166" s="34" t="n">
        <x:v>10197.045</x:v>
      </x:c>
      <x:c r="AA166" s="34" t="n">
        <x:v>6292.198</x:v>
      </x:c>
      <x:c r="AB166" s="34" t="n">
        <x:v>3904.847</x:v>
      </x:c>
      <x:c r="AC166" s="34" t="n">
        <x:v>3196.578</x:v>
      </x:c>
      <x:c r="AD166" s="34" t="n">
        <x:v>462.398</x:v>
      </x:c>
      <x:c r="AE166" s="34" t="n">
        <x:v>7337.214</x:v>
      </x:c>
      <x:c r="AF166" s="34" t="n">
        <x:v>0</x:v>
      </x:c>
      <x:c r="AG166" s="34" t="n">
        <x:v>0</x:v>
      </x:c>
      <x:c r="AH166" s="34" t="n">
        <x:v>-6292.198</x:v>
      </x:c>
      <x:c r="AI166" s="34" t="str">
        <x:v>model_estimate</x:v>
      </x:c>
      <x:c r="AJ166" s="34" t="str">
        <x:v>Yawata BF→EAF 공시 방향을 반영해 조기 재투자 창을 설정; 블록 생산량 추정</x:v>
      </x:c>
      <x:c r="AK166" s="34" t="str">
        <x:v>CAND-97FAAFFD87E907</x:v>
      </x:c>
      <x:c r="AL166" s="34" t="str">
        <x:v>P1</x:v>
      </x:c>
      <x:c r="AM166" s="34" t="str">
        <x:v>PORT-160DD6C4A97F</x:v>
      </x:c>
      <x:c r="AN166" s="34" t="n">
        <x:v>1000</x:v>
      </x:c>
      <x:c r="AO166" s="34" t="n">
        <x:v>45.804768</x:v>
      </x:c>
      <x:c r="AP166" s="34" t="n">
        <x:v>16.191114</x:v>
      </x:c>
      <x:c r="AQ166" s="34" t="n">
        <x:v>442.153947</x:v>
      </x:c>
      <x:c r="AR166" s="34" t="n">
        <x:v>19641.24</x:v>
      </x:c>
      <x:c r="AS166" s="34" t="n">
        <x:v>44.421722</x:v>
      </x:c>
      <x:c r="AT166" s="40" t="b">
        <x:v>1</x:v>
      </x:c>
      <x:c r="AU166" s="40" t="b">
        <x:v>0</x:v>
      </x:c>
      <x:c r="AV166" s="34" t="str"/>
      <x:c r="AW166" s="34" t="n">
        <x:v>0</x:v>
      </x:c>
      <x:c r="AX166" s="34" t="str">
        <x:v>3.446647212967946e-06</x:v>
      </x:c>
      <x:c r="AY166" s="40" t="b">
        <x:v>0</x:v>
      </x:c>
      <x:c r="AZ166" s="40" t="b">
        <x:v>0</x:v>
      </x:c>
      <x:c r="BA166" s="40" t="b">
        <x:v>1</x:v>
      </x:c>
      <x:c r="BB166" s="40" t="b">
        <x:v>1</x:v>
      </x:c>
      <x:c r="BC166" s="34" t="n">
        <x:v>2034</x:v>
      </x:c>
      <x:c r="BD166" s="34" t="n">
        <x:v>4.469999115000004</x:v>
      </x:c>
      <x:c r="BE166" s="34" t="n">
        <x:v>0</x:v>
      </x:c>
      <x:c r="BF166" s="34" t="n">
        <x:v>0</x:v>
      </x:c>
      <x:c r="BG166" s="34" t="n">
        <x:v>2</x:v>
      </x:c>
      <x:c r="BH166" s="34" t="n">
        <x:v>2</x:v>
      </x:c>
      <x:c r="BI166" s="34" t="n">
        <x:v>0.41255777279999983</x:v>
      </x:c>
      <x:c r="BJ166" s="34" t="n">
        <x:v>0.65</x:v>
      </x:c>
      <x:c r="BK166" s="34" t="n">
        <x:v>1.68</x:v>
      </x:c>
    </x:row>
    <x:row r="167">
      <x:c r="A167" s="34" t="str">
        <x:v>NIPPON_STEEL_JP</x:v>
      </x:c>
      <x:c r="B167" s="34" t="str">
        <x:v>Nippon Steel</x:v>
      </x:c>
      <x:c r="C167" s="34" t="str">
        <x:v>DISCLOSED_PATH</x:v>
      </x:c>
      <x:c r="D167" s="34" t="str">
        <x:v>P1</x:v>
      </x:c>
      <x:c r="E167" s="34" t="str">
        <x:v>NS-NAGOYA</x:v>
      </x:c>
      <x:c r="F167" s="34" t="str">
        <x:v>Nagoya Works 블록</x:v>
      </x:c>
      <x:c r="G167" s="34" t="str">
        <x:v>나고야</x:v>
      </x:c>
      <x:c r="H167" s="34" t="n">
        <x:v>2032</x:v>
      </x:c>
      <x:c r="I167" s="34" t="str">
        <x:v>BF_BOF</x:v>
      </x:c>
      <x:c r="J167" s="34" t="str">
        <x:v>기준 BF-BOF 복합 블록</x:v>
      </x:c>
      <x:c r="K167" s="34" t="str">
        <x:v>SCRAP_EAF</x:v>
      </x:c>
      <x:c r="L167" s="34" t="str">
        <x:v>스크랩 기반 대형 EAF</x:v>
      </x:c>
      <x:c r="M167" s="34" t="n">
        <x:v>4312</x:v>
      </x:c>
      <x:c r="N167" s="34" t="n">
        <x:v>2772</x:v>
      </x:c>
      <x:c r="O167" s="34" t="n">
        <x:v>7</x:v>
      </x:c>
      <x:c r="P167" s="34" t="n">
        <x:v>6.199998</x:v>
      </x:c>
      <x:c r="Q167" s="34" t="n">
        <x:v>13.123027</x:v>
      </x:c>
      <x:c r="R167" s="34" t="n">
        <x:v>13.123027</x:v>
      </x:c>
      <x:c r="S167" s="34" t="n">
        <x:v>2.789999</x:v>
      </x:c>
      <x:c r="T167" s="34" t="n">
        <x:v>2.789999</x:v>
      </x:c>
      <x:c r="U167" s="34" t="n">
        <x:v>10.333028</x:v>
      </x:c>
      <x:c r="V167" s="34" t="n">
        <x:v>92.997254</x:v>
      </x:c>
      <x:c r="W167" s="34" t="n">
        <x:v>2339.315</x:v>
      </x:c>
      <x:c r="X167" s="34" t="n">
        <x:v>476.394</x:v>
      </x:c>
      <x:c r="Y167" s="34" t="n">
        <x:v>5610.132</x:v>
      </x:c>
      <x:c r="Z167" s="34" t="n">
        <x:v>5133.739</x:v>
      </x:c>
      <x:c r="AA167" s="34" t="n">
        <x:v>3270.817</x:v>
      </x:c>
      <x:c r="AB167" s="34" t="n">
        <x:v>1862.921</x:v>
      </x:c>
      <x:c r="AC167" s="34" t="n">
        <x:v>1905.575</x:v>
      </x:c>
      <x:c r="AD167" s="34" t="n">
        <x:v>187.564</x:v>
      </x:c>
      <x:c r="AE167" s="34" t="n">
        <x:v>3516.993</x:v>
      </x:c>
      <x:c r="AF167" s="34" t="n">
        <x:v>0</x:v>
      </x:c>
      <x:c r="AG167" s="34" t="n">
        <x:v>0</x:v>
      </x:c>
      <x:c r="AH167" s="34" t="n">
        <x:v>-3270.817</x:v>
      </x:c>
      <x:c r="AI167" s="34" t="str">
        <x:v>model_estimate</x:v>
      </x:c>
      <x:c r="AJ167" s="34" t="str">
        <x:v>Nippon Steel 공식 생산·배출·용량 총량에 맞춘 지역 블록 배분</x:v>
      </x:c>
      <x:c r="AK167" s="34" t="str">
        <x:v>CAND-97FAAFFD87E907</x:v>
      </x:c>
      <x:c r="AL167" s="34" t="str">
        <x:v>P1</x:v>
      </x:c>
      <x:c r="AM167" s="34" t="str">
        <x:v>PORT-160DD6C4A97F</x:v>
      </x:c>
      <x:c r="AN167" s="34" t="n">
        <x:v>1000</x:v>
      </x:c>
      <x:c r="AO167" s="34" t="n">
        <x:v>45.804768</x:v>
      </x:c>
      <x:c r="AP167" s="34" t="n">
        <x:v>16.191114</x:v>
      </x:c>
      <x:c r="AQ167" s="34" t="n">
        <x:v>442.153947</x:v>
      </x:c>
      <x:c r="AR167" s="34" t="n">
        <x:v>19641.24</x:v>
      </x:c>
      <x:c r="AS167" s="34" t="n">
        <x:v>44.421722</x:v>
      </x:c>
      <x:c r="AT167" s="40" t="b">
        <x:v>1</x:v>
      </x:c>
      <x:c r="AU167" s="40" t="b">
        <x:v>0</x:v>
      </x:c>
      <x:c r="AV167" s="34" t="str"/>
      <x:c r="AW167" s="34" t="n">
        <x:v>0</x:v>
      </x:c>
      <x:c r="AX167" s="34" t="str">
        <x:v>3.446647212967946e-06</x:v>
      </x:c>
      <x:c r="AY167" s="40" t="b">
        <x:v>0</x:v>
      </x:c>
      <x:c r="AZ167" s="40" t="b">
        <x:v>0</x:v>
      </x:c>
      <x:c r="BA167" s="40" t="b">
        <x:v>1</x:v>
      </x:c>
      <x:c r="BB167" s="40" t="b">
        <x:v>1</x:v>
      </x:c>
      <x:c r="BC167" s="34" t="n">
        <x:v>2034</x:v>
      </x:c>
      <x:c r="BD167" s="34" t="n">
        <x:v>4.469999115000004</x:v>
      </x:c>
      <x:c r="BE167" s="34" t="n">
        <x:v>0</x:v>
      </x:c>
      <x:c r="BF167" s="34" t="n">
        <x:v>0</x:v>
      </x:c>
      <x:c r="BG167" s="34" t="n">
        <x:v>2</x:v>
      </x:c>
      <x:c r="BH167" s="34" t="n">
        <x:v>2</x:v>
      </x:c>
      <x:c r="BI167" s="34" t="n">
        <x:v>0.41255777279999983</x:v>
      </x:c>
      <x:c r="BJ167" s="34" t="n">
        <x:v>0.65</x:v>
      </x:c>
      <x:c r="BK167" s="34" t="n">
        <x:v>1.68</x:v>
      </x:c>
    </x:row>
    <x:row r="168">
      <x:c r="A168" s="34" t="str">
        <x:v>NIPPON_STEEL_JP</x:v>
      </x:c>
      <x:c r="B168" s="34" t="str">
        <x:v>Nippon Steel</x:v>
      </x:c>
      <x:c r="C168" s="34" t="str">
        <x:v>DISCLOSED_PATH</x:v>
      </x:c>
      <x:c r="D168" s="34" t="str">
        <x:v>P1</x:v>
      </x:c>
      <x:c r="E168" s="34" t="str">
        <x:v>NS-SETOUCHI</x:v>
      </x:c>
      <x:c r="F168" s="34" t="str">
        <x:v>Setouchi Works Hirohata 블록</x:v>
      </x:c>
      <x:c r="G168" s="34" t="str">
        <x:v>세토우치</x:v>
      </x:c>
      <x:c r="H168" s="34" t="n">
        <x:v>2038</x:v>
      </x:c>
      <x:c r="I168" s="34" t="str">
        <x:v>BF_BOF</x:v>
      </x:c>
      <x:c r="J168" s="34" t="str">
        <x:v>기준 BF-BOF 복합 블록</x:v>
      </x:c>
      <x:c r="K168" s="34" t="str">
        <x:v>SCRAP_EAF</x:v>
      </x:c>
      <x:c r="L168" s="34" t="str">
        <x:v>스크랩 기반 대형 EAF</x:v>
      </x:c>
      <x:c r="M168" s="34" t="n">
        <x:v>4620</x:v>
      </x:c>
      <x:c r="N168" s="34" t="n">
        <x:v>2970</x:v>
      </x:c>
      <x:c r="O168" s="34" t="n">
        <x:v>7.5</x:v>
      </x:c>
      <x:c r="P168" s="34" t="n">
        <x:v>6.3</x:v>
      </x:c>
      <x:c r="Q168" s="34" t="n">
        <x:v>13.334693</x:v>
      </x:c>
      <x:c r="R168" s="34" t="n">
        <x:v>13.334693</x:v>
      </x:c>
      <x:c r="S168" s="34" t="n">
        <x:v>2.835</x:v>
      </x:c>
      <x:c r="T168" s="34" t="n">
        <x:v>2.835</x:v>
      </x:c>
      <x:c r="U168" s="34" t="n">
        <x:v>10.499693</x:v>
      </x:c>
      <x:c r="V168" s="34" t="n">
        <x:v>31.49908</x:v>
      </x:c>
      <x:c r="W168" s="34" t="n">
        <x:v>1472.222</x:v>
      </x:c>
      <x:c r="X168" s="34" t="n">
        <x:v>370.181</x:v>
      </x:c>
      <x:c r="Y168" s="34" t="n">
        <x:v>2563.443</x:v>
      </x:c>
      <x:c r="Z168" s="34" t="n">
        <x:v>2193.262</x:v>
      </x:c>
      <x:c r="AA168" s="34" t="n">
        <x:v>1091.221</x:v>
      </x:c>
      <x:c r="AB168" s="34" t="n">
        <x:v>1102.041</x:v>
      </x:c>
      <x:c r="AC168" s="34" t="n">
        <x:v>1480.725</x:v>
      </x:c>
      <x:c r="AD168" s="34" t="n">
        <x:v>53.641</x:v>
      </x:c>
      <x:c r="AE168" s="34" t="n">
        <x:v>1029.077</x:v>
      </x:c>
      <x:c r="AF168" s="34" t="n">
        <x:v>0</x:v>
      </x:c>
      <x:c r="AG168" s="34" t="n">
        <x:v>0</x:v>
      </x:c>
      <x:c r="AH168" s="34" t="n">
        <x:v>-1091.221</x:v>
      </x:c>
      <x:c r="AI168" s="34" t="str">
        <x:v>model_estimate</x:v>
      </x:c>
      <x:c r="AJ168" s="34" t="str">
        <x:v>Hirohata EAF 투자 방향을 반영한 복합 블록; 생산량·재투자연도 추정</x:v>
      </x:c>
      <x:c r="AK168" s="34" t="str">
        <x:v>CAND-97FAAFFD87E907</x:v>
      </x:c>
      <x:c r="AL168" s="34" t="str">
        <x:v>P1</x:v>
      </x:c>
      <x:c r="AM168" s="34" t="str">
        <x:v>PORT-160DD6C4A97F</x:v>
      </x:c>
      <x:c r="AN168" s="34" t="n">
        <x:v>1000</x:v>
      </x:c>
      <x:c r="AO168" s="34" t="n">
        <x:v>45.804768</x:v>
      </x:c>
      <x:c r="AP168" s="34" t="n">
        <x:v>16.191114</x:v>
      </x:c>
      <x:c r="AQ168" s="34" t="n">
        <x:v>442.153947</x:v>
      </x:c>
      <x:c r="AR168" s="34" t="n">
        <x:v>19641.24</x:v>
      </x:c>
      <x:c r="AS168" s="34" t="n">
        <x:v>44.421722</x:v>
      </x:c>
      <x:c r="AT168" s="40" t="b">
        <x:v>1</x:v>
      </x:c>
      <x:c r="AU168" s="40" t="b">
        <x:v>0</x:v>
      </x:c>
      <x:c r="AV168" s="34" t="str"/>
      <x:c r="AW168" s="34" t="n">
        <x:v>0</x:v>
      </x:c>
      <x:c r="AX168" s="34" t="str">
        <x:v>3.446647212967946e-06</x:v>
      </x:c>
      <x:c r="AY168" s="40" t="b">
        <x:v>0</x:v>
      </x:c>
      <x:c r="AZ168" s="40" t="b">
        <x:v>0</x:v>
      </x:c>
      <x:c r="BA168" s="40" t="b">
        <x:v>1</x:v>
      </x:c>
      <x:c r="BB168" s="40" t="b">
        <x:v>1</x:v>
      </x:c>
      <x:c r="BC168" s="34" t="n">
        <x:v>2034</x:v>
      </x:c>
      <x:c r="BD168" s="34" t="n">
        <x:v>4.469999115000004</x:v>
      </x:c>
      <x:c r="BE168" s="34" t="n">
        <x:v>0</x:v>
      </x:c>
      <x:c r="BF168" s="34" t="n">
        <x:v>0</x:v>
      </x:c>
      <x:c r="BG168" s="34" t="n">
        <x:v>2</x:v>
      </x:c>
      <x:c r="BH168" s="34" t="n">
        <x:v>2</x:v>
      </x:c>
      <x:c r="BI168" s="34" t="n">
        <x:v>0.41255777279999983</x:v>
      </x:c>
      <x:c r="BJ168" s="34" t="n">
        <x:v>0.65</x:v>
      </x:c>
      <x:c r="BK168" s="34" t="n">
        <x:v>1.68</x:v>
      </x:c>
    </x:row>
    <x:row r="169">
      <x:c r="A169" s="34" t="str">
        <x:v>NIPPON_STEEL_JP</x:v>
      </x:c>
      <x:c r="B169" s="34" t="str">
        <x:v>Nippon Steel</x:v>
      </x:c>
      <x:c r="C169" s="34" t="str">
        <x:v>ACCELERATED_15C</x:v>
      </x:c>
      <x:c r="D169" s="34" t="str">
        <x:v>P1</x:v>
      </x:c>
      <x:c r="E169" s="34" t="str">
        <x:v>NS-EAST</x:v>
      </x:c>
      <x:c r="F169" s="34" t="str">
        <x:v>East Nippon Works 블록</x:v>
      </x:c>
      <x:c r="G169" s="34" t="str">
        <x:v>동일본</x:v>
      </x:c>
      <x:c r="H169" s="34" t="n">
        <x:v>2034</x:v>
      </x:c>
      <x:c r="I169" s="34" t="str">
        <x:v>BF_BOF</x:v>
      </x:c>
      <x:c r="J169" s="34" t="str">
        <x:v>기준 BF-BOF 복합 블록</x:v>
      </x:c>
      <x:c r="K169" s="34" t="str">
        <x:v>SCRAP_EAF</x:v>
      </x:c>
      <x:c r="L169" s="34" t="str">
        <x:v>스크랩 기반 대형 EAF</x:v>
      </x:c>
      <x:c r="M169" s="34" t="n">
        <x:v>4989.6</x:v>
      </x:c>
      <x:c r="N169" s="34" t="n">
        <x:v>3207.6</x:v>
      </x:c>
      <x:c r="O169" s="34" t="n">
        <x:v>8.1</x:v>
      </x:c>
      <x:c r="P169" s="34" t="n">
        <x:v>7.200001</x:v>
      </x:c>
      <x:c r="Q169" s="34" t="n">
        <x:v>15.239652</x:v>
      </x:c>
      <x:c r="R169" s="34" t="n">
        <x:v>15.239652</x:v>
      </x:c>
      <x:c r="S169" s="34" t="n">
        <x:v>3.24</x:v>
      </x:c>
      <x:c r="T169" s="34" t="n">
        <x:v>3.24</x:v>
      </x:c>
      <x:c r="U169" s="34" t="n">
        <x:v>11.999651</x:v>
      </x:c>
      <x:c r="V169" s="34" t="n">
        <x:v>83.997558</x:v>
      </x:c>
      <x:c r="W169" s="34" t="n">
        <x:v>1117.098</x:v>
      </x:c>
      <x:c r="X169" s="34" t="n">
        <x:v>594.332</x:v>
      </x:c>
      <x:c r="Y169" s="34" t="n">
        <x:v>5505.814</x:v>
      </x:c>
      <x:c r="Z169" s="34" t="n">
        <x:v>4911.482</x:v>
      </x:c>
      <x:c r="AA169" s="34" t="n">
        <x:v>4388.717</x:v>
      </x:c>
      <x:c r="AB169" s="34" t="n">
        <x:v>522.765</x:v>
      </x:c>
      <x:c r="AC169" s="34" t="n">
        <x:v>1981.108</x:v>
      </x:c>
      <x:c r="AD169" s="34" t="n">
        <x:v>159.97</x:v>
      </x:c>
      <x:c r="AE169" s="34" t="n">
        <x:v>3364.736</x:v>
      </x:c>
      <x:c r="AF169" s="34" t="n">
        <x:v>0</x:v>
      </x:c>
      <x:c r="AG169" s="34" t="n">
        <x:v>0</x:v>
      </x:c>
      <x:c r="AH169" s="34" t="n">
        <x:v>-4388.717</x:v>
      </x:c>
      <x:c r="AI169" s="34" t="str">
        <x:v>model_estimate</x:v>
      </x:c>
      <x:c r="AJ169" s="34" t="str">
        <x:v>Nippon Steel 공식 생산·배출·용량 총량에 맞춘 지역 블록 배분</x:v>
      </x:c>
      <x:c r="AK169" s="34" t="str">
        <x:v>CAND-97FAAFFD87E907</x:v>
      </x:c>
      <x:c r="AL169" s="34" t="str">
        <x:v>P1</x:v>
      </x:c>
      <x:c r="AM169" s="34" t="str">
        <x:v>PORT-160DD6C4A97F</x:v>
      </x:c>
      <x:c r="AN169" s="34" t="n">
        <x:v>1000</x:v>
      </x:c>
      <x:c r="AO169" s="34" t="n">
        <x:v>33.662008</x:v>
      </x:c>
      <x:c r="AP169" s="34" t="n">
        <x:v>17.592369</x:v>
      </x:c>
      <x:c r="AQ169" s="34" t="n">
        <x:v>442.153947</x:v>
      </x:c>
      <x:c r="AR169" s="34" t="n">
        <x:v>14258.889</x:v>
      </x:c>
      <x:c r="AS169" s="34" t="n">
        <x:v>32.248699</x:v>
      </x:c>
      <x:c r="AT169" s="40" t="b">
        <x:v>1</x:v>
      </x:c>
      <x:c r="AU169" s="40" t="b">
        <x:v>1</x:v>
      </x:c>
      <x:c r="AV169" s="34" t="str"/>
      <x:c r="AW169" s="34" t="n">
        <x:v>0</x:v>
      </x:c>
      <x:c r="AX169" s="34" t="str">
        <x:v>3.446647212967946e-06</x:v>
      </x:c>
      <x:c r="AY169" s="40" t="b">
        <x:v>1</x:v>
      </x:c>
      <x:c r="AZ169" s="40" t="b">
        <x:v>1</x:v>
      </x:c>
      <x:c r="BA169" s="40" t="b">
        <x:v>1</x:v>
      </x:c>
      <x:c r="BB169" s="40" t="b">
        <x:v>1</x:v>
      </x:c>
      <x:c r="BC169" s="34" t="str"/>
      <x:c r="BD169" s="34" t="n">
        <x:v>0</x:v>
      </x:c>
      <x:c r="BE169" s="34" t="n">
        <x:v>0</x:v>
      </x:c>
      <x:c r="BF169" s="34" t="n">
        <x:v>0</x:v>
      </x:c>
      <x:c r="BG169" s="34" t="n">
        <x:v>2</x:v>
      </x:c>
      <x:c r="BH169" s="34" t="n">
        <x:v>2</x:v>
      </x:c>
      <x:c r="BI169" s="34" t="n">
        <x:v>0.41255777279999983</x:v>
      </x:c>
      <x:c r="BJ169" s="34" t="n">
        <x:v>0.65</x:v>
      </x:c>
      <x:c r="BK169" s="34" t="n">
        <x:v>1.68</x:v>
      </x:c>
    </x:row>
    <x:row r="170">
      <x:c r="A170" s="34" t="str">
        <x:v>NIPPON_STEEL_JP</x:v>
      </x:c>
      <x:c r="B170" s="34" t="str">
        <x:v>Nippon Steel</x:v>
      </x:c>
      <x:c r="C170" s="34" t="str">
        <x:v>ACCELERATED_15C</x:v>
      </x:c>
      <x:c r="D170" s="34" t="str">
        <x:v>P1</x:v>
      </x:c>
      <x:c r="E170" s="34" t="str">
        <x:v>NS-KANSAI</x:v>
      </x:c>
      <x:c r="F170" s="34" t="str">
        <x:v>Kansai Works 블록</x:v>
      </x:c>
      <x:c r="G170" s="34" t="str">
        <x:v>간사이</x:v>
      </x:c>
      <x:c r="H170" s="34" t="n">
        <x:v>2036</x:v>
      </x:c>
      <x:c r="I170" s="34" t="str">
        <x:v>BF_BOF</x:v>
      </x:c>
      <x:c r="J170" s="34" t="str">
        <x:v>기준 BF-BOF 복합 블록</x:v>
      </x:c>
      <x:c r="K170" s="34" t="str">
        <x:v>H2_DRI_EAF</x:v>
      </x:c>
      <x:c r="L170" s="34" t="str">
        <x:v>수소 DRI + EAF</x:v>
      </x:c>
      <x:c r="M170" s="34" t="n">
        <x:v>6237</x:v>
      </x:c>
      <x:c r="N170" s="34" t="n">
        <x:v>4851</x:v>
      </x:c>
      <x:c r="O170" s="34" t="n">
        <x:v>6.3</x:v>
      </x:c>
      <x:c r="P170" s="34" t="n">
        <x:v>5.600001</x:v>
      </x:c>
      <x:c r="Q170" s="34" t="n">
        <x:v>11.853062</x:v>
      </x:c>
      <x:c r="R170" s="34" t="n">
        <x:v>11.853062</x:v>
      </x:c>
      <x:c r="S170" s="34" t="n">
        <x:v>1.12</x:v>
      </x:c>
      <x:c r="T170" s="34" t="n">
        <x:v>1.12</x:v>
      </x:c>
      <x:c r="U170" s="34" t="n">
        <x:v>10.733062</x:v>
      </x:c>
      <x:c r="V170" s="34" t="n">
        <x:v>53.665311</x:v>
      </x:c>
      <x:c r="W170" s="34" t="n">
        <x:v>11957.133</x:v>
      </x:c>
      <x:c r="X170" s="34" t="n">
        <x:v>942.155</x:v>
      </x:c>
      <x:c r="Y170" s="34" t="n">
        <x:v>14756.282</x:v>
      </x:c>
      <x:c r="Z170" s="34" t="n">
        <x:v>13814.127</x:v>
      </x:c>
      <x:c r="AA170" s="34" t="n">
        <x:v>2799.149</x:v>
      </x:c>
      <x:c r="AB170" s="34" t="n">
        <x:v>11014.978</x:v>
      </x:c>
      <x:c r="AC170" s="34" t="n">
        <x:v>2691.871</x:v>
      </x:c>
      <x:c r="AD170" s="34" t="n">
        <x:v>181.997</x:v>
      </x:c>
      <x:c r="AE170" s="34" t="n">
        <x:v>1472.667</x:v>
      </x:c>
      <x:c r="AF170" s="34" t="n">
        <x:v>10409.747</x:v>
      </x:c>
      <x:c r="AG170" s="34" t="n">
        <x:v>0</x:v>
      </x:c>
      <x:c r="AH170" s="34" t="n">
        <x:v>-2799.149</x:v>
      </x:c>
      <x:c r="AI170" s="34" t="str">
        <x:v>model_estimate</x:v>
      </x:c>
      <x:c r="AJ170" s="34" t="str">
        <x:v>Nippon Steel 공식 생산·배출·용량 총량에 맞춘 지역 블록 배분</x:v>
      </x:c>
      <x:c r="AK170" s="34" t="str">
        <x:v>CAND-97FAAFFD87E907</x:v>
      </x:c>
      <x:c r="AL170" s="34" t="str">
        <x:v>P1</x:v>
      </x:c>
      <x:c r="AM170" s="34" t="str">
        <x:v>PORT-160DD6C4A97F</x:v>
      </x:c>
      <x:c r="AN170" s="34" t="n">
        <x:v>1000</x:v>
      </x:c>
      <x:c r="AO170" s="34" t="n">
        <x:v>33.662008</x:v>
      </x:c>
      <x:c r="AP170" s="34" t="n">
        <x:v>17.592369</x:v>
      </x:c>
      <x:c r="AQ170" s="34" t="n">
        <x:v>442.153947</x:v>
      </x:c>
      <x:c r="AR170" s="34" t="n">
        <x:v>14258.889</x:v>
      </x:c>
      <x:c r="AS170" s="34" t="n">
        <x:v>32.248699</x:v>
      </x:c>
      <x:c r="AT170" s="40" t="b">
        <x:v>1</x:v>
      </x:c>
      <x:c r="AU170" s="40" t="b">
        <x:v>1</x:v>
      </x:c>
      <x:c r="AV170" s="34" t="str"/>
      <x:c r="AW170" s="34" t="n">
        <x:v>0</x:v>
      </x:c>
      <x:c r="AX170" s="34" t="str">
        <x:v>3.446647212967946e-06</x:v>
      </x:c>
      <x:c r="AY170" s="40" t="b">
        <x:v>1</x:v>
      </x:c>
      <x:c r="AZ170" s="40" t="b">
        <x:v>1</x:v>
      </x:c>
      <x:c r="BA170" s="40" t="b">
        <x:v>1</x:v>
      </x:c>
      <x:c r="BB170" s="40" t="b">
        <x:v>1</x:v>
      </x:c>
      <x:c r="BC170" s="34" t="str"/>
      <x:c r="BD170" s="34" t="n">
        <x:v>0</x:v>
      </x:c>
      <x:c r="BE170" s="34" t="n">
        <x:v>0</x:v>
      </x:c>
      <x:c r="BF170" s="34" t="n">
        <x:v>0</x:v>
      </x:c>
      <x:c r="BG170" s="34" t="n">
        <x:v>2</x:v>
      </x:c>
      <x:c r="BH170" s="34" t="n">
        <x:v>2</x:v>
      </x:c>
      <x:c r="BI170" s="34" t="n">
        <x:v>0.41255777279999983</x:v>
      </x:c>
      <x:c r="BJ170" s="34" t="n">
        <x:v>0.65</x:v>
      </x:c>
      <x:c r="BK170" s="34" t="n">
        <x:v>1.68</x:v>
      </x:c>
    </x:row>
    <x:row r="171">
      <x:c r="A171" s="34" t="str">
        <x:v>NIPPON_STEEL_JP</x:v>
      </x:c>
      <x:c r="B171" s="34" t="str">
        <x:v>Nippon Steel</x:v>
      </x:c>
      <x:c r="C171" s="34" t="str">
        <x:v>ACCELERATED_15C</x:v>
      </x:c>
      <x:c r="D171" s="34" t="str">
        <x:v>P1</x:v>
      </x:c>
      <x:c r="E171" s="34" t="str">
        <x:v>NS-KYUSHU</x:v>
      </x:c>
      <x:c r="F171" s="34" t="str">
        <x:v>Kyushu Works Yawata 블록</x:v>
      </x:c>
      <x:c r="G171" s="34" t="str">
        <x:v>규슈</x:v>
      </x:c>
      <x:c r="H171" s="34" t="n">
        <x:v>2029</x:v>
      </x:c>
      <x:c r="I171" s="34" t="str">
        <x:v>BF_BOF</x:v>
      </x:c>
      <x:c r="J171" s="34" t="str">
        <x:v>기준 BF-BOF 복합 블록</x:v>
      </x:c>
      <x:c r="K171" s="34" t="str">
        <x:v>SCRAP_EAF</x:v>
      </x:c>
      <x:c r="L171" s="34" t="str">
        <x:v>스크랩 기반 대형 EAF</x:v>
      </x:c>
      <x:c r="M171" s="34" t="n">
        <x:v>6160</x:v>
      </x:c>
      <x:c r="N171" s="34" t="n">
        <x:v>3960</x:v>
      </x:c>
      <x:c r="O171" s="34" t="n">
        <x:v>10</x:v>
      </x:c>
      <x:c r="P171" s="34" t="n">
        <x:v>9</x:v>
      </x:c>
      <x:c r="Q171" s="34" t="n">
        <x:v>19.049562</x:v>
      </x:c>
      <x:c r="R171" s="34" t="n">
        <x:v>4.05</x:v>
      </x:c>
      <x:c r="S171" s="34" t="n">
        <x:v>4.05</x:v>
      </x:c>
      <x:c r="T171" s="34" t="n">
        <x:v>4.05</x:v>
      </x:c>
      <x:c r="U171" s="34" t="n">
        <x:v>14.999562</x:v>
      </x:c>
      <x:c r="V171" s="34" t="n">
        <x:v>179.994744</x:v>
      </x:c>
      <x:c r="W171" s="34" t="n">
        <x:v>2492.385</x:v>
      </x:c>
      <x:c r="X171" s="34" t="n">
        <x:v>958.973</x:v>
      </x:c>
      <x:c r="Y171" s="34" t="n">
        <x:v>11668.319</x:v>
      </x:c>
      <x:c r="Z171" s="34" t="n">
        <x:v>10709.345</x:v>
      </x:c>
      <x:c r="AA171" s="34" t="n">
        <x:v>9175.933</x:v>
      </x:c>
      <x:c r="AB171" s="34" t="n">
        <x:v>1533.412</x:v>
      </x:c>
      <x:c r="AC171" s="34" t="n">
        <x:v>3196.578</x:v>
      </x:c>
      <x:c r="AD171" s="34" t="n">
        <x:v>462.398</x:v>
      </x:c>
      <x:c r="AE171" s="34" t="n">
        <x:v>8009.343</x:v>
      </x:c>
      <x:c r="AF171" s="34" t="n">
        <x:v>0</x:v>
      </x:c>
      <x:c r="AG171" s="34" t="n">
        <x:v>0</x:v>
      </x:c>
      <x:c r="AH171" s="34" t="n">
        <x:v>-9175.933</x:v>
      </x:c>
      <x:c r="AI171" s="34" t="str">
        <x:v>model_estimate</x:v>
      </x:c>
      <x:c r="AJ171" s="34" t="str">
        <x:v>Yawata BF→EAF 공시 방향을 반영해 조기 재투자 창을 설정; 블록 생산량 추정</x:v>
      </x:c>
      <x:c r="AK171" s="34" t="str">
        <x:v>CAND-97FAAFFD87E907</x:v>
      </x:c>
      <x:c r="AL171" s="34" t="str">
        <x:v>P1</x:v>
      </x:c>
      <x:c r="AM171" s="34" t="str">
        <x:v>PORT-160DD6C4A97F</x:v>
      </x:c>
      <x:c r="AN171" s="34" t="n">
        <x:v>1000</x:v>
      </x:c>
      <x:c r="AO171" s="34" t="n">
        <x:v>33.662008</x:v>
      </x:c>
      <x:c r="AP171" s="34" t="n">
        <x:v>17.592369</x:v>
      </x:c>
      <x:c r="AQ171" s="34" t="n">
        <x:v>442.153947</x:v>
      </x:c>
      <x:c r="AR171" s="34" t="n">
        <x:v>14258.889</x:v>
      </x:c>
      <x:c r="AS171" s="34" t="n">
        <x:v>32.248699</x:v>
      </x:c>
      <x:c r="AT171" s="40" t="b">
        <x:v>1</x:v>
      </x:c>
      <x:c r="AU171" s="40" t="b">
        <x:v>1</x:v>
      </x:c>
      <x:c r="AV171" s="34" t="str"/>
      <x:c r="AW171" s="34" t="n">
        <x:v>0</x:v>
      </x:c>
      <x:c r="AX171" s="34" t="str">
        <x:v>3.446647212967946e-06</x:v>
      </x:c>
      <x:c r="AY171" s="40" t="b">
        <x:v>1</x:v>
      </x:c>
      <x:c r="AZ171" s="40" t="b">
        <x:v>1</x:v>
      </x:c>
      <x:c r="BA171" s="40" t="b">
        <x:v>1</x:v>
      </x:c>
      <x:c r="BB171" s="40" t="b">
        <x:v>1</x:v>
      </x:c>
      <x:c r="BC171" s="34" t="str"/>
      <x:c r="BD171" s="34" t="n">
        <x:v>0</x:v>
      </x:c>
      <x:c r="BE171" s="34" t="n">
        <x:v>0</x:v>
      </x:c>
      <x:c r="BF171" s="34" t="n">
        <x:v>0</x:v>
      </x:c>
      <x:c r="BG171" s="34" t="n">
        <x:v>2</x:v>
      </x:c>
      <x:c r="BH171" s="34" t="n">
        <x:v>2</x:v>
      </x:c>
      <x:c r="BI171" s="34" t="n">
        <x:v>0.41255777279999983</x:v>
      </x:c>
      <x:c r="BJ171" s="34" t="n">
        <x:v>0.65</x:v>
      </x:c>
      <x:c r="BK171" s="34" t="n">
        <x:v>1.68</x:v>
      </x:c>
    </x:row>
    <x:row r="172">
      <x:c r="A172" s="34" t="str">
        <x:v>NIPPON_STEEL_JP</x:v>
      </x:c>
      <x:c r="B172" s="34" t="str">
        <x:v>Nippon Steel</x:v>
      </x:c>
      <x:c r="C172" s="34" t="str">
        <x:v>ACCELERATED_15C</x:v>
      </x:c>
      <x:c r="D172" s="34" t="str">
        <x:v>P1</x:v>
      </x:c>
      <x:c r="E172" s="34" t="str">
        <x:v>NS-NAGOYA</x:v>
      </x:c>
      <x:c r="F172" s="34" t="str">
        <x:v>Nagoya Works 블록</x:v>
      </x:c>
      <x:c r="G172" s="34" t="str">
        <x:v>나고야</x:v>
      </x:c>
      <x:c r="H172" s="34" t="n">
        <x:v>2032</x:v>
      </x:c>
      <x:c r="I172" s="34" t="str">
        <x:v>BF_BOF</x:v>
      </x:c>
      <x:c r="J172" s="34" t="str">
        <x:v>기준 BF-BOF 복합 블록</x:v>
      </x:c>
      <x:c r="K172" s="34" t="str">
        <x:v>SCRAP_EAF</x:v>
      </x:c>
      <x:c r="L172" s="34" t="str">
        <x:v>스크랩 기반 대형 EAF</x:v>
      </x:c>
      <x:c r="M172" s="34" t="n">
        <x:v>4312</x:v>
      </x:c>
      <x:c r="N172" s="34" t="n">
        <x:v>2772</x:v>
      </x:c>
      <x:c r="O172" s="34" t="n">
        <x:v>7</x:v>
      </x:c>
      <x:c r="P172" s="34" t="n">
        <x:v>6.199998</x:v>
      </x:c>
      <x:c r="Q172" s="34" t="n">
        <x:v>13.123027</x:v>
      </x:c>
      <x:c r="R172" s="34" t="n">
        <x:v>13.123027</x:v>
      </x:c>
      <x:c r="S172" s="34" t="n">
        <x:v>2.789999</x:v>
      </x:c>
      <x:c r="T172" s="34" t="n">
        <x:v>2.789999</x:v>
      </x:c>
      <x:c r="U172" s="34" t="n">
        <x:v>10.333028</x:v>
      </x:c>
      <x:c r="V172" s="34" t="n">
        <x:v>92.997254</x:v>
      </x:c>
      <x:c r="W172" s="34" t="n">
        <x:v>1141.656</x:v>
      </x:c>
      <x:c r="X172" s="34" t="n">
        <x:v>571.672</x:v>
      </x:c>
      <x:c r="Y172" s="34" t="n">
        <x:v>5978.303</x:v>
      </x:c>
      <x:c r="Z172" s="34" t="n">
        <x:v>5406.631</x:v>
      </x:c>
      <x:c r="AA172" s="34" t="n">
        <x:v>4836.648</x:v>
      </x:c>
      <x:c r="AB172" s="34" t="n">
        <x:v>569.983</x:v>
      </x:c>
      <x:c r="AC172" s="34" t="n">
        <x:v>1905.575</x:v>
      </x:c>
      <x:c r="AD172" s="34" t="n">
        <x:v>187.564</x:v>
      </x:c>
      <x:c r="AE172" s="34" t="n">
        <x:v>3885.164</x:v>
      </x:c>
      <x:c r="AF172" s="34" t="n">
        <x:v>0</x:v>
      </x:c>
      <x:c r="AG172" s="34" t="n">
        <x:v>0</x:v>
      </x:c>
      <x:c r="AH172" s="34" t="n">
        <x:v>-4836.648</x:v>
      </x:c>
      <x:c r="AI172" s="34" t="str">
        <x:v>model_estimate</x:v>
      </x:c>
      <x:c r="AJ172" s="34" t="str">
        <x:v>Nippon Steel 공식 생산·배출·용량 총량에 맞춘 지역 블록 배분</x:v>
      </x:c>
      <x:c r="AK172" s="34" t="str">
        <x:v>CAND-97FAAFFD87E907</x:v>
      </x:c>
      <x:c r="AL172" s="34" t="str">
        <x:v>P1</x:v>
      </x:c>
      <x:c r="AM172" s="34" t="str">
        <x:v>PORT-160DD6C4A97F</x:v>
      </x:c>
      <x:c r="AN172" s="34" t="n">
        <x:v>1000</x:v>
      </x:c>
      <x:c r="AO172" s="34" t="n">
        <x:v>33.662008</x:v>
      </x:c>
      <x:c r="AP172" s="34" t="n">
        <x:v>17.592369</x:v>
      </x:c>
      <x:c r="AQ172" s="34" t="n">
        <x:v>442.153947</x:v>
      </x:c>
      <x:c r="AR172" s="34" t="n">
        <x:v>14258.889</x:v>
      </x:c>
      <x:c r="AS172" s="34" t="n">
        <x:v>32.248699</x:v>
      </x:c>
      <x:c r="AT172" s="40" t="b">
        <x:v>1</x:v>
      </x:c>
      <x:c r="AU172" s="40" t="b">
        <x:v>1</x:v>
      </x:c>
      <x:c r="AV172" s="34" t="str"/>
      <x:c r="AW172" s="34" t="n">
        <x:v>0</x:v>
      </x:c>
      <x:c r="AX172" s="34" t="str">
        <x:v>3.446647212967946e-06</x:v>
      </x:c>
      <x:c r="AY172" s="40" t="b">
        <x:v>1</x:v>
      </x:c>
      <x:c r="AZ172" s="40" t="b">
        <x:v>1</x:v>
      </x:c>
      <x:c r="BA172" s="40" t="b">
        <x:v>1</x:v>
      </x:c>
      <x:c r="BB172" s="40" t="b">
        <x:v>1</x:v>
      </x:c>
      <x:c r="BC172" s="34" t="str"/>
      <x:c r="BD172" s="34" t="n">
        <x:v>0</x:v>
      </x:c>
      <x:c r="BE172" s="34" t="n">
        <x:v>0</x:v>
      </x:c>
      <x:c r="BF172" s="34" t="n">
        <x:v>0</x:v>
      </x:c>
      <x:c r="BG172" s="34" t="n">
        <x:v>2</x:v>
      </x:c>
      <x:c r="BH172" s="34" t="n">
        <x:v>2</x:v>
      </x:c>
      <x:c r="BI172" s="34" t="n">
        <x:v>0.41255777279999983</x:v>
      </x:c>
      <x:c r="BJ172" s="34" t="n">
        <x:v>0.65</x:v>
      </x:c>
      <x:c r="BK172" s="34" t="n">
        <x:v>1.68</x:v>
      </x:c>
    </x:row>
    <x:row r="173">
      <x:c r="A173" s="34" t="str">
        <x:v>NIPPON_STEEL_JP</x:v>
      </x:c>
      <x:c r="B173" s="34" t="str">
        <x:v>Nippon Steel</x:v>
      </x:c>
      <x:c r="C173" s="34" t="str">
        <x:v>ACCELERATED_15C</x:v>
      </x:c>
      <x:c r="D173" s="34" t="str">
        <x:v>P1</x:v>
      </x:c>
      <x:c r="E173" s="34" t="str">
        <x:v>NS-SETOUCHI</x:v>
      </x:c>
      <x:c r="F173" s="34" t="str">
        <x:v>Setouchi Works Hirohata 블록</x:v>
      </x:c>
      <x:c r="G173" s="34" t="str">
        <x:v>세토우치</x:v>
      </x:c>
      <x:c r="H173" s="34" t="n">
        <x:v>2038</x:v>
      </x:c>
      <x:c r="I173" s="34" t="str">
        <x:v>BF_BOF</x:v>
      </x:c>
      <x:c r="J173" s="34" t="str">
        <x:v>기준 BF-BOF 복합 블록</x:v>
      </x:c>
      <x:c r="K173" s="34" t="str">
        <x:v>SCRAP_EAF</x:v>
      </x:c>
      <x:c r="L173" s="34" t="str">
        <x:v>스크랩 기반 대형 EAF</x:v>
      </x:c>
      <x:c r="M173" s="34" t="n">
        <x:v>4620</x:v>
      </x:c>
      <x:c r="N173" s="34" t="n">
        <x:v>2970</x:v>
      </x:c>
      <x:c r="O173" s="34" t="n">
        <x:v>7.5</x:v>
      </x:c>
      <x:c r="P173" s="34" t="n">
        <x:v>6.3</x:v>
      </x:c>
      <x:c r="Q173" s="34" t="n">
        <x:v>13.334693</x:v>
      </x:c>
      <x:c r="R173" s="34" t="n">
        <x:v>13.334693</x:v>
      </x:c>
      <x:c r="S173" s="34" t="n">
        <x:v>2.835</x:v>
      </x:c>
      <x:c r="T173" s="34" t="n">
        <x:v>2.835</x:v>
      </x:c>
      <x:c r="U173" s="34" t="n">
        <x:v>10.499693</x:v>
      </x:c>
      <x:c r="V173" s="34" t="n">
        <x:v>31.49908</x:v>
      </x:c>
      <x:c r="W173" s="34" t="n">
        <x:v>1061.969</x:v>
      </x:c>
      <x:c r="X173" s="34" t="n">
        <x:v>444.218</x:v>
      </x:c>
      <x:c r="Y173" s="34" t="n">
        <x:v>2695.327</x:v>
      </x:c>
      <x:c r="Z173" s="34" t="n">
        <x:v>2251.11</x:v>
      </x:c>
      <x:c r="AA173" s="34" t="n">
        <x:v>1633.359</x:v>
      </x:c>
      <x:c r="AB173" s="34" t="n">
        <x:v>617.751</x:v>
      </x:c>
      <x:c r="AC173" s="34" t="n">
        <x:v>1480.725</x:v>
      </x:c>
      <x:c r="AD173" s="34" t="n">
        <x:v>53.641</x:v>
      </x:c>
      <x:c r="AE173" s="34" t="n">
        <x:v>1160.962</x:v>
      </x:c>
      <x:c r="AF173" s="34" t="n">
        <x:v>0</x:v>
      </x:c>
      <x:c r="AG173" s="34" t="n">
        <x:v>0</x:v>
      </x:c>
      <x:c r="AH173" s="34" t="n">
        <x:v>-1633.359</x:v>
      </x:c>
      <x:c r="AI173" s="34" t="str">
        <x:v>model_estimate</x:v>
      </x:c>
      <x:c r="AJ173" s="34" t="str">
        <x:v>Hirohata EAF 투자 방향을 반영한 복합 블록; 생산량·재투자연도 추정</x:v>
      </x:c>
      <x:c r="AK173" s="34" t="str">
        <x:v>CAND-97FAAFFD87E907</x:v>
      </x:c>
      <x:c r="AL173" s="34" t="str">
        <x:v>P1</x:v>
      </x:c>
      <x:c r="AM173" s="34" t="str">
        <x:v>PORT-160DD6C4A97F</x:v>
      </x:c>
      <x:c r="AN173" s="34" t="n">
        <x:v>1000</x:v>
      </x:c>
      <x:c r="AO173" s="34" t="n">
        <x:v>33.662008</x:v>
      </x:c>
      <x:c r="AP173" s="34" t="n">
        <x:v>17.592369</x:v>
      </x:c>
      <x:c r="AQ173" s="34" t="n">
        <x:v>442.153947</x:v>
      </x:c>
      <x:c r="AR173" s="34" t="n">
        <x:v>14258.889</x:v>
      </x:c>
      <x:c r="AS173" s="34" t="n">
        <x:v>32.248699</x:v>
      </x:c>
      <x:c r="AT173" s="40" t="b">
        <x:v>1</x:v>
      </x:c>
      <x:c r="AU173" s="40" t="b">
        <x:v>1</x:v>
      </x:c>
      <x:c r="AV173" s="34" t="str"/>
      <x:c r="AW173" s="34" t="n">
        <x:v>0</x:v>
      </x:c>
      <x:c r="AX173" s="34" t="str">
        <x:v>3.446647212967946e-06</x:v>
      </x:c>
      <x:c r="AY173" s="40" t="b">
        <x:v>1</x:v>
      </x:c>
      <x:c r="AZ173" s="40" t="b">
        <x:v>1</x:v>
      </x:c>
      <x:c r="BA173" s="40" t="b">
        <x:v>1</x:v>
      </x:c>
      <x:c r="BB173" s="40" t="b">
        <x:v>1</x:v>
      </x:c>
      <x:c r="BC173" s="34" t="str"/>
      <x:c r="BD173" s="34" t="n">
        <x:v>0</x:v>
      </x:c>
      <x:c r="BE173" s="34" t="n">
        <x:v>0</x:v>
      </x:c>
      <x:c r="BF173" s="34" t="n">
        <x:v>0</x:v>
      </x:c>
      <x:c r="BG173" s="34" t="n">
        <x:v>2</x:v>
      </x:c>
      <x:c r="BH173" s="34" t="n">
        <x:v>2</x:v>
      </x:c>
      <x:c r="BI173" s="34" t="n">
        <x:v>0.41255777279999983</x:v>
      </x:c>
      <x:c r="BJ173" s="34" t="n">
        <x:v>0.65</x:v>
      </x:c>
      <x:c r="BK173" s="34" t="n">
        <x:v>1.68</x:v>
      </x:c>
    </x:row>
    <x:row r="174">
      <x:c r="A174" s="34" t="str">
        <x:v>KOBE_STEEL_JP</x:v>
      </x:c>
      <x:c r="B174" s="34" t="str">
        <x:v>Kobe Steel</x:v>
      </x:c>
      <x:c r="C174" s="34" t="str">
        <x:v>DISCLOSED_PATH</x:v>
      </x:c>
      <x:c r="D174" s="34" t="str">
        <x:v>P3</x:v>
      </x:c>
      <x:c r="E174" s="34" t="str">
        <x:v>KOB-BF1</x:v>
      </x:c>
      <x:c r="F174" s="34" t="str">
        <x:v>Kakogawa Works BF 블록 1</x:v>
      </x:c>
      <x:c r="G174" s="34" t="str">
        <x:v>가코가와</x:v>
      </x:c>
      <x:c r="H174" s="34" t="n">
        <x:v>2029</x:v>
      </x:c>
      <x:c r="I174" s="34" t="str">
        <x:v>BF_BOF</x:v>
      </x:c>
      <x:c r="J174" s="34" t="str">
        <x:v>기준 BF-BOF 복합 블록</x:v>
      </x:c>
      <x:c r="K174" s="34" t="str">
        <x:v>SCRAP_EAF</x:v>
      </x:c>
      <x:c r="L174" s="34" t="str">
        <x:v>스크랩 기반 대형 EAF</x:v>
      </x:c>
      <x:c r="M174" s="34" t="n">
        <x:v>1940.4</x:v>
      </x:c>
      <x:c r="N174" s="34" t="n">
        <x:v>1247.4</x:v>
      </x:c>
      <x:c r="O174" s="34" t="n">
        <x:v>3.15</x:v>
      </x:c>
      <x:c r="P174" s="34" t="n">
        <x:v>2.95</x:v>
      </x:c>
      <x:c r="Q174" s="34" t="n">
        <x:v>7.173636</x:v>
      </x:c>
      <x:c r="R174" s="34" t="n">
        <x:v>1.3275</x:v>
      </x:c>
      <x:c r="S174" s="34" t="n">
        <x:v>1.3275</x:v>
      </x:c>
      <x:c r="T174" s="34" t="n">
        <x:v>1.3275</x:v>
      </x:c>
      <x:c r="U174" s="34" t="n">
        <x:v>5.846136</x:v>
      </x:c>
      <x:c r="V174" s="34" t="n">
        <x:v>70.153636</x:v>
      </x:c>
      <x:c r="W174" s="34" t="n">
        <x:v>1062.207</x:v>
      </x:c>
      <x:c r="X174" s="34" t="n">
        <x:v>262.131</x:v>
      </x:c>
      <x:c r="Y174" s="34" t="n">
        <x:v>3514.614</x:v>
      </x:c>
      <x:c r="Z174" s="34" t="n">
        <x:v>3252.483</x:v>
      </x:c>
      <x:c r="AA174" s="34" t="n">
        <x:v>2452.408</x:v>
      </x:c>
      <x:c r="AB174" s="34" t="n">
        <x:v>800.075</x:v>
      </x:c>
      <x:c r="AC174" s="34" t="n">
        <x:v>1006.922</x:v>
      </x:c>
      <x:c r="AD174" s="34" t="n">
        <x:v>86.608</x:v>
      </x:c>
      <x:c r="AE174" s="34" t="n">
        <x:v>2404.976</x:v>
      </x:c>
      <x:c r="AF174" s="34" t="n">
        <x:v>0</x:v>
      </x:c>
      <x:c r="AG174" s="34" t="n">
        <x:v>16.109</x:v>
      </x:c>
      <x:c r="AH174" s="34" t="n">
        <x:v>-2452.408</x:v>
      </x:c>
      <x:c r="AI174" s="34" t="str">
        <x:v>model_estimate</x:v>
      </x:c>
      <x:c r="AJ174" s="34" t="str">
        <x:v>Kobe Steel 공식 조강·목표경계 배출 총량에 맞춘 블록 배분</x:v>
      </x:c>
      <x:c r="AK174" s="34" t="str">
        <x:v>CAND-9DD8DD0C56A40D</x:v>
      </x:c>
      <x:c r="AL174" s="34" t="str">
        <x:v>P3</x:v>
      </x:c>
      <x:c r="AM174" s="34" t="str">
        <x:v>PORT-8384667F6B8E</x:v>
      </x:c>
      <x:c r="AN174" s="34" t="n">
        <x:v>1000</x:v>
      </x:c>
      <x:c r="AO174" s="34" t="n">
        <x:v>52.648848</x:v>
      </x:c>
      <x:c r="AP174" s="34" t="n">
        <x:v>13.124199</x:v>
      </x:c>
      <x:c r="AQ174" s="34" t="n">
        <x:v>96.451092</x:v>
      </x:c>
      <x:c r="AR174" s="34" t="n">
        <x:v>4978.625</x:v>
      </x:c>
      <x:c r="AS174" s="34" t="n">
        <x:v>51.618125</x:v>
      </x:c>
      <x:c r="AT174" s="40" t="b">
        <x:v>1</x:v>
      </x:c>
      <x:c r="AU174" s="40" t="b">
        <x:v>1</x:v>
      </x:c>
      <x:c r="AV174" s="34" t="str"/>
      <x:c r="AW174" s="34" t="n">
        <x:v>0</x:v>
      </x:c>
      <x:c r="AX174" s="34" t="str">
        <x:v>9.990856690045291e-05</x:v>
      </x:c>
      <x:c r="AY174" s="40" t="b">
        <x:v>1</x:v>
      </x:c>
      <x:c r="AZ174" s="40" t="b">
        <x:v>1</x:v>
      </x:c>
      <x:c r="BA174" s="40" t="b">
        <x:v>1</x:v>
      </x:c>
      <x:c r="BB174" s="40" t="b">
        <x:v>1</x:v>
      </x:c>
      <x:c r="BC174" s="34" t="str"/>
      <x:c r="BD174" s="34" t="n">
        <x:v>0</x:v>
      </x:c>
      <x:c r="BE174" s="34" t="n">
        <x:v>0</x:v>
      </x:c>
      <x:c r="BF174" s="34" t="n">
        <x:v>0</x:v>
      </x:c>
      <x:c r="BG174" s="34" t="n">
        <x:v>1</x:v>
      </x:c>
      <x:c r="BH174" s="34" t="n">
        <x:v>1</x:v>
      </x:c>
      <x:c r="BI174" s="34" t="n">
        <x:v>0.28332</x:v>
      </x:c>
      <x:c r="BJ174" s="34" t="n">
        <x:v>0.6</x:v>
      </x:c>
      <x:c r="BK174" s="34" t="n">
        <x:v>1.06</x:v>
      </x:c>
    </x:row>
    <x:row r="175">
      <x:c r="A175" s="34" t="str">
        <x:v>KOBE_STEEL_JP</x:v>
      </x:c>
      <x:c r="B175" s="34" t="str">
        <x:v>Kobe Steel</x:v>
      </x:c>
      <x:c r="C175" s="34" t="str">
        <x:v>DISCLOSED_PATH</x:v>
      </x:c>
      <x:c r="D175" s="34" t="str">
        <x:v>P3</x:v>
      </x:c>
      <x:c r="E175" s="34" t="str">
        <x:v>KOB-BF3</x:v>
      </x:c>
      <x:c r="F175" s="34" t="str">
        <x:v>Kakogawa Works BF 블록 3</x:v>
      </x:c>
      <x:c r="G175" s="34" t="str">
        <x:v>가코가와</x:v>
      </x:c>
      <x:c r="H175" s="34" t="n">
        <x:v>2037</x:v>
      </x:c>
      <x:c r="I175" s="34" t="str">
        <x:v>BF_BOF</x:v>
      </x:c>
      <x:c r="J175" s="34" t="str">
        <x:v>기준 BF-BOF 복합 블록</x:v>
      </x:c>
      <x:c r="K175" s="34" t="str">
        <x:v>H2_DRI_EAF</x:v>
      </x:c>
      <x:c r="L175" s="34" t="str">
        <x:v>수소 DRI + EAF</x:v>
      </x:c>
      <x:c r="M175" s="34" t="n">
        <x:v>3019.5</x:v>
      </x:c>
      <x:c r="N175" s="34" t="n">
        <x:v>2348.5</x:v>
      </x:c>
      <x:c r="O175" s="34" t="n">
        <x:v>3.05</x:v>
      </x:c>
      <x:c r="P175" s="34" t="n">
        <x:v>2.909999</x:v>
      </x:c>
      <x:c r="Q175" s="34" t="n">
        <x:v>7.076364</x:v>
      </x:c>
      <x:c r="R175" s="34" t="n">
        <x:v>7.076364</x:v>
      </x:c>
      <x:c r="S175" s="34" t="n">
        <x:v>0.582</x:v>
      </x:c>
      <x:c r="T175" s="34" t="n">
        <x:v>0.582</x:v>
      </x:c>
      <x:c r="U175" s="34" t="n">
        <x:v>6.494364</x:v>
      </x:c>
      <x:c r="V175" s="34" t="n">
        <x:v>25.977455</x:v>
      </x:c>
      <x:c r="W175" s="34" t="n">
        <x:v>4795.39</x:v>
      </x:c>
      <x:c r="X175" s="34" t="n">
        <x:v>614.214</x:v>
      </x:c>
      <x:c r="Y175" s="34" t="n">
        <x:v>5699.379</x:v>
      </x:c>
      <x:c r="Z175" s="34" t="n">
        <x:v>5085.165</x:v>
      </x:c>
      <x:c r="AA175" s="34" t="n">
        <x:v>903.989</x:v>
      </x:c>
      <x:c r="AB175" s="34" t="n">
        <x:v>4181.176</x:v>
      </x:c>
      <x:c r="AC175" s="34" t="n">
        <x:v>1235.268</x:v>
      </x:c>
      <x:c r="AD175" s="34" t="n">
        <x:v>62.261</x:v>
      </x:c>
      <x:c r="AE175" s="34" t="n">
        <x:v>533.241</x:v>
      </x:c>
      <x:c r="AF175" s="34" t="n">
        <x:v>3845.304</x:v>
      </x:c>
      <x:c r="AG175" s="34" t="n">
        <x:v>23.305</x:v>
      </x:c>
      <x:c r="AH175" s="34" t="n">
        <x:v>-903.989</x:v>
      </x:c>
      <x:c r="AI175" s="34" t="str">
        <x:v>model_estimate</x:v>
      </x:c>
      <x:c r="AJ175" s="34" t="str">
        <x:v>2016년 BF3 개수와 장기 수명주기를 반영한 재투자연도 추정</x:v>
      </x:c>
      <x:c r="AK175" s="34" t="str">
        <x:v>CAND-9DD8DD0C56A40D</x:v>
      </x:c>
      <x:c r="AL175" s="34" t="str">
        <x:v>P3</x:v>
      </x:c>
      <x:c r="AM175" s="34" t="str">
        <x:v>PORT-8384667F6B8E</x:v>
      </x:c>
      <x:c r="AN175" s="34" t="n">
        <x:v>1000</x:v>
      </x:c>
      <x:c r="AO175" s="34" t="n">
        <x:v>52.648848</x:v>
      </x:c>
      <x:c r="AP175" s="34" t="n">
        <x:v>13.124199</x:v>
      </x:c>
      <x:c r="AQ175" s="34" t="n">
        <x:v>96.451092</x:v>
      </x:c>
      <x:c r="AR175" s="34" t="n">
        <x:v>4978.625</x:v>
      </x:c>
      <x:c r="AS175" s="34" t="n">
        <x:v>51.618125</x:v>
      </x:c>
      <x:c r="AT175" s="40" t="b">
        <x:v>1</x:v>
      </x:c>
      <x:c r="AU175" s="40" t="b">
        <x:v>1</x:v>
      </x:c>
      <x:c r="AV175" s="34" t="str"/>
      <x:c r="AW175" s="34" t="n">
        <x:v>0</x:v>
      </x:c>
      <x:c r="AX175" s="34" t="str">
        <x:v>9.990856690045291e-05</x:v>
      </x:c>
      <x:c r="AY175" s="40" t="b">
        <x:v>1</x:v>
      </x:c>
      <x:c r="AZ175" s="40" t="b">
        <x:v>1</x:v>
      </x:c>
      <x:c r="BA175" s="40" t="b">
        <x:v>1</x:v>
      </x:c>
      <x:c r="BB175" s="40" t="b">
        <x:v>1</x:v>
      </x:c>
      <x:c r="BC175" s="34" t="str"/>
      <x:c r="BD175" s="34" t="n">
        <x:v>0</x:v>
      </x:c>
      <x:c r="BE175" s="34" t="n">
        <x:v>0</x:v>
      </x:c>
      <x:c r="BF175" s="34" t="n">
        <x:v>0</x:v>
      </x:c>
      <x:c r="BG175" s="34" t="n">
        <x:v>1</x:v>
      </x:c>
      <x:c r="BH175" s="34" t="n">
        <x:v>1</x:v>
      </x:c>
      <x:c r="BI175" s="34" t="n">
        <x:v>0.28332</x:v>
      </x:c>
      <x:c r="BJ175" s="34" t="n">
        <x:v>0.6</x:v>
      </x:c>
      <x:c r="BK175" s="34" t="n">
        <x:v>1.06</x:v>
      </x:c>
    </x:row>
    <x:row r="176">
      <x:c r="A176" s="34" t="str">
        <x:v>KOBE_STEEL_JP</x:v>
      </x:c>
      <x:c r="B176" s="34" t="str">
        <x:v>Kobe Steel</x:v>
      </x:c>
      <x:c r="C176" s="34" t="str">
        <x:v>DISCLOSED_PATH</x:v>
      </x:c>
      <x:c r="D176" s="34" t="str">
        <x:v>P3</x:v>
      </x:c>
      <x:c r="E176" s="34" t="str">
        <x:v>KOB-TAKA</x:v>
      </x:c>
      <x:c r="F176" s="34" t="str">
        <x:v>Takasago Works EAF block</x:v>
      </x:c>
      <x:c r="G176" s="34" t="str">
        <x:v>다카사고</x:v>
      </x:c>
      <x:c r="H176" s="34" t="n">
        <x:v>2033</x:v>
      </x:c>
      <x:c r="I176" s="34" t="str">
        <x:v>EAF_BASELINE</x:v>
      </x:c>
      <x:c r="J176" s="34" t="str">
        <x:v>기존 전기로 기준 블록</x:v>
      </x:c>
      <x:c r="K176" s="34" t="str">
        <x:v>EAF_RENEWABLE</x:v>
      </x:c>
      <x:c r="L176" s="34" t="str">
        <x:v>기존 EAF 재생전력 업그레이드</x:v>
      </x:c>
      <x:c r="M176" s="34" t="n">
        <x:v>40.04</x:v>
      </x:c>
      <x:c r="N176" s="34" t="n">
        <x:v>12.32</x:v>
      </x:c>
      <x:c r="O176" s="34" t="n">
        <x:v>0.14</x:v>
      </x:c>
      <x:c r="P176" s="34" t="n">
        <x:v>0.1</x:v>
      </x:c>
      <x:c r="Q176" s="34" t="n">
        <x:v>0.05</x:v>
      </x:c>
      <x:c r="R176" s="34" t="n">
        <x:v>0.05</x:v>
      </x:c>
      <x:c r="S176" s="34" t="n">
        <x:v>0.01</x:v>
      </x:c>
      <x:c r="T176" s="34" t="n">
        <x:v>0.01</x:v>
      </x:c>
      <x:c r="U176" s="34" t="n">
        <x:v>0.04</x:v>
      </x:c>
      <x:c r="V176" s="34" t="n">
        <x:v>0.32</x:v>
      </x:c>
      <x:c r="W176" s="34" t="n">
        <x:v>-1.417</x:v>
      </x:c>
      <x:c r="X176" s="34" t="n">
        <x:v>1.21</x:v>
      </x:c>
      <x:c r="Y176" s="34" t="n">
        <x:v>9.834</x:v>
      </x:c>
      <x:c r="Z176" s="34" t="n">
        <x:v>8.624</x:v>
      </x:c>
      <x:c r="AA176" s="34" t="n">
        <x:v>11.251</x:v>
      </x:c>
      <x:c r="AB176" s="34" t="n">
        <x:v>-2.627</x:v>
      </x:c>
      <x:c r="AC176" s="34" t="n">
        <x:v>8.028</x:v>
      </x:c>
      <x:c r="AD176" s="34" t="n">
        <x:v>0</x:v>
      </x:c>
      <x:c r="AE176" s="34" t="n">
        <x:v>1.757</x:v>
      </x:c>
      <x:c r="AF176" s="34" t="n">
        <x:v>0</x:v>
      </x:c>
      <x:c r="AG176" s="34" t="n">
        <x:v>0.05</x:v>
      </x:c>
      <x:c r="AH176" s="34" t="n">
        <x:v>-11.251</x:v>
      </x:c>
      <x:c r="AI176" s="34" t="str">
        <x:v>model_estimate</x:v>
      </x:c>
      <x:c r="AJ176" s="34" t="str">
        <x:v>다카사고 포함 공식 조강 총량에 맞춘 소규모 EAF 블록 추정</x:v>
      </x:c>
      <x:c r="AK176" s="34" t="str">
        <x:v>CAND-9DD8DD0C56A40D</x:v>
      </x:c>
      <x:c r="AL176" s="34" t="str">
        <x:v>P3</x:v>
      </x:c>
      <x:c r="AM176" s="34" t="str">
        <x:v>PORT-8384667F6B8E</x:v>
      </x:c>
      <x:c r="AN176" s="34" t="n">
        <x:v>1000</x:v>
      </x:c>
      <x:c r="AO176" s="34" t="n">
        <x:v>52.648848</x:v>
      </x:c>
      <x:c r="AP176" s="34" t="n">
        <x:v>13.124199</x:v>
      </x:c>
      <x:c r="AQ176" s="34" t="n">
        <x:v>96.451092</x:v>
      </x:c>
      <x:c r="AR176" s="34" t="n">
        <x:v>4978.625</x:v>
      </x:c>
      <x:c r="AS176" s="34" t="n">
        <x:v>51.618125</x:v>
      </x:c>
      <x:c r="AT176" s="40" t="b">
        <x:v>1</x:v>
      </x:c>
      <x:c r="AU176" s="40" t="b">
        <x:v>1</x:v>
      </x:c>
      <x:c r="AV176" s="34" t="str"/>
      <x:c r="AW176" s="34" t="n">
        <x:v>0</x:v>
      </x:c>
      <x:c r="AX176" s="34" t="str">
        <x:v>9.990856690045291e-05</x:v>
      </x:c>
      <x:c r="AY176" s="40" t="b">
        <x:v>1</x:v>
      </x:c>
      <x:c r="AZ176" s="40" t="b">
        <x:v>1</x:v>
      </x:c>
      <x:c r="BA176" s="40" t="b">
        <x:v>1</x:v>
      </x:c>
      <x:c r="BB176" s="40" t="b">
        <x:v>1</x:v>
      </x:c>
      <x:c r="BC176" s="34" t="str"/>
      <x:c r="BD176" s="34" t="n">
        <x:v>0</x:v>
      </x:c>
      <x:c r="BE176" s="34" t="n">
        <x:v>0</x:v>
      </x:c>
      <x:c r="BF176" s="34" t="n">
        <x:v>0</x:v>
      </x:c>
      <x:c r="BG176" s="34" t="n">
        <x:v>1</x:v>
      </x:c>
      <x:c r="BH176" s="34" t="n">
        <x:v>1</x:v>
      </x:c>
      <x:c r="BI176" s="34" t="n">
        <x:v>0.28332</x:v>
      </x:c>
      <x:c r="BJ176" s="34" t="n">
        <x:v>0.6</x:v>
      </x:c>
      <x:c r="BK176" s="34" t="n">
        <x:v>1.06</x:v>
      </x:c>
    </x:row>
    <x:row r="177">
      <x:c r="A177" s="34" t="str">
        <x:v>KOBE_STEEL_JP</x:v>
      </x:c>
      <x:c r="B177" s="34" t="str">
        <x:v>Kobe Steel</x:v>
      </x:c>
      <x:c r="C177" s="34" t="str">
        <x:v>ACCELERATED_15C</x:v>
      </x:c>
      <x:c r="D177" s="34" t="str">
        <x:v>P3</x:v>
      </x:c>
      <x:c r="E177" s="34" t="str">
        <x:v>KOB-BF1</x:v>
      </x:c>
      <x:c r="F177" s="34" t="str">
        <x:v>Kakogawa Works BF 블록 1</x:v>
      </x:c>
      <x:c r="G177" s="34" t="str">
        <x:v>가코가와</x:v>
      </x:c>
      <x:c r="H177" s="34" t="n">
        <x:v>2029</x:v>
      </x:c>
      <x:c r="I177" s="34" t="str">
        <x:v>BF_BOF</x:v>
      </x:c>
      <x:c r="J177" s="34" t="str">
        <x:v>기준 BF-BOF 복합 블록</x:v>
      </x:c>
      <x:c r="K177" s="34" t="str">
        <x:v>SCRAP_EAF</x:v>
      </x:c>
      <x:c r="L177" s="34" t="str">
        <x:v>스크랩 기반 대형 EAF</x:v>
      </x:c>
      <x:c r="M177" s="34" t="n">
        <x:v>1940.4</x:v>
      </x:c>
      <x:c r="N177" s="34" t="n">
        <x:v>1247.4</x:v>
      </x:c>
      <x:c r="O177" s="34" t="n">
        <x:v>3.15</x:v>
      </x:c>
      <x:c r="P177" s="34" t="n">
        <x:v>2.95</x:v>
      </x:c>
      <x:c r="Q177" s="34" t="n">
        <x:v>7.173636</x:v>
      </x:c>
      <x:c r="R177" s="34" t="n">
        <x:v>1.3275</x:v>
      </x:c>
      <x:c r="S177" s="34" t="n">
        <x:v>1.3275</x:v>
      </x:c>
      <x:c r="T177" s="34" t="n">
        <x:v>1.3275</x:v>
      </x:c>
      <x:c r="U177" s="34" t="n">
        <x:v>5.846136</x:v>
      </x:c>
      <x:c r="V177" s="34" t="n">
        <x:v>70.153636</x:v>
      </x:c>
      <x:c r="W177" s="34" t="n">
        <x:v>159.56</x:v>
      </x:c>
      <x:c r="X177" s="34" t="n">
        <x:v>304.35</x:v>
      </x:c>
      <x:c r="Y177" s="34" t="n">
        <x:v>3735.915</x:v>
      </x:c>
      <x:c r="Z177" s="34" t="n">
        <x:v>3431.565</x:v>
      </x:c>
      <x:c r="AA177" s="34" t="n">
        <x:v>3576.355</x:v>
      </x:c>
      <x:c r="AB177" s="34" t="n">
        <x:v>-144.79</x:v>
      </x:c>
      <x:c r="AC177" s="34" t="n">
        <x:v>1006.922</x:v>
      </x:c>
      <x:c r="AD177" s="34" t="n">
        <x:v>86.608</x:v>
      </x:c>
      <x:c r="AE177" s="34" t="n">
        <x:v>2625.285</x:v>
      </x:c>
      <x:c r="AF177" s="34" t="n">
        <x:v>0</x:v>
      </x:c>
      <x:c r="AG177" s="34" t="n">
        <x:v>17.1</x:v>
      </x:c>
      <x:c r="AH177" s="34" t="n">
        <x:v>-3576.355</x:v>
      </x:c>
      <x:c r="AI177" s="34" t="str">
        <x:v>model_estimate</x:v>
      </x:c>
      <x:c r="AJ177" s="34" t="str">
        <x:v>Kobe Steel 공식 조강·목표경계 배출 총량에 맞춘 블록 배분</x:v>
      </x:c>
      <x:c r="AK177" s="34" t="str">
        <x:v>CAND-9DD8DD0C56A40D</x:v>
      </x:c>
      <x:c r="AL177" s="34" t="str">
        <x:v>P3</x:v>
      </x:c>
      <x:c r="AM177" s="34" t="str">
        <x:v>PORT-8384667F6B8E</x:v>
      </x:c>
      <x:c r="AN177" s="34" t="n">
        <x:v>1000</x:v>
      </x:c>
      <x:c r="AO177" s="34" t="n">
        <x:v>40.573625</x:v>
      </x:c>
      <x:c r="AP177" s="34" t="n">
        <x:v>14.047124</x:v>
      </x:c>
      <x:c r="AQ177" s="34" t="n">
        <x:v>96.451092</x:v>
      </x:c>
      <x:c r="AR177" s="34" t="n">
        <x:v>3812.491</x:v>
      </x:c>
      <x:c r="AS177" s="34" t="n">
        <x:v>39.527711</x:v>
      </x:c>
      <x:c r="AT177" s="40" t="b">
        <x:v>0</x:v>
      </x:c>
      <x:c r="AU177" s="40" t="b">
        <x:v>0</x:v>
      </x:c>
      <x:c r="AV177" s="34" t="n">
        <x:v>2035</x:v>
      </x:c>
      <x:c r="AW177" s="34" t="n">
        <x:v>0.6138637290849003</x:v>
      </x:c>
      <x:c r="AX177" s="34" t="n">
        <x:v>-0.6138637290849003</x:v>
      </x:c>
      <x:c r="AY177" s="40" t="b">
        <x:v>1</x:v>
      </x:c>
      <x:c r="AZ177" s="40" t="b">
        <x:v>1</x:v>
      </x:c>
      <x:c r="BA177" s="40" t="b">
        <x:v>1</x:v>
      </x:c>
      <x:c r="BB177" s="40" t="b">
        <x:v>1</x:v>
      </x:c>
      <x:c r="BC177" s="34" t="str"/>
      <x:c r="BD177" s="34" t="n">
        <x:v>0</x:v>
      </x:c>
      <x:c r="BE177" s="34" t="n">
        <x:v>0</x:v>
      </x:c>
      <x:c r="BF177" s="34" t="n">
        <x:v>0</x:v>
      </x:c>
      <x:c r="BG177" s="34" t="n">
        <x:v>1</x:v>
      </x:c>
      <x:c r="BH177" s="34" t="n">
        <x:v>1</x:v>
      </x:c>
      <x:c r="BI177" s="34" t="n">
        <x:v>0.28332</x:v>
      </x:c>
      <x:c r="BJ177" s="34" t="n">
        <x:v>0.6</x:v>
      </x:c>
      <x:c r="BK177" s="34" t="n">
        <x:v>1.06</x:v>
      </x:c>
    </x:row>
    <x:row r="178">
      <x:c r="A178" s="34" t="str">
        <x:v>KOBE_STEEL_JP</x:v>
      </x:c>
      <x:c r="B178" s="34" t="str">
        <x:v>Kobe Steel</x:v>
      </x:c>
      <x:c r="C178" s="34" t="str">
        <x:v>ACCELERATED_15C</x:v>
      </x:c>
      <x:c r="D178" s="34" t="str">
        <x:v>P3</x:v>
      </x:c>
      <x:c r="E178" s="34" t="str">
        <x:v>KOB-BF3</x:v>
      </x:c>
      <x:c r="F178" s="34" t="str">
        <x:v>Kakogawa Works BF 블록 3</x:v>
      </x:c>
      <x:c r="G178" s="34" t="str">
        <x:v>가코가와</x:v>
      </x:c>
      <x:c r="H178" s="34" t="n">
        <x:v>2037</x:v>
      </x:c>
      <x:c r="I178" s="34" t="str">
        <x:v>BF_BOF</x:v>
      </x:c>
      <x:c r="J178" s="34" t="str">
        <x:v>기준 BF-BOF 복합 블록</x:v>
      </x:c>
      <x:c r="K178" s="34" t="str">
        <x:v>H2_DRI_EAF</x:v>
      </x:c>
      <x:c r="L178" s="34" t="str">
        <x:v>수소 DRI + EAF</x:v>
      </x:c>
      <x:c r="M178" s="34" t="n">
        <x:v>3019.5</x:v>
      </x:c>
      <x:c r="N178" s="34" t="n">
        <x:v>2348.5</x:v>
      </x:c>
      <x:c r="O178" s="34" t="n">
        <x:v>3.05</x:v>
      </x:c>
      <x:c r="P178" s="34" t="n">
        <x:v>2.909999</x:v>
      </x:c>
      <x:c r="Q178" s="34" t="n">
        <x:v>7.076364</x:v>
      </x:c>
      <x:c r="R178" s="34" t="n">
        <x:v>7.076364</x:v>
      </x:c>
      <x:c r="S178" s="34" t="n">
        <x:v>0.582</x:v>
      </x:c>
      <x:c r="T178" s="34" t="n">
        <x:v>0.582</x:v>
      </x:c>
      <x:c r="U178" s="34" t="n">
        <x:v>6.494364</x:v>
      </x:c>
      <x:c r="V178" s="34" t="n">
        <x:v>25.977455</x:v>
      </x:c>
      <x:c r="W178" s="34" t="n">
        <x:v>4800.539</x:v>
      </x:c>
      <x:c r="X178" s="34" t="n">
        <x:v>834.977</x:v>
      </x:c>
      <x:c r="Y178" s="34" t="n">
        <x:v>6152.069</x:v>
      </x:c>
      <x:c r="Z178" s="34" t="n">
        <x:v>5317.092</x:v>
      </x:c>
      <x:c r="AA178" s="34" t="n">
        <x:v>1351.53</x:v>
      </x:c>
      <x:c r="AB178" s="34" t="n">
        <x:v>3965.562</x:v>
      </x:c>
      <x:c r="AC178" s="34" t="n">
        <x:v>1235.268</x:v>
      </x:c>
      <x:c r="AD178" s="34" t="n">
        <x:v>62.261</x:v>
      </x:c>
      <x:c r="AE178" s="34" t="n">
        <x:v>599.616</x:v>
      </x:c>
      <x:c r="AF178" s="34" t="n">
        <x:v>4229.879</x:v>
      </x:c>
      <x:c r="AG178" s="34" t="n">
        <x:v>25.045</x:v>
      </x:c>
      <x:c r="AH178" s="34" t="n">
        <x:v>-1351.53</x:v>
      </x:c>
      <x:c r="AI178" s="34" t="str">
        <x:v>model_estimate</x:v>
      </x:c>
      <x:c r="AJ178" s="34" t="str">
        <x:v>2016년 BF3 개수와 장기 수명주기를 반영한 재투자연도 추정</x:v>
      </x:c>
      <x:c r="AK178" s="34" t="str">
        <x:v>CAND-9DD8DD0C56A40D</x:v>
      </x:c>
      <x:c r="AL178" s="34" t="str">
        <x:v>P3</x:v>
      </x:c>
      <x:c r="AM178" s="34" t="str">
        <x:v>PORT-8384667F6B8E</x:v>
      </x:c>
      <x:c r="AN178" s="34" t="n">
        <x:v>1000</x:v>
      </x:c>
      <x:c r="AO178" s="34" t="n">
        <x:v>40.573625</x:v>
      </x:c>
      <x:c r="AP178" s="34" t="n">
        <x:v>14.047124</x:v>
      </x:c>
      <x:c r="AQ178" s="34" t="n">
        <x:v>96.451092</x:v>
      </x:c>
      <x:c r="AR178" s="34" t="n">
        <x:v>3812.491</x:v>
      </x:c>
      <x:c r="AS178" s="34" t="n">
        <x:v>39.527711</x:v>
      </x:c>
      <x:c r="AT178" s="40" t="b">
        <x:v>0</x:v>
      </x:c>
      <x:c r="AU178" s="40" t="b">
        <x:v>0</x:v>
      </x:c>
      <x:c r="AV178" s="34" t="n">
        <x:v>2035</x:v>
      </x:c>
      <x:c r="AW178" s="34" t="n">
        <x:v>0.6138637290849003</x:v>
      </x:c>
      <x:c r="AX178" s="34" t="n">
        <x:v>-0.6138637290849003</x:v>
      </x:c>
      <x:c r="AY178" s="40" t="b">
        <x:v>1</x:v>
      </x:c>
      <x:c r="AZ178" s="40" t="b">
        <x:v>1</x:v>
      </x:c>
      <x:c r="BA178" s="40" t="b">
        <x:v>1</x:v>
      </x:c>
      <x:c r="BB178" s="40" t="b">
        <x:v>1</x:v>
      </x:c>
      <x:c r="BC178" s="34" t="str"/>
      <x:c r="BD178" s="34" t="n">
        <x:v>0</x:v>
      </x:c>
      <x:c r="BE178" s="34" t="n">
        <x:v>0</x:v>
      </x:c>
      <x:c r="BF178" s="34" t="n">
        <x:v>0</x:v>
      </x:c>
      <x:c r="BG178" s="34" t="n">
        <x:v>1</x:v>
      </x:c>
      <x:c r="BH178" s="34" t="n">
        <x:v>1</x:v>
      </x:c>
      <x:c r="BI178" s="34" t="n">
        <x:v>0.28332</x:v>
      </x:c>
      <x:c r="BJ178" s="34" t="n">
        <x:v>0.6</x:v>
      </x:c>
      <x:c r="BK178" s="34" t="n">
        <x:v>1.06</x:v>
      </x:c>
    </x:row>
    <x:row r="179">
      <x:c r="A179" s="34" t="str">
        <x:v>KOBE_STEEL_JP</x:v>
      </x:c>
      <x:c r="B179" s="34" t="str">
        <x:v>Kobe Steel</x:v>
      </x:c>
      <x:c r="C179" s="34" t="str">
        <x:v>ACCELERATED_15C</x:v>
      </x:c>
      <x:c r="D179" s="34" t="str">
        <x:v>P3</x:v>
      </x:c>
      <x:c r="E179" s="34" t="str">
        <x:v>KOB-TAKA</x:v>
      </x:c>
      <x:c r="F179" s="34" t="str">
        <x:v>Takasago Works EAF block</x:v>
      </x:c>
      <x:c r="G179" s="34" t="str">
        <x:v>다카사고</x:v>
      </x:c>
      <x:c r="H179" s="34" t="n">
        <x:v>2033</x:v>
      </x:c>
      <x:c r="I179" s="34" t="str">
        <x:v>EAF_BASELINE</x:v>
      </x:c>
      <x:c r="J179" s="34" t="str">
        <x:v>기존 전기로 기준 블록</x:v>
      </x:c>
      <x:c r="K179" s="34" t="str">
        <x:v>EAF_RENEWABLE</x:v>
      </x:c>
      <x:c r="L179" s="34" t="str">
        <x:v>기존 EAF 재생전력 업그레이드</x:v>
      </x:c>
      <x:c r="M179" s="34" t="n">
        <x:v>40.04</x:v>
      </x:c>
      <x:c r="N179" s="34" t="n">
        <x:v>12.32</x:v>
      </x:c>
      <x:c r="O179" s="34" t="n">
        <x:v>0.14</x:v>
      </x:c>
      <x:c r="P179" s="34" t="n">
        <x:v>0.1</x:v>
      </x:c>
      <x:c r="Q179" s="34" t="n">
        <x:v>0.05</x:v>
      </x:c>
      <x:c r="R179" s="34" t="n">
        <x:v>0.05</x:v>
      </x:c>
      <x:c r="S179" s="34" t="n">
        <x:v>0.01</x:v>
      </x:c>
      <x:c r="T179" s="34" t="n">
        <x:v>0.01</x:v>
      </x:c>
      <x:c r="U179" s="34" t="n">
        <x:v>0.04</x:v>
      </x:c>
      <x:c r="V179" s="34" t="n">
        <x:v>0.32</x:v>
      </x:c>
      <x:c r="W179" s="34" t="n">
        <x:v>-6.667</x:v>
      </x:c>
      <x:c r="X179" s="34" t="n">
        <x:v>1.614</x:v>
      </x:c>
      <x:c r="Y179" s="34" t="n">
        <x:v>10.027</x:v>
      </x:c>
      <x:c r="Z179" s="34" t="n">
        <x:v>8.413</x:v>
      </x:c>
      <x:c r="AA179" s="34" t="n">
        <x:v>16.694</x:v>
      </x:c>
      <x:c r="AB179" s="34" t="n">
        <x:v>-8.281</x:v>
      </x:c>
      <x:c r="AC179" s="34" t="n">
        <x:v>8.028</x:v>
      </x:c>
      <x:c r="AD179" s="34" t="n">
        <x:v>0</x:v>
      </x:c>
      <x:c r="AE179" s="34" t="n">
        <x:v>1.948</x:v>
      </x:c>
      <x:c r="AF179" s="34" t="n">
        <x:v>0</x:v>
      </x:c>
      <x:c r="AG179" s="34" t="n">
        <x:v>0.051</x:v>
      </x:c>
      <x:c r="AH179" s="34" t="n">
        <x:v>-16.694</x:v>
      </x:c>
      <x:c r="AI179" s="34" t="str">
        <x:v>model_estimate</x:v>
      </x:c>
      <x:c r="AJ179" s="34" t="str">
        <x:v>다카사고 포함 공식 조강 총량에 맞춘 소규모 EAF 블록 추정</x:v>
      </x:c>
      <x:c r="AK179" s="34" t="str">
        <x:v>CAND-9DD8DD0C56A40D</x:v>
      </x:c>
      <x:c r="AL179" s="34" t="str">
        <x:v>P3</x:v>
      </x:c>
      <x:c r="AM179" s="34" t="str">
        <x:v>PORT-8384667F6B8E</x:v>
      </x:c>
      <x:c r="AN179" s="34" t="n">
        <x:v>1000</x:v>
      </x:c>
      <x:c r="AO179" s="34" t="n">
        <x:v>40.573625</x:v>
      </x:c>
      <x:c r="AP179" s="34" t="n">
        <x:v>14.047124</x:v>
      </x:c>
      <x:c r="AQ179" s="34" t="n">
        <x:v>96.451092</x:v>
      </x:c>
      <x:c r="AR179" s="34" t="n">
        <x:v>3812.491</x:v>
      </x:c>
      <x:c r="AS179" s="34" t="n">
        <x:v>39.527711</x:v>
      </x:c>
      <x:c r="AT179" s="40" t="b">
        <x:v>0</x:v>
      </x:c>
      <x:c r="AU179" s="40" t="b">
        <x:v>0</x:v>
      </x:c>
      <x:c r="AV179" s="34" t="n">
        <x:v>2035</x:v>
      </x:c>
      <x:c r="AW179" s="34" t="n">
        <x:v>0.6138637290849003</x:v>
      </x:c>
      <x:c r="AX179" s="34" t="n">
        <x:v>-0.6138637290849003</x:v>
      </x:c>
      <x:c r="AY179" s="40" t="b">
        <x:v>1</x:v>
      </x:c>
      <x:c r="AZ179" s="40" t="b">
        <x:v>1</x:v>
      </x:c>
      <x:c r="BA179" s="40" t="b">
        <x:v>1</x:v>
      </x:c>
      <x:c r="BB179" s="40" t="b">
        <x:v>1</x:v>
      </x:c>
      <x:c r="BC179" s="34" t="str"/>
      <x:c r="BD179" s="34" t="n">
        <x:v>0</x:v>
      </x:c>
      <x:c r="BE179" s="34" t="n">
        <x:v>0</x:v>
      </x:c>
      <x:c r="BF179" s="34" t="n">
        <x:v>0</x:v>
      </x:c>
      <x:c r="BG179" s="34" t="n">
        <x:v>1</x:v>
      </x:c>
      <x:c r="BH179" s="34" t="n">
        <x:v>1</x:v>
      </x:c>
      <x:c r="BI179" s="34" t="n">
        <x:v>0.28332</x:v>
      </x:c>
      <x:c r="BJ179" s="34" t="n">
        <x:v>0.6</x:v>
      </x:c>
      <x:c r="BK179" s="34" t="n">
        <x:v>1.06</x:v>
      </x:c>
    </x:row>
    <x:row r="180">
      <x:c r="A180" s="34" t="str">
        <x:v>JFE_STEEL_JP</x:v>
      </x:c>
      <x:c r="B180" s="34" t="str">
        <x:v>JFE Steel</x:v>
      </x:c>
      <x:c r="C180" s="34" t="str">
        <x:v>DISCLOSED_PATH</x:v>
      </x:c>
      <x:c r="D180" s="34" t="str">
        <x:v>P3</x:v>
      </x:c>
      <x:c r="E180" s="34" t="str">
        <x:v>JFE-CHIBA</x:v>
      </x:c>
      <x:c r="F180" s="34" t="str">
        <x:v>East Japan Works Chiba</x:v>
      </x:c>
      <x:c r="G180" s="34" t="str">
        <x:v>치바</x:v>
      </x:c>
      <x:c r="H180" s="34" t="n">
        <x:v>2036</x:v>
      </x:c>
      <x:c r="I180" s="34" t="str">
        <x:v>BF_BOF</x:v>
      </x:c>
      <x:c r="J180" s="34" t="str">
        <x:v>기준 BF-BOF 복합 블록</x:v>
      </x:c>
      <x:c r="K180" s="34" t="str">
        <x:v>BF_RELINE</x:v>
      </x:c>
      <x:c r="L180" s="34" t="str">
        <x:v>BF 개수·효율 패키지</x:v>
      </x:c>
      <x:c r="M180" s="34" t="n">
        <x:v>1650</x:v>
      </x:c>
      <x:c r="N180" s="34" t="n">
        <x:v>330</x:v>
      </x:c>
      <x:c r="O180" s="34" t="n">
        <x:v>6</x:v>
      </x:c>
      <x:c r="P180" s="34" t="n">
        <x:v>5.449998</x:v>
      </x:c>
      <x:c r="Q180" s="34" t="n">
        <x:v>11.528348</x:v>
      </x:c>
      <x:c r="R180" s="34" t="n">
        <x:v>11.528348</x:v>
      </x:c>
      <x:c r="S180" s="34" t="n">
        <x:v>10.354996</x:v>
      </x:c>
      <x:c r="T180" s="34" t="n">
        <x:v>10.354996</x:v>
      </x:c>
      <x:c r="U180" s="34" t="n">
        <x:v>1.173352</x:v>
      </x:c>
      <x:c r="V180" s="34" t="n">
        <x:v>5.866759</x:v>
      </x:c>
      <x:c r="W180" s="34" t="n">
        <x:v>7.077</x:v>
      </x:c>
      <x:c r="X180" s="34" t="n">
        <x:v>0</x:v>
      </x:c>
      <x:c r="Y180" s="34" t="n">
        <x:v>212.008</x:v>
      </x:c>
      <x:c r="Z180" s="34" t="n">
        <x:v>212.008</x:v>
      </x:c>
      <x:c r="AA180" s="34" t="n">
        <x:v>204.931</x:v>
      </x:c>
      <x:c r="AB180" s="34" t="n">
        <x:v>7.077</x:v>
      </x:c>
      <x:c r="AC180" s="34" t="n">
        <x:v>183.12</x:v>
      </x:c>
      <x:c r="AD180" s="34" t="n">
        <x:v>0</x:v>
      </x:c>
      <x:c r="AE180" s="34" t="n">
        <x:v>27.801</x:v>
      </x:c>
      <x:c r="AF180" s="34" t="n">
        <x:v>0</x:v>
      </x:c>
      <x:c r="AG180" s="34" t="n">
        <x:v>1.086</x:v>
      </x:c>
      <x:c r="AH180" s="34" t="n">
        <x:v>-204.931</x:v>
      </x:c>
      <x:c r="AI180" s="34" t="str">
        <x:v>model_estimate</x:v>
      </x:c>
      <x:c r="AJ180" s="34" t="str">
        <x:v>JFE 공식 생산·배출 총량에 맞춘 설비 블록 배분</x:v>
      </x:c>
      <x:c r="AK180" s="34" t="str">
        <x:v>CAND-A735954AF09420</x:v>
      </x:c>
      <x:c r="AL180" s="34" t="str">
        <x:v>P3</x:v>
      </x:c>
      <x:c r="AM180" s="34" t="str">
        <x:v>PORT-CCD4397FA6D4</x:v>
      </x:c>
      <x:c r="AN180" s="34" t="n">
        <x:v>1000</x:v>
      </x:c>
      <x:c r="AO180" s="34" t="n">
        <x:v>109.160576</x:v>
      </x:c>
      <x:c r="AP180" s="34" t="n">
        <x:v>24.423057</x:v>
      </x:c>
      <x:c r="AQ180" s="34" t="n">
        <x:v>281.895878</x:v>
      </x:c>
      <x:c r="AR180" s="34" t="n">
        <x:v>30284.795</x:v>
      </x:c>
      <x:c r="AS180" s="34" t="n">
        <x:v>107.432556</x:v>
      </x:c>
      <x:c r="AT180" s="40" t="b">
        <x:v>1</x:v>
      </x:c>
      <x:c r="AU180" s="40" t="b">
        <x:v>1</x:v>
      </x:c>
      <x:c r="AV180" s="34" t="str"/>
      <x:c r="AW180" s="34" t="n">
        <x:v>0</x:v>
      </x:c>
      <x:c r="AX180" s="34" t="str">
        <x:v>1.265341119704999e-05</x:v>
      </x:c>
      <x:c r="AY180" s="40" t="b">
        <x:v>1</x:v>
      </x:c>
      <x:c r="AZ180" s="40" t="b">
        <x:v>1</x:v>
      </x:c>
      <x:c r="BA180" s="40" t="b">
        <x:v>1</x:v>
      </x:c>
      <x:c r="BB180" s="40" t="b">
        <x:v>1</x:v>
      </x:c>
      <x:c r="BC180" s="34" t="str"/>
      <x:c r="BD180" s="34" t="n">
        <x:v>0</x:v>
      </x:c>
      <x:c r="BE180" s="34" t="n">
        <x:v>0</x:v>
      </x:c>
      <x:c r="BF180" s="34" t="n">
        <x:v>0</x:v>
      </x:c>
      <x:c r="BG180" s="34" t="n">
        <x:v>2</x:v>
      </x:c>
      <x:c r="BH180" s="34" t="n">
        <x:v>3</x:v>
      </x:c>
      <x:c r="BI180" s="34" t="n">
        <x:v>0.3119871999999999</x:v>
      </x:c>
      <x:c r="BJ180" s="34" t="n">
        <x:v>0.65</x:v>
      </x:c>
      <x:c r="BK180" s="34" t="n">
        <x:v>1.1400000000000001</x:v>
      </x:c>
    </x:row>
    <x:row r="181">
      <x:c r="A181" s="34" t="str">
        <x:v>JFE_STEEL_JP</x:v>
      </x:c>
      <x:c r="B181" s="34" t="str">
        <x:v>JFE Steel</x:v>
      </x:c>
      <x:c r="C181" s="34" t="str">
        <x:v>DISCLOSED_PATH</x:v>
      </x:c>
      <x:c r="D181" s="34" t="str">
        <x:v>P3</x:v>
      </x:c>
      <x:c r="E181" s="34" t="str">
        <x:v>JFE-FUKU</x:v>
      </x:c>
      <x:c r="F181" s="34" t="str">
        <x:v>West Japan Works Fukuyama</x:v>
      </x:c>
      <x:c r="G181" s="34" t="str">
        <x:v>후쿠야마</x:v>
      </x:c>
      <x:c r="H181" s="34" t="n">
        <x:v>2033</x:v>
      </x:c>
      <x:c r="I181" s="34" t="str">
        <x:v>BF_BOF</x:v>
      </x:c>
      <x:c r="J181" s="34" t="str">
        <x:v>기준 BF-BOF 복합 블록</x:v>
      </x:c>
      <x:c r="K181" s="34" t="str">
        <x:v>H2_DRI_EAF</x:v>
      </x:c>
      <x:c r="L181" s="34" t="str">
        <x:v>수소 DRI + EAF</x:v>
      </x:c>
      <x:c r="M181" s="34" t="n">
        <x:v>9702</x:v>
      </x:c>
      <x:c r="N181" s="34" t="n">
        <x:v>7546</x:v>
      </x:c>
      <x:c r="O181" s="34" t="n">
        <x:v>9.8</x:v>
      </x:c>
      <x:c r="P181" s="34" t="n">
        <x:v>8.999997</x:v>
      </x:c>
      <x:c r="Q181" s="34" t="n">
        <x:v>19.037639</x:v>
      </x:c>
      <x:c r="R181" s="34" t="n">
        <x:v>19.037639</x:v>
      </x:c>
      <x:c r="S181" s="34" t="n">
        <x:v>1.799999</x:v>
      </x:c>
      <x:c r="T181" s="34" t="n">
        <x:v>1.799999</x:v>
      </x:c>
      <x:c r="U181" s="34" t="n">
        <x:v>17.237639</x:v>
      </x:c>
      <x:c r="V181" s="34" t="n">
        <x:v>137.901116</x:v>
      </x:c>
      <x:c r="W181" s="34" t="n">
        <x:v>30773.009</x:v>
      </x:c>
      <x:c r="X181" s="34" t="n">
        <x:v>3321.245</x:v>
      </x:c>
      <x:c r="Y181" s="34" t="n">
        <x:v>35621.518</x:v>
      </x:c>
      <x:c r="Z181" s="34" t="n">
        <x:v>32300.273</x:v>
      </x:c>
      <x:c r="AA181" s="34" t="n">
        <x:v>4848.509</x:v>
      </x:c>
      <x:c r="AB181" s="34" t="n">
        <x:v>27451.763</x:v>
      </x:c>
      <x:c r="AC181" s="34" t="n">
        <x:v>4916.965</x:v>
      </x:c>
      <x:c r="AD181" s="34" t="n">
        <x:v>509.49</x:v>
      </x:c>
      <x:c r="AE181" s="34" t="n">
        <x:v>3636.405</x:v>
      </x:c>
      <x:c r="AF181" s="34" t="n">
        <x:v>26417.415</x:v>
      </x:c>
      <x:c r="AG181" s="34" t="n">
        <x:v>141.243</x:v>
      </x:c>
      <x:c r="AH181" s="34" t="n">
        <x:v>-4848.509</x:v>
      </x:c>
      <x:c r="AI181" s="34" t="str">
        <x:v>model_estimate</x:v>
      </x:c>
      <x:c r="AJ181" s="34" t="str">
        <x:v>JFE 공식 생산·배출 총량에 맞춘 설비 블록 배분</x:v>
      </x:c>
      <x:c r="AK181" s="34" t="str">
        <x:v>CAND-A735954AF09420</x:v>
      </x:c>
      <x:c r="AL181" s="34" t="str">
        <x:v>P3</x:v>
      </x:c>
      <x:c r="AM181" s="34" t="str">
        <x:v>PORT-CCD4397FA6D4</x:v>
      </x:c>
      <x:c r="AN181" s="34" t="n">
        <x:v>1000</x:v>
      </x:c>
      <x:c r="AO181" s="34" t="n">
        <x:v>109.160576</x:v>
      </x:c>
      <x:c r="AP181" s="34" t="n">
        <x:v>24.423057</x:v>
      </x:c>
      <x:c r="AQ181" s="34" t="n">
        <x:v>281.895878</x:v>
      </x:c>
      <x:c r="AR181" s="34" t="n">
        <x:v>30284.795</x:v>
      </x:c>
      <x:c r="AS181" s="34" t="n">
        <x:v>107.432556</x:v>
      </x:c>
      <x:c r="AT181" s="40" t="b">
        <x:v>1</x:v>
      </x:c>
      <x:c r="AU181" s="40" t="b">
        <x:v>1</x:v>
      </x:c>
      <x:c r="AV181" s="34" t="str"/>
      <x:c r="AW181" s="34" t="n">
        <x:v>0</x:v>
      </x:c>
      <x:c r="AX181" s="34" t="str">
        <x:v>1.265341119704999e-05</x:v>
      </x:c>
      <x:c r="AY181" s="40" t="b">
        <x:v>1</x:v>
      </x:c>
      <x:c r="AZ181" s="40" t="b">
        <x:v>1</x:v>
      </x:c>
      <x:c r="BA181" s="40" t="b">
        <x:v>1</x:v>
      </x:c>
      <x:c r="BB181" s="40" t="b">
        <x:v>1</x:v>
      </x:c>
      <x:c r="BC181" s="34" t="str"/>
      <x:c r="BD181" s="34" t="n">
        <x:v>0</x:v>
      </x:c>
      <x:c r="BE181" s="34" t="n">
        <x:v>0</x:v>
      </x:c>
      <x:c r="BF181" s="34" t="n">
        <x:v>0</x:v>
      </x:c>
      <x:c r="BG181" s="34" t="n">
        <x:v>2</x:v>
      </x:c>
      <x:c r="BH181" s="34" t="n">
        <x:v>3</x:v>
      </x:c>
      <x:c r="BI181" s="34" t="n">
        <x:v>0.3119871999999999</x:v>
      </x:c>
      <x:c r="BJ181" s="34" t="n">
        <x:v>0.65</x:v>
      </x:c>
      <x:c r="BK181" s="34" t="n">
        <x:v>1.1400000000000001</x:v>
      </x:c>
    </x:row>
    <x:row r="182">
      <x:c r="A182" s="34" t="str">
        <x:v>JFE_STEEL_JP</x:v>
      </x:c>
      <x:c r="B182" s="34" t="str">
        <x:v>JFE Steel</x:v>
      </x:c>
      <x:c r="C182" s="34" t="str">
        <x:v>DISCLOSED_PATH</x:v>
      </x:c>
      <x:c r="D182" s="34" t="str">
        <x:v>P3</x:v>
      </x:c>
      <x:c r="E182" s="34" t="str">
        <x:v>JFE-KURA</x:v>
      </x:c>
      <x:c r="F182" s="34" t="str">
        <x:v>West Japan Works Kurashiki</x:v>
      </x:c>
      <x:c r="G182" s="34" t="str">
        <x:v>구라시키</x:v>
      </x:c>
      <x:c r="H182" s="34" t="n">
        <x:v>2029</x:v>
      </x:c>
      <x:c r="I182" s="34" t="str">
        <x:v>BF_BOF</x:v>
      </x:c>
      <x:c r="J182" s="34" t="str">
        <x:v>기준 BF-BOF 복합 블록</x:v>
      </x:c>
      <x:c r="K182" s="34" t="str">
        <x:v>SCRAP_EAF</x:v>
      </x:c>
      <x:c r="L182" s="34" t="str">
        <x:v>스크랩 기반 대형 EAF</x:v>
      </x:c>
      <x:c r="M182" s="34" t="n">
        <x:v>4558.4</x:v>
      </x:c>
      <x:c r="N182" s="34" t="n">
        <x:v>2930.4</x:v>
      </x:c>
      <x:c r="O182" s="34" t="n">
        <x:v>7.4</x:v>
      </x:c>
      <x:c r="P182" s="34" t="n">
        <x:v>6.800001</x:v>
      </x:c>
      <x:c r="Q182" s="34" t="n">
        <x:v>14.384</x:v>
      </x:c>
      <x:c r="R182" s="34" t="n">
        <x:v>3.06</x:v>
      </x:c>
      <x:c r="S182" s="34" t="n">
        <x:v>3.06</x:v>
      </x:c>
      <x:c r="T182" s="34" t="n">
        <x:v>3.06</x:v>
      </x:c>
      <x:c r="U182" s="34" t="n">
        <x:v>11.324</x:v>
      </x:c>
      <x:c r="V182" s="34" t="n">
        <x:v>135.888002</x:v>
      </x:c>
      <x:c r="W182" s="34" t="n">
        <x:v>3495.635</x:v>
      </x:c>
      <x:c r="X182" s="34" t="n">
        <x:v>645.521</x:v>
      </x:c>
      <x:c r="Y182" s="34" t="n">
        <x:v>8245.964</x:v>
      </x:c>
      <x:c r="Z182" s="34" t="n">
        <x:v>7600.443</x:v>
      </x:c>
      <x:c r="AA182" s="34" t="n">
        <x:v>4750.329</x:v>
      </x:c>
      <x:c r="AB182" s="34" t="n">
        <x:v>2850.114</x:v>
      </x:c>
      <x:c r="AC182" s="34" t="n">
        <x:v>2365.468</x:v>
      </x:c>
      <x:c r="AD182" s="34" t="n">
        <x:v>299.458</x:v>
      </x:c>
      <x:c r="AE182" s="34" t="n">
        <x:v>5543.673</x:v>
      </x:c>
      <x:c r="AF182" s="34" t="n">
        <x:v>0</x:v>
      </x:c>
      <x:c r="AG182" s="34" t="n">
        <x:v>37.365</x:v>
      </x:c>
      <x:c r="AH182" s="34" t="n">
        <x:v>-4750.329</x:v>
      </x:c>
      <x:c r="AI182" s="34" t="str">
        <x:v>model_estimate</x:v>
      </x:c>
      <x:c r="AJ182" s="34" t="str">
        <x:v>2028 혁신 EAF 공시를 반영한 조기 재투자 창; 생산량은 공식 총량에 맞춘 추정</x:v>
      </x:c>
      <x:c r="AK182" s="34" t="str">
        <x:v>CAND-A735954AF09420</x:v>
      </x:c>
      <x:c r="AL182" s="34" t="str">
        <x:v>P3</x:v>
      </x:c>
      <x:c r="AM182" s="34" t="str">
        <x:v>PORT-CCD4397FA6D4</x:v>
      </x:c>
      <x:c r="AN182" s="34" t="n">
        <x:v>1000</x:v>
      </x:c>
      <x:c r="AO182" s="34" t="n">
        <x:v>109.160576</x:v>
      </x:c>
      <x:c r="AP182" s="34" t="n">
        <x:v>24.423057</x:v>
      </x:c>
      <x:c r="AQ182" s="34" t="n">
        <x:v>281.895878</x:v>
      </x:c>
      <x:c r="AR182" s="34" t="n">
        <x:v>30284.795</x:v>
      </x:c>
      <x:c r="AS182" s="34" t="n">
        <x:v>107.432556</x:v>
      </x:c>
      <x:c r="AT182" s="40" t="b">
        <x:v>1</x:v>
      </x:c>
      <x:c r="AU182" s="40" t="b">
        <x:v>1</x:v>
      </x:c>
      <x:c r="AV182" s="34" t="str"/>
      <x:c r="AW182" s="34" t="n">
        <x:v>0</x:v>
      </x:c>
      <x:c r="AX182" s="34" t="str">
        <x:v>1.265341119704999e-05</x:v>
      </x:c>
      <x:c r="AY182" s="40" t="b">
        <x:v>1</x:v>
      </x:c>
      <x:c r="AZ182" s="40" t="b">
        <x:v>1</x:v>
      </x:c>
      <x:c r="BA182" s="40" t="b">
        <x:v>1</x:v>
      </x:c>
      <x:c r="BB182" s="40" t="b">
        <x:v>1</x:v>
      </x:c>
      <x:c r="BC182" s="34" t="str"/>
      <x:c r="BD182" s="34" t="n">
        <x:v>0</x:v>
      </x:c>
      <x:c r="BE182" s="34" t="n">
        <x:v>0</x:v>
      </x:c>
      <x:c r="BF182" s="34" t="n">
        <x:v>0</x:v>
      </x:c>
      <x:c r="BG182" s="34" t="n">
        <x:v>2</x:v>
      </x:c>
      <x:c r="BH182" s="34" t="n">
        <x:v>3</x:v>
      </x:c>
      <x:c r="BI182" s="34" t="n">
        <x:v>0.3119871999999999</x:v>
      </x:c>
      <x:c r="BJ182" s="34" t="n">
        <x:v>0.65</x:v>
      </x:c>
      <x:c r="BK182" s="34" t="n">
        <x:v>1.1400000000000001</x:v>
      </x:c>
    </x:row>
    <x:row r="183">
      <x:c r="A183" s="34" t="str">
        <x:v>JFE_STEEL_JP</x:v>
      </x:c>
      <x:c r="B183" s="34" t="str">
        <x:v>JFE Steel</x:v>
      </x:c>
      <x:c r="C183" s="34" t="str">
        <x:v>DISCLOSED_PATH</x:v>
      </x:c>
      <x:c r="D183" s="34" t="str">
        <x:v>P3</x:v>
      </x:c>
      <x:c r="E183" s="34" t="str">
        <x:v>JFE-SENDAI</x:v>
      </x:c>
      <x:c r="F183" s="34" t="str">
        <x:v>Sendai Works EAF</x:v>
      </x:c>
      <x:c r="G183" s="34" t="str">
        <x:v>센다이</x:v>
      </x:c>
      <x:c r="H183" s="34" t="n">
        <x:v>2033</x:v>
      </x:c>
      <x:c r="I183" s="34" t="str">
        <x:v>EAF_BASELINE</x:v>
      </x:c>
      <x:c r="J183" s="34" t="str">
        <x:v>기존 전기로 기준 블록</x:v>
      </x:c>
      <x:c r="K183" s="34" t="str">
        <x:v>EAF_RENEWABLE</x:v>
      </x:c>
      <x:c r="L183" s="34" t="str">
        <x:v>기존 EAF 재생전력 업그레이드</x:v>
      </x:c>
      <x:c r="M183" s="34" t="n">
        <x:v>228.8</x:v>
      </x:c>
      <x:c r="N183" s="34" t="n">
        <x:v>70.4</x:v>
      </x:c>
      <x:c r="O183" s="34" t="n">
        <x:v>0.8</x:v>
      </x:c>
      <x:c r="P183" s="34" t="n">
        <x:v>0.7</x:v>
      </x:c>
      <x:c r="Q183" s="34" t="n">
        <x:v>0.35</x:v>
      </x:c>
      <x:c r="R183" s="34" t="n">
        <x:v>0.35</x:v>
      </x:c>
      <x:c r="S183" s="34" t="n">
        <x:v>0.07</x:v>
      </x:c>
      <x:c r="T183" s="34" t="n">
        <x:v>0.07</x:v>
      </x:c>
      <x:c r="U183" s="34" t="n">
        <x:v>0.28</x:v>
      </x:c>
      <x:c r="V183" s="34" t="n">
        <x:v>2.24</x:v>
      </x:c>
      <x:c r="W183" s="34" t="n">
        <x:v>-17.243</x:v>
      </x:c>
      <x:c r="X183" s="34" t="n">
        <x:v>6.917</x:v>
      </x:c>
      <x:c r="Y183" s="34" t="n">
        <x:v>61.514</x:v>
      </x:c>
      <x:c r="Z183" s="34" t="n">
        <x:v>54.597</x:v>
      </x:c>
      <x:c r="AA183" s="34" t="n">
        <x:v>78.757</x:v>
      </x:c>
      <x:c r="AB183" s="34" t="n">
        <x:v>-24.16</x:v>
      </x:c>
      <x:c r="AC183" s="34" t="n">
        <x:v>45.873</x:v>
      </x:c>
      <x:c r="AD183" s="34" t="n">
        <x:v>3.048</x:v>
      </x:c>
      <x:c r="AE183" s="34" t="n">
        <x:v>12.297</x:v>
      </x:c>
      <x:c r="AF183" s="34" t="n">
        <x:v>0</x:v>
      </x:c>
      <x:c r="AG183" s="34" t="n">
        <x:v>0.296</x:v>
      </x:c>
      <x:c r="AH183" s="34" t="n">
        <x:v>-78.757</x:v>
      </x:c>
      <x:c r="AI183" s="34" t="str">
        <x:v>model_estimate</x:v>
      </x:c>
      <x:c r="AJ183" s="34" t="str">
        <x:v>공식 EAF 사업장 존재를 반영; 생산량·집약도·재투자연도 추정</x:v>
      </x:c>
      <x:c r="AK183" s="34" t="str">
        <x:v>CAND-A735954AF09420</x:v>
      </x:c>
      <x:c r="AL183" s="34" t="str">
        <x:v>P3</x:v>
      </x:c>
      <x:c r="AM183" s="34" t="str">
        <x:v>PORT-CCD4397FA6D4</x:v>
      </x:c>
      <x:c r="AN183" s="34" t="n">
        <x:v>1000</x:v>
      </x:c>
      <x:c r="AO183" s="34" t="n">
        <x:v>109.160576</x:v>
      </x:c>
      <x:c r="AP183" s="34" t="n">
        <x:v>24.423057</x:v>
      </x:c>
      <x:c r="AQ183" s="34" t="n">
        <x:v>281.895878</x:v>
      </x:c>
      <x:c r="AR183" s="34" t="n">
        <x:v>30284.795</x:v>
      </x:c>
      <x:c r="AS183" s="34" t="n">
        <x:v>107.432556</x:v>
      </x:c>
      <x:c r="AT183" s="40" t="b">
        <x:v>1</x:v>
      </x:c>
      <x:c r="AU183" s="40" t="b">
        <x:v>1</x:v>
      </x:c>
      <x:c r="AV183" s="34" t="str"/>
      <x:c r="AW183" s="34" t="n">
        <x:v>0</x:v>
      </x:c>
      <x:c r="AX183" s="34" t="str">
        <x:v>1.265341119704999e-05</x:v>
      </x:c>
      <x:c r="AY183" s="40" t="b">
        <x:v>1</x:v>
      </x:c>
      <x:c r="AZ183" s="40" t="b">
        <x:v>1</x:v>
      </x:c>
      <x:c r="BA183" s="40" t="b">
        <x:v>1</x:v>
      </x:c>
      <x:c r="BB183" s="40" t="b">
        <x:v>1</x:v>
      </x:c>
      <x:c r="BC183" s="34" t="str"/>
      <x:c r="BD183" s="34" t="n">
        <x:v>0</x:v>
      </x:c>
      <x:c r="BE183" s="34" t="n">
        <x:v>0</x:v>
      </x:c>
      <x:c r="BF183" s="34" t="n">
        <x:v>0</x:v>
      </x:c>
      <x:c r="BG183" s="34" t="n">
        <x:v>2</x:v>
      </x:c>
      <x:c r="BH183" s="34" t="n">
        <x:v>3</x:v>
      </x:c>
      <x:c r="BI183" s="34" t="n">
        <x:v>0.3119871999999999</x:v>
      </x:c>
      <x:c r="BJ183" s="34" t="n">
        <x:v>0.65</x:v>
      </x:c>
      <x:c r="BK183" s="34" t="n">
        <x:v>1.1400000000000001</x:v>
      </x:c>
    </x:row>
    <x:row r="184">
      <x:c r="A184" s="34" t="str">
        <x:v>JFE_STEEL_JP</x:v>
      </x:c>
      <x:c r="B184" s="34" t="str">
        <x:v>JFE Steel</x:v>
      </x:c>
      <x:c r="C184" s="34" t="str">
        <x:v>ACCELERATED_15C</x:v>
      </x:c>
      <x:c r="D184" s="34" t="str">
        <x:v>P3</x:v>
      </x:c>
      <x:c r="E184" s="34" t="str">
        <x:v>JFE-CHIBA</x:v>
      </x:c>
      <x:c r="F184" s="34" t="str">
        <x:v>East Japan Works Chiba</x:v>
      </x:c>
      <x:c r="G184" s="34" t="str">
        <x:v>치바</x:v>
      </x:c>
      <x:c r="H184" s="34" t="n">
        <x:v>2036</x:v>
      </x:c>
      <x:c r="I184" s="34" t="str">
        <x:v>BF_BOF</x:v>
      </x:c>
      <x:c r="J184" s="34" t="str">
        <x:v>기준 BF-BOF 복합 블록</x:v>
      </x:c>
      <x:c r="K184" s="34" t="str">
        <x:v>BF_RELINE</x:v>
      </x:c>
      <x:c r="L184" s="34" t="str">
        <x:v>BF 개수·효율 패키지</x:v>
      </x:c>
      <x:c r="M184" s="34" t="n">
        <x:v>1650</x:v>
      </x:c>
      <x:c r="N184" s="34" t="n">
        <x:v>330</x:v>
      </x:c>
      <x:c r="O184" s="34" t="n">
        <x:v>6</x:v>
      </x:c>
      <x:c r="P184" s="34" t="n">
        <x:v>5.449998</x:v>
      </x:c>
      <x:c r="Q184" s="34" t="n">
        <x:v>11.528348</x:v>
      </x:c>
      <x:c r="R184" s="34" t="n">
        <x:v>11.528348</x:v>
      </x:c>
      <x:c r="S184" s="34" t="n">
        <x:v>10.354996</x:v>
      </x:c>
      <x:c r="T184" s="34" t="n">
        <x:v>10.354996</x:v>
      </x:c>
      <x:c r="U184" s="34" t="n">
        <x:v>1.173352</x:v>
      </x:c>
      <x:c r="V184" s="34" t="n">
        <x:v>5.866759</x:v>
      </x:c>
      <x:c r="W184" s="34" t="n">
        <x:v>-90.627</x:v>
      </x:c>
      <x:c r="X184" s="34" t="n">
        <x:v>0</x:v>
      </x:c>
      <x:c r="Y184" s="34" t="n">
        <x:v>215.379</x:v>
      </x:c>
      <x:c r="Z184" s="34" t="n">
        <x:v>215.379</x:v>
      </x:c>
      <x:c r="AA184" s="34" t="n">
        <x:v>306.006</x:v>
      </x:c>
      <x:c r="AB184" s="34" t="n">
        <x:v>-90.627</x:v>
      </x:c>
      <x:c r="AC184" s="34" t="n">
        <x:v>183.12</x:v>
      </x:c>
      <x:c r="AD184" s="34" t="n">
        <x:v>0</x:v>
      </x:c>
      <x:c r="AE184" s="34" t="n">
        <x:v>31.157</x:v>
      </x:c>
      <x:c r="AF184" s="34" t="n">
        <x:v>0</x:v>
      </x:c>
      <x:c r="AG184" s="34" t="n">
        <x:v>1.102</x:v>
      </x:c>
      <x:c r="AH184" s="34" t="n">
        <x:v>-306.006</x:v>
      </x:c>
      <x:c r="AI184" s="34" t="str">
        <x:v>model_estimate</x:v>
      </x:c>
      <x:c r="AJ184" s="34" t="str">
        <x:v>JFE 공식 생산·배출 총량에 맞춘 설비 블록 배분</x:v>
      </x:c>
      <x:c r="AK184" s="34" t="str">
        <x:v>CAND-A735954AF09420</x:v>
      </x:c>
      <x:c r="AL184" s="34" t="str">
        <x:v>P3</x:v>
      </x:c>
      <x:c r="AM184" s="34" t="str">
        <x:v>PORT-CCD4397FA6D4</x:v>
      </x:c>
      <x:c r="AN184" s="34" t="n">
        <x:v>1000</x:v>
      </x:c>
      <x:c r="AO184" s="34" t="n">
        <x:v>98.795699</x:v>
      </x:c>
      <x:c r="AP184" s="34" t="n">
        <x:v>25.465622</x:v>
      </x:c>
      <x:c r="AQ184" s="34" t="n">
        <x:v>281.895878</x:v>
      </x:c>
      <x:c r="AR184" s="34" t="n">
        <x:v>27384.963</x:v>
      </x:c>
      <x:c r="AS184" s="34" t="n">
        <x:v>97.145666</x:v>
      </x:c>
      <x:c r="AT184" s="40" t="b">
        <x:v>0</x:v>
      </x:c>
      <x:c r="AU184" s="40" t="b">
        <x:v>0</x:v>
      </x:c>
      <x:c r="AV184" s="34" t="n">
        <x:v>2040</x:v>
      </x:c>
      <x:c r="AW184" s="34" t="n">
        <x:v>5.28499579</x:v>
      </x:c>
      <x:c r="AX184" s="34" t="n">
        <x:v>-5.28499579</x:v>
      </x:c>
      <x:c r="AY184" s="40" t="b">
        <x:v>1</x:v>
      </x:c>
      <x:c r="AZ184" s="40" t="b">
        <x:v>1</x:v>
      </x:c>
      <x:c r="BA184" s="40" t="b">
        <x:v>1</x:v>
      </x:c>
      <x:c r="BB184" s="40" t="b">
        <x:v>1</x:v>
      </x:c>
      <x:c r="BC184" s="34" t="str"/>
      <x:c r="BD184" s="34" t="n">
        <x:v>0</x:v>
      </x:c>
      <x:c r="BE184" s="34" t="n">
        <x:v>0</x:v>
      </x:c>
      <x:c r="BF184" s="34" t="n">
        <x:v>0</x:v>
      </x:c>
      <x:c r="BG184" s="34" t="n">
        <x:v>2</x:v>
      </x:c>
      <x:c r="BH184" s="34" t="n">
        <x:v>3</x:v>
      </x:c>
      <x:c r="BI184" s="34" t="n">
        <x:v>0.3119871999999999</x:v>
      </x:c>
      <x:c r="BJ184" s="34" t="n">
        <x:v>0.65</x:v>
      </x:c>
      <x:c r="BK184" s="34" t="n">
        <x:v>1.1400000000000001</x:v>
      </x:c>
    </x:row>
    <x:row r="185">
      <x:c r="A185" s="34" t="str">
        <x:v>JFE_STEEL_JP</x:v>
      </x:c>
      <x:c r="B185" s="34" t="str">
        <x:v>JFE Steel</x:v>
      </x:c>
      <x:c r="C185" s="34" t="str">
        <x:v>ACCELERATED_15C</x:v>
      </x:c>
      <x:c r="D185" s="34" t="str">
        <x:v>P3</x:v>
      </x:c>
      <x:c r="E185" s="34" t="str">
        <x:v>JFE-FUKU</x:v>
      </x:c>
      <x:c r="F185" s="34" t="str">
        <x:v>West Japan Works Fukuyama</x:v>
      </x:c>
      <x:c r="G185" s="34" t="str">
        <x:v>후쿠야마</x:v>
      </x:c>
      <x:c r="H185" s="34" t="n">
        <x:v>2033</x:v>
      </x:c>
      <x:c r="I185" s="34" t="str">
        <x:v>BF_BOF</x:v>
      </x:c>
      <x:c r="J185" s="34" t="str">
        <x:v>기준 BF-BOF 복합 블록</x:v>
      </x:c>
      <x:c r="K185" s="34" t="str">
        <x:v>H2_DRI_EAF</x:v>
      </x:c>
      <x:c r="L185" s="34" t="str">
        <x:v>수소 DRI + EAF</x:v>
      </x:c>
      <x:c r="M185" s="34" t="n">
        <x:v>9702</x:v>
      </x:c>
      <x:c r="N185" s="34" t="n">
        <x:v>7546</x:v>
      </x:c>
      <x:c r="O185" s="34" t="n">
        <x:v>9.8</x:v>
      </x:c>
      <x:c r="P185" s="34" t="n">
        <x:v>8.999997</x:v>
      </x:c>
      <x:c r="Q185" s="34" t="n">
        <x:v>19.037639</x:v>
      </x:c>
      <x:c r="R185" s="34" t="n">
        <x:v>19.037639</x:v>
      </x:c>
      <x:c r="S185" s="34" t="n">
        <x:v>1.799999</x:v>
      </x:c>
      <x:c r="T185" s="34" t="n">
        <x:v>1.799999</x:v>
      </x:c>
      <x:c r="U185" s="34" t="n">
        <x:v>17.237639</x:v>
      </x:c>
      <x:c r="V185" s="34" t="n">
        <x:v>137.901116</x:v>
      </x:c>
      <x:c r="W185" s="34" t="n">
        <x:v>31114.961</x:v>
      </x:c>
      <x:c r="X185" s="34" t="n">
        <x:v>4674.343</x:v>
      </x:c>
      <x:c r="Y185" s="34" t="n">
        <x:v>38308.981</x:v>
      </x:c>
      <x:c r="Z185" s="34" t="n">
        <x:v>33634.637</x:v>
      </x:c>
      <x:c r="AA185" s="34" t="n">
        <x:v>7194.019</x:v>
      </x:c>
      <x:c r="AB185" s="34" t="n">
        <x:v>26440.618</x:v>
      </x:c>
      <x:c r="AC185" s="34" t="n">
        <x:v>4916.965</x:v>
      </x:c>
      <x:c r="AD185" s="34" t="n">
        <x:v>509.49</x:v>
      </x:c>
      <x:c r="AE185" s="34" t="n">
        <x:v>4032.152</x:v>
      </x:c>
      <x:c r="AF185" s="34" t="n">
        <x:v>28698.795</x:v>
      </x:c>
      <x:c r="AG185" s="34" t="n">
        <x:v>151.579</x:v>
      </x:c>
      <x:c r="AH185" s="34" t="n">
        <x:v>-7194.019</x:v>
      </x:c>
      <x:c r="AI185" s="34" t="str">
        <x:v>model_estimate</x:v>
      </x:c>
      <x:c r="AJ185" s="34" t="str">
        <x:v>JFE 공식 생산·배출 총량에 맞춘 설비 블록 배분</x:v>
      </x:c>
      <x:c r="AK185" s="34" t="str">
        <x:v>CAND-A735954AF09420</x:v>
      </x:c>
      <x:c r="AL185" s="34" t="str">
        <x:v>P3</x:v>
      </x:c>
      <x:c r="AM185" s="34" t="str">
        <x:v>PORT-CCD4397FA6D4</x:v>
      </x:c>
      <x:c r="AN185" s="34" t="n">
        <x:v>1000</x:v>
      </x:c>
      <x:c r="AO185" s="34" t="n">
        <x:v>98.795699</x:v>
      </x:c>
      <x:c r="AP185" s="34" t="n">
        <x:v>25.465622</x:v>
      </x:c>
      <x:c r="AQ185" s="34" t="n">
        <x:v>281.895878</x:v>
      </x:c>
      <x:c r="AR185" s="34" t="n">
        <x:v>27384.963</x:v>
      </x:c>
      <x:c r="AS185" s="34" t="n">
        <x:v>97.145666</x:v>
      </x:c>
      <x:c r="AT185" s="40" t="b">
        <x:v>0</x:v>
      </x:c>
      <x:c r="AU185" s="40" t="b">
        <x:v>0</x:v>
      </x:c>
      <x:c r="AV185" s="34" t="n">
        <x:v>2040</x:v>
      </x:c>
      <x:c r="AW185" s="34" t="n">
        <x:v>5.28499579</x:v>
      </x:c>
      <x:c r="AX185" s="34" t="n">
        <x:v>-5.28499579</x:v>
      </x:c>
      <x:c r="AY185" s="40" t="b">
        <x:v>1</x:v>
      </x:c>
      <x:c r="AZ185" s="40" t="b">
        <x:v>1</x:v>
      </x:c>
      <x:c r="BA185" s="40" t="b">
        <x:v>1</x:v>
      </x:c>
      <x:c r="BB185" s="40" t="b">
        <x:v>1</x:v>
      </x:c>
      <x:c r="BC185" s="34" t="str"/>
      <x:c r="BD185" s="34" t="n">
        <x:v>0</x:v>
      </x:c>
      <x:c r="BE185" s="34" t="n">
        <x:v>0</x:v>
      </x:c>
      <x:c r="BF185" s="34" t="n">
        <x:v>0</x:v>
      </x:c>
      <x:c r="BG185" s="34" t="n">
        <x:v>2</x:v>
      </x:c>
      <x:c r="BH185" s="34" t="n">
        <x:v>3</x:v>
      </x:c>
      <x:c r="BI185" s="34" t="n">
        <x:v>0.3119871999999999</x:v>
      </x:c>
      <x:c r="BJ185" s="34" t="n">
        <x:v>0.65</x:v>
      </x:c>
      <x:c r="BK185" s="34" t="n">
        <x:v>1.1400000000000001</x:v>
      </x:c>
    </x:row>
    <x:row r="186">
      <x:c r="A186" s="34" t="str">
        <x:v>JFE_STEEL_JP</x:v>
      </x:c>
      <x:c r="B186" s="34" t="str">
        <x:v>JFE Steel</x:v>
      </x:c>
      <x:c r="C186" s="34" t="str">
        <x:v>ACCELERATED_15C</x:v>
      </x:c>
      <x:c r="D186" s="34" t="str">
        <x:v>P3</x:v>
      </x:c>
      <x:c r="E186" s="34" t="str">
        <x:v>JFE-KURA</x:v>
      </x:c>
      <x:c r="F186" s="34" t="str">
        <x:v>West Japan Works Kurashiki</x:v>
      </x:c>
      <x:c r="G186" s="34" t="str">
        <x:v>구라시키</x:v>
      </x:c>
      <x:c r="H186" s="34" t="n">
        <x:v>2029</x:v>
      </x:c>
      <x:c r="I186" s="34" t="str">
        <x:v>BF_BOF</x:v>
      </x:c>
      <x:c r="J186" s="34" t="str">
        <x:v>기준 BF-BOF 복합 블록</x:v>
      </x:c>
      <x:c r="K186" s="34" t="str">
        <x:v>SCRAP_EAF</x:v>
      </x:c>
      <x:c r="L186" s="34" t="str">
        <x:v>스크랩 기반 대형 EAF</x:v>
      </x:c>
      <x:c r="M186" s="34" t="n">
        <x:v>4558.4</x:v>
      </x:c>
      <x:c r="N186" s="34" t="n">
        <x:v>2930.4</x:v>
      </x:c>
      <x:c r="O186" s="34" t="n">
        <x:v>7.4</x:v>
      </x:c>
      <x:c r="P186" s="34" t="n">
        <x:v>6.800001</x:v>
      </x:c>
      <x:c r="Q186" s="34" t="n">
        <x:v>14.384</x:v>
      </x:c>
      <x:c r="R186" s="34" t="n">
        <x:v>3.06</x:v>
      </x:c>
      <x:c r="S186" s="34" t="n">
        <x:v>3.06</x:v>
      </x:c>
      <x:c r="T186" s="34" t="n">
        <x:v>3.06</x:v>
      </x:c>
      <x:c r="U186" s="34" t="n">
        <x:v>11.324</x:v>
      </x:c>
      <x:c r="V186" s="34" t="n">
        <x:v>135.888002</x:v>
      </x:c>
      <x:c r="W186" s="34" t="n">
        <x:v>1828.659</x:v>
      </x:c>
      <x:c r="X186" s="34" t="n">
        <x:v>730.467</x:v>
      </x:c>
      <x:c r="Y186" s="34" t="n">
        <x:v>8756.08</x:v>
      </x:c>
      <x:c r="Z186" s="34" t="n">
        <x:v>8025.613</x:v>
      </x:c>
      <x:c r="AA186" s="34" t="n">
        <x:v>6927.42</x:v>
      </x:c>
      <x:c r="AB186" s="34" t="n">
        <x:v>1098.193</x:v>
      </x:c>
      <x:c r="AC186" s="34" t="n">
        <x:v>2365.468</x:v>
      </x:c>
      <x:c r="AD186" s="34" t="n">
        <x:v>299.458</x:v>
      </x:c>
      <x:c r="AE186" s="34" t="n">
        <x:v>6051.504</x:v>
      </x:c>
      <x:c r="AF186" s="34" t="n">
        <x:v>0</x:v>
      </x:c>
      <x:c r="AG186" s="34" t="n">
        <x:v>39.65</x:v>
      </x:c>
      <x:c r="AH186" s="34" t="n">
        <x:v>-6927.42</x:v>
      </x:c>
      <x:c r="AI186" s="34" t="str">
        <x:v>model_estimate</x:v>
      </x:c>
      <x:c r="AJ186" s="34" t="str">
        <x:v>2028 혁신 EAF 공시를 반영한 조기 재투자 창; 생산량은 공식 총량에 맞춘 추정</x:v>
      </x:c>
      <x:c r="AK186" s="34" t="str">
        <x:v>CAND-A735954AF09420</x:v>
      </x:c>
      <x:c r="AL186" s="34" t="str">
        <x:v>P3</x:v>
      </x:c>
      <x:c r="AM186" s="34" t="str">
        <x:v>PORT-CCD4397FA6D4</x:v>
      </x:c>
      <x:c r="AN186" s="34" t="n">
        <x:v>1000</x:v>
      </x:c>
      <x:c r="AO186" s="34" t="n">
        <x:v>98.795699</x:v>
      </x:c>
      <x:c r="AP186" s="34" t="n">
        <x:v>25.465622</x:v>
      </x:c>
      <x:c r="AQ186" s="34" t="n">
        <x:v>281.895878</x:v>
      </x:c>
      <x:c r="AR186" s="34" t="n">
        <x:v>27384.963</x:v>
      </x:c>
      <x:c r="AS186" s="34" t="n">
        <x:v>97.145666</x:v>
      </x:c>
      <x:c r="AT186" s="40" t="b">
        <x:v>0</x:v>
      </x:c>
      <x:c r="AU186" s="40" t="b">
        <x:v>0</x:v>
      </x:c>
      <x:c r="AV186" s="34" t="n">
        <x:v>2040</x:v>
      </x:c>
      <x:c r="AW186" s="34" t="n">
        <x:v>5.28499579</x:v>
      </x:c>
      <x:c r="AX186" s="34" t="n">
        <x:v>-5.28499579</x:v>
      </x:c>
      <x:c r="AY186" s="40" t="b">
        <x:v>1</x:v>
      </x:c>
      <x:c r="AZ186" s="40" t="b">
        <x:v>1</x:v>
      </x:c>
      <x:c r="BA186" s="40" t="b">
        <x:v>1</x:v>
      </x:c>
      <x:c r="BB186" s="40" t="b">
        <x:v>1</x:v>
      </x:c>
      <x:c r="BC186" s="34" t="str"/>
      <x:c r="BD186" s="34" t="n">
        <x:v>0</x:v>
      </x:c>
      <x:c r="BE186" s="34" t="n">
        <x:v>0</x:v>
      </x:c>
      <x:c r="BF186" s="34" t="n">
        <x:v>0</x:v>
      </x:c>
      <x:c r="BG186" s="34" t="n">
        <x:v>2</x:v>
      </x:c>
      <x:c r="BH186" s="34" t="n">
        <x:v>3</x:v>
      </x:c>
      <x:c r="BI186" s="34" t="n">
        <x:v>0.3119871999999999</x:v>
      </x:c>
      <x:c r="BJ186" s="34" t="n">
        <x:v>0.65</x:v>
      </x:c>
      <x:c r="BK186" s="34" t="n">
        <x:v>1.1400000000000001</x:v>
      </x:c>
    </x:row>
    <x:row r="187">
      <x:c r="A187" s="34" t="str">
        <x:v>JFE_STEEL_JP</x:v>
      </x:c>
      <x:c r="B187" s="34" t="str">
        <x:v>JFE Steel</x:v>
      </x:c>
      <x:c r="C187" s="34" t="str">
        <x:v>ACCELERATED_15C</x:v>
      </x:c>
      <x:c r="D187" s="34" t="str">
        <x:v>P3</x:v>
      </x:c>
      <x:c r="E187" s="34" t="str">
        <x:v>JFE-SENDAI</x:v>
      </x:c>
      <x:c r="F187" s="34" t="str">
        <x:v>Sendai Works EAF</x:v>
      </x:c>
      <x:c r="G187" s="34" t="str">
        <x:v>센다이</x:v>
      </x:c>
      <x:c r="H187" s="34" t="n">
        <x:v>2033</x:v>
      </x:c>
      <x:c r="I187" s="34" t="str">
        <x:v>EAF_BASELINE</x:v>
      </x:c>
      <x:c r="J187" s="34" t="str">
        <x:v>기존 전기로 기준 블록</x:v>
      </x:c>
      <x:c r="K187" s="34" t="str">
        <x:v>EAF_RENEWABLE</x:v>
      </x:c>
      <x:c r="L187" s="34" t="str">
        <x:v>기존 EAF 재생전력 업그레이드</x:v>
      </x:c>
      <x:c r="M187" s="34" t="n">
        <x:v>228.8</x:v>
      </x:c>
      <x:c r="N187" s="34" t="n">
        <x:v>70.4</x:v>
      </x:c>
      <x:c r="O187" s="34" t="n">
        <x:v>0.8</x:v>
      </x:c>
      <x:c r="P187" s="34" t="n">
        <x:v>0.7</x:v>
      </x:c>
      <x:c r="Q187" s="34" t="n">
        <x:v>0.35</x:v>
      </x:c>
      <x:c r="R187" s="34" t="n">
        <x:v>0.35</x:v>
      </x:c>
      <x:c r="S187" s="34" t="n">
        <x:v>0.07</x:v>
      </x:c>
      <x:c r="T187" s="34" t="n">
        <x:v>0.07</x:v>
      </x:c>
      <x:c r="U187" s="34" t="n">
        <x:v>0.28</x:v>
      </x:c>
      <x:c r="V187" s="34" t="n">
        <x:v>2.24</x:v>
      </x:c>
      <x:c r="W187" s="34" t="n">
        <x:v>-53.998</x:v>
      </x:c>
      <x:c r="X187" s="34" t="n">
        <x:v>9.223</x:v>
      </x:c>
      <x:c r="Y187" s="34" t="n">
        <x:v>62.858</x:v>
      </x:c>
      <x:c r="Z187" s="34" t="n">
        <x:v>53.636</x:v>
      </x:c>
      <x:c r="AA187" s="34" t="n">
        <x:v>116.856</x:v>
      </x:c>
      <x:c r="AB187" s="34" t="n">
        <x:v>-63.221</x:v>
      </x:c>
      <x:c r="AC187" s="34" t="n">
        <x:v>45.873</x:v>
      </x:c>
      <x:c r="AD187" s="34" t="n">
        <x:v>3.048</x:v>
      </x:c>
      <x:c r="AE187" s="34" t="n">
        <x:v>13.635</x:v>
      </x:c>
      <x:c r="AF187" s="34" t="n">
        <x:v>0</x:v>
      </x:c>
      <x:c r="AG187" s="34" t="n">
        <x:v>0.302</x:v>
      </x:c>
      <x:c r="AH187" s="34" t="n">
        <x:v>-116.856</x:v>
      </x:c>
      <x:c r="AI187" s="34" t="str">
        <x:v>model_estimate</x:v>
      </x:c>
      <x:c r="AJ187" s="34" t="str">
        <x:v>공식 EAF 사업장 존재를 반영; 생산량·집약도·재투자연도 추정</x:v>
      </x:c>
      <x:c r="AK187" s="34" t="str">
        <x:v>CAND-A735954AF09420</x:v>
      </x:c>
      <x:c r="AL187" s="34" t="str">
        <x:v>P3</x:v>
      </x:c>
      <x:c r="AM187" s="34" t="str">
        <x:v>PORT-CCD4397FA6D4</x:v>
      </x:c>
      <x:c r="AN187" s="34" t="n">
        <x:v>1000</x:v>
      </x:c>
      <x:c r="AO187" s="34" t="n">
        <x:v>98.795699</x:v>
      </x:c>
      <x:c r="AP187" s="34" t="n">
        <x:v>25.465622</x:v>
      </x:c>
      <x:c r="AQ187" s="34" t="n">
        <x:v>281.895878</x:v>
      </x:c>
      <x:c r="AR187" s="34" t="n">
        <x:v>27384.963</x:v>
      </x:c>
      <x:c r="AS187" s="34" t="n">
        <x:v>97.145666</x:v>
      </x:c>
      <x:c r="AT187" s="40" t="b">
        <x:v>0</x:v>
      </x:c>
      <x:c r="AU187" s="40" t="b">
        <x:v>0</x:v>
      </x:c>
      <x:c r="AV187" s="34" t="n">
        <x:v>2040</x:v>
      </x:c>
      <x:c r="AW187" s="34" t="n">
        <x:v>5.28499579</x:v>
      </x:c>
      <x:c r="AX187" s="34" t="n">
        <x:v>-5.28499579</x:v>
      </x:c>
      <x:c r="AY187" s="40" t="b">
        <x:v>1</x:v>
      </x:c>
      <x:c r="AZ187" s="40" t="b">
        <x:v>1</x:v>
      </x:c>
      <x:c r="BA187" s="40" t="b">
        <x:v>1</x:v>
      </x:c>
      <x:c r="BB187" s="40" t="b">
        <x:v>1</x:v>
      </x:c>
      <x:c r="BC187" s="34" t="str"/>
      <x:c r="BD187" s="34" t="n">
        <x:v>0</x:v>
      </x:c>
      <x:c r="BE187" s="34" t="n">
        <x:v>0</x:v>
      </x:c>
      <x:c r="BF187" s="34" t="n">
        <x:v>0</x:v>
      </x:c>
      <x:c r="BG187" s="34" t="n">
        <x:v>2</x:v>
      </x:c>
      <x:c r="BH187" s="34" t="n">
        <x:v>3</x:v>
      </x:c>
      <x:c r="BI187" s="34" t="n">
        <x:v>0.3119871999999999</x:v>
      </x:c>
      <x:c r="BJ187" s="34" t="n">
        <x:v>0.65</x:v>
      </x:c>
      <x:c r="BK187" s="34" t="n">
        <x:v>1.1400000000000001</x:v>
      </x:c>
    </x:row>
    <x:row r="188">
      <x:c r="A188" s="34" t="str">
        <x:v>KOBE_STEEL_JP</x:v>
      </x:c>
      <x:c r="B188" s="34" t="str">
        <x:v>Kobe Steel</x:v>
      </x:c>
      <x:c r="C188" s="34" t="str">
        <x:v>DISCLOSED_PATH</x:v>
      </x:c>
      <x:c r="D188" s="34" t="str">
        <x:v>P1</x:v>
      </x:c>
      <x:c r="E188" s="34" t="str">
        <x:v>KOB-BF1</x:v>
      </x:c>
      <x:c r="F188" s="34" t="str">
        <x:v>Kakogawa Works BF 블록 1</x:v>
      </x:c>
      <x:c r="G188" s="34" t="str">
        <x:v>가코가와</x:v>
      </x:c>
      <x:c r="H188" s="34" t="n">
        <x:v>2029</x:v>
      </x:c>
      <x:c r="I188" s="34" t="str">
        <x:v>BF_BOF</x:v>
      </x:c>
      <x:c r="J188" s="34" t="str">
        <x:v>기준 BF-BOF 복합 블록</x:v>
      </x:c>
      <x:c r="K188" s="34" t="str">
        <x:v>H2_DRI_EAF</x:v>
      </x:c>
      <x:c r="L188" s="34" t="str">
        <x:v>수소 DRI + EAF</x:v>
      </x:c>
      <x:c r="M188" s="34" t="n">
        <x:v>3118.5</x:v>
      </x:c>
      <x:c r="N188" s="34" t="n">
        <x:v>2425.5</x:v>
      </x:c>
      <x:c r="O188" s="34" t="n">
        <x:v>3.15</x:v>
      </x:c>
      <x:c r="P188" s="34" t="n">
        <x:v>2.95</x:v>
      </x:c>
      <x:c r="Q188" s="34" t="n">
        <x:v>7.173636</x:v>
      </x:c>
      <x:c r="R188" s="34" t="n">
        <x:v>0.59</x:v>
      </x:c>
      <x:c r="S188" s="34" t="n">
        <x:v>0.59</x:v>
      </x:c>
      <x:c r="T188" s="34" t="n">
        <x:v>0.59</x:v>
      </x:c>
      <x:c r="U188" s="34" t="n">
        <x:v>6.583636</x:v>
      </x:c>
      <x:c r="V188" s="34" t="n">
        <x:v>79.003637</x:v>
      </x:c>
      <x:c r="W188" s="34" t="n">
        <x:v>15895.779</x:v>
      </x:c>
      <x:c r="X188" s="34" t="n">
        <x:v>548.213</x:v>
      </x:c>
      <x:c r="Y188" s="34" t="n">
        <x:v>18657.562</x:v>
      </x:c>
      <x:c r="Z188" s="34" t="n">
        <x:v>18109.349</x:v>
      </x:c>
      <x:c r="AA188" s="34" t="n">
        <x:v>2761.783</x:v>
      </x:c>
      <x:c r="AB188" s="34" t="n">
        <x:v>15347.565</x:v>
      </x:c>
      <x:c r="AC188" s="34" t="n">
        <x:v>1957.904</x:v>
      </x:c>
      <x:c r="AD188" s="34" t="n">
        <x:v>238.172</x:v>
      </x:c>
      <x:c r="AE188" s="34" t="n">
        <x:v>1975.516</x:v>
      </x:c>
      <x:c r="AF188" s="34" t="n">
        <x:v>14485.97</x:v>
      </x:c>
      <x:c r="AG188" s="34" t="n">
        <x:v>0</x:v>
      </x:c>
      <x:c r="AH188" s="34" t="n">
        <x:v>-2761.783</x:v>
      </x:c>
      <x:c r="AI188" s="34" t="str">
        <x:v>model_estimate</x:v>
      </x:c>
      <x:c r="AJ188" s="34" t="str">
        <x:v>Kobe Steel 공식 조강·목표경계 배출 총량에 맞춘 블록 배분</x:v>
      </x:c>
      <x:c r="AK188" s="34" t="str">
        <x:v>CAND-B3597FD7767497</x:v>
      </x:c>
      <x:c r="AL188" s="34" t="str">
        <x:v>P1</x:v>
      </x:c>
      <x:c r="AM188" s="34" t="str">
        <x:v>PORT-9862FC05DA24</x:v>
      </x:c>
      <x:c r="AN188" s="34" t="n">
        <x:v>1000</x:v>
      </x:c>
      <x:c r="AO188" s="34" t="n">
        <x:v>191.289779</x:v>
      </x:c>
      <x:c r="AP188" s="34" t="n">
        <x:v>48.085729</x:v>
      </x:c>
      <x:c r="AQ188" s="34" t="n">
        <x:v>105.301092</x:v>
      </x:c>
      <x:c r="AR188" s="34" t="n">
        <x:v>19771.105</x:v>
      </x:c>
      <x:c r="AS188" s="34" t="n">
        <x:v>187.757835</x:v>
      </x:c>
      <x:c r="AT188" s="40" t="b">
        <x:v>1</x:v>
      </x:c>
      <x:c r="AU188" s="40" t="b">
        <x:v>1</x:v>
      </x:c>
      <x:c r="AV188" s="34" t="str"/>
      <x:c r="AW188" s="34" t="n">
        <x:v>0</x:v>
      </x:c>
      <x:c r="AX188" s="34" t="str">
        <x:v>9.990856690045291e-05</x:v>
      </x:c>
      <x:c r="AY188" s="40" t="b">
        <x:v>1</x:v>
      </x:c>
      <x:c r="AZ188" s="40" t="b">
        <x:v>1</x:v>
      </x:c>
      <x:c r="BA188" s="40" t="b">
        <x:v>1</x:v>
      </x:c>
      <x:c r="BB188" s="40" t="b">
        <x:v>1</x:v>
      </x:c>
      <x:c r="BC188" s="34" t="str"/>
      <x:c r="BD188" s="34" t="n">
        <x:v>0</x:v>
      </x:c>
      <x:c r="BE188" s="34" t="n">
        <x:v>0</x:v>
      </x:c>
      <x:c r="BF188" s="34" t="n">
        <x:v>0</x:v>
      </x:c>
      <x:c r="BG188" s="34" t="n">
        <x:v>1</x:v>
      </x:c>
      <x:c r="BH188" s="34" t="n">
        <x:v>1</x:v>
      </x:c>
      <x:c r="BI188" s="34" t="n">
        <x:v>0.3612199999999999</x:v>
      </x:c>
      <x:c r="BJ188" s="34" t="n">
        <x:v>0.6</x:v>
      </x:c>
      <x:c r="BK188" s="34" t="n">
        <x:v>1.54</x:v>
      </x:c>
    </x:row>
    <x:row r="189">
      <x:c r="A189" s="34" t="str">
        <x:v>KOBE_STEEL_JP</x:v>
      </x:c>
      <x:c r="B189" s="34" t="str">
        <x:v>Kobe Steel</x:v>
      </x:c>
      <x:c r="C189" s="34" t="str">
        <x:v>DISCLOSED_PATH</x:v>
      </x:c>
      <x:c r="D189" s="34" t="str">
        <x:v>P1</x:v>
      </x:c>
      <x:c r="E189" s="34" t="str">
        <x:v>KOB-BF3</x:v>
      </x:c>
      <x:c r="F189" s="34" t="str">
        <x:v>Kakogawa Works BF 블록 3</x:v>
      </x:c>
      <x:c r="G189" s="34" t="str">
        <x:v>가코가와</x:v>
      </x:c>
      <x:c r="H189" s="34" t="n">
        <x:v>2037</x:v>
      </x:c>
      <x:c r="I189" s="34" t="str">
        <x:v>BF_BOF</x:v>
      </x:c>
      <x:c r="J189" s="34" t="str">
        <x:v>기준 BF-BOF 복합 블록</x:v>
      </x:c>
      <x:c r="K189" s="34" t="str">
        <x:v>H2_DRI_EAF</x:v>
      </x:c>
      <x:c r="L189" s="34" t="str">
        <x:v>수소 DRI + EAF</x:v>
      </x:c>
      <x:c r="M189" s="34" t="n">
        <x:v>3019.5</x:v>
      </x:c>
      <x:c r="N189" s="34" t="n">
        <x:v>2348.5</x:v>
      </x:c>
      <x:c r="O189" s="34" t="n">
        <x:v>3.05</x:v>
      </x:c>
      <x:c r="P189" s="34" t="n">
        <x:v>2.909999</x:v>
      </x:c>
      <x:c r="Q189" s="34" t="n">
        <x:v>7.076364</x:v>
      </x:c>
      <x:c r="R189" s="34" t="n">
        <x:v>7.076364</x:v>
      </x:c>
      <x:c r="S189" s="34" t="n">
        <x:v>0.582</x:v>
      </x:c>
      <x:c r="T189" s="34" t="n">
        <x:v>0.582</x:v>
      </x:c>
      <x:c r="U189" s="34" t="n">
        <x:v>6.494364</x:v>
      </x:c>
      <x:c r="V189" s="34" t="n">
        <x:v>25.977455</x:v>
      </x:c>
      <x:c r="W189" s="34" t="n">
        <x:v>4772.085</x:v>
      </x:c>
      <x:c r="X189" s="34" t="n">
        <x:v>345.875</x:v>
      </x:c>
      <x:c r="Y189" s="34" t="n">
        <x:v>5676.074</x:v>
      </x:c>
      <x:c r="Z189" s="34" t="n">
        <x:v>5330.199</x:v>
      </x:c>
      <x:c r="AA189" s="34" t="n">
        <x:v>903.989</x:v>
      </x:c>
      <x:c r="AB189" s="34" t="n">
        <x:v>4426.21</x:v>
      </x:c>
      <x:c r="AC189" s="34" t="n">
        <x:v>1235.268</x:v>
      </x:c>
      <x:c r="AD189" s="34" t="n">
        <x:v>62.261</x:v>
      </x:c>
      <x:c r="AE189" s="34" t="n">
        <x:v>533.241</x:v>
      </x:c>
      <x:c r="AF189" s="34" t="n">
        <x:v>3845.304</x:v>
      </x:c>
      <x:c r="AG189" s="34" t="n">
        <x:v>0</x:v>
      </x:c>
      <x:c r="AH189" s="34" t="n">
        <x:v>-903.989</x:v>
      </x:c>
      <x:c r="AI189" s="34" t="str">
        <x:v>model_estimate</x:v>
      </x:c>
      <x:c r="AJ189" s="34" t="str">
        <x:v>2016년 BF3 개수와 장기 수명주기를 반영한 재투자연도 추정</x:v>
      </x:c>
      <x:c r="AK189" s="34" t="str">
        <x:v>CAND-B3597FD7767497</x:v>
      </x:c>
      <x:c r="AL189" s="34" t="str">
        <x:v>P1</x:v>
      </x:c>
      <x:c r="AM189" s="34" t="str">
        <x:v>PORT-9862FC05DA24</x:v>
      </x:c>
      <x:c r="AN189" s="34" t="n">
        <x:v>1000</x:v>
      </x:c>
      <x:c r="AO189" s="34" t="n">
        <x:v>191.289779</x:v>
      </x:c>
      <x:c r="AP189" s="34" t="n">
        <x:v>48.085729</x:v>
      </x:c>
      <x:c r="AQ189" s="34" t="n">
        <x:v>105.301092</x:v>
      </x:c>
      <x:c r="AR189" s="34" t="n">
        <x:v>19771.105</x:v>
      </x:c>
      <x:c r="AS189" s="34" t="n">
        <x:v>187.757835</x:v>
      </x:c>
      <x:c r="AT189" s="40" t="b">
        <x:v>1</x:v>
      </x:c>
      <x:c r="AU189" s="40" t="b">
        <x:v>1</x:v>
      </x:c>
      <x:c r="AV189" s="34" t="str"/>
      <x:c r="AW189" s="34" t="n">
        <x:v>0</x:v>
      </x:c>
      <x:c r="AX189" s="34" t="str">
        <x:v>9.990856690045291e-05</x:v>
      </x:c>
      <x:c r="AY189" s="40" t="b">
        <x:v>1</x:v>
      </x:c>
      <x:c r="AZ189" s="40" t="b">
        <x:v>1</x:v>
      </x:c>
      <x:c r="BA189" s="40" t="b">
        <x:v>1</x:v>
      </x:c>
      <x:c r="BB189" s="40" t="b">
        <x:v>1</x:v>
      </x:c>
      <x:c r="BC189" s="34" t="str"/>
      <x:c r="BD189" s="34" t="n">
        <x:v>0</x:v>
      </x:c>
      <x:c r="BE189" s="34" t="n">
        <x:v>0</x:v>
      </x:c>
      <x:c r="BF189" s="34" t="n">
        <x:v>0</x:v>
      </x:c>
      <x:c r="BG189" s="34" t="n">
        <x:v>1</x:v>
      </x:c>
      <x:c r="BH189" s="34" t="n">
        <x:v>1</x:v>
      </x:c>
      <x:c r="BI189" s="34" t="n">
        <x:v>0.3612199999999999</x:v>
      </x:c>
      <x:c r="BJ189" s="34" t="n">
        <x:v>0.6</x:v>
      </x:c>
      <x:c r="BK189" s="34" t="n">
        <x:v>1.54</x:v>
      </x:c>
    </x:row>
    <x:row r="190">
      <x:c r="A190" s="34" t="str">
        <x:v>KOBE_STEEL_JP</x:v>
      </x:c>
      <x:c r="B190" s="34" t="str">
        <x:v>Kobe Steel</x:v>
      </x:c>
      <x:c r="C190" s="34" t="str">
        <x:v>DISCLOSED_PATH</x:v>
      </x:c>
      <x:c r="D190" s="34" t="str">
        <x:v>P1</x:v>
      </x:c>
      <x:c r="E190" s="34" t="str">
        <x:v>KOB-TAKA</x:v>
      </x:c>
      <x:c r="F190" s="34" t="str">
        <x:v>Takasago Works EAF block</x:v>
      </x:c>
      <x:c r="G190" s="34" t="str">
        <x:v>다카사고</x:v>
      </x:c>
      <x:c r="H190" s="34" t="n">
        <x:v>2033</x:v>
      </x:c>
      <x:c r="I190" s="34" t="str">
        <x:v>EAF_BASELINE</x:v>
      </x:c>
      <x:c r="J190" s="34" t="str">
        <x:v>기존 전기로 기준 블록</x:v>
      </x:c>
      <x:c r="K190" s="34" t="str">
        <x:v>EAF_RENEWABLE</x:v>
      </x:c>
      <x:c r="L190" s="34" t="str">
        <x:v>기존 EAF 재생전력 업그레이드</x:v>
      </x:c>
      <x:c r="M190" s="34" t="n">
        <x:v>40.04</x:v>
      </x:c>
      <x:c r="N190" s="34" t="n">
        <x:v>12.32</x:v>
      </x:c>
      <x:c r="O190" s="34" t="n">
        <x:v>0.14</x:v>
      </x:c>
      <x:c r="P190" s="34" t="n">
        <x:v>0.1</x:v>
      </x:c>
      <x:c r="Q190" s="34" t="n">
        <x:v>0.05</x:v>
      </x:c>
      <x:c r="R190" s="34" t="n">
        <x:v>0.05</x:v>
      </x:c>
      <x:c r="S190" s="34" t="n">
        <x:v>0.01</x:v>
      </x:c>
      <x:c r="T190" s="34" t="n">
        <x:v>0.01</x:v>
      </x:c>
      <x:c r="U190" s="34" t="n">
        <x:v>0.04</x:v>
      </x:c>
      <x:c r="V190" s="34" t="n">
        <x:v>0.32</x:v>
      </x:c>
      <x:c r="W190" s="34" t="n">
        <x:v>-1.467</x:v>
      </x:c>
      <x:c r="X190" s="34" t="n">
        <x:v>1.204</x:v>
      </x:c>
      <x:c r="Y190" s="34" t="n">
        <x:v>9.784</x:v>
      </x:c>
      <x:c r="Z190" s="34" t="n">
        <x:v>8.58</x:v>
      </x:c>
      <x:c r="AA190" s="34" t="n">
        <x:v>11.251</x:v>
      </x:c>
      <x:c r="AB190" s="34" t="n">
        <x:v>-2.671</x:v>
      </x:c>
      <x:c r="AC190" s="34" t="n">
        <x:v>8.028</x:v>
      </x:c>
      <x:c r="AD190" s="34" t="n">
        <x:v>0</x:v>
      </x:c>
      <x:c r="AE190" s="34" t="n">
        <x:v>1.757</x:v>
      </x:c>
      <x:c r="AF190" s="34" t="n">
        <x:v>0</x:v>
      </x:c>
      <x:c r="AG190" s="34" t="n">
        <x:v>0</x:v>
      </x:c>
      <x:c r="AH190" s="34" t="n">
        <x:v>-11.251</x:v>
      </x:c>
      <x:c r="AI190" s="34" t="str">
        <x:v>model_estimate</x:v>
      </x:c>
      <x:c r="AJ190" s="34" t="str">
        <x:v>다카사고 포함 공식 조강 총량에 맞춘 소규모 EAF 블록 추정</x:v>
      </x:c>
      <x:c r="AK190" s="34" t="str">
        <x:v>CAND-B3597FD7767497</x:v>
      </x:c>
      <x:c r="AL190" s="34" t="str">
        <x:v>P1</x:v>
      </x:c>
      <x:c r="AM190" s="34" t="str">
        <x:v>PORT-9862FC05DA24</x:v>
      </x:c>
      <x:c r="AN190" s="34" t="n">
        <x:v>1000</x:v>
      </x:c>
      <x:c r="AO190" s="34" t="n">
        <x:v>191.289779</x:v>
      </x:c>
      <x:c r="AP190" s="34" t="n">
        <x:v>48.085729</x:v>
      </x:c>
      <x:c r="AQ190" s="34" t="n">
        <x:v>105.301092</x:v>
      </x:c>
      <x:c r="AR190" s="34" t="n">
        <x:v>19771.105</x:v>
      </x:c>
      <x:c r="AS190" s="34" t="n">
        <x:v>187.757835</x:v>
      </x:c>
      <x:c r="AT190" s="40" t="b">
        <x:v>1</x:v>
      </x:c>
      <x:c r="AU190" s="40" t="b">
        <x:v>1</x:v>
      </x:c>
      <x:c r="AV190" s="34" t="str"/>
      <x:c r="AW190" s="34" t="n">
        <x:v>0</x:v>
      </x:c>
      <x:c r="AX190" s="34" t="str">
        <x:v>9.990856690045291e-05</x:v>
      </x:c>
      <x:c r="AY190" s="40" t="b">
        <x:v>1</x:v>
      </x:c>
      <x:c r="AZ190" s="40" t="b">
        <x:v>1</x:v>
      </x:c>
      <x:c r="BA190" s="40" t="b">
        <x:v>1</x:v>
      </x:c>
      <x:c r="BB190" s="40" t="b">
        <x:v>1</x:v>
      </x:c>
      <x:c r="BC190" s="34" t="str"/>
      <x:c r="BD190" s="34" t="n">
        <x:v>0</x:v>
      </x:c>
      <x:c r="BE190" s="34" t="n">
        <x:v>0</x:v>
      </x:c>
      <x:c r="BF190" s="34" t="n">
        <x:v>0</x:v>
      </x:c>
      <x:c r="BG190" s="34" t="n">
        <x:v>1</x:v>
      </x:c>
      <x:c r="BH190" s="34" t="n">
        <x:v>1</x:v>
      </x:c>
      <x:c r="BI190" s="34" t="n">
        <x:v>0.3612199999999999</x:v>
      </x:c>
      <x:c r="BJ190" s="34" t="n">
        <x:v>0.6</x:v>
      </x:c>
      <x:c r="BK190" s="34" t="n">
        <x:v>1.54</x:v>
      </x:c>
    </x:row>
    <x:row r="191">
      <x:c r="A191" s="34" t="str">
        <x:v>KOBE_STEEL_JP</x:v>
      </x:c>
      <x:c r="B191" s="34" t="str">
        <x:v>Kobe Steel</x:v>
      </x:c>
      <x:c r="C191" s="34" t="str">
        <x:v>ACCELERATED_15C</x:v>
      </x:c>
      <x:c r="D191" s="34" t="str">
        <x:v>P1</x:v>
      </x:c>
      <x:c r="E191" s="34" t="str">
        <x:v>KOB-BF1</x:v>
      </x:c>
      <x:c r="F191" s="34" t="str">
        <x:v>Kakogawa Works BF 블록 1</x:v>
      </x:c>
      <x:c r="G191" s="34" t="str">
        <x:v>가코가와</x:v>
      </x:c>
      <x:c r="H191" s="34" t="n">
        <x:v>2029</x:v>
      </x:c>
      <x:c r="I191" s="34" t="str">
        <x:v>BF_BOF</x:v>
      </x:c>
      <x:c r="J191" s="34" t="str">
        <x:v>기준 BF-BOF 복합 블록</x:v>
      </x:c>
      <x:c r="K191" s="34" t="str">
        <x:v>H2_DRI_EAF</x:v>
      </x:c>
      <x:c r="L191" s="34" t="str">
        <x:v>수소 DRI + EAF</x:v>
      </x:c>
      <x:c r="M191" s="34" t="n">
        <x:v>3118.5</x:v>
      </x:c>
      <x:c r="N191" s="34" t="n">
        <x:v>2425.5</x:v>
      </x:c>
      <x:c r="O191" s="34" t="n">
        <x:v>3.15</x:v>
      </x:c>
      <x:c r="P191" s="34" t="n">
        <x:v>2.95</x:v>
      </x:c>
      <x:c r="Q191" s="34" t="n">
        <x:v>7.173636</x:v>
      </x:c>
      <x:c r="R191" s="34" t="n">
        <x:v>0.59</x:v>
      </x:c>
      <x:c r="S191" s="34" t="n">
        <x:v>0.59</x:v>
      </x:c>
      <x:c r="T191" s="34" t="n">
        <x:v>0.59</x:v>
      </x:c>
      <x:c r="U191" s="34" t="n">
        <x:v>6.583636</x:v>
      </x:c>
      <x:c r="V191" s="34" t="n">
        <x:v>79.003637</x:v>
      </x:c>
      <x:c r="W191" s="34" t="n">
        <x:v>15851.221</x:v>
      </x:c>
      <x:c r="X191" s="34" t="n">
        <x:v>685.266</x:v>
      </x:c>
      <x:c r="Y191" s="34" t="n">
        <x:v>19878.739</x:v>
      </x:c>
      <x:c r="Z191" s="34" t="n">
        <x:v>19193.473</x:v>
      </x:c>
      <x:c r="AA191" s="34" t="n">
        <x:v>4027.518</x:v>
      </x:c>
      <x:c r="AB191" s="34" t="n">
        <x:v>15165.954</x:v>
      </x:c>
      <x:c r="AC191" s="34" t="n">
        <x:v>1957.904</x:v>
      </x:c>
      <x:c r="AD191" s="34" t="n">
        <x:v>238.172</x:v>
      </x:c>
      <x:c r="AE191" s="34" t="n">
        <x:v>2156.484</x:v>
      </x:c>
      <x:c r="AF191" s="34" t="n">
        <x:v>15526.18</x:v>
      </x:c>
      <x:c r="AG191" s="34" t="n">
        <x:v>0</x:v>
      </x:c>
      <x:c r="AH191" s="34" t="n">
        <x:v>-4027.518</x:v>
      </x:c>
      <x:c r="AI191" s="34" t="str">
        <x:v>model_estimate</x:v>
      </x:c>
      <x:c r="AJ191" s="34" t="str">
        <x:v>Kobe Steel 공식 조강·목표경계 배출 총량에 맞춘 블록 배분</x:v>
      </x:c>
      <x:c r="AK191" s="34" t="str">
        <x:v>CAND-B3597FD7767497</x:v>
      </x:c>
      <x:c r="AL191" s="34" t="str">
        <x:v>P1</x:v>
      </x:c>
      <x:c r="AM191" s="34" t="str">
        <x:v>PORT-9862FC05DA24</x:v>
      </x:c>
      <x:c r="AN191" s="34" t="n">
        <x:v>1000</x:v>
      </x:c>
      <x:c r="AO191" s="34" t="n">
        <x:v>188.682855</x:v>
      </x:c>
      <x:c r="AP191" s="34" t="n">
        <x:v>52.573857</x:v>
      </x:c>
      <x:c r="AQ191" s="34" t="n">
        <x:v>105.301092</x:v>
      </x:c>
      <x:c r="AR191" s="34" t="n">
        <x:v>19500.781</x:v>
      </x:c>
      <x:c r="AS191" s="34" t="n">
        <x:v>185.19068</x:v>
      </x:c>
      <x:c r="AT191" s="40" t="b">
        <x:v>1</x:v>
      </x:c>
      <x:c r="AU191" s="40" t="b">
        <x:v>1</x:v>
      </x:c>
      <x:c r="AV191" s="34" t="str"/>
      <x:c r="AW191" s="34" t="n">
        <x:v>0</x:v>
      </x:c>
      <x:c r="AX191" s="34" t="str">
        <x:v>9.990856690045291e-05</x:v>
      </x:c>
      <x:c r="AY191" s="40" t="b">
        <x:v>1</x:v>
      </x:c>
      <x:c r="AZ191" s="40" t="b">
        <x:v>1</x:v>
      </x:c>
      <x:c r="BA191" s="40" t="b">
        <x:v>1</x:v>
      </x:c>
      <x:c r="BB191" s="40" t="b">
        <x:v>1</x:v>
      </x:c>
      <x:c r="BC191" s="34" t="str"/>
      <x:c r="BD191" s="34" t="n">
        <x:v>0</x:v>
      </x:c>
      <x:c r="BE191" s="34" t="n">
        <x:v>0</x:v>
      </x:c>
      <x:c r="BF191" s="34" t="n">
        <x:v>0</x:v>
      </x:c>
      <x:c r="BG191" s="34" t="n">
        <x:v>1</x:v>
      </x:c>
      <x:c r="BH191" s="34" t="n">
        <x:v>1</x:v>
      </x:c>
      <x:c r="BI191" s="34" t="n">
        <x:v>0.3612199999999999</x:v>
      </x:c>
      <x:c r="BJ191" s="34" t="n">
        <x:v>0.6</x:v>
      </x:c>
      <x:c r="BK191" s="34" t="n">
        <x:v>1.54</x:v>
      </x:c>
    </x:row>
    <x:row r="192">
      <x:c r="A192" s="34" t="str">
        <x:v>KOBE_STEEL_JP</x:v>
      </x:c>
      <x:c r="B192" s="34" t="str">
        <x:v>Kobe Steel</x:v>
      </x:c>
      <x:c r="C192" s="34" t="str">
        <x:v>ACCELERATED_15C</x:v>
      </x:c>
      <x:c r="D192" s="34" t="str">
        <x:v>P1</x:v>
      </x:c>
      <x:c r="E192" s="34" t="str">
        <x:v>KOB-BF3</x:v>
      </x:c>
      <x:c r="F192" s="34" t="str">
        <x:v>Kakogawa Works BF 블록 3</x:v>
      </x:c>
      <x:c r="G192" s="34" t="str">
        <x:v>가코가와</x:v>
      </x:c>
      <x:c r="H192" s="34" t="n">
        <x:v>2037</x:v>
      </x:c>
      <x:c r="I192" s="34" t="str">
        <x:v>BF_BOF</x:v>
      </x:c>
      <x:c r="J192" s="34" t="str">
        <x:v>기준 BF-BOF 복합 블록</x:v>
      </x:c>
      <x:c r="K192" s="34" t="str">
        <x:v>H2_DRI_EAF</x:v>
      </x:c>
      <x:c r="L192" s="34" t="str">
        <x:v>수소 DRI + EAF</x:v>
      </x:c>
      <x:c r="M192" s="34" t="n">
        <x:v>3019.5</x:v>
      </x:c>
      <x:c r="N192" s="34" t="n">
        <x:v>2348.5</x:v>
      </x:c>
      <x:c r="O192" s="34" t="n">
        <x:v>3.05</x:v>
      </x:c>
      <x:c r="P192" s="34" t="n">
        <x:v>2.909999</x:v>
      </x:c>
      <x:c r="Q192" s="34" t="n">
        <x:v>7.076364</x:v>
      </x:c>
      <x:c r="R192" s="34" t="n">
        <x:v>7.076364</x:v>
      </x:c>
      <x:c r="S192" s="34" t="n">
        <x:v>0.582</x:v>
      </x:c>
      <x:c r="T192" s="34" t="n">
        <x:v>0.582</x:v>
      </x:c>
      <x:c r="U192" s="34" t="n">
        <x:v>6.494364</x:v>
      </x:c>
      <x:c r="V192" s="34" t="n">
        <x:v>25.977455</x:v>
      </x:c>
      <x:c r="W192" s="34" t="n">
        <x:v>4775.494</x:v>
      </x:c>
      <x:c r="X192" s="34" t="n">
        <x:v>432.344</x:v>
      </x:c>
      <x:c r="Y192" s="34" t="n">
        <x:v>6127.023</x:v>
      </x:c>
      <x:c r="Z192" s="34" t="n">
        <x:v>5694.68</x:v>
      </x:c>
      <x:c r="AA192" s="34" t="n">
        <x:v>1351.53</x:v>
      </x:c>
      <x:c r="AB192" s="34" t="n">
        <x:v>4343.15</x:v>
      </x:c>
      <x:c r="AC192" s="34" t="n">
        <x:v>1235.268</x:v>
      </x:c>
      <x:c r="AD192" s="34" t="n">
        <x:v>62.261</x:v>
      </x:c>
      <x:c r="AE192" s="34" t="n">
        <x:v>599.616</x:v>
      </x:c>
      <x:c r="AF192" s="34" t="n">
        <x:v>4229.879</x:v>
      </x:c>
      <x:c r="AG192" s="34" t="n">
        <x:v>0</x:v>
      </x:c>
      <x:c r="AH192" s="34" t="n">
        <x:v>-1351.53</x:v>
      </x:c>
      <x:c r="AI192" s="34" t="str">
        <x:v>model_estimate</x:v>
      </x:c>
      <x:c r="AJ192" s="34" t="str">
        <x:v>2016년 BF3 개수와 장기 수명주기를 반영한 재투자연도 추정</x:v>
      </x:c>
      <x:c r="AK192" s="34" t="str">
        <x:v>CAND-B3597FD7767497</x:v>
      </x:c>
      <x:c r="AL192" s="34" t="str">
        <x:v>P1</x:v>
      </x:c>
      <x:c r="AM192" s="34" t="str">
        <x:v>PORT-9862FC05DA24</x:v>
      </x:c>
      <x:c r="AN192" s="34" t="n">
        <x:v>1000</x:v>
      </x:c>
      <x:c r="AO192" s="34" t="n">
        <x:v>188.682855</x:v>
      </x:c>
      <x:c r="AP192" s="34" t="n">
        <x:v>52.573857</x:v>
      </x:c>
      <x:c r="AQ192" s="34" t="n">
        <x:v>105.301092</x:v>
      </x:c>
      <x:c r="AR192" s="34" t="n">
        <x:v>19500.781</x:v>
      </x:c>
      <x:c r="AS192" s="34" t="n">
        <x:v>185.19068</x:v>
      </x:c>
      <x:c r="AT192" s="40" t="b">
        <x:v>1</x:v>
      </x:c>
      <x:c r="AU192" s="40" t="b">
        <x:v>1</x:v>
      </x:c>
      <x:c r="AV192" s="34" t="str"/>
      <x:c r="AW192" s="34" t="n">
        <x:v>0</x:v>
      </x:c>
      <x:c r="AX192" s="34" t="str">
        <x:v>9.990856690045291e-05</x:v>
      </x:c>
      <x:c r="AY192" s="40" t="b">
        <x:v>1</x:v>
      </x:c>
      <x:c r="AZ192" s="40" t="b">
        <x:v>1</x:v>
      </x:c>
      <x:c r="BA192" s="40" t="b">
        <x:v>1</x:v>
      </x:c>
      <x:c r="BB192" s="40" t="b">
        <x:v>1</x:v>
      </x:c>
      <x:c r="BC192" s="34" t="str"/>
      <x:c r="BD192" s="34" t="n">
        <x:v>0</x:v>
      </x:c>
      <x:c r="BE192" s="34" t="n">
        <x:v>0</x:v>
      </x:c>
      <x:c r="BF192" s="34" t="n">
        <x:v>0</x:v>
      </x:c>
      <x:c r="BG192" s="34" t="n">
        <x:v>1</x:v>
      </x:c>
      <x:c r="BH192" s="34" t="n">
        <x:v>1</x:v>
      </x:c>
      <x:c r="BI192" s="34" t="n">
        <x:v>0.3612199999999999</x:v>
      </x:c>
      <x:c r="BJ192" s="34" t="n">
        <x:v>0.6</x:v>
      </x:c>
      <x:c r="BK192" s="34" t="n">
        <x:v>1.54</x:v>
      </x:c>
    </x:row>
    <x:row r="193">
      <x:c r="A193" s="34" t="str">
        <x:v>KOBE_STEEL_JP</x:v>
      </x:c>
      <x:c r="B193" s="34" t="str">
        <x:v>Kobe Steel</x:v>
      </x:c>
      <x:c r="C193" s="34" t="str">
        <x:v>ACCELERATED_15C</x:v>
      </x:c>
      <x:c r="D193" s="34" t="str">
        <x:v>P1</x:v>
      </x:c>
      <x:c r="E193" s="34" t="str">
        <x:v>KOB-TAKA</x:v>
      </x:c>
      <x:c r="F193" s="34" t="str">
        <x:v>Takasago Works EAF block</x:v>
      </x:c>
      <x:c r="G193" s="34" t="str">
        <x:v>다카사고</x:v>
      </x:c>
      <x:c r="H193" s="34" t="n">
        <x:v>2033</x:v>
      </x:c>
      <x:c r="I193" s="34" t="str">
        <x:v>EAF_BASELINE</x:v>
      </x:c>
      <x:c r="J193" s="34" t="str">
        <x:v>기존 전기로 기준 블록</x:v>
      </x:c>
      <x:c r="K193" s="34" t="str">
        <x:v>EAF_RENEWABLE</x:v>
      </x:c>
      <x:c r="L193" s="34" t="str">
        <x:v>기존 EAF 재생전력 업그레이드</x:v>
      </x:c>
      <x:c r="M193" s="34" t="n">
        <x:v>40.04</x:v>
      </x:c>
      <x:c r="N193" s="34" t="n">
        <x:v>12.32</x:v>
      </x:c>
      <x:c r="O193" s="34" t="n">
        <x:v>0.14</x:v>
      </x:c>
      <x:c r="P193" s="34" t="n">
        <x:v>0.1</x:v>
      </x:c>
      <x:c r="Q193" s="34" t="n">
        <x:v>0.05</x:v>
      </x:c>
      <x:c r="R193" s="34" t="n">
        <x:v>0.05</x:v>
      </x:c>
      <x:c r="S193" s="34" t="n">
        <x:v>0.01</x:v>
      </x:c>
      <x:c r="T193" s="34" t="n">
        <x:v>0.01</x:v>
      </x:c>
      <x:c r="U193" s="34" t="n">
        <x:v>0.04</x:v>
      </x:c>
      <x:c r="V193" s="34" t="n">
        <x:v>0.32</x:v>
      </x:c>
      <x:c r="W193" s="34" t="n">
        <x:v>-6.718</x:v>
      </x:c>
      <x:c r="X193" s="34" t="n">
        <x:v>1.606</x:v>
      </x:c>
      <x:c r="Y193" s="34" t="n">
        <x:v>9.976</x:v>
      </x:c>
      <x:c r="Z193" s="34" t="n">
        <x:v>8.37</x:v>
      </x:c>
      <x:c r="AA193" s="34" t="n">
        <x:v>16.694</x:v>
      </x:c>
      <x:c r="AB193" s="34" t="n">
        <x:v>-8.324</x:v>
      </x:c>
      <x:c r="AC193" s="34" t="n">
        <x:v>8.028</x:v>
      </x:c>
      <x:c r="AD193" s="34" t="n">
        <x:v>0</x:v>
      </x:c>
      <x:c r="AE193" s="34" t="n">
        <x:v>1.948</x:v>
      </x:c>
      <x:c r="AF193" s="34" t="n">
        <x:v>0</x:v>
      </x:c>
      <x:c r="AG193" s="34" t="n">
        <x:v>0</x:v>
      </x:c>
      <x:c r="AH193" s="34" t="n">
        <x:v>-16.694</x:v>
      </x:c>
      <x:c r="AI193" s="34" t="str">
        <x:v>model_estimate</x:v>
      </x:c>
      <x:c r="AJ193" s="34" t="str">
        <x:v>다카사고 포함 공식 조강 총량에 맞춘 소규모 EAF 블록 추정</x:v>
      </x:c>
      <x:c r="AK193" s="34" t="str">
        <x:v>CAND-B3597FD7767497</x:v>
      </x:c>
      <x:c r="AL193" s="34" t="str">
        <x:v>P1</x:v>
      </x:c>
      <x:c r="AM193" s="34" t="str">
        <x:v>PORT-9862FC05DA24</x:v>
      </x:c>
      <x:c r="AN193" s="34" t="n">
        <x:v>1000</x:v>
      </x:c>
      <x:c r="AO193" s="34" t="n">
        <x:v>188.682855</x:v>
      </x:c>
      <x:c r="AP193" s="34" t="n">
        <x:v>52.573857</x:v>
      </x:c>
      <x:c r="AQ193" s="34" t="n">
        <x:v>105.301092</x:v>
      </x:c>
      <x:c r="AR193" s="34" t="n">
        <x:v>19500.781</x:v>
      </x:c>
      <x:c r="AS193" s="34" t="n">
        <x:v>185.19068</x:v>
      </x:c>
      <x:c r="AT193" s="40" t="b">
        <x:v>1</x:v>
      </x:c>
      <x:c r="AU193" s="40" t="b">
        <x:v>1</x:v>
      </x:c>
      <x:c r="AV193" s="34" t="str"/>
      <x:c r="AW193" s="34" t="n">
        <x:v>0</x:v>
      </x:c>
      <x:c r="AX193" s="34" t="str">
        <x:v>9.990856690045291e-05</x:v>
      </x:c>
      <x:c r="AY193" s="40" t="b">
        <x:v>1</x:v>
      </x:c>
      <x:c r="AZ193" s="40" t="b">
        <x:v>1</x:v>
      </x:c>
      <x:c r="BA193" s="40" t="b">
        <x:v>1</x:v>
      </x:c>
      <x:c r="BB193" s="40" t="b">
        <x:v>1</x:v>
      </x:c>
      <x:c r="BC193" s="34" t="str"/>
      <x:c r="BD193" s="34" t="n">
        <x:v>0</x:v>
      </x:c>
      <x:c r="BE193" s="34" t="n">
        <x:v>0</x:v>
      </x:c>
      <x:c r="BF193" s="34" t="n">
        <x:v>0</x:v>
      </x:c>
      <x:c r="BG193" s="34" t="n">
        <x:v>1</x:v>
      </x:c>
      <x:c r="BH193" s="34" t="n">
        <x:v>1</x:v>
      </x:c>
      <x:c r="BI193" s="34" t="n">
        <x:v>0.3612199999999999</x:v>
      </x:c>
      <x:c r="BJ193" s="34" t="n">
        <x:v>0.6</x:v>
      </x:c>
      <x:c r="BK193" s="34" t="n">
        <x:v>1.54</x:v>
      </x:c>
    </x:row>
    <x:row r="194">
      <x:c r="A194" s="34" t="str">
        <x:v>KOBE_STEEL_JP</x:v>
      </x:c>
      <x:c r="B194" s="34" t="str">
        <x:v>Kobe Steel</x:v>
      </x:c>
      <x:c r="C194" s="34" t="str">
        <x:v>DISCLOSED_PATH</x:v>
      </x:c>
      <x:c r="D194" s="34" t="str">
        <x:v>P4</x:v>
      </x:c>
      <x:c r="E194" s="34" t="str">
        <x:v>KOB-BF1</x:v>
      </x:c>
      <x:c r="F194" s="34" t="str">
        <x:v>Kakogawa Works BF 블록 1</x:v>
      </x:c>
      <x:c r="G194" s="34" t="str">
        <x:v>가코가와</x:v>
      </x:c>
      <x:c r="H194" s="34" t="n">
        <x:v>2028</x:v>
      </x:c>
      <x:c r="I194" s="34" t="str">
        <x:v>BF_BOF</x:v>
      </x:c>
      <x:c r="J194" s="34" t="str">
        <x:v>기준 BF-BOF 복합 블록</x:v>
      </x:c>
      <x:c r="K194" s="34" t="str">
        <x:v>H2_DRI_EAF</x:v>
      </x:c>
      <x:c r="L194" s="34" t="str">
        <x:v>수소 DRI + EAF</x:v>
      </x:c>
      <x:c r="M194" s="34" t="n">
        <x:v>3118.5</x:v>
      </x:c>
      <x:c r="N194" s="34" t="n">
        <x:v>2425.5</x:v>
      </x:c>
      <x:c r="O194" s="34" t="n">
        <x:v>3.15</x:v>
      </x:c>
      <x:c r="P194" s="34" t="n">
        <x:v>2.95</x:v>
      </x:c>
      <x:c r="Q194" s="34" t="n">
        <x:v>7.173636</x:v>
      </x:c>
      <x:c r="R194" s="34" t="n">
        <x:v>0.59</x:v>
      </x:c>
      <x:c r="S194" s="34" t="n">
        <x:v>0.59</x:v>
      </x:c>
      <x:c r="T194" s="34" t="n">
        <x:v>0.59</x:v>
      </x:c>
      <x:c r="U194" s="34" t="n">
        <x:v>6.583636</x:v>
      </x:c>
      <x:c r="V194" s="34" t="n">
        <x:v>85.587273</x:v>
      </x:c>
      <x:c r="W194" s="34" t="n">
        <x:v>17869.888</x:v>
      </x:c>
      <x:c r="X194" s="34" t="n">
        <x:v>2478.186</x:v>
      </x:c>
      <x:c r="Y194" s="34" t="n">
        <x:v>20846.128</x:v>
      </x:c>
      <x:c r="Z194" s="34" t="n">
        <x:v>18367.942</x:v>
      </x:c>
      <x:c r="AA194" s="34" t="n">
        <x:v>2976.24</x:v>
      </x:c>
      <x:c r="AB194" s="34" t="n">
        <x:v>15391.702</x:v>
      </x:c>
      <x:c r="AC194" s="34" t="n">
        <x:v>2065.589</x:v>
      </x:c>
      <x:c r="AD194" s="34" t="n">
        <x:v>265.806</x:v>
      </x:c>
      <x:c r="AE194" s="34" t="n">
        <x:v>2193.932</x:v>
      </x:c>
      <x:c r="AF194" s="34" t="n">
        <x:v>16133.008</x:v>
      </x:c>
      <x:c r="AG194" s="34" t="n">
        <x:v>187.792</x:v>
      </x:c>
      <x:c r="AH194" s="34" t="n">
        <x:v>-2976.24</x:v>
      </x:c>
      <x:c r="AI194" s="34" t="str">
        <x:v>model_estimate</x:v>
      </x:c>
      <x:c r="AJ194" s="34" t="str">
        <x:v>Kobe Steel 공식 조강·목표경계 배출 총량에 맞춘 블록 배분</x:v>
      </x:c>
      <x:c r="AK194" s="34" t="str">
        <x:v>CAND-B51B2DE2F2D28C</x:v>
      </x:c>
      <x:c r="AL194" s="34" t="str">
        <x:v>P4</x:v>
      </x:c>
      <x:c r="AM194" s="34" t="str">
        <x:v>PORT-8A59F01B884D</x:v>
      </x:c>
      <x:c r="AN194" s="34" t="n">
        <x:v>1000</x:v>
      </x:c>
      <x:c r="AO194" s="34" t="n">
        <x:v>138.942957</x:v>
      </x:c>
      <x:c r="AP194" s="34" t="n">
        <x:v>18.557828</x:v>
      </x:c>
      <x:c r="AQ194" s="34" t="n">
        <x:v>114.781594</x:v>
      </x:c>
      <x:c r="AR194" s="34" t="n">
        <x:v>15757.538</x:v>
      </x:c>
      <x:c r="AS194" s="34" t="n">
        <x:v>137.282794</x:v>
      </x:c>
      <x:c r="AT194" s="40" t="b">
        <x:v>1</x:v>
      </x:c>
      <x:c r="AU194" s="40" t="b">
        <x:v>0</x:v>
      </x:c>
      <x:c r="AV194" s="34" t="str"/>
      <x:c r="AW194" s="34" t="n">
        <x:v>0</x:v>
      </x:c>
      <x:c r="AX194" s="34" t="str">
        <x:v>9.990856690045291e-05</x:v>
      </x:c>
      <x:c r="AY194" s="40" t="b">
        <x:v>0</x:v>
      </x:c>
      <x:c r="AZ194" s="40" t="b">
        <x:v>0</x:v>
      </x:c>
      <x:c r="BA194" s="40" t="b">
        <x:v>1</x:v>
      </x:c>
      <x:c r="BB194" s="40" t="b">
        <x:v>1</x:v>
      </x:c>
      <x:c r="BC194" s="34" t="n">
        <x:v>2028</x:v>
      </x:c>
      <x:c r="BD194" s="34" t="n">
        <x:v>0</x:v>
      </x:c>
      <x:c r="BE194" s="34" t="n">
        <x:v>0.012250011000000005</x:v>
      </x:c>
      <x:c r="BF194" s="34" t="n">
        <x:v>0</x:v>
      </x:c>
      <x:c r="BG194" s="34" t="n">
        <x:v>1</x:v>
      </x:c>
      <x:c r="BH194" s="34" t="n">
        <x:v>1</x:v>
      </x:c>
      <x:c r="BI194" s="34" t="n">
        <x:v>0.28332</x:v>
      </x:c>
      <x:c r="BJ194" s="34" t="n">
        <x:v>0.6</x:v>
      </x:c>
      <x:c r="BK194" s="34" t="n">
        <x:v>1.06</x:v>
      </x:c>
    </x:row>
    <x:row r="195">
      <x:c r="A195" s="34" t="str">
        <x:v>KOBE_STEEL_JP</x:v>
      </x:c>
      <x:c r="B195" s="34" t="str">
        <x:v>Kobe Steel</x:v>
      </x:c>
      <x:c r="C195" s="34" t="str">
        <x:v>DISCLOSED_PATH</x:v>
      </x:c>
      <x:c r="D195" s="34" t="str">
        <x:v>P4</x:v>
      </x:c>
      <x:c r="E195" s="34" t="str">
        <x:v>KOB-BF3</x:v>
      </x:c>
      <x:c r="F195" s="34" t="str">
        <x:v>Kakogawa Works BF 블록 3</x:v>
      </x:c>
      <x:c r="G195" s="34" t="str">
        <x:v>가코가와</x:v>
      </x:c>
      <x:c r="H195" s="34" t="n">
        <x:v>2036</x:v>
      </x:c>
      <x:c r="I195" s="34" t="str">
        <x:v>BF_BOF</x:v>
      </x:c>
      <x:c r="J195" s="34" t="str">
        <x:v>기준 BF-BOF 복합 블록</x:v>
      </x:c>
      <x:c r="K195" s="34" t="str">
        <x:v>SCRAP_EAF</x:v>
      </x:c>
      <x:c r="L195" s="34" t="str">
        <x:v>스크랩 기반 대형 EAF</x:v>
      </x:c>
      <x:c r="M195" s="34" t="n">
        <x:v>1878.8</x:v>
      </x:c>
      <x:c r="N195" s="34" t="n">
        <x:v>1207.8</x:v>
      </x:c>
      <x:c r="O195" s="34" t="n">
        <x:v>3.05</x:v>
      </x:c>
      <x:c r="P195" s="34" t="n">
        <x:v>2.909999</x:v>
      </x:c>
      <x:c r="Q195" s="34" t="n">
        <x:v>7.076364</x:v>
      </x:c>
      <x:c r="R195" s="34" t="n">
        <x:v>7.076364</x:v>
      </x:c>
      <x:c r="S195" s="34" t="n">
        <x:v>1.3095</x:v>
      </x:c>
      <x:c r="T195" s="34" t="n">
        <x:v>1.3095</x:v>
      </x:c>
      <x:c r="U195" s="34" t="n">
        <x:v>5.766864</x:v>
      </x:c>
      <x:c r="V195" s="34" t="n">
        <x:v>28.834321</x:v>
      </x:c>
      <x:c r="W195" s="34" t="n">
        <x:v>538.411</x:v>
      </x:c>
      <x:c r="X195" s="34" t="n">
        <x:v>169.231</x:v>
      </x:c>
      <x:c r="Y195" s="34" t="n">
        <x:v>1545.621</x:v>
      </x:c>
      <x:c r="Z195" s="34" t="n">
        <x:v>1376.39</x:v>
      </x:c>
      <x:c r="AA195" s="34" t="n">
        <x:v>1007.21</x:v>
      </x:c>
      <x:c r="AB195" s="34" t="n">
        <x:v>369.181</x:v>
      </x:c>
      <x:c r="AC195" s="34" t="n">
        <x:v>670.221</x:v>
      </x:c>
      <x:c r="AD195" s="34" t="n">
        <x:v>29.099</x:v>
      </x:c>
      <x:c r="AE195" s="34" t="n">
        <x:v>831.286</x:v>
      </x:c>
      <x:c r="AF195" s="34" t="n">
        <x:v>0</x:v>
      </x:c>
      <x:c r="AG195" s="34" t="n">
        <x:v>15.015</x:v>
      </x:c>
      <x:c r="AH195" s="34" t="n">
        <x:v>-1007.21</x:v>
      </x:c>
      <x:c r="AI195" s="34" t="str">
        <x:v>model_estimate</x:v>
      </x:c>
      <x:c r="AJ195" s="34" t="str">
        <x:v>2016년 BF3 개수와 장기 수명주기를 반영한 재투자연도 추정</x:v>
      </x:c>
      <x:c r="AK195" s="34" t="str">
        <x:v>CAND-B51B2DE2F2D28C</x:v>
      </x:c>
      <x:c r="AL195" s="34" t="str">
        <x:v>P4</x:v>
      </x:c>
      <x:c r="AM195" s="34" t="str">
        <x:v>PORT-8A59F01B884D</x:v>
      </x:c>
      <x:c r="AN195" s="34" t="n">
        <x:v>1000</x:v>
      </x:c>
      <x:c r="AO195" s="34" t="n">
        <x:v>138.942957</x:v>
      </x:c>
      <x:c r="AP195" s="34" t="n">
        <x:v>18.557828</x:v>
      </x:c>
      <x:c r="AQ195" s="34" t="n">
        <x:v>114.781594</x:v>
      </x:c>
      <x:c r="AR195" s="34" t="n">
        <x:v>15757.538</x:v>
      </x:c>
      <x:c r="AS195" s="34" t="n">
        <x:v>137.282794</x:v>
      </x:c>
      <x:c r="AT195" s="40" t="b">
        <x:v>1</x:v>
      </x:c>
      <x:c r="AU195" s="40" t="b">
        <x:v>0</x:v>
      </x:c>
      <x:c r="AV195" s="34" t="str"/>
      <x:c r="AW195" s="34" t="n">
        <x:v>0</x:v>
      </x:c>
      <x:c r="AX195" s="34" t="str">
        <x:v>9.990856690045291e-05</x:v>
      </x:c>
      <x:c r="AY195" s="40" t="b">
        <x:v>0</x:v>
      </x:c>
      <x:c r="AZ195" s="40" t="b">
        <x:v>0</x:v>
      </x:c>
      <x:c r="BA195" s="40" t="b">
        <x:v>1</x:v>
      </x:c>
      <x:c r="BB195" s="40" t="b">
        <x:v>1</x:v>
      </x:c>
      <x:c r="BC195" s="34" t="n">
        <x:v>2028</x:v>
      </x:c>
      <x:c r="BD195" s="34" t="n">
        <x:v>0</x:v>
      </x:c>
      <x:c r="BE195" s="34" t="n">
        <x:v>0.012250011000000005</x:v>
      </x:c>
      <x:c r="BF195" s="34" t="n">
        <x:v>0</x:v>
      </x:c>
      <x:c r="BG195" s="34" t="n">
        <x:v>1</x:v>
      </x:c>
      <x:c r="BH195" s="34" t="n">
        <x:v>1</x:v>
      </x:c>
      <x:c r="BI195" s="34" t="n">
        <x:v>0.28332</x:v>
      </x:c>
      <x:c r="BJ195" s="34" t="n">
        <x:v>0.6</x:v>
      </x:c>
      <x:c r="BK195" s="34" t="n">
        <x:v>1.06</x:v>
      </x:c>
    </x:row>
    <x:row r="196">
      <x:c r="A196" s="34" t="str">
        <x:v>KOBE_STEEL_JP</x:v>
      </x:c>
      <x:c r="B196" s="34" t="str">
        <x:v>Kobe Steel</x:v>
      </x:c>
      <x:c r="C196" s="34" t="str">
        <x:v>DISCLOSED_PATH</x:v>
      </x:c>
      <x:c r="D196" s="34" t="str">
        <x:v>P4</x:v>
      </x:c>
      <x:c r="E196" s="34" t="str">
        <x:v>KOB-TAKA</x:v>
      </x:c>
      <x:c r="F196" s="34" t="str">
        <x:v>Takasago Works EAF block</x:v>
      </x:c>
      <x:c r="G196" s="34" t="str">
        <x:v>다카사고</x:v>
      </x:c>
      <x:c r="H196" s="34" t="n">
        <x:v>2032</x:v>
      </x:c>
      <x:c r="I196" s="34" t="str">
        <x:v>EAF_BASELINE</x:v>
      </x:c>
      <x:c r="J196" s="34" t="str">
        <x:v>기존 전기로 기준 블록</x:v>
      </x:c>
      <x:c r="K196" s="34" t="str">
        <x:v>EAF_RENEWABLE</x:v>
      </x:c>
      <x:c r="L196" s="34" t="str">
        <x:v>기존 EAF 재생전력 업그레이드</x:v>
      </x:c>
      <x:c r="M196" s="34" t="n">
        <x:v>40.04</x:v>
      </x:c>
      <x:c r="N196" s="34" t="n">
        <x:v>12.32</x:v>
      </x:c>
      <x:c r="O196" s="34" t="n">
        <x:v>0.14</x:v>
      </x:c>
      <x:c r="P196" s="34" t="n">
        <x:v>0.1</x:v>
      </x:c>
      <x:c r="Q196" s="34" t="n">
        <x:v>0.05</x:v>
      </x:c>
      <x:c r="R196" s="34" t="n">
        <x:v>0.05</x:v>
      </x:c>
      <x:c r="S196" s="34" t="n">
        <x:v>0.01</x:v>
      </x:c>
      <x:c r="T196" s="34" t="n">
        <x:v>0.01</x:v>
      </x:c>
      <x:c r="U196" s="34" t="n">
        <x:v>0.04</x:v>
      </x:c>
      <x:c r="V196" s="34" t="n">
        <x:v>0.36</x:v>
      </x:c>
      <x:c r="W196" s="34" t="n">
        <x:v>-2.062</x:v>
      </x:c>
      <x:c r="X196" s="34" t="n">
        <x:v>1.283</x:v>
      </x:c>
      <x:c r="Y196" s="34" t="n">
        <x:v>10.6</x:v>
      </x:c>
      <x:c r="Z196" s="34" t="n">
        <x:v>9.317</x:v>
      </x:c>
      <x:c r="AA196" s="34" t="n">
        <x:v>12.662</x:v>
      </x:c>
      <x:c r="AB196" s="34" t="n">
        <x:v>-3.345</x:v>
      </x:c>
      <x:c r="AC196" s="34" t="n">
        <x:v>8.469</x:v>
      </x:c>
      <x:c r="AD196" s="34" t="n">
        <x:v>0</x:v>
      </x:c>
      <x:c r="AE196" s="34" t="n">
        <x:v>2.026</x:v>
      </x:c>
      <x:c r="AF196" s="34" t="n">
        <x:v>0</x:v>
      </x:c>
      <x:c r="AG196" s="34" t="n">
        <x:v>0.105</x:v>
      </x:c>
      <x:c r="AH196" s="34" t="n">
        <x:v>-12.662</x:v>
      </x:c>
      <x:c r="AI196" s="34" t="str">
        <x:v>model_estimate</x:v>
      </x:c>
      <x:c r="AJ196" s="34" t="str">
        <x:v>다카사고 포함 공식 조강 총량에 맞춘 소규모 EAF 블록 추정</x:v>
      </x:c>
      <x:c r="AK196" s="34" t="str">
        <x:v>CAND-B51B2DE2F2D28C</x:v>
      </x:c>
      <x:c r="AL196" s="34" t="str">
        <x:v>P4</x:v>
      </x:c>
      <x:c r="AM196" s="34" t="str">
        <x:v>PORT-8A59F01B884D</x:v>
      </x:c>
      <x:c r="AN196" s="34" t="n">
        <x:v>1000</x:v>
      </x:c>
      <x:c r="AO196" s="34" t="n">
        <x:v>138.942957</x:v>
      </x:c>
      <x:c r="AP196" s="34" t="n">
        <x:v>18.557828</x:v>
      </x:c>
      <x:c r="AQ196" s="34" t="n">
        <x:v>114.781594</x:v>
      </x:c>
      <x:c r="AR196" s="34" t="n">
        <x:v>15757.538</x:v>
      </x:c>
      <x:c r="AS196" s="34" t="n">
        <x:v>137.282794</x:v>
      </x:c>
      <x:c r="AT196" s="40" t="b">
        <x:v>1</x:v>
      </x:c>
      <x:c r="AU196" s="40" t="b">
        <x:v>0</x:v>
      </x:c>
      <x:c r="AV196" s="34" t="str"/>
      <x:c r="AW196" s="34" t="n">
        <x:v>0</x:v>
      </x:c>
      <x:c r="AX196" s="34" t="str">
        <x:v>9.990856690045291e-05</x:v>
      </x:c>
      <x:c r="AY196" s="40" t="b">
        <x:v>0</x:v>
      </x:c>
      <x:c r="AZ196" s="40" t="b">
        <x:v>0</x:v>
      </x:c>
      <x:c r="BA196" s="40" t="b">
        <x:v>1</x:v>
      </x:c>
      <x:c r="BB196" s="40" t="b">
        <x:v>1</x:v>
      </x:c>
      <x:c r="BC196" s="34" t="n">
        <x:v>2028</x:v>
      </x:c>
      <x:c r="BD196" s="34" t="n">
        <x:v>0</x:v>
      </x:c>
      <x:c r="BE196" s="34" t="n">
        <x:v>0.012250011000000005</x:v>
      </x:c>
      <x:c r="BF196" s="34" t="n">
        <x:v>0</x:v>
      </x:c>
      <x:c r="BG196" s="34" t="n">
        <x:v>1</x:v>
      </x:c>
      <x:c r="BH196" s="34" t="n">
        <x:v>1</x:v>
      </x:c>
      <x:c r="BI196" s="34" t="n">
        <x:v>0.28332</x:v>
      </x:c>
      <x:c r="BJ196" s="34" t="n">
        <x:v>0.6</x:v>
      </x:c>
      <x:c r="BK196" s="34" t="n">
        <x:v>1.06</x:v>
      </x:c>
    </x:row>
    <x:row r="197">
      <x:c r="A197" s="34" t="str">
        <x:v>KOBE_STEEL_JP</x:v>
      </x:c>
      <x:c r="B197" s="34" t="str">
        <x:v>Kobe Steel</x:v>
      </x:c>
      <x:c r="C197" s="34" t="str">
        <x:v>ACCELERATED_15C</x:v>
      </x:c>
      <x:c r="D197" s="34" t="str">
        <x:v>P4</x:v>
      </x:c>
      <x:c r="E197" s="34" t="str">
        <x:v>KOB-BF1</x:v>
      </x:c>
      <x:c r="F197" s="34" t="str">
        <x:v>Kakogawa Works BF 블록 1</x:v>
      </x:c>
      <x:c r="G197" s="34" t="str">
        <x:v>가코가와</x:v>
      </x:c>
      <x:c r="H197" s="34" t="n">
        <x:v>2028</x:v>
      </x:c>
      <x:c r="I197" s="34" t="str">
        <x:v>BF_BOF</x:v>
      </x:c>
      <x:c r="J197" s="34" t="str">
        <x:v>기준 BF-BOF 복합 블록</x:v>
      </x:c>
      <x:c r="K197" s="34" t="str">
        <x:v>H2_DRI_EAF</x:v>
      </x:c>
      <x:c r="L197" s="34" t="str">
        <x:v>수소 DRI + EAF</x:v>
      </x:c>
      <x:c r="M197" s="34" t="n">
        <x:v>3118.5</x:v>
      </x:c>
      <x:c r="N197" s="34" t="n">
        <x:v>2425.5</x:v>
      </x:c>
      <x:c r="O197" s="34" t="n">
        <x:v>3.15</x:v>
      </x:c>
      <x:c r="P197" s="34" t="n">
        <x:v>2.95</x:v>
      </x:c>
      <x:c r="Q197" s="34" t="n">
        <x:v>7.173636</x:v>
      </x:c>
      <x:c r="R197" s="34" t="n">
        <x:v>0.59</x:v>
      </x:c>
      <x:c r="S197" s="34" t="n">
        <x:v>0.59</x:v>
      </x:c>
      <x:c r="T197" s="34" t="n">
        <x:v>0.59</x:v>
      </x:c>
      <x:c r="U197" s="34" t="n">
        <x:v>6.583636</x:v>
      </x:c>
      <x:c r="V197" s="34" t="n">
        <x:v>85.587273</x:v>
      </x:c>
      <x:c r="W197" s="34" t="n">
        <x:v>17834.898</x:v>
      </x:c>
      <x:c r="X197" s="34" t="n">
        <x:v>3564.943</x:v>
      </x:c>
      <x:c r="Y197" s="34" t="n">
        <x:v>22146.256</x:v>
      </x:c>
      <x:c r="Z197" s="34" t="n">
        <x:v>18581.313</x:v>
      </x:c>
      <x:c r="AA197" s="34" t="n">
        <x:v>4311.358</x:v>
      </x:c>
      <x:c r="AB197" s="34" t="n">
        <x:v>14269.955</x:v>
      </x:c>
      <x:c r="AC197" s="34" t="n">
        <x:v>2065.589</x:v>
      </x:c>
      <x:c r="AD197" s="34" t="n">
        <x:v>265.806</x:v>
      </x:c>
      <x:c r="AE197" s="34" t="n">
        <x:v>2384.723</x:v>
      </x:c>
      <x:c r="AF197" s="34" t="n">
        <x:v>17230.56</x:v>
      </x:c>
      <x:c r="AG197" s="34" t="n">
        <x:v>199.578</x:v>
      </x:c>
      <x:c r="AH197" s="34" t="n">
        <x:v>-4311.358</x:v>
      </x:c>
      <x:c r="AI197" s="34" t="str">
        <x:v>model_estimate</x:v>
      </x:c>
      <x:c r="AJ197" s="34" t="str">
        <x:v>Kobe Steel 공식 조강·목표경계 배출 총량에 맞춘 블록 배분</x:v>
      </x:c>
      <x:c r="AK197" s="34" t="str">
        <x:v>CAND-B51B2DE2F2D28C</x:v>
      </x:c>
      <x:c r="AL197" s="34" t="str">
        <x:v>P4</x:v>
      </x:c>
      <x:c r="AM197" s="34" t="str">
        <x:v>PORT-8A59F01B884D</x:v>
      </x:c>
      <x:c r="AN197" s="34" t="n">
        <x:v>1000</x:v>
      </x:c>
      <x:c r="AO197" s="34" t="n">
        <x:v>125.278714</x:v>
      </x:c>
      <x:c r="AP197" s="34" t="n">
        <x:v>18.81352</x:v>
      </x:c>
      <x:c r="AQ197" s="34" t="n">
        <x:v>114.781594</x:v>
      </x:c>
      <x:c r="AR197" s="34" t="n">
        <x:v>14200.239</x:v>
      </x:c>
      <x:c r="AS197" s="34" t="n">
        <x:v>123.715296</x:v>
      </x:c>
      <x:c r="AT197" s="40" t="b">
        <x:v>1</x:v>
      </x:c>
      <x:c r="AU197" s="40" t="b">
        <x:v>1</x:v>
      </x:c>
      <x:c r="AV197" s="34" t="str"/>
      <x:c r="AW197" s="34" t="n">
        <x:v>0</x:v>
      </x:c>
      <x:c r="AX197" s="34" t="str">
        <x:v>9.990856690045291e-05</x:v>
      </x:c>
      <x:c r="AY197" s="40" t="b">
        <x:v>1</x:v>
      </x:c>
      <x:c r="AZ197" s="40" t="b">
        <x:v>1</x:v>
      </x:c>
      <x:c r="BA197" s="40" t="b">
        <x:v>1</x:v>
      </x:c>
      <x:c r="BB197" s="40" t="b">
        <x:v>1</x:v>
      </x:c>
      <x:c r="BC197" s="34" t="str"/>
      <x:c r="BD197" s="34" t="n">
        <x:v>0</x:v>
      </x:c>
      <x:c r="BE197" s="34" t="n">
        <x:v>0</x:v>
      </x:c>
      <x:c r="BF197" s="34" t="n">
        <x:v>0</x:v>
      </x:c>
      <x:c r="BG197" s="34" t="n">
        <x:v>1</x:v>
      </x:c>
      <x:c r="BH197" s="34" t="n">
        <x:v>1</x:v>
      </x:c>
      <x:c r="BI197" s="34" t="n">
        <x:v>0.28332</x:v>
      </x:c>
      <x:c r="BJ197" s="34" t="n">
        <x:v>0.6</x:v>
      </x:c>
      <x:c r="BK197" s="34" t="n">
        <x:v>1.06</x:v>
      </x:c>
    </x:row>
    <x:row r="198">
      <x:c r="A198" s="34" t="str">
        <x:v>KOBE_STEEL_JP</x:v>
      </x:c>
      <x:c r="B198" s="34" t="str">
        <x:v>Kobe Steel</x:v>
      </x:c>
      <x:c r="C198" s="34" t="str">
        <x:v>ACCELERATED_15C</x:v>
      </x:c>
      <x:c r="D198" s="34" t="str">
        <x:v>P4</x:v>
      </x:c>
      <x:c r="E198" s="34" t="str">
        <x:v>KOB-BF3</x:v>
      </x:c>
      <x:c r="F198" s="34" t="str">
        <x:v>Kakogawa Works BF 블록 3</x:v>
      </x:c>
      <x:c r="G198" s="34" t="str">
        <x:v>가코가와</x:v>
      </x:c>
      <x:c r="H198" s="34" t="n">
        <x:v>2036</x:v>
      </x:c>
      <x:c r="I198" s="34" t="str">
        <x:v>BF_BOF</x:v>
      </x:c>
      <x:c r="J198" s="34" t="str">
        <x:v>기준 BF-BOF 복합 블록</x:v>
      </x:c>
      <x:c r="K198" s="34" t="str">
        <x:v>SCRAP_EAF</x:v>
      </x:c>
      <x:c r="L198" s="34" t="str">
        <x:v>스크랩 기반 대형 EAF</x:v>
      </x:c>
      <x:c r="M198" s="34" t="n">
        <x:v>1878.8</x:v>
      </x:c>
      <x:c r="N198" s="34" t="n">
        <x:v>1207.8</x:v>
      </x:c>
      <x:c r="O198" s="34" t="n">
        <x:v>3.05</x:v>
      </x:c>
      <x:c r="P198" s="34" t="n">
        <x:v>2.909999</x:v>
      </x:c>
      <x:c r="Q198" s="34" t="n">
        <x:v>7.076364</x:v>
      </x:c>
      <x:c r="R198" s="34" t="n">
        <x:v>7.076364</x:v>
      </x:c>
      <x:c r="S198" s="34" t="n">
        <x:v>1.3095</x:v>
      </x:c>
      <x:c r="T198" s="34" t="n">
        <x:v>1.3095</x:v>
      </x:c>
      <x:c r="U198" s="34" t="n">
        <x:v>5.766864</x:v>
      </x:c>
      <x:c r="V198" s="34" t="n">
        <x:v>28.834321</x:v>
      </x:c>
      <x:c r="W198" s="34" t="n">
        <x:v>142.981</x:v>
      </x:c>
      <x:c r="X198" s="34" t="n">
        <x:v>203.077</x:v>
      </x:c>
      <x:c r="Y198" s="34" t="n">
        <x:v>1646.961</x:v>
      </x:c>
      <x:c r="Z198" s="34" t="n">
        <x:v>1443.884</x:v>
      </x:c>
      <x:c r="AA198" s="34" t="n">
        <x:v>1503.98</x:v>
      </x:c>
      <x:c r="AB198" s="34" t="n">
        <x:v>-60.096</x:v>
      </x:c>
      <x:c r="AC198" s="34" t="n">
        <x:v>670.221</x:v>
      </x:c>
      <x:c r="AD198" s="34" t="n">
        <x:v>29.099</x:v>
      </x:c>
      <x:c r="AE198" s="34" t="n">
        <x:v>931.622</x:v>
      </x:c>
      <x:c r="AF198" s="34" t="n">
        <x:v>0</x:v>
      </x:c>
      <x:c r="AG198" s="34" t="n">
        <x:v>16.018</x:v>
      </x:c>
      <x:c r="AH198" s="34" t="n">
        <x:v>-1503.98</x:v>
      </x:c>
      <x:c r="AI198" s="34" t="str">
        <x:v>model_estimate</x:v>
      </x:c>
      <x:c r="AJ198" s="34" t="str">
        <x:v>2016년 BF3 개수와 장기 수명주기를 반영한 재투자연도 추정</x:v>
      </x:c>
      <x:c r="AK198" s="34" t="str">
        <x:v>CAND-B51B2DE2F2D28C</x:v>
      </x:c>
      <x:c r="AL198" s="34" t="str">
        <x:v>P4</x:v>
      </x:c>
      <x:c r="AM198" s="34" t="str">
        <x:v>PORT-8A59F01B884D</x:v>
      </x:c>
      <x:c r="AN198" s="34" t="n">
        <x:v>1000</x:v>
      </x:c>
      <x:c r="AO198" s="34" t="n">
        <x:v>125.278714</x:v>
      </x:c>
      <x:c r="AP198" s="34" t="n">
        <x:v>18.81352</x:v>
      </x:c>
      <x:c r="AQ198" s="34" t="n">
        <x:v>114.781594</x:v>
      </x:c>
      <x:c r="AR198" s="34" t="n">
        <x:v>14200.239</x:v>
      </x:c>
      <x:c r="AS198" s="34" t="n">
        <x:v>123.715296</x:v>
      </x:c>
      <x:c r="AT198" s="40" t="b">
        <x:v>1</x:v>
      </x:c>
      <x:c r="AU198" s="40" t="b">
        <x:v>1</x:v>
      </x:c>
      <x:c r="AV198" s="34" t="str"/>
      <x:c r="AW198" s="34" t="n">
        <x:v>0</x:v>
      </x:c>
      <x:c r="AX198" s="34" t="str">
        <x:v>9.990856690045291e-05</x:v>
      </x:c>
      <x:c r="AY198" s="40" t="b">
        <x:v>1</x:v>
      </x:c>
      <x:c r="AZ198" s="40" t="b">
        <x:v>1</x:v>
      </x:c>
      <x:c r="BA198" s="40" t="b">
        <x:v>1</x:v>
      </x:c>
      <x:c r="BB198" s="40" t="b">
        <x:v>1</x:v>
      </x:c>
      <x:c r="BC198" s="34" t="str"/>
      <x:c r="BD198" s="34" t="n">
        <x:v>0</x:v>
      </x:c>
      <x:c r="BE198" s="34" t="n">
        <x:v>0</x:v>
      </x:c>
      <x:c r="BF198" s="34" t="n">
        <x:v>0</x:v>
      </x:c>
      <x:c r="BG198" s="34" t="n">
        <x:v>1</x:v>
      </x:c>
      <x:c r="BH198" s="34" t="n">
        <x:v>1</x:v>
      </x:c>
      <x:c r="BI198" s="34" t="n">
        <x:v>0.28332</x:v>
      </x:c>
      <x:c r="BJ198" s="34" t="n">
        <x:v>0.6</x:v>
      </x:c>
      <x:c r="BK198" s="34" t="n">
        <x:v>1.06</x:v>
      </x:c>
    </x:row>
    <x:row r="199">
      <x:c r="A199" s="34" t="str">
        <x:v>KOBE_STEEL_JP</x:v>
      </x:c>
      <x:c r="B199" s="34" t="str">
        <x:v>Kobe Steel</x:v>
      </x:c>
      <x:c r="C199" s="34" t="str">
        <x:v>ACCELERATED_15C</x:v>
      </x:c>
      <x:c r="D199" s="34" t="str">
        <x:v>P4</x:v>
      </x:c>
      <x:c r="E199" s="34" t="str">
        <x:v>KOB-TAKA</x:v>
      </x:c>
      <x:c r="F199" s="34" t="str">
        <x:v>Takasago Works EAF block</x:v>
      </x:c>
      <x:c r="G199" s="34" t="str">
        <x:v>다카사고</x:v>
      </x:c>
      <x:c r="H199" s="34" t="n">
        <x:v>2032</x:v>
      </x:c>
      <x:c r="I199" s="34" t="str">
        <x:v>EAF_BASELINE</x:v>
      </x:c>
      <x:c r="J199" s="34" t="str">
        <x:v>기존 전기로 기준 블록</x:v>
      </x:c>
      <x:c r="K199" s="34" t="str">
        <x:v>EAF_RENEWABLE</x:v>
      </x:c>
      <x:c r="L199" s="34" t="str">
        <x:v>기존 EAF 재생전력 업그레이드</x:v>
      </x:c>
      <x:c r="M199" s="34" t="n">
        <x:v>40.04</x:v>
      </x:c>
      <x:c r="N199" s="34" t="n">
        <x:v>12.32</x:v>
      </x:c>
      <x:c r="O199" s="34" t="n">
        <x:v>0.14</x:v>
      </x:c>
      <x:c r="P199" s="34" t="n">
        <x:v>0.1</x:v>
      </x:c>
      <x:c r="Q199" s="34" t="n">
        <x:v>0.05</x:v>
      </x:c>
      <x:c r="R199" s="34" t="n">
        <x:v>0.05</x:v>
      </x:c>
      <x:c r="S199" s="34" t="n">
        <x:v>0.01</x:v>
      </x:c>
      <x:c r="T199" s="34" t="n">
        <x:v>0.01</x:v>
      </x:c>
      <x:c r="U199" s="34" t="n">
        <x:v>0.04</x:v>
      </x:c>
      <x:c r="V199" s="34" t="n">
        <x:v>0.36</x:v>
      </x:c>
      <x:c r="W199" s="34" t="n">
        <x:v>-7.909</x:v>
      </x:c>
      <x:c r="X199" s="34" t="n">
        <x:v>1.711</x:v>
      </x:c>
      <x:c r="Y199" s="34" t="n">
        <x:v>10.814</x:v>
      </x:c>
      <x:c r="Z199" s="34" t="n">
        <x:v>9.104</x:v>
      </x:c>
      <x:c r="AA199" s="34" t="n">
        <x:v>18.723</x:v>
      </x:c>
      <x:c r="AB199" s="34" t="n">
        <x:v>-9.62</x:v>
      </x:c>
      <x:c r="AC199" s="34" t="n">
        <x:v>8.469</x:v>
      </x:c>
      <x:c r="AD199" s="34" t="n">
        <x:v>0</x:v>
      </x:c>
      <x:c r="AE199" s="34" t="n">
        <x:v>2.238</x:v>
      </x:c>
      <x:c r="AF199" s="34" t="n">
        <x:v>0</x:v>
      </x:c>
      <x:c r="AG199" s="34" t="n">
        <x:v>0.107</x:v>
      </x:c>
      <x:c r="AH199" s="34" t="n">
        <x:v>-18.723</x:v>
      </x:c>
      <x:c r="AI199" s="34" t="str">
        <x:v>model_estimate</x:v>
      </x:c>
      <x:c r="AJ199" s="34" t="str">
        <x:v>다카사고 포함 공식 조강 총량에 맞춘 소규모 EAF 블록 추정</x:v>
      </x:c>
      <x:c r="AK199" s="34" t="str">
        <x:v>CAND-B51B2DE2F2D28C</x:v>
      </x:c>
      <x:c r="AL199" s="34" t="str">
        <x:v>P4</x:v>
      </x:c>
      <x:c r="AM199" s="34" t="str">
        <x:v>PORT-8A59F01B884D</x:v>
      </x:c>
      <x:c r="AN199" s="34" t="n">
        <x:v>1000</x:v>
      </x:c>
      <x:c r="AO199" s="34" t="n">
        <x:v>125.278714</x:v>
      </x:c>
      <x:c r="AP199" s="34" t="n">
        <x:v>18.81352</x:v>
      </x:c>
      <x:c r="AQ199" s="34" t="n">
        <x:v>114.781594</x:v>
      </x:c>
      <x:c r="AR199" s="34" t="n">
        <x:v>14200.239</x:v>
      </x:c>
      <x:c r="AS199" s="34" t="n">
        <x:v>123.715296</x:v>
      </x:c>
      <x:c r="AT199" s="40" t="b">
        <x:v>1</x:v>
      </x:c>
      <x:c r="AU199" s="40" t="b">
        <x:v>1</x:v>
      </x:c>
      <x:c r="AV199" s="34" t="str"/>
      <x:c r="AW199" s="34" t="n">
        <x:v>0</x:v>
      </x:c>
      <x:c r="AX199" s="34" t="str">
        <x:v>9.990856690045291e-05</x:v>
      </x:c>
      <x:c r="AY199" s="40" t="b">
        <x:v>1</x:v>
      </x:c>
      <x:c r="AZ199" s="40" t="b">
        <x:v>1</x:v>
      </x:c>
      <x:c r="BA199" s="40" t="b">
        <x:v>1</x:v>
      </x:c>
      <x:c r="BB199" s="40" t="b">
        <x:v>1</x:v>
      </x:c>
      <x:c r="BC199" s="34" t="str"/>
      <x:c r="BD199" s="34" t="n">
        <x:v>0</x:v>
      </x:c>
      <x:c r="BE199" s="34" t="n">
        <x:v>0</x:v>
      </x:c>
      <x:c r="BF199" s="34" t="n">
        <x:v>0</x:v>
      </x:c>
      <x:c r="BG199" s="34" t="n">
        <x:v>1</x:v>
      </x:c>
      <x:c r="BH199" s="34" t="n">
        <x:v>1</x:v>
      </x:c>
      <x:c r="BI199" s="34" t="n">
        <x:v>0.28332</x:v>
      </x:c>
      <x:c r="BJ199" s="34" t="n">
        <x:v>0.6</x:v>
      </x:c>
      <x:c r="BK199" s="34" t="n">
        <x:v>1.06</x:v>
      </x:c>
    </x:row>
    <x:row r="200">
      <x:c r="A200" s="34" t="str">
        <x:v>NIPPON_STEEL_JP</x:v>
      </x:c>
      <x:c r="B200" s="34" t="str">
        <x:v>Nippon Steel</x:v>
      </x:c>
      <x:c r="C200" s="34" t="str">
        <x:v>DISCLOSED_PATH</x:v>
      </x:c>
      <x:c r="D200" s="34" t="str">
        <x:v>P1</x:v>
      </x:c>
      <x:c r="E200" s="34" t="str">
        <x:v>NS-EAST</x:v>
      </x:c>
      <x:c r="F200" s="34" t="str">
        <x:v>East Nippon Works 블록</x:v>
      </x:c>
      <x:c r="G200" s="34" t="str">
        <x:v>동일본</x:v>
      </x:c>
      <x:c r="H200" s="34" t="n">
        <x:v>2034</x:v>
      </x:c>
      <x:c r="I200" s="34" t="str">
        <x:v>BF_BOF</x:v>
      </x:c>
      <x:c r="J200" s="34" t="str">
        <x:v>기준 BF-BOF 복합 블록</x:v>
      </x:c>
      <x:c r="K200" s="34" t="str">
        <x:v>SCRAP_EAF</x:v>
      </x:c>
      <x:c r="L200" s="34" t="str">
        <x:v>스크랩 기반 대형 EAF</x:v>
      </x:c>
      <x:c r="M200" s="34" t="n">
        <x:v>4989.6</x:v>
      </x:c>
      <x:c r="N200" s="34" t="n">
        <x:v>3207.6</x:v>
      </x:c>
      <x:c r="O200" s="34" t="n">
        <x:v>8.1</x:v>
      </x:c>
      <x:c r="P200" s="34" t="n">
        <x:v>7.200001</x:v>
      </x:c>
      <x:c r="Q200" s="34" t="n">
        <x:v>15.239652</x:v>
      </x:c>
      <x:c r="R200" s="34" t="n">
        <x:v>15.239652</x:v>
      </x:c>
      <x:c r="S200" s="34" t="n">
        <x:v>3.24</x:v>
      </x:c>
      <x:c r="T200" s="34" t="n">
        <x:v>3.24</x:v>
      </x:c>
      <x:c r="U200" s="34" t="n">
        <x:v>11.999651</x:v>
      </x:c>
      <x:c r="V200" s="34" t="n">
        <x:v>83.997558</x:v>
      </x:c>
      <x:c r="W200" s="34" t="n">
        <x:v>2215.075</x:v>
      </x:c>
      <x:c r="X200" s="34" t="n">
        <x:v>495.277</x:v>
      </x:c>
      <x:c r="Y200" s="34" t="n">
        <x:v>5164.529</x:v>
      </x:c>
      <x:c r="Z200" s="34" t="n">
        <x:v>4669.252</x:v>
      </x:c>
      <x:c r="AA200" s="34" t="n">
        <x:v>2949.454</x:v>
      </x:c>
      <x:c r="AB200" s="34" t="n">
        <x:v>1719.798</x:v>
      </x:c>
      <x:c r="AC200" s="34" t="n">
        <x:v>1981.108</x:v>
      </x:c>
      <x:c r="AD200" s="34" t="n">
        <x:v>159.97</x:v>
      </x:c>
      <x:c r="AE200" s="34" t="n">
        <x:v>3023.451</x:v>
      </x:c>
      <x:c r="AF200" s="34" t="n">
        <x:v>0</x:v>
      </x:c>
      <x:c r="AG200" s="34" t="n">
        <x:v>0</x:v>
      </x:c>
      <x:c r="AH200" s="34" t="n">
        <x:v>-2949.454</x:v>
      </x:c>
      <x:c r="AI200" s="34" t="str">
        <x:v>model_estimate</x:v>
      </x:c>
      <x:c r="AJ200" s="34" t="str">
        <x:v>Nippon Steel 공식 생산·배출·용량 총량에 맞춘 지역 블록 배분</x:v>
      </x:c>
      <x:c r="AK200" s="34" t="str">
        <x:v>CAND-C1AAA9A0078119</x:v>
      </x:c>
      <x:c r="AL200" s="34" t="str">
        <x:v>P1</x:v>
      </x:c>
      <x:c r="AM200" s="34" t="str">
        <x:v>PORT-9E76B3BFF9FF</x:v>
      </x:c>
      <x:c r="AN200" s="34" t="n">
        <x:v>1000</x:v>
      </x:c>
      <x:c r="AO200" s="34" t="n">
        <x:v>92.168103</x:v>
      </x:c>
      <x:c r="AP200" s="34" t="n">
        <x:v>27.019632</x:v>
      </x:c>
      <x:c r="AQ200" s="34" t="n">
        <x:v>456.103943</x:v>
      </x:c>
      <x:c r="AR200" s="34" t="n">
        <x:v>41012.769</x:v>
      </x:c>
      <x:c r="AS200" s="34" t="n">
        <x:v>89.919787</x:v>
      </x:c>
      <x:c r="AT200" s="40" t="b">
        <x:v>1</x:v>
      </x:c>
      <x:c r="AU200" s="40" t="b">
        <x:v>1</x:v>
      </x:c>
      <x:c r="AV200" s="34" t="str"/>
      <x:c r="AW200" s="34" t="n">
        <x:v>0</x:v>
      </x:c>
      <x:c r="AX200" s="34" t="str">
        <x:v>3.446647212967946e-06</x:v>
      </x:c>
      <x:c r="AY200" s="40" t="b">
        <x:v>1</x:v>
      </x:c>
      <x:c r="AZ200" s="40" t="b">
        <x:v>1</x:v>
      </x:c>
      <x:c r="BA200" s="40" t="b">
        <x:v>1</x:v>
      </x:c>
      <x:c r="BB200" s="40" t="b">
        <x:v>1</x:v>
      </x:c>
      <x:c r="BC200" s="34" t="str"/>
      <x:c r="BD200" s="34" t="n">
        <x:v>0</x:v>
      </x:c>
      <x:c r="BE200" s="34" t="n">
        <x:v>0</x:v>
      </x:c>
      <x:c r="BF200" s="34" t="n">
        <x:v>0</x:v>
      </x:c>
      <x:c r="BG200" s="34" t="n">
        <x:v>2</x:v>
      </x:c>
      <x:c r="BH200" s="34" t="n">
        <x:v>2</x:v>
      </x:c>
      <x:c r="BI200" s="34" t="n">
        <x:v>0.47641018879999986</x:v>
      </x:c>
      <x:c r="BJ200" s="34" t="n">
        <x:v>0.65</x:v>
      </x:c>
      <x:c r="BK200" s="34" t="n">
        <x:v>2.16</x:v>
      </x:c>
    </x:row>
    <x:row r="201">
      <x:c r="A201" s="34" t="str">
        <x:v>NIPPON_STEEL_JP</x:v>
      </x:c>
      <x:c r="B201" s="34" t="str">
        <x:v>Nippon Steel</x:v>
      </x:c>
      <x:c r="C201" s="34" t="str">
        <x:v>DISCLOSED_PATH</x:v>
      </x:c>
      <x:c r="D201" s="34" t="str">
        <x:v>P1</x:v>
      </x:c>
      <x:c r="E201" s="34" t="str">
        <x:v>NS-KANSAI</x:v>
      </x:c>
      <x:c r="F201" s="34" t="str">
        <x:v>Kansai Works 블록</x:v>
      </x:c>
      <x:c r="G201" s="34" t="str">
        <x:v>간사이</x:v>
      </x:c>
      <x:c r="H201" s="34" t="n">
        <x:v>2036</x:v>
      </x:c>
      <x:c r="I201" s="34" t="str">
        <x:v>BF_BOF</x:v>
      </x:c>
      <x:c r="J201" s="34" t="str">
        <x:v>기준 BF-BOF 복합 블록</x:v>
      </x:c>
      <x:c r="K201" s="34" t="str">
        <x:v>H2_DRI_EAF</x:v>
      </x:c>
      <x:c r="L201" s="34" t="str">
        <x:v>수소 DRI + EAF</x:v>
      </x:c>
      <x:c r="M201" s="34" t="n">
        <x:v>6237</x:v>
      </x:c>
      <x:c r="N201" s="34" t="n">
        <x:v>4851</x:v>
      </x:c>
      <x:c r="O201" s="34" t="n">
        <x:v>6.3</x:v>
      </x:c>
      <x:c r="P201" s="34" t="n">
        <x:v>5.600001</x:v>
      </x:c>
      <x:c r="Q201" s="34" t="n">
        <x:v>11.853062</x:v>
      </x:c>
      <x:c r="R201" s="34" t="n">
        <x:v>11.853062</x:v>
      </x:c>
      <x:c r="S201" s="34" t="n">
        <x:v>1.12</x:v>
      </x:c>
      <x:c r="T201" s="34" t="n">
        <x:v>1.12</x:v>
      </x:c>
      <x:c r="U201" s="34" t="n">
        <x:v>10.733062</x:v>
      </x:c>
      <x:c r="V201" s="34" t="n">
        <x:v>53.665311</x:v>
      </x:c>
      <x:c r="W201" s="34" t="n">
        <x:v>11805.356</x:v>
      </x:c>
      <x:c r="X201" s="34" t="n">
        <x:v>753.724</x:v>
      </x:c>
      <x:c r="Y201" s="34" t="n">
        <x:v>13679.935</x:v>
      </x:c>
      <x:c r="Z201" s="34" t="n">
        <x:v>12926.211</x:v>
      </x:c>
      <x:c r="AA201" s="34" t="n">
        <x:v>1874.579</x:v>
      </x:c>
      <x:c r="AB201" s="34" t="n">
        <x:v>11051.632</x:v>
      </x:c>
      <x:c r="AC201" s="34" t="n">
        <x:v>2691.871</x:v>
      </x:c>
      <x:c r="AD201" s="34" t="n">
        <x:v>181.997</x:v>
      </x:c>
      <x:c r="AE201" s="34" t="n">
        <x:v>1314.06</x:v>
      </x:c>
      <x:c r="AF201" s="34" t="n">
        <x:v>9492.007</x:v>
      </x:c>
      <x:c r="AG201" s="34" t="n">
        <x:v>0</x:v>
      </x:c>
      <x:c r="AH201" s="34" t="n">
        <x:v>-1874.579</x:v>
      </x:c>
      <x:c r="AI201" s="34" t="str">
        <x:v>model_estimate</x:v>
      </x:c>
      <x:c r="AJ201" s="34" t="str">
        <x:v>Nippon Steel 공식 생산·배출·용량 총량에 맞춘 지역 블록 배분</x:v>
      </x:c>
      <x:c r="AK201" s="34" t="str">
        <x:v>CAND-C1AAA9A0078119</x:v>
      </x:c>
      <x:c r="AL201" s="34" t="str">
        <x:v>P1</x:v>
      </x:c>
      <x:c r="AM201" s="34" t="str">
        <x:v>PORT-9E76B3BFF9FF</x:v>
      </x:c>
      <x:c r="AN201" s="34" t="n">
        <x:v>1000</x:v>
      </x:c>
      <x:c r="AO201" s="34" t="n">
        <x:v>92.168103</x:v>
      </x:c>
      <x:c r="AP201" s="34" t="n">
        <x:v>27.019632</x:v>
      </x:c>
      <x:c r="AQ201" s="34" t="n">
        <x:v>456.103943</x:v>
      </x:c>
      <x:c r="AR201" s="34" t="n">
        <x:v>41012.769</x:v>
      </x:c>
      <x:c r="AS201" s="34" t="n">
        <x:v>89.919787</x:v>
      </x:c>
      <x:c r="AT201" s="40" t="b">
        <x:v>1</x:v>
      </x:c>
      <x:c r="AU201" s="40" t="b">
        <x:v>1</x:v>
      </x:c>
      <x:c r="AV201" s="34" t="str"/>
      <x:c r="AW201" s="34" t="n">
        <x:v>0</x:v>
      </x:c>
      <x:c r="AX201" s="34" t="str">
        <x:v>3.446647212967946e-06</x:v>
      </x:c>
      <x:c r="AY201" s="40" t="b">
        <x:v>1</x:v>
      </x:c>
      <x:c r="AZ201" s="40" t="b">
        <x:v>1</x:v>
      </x:c>
      <x:c r="BA201" s="40" t="b">
        <x:v>1</x:v>
      </x:c>
      <x:c r="BB201" s="40" t="b">
        <x:v>1</x:v>
      </x:c>
      <x:c r="BC201" s="34" t="str"/>
      <x:c r="BD201" s="34" t="n">
        <x:v>0</x:v>
      </x:c>
      <x:c r="BE201" s="34" t="n">
        <x:v>0</x:v>
      </x:c>
      <x:c r="BF201" s="34" t="n">
        <x:v>0</x:v>
      </x:c>
      <x:c r="BG201" s="34" t="n">
        <x:v>2</x:v>
      </x:c>
      <x:c r="BH201" s="34" t="n">
        <x:v>2</x:v>
      </x:c>
      <x:c r="BI201" s="34" t="n">
        <x:v>0.47641018879999986</x:v>
      </x:c>
      <x:c r="BJ201" s="34" t="n">
        <x:v>0.65</x:v>
      </x:c>
      <x:c r="BK201" s="34" t="n">
        <x:v>2.16</x:v>
      </x:c>
    </x:row>
    <x:row r="202">
      <x:c r="A202" s="34" t="str">
        <x:v>NIPPON_STEEL_JP</x:v>
      </x:c>
      <x:c r="B202" s="34" t="str">
        <x:v>Nippon Steel</x:v>
      </x:c>
      <x:c r="C202" s="34" t="str">
        <x:v>DISCLOSED_PATH</x:v>
      </x:c>
      <x:c r="D202" s="34" t="str">
        <x:v>P1</x:v>
      </x:c>
      <x:c r="E202" s="34" t="str">
        <x:v>NS-KYUSHU</x:v>
      </x:c>
      <x:c r="F202" s="34" t="str">
        <x:v>Kyushu Works Yawata 블록</x:v>
      </x:c>
      <x:c r="G202" s="34" t="str">
        <x:v>규슈</x:v>
      </x:c>
      <x:c r="H202" s="34" t="n">
        <x:v>2029</x:v>
      </x:c>
      <x:c r="I202" s="34" t="str">
        <x:v>BF_BOF</x:v>
      </x:c>
      <x:c r="J202" s="34" t="str">
        <x:v>기준 BF-BOF 복합 블록</x:v>
      </x:c>
      <x:c r="K202" s="34" t="str">
        <x:v>SCRAP_EAF</x:v>
      </x:c>
      <x:c r="L202" s="34" t="str">
        <x:v>스크랩 기반 대형 EAF</x:v>
      </x:c>
      <x:c r="M202" s="34" t="n">
        <x:v>6160</x:v>
      </x:c>
      <x:c r="N202" s="34" t="n">
        <x:v>3960</x:v>
      </x:c>
      <x:c r="O202" s="34" t="n">
        <x:v>10</x:v>
      </x:c>
      <x:c r="P202" s="34" t="n">
        <x:v>9</x:v>
      </x:c>
      <x:c r="Q202" s="34" t="n">
        <x:v>19.049562</x:v>
      </x:c>
      <x:c r="R202" s="34" t="n">
        <x:v>4.05</x:v>
      </x:c>
      <x:c r="S202" s="34" t="n">
        <x:v>4.05</x:v>
      </x:c>
      <x:c r="T202" s="34" t="n">
        <x:v>4.05</x:v>
      </x:c>
      <x:c r="U202" s="34" t="n">
        <x:v>14.999562</x:v>
      </x:c>
      <x:c r="V202" s="34" t="n">
        <x:v>179.994744</x:v>
      </x:c>
      <x:c r="W202" s="34" t="n">
        <x:v>4703.992</x:v>
      </x:c>
      <x:c r="X202" s="34" t="n">
        <x:v>799.145</x:v>
      </x:c>
      <x:c r="Y202" s="34" t="n">
        <x:v>10996.19</x:v>
      </x:c>
      <x:c r="Z202" s="34" t="n">
        <x:v>10197.045</x:v>
      </x:c>
      <x:c r="AA202" s="34" t="n">
        <x:v>6292.198</x:v>
      </x:c>
      <x:c r="AB202" s="34" t="n">
        <x:v>3904.847</x:v>
      </x:c>
      <x:c r="AC202" s="34" t="n">
        <x:v>3196.578</x:v>
      </x:c>
      <x:c r="AD202" s="34" t="n">
        <x:v>462.398</x:v>
      </x:c>
      <x:c r="AE202" s="34" t="n">
        <x:v>7337.214</x:v>
      </x:c>
      <x:c r="AF202" s="34" t="n">
        <x:v>0</x:v>
      </x:c>
      <x:c r="AG202" s="34" t="n">
        <x:v>0</x:v>
      </x:c>
      <x:c r="AH202" s="34" t="n">
        <x:v>-6292.198</x:v>
      </x:c>
      <x:c r="AI202" s="34" t="str">
        <x:v>model_estimate</x:v>
      </x:c>
      <x:c r="AJ202" s="34" t="str">
        <x:v>Yawata BF→EAF 공시 방향을 반영해 조기 재투자 창을 설정; 블록 생산량 추정</x:v>
      </x:c>
      <x:c r="AK202" s="34" t="str">
        <x:v>CAND-C1AAA9A0078119</x:v>
      </x:c>
      <x:c r="AL202" s="34" t="str">
        <x:v>P1</x:v>
      </x:c>
      <x:c r="AM202" s="34" t="str">
        <x:v>PORT-9E76B3BFF9FF</x:v>
      </x:c>
      <x:c r="AN202" s="34" t="n">
        <x:v>1000</x:v>
      </x:c>
      <x:c r="AO202" s="34" t="n">
        <x:v>92.168103</x:v>
      </x:c>
      <x:c r="AP202" s="34" t="n">
        <x:v>27.019632</x:v>
      </x:c>
      <x:c r="AQ202" s="34" t="n">
        <x:v>456.103943</x:v>
      </x:c>
      <x:c r="AR202" s="34" t="n">
        <x:v>41012.769</x:v>
      </x:c>
      <x:c r="AS202" s="34" t="n">
        <x:v>89.919787</x:v>
      </x:c>
      <x:c r="AT202" s="40" t="b">
        <x:v>1</x:v>
      </x:c>
      <x:c r="AU202" s="40" t="b">
        <x:v>1</x:v>
      </x:c>
      <x:c r="AV202" s="34" t="str"/>
      <x:c r="AW202" s="34" t="n">
        <x:v>0</x:v>
      </x:c>
      <x:c r="AX202" s="34" t="str">
        <x:v>3.446647212967946e-06</x:v>
      </x:c>
      <x:c r="AY202" s="40" t="b">
        <x:v>1</x:v>
      </x:c>
      <x:c r="AZ202" s="40" t="b">
        <x:v>1</x:v>
      </x:c>
      <x:c r="BA202" s="40" t="b">
        <x:v>1</x:v>
      </x:c>
      <x:c r="BB202" s="40" t="b">
        <x:v>1</x:v>
      </x:c>
      <x:c r="BC202" s="34" t="str"/>
      <x:c r="BD202" s="34" t="n">
        <x:v>0</x:v>
      </x:c>
      <x:c r="BE202" s="34" t="n">
        <x:v>0</x:v>
      </x:c>
      <x:c r="BF202" s="34" t="n">
        <x:v>0</x:v>
      </x:c>
      <x:c r="BG202" s="34" t="n">
        <x:v>2</x:v>
      </x:c>
      <x:c r="BH202" s="34" t="n">
        <x:v>2</x:v>
      </x:c>
      <x:c r="BI202" s="34" t="n">
        <x:v>0.47641018879999986</x:v>
      </x:c>
      <x:c r="BJ202" s="34" t="n">
        <x:v>0.65</x:v>
      </x:c>
      <x:c r="BK202" s="34" t="n">
        <x:v>2.16</x:v>
      </x:c>
    </x:row>
    <x:row r="203">
      <x:c r="A203" s="34" t="str">
        <x:v>NIPPON_STEEL_JP</x:v>
      </x:c>
      <x:c r="B203" s="34" t="str">
        <x:v>Nippon Steel</x:v>
      </x:c>
      <x:c r="C203" s="34" t="str">
        <x:v>DISCLOSED_PATH</x:v>
      </x:c>
      <x:c r="D203" s="34" t="str">
        <x:v>P1</x:v>
      </x:c>
      <x:c r="E203" s="34" t="str">
        <x:v>NS-NAGOYA</x:v>
      </x:c>
      <x:c r="F203" s="34" t="str">
        <x:v>Nagoya Works 블록</x:v>
      </x:c>
      <x:c r="G203" s="34" t="str">
        <x:v>나고야</x:v>
      </x:c>
      <x:c r="H203" s="34" t="n">
        <x:v>2032</x:v>
      </x:c>
      <x:c r="I203" s="34" t="str">
        <x:v>BF_BOF</x:v>
      </x:c>
      <x:c r="J203" s="34" t="str">
        <x:v>기준 BF-BOF 복합 블록</x:v>
      </x:c>
      <x:c r="K203" s="34" t="str">
        <x:v>H2_DRI_EAF</x:v>
      </x:c>
      <x:c r="L203" s="34" t="str">
        <x:v>수소 DRI + EAF</x:v>
      </x:c>
      <x:c r="M203" s="34" t="n">
        <x:v>6930</x:v>
      </x:c>
      <x:c r="N203" s="34" t="n">
        <x:v>5390</x:v>
      </x:c>
      <x:c r="O203" s="34" t="n">
        <x:v>7</x:v>
      </x:c>
      <x:c r="P203" s="34" t="n">
        <x:v>6.199998</x:v>
      </x:c>
      <x:c r="Q203" s="34" t="n">
        <x:v>13.123027</x:v>
      </x:c>
      <x:c r="R203" s="34" t="n">
        <x:v>13.123027</x:v>
      </x:c>
      <x:c r="S203" s="34" t="n">
        <x:v>1.24</x:v>
      </x:c>
      <x:c r="T203" s="34" t="n">
        <x:v>1.24</x:v>
      </x:c>
      <x:c r="U203" s="34" t="n">
        <x:v>11.883028</x:v>
      </x:c>
      <x:c r="V203" s="34" t="n">
        <x:v>106.94725</x:v>
      </x:c>
      <x:c r="W203" s="34" t="n">
        <x:v>24271.931</x:v>
      </x:c>
      <x:c r="X203" s="34" t="n">
        <x:v>1037.48</x:v>
      </x:c>
      <x:c r="Y203" s="34" t="n">
        <x:v>28033.385</x:v>
      </x:c>
      <x:c r="Z203" s="34" t="n">
        <x:v>26995.905</x:v>
      </x:c>
      <x:c r="AA203" s="34" t="n">
        <x:v>3761.454</x:v>
      </x:c>
      <x:c r="AB203" s="34" t="n">
        <x:v>23234.451</x:v>
      </x:c>
      <x:c r="AC203" s="34" t="n">
        <x:v>3705.284</x:v>
      </x:c>
      <x:c r="AD203" s="34" t="n">
        <x:v>406.389</x:v>
      </x:c>
      <x:c r="AE203" s="34" t="n">
        <x:v>2888.959</x:v>
      </x:c>
      <x:c r="AF203" s="34" t="n">
        <x:v>21032.753</x:v>
      </x:c>
      <x:c r="AG203" s="34" t="n">
        <x:v>0</x:v>
      </x:c>
      <x:c r="AH203" s="34" t="n">
        <x:v>-3761.454</x:v>
      </x:c>
      <x:c r="AI203" s="34" t="str">
        <x:v>model_estimate</x:v>
      </x:c>
      <x:c r="AJ203" s="34" t="str">
        <x:v>Nippon Steel 공식 생산·배출·용량 총량에 맞춘 지역 블록 배분</x:v>
      </x:c>
      <x:c r="AK203" s="34" t="str">
        <x:v>CAND-C1AAA9A0078119</x:v>
      </x:c>
      <x:c r="AL203" s="34" t="str">
        <x:v>P1</x:v>
      </x:c>
      <x:c r="AM203" s="34" t="str">
        <x:v>PORT-9E76B3BFF9FF</x:v>
      </x:c>
      <x:c r="AN203" s="34" t="n">
        <x:v>1000</x:v>
      </x:c>
      <x:c r="AO203" s="34" t="n">
        <x:v>92.168103</x:v>
      </x:c>
      <x:c r="AP203" s="34" t="n">
        <x:v>27.019632</x:v>
      </x:c>
      <x:c r="AQ203" s="34" t="n">
        <x:v>456.103943</x:v>
      </x:c>
      <x:c r="AR203" s="34" t="n">
        <x:v>41012.769</x:v>
      </x:c>
      <x:c r="AS203" s="34" t="n">
        <x:v>89.919787</x:v>
      </x:c>
      <x:c r="AT203" s="40" t="b">
        <x:v>1</x:v>
      </x:c>
      <x:c r="AU203" s="40" t="b">
        <x:v>1</x:v>
      </x:c>
      <x:c r="AV203" s="34" t="str"/>
      <x:c r="AW203" s="34" t="n">
        <x:v>0</x:v>
      </x:c>
      <x:c r="AX203" s="34" t="str">
        <x:v>3.446647212967946e-06</x:v>
      </x:c>
      <x:c r="AY203" s="40" t="b">
        <x:v>1</x:v>
      </x:c>
      <x:c r="AZ203" s="40" t="b">
        <x:v>1</x:v>
      </x:c>
      <x:c r="BA203" s="40" t="b">
        <x:v>1</x:v>
      </x:c>
      <x:c r="BB203" s="40" t="b">
        <x:v>1</x:v>
      </x:c>
      <x:c r="BC203" s="34" t="str"/>
      <x:c r="BD203" s="34" t="n">
        <x:v>0</x:v>
      </x:c>
      <x:c r="BE203" s="34" t="n">
        <x:v>0</x:v>
      </x:c>
      <x:c r="BF203" s="34" t="n">
        <x:v>0</x:v>
      </x:c>
      <x:c r="BG203" s="34" t="n">
        <x:v>2</x:v>
      </x:c>
      <x:c r="BH203" s="34" t="n">
        <x:v>2</x:v>
      </x:c>
      <x:c r="BI203" s="34" t="n">
        <x:v>0.47641018879999986</x:v>
      </x:c>
      <x:c r="BJ203" s="34" t="n">
        <x:v>0.65</x:v>
      </x:c>
      <x:c r="BK203" s="34" t="n">
        <x:v>2.16</x:v>
      </x:c>
    </x:row>
    <x:row r="204">
      <x:c r="A204" s="34" t="str">
        <x:v>NIPPON_STEEL_JP</x:v>
      </x:c>
      <x:c r="B204" s="34" t="str">
        <x:v>Nippon Steel</x:v>
      </x:c>
      <x:c r="C204" s="34" t="str">
        <x:v>DISCLOSED_PATH</x:v>
      </x:c>
      <x:c r="D204" s="34" t="str">
        <x:v>P1</x:v>
      </x:c>
      <x:c r="E204" s="34" t="str">
        <x:v>NS-SETOUCHI</x:v>
      </x:c>
      <x:c r="F204" s="34" t="str">
        <x:v>Setouchi Works Hirohata 블록</x:v>
      </x:c>
      <x:c r="G204" s="34" t="str">
        <x:v>세토우치</x:v>
      </x:c>
      <x:c r="H204" s="34" t="n">
        <x:v>2038</x:v>
      </x:c>
      <x:c r="I204" s="34" t="str">
        <x:v>BF_BOF</x:v>
      </x:c>
      <x:c r="J204" s="34" t="str">
        <x:v>기준 BF-BOF 복합 블록</x:v>
      </x:c>
      <x:c r="K204" s="34" t="str">
        <x:v>SCRAP_EAF</x:v>
      </x:c>
      <x:c r="L204" s="34" t="str">
        <x:v>스크랩 기반 대형 EAF</x:v>
      </x:c>
      <x:c r="M204" s="34" t="n">
        <x:v>4620</x:v>
      </x:c>
      <x:c r="N204" s="34" t="n">
        <x:v>2970</x:v>
      </x:c>
      <x:c r="O204" s="34" t="n">
        <x:v>7.5</x:v>
      </x:c>
      <x:c r="P204" s="34" t="n">
        <x:v>6.3</x:v>
      </x:c>
      <x:c r="Q204" s="34" t="n">
        <x:v>13.334693</x:v>
      </x:c>
      <x:c r="R204" s="34" t="n">
        <x:v>13.334693</x:v>
      </x:c>
      <x:c r="S204" s="34" t="n">
        <x:v>2.835</x:v>
      </x:c>
      <x:c r="T204" s="34" t="n">
        <x:v>2.835</x:v>
      </x:c>
      <x:c r="U204" s="34" t="n">
        <x:v>10.499693</x:v>
      </x:c>
      <x:c r="V204" s="34" t="n">
        <x:v>31.49908</x:v>
      </x:c>
      <x:c r="W204" s="34" t="n">
        <x:v>1472.222</x:v>
      </x:c>
      <x:c r="X204" s="34" t="n">
        <x:v>370.181</x:v>
      </x:c>
      <x:c r="Y204" s="34" t="n">
        <x:v>2563.443</x:v>
      </x:c>
      <x:c r="Z204" s="34" t="n">
        <x:v>2193.262</x:v>
      </x:c>
      <x:c r="AA204" s="34" t="n">
        <x:v>1091.221</x:v>
      </x:c>
      <x:c r="AB204" s="34" t="n">
        <x:v>1102.041</x:v>
      </x:c>
      <x:c r="AC204" s="34" t="n">
        <x:v>1480.725</x:v>
      </x:c>
      <x:c r="AD204" s="34" t="n">
        <x:v>53.641</x:v>
      </x:c>
      <x:c r="AE204" s="34" t="n">
        <x:v>1029.077</x:v>
      </x:c>
      <x:c r="AF204" s="34" t="n">
        <x:v>0</x:v>
      </x:c>
      <x:c r="AG204" s="34" t="n">
        <x:v>0</x:v>
      </x:c>
      <x:c r="AH204" s="34" t="n">
        <x:v>-1091.221</x:v>
      </x:c>
      <x:c r="AI204" s="34" t="str">
        <x:v>model_estimate</x:v>
      </x:c>
      <x:c r="AJ204" s="34" t="str">
        <x:v>Hirohata EAF 투자 방향을 반영한 복합 블록; 생산량·재투자연도 추정</x:v>
      </x:c>
      <x:c r="AK204" s="34" t="str">
        <x:v>CAND-C1AAA9A0078119</x:v>
      </x:c>
      <x:c r="AL204" s="34" t="str">
        <x:v>P1</x:v>
      </x:c>
      <x:c r="AM204" s="34" t="str">
        <x:v>PORT-9E76B3BFF9FF</x:v>
      </x:c>
      <x:c r="AN204" s="34" t="n">
        <x:v>1000</x:v>
      </x:c>
      <x:c r="AO204" s="34" t="n">
        <x:v>92.168103</x:v>
      </x:c>
      <x:c r="AP204" s="34" t="n">
        <x:v>27.019632</x:v>
      </x:c>
      <x:c r="AQ204" s="34" t="n">
        <x:v>456.103943</x:v>
      </x:c>
      <x:c r="AR204" s="34" t="n">
        <x:v>41012.769</x:v>
      </x:c>
      <x:c r="AS204" s="34" t="n">
        <x:v>89.919787</x:v>
      </x:c>
      <x:c r="AT204" s="40" t="b">
        <x:v>1</x:v>
      </x:c>
      <x:c r="AU204" s="40" t="b">
        <x:v>1</x:v>
      </x:c>
      <x:c r="AV204" s="34" t="str"/>
      <x:c r="AW204" s="34" t="n">
        <x:v>0</x:v>
      </x:c>
      <x:c r="AX204" s="34" t="str">
        <x:v>3.446647212967946e-06</x:v>
      </x:c>
      <x:c r="AY204" s="40" t="b">
        <x:v>1</x:v>
      </x:c>
      <x:c r="AZ204" s="40" t="b">
        <x:v>1</x:v>
      </x:c>
      <x:c r="BA204" s="40" t="b">
        <x:v>1</x:v>
      </x:c>
      <x:c r="BB204" s="40" t="b">
        <x:v>1</x:v>
      </x:c>
      <x:c r="BC204" s="34" t="str"/>
      <x:c r="BD204" s="34" t="n">
        <x:v>0</x:v>
      </x:c>
      <x:c r="BE204" s="34" t="n">
        <x:v>0</x:v>
      </x:c>
      <x:c r="BF204" s="34" t="n">
        <x:v>0</x:v>
      </x:c>
      <x:c r="BG204" s="34" t="n">
        <x:v>2</x:v>
      </x:c>
      <x:c r="BH204" s="34" t="n">
        <x:v>2</x:v>
      </x:c>
      <x:c r="BI204" s="34" t="n">
        <x:v>0.47641018879999986</x:v>
      </x:c>
      <x:c r="BJ204" s="34" t="n">
        <x:v>0.65</x:v>
      </x:c>
      <x:c r="BK204" s="34" t="n">
        <x:v>2.16</x:v>
      </x:c>
    </x:row>
    <x:row r="205">
      <x:c r="A205" s="34" t="str">
        <x:v>NIPPON_STEEL_JP</x:v>
      </x:c>
      <x:c r="B205" s="34" t="str">
        <x:v>Nippon Steel</x:v>
      </x:c>
      <x:c r="C205" s="34" t="str">
        <x:v>ACCELERATED_15C</x:v>
      </x:c>
      <x:c r="D205" s="34" t="str">
        <x:v>P1</x:v>
      </x:c>
      <x:c r="E205" s="34" t="str">
        <x:v>NS-EAST</x:v>
      </x:c>
      <x:c r="F205" s="34" t="str">
        <x:v>East Nippon Works 블록</x:v>
      </x:c>
      <x:c r="G205" s="34" t="str">
        <x:v>동일본</x:v>
      </x:c>
      <x:c r="H205" s="34" t="n">
        <x:v>2034</x:v>
      </x:c>
      <x:c r="I205" s="34" t="str">
        <x:v>BF_BOF</x:v>
      </x:c>
      <x:c r="J205" s="34" t="str">
        <x:v>기준 BF-BOF 복합 블록</x:v>
      </x:c>
      <x:c r="K205" s="34" t="str">
        <x:v>SCRAP_EAF</x:v>
      </x:c>
      <x:c r="L205" s="34" t="str">
        <x:v>스크랩 기반 대형 EAF</x:v>
      </x:c>
      <x:c r="M205" s="34" t="n">
        <x:v>4989.6</x:v>
      </x:c>
      <x:c r="N205" s="34" t="n">
        <x:v>3207.6</x:v>
      </x:c>
      <x:c r="O205" s="34" t="n">
        <x:v>8.1</x:v>
      </x:c>
      <x:c r="P205" s="34" t="n">
        <x:v>7.200001</x:v>
      </x:c>
      <x:c r="Q205" s="34" t="n">
        <x:v>15.239652</x:v>
      </x:c>
      <x:c r="R205" s="34" t="n">
        <x:v>15.239652</x:v>
      </x:c>
      <x:c r="S205" s="34" t="n">
        <x:v>3.24</x:v>
      </x:c>
      <x:c r="T205" s="34" t="n">
        <x:v>3.24</x:v>
      </x:c>
      <x:c r="U205" s="34" t="n">
        <x:v>11.999651</x:v>
      </x:c>
      <x:c r="V205" s="34" t="n">
        <x:v>83.997558</x:v>
      </x:c>
      <x:c r="W205" s="34" t="n">
        <x:v>1117.098</x:v>
      </x:c>
      <x:c r="X205" s="34" t="n">
        <x:v>594.332</x:v>
      </x:c>
      <x:c r="Y205" s="34" t="n">
        <x:v>5505.814</x:v>
      </x:c>
      <x:c r="Z205" s="34" t="n">
        <x:v>4911.482</x:v>
      </x:c>
      <x:c r="AA205" s="34" t="n">
        <x:v>4388.717</x:v>
      </x:c>
      <x:c r="AB205" s="34" t="n">
        <x:v>522.765</x:v>
      </x:c>
      <x:c r="AC205" s="34" t="n">
        <x:v>1981.108</x:v>
      </x:c>
      <x:c r="AD205" s="34" t="n">
        <x:v>159.97</x:v>
      </x:c>
      <x:c r="AE205" s="34" t="n">
        <x:v>3364.736</x:v>
      </x:c>
      <x:c r="AF205" s="34" t="n">
        <x:v>0</x:v>
      </x:c>
      <x:c r="AG205" s="34" t="n">
        <x:v>0</x:v>
      </x:c>
      <x:c r="AH205" s="34" t="n">
        <x:v>-4388.717</x:v>
      </x:c>
      <x:c r="AI205" s="34" t="str">
        <x:v>model_estimate</x:v>
      </x:c>
      <x:c r="AJ205" s="34" t="str">
        <x:v>Nippon Steel 공식 생산·배출·용량 총량에 맞춘 지역 블록 배분</x:v>
      </x:c>
      <x:c r="AK205" s="34" t="str">
        <x:v>CAND-C1AAA9A0078119</x:v>
      </x:c>
      <x:c r="AL205" s="34" t="str">
        <x:v>P1</x:v>
      </x:c>
      <x:c r="AM205" s="34" t="str">
        <x:v>PORT-9E76B3BFF9FF</x:v>
      </x:c>
      <x:c r="AN205" s="34" t="n">
        <x:v>1000</x:v>
      </x:c>
      <x:c r="AO205" s="34" t="n">
        <x:v>83.290003</x:v>
      </x:c>
      <x:c r="AP205" s="34" t="n">
        <x:v>29.285114</x:v>
      </x:c>
      <x:c r="AQ205" s="34" t="n">
        <x:v>456.103943</x:v>
      </x:c>
      <x:c r="AR205" s="34" t="n">
        <x:v>36907.411</x:v>
      </x:c>
      <x:c r="AS205" s="34" t="n">
        <x:v>80.918861</x:v>
      </x:c>
      <x:c r="AT205" s="40" t="b">
        <x:v>1</x:v>
      </x:c>
      <x:c r="AU205" s="40" t="b">
        <x:v>1</x:v>
      </x:c>
      <x:c r="AV205" s="34" t="str"/>
      <x:c r="AW205" s="34" t="n">
        <x:v>0</x:v>
      </x:c>
      <x:c r="AX205" s="34" t="str">
        <x:v>3.446647212967946e-06</x:v>
      </x:c>
      <x:c r="AY205" s="40" t="b">
        <x:v>1</x:v>
      </x:c>
      <x:c r="AZ205" s="40" t="b">
        <x:v>1</x:v>
      </x:c>
      <x:c r="BA205" s="40" t="b">
        <x:v>1</x:v>
      </x:c>
      <x:c r="BB205" s="40" t="b">
        <x:v>1</x:v>
      </x:c>
      <x:c r="BC205" s="34" t="str"/>
      <x:c r="BD205" s="34" t="n">
        <x:v>0</x:v>
      </x:c>
      <x:c r="BE205" s="34" t="n">
        <x:v>0</x:v>
      </x:c>
      <x:c r="BF205" s="34" t="n">
        <x:v>0</x:v>
      </x:c>
      <x:c r="BG205" s="34" t="n">
        <x:v>2</x:v>
      </x:c>
      <x:c r="BH205" s="34" t="n">
        <x:v>2</x:v>
      </x:c>
      <x:c r="BI205" s="34" t="n">
        <x:v>0.47641018879999986</x:v>
      </x:c>
      <x:c r="BJ205" s="34" t="n">
        <x:v>0.65</x:v>
      </x:c>
      <x:c r="BK205" s="34" t="n">
        <x:v>2.16</x:v>
      </x:c>
    </x:row>
    <x:row r="206">
      <x:c r="A206" s="34" t="str">
        <x:v>NIPPON_STEEL_JP</x:v>
      </x:c>
      <x:c r="B206" s="34" t="str">
        <x:v>Nippon Steel</x:v>
      </x:c>
      <x:c r="C206" s="34" t="str">
        <x:v>ACCELERATED_15C</x:v>
      </x:c>
      <x:c r="D206" s="34" t="str">
        <x:v>P1</x:v>
      </x:c>
      <x:c r="E206" s="34" t="str">
        <x:v>NS-KANSAI</x:v>
      </x:c>
      <x:c r="F206" s="34" t="str">
        <x:v>Kansai Works 블록</x:v>
      </x:c>
      <x:c r="G206" s="34" t="str">
        <x:v>간사이</x:v>
      </x:c>
      <x:c r="H206" s="34" t="n">
        <x:v>2036</x:v>
      </x:c>
      <x:c r="I206" s="34" t="str">
        <x:v>BF_BOF</x:v>
      </x:c>
      <x:c r="J206" s="34" t="str">
        <x:v>기준 BF-BOF 복합 블록</x:v>
      </x:c>
      <x:c r="K206" s="34" t="str">
        <x:v>H2_DRI_EAF</x:v>
      </x:c>
      <x:c r="L206" s="34" t="str">
        <x:v>수소 DRI + EAF</x:v>
      </x:c>
      <x:c r="M206" s="34" t="n">
        <x:v>6237</x:v>
      </x:c>
      <x:c r="N206" s="34" t="n">
        <x:v>4851</x:v>
      </x:c>
      <x:c r="O206" s="34" t="n">
        <x:v>6.3</x:v>
      </x:c>
      <x:c r="P206" s="34" t="n">
        <x:v>5.600001</x:v>
      </x:c>
      <x:c r="Q206" s="34" t="n">
        <x:v>11.853062</x:v>
      </x:c>
      <x:c r="R206" s="34" t="n">
        <x:v>11.853062</x:v>
      </x:c>
      <x:c r="S206" s="34" t="n">
        <x:v>1.12</x:v>
      </x:c>
      <x:c r="T206" s="34" t="n">
        <x:v>1.12</x:v>
      </x:c>
      <x:c r="U206" s="34" t="n">
        <x:v>10.733062</x:v>
      </x:c>
      <x:c r="V206" s="34" t="n">
        <x:v>53.665311</x:v>
      </x:c>
      <x:c r="W206" s="34" t="n">
        <x:v>11957.133</x:v>
      </x:c>
      <x:c r="X206" s="34" t="n">
        <x:v>942.155</x:v>
      </x:c>
      <x:c r="Y206" s="34" t="n">
        <x:v>14756.282</x:v>
      </x:c>
      <x:c r="Z206" s="34" t="n">
        <x:v>13814.127</x:v>
      </x:c>
      <x:c r="AA206" s="34" t="n">
        <x:v>2799.149</x:v>
      </x:c>
      <x:c r="AB206" s="34" t="n">
        <x:v>11014.978</x:v>
      </x:c>
      <x:c r="AC206" s="34" t="n">
        <x:v>2691.871</x:v>
      </x:c>
      <x:c r="AD206" s="34" t="n">
        <x:v>181.997</x:v>
      </x:c>
      <x:c r="AE206" s="34" t="n">
        <x:v>1472.667</x:v>
      </x:c>
      <x:c r="AF206" s="34" t="n">
        <x:v>10409.747</x:v>
      </x:c>
      <x:c r="AG206" s="34" t="n">
        <x:v>0</x:v>
      </x:c>
      <x:c r="AH206" s="34" t="n">
        <x:v>-2799.149</x:v>
      </x:c>
      <x:c r="AI206" s="34" t="str">
        <x:v>model_estimate</x:v>
      </x:c>
      <x:c r="AJ206" s="34" t="str">
        <x:v>Nippon Steel 공식 생산·배출·용량 총량에 맞춘 지역 블록 배분</x:v>
      </x:c>
      <x:c r="AK206" s="34" t="str">
        <x:v>CAND-C1AAA9A0078119</x:v>
      </x:c>
      <x:c r="AL206" s="34" t="str">
        <x:v>P1</x:v>
      </x:c>
      <x:c r="AM206" s="34" t="str">
        <x:v>PORT-9E76B3BFF9FF</x:v>
      </x:c>
      <x:c r="AN206" s="34" t="n">
        <x:v>1000</x:v>
      </x:c>
      <x:c r="AO206" s="34" t="n">
        <x:v>83.290003</x:v>
      </x:c>
      <x:c r="AP206" s="34" t="n">
        <x:v>29.285114</x:v>
      </x:c>
      <x:c r="AQ206" s="34" t="n">
        <x:v>456.103943</x:v>
      </x:c>
      <x:c r="AR206" s="34" t="n">
        <x:v>36907.411</x:v>
      </x:c>
      <x:c r="AS206" s="34" t="n">
        <x:v>80.918861</x:v>
      </x:c>
      <x:c r="AT206" s="40" t="b">
        <x:v>1</x:v>
      </x:c>
      <x:c r="AU206" s="40" t="b">
        <x:v>1</x:v>
      </x:c>
      <x:c r="AV206" s="34" t="str"/>
      <x:c r="AW206" s="34" t="n">
        <x:v>0</x:v>
      </x:c>
      <x:c r="AX206" s="34" t="str">
        <x:v>3.446647212967946e-06</x:v>
      </x:c>
      <x:c r="AY206" s="40" t="b">
        <x:v>1</x:v>
      </x:c>
      <x:c r="AZ206" s="40" t="b">
        <x:v>1</x:v>
      </x:c>
      <x:c r="BA206" s="40" t="b">
        <x:v>1</x:v>
      </x:c>
      <x:c r="BB206" s="40" t="b">
        <x:v>1</x:v>
      </x:c>
      <x:c r="BC206" s="34" t="str"/>
      <x:c r="BD206" s="34" t="n">
        <x:v>0</x:v>
      </x:c>
      <x:c r="BE206" s="34" t="n">
        <x:v>0</x:v>
      </x:c>
      <x:c r="BF206" s="34" t="n">
        <x:v>0</x:v>
      </x:c>
      <x:c r="BG206" s="34" t="n">
        <x:v>2</x:v>
      </x:c>
      <x:c r="BH206" s="34" t="n">
        <x:v>2</x:v>
      </x:c>
      <x:c r="BI206" s="34" t="n">
        <x:v>0.47641018879999986</x:v>
      </x:c>
      <x:c r="BJ206" s="34" t="n">
        <x:v>0.65</x:v>
      </x:c>
      <x:c r="BK206" s="34" t="n">
        <x:v>2.16</x:v>
      </x:c>
    </x:row>
    <x:row r="207">
      <x:c r="A207" s="34" t="str">
        <x:v>NIPPON_STEEL_JP</x:v>
      </x:c>
      <x:c r="B207" s="34" t="str">
        <x:v>Nippon Steel</x:v>
      </x:c>
      <x:c r="C207" s="34" t="str">
        <x:v>ACCELERATED_15C</x:v>
      </x:c>
      <x:c r="D207" s="34" t="str">
        <x:v>P1</x:v>
      </x:c>
      <x:c r="E207" s="34" t="str">
        <x:v>NS-KYUSHU</x:v>
      </x:c>
      <x:c r="F207" s="34" t="str">
        <x:v>Kyushu Works Yawata 블록</x:v>
      </x:c>
      <x:c r="G207" s="34" t="str">
        <x:v>규슈</x:v>
      </x:c>
      <x:c r="H207" s="34" t="n">
        <x:v>2029</x:v>
      </x:c>
      <x:c r="I207" s="34" t="str">
        <x:v>BF_BOF</x:v>
      </x:c>
      <x:c r="J207" s="34" t="str">
        <x:v>기준 BF-BOF 복합 블록</x:v>
      </x:c>
      <x:c r="K207" s="34" t="str">
        <x:v>SCRAP_EAF</x:v>
      </x:c>
      <x:c r="L207" s="34" t="str">
        <x:v>스크랩 기반 대형 EAF</x:v>
      </x:c>
      <x:c r="M207" s="34" t="n">
        <x:v>6160</x:v>
      </x:c>
      <x:c r="N207" s="34" t="n">
        <x:v>3960</x:v>
      </x:c>
      <x:c r="O207" s="34" t="n">
        <x:v>10</x:v>
      </x:c>
      <x:c r="P207" s="34" t="n">
        <x:v>9</x:v>
      </x:c>
      <x:c r="Q207" s="34" t="n">
        <x:v>19.049562</x:v>
      </x:c>
      <x:c r="R207" s="34" t="n">
        <x:v>4.05</x:v>
      </x:c>
      <x:c r="S207" s="34" t="n">
        <x:v>4.05</x:v>
      </x:c>
      <x:c r="T207" s="34" t="n">
        <x:v>4.05</x:v>
      </x:c>
      <x:c r="U207" s="34" t="n">
        <x:v>14.999562</x:v>
      </x:c>
      <x:c r="V207" s="34" t="n">
        <x:v>179.994744</x:v>
      </x:c>
      <x:c r="W207" s="34" t="n">
        <x:v>2492.385</x:v>
      </x:c>
      <x:c r="X207" s="34" t="n">
        <x:v>958.973</x:v>
      </x:c>
      <x:c r="Y207" s="34" t="n">
        <x:v>11668.319</x:v>
      </x:c>
      <x:c r="Z207" s="34" t="n">
        <x:v>10709.345</x:v>
      </x:c>
      <x:c r="AA207" s="34" t="n">
        <x:v>9175.933</x:v>
      </x:c>
      <x:c r="AB207" s="34" t="n">
        <x:v>1533.412</x:v>
      </x:c>
      <x:c r="AC207" s="34" t="n">
        <x:v>3196.578</x:v>
      </x:c>
      <x:c r="AD207" s="34" t="n">
        <x:v>462.398</x:v>
      </x:c>
      <x:c r="AE207" s="34" t="n">
        <x:v>8009.343</x:v>
      </x:c>
      <x:c r="AF207" s="34" t="n">
        <x:v>0</x:v>
      </x:c>
      <x:c r="AG207" s="34" t="n">
        <x:v>0</x:v>
      </x:c>
      <x:c r="AH207" s="34" t="n">
        <x:v>-9175.933</x:v>
      </x:c>
      <x:c r="AI207" s="34" t="str">
        <x:v>model_estimate</x:v>
      </x:c>
      <x:c r="AJ207" s="34" t="str">
        <x:v>Yawata BF→EAF 공시 방향을 반영해 조기 재투자 창을 설정; 블록 생산량 추정</x:v>
      </x:c>
      <x:c r="AK207" s="34" t="str">
        <x:v>CAND-C1AAA9A0078119</x:v>
      </x:c>
      <x:c r="AL207" s="34" t="str">
        <x:v>P1</x:v>
      </x:c>
      <x:c r="AM207" s="34" t="str">
        <x:v>PORT-9E76B3BFF9FF</x:v>
      </x:c>
      <x:c r="AN207" s="34" t="n">
        <x:v>1000</x:v>
      </x:c>
      <x:c r="AO207" s="34" t="n">
        <x:v>83.290003</x:v>
      </x:c>
      <x:c r="AP207" s="34" t="n">
        <x:v>29.285114</x:v>
      </x:c>
      <x:c r="AQ207" s="34" t="n">
        <x:v>456.103943</x:v>
      </x:c>
      <x:c r="AR207" s="34" t="n">
        <x:v>36907.411</x:v>
      </x:c>
      <x:c r="AS207" s="34" t="n">
        <x:v>80.918861</x:v>
      </x:c>
      <x:c r="AT207" s="40" t="b">
        <x:v>1</x:v>
      </x:c>
      <x:c r="AU207" s="40" t="b">
        <x:v>1</x:v>
      </x:c>
      <x:c r="AV207" s="34" t="str"/>
      <x:c r="AW207" s="34" t="n">
        <x:v>0</x:v>
      </x:c>
      <x:c r="AX207" s="34" t="str">
        <x:v>3.446647212967946e-06</x:v>
      </x:c>
      <x:c r="AY207" s="40" t="b">
        <x:v>1</x:v>
      </x:c>
      <x:c r="AZ207" s="40" t="b">
        <x:v>1</x:v>
      </x:c>
      <x:c r="BA207" s="40" t="b">
        <x:v>1</x:v>
      </x:c>
      <x:c r="BB207" s="40" t="b">
        <x:v>1</x:v>
      </x:c>
      <x:c r="BC207" s="34" t="str"/>
      <x:c r="BD207" s="34" t="n">
        <x:v>0</x:v>
      </x:c>
      <x:c r="BE207" s="34" t="n">
        <x:v>0</x:v>
      </x:c>
      <x:c r="BF207" s="34" t="n">
        <x:v>0</x:v>
      </x:c>
      <x:c r="BG207" s="34" t="n">
        <x:v>2</x:v>
      </x:c>
      <x:c r="BH207" s="34" t="n">
        <x:v>2</x:v>
      </x:c>
      <x:c r="BI207" s="34" t="n">
        <x:v>0.47641018879999986</x:v>
      </x:c>
      <x:c r="BJ207" s="34" t="n">
        <x:v>0.65</x:v>
      </x:c>
      <x:c r="BK207" s="34" t="n">
        <x:v>2.16</x:v>
      </x:c>
    </x:row>
    <x:row r="208">
      <x:c r="A208" s="34" t="str">
        <x:v>NIPPON_STEEL_JP</x:v>
      </x:c>
      <x:c r="B208" s="34" t="str">
        <x:v>Nippon Steel</x:v>
      </x:c>
      <x:c r="C208" s="34" t="str">
        <x:v>ACCELERATED_15C</x:v>
      </x:c>
      <x:c r="D208" s="34" t="str">
        <x:v>P1</x:v>
      </x:c>
      <x:c r="E208" s="34" t="str">
        <x:v>NS-NAGOYA</x:v>
      </x:c>
      <x:c r="F208" s="34" t="str">
        <x:v>Nagoya Works 블록</x:v>
      </x:c>
      <x:c r="G208" s="34" t="str">
        <x:v>나고야</x:v>
      </x:c>
      <x:c r="H208" s="34" t="n">
        <x:v>2032</x:v>
      </x:c>
      <x:c r="I208" s="34" t="str">
        <x:v>BF_BOF</x:v>
      </x:c>
      <x:c r="J208" s="34" t="str">
        <x:v>기준 BF-BOF 복합 블록</x:v>
      </x:c>
      <x:c r="K208" s="34" t="str">
        <x:v>H2_DRI_EAF</x:v>
      </x:c>
      <x:c r="L208" s="34" t="str">
        <x:v>수소 DRI + EAF</x:v>
      </x:c>
      <x:c r="M208" s="34" t="n">
        <x:v>6930</x:v>
      </x:c>
      <x:c r="N208" s="34" t="n">
        <x:v>5390</x:v>
      </x:c>
      <x:c r="O208" s="34" t="n">
        <x:v>7</x:v>
      </x:c>
      <x:c r="P208" s="34" t="n">
        <x:v>6.199998</x:v>
      </x:c>
      <x:c r="Q208" s="34" t="n">
        <x:v>13.123027</x:v>
      </x:c>
      <x:c r="R208" s="34" t="n">
        <x:v>13.123027</x:v>
      </x:c>
      <x:c r="S208" s="34" t="n">
        <x:v>1.24</x:v>
      </x:c>
      <x:c r="T208" s="34" t="n">
        <x:v>1.24</x:v>
      </x:c>
      <x:c r="U208" s="34" t="n">
        <x:v>11.883028</x:v>
      </x:c>
      <x:c r="V208" s="34" t="n">
        <x:v>106.94725</x:v>
      </x:c>
      <x:c r="W208" s="34" t="n">
        <x:v>24515.355</x:v>
      </x:c>
      <x:c r="X208" s="34" t="n">
        <x:v>1296.85</x:v>
      </x:c>
      <x:c r="Y208" s="34" t="n">
        <x:v>30077.52</x:v>
      </x:c>
      <x:c r="Z208" s="34" t="n">
        <x:v>28780.671</x:v>
      </x:c>
      <x:c r="AA208" s="34" t="n">
        <x:v>5562.166</x:v>
      </x:c>
      <x:c r="AB208" s="34" t="n">
        <x:v>23218.505</x:v>
      </x:c>
      <x:c r="AC208" s="34" t="n">
        <x:v>3705.284</x:v>
      </x:c>
      <x:c r="AD208" s="34" t="n">
        <x:v>406.389</x:v>
      </x:c>
      <x:c r="AE208" s="34" t="n">
        <x:v>3191.385</x:v>
      </x:c>
      <x:c r="AF208" s="34" t="n">
        <x:v>22774.462</x:v>
      </x:c>
      <x:c r="AG208" s="34" t="n">
        <x:v>0</x:v>
      </x:c>
      <x:c r="AH208" s="34" t="n">
        <x:v>-5562.166</x:v>
      </x:c>
      <x:c r="AI208" s="34" t="str">
        <x:v>model_estimate</x:v>
      </x:c>
      <x:c r="AJ208" s="34" t="str">
        <x:v>Nippon Steel 공식 생산·배출·용량 총량에 맞춘 지역 블록 배분</x:v>
      </x:c>
      <x:c r="AK208" s="34" t="str">
        <x:v>CAND-C1AAA9A0078119</x:v>
      </x:c>
      <x:c r="AL208" s="34" t="str">
        <x:v>P1</x:v>
      </x:c>
      <x:c r="AM208" s="34" t="str">
        <x:v>PORT-9E76B3BFF9FF</x:v>
      </x:c>
      <x:c r="AN208" s="34" t="n">
        <x:v>1000</x:v>
      </x:c>
      <x:c r="AO208" s="34" t="n">
        <x:v>83.290003</x:v>
      </x:c>
      <x:c r="AP208" s="34" t="n">
        <x:v>29.285114</x:v>
      </x:c>
      <x:c r="AQ208" s="34" t="n">
        <x:v>456.103943</x:v>
      </x:c>
      <x:c r="AR208" s="34" t="n">
        <x:v>36907.411</x:v>
      </x:c>
      <x:c r="AS208" s="34" t="n">
        <x:v>80.918861</x:v>
      </x:c>
      <x:c r="AT208" s="40" t="b">
        <x:v>1</x:v>
      </x:c>
      <x:c r="AU208" s="40" t="b">
        <x:v>1</x:v>
      </x:c>
      <x:c r="AV208" s="34" t="str"/>
      <x:c r="AW208" s="34" t="n">
        <x:v>0</x:v>
      </x:c>
      <x:c r="AX208" s="34" t="str">
        <x:v>3.446647212967946e-06</x:v>
      </x:c>
      <x:c r="AY208" s="40" t="b">
        <x:v>1</x:v>
      </x:c>
      <x:c r="AZ208" s="40" t="b">
        <x:v>1</x:v>
      </x:c>
      <x:c r="BA208" s="40" t="b">
        <x:v>1</x:v>
      </x:c>
      <x:c r="BB208" s="40" t="b">
        <x:v>1</x:v>
      </x:c>
      <x:c r="BC208" s="34" t="str"/>
      <x:c r="BD208" s="34" t="n">
        <x:v>0</x:v>
      </x:c>
      <x:c r="BE208" s="34" t="n">
        <x:v>0</x:v>
      </x:c>
      <x:c r="BF208" s="34" t="n">
        <x:v>0</x:v>
      </x:c>
      <x:c r="BG208" s="34" t="n">
        <x:v>2</x:v>
      </x:c>
      <x:c r="BH208" s="34" t="n">
        <x:v>2</x:v>
      </x:c>
      <x:c r="BI208" s="34" t="n">
        <x:v>0.47641018879999986</x:v>
      </x:c>
      <x:c r="BJ208" s="34" t="n">
        <x:v>0.65</x:v>
      </x:c>
      <x:c r="BK208" s="34" t="n">
        <x:v>2.16</x:v>
      </x:c>
    </x:row>
    <x:row r="209">
      <x:c r="A209" s="34" t="str">
        <x:v>NIPPON_STEEL_JP</x:v>
      </x:c>
      <x:c r="B209" s="34" t="str">
        <x:v>Nippon Steel</x:v>
      </x:c>
      <x:c r="C209" s="34" t="str">
        <x:v>ACCELERATED_15C</x:v>
      </x:c>
      <x:c r="D209" s="34" t="str">
        <x:v>P1</x:v>
      </x:c>
      <x:c r="E209" s="34" t="str">
        <x:v>NS-SETOUCHI</x:v>
      </x:c>
      <x:c r="F209" s="34" t="str">
        <x:v>Setouchi Works Hirohata 블록</x:v>
      </x:c>
      <x:c r="G209" s="34" t="str">
        <x:v>세토우치</x:v>
      </x:c>
      <x:c r="H209" s="34" t="n">
        <x:v>2038</x:v>
      </x:c>
      <x:c r="I209" s="34" t="str">
        <x:v>BF_BOF</x:v>
      </x:c>
      <x:c r="J209" s="34" t="str">
        <x:v>기준 BF-BOF 복합 블록</x:v>
      </x:c>
      <x:c r="K209" s="34" t="str">
        <x:v>SCRAP_EAF</x:v>
      </x:c>
      <x:c r="L209" s="34" t="str">
        <x:v>스크랩 기반 대형 EAF</x:v>
      </x:c>
      <x:c r="M209" s="34" t="n">
        <x:v>4620</x:v>
      </x:c>
      <x:c r="N209" s="34" t="n">
        <x:v>2970</x:v>
      </x:c>
      <x:c r="O209" s="34" t="n">
        <x:v>7.5</x:v>
      </x:c>
      <x:c r="P209" s="34" t="n">
        <x:v>6.3</x:v>
      </x:c>
      <x:c r="Q209" s="34" t="n">
        <x:v>13.334693</x:v>
      </x:c>
      <x:c r="R209" s="34" t="n">
        <x:v>13.334693</x:v>
      </x:c>
      <x:c r="S209" s="34" t="n">
        <x:v>2.835</x:v>
      </x:c>
      <x:c r="T209" s="34" t="n">
        <x:v>2.835</x:v>
      </x:c>
      <x:c r="U209" s="34" t="n">
        <x:v>10.499693</x:v>
      </x:c>
      <x:c r="V209" s="34" t="n">
        <x:v>31.49908</x:v>
      </x:c>
      <x:c r="W209" s="34" t="n">
        <x:v>1061.969</x:v>
      </x:c>
      <x:c r="X209" s="34" t="n">
        <x:v>444.218</x:v>
      </x:c>
      <x:c r="Y209" s="34" t="n">
        <x:v>2695.327</x:v>
      </x:c>
      <x:c r="Z209" s="34" t="n">
        <x:v>2251.11</x:v>
      </x:c>
      <x:c r="AA209" s="34" t="n">
        <x:v>1633.359</x:v>
      </x:c>
      <x:c r="AB209" s="34" t="n">
        <x:v>617.751</x:v>
      </x:c>
      <x:c r="AC209" s="34" t="n">
        <x:v>1480.725</x:v>
      </x:c>
      <x:c r="AD209" s="34" t="n">
        <x:v>53.641</x:v>
      </x:c>
      <x:c r="AE209" s="34" t="n">
        <x:v>1160.962</x:v>
      </x:c>
      <x:c r="AF209" s="34" t="n">
        <x:v>0</x:v>
      </x:c>
      <x:c r="AG209" s="34" t="n">
        <x:v>0</x:v>
      </x:c>
      <x:c r="AH209" s="34" t="n">
        <x:v>-1633.359</x:v>
      </x:c>
      <x:c r="AI209" s="34" t="str">
        <x:v>model_estimate</x:v>
      </x:c>
      <x:c r="AJ209" s="34" t="str">
        <x:v>Hirohata EAF 투자 방향을 반영한 복합 블록; 생산량·재투자연도 추정</x:v>
      </x:c>
      <x:c r="AK209" s="34" t="str">
        <x:v>CAND-C1AAA9A0078119</x:v>
      </x:c>
      <x:c r="AL209" s="34" t="str">
        <x:v>P1</x:v>
      </x:c>
      <x:c r="AM209" s="34" t="str">
        <x:v>PORT-9E76B3BFF9FF</x:v>
      </x:c>
      <x:c r="AN209" s="34" t="n">
        <x:v>1000</x:v>
      </x:c>
      <x:c r="AO209" s="34" t="n">
        <x:v>83.290003</x:v>
      </x:c>
      <x:c r="AP209" s="34" t="n">
        <x:v>29.285114</x:v>
      </x:c>
      <x:c r="AQ209" s="34" t="n">
        <x:v>456.103943</x:v>
      </x:c>
      <x:c r="AR209" s="34" t="n">
        <x:v>36907.411</x:v>
      </x:c>
      <x:c r="AS209" s="34" t="n">
        <x:v>80.918861</x:v>
      </x:c>
      <x:c r="AT209" s="40" t="b">
        <x:v>1</x:v>
      </x:c>
      <x:c r="AU209" s="40" t="b">
        <x:v>1</x:v>
      </x:c>
      <x:c r="AV209" s="34" t="str"/>
      <x:c r="AW209" s="34" t="n">
        <x:v>0</x:v>
      </x:c>
      <x:c r="AX209" s="34" t="str">
        <x:v>3.446647212967946e-06</x:v>
      </x:c>
      <x:c r="AY209" s="40" t="b">
        <x:v>1</x:v>
      </x:c>
      <x:c r="AZ209" s="40" t="b">
        <x:v>1</x:v>
      </x:c>
      <x:c r="BA209" s="40" t="b">
        <x:v>1</x:v>
      </x:c>
      <x:c r="BB209" s="40" t="b">
        <x:v>1</x:v>
      </x:c>
      <x:c r="BC209" s="34" t="str"/>
      <x:c r="BD209" s="34" t="n">
        <x:v>0</x:v>
      </x:c>
      <x:c r="BE209" s="34" t="n">
        <x:v>0</x:v>
      </x:c>
      <x:c r="BF209" s="34" t="n">
        <x:v>0</x:v>
      </x:c>
      <x:c r="BG209" s="34" t="n">
        <x:v>2</x:v>
      </x:c>
      <x:c r="BH209" s="34" t="n">
        <x:v>2</x:v>
      </x:c>
      <x:c r="BI209" s="34" t="n">
        <x:v>0.47641018879999986</x:v>
      </x:c>
      <x:c r="BJ209" s="34" t="n">
        <x:v>0.65</x:v>
      </x:c>
      <x:c r="BK209" s="34" t="n">
        <x:v>2.16</x:v>
      </x:c>
    </x:row>
    <x:row r="210">
      <x:c r="A210" s="34" t="str">
        <x:v>POSCO_KR</x:v>
      </x:c>
      <x:c r="B210" s="34" t="str">
        <x:v>POSCO</x:v>
      </x:c>
      <x:c r="C210" s="34" t="str">
        <x:v>DISCLOSED_PATH</x:v>
      </x:c>
      <x:c r="D210" s="34" t="str">
        <x:v>P1</x:v>
      </x:c>
      <x:c r="E210" s="34" t="str">
        <x:v>POS-GWY-E</x:v>
      </x:c>
      <x:c r="F210" s="34" t="str">
        <x:v>광양제철소 BF 블록 B</x:v>
      </x:c>
      <x:c r="G210" s="34" t="str">
        <x:v>광양</x:v>
      </x:c>
      <x:c r="H210" s="34" t="n">
        <x:v>2037</x:v>
      </x:c>
      <x:c r="I210" s="34" t="str">
        <x:v>BF_BOF</x:v>
      </x:c>
      <x:c r="J210" s="34" t="str">
        <x:v>기준 BF-BOF 복합 블록</x:v>
      </x:c>
      <x:c r="K210" s="34" t="str">
        <x:v>H2_DRI_EAF</x:v>
      </x:c>
      <x:c r="L210" s="34" t="str">
        <x:v>수소 DRI + EAF</x:v>
      </x:c>
      <x:c r="M210" s="34" t="n">
        <x:v>9270</x:v>
      </x:c>
      <x:c r="N210" s="34" t="n">
        <x:v>7210</x:v>
      </x:c>
      <x:c r="O210" s="34" t="n">
        <x:v>10.3</x:v>
      </x:c>
      <x:c r="P210" s="34" t="n">
        <x:v>9.502996</x:v>
      </x:c>
      <x:c r="Q210" s="34" t="n">
        <x:v>19.725693</x:v>
      </x:c>
      <x:c r="R210" s="34" t="n">
        <x:v>19.725693</x:v>
      </x:c>
      <x:c r="S210" s="34" t="n">
        <x:v>1.900599</x:v>
      </x:c>
      <x:c r="T210" s="34" t="n">
        <x:v>1.900599</x:v>
      </x:c>
      <x:c r="U210" s="34" t="n">
        <x:v>17.825093</x:v>
      </x:c>
      <x:c r="V210" s="34" t="n">
        <x:v>71.300373</x:v>
      </x:c>
      <x:c r="W210" s="34" t="n">
        <x:v>11433.805</x:v>
      </x:c>
      <x:c r="X210" s="34" t="n">
        <x:v>834.312</x:v>
      </x:c>
      <x:c r="Y210" s="34" t="n">
        <x:v>13992.993</x:v>
      </x:c>
      <x:c r="Z210" s="34" t="n">
        <x:v>13158.681</x:v>
      </x:c>
      <x:c r="AA210" s="34" t="n">
        <x:v>2559.188</x:v>
      </x:c>
      <x:c r="AB210" s="34" t="n">
        <x:v>10599.493</x:v>
      </x:c>
      <x:c r="AC210" s="34" t="n">
        <x:v>3792.327</x:v>
      </x:c>
      <x:c r="AD210" s="34" t="n">
        <x:v>295.74</x:v>
      </x:c>
      <x:c r="AE210" s="34" t="n">
        <x:v>1153.737</x:v>
      </x:c>
      <x:c r="AF210" s="34" t="n">
        <x:v>8751.189</x:v>
      </x:c>
      <x:c r="AG210" s="34" t="n">
        <x:v>0</x:v>
      </x:c>
      <x:c r="AH210" s="34" t="n">
        <x:v>-2559.188</x:v>
      </x:c>
      <x:c r="AI210" s="34" t="str">
        <x:v>model_estimate</x:v>
      </x:c>
      <x:c r="AJ210" s="34" t="str">
        <x:v>POSCO 공식 국내 생산·배출 총량에 맞춘 설비 블록 배분; 개별 생산량·재투자연도는 추정</x:v>
      </x:c>
      <x:c r="AK210" s="34" t="str">
        <x:v>CAND-C9724A8933A429</x:v>
      </x:c>
      <x:c r="AL210" s="34" t="str">
        <x:v>P1</x:v>
      </x:c>
      <x:c r="AM210" s="34" t="str">
        <x:v>PORT-8826D0B469EE</x:v>
      </x:c>
      <x:c r="AN210" s="34" t="n">
        <x:v>1000</x:v>
      </x:c>
      <x:c r="AO210" s="34" t="n">
        <x:v>66.52577</x:v>
      </x:c>
      <x:c r="AP210" s="34" t="n">
        <x:v>19.8955</x:v>
      </x:c>
      <x:c r="AQ210" s="34" t="n">
        <x:v>429.154227</x:v>
      </x:c>
      <x:c r="AR210" s="34" t="n">
        <x:v>27787.608</x:v>
      </x:c>
      <x:c r="AS210" s="34" t="n">
        <x:v>64.749702</x:v>
      </x:c>
      <x:c r="AT210" s="40" t="b">
        <x:v>1</x:v>
      </x:c>
      <x:c r="AU210" s="40" t="b">
        <x:v>1</x:v>
      </x:c>
      <x:c r="AV210" s="34" t="str"/>
      <x:c r="AW210" s="34" t="n">
        <x:v>0</x:v>
      </x:c>
      <x:c r="AX210" s="34" t="str">
        <x:v>2.0275124185786808e-05</x:v>
      </x:c>
      <x:c r="AY210" s="40" t="b">
        <x:v>1</x:v>
      </x:c>
      <x:c r="AZ210" s="40" t="b">
        <x:v>1</x:v>
      </x:c>
      <x:c r="BA210" s="40" t="b">
        <x:v>1</x:v>
      </x:c>
      <x:c r="BB210" s="40" t="b">
        <x:v>1</x:v>
      </x:c>
      <x:c r="BC210" s="34" t="str"/>
      <x:c r="BD210" s="34" t="n">
        <x:v>0</x:v>
      </x:c>
      <x:c r="BE210" s="34" t="n">
        <x:v>0</x:v>
      </x:c>
      <x:c r="BF210" s="34" t="n">
        <x:v>0</x:v>
      </x:c>
      <x:c r="BG210" s="34" t="n">
        <x:v>3</x:v>
      </x:c>
      <x:c r="BH210" s="34" t="n">
        <x:v>3</x:v>
      </x:c>
      <x:c r="BI210" s="34" t="n">
        <x:v>0.459336608</x:v>
      </x:c>
      <x:c r="BJ210" s="34" t="n">
        <x:v>0.65</x:v>
      </x:c>
      <x:c r="BK210" s="34" t="n">
        <x:v>2.02</x:v>
      </x:c>
    </x:row>
    <x:row r="211">
      <x:c r="A211" s="34" t="str">
        <x:v>POSCO_KR</x:v>
      </x:c>
      <x:c r="B211" s="34" t="str">
        <x:v>POSCO</x:v>
      </x:c>
      <x:c r="C211" s="34" t="str">
        <x:v>DISCLOSED_PATH</x:v>
      </x:c>
      <x:c r="D211" s="34" t="str">
        <x:v>P1</x:v>
      </x:c>
      <x:c r="E211" s="34" t="str">
        <x:v>POS-GWY-EAF</x:v>
      </x:c>
      <x:c r="F211" s="34" t="str">
        <x:v>광양 기존 EAF 블록</x:v>
      </x:c>
      <x:c r="G211" s="34" t="str">
        <x:v>광양</x:v>
      </x:c>
      <x:c r="H211" s="34" t="n">
        <x:v>2033</x:v>
      </x:c>
      <x:c r="I211" s="34" t="str">
        <x:v>EAF_BASELINE</x:v>
      </x:c>
      <x:c r="J211" s="34" t="str">
        <x:v>기존 전기로 기준 블록</x:v>
      </x:c>
      <x:c r="K211" s="34" t="str">
        <x:v>EAF_RENEWABLE</x:v>
      </x:c>
      <x:c r="L211" s="34" t="str">
        <x:v>기존 EAF 재생전력 업그레이드</x:v>
      </x:c>
      <x:c r="M211" s="34" t="n">
        <x:v>312</x:v>
      </x:c>
      <x:c r="N211" s="34" t="n">
        <x:v>96</x:v>
      </x:c>
      <x:c r="O211" s="34" t="n">
        <x:v>1.2</x:v>
      </x:c>
      <x:c r="P211" s="34" t="n">
        <x:v>1.134</x:v>
      </x:c>
      <x:c r="Q211" s="34" t="n">
        <x:v>0.5103</x:v>
      </x:c>
      <x:c r="R211" s="34" t="n">
        <x:v>0.5103</x:v>
      </x:c>
      <x:c r="S211" s="34" t="n">
        <x:v>0.1134</x:v>
      </x:c>
      <x:c r="T211" s="34" t="n">
        <x:v>0.1134</x:v>
      </x:c>
      <x:c r="U211" s="34" t="n">
        <x:v>0.3969</x:v>
      </x:c>
      <x:c r="V211" s="34" t="n">
        <x:v>3.1752</x:v>
      </x:c>
      <x:c r="W211" s="34" t="n">
        <x:v>0.246</x:v>
      </x:c>
      <x:c r="X211" s="34" t="n">
        <x:v>6.255</x:v>
      </x:c>
      <x:c r="Y211" s="34" t="n">
        <x:v>115.773</x:v>
      </x:c>
      <x:c r="Z211" s="34" t="n">
        <x:v>109.517</x:v>
      </x:c>
      <x:c r="AA211" s="34" t="n">
        <x:v>115.527</x:v>
      </x:c>
      <x:c r="AB211" s="34" t="n">
        <x:v>-6.009</x:v>
      </x:c>
      <x:c r="AC211" s="34" t="n">
        <x:v>62.553</x:v>
      </x:c>
      <x:c r="AD211" s="34" t="n">
        <x:v>14.814</x:v>
      </x:c>
      <x:c r="AE211" s="34" t="n">
        <x:v>38.405</x:v>
      </x:c>
      <x:c r="AF211" s="34" t="n">
        <x:v>0</x:v>
      </x:c>
      <x:c r="AG211" s="34" t="n">
        <x:v>0</x:v>
      </x:c>
      <x:c r="AH211" s="34" t="n">
        <x:v>-115.527</x:v>
      </x:c>
      <x:c r="AI211" s="34" t="str">
        <x:v>model_estimate</x:v>
      </x:c>
      <x:c r="AJ211" s="34" t="str">
        <x:v>2025 공식 EAF 생산 1.135Mt에 맞춘 모델 블록; 집약도·재투자연도 추정</x:v>
      </x:c>
      <x:c r="AK211" s="34" t="str">
        <x:v>CAND-C9724A8933A429</x:v>
      </x:c>
      <x:c r="AL211" s="34" t="str">
        <x:v>P1</x:v>
      </x:c>
      <x:c r="AM211" s="34" t="str">
        <x:v>PORT-8826D0B469EE</x:v>
      </x:c>
      <x:c r="AN211" s="34" t="n">
        <x:v>1000</x:v>
      </x:c>
      <x:c r="AO211" s="34" t="n">
        <x:v>66.52577</x:v>
      </x:c>
      <x:c r="AP211" s="34" t="n">
        <x:v>19.8955</x:v>
      </x:c>
      <x:c r="AQ211" s="34" t="n">
        <x:v>429.154227</x:v>
      </x:c>
      <x:c r="AR211" s="34" t="n">
        <x:v>27787.608</x:v>
      </x:c>
      <x:c r="AS211" s="34" t="n">
        <x:v>64.749702</x:v>
      </x:c>
      <x:c r="AT211" s="40" t="b">
        <x:v>1</x:v>
      </x:c>
      <x:c r="AU211" s="40" t="b">
        <x:v>1</x:v>
      </x:c>
      <x:c r="AV211" s="34" t="str"/>
      <x:c r="AW211" s="34" t="n">
        <x:v>0</x:v>
      </x:c>
      <x:c r="AX211" s="34" t="str">
        <x:v>2.0275124185786808e-05</x:v>
      </x:c>
      <x:c r="AY211" s="40" t="b">
        <x:v>1</x:v>
      </x:c>
      <x:c r="AZ211" s="40" t="b">
        <x:v>1</x:v>
      </x:c>
      <x:c r="BA211" s="40" t="b">
        <x:v>1</x:v>
      </x:c>
      <x:c r="BB211" s="40" t="b">
        <x:v>1</x:v>
      </x:c>
      <x:c r="BC211" s="34" t="str"/>
      <x:c r="BD211" s="34" t="n">
        <x:v>0</x:v>
      </x:c>
      <x:c r="BE211" s="34" t="n">
        <x:v>0</x:v>
      </x:c>
      <x:c r="BF211" s="34" t="n">
        <x:v>0</x:v>
      </x:c>
      <x:c r="BG211" s="34" t="n">
        <x:v>3</x:v>
      </x:c>
      <x:c r="BH211" s="34" t="n">
        <x:v>3</x:v>
      </x:c>
      <x:c r="BI211" s="34" t="n">
        <x:v>0.459336608</x:v>
      </x:c>
      <x:c r="BJ211" s="34" t="n">
        <x:v>0.65</x:v>
      </x:c>
      <x:c r="BK211" s="34" t="n">
        <x:v>2.02</x:v>
      </x:c>
    </x:row>
    <x:row r="212">
      <x:c r="A212" s="34" t="str">
        <x:v>POSCO_KR</x:v>
      </x:c>
      <x:c r="B212" s="34" t="str">
        <x:v>POSCO</x:v>
      </x:c>
      <x:c r="C212" s="34" t="str">
        <x:v>DISCLOSED_PATH</x:v>
      </x:c>
      <x:c r="D212" s="34" t="str">
        <x:v>P1</x:v>
      </x:c>
      <x:c r="E212" s="34" t="str">
        <x:v>POS-GWY-W</x:v>
      </x:c>
      <x:c r="F212" s="34" t="str">
        <x:v>광양제철소 BF 블록 A</x:v>
      </x:c>
      <x:c r="G212" s="34" t="str">
        <x:v>광양</x:v>
      </x:c>
      <x:c r="H212" s="34" t="n">
        <x:v>2035</x:v>
      </x:c>
      <x:c r="I212" s="34" t="str">
        <x:v>BF_BOF</x:v>
      </x:c>
      <x:c r="J212" s="34" t="str">
        <x:v>기준 BF-BOF 복합 블록</x:v>
      </x:c>
      <x:c r="K212" s="34" t="str">
        <x:v>H2_DRI_EAF</x:v>
      </x:c>
      <x:c r="L212" s="34" t="str">
        <x:v>수소 DRI + EAF</x:v>
      </x:c>
      <x:c r="M212" s="34" t="n">
        <x:v>9270</x:v>
      </x:c>
      <x:c r="N212" s="34" t="n">
        <x:v>7210</x:v>
      </x:c>
      <x:c r="O212" s="34" t="n">
        <x:v>10.3</x:v>
      </x:c>
      <x:c r="P212" s="34" t="n">
        <x:v>9.499999</x:v>
      </x:c>
      <x:c r="Q212" s="34" t="n">
        <x:v>19.719471</x:v>
      </x:c>
      <x:c r="R212" s="34" t="n">
        <x:v>19.719471</x:v>
      </x:c>
      <x:c r="S212" s="34" t="n">
        <x:v>1.9</x:v>
      </x:c>
      <x:c r="T212" s="34" t="n">
        <x:v>1.9</x:v>
      </x:c>
      <x:c r="U212" s="34" t="n">
        <x:v>17.819471</x:v>
      </x:c>
      <x:c r="V212" s="34" t="n">
        <x:v>106.916827</x:v>
      </x:c>
      <x:c r="W212" s="34" t="n">
        <x:v>16425.848</x:v>
      </x:c>
      <x:c r="X212" s="34" t="n">
        <x:v>928.61</x:v>
      </x:c>
      <x:c r="Y212" s="34" t="n">
        <x:v>20295.554</x:v>
      </x:c>
      <x:c r="Z212" s="34" t="n">
        <x:v>19366.944</x:v>
      </x:c>
      <x:c r="AA212" s="34" t="n">
        <x:v>3869.706</x:v>
      </x:c>
      <x:c r="AB212" s="34" t="n">
        <x:v>15497.238</x:v>
      </x:c>
      <x:c r="AC212" s="34" t="n">
        <x:v>4220.954</x:v>
      </x:c>
      <x:c r="AD212" s="34" t="n">
        <x:v>468.979</x:v>
      </x:c>
      <x:c r="AE212" s="34" t="n">
        <x:v>1808.57</x:v>
      </x:c>
      <x:c r="AF212" s="34" t="n">
        <x:v>13797.051</x:v>
      </x:c>
      <x:c r="AG212" s="34" t="n">
        <x:v>0</x:v>
      </x:c>
      <x:c r="AH212" s="34" t="n">
        <x:v>-3869.706</x:v>
      </x:c>
      <x:c r="AI212" s="34" t="str">
        <x:v>model_estimate</x:v>
      </x:c>
      <x:c r="AJ212" s="34" t="str">
        <x:v>POSCO 공식 국내 생산·배출 총량에 맞춘 설비 블록 배분; 개별 생산량·재투자연도는 추정</x:v>
      </x:c>
      <x:c r="AK212" s="34" t="str">
        <x:v>CAND-C9724A8933A429</x:v>
      </x:c>
      <x:c r="AL212" s="34" t="str">
        <x:v>P1</x:v>
      </x:c>
      <x:c r="AM212" s="34" t="str">
        <x:v>PORT-8826D0B469EE</x:v>
      </x:c>
      <x:c r="AN212" s="34" t="n">
        <x:v>1000</x:v>
      </x:c>
      <x:c r="AO212" s="34" t="n">
        <x:v>66.52577</x:v>
      </x:c>
      <x:c r="AP212" s="34" t="n">
        <x:v>19.8955</x:v>
      </x:c>
      <x:c r="AQ212" s="34" t="n">
        <x:v>429.154227</x:v>
      </x:c>
      <x:c r="AR212" s="34" t="n">
        <x:v>27787.608</x:v>
      </x:c>
      <x:c r="AS212" s="34" t="n">
        <x:v>64.749702</x:v>
      </x:c>
      <x:c r="AT212" s="40" t="b">
        <x:v>1</x:v>
      </x:c>
      <x:c r="AU212" s="40" t="b">
        <x:v>1</x:v>
      </x:c>
      <x:c r="AV212" s="34" t="str"/>
      <x:c r="AW212" s="34" t="n">
        <x:v>0</x:v>
      </x:c>
      <x:c r="AX212" s="34" t="str">
        <x:v>2.0275124185786808e-05</x:v>
      </x:c>
      <x:c r="AY212" s="40" t="b">
        <x:v>1</x:v>
      </x:c>
      <x:c r="AZ212" s="40" t="b">
        <x:v>1</x:v>
      </x:c>
      <x:c r="BA212" s="40" t="b">
        <x:v>1</x:v>
      </x:c>
      <x:c r="BB212" s="40" t="b">
        <x:v>1</x:v>
      </x:c>
      <x:c r="BC212" s="34" t="str"/>
      <x:c r="BD212" s="34" t="n">
        <x:v>0</x:v>
      </x:c>
      <x:c r="BE212" s="34" t="n">
        <x:v>0</x:v>
      </x:c>
      <x:c r="BF212" s="34" t="n">
        <x:v>0</x:v>
      </x:c>
      <x:c r="BG212" s="34" t="n">
        <x:v>3</x:v>
      </x:c>
      <x:c r="BH212" s="34" t="n">
        <x:v>3</x:v>
      </x:c>
      <x:c r="BI212" s="34" t="n">
        <x:v>0.459336608</x:v>
      </x:c>
      <x:c r="BJ212" s="34" t="n">
        <x:v>0.65</x:v>
      </x:c>
      <x:c r="BK212" s="34" t="n">
        <x:v>2.02</x:v>
      </x:c>
    </x:row>
    <x:row r="213">
      <x:c r="A213" s="34" t="str">
        <x:v>POSCO_KR</x:v>
      </x:c>
      <x:c r="B213" s="34" t="str">
        <x:v>POSCO</x:v>
      </x:c>
      <x:c r="C213" s="34" t="str">
        <x:v>DISCLOSED_PATH</x:v>
      </x:c>
      <x:c r="D213" s="34" t="str">
        <x:v>P1</x:v>
      </x:c>
      <x:c r="E213" s="34" t="str">
        <x:v>POS-POH-N</x:v>
      </x:c>
      <x:c r="F213" s="34" t="str">
        <x:v>포항제철소 BF 블록 A</x:v>
      </x:c>
      <x:c r="G213" s="34" t="str">
        <x:v>포항</x:v>
      </x:c>
      <x:c r="H213" s="34" t="n">
        <x:v>2029</x:v>
      </x:c>
      <x:c r="I213" s="34" t="str">
        <x:v>BF_BOF</x:v>
      </x:c>
      <x:c r="J213" s="34" t="str">
        <x:v>기준 BF-BOF 복합 블록</x:v>
      </x:c>
      <x:c r="K213" s="34" t="str">
        <x:v>SCRAP_EAF</x:v>
      </x:c>
      <x:c r="L213" s="34" t="str">
        <x:v>스크랩 기반 대형 EAF</x:v>
      </x:c>
      <x:c r="M213" s="34" t="n">
        <x:v>4592</x:v>
      </x:c>
      <x:c r="N213" s="34" t="n">
        <x:v>2952</x:v>
      </x:c>
      <x:c r="O213" s="34" t="n">
        <x:v>8.2</x:v>
      </x:c>
      <x:c r="P213" s="34" t="n">
        <x:v>7.599998</x:v>
      </x:c>
      <x:c r="Q213" s="34" t="n">
        <x:v>15.775574</x:v>
      </x:c>
      <x:c r="R213" s="34" t="n">
        <x:v>3.419999</x:v>
      </x:c>
      <x:c r="S213" s="34" t="n">
        <x:v>3.419999</x:v>
      </x:c>
      <x:c r="T213" s="34" t="n">
        <x:v>3.419999</x:v>
      </x:c>
      <x:c r="U213" s="34" t="n">
        <x:v>12.355575</x:v>
      </x:c>
      <x:c r="V213" s="34" t="n">
        <x:v>148.266898</x:v>
      </x:c>
      <x:c r="W213" s="34" t="n">
        <x:v>1376.259</x:v>
      </x:c>
      <x:c r="X213" s="34" t="n">
        <x:v>357.436</x:v>
      </x:c>
      <x:c r="Y213" s="34" t="n">
        <x:v>6763.368</x:v>
      </x:c>
      <x:c r="Z213" s="34" t="n">
        <x:v>6405.932</x:v>
      </x:c>
      <x:c r="AA213" s="34" t="n">
        <x:v>5387.108</x:v>
      </x:c>
      <x:c r="AB213" s="34" t="n">
        <x:v>1018.824</x:v>
      </x:c>
      <x:c r="AC213" s="34" t="n">
        <x:v>2382.904</x:v>
      </x:c>
      <x:c r="AD213" s="34" t="n">
        <x:v>446.25</x:v>
      </x:c>
      <x:c r="AE213" s="34" t="n">
        <x:v>3934.214</x:v>
      </x:c>
      <x:c r="AF213" s="34" t="n">
        <x:v>0</x:v>
      </x:c>
      <x:c r="AG213" s="34" t="n">
        <x:v>0</x:v>
      </x:c>
      <x:c r="AH213" s="34" t="n">
        <x:v>-5387.108</x:v>
      </x:c>
      <x:c r="AI213" s="34" t="str">
        <x:v>model_estimate</x:v>
      </x:c>
      <x:c r="AJ213" s="34" t="str">
        <x:v>POSCO 공식 국내 생산·배출 총량에 맞춘 설비 블록 배분; 개별 생산량·재투자연도는 추정</x:v>
      </x:c>
      <x:c r="AK213" s="34" t="str">
        <x:v>CAND-C9724A8933A429</x:v>
      </x:c>
      <x:c r="AL213" s="34" t="str">
        <x:v>P1</x:v>
      </x:c>
      <x:c r="AM213" s="34" t="str">
        <x:v>PORT-8826D0B469EE</x:v>
      </x:c>
      <x:c r="AN213" s="34" t="n">
        <x:v>1000</x:v>
      </x:c>
      <x:c r="AO213" s="34" t="n">
        <x:v>66.52577</x:v>
      </x:c>
      <x:c r="AP213" s="34" t="n">
        <x:v>19.8955</x:v>
      </x:c>
      <x:c r="AQ213" s="34" t="n">
        <x:v>429.154227</x:v>
      </x:c>
      <x:c r="AR213" s="34" t="n">
        <x:v>27787.608</x:v>
      </x:c>
      <x:c r="AS213" s="34" t="n">
        <x:v>64.749702</x:v>
      </x:c>
      <x:c r="AT213" s="40" t="b">
        <x:v>1</x:v>
      </x:c>
      <x:c r="AU213" s="40" t="b">
        <x:v>1</x:v>
      </x:c>
      <x:c r="AV213" s="34" t="str"/>
      <x:c r="AW213" s="34" t="n">
        <x:v>0</x:v>
      </x:c>
      <x:c r="AX213" s="34" t="str">
        <x:v>2.0275124185786808e-05</x:v>
      </x:c>
      <x:c r="AY213" s="40" t="b">
        <x:v>1</x:v>
      </x:c>
      <x:c r="AZ213" s="40" t="b">
        <x:v>1</x:v>
      </x:c>
      <x:c r="BA213" s="40" t="b">
        <x:v>1</x:v>
      </x:c>
      <x:c r="BB213" s="40" t="b">
        <x:v>1</x:v>
      </x:c>
      <x:c r="BC213" s="34" t="str"/>
      <x:c r="BD213" s="34" t="n">
        <x:v>0</x:v>
      </x:c>
      <x:c r="BE213" s="34" t="n">
        <x:v>0</x:v>
      </x:c>
      <x:c r="BF213" s="34" t="n">
        <x:v>0</x:v>
      </x:c>
      <x:c r="BG213" s="34" t="n">
        <x:v>3</x:v>
      </x:c>
      <x:c r="BH213" s="34" t="n">
        <x:v>3</x:v>
      </x:c>
      <x:c r="BI213" s="34" t="n">
        <x:v>0.459336608</x:v>
      </x:c>
      <x:c r="BJ213" s="34" t="n">
        <x:v>0.65</x:v>
      </x:c>
      <x:c r="BK213" s="34" t="n">
        <x:v>2.02</x:v>
      </x:c>
    </x:row>
    <x:row r="214">
      <x:c r="A214" s="34" t="str">
        <x:v>POSCO_KR</x:v>
      </x:c>
      <x:c r="B214" s="34" t="str">
        <x:v>POSCO</x:v>
      </x:c>
      <x:c r="C214" s="34" t="str">
        <x:v>DISCLOSED_PATH</x:v>
      </x:c>
      <x:c r="D214" s="34" t="str">
        <x:v>P1</x:v>
      </x:c>
      <x:c r="E214" s="34" t="str">
        <x:v>POS-POH-S</x:v>
      </x:c>
      <x:c r="F214" s="34" t="str">
        <x:v>포항제철소 BF 블록 B</x:v>
      </x:c>
      <x:c r="G214" s="34" t="str">
        <x:v>포항</x:v>
      </x:c>
      <x:c r="H214" s="34" t="n">
        <x:v>2032</x:v>
      </x:c>
      <x:c r="I214" s="34" t="str">
        <x:v>BF_BOF</x:v>
      </x:c>
      <x:c r="J214" s="34" t="str">
        <x:v>기준 BF-BOF 복합 블록</x:v>
      </x:c>
      <x:c r="K214" s="34" t="str">
        <x:v>SCRAP_EAF</x:v>
      </x:c>
      <x:c r="L214" s="34" t="str">
        <x:v>스크랩 기반 대형 EAF</x:v>
      </x:c>
      <x:c r="M214" s="34" t="n">
        <x:v>4144</x:v>
      </x:c>
      <x:c r="N214" s="34" t="n">
        <x:v>2664</x:v>
      </x:c>
      <x:c r="O214" s="34" t="n">
        <x:v>7.4</x:v>
      </x:c>
      <x:c r="P214" s="34" t="n">
        <x:v>6.800001</x:v>
      </x:c>
      <x:c r="Q214" s="34" t="n">
        <x:v>14.114992</x:v>
      </x:c>
      <x:c r="R214" s="34" t="n">
        <x:v>14.114992</x:v>
      </x:c>
      <x:c r="S214" s="34" t="n">
        <x:v>3.06</x:v>
      </x:c>
      <x:c r="T214" s="34" t="n">
        <x:v>3.06</x:v>
      </x:c>
      <x:c r="U214" s="34" t="n">
        <x:v>11.054992</x:v>
      </x:c>
      <x:c r="V214" s="34" t="n">
        <x:v>99.49493</x:v>
      </x:c>
      <x:c r="W214" s="34" t="n">
        <x:v>952.763</x:v>
      </x:c>
      <x:c r="X214" s="34" t="n">
        <x:v>274.7</x:v>
      </x:c>
      <x:c r="Y214" s="34" t="n">
        <x:v>4577.525</x:v>
      </x:c>
      <x:c r="Z214" s="34" t="n">
        <x:v>4302.826</x:v>
      </x:c>
      <x:c r="AA214" s="34" t="n">
        <x:v>3624.763</x:v>
      </x:c>
      <x:c r="AB214" s="34" t="n">
        <x:v>678.063</x:v>
      </x:c>
      <x:c r="AC214" s="34" t="n">
        <x:v>1831.332</x:v>
      </x:c>
      <x:c r="AD214" s="34" t="n">
        <x:v>274.288</x:v>
      </x:c>
      <x:c r="AE214" s="34" t="n">
        <x:v>2471.906</x:v>
      </x:c>
      <x:c r="AF214" s="34" t="n">
        <x:v>0</x:v>
      </x:c>
      <x:c r="AG214" s="34" t="n">
        <x:v>0</x:v>
      </x:c>
      <x:c r="AH214" s="34" t="n">
        <x:v>-3624.763</x:v>
      </x:c>
      <x:c r="AI214" s="34" t="str">
        <x:v>model_estimate</x:v>
      </x:c>
      <x:c r="AJ214" s="34" t="str">
        <x:v>POSCO 공식 국내 생산·배출 총량에 맞춘 설비 블록 배분; 개별 생산량·재투자연도는 추정</x:v>
      </x:c>
      <x:c r="AK214" s="34" t="str">
        <x:v>CAND-C9724A8933A429</x:v>
      </x:c>
      <x:c r="AL214" s="34" t="str">
        <x:v>P1</x:v>
      </x:c>
      <x:c r="AM214" s="34" t="str">
        <x:v>PORT-8826D0B469EE</x:v>
      </x:c>
      <x:c r="AN214" s="34" t="n">
        <x:v>1000</x:v>
      </x:c>
      <x:c r="AO214" s="34" t="n">
        <x:v>66.52577</x:v>
      </x:c>
      <x:c r="AP214" s="34" t="n">
        <x:v>19.8955</x:v>
      </x:c>
      <x:c r="AQ214" s="34" t="n">
        <x:v>429.154227</x:v>
      </x:c>
      <x:c r="AR214" s="34" t="n">
        <x:v>27787.608</x:v>
      </x:c>
      <x:c r="AS214" s="34" t="n">
        <x:v>64.749702</x:v>
      </x:c>
      <x:c r="AT214" s="40" t="b">
        <x:v>1</x:v>
      </x:c>
      <x:c r="AU214" s="40" t="b">
        <x:v>1</x:v>
      </x:c>
      <x:c r="AV214" s="34" t="str"/>
      <x:c r="AW214" s="34" t="n">
        <x:v>0</x:v>
      </x:c>
      <x:c r="AX214" s="34" t="str">
        <x:v>2.0275124185786808e-05</x:v>
      </x:c>
      <x:c r="AY214" s="40" t="b">
        <x:v>1</x:v>
      </x:c>
      <x:c r="AZ214" s="40" t="b">
        <x:v>1</x:v>
      </x:c>
      <x:c r="BA214" s="40" t="b">
        <x:v>1</x:v>
      </x:c>
      <x:c r="BB214" s="40" t="b">
        <x:v>1</x:v>
      </x:c>
      <x:c r="BC214" s="34" t="str"/>
      <x:c r="BD214" s="34" t="n">
        <x:v>0</x:v>
      </x:c>
      <x:c r="BE214" s="34" t="n">
        <x:v>0</x:v>
      </x:c>
      <x:c r="BF214" s="34" t="n">
        <x:v>0</x:v>
      </x:c>
      <x:c r="BG214" s="34" t="n">
        <x:v>3</x:v>
      </x:c>
      <x:c r="BH214" s="34" t="n">
        <x:v>3</x:v>
      </x:c>
      <x:c r="BI214" s="34" t="n">
        <x:v>0.459336608</x:v>
      </x:c>
      <x:c r="BJ214" s="34" t="n">
        <x:v>0.65</x:v>
      </x:c>
      <x:c r="BK214" s="34" t="n">
        <x:v>2.02</x:v>
      </x:c>
    </x:row>
    <x:row r="215">
      <x:c r="A215" s="34" t="str">
        <x:v>POSCO_KR</x:v>
      </x:c>
      <x:c r="B215" s="34" t="str">
        <x:v>POSCO</x:v>
      </x:c>
      <x:c r="C215" s="34" t="str">
        <x:v>ACCELERATED_15C</x:v>
      </x:c>
      <x:c r="D215" s="34" t="str">
        <x:v>P1</x:v>
      </x:c>
      <x:c r="E215" s="34" t="str">
        <x:v>POS-GWY-E</x:v>
      </x:c>
      <x:c r="F215" s="34" t="str">
        <x:v>광양제철소 BF 블록 B</x:v>
      </x:c>
      <x:c r="G215" s="34" t="str">
        <x:v>광양</x:v>
      </x:c>
      <x:c r="H215" s="34" t="n">
        <x:v>2037</x:v>
      </x:c>
      <x:c r="I215" s="34" t="str">
        <x:v>BF_BOF</x:v>
      </x:c>
      <x:c r="J215" s="34" t="str">
        <x:v>기준 BF-BOF 복합 블록</x:v>
      </x:c>
      <x:c r="K215" s="34" t="str">
        <x:v>H2_DRI_EAF</x:v>
      </x:c>
      <x:c r="L215" s="34" t="str">
        <x:v>수소 DRI + EAF</x:v>
      </x:c>
      <x:c r="M215" s="34" t="n">
        <x:v>9270</x:v>
      </x:c>
      <x:c r="N215" s="34" t="n">
        <x:v>7210</x:v>
      </x:c>
      <x:c r="O215" s="34" t="n">
        <x:v>10.3</x:v>
      </x:c>
      <x:c r="P215" s="34" t="n">
        <x:v>9.502996</x:v>
      </x:c>
      <x:c r="Q215" s="34" t="n">
        <x:v>19.725693</x:v>
      </x:c>
      <x:c r="R215" s="34" t="n">
        <x:v>19.725693</x:v>
      </x:c>
      <x:c r="S215" s="34" t="n">
        <x:v>1.900599</x:v>
      </x:c>
      <x:c r="T215" s="34" t="n">
        <x:v>1.900599</x:v>
      </x:c>
      <x:c r="U215" s="34" t="n">
        <x:v>17.825093</x:v>
      </x:c>
      <x:c r="V215" s="34" t="n">
        <x:v>71.300373</x:v>
      </x:c>
      <x:c r="W215" s="34" t="n">
        <x:v>11228.957</x:v>
      </x:c>
      <x:c r="X215" s="34" t="n">
        <x:v>1137.698</x:v>
      </x:c>
      <x:c r="Y215" s="34" t="n">
        <x:v>15016.511</x:v>
      </x:c>
      <x:c r="Z215" s="34" t="n">
        <x:v>13878.813</x:v>
      </x:c>
      <x:c r="AA215" s="34" t="n">
        <x:v>3787.555</x:v>
      </x:c>
      <x:c r="AB215" s="34" t="n">
        <x:v>10091.259</x:v>
      </x:c>
      <x:c r="AC215" s="34" t="n">
        <x:v>3792.327</x:v>
      </x:c>
      <x:c r="AD215" s="34" t="n">
        <x:v>295.74</x:v>
      </x:c>
      <x:c r="AE215" s="34" t="n">
        <x:v>1311.15</x:v>
      </x:c>
      <x:c r="AF215" s="34" t="n">
        <x:v>9617.294</x:v>
      </x:c>
      <x:c r="AG215" s="34" t="n">
        <x:v>0</x:v>
      </x:c>
      <x:c r="AH215" s="34" t="n">
        <x:v>-3787.555</x:v>
      </x:c>
      <x:c r="AI215" s="34" t="str">
        <x:v>model_estimate</x:v>
      </x:c>
      <x:c r="AJ215" s="34" t="str">
        <x:v>POSCO 공식 국내 생산·배출 총량에 맞춘 설비 블록 배분; 개별 생산량·재투자연도는 추정</x:v>
      </x:c>
      <x:c r="AK215" s="34" t="str">
        <x:v>CAND-C9724A8933A429</x:v>
      </x:c>
      <x:c r="AL215" s="34" t="str">
        <x:v>P1</x:v>
      </x:c>
      <x:c r="AM215" s="34" t="str">
        <x:v>PORT-8826D0B469EE</x:v>
      </x:c>
      <x:c r="AN215" s="34" t="n">
        <x:v>1000</x:v>
      </x:c>
      <x:c r="AO215" s="34" t="n">
        <x:v>55.311045</x:v>
      </x:c>
      <x:c r="AP215" s="34" t="n">
        <x:v>21.722854</x:v>
      </x:c>
      <x:c r="AQ215" s="34" t="n">
        <x:v>429.154227</x:v>
      </x:c>
      <x:c r="AR215" s="34" t="n">
        <x:v>22967.067</x:v>
      </x:c>
      <x:c r="AS215" s="34" t="n">
        <x:v>53.517047</x:v>
      </x:c>
      <x:c r="AT215" s="40" t="b">
        <x:v>1</x:v>
      </x:c>
      <x:c r="AU215" s="40" t="b">
        <x:v>1</x:v>
      </x:c>
      <x:c r="AV215" s="34" t="str"/>
      <x:c r="AW215" s="34" t="n">
        <x:v>0</x:v>
      </x:c>
      <x:c r="AX215" s="34" t="str">
        <x:v>2.0275124185786808e-05</x:v>
      </x:c>
      <x:c r="AY215" s="40" t="b">
        <x:v>1</x:v>
      </x:c>
      <x:c r="AZ215" s="40" t="b">
        <x:v>1</x:v>
      </x:c>
      <x:c r="BA215" s="40" t="b">
        <x:v>1</x:v>
      </x:c>
      <x:c r="BB215" s="40" t="b">
        <x:v>1</x:v>
      </x:c>
      <x:c r="BC215" s="34" t="str"/>
      <x:c r="BD215" s="34" t="n">
        <x:v>0</x:v>
      </x:c>
      <x:c r="BE215" s="34" t="n">
        <x:v>0</x:v>
      </x:c>
      <x:c r="BF215" s="34" t="n">
        <x:v>0</x:v>
      </x:c>
      <x:c r="BG215" s="34" t="n">
        <x:v>3</x:v>
      </x:c>
      <x:c r="BH215" s="34" t="n">
        <x:v>3</x:v>
      </x:c>
      <x:c r="BI215" s="34" t="n">
        <x:v>0.459336608</x:v>
      </x:c>
      <x:c r="BJ215" s="34" t="n">
        <x:v>0.65</x:v>
      </x:c>
      <x:c r="BK215" s="34" t="n">
        <x:v>2.02</x:v>
      </x:c>
    </x:row>
    <x:row r="216">
      <x:c r="A216" s="34" t="str">
        <x:v>POSCO_KR</x:v>
      </x:c>
      <x:c r="B216" s="34" t="str">
        <x:v>POSCO</x:v>
      </x:c>
      <x:c r="C216" s="34" t="str">
        <x:v>ACCELERATED_15C</x:v>
      </x:c>
      <x:c r="D216" s="34" t="str">
        <x:v>P1</x:v>
      </x:c>
      <x:c r="E216" s="34" t="str">
        <x:v>POS-GWY-EAF</x:v>
      </x:c>
      <x:c r="F216" s="34" t="str">
        <x:v>광양 기존 EAF 블록</x:v>
      </x:c>
      <x:c r="G216" s="34" t="str">
        <x:v>광양</x:v>
      </x:c>
      <x:c r="H216" s="34" t="n">
        <x:v>2033</x:v>
      </x:c>
      <x:c r="I216" s="34" t="str">
        <x:v>EAF_BASELINE</x:v>
      </x:c>
      <x:c r="J216" s="34" t="str">
        <x:v>기존 전기로 기준 블록</x:v>
      </x:c>
      <x:c r="K216" s="34" t="str">
        <x:v>EAF_RENEWABLE</x:v>
      </x:c>
      <x:c r="L216" s="34" t="str">
        <x:v>기존 EAF 재생전력 업그레이드</x:v>
      </x:c>
      <x:c r="M216" s="34" t="n">
        <x:v>312</x:v>
      </x:c>
      <x:c r="N216" s="34" t="n">
        <x:v>96</x:v>
      </x:c>
      <x:c r="O216" s="34" t="n">
        <x:v>1.2</x:v>
      </x:c>
      <x:c r="P216" s="34" t="n">
        <x:v>1.134</x:v>
      </x:c>
      <x:c r="Q216" s="34" t="n">
        <x:v>0.5103</x:v>
      </x:c>
      <x:c r="R216" s="34" t="n">
        <x:v>0.5103</x:v>
      </x:c>
      <x:c r="S216" s="34" t="n">
        <x:v>0.1134</x:v>
      </x:c>
      <x:c r="T216" s="34" t="n">
        <x:v>0.1134</x:v>
      </x:c>
      <x:c r="U216" s="34" t="n">
        <x:v>0.3969</x:v>
      </x:c>
      <x:c r="V216" s="34" t="n">
        <x:v>3.1752</x:v>
      </x:c>
      <x:c r="W216" s="34" t="n">
        <x:v>-49.178</x:v>
      </x:c>
      <x:c r="X216" s="34" t="n">
        <x:v>9.383</x:v>
      </x:c>
      <x:c r="Y216" s="34" t="n">
        <x:v>120.354</x:v>
      </x:c>
      <x:c r="Z216" s="34" t="n">
        <x:v>110.971</x:v>
      </x:c>
      <x:c r="AA216" s="34" t="n">
        <x:v>169.532</x:v>
      </x:c>
      <x:c r="AB216" s="34" t="n">
        <x:v>-58.561</x:v>
      </x:c>
      <x:c r="AC216" s="34" t="n">
        <x:v>62.553</x:v>
      </x:c>
      <x:c r="AD216" s="34" t="n">
        <x:v>14.814</x:v>
      </x:c>
      <x:c r="AE216" s="34" t="n">
        <x:v>42.986</x:v>
      </x:c>
      <x:c r="AF216" s="34" t="n">
        <x:v>0</x:v>
      </x:c>
      <x:c r="AG216" s="34" t="n">
        <x:v>0</x:v>
      </x:c>
      <x:c r="AH216" s="34" t="n">
        <x:v>-169.532</x:v>
      </x:c>
      <x:c r="AI216" s="34" t="str">
        <x:v>model_estimate</x:v>
      </x:c>
      <x:c r="AJ216" s="34" t="str">
        <x:v>2025 공식 EAF 생산 1.135Mt에 맞춘 모델 블록; 집약도·재투자연도 추정</x:v>
      </x:c>
      <x:c r="AK216" s="34" t="str">
        <x:v>CAND-C9724A8933A429</x:v>
      </x:c>
      <x:c r="AL216" s="34" t="str">
        <x:v>P1</x:v>
      </x:c>
      <x:c r="AM216" s="34" t="str">
        <x:v>PORT-8826D0B469EE</x:v>
      </x:c>
      <x:c r="AN216" s="34" t="n">
        <x:v>1000</x:v>
      </x:c>
      <x:c r="AO216" s="34" t="n">
        <x:v>55.311045</x:v>
      </x:c>
      <x:c r="AP216" s="34" t="n">
        <x:v>21.722854</x:v>
      </x:c>
      <x:c r="AQ216" s="34" t="n">
        <x:v>429.154227</x:v>
      </x:c>
      <x:c r="AR216" s="34" t="n">
        <x:v>22967.067</x:v>
      </x:c>
      <x:c r="AS216" s="34" t="n">
        <x:v>53.517047</x:v>
      </x:c>
      <x:c r="AT216" s="40" t="b">
        <x:v>1</x:v>
      </x:c>
      <x:c r="AU216" s="40" t="b">
        <x:v>1</x:v>
      </x:c>
      <x:c r="AV216" s="34" t="str"/>
      <x:c r="AW216" s="34" t="n">
        <x:v>0</x:v>
      </x:c>
      <x:c r="AX216" s="34" t="str">
        <x:v>2.0275124185786808e-05</x:v>
      </x:c>
      <x:c r="AY216" s="40" t="b">
        <x:v>1</x:v>
      </x:c>
      <x:c r="AZ216" s="40" t="b">
        <x:v>1</x:v>
      </x:c>
      <x:c r="BA216" s="40" t="b">
        <x:v>1</x:v>
      </x:c>
      <x:c r="BB216" s="40" t="b">
        <x:v>1</x:v>
      </x:c>
      <x:c r="BC216" s="34" t="str"/>
      <x:c r="BD216" s="34" t="n">
        <x:v>0</x:v>
      </x:c>
      <x:c r="BE216" s="34" t="n">
        <x:v>0</x:v>
      </x:c>
      <x:c r="BF216" s="34" t="n">
        <x:v>0</x:v>
      </x:c>
      <x:c r="BG216" s="34" t="n">
        <x:v>3</x:v>
      </x:c>
      <x:c r="BH216" s="34" t="n">
        <x:v>3</x:v>
      </x:c>
      <x:c r="BI216" s="34" t="n">
        <x:v>0.459336608</x:v>
      </x:c>
      <x:c r="BJ216" s="34" t="n">
        <x:v>0.65</x:v>
      </x:c>
      <x:c r="BK216" s="34" t="n">
        <x:v>2.02</x:v>
      </x:c>
    </x:row>
    <x:row r="217">
      <x:c r="A217" s="34" t="str">
        <x:v>POSCO_KR</x:v>
      </x:c>
      <x:c r="B217" s="34" t="str">
        <x:v>POSCO</x:v>
      </x:c>
      <x:c r="C217" s="34" t="str">
        <x:v>ACCELERATED_15C</x:v>
      </x:c>
      <x:c r="D217" s="34" t="str">
        <x:v>P1</x:v>
      </x:c>
      <x:c r="E217" s="34" t="str">
        <x:v>POS-GWY-W</x:v>
      </x:c>
      <x:c r="F217" s="34" t="str">
        <x:v>광양제철소 BF 블록 A</x:v>
      </x:c>
      <x:c r="G217" s="34" t="str">
        <x:v>광양</x:v>
      </x:c>
      <x:c r="H217" s="34" t="n">
        <x:v>2035</x:v>
      </x:c>
      <x:c r="I217" s="34" t="str">
        <x:v>BF_BOF</x:v>
      </x:c>
      <x:c r="J217" s="34" t="str">
        <x:v>기준 BF-BOF 복합 블록</x:v>
      </x:c>
      <x:c r="K217" s="34" t="str">
        <x:v>H2_DRI_EAF</x:v>
      </x:c>
      <x:c r="L217" s="34" t="str">
        <x:v>수소 DRI + EAF</x:v>
      </x:c>
      <x:c r="M217" s="34" t="n">
        <x:v>9270</x:v>
      </x:c>
      <x:c r="N217" s="34" t="n">
        <x:v>7210</x:v>
      </x:c>
      <x:c r="O217" s="34" t="n">
        <x:v>10.3</x:v>
      </x:c>
      <x:c r="P217" s="34" t="n">
        <x:v>9.499999</x:v>
      </x:c>
      <x:c r="Q217" s="34" t="n">
        <x:v>19.719471</x:v>
      </x:c>
      <x:c r="R217" s="34" t="n">
        <x:v>19.719471</x:v>
      </x:c>
      <x:c r="S217" s="34" t="n">
        <x:v>1.9</x:v>
      </x:c>
      <x:c r="T217" s="34" t="n">
        <x:v>1.9</x:v>
      </x:c>
      <x:c r="U217" s="34" t="n">
        <x:v>17.819471</x:v>
      </x:c>
      <x:c r="V217" s="34" t="n">
        <x:v>106.916827</x:v>
      </x:c>
      <x:c r="W217" s="34" t="n">
        <x:v>16085.964</x:v>
      </x:c>
      <x:c r="X217" s="34" t="n">
        <x:v>1266.286</x:v>
      </x:c>
      <x:c r="Y217" s="34" t="n">
        <x:v>21795.816</x:v>
      </x:c>
      <x:c r="Z217" s="34" t="n">
        <x:v>20529.53</x:v>
      </x:c>
      <x:c r="AA217" s="34" t="n">
        <x:v>5709.852</x:v>
      </x:c>
      <x:c r="AB217" s="34" t="n">
        <x:v>14819.678</x:v>
      </x:c>
      <x:c r="AC217" s="34" t="n">
        <x:v>4220.954</x:v>
      </x:c>
      <x:c r="AD217" s="34" t="n">
        <x:v>468.979</x:v>
      </x:c>
      <x:c r="AE217" s="34" t="n">
        <x:v>2040.189</x:v>
      </x:c>
      <x:c r="AF217" s="34" t="n">
        <x:v>15065.694</x:v>
      </x:c>
      <x:c r="AG217" s="34" t="n">
        <x:v>0</x:v>
      </x:c>
      <x:c r="AH217" s="34" t="n">
        <x:v>-5709.852</x:v>
      </x:c>
      <x:c r="AI217" s="34" t="str">
        <x:v>model_estimate</x:v>
      </x:c>
      <x:c r="AJ217" s="34" t="str">
        <x:v>POSCO 공식 국내 생산·배출 총량에 맞춘 설비 블록 배분; 개별 생산량·재투자연도는 추정</x:v>
      </x:c>
      <x:c r="AK217" s="34" t="str">
        <x:v>CAND-C9724A8933A429</x:v>
      </x:c>
      <x:c r="AL217" s="34" t="str">
        <x:v>P1</x:v>
      </x:c>
      <x:c r="AM217" s="34" t="str">
        <x:v>PORT-8826D0B469EE</x:v>
      </x:c>
      <x:c r="AN217" s="34" t="n">
        <x:v>1000</x:v>
      </x:c>
      <x:c r="AO217" s="34" t="n">
        <x:v>55.311045</x:v>
      </x:c>
      <x:c r="AP217" s="34" t="n">
        <x:v>21.722854</x:v>
      </x:c>
      <x:c r="AQ217" s="34" t="n">
        <x:v>429.154227</x:v>
      </x:c>
      <x:c r="AR217" s="34" t="n">
        <x:v>22967.067</x:v>
      </x:c>
      <x:c r="AS217" s="34" t="n">
        <x:v>53.517047</x:v>
      </x:c>
      <x:c r="AT217" s="40" t="b">
        <x:v>1</x:v>
      </x:c>
      <x:c r="AU217" s="40" t="b">
        <x:v>1</x:v>
      </x:c>
      <x:c r="AV217" s="34" t="str"/>
      <x:c r="AW217" s="34" t="n">
        <x:v>0</x:v>
      </x:c>
      <x:c r="AX217" s="34" t="str">
        <x:v>2.0275124185786808e-05</x:v>
      </x:c>
      <x:c r="AY217" s="40" t="b">
        <x:v>1</x:v>
      </x:c>
      <x:c r="AZ217" s="40" t="b">
        <x:v>1</x:v>
      </x:c>
      <x:c r="BA217" s="40" t="b">
        <x:v>1</x:v>
      </x:c>
      <x:c r="BB217" s="40" t="b">
        <x:v>1</x:v>
      </x:c>
      <x:c r="BC217" s="34" t="str"/>
      <x:c r="BD217" s="34" t="n">
        <x:v>0</x:v>
      </x:c>
      <x:c r="BE217" s="34" t="n">
        <x:v>0</x:v>
      </x:c>
      <x:c r="BF217" s="34" t="n">
        <x:v>0</x:v>
      </x:c>
      <x:c r="BG217" s="34" t="n">
        <x:v>3</x:v>
      </x:c>
      <x:c r="BH217" s="34" t="n">
        <x:v>3</x:v>
      </x:c>
      <x:c r="BI217" s="34" t="n">
        <x:v>0.459336608</x:v>
      </x:c>
      <x:c r="BJ217" s="34" t="n">
        <x:v>0.65</x:v>
      </x:c>
      <x:c r="BK217" s="34" t="n">
        <x:v>2.02</x:v>
      </x:c>
    </x:row>
    <x:row r="218">
      <x:c r="A218" s="34" t="str">
        <x:v>POSCO_KR</x:v>
      </x:c>
      <x:c r="B218" s="34" t="str">
        <x:v>POSCO</x:v>
      </x:c>
      <x:c r="C218" s="34" t="str">
        <x:v>ACCELERATED_15C</x:v>
      </x:c>
      <x:c r="D218" s="34" t="str">
        <x:v>P1</x:v>
      </x:c>
      <x:c r="E218" s="34" t="str">
        <x:v>POS-POH-N</x:v>
      </x:c>
      <x:c r="F218" s="34" t="str">
        <x:v>포항제철소 BF 블록 A</x:v>
      </x:c>
      <x:c r="G218" s="34" t="str">
        <x:v>포항</x:v>
      </x:c>
      <x:c r="H218" s="34" t="n">
        <x:v>2029</x:v>
      </x:c>
      <x:c r="I218" s="34" t="str">
        <x:v>BF_BOF</x:v>
      </x:c>
      <x:c r="J218" s="34" t="str">
        <x:v>기준 BF-BOF 복합 블록</x:v>
      </x:c>
      <x:c r="K218" s="34" t="str">
        <x:v>SCRAP_EAF</x:v>
      </x:c>
      <x:c r="L218" s="34" t="str">
        <x:v>스크랩 기반 대형 EAF</x:v>
      </x:c>
      <x:c r="M218" s="34" t="n">
        <x:v>4592</x:v>
      </x:c>
      <x:c r="N218" s="34" t="n">
        <x:v>2952</x:v>
      </x:c>
      <x:c r="O218" s="34" t="n">
        <x:v>8.2</x:v>
      </x:c>
      <x:c r="P218" s="34" t="n">
        <x:v>7.599998</x:v>
      </x:c>
      <x:c r="Q218" s="34" t="n">
        <x:v>15.775574</x:v>
      </x:c>
      <x:c r="R218" s="34" t="n">
        <x:v>3.419999</x:v>
      </x:c>
      <x:c r="S218" s="34" t="n">
        <x:v>3.419999</x:v>
      </x:c>
      <x:c r="T218" s="34" t="n">
        <x:v>3.419999</x:v>
      </x:c>
      <x:c r="U218" s="34" t="n">
        <x:v>12.355575</x:v>
      </x:c>
      <x:c r="V218" s="34" t="n">
        <x:v>148.266898</x:v>
      </x:c>
      <x:c r="W218" s="34" t="n">
        <x:v>-603.64</x:v>
      </x:c>
      <x:c r="X218" s="34" t="n">
        <x:v>476.581</x:v>
      </x:c>
      <x:c r="Y218" s="34" t="n">
        <x:v>7158.885</x:v>
      </x:c>
      <x:c r="Z218" s="34" t="n">
        <x:v>6682.305</x:v>
      </x:c>
      <x:c r="AA218" s="34" t="n">
        <x:v>7762.525</x:v>
      </x:c>
      <x:c r="AB218" s="34" t="n">
        <x:v>-1080.221</x:v>
      </x:c>
      <x:c r="AC218" s="34" t="n">
        <x:v>2382.904</x:v>
      </x:c>
      <x:c r="AD218" s="34" t="n">
        <x:v>446.25</x:v>
      </x:c>
      <x:c r="AE218" s="34" t="n">
        <x:v>4329.731</x:v>
      </x:c>
      <x:c r="AF218" s="34" t="n">
        <x:v>0</x:v>
      </x:c>
      <x:c r="AG218" s="34" t="n">
        <x:v>0</x:v>
      </x:c>
      <x:c r="AH218" s="34" t="n">
        <x:v>-7762.525</x:v>
      </x:c>
      <x:c r="AI218" s="34" t="str">
        <x:v>model_estimate</x:v>
      </x:c>
      <x:c r="AJ218" s="34" t="str">
        <x:v>POSCO 공식 국내 생산·배출 총량에 맞춘 설비 블록 배분; 개별 생산량·재투자연도는 추정</x:v>
      </x:c>
      <x:c r="AK218" s="34" t="str">
        <x:v>CAND-C9724A8933A429</x:v>
      </x:c>
      <x:c r="AL218" s="34" t="str">
        <x:v>P1</x:v>
      </x:c>
      <x:c r="AM218" s="34" t="str">
        <x:v>PORT-8826D0B469EE</x:v>
      </x:c>
      <x:c r="AN218" s="34" t="n">
        <x:v>1000</x:v>
      </x:c>
      <x:c r="AO218" s="34" t="n">
        <x:v>55.311045</x:v>
      </x:c>
      <x:c r="AP218" s="34" t="n">
        <x:v>21.722854</x:v>
      </x:c>
      <x:c r="AQ218" s="34" t="n">
        <x:v>429.154227</x:v>
      </x:c>
      <x:c r="AR218" s="34" t="n">
        <x:v>22967.067</x:v>
      </x:c>
      <x:c r="AS218" s="34" t="n">
        <x:v>53.517047</x:v>
      </x:c>
      <x:c r="AT218" s="40" t="b">
        <x:v>1</x:v>
      </x:c>
      <x:c r="AU218" s="40" t="b">
        <x:v>1</x:v>
      </x:c>
      <x:c r="AV218" s="34" t="str"/>
      <x:c r="AW218" s="34" t="n">
        <x:v>0</x:v>
      </x:c>
      <x:c r="AX218" s="34" t="str">
        <x:v>2.0275124185786808e-05</x:v>
      </x:c>
      <x:c r="AY218" s="40" t="b">
        <x:v>1</x:v>
      </x:c>
      <x:c r="AZ218" s="40" t="b">
        <x:v>1</x:v>
      </x:c>
      <x:c r="BA218" s="40" t="b">
        <x:v>1</x:v>
      </x:c>
      <x:c r="BB218" s="40" t="b">
        <x:v>1</x:v>
      </x:c>
      <x:c r="BC218" s="34" t="str"/>
      <x:c r="BD218" s="34" t="n">
        <x:v>0</x:v>
      </x:c>
      <x:c r="BE218" s="34" t="n">
        <x:v>0</x:v>
      </x:c>
      <x:c r="BF218" s="34" t="n">
        <x:v>0</x:v>
      </x:c>
      <x:c r="BG218" s="34" t="n">
        <x:v>3</x:v>
      </x:c>
      <x:c r="BH218" s="34" t="n">
        <x:v>3</x:v>
      </x:c>
      <x:c r="BI218" s="34" t="n">
        <x:v>0.459336608</x:v>
      </x:c>
      <x:c r="BJ218" s="34" t="n">
        <x:v>0.65</x:v>
      </x:c>
      <x:c r="BK218" s="34" t="n">
        <x:v>2.02</x:v>
      </x:c>
    </x:row>
    <x:row r="219">
      <x:c r="A219" s="34" t="str">
        <x:v>POSCO_KR</x:v>
      </x:c>
      <x:c r="B219" s="34" t="str">
        <x:v>POSCO</x:v>
      </x:c>
      <x:c r="C219" s="34" t="str">
        <x:v>ACCELERATED_15C</x:v>
      </x:c>
      <x:c r="D219" s="34" t="str">
        <x:v>P1</x:v>
      </x:c>
      <x:c r="E219" s="34" t="str">
        <x:v>POS-POH-S</x:v>
      </x:c>
      <x:c r="F219" s="34" t="str">
        <x:v>포항제철소 BF 블록 B</x:v>
      </x:c>
      <x:c r="G219" s="34" t="str">
        <x:v>포항</x:v>
      </x:c>
      <x:c r="H219" s="34" t="n">
        <x:v>2032</x:v>
      </x:c>
      <x:c r="I219" s="34" t="str">
        <x:v>BF_BOF</x:v>
      </x:c>
      <x:c r="J219" s="34" t="str">
        <x:v>기준 BF-BOF 복합 블록</x:v>
      </x:c>
      <x:c r="K219" s="34" t="str">
        <x:v>SCRAP_EAF</x:v>
      </x:c>
      <x:c r="L219" s="34" t="str">
        <x:v>스크랩 기반 대형 EAF</x:v>
      </x:c>
      <x:c r="M219" s="34" t="n">
        <x:v>4144</x:v>
      </x:c>
      <x:c r="N219" s="34" t="n">
        <x:v>2664</x:v>
      </x:c>
      <x:c r="O219" s="34" t="n">
        <x:v>7.4</x:v>
      </x:c>
      <x:c r="P219" s="34" t="n">
        <x:v>6.800001</x:v>
      </x:c>
      <x:c r="Q219" s="34" t="n">
        <x:v>14.114992</x:v>
      </x:c>
      <x:c r="R219" s="34" t="n">
        <x:v>14.114992</x:v>
      </x:c>
      <x:c r="S219" s="34" t="n">
        <x:v>3.06</x:v>
      </x:c>
      <x:c r="T219" s="34" t="n">
        <x:v>3.06</x:v>
      </x:c>
      <x:c r="U219" s="34" t="n">
        <x:v>11.054992</x:v>
      </x:c>
      <x:c r="V219" s="34" t="n">
        <x:v>99.49493</x:v>
      </x:c>
      <x:c r="W219" s="34" t="n">
        <x:v>-438.821</x:v>
      </x:c>
      <x:c r="X219" s="34" t="n">
        <x:v>366.266</x:v>
      </x:c>
      <x:c r="Y219" s="34" t="n">
        <x:v>4861.175</x:v>
      </x:c>
      <x:c r="Z219" s="34" t="n">
        <x:v>4494.909</x:v>
      </x:c>
      <x:c r="AA219" s="34" t="n">
        <x:v>5299.996</x:v>
      </x:c>
      <x:c r="AB219" s="34" t="n">
        <x:v>-805.087</x:v>
      </x:c>
      <x:c r="AC219" s="34" t="n">
        <x:v>1831.332</x:v>
      </x:c>
      <x:c r="AD219" s="34" t="n">
        <x:v>274.288</x:v>
      </x:c>
      <x:c r="AE219" s="34" t="n">
        <x:v>2755.556</x:v>
      </x:c>
      <x:c r="AF219" s="34" t="n">
        <x:v>0</x:v>
      </x:c>
      <x:c r="AG219" s="34" t="n">
        <x:v>0</x:v>
      </x:c>
      <x:c r="AH219" s="34" t="n">
        <x:v>-5299.996</x:v>
      </x:c>
      <x:c r="AI219" s="34" t="str">
        <x:v>model_estimate</x:v>
      </x:c>
      <x:c r="AJ219" s="34" t="str">
        <x:v>POSCO 공식 국내 생산·배출 총량에 맞춘 설비 블록 배분; 개별 생산량·재투자연도는 추정</x:v>
      </x:c>
      <x:c r="AK219" s="34" t="str">
        <x:v>CAND-C9724A8933A429</x:v>
      </x:c>
      <x:c r="AL219" s="34" t="str">
        <x:v>P1</x:v>
      </x:c>
      <x:c r="AM219" s="34" t="str">
        <x:v>PORT-8826D0B469EE</x:v>
      </x:c>
      <x:c r="AN219" s="34" t="n">
        <x:v>1000</x:v>
      </x:c>
      <x:c r="AO219" s="34" t="n">
        <x:v>55.311045</x:v>
      </x:c>
      <x:c r="AP219" s="34" t="n">
        <x:v>21.722854</x:v>
      </x:c>
      <x:c r="AQ219" s="34" t="n">
        <x:v>429.154227</x:v>
      </x:c>
      <x:c r="AR219" s="34" t="n">
        <x:v>22967.067</x:v>
      </x:c>
      <x:c r="AS219" s="34" t="n">
        <x:v>53.517047</x:v>
      </x:c>
      <x:c r="AT219" s="40" t="b">
        <x:v>1</x:v>
      </x:c>
      <x:c r="AU219" s="40" t="b">
        <x:v>1</x:v>
      </x:c>
      <x:c r="AV219" s="34" t="str"/>
      <x:c r="AW219" s="34" t="n">
        <x:v>0</x:v>
      </x:c>
      <x:c r="AX219" s="34" t="str">
        <x:v>2.0275124185786808e-05</x:v>
      </x:c>
      <x:c r="AY219" s="40" t="b">
        <x:v>1</x:v>
      </x:c>
      <x:c r="AZ219" s="40" t="b">
        <x:v>1</x:v>
      </x:c>
      <x:c r="BA219" s="40" t="b">
        <x:v>1</x:v>
      </x:c>
      <x:c r="BB219" s="40" t="b">
        <x:v>1</x:v>
      </x:c>
      <x:c r="BC219" s="34" t="str"/>
      <x:c r="BD219" s="34" t="n">
        <x:v>0</x:v>
      </x:c>
      <x:c r="BE219" s="34" t="n">
        <x:v>0</x:v>
      </x:c>
      <x:c r="BF219" s="34" t="n">
        <x:v>0</x:v>
      </x:c>
      <x:c r="BG219" s="34" t="n">
        <x:v>3</x:v>
      </x:c>
      <x:c r="BH219" s="34" t="n">
        <x:v>3</x:v>
      </x:c>
      <x:c r="BI219" s="34" t="n">
        <x:v>0.459336608</x:v>
      </x:c>
      <x:c r="BJ219" s="34" t="n">
        <x:v>0.65</x:v>
      </x:c>
      <x:c r="BK219" s="34" t="n">
        <x:v>2.02</x:v>
      </x:c>
    </x:row>
    <x:row r="220">
      <x:c r="A220" s="34" t="str">
        <x:v>KOBE_STEEL_JP</x:v>
      </x:c>
      <x:c r="B220" s="34" t="str">
        <x:v>Kobe Steel</x:v>
      </x:c>
      <x:c r="C220" s="34" t="str">
        <x:v>DISCLOSED_PATH</x:v>
      </x:c>
      <x:c r="D220" s="34" t="str">
        <x:v>P2</x:v>
      </x:c>
      <x:c r="E220" s="34" t="str">
        <x:v>KOB-BF1</x:v>
      </x:c>
      <x:c r="F220" s="34" t="str">
        <x:v>Kakogawa Works BF 블록 1</x:v>
      </x:c>
      <x:c r="G220" s="34" t="str">
        <x:v>가코가와</x:v>
      </x:c>
      <x:c r="H220" s="34" t="n">
        <x:v>2029</x:v>
      </x:c>
      <x:c r="I220" s="34" t="str">
        <x:v>BF_BOF</x:v>
      </x:c>
      <x:c r="J220" s="34" t="str">
        <x:v>기준 BF-BOF 복합 블록</x:v>
      </x:c>
      <x:c r="K220" s="34" t="str">
        <x:v>H2_DRI_EAF</x:v>
      </x:c>
      <x:c r="L220" s="34" t="str">
        <x:v>수소 DRI + EAF</x:v>
      </x:c>
      <x:c r="M220" s="34" t="n">
        <x:v>3118.5</x:v>
      </x:c>
      <x:c r="N220" s="34" t="n">
        <x:v>2425.5</x:v>
      </x:c>
      <x:c r="O220" s="34" t="n">
        <x:v>3.15</x:v>
      </x:c>
      <x:c r="P220" s="34" t="n">
        <x:v>2.95</x:v>
      </x:c>
      <x:c r="Q220" s="34" t="n">
        <x:v>7.173636</x:v>
      </x:c>
      <x:c r="R220" s="34" t="n">
        <x:v>0.59</x:v>
      </x:c>
      <x:c r="S220" s="34" t="n">
        <x:v>0.59</x:v>
      </x:c>
      <x:c r="T220" s="34" t="n">
        <x:v>0.59</x:v>
      </x:c>
      <x:c r="U220" s="34" t="n">
        <x:v>6.583636</x:v>
      </x:c>
      <x:c r="V220" s="34" t="n">
        <x:v>79.003637</x:v>
      </x:c>
      <x:c r="W220" s="34" t="n">
        <x:v>15917.144</x:v>
      </x:c>
      <x:c r="X220" s="34" t="n">
        <x:v>967.969</x:v>
      </x:c>
      <x:c r="Y220" s="34" t="n">
        <x:v>18678.927</x:v>
      </x:c>
      <x:c r="Z220" s="34" t="n">
        <x:v>17710.958</x:v>
      </x:c>
      <x:c r="AA220" s="34" t="n">
        <x:v>2761.783</x:v>
      </x:c>
      <x:c r="AB220" s="34" t="n">
        <x:v>14949.174</x:v>
      </x:c>
      <x:c r="AC220" s="34" t="n">
        <x:v>1957.904</x:v>
      </x:c>
      <x:c r="AD220" s="34" t="n">
        <x:v>238.172</x:v>
      </x:c>
      <x:c r="AE220" s="34" t="n">
        <x:v>1975.516</x:v>
      </x:c>
      <x:c r="AF220" s="34" t="n">
        <x:v>14485.97</x:v>
      </x:c>
      <x:c r="AG220" s="34" t="n">
        <x:v>21.365</x:v>
      </x:c>
      <x:c r="AH220" s="34" t="n">
        <x:v>-2761.783</x:v>
      </x:c>
      <x:c r="AI220" s="34" t="str">
        <x:v>model_estimate</x:v>
      </x:c>
      <x:c r="AJ220" s="34" t="str">
        <x:v>Kobe Steel 공식 조강·목표경계 배출 총량에 맞춘 블록 배분</x:v>
      </x:c>
      <x:c r="AK220" s="34" t="str">
        <x:v>CAND-C9EAFC0F482485</x:v>
      </x:c>
      <x:c r="AL220" s="34" t="str">
        <x:v>P2</x:v>
      </x:c>
      <x:c r="AM220" s="34" t="str">
        <x:v>PORT-1144EBE63B41</x:v>
      </x:c>
      <x:c r="AN220" s="34" t="n">
        <x:v>1000</x:v>
      </x:c>
      <x:c r="AO220" s="34" t="n">
        <x:v>152.048071</x:v>
      </x:c>
      <x:c r="AP220" s="34" t="n">
        <x:v>33.808213</x:v>
      </x:c>
      <x:c r="AQ220" s="34" t="n">
        <x:v>102.391093</x:v>
      </x:c>
      <x:c r="AR220" s="34" t="n">
        <x:v>15293.987</x:v>
      </x:c>
      <x:c r="AS220" s="34" t="n">
        <x:v>149.368332</x:v>
      </x:c>
      <x:c r="AT220" s="40" t="b">
        <x:v>1</x:v>
      </x:c>
      <x:c r="AU220" s="40" t="b">
        <x:v>1</x:v>
      </x:c>
      <x:c r="AV220" s="34" t="str"/>
      <x:c r="AW220" s="34" t="n">
        <x:v>0</x:v>
      </x:c>
      <x:c r="AX220" s="34" t="str">
        <x:v>9.990856690045291e-05</x:v>
      </x:c>
      <x:c r="AY220" s="40" t="b">
        <x:v>1</x:v>
      </x:c>
      <x:c r="AZ220" s="40" t="b">
        <x:v>1</x:v>
      </x:c>
      <x:c r="BA220" s="40" t="b">
        <x:v>1</x:v>
      </x:c>
      <x:c r="BB220" s="40" t="b">
        <x:v>1</x:v>
      </x:c>
      <x:c r="BC220" s="34" t="str"/>
      <x:c r="BD220" s="34" t="n">
        <x:v>0</x:v>
      </x:c>
      <x:c r="BE220" s="34" t="n">
        <x:v>0</x:v>
      </x:c>
      <x:c r="BF220" s="34" t="n">
        <x:v>0</x:v>
      </x:c>
      <x:c r="BG220" s="34" t="n">
        <x:v>1</x:v>
      </x:c>
      <x:c r="BH220" s="34" t="n">
        <x:v>1</x:v>
      </x:c>
      <x:c r="BI220" s="34" t="n">
        <x:v>0.28332</x:v>
      </x:c>
      <x:c r="BJ220" s="34" t="n">
        <x:v>0.6</x:v>
      </x:c>
      <x:c r="BK220" s="34" t="n">
        <x:v>1.06</x:v>
      </x:c>
    </x:row>
    <x:row r="221">
      <x:c r="A221" s="34" t="str">
        <x:v>KOBE_STEEL_JP</x:v>
      </x:c>
      <x:c r="B221" s="34" t="str">
        <x:v>Kobe Steel</x:v>
      </x:c>
      <x:c r="C221" s="34" t="str">
        <x:v>DISCLOSED_PATH</x:v>
      </x:c>
      <x:c r="D221" s="34" t="str">
        <x:v>P2</x:v>
      </x:c>
      <x:c r="E221" s="34" t="str">
        <x:v>KOB-BF3</x:v>
      </x:c>
      <x:c r="F221" s="34" t="str">
        <x:v>Kakogawa Works BF 블록 3</x:v>
      </x:c>
      <x:c r="G221" s="34" t="str">
        <x:v>가코가와</x:v>
      </x:c>
      <x:c r="H221" s="34" t="n">
        <x:v>2037</x:v>
      </x:c>
      <x:c r="I221" s="34" t="str">
        <x:v>BF_BOF</x:v>
      </x:c>
      <x:c r="J221" s="34" t="str">
        <x:v>기준 BF-BOF 복합 블록</x:v>
      </x:c>
      <x:c r="K221" s="34" t="str">
        <x:v>SCRAP_EAF</x:v>
      </x:c>
      <x:c r="L221" s="34" t="str">
        <x:v>스크랩 기반 대형 EAF</x:v>
      </x:c>
      <x:c r="M221" s="34" t="n">
        <x:v>1878.8</x:v>
      </x:c>
      <x:c r="N221" s="34" t="n">
        <x:v>1207.8</x:v>
      </x:c>
      <x:c r="O221" s="34" t="n">
        <x:v>3.05</x:v>
      </x:c>
      <x:c r="P221" s="34" t="n">
        <x:v>2.909999</x:v>
      </x:c>
      <x:c r="Q221" s="34" t="n">
        <x:v>7.076364</x:v>
      </x:c>
      <x:c r="R221" s="34" t="n">
        <x:v>7.076364</x:v>
      </x:c>
      <x:c r="S221" s="34" t="n">
        <x:v>1.3095</x:v>
      </x:c>
      <x:c r="T221" s="34" t="n">
        <x:v>1.3095</x:v>
      </x:c>
      <x:c r="U221" s="34" t="n">
        <x:v>5.766864</x:v>
      </x:c>
      <x:c r="V221" s="34" t="n">
        <x:v>23.067457</x:v>
      </x:c>
      <x:c r="W221" s="34" t="n">
        <x:v>506.605</x:v>
      </x:c>
      <x:c r="X221" s="34" t="n">
        <x:v>159.138</x:v>
      </x:c>
      <x:c r="Y221" s="34" t="n">
        <x:v>1309.328</x:v>
      </x:c>
      <x:c r="Z221" s="34" t="n">
        <x:v>1150.191</x:v>
      </x:c>
      <x:c r="AA221" s="34" t="n">
        <x:v>802.724</x:v>
      </x:c>
      <x:c r="AB221" s="34" t="n">
        <x:v>347.467</x:v>
      </x:c>
      <x:c r="AC221" s="34" t="n">
        <x:v>635.28</x:v>
      </x:c>
      <x:c r="AD221" s="34" t="n">
        <x:v>22.64</x:v>
      </x:c>
      <x:c r="AE221" s="34" t="n">
        <x:v>649.163</x:v>
      </x:c>
      <x:c r="AF221" s="34" t="n">
        <x:v>0</x:v>
      </x:c>
      <x:c r="AG221" s="34" t="n">
        <x:v>2.244</x:v>
      </x:c>
      <x:c r="AH221" s="34" t="n">
        <x:v>-802.724</x:v>
      </x:c>
      <x:c r="AI221" s="34" t="str">
        <x:v>model_estimate</x:v>
      </x:c>
      <x:c r="AJ221" s="34" t="str">
        <x:v>2016년 BF3 개수와 장기 수명주기를 반영한 재투자연도 추정</x:v>
      </x:c>
      <x:c r="AK221" s="34" t="str">
        <x:v>CAND-C9EAFC0F482485</x:v>
      </x:c>
      <x:c r="AL221" s="34" t="str">
        <x:v>P2</x:v>
      </x:c>
      <x:c r="AM221" s="34" t="str">
        <x:v>PORT-1144EBE63B41</x:v>
      </x:c>
      <x:c r="AN221" s="34" t="n">
        <x:v>1000</x:v>
      </x:c>
      <x:c r="AO221" s="34" t="n">
        <x:v>152.048071</x:v>
      </x:c>
      <x:c r="AP221" s="34" t="n">
        <x:v>33.808213</x:v>
      </x:c>
      <x:c r="AQ221" s="34" t="n">
        <x:v>102.391093</x:v>
      </x:c>
      <x:c r="AR221" s="34" t="n">
        <x:v>15293.987</x:v>
      </x:c>
      <x:c r="AS221" s="34" t="n">
        <x:v>149.368332</x:v>
      </x:c>
      <x:c r="AT221" s="40" t="b">
        <x:v>1</x:v>
      </x:c>
      <x:c r="AU221" s="40" t="b">
        <x:v>1</x:v>
      </x:c>
      <x:c r="AV221" s="34" t="str"/>
      <x:c r="AW221" s="34" t="n">
        <x:v>0</x:v>
      </x:c>
      <x:c r="AX221" s="34" t="str">
        <x:v>9.990856690045291e-05</x:v>
      </x:c>
      <x:c r="AY221" s="40" t="b">
        <x:v>1</x:v>
      </x:c>
      <x:c r="AZ221" s="40" t="b">
        <x:v>1</x:v>
      </x:c>
      <x:c r="BA221" s="40" t="b">
        <x:v>1</x:v>
      </x:c>
      <x:c r="BB221" s="40" t="b">
        <x:v>1</x:v>
      </x:c>
      <x:c r="BC221" s="34" t="str"/>
      <x:c r="BD221" s="34" t="n">
        <x:v>0</x:v>
      </x:c>
      <x:c r="BE221" s="34" t="n">
        <x:v>0</x:v>
      </x:c>
      <x:c r="BF221" s="34" t="n">
        <x:v>0</x:v>
      </x:c>
      <x:c r="BG221" s="34" t="n">
        <x:v>1</x:v>
      </x:c>
      <x:c r="BH221" s="34" t="n">
        <x:v>1</x:v>
      </x:c>
      <x:c r="BI221" s="34" t="n">
        <x:v>0.28332</x:v>
      </x:c>
      <x:c r="BJ221" s="34" t="n">
        <x:v>0.6</x:v>
      </x:c>
      <x:c r="BK221" s="34" t="n">
        <x:v>1.06</x:v>
      </x:c>
    </x:row>
    <x:row r="222">
      <x:c r="A222" s="34" t="str">
        <x:v>KOBE_STEEL_JP</x:v>
      </x:c>
      <x:c r="B222" s="34" t="str">
        <x:v>Kobe Steel</x:v>
      </x:c>
      <x:c r="C222" s="34" t="str">
        <x:v>DISCLOSED_PATH</x:v>
      </x:c>
      <x:c r="D222" s="34" t="str">
        <x:v>P2</x:v>
      </x:c>
      <x:c r="E222" s="34" t="str">
        <x:v>KOB-TAKA</x:v>
      </x:c>
      <x:c r="F222" s="34" t="str">
        <x:v>Takasago Works EAF block</x:v>
      </x:c>
      <x:c r="G222" s="34" t="str">
        <x:v>다카사고</x:v>
      </x:c>
      <x:c r="H222" s="34" t="n">
        <x:v>2033</x:v>
      </x:c>
      <x:c r="I222" s="34" t="str">
        <x:v>EAF_BASELINE</x:v>
      </x:c>
      <x:c r="J222" s="34" t="str">
        <x:v>기존 전기로 기준 블록</x:v>
      </x:c>
      <x:c r="K222" s="34" t="str">
        <x:v>EAF_RENEWABLE</x:v>
      </x:c>
      <x:c r="L222" s="34" t="str">
        <x:v>기존 EAF 재생전력 업그레이드</x:v>
      </x:c>
      <x:c r="M222" s="34" t="n">
        <x:v>40.04</x:v>
      </x:c>
      <x:c r="N222" s="34" t="n">
        <x:v>12.32</x:v>
      </x:c>
      <x:c r="O222" s="34" t="n">
        <x:v>0.14</x:v>
      </x:c>
      <x:c r="P222" s="34" t="n">
        <x:v>0.1</x:v>
      </x:c>
      <x:c r="Q222" s="34" t="n">
        <x:v>0.05</x:v>
      </x:c>
      <x:c r="R222" s="34" t="n">
        <x:v>0.05</x:v>
      </x:c>
      <x:c r="S222" s="34" t="n">
        <x:v>0.01</x:v>
      </x:c>
      <x:c r="T222" s="34" t="n">
        <x:v>0.01</x:v>
      </x:c>
      <x:c r="U222" s="34" t="n">
        <x:v>0.04</x:v>
      </x:c>
      <x:c r="V222" s="34" t="n">
        <x:v>0.32</x:v>
      </x:c>
      <x:c r="W222" s="34" t="n">
        <x:v>-1.448</x:v>
      </x:c>
      <x:c r="X222" s="34" t="n">
        <x:v>1.207</x:v>
      </x:c>
      <x:c r="Y222" s="34" t="n">
        <x:v>9.803</x:v>
      </x:c>
      <x:c r="Z222" s="34" t="n">
        <x:v>8.597</x:v>
      </x:c>
      <x:c r="AA222" s="34" t="n">
        <x:v>11.251</x:v>
      </x:c>
      <x:c r="AB222" s="34" t="n">
        <x:v>-2.654</x:v>
      </x:c>
      <x:c r="AC222" s="34" t="n">
        <x:v>8.028</x:v>
      </x:c>
      <x:c r="AD222" s="34" t="n">
        <x:v>0</x:v>
      </x:c>
      <x:c r="AE222" s="34" t="n">
        <x:v>1.757</x:v>
      </x:c>
      <x:c r="AF222" s="34" t="n">
        <x:v>0</x:v>
      </x:c>
      <x:c r="AG222" s="34" t="n">
        <x:v>0.019</x:v>
      </x:c>
      <x:c r="AH222" s="34" t="n">
        <x:v>-11.251</x:v>
      </x:c>
      <x:c r="AI222" s="34" t="str">
        <x:v>model_estimate</x:v>
      </x:c>
      <x:c r="AJ222" s="34" t="str">
        <x:v>다카사고 포함 공식 조강 총량에 맞춘 소규모 EAF 블록 추정</x:v>
      </x:c>
      <x:c r="AK222" s="34" t="str">
        <x:v>CAND-C9EAFC0F482485</x:v>
      </x:c>
      <x:c r="AL222" s="34" t="str">
        <x:v>P2</x:v>
      </x:c>
      <x:c r="AM222" s="34" t="str">
        <x:v>PORT-1144EBE63B41</x:v>
      </x:c>
      <x:c r="AN222" s="34" t="n">
        <x:v>1000</x:v>
      </x:c>
      <x:c r="AO222" s="34" t="n">
        <x:v>152.048071</x:v>
      </x:c>
      <x:c r="AP222" s="34" t="n">
        <x:v>33.808213</x:v>
      </x:c>
      <x:c r="AQ222" s="34" t="n">
        <x:v>102.391093</x:v>
      </x:c>
      <x:c r="AR222" s="34" t="n">
        <x:v>15293.987</x:v>
      </x:c>
      <x:c r="AS222" s="34" t="n">
        <x:v>149.368332</x:v>
      </x:c>
      <x:c r="AT222" s="40" t="b">
        <x:v>1</x:v>
      </x:c>
      <x:c r="AU222" s="40" t="b">
        <x:v>1</x:v>
      </x:c>
      <x:c r="AV222" s="34" t="str"/>
      <x:c r="AW222" s="34" t="n">
        <x:v>0</x:v>
      </x:c>
      <x:c r="AX222" s="34" t="str">
        <x:v>9.990856690045291e-05</x:v>
      </x:c>
      <x:c r="AY222" s="40" t="b">
        <x:v>1</x:v>
      </x:c>
      <x:c r="AZ222" s="40" t="b">
        <x:v>1</x:v>
      </x:c>
      <x:c r="BA222" s="40" t="b">
        <x:v>1</x:v>
      </x:c>
      <x:c r="BB222" s="40" t="b">
        <x:v>1</x:v>
      </x:c>
      <x:c r="BC222" s="34" t="str"/>
      <x:c r="BD222" s="34" t="n">
        <x:v>0</x:v>
      </x:c>
      <x:c r="BE222" s="34" t="n">
        <x:v>0</x:v>
      </x:c>
      <x:c r="BF222" s="34" t="n">
        <x:v>0</x:v>
      </x:c>
      <x:c r="BG222" s="34" t="n">
        <x:v>1</x:v>
      </x:c>
      <x:c r="BH222" s="34" t="n">
        <x:v>1</x:v>
      </x:c>
      <x:c r="BI222" s="34" t="n">
        <x:v>0.28332</x:v>
      </x:c>
      <x:c r="BJ222" s="34" t="n">
        <x:v>0.6</x:v>
      </x:c>
      <x:c r="BK222" s="34" t="n">
        <x:v>1.06</x:v>
      </x:c>
    </x:row>
    <x:row r="223">
      <x:c r="A223" s="34" t="str">
        <x:v>KOBE_STEEL_JP</x:v>
      </x:c>
      <x:c r="B223" s="34" t="str">
        <x:v>Kobe Steel</x:v>
      </x:c>
      <x:c r="C223" s="34" t="str">
        <x:v>ACCELERATED_15C</x:v>
      </x:c>
      <x:c r="D223" s="34" t="str">
        <x:v>P2</x:v>
      </x:c>
      <x:c r="E223" s="34" t="str">
        <x:v>KOB-BF1</x:v>
      </x:c>
      <x:c r="F223" s="34" t="str">
        <x:v>Kakogawa Works BF 블록 1</x:v>
      </x:c>
      <x:c r="G223" s="34" t="str">
        <x:v>가코가와</x:v>
      </x:c>
      <x:c r="H223" s="34" t="n">
        <x:v>2029</x:v>
      </x:c>
      <x:c r="I223" s="34" t="str">
        <x:v>BF_BOF</x:v>
      </x:c>
      <x:c r="J223" s="34" t="str">
        <x:v>기준 BF-BOF 복합 블록</x:v>
      </x:c>
      <x:c r="K223" s="34" t="str">
        <x:v>H2_DRI_EAF</x:v>
      </x:c>
      <x:c r="L223" s="34" t="str">
        <x:v>수소 DRI + EAF</x:v>
      </x:c>
      <x:c r="M223" s="34" t="n">
        <x:v>3118.5</x:v>
      </x:c>
      <x:c r="N223" s="34" t="n">
        <x:v>2425.5</x:v>
      </x:c>
      <x:c r="O223" s="34" t="n">
        <x:v>3.15</x:v>
      </x:c>
      <x:c r="P223" s="34" t="n">
        <x:v>2.95</x:v>
      </x:c>
      <x:c r="Q223" s="34" t="n">
        <x:v>7.173636</x:v>
      </x:c>
      <x:c r="R223" s="34" t="n">
        <x:v>0.59</x:v>
      </x:c>
      <x:c r="S223" s="34" t="n">
        <x:v>0.59</x:v>
      </x:c>
      <x:c r="T223" s="34" t="n">
        <x:v>0.59</x:v>
      </x:c>
      <x:c r="U223" s="34" t="n">
        <x:v>6.583636</x:v>
      </x:c>
      <x:c r="V223" s="34" t="n">
        <x:v>79.003637</x:v>
      </x:c>
      <x:c r="W223" s="34" t="n">
        <x:v>15873.898</x:v>
      </x:c>
      <x:c r="X223" s="34" t="n">
        <x:v>1312.68</x:v>
      </x:c>
      <x:c r="Y223" s="34" t="n">
        <x:v>19901.416</x:v>
      </x:c>
      <x:c r="Z223" s="34" t="n">
        <x:v>18588.735</x:v>
      </x:c>
      <x:c r="AA223" s="34" t="n">
        <x:v>4027.518</x:v>
      </x:c>
      <x:c r="AB223" s="34" t="n">
        <x:v>14561.217</x:v>
      </x:c>
      <x:c r="AC223" s="34" t="n">
        <x:v>1957.904</x:v>
      </x:c>
      <x:c r="AD223" s="34" t="n">
        <x:v>238.172</x:v>
      </x:c>
      <x:c r="AE223" s="34" t="n">
        <x:v>2156.484</x:v>
      </x:c>
      <x:c r="AF223" s="34" t="n">
        <x:v>15526.18</x:v>
      </x:c>
      <x:c r="AG223" s="34" t="n">
        <x:v>22.677</x:v>
      </x:c>
      <x:c r="AH223" s="34" t="n">
        <x:v>-4027.518</x:v>
      </x:c>
      <x:c r="AI223" s="34" t="str">
        <x:v>model_estimate</x:v>
      </x:c>
      <x:c r="AJ223" s="34" t="str">
        <x:v>Kobe Steel 공식 조강·목표경계 배출 총량에 맞춘 블록 배분</x:v>
      </x:c>
      <x:c r="AK223" s="34" t="str">
        <x:v>CAND-C9EAFC0F482485</x:v>
      </x:c>
      <x:c r="AL223" s="34" t="str">
        <x:v>P2</x:v>
      </x:c>
      <x:c r="AM223" s="34" t="str">
        <x:v>PORT-1144EBE63B41</x:v>
      </x:c>
      <x:c r="AN223" s="34" t="n">
        <x:v>1000</x:v>
      </x:c>
      <x:c r="AO223" s="34" t="n">
        <x:v>144.712539</x:v>
      </x:c>
      <x:c r="AP223" s="34" t="n">
        <x:v>36.074915</x:v>
      </x:c>
      <x:c r="AQ223" s="34" t="n">
        <x:v>102.391093</x:v>
      </x:c>
      <x:c r="AR223" s="34" t="n">
        <x:v>14552.066</x:v>
      </x:c>
      <x:c r="AS223" s="34" t="n">
        <x:v>142.122383</x:v>
      </x:c>
      <x:c r="AT223" s="40" t="b">
        <x:v>1</x:v>
      </x:c>
      <x:c r="AU223" s="40" t="b">
        <x:v>1</x:v>
      </x:c>
      <x:c r="AV223" s="34" t="str"/>
      <x:c r="AW223" s="34" t="n">
        <x:v>0</x:v>
      </x:c>
      <x:c r="AX223" s="34" t="str">
        <x:v>9.990856690045291e-05</x:v>
      </x:c>
      <x:c r="AY223" s="40" t="b">
        <x:v>1</x:v>
      </x:c>
      <x:c r="AZ223" s="40" t="b">
        <x:v>1</x:v>
      </x:c>
      <x:c r="BA223" s="40" t="b">
        <x:v>1</x:v>
      </x:c>
      <x:c r="BB223" s="40" t="b">
        <x:v>1</x:v>
      </x:c>
      <x:c r="BC223" s="34" t="str"/>
      <x:c r="BD223" s="34" t="n">
        <x:v>0</x:v>
      </x:c>
      <x:c r="BE223" s="34" t="n">
        <x:v>0</x:v>
      </x:c>
      <x:c r="BF223" s="34" t="n">
        <x:v>0</x:v>
      </x:c>
      <x:c r="BG223" s="34" t="n">
        <x:v>1</x:v>
      </x:c>
      <x:c r="BH223" s="34" t="n">
        <x:v>1</x:v>
      </x:c>
      <x:c r="BI223" s="34" t="n">
        <x:v>0.28332</x:v>
      </x:c>
      <x:c r="BJ223" s="34" t="n">
        <x:v>0.6</x:v>
      </x:c>
      <x:c r="BK223" s="34" t="n">
        <x:v>1.06</x:v>
      </x:c>
    </x:row>
    <x:row r="224">
      <x:c r="A224" s="34" t="str">
        <x:v>KOBE_STEEL_JP</x:v>
      </x:c>
      <x:c r="B224" s="34" t="str">
        <x:v>Kobe Steel</x:v>
      </x:c>
      <x:c r="C224" s="34" t="str">
        <x:v>ACCELERATED_15C</x:v>
      </x:c>
      <x:c r="D224" s="34" t="str">
        <x:v>P2</x:v>
      </x:c>
      <x:c r="E224" s="34" t="str">
        <x:v>KOB-BF3</x:v>
      </x:c>
      <x:c r="F224" s="34" t="str">
        <x:v>Kakogawa Works BF 블록 3</x:v>
      </x:c>
      <x:c r="G224" s="34" t="str">
        <x:v>가코가와</x:v>
      </x:c>
      <x:c r="H224" s="34" t="n">
        <x:v>2037</x:v>
      </x:c>
      <x:c r="I224" s="34" t="str">
        <x:v>BF_BOF</x:v>
      </x:c>
      <x:c r="J224" s="34" t="str">
        <x:v>기준 BF-BOF 복합 블록</x:v>
      </x:c>
      <x:c r="K224" s="34" t="str">
        <x:v>SCRAP_EAF</x:v>
      </x:c>
      <x:c r="L224" s="34" t="str">
        <x:v>스크랩 기반 대형 EAF</x:v>
      </x:c>
      <x:c r="M224" s="34" t="n">
        <x:v>1878.8</x:v>
      </x:c>
      <x:c r="N224" s="34" t="n">
        <x:v>1207.8</x:v>
      </x:c>
      <x:c r="O224" s="34" t="n">
        <x:v>3.05</x:v>
      </x:c>
      <x:c r="P224" s="34" t="n">
        <x:v>2.909999</x:v>
      </x:c>
      <x:c r="Q224" s="34" t="n">
        <x:v>7.076364</x:v>
      </x:c>
      <x:c r="R224" s="34" t="n">
        <x:v>7.076364</x:v>
      </x:c>
      <x:c r="S224" s="34" t="n">
        <x:v>1.3095</x:v>
      </x:c>
      <x:c r="T224" s="34" t="n">
        <x:v>1.3095</x:v>
      </x:c>
      <x:c r="U224" s="34" t="n">
        <x:v>5.766864</x:v>
      </x:c>
      <x:c r="V224" s="34" t="n">
        <x:v>23.067457</x:v>
      </x:c>
      <x:c r="W224" s="34" t="n">
        <x:v>190.122</x:v>
      </x:c>
      <x:c r="X224" s="34" t="n">
        <x:v>190.965</x:v>
      </x:c>
      <x:c r="Y224" s="34" t="n">
        <x:v>1390.253</x:v>
      </x:c>
      <x:c r="Z224" s="34" t="n">
        <x:v>1199.288</x:v>
      </x:c>
      <x:c r="AA224" s="34" t="n">
        <x:v>1200.131</x:v>
      </x:c>
      <x:c r="AB224" s="34" t="n">
        <x:v>-0.843</x:v>
      </x:c>
      <x:c r="AC224" s="34" t="n">
        <x:v>635.28</x:v>
      </x:c>
      <x:c r="AD224" s="34" t="n">
        <x:v>22.64</x:v>
      </x:c>
      <x:c r="AE224" s="34" t="n">
        <x:v>729.967</x:v>
      </x:c>
      <x:c r="AF224" s="34" t="n">
        <x:v>0</x:v>
      </x:c>
      <x:c r="AG224" s="34" t="n">
        <x:v>2.366</x:v>
      </x:c>
      <x:c r="AH224" s="34" t="n">
        <x:v>-1200.131</x:v>
      </x:c>
      <x:c r="AI224" s="34" t="str">
        <x:v>model_estimate</x:v>
      </x:c>
      <x:c r="AJ224" s="34" t="str">
        <x:v>2016년 BF3 개수와 장기 수명주기를 반영한 재투자연도 추정</x:v>
      </x:c>
      <x:c r="AK224" s="34" t="str">
        <x:v>CAND-C9EAFC0F482485</x:v>
      </x:c>
      <x:c r="AL224" s="34" t="str">
        <x:v>P2</x:v>
      </x:c>
      <x:c r="AM224" s="34" t="str">
        <x:v>PORT-1144EBE63B41</x:v>
      </x:c>
      <x:c r="AN224" s="34" t="n">
        <x:v>1000</x:v>
      </x:c>
      <x:c r="AO224" s="34" t="n">
        <x:v>144.712539</x:v>
      </x:c>
      <x:c r="AP224" s="34" t="n">
        <x:v>36.074915</x:v>
      </x:c>
      <x:c r="AQ224" s="34" t="n">
        <x:v>102.391093</x:v>
      </x:c>
      <x:c r="AR224" s="34" t="n">
        <x:v>14552.066</x:v>
      </x:c>
      <x:c r="AS224" s="34" t="n">
        <x:v>142.122383</x:v>
      </x:c>
      <x:c r="AT224" s="40" t="b">
        <x:v>1</x:v>
      </x:c>
      <x:c r="AU224" s="40" t="b">
        <x:v>1</x:v>
      </x:c>
      <x:c r="AV224" s="34" t="str"/>
      <x:c r="AW224" s="34" t="n">
        <x:v>0</x:v>
      </x:c>
      <x:c r="AX224" s="34" t="str">
        <x:v>9.990856690045291e-05</x:v>
      </x:c>
      <x:c r="AY224" s="40" t="b">
        <x:v>1</x:v>
      </x:c>
      <x:c r="AZ224" s="40" t="b">
        <x:v>1</x:v>
      </x:c>
      <x:c r="BA224" s="40" t="b">
        <x:v>1</x:v>
      </x:c>
      <x:c r="BB224" s="40" t="b">
        <x:v>1</x:v>
      </x:c>
      <x:c r="BC224" s="34" t="str"/>
      <x:c r="BD224" s="34" t="n">
        <x:v>0</x:v>
      </x:c>
      <x:c r="BE224" s="34" t="n">
        <x:v>0</x:v>
      </x:c>
      <x:c r="BF224" s="34" t="n">
        <x:v>0</x:v>
      </x:c>
      <x:c r="BG224" s="34" t="n">
        <x:v>1</x:v>
      </x:c>
      <x:c r="BH224" s="34" t="n">
        <x:v>1</x:v>
      </x:c>
      <x:c r="BI224" s="34" t="n">
        <x:v>0.28332</x:v>
      </x:c>
      <x:c r="BJ224" s="34" t="n">
        <x:v>0.6</x:v>
      </x:c>
      <x:c r="BK224" s="34" t="n">
        <x:v>1.06</x:v>
      </x:c>
    </x:row>
    <x:row r="225">
      <x:c r="A225" s="34" t="str">
        <x:v>KOBE_STEEL_JP</x:v>
      </x:c>
      <x:c r="B225" s="34" t="str">
        <x:v>Kobe Steel</x:v>
      </x:c>
      <x:c r="C225" s="34" t="str">
        <x:v>ACCELERATED_15C</x:v>
      </x:c>
      <x:c r="D225" s="34" t="str">
        <x:v>P2</x:v>
      </x:c>
      <x:c r="E225" s="34" t="str">
        <x:v>KOB-TAKA</x:v>
      </x:c>
      <x:c r="F225" s="34" t="str">
        <x:v>Takasago Works EAF block</x:v>
      </x:c>
      <x:c r="G225" s="34" t="str">
        <x:v>다카사고</x:v>
      </x:c>
      <x:c r="H225" s="34" t="n">
        <x:v>2033</x:v>
      </x:c>
      <x:c r="I225" s="34" t="str">
        <x:v>EAF_BASELINE</x:v>
      </x:c>
      <x:c r="J225" s="34" t="str">
        <x:v>기존 전기로 기준 블록</x:v>
      </x:c>
      <x:c r="K225" s="34" t="str">
        <x:v>EAF_RENEWABLE</x:v>
      </x:c>
      <x:c r="L225" s="34" t="str">
        <x:v>기존 EAF 재생전력 업그레이드</x:v>
      </x:c>
      <x:c r="M225" s="34" t="n">
        <x:v>40.04</x:v>
      </x:c>
      <x:c r="N225" s="34" t="n">
        <x:v>12.32</x:v>
      </x:c>
      <x:c r="O225" s="34" t="n">
        <x:v>0.14</x:v>
      </x:c>
      <x:c r="P225" s="34" t="n">
        <x:v>0.1</x:v>
      </x:c>
      <x:c r="Q225" s="34" t="n">
        <x:v>0.05</x:v>
      </x:c>
      <x:c r="R225" s="34" t="n">
        <x:v>0.05</x:v>
      </x:c>
      <x:c r="S225" s="34" t="n">
        <x:v>0.01</x:v>
      </x:c>
      <x:c r="T225" s="34" t="n">
        <x:v>0.01</x:v>
      </x:c>
      <x:c r="U225" s="34" t="n">
        <x:v>0.04</x:v>
      </x:c>
      <x:c r="V225" s="34" t="n">
        <x:v>0.32</x:v>
      </x:c>
      <x:c r="W225" s="34" t="n">
        <x:v>-6.699</x:v>
      </x:c>
      <x:c r="X225" s="34" t="n">
        <x:v>1.609</x:v>
      </x:c>
      <x:c r="Y225" s="34" t="n">
        <x:v>9.995</x:v>
      </x:c>
      <x:c r="Z225" s="34" t="n">
        <x:v>8.386</x:v>
      </x:c>
      <x:c r="AA225" s="34" t="n">
        <x:v>16.694</x:v>
      </x:c>
      <x:c r="AB225" s="34" t="n">
        <x:v>-8.308</x:v>
      </x:c>
      <x:c r="AC225" s="34" t="n">
        <x:v>8.028</x:v>
      </x:c>
      <x:c r="AD225" s="34" t="n">
        <x:v>0</x:v>
      </x:c>
      <x:c r="AE225" s="34" t="n">
        <x:v>1.948</x:v>
      </x:c>
      <x:c r="AF225" s="34" t="n">
        <x:v>0</x:v>
      </x:c>
      <x:c r="AG225" s="34" t="n">
        <x:v>0.019</x:v>
      </x:c>
      <x:c r="AH225" s="34" t="n">
        <x:v>-16.694</x:v>
      </x:c>
      <x:c r="AI225" s="34" t="str">
        <x:v>model_estimate</x:v>
      </x:c>
      <x:c r="AJ225" s="34" t="str">
        <x:v>다카사고 포함 공식 조강 총량에 맞춘 소규모 EAF 블록 추정</x:v>
      </x:c>
      <x:c r="AK225" s="34" t="str">
        <x:v>CAND-C9EAFC0F482485</x:v>
      </x:c>
      <x:c r="AL225" s="34" t="str">
        <x:v>P2</x:v>
      </x:c>
      <x:c r="AM225" s="34" t="str">
        <x:v>PORT-1144EBE63B41</x:v>
      </x:c>
      <x:c r="AN225" s="34" t="n">
        <x:v>1000</x:v>
      </x:c>
      <x:c r="AO225" s="34" t="n">
        <x:v>144.712539</x:v>
      </x:c>
      <x:c r="AP225" s="34" t="n">
        <x:v>36.074915</x:v>
      </x:c>
      <x:c r="AQ225" s="34" t="n">
        <x:v>102.391093</x:v>
      </x:c>
      <x:c r="AR225" s="34" t="n">
        <x:v>14552.066</x:v>
      </x:c>
      <x:c r="AS225" s="34" t="n">
        <x:v>142.122383</x:v>
      </x:c>
      <x:c r="AT225" s="40" t="b">
        <x:v>1</x:v>
      </x:c>
      <x:c r="AU225" s="40" t="b">
        <x:v>1</x:v>
      </x:c>
      <x:c r="AV225" s="34" t="str"/>
      <x:c r="AW225" s="34" t="n">
        <x:v>0</x:v>
      </x:c>
      <x:c r="AX225" s="34" t="str">
        <x:v>9.990856690045291e-05</x:v>
      </x:c>
      <x:c r="AY225" s="40" t="b">
        <x:v>1</x:v>
      </x:c>
      <x:c r="AZ225" s="40" t="b">
        <x:v>1</x:v>
      </x:c>
      <x:c r="BA225" s="40" t="b">
        <x:v>1</x:v>
      </x:c>
      <x:c r="BB225" s="40" t="b">
        <x:v>1</x:v>
      </x:c>
      <x:c r="BC225" s="34" t="str"/>
      <x:c r="BD225" s="34" t="n">
        <x:v>0</x:v>
      </x:c>
      <x:c r="BE225" s="34" t="n">
        <x:v>0</x:v>
      </x:c>
      <x:c r="BF225" s="34" t="n">
        <x:v>0</x:v>
      </x:c>
      <x:c r="BG225" s="34" t="n">
        <x:v>1</x:v>
      </x:c>
      <x:c r="BH225" s="34" t="n">
        <x:v>1</x:v>
      </x:c>
      <x:c r="BI225" s="34" t="n">
        <x:v>0.28332</x:v>
      </x:c>
      <x:c r="BJ225" s="34" t="n">
        <x:v>0.6</x:v>
      </x:c>
      <x:c r="BK225" s="34" t="n">
        <x:v>1.06</x:v>
      </x:c>
    </x:row>
    <x:row r="226">
      <x:c r="A226" s="34" t="str">
        <x:v>KOBE_STEEL_JP</x:v>
      </x:c>
      <x:c r="B226" s="34" t="str">
        <x:v>Kobe Steel</x:v>
      </x:c>
      <x:c r="C226" s="34" t="str">
        <x:v>DISCLOSED_PATH</x:v>
      </x:c>
      <x:c r="D226" s="34" t="str">
        <x:v>P2</x:v>
      </x:c>
      <x:c r="E226" s="34" t="str">
        <x:v>KOB-BF1</x:v>
      </x:c>
      <x:c r="F226" s="34" t="str">
        <x:v>Kakogawa Works BF 블록 1</x:v>
      </x:c>
      <x:c r="G226" s="34" t="str">
        <x:v>가코가와</x:v>
      </x:c>
      <x:c r="H226" s="34" t="n">
        <x:v>2029</x:v>
      </x:c>
      <x:c r="I226" s="34" t="str">
        <x:v>BF_BOF</x:v>
      </x:c>
      <x:c r="J226" s="34" t="str">
        <x:v>기준 BF-BOF 복합 블록</x:v>
      </x:c>
      <x:c r="K226" s="34" t="str">
        <x:v>H2_DRI_EAF</x:v>
      </x:c>
      <x:c r="L226" s="34" t="str">
        <x:v>수소 DRI + EAF</x:v>
      </x:c>
      <x:c r="M226" s="34" t="n">
        <x:v>3118.5</x:v>
      </x:c>
      <x:c r="N226" s="34" t="n">
        <x:v>2425.5</x:v>
      </x:c>
      <x:c r="O226" s="34" t="n">
        <x:v>3.15</x:v>
      </x:c>
      <x:c r="P226" s="34" t="n">
        <x:v>2.95</x:v>
      </x:c>
      <x:c r="Q226" s="34" t="n">
        <x:v>7.173636</x:v>
      </x:c>
      <x:c r="R226" s="34" t="n">
        <x:v>0.59</x:v>
      </x:c>
      <x:c r="S226" s="34" t="n">
        <x:v>0.59</x:v>
      </x:c>
      <x:c r="T226" s="34" t="n">
        <x:v>0.59</x:v>
      </x:c>
      <x:c r="U226" s="34" t="n">
        <x:v>6.583636</x:v>
      </x:c>
      <x:c r="V226" s="34" t="n">
        <x:v>79.003637</x:v>
      </x:c>
      <x:c r="W226" s="34" t="n">
        <x:v>15917.144</x:v>
      </x:c>
      <x:c r="X226" s="34" t="n">
        <x:v>967.969</x:v>
      </x:c>
      <x:c r="Y226" s="34" t="n">
        <x:v>18678.927</x:v>
      </x:c>
      <x:c r="Z226" s="34" t="n">
        <x:v>17710.958</x:v>
      </x:c>
      <x:c r="AA226" s="34" t="n">
        <x:v>2761.783</x:v>
      </x:c>
      <x:c r="AB226" s="34" t="n">
        <x:v>14949.174</x:v>
      </x:c>
      <x:c r="AC226" s="34" t="n">
        <x:v>1957.904</x:v>
      </x:c>
      <x:c r="AD226" s="34" t="n">
        <x:v>238.172</x:v>
      </x:c>
      <x:c r="AE226" s="34" t="n">
        <x:v>1975.516</x:v>
      </x:c>
      <x:c r="AF226" s="34" t="n">
        <x:v>14485.97</x:v>
      </x:c>
      <x:c r="AG226" s="34" t="n">
        <x:v>21.365</x:v>
      </x:c>
      <x:c r="AH226" s="34" t="n">
        <x:v>-2761.783</x:v>
      </x:c>
      <x:c r="AI226" s="34" t="str">
        <x:v>model_estimate</x:v>
      </x:c>
      <x:c r="AJ226" s="34" t="str">
        <x:v>Kobe Steel 공식 조강·목표경계 배출 총량에 맞춘 블록 배분</x:v>
      </x:c>
      <x:c r="AK226" s="34" t="str">
        <x:v>CAND-CE22CF7F8F72DA</x:v>
      </x:c>
      <x:c r="AL226" s="34" t="str">
        <x:v>P2</x:v>
      </x:c>
      <x:c r="AM226" s="34" t="str">
        <x:v>PORT-9862FC05DA24</x:v>
      </x:c>
      <x:c r="AN226" s="34" t="n">
        <x:v>1000</x:v>
      </x:c>
      <x:c r="AO226" s="34" t="n">
        <x:v>186.095455</x:v>
      </x:c>
      <x:c r="AP226" s="34" t="n">
        <x:v>41.736263</x:v>
      </x:c>
      <x:c r="AQ226" s="34" t="n">
        <x:v>105.301092</x:v>
      </x:c>
      <x:c r="AR226" s="34" t="n">
        <x:v>19272.91</x:v>
      </x:c>
      <x:c r="AS226" s="34" t="n">
        <x:v>183.02669</x:v>
      </x:c>
      <x:c r="AT226" s="40" t="b">
        <x:v>1</x:v>
      </x:c>
      <x:c r="AU226" s="40" t="b">
        <x:v>1</x:v>
      </x:c>
      <x:c r="AV226" s="34" t="str"/>
      <x:c r="AW226" s="34" t="n">
        <x:v>0</x:v>
      </x:c>
      <x:c r="AX226" s="34" t="str">
        <x:v>9.990856690045291e-05</x:v>
      </x:c>
      <x:c r="AY226" s="40" t="b">
        <x:v>1</x:v>
      </x:c>
      <x:c r="AZ226" s="40" t="b">
        <x:v>1</x:v>
      </x:c>
      <x:c r="BA226" s="40" t="b">
        <x:v>1</x:v>
      </x:c>
      <x:c r="BB226" s="40" t="b">
        <x:v>1</x:v>
      </x:c>
      <x:c r="BC226" s="34" t="str"/>
      <x:c r="BD226" s="34" t="n">
        <x:v>0</x:v>
      </x:c>
      <x:c r="BE226" s="34" t="n">
        <x:v>0</x:v>
      </x:c>
      <x:c r="BF226" s="34" t="n">
        <x:v>0</x:v>
      </x:c>
      <x:c r="BG226" s="34" t="n">
        <x:v>1</x:v>
      </x:c>
      <x:c r="BH226" s="34" t="n">
        <x:v>1</x:v>
      </x:c>
      <x:c r="BI226" s="34" t="n">
        <x:v>0.3612199999999999</x:v>
      </x:c>
      <x:c r="BJ226" s="34" t="n">
        <x:v>0.6</x:v>
      </x:c>
      <x:c r="BK226" s="34" t="n">
        <x:v>1.54</x:v>
      </x:c>
    </x:row>
    <x:row r="227">
      <x:c r="A227" s="34" t="str">
        <x:v>KOBE_STEEL_JP</x:v>
      </x:c>
      <x:c r="B227" s="34" t="str">
        <x:v>Kobe Steel</x:v>
      </x:c>
      <x:c r="C227" s="34" t="str">
        <x:v>DISCLOSED_PATH</x:v>
      </x:c>
      <x:c r="D227" s="34" t="str">
        <x:v>P2</x:v>
      </x:c>
      <x:c r="E227" s="34" t="str">
        <x:v>KOB-BF3</x:v>
      </x:c>
      <x:c r="F227" s="34" t="str">
        <x:v>Kakogawa Works BF 블록 3</x:v>
      </x:c>
      <x:c r="G227" s="34" t="str">
        <x:v>가코가와</x:v>
      </x:c>
      <x:c r="H227" s="34" t="n">
        <x:v>2037</x:v>
      </x:c>
      <x:c r="I227" s="34" t="str">
        <x:v>BF_BOF</x:v>
      </x:c>
      <x:c r="J227" s="34" t="str">
        <x:v>기준 BF-BOF 복합 블록</x:v>
      </x:c>
      <x:c r="K227" s="34" t="str">
        <x:v>H2_DRI_EAF</x:v>
      </x:c>
      <x:c r="L227" s="34" t="str">
        <x:v>수소 DRI + EAF</x:v>
      </x:c>
      <x:c r="M227" s="34" t="n">
        <x:v>3019.5</x:v>
      </x:c>
      <x:c r="N227" s="34" t="n">
        <x:v>2348.5</x:v>
      </x:c>
      <x:c r="O227" s="34" t="n">
        <x:v>3.05</x:v>
      </x:c>
      <x:c r="P227" s="34" t="n">
        <x:v>2.909999</x:v>
      </x:c>
      <x:c r="Q227" s="34" t="n">
        <x:v>7.076364</x:v>
      </x:c>
      <x:c r="R227" s="34" t="n">
        <x:v>7.076364</x:v>
      </x:c>
      <x:c r="S227" s="34" t="n">
        <x:v>0.582</x:v>
      </x:c>
      <x:c r="T227" s="34" t="n">
        <x:v>0.582</x:v>
      </x:c>
      <x:c r="U227" s="34" t="n">
        <x:v>6.494364</x:v>
      </x:c>
      <x:c r="V227" s="34" t="n">
        <x:v>25.977455</x:v>
      </x:c>
      <x:c r="W227" s="34" t="n">
        <x:v>4779.201</x:v>
      </x:c>
      <x:c r="X227" s="34" t="n">
        <x:v>452.811</x:v>
      </x:c>
      <x:c r="Y227" s="34" t="n">
        <x:v>5683.19</x:v>
      </x:c>
      <x:c r="Z227" s="34" t="n">
        <x:v>5230.379</x:v>
      </x:c>
      <x:c r="AA227" s="34" t="n">
        <x:v>903.989</x:v>
      </x:c>
      <x:c r="AB227" s="34" t="n">
        <x:v>4326.39</x:v>
      </x:c>
      <x:c r="AC227" s="34" t="n">
        <x:v>1235.268</x:v>
      </x:c>
      <x:c r="AD227" s="34" t="n">
        <x:v>62.261</x:v>
      </x:c>
      <x:c r="AE227" s="34" t="n">
        <x:v>533.241</x:v>
      </x:c>
      <x:c r="AF227" s="34" t="n">
        <x:v>3845.304</x:v>
      </x:c>
      <x:c r="AG227" s="34" t="n">
        <x:v>7.116</x:v>
      </x:c>
      <x:c r="AH227" s="34" t="n">
        <x:v>-903.989</x:v>
      </x:c>
      <x:c r="AI227" s="34" t="str">
        <x:v>model_estimate</x:v>
      </x:c>
      <x:c r="AJ227" s="34" t="str">
        <x:v>2016년 BF3 개수와 장기 수명주기를 반영한 재투자연도 추정</x:v>
      </x:c>
      <x:c r="AK227" s="34" t="str">
        <x:v>CAND-CE22CF7F8F72DA</x:v>
      </x:c>
      <x:c r="AL227" s="34" t="str">
        <x:v>P2</x:v>
      </x:c>
      <x:c r="AM227" s="34" t="str">
        <x:v>PORT-9862FC05DA24</x:v>
      </x:c>
      <x:c r="AN227" s="34" t="n">
        <x:v>1000</x:v>
      </x:c>
      <x:c r="AO227" s="34" t="n">
        <x:v>186.095455</x:v>
      </x:c>
      <x:c r="AP227" s="34" t="n">
        <x:v>41.736263</x:v>
      </x:c>
      <x:c r="AQ227" s="34" t="n">
        <x:v>105.301092</x:v>
      </x:c>
      <x:c r="AR227" s="34" t="n">
        <x:v>19272.91</x:v>
      </x:c>
      <x:c r="AS227" s="34" t="n">
        <x:v>183.02669</x:v>
      </x:c>
      <x:c r="AT227" s="40" t="b">
        <x:v>1</x:v>
      </x:c>
      <x:c r="AU227" s="40" t="b">
        <x:v>1</x:v>
      </x:c>
      <x:c r="AV227" s="34" t="str"/>
      <x:c r="AW227" s="34" t="n">
        <x:v>0</x:v>
      </x:c>
      <x:c r="AX227" s="34" t="str">
        <x:v>9.990856690045291e-05</x:v>
      </x:c>
      <x:c r="AY227" s="40" t="b">
        <x:v>1</x:v>
      </x:c>
      <x:c r="AZ227" s="40" t="b">
        <x:v>1</x:v>
      </x:c>
      <x:c r="BA227" s="40" t="b">
        <x:v>1</x:v>
      </x:c>
      <x:c r="BB227" s="40" t="b">
        <x:v>1</x:v>
      </x:c>
      <x:c r="BC227" s="34" t="str"/>
      <x:c r="BD227" s="34" t="n">
        <x:v>0</x:v>
      </x:c>
      <x:c r="BE227" s="34" t="n">
        <x:v>0</x:v>
      </x:c>
      <x:c r="BF227" s="34" t="n">
        <x:v>0</x:v>
      </x:c>
      <x:c r="BG227" s="34" t="n">
        <x:v>1</x:v>
      </x:c>
      <x:c r="BH227" s="34" t="n">
        <x:v>1</x:v>
      </x:c>
      <x:c r="BI227" s="34" t="n">
        <x:v>0.3612199999999999</x:v>
      </x:c>
      <x:c r="BJ227" s="34" t="n">
        <x:v>0.6</x:v>
      </x:c>
      <x:c r="BK227" s="34" t="n">
        <x:v>1.54</x:v>
      </x:c>
    </x:row>
    <x:row r="228">
      <x:c r="A228" s="34" t="str">
        <x:v>KOBE_STEEL_JP</x:v>
      </x:c>
      <x:c r="B228" s="34" t="str">
        <x:v>Kobe Steel</x:v>
      </x:c>
      <x:c r="C228" s="34" t="str">
        <x:v>DISCLOSED_PATH</x:v>
      </x:c>
      <x:c r="D228" s="34" t="str">
        <x:v>P2</x:v>
      </x:c>
      <x:c r="E228" s="34" t="str">
        <x:v>KOB-TAKA</x:v>
      </x:c>
      <x:c r="F228" s="34" t="str">
        <x:v>Takasago Works EAF block</x:v>
      </x:c>
      <x:c r="G228" s="34" t="str">
        <x:v>다카사고</x:v>
      </x:c>
      <x:c r="H228" s="34" t="n">
        <x:v>2033</x:v>
      </x:c>
      <x:c r="I228" s="34" t="str">
        <x:v>EAF_BASELINE</x:v>
      </x:c>
      <x:c r="J228" s="34" t="str">
        <x:v>기존 전기로 기준 블록</x:v>
      </x:c>
      <x:c r="K228" s="34" t="str">
        <x:v>EAF_RENEWABLE</x:v>
      </x:c>
      <x:c r="L228" s="34" t="str">
        <x:v>기존 EAF 재생전력 업그레이드</x:v>
      </x:c>
      <x:c r="M228" s="34" t="n">
        <x:v>40.04</x:v>
      </x:c>
      <x:c r="N228" s="34" t="n">
        <x:v>12.32</x:v>
      </x:c>
      <x:c r="O228" s="34" t="n">
        <x:v>0.14</x:v>
      </x:c>
      <x:c r="P228" s="34" t="n">
        <x:v>0.1</x:v>
      </x:c>
      <x:c r="Q228" s="34" t="n">
        <x:v>0.05</x:v>
      </x:c>
      <x:c r="R228" s="34" t="n">
        <x:v>0.05</x:v>
      </x:c>
      <x:c r="S228" s="34" t="n">
        <x:v>0.01</x:v>
      </x:c>
      <x:c r="T228" s="34" t="n">
        <x:v>0.01</x:v>
      </x:c>
      <x:c r="U228" s="34" t="n">
        <x:v>0.04</x:v>
      </x:c>
      <x:c r="V228" s="34" t="n">
        <x:v>0.32</x:v>
      </x:c>
      <x:c r="W228" s="34" t="n">
        <x:v>-1.448</x:v>
      </x:c>
      <x:c r="X228" s="34" t="n">
        <x:v>1.207</x:v>
      </x:c>
      <x:c r="Y228" s="34" t="n">
        <x:v>9.803</x:v>
      </x:c>
      <x:c r="Z228" s="34" t="n">
        <x:v>8.597</x:v>
      </x:c>
      <x:c r="AA228" s="34" t="n">
        <x:v>11.251</x:v>
      </x:c>
      <x:c r="AB228" s="34" t="n">
        <x:v>-2.654</x:v>
      </x:c>
      <x:c r="AC228" s="34" t="n">
        <x:v>8.028</x:v>
      </x:c>
      <x:c r="AD228" s="34" t="n">
        <x:v>0</x:v>
      </x:c>
      <x:c r="AE228" s="34" t="n">
        <x:v>1.757</x:v>
      </x:c>
      <x:c r="AF228" s="34" t="n">
        <x:v>0</x:v>
      </x:c>
      <x:c r="AG228" s="34" t="n">
        <x:v>0.019</x:v>
      </x:c>
      <x:c r="AH228" s="34" t="n">
        <x:v>-11.251</x:v>
      </x:c>
      <x:c r="AI228" s="34" t="str">
        <x:v>model_estimate</x:v>
      </x:c>
      <x:c r="AJ228" s="34" t="str">
        <x:v>다카사고 포함 공식 조강 총량에 맞춘 소규모 EAF 블록 추정</x:v>
      </x:c>
      <x:c r="AK228" s="34" t="str">
        <x:v>CAND-CE22CF7F8F72DA</x:v>
      </x:c>
      <x:c r="AL228" s="34" t="str">
        <x:v>P2</x:v>
      </x:c>
      <x:c r="AM228" s="34" t="str">
        <x:v>PORT-9862FC05DA24</x:v>
      </x:c>
      <x:c r="AN228" s="34" t="n">
        <x:v>1000</x:v>
      </x:c>
      <x:c r="AO228" s="34" t="n">
        <x:v>186.095455</x:v>
      </x:c>
      <x:c r="AP228" s="34" t="n">
        <x:v>41.736263</x:v>
      </x:c>
      <x:c r="AQ228" s="34" t="n">
        <x:v>105.301092</x:v>
      </x:c>
      <x:c r="AR228" s="34" t="n">
        <x:v>19272.91</x:v>
      </x:c>
      <x:c r="AS228" s="34" t="n">
        <x:v>183.02669</x:v>
      </x:c>
      <x:c r="AT228" s="40" t="b">
        <x:v>1</x:v>
      </x:c>
      <x:c r="AU228" s="40" t="b">
        <x:v>1</x:v>
      </x:c>
      <x:c r="AV228" s="34" t="str"/>
      <x:c r="AW228" s="34" t="n">
        <x:v>0</x:v>
      </x:c>
      <x:c r="AX228" s="34" t="str">
        <x:v>9.990856690045291e-05</x:v>
      </x:c>
      <x:c r="AY228" s="40" t="b">
        <x:v>1</x:v>
      </x:c>
      <x:c r="AZ228" s="40" t="b">
        <x:v>1</x:v>
      </x:c>
      <x:c r="BA228" s="40" t="b">
        <x:v>1</x:v>
      </x:c>
      <x:c r="BB228" s="40" t="b">
        <x:v>1</x:v>
      </x:c>
      <x:c r="BC228" s="34" t="str"/>
      <x:c r="BD228" s="34" t="n">
        <x:v>0</x:v>
      </x:c>
      <x:c r="BE228" s="34" t="n">
        <x:v>0</x:v>
      </x:c>
      <x:c r="BF228" s="34" t="n">
        <x:v>0</x:v>
      </x:c>
      <x:c r="BG228" s="34" t="n">
        <x:v>1</x:v>
      </x:c>
      <x:c r="BH228" s="34" t="n">
        <x:v>1</x:v>
      </x:c>
      <x:c r="BI228" s="34" t="n">
        <x:v>0.3612199999999999</x:v>
      </x:c>
      <x:c r="BJ228" s="34" t="n">
        <x:v>0.6</x:v>
      </x:c>
      <x:c r="BK228" s="34" t="n">
        <x:v>1.54</x:v>
      </x:c>
    </x:row>
    <x:row r="229">
      <x:c r="A229" s="34" t="str">
        <x:v>KOBE_STEEL_JP</x:v>
      </x:c>
      <x:c r="B229" s="34" t="str">
        <x:v>Kobe Steel</x:v>
      </x:c>
      <x:c r="C229" s="34" t="str">
        <x:v>ACCELERATED_15C</x:v>
      </x:c>
      <x:c r="D229" s="34" t="str">
        <x:v>P2</x:v>
      </x:c>
      <x:c r="E229" s="34" t="str">
        <x:v>KOB-BF1</x:v>
      </x:c>
      <x:c r="F229" s="34" t="str">
        <x:v>Kakogawa Works BF 블록 1</x:v>
      </x:c>
      <x:c r="G229" s="34" t="str">
        <x:v>가코가와</x:v>
      </x:c>
      <x:c r="H229" s="34" t="n">
        <x:v>2029</x:v>
      </x:c>
      <x:c r="I229" s="34" t="str">
        <x:v>BF_BOF</x:v>
      </x:c>
      <x:c r="J229" s="34" t="str">
        <x:v>기준 BF-BOF 복합 블록</x:v>
      </x:c>
      <x:c r="K229" s="34" t="str">
        <x:v>H2_DRI_EAF</x:v>
      </x:c>
      <x:c r="L229" s="34" t="str">
        <x:v>수소 DRI + EAF</x:v>
      </x:c>
      <x:c r="M229" s="34" t="n">
        <x:v>3118.5</x:v>
      </x:c>
      <x:c r="N229" s="34" t="n">
        <x:v>2425.5</x:v>
      </x:c>
      <x:c r="O229" s="34" t="n">
        <x:v>3.15</x:v>
      </x:c>
      <x:c r="P229" s="34" t="n">
        <x:v>2.95</x:v>
      </x:c>
      <x:c r="Q229" s="34" t="n">
        <x:v>7.173636</x:v>
      </x:c>
      <x:c r="R229" s="34" t="n">
        <x:v>0.59</x:v>
      </x:c>
      <x:c r="S229" s="34" t="n">
        <x:v>0.59</x:v>
      </x:c>
      <x:c r="T229" s="34" t="n">
        <x:v>0.59</x:v>
      </x:c>
      <x:c r="U229" s="34" t="n">
        <x:v>6.583636</x:v>
      </x:c>
      <x:c r="V229" s="34" t="n">
        <x:v>79.003637</x:v>
      </x:c>
      <x:c r="W229" s="34" t="n">
        <x:v>15873.898</x:v>
      </x:c>
      <x:c r="X229" s="34" t="n">
        <x:v>1312.68</x:v>
      </x:c>
      <x:c r="Y229" s="34" t="n">
        <x:v>19901.416</x:v>
      </x:c>
      <x:c r="Z229" s="34" t="n">
        <x:v>18588.735</x:v>
      </x:c>
      <x:c r="AA229" s="34" t="n">
        <x:v>4027.518</x:v>
      </x:c>
      <x:c r="AB229" s="34" t="n">
        <x:v>14561.217</x:v>
      </x:c>
      <x:c r="AC229" s="34" t="n">
        <x:v>1957.904</x:v>
      </x:c>
      <x:c r="AD229" s="34" t="n">
        <x:v>238.172</x:v>
      </x:c>
      <x:c r="AE229" s="34" t="n">
        <x:v>2156.484</x:v>
      </x:c>
      <x:c r="AF229" s="34" t="n">
        <x:v>15526.18</x:v>
      </x:c>
      <x:c r="AG229" s="34" t="n">
        <x:v>22.677</x:v>
      </x:c>
      <x:c r="AH229" s="34" t="n">
        <x:v>-4027.518</x:v>
      </x:c>
      <x:c r="AI229" s="34" t="str">
        <x:v>model_estimate</x:v>
      </x:c>
      <x:c r="AJ229" s="34" t="str">
        <x:v>Kobe Steel 공식 조강·목표경계 배출 총량에 맞춘 블록 배분</x:v>
      </x:c>
      <x:c r="AK229" s="34" t="str">
        <x:v>CAND-CE22CF7F8F72DA</x:v>
      </x:c>
      <x:c r="AL229" s="34" t="str">
        <x:v>P2</x:v>
      </x:c>
      <x:c r="AM229" s="34" t="str">
        <x:v>PORT-9862FC05DA24</x:v>
      </x:c>
      <x:c r="AN229" s="34" t="n">
        <x:v>1000</x:v>
      </x:c>
      <x:c r="AO229" s="34" t="n">
        <x:v>180.95074</x:v>
      </x:c>
      <x:c r="AP229" s="34" t="n">
        <x:v>44.985389</x:v>
      </x:c>
      <x:c r="AQ229" s="34" t="n">
        <x:v>105.301092</x:v>
      </x:c>
      <x:c r="AR229" s="34" t="n">
        <x:v>18743.254</x:v>
      </x:c>
      <x:c r="AS229" s="34" t="n">
        <x:v>177.996762</x:v>
      </x:c>
      <x:c r="AT229" s="40" t="b">
        <x:v>1</x:v>
      </x:c>
      <x:c r="AU229" s="40" t="b">
        <x:v>1</x:v>
      </x:c>
      <x:c r="AV229" s="34" t="str"/>
      <x:c r="AW229" s="34" t="n">
        <x:v>0</x:v>
      </x:c>
      <x:c r="AX229" s="34" t="str">
        <x:v>9.990856690045291e-05</x:v>
      </x:c>
      <x:c r="AY229" s="40" t="b">
        <x:v>1</x:v>
      </x:c>
      <x:c r="AZ229" s="40" t="b">
        <x:v>1</x:v>
      </x:c>
      <x:c r="BA229" s="40" t="b">
        <x:v>1</x:v>
      </x:c>
      <x:c r="BB229" s="40" t="b">
        <x:v>1</x:v>
      </x:c>
      <x:c r="BC229" s="34" t="str"/>
      <x:c r="BD229" s="34" t="n">
        <x:v>0</x:v>
      </x:c>
      <x:c r="BE229" s="34" t="n">
        <x:v>0</x:v>
      </x:c>
      <x:c r="BF229" s="34" t="n">
        <x:v>0</x:v>
      </x:c>
      <x:c r="BG229" s="34" t="n">
        <x:v>1</x:v>
      </x:c>
      <x:c r="BH229" s="34" t="n">
        <x:v>1</x:v>
      </x:c>
      <x:c r="BI229" s="34" t="n">
        <x:v>0.3612199999999999</x:v>
      </x:c>
      <x:c r="BJ229" s="34" t="n">
        <x:v>0.6</x:v>
      </x:c>
      <x:c r="BK229" s="34" t="n">
        <x:v>1.54</x:v>
      </x:c>
    </x:row>
    <x:row r="230">
      <x:c r="A230" s="34" t="str">
        <x:v>KOBE_STEEL_JP</x:v>
      </x:c>
      <x:c r="B230" s="34" t="str">
        <x:v>Kobe Steel</x:v>
      </x:c>
      <x:c r="C230" s="34" t="str">
        <x:v>ACCELERATED_15C</x:v>
      </x:c>
      <x:c r="D230" s="34" t="str">
        <x:v>P2</x:v>
      </x:c>
      <x:c r="E230" s="34" t="str">
        <x:v>KOB-BF3</x:v>
      </x:c>
      <x:c r="F230" s="34" t="str">
        <x:v>Kakogawa Works BF 블록 3</x:v>
      </x:c>
      <x:c r="G230" s="34" t="str">
        <x:v>가코가와</x:v>
      </x:c>
      <x:c r="H230" s="34" t="n">
        <x:v>2037</x:v>
      </x:c>
      <x:c r="I230" s="34" t="str">
        <x:v>BF_BOF</x:v>
      </x:c>
      <x:c r="J230" s="34" t="str">
        <x:v>기준 BF-BOF 복합 블록</x:v>
      </x:c>
      <x:c r="K230" s="34" t="str">
        <x:v>H2_DRI_EAF</x:v>
      </x:c>
      <x:c r="L230" s="34" t="str">
        <x:v>수소 DRI + EAF</x:v>
      </x:c>
      <x:c r="M230" s="34" t="n">
        <x:v>3019.5</x:v>
      </x:c>
      <x:c r="N230" s="34" t="n">
        <x:v>2348.5</x:v>
      </x:c>
      <x:c r="O230" s="34" t="n">
        <x:v>3.05</x:v>
      </x:c>
      <x:c r="P230" s="34" t="n">
        <x:v>2.909999</x:v>
      </x:c>
      <x:c r="Q230" s="34" t="n">
        <x:v>7.076364</x:v>
      </x:c>
      <x:c r="R230" s="34" t="n">
        <x:v>7.076364</x:v>
      </x:c>
      <x:c r="S230" s="34" t="n">
        <x:v>0.582</x:v>
      </x:c>
      <x:c r="T230" s="34" t="n">
        <x:v>0.582</x:v>
      </x:c>
      <x:c r="U230" s="34" t="n">
        <x:v>6.494364</x:v>
      </x:c>
      <x:c r="V230" s="34" t="n">
        <x:v>25.977455</x:v>
      </x:c>
      <x:c r="W230" s="34" t="n">
        <x:v>4783.094</x:v>
      </x:c>
      <x:c r="X230" s="34" t="n">
        <x:v>592.749</x:v>
      </x:c>
      <x:c r="Y230" s="34" t="n">
        <x:v>6134.623</x:v>
      </x:c>
      <x:c r="Z230" s="34" t="n">
        <x:v>5541.874</x:v>
      </x:c>
      <x:c r="AA230" s="34" t="n">
        <x:v>1351.53</x:v>
      </x:c>
      <x:c r="AB230" s="34" t="n">
        <x:v>4190.344</x:v>
      </x:c>
      <x:c r="AC230" s="34" t="n">
        <x:v>1235.268</x:v>
      </x:c>
      <x:c r="AD230" s="34" t="n">
        <x:v>62.261</x:v>
      </x:c>
      <x:c r="AE230" s="34" t="n">
        <x:v>599.616</x:v>
      </x:c>
      <x:c r="AF230" s="34" t="n">
        <x:v>4229.879</x:v>
      </x:c>
      <x:c r="AG230" s="34" t="n">
        <x:v>7.6</x:v>
      </x:c>
      <x:c r="AH230" s="34" t="n">
        <x:v>-1351.53</x:v>
      </x:c>
      <x:c r="AI230" s="34" t="str">
        <x:v>model_estimate</x:v>
      </x:c>
      <x:c r="AJ230" s="34" t="str">
        <x:v>2016년 BF3 개수와 장기 수명주기를 반영한 재투자연도 추정</x:v>
      </x:c>
      <x:c r="AK230" s="34" t="str">
        <x:v>CAND-CE22CF7F8F72DA</x:v>
      </x:c>
      <x:c r="AL230" s="34" t="str">
        <x:v>P2</x:v>
      </x:c>
      <x:c r="AM230" s="34" t="str">
        <x:v>PORT-9862FC05DA24</x:v>
      </x:c>
      <x:c r="AN230" s="34" t="n">
        <x:v>1000</x:v>
      </x:c>
      <x:c r="AO230" s="34" t="n">
        <x:v>180.95074</x:v>
      </x:c>
      <x:c r="AP230" s="34" t="n">
        <x:v>44.985389</x:v>
      </x:c>
      <x:c r="AQ230" s="34" t="n">
        <x:v>105.301092</x:v>
      </x:c>
      <x:c r="AR230" s="34" t="n">
        <x:v>18743.254</x:v>
      </x:c>
      <x:c r="AS230" s="34" t="n">
        <x:v>177.996762</x:v>
      </x:c>
      <x:c r="AT230" s="40" t="b">
        <x:v>1</x:v>
      </x:c>
      <x:c r="AU230" s="40" t="b">
        <x:v>1</x:v>
      </x:c>
      <x:c r="AV230" s="34" t="str"/>
      <x:c r="AW230" s="34" t="n">
        <x:v>0</x:v>
      </x:c>
      <x:c r="AX230" s="34" t="str">
        <x:v>9.990856690045291e-05</x:v>
      </x:c>
      <x:c r="AY230" s="40" t="b">
        <x:v>1</x:v>
      </x:c>
      <x:c r="AZ230" s="40" t="b">
        <x:v>1</x:v>
      </x:c>
      <x:c r="BA230" s="40" t="b">
        <x:v>1</x:v>
      </x:c>
      <x:c r="BB230" s="40" t="b">
        <x:v>1</x:v>
      </x:c>
      <x:c r="BC230" s="34" t="str"/>
      <x:c r="BD230" s="34" t="n">
        <x:v>0</x:v>
      </x:c>
      <x:c r="BE230" s="34" t="n">
        <x:v>0</x:v>
      </x:c>
      <x:c r="BF230" s="34" t="n">
        <x:v>0</x:v>
      </x:c>
      <x:c r="BG230" s="34" t="n">
        <x:v>1</x:v>
      </x:c>
      <x:c r="BH230" s="34" t="n">
        <x:v>1</x:v>
      </x:c>
      <x:c r="BI230" s="34" t="n">
        <x:v>0.3612199999999999</x:v>
      </x:c>
      <x:c r="BJ230" s="34" t="n">
        <x:v>0.6</x:v>
      </x:c>
      <x:c r="BK230" s="34" t="n">
        <x:v>1.54</x:v>
      </x:c>
    </x:row>
    <x:row r="231">
      <x:c r="A231" s="34" t="str">
        <x:v>KOBE_STEEL_JP</x:v>
      </x:c>
      <x:c r="B231" s="34" t="str">
        <x:v>Kobe Steel</x:v>
      </x:c>
      <x:c r="C231" s="34" t="str">
        <x:v>ACCELERATED_15C</x:v>
      </x:c>
      <x:c r="D231" s="34" t="str">
        <x:v>P2</x:v>
      </x:c>
      <x:c r="E231" s="34" t="str">
        <x:v>KOB-TAKA</x:v>
      </x:c>
      <x:c r="F231" s="34" t="str">
        <x:v>Takasago Works EAF block</x:v>
      </x:c>
      <x:c r="G231" s="34" t="str">
        <x:v>다카사고</x:v>
      </x:c>
      <x:c r="H231" s="34" t="n">
        <x:v>2033</x:v>
      </x:c>
      <x:c r="I231" s="34" t="str">
        <x:v>EAF_BASELINE</x:v>
      </x:c>
      <x:c r="J231" s="34" t="str">
        <x:v>기존 전기로 기준 블록</x:v>
      </x:c>
      <x:c r="K231" s="34" t="str">
        <x:v>EAF_RENEWABLE</x:v>
      </x:c>
      <x:c r="L231" s="34" t="str">
        <x:v>기존 EAF 재생전력 업그레이드</x:v>
      </x:c>
      <x:c r="M231" s="34" t="n">
        <x:v>40.04</x:v>
      </x:c>
      <x:c r="N231" s="34" t="n">
        <x:v>12.32</x:v>
      </x:c>
      <x:c r="O231" s="34" t="n">
        <x:v>0.14</x:v>
      </x:c>
      <x:c r="P231" s="34" t="n">
        <x:v>0.1</x:v>
      </x:c>
      <x:c r="Q231" s="34" t="n">
        <x:v>0.05</x:v>
      </x:c>
      <x:c r="R231" s="34" t="n">
        <x:v>0.05</x:v>
      </x:c>
      <x:c r="S231" s="34" t="n">
        <x:v>0.01</x:v>
      </x:c>
      <x:c r="T231" s="34" t="n">
        <x:v>0.01</x:v>
      </x:c>
      <x:c r="U231" s="34" t="n">
        <x:v>0.04</x:v>
      </x:c>
      <x:c r="V231" s="34" t="n">
        <x:v>0.32</x:v>
      </x:c>
      <x:c r="W231" s="34" t="n">
        <x:v>-6.699</x:v>
      </x:c>
      <x:c r="X231" s="34" t="n">
        <x:v>1.609</x:v>
      </x:c>
      <x:c r="Y231" s="34" t="n">
        <x:v>9.995</x:v>
      </x:c>
      <x:c r="Z231" s="34" t="n">
        <x:v>8.386</x:v>
      </x:c>
      <x:c r="AA231" s="34" t="n">
        <x:v>16.694</x:v>
      </x:c>
      <x:c r="AB231" s="34" t="n">
        <x:v>-8.308</x:v>
      </x:c>
      <x:c r="AC231" s="34" t="n">
        <x:v>8.028</x:v>
      </x:c>
      <x:c r="AD231" s="34" t="n">
        <x:v>0</x:v>
      </x:c>
      <x:c r="AE231" s="34" t="n">
        <x:v>1.948</x:v>
      </x:c>
      <x:c r="AF231" s="34" t="n">
        <x:v>0</x:v>
      </x:c>
      <x:c r="AG231" s="34" t="n">
        <x:v>0.019</x:v>
      </x:c>
      <x:c r="AH231" s="34" t="n">
        <x:v>-16.694</x:v>
      </x:c>
      <x:c r="AI231" s="34" t="str">
        <x:v>model_estimate</x:v>
      </x:c>
      <x:c r="AJ231" s="34" t="str">
        <x:v>다카사고 포함 공식 조강 총량에 맞춘 소규모 EAF 블록 추정</x:v>
      </x:c>
      <x:c r="AK231" s="34" t="str">
        <x:v>CAND-CE22CF7F8F72DA</x:v>
      </x:c>
      <x:c r="AL231" s="34" t="str">
        <x:v>P2</x:v>
      </x:c>
      <x:c r="AM231" s="34" t="str">
        <x:v>PORT-9862FC05DA24</x:v>
      </x:c>
      <x:c r="AN231" s="34" t="n">
        <x:v>1000</x:v>
      </x:c>
      <x:c r="AO231" s="34" t="n">
        <x:v>180.95074</x:v>
      </x:c>
      <x:c r="AP231" s="34" t="n">
        <x:v>44.985389</x:v>
      </x:c>
      <x:c r="AQ231" s="34" t="n">
        <x:v>105.301092</x:v>
      </x:c>
      <x:c r="AR231" s="34" t="n">
        <x:v>18743.254</x:v>
      </x:c>
      <x:c r="AS231" s="34" t="n">
        <x:v>177.996762</x:v>
      </x:c>
      <x:c r="AT231" s="40" t="b">
        <x:v>1</x:v>
      </x:c>
      <x:c r="AU231" s="40" t="b">
        <x:v>1</x:v>
      </x:c>
      <x:c r="AV231" s="34" t="str"/>
      <x:c r="AW231" s="34" t="n">
        <x:v>0</x:v>
      </x:c>
      <x:c r="AX231" s="34" t="str">
        <x:v>9.990856690045291e-05</x:v>
      </x:c>
      <x:c r="AY231" s="40" t="b">
        <x:v>1</x:v>
      </x:c>
      <x:c r="AZ231" s="40" t="b">
        <x:v>1</x:v>
      </x:c>
      <x:c r="BA231" s="40" t="b">
        <x:v>1</x:v>
      </x:c>
      <x:c r="BB231" s="40" t="b">
        <x:v>1</x:v>
      </x:c>
      <x:c r="BC231" s="34" t="str"/>
      <x:c r="BD231" s="34" t="n">
        <x:v>0</x:v>
      </x:c>
      <x:c r="BE231" s="34" t="n">
        <x:v>0</x:v>
      </x:c>
      <x:c r="BF231" s="34" t="n">
        <x:v>0</x:v>
      </x:c>
      <x:c r="BG231" s="34" t="n">
        <x:v>1</x:v>
      </x:c>
      <x:c r="BH231" s="34" t="n">
        <x:v>1</x:v>
      </x:c>
      <x:c r="BI231" s="34" t="n">
        <x:v>0.3612199999999999</x:v>
      </x:c>
      <x:c r="BJ231" s="34" t="n">
        <x:v>0.6</x:v>
      </x:c>
      <x:c r="BK231" s="34" t="n">
        <x:v>1.54</x:v>
      </x:c>
    </x:row>
    <x:row r="232">
      <x:c r="A232" s="34" t="str">
        <x:v>KOBE_STEEL_JP</x:v>
      </x:c>
      <x:c r="B232" s="34" t="str">
        <x:v>Kobe Steel</x:v>
      </x:c>
      <x:c r="C232" s="34" t="str">
        <x:v>DISCLOSED_PATH</x:v>
      </x:c>
      <x:c r="D232" s="34" t="str">
        <x:v>P1</x:v>
      </x:c>
      <x:c r="E232" s="34" t="str">
        <x:v>KOB-BF1</x:v>
      </x:c>
      <x:c r="F232" s="34" t="str">
        <x:v>Kakogawa Works BF 블록 1</x:v>
      </x:c>
      <x:c r="G232" s="34" t="str">
        <x:v>가코가와</x:v>
      </x:c>
      <x:c r="H232" s="34" t="n">
        <x:v>2029</x:v>
      </x:c>
      <x:c r="I232" s="34" t="str">
        <x:v>BF_BOF</x:v>
      </x:c>
      <x:c r="J232" s="34" t="str">
        <x:v>기준 BF-BOF 복합 블록</x:v>
      </x:c>
      <x:c r="K232" s="34" t="str">
        <x:v>H2_DRI_EAF</x:v>
      </x:c>
      <x:c r="L232" s="34" t="str">
        <x:v>수소 DRI + EAF</x:v>
      </x:c>
      <x:c r="M232" s="34" t="n">
        <x:v>3118.5</x:v>
      </x:c>
      <x:c r="N232" s="34" t="n">
        <x:v>2425.5</x:v>
      </x:c>
      <x:c r="O232" s="34" t="n">
        <x:v>3.15</x:v>
      </x:c>
      <x:c r="P232" s="34" t="n">
        <x:v>2.95</x:v>
      </x:c>
      <x:c r="Q232" s="34" t="n">
        <x:v>7.173636</x:v>
      </x:c>
      <x:c r="R232" s="34" t="n">
        <x:v>0.59</x:v>
      </x:c>
      <x:c r="S232" s="34" t="n">
        <x:v>0.59</x:v>
      </x:c>
      <x:c r="T232" s="34" t="n">
        <x:v>0.59</x:v>
      </x:c>
      <x:c r="U232" s="34" t="n">
        <x:v>6.583636</x:v>
      </x:c>
      <x:c r="V232" s="34" t="n">
        <x:v>79.003637</x:v>
      </x:c>
      <x:c r="W232" s="34" t="n">
        <x:v>15895.779</x:v>
      </x:c>
      <x:c r="X232" s="34" t="n">
        <x:v>548.213</x:v>
      </x:c>
      <x:c r="Y232" s="34" t="n">
        <x:v>18657.562</x:v>
      </x:c>
      <x:c r="Z232" s="34" t="n">
        <x:v>18109.349</x:v>
      </x:c>
      <x:c r="AA232" s="34" t="n">
        <x:v>2761.783</x:v>
      </x:c>
      <x:c r="AB232" s="34" t="n">
        <x:v>15347.565</x:v>
      </x:c>
      <x:c r="AC232" s="34" t="n">
        <x:v>1957.904</x:v>
      </x:c>
      <x:c r="AD232" s="34" t="n">
        <x:v>238.172</x:v>
      </x:c>
      <x:c r="AE232" s="34" t="n">
        <x:v>1975.516</x:v>
      </x:c>
      <x:c r="AF232" s="34" t="n">
        <x:v>14485.97</x:v>
      </x:c>
      <x:c r="AG232" s="34" t="n">
        <x:v>0</x:v>
      </x:c>
      <x:c r="AH232" s="34" t="n">
        <x:v>-2761.783</x:v>
      </x:c>
      <x:c r="AI232" s="34" t="str">
        <x:v>model_estimate</x:v>
      </x:c>
      <x:c r="AJ232" s="34" t="str">
        <x:v>Kobe Steel 공식 조강·목표경계 배출 총량에 맞춘 블록 배분</x:v>
      </x:c>
      <x:c r="AK232" s="34" t="str">
        <x:v>CAND-DCD679F188D852</x:v>
      </x:c>
      <x:c r="AL232" s="34" t="str">
        <x:v>P1</x:v>
      </x:c>
      <x:c r="AM232" s="34" t="str">
        <x:v>PORT-1144EBE63B41</x:v>
      </x:c>
      <x:c r="AN232" s="34" t="n">
        <x:v>1000</x:v>
      </x:c>
      <x:c r="AO232" s="34" t="n">
        <x:v>156.339561</x:v>
      </x:c>
      <x:c r="AP232" s="34" t="n">
        <x:v>39.045345</x:v>
      </x:c>
      <x:c r="AQ232" s="34" t="n">
        <x:v>102.391093</x:v>
      </x:c>
      <x:c r="AR232" s="34" t="n">
        <x:v>15690.435</x:v>
      </x:c>
      <x:c r="AS232" s="34" t="n">
        <x:v>153.240232</x:v>
      </x:c>
      <x:c r="AT232" s="40" t="b">
        <x:v>1</x:v>
      </x:c>
      <x:c r="AU232" s="40" t="b">
        <x:v>1</x:v>
      </x:c>
      <x:c r="AV232" s="34" t="str"/>
      <x:c r="AW232" s="34" t="n">
        <x:v>0</x:v>
      </x:c>
      <x:c r="AX232" s="34" t="str">
        <x:v>9.990856690045291e-05</x:v>
      </x:c>
      <x:c r="AY232" s="40" t="b">
        <x:v>1</x:v>
      </x:c>
      <x:c r="AZ232" s="40" t="b">
        <x:v>1</x:v>
      </x:c>
      <x:c r="BA232" s="40" t="b">
        <x:v>1</x:v>
      </x:c>
      <x:c r="BB232" s="40" t="b">
        <x:v>1</x:v>
      </x:c>
      <x:c r="BC232" s="34" t="str"/>
      <x:c r="BD232" s="34" t="n">
        <x:v>0</x:v>
      </x:c>
      <x:c r="BE232" s="34" t="n">
        <x:v>0</x:v>
      </x:c>
      <x:c r="BF232" s="34" t="n">
        <x:v>0</x:v>
      </x:c>
      <x:c r="BG232" s="34" t="n">
        <x:v>1</x:v>
      </x:c>
      <x:c r="BH232" s="34" t="n">
        <x:v>1</x:v>
      </x:c>
      <x:c r="BI232" s="34" t="n">
        <x:v>0.28332</x:v>
      </x:c>
      <x:c r="BJ232" s="34" t="n">
        <x:v>0.6</x:v>
      </x:c>
      <x:c r="BK232" s="34" t="n">
        <x:v>1.06</x:v>
      </x:c>
    </x:row>
    <x:row r="233">
      <x:c r="A233" s="34" t="str">
        <x:v>KOBE_STEEL_JP</x:v>
      </x:c>
      <x:c r="B233" s="34" t="str">
        <x:v>Kobe Steel</x:v>
      </x:c>
      <x:c r="C233" s="34" t="str">
        <x:v>DISCLOSED_PATH</x:v>
      </x:c>
      <x:c r="D233" s="34" t="str">
        <x:v>P1</x:v>
      </x:c>
      <x:c r="E233" s="34" t="str">
        <x:v>KOB-BF3</x:v>
      </x:c>
      <x:c r="F233" s="34" t="str">
        <x:v>Kakogawa Works BF 블록 3</x:v>
      </x:c>
      <x:c r="G233" s="34" t="str">
        <x:v>가코가와</x:v>
      </x:c>
      <x:c r="H233" s="34" t="n">
        <x:v>2037</x:v>
      </x:c>
      <x:c r="I233" s="34" t="str">
        <x:v>BF_BOF</x:v>
      </x:c>
      <x:c r="J233" s="34" t="str">
        <x:v>기준 BF-BOF 복합 블록</x:v>
      </x:c>
      <x:c r="K233" s="34" t="str">
        <x:v>SCRAP_EAF</x:v>
      </x:c>
      <x:c r="L233" s="34" t="str">
        <x:v>스크랩 기반 대형 EAF</x:v>
      </x:c>
      <x:c r="M233" s="34" t="n">
        <x:v>1878.8</x:v>
      </x:c>
      <x:c r="N233" s="34" t="n">
        <x:v>1207.8</x:v>
      </x:c>
      <x:c r="O233" s="34" t="n">
        <x:v>3.05</x:v>
      </x:c>
      <x:c r="P233" s="34" t="n">
        <x:v>2.909999</x:v>
      </x:c>
      <x:c r="Q233" s="34" t="n">
        <x:v>7.076364</x:v>
      </x:c>
      <x:c r="R233" s="34" t="n">
        <x:v>7.076364</x:v>
      </x:c>
      <x:c r="S233" s="34" t="n">
        <x:v>1.3095</x:v>
      </x:c>
      <x:c r="T233" s="34" t="n">
        <x:v>1.3095</x:v>
      </x:c>
      <x:c r="U233" s="34" t="n">
        <x:v>5.766864</x:v>
      </x:c>
      <x:c r="V233" s="34" t="n">
        <x:v>23.067457</x:v>
      </x:c>
      <x:c r="W233" s="34" t="n">
        <x:v>504.36</x:v>
      </x:c>
      <x:c r="X233" s="34" t="n">
        <x:v>158.82</x:v>
      </x:c>
      <x:c r="Y233" s="34" t="n">
        <x:v>1307.084</x:v>
      </x:c>
      <x:c r="Z233" s="34" t="n">
        <x:v>1148.264</x:v>
      </x:c>
      <x:c r="AA233" s="34" t="n">
        <x:v>802.724</x:v>
      </x:c>
      <x:c r="AB233" s="34" t="n">
        <x:v>345.54</x:v>
      </x:c>
      <x:c r="AC233" s="34" t="n">
        <x:v>635.28</x:v>
      </x:c>
      <x:c r="AD233" s="34" t="n">
        <x:v>22.64</x:v>
      </x:c>
      <x:c r="AE233" s="34" t="n">
        <x:v>649.163</x:v>
      </x:c>
      <x:c r="AF233" s="34" t="n">
        <x:v>0</x:v>
      </x:c>
      <x:c r="AG233" s="34" t="n">
        <x:v>0</x:v>
      </x:c>
      <x:c r="AH233" s="34" t="n">
        <x:v>-802.724</x:v>
      </x:c>
      <x:c r="AI233" s="34" t="str">
        <x:v>model_estimate</x:v>
      </x:c>
      <x:c r="AJ233" s="34" t="str">
        <x:v>2016년 BF3 개수와 장기 수명주기를 반영한 재투자연도 추정</x:v>
      </x:c>
      <x:c r="AK233" s="34" t="str">
        <x:v>CAND-DCD679F188D852</x:v>
      </x:c>
      <x:c r="AL233" s="34" t="str">
        <x:v>P1</x:v>
      </x:c>
      <x:c r="AM233" s="34" t="str">
        <x:v>PORT-1144EBE63B41</x:v>
      </x:c>
      <x:c r="AN233" s="34" t="n">
        <x:v>1000</x:v>
      </x:c>
      <x:c r="AO233" s="34" t="n">
        <x:v>156.339561</x:v>
      </x:c>
      <x:c r="AP233" s="34" t="n">
        <x:v>39.045345</x:v>
      </x:c>
      <x:c r="AQ233" s="34" t="n">
        <x:v>102.391093</x:v>
      </x:c>
      <x:c r="AR233" s="34" t="n">
        <x:v>15690.435</x:v>
      </x:c>
      <x:c r="AS233" s="34" t="n">
        <x:v>153.240232</x:v>
      </x:c>
      <x:c r="AT233" s="40" t="b">
        <x:v>1</x:v>
      </x:c>
      <x:c r="AU233" s="40" t="b">
        <x:v>1</x:v>
      </x:c>
      <x:c r="AV233" s="34" t="str"/>
      <x:c r="AW233" s="34" t="n">
        <x:v>0</x:v>
      </x:c>
      <x:c r="AX233" s="34" t="str">
        <x:v>9.990856690045291e-05</x:v>
      </x:c>
      <x:c r="AY233" s="40" t="b">
        <x:v>1</x:v>
      </x:c>
      <x:c r="AZ233" s="40" t="b">
        <x:v>1</x:v>
      </x:c>
      <x:c r="BA233" s="40" t="b">
        <x:v>1</x:v>
      </x:c>
      <x:c r="BB233" s="40" t="b">
        <x:v>1</x:v>
      </x:c>
      <x:c r="BC233" s="34" t="str"/>
      <x:c r="BD233" s="34" t="n">
        <x:v>0</x:v>
      </x:c>
      <x:c r="BE233" s="34" t="n">
        <x:v>0</x:v>
      </x:c>
      <x:c r="BF233" s="34" t="n">
        <x:v>0</x:v>
      </x:c>
      <x:c r="BG233" s="34" t="n">
        <x:v>1</x:v>
      </x:c>
      <x:c r="BH233" s="34" t="n">
        <x:v>1</x:v>
      </x:c>
      <x:c r="BI233" s="34" t="n">
        <x:v>0.28332</x:v>
      </x:c>
      <x:c r="BJ233" s="34" t="n">
        <x:v>0.6</x:v>
      </x:c>
      <x:c r="BK233" s="34" t="n">
        <x:v>1.06</x:v>
      </x:c>
    </x:row>
    <x:row r="234">
      <x:c r="A234" s="34" t="str">
        <x:v>KOBE_STEEL_JP</x:v>
      </x:c>
      <x:c r="B234" s="34" t="str">
        <x:v>Kobe Steel</x:v>
      </x:c>
      <x:c r="C234" s="34" t="str">
        <x:v>DISCLOSED_PATH</x:v>
      </x:c>
      <x:c r="D234" s="34" t="str">
        <x:v>P1</x:v>
      </x:c>
      <x:c r="E234" s="34" t="str">
        <x:v>KOB-TAKA</x:v>
      </x:c>
      <x:c r="F234" s="34" t="str">
        <x:v>Takasago Works EAF block</x:v>
      </x:c>
      <x:c r="G234" s="34" t="str">
        <x:v>다카사고</x:v>
      </x:c>
      <x:c r="H234" s="34" t="n">
        <x:v>2033</x:v>
      </x:c>
      <x:c r="I234" s="34" t="str">
        <x:v>EAF_BASELINE</x:v>
      </x:c>
      <x:c r="J234" s="34" t="str">
        <x:v>기존 전기로 기준 블록</x:v>
      </x:c>
      <x:c r="K234" s="34" t="str">
        <x:v>EAF_RENEWABLE</x:v>
      </x:c>
      <x:c r="L234" s="34" t="str">
        <x:v>기존 EAF 재생전력 업그레이드</x:v>
      </x:c>
      <x:c r="M234" s="34" t="n">
        <x:v>40.04</x:v>
      </x:c>
      <x:c r="N234" s="34" t="n">
        <x:v>12.32</x:v>
      </x:c>
      <x:c r="O234" s="34" t="n">
        <x:v>0.14</x:v>
      </x:c>
      <x:c r="P234" s="34" t="n">
        <x:v>0.1</x:v>
      </x:c>
      <x:c r="Q234" s="34" t="n">
        <x:v>0.05</x:v>
      </x:c>
      <x:c r="R234" s="34" t="n">
        <x:v>0.05</x:v>
      </x:c>
      <x:c r="S234" s="34" t="n">
        <x:v>0.01</x:v>
      </x:c>
      <x:c r="T234" s="34" t="n">
        <x:v>0.01</x:v>
      </x:c>
      <x:c r="U234" s="34" t="n">
        <x:v>0.04</x:v>
      </x:c>
      <x:c r="V234" s="34" t="n">
        <x:v>0.32</x:v>
      </x:c>
      <x:c r="W234" s="34" t="n">
        <x:v>-1.467</x:v>
      </x:c>
      <x:c r="X234" s="34" t="n">
        <x:v>1.204</x:v>
      </x:c>
      <x:c r="Y234" s="34" t="n">
        <x:v>9.784</x:v>
      </x:c>
      <x:c r="Z234" s="34" t="n">
        <x:v>8.58</x:v>
      </x:c>
      <x:c r="AA234" s="34" t="n">
        <x:v>11.251</x:v>
      </x:c>
      <x:c r="AB234" s="34" t="n">
        <x:v>-2.671</x:v>
      </x:c>
      <x:c r="AC234" s="34" t="n">
        <x:v>8.028</x:v>
      </x:c>
      <x:c r="AD234" s="34" t="n">
        <x:v>0</x:v>
      </x:c>
      <x:c r="AE234" s="34" t="n">
        <x:v>1.757</x:v>
      </x:c>
      <x:c r="AF234" s="34" t="n">
        <x:v>0</x:v>
      </x:c>
      <x:c r="AG234" s="34" t="n">
        <x:v>0</x:v>
      </x:c>
      <x:c r="AH234" s="34" t="n">
        <x:v>-11.251</x:v>
      </x:c>
      <x:c r="AI234" s="34" t="str">
        <x:v>model_estimate</x:v>
      </x:c>
      <x:c r="AJ234" s="34" t="str">
        <x:v>다카사고 포함 공식 조강 총량에 맞춘 소규모 EAF 블록 추정</x:v>
      </x:c>
      <x:c r="AK234" s="34" t="str">
        <x:v>CAND-DCD679F188D852</x:v>
      </x:c>
      <x:c r="AL234" s="34" t="str">
        <x:v>P1</x:v>
      </x:c>
      <x:c r="AM234" s="34" t="str">
        <x:v>PORT-1144EBE63B41</x:v>
      </x:c>
      <x:c r="AN234" s="34" t="n">
        <x:v>1000</x:v>
      </x:c>
      <x:c r="AO234" s="34" t="n">
        <x:v>156.339561</x:v>
      </x:c>
      <x:c r="AP234" s="34" t="n">
        <x:v>39.045345</x:v>
      </x:c>
      <x:c r="AQ234" s="34" t="n">
        <x:v>102.391093</x:v>
      </x:c>
      <x:c r="AR234" s="34" t="n">
        <x:v>15690.435</x:v>
      </x:c>
      <x:c r="AS234" s="34" t="n">
        <x:v>153.240232</x:v>
      </x:c>
      <x:c r="AT234" s="40" t="b">
        <x:v>1</x:v>
      </x:c>
      <x:c r="AU234" s="40" t="b">
        <x:v>1</x:v>
      </x:c>
      <x:c r="AV234" s="34" t="str"/>
      <x:c r="AW234" s="34" t="n">
        <x:v>0</x:v>
      </x:c>
      <x:c r="AX234" s="34" t="str">
        <x:v>9.990856690045291e-05</x:v>
      </x:c>
      <x:c r="AY234" s="40" t="b">
        <x:v>1</x:v>
      </x:c>
      <x:c r="AZ234" s="40" t="b">
        <x:v>1</x:v>
      </x:c>
      <x:c r="BA234" s="40" t="b">
        <x:v>1</x:v>
      </x:c>
      <x:c r="BB234" s="40" t="b">
        <x:v>1</x:v>
      </x:c>
      <x:c r="BC234" s="34" t="str"/>
      <x:c r="BD234" s="34" t="n">
        <x:v>0</x:v>
      </x:c>
      <x:c r="BE234" s="34" t="n">
        <x:v>0</x:v>
      </x:c>
      <x:c r="BF234" s="34" t="n">
        <x:v>0</x:v>
      </x:c>
      <x:c r="BG234" s="34" t="n">
        <x:v>1</x:v>
      </x:c>
      <x:c r="BH234" s="34" t="n">
        <x:v>1</x:v>
      </x:c>
      <x:c r="BI234" s="34" t="n">
        <x:v>0.28332</x:v>
      </x:c>
      <x:c r="BJ234" s="34" t="n">
        <x:v>0.6</x:v>
      </x:c>
      <x:c r="BK234" s="34" t="n">
        <x:v>1.06</x:v>
      </x:c>
    </x:row>
    <x:row r="235">
      <x:c r="A235" s="34" t="str">
        <x:v>KOBE_STEEL_JP</x:v>
      </x:c>
      <x:c r="B235" s="34" t="str">
        <x:v>Kobe Steel</x:v>
      </x:c>
      <x:c r="C235" s="34" t="str">
        <x:v>ACCELERATED_15C</x:v>
      </x:c>
      <x:c r="D235" s="34" t="str">
        <x:v>P1</x:v>
      </x:c>
      <x:c r="E235" s="34" t="str">
        <x:v>KOB-BF1</x:v>
      </x:c>
      <x:c r="F235" s="34" t="str">
        <x:v>Kakogawa Works BF 블록 1</x:v>
      </x:c>
      <x:c r="G235" s="34" t="str">
        <x:v>가코가와</x:v>
      </x:c>
      <x:c r="H235" s="34" t="n">
        <x:v>2029</x:v>
      </x:c>
      <x:c r="I235" s="34" t="str">
        <x:v>BF_BOF</x:v>
      </x:c>
      <x:c r="J235" s="34" t="str">
        <x:v>기준 BF-BOF 복합 블록</x:v>
      </x:c>
      <x:c r="K235" s="34" t="str">
        <x:v>H2_DRI_EAF</x:v>
      </x:c>
      <x:c r="L235" s="34" t="str">
        <x:v>수소 DRI + EAF</x:v>
      </x:c>
      <x:c r="M235" s="34" t="n">
        <x:v>3118.5</x:v>
      </x:c>
      <x:c r="N235" s="34" t="n">
        <x:v>2425.5</x:v>
      </x:c>
      <x:c r="O235" s="34" t="n">
        <x:v>3.15</x:v>
      </x:c>
      <x:c r="P235" s="34" t="n">
        <x:v>2.95</x:v>
      </x:c>
      <x:c r="Q235" s="34" t="n">
        <x:v>7.173636</x:v>
      </x:c>
      <x:c r="R235" s="34" t="n">
        <x:v>0.59</x:v>
      </x:c>
      <x:c r="S235" s="34" t="n">
        <x:v>0.59</x:v>
      </x:c>
      <x:c r="T235" s="34" t="n">
        <x:v>0.59</x:v>
      </x:c>
      <x:c r="U235" s="34" t="n">
        <x:v>6.583636</x:v>
      </x:c>
      <x:c r="V235" s="34" t="n">
        <x:v>79.003637</x:v>
      </x:c>
      <x:c r="W235" s="34" t="n">
        <x:v>15851.221</x:v>
      </x:c>
      <x:c r="X235" s="34" t="n">
        <x:v>685.266</x:v>
      </x:c>
      <x:c r="Y235" s="34" t="n">
        <x:v>19878.739</x:v>
      </x:c>
      <x:c r="Z235" s="34" t="n">
        <x:v>19193.473</x:v>
      </x:c>
      <x:c r="AA235" s="34" t="n">
        <x:v>4027.518</x:v>
      </x:c>
      <x:c r="AB235" s="34" t="n">
        <x:v>15165.954</x:v>
      </x:c>
      <x:c r="AC235" s="34" t="n">
        <x:v>1957.904</x:v>
      </x:c>
      <x:c r="AD235" s="34" t="n">
        <x:v>238.172</x:v>
      </x:c>
      <x:c r="AE235" s="34" t="n">
        <x:v>2156.484</x:v>
      </x:c>
      <x:c r="AF235" s="34" t="n">
        <x:v>15526.18</x:v>
      </x:c>
      <x:c r="AG235" s="34" t="n">
        <x:v>0</x:v>
      </x:c>
      <x:c r="AH235" s="34" t="n">
        <x:v>-4027.518</x:v>
      </x:c>
      <x:c r="AI235" s="34" t="str">
        <x:v>model_estimate</x:v>
      </x:c>
      <x:c r="AJ235" s="34" t="str">
        <x:v>Kobe Steel 공식 조강·목표경계 배출 총량에 맞춘 블록 배분</x:v>
      </x:c>
      <x:c r="AK235" s="34" t="str">
        <x:v>CAND-DCD679F188D852</x:v>
      </x:c>
      <x:c r="AL235" s="34" t="str">
        <x:v>P1</x:v>
      </x:c>
      <x:c r="AM235" s="34" t="str">
        <x:v>PORT-1144EBE63B41</x:v>
      </x:c>
      <x:c r="AN235" s="34" t="n">
        <x:v>1000</x:v>
      </x:c>
      <x:c r="AO235" s="34" t="n">
        <x:v>151.072635</x:v>
      </x:c>
      <x:c r="AP235" s="34" t="n">
        <x:v>42.298622</x:v>
      </x:c>
      <x:c r="AQ235" s="34" t="n">
        <x:v>102.391093</x:v>
      </x:c>
      <x:c r="AR235" s="34" t="n">
        <x:v>15154.803</x:v>
      </x:c>
      <x:c r="AS235" s="34" t="n">
        <x:v>148.009</x:v>
      </x:c>
      <x:c r="AT235" s="40" t="b">
        <x:v>1</x:v>
      </x:c>
      <x:c r="AU235" s="40" t="b">
        <x:v>1</x:v>
      </x:c>
      <x:c r="AV235" s="34" t="str"/>
      <x:c r="AW235" s="34" t="n">
        <x:v>0</x:v>
      </x:c>
      <x:c r="AX235" s="34" t="str">
        <x:v>9.990856690045291e-05</x:v>
      </x:c>
      <x:c r="AY235" s="40" t="b">
        <x:v>1</x:v>
      </x:c>
      <x:c r="AZ235" s="40" t="b">
        <x:v>1</x:v>
      </x:c>
      <x:c r="BA235" s="40" t="b">
        <x:v>1</x:v>
      </x:c>
      <x:c r="BB235" s="40" t="b">
        <x:v>1</x:v>
      </x:c>
      <x:c r="BC235" s="34" t="str"/>
      <x:c r="BD235" s="34" t="n">
        <x:v>0</x:v>
      </x:c>
      <x:c r="BE235" s="34" t="n">
        <x:v>0</x:v>
      </x:c>
      <x:c r="BF235" s="34" t="n">
        <x:v>0</x:v>
      </x:c>
      <x:c r="BG235" s="34" t="n">
        <x:v>1</x:v>
      </x:c>
      <x:c r="BH235" s="34" t="n">
        <x:v>1</x:v>
      </x:c>
      <x:c r="BI235" s="34" t="n">
        <x:v>0.28332</x:v>
      </x:c>
      <x:c r="BJ235" s="34" t="n">
        <x:v>0.6</x:v>
      </x:c>
      <x:c r="BK235" s="34" t="n">
        <x:v>1.06</x:v>
      </x:c>
    </x:row>
    <x:row r="236">
      <x:c r="A236" s="34" t="str">
        <x:v>KOBE_STEEL_JP</x:v>
      </x:c>
      <x:c r="B236" s="34" t="str">
        <x:v>Kobe Steel</x:v>
      </x:c>
      <x:c r="C236" s="34" t="str">
        <x:v>ACCELERATED_15C</x:v>
      </x:c>
      <x:c r="D236" s="34" t="str">
        <x:v>P1</x:v>
      </x:c>
      <x:c r="E236" s="34" t="str">
        <x:v>KOB-BF3</x:v>
      </x:c>
      <x:c r="F236" s="34" t="str">
        <x:v>Kakogawa Works BF 블록 3</x:v>
      </x:c>
      <x:c r="G236" s="34" t="str">
        <x:v>가코가와</x:v>
      </x:c>
      <x:c r="H236" s="34" t="n">
        <x:v>2037</x:v>
      </x:c>
      <x:c r="I236" s="34" t="str">
        <x:v>BF_BOF</x:v>
      </x:c>
      <x:c r="J236" s="34" t="str">
        <x:v>기준 BF-BOF 복합 블록</x:v>
      </x:c>
      <x:c r="K236" s="34" t="str">
        <x:v>SCRAP_EAF</x:v>
      </x:c>
      <x:c r="L236" s="34" t="str">
        <x:v>스크랩 기반 대형 EAF</x:v>
      </x:c>
      <x:c r="M236" s="34" t="n">
        <x:v>1878.8</x:v>
      </x:c>
      <x:c r="N236" s="34" t="n">
        <x:v>1207.8</x:v>
      </x:c>
      <x:c r="O236" s="34" t="n">
        <x:v>3.05</x:v>
      </x:c>
      <x:c r="P236" s="34" t="n">
        <x:v>2.909999</x:v>
      </x:c>
      <x:c r="Q236" s="34" t="n">
        <x:v>7.076364</x:v>
      </x:c>
      <x:c r="R236" s="34" t="n">
        <x:v>7.076364</x:v>
      </x:c>
      <x:c r="S236" s="34" t="n">
        <x:v>1.3095</x:v>
      </x:c>
      <x:c r="T236" s="34" t="n">
        <x:v>1.3095</x:v>
      </x:c>
      <x:c r="U236" s="34" t="n">
        <x:v>5.766864</x:v>
      </x:c>
      <x:c r="V236" s="34" t="n">
        <x:v>23.067457</x:v>
      </x:c>
      <x:c r="W236" s="34" t="n">
        <x:v>187.757</x:v>
      </x:c>
      <x:c r="X236" s="34" t="n">
        <x:v>190.584</x:v>
      </x:c>
      <x:c r="Y236" s="34" t="n">
        <x:v>1387.888</x:v>
      </x:c>
      <x:c r="Z236" s="34" t="n">
        <x:v>1197.304</x:v>
      </x:c>
      <x:c r="AA236" s="34" t="n">
        <x:v>1200.131</x:v>
      </x:c>
      <x:c r="AB236" s="34" t="n">
        <x:v>-2.827</x:v>
      </x:c>
      <x:c r="AC236" s="34" t="n">
        <x:v>635.28</x:v>
      </x:c>
      <x:c r="AD236" s="34" t="n">
        <x:v>22.64</x:v>
      </x:c>
      <x:c r="AE236" s="34" t="n">
        <x:v>729.967</x:v>
      </x:c>
      <x:c r="AF236" s="34" t="n">
        <x:v>0</x:v>
      </x:c>
      <x:c r="AG236" s="34" t="n">
        <x:v>0</x:v>
      </x:c>
      <x:c r="AH236" s="34" t="n">
        <x:v>-1200.131</x:v>
      </x:c>
      <x:c r="AI236" s="34" t="str">
        <x:v>model_estimate</x:v>
      </x:c>
      <x:c r="AJ236" s="34" t="str">
        <x:v>2016년 BF3 개수와 장기 수명주기를 반영한 재투자연도 추정</x:v>
      </x:c>
      <x:c r="AK236" s="34" t="str">
        <x:v>CAND-DCD679F188D852</x:v>
      </x:c>
      <x:c r="AL236" s="34" t="str">
        <x:v>P1</x:v>
      </x:c>
      <x:c r="AM236" s="34" t="str">
        <x:v>PORT-1144EBE63B41</x:v>
      </x:c>
      <x:c r="AN236" s="34" t="n">
        <x:v>1000</x:v>
      </x:c>
      <x:c r="AO236" s="34" t="n">
        <x:v>151.072635</x:v>
      </x:c>
      <x:c r="AP236" s="34" t="n">
        <x:v>42.298622</x:v>
      </x:c>
      <x:c r="AQ236" s="34" t="n">
        <x:v>102.391093</x:v>
      </x:c>
      <x:c r="AR236" s="34" t="n">
        <x:v>15154.803</x:v>
      </x:c>
      <x:c r="AS236" s="34" t="n">
        <x:v>148.009</x:v>
      </x:c>
      <x:c r="AT236" s="40" t="b">
        <x:v>1</x:v>
      </x:c>
      <x:c r="AU236" s="40" t="b">
        <x:v>1</x:v>
      </x:c>
      <x:c r="AV236" s="34" t="str"/>
      <x:c r="AW236" s="34" t="n">
        <x:v>0</x:v>
      </x:c>
      <x:c r="AX236" s="34" t="str">
        <x:v>9.990856690045291e-05</x:v>
      </x:c>
      <x:c r="AY236" s="40" t="b">
        <x:v>1</x:v>
      </x:c>
      <x:c r="AZ236" s="40" t="b">
        <x:v>1</x:v>
      </x:c>
      <x:c r="BA236" s="40" t="b">
        <x:v>1</x:v>
      </x:c>
      <x:c r="BB236" s="40" t="b">
        <x:v>1</x:v>
      </x:c>
      <x:c r="BC236" s="34" t="str"/>
      <x:c r="BD236" s="34" t="n">
        <x:v>0</x:v>
      </x:c>
      <x:c r="BE236" s="34" t="n">
        <x:v>0</x:v>
      </x:c>
      <x:c r="BF236" s="34" t="n">
        <x:v>0</x:v>
      </x:c>
      <x:c r="BG236" s="34" t="n">
        <x:v>1</x:v>
      </x:c>
      <x:c r="BH236" s="34" t="n">
        <x:v>1</x:v>
      </x:c>
      <x:c r="BI236" s="34" t="n">
        <x:v>0.28332</x:v>
      </x:c>
      <x:c r="BJ236" s="34" t="n">
        <x:v>0.6</x:v>
      </x:c>
      <x:c r="BK236" s="34" t="n">
        <x:v>1.06</x:v>
      </x:c>
    </x:row>
    <x:row r="237">
      <x:c r="A237" s="34" t="str">
        <x:v>KOBE_STEEL_JP</x:v>
      </x:c>
      <x:c r="B237" s="34" t="str">
        <x:v>Kobe Steel</x:v>
      </x:c>
      <x:c r="C237" s="34" t="str">
        <x:v>ACCELERATED_15C</x:v>
      </x:c>
      <x:c r="D237" s="34" t="str">
        <x:v>P1</x:v>
      </x:c>
      <x:c r="E237" s="34" t="str">
        <x:v>KOB-TAKA</x:v>
      </x:c>
      <x:c r="F237" s="34" t="str">
        <x:v>Takasago Works EAF block</x:v>
      </x:c>
      <x:c r="G237" s="34" t="str">
        <x:v>다카사고</x:v>
      </x:c>
      <x:c r="H237" s="34" t="n">
        <x:v>2033</x:v>
      </x:c>
      <x:c r="I237" s="34" t="str">
        <x:v>EAF_BASELINE</x:v>
      </x:c>
      <x:c r="J237" s="34" t="str">
        <x:v>기존 전기로 기준 블록</x:v>
      </x:c>
      <x:c r="K237" s="34" t="str">
        <x:v>EAF_RENEWABLE</x:v>
      </x:c>
      <x:c r="L237" s="34" t="str">
        <x:v>기존 EAF 재생전력 업그레이드</x:v>
      </x:c>
      <x:c r="M237" s="34" t="n">
        <x:v>40.04</x:v>
      </x:c>
      <x:c r="N237" s="34" t="n">
        <x:v>12.32</x:v>
      </x:c>
      <x:c r="O237" s="34" t="n">
        <x:v>0.14</x:v>
      </x:c>
      <x:c r="P237" s="34" t="n">
        <x:v>0.1</x:v>
      </x:c>
      <x:c r="Q237" s="34" t="n">
        <x:v>0.05</x:v>
      </x:c>
      <x:c r="R237" s="34" t="n">
        <x:v>0.05</x:v>
      </x:c>
      <x:c r="S237" s="34" t="n">
        <x:v>0.01</x:v>
      </x:c>
      <x:c r="T237" s="34" t="n">
        <x:v>0.01</x:v>
      </x:c>
      <x:c r="U237" s="34" t="n">
        <x:v>0.04</x:v>
      </x:c>
      <x:c r="V237" s="34" t="n">
        <x:v>0.32</x:v>
      </x:c>
      <x:c r="W237" s="34" t="n">
        <x:v>-6.718</x:v>
      </x:c>
      <x:c r="X237" s="34" t="n">
        <x:v>1.606</x:v>
      </x:c>
      <x:c r="Y237" s="34" t="n">
        <x:v>9.976</x:v>
      </x:c>
      <x:c r="Z237" s="34" t="n">
        <x:v>8.37</x:v>
      </x:c>
      <x:c r="AA237" s="34" t="n">
        <x:v>16.694</x:v>
      </x:c>
      <x:c r="AB237" s="34" t="n">
        <x:v>-8.324</x:v>
      </x:c>
      <x:c r="AC237" s="34" t="n">
        <x:v>8.028</x:v>
      </x:c>
      <x:c r="AD237" s="34" t="n">
        <x:v>0</x:v>
      </x:c>
      <x:c r="AE237" s="34" t="n">
        <x:v>1.948</x:v>
      </x:c>
      <x:c r="AF237" s="34" t="n">
        <x:v>0</x:v>
      </x:c>
      <x:c r="AG237" s="34" t="n">
        <x:v>0</x:v>
      </x:c>
      <x:c r="AH237" s="34" t="n">
        <x:v>-16.694</x:v>
      </x:c>
      <x:c r="AI237" s="34" t="str">
        <x:v>model_estimate</x:v>
      </x:c>
      <x:c r="AJ237" s="34" t="str">
        <x:v>다카사고 포함 공식 조강 총량에 맞춘 소규모 EAF 블록 추정</x:v>
      </x:c>
      <x:c r="AK237" s="34" t="str">
        <x:v>CAND-DCD679F188D852</x:v>
      </x:c>
      <x:c r="AL237" s="34" t="str">
        <x:v>P1</x:v>
      </x:c>
      <x:c r="AM237" s="34" t="str">
        <x:v>PORT-1144EBE63B41</x:v>
      </x:c>
      <x:c r="AN237" s="34" t="n">
        <x:v>1000</x:v>
      </x:c>
      <x:c r="AO237" s="34" t="n">
        <x:v>151.072635</x:v>
      </x:c>
      <x:c r="AP237" s="34" t="n">
        <x:v>42.298622</x:v>
      </x:c>
      <x:c r="AQ237" s="34" t="n">
        <x:v>102.391093</x:v>
      </x:c>
      <x:c r="AR237" s="34" t="n">
        <x:v>15154.803</x:v>
      </x:c>
      <x:c r="AS237" s="34" t="n">
        <x:v>148.009</x:v>
      </x:c>
      <x:c r="AT237" s="40" t="b">
        <x:v>1</x:v>
      </x:c>
      <x:c r="AU237" s="40" t="b">
        <x:v>1</x:v>
      </x:c>
      <x:c r="AV237" s="34" t="str"/>
      <x:c r="AW237" s="34" t="n">
        <x:v>0</x:v>
      </x:c>
      <x:c r="AX237" s="34" t="str">
        <x:v>9.990856690045291e-05</x:v>
      </x:c>
      <x:c r="AY237" s="40" t="b">
        <x:v>1</x:v>
      </x:c>
      <x:c r="AZ237" s="40" t="b">
        <x:v>1</x:v>
      </x:c>
      <x:c r="BA237" s="40" t="b">
        <x:v>1</x:v>
      </x:c>
      <x:c r="BB237" s="40" t="b">
        <x:v>1</x:v>
      </x:c>
      <x:c r="BC237" s="34" t="str"/>
      <x:c r="BD237" s="34" t="n">
        <x:v>0</x:v>
      </x:c>
      <x:c r="BE237" s="34" t="n">
        <x:v>0</x:v>
      </x:c>
      <x:c r="BF237" s="34" t="n">
        <x:v>0</x:v>
      </x:c>
      <x:c r="BG237" s="34" t="n">
        <x:v>1</x:v>
      </x:c>
      <x:c r="BH237" s="34" t="n">
        <x:v>1</x:v>
      </x:c>
      <x:c r="BI237" s="34" t="n">
        <x:v>0.28332</x:v>
      </x:c>
      <x:c r="BJ237" s="34" t="n">
        <x:v>0.6</x:v>
      </x:c>
      <x:c r="BK237" s="34" t="n">
        <x:v>1.06</x:v>
      </x:c>
    </x:row>
    <x:row r="238">
      <x:c r="A238" s="34" t="str">
        <x:v>JFE_STEEL_JP</x:v>
      </x:c>
      <x:c r="B238" s="34" t="str">
        <x:v>JFE Steel</x:v>
      </x:c>
      <x:c r="C238" s="34" t="str">
        <x:v>DISCLOSED_PATH</x:v>
      </x:c>
      <x:c r="D238" s="34" t="str">
        <x:v>P2</x:v>
      </x:c>
      <x:c r="E238" s="34" t="str">
        <x:v>JFE-CHIBA</x:v>
      </x:c>
      <x:c r="F238" s="34" t="str">
        <x:v>East Japan Works Chiba</x:v>
      </x:c>
      <x:c r="G238" s="34" t="str">
        <x:v>치바</x:v>
      </x:c>
      <x:c r="H238" s="34" t="n">
        <x:v>2036</x:v>
      </x:c>
      <x:c r="I238" s="34" t="str">
        <x:v>BF_BOF</x:v>
      </x:c>
      <x:c r="J238" s="34" t="str">
        <x:v>기준 BF-BOF 복합 블록</x:v>
      </x:c>
      <x:c r="K238" s="34" t="str">
        <x:v>SCRAP_EAF</x:v>
      </x:c>
      <x:c r="L238" s="34" t="str">
        <x:v>스크랩 기반 대형 EAF</x:v>
      </x:c>
      <x:c r="M238" s="34" t="n">
        <x:v>3696</x:v>
      </x:c>
      <x:c r="N238" s="34" t="n">
        <x:v>2376</x:v>
      </x:c>
      <x:c r="O238" s="34" t="n">
        <x:v>6</x:v>
      </x:c>
      <x:c r="P238" s="34" t="n">
        <x:v>5.449998</x:v>
      </x:c>
      <x:c r="Q238" s="34" t="n">
        <x:v>11.528348</x:v>
      </x:c>
      <x:c r="R238" s="34" t="n">
        <x:v>11.528348</x:v>
      </x:c>
      <x:c r="S238" s="34" t="n">
        <x:v>2.452499</x:v>
      </x:c>
      <x:c r="T238" s="34" t="n">
        <x:v>2.452499</x:v>
      </x:c>
      <x:c r="U238" s="34" t="n">
        <x:v>9.075849</x:v>
      </x:c>
      <x:c r="V238" s="34" t="n">
        <x:v>45.379245</x:v>
      </x:c>
      <x:c r="W238" s="34" t="n">
        <x:v>1363.299</x:v>
      </x:c>
      <x:c r="X238" s="34" t="n">
        <x:v>331.398</x:v>
      </x:c>
      <x:c r="Y238" s="34" t="n">
        <x:v>2948.438</x:v>
      </x:c>
      <x:c r="Z238" s="34" t="n">
        <x:v>2617.041</x:v>
      </x:c>
      <x:c r="AA238" s="34" t="n">
        <x:v>1585.139</x:v>
      </x:c>
      <x:c r="AB238" s="34" t="n">
        <x:v>1031.901</x:v>
      </x:c>
      <x:c r="AC238" s="34" t="n">
        <x:v>1318.467</x:v>
      </x:c>
      <x:c r="AD238" s="34" t="n">
        <x:v>68.124</x:v>
      </x:c>
      <x:c r="AE238" s="34" t="n">
        <x:v>1556.875</x:v>
      </x:c>
      <x:c r="AF238" s="34" t="n">
        <x:v>0</x:v>
      </x:c>
      <x:c r="AG238" s="34" t="n">
        <x:v>4.972</x:v>
      </x:c>
      <x:c r="AH238" s="34" t="n">
        <x:v>-1585.139</x:v>
      </x:c>
      <x:c r="AI238" s="34" t="str">
        <x:v>model_estimate</x:v>
      </x:c>
      <x:c r="AJ238" s="34" t="str">
        <x:v>JFE 공식 생산·배출 총량에 맞춘 설비 블록 배분</x:v>
      </x:c>
      <x:c r="AK238" s="34" t="str">
        <x:v>CAND-E72109958C3B57</x:v>
      </x:c>
      <x:c r="AL238" s="34" t="str">
        <x:v>P2</x:v>
      </x:c>
      <x:c r="AM238" s="34" t="str">
        <x:v>PORT-E5F3D5116135</x:v>
      </x:c>
      <x:c r="AN238" s="34" t="n">
        <x:v>1000</x:v>
      </x:c>
      <x:c r="AO238" s="34" t="n">
        <x:v>102.523775</x:v>
      </x:c>
      <x:c r="AP238" s="34" t="n">
        <x:v>28.443983</x:v>
      </x:c>
      <x:c r="AQ238" s="34" t="n">
        <x:v>321.408363</x:v>
      </x:c>
      <x:c r="AR238" s="34" t="n">
        <x:v>32387.753</x:v>
      </x:c>
      <x:c r="AS238" s="34" t="n">
        <x:v>100.768233</x:v>
      </x:c>
      <x:c r="AT238" s="40" t="b">
        <x:v>1</x:v>
      </x:c>
      <x:c r="AU238" s="40" t="b">
        <x:v>0</x:v>
      </x:c>
      <x:c r="AV238" s="34" t="str"/>
      <x:c r="AW238" s="34" t="n">
        <x:v>0</x:v>
      </x:c>
      <x:c r="AX238" s="34" t="str">
        <x:v>1.265341119704999e-05</x:v>
      </x:c>
      <x:c r="AY238" s="40" t="b">
        <x:v>0</x:v>
      </x:c>
      <x:c r="AZ238" s="40" t="b">
        <x:v>0</x:v>
      </x:c>
      <x:c r="BA238" s="40" t="b">
        <x:v>1</x:v>
      </x:c>
      <x:c r="BB238" s="40" t="b">
        <x:v>1</x:v>
      </x:c>
      <x:c r="BC238" s="34" t="n">
        <x:v>2036</x:v>
      </x:c>
      <x:c r="BD238" s="34" t="n">
        <x:v>0.004998229999999992</x:v>
      </x:c>
      <x:c r="BE238" s="34" t="n">
        <x:v>0</x:v>
      </x:c>
      <x:c r="BF238" s="34" t="n">
        <x:v>0</x:v>
      </x:c>
      <x:c r="BG238" s="34" t="n">
        <x:v>2</x:v>
      </x:c>
      <x:c r="BH238" s="34" t="n">
        <x:v>3</x:v>
      </x:c>
      <x:c r="BI238" s="34" t="n">
        <x:v>0.3406543999999999</x:v>
      </x:c>
      <x:c r="BJ238" s="34" t="n">
        <x:v>0.65</x:v>
      </x:c>
      <x:c r="BK238" s="34" t="n">
        <x:v>1.3</x:v>
      </x:c>
    </x:row>
    <x:row r="239">
      <x:c r="A239" s="34" t="str">
        <x:v>JFE_STEEL_JP</x:v>
      </x:c>
      <x:c r="B239" s="34" t="str">
        <x:v>JFE Steel</x:v>
      </x:c>
      <x:c r="C239" s="34" t="str">
        <x:v>DISCLOSED_PATH</x:v>
      </x:c>
      <x:c r="D239" s="34" t="str">
        <x:v>P2</x:v>
      </x:c>
      <x:c r="E239" s="34" t="str">
        <x:v>JFE-FUKU</x:v>
      </x:c>
      <x:c r="F239" s="34" t="str">
        <x:v>West Japan Works Fukuyama</x:v>
      </x:c>
      <x:c r="G239" s="34" t="str">
        <x:v>후쿠야마</x:v>
      </x:c>
      <x:c r="H239" s="34" t="n">
        <x:v>2033</x:v>
      </x:c>
      <x:c r="I239" s="34" t="str">
        <x:v>BF_BOF</x:v>
      </x:c>
      <x:c r="J239" s="34" t="str">
        <x:v>기준 BF-BOF 복합 블록</x:v>
      </x:c>
      <x:c r="K239" s="34" t="str">
        <x:v>H2_DRI_EAF</x:v>
      </x:c>
      <x:c r="L239" s="34" t="str">
        <x:v>수소 DRI + EAF</x:v>
      </x:c>
      <x:c r="M239" s="34" t="n">
        <x:v>9702</x:v>
      </x:c>
      <x:c r="N239" s="34" t="n">
        <x:v>7546</x:v>
      </x:c>
      <x:c r="O239" s="34" t="n">
        <x:v>9.8</x:v>
      </x:c>
      <x:c r="P239" s="34" t="n">
        <x:v>8.999997</x:v>
      </x:c>
      <x:c r="Q239" s="34" t="n">
        <x:v>19.037639</x:v>
      </x:c>
      <x:c r="R239" s="34" t="n">
        <x:v>19.037639</x:v>
      </x:c>
      <x:c r="S239" s="34" t="n">
        <x:v>1.799999</x:v>
      </x:c>
      <x:c r="T239" s="34" t="n">
        <x:v>1.799999</x:v>
      </x:c>
      <x:c r="U239" s="34" t="n">
        <x:v>17.237639</x:v>
      </x:c>
      <x:c r="V239" s="34" t="n">
        <x:v>137.901116</x:v>
      </x:c>
      <x:c r="W239" s="34" t="n">
        <x:v>30673.471</x:v>
      </x:c>
      <x:c r="X239" s="34" t="n">
        <x:v>2151.904</x:v>
      </x:c>
      <x:c r="Y239" s="34" t="n">
        <x:v>35521.981</x:v>
      </x:c>
      <x:c r="Z239" s="34" t="n">
        <x:v>33370.077</x:v>
      </x:c>
      <x:c r="AA239" s="34" t="n">
        <x:v>4848.509</x:v>
      </x:c>
      <x:c r="AB239" s="34" t="n">
        <x:v>28521.568</x:v>
      </x:c>
      <x:c r="AC239" s="34" t="n">
        <x:v>4916.965</x:v>
      </x:c>
      <x:c r="AD239" s="34" t="n">
        <x:v>509.49</x:v>
      </x:c>
      <x:c r="AE239" s="34" t="n">
        <x:v>3636.405</x:v>
      </x:c>
      <x:c r="AF239" s="34" t="n">
        <x:v>26417.415</x:v>
      </x:c>
      <x:c r="AG239" s="34" t="n">
        <x:v>41.706</x:v>
      </x:c>
      <x:c r="AH239" s="34" t="n">
        <x:v>-4848.509</x:v>
      </x:c>
      <x:c r="AI239" s="34" t="str">
        <x:v>model_estimate</x:v>
      </x:c>
      <x:c r="AJ239" s="34" t="str">
        <x:v>JFE 공식 생산·배출 총량에 맞춘 설비 블록 배분</x:v>
      </x:c>
      <x:c r="AK239" s="34" t="str">
        <x:v>CAND-E72109958C3B57</x:v>
      </x:c>
      <x:c r="AL239" s="34" t="str">
        <x:v>P2</x:v>
      </x:c>
      <x:c r="AM239" s="34" t="str">
        <x:v>PORT-E5F3D5116135</x:v>
      </x:c>
      <x:c r="AN239" s="34" t="n">
        <x:v>1000</x:v>
      </x:c>
      <x:c r="AO239" s="34" t="n">
        <x:v>102.523775</x:v>
      </x:c>
      <x:c r="AP239" s="34" t="n">
        <x:v>28.443983</x:v>
      </x:c>
      <x:c r="AQ239" s="34" t="n">
        <x:v>321.408363</x:v>
      </x:c>
      <x:c r="AR239" s="34" t="n">
        <x:v>32387.753</x:v>
      </x:c>
      <x:c r="AS239" s="34" t="n">
        <x:v>100.768233</x:v>
      </x:c>
      <x:c r="AT239" s="40" t="b">
        <x:v>1</x:v>
      </x:c>
      <x:c r="AU239" s="40" t="b">
        <x:v>0</x:v>
      </x:c>
      <x:c r="AV239" s="34" t="str"/>
      <x:c r="AW239" s="34" t="n">
        <x:v>0</x:v>
      </x:c>
      <x:c r="AX239" s="34" t="str">
        <x:v>1.265341119704999e-05</x:v>
      </x:c>
      <x:c r="AY239" s="40" t="b">
        <x:v>0</x:v>
      </x:c>
      <x:c r="AZ239" s="40" t="b">
        <x:v>0</x:v>
      </x:c>
      <x:c r="BA239" s="40" t="b">
        <x:v>1</x:v>
      </x:c>
      <x:c r="BB239" s="40" t="b">
        <x:v>1</x:v>
      </x:c>
      <x:c r="BC239" s="34" t="n">
        <x:v>2036</x:v>
      </x:c>
      <x:c r="BD239" s="34" t="n">
        <x:v>0.004998229999999992</x:v>
      </x:c>
      <x:c r="BE239" s="34" t="n">
        <x:v>0</x:v>
      </x:c>
      <x:c r="BF239" s="34" t="n">
        <x:v>0</x:v>
      </x:c>
      <x:c r="BG239" s="34" t="n">
        <x:v>2</x:v>
      </x:c>
      <x:c r="BH239" s="34" t="n">
        <x:v>3</x:v>
      </x:c>
      <x:c r="BI239" s="34" t="n">
        <x:v>0.3406543999999999</x:v>
      </x:c>
      <x:c r="BJ239" s="34" t="n">
        <x:v>0.65</x:v>
      </x:c>
      <x:c r="BK239" s="34" t="n">
        <x:v>1.3</x:v>
      </x:c>
    </x:row>
    <x:row r="240">
      <x:c r="A240" s="34" t="str">
        <x:v>JFE_STEEL_JP</x:v>
      </x:c>
      <x:c r="B240" s="34" t="str">
        <x:v>JFE Steel</x:v>
      </x:c>
      <x:c r="C240" s="34" t="str">
        <x:v>DISCLOSED_PATH</x:v>
      </x:c>
      <x:c r="D240" s="34" t="str">
        <x:v>P2</x:v>
      </x:c>
      <x:c r="E240" s="34" t="str">
        <x:v>JFE-KURA</x:v>
      </x:c>
      <x:c r="F240" s="34" t="str">
        <x:v>West Japan Works Kurashiki</x:v>
      </x:c>
      <x:c r="G240" s="34" t="str">
        <x:v>구라시키</x:v>
      </x:c>
      <x:c r="H240" s="34" t="n">
        <x:v>2029</x:v>
      </x:c>
      <x:c r="I240" s="34" t="str">
        <x:v>BF_BOF</x:v>
      </x:c>
      <x:c r="J240" s="34" t="str">
        <x:v>기준 BF-BOF 복합 블록</x:v>
      </x:c>
      <x:c r="K240" s="34" t="str">
        <x:v>SCRAP_EAF</x:v>
      </x:c>
      <x:c r="L240" s="34" t="str">
        <x:v>스크랩 기반 대형 EAF</x:v>
      </x:c>
      <x:c r="M240" s="34" t="n">
        <x:v>4558.4</x:v>
      </x:c>
      <x:c r="N240" s="34" t="n">
        <x:v>2930.4</x:v>
      </x:c>
      <x:c r="O240" s="34" t="n">
        <x:v>7.4</x:v>
      </x:c>
      <x:c r="P240" s="34" t="n">
        <x:v>6.800001</x:v>
      </x:c>
      <x:c r="Q240" s="34" t="n">
        <x:v>14.384</x:v>
      </x:c>
      <x:c r="R240" s="34" t="n">
        <x:v>3.06</x:v>
      </x:c>
      <x:c r="S240" s="34" t="n">
        <x:v>3.06</x:v>
      </x:c>
      <x:c r="T240" s="34" t="n">
        <x:v>3.06</x:v>
      </x:c>
      <x:c r="U240" s="34" t="n">
        <x:v>11.324</x:v>
      </x:c>
      <x:c r="V240" s="34" t="n">
        <x:v>135.888002</x:v>
      </x:c>
      <x:c r="W240" s="34" t="n">
        <x:v>3471.316</x:v>
      </x:c>
      <x:c r="X240" s="34" t="n">
        <x:v>612.709</x:v>
      </x:c>
      <x:c r="Y240" s="34" t="n">
        <x:v>8221.645</x:v>
      </x:c>
      <x:c r="Z240" s="34" t="n">
        <x:v>7608.936</x:v>
      </x:c>
      <x:c r="AA240" s="34" t="n">
        <x:v>4750.329</x:v>
      </x:c>
      <x:c r="AB240" s="34" t="n">
        <x:v>2858.607</x:v>
      </x:c>
      <x:c r="AC240" s="34" t="n">
        <x:v>2365.468</x:v>
      </x:c>
      <x:c r="AD240" s="34" t="n">
        <x:v>299.458</x:v>
      </x:c>
      <x:c r="AE240" s="34" t="n">
        <x:v>5543.673</x:v>
      </x:c>
      <x:c r="AF240" s="34" t="n">
        <x:v>0</x:v>
      </x:c>
      <x:c r="AG240" s="34" t="n">
        <x:v>13.046</x:v>
      </x:c>
      <x:c r="AH240" s="34" t="n">
        <x:v>-4750.329</x:v>
      </x:c>
      <x:c r="AI240" s="34" t="str">
        <x:v>model_estimate</x:v>
      </x:c>
      <x:c r="AJ240" s="34" t="str">
        <x:v>2028 혁신 EAF 공시를 반영한 조기 재투자 창; 생산량은 공식 총량에 맞춘 추정</x:v>
      </x:c>
      <x:c r="AK240" s="34" t="str">
        <x:v>CAND-E72109958C3B57</x:v>
      </x:c>
      <x:c r="AL240" s="34" t="str">
        <x:v>P2</x:v>
      </x:c>
      <x:c r="AM240" s="34" t="str">
        <x:v>PORT-E5F3D5116135</x:v>
      </x:c>
      <x:c r="AN240" s="34" t="n">
        <x:v>1000</x:v>
      </x:c>
      <x:c r="AO240" s="34" t="n">
        <x:v>102.523775</x:v>
      </x:c>
      <x:c r="AP240" s="34" t="n">
        <x:v>28.443983</x:v>
      </x:c>
      <x:c r="AQ240" s="34" t="n">
        <x:v>321.408363</x:v>
      </x:c>
      <x:c r="AR240" s="34" t="n">
        <x:v>32387.753</x:v>
      </x:c>
      <x:c r="AS240" s="34" t="n">
        <x:v>100.768233</x:v>
      </x:c>
      <x:c r="AT240" s="40" t="b">
        <x:v>1</x:v>
      </x:c>
      <x:c r="AU240" s="40" t="b">
        <x:v>0</x:v>
      </x:c>
      <x:c r="AV240" s="34" t="str"/>
      <x:c r="AW240" s="34" t="n">
        <x:v>0</x:v>
      </x:c>
      <x:c r="AX240" s="34" t="str">
        <x:v>1.265341119704999e-05</x:v>
      </x:c>
      <x:c r="AY240" s="40" t="b">
        <x:v>0</x:v>
      </x:c>
      <x:c r="AZ240" s="40" t="b">
        <x:v>0</x:v>
      </x:c>
      <x:c r="BA240" s="40" t="b">
        <x:v>1</x:v>
      </x:c>
      <x:c r="BB240" s="40" t="b">
        <x:v>1</x:v>
      </x:c>
      <x:c r="BC240" s="34" t="n">
        <x:v>2036</x:v>
      </x:c>
      <x:c r="BD240" s="34" t="n">
        <x:v>0.004998229999999992</x:v>
      </x:c>
      <x:c r="BE240" s="34" t="n">
        <x:v>0</x:v>
      </x:c>
      <x:c r="BF240" s="34" t="n">
        <x:v>0</x:v>
      </x:c>
      <x:c r="BG240" s="34" t="n">
        <x:v>2</x:v>
      </x:c>
      <x:c r="BH240" s="34" t="n">
        <x:v>3</x:v>
      </x:c>
      <x:c r="BI240" s="34" t="n">
        <x:v>0.3406543999999999</x:v>
      </x:c>
      <x:c r="BJ240" s="34" t="n">
        <x:v>0.65</x:v>
      </x:c>
      <x:c r="BK240" s="34" t="n">
        <x:v>1.3</x:v>
      </x:c>
    </x:row>
    <x:row r="241">
      <x:c r="A241" s="34" t="str">
        <x:v>JFE_STEEL_JP</x:v>
      </x:c>
      <x:c r="B241" s="34" t="str">
        <x:v>JFE Steel</x:v>
      </x:c>
      <x:c r="C241" s="34" t="str">
        <x:v>DISCLOSED_PATH</x:v>
      </x:c>
      <x:c r="D241" s="34" t="str">
        <x:v>P2</x:v>
      </x:c>
      <x:c r="E241" s="34" t="str">
        <x:v>JFE-SENDAI</x:v>
      </x:c>
      <x:c r="F241" s="34" t="str">
        <x:v>Sendai Works EAF</x:v>
      </x:c>
      <x:c r="G241" s="34" t="str">
        <x:v>센다이</x:v>
      </x:c>
      <x:c r="H241" s="34" t="n">
        <x:v>2033</x:v>
      </x:c>
      <x:c r="I241" s="34" t="str">
        <x:v>EAF_BASELINE</x:v>
      </x:c>
      <x:c r="J241" s="34" t="str">
        <x:v>기존 전기로 기준 블록</x:v>
      </x:c>
      <x:c r="K241" s="34" t="str">
        <x:v>EAF_RENEWABLE</x:v>
      </x:c>
      <x:c r="L241" s="34" t="str">
        <x:v>기존 EAF 재생전력 업그레이드</x:v>
      </x:c>
      <x:c r="M241" s="34" t="n">
        <x:v>228.8</x:v>
      </x:c>
      <x:c r="N241" s="34" t="n">
        <x:v>70.4</x:v>
      </x:c>
      <x:c r="O241" s="34" t="n">
        <x:v>0.8</x:v>
      </x:c>
      <x:c r="P241" s="34" t="n">
        <x:v>0.7</x:v>
      </x:c>
      <x:c r="Q241" s="34" t="n">
        <x:v>0.35</x:v>
      </x:c>
      <x:c r="R241" s="34" t="n">
        <x:v>0.35</x:v>
      </x:c>
      <x:c r="S241" s="34" t="n">
        <x:v>0.07</x:v>
      </x:c>
      <x:c r="T241" s="34" t="n">
        <x:v>0.07</x:v>
      </x:c>
      <x:c r="U241" s="34" t="n">
        <x:v>0.28</x:v>
      </x:c>
      <x:c r="V241" s="34" t="n">
        <x:v>2.24</x:v>
      </x:c>
      <x:c r="W241" s="34" t="n">
        <x:v>-17.429</x:v>
      </x:c>
      <x:c r="X241" s="34" t="n">
        <x:v>6.895</x:v>
      </x:c>
      <x:c r="Y241" s="34" t="n">
        <x:v>61.328</x:v>
      </x:c>
      <x:c r="Z241" s="34" t="n">
        <x:v>54.433</x:v>
      </x:c>
      <x:c r="AA241" s="34" t="n">
        <x:v>78.757</x:v>
      </x:c>
      <x:c r="AB241" s="34" t="n">
        <x:v>-24.324</x:v>
      </x:c>
      <x:c r="AC241" s="34" t="n">
        <x:v>45.873</x:v>
      </x:c>
      <x:c r="AD241" s="34" t="n">
        <x:v>3.048</x:v>
      </x:c>
      <x:c r="AE241" s="34" t="n">
        <x:v>12.297</x:v>
      </x:c>
      <x:c r="AF241" s="34" t="n">
        <x:v>0</x:v>
      </x:c>
      <x:c r="AG241" s="34" t="n">
        <x:v>0.11</x:v>
      </x:c>
      <x:c r="AH241" s="34" t="n">
        <x:v>-78.757</x:v>
      </x:c>
      <x:c r="AI241" s="34" t="str">
        <x:v>model_estimate</x:v>
      </x:c>
      <x:c r="AJ241" s="34" t="str">
        <x:v>공식 EAF 사업장 존재를 반영; 생산량·집약도·재투자연도 추정</x:v>
      </x:c>
      <x:c r="AK241" s="34" t="str">
        <x:v>CAND-E72109958C3B57</x:v>
      </x:c>
      <x:c r="AL241" s="34" t="str">
        <x:v>P2</x:v>
      </x:c>
      <x:c r="AM241" s="34" t="str">
        <x:v>PORT-E5F3D5116135</x:v>
      </x:c>
      <x:c r="AN241" s="34" t="n">
        <x:v>1000</x:v>
      </x:c>
      <x:c r="AO241" s="34" t="n">
        <x:v>102.523775</x:v>
      </x:c>
      <x:c r="AP241" s="34" t="n">
        <x:v>28.443983</x:v>
      </x:c>
      <x:c r="AQ241" s="34" t="n">
        <x:v>321.408363</x:v>
      </x:c>
      <x:c r="AR241" s="34" t="n">
        <x:v>32387.753</x:v>
      </x:c>
      <x:c r="AS241" s="34" t="n">
        <x:v>100.768233</x:v>
      </x:c>
      <x:c r="AT241" s="40" t="b">
        <x:v>1</x:v>
      </x:c>
      <x:c r="AU241" s="40" t="b">
        <x:v>0</x:v>
      </x:c>
      <x:c r="AV241" s="34" t="str"/>
      <x:c r="AW241" s="34" t="n">
        <x:v>0</x:v>
      </x:c>
      <x:c r="AX241" s="34" t="str">
        <x:v>1.265341119704999e-05</x:v>
      </x:c>
      <x:c r="AY241" s="40" t="b">
        <x:v>0</x:v>
      </x:c>
      <x:c r="AZ241" s="40" t="b">
        <x:v>0</x:v>
      </x:c>
      <x:c r="BA241" s="40" t="b">
        <x:v>1</x:v>
      </x:c>
      <x:c r="BB241" s="40" t="b">
        <x:v>1</x:v>
      </x:c>
      <x:c r="BC241" s="34" t="n">
        <x:v>2036</x:v>
      </x:c>
      <x:c r="BD241" s="34" t="n">
        <x:v>0.004998229999999992</x:v>
      </x:c>
      <x:c r="BE241" s="34" t="n">
        <x:v>0</x:v>
      </x:c>
      <x:c r="BF241" s="34" t="n">
        <x:v>0</x:v>
      </x:c>
      <x:c r="BG241" s="34" t="n">
        <x:v>2</x:v>
      </x:c>
      <x:c r="BH241" s="34" t="n">
        <x:v>3</x:v>
      </x:c>
      <x:c r="BI241" s="34" t="n">
        <x:v>0.3406543999999999</x:v>
      </x:c>
      <x:c r="BJ241" s="34" t="n">
        <x:v>0.65</x:v>
      </x:c>
      <x:c r="BK241" s="34" t="n">
        <x:v>1.3</x:v>
      </x:c>
    </x:row>
    <x:row r="242">
      <x:c r="A242" s="34" t="str">
        <x:v>JFE_STEEL_JP</x:v>
      </x:c>
      <x:c r="B242" s="34" t="str">
        <x:v>JFE Steel</x:v>
      </x:c>
      <x:c r="C242" s="34" t="str">
        <x:v>ACCELERATED_15C</x:v>
      </x:c>
      <x:c r="D242" s="34" t="str">
        <x:v>P2</x:v>
      </x:c>
      <x:c r="E242" s="34" t="str">
        <x:v>JFE-CHIBA</x:v>
      </x:c>
      <x:c r="F242" s="34" t="str">
        <x:v>East Japan Works Chiba</x:v>
      </x:c>
      <x:c r="G242" s="34" t="str">
        <x:v>치바</x:v>
      </x:c>
      <x:c r="H242" s="34" t="n">
        <x:v>2036</x:v>
      </x:c>
      <x:c r="I242" s="34" t="str">
        <x:v>BF_BOF</x:v>
      </x:c>
      <x:c r="J242" s="34" t="str">
        <x:v>기준 BF-BOF 복합 블록</x:v>
      </x:c>
      <x:c r="K242" s="34" t="str">
        <x:v>SCRAP_EAF</x:v>
      </x:c>
      <x:c r="L242" s="34" t="str">
        <x:v>스크랩 기반 대형 EAF</x:v>
      </x:c>
      <x:c r="M242" s="34" t="n">
        <x:v>3696</x:v>
      </x:c>
      <x:c r="N242" s="34" t="n">
        <x:v>2376</x:v>
      </x:c>
      <x:c r="O242" s="34" t="n">
        <x:v>6</x:v>
      </x:c>
      <x:c r="P242" s="34" t="n">
        <x:v>5.449998</x:v>
      </x:c>
      <x:c r="Q242" s="34" t="n">
        <x:v>11.528348</x:v>
      </x:c>
      <x:c r="R242" s="34" t="n">
        <x:v>11.528348</x:v>
      </x:c>
      <x:c r="S242" s="34" t="n">
        <x:v>2.452499</x:v>
      </x:c>
      <x:c r="T242" s="34" t="n">
        <x:v>2.452499</x:v>
      </x:c>
      <x:c r="U242" s="34" t="n">
        <x:v>9.075849</x:v>
      </x:c>
      <x:c r="V242" s="34" t="n">
        <x:v>45.379245</x:v>
      </x:c>
      <x:c r="W242" s="34" t="n">
        <x:v>769.683</x:v>
      </x:c>
      <x:c r="X242" s="34" t="n">
        <x:v>396.331</x:v>
      </x:c>
      <x:c r="Y242" s="34" t="n">
        <x:v>3136.635</x:v>
      </x:c>
      <x:c r="Z242" s="34" t="n">
        <x:v>2740.304</x:v>
      </x:c>
      <x:c r="AA242" s="34" t="n">
        <x:v>2366.953</x:v>
      </x:c>
      <x:c r="AB242" s="34" t="n">
        <x:v>373.351</x:v>
      </x:c>
      <x:c r="AC242" s="34" t="n">
        <x:v>1318.467</x:v>
      </x:c>
      <x:c r="AD242" s="34" t="n">
        <x:v>68.124</x:v>
      </x:c>
      <x:c r="AE242" s="34" t="n">
        <x:v>1744.79</x:v>
      </x:c>
      <x:c r="AF242" s="34" t="n">
        <x:v>0</x:v>
      </x:c>
      <x:c r="AG242" s="34" t="n">
        <x:v>5.254</x:v>
      </x:c>
      <x:c r="AH242" s="34" t="n">
        <x:v>-2366.953</x:v>
      </x:c>
      <x:c r="AI242" s="34" t="str">
        <x:v>model_estimate</x:v>
      </x:c>
      <x:c r="AJ242" s="34" t="str">
        <x:v>JFE 공식 생산·배출 총량에 맞춘 설비 블록 배분</x:v>
      </x:c>
      <x:c r="AK242" s="34" t="str">
        <x:v>CAND-E72109958C3B57</x:v>
      </x:c>
      <x:c r="AL242" s="34" t="str">
        <x:v>P2</x:v>
      </x:c>
      <x:c r="AM242" s="34" t="str">
        <x:v>PORT-E5F3D5116135</x:v>
      </x:c>
      <x:c r="AN242" s="34" t="n">
        <x:v>1000</x:v>
      </x:c>
      <x:c r="AO242" s="34" t="n">
        <x:v>93.638485</x:v>
      </x:c>
      <x:c r="AP242" s="34" t="n">
        <x:v>30.14727</x:v>
      </x:c>
      <x:c r="AQ242" s="34" t="n">
        <x:v>321.408363</x:v>
      </x:c>
      <x:c r="AR242" s="34" t="n">
        <x:v>29504.994</x:v>
      </x:c>
      <x:c r="AS242" s="34" t="n">
        <x:v>91.799087</x:v>
      </x:c>
      <x:c r="AT242" s="40" t="b">
        <x:v>1</x:v>
      </x:c>
      <x:c r="AU242" s="40" t="b">
        <x:v>1</x:v>
      </x:c>
      <x:c r="AV242" s="34" t="str"/>
      <x:c r="AW242" s="34" t="n">
        <x:v>0</x:v>
      </x:c>
      <x:c r="AX242" s="34" t="str">
        <x:v>1.265341119704999e-05</x:v>
      </x:c>
      <x:c r="AY242" s="40" t="b">
        <x:v>1</x:v>
      </x:c>
      <x:c r="AZ242" s="40" t="b">
        <x:v>1</x:v>
      </x:c>
      <x:c r="BA242" s="40" t="b">
        <x:v>1</x:v>
      </x:c>
      <x:c r="BB242" s="40" t="b">
        <x:v>1</x:v>
      </x:c>
      <x:c r="BC242" s="34" t="str"/>
      <x:c r="BD242" s="34" t="n">
        <x:v>0</x:v>
      </x:c>
      <x:c r="BE242" s="34" t="n">
        <x:v>0</x:v>
      </x:c>
      <x:c r="BF242" s="34" t="n">
        <x:v>0</x:v>
      </x:c>
      <x:c r="BG242" s="34" t="n">
        <x:v>2</x:v>
      </x:c>
      <x:c r="BH242" s="34" t="n">
        <x:v>3</x:v>
      </x:c>
      <x:c r="BI242" s="34" t="n">
        <x:v>0.3406543999999999</x:v>
      </x:c>
      <x:c r="BJ242" s="34" t="n">
        <x:v>0.65</x:v>
      </x:c>
      <x:c r="BK242" s="34" t="n">
        <x:v>1.3</x:v>
      </x:c>
    </x:row>
    <x:row r="243">
      <x:c r="A243" s="34" t="str">
        <x:v>JFE_STEEL_JP</x:v>
      </x:c>
      <x:c r="B243" s="34" t="str">
        <x:v>JFE Steel</x:v>
      </x:c>
      <x:c r="C243" s="34" t="str">
        <x:v>ACCELERATED_15C</x:v>
      </x:c>
      <x:c r="D243" s="34" t="str">
        <x:v>P2</x:v>
      </x:c>
      <x:c r="E243" s="34" t="str">
        <x:v>JFE-FUKU</x:v>
      </x:c>
      <x:c r="F243" s="34" t="str">
        <x:v>West Japan Works Fukuyama</x:v>
      </x:c>
      <x:c r="G243" s="34" t="str">
        <x:v>후쿠야마</x:v>
      </x:c>
      <x:c r="H243" s="34" t="n">
        <x:v>2033</x:v>
      </x:c>
      <x:c r="I243" s="34" t="str">
        <x:v>BF_BOF</x:v>
      </x:c>
      <x:c r="J243" s="34" t="str">
        <x:v>기준 BF-BOF 복합 블록</x:v>
      </x:c>
      <x:c r="K243" s="34" t="str">
        <x:v>H2_DRI_EAF</x:v>
      </x:c>
      <x:c r="L243" s="34" t="str">
        <x:v>수소 DRI + EAF</x:v>
      </x:c>
      <x:c r="M243" s="34" t="n">
        <x:v>9702</x:v>
      </x:c>
      <x:c r="N243" s="34" t="n">
        <x:v>7546</x:v>
      </x:c>
      <x:c r="O243" s="34" t="n">
        <x:v>9.8</x:v>
      </x:c>
      <x:c r="P243" s="34" t="n">
        <x:v>8.999997</x:v>
      </x:c>
      <x:c r="Q243" s="34" t="n">
        <x:v>19.037639</x:v>
      </x:c>
      <x:c r="R243" s="34" t="n">
        <x:v>19.037639</x:v>
      </x:c>
      <x:c r="S243" s="34" t="n">
        <x:v>1.799999</x:v>
      </x:c>
      <x:c r="T243" s="34" t="n">
        <x:v>1.799999</x:v>
      </x:c>
      <x:c r="U243" s="34" t="n">
        <x:v>17.237639</x:v>
      </x:c>
      <x:c r="V243" s="34" t="n">
        <x:v>137.901116</x:v>
      </x:c>
      <x:c r="W243" s="34" t="n">
        <x:v>31007.963</x:v>
      </x:c>
      <x:c r="X243" s="34" t="n">
        <x:v>2898.032</x:v>
      </x:c>
      <x:c r="Y243" s="34" t="n">
        <x:v>38201.982</x:v>
      </x:c>
      <x:c r="Z243" s="34" t="n">
        <x:v>35303.95</x:v>
      </x:c>
      <x:c r="AA243" s="34" t="n">
        <x:v>7194.019</x:v>
      </x:c>
      <x:c r="AB243" s="34" t="n">
        <x:v>28109.931</x:v>
      </x:c>
      <x:c r="AC243" s="34" t="n">
        <x:v>4916.965</x:v>
      </x:c>
      <x:c r="AD243" s="34" t="n">
        <x:v>509.49</x:v>
      </x:c>
      <x:c r="AE243" s="34" t="n">
        <x:v>4032.152</x:v>
      </x:c>
      <x:c r="AF243" s="34" t="n">
        <x:v>28698.795</x:v>
      </x:c>
      <x:c r="AG243" s="34" t="n">
        <x:v>44.581</x:v>
      </x:c>
      <x:c r="AH243" s="34" t="n">
        <x:v>-7194.019</x:v>
      </x:c>
      <x:c r="AI243" s="34" t="str">
        <x:v>model_estimate</x:v>
      </x:c>
      <x:c r="AJ243" s="34" t="str">
        <x:v>JFE 공식 생산·배출 총량에 맞춘 설비 블록 배분</x:v>
      </x:c>
      <x:c r="AK243" s="34" t="str">
        <x:v>CAND-E72109958C3B57</x:v>
      </x:c>
      <x:c r="AL243" s="34" t="str">
        <x:v>P2</x:v>
      </x:c>
      <x:c r="AM243" s="34" t="str">
        <x:v>PORT-E5F3D5116135</x:v>
      </x:c>
      <x:c r="AN243" s="34" t="n">
        <x:v>1000</x:v>
      </x:c>
      <x:c r="AO243" s="34" t="n">
        <x:v>93.638485</x:v>
      </x:c>
      <x:c r="AP243" s="34" t="n">
        <x:v>30.14727</x:v>
      </x:c>
      <x:c r="AQ243" s="34" t="n">
        <x:v>321.408363</x:v>
      </x:c>
      <x:c r="AR243" s="34" t="n">
        <x:v>29504.994</x:v>
      </x:c>
      <x:c r="AS243" s="34" t="n">
        <x:v>91.799087</x:v>
      </x:c>
      <x:c r="AT243" s="40" t="b">
        <x:v>1</x:v>
      </x:c>
      <x:c r="AU243" s="40" t="b">
        <x:v>1</x:v>
      </x:c>
      <x:c r="AV243" s="34" t="str"/>
      <x:c r="AW243" s="34" t="n">
        <x:v>0</x:v>
      </x:c>
      <x:c r="AX243" s="34" t="str">
        <x:v>1.265341119704999e-05</x:v>
      </x:c>
      <x:c r="AY243" s="40" t="b">
        <x:v>1</x:v>
      </x:c>
      <x:c r="AZ243" s="40" t="b">
        <x:v>1</x:v>
      </x:c>
      <x:c r="BA243" s="40" t="b">
        <x:v>1</x:v>
      </x:c>
      <x:c r="BB243" s="40" t="b">
        <x:v>1</x:v>
      </x:c>
      <x:c r="BC243" s="34" t="str"/>
      <x:c r="BD243" s="34" t="n">
        <x:v>0</x:v>
      </x:c>
      <x:c r="BE243" s="34" t="n">
        <x:v>0</x:v>
      </x:c>
      <x:c r="BF243" s="34" t="n">
        <x:v>0</x:v>
      </x:c>
      <x:c r="BG243" s="34" t="n">
        <x:v>2</x:v>
      </x:c>
      <x:c r="BH243" s="34" t="n">
        <x:v>3</x:v>
      </x:c>
      <x:c r="BI243" s="34" t="n">
        <x:v>0.3406543999999999</x:v>
      </x:c>
      <x:c r="BJ243" s="34" t="n">
        <x:v>0.65</x:v>
      </x:c>
      <x:c r="BK243" s="34" t="n">
        <x:v>1.3</x:v>
      </x:c>
    </x:row>
    <x:row r="244">
      <x:c r="A244" s="34" t="str">
        <x:v>JFE_STEEL_JP</x:v>
      </x:c>
      <x:c r="B244" s="34" t="str">
        <x:v>JFE Steel</x:v>
      </x:c>
      <x:c r="C244" s="34" t="str">
        <x:v>ACCELERATED_15C</x:v>
      </x:c>
      <x:c r="D244" s="34" t="str">
        <x:v>P2</x:v>
      </x:c>
      <x:c r="E244" s="34" t="str">
        <x:v>JFE-KURA</x:v>
      </x:c>
      <x:c r="F244" s="34" t="str">
        <x:v>West Japan Works Kurashiki</x:v>
      </x:c>
      <x:c r="G244" s="34" t="str">
        <x:v>구라시키</x:v>
      </x:c>
      <x:c r="H244" s="34" t="n">
        <x:v>2029</x:v>
      </x:c>
      <x:c r="I244" s="34" t="str">
        <x:v>BF_BOF</x:v>
      </x:c>
      <x:c r="J244" s="34" t="str">
        <x:v>기준 BF-BOF 복합 블록</x:v>
      </x:c>
      <x:c r="K244" s="34" t="str">
        <x:v>SCRAP_EAF</x:v>
      </x:c>
      <x:c r="L244" s="34" t="str">
        <x:v>스크랩 기반 대형 EAF</x:v>
      </x:c>
      <x:c r="M244" s="34" t="n">
        <x:v>4558.4</x:v>
      </x:c>
      <x:c r="N244" s="34" t="n">
        <x:v>2930.4</x:v>
      </x:c>
      <x:c r="O244" s="34" t="n">
        <x:v>7.4</x:v>
      </x:c>
      <x:c r="P244" s="34" t="n">
        <x:v>6.800001</x:v>
      </x:c>
      <x:c r="Q244" s="34" t="n">
        <x:v>14.384</x:v>
      </x:c>
      <x:c r="R244" s="34" t="n">
        <x:v>3.06</x:v>
      </x:c>
      <x:c r="S244" s="34" t="n">
        <x:v>3.06</x:v>
      </x:c>
      <x:c r="T244" s="34" t="n">
        <x:v>3.06</x:v>
      </x:c>
      <x:c r="U244" s="34" t="n">
        <x:v>11.324</x:v>
      </x:c>
      <x:c r="V244" s="34" t="n">
        <x:v>135.888002</x:v>
      </x:c>
      <x:c r="W244" s="34" t="n">
        <x:v>1802.817</x:v>
      </x:c>
      <x:c r="X244" s="34" t="n">
        <x:v>717.724</x:v>
      </x:c>
      <x:c r="Y244" s="34" t="n">
        <x:v>8730.238</x:v>
      </x:c>
      <x:c r="Z244" s="34" t="n">
        <x:v>8012.513</x:v>
      </x:c>
      <x:c r="AA244" s="34" t="n">
        <x:v>6927.42</x:v>
      </x:c>
      <x:c r="AB244" s="34" t="n">
        <x:v>1085.093</x:v>
      </x:c>
      <x:c r="AC244" s="34" t="n">
        <x:v>2365.468</x:v>
      </x:c>
      <x:c r="AD244" s="34" t="n">
        <x:v>299.458</x:v>
      </x:c>
      <x:c r="AE244" s="34" t="n">
        <x:v>6051.504</x:v>
      </x:c>
      <x:c r="AF244" s="34" t="n">
        <x:v>0</x:v>
      </x:c>
      <x:c r="AG244" s="34" t="n">
        <x:v>13.808</x:v>
      </x:c>
      <x:c r="AH244" s="34" t="n">
        <x:v>-6927.42</x:v>
      </x:c>
      <x:c r="AI244" s="34" t="str">
        <x:v>model_estimate</x:v>
      </x:c>
      <x:c r="AJ244" s="34" t="str">
        <x:v>2028 혁신 EAF 공시를 반영한 조기 재투자 창; 생산량은 공식 총량에 맞춘 추정</x:v>
      </x:c>
      <x:c r="AK244" s="34" t="str">
        <x:v>CAND-E72109958C3B57</x:v>
      </x:c>
      <x:c r="AL244" s="34" t="str">
        <x:v>P2</x:v>
      </x:c>
      <x:c r="AM244" s="34" t="str">
        <x:v>PORT-E5F3D5116135</x:v>
      </x:c>
      <x:c r="AN244" s="34" t="n">
        <x:v>1000</x:v>
      </x:c>
      <x:c r="AO244" s="34" t="n">
        <x:v>93.638485</x:v>
      </x:c>
      <x:c r="AP244" s="34" t="n">
        <x:v>30.14727</x:v>
      </x:c>
      <x:c r="AQ244" s="34" t="n">
        <x:v>321.408363</x:v>
      </x:c>
      <x:c r="AR244" s="34" t="n">
        <x:v>29504.994</x:v>
      </x:c>
      <x:c r="AS244" s="34" t="n">
        <x:v>91.799087</x:v>
      </x:c>
      <x:c r="AT244" s="40" t="b">
        <x:v>1</x:v>
      </x:c>
      <x:c r="AU244" s="40" t="b">
        <x:v>1</x:v>
      </x:c>
      <x:c r="AV244" s="34" t="str"/>
      <x:c r="AW244" s="34" t="n">
        <x:v>0</x:v>
      </x:c>
      <x:c r="AX244" s="34" t="str">
        <x:v>1.265341119704999e-05</x:v>
      </x:c>
      <x:c r="AY244" s="40" t="b">
        <x:v>1</x:v>
      </x:c>
      <x:c r="AZ244" s="40" t="b">
        <x:v>1</x:v>
      </x:c>
      <x:c r="BA244" s="40" t="b">
        <x:v>1</x:v>
      </x:c>
      <x:c r="BB244" s="40" t="b">
        <x:v>1</x:v>
      </x:c>
      <x:c r="BC244" s="34" t="str"/>
      <x:c r="BD244" s="34" t="n">
        <x:v>0</x:v>
      </x:c>
      <x:c r="BE244" s="34" t="n">
        <x:v>0</x:v>
      </x:c>
      <x:c r="BF244" s="34" t="n">
        <x:v>0</x:v>
      </x:c>
      <x:c r="BG244" s="34" t="n">
        <x:v>2</x:v>
      </x:c>
      <x:c r="BH244" s="34" t="n">
        <x:v>3</x:v>
      </x:c>
      <x:c r="BI244" s="34" t="n">
        <x:v>0.3406543999999999</x:v>
      </x:c>
      <x:c r="BJ244" s="34" t="n">
        <x:v>0.65</x:v>
      </x:c>
      <x:c r="BK244" s="34" t="n">
        <x:v>1.3</x:v>
      </x:c>
    </x:row>
    <x:row r="245">
      <x:c r="A245" s="34" t="str">
        <x:v>JFE_STEEL_JP</x:v>
      </x:c>
      <x:c r="B245" s="34" t="str">
        <x:v>JFE Steel</x:v>
      </x:c>
      <x:c r="C245" s="34" t="str">
        <x:v>ACCELERATED_15C</x:v>
      </x:c>
      <x:c r="D245" s="34" t="str">
        <x:v>P2</x:v>
      </x:c>
      <x:c r="E245" s="34" t="str">
        <x:v>JFE-SENDAI</x:v>
      </x:c>
      <x:c r="F245" s="34" t="str">
        <x:v>Sendai Works EAF</x:v>
      </x:c>
      <x:c r="G245" s="34" t="str">
        <x:v>센다이</x:v>
      </x:c>
      <x:c r="H245" s="34" t="n">
        <x:v>2033</x:v>
      </x:c>
      <x:c r="I245" s="34" t="str">
        <x:v>EAF_BASELINE</x:v>
      </x:c>
      <x:c r="J245" s="34" t="str">
        <x:v>기존 전기로 기준 블록</x:v>
      </x:c>
      <x:c r="K245" s="34" t="str">
        <x:v>EAF_RENEWABLE</x:v>
      </x:c>
      <x:c r="L245" s="34" t="str">
        <x:v>기존 EAF 재생전력 업그레이드</x:v>
      </x:c>
      <x:c r="M245" s="34" t="n">
        <x:v>228.8</x:v>
      </x:c>
      <x:c r="N245" s="34" t="n">
        <x:v>70.4</x:v>
      </x:c>
      <x:c r="O245" s="34" t="n">
        <x:v>0.8</x:v>
      </x:c>
      <x:c r="P245" s="34" t="n">
        <x:v>0.7</x:v>
      </x:c>
      <x:c r="Q245" s="34" t="n">
        <x:v>0.35</x:v>
      </x:c>
      <x:c r="R245" s="34" t="n">
        <x:v>0.35</x:v>
      </x:c>
      <x:c r="S245" s="34" t="n">
        <x:v>0.07</x:v>
      </x:c>
      <x:c r="T245" s="34" t="n">
        <x:v>0.07</x:v>
      </x:c>
      <x:c r="U245" s="34" t="n">
        <x:v>0.28</x:v>
      </x:c>
      <x:c r="V245" s="34" t="n">
        <x:v>2.24</x:v>
      </x:c>
      <x:c r="W245" s="34" t="n">
        <x:v>-54.188</x:v>
      </x:c>
      <x:c r="X245" s="34" t="n">
        <x:v>9.193</x:v>
      </x:c>
      <x:c r="Y245" s="34" t="n">
        <x:v>62.668</x:v>
      </x:c>
      <x:c r="Z245" s="34" t="n">
        <x:v>53.475</x:v>
      </x:c>
      <x:c r="AA245" s="34" t="n">
        <x:v>116.856</x:v>
      </x:c>
      <x:c r="AB245" s="34" t="n">
        <x:v>-63.381</x:v>
      </x:c>
      <x:c r="AC245" s="34" t="n">
        <x:v>45.873</x:v>
      </x:c>
      <x:c r="AD245" s="34" t="n">
        <x:v>3.048</x:v>
      </x:c>
      <x:c r="AE245" s="34" t="n">
        <x:v>13.635</x:v>
      </x:c>
      <x:c r="AF245" s="34" t="n">
        <x:v>0</x:v>
      </x:c>
      <x:c r="AG245" s="34" t="n">
        <x:v>0.112</x:v>
      </x:c>
      <x:c r="AH245" s="34" t="n">
        <x:v>-116.856</x:v>
      </x:c>
      <x:c r="AI245" s="34" t="str">
        <x:v>model_estimate</x:v>
      </x:c>
      <x:c r="AJ245" s="34" t="str">
        <x:v>공식 EAF 사업장 존재를 반영; 생산량·집약도·재투자연도 추정</x:v>
      </x:c>
      <x:c r="AK245" s="34" t="str">
        <x:v>CAND-E72109958C3B57</x:v>
      </x:c>
      <x:c r="AL245" s="34" t="str">
        <x:v>P2</x:v>
      </x:c>
      <x:c r="AM245" s="34" t="str">
        <x:v>PORT-E5F3D5116135</x:v>
      </x:c>
      <x:c r="AN245" s="34" t="n">
        <x:v>1000</x:v>
      </x:c>
      <x:c r="AO245" s="34" t="n">
        <x:v>93.638485</x:v>
      </x:c>
      <x:c r="AP245" s="34" t="n">
        <x:v>30.14727</x:v>
      </x:c>
      <x:c r="AQ245" s="34" t="n">
        <x:v>321.408363</x:v>
      </x:c>
      <x:c r="AR245" s="34" t="n">
        <x:v>29504.994</x:v>
      </x:c>
      <x:c r="AS245" s="34" t="n">
        <x:v>91.799087</x:v>
      </x:c>
      <x:c r="AT245" s="40" t="b">
        <x:v>1</x:v>
      </x:c>
      <x:c r="AU245" s="40" t="b">
        <x:v>1</x:v>
      </x:c>
      <x:c r="AV245" s="34" t="str"/>
      <x:c r="AW245" s="34" t="n">
        <x:v>0</x:v>
      </x:c>
      <x:c r="AX245" s="34" t="str">
        <x:v>1.265341119704999e-05</x:v>
      </x:c>
      <x:c r="AY245" s="40" t="b">
        <x:v>1</x:v>
      </x:c>
      <x:c r="AZ245" s="40" t="b">
        <x:v>1</x:v>
      </x:c>
      <x:c r="BA245" s="40" t="b">
        <x:v>1</x:v>
      </x:c>
      <x:c r="BB245" s="40" t="b">
        <x:v>1</x:v>
      </x:c>
      <x:c r="BC245" s="34" t="str"/>
      <x:c r="BD245" s="34" t="n">
        <x:v>0</x:v>
      </x:c>
      <x:c r="BE245" s="34" t="n">
        <x:v>0</x:v>
      </x:c>
      <x:c r="BF245" s="34" t="n">
        <x:v>0</x:v>
      </x:c>
      <x:c r="BG245" s="34" t="n">
        <x:v>2</x:v>
      </x:c>
      <x:c r="BH245" s="34" t="n">
        <x:v>3</x:v>
      </x:c>
      <x:c r="BI245" s="34" t="n">
        <x:v>0.3406543999999999</x:v>
      </x:c>
      <x:c r="BJ245" s="34" t="n">
        <x:v>0.65</x:v>
      </x:c>
      <x:c r="BK245" s="34" t="n">
        <x:v>1.3</x:v>
      </x:c>
    </x:row>
    <x:row r="246">
      <x:c r="A246" s="34" t="str">
        <x:v>JFE_STEEL_JP</x:v>
      </x:c>
      <x:c r="B246" s="34" t="str">
        <x:v>JFE Steel</x:v>
      </x:c>
      <x:c r="C246" s="34" t="str">
        <x:v>DISCLOSED_PATH</x:v>
      </x:c>
      <x:c r="D246" s="34" t="str">
        <x:v>P3</x:v>
      </x:c>
      <x:c r="E246" s="34" t="str">
        <x:v>JFE-CHIBA</x:v>
      </x:c>
      <x:c r="F246" s="34" t="str">
        <x:v>East Japan Works Chiba</x:v>
      </x:c>
      <x:c r="G246" s="34" t="str">
        <x:v>치바</x:v>
      </x:c>
      <x:c r="H246" s="34" t="n">
        <x:v>2036</x:v>
      </x:c>
      <x:c r="I246" s="34" t="str">
        <x:v>BF_BOF</x:v>
      </x:c>
      <x:c r="J246" s="34" t="str">
        <x:v>기준 BF-BOF 복합 블록</x:v>
      </x:c>
      <x:c r="K246" s="34" t="str">
        <x:v>H2_DRI_EAF</x:v>
      </x:c>
      <x:c r="L246" s="34" t="str">
        <x:v>수소 DRI + EAF</x:v>
      </x:c>
      <x:c r="M246" s="34" t="n">
        <x:v>5940</x:v>
      </x:c>
      <x:c r="N246" s="34" t="n">
        <x:v>4620</x:v>
      </x:c>
      <x:c r="O246" s="34" t="n">
        <x:v>6</x:v>
      </x:c>
      <x:c r="P246" s="34" t="n">
        <x:v>5.449998</x:v>
      </x:c>
      <x:c r="Q246" s="34" t="n">
        <x:v>11.528348</x:v>
      </x:c>
      <x:c r="R246" s="34" t="n">
        <x:v>11.528348</x:v>
      </x:c>
      <x:c r="S246" s="34" t="n">
        <x:v>1.09</x:v>
      </x:c>
      <x:c r="T246" s="34" t="n">
        <x:v>1.09</x:v>
      </x:c>
      <x:c r="U246" s="34" t="n">
        <x:v>10.438348</x:v>
      </x:c>
      <x:c r="V246" s="34" t="n">
        <x:v>52.191742</x:v>
      </x:c>
      <x:c r="W246" s="34" t="n">
        <x:v>11474.547</x:v>
      </x:c>
      <x:c r="X246" s="34" t="n">
        <x:v>1388.906</x:v>
      </x:c>
      <x:c r="Y246" s="34" t="n">
        <x:v>13297.653</x:v>
      </x:c>
      <x:c r="Z246" s="34" t="n">
        <x:v>11908.747</x:v>
      </x:c>
      <x:c r="AA246" s="34" t="n">
        <x:v>1823.106</x:v>
      </x:c>
      <x:c r="AB246" s="34" t="n">
        <x:v>10085.641</x:v>
      </x:c>
      <x:c r="AC246" s="34" t="n">
        <x:v>2563.687</x:v>
      </x:c>
      <x:c r="AD246" s="34" t="n">
        <x:v>163.497</x:v>
      </x:c>
      <x:c r="AE246" s="34" t="n">
        <x:v>1278.862</x:v>
      </x:c>
      <x:c r="AF246" s="34" t="n">
        <x:v>9237.752</x:v>
      </x:c>
      <x:c r="AG246" s="34" t="n">
        <x:v>53.856</x:v>
      </x:c>
      <x:c r="AH246" s="34" t="n">
        <x:v>-1823.106</x:v>
      </x:c>
      <x:c r="AI246" s="34" t="str">
        <x:v>model_estimate</x:v>
      </x:c>
      <x:c r="AJ246" s="34" t="str">
        <x:v>JFE 공식 생산·배출 총량에 맞춘 설비 블록 배분</x:v>
      </x:c>
      <x:c r="AK246" s="34" t="str">
        <x:v>CAND-E8FAD9BDD034A5</x:v>
      </x:c>
      <x:c r="AL246" s="34" t="str">
        <x:v>P3</x:v>
      </x:c>
      <x:c r="AM246" s="34" t="str">
        <x:v>PORT-51A2628EF9C2</x:v>
      </x:c>
      <x:c r="AN246" s="34" t="n">
        <x:v>1000</x:v>
      </x:c>
      <x:c r="AO246" s="34" t="n">
        <x:v>124.781017</x:v>
      </x:c>
      <x:c r="AP246" s="34" t="n">
        <x:v>26.08177</x:v>
      </x:c>
      <x:c r="AQ246" s="34" t="n">
        <x:v>328.220861</x:v>
      </x:c>
      <x:c r="AR246" s="34" t="n">
        <x:v>40363.359</x:v>
      </x:c>
      <x:c r="AS246" s="34" t="n">
        <x:v>122.976215</x:v>
      </x:c>
      <x:c r="AT246" s="40" t="b">
        <x:v>1</x:v>
      </x:c>
      <x:c r="AU246" s="40" t="b">
        <x:v>1</x:v>
      </x:c>
      <x:c r="AV246" s="34" t="str"/>
      <x:c r="AW246" s="34" t="n">
        <x:v>0</x:v>
      </x:c>
      <x:c r="AX246" s="34" t="str">
        <x:v>1.265341119704999e-05</x:v>
      </x:c>
      <x:c r="AY246" s="40" t="b">
        <x:v>1</x:v>
      </x:c>
      <x:c r="AZ246" s="40" t="b">
        <x:v>1</x:v>
      </x:c>
      <x:c r="BA246" s="40" t="b">
        <x:v>1</x:v>
      </x:c>
      <x:c r="BB246" s="40" t="b">
        <x:v>1</x:v>
      </x:c>
      <x:c r="BC246" s="34" t="str"/>
      <x:c r="BD246" s="34" t="n">
        <x:v>0</x:v>
      </x:c>
      <x:c r="BE246" s="34" t="n">
        <x:v>0</x:v>
      </x:c>
      <x:c r="BF246" s="34" t="n">
        <x:v>0</x:v>
      </x:c>
      <x:c r="BG246" s="34" t="n">
        <x:v>3</x:v>
      </x:c>
      <x:c r="BH246" s="34" t="n">
        <x:v>3</x:v>
      </x:c>
      <x:c r="BI246" s="34" t="n">
        <x:v>0.41232239999999987</x:v>
      </x:c>
      <x:c r="BJ246" s="34" t="n">
        <x:v>0.65</x:v>
      </x:c>
      <x:c r="BK246" s="34" t="n">
        <x:v>1.78</x:v>
      </x:c>
    </x:row>
    <x:row r="247">
      <x:c r="A247" s="34" t="str">
        <x:v>JFE_STEEL_JP</x:v>
      </x:c>
      <x:c r="B247" s="34" t="str">
        <x:v>JFE Steel</x:v>
      </x:c>
      <x:c r="C247" s="34" t="str">
        <x:v>DISCLOSED_PATH</x:v>
      </x:c>
      <x:c r="D247" s="34" t="str">
        <x:v>P3</x:v>
      </x:c>
      <x:c r="E247" s="34" t="str">
        <x:v>JFE-FUKU</x:v>
      </x:c>
      <x:c r="F247" s="34" t="str">
        <x:v>West Japan Works Fukuyama</x:v>
      </x:c>
      <x:c r="G247" s="34" t="str">
        <x:v>후쿠야마</x:v>
      </x:c>
      <x:c r="H247" s="34" t="n">
        <x:v>2033</x:v>
      </x:c>
      <x:c r="I247" s="34" t="str">
        <x:v>BF_BOF</x:v>
      </x:c>
      <x:c r="J247" s="34" t="str">
        <x:v>기준 BF-BOF 복합 블록</x:v>
      </x:c>
      <x:c r="K247" s="34" t="str">
        <x:v>H2_DRI_EAF</x:v>
      </x:c>
      <x:c r="L247" s="34" t="str">
        <x:v>수소 DRI + EAF</x:v>
      </x:c>
      <x:c r="M247" s="34" t="n">
        <x:v>9702</x:v>
      </x:c>
      <x:c r="N247" s="34" t="n">
        <x:v>7546</x:v>
      </x:c>
      <x:c r="O247" s="34" t="n">
        <x:v>9.8</x:v>
      </x:c>
      <x:c r="P247" s="34" t="n">
        <x:v>8.999997</x:v>
      </x:c>
      <x:c r="Q247" s="34" t="n">
        <x:v>19.037639</x:v>
      </x:c>
      <x:c r="R247" s="34" t="n">
        <x:v>19.037639</x:v>
      </x:c>
      <x:c r="S247" s="34" t="n">
        <x:v>1.799999</x:v>
      </x:c>
      <x:c r="T247" s="34" t="n">
        <x:v>1.799999</x:v>
      </x:c>
      <x:c r="U247" s="34" t="n">
        <x:v>17.237639</x:v>
      </x:c>
      <x:c r="V247" s="34" t="n">
        <x:v>137.901116</x:v>
      </x:c>
      <x:c r="W247" s="34" t="n">
        <x:v>30773.009</x:v>
      </x:c>
      <x:c r="X247" s="34" t="n">
        <x:v>3321.245</x:v>
      </x:c>
      <x:c r="Y247" s="34" t="n">
        <x:v>35621.518</x:v>
      </x:c>
      <x:c r="Z247" s="34" t="n">
        <x:v>32300.273</x:v>
      </x:c>
      <x:c r="AA247" s="34" t="n">
        <x:v>4848.509</x:v>
      </x:c>
      <x:c r="AB247" s="34" t="n">
        <x:v>27451.763</x:v>
      </x:c>
      <x:c r="AC247" s="34" t="n">
        <x:v>4916.965</x:v>
      </x:c>
      <x:c r="AD247" s="34" t="n">
        <x:v>509.49</x:v>
      </x:c>
      <x:c r="AE247" s="34" t="n">
        <x:v>3636.405</x:v>
      </x:c>
      <x:c r="AF247" s="34" t="n">
        <x:v>26417.415</x:v>
      </x:c>
      <x:c r="AG247" s="34" t="n">
        <x:v>141.243</x:v>
      </x:c>
      <x:c r="AH247" s="34" t="n">
        <x:v>-4848.509</x:v>
      </x:c>
      <x:c r="AI247" s="34" t="str">
        <x:v>model_estimate</x:v>
      </x:c>
      <x:c r="AJ247" s="34" t="str">
        <x:v>JFE 공식 생산·배출 총량에 맞춘 설비 블록 배분</x:v>
      </x:c>
      <x:c r="AK247" s="34" t="str">
        <x:v>CAND-E8FAD9BDD034A5</x:v>
      </x:c>
      <x:c r="AL247" s="34" t="str">
        <x:v>P3</x:v>
      </x:c>
      <x:c r="AM247" s="34" t="str">
        <x:v>PORT-51A2628EF9C2</x:v>
      </x:c>
      <x:c r="AN247" s="34" t="n">
        <x:v>1000</x:v>
      </x:c>
      <x:c r="AO247" s="34" t="n">
        <x:v>124.781017</x:v>
      </x:c>
      <x:c r="AP247" s="34" t="n">
        <x:v>26.08177</x:v>
      </x:c>
      <x:c r="AQ247" s="34" t="n">
        <x:v>328.220861</x:v>
      </x:c>
      <x:c r="AR247" s="34" t="n">
        <x:v>40363.359</x:v>
      </x:c>
      <x:c r="AS247" s="34" t="n">
        <x:v>122.976215</x:v>
      </x:c>
      <x:c r="AT247" s="40" t="b">
        <x:v>1</x:v>
      </x:c>
      <x:c r="AU247" s="40" t="b">
        <x:v>1</x:v>
      </x:c>
      <x:c r="AV247" s="34" t="str"/>
      <x:c r="AW247" s="34" t="n">
        <x:v>0</x:v>
      </x:c>
      <x:c r="AX247" s="34" t="str">
        <x:v>1.265341119704999e-05</x:v>
      </x:c>
      <x:c r="AY247" s="40" t="b">
        <x:v>1</x:v>
      </x:c>
      <x:c r="AZ247" s="40" t="b">
        <x:v>1</x:v>
      </x:c>
      <x:c r="BA247" s="40" t="b">
        <x:v>1</x:v>
      </x:c>
      <x:c r="BB247" s="40" t="b">
        <x:v>1</x:v>
      </x:c>
      <x:c r="BC247" s="34" t="str"/>
      <x:c r="BD247" s="34" t="n">
        <x:v>0</x:v>
      </x:c>
      <x:c r="BE247" s="34" t="n">
        <x:v>0</x:v>
      </x:c>
      <x:c r="BF247" s="34" t="n">
        <x:v>0</x:v>
      </x:c>
      <x:c r="BG247" s="34" t="n">
        <x:v>3</x:v>
      </x:c>
      <x:c r="BH247" s="34" t="n">
        <x:v>3</x:v>
      </x:c>
      <x:c r="BI247" s="34" t="n">
        <x:v>0.41232239999999987</x:v>
      </x:c>
      <x:c r="BJ247" s="34" t="n">
        <x:v>0.65</x:v>
      </x:c>
      <x:c r="BK247" s="34" t="n">
        <x:v>1.78</x:v>
      </x:c>
    </x:row>
    <x:row r="248">
      <x:c r="A248" s="34" t="str">
        <x:v>JFE_STEEL_JP</x:v>
      </x:c>
      <x:c r="B248" s="34" t="str">
        <x:v>JFE Steel</x:v>
      </x:c>
      <x:c r="C248" s="34" t="str">
        <x:v>DISCLOSED_PATH</x:v>
      </x:c>
      <x:c r="D248" s="34" t="str">
        <x:v>P3</x:v>
      </x:c>
      <x:c r="E248" s="34" t="str">
        <x:v>JFE-KURA</x:v>
      </x:c>
      <x:c r="F248" s="34" t="str">
        <x:v>West Japan Works Kurashiki</x:v>
      </x:c>
      <x:c r="G248" s="34" t="str">
        <x:v>구라시키</x:v>
      </x:c>
      <x:c r="H248" s="34" t="n">
        <x:v>2029</x:v>
      </x:c>
      <x:c r="I248" s="34" t="str">
        <x:v>BF_BOF</x:v>
      </x:c>
      <x:c r="J248" s="34" t="str">
        <x:v>기준 BF-BOF 복합 블록</x:v>
      </x:c>
      <x:c r="K248" s="34" t="str">
        <x:v>SCRAP_EAF</x:v>
      </x:c>
      <x:c r="L248" s="34" t="str">
        <x:v>스크랩 기반 대형 EAF</x:v>
      </x:c>
      <x:c r="M248" s="34" t="n">
        <x:v>4558.4</x:v>
      </x:c>
      <x:c r="N248" s="34" t="n">
        <x:v>2930.4</x:v>
      </x:c>
      <x:c r="O248" s="34" t="n">
        <x:v>7.4</x:v>
      </x:c>
      <x:c r="P248" s="34" t="n">
        <x:v>6.800001</x:v>
      </x:c>
      <x:c r="Q248" s="34" t="n">
        <x:v>14.384</x:v>
      </x:c>
      <x:c r="R248" s="34" t="n">
        <x:v>3.06</x:v>
      </x:c>
      <x:c r="S248" s="34" t="n">
        <x:v>3.06</x:v>
      </x:c>
      <x:c r="T248" s="34" t="n">
        <x:v>3.06</x:v>
      </x:c>
      <x:c r="U248" s="34" t="n">
        <x:v>11.324</x:v>
      </x:c>
      <x:c r="V248" s="34" t="n">
        <x:v>135.888002</x:v>
      </x:c>
      <x:c r="W248" s="34" t="n">
        <x:v>3495.635</x:v>
      </x:c>
      <x:c r="X248" s="34" t="n">
        <x:v>645.521</x:v>
      </x:c>
      <x:c r="Y248" s="34" t="n">
        <x:v>8245.964</x:v>
      </x:c>
      <x:c r="Z248" s="34" t="n">
        <x:v>7600.443</x:v>
      </x:c>
      <x:c r="AA248" s="34" t="n">
        <x:v>4750.329</x:v>
      </x:c>
      <x:c r="AB248" s="34" t="n">
        <x:v>2850.114</x:v>
      </x:c>
      <x:c r="AC248" s="34" t="n">
        <x:v>2365.468</x:v>
      </x:c>
      <x:c r="AD248" s="34" t="n">
        <x:v>299.458</x:v>
      </x:c>
      <x:c r="AE248" s="34" t="n">
        <x:v>5543.673</x:v>
      </x:c>
      <x:c r="AF248" s="34" t="n">
        <x:v>0</x:v>
      </x:c>
      <x:c r="AG248" s="34" t="n">
        <x:v>37.365</x:v>
      </x:c>
      <x:c r="AH248" s="34" t="n">
        <x:v>-4750.329</x:v>
      </x:c>
      <x:c r="AI248" s="34" t="str">
        <x:v>model_estimate</x:v>
      </x:c>
      <x:c r="AJ248" s="34" t="str">
        <x:v>2028 혁신 EAF 공시를 반영한 조기 재투자 창; 생산량은 공식 총량에 맞춘 추정</x:v>
      </x:c>
      <x:c r="AK248" s="34" t="str">
        <x:v>CAND-E8FAD9BDD034A5</x:v>
      </x:c>
      <x:c r="AL248" s="34" t="str">
        <x:v>P3</x:v>
      </x:c>
      <x:c r="AM248" s="34" t="str">
        <x:v>PORT-51A2628EF9C2</x:v>
      </x:c>
      <x:c r="AN248" s="34" t="n">
        <x:v>1000</x:v>
      </x:c>
      <x:c r="AO248" s="34" t="n">
        <x:v>124.781017</x:v>
      </x:c>
      <x:c r="AP248" s="34" t="n">
        <x:v>26.08177</x:v>
      </x:c>
      <x:c r="AQ248" s="34" t="n">
        <x:v>328.220861</x:v>
      </x:c>
      <x:c r="AR248" s="34" t="n">
        <x:v>40363.359</x:v>
      </x:c>
      <x:c r="AS248" s="34" t="n">
        <x:v>122.976215</x:v>
      </x:c>
      <x:c r="AT248" s="40" t="b">
        <x:v>1</x:v>
      </x:c>
      <x:c r="AU248" s="40" t="b">
        <x:v>1</x:v>
      </x:c>
      <x:c r="AV248" s="34" t="str"/>
      <x:c r="AW248" s="34" t="n">
        <x:v>0</x:v>
      </x:c>
      <x:c r="AX248" s="34" t="str">
        <x:v>1.265341119704999e-05</x:v>
      </x:c>
      <x:c r="AY248" s="40" t="b">
        <x:v>1</x:v>
      </x:c>
      <x:c r="AZ248" s="40" t="b">
        <x:v>1</x:v>
      </x:c>
      <x:c r="BA248" s="40" t="b">
        <x:v>1</x:v>
      </x:c>
      <x:c r="BB248" s="40" t="b">
        <x:v>1</x:v>
      </x:c>
      <x:c r="BC248" s="34" t="str"/>
      <x:c r="BD248" s="34" t="n">
        <x:v>0</x:v>
      </x:c>
      <x:c r="BE248" s="34" t="n">
        <x:v>0</x:v>
      </x:c>
      <x:c r="BF248" s="34" t="n">
        <x:v>0</x:v>
      </x:c>
      <x:c r="BG248" s="34" t="n">
        <x:v>3</x:v>
      </x:c>
      <x:c r="BH248" s="34" t="n">
        <x:v>3</x:v>
      </x:c>
      <x:c r="BI248" s="34" t="n">
        <x:v>0.41232239999999987</x:v>
      </x:c>
      <x:c r="BJ248" s="34" t="n">
        <x:v>0.65</x:v>
      </x:c>
      <x:c r="BK248" s="34" t="n">
        <x:v>1.78</x:v>
      </x:c>
    </x:row>
    <x:row r="249">
      <x:c r="A249" s="34" t="str">
        <x:v>JFE_STEEL_JP</x:v>
      </x:c>
      <x:c r="B249" s="34" t="str">
        <x:v>JFE Steel</x:v>
      </x:c>
      <x:c r="C249" s="34" t="str">
        <x:v>DISCLOSED_PATH</x:v>
      </x:c>
      <x:c r="D249" s="34" t="str">
        <x:v>P3</x:v>
      </x:c>
      <x:c r="E249" s="34" t="str">
        <x:v>JFE-SENDAI</x:v>
      </x:c>
      <x:c r="F249" s="34" t="str">
        <x:v>Sendai Works EAF</x:v>
      </x:c>
      <x:c r="G249" s="34" t="str">
        <x:v>센다이</x:v>
      </x:c>
      <x:c r="H249" s="34" t="n">
        <x:v>2033</x:v>
      </x:c>
      <x:c r="I249" s="34" t="str">
        <x:v>EAF_BASELINE</x:v>
      </x:c>
      <x:c r="J249" s="34" t="str">
        <x:v>기존 전기로 기준 블록</x:v>
      </x:c>
      <x:c r="K249" s="34" t="str">
        <x:v>EAF_RENEWABLE</x:v>
      </x:c>
      <x:c r="L249" s="34" t="str">
        <x:v>기존 EAF 재생전력 업그레이드</x:v>
      </x:c>
      <x:c r="M249" s="34" t="n">
        <x:v>228.8</x:v>
      </x:c>
      <x:c r="N249" s="34" t="n">
        <x:v>70.4</x:v>
      </x:c>
      <x:c r="O249" s="34" t="n">
        <x:v>0.8</x:v>
      </x:c>
      <x:c r="P249" s="34" t="n">
        <x:v>0.7</x:v>
      </x:c>
      <x:c r="Q249" s="34" t="n">
        <x:v>0.35</x:v>
      </x:c>
      <x:c r="R249" s="34" t="n">
        <x:v>0.35</x:v>
      </x:c>
      <x:c r="S249" s="34" t="n">
        <x:v>0.07</x:v>
      </x:c>
      <x:c r="T249" s="34" t="n">
        <x:v>0.07</x:v>
      </x:c>
      <x:c r="U249" s="34" t="n">
        <x:v>0.28</x:v>
      </x:c>
      <x:c r="V249" s="34" t="n">
        <x:v>2.24</x:v>
      </x:c>
      <x:c r="W249" s="34" t="n">
        <x:v>-17.243</x:v>
      </x:c>
      <x:c r="X249" s="34" t="n">
        <x:v>6.917</x:v>
      </x:c>
      <x:c r="Y249" s="34" t="n">
        <x:v>61.514</x:v>
      </x:c>
      <x:c r="Z249" s="34" t="n">
        <x:v>54.597</x:v>
      </x:c>
      <x:c r="AA249" s="34" t="n">
        <x:v>78.757</x:v>
      </x:c>
      <x:c r="AB249" s="34" t="n">
        <x:v>-24.16</x:v>
      </x:c>
      <x:c r="AC249" s="34" t="n">
        <x:v>45.873</x:v>
      </x:c>
      <x:c r="AD249" s="34" t="n">
        <x:v>3.048</x:v>
      </x:c>
      <x:c r="AE249" s="34" t="n">
        <x:v>12.297</x:v>
      </x:c>
      <x:c r="AF249" s="34" t="n">
        <x:v>0</x:v>
      </x:c>
      <x:c r="AG249" s="34" t="n">
        <x:v>0.296</x:v>
      </x:c>
      <x:c r="AH249" s="34" t="n">
        <x:v>-78.757</x:v>
      </x:c>
      <x:c r="AI249" s="34" t="str">
        <x:v>model_estimate</x:v>
      </x:c>
      <x:c r="AJ249" s="34" t="str">
        <x:v>공식 EAF 사업장 존재를 반영; 생산량·집약도·재투자연도 추정</x:v>
      </x:c>
      <x:c r="AK249" s="34" t="str">
        <x:v>CAND-E8FAD9BDD034A5</x:v>
      </x:c>
      <x:c r="AL249" s="34" t="str">
        <x:v>P3</x:v>
      </x:c>
      <x:c r="AM249" s="34" t="str">
        <x:v>PORT-51A2628EF9C2</x:v>
      </x:c>
      <x:c r="AN249" s="34" t="n">
        <x:v>1000</x:v>
      </x:c>
      <x:c r="AO249" s="34" t="n">
        <x:v>124.781017</x:v>
      </x:c>
      <x:c r="AP249" s="34" t="n">
        <x:v>26.08177</x:v>
      </x:c>
      <x:c r="AQ249" s="34" t="n">
        <x:v>328.220861</x:v>
      </x:c>
      <x:c r="AR249" s="34" t="n">
        <x:v>40363.359</x:v>
      </x:c>
      <x:c r="AS249" s="34" t="n">
        <x:v>122.976215</x:v>
      </x:c>
      <x:c r="AT249" s="40" t="b">
        <x:v>1</x:v>
      </x:c>
      <x:c r="AU249" s="40" t="b">
        <x:v>1</x:v>
      </x:c>
      <x:c r="AV249" s="34" t="str"/>
      <x:c r="AW249" s="34" t="n">
        <x:v>0</x:v>
      </x:c>
      <x:c r="AX249" s="34" t="str">
        <x:v>1.265341119704999e-05</x:v>
      </x:c>
      <x:c r="AY249" s="40" t="b">
        <x:v>1</x:v>
      </x:c>
      <x:c r="AZ249" s="40" t="b">
        <x:v>1</x:v>
      </x:c>
      <x:c r="BA249" s="40" t="b">
        <x:v>1</x:v>
      </x:c>
      <x:c r="BB249" s="40" t="b">
        <x:v>1</x:v>
      </x:c>
      <x:c r="BC249" s="34" t="str"/>
      <x:c r="BD249" s="34" t="n">
        <x:v>0</x:v>
      </x:c>
      <x:c r="BE249" s="34" t="n">
        <x:v>0</x:v>
      </x:c>
      <x:c r="BF249" s="34" t="n">
        <x:v>0</x:v>
      </x:c>
      <x:c r="BG249" s="34" t="n">
        <x:v>3</x:v>
      </x:c>
      <x:c r="BH249" s="34" t="n">
        <x:v>3</x:v>
      </x:c>
      <x:c r="BI249" s="34" t="n">
        <x:v>0.41232239999999987</x:v>
      </x:c>
      <x:c r="BJ249" s="34" t="n">
        <x:v>0.65</x:v>
      </x:c>
      <x:c r="BK249" s="34" t="n">
        <x:v>1.78</x:v>
      </x:c>
    </x:row>
    <x:row r="250">
      <x:c r="A250" s="34" t="str">
        <x:v>JFE_STEEL_JP</x:v>
      </x:c>
      <x:c r="B250" s="34" t="str">
        <x:v>JFE Steel</x:v>
      </x:c>
      <x:c r="C250" s="34" t="str">
        <x:v>ACCELERATED_15C</x:v>
      </x:c>
      <x:c r="D250" s="34" t="str">
        <x:v>P3</x:v>
      </x:c>
      <x:c r="E250" s="34" t="str">
        <x:v>JFE-CHIBA</x:v>
      </x:c>
      <x:c r="F250" s="34" t="str">
        <x:v>East Japan Works Chiba</x:v>
      </x:c>
      <x:c r="G250" s="34" t="str">
        <x:v>치바</x:v>
      </x:c>
      <x:c r="H250" s="34" t="n">
        <x:v>2036</x:v>
      </x:c>
      <x:c r="I250" s="34" t="str">
        <x:v>BF_BOF</x:v>
      </x:c>
      <x:c r="J250" s="34" t="str">
        <x:v>기준 BF-BOF 복합 블록</x:v>
      </x:c>
      <x:c r="K250" s="34" t="str">
        <x:v>H2_DRI_EAF</x:v>
      </x:c>
      <x:c r="L250" s="34" t="str">
        <x:v>수소 DRI + EAF</x:v>
      </x:c>
      <x:c r="M250" s="34" t="n">
        <x:v>5940</x:v>
      </x:c>
      <x:c r="N250" s="34" t="n">
        <x:v>4620</x:v>
      </x:c>
      <x:c r="O250" s="34" t="n">
        <x:v>6</x:v>
      </x:c>
      <x:c r="P250" s="34" t="n">
        <x:v>5.449998</x:v>
      </x:c>
      <x:c r="Q250" s="34" t="n">
        <x:v>11.528348</x:v>
      </x:c>
      <x:c r="R250" s="34" t="n">
        <x:v>11.528348</x:v>
      </x:c>
      <x:c r="S250" s="34" t="n">
        <x:v>1.09</x:v>
      </x:c>
      <x:c r="T250" s="34" t="n">
        <x:v>1.09</x:v>
      </x:c>
      <x:c r="U250" s="34" t="n">
        <x:v>10.438348</x:v>
      </x:c>
      <x:c r="V250" s="34" t="n">
        <x:v>52.191742</x:v>
      </x:c>
      <x:c r="W250" s="34" t="n">
        <x:v>11626.925</x:v>
      </x:c>
      <x:c r="X250" s="34" t="n">
        <x:v>1920.101</x:v>
      </x:c>
      <x:c r="Y250" s="34" t="n">
        <x:v>14349.213</x:v>
      </x:c>
      <x:c r="Z250" s="34" t="n">
        <x:v>12429.112</x:v>
      </x:c>
      <x:c r="AA250" s="34" t="n">
        <x:v>2722.288</x:v>
      </x:c>
      <x:c r="AB250" s="34" t="n">
        <x:v>9706.823</x:v>
      </x:c>
      <x:c r="AC250" s="34" t="n">
        <x:v>2563.687</x:v>
      </x:c>
      <x:c r="AD250" s="34" t="n">
        <x:v>163.497</x:v>
      </x:c>
      <x:c r="AE250" s="34" t="n">
        <x:v>1433.22</x:v>
      </x:c>
      <x:c r="AF250" s="34" t="n">
        <x:v>10130.909</x:v>
      </x:c>
      <x:c r="AG250" s="34" t="n">
        <x:v>57.9</x:v>
      </x:c>
      <x:c r="AH250" s="34" t="n">
        <x:v>-2722.288</x:v>
      </x:c>
      <x:c r="AI250" s="34" t="str">
        <x:v>model_estimate</x:v>
      </x:c>
      <x:c r="AJ250" s="34" t="str">
        <x:v>JFE 공식 생산·배출 총량에 맞춘 설비 블록 배분</x:v>
      </x:c>
      <x:c r="AK250" s="34" t="str">
        <x:v>CAND-E8FAD9BDD034A5</x:v>
      </x:c>
      <x:c r="AL250" s="34" t="str">
        <x:v>P3</x:v>
      </x:c>
      <x:c r="AM250" s="34" t="str">
        <x:v>PORT-51A2628EF9C2</x:v>
      </x:c>
      <x:c r="AN250" s="34" t="n">
        <x:v>1000</x:v>
      </x:c>
      <x:c r="AO250" s="34" t="n">
        <x:v>115.153615</x:v>
      </x:c>
      <x:c r="AP250" s="34" t="n">
        <x:v>27.431773</x:v>
      </x:c>
      <x:c r="AQ250" s="34" t="n">
        <x:v>328.220861</x:v>
      </x:c>
      <x:c r="AR250" s="34" t="n">
        <x:v>37182.414</x:v>
      </x:c>
      <x:c r="AS250" s="34" t="n">
        <x:v>113.284736</x:v>
      </x:c>
      <x:c r="AT250" s="40" t="b">
        <x:v>1</x:v>
      </x:c>
      <x:c r="AU250" s="40" t="b">
        <x:v>1</x:v>
      </x:c>
      <x:c r="AV250" s="34" t="str"/>
      <x:c r="AW250" s="34" t="n">
        <x:v>0</x:v>
      </x:c>
      <x:c r="AX250" s="34" t="str">
        <x:v>1.265341119704999e-05</x:v>
      </x:c>
      <x:c r="AY250" s="40" t="b">
        <x:v>1</x:v>
      </x:c>
      <x:c r="AZ250" s="40" t="b">
        <x:v>1</x:v>
      </x:c>
      <x:c r="BA250" s="40" t="b">
        <x:v>1</x:v>
      </x:c>
      <x:c r="BB250" s="40" t="b">
        <x:v>1</x:v>
      </x:c>
      <x:c r="BC250" s="34" t="str"/>
      <x:c r="BD250" s="34" t="n">
        <x:v>0</x:v>
      </x:c>
      <x:c r="BE250" s="34" t="n">
        <x:v>0</x:v>
      </x:c>
      <x:c r="BF250" s="34" t="n">
        <x:v>0</x:v>
      </x:c>
      <x:c r="BG250" s="34" t="n">
        <x:v>3</x:v>
      </x:c>
      <x:c r="BH250" s="34" t="n">
        <x:v>3</x:v>
      </x:c>
      <x:c r="BI250" s="34" t="n">
        <x:v>0.41232239999999987</x:v>
      </x:c>
      <x:c r="BJ250" s="34" t="n">
        <x:v>0.65</x:v>
      </x:c>
      <x:c r="BK250" s="34" t="n">
        <x:v>1.78</x:v>
      </x:c>
    </x:row>
    <x:row r="251">
      <x:c r="A251" s="34" t="str">
        <x:v>JFE_STEEL_JP</x:v>
      </x:c>
      <x:c r="B251" s="34" t="str">
        <x:v>JFE Steel</x:v>
      </x:c>
      <x:c r="C251" s="34" t="str">
        <x:v>ACCELERATED_15C</x:v>
      </x:c>
      <x:c r="D251" s="34" t="str">
        <x:v>P3</x:v>
      </x:c>
      <x:c r="E251" s="34" t="str">
        <x:v>JFE-FUKU</x:v>
      </x:c>
      <x:c r="F251" s="34" t="str">
        <x:v>West Japan Works Fukuyama</x:v>
      </x:c>
      <x:c r="G251" s="34" t="str">
        <x:v>후쿠야마</x:v>
      </x:c>
      <x:c r="H251" s="34" t="n">
        <x:v>2033</x:v>
      </x:c>
      <x:c r="I251" s="34" t="str">
        <x:v>BF_BOF</x:v>
      </x:c>
      <x:c r="J251" s="34" t="str">
        <x:v>기준 BF-BOF 복합 블록</x:v>
      </x:c>
      <x:c r="K251" s="34" t="str">
        <x:v>H2_DRI_EAF</x:v>
      </x:c>
      <x:c r="L251" s="34" t="str">
        <x:v>수소 DRI + EAF</x:v>
      </x:c>
      <x:c r="M251" s="34" t="n">
        <x:v>9702</x:v>
      </x:c>
      <x:c r="N251" s="34" t="n">
        <x:v>7546</x:v>
      </x:c>
      <x:c r="O251" s="34" t="n">
        <x:v>9.8</x:v>
      </x:c>
      <x:c r="P251" s="34" t="n">
        <x:v>8.999997</x:v>
      </x:c>
      <x:c r="Q251" s="34" t="n">
        <x:v>19.037639</x:v>
      </x:c>
      <x:c r="R251" s="34" t="n">
        <x:v>19.037639</x:v>
      </x:c>
      <x:c r="S251" s="34" t="n">
        <x:v>1.799999</x:v>
      </x:c>
      <x:c r="T251" s="34" t="n">
        <x:v>1.799999</x:v>
      </x:c>
      <x:c r="U251" s="34" t="n">
        <x:v>17.237639</x:v>
      </x:c>
      <x:c r="V251" s="34" t="n">
        <x:v>137.901116</x:v>
      </x:c>
      <x:c r="W251" s="34" t="n">
        <x:v>31114.961</x:v>
      </x:c>
      <x:c r="X251" s="34" t="n">
        <x:v>4674.343</x:v>
      </x:c>
      <x:c r="Y251" s="34" t="n">
        <x:v>38308.981</x:v>
      </x:c>
      <x:c r="Z251" s="34" t="n">
        <x:v>33634.637</x:v>
      </x:c>
      <x:c r="AA251" s="34" t="n">
        <x:v>7194.019</x:v>
      </x:c>
      <x:c r="AB251" s="34" t="n">
        <x:v>26440.618</x:v>
      </x:c>
      <x:c r="AC251" s="34" t="n">
        <x:v>4916.965</x:v>
      </x:c>
      <x:c r="AD251" s="34" t="n">
        <x:v>509.49</x:v>
      </x:c>
      <x:c r="AE251" s="34" t="n">
        <x:v>4032.152</x:v>
      </x:c>
      <x:c r="AF251" s="34" t="n">
        <x:v>28698.795</x:v>
      </x:c>
      <x:c r="AG251" s="34" t="n">
        <x:v>151.579</x:v>
      </x:c>
      <x:c r="AH251" s="34" t="n">
        <x:v>-7194.019</x:v>
      </x:c>
      <x:c r="AI251" s="34" t="str">
        <x:v>model_estimate</x:v>
      </x:c>
      <x:c r="AJ251" s="34" t="str">
        <x:v>JFE 공식 생산·배출 총량에 맞춘 설비 블록 배분</x:v>
      </x:c>
      <x:c r="AK251" s="34" t="str">
        <x:v>CAND-E8FAD9BDD034A5</x:v>
      </x:c>
      <x:c r="AL251" s="34" t="str">
        <x:v>P3</x:v>
      </x:c>
      <x:c r="AM251" s="34" t="str">
        <x:v>PORT-51A2628EF9C2</x:v>
      </x:c>
      <x:c r="AN251" s="34" t="n">
        <x:v>1000</x:v>
      </x:c>
      <x:c r="AO251" s="34" t="n">
        <x:v>115.153615</x:v>
      </x:c>
      <x:c r="AP251" s="34" t="n">
        <x:v>27.431773</x:v>
      </x:c>
      <x:c r="AQ251" s="34" t="n">
        <x:v>328.220861</x:v>
      </x:c>
      <x:c r="AR251" s="34" t="n">
        <x:v>37182.414</x:v>
      </x:c>
      <x:c r="AS251" s="34" t="n">
        <x:v>113.284736</x:v>
      </x:c>
      <x:c r="AT251" s="40" t="b">
        <x:v>1</x:v>
      </x:c>
      <x:c r="AU251" s="40" t="b">
        <x:v>1</x:v>
      </x:c>
      <x:c r="AV251" s="34" t="str"/>
      <x:c r="AW251" s="34" t="n">
        <x:v>0</x:v>
      </x:c>
      <x:c r="AX251" s="34" t="str">
        <x:v>1.265341119704999e-05</x:v>
      </x:c>
      <x:c r="AY251" s="40" t="b">
        <x:v>1</x:v>
      </x:c>
      <x:c r="AZ251" s="40" t="b">
        <x:v>1</x:v>
      </x:c>
      <x:c r="BA251" s="40" t="b">
        <x:v>1</x:v>
      </x:c>
      <x:c r="BB251" s="40" t="b">
        <x:v>1</x:v>
      </x:c>
      <x:c r="BC251" s="34" t="str"/>
      <x:c r="BD251" s="34" t="n">
        <x:v>0</x:v>
      </x:c>
      <x:c r="BE251" s="34" t="n">
        <x:v>0</x:v>
      </x:c>
      <x:c r="BF251" s="34" t="n">
        <x:v>0</x:v>
      </x:c>
      <x:c r="BG251" s="34" t="n">
        <x:v>3</x:v>
      </x:c>
      <x:c r="BH251" s="34" t="n">
        <x:v>3</x:v>
      </x:c>
      <x:c r="BI251" s="34" t="n">
        <x:v>0.41232239999999987</x:v>
      </x:c>
      <x:c r="BJ251" s="34" t="n">
        <x:v>0.65</x:v>
      </x:c>
      <x:c r="BK251" s="34" t="n">
        <x:v>1.78</x:v>
      </x:c>
    </x:row>
    <x:row r="252">
      <x:c r="A252" s="34" t="str">
        <x:v>JFE_STEEL_JP</x:v>
      </x:c>
      <x:c r="B252" s="34" t="str">
        <x:v>JFE Steel</x:v>
      </x:c>
      <x:c r="C252" s="34" t="str">
        <x:v>ACCELERATED_15C</x:v>
      </x:c>
      <x:c r="D252" s="34" t="str">
        <x:v>P3</x:v>
      </x:c>
      <x:c r="E252" s="34" t="str">
        <x:v>JFE-KURA</x:v>
      </x:c>
      <x:c r="F252" s="34" t="str">
        <x:v>West Japan Works Kurashiki</x:v>
      </x:c>
      <x:c r="G252" s="34" t="str">
        <x:v>구라시키</x:v>
      </x:c>
      <x:c r="H252" s="34" t="n">
        <x:v>2029</x:v>
      </x:c>
      <x:c r="I252" s="34" t="str">
        <x:v>BF_BOF</x:v>
      </x:c>
      <x:c r="J252" s="34" t="str">
        <x:v>기준 BF-BOF 복합 블록</x:v>
      </x:c>
      <x:c r="K252" s="34" t="str">
        <x:v>SCRAP_EAF</x:v>
      </x:c>
      <x:c r="L252" s="34" t="str">
        <x:v>스크랩 기반 대형 EAF</x:v>
      </x:c>
      <x:c r="M252" s="34" t="n">
        <x:v>4558.4</x:v>
      </x:c>
      <x:c r="N252" s="34" t="n">
        <x:v>2930.4</x:v>
      </x:c>
      <x:c r="O252" s="34" t="n">
        <x:v>7.4</x:v>
      </x:c>
      <x:c r="P252" s="34" t="n">
        <x:v>6.800001</x:v>
      </x:c>
      <x:c r="Q252" s="34" t="n">
        <x:v>14.384</x:v>
      </x:c>
      <x:c r="R252" s="34" t="n">
        <x:v>3.06</x:v>
      </x:c>
      <x:c r="S252" s="34" t="n">
        <x:v>3.06</x:v>
      </x:c>
      <x:c r="T252" s="34" t="n">
        <x:v>3.06</x:v>
      </x:c>
      <x:c r="U252" s="34" t="n">
        <x:v>11.324</x:v>
      </x:c>
      <x:c r="V252" s="34" t="n">
        <x:v>135.888002</x:v>
      </x:c>
      <x:c r="W252" s="34" t="n">
        <x:v>1828.659</x:v>
      </x:c>
      <x:c r="X252" s="34" t="n">
        <x:v>730.467</x:v>
      </x:c>
      <x:c r="Y252" s="34" t="n">
        <x:v>8756.08</x:v>
      </x:c>
      <x:c r="Z252" s="34" t="n">
        <x:v>8025.613</x:v>
      </x:c>
      <x:c r="AA252" s="34" t="n">
        <x:v>6927.42</x:v>
      </x:c>
      <x:c r="AB252" s="34" t="n">
        <x:v>1098.193</x:v>
      </x:c>
      <x:c r="AC252" s="34" t="n">
        <x:v>2365.468</x:v>
      </x:c>
      <x:c r="AD252" s="34" t="n">
        <x:v>299.458</x:v>
      </x:c>
      <x:c r="AE252" s="34" t="n">
        <x:v>6051.504</x:v>
      </x:c>
      <x:c r="AF252" s="34" t="n">
        <x:v>0</x:v>
      </x:c>
      <x:c r="AG252" s="34" t="n">
        <x:v>39.65</x:v>
      </x:c>
      <x:c r="AH252" s="34" t="n">
        <x:v>-6927.42</x:v>
      </x:c>
      <x:c r="AI252" s="34" t="str">
        <x:v>model_estimate</x:v>
      </x:c>
      <x:c r="AJ252" s="34" t="str">
        <x:v>2028 혁신 EAF 공시를 반영한 조기 재투자 창; 생산량은 공식 총량에 맞춘 추정</x:v>
      </x:c>
      <x:c r="AK252" s="34" t="str">
        <x:v>CAND-E8FAD9BDD034A5</x:v>
      </x:c>
      <x:c r="AL252" s="34" t="str">
        <x:v>P3</x:v>
      </x:c>
      <x:c r="AM252" s="34" t="str">
        <x:v>PORT-51A2628EF9C2</x:v>
      </x:c>
      <x:c r="AN252" s="34" t="n">
        <x:v>1000</x:v>
      </x:c>
      <x:c r="AO252" s="34" t="n">
        <x:v>115.153615</x:v>
      </x:c>
      <x:c r="AP252" s="34" t="n">
        <x:v>27.431773</x:v>
      </x:c>
      <x:c r="AQ252" s="34" t="n">
        <x:v>328.220861</x:v>
      </x:c>
      <x:c r="AR252" s="34" t="n">
        <x:v>37182.414</x:v>
      </x:c>
      <x:c r="AS252" s="34" t="n">
        <x:v>113.284736</x:v>
      </x:c>
      <x:c r="AT252" s="40" t="b">
        <x:v>1</x:v>
      </x:c>
      <x:c r="AU252" s="40" t="b">
        <x:v>1</x:v>
      </x:c>
      <x:c r="AV252" s="34" t="str"/>
      <x:c r="AW252" s="34" t="n">
        <x:v>0</x:v>
      </x:c>
      <x:c r="AX252" s="34" t="str">
        <x:v>1.265341119704999e-05</x:v>
      </x:c>
      <x:c r="AY252" s="40" t="b">
        <x:v>1</x:v>
      </x:c>
      <x:c r="AZ252" s="40" t="b">
        <x:v>1</x:v>
      </x:c>
      <x:c r="BA252" s="40" t="b">
        <x:v>1</x:v>
      </x:c>
      <x:c r="BB252" s="40" t="b">
        <x:v>1</x:v>
      </x:c>
      <x:c r="BC252" s="34" t="str"/>
      <x:c r="BD252" s="34" t="n">
        <x:v>0</x:v>
      </x:c>
      <x:c r="BE252" s="34" t="n">
        <x:v>0</x:v>
      </x:c>
      <x:c r="BF252" s="34" t="n">
        <x:v>0</x:v>
      </x:c>
      <x:c r="BG252" s="34" t="n">
        <x:v>3</x:v>
      </x:c>
      <x:c r="BH252" s="34" t="n">
        <x:v>3</x:v>
      </x:c>
      <x:c r="BI252" s="34" t="n">
        <x:v>0.41232239999999987</x:v>
      </x:c>
      <x:c r="BJ252" s="34" t="n">
        <x:v>0.65</x:v>
      </x:c>
      <x:c r="BK252" s="34" t="n">
        <x:v>1.78</x:v>
      </x:c>
    </x:row>
    <x:row r="253">
      <x:c r="A253" s="34" t="str">
        <x:v>JFE_STEEL_JP</x:v>
      </x:c>
      <x:c r="B253" s="34" t="str">
        <x:v>JFE Steel</x:v>
      </x:c>
      <x:c r="C253" s="34" t="str">
        <x:v>ACCELERATED_15C</x:v>
      </x:c>
      <x:c r="D253" s="34" t="str">
        <x:v>P3</x:v>
      </x:c>
      <x:c r="E253" s="34" t="str">
        <x:v>JFE-SENDAI</x:v>
      </x:c>
      <x:c r="F253" s="34" t="str">
        <x:v>Sendai Works EAF</x:v>
      </x:c>
      <x:c r="G253" s="34" t="str">
        <x:v>센다이</x:v>
      </x:c>
      <x:c r="H253" s="34" t="n">
        <x:v>2033</x:v>
      </x:c>
      <x:c r="I253" s="34" t="str">
        <x:v>EAF_BASELINE</x:v>
      </x:c>
      <x:c r="J253" s="34" t="str">
        <x:v>기존 전기로 기준 블록</x:v>
      </x:c>
      <x:c r="K253" s="34" t="str">
        <x:v>EAF_RENEWABLE</x:v>
      </x:c>
      <x:c r="L253" s="34" t="str">
        <x:v>기존 EAF 재생전력 업그레이드</x:v>
      </x:c>
      <x:c r="M253" s="34" t="n">
        <x:v>228.8</x:v>
      </x:c>
      <x:c r="N253" s="34" t="n">
        <x:v>70.4</x:v>
      </x:c>
      <x:c r="O253" s="34" t="n">
        <x:v>0.8</x:v>
      </x:c>
      <x:c r="P253" s="34" t="n">
        <x:v>0.7</x:v>
      </x:c>
      <x:c r="Q253" s="34" t="n">
        <x:v>0.35</x:v>
      </x:c>
      <x:c r="R253" s="34" t="n">
        <x:v>0.35</x:v>
      </x:c>
      <x:c r="S253" s="34" t="n">
        <x:v>0.07</x:v>
      </x:c>
      <x:c r="T253" s="34" t="n">
        <x:v>0.07</x:v>
      </x:c>
      <x:c r="U253" s="34" t="n">
        <x:v>0.28</x:v>
      </x:c>
      <x:c r="V253" s="34" t="n">
        <x:v>2.24</x:v>
      </x:c>
      <x:c r="W253" s="34" t="n">
        <x:v>-53.998</x:v>
      </x:c>
      <x:c r="X253" s="34" t="n">
        <x:v>9.223</x:v>
      </x:c>
      <x:c r="Y253" s="34" t="n">
        <x:v>62.858</x:v>
      </x:c>
      <x:c r="Z253" s="34" t="n">
        <x:v>53.636</x:v>
      </x:c>
      <x:c r="AA253" s="34" t="n">
        <x:v>116.856</x:v>
      </x:c>
      <x:c r="AB253" s="34" t="n">
        <x:v>-63.221</x:v>
      </x:c>
      <x:c r="AC253" s="34" t="n">
        <x:v>45.873</x:v>
      </x:c>
      <x:c r="AD253" s="34" t="n">
        <x:v>3.048</x:v>
      </x:c>
      <x:c r="AE253" s="34" t="n">
        <x:v>13.635</x:v>
      </x:c>
      <x:c r="AF253" s="34" t="n">
        <x:v>0</x:v>
      </x:c>
      <x:c r="AG253" s="34" t="n">
        <x:v>0.302</x:v>
      </x:c>
      <x:c r="AH253" s="34" t="n">
        <x:v>-116.856</x:v>
      </x:c>
      <x:c r="AI253" s="34" t="str">
        <x:v>model_estimate</x:v>
      </x:c>
      <x:c r="AJ253" s="34" t="str">
        <x:v>공식 EAF 사업장 존재를 반영; 생산량·집약도·재투자연도 추정</x:v>
      </x:c>
      <x:c r="AK253" s="34" t="str">
        <x:v>CAND-E8FAD9BDD034A5</x:v>
      </x:c>
      <x:c r="AL253" s="34" t="str">
        <x:v>P3</x:v>
      </x:c>
      <x:c r="AM253" s="34" t="str">
        <x:v>PORT-51A2628EF9C2</x:v>
      </x:c>
      <x:c r="AN253" s="34" t="n">
        <x:v>1000</x:v>
      </x:c>
      <x:c r="AO253" s="34" t="n">
        <x:v>115.153615</x:v>
      </x:c>
      <x:c r="AP253" s="34" t="n">
        <x:v>27.431773</x:v>
      </x:c>
      <x:c r="AQ253" s="34" t="n">
        <x:v>328.220861</x:v>
      </x:c>
      <x:c r="AR253" s="34" t="n">
        <x:v>37182.414</x:v>
      </x:c>
      <x:c r="AS253" s="34" t="n">
        <x:v>113.284736</x:v>
      </x:c>
      <x:c r="AT253" s="40" t="b">
        <x:v>1</x:v>
      </x:c>
      <x:c r="AU253" s="40" t="b">
        <x:v>1</x:v>
      </x:c>
      <x:c r="AV253" s="34" t="str"/>
      <x:c r="AW253" s="34" t="n">
        <x:v>0</x:v>
      </x:c>
      <x:c r="AX253" s="34" t="str">
        <x:v>1.265341119704999e-05</x:v>
      </x:c>
      <x:c r="AY253" s="40" t="b">
        <x:v>1</x:v>
      </x:c>
      <x:c r="AZ253" s="40" t="b">
        <x:v>1</x:v>
      </x:c>
      <x:c r="BA253" s="40" t="b">
        <x:v>1</x:v>
      </x:c>
      <x:c r="BB253" s="40" t="b">
        <x:v>1</x:v>
      </x:c>
      <x:c r="BC253" s="34" t="str"/>
      <x:c r="BD253" s="34" t="n">
        <x:v>0</x:v>
      </x:c>
      <x:c r="BE253" s="34" t="n">
        <x:v>0</x:v>
      </x:c>
      <x:c r="BF253" s="34" t="n">
        <x:v>0</x:v>
      </x:c>
      <x:c r="BG253" s="34" t="n">
        <x:v>3</x:v>
      </x:c>
      <x:c r="BH253" s="34" t="n">
        <x:v>3</x:v>
      </x:c>
      <x:c r="BI253" s="34" t="n">
        <x:v>0.41232239999999987</x:v>
      </x:c>
      <x:c r="BJ253" s="34" t="n">
        <x:v>0.65</x:v>
      </x:c>
      <x:c r="BK253" s="34" t="n">
        <x:v>1.78</x:v>
      </x:c>
    </x:row>
    <x:row r="254">
      <x:c r="A254" s="34" t="str">
        <x:v>NIPPON_STEEL_JP</x:v>
      </x:c>
      <x:c r="B254" s="34" t="str">
        <x:v>Nippon Steel</x:v>
      </x:c>
      <x:c r="C254" s="34" t="str">
        <x:v>DISCLOSED_PATH</x:v>
      </x:c>
      <x:c r="D254" s="34" t="str">
        <x:v>P2</x:v>
      </x:c>
      <x:c r="E254" s="34" t="str">
        <x:v>NS-EAST</x:v>
      </x:c>
      <x:c r="F254" s="34" t="str">
        <x:v>East Nippon Works 블록</x:v>
      </x:c>
      <x:c r="G254" s="34" t="str">
        <x:v>동일본</x:v>
      </x:c>
      <x:c r="H254" s="34" t="n">
        <x:v>2034</x:v>
      </x:c>
      <x:c r="I254" s="34" t="str">
        <x:v>BF_BOF</x:v>
      </x:c>
      <x:c r="J254" s="34" t="str">
        <x:v>기준 BF-BOF 복합 블록</x:v>
      </x:c>
      <x:c r="K254" s="34" t="str">
        <x:v>SCRAP_EAF</x:v>
      </x:c>
      <x:c r="L254" s="34" t="str">
        <x:v>스크랩 기반 대형 EAF</x:v>
      </x:c>
      <x:c r="M254" s="34" t="n">
        <x:v>4989.6</x:v>
      </x:c>
      <x:c r="N254" s="34" t="n">
        <x:v>3207.6</x:v>
      </x:c>
      <x:c r="O254" s="34" t="n">
        <x:v>8.1</x:v>
      </x:c>
      <x:c r="P254" s="34" t="n">
        <x:v>7.200001</x:v>
      </x:c>
      <x:c r="Q254" s="34" t="n">
        <x:v>15.239652</x:v>
      </x:c>
      <x:c r="R254" s="34" t="n">
        <x:v>15.239652</x:v>
      </x:c>
      <x:c r="S254" s="34" t="n">
        <x:v>3.24</x:v>
      </x:c>
      <x:c r="T254" s="34" t="n">
        <x:v>3.24</x:v>
      </x:c>
      <x:c r="U254" s="34" t="n">
        <x:v>11.999651</x:v>
      </x:c>
      <x:c r="V254" s="34" t="n">
        <x:v>83.997558</x:v>
      </x:c>
      <x:c r="W254" s="34" t="n">
        <x:v>2223.572</x:v>
      </x:c>
      <x:c r="X254" s="34" t="n">
        <x:v>500.932</x:v>
      </x:c>
      <x:c r="Y254" s="34" t="n">
        <x:v>5173.027</x:v>
      </x:c>
      <x:c r="Z254" s="34" t="n">
        <x:v>4672.095</x:v>
      </x:c>
      <x:c r="AA254" s="34" t="n">
        <x:v>2949.454</x:v>
      </x:c>
      <x:c r="AB254" s="34" t="n">
        <x:v>1722.641</x:v>
      </x:c>
      <x:c r="AC254" s="34" t="n">
        <x:v>1981.108</x:v>
      </x:c>
      <x:c r="AD254" s="34" t="n">
        <x:v>159.97</x:v>
      </x:c>
      <x:c r="AE254" s="34" t="n">
        <x:v>3023.451</x:v>
      </x:c>
      <x:c r="AF254" s="34" t="n">
        <x:v>0</x:v>
      </x:c>
      <x:c r="AG254" s="34" t="n">
        <x:v>8.497</x:v>
      </x:c>
      <x:c r="AH254" s="34" t="n">
        <x:v>-2949.454</x:v>
      </x:c>
      <x:c r="AI254" s="34" t="str">
        <x:v>model_estimate</x:v>
      </x:c>
      <x:c r="AJ254" s="34" t="str">
        <x:v>Nippon Steel 공식 생산·배출·용량 총량에 맞춘 지역 블록 배분</x:v>
      </x:c>
      <x:c r="AK254" s="34" t="str">
        <x:v>CAND-EBD30C485CEFDA</x:v>
      </x:c>
      <x:c r="AL254" s="34" t="str">
        <x:v>P2</x:v>
      </x:c>
      <x:c r="AM254" s="34" t="str">
        <x:v>PORT-9E76B3BFF9FF</x:v>
      </x:c>
      <x:c r="AN254" s="34" t="n">
        <x:v>1000</x:v>
      </x:c>
      <x:c r="AO254" s="34" t="n">
        <x:v>90.065092</x:v>
      </x:c>
      <x:c r="AP254" s="34" t="n">
        <x:v>23.166254</x:v>
      </x:c>
      <x:c r="AQ254" s="34" t="n">
        <x:v>456.103943</x:v>
      </x:c>
      <x:c r="AR254" s="34" t="n">
        <x:v>40161.86</x:v>
      </x:c>
      <x:c r="AS254" s="34" t="n">
        <x:v>88.054182</x:v>
      </x:c>
      <x:c r="AT254" s="40" t="b">
        <x:v>1</x:v>
      </x:c>
      <x:c r="AU254" s="40" t="b">
        <x:v>1</x:v>
      </x:c>
      <x:c r="AV254" s="34" t="str"/>
      <x:c r="AW254" s="34" t="n">
        <x:v>0</x:v>
      </x:c>
      <x:c r="AX254" s="34" t="str">
        <x:v>3.446647212967946e-06</x:v>
      </x:c>
      <x:c r="AY254" s="40" t="b">
        <x:v>1</x:v>
      </x:c>
      <x:c r="AZ254" s="40" t="b">
        <x:v>1</x:v>
      </x:c>
      <x:c r="BA254" s="40" t="b">
        <x:v>1</x:v>
      </x:c>
      <x:c r="BB254" s="40" t="b">
        <x:v>1</x:v>
      </x:c>
      <x:c r="BC254" s="34" t="str"/>
      <x:c r="BD254" s="34" t="n">
        <x:v>0</x:v>
      </x:c>
      <x:c r="BE254" s="34" t="n">
        <x:v>0</x:v>
      </x:c>
      <x:c r="BF254" s="34" t="n">
        <x:v>0</x:v>
      </x:c>
      <x:c r="BG254" s="34" t="n">
        <x:v>2</x:v>
      </x:c>
      <x:c r="BH254" s="34" t="n">
        <x:v>2</x:v>
      </x:c>
      <x:c r="BI254" s="34" t="n">
        <x:v>0.47641018879999986</x:v>
      </x:c>
      <x:c r="BJ254" s="34" t="n">
        <x:v>0.65</x:v>
      </x:c>
      <x:c r="BK254" s="34" t="n">
        <x:v>2.16</x:v>
      </x:c>
    </x:row>
    <x:row r="255">
      <x:c r="A255" s="34" t="str">
        <x:v>NIPPON_STEEL_JP</x:v>
      </x:c>
      <x:c r="B255" s="34" t="str">
        <x:v>Nippon Steel</x:v>
      </x:c>
      <x:c r="C255" s="34" t="str">
        <x:v>DISCLOSED_PATH</x:v>
      </x:c>
      <x:c r="D255" s="34" t="str">
        <x:v>P2</x:v>
      </x:c>
      <x:c r="E255" s="34" t="str">
        <x:v>NS-KANSAI</x:v>
      </x:c>
      <x:c r="F255" s="34" t="str">
        <x:v>Kansai Works 블록</x:v>
      </x:c>
      <x:c r="G255" s="34" t="str">
        <x:v>간사이</x:v>
      </x:c>
      <x:c r="H255" s="34" t="n">
        <x:v>2036</x:v>
      </x:c>
      <x:c r="I255" s="34" t="str">
        <x:v>BF_BOF</x:v>
      </x:c>
      <x:c r="J255" s="34" t="str">
        <x:v>기준 BF-BOF 복합 블록</x:v>
      </x:c>
      <x:c r="K255" s="34" t="str">
        <x:v>H2_DRI_EAF</x:v>
      </x:c>
      <x:c r="L255" s="34" t="str">
        <x:v>수소 DRI + EAF</x:v>
      </x:c>
      <x:c r="M255" s="34" t="n">
        <x:v>6237</x:v>
      </x:c>
      <x:c r="N255" s="34" t="n">
        <x:v>4851</x:v>
      </x:c>
      <x:c r="O255" s="34" t="n">
        <x:v>6.3</x:v>
      </x:c>
      <x:c r="P255" s="34" t="n">
        <x:v>5.600001</x:v>
      </x:c>
      <x:c r="Q255" s="34" t="n">
        <x:v>11.853062</x:v>
      </x:c>
      <x:c r="R255" s="34" t="n">
        <x:v>11.853062</x:v>
      </x:c>
      <x:c r="S255" s="34" t="n">
        <x:v>1.12</x:v>
      </x:c>
      <x:c r="T255" s="34" t="n">
        <x:v>1.12</x:v>
      </x:c>
      <x:c r="U255" s="34" t="n">
        <x:v>10.733062</x:v>
      </x:c>
      <x:c r="V255" s="34" t="n">
        <x:v>53.665311</x:v>
      </x:c>
      <x:c r="W255" s="34" t="n">
        <x:v>11822.203</x:v>
      </x:c>
      <x:c r="X255" s="34" t="n">
        <x:v>1028.98</x:v>
      </x:c>
      <x:c r="Y255" s="34" t="n">
        <x:v>13696.782</x:v>
      </x:c>
      <x:c r="Z255" s="34" t="n">
        <x:v>12667.802</x:v>
      </x:c>
      <x:c r="AA255" s="34" t="n">
        <x:v>1874.579</x:v>
      </x:c>
      <x:c r="AB255" s="34" t="n">
        <x:v>10793.223</x:v>
      </x:c>
      <x:c r="AC255" s="34" t="n">
        <x:v>2691.871</x:v>
      </x:c>
      <x:c r="AD255" s="34" t="n">
        <x:v>181.997</x:v>
      </x:c>
      <x:c r="AE255" s="34" t="n">
        <x:v>1314.06</x:v>
      </x:c>
      <x:c r="AF255" s="34" t="n">
        <x:v>9492.007</x:v>
      </x:c>
      <x:c r="AG255" s="34" t="n">
        <x:v>16.847</x:v>
      </x:c>
      <x:c r="AH255" s="34" t="n">
        <x:v>-1874.579</x:v>
      </x:c>
      <x:c r="AI255" s="34" t="str">
        <x:v>model_estimate</x:v>
      </x:c>
      <x:c r="AJ255" s="34" t="str">
        <x:v>Nippon Steel 공식 생산·배출·용량 총량에 맞춘 지역 블록 배분</x:v>
      </x:c>
      <x:c r="AK255" s="34" t="str">
        <x:v>CAND-EBD30C485CEFDA</x:v>
      </x:c>
      <x:c r="AL255" s="34" t="str">
        <x:v>P2</x:v>
      </x:c>
      <x:c r="AM255" s="34" t="str">
        <x:v>PORT-9E76B3BFF9FF</x:v>
      </x:c>
      <x:c r="AN255" s="34" t="n">
        <x:v>1000</x:v>
      </x:c>
      <x:c r="AO255" s="34" t="n">
        <x:v>90.065092</x:v>
      </x:c>
      <x:c r="AP255" s="34" t="n">
        <x:v>23.166254</x:v>
      </x:c>
      <x:c r="AQ255" s="34" t="n">
        <x:v>456.103943</x:v>
      </x:c>
      <x:c r="AR255" s="34" t="n">
        <x:v>40161.86</x:v>
      </x:c>
      <x:c r="AS255" s="34" t="n">
        <x:v>88.054182</x:v>
      </x:c>
      <x:c r="AT255" s="40" t="b">
        <x:v>1</x:v>
      </x:c>
      <x:c r="AU255" s="40" t="b">
        <x:v>1</x:v>
      </x:c>
      <x:c r="AV255" s="34" t="str"/>
      <x:c r="AW255" s="34" t="n">
        <x:v>0</x:v>
      </x:c>
      <x:c r="AX255" s="34" t="str">
        <x:v>3.446647212967946e-06</x:v>
      </x:c>
      <x:c r="AY255" s="40" t="b">
        <x:v>1</x:v>
      </x:c>
      <x:c r="AZ255" s="40" t="b">
        <x:v>1</x:v>
      </x:c>
      <x:c r="BA255" s="40" t="b">
        <x:v>1</x:v>
      </x:c>
      <x:c r="BB255" s="40" t="b">
        <x:v>1</x:v>
      </x:c>
      <x:c r="BC255" s="34" t="str"/>
      <x:c r="BD255" s="34" t="n">
        <x:v>0</x:v>
      </x:c>
      <x:c r="BE255" s="34" t="n">
        <x:v>0</x:v>
      </x:c>
      <x:c r="BF255" s="34" t="n">
        <x:v>0</x:v>
      </x:c>
      <x:c r="BG255" s="34" t="n">
        <x:v>2</x:v>
      </x:c>
      <x:c r="BH255" s="34" t="n">
        <x:v>2</x:v>
      </x:c>
      <x:c r="BI255" s="34" t="n">
        <x:v>0.47641018879999986</x:v>
      </x:c>
      <x:c r="BJ255" s="34" t="n">
        <x:v>0.65</x:v>
      </x:c>
      <x:c r="BK255" s="34" t="n">
        <x:v>2.16</x:v>
      </x:c>
    </x:row>
    <x:row r="256">
      <x:c r="A256" s="34" t="str">
        <x:v>NIPPON_STEEL_JP</x:v>
      </x:c>
      <x:c r="B256" s="34" t="str">
        <x:v>Nippon Steel</x:v>
      </x:c>
      <x:c r="C256" s="34" t="str">
        <x:v>DISCLOSED_PATH</x:v>
      </x:c>
      <x:c r="D256" s="34" t="str">
        <x:v>P2</x:v>
      </x:c>
      <x:c r="E256" s="34" t="str">
        <x:v>NS-KYUSHU</x:v>
      </x:c>
      <x:c r="F256" s="34" t="str">
        <x:v>Kyushu Works Yawata 블록</x:v>
      </x:c>
      <x:c r="G256" s="34" t="str">
        <x:v>규슈</x:v>
      </x:c>
      <x:c r="H256" s="34" t="n">
        <x:v>2029</x:v>
      </x:c>
      <x:c r="I256" s="34" t="str">
        <x:v>BF_BOF</x:v>
      </x:c>
      <x:c r="J256" s="34" t="str">
        <x:v>기준 BF-BOF 복합 블록</x:v>
      </x:c>
      <x:c r="K256" s="34" t="str">
        <x:v>SCRAP_EAF</x:v>
      </x:c>
      <x:c r="L256" s="34" t="str">
        <x:v>스크랩 기반 대형 EAF</x:v>
      </x:c>
      <x:c r="M256" s="34" t="n">
        <x:v>6160</x:v>
      </x:c>
      <x:c r="N256" s="34" t="n">
        <x:v>3960</x:v>
      </x:c>
      <x:c r="O256" s="34" t="n">
        <x:v>10</x:v>
      </x:c>
      <x:c r="P256" s="34" t="n">
        <x:v>9</x:v>
      </x:c>
      <x:c r="Q256" s="34" t="n">
        <x:v>19.049562</x:v>
      </x:c>
      <x:c r="R256" s="34" t="n">
        <x:v>4.05</x:v>
      </x:c>
      <x:c r="S256" s="34" t="n">
        <x:v>4.05</x:v>
      </x:c>
      <x:c r="T256" s="34" t="n">
        <x:v>4.05</x:v>
      </x:c>
      <x:c r="U256" s="34" t="n">
        <x:v>14.999562</x:v>
      </x:c>
      <x:c r="V256" s="34" t="n">
        <x:v>179.994744</x:v>
      </x:c>
      <x:c r="W256" s="34" t="n">
        <x:v>4721.391</x:v>
      </x:c>
      <x:c r="X256" s="34" t="n">
        <x:v>828.394</x:v>
      </x:c>
      <x:c r="Y256" s="34" t="n">
        <x:v>11013.589</x:v>
      </x:c>
      <x:c r="Z256" s="34" t="n">
        <x:v>10185.195</x:v>
      </x:c>
      <x:c r="AA256" s="34" t="n">
        <x:v>6292.198</x:v>
      </x:c>
      <x:c r="AB256" s="34" t="n">
        <x:v>3892.997</x:v>
      </x:c>
      <x:c r="AC256" s="34" t="n">
        <x:v>3196.578</x:v>
      </x:c>
      <x:c r="AD256" s="34" t="n">
        <x:v>462.398</x:v>
      </x:c>
      <x:c r="AE256" s="34" t="n">
        <x:v>7337.214</x:v>
      </x:c>
      <x:c r="AF256" s="34" t="n">
        <x:v>0</x:v>
      </x:c>
      <x:c r="AG256" s="34" t="n">
        <x:v>17.399</x:v>
      </x:c>
      <x:c r="AH256" s="34" t="n">
        <x:v>-6292.198</x:v>
      </x:c>
      <x:c r="AI256" s="34" t="str">
        <x:v>model_estimate</x:v>
      </x:c>
      <x:c r="AJ256" s="34" t="str">
        <x:v>Yawata BF→EAF 공시 방향을 반영해 조기 재투자 창을 설정; 블록 생산량 추정</x:v>
      </x:c>
      <x:c r="AK256" s="34" t="str">
        <x:v>CAND-EBD30C485CEFDA</x:v>
      </x:c>
      <x:c r="AL256" s="34" t="str">
        <x:v>P2</x:v>
      </x:c>
      <x:c r="AM256" s="34" t="str">
        <x:v>PORT-9E76B3BFF9FF</x:v>
      </x:c>
      <x:c r="AN256" s="34" t="n">
        <x:v>1000</x:v>
      </x:c>
      <x:c r="AO256" s="34" t="n">
        <x:v>90.065092</x:v>
      </x:c>
      <x:c r="AP256" s="34" t="n">
        <x:v>23.166254</x:v>
      </x:c>
      <x:c r="AQ256" s="34" t="n">
        <x:v>456.103943</x:v>
      </x:c>
      <x:c r="AR256" s="34" t="n">
        <x:v>40161.86</x:v>
      </x:c>
      <x:c r="AS256" s="34" t="n">
        <x:v>88.054182</x:v>
      </x:c>
      <x:c r="AT256" s="40" t="b">
        <x:v>1</x:v>
      </x:c>
      <x:c r="AU256" s="40" t="b">
        <x:v>1</x:v>
      </x:c>
      <x:c r="AV256" s="34" t="str"/>
      <x:c r="AW256" s="34" t="n">
        <x:v>0</x:v>
      </x:c>
      <x:c r="AX256" s="34" t="str">
        <x:v>3.446647212967946e-06</x:v>
      </x:c>
      <x:c r="AY256" s="40" t="b">
        <x:v>1</x:v>
      </x:c>
      <x:c r="AZ256" s="40" t="b">
        <x:v>1</x:v>
      </x:c>
      <x:c r="BA256" s="40" t="b">
        <x:v>1</x:v>
      </x:c>
      <x:c r="BB256" s="40" t="b">
        <x:v>1</x:v>
      </x:c>
      <x:c r="BC256" s="34" t="str"/>
      <x:c r="BD256" s="34" t="n">
        <x:v>0</x:v>
      </x:c>
      <x:c r="BE256" s="34" t="n">
        <x:v>0</x:v>
      </x:c>
      <x:c r="BF256" s="34" t="n">
        <x:v>0</x:v>
      </x:c>
      <x:c r="BG256" s="34" t="n">
        <x:v>2</x:v>
      </x:c>
      <x:c r="BH256" s="34" t="n">
        <x:v>2</x:v>
      </x:c>
      <x:c r="BI256" s="34" t="n">
        <x:v>0.47641018879999986</x:v>
      </x:c>
      <x:c r="BJ256" s="34" t="n">
        <x:v>0.65</x:v>
      </x:c>
      <x:c r="BK256" s="34" t="n">
        <x:v>2.16</x:v>
      </x:c>
    </x:row>
    <x:row r="257">
      <x:c r="A257" s="34" t="str">
        <x:v>NIPPON_STEEL_JP</x:v>
      </x:c>
      <x:c r="B257" s="34" t="str">
        <x:v>Nippon Steel</x:v>
      </x:c>
      <x:c r="C257" s="34" t="str">
        <x:v>DISCLOSED_PATH</x:v>
      </x:c>
      <x:c r="D257" s="34" t="str">
        <x:v>P2</x:v>
      </x:c>
      <x:c r="E257" s="34" t="str">
        <x:v>NS-NAGOYA</x:v>
      </x:c>
      <x:c r="F257" s="34" t="str">
        <x:v>Nagoya Works 블록</x:v>
      </x:c>
      <x:c r="G257" s="34" t="str">
        <x:v>나고야</x:v>
      </x:c>
      <x:c r="H257" s="34" t="n">
        <x:v>2032</x:v>
      </x:c>
      <x:c r="I257" s="34" t="str">
        <x:v>BF_BOF</x:v>
      </x:c>
      <x:c r="J257" s="34" t="str">
        <x:v>기준 BF-BOF 복합 블록</x:v>
      </x:c>
      <x:c r="K257" s="34" t="str">
        <x:v>H2_DRI_EAF</x:v>
      </x:c>
      <x:c r="L257" s="34" t="str">
        <x:v>수소 DRI + EAF</x:v>
      </x:c>
      <x:c r="M257" s="34" t="n">
        <x:v>6930</x:v>
      </x:c>
      <x:c r="N257" s="34" t="n">
        <x:v>5390</x:v>
      </x:c>
      <x:c r="O257" s="34" t="n">
        <x:v>7</x:v>
      </x:c>
      <x:c r="P257" s="34" t="n">
        <x:v>6.199998</x:v>
      </x:c>
      <x:c r="Q257" s="34" t="n">
        <x:v>13.123027</x:v>
      </x:c>
      <x:c r="R257" s="34" t="n">
        <x:v>13.123027</x:v>
      </x:c>
      <x:c r="S257" s="34" t="n">
        <x:v>1.24</x:v>
      </x:c>
      <x:c r="T257" s="34" t="n">
        <x:v>1.24</x:v>
      </x:c>
      <x:c r="U257" s="34" t="n">
        <x:v>11.883028</x:v>
      </x:c>
      <x:c r="V257" s="34" t="n">
        <x:v>106.94725</x:v>
      </x:c>
      <x:c r="W257" s="34" t="n">
        <x:v>24304.707</x:v>
      </x:c>
      <x:c r="X257" s="34" t="n">
        <x:v>1657.315</x:v>
      </x:c>
      <x:c r="Y257" s="34" t="n">
        <x:v>28066.162</x:v>
      </x:c>
      <x:c r="Z257" s="34" t="n">
        <x:v>26408.847</x:v>
      </x:c>
      <x:c r="AA257" s="34" t="n">
        <x:v>3761.454</x:v>
      </x:c>
      <x:c r="AB257" s="34" t="n">
        <x:v>22647.392</x:v>
      </x:c>
      <x:c r="AC257" s="34" t="n">
        <x:v>3705.284</x:v>
      </x:c>
      <x:c r="AD257" s="34" t="n">
        <x:v>406.389</x:v>
      </x:c>
      <x:c r="AE257" s="34" t="n">
        <x:v>2888.959</x:v>
      </x:c>
      <x:c r="AF257" s="34" t="n">
        <x:v>21032.753</x:v>
      </x:c>
      <x:c r="AG257" s="34" t="n">
        <x:v>32.777</x:v>
      </x:c>
      <x:c r="AH257" s="34" t="n">
        <x:v>-3761.454</x:v>
      </x:c>
      <x:c r="AI257" s="34" t="str">
        <x:v>model_estimate</x:v>
      </x:c>
      <x:c r="AJ257" s="34" t="str">
        <x:v>Nippon Steel 공식 생산·배출·용량 총량에 맞춘 지역 블록 배분</x:v>
      </x:c>
      <x:c r="AK257" s="34" t="str">
        <x:v>CAND-EBD30C485CEFDA</x:v>
      </x:c>
      <x:c r="AL257" s="34" t="str">
        <x:v>P2</x:v>
      </x:c>
      <x:c r="AM257" s="34" t="str">
        <x:v>PORT-9E76B3BFF9FF</x:v>
      </x:c>
      <x:c r="AN257" s="34" t="n">
        <x:v>1000</x:v>
      </x:c>
      <x:c r="AO257" s="34" t="n">
        <x:v>90.065092</x:v>
      </x:c>
      <x:c r="AP257" s="34" t="n">
        <x:v>23.166254</x:v>
      </x:c>
      <x:c r="AQ257" s="34" t="n">
        <x:v>456.103943</x:v>
      </x:c>
      <x:c r="AR257" s="34" t="n">
        <x:v>40161.86</x:v>
      </x:c>
      <x:c r="AS257" s="34" t="n">
        <x:v>88.054182</x:v>
      </x:c>
      <x:c r="AT257" s="40" t="b">
        <x:v>1</x:v>
      </x:c>
      <x:c r="AU257" s="40" t="b">
        <x:v>1</x:v>
      </x:c>
      <x:c r="AV257" s="34" t="str"/>
      <x:c r="AW257" s="34" t="n">
        <x:v>0</x:v>
      </x:c>
      <x:c r="AX257" s="34" t="str">
        <x:v>3.446647212967946e-06</x:v>
      </x:c>
      <x:c r="AY257" s="40" t="b">
        <x:v>1</x:v>
      </x:c>
      <x:c r="AZ257" s="40" t="b">
        <x:v>1</x:v>
      </x:c>
      <x:c r="BA257" s="40" t="b">
        <x:v>1</x:v>
      </x:c>
      <x:c r="BB257" s="40" t="b">
        <x:v>1</x:v>
      </x:c>
      <x:c r="BC257" s="34" t="str"/>
      <x:c r="BD257" s="34" t="n">
        <x:v>0</x:v>
      </x:c>
      <x:c r="BE257" s="34" t="n">
        <x:v>0</x:v>
      </x:c>
      <x:c r="BF257" s="34" t="n">
        <x:v>0</x:v>
      </x:c>
      <x:c r="BG257" s="34" t="n">
        <x:v>2</x:v>
      </x:c>
      <x:c r="BH257" s="34" t="n">
        <x:v>2</x:v>
      </x:c>
      <x:c r="BI257" s="34" t="n">
        <x:v>0.47641018879999986</x:v>
      </x:c>
      <x:c r="BJ257" s="34" t="n">
        <x:v>0.65</x:v>
      </x:c>
      <x:c r="BK257" s="34" t="n">
        <x:v>2.16</x:v>
      </x:c>
    </x:row>
    <x:row r="258">
      <x:c r="A258" s="34" t="str">
        <x:v>NIPPON_STEEL_JP</x:v>
      </x:c>
      <x:c r="B258" s="34" t="str">
        <x:v>Nippon Steel</x:v>
      </x:c>
      <x:c r="C258" s="34" t="str">
        <x:v>DISCLOSED_PATH</x:v>
      </x:c>
      <x:c r="D258" s="34" t="str">
        <x:v>P2</x:v>
      </x:c>
      <x:c r="E258" s="34" t="str">
        <x:v>NS-SETOUCHI</x:v>
      </x:c>
      <x:c r="F258" s="34" t="str">
        <x:v>Setouchi Works Hirohata 블록</x:v>
      </x:c>
      <x:c r="G258" s="34" t="str">
        <x:v>세토우치</x:v>
      </x:c>
      <x:c r="H258" s="34" t="n">
        <x:v>2038</x:v>
      </x:c>
      <x:c r="I258" s="34" t="str">
        <x:v>BF_BOF</x:v>
      </x:c>
      <x:c r="J258" s="34" t="str">
        <x:v>기준 BF-BOF 복합 블록</x:v>
      </x:c>
      <x:c r="K258" s="34" t="str">
        <x:v>SCRAP_EAF</x:v>
      </x:c>
      <x:c r="L258" s="34" t="str">
        <x:v>스크랩 기반 대형 EAF</x:v>
      </x:c>
      <x:c r="M258" s="34" t="n">
        <x:v>4620</x:v>
      </x:c>
      <x:c r="N258" s="34" t="n">
        <x:v>2970</x:v>
      </x:c>
      <x:c r="O258" s="34" t="n">
        <x:v>7.5</x:v>
      </x:c>
      <x:c r="P258" s="34" t="n">
        <x:v>6.3</x:v>
      </x:c>
      <x:c r="Q258" s="34" t="n">
        <x:v>13.334693</x:v>
      </x:c>
      <x:c r="R258" s="34" t="n">
        <x:v>13.334693</x:v>
      </x:c>
      <x:c r="S258" s="34" t="n">
        <x:v>2.835</x:v>
      </x:c>
      <x:c r="T258" s="34" t="n">
        <x:v>2.835</x:v>
      </x:c>
      <x:c r="U258" s="34" t="n">
        <x:v>10.499693</x:v>
      </x:c>
      <x:c r="V258" s="34" t="n">
        <x:v>31.49908</x:v>
      </x:c>
      <x:c r="W258" s="34" t="n">
        <x:v>1476.727</x:v>
      </x:c>
      <x:c r="X258" s="34" t="n">
        <x:v>371.121</x:v>
      </x:c>
      <x:c r="Y258" s="34" t="n">
        <x:v>2567.948</x:v>
      </x:c>
      <x:c r="Z258" s="34" t="n">
        <x:v>2196.827</x:v>
      </x:c>
      <x:c r="AA258" s="34" t="n">
        <x:v>1091.221</x:v>
      </x:c>
      <x:c r="AB258" s="34" t="n">
        <x:v>1105.606</x:v>
      </x:c>
      <x:c r="AC258" s="34" t="n">
        <x:v>1480.725</x:v>
      </x:c>
      <x:c r="AD258" s="34" t="n">
        <x:v>53.641</x:v>
      </x:c>
      <x:c r="AE258" s="34" t="n">
        <x:v>1029.077</x:v>
      </x:c>
      <x:c r="AF258" s="34" t="n">
        <x:v>0</x:v>
      </x:c>
      <x:c r="AG258" s="34" t="n">
        <x:v>4.505</x:v>
      </x:c>
      <x:c r="AH258" s="34" t="n">
        <x:v>-1091.221</x:v>
      </x:c>
      <x:c r="AI258" s="34" t="str">
        <x:v>model_estimate</x:v>
      </x:c>
      <x:c r="AJ258" s="34" t="str">
        <x:v>Hirohata EAF 투자 방향을 반영한 복합 블록; 생산량·재투자연도 추정</x:v>
      </x:c>
      <x:c r="AK258" s="34" t="str">
        <x:v>CAND-EBD30C485CEFDA</x:v>
      </x:c>
      <x:c r="AL258" s="34" t="str">
        <x:v>P2</x:v>
      </x:c>
      <x:c r="AM258" s="34" t="str">
        <x:v>PORT-9E76B3BFF9FF</x:v>
      </x:c>
      <x:c r="AN258" s="34" t="n">
        <x:v>1000</x:v>
      </x:c>
      <x:c r="AO258" s="34" t="n">
        <x:v>90.065092</x:v>
      </x:c>
      <x:c r="AP258" s="34" t="n">
        <x:v>23.166254</x:v>
      </x:c>
      <x:c r="AQ258" s="34" t="n">
        <x:v>456.103943</x:v>
      </x:c>
      <x:c r="AR258" s="34" t="n">
        <x:v>40161.86</x:v>
      </x:c>
      <x:c r="AS258" s="34" t="n">
        <x:v>88.054182</x:v>
      </x:c>
      <x:c r="AT258" s="40" t="b">
        <x:v>1</x:v>
      </x:c>
      <x:c r="AU258" s="40" t="b">
        <x:v>1</x:v>
      </x:c>
      <x:c r="AV258" s="34" t="str"/>
      <x:c r="AW258" s="34" t="n">
        <x:v>0</x:v>
      </x:c>
      <x:c r="AX258" s="34" t="str">
        <x:v>3.446647212967946e-06</x:v>
      </x:c>
      <x:c r="AY258" s="40" t="b">
        <x:v>1</x:v>
      </x:c>
      <x:c r="AZ258" s="40" t="b">
        <x:v>1</x:v>
      </x:c>
      <x:c r="BA258" s="40" t="b">
        <x:v>1</x:v>
      </x:c>
      <x:c r="BB258" s="40" t="b">
        <x:v>1</x:v>
      </x:c>
      <x:c r="BC258" s="34" t="str"/>
      <x:c r="BD258" s="34" t="n">
        <x:v>0</x:v>
      </x:c>
      <x:c r="BE258" s="34" t="n">
        <x:v>0</x:v>
      </x:c>
      <x:c r="BF258" s="34" t="n">
        <x:v>0</x:v>
      </x:c>
      <x:c r="BG258" s="34" t="n">
        <x:v>2</x:v>
      </x:c>
      <x:c r="BH258" s="34" t="n">
        <x:v>2</x:v>
      </x:c>
      <x:c r="BI258" s="34" t="n">
        <x:v>0.47641018879999986</x:v>
      </x:c>
      <x:c r="BJ258" s="34" t="n">
        <x:v>0.65</x:v>
      </x:c>
      <x:c r="BK258" s="34" t="n">
        <x:v>2.16</x:v>
      </x:c>
    </x:row>
    <x:row r="259">
      <x:c r="A259" s="34" t="str">
        <x:v>NIPPON_STEEL_JP</x:v>
      </x:c>
      <x:c r="B259" s="34" t="str">
        <x:v>Nippon Steel</x:v>
      </x:c>
      <x:c r="C259" s="34" t="str">
        <x:v>ACCELERATED_15C</x:v>
      </x:c>
      <x:c r="D259" s="34" t="str">
        <x:v>P2</x:v>
      </x:c>
      <x:c r="E259" s="34" t="str">
        <x:v>NS-EAST</x:v>
      </x:c>
      <x:c r="F259" s="34" t="str">
        <x:v>East Nippon Works 블록</x:v>
      </x:c>
      <x:c r="G259" s="34" t="str">
        <x:v>동일본</x:v>
      </x:c>
      <x:c r="H259" s="34" t="n">
        <x:v>2034</x:v>
      </x:c>
      <x:c r="I259" s="34" t="str">
        <x:v>BF_BOF</x:v>
      </x:c>
      <x:c r="J259" s="34" t="str">
        <x:v>기준 BF-BOF 복합 블록</x:v>
      </x:c>
      <x:c r="K259" s="34" t="str">
        <x:v>SCRAP_EAF</x:v>
      </x:c>
      <x:c r="L259" s="34" t="str">
        <x:v>스크랩 기반 대형 EAF</x:v>
      </x:c>
      <x:c r="M259" s="34" t="n">
        <x:v>4989.6</x:v>
      </x:c>
      <x:c r="N259" s="34" t="n">
        <x:v>3207.6</x:v>
      </x:c>
      <x:c r="O259" s="34" t="n">
        <x:v>8.1</x:v>
      </x:c>
      <x:c r="P259" s="34" t="n">
        <x:v>7.200001</x:v>
      </x:c>
      <x:c r="Q259" s="34" t="n">
        <x:v>15.239652</x:v>
      </x:c>
      <x:c r="R259" s="34" t="n">
        <x:v>15.239652</x:v>
      </x:c>
      <x:c r="S259" s="34" t="n">
        <x:v>3.24</x:v>
      </x:c>
      <x:c r="T259" s="34" t="n">
        <x:v>3.24</x:v>
      </x:c>
      <x:c r="U259" s="34" t="n">
        <x:v>11.999651</x:v>
      </x:c>
      <x:c r="V259" s="34" t="n">
        <x:v>83.997558</x:v>
      </x:c>
      <x:c r="W259" s="34" t="n">
        <x:v>1126.107</x:v>
      </x:c>
      <x:c r="X259" s="34" t="n">
        <x:v>595.521</x:v>
      </x:c>
      <x:c r="Y259" s="34" t="n">
        <x:v>5514.823</x:v>
      </x:c>
      <x:c r="Z259" s="34" t="n">
        <x:v>4919.303</x:v>
      </x:c>
      <x:c r="AA259" s="34" t="n">
        <x:v>4388.717</x:v>
      </x:c>
      <x:c r="AB259" s="34" t="n">
        <x:v>530.586</x:v>
      </x:c>
      <x:c r="AC259" s="34" t="n">
        <x:v>1981.108</x:v>
      </x:c>
      <x:c r="AD259" s="34" t="n">
        <x:v>159.97</x:v>
      </x:c>
      <x:c r="AE259" s="34" t="n">
        <x:v>3364.736</x:v>
      </x:c>
      <x:c r="AF259" s="34" t="n">
        <x:v>0</x:v>
      </x:c>
      <x:c r="AG259" s="34" t="n">
        <x:v>9.009</x:v>
      </x:c>
      <x:c r="AH259" s="34" t="n">
        <x:v>-4388.717</x:v>
      </x:c>
      <x:c r="AI259" s="34" t="str">
        <x:v>model_estimate</x:v>
      </x:c>
      <x:c r="AJ259" s="34" t="str">
        <x:v>Nippon Steel 공식 생산·배출·용량 총량에 맞춘 지역 블록 배분</x:v>
      </x:c>
      <x:c r="AK259" s="34" t="str">
        <x:v>CAND-EBD30C485CEFDA</x:v>
      </x:c>
      <x:c r="AL259" s="34" t="str">
        <x:v>P2</x:v>
      </x:c>
      <x:c r="AM259" s="34" t="str">
        <x:v>PORT-9E76B3BFF9FF</x:v>
      </x:c>
      <x:c r="AN259" s="34" t="n">
        <x:v>1000</x:v>
      </x:c>
      <x:c r="AO259" s="34" t="n">
        <x:v>80.124994</x:v>
      </x:c>
      <x:c r="AP259" s="34" t="n">
        <x:v>24.920518</x:v>
      </x:c>
      <x:c r="AQ259" s="34" t="n">
        <x:v>456.103943</x:v>
      </x:c>
      <x:c r="AR259" s="34" t="n">
        <x:v>35619.4</x:v>
      </x:c>
      <x:c r="AS259" s="34" t="n">
        <x:v>78.094918</x:v>
      </x:c>
      <x:c r="AT259" s="40" t="b">
        <x:v>1</x:v>
      </x:c>
      <x:c r="AU259" s="40" t="b">
        <x:v>1</x:v>
      </x:c>
      <x:c r="AV259" s="34" t="str"/>
      <x:c r="AW259" s="34" t="n">
        <x:v>0</x:v>
      </x:c>
      <x:c r="AX259" s="34" t="str">
        <x:v>3.446647212967946e-06</x:v>
      </x:c>
      <x:c r="AY259" s="40" t="b">
        <x:v>1</x:v>
      </x:c>
      <x:c r="AZ259" s="40" t="b">
        <x:v>1</x:v>
      </x:c>
      <x:c r="BA259" s="40" t="b">
        <x:v>1</x:v>
      </x:c>
      <x:c r="BB259" s="40" t="b">
        <x:v>1</x:v>
      </x:c>
      <x:c r="BC259" s="34" t="str"/>
      <x:c r="BD259" s="34" t="n">
        <x:v>0</x:v>
      </x:c>
      <x:c r="BE259" s="34" t="n">
        <x:v>0</x:v>
      </x:c>
      <x:c r="BF259" s="34" t="n">
        <x:v>0</x:v>
      </x:c>
      <x:c r="BG259" s="34" t="n">
        <x:v>2</x:v>
      </x:c>
      <x:c r="BH259" s="34" t="n">
        <x:v>2</x:v>
      </x:c>
      <x:c r="BI259" s="34" t="n">
        <x:v>0.47641018879999986</x:v>
      </x:c>
      <x:c r="BJ259" s="34" t="n">
        <x:v>0.65</x:v>
      </x:c>
      <x:c r="BK259" s="34" t="n">
        <x:v>2.16</x:v>
      </x:c>
    </x:row>
    <x:row r="260">
      <x:c r="A260" s="34" t="str">
        <x:v>NIPPON_STEEL_JP</x:v>
      </x:c>
      <x:c r="B260" s="34" t="str">
        <x:v>Nippon Steel</x:v>
      </x:c>
      <x:c r="C260" s="34" t="str">
        <x:v>ACCELERATED_15C</x:v>
      </x:c>
      <x:c r="D260" s="34" t="str">
        <x:v>P2</x:v>
      </x:c>
      <x:c r="E260" s="34" t="str">
        <x:v>NS-KANSAI</x:v>
      </x:c>
      <x:c r="F260" s="34" t="str">
        <x:v>Kansai Works 블록</x:v>
      </x:c>
      <x:c r="G260" s="34" t="str">
        <x:v>간사이</x:v>
      </x:c>
      <x:c r="H260" s="34" t="n">
        <x:v>2036</x:v>
      </x:c>
      <x:c r="I260" s="34" t="str">
        <x:v>BF_BOF</x:v>
      </x:c>
      <x:c r="J260" s="34" t="str">
        <x:v>기준 BF-BOF 복합 블록</x:v>
      </x:c>
      <x:c r="K260" s="34" t="str">
        <x:v>H2_DRI_EAF</x:v>
      </x:c>
      <x:c r="L260" s="34" t="str">
        <x:v>수소 DRI + EAF</x:v>
      </x:c>
      <x:c r="M260" s="34" t="n">
        <x:v>6237</x:v>
      </x:c>
      <x:c r="N260" s="34" t="n">
        <x:v>4851</x:v>
      </x:c>
      <x:c r="O260" s="34" t="n">
        <x:v>6.3</x:v>
      </x:c>
      <x:c r="P260" s="34" t="n">
        <x:v>5.600001</x:v>
      </x:c>
      <x:c r="Q260" s="34" t="n">
        <x:v>11.853062</x:v>
      </x:c>
      <x:c r="R260" s="34" t="n">
        <x:v>11.853062</x:v>
      </x:c>
      <x:c r="S260" s="34" t="n">
        <x:v>1.12</x:v>
      </x:c>
      <x:c r="T260" s="34" t="n">
        <x:v>1.12</x:v>
      </x:c>
      <x:c r="U260" s="34" t="n">
        <x:v>10.733062</x:v>
      </x:c>
      <x:c r="V260" s="34" t="n">
        <x:v>53.665311</x:v>
      </x:c>
      <x:c r="W260" s="34" t="n">
        <x:v>11975.136</x:v>
      </x:c>
      <x:c r="X260" s="34" t="n">
        <x:v>1361.544</x:v>
      </x:c>
      <x:c r="Y260" s="34" t="n">
        <x:v>14774.284</x:v>
      </x:c>
      <x:c r="Z260" s="34" t="n">
        <x:v>13412.74</x:v>
      </x:c>
      <x:c r="AA260" s="34" t="n">
        <x:v>2799.149</x:v>
      </x:c>
      <x:c r="AB260" s="34" t="n">
        <x:v>10613.592</x:v>
      </x:c>
      <x:c r="AC260" s="34" t="n">
        <x:v>2691.871</x:v>
      </x:c>
      <x:c r="AD260" s="34" t="n">
        <x:v>181.997</x:v>
      </x:c>
      <x:c r="AE260" s="34" t="n">
        <x:v>1472.667</x:v>
      </x:c>
      <x:c r="AF260" s="34" t="n">
        <x:v>10409.747</x:v>
      </x:c>
      <x:c r="AG260" s="34" t="n">
        <x:v>18.002</x:v>
      </x:c>
      <x:c r="AH260" s="34" t="n">
        <x:v>-2799.149</x:v>
      </x:c>
      <x:c r="AI260" s="34" t="str">
        <x:v>model_estimate</x:v>
      </x:c>
      <x:c r="AJ260" s="34" t="str">
        <x:v>Nippon Steel 공식 생산·배출·용량 총량에 맞춘 지역 블록 배분</x:v>
      </x:c>
      <x:c r="AK260" s="34" t="str">
        <x:v>CAND-EBD30C485CEFDA</x:v>
      </x:c>
      <x:c r="AL260" s="34" t="str">
        <x:v>P2</x:v>
      </x:c>
      <x:c r="AM260" s="34" t="str">
        <x:v>PORT-9E76B3BFF9FF</x:v>
      </x:c>
      <x:c r="AN260" s="34" t="n">
        <x:v>1000</x:v>
      </x:c>
      <x:c r="AO260" s="34" t="n">
        <x:v>80.124994</x:v>
      </x:c>
      <x:c r="AP260" s="34" t="n">
        <x:v>24.920518</x:v>
      </x:c>
      <x:c r="AQ260" s="34" t="n">
        <x:v>456.103943</x:v>
      </x:c>
      <x:c r="AR260" s="34" t="n">
        <x:v>35619.4</x:v>
      </x:c>
      <x:c r="AS260" s="34" t="n">
        <x:v>78.094918</x:v>
      </x:c>
      <x:c r="AT260" s="40" t="b">
        <x:v>1</x:v>
      </x:c>
      <x:c r="AU260" s="40" t="b">
        <x:v>1</x:v>
      </x:c>
      <x:c r="AV260" s="34" t="str"/>
      <x:c r="AW260" s="34" t="n">
        <x:v>0</x:v>
      </x:c>
      <x:c r="AX260" s="34" t="str">
        <x:v>3.446647212967946e-06</x:v>
      </x:c>
      <x:c r="AY260" s="40" t="b">
        <x:v>1</x:v>
      </x:c>
      <x:c r="AZ260" s="40" t="b">
        <x:v>1</x:v>
      </x:c>
      <x:c r="BA260" s="40" t="b">
        <x:v>1</x:v>
      </x:c>
      <x:c r="BB260" s="40" t="b">
        <x:v>1</x:v>
      </x:c>
      <x:c r="BC260" s="34" t="str"/>
      <x:c r="BD260" s="34" t="n">
        <x:v>0</x:v>
      </x:c>
      <x:c r="BE260" s="34" t="n">
        <x:v>0</x:v>
      </x:c>
      <x:c r="BF260" s="34" t="n">
        <x:v>0</x:v>
      </x:c>
      <x:c r="BG260" s="34" t="n">
        <x:v>2</x:v>
      </x:c>
      <x:c r="BH260" s="34" t="n">
        <x:v>2</x:v>
      </x:c>
      <x:c r="BI260" s="34" t="n">
        <x:v>0.47641018879999986</x:v>
      </x:c>
      <x:c r="BJ260" s="34" t="n">
        <x:v>0.65</x:v>
      </x:c>
      <x:c r="BK260" s="34" t="n">
        <x:v>2.16</x:v>
      </x:c>
    </x:row>
    <x:row r="261">
      <x:c r="A261" s="34" t="str">
        <x:v>NIPPON_STEEL_JP</x:v>
      </x:c>
      <x:c r="B261" s="34" t="str">
        <x:v>Nippon Steel</x:v>
      </x:c>
      <x:c r="C261" s="34" t="str">
        <x:v>ACCELERATED_15C</x:v>
      </x:c>
      <x:c r="D261" s="34" t="str">
        <x:v>P2</x:v>
      </x:c>
      <x:c r="E261" s="34" t="str">
        <x:v>NS-KYUSHU</x:v>
      </x:c>
      <x:c r="F261" s="34" t="str">
        <x:v>Kyushu Works Yawata 블록</x:v>
      </x:c>
      <x:c r="G261" s="34" t="str">
        <x:v>규슈</x:v>
      </x:c>
      <x:c r="H261" s="34" t="n">
        <x:v>2029</x:v>
      </x:c>
      <x:c r="I261" s="34" t="str">
        <x:v>BF_BOF</x:v>
      </x:c>
      <x:c r="J261" s="34" t="str">
        <x:v>기준 BF-BOF 복합 블록</x:v>
      </x:c>
      <x:c r="K261" s="34" t="str">
        <x:v>SCRAP_EAF</x:v>
      </x:c>
      <x:c r="L261" s="34" t="str">
        <x:v>스크랩 기반 대형 EAF</x:v>
      </x:c>
      <x:c r="M261" s="34" t="n">
        <x:v>6160</x:v>
      </x:c>
      <x:c r="N261" s="34" t="n">
        <x:v>3960</x:v>
      </x:c>
      <x:c r="O261" s="34" t="n">
        <x:v>10</x:v>
      </x:c>
      <x:c r="P261" s="34" t="n">
        <x:v>9</x:v>
      </x:c>
      <x:c r="Q261" s="34" t="n">
        <x:v>19.049562</x:v>
      </x:c>
      <x:c r="R261" s="34" t="n">
        <x:v>4.05</x:v>
      </x:c>
      <x:c r="S261" s="34" t="n">
        <x:v>4.05</x:v>
      </x:c>
      <x:c r="T261" s="34" t="n">
        <x:v>4.05</x:v>
      </x:c>
      <x:c r="U261" s="34" t="n">
        <x:v>14.999562</x:v>
      </x:c>
      <x:c r="V261" s="34" t="n">
        <x:v>179.994744</x:v>
      </x:c>
      <x:c r="W261" s="34" t="n">
        <x:v>2510.792</x:v>
      </x:c>
      <x:c r="X261" s="34" t="n">
        <x:v>970.326</x:v>
      </x:c>
      <x:c r="Y261" s="34" t="n">
        <x:v>11686.726</x:v>
      </x:c>
      <x:c r="Z261" s="34" t="n">
        <x:v>10716.4</x:v>
      </x:c>
      <x:c r="AA261" s="34" t="n">
        <x:v>9175.933</x:v>
      </x:c>
      <x:c r="AB261" s="34" t="n">
        <x:v>1540.466</x:v>
      </x:c>
      <x:c r="AC261" s="34" t="n">
        <x:v>3196.578</x:v>
      </x:c>
      <x:c r="AD261" s="34" t="n">
        <x:v>462.398</x:v>
      </x:c>
      <x:c r="AE261" s="34" t="n">
        <x:v>8009.343</x:v>
      </x:c>
      <x:c r="AF261" s="34" t="n">
        <x:v>0</x:v>
      </x:c>
      <x:c r="AG261" s="34" t="n">
        <x:v>18.407</x:v>
      </x:c>
      <x:c r="AH261" s="34" t="n">
        <x:v>-9175.933</x:v>
      </x:c>
      <x:c r="AI261" s="34" t="str">
        <x:v>model_estimate</x:v>
      </x:c>
      <x:c r="AJ261" s="34" t="str">
        <x:v>Yawata BF→EAF 공시 방향을 반영해 조기 재투자 창을 설정; 블록 생산량 추정</x:v>
      </x:c>
      <x:c r="AK261" s="34" t="str">
        <x:v>CAND-EBD30C485CEFDA</x:v>
      </x:c>
      <x:c r="AL261" s="34" t="str">
        <x:v>P2</x:v>
      </x:c>
      <x:c r="AM261" s="34" t="str">
        <x:v>PORT-9E76B3BFF9FF</x:v>
      </x:c>
      <x:c r="AN261" s="34" t="n">
        <x:v>1000</x:v>
      </x:c>
      <x:c r="AO261" s="34" t="n">
        <x:v>80.124994</x:v>
      </x:c>
      <x:c r="AP261" s="34" t="n">
        <x:v>24.920518</x:v>
      </x:c>
      <x:c r="AQ261" s="34" t="n">
        <x:v>456.103943</x:v>
      </x:c>
      <x:c r="AR261" s="34" t="n">
        <x:v>35619.4</x:v>
      </x:c>
      <x:c r="AS261" s="34" t="n">
        <x:v>78.094918</x:v>
      </x:c>
      <x:c r="AT261" s="40" t="b">
        <x:v>1</x:v>
      </x:c>
      <x:c r="AU261" s="40" t="b">
        <x:v>1</x:v>
      </x:c>
      <x:c r="AV261" s="34" t="str"/>
      <x:c r="AW261" s="34" t="n">
        <x:v>0</x:v>
      </x:c>
      <x:c r="AX261" s="34" t="str">
        <x:v>3.446647212967946e-06</x:v>
      </x:c>
      <x:c r="AY261" s="40" t="b">
        <x:v>1</x:v>
      </x:c>
      <x:c r="AZ261" s="40" t="b">
        <x:v>1</x:v>
      </x:c>
      <x:c r="BA261" s="40" t="b">
        <x:v>1</x:v>
      </x:c>
      <x:c r="BB261" s="40" t="b">
        <x:v>1</x:v>
      </x:c>
      <x:c r="BC261" s="34" t="str"/>
      <x:c r="BD261" s="34" t="n">
        <x:v>0</x:v>
      </x:c>
      <x:c r="BE261" s="34" t="n">
        <x:v>0</x:v>
      </x:c>
      <x:c r="BF261" s="34" t="n">
        <x:v>0</x:v>
      </x:c>
      <x:c r="BG261" s="34" t="n">
        <x:v>2</x:v>
      </x:c>
      <x:c r="BH261" s="34" t="n">
        <x:v>2</x:v>
      </x:c>
      <x:c r="BI261" s="34" t="n">
        <x:v>0.47641018879999986</x:v>
      </x:c>
      <x:c r="BJ261" s="34" t="n">
        <x:v>0.65</x:v>
      </x:c>
      <x:c r="BK261" s="34" t="n">
        <x:v>2.16</x:v>
      </x:c>
    </x:row>
    <x:row r="262">
      <x:c r="A262" s="34" t="str">
        <x:v>NIPPON_STEEL_JP</x:v>
      </x:c>
      <x:c r="B262" s="34" t="str">
        <x:v>Nippon Steel</x:v>
      </x:c>
      <x:c r="C262" s="34" t="str">
        <x:v>ACCELERATED_15C</x:v>
      </x:c>
      <x:c r="D262" s="34" t="str">
        <x:v>P2</x:v>
      </x:c>
      <x:c r="E262" s="34" t="str">
        <x:v>NS-NAGOYA</x:v>
      </x:c>
      <x:c r="F262" s="34" t="str">
        <x:v>Nagoya Works 블록</x:v>
      </x:c>
      <x:c r="G262" s="34" t="str">
        <x:v>나고야</x:v>
      </x:c>
      <x:c r="H262" s="34" t="n">
        <x:v>2032</x:v>
      </x:c>
      <x:c r="I262" s="34" t="str">
        <x:v>BF_BOF</x:v>
      </x:c>
      <x:c r="J262" s="34" t="str">
        <x:v>기준 BF-BOF 복합 블록</x:v>
      </x:c>
      <x:c r="K262" s="34" t="str">
        <x:v>H2_DRI_EAF</x:v>
      </x:c>
      <x:c r="L262" s="34" t="str">
        <x:v>수소 DRI + EAF</x:v>
      </x:c>
      <x:c r="M262" s="34" t="n">
        <x:v>6930</x:v>
      </x:c>
      <x:c r="N262" s="34" t="n">
        <x:v>5390</x:v>
      </x:c>
      <x:c r="O262" s="34" t="n">
        <x:v>7</x:v>
      </x:c>
      <x:c r="P262" s="34" t="n">
        <x:v>6.199998</x:v>
      </x:c>
      <x:c r="Q262" s="34" t="n">
        <x:v>13.123027</x:v>
      </x:c>
      <x:c r="R262" s="34" t="n">
        <x:v>13.123027</x:v>
      </x:c>
      <x:c r="S262" s="34" t="n">
        <x:v>1.24</x:v>
      </x:c>
      <x:c r="T262" s="34" t="n">
        <x:v>1.24</x:v>
      </x:c>
      <x:c r="U262" s="34" t="n">
        <x:v>11.883028</x:v>
      </x:c>
      <x:c r="V262" s="34" t="n">
        <x:v>106.94725</x:v>
      </x:c>
      <x:c r="W262" s="34" t="n">
        <x:v>24550.327</x:v>
      </x:c>
      <x:c r="X262" s="34" t="n">
        <x:v>2237.137</x:v>
      </x:c>
      <x:c r="Y262" s="34" t="n">
        <x:v>30112.493</x:v>
      </x:c>
      <x:c r="Z262" s="34" t="n">
        <x:v>27875.356</x:v>
      </x:c>
      <x:c r="AA262" s="34" t="n">
        <x:v>5562.166</x:v>
      </x:c>
      <x:c r="AB262" s="34" t="n">
        <x:v>22313.19</x:v>
      </x:c>
      <x:c r="AC262" s="34" t="n">
        <x:v>3705.284</x:v>
      </x:c>
      <x:c r="AD262" s="34" t="n">
        <x:v>406.389</x:v>
      </x:c>
      <x:c r="AE262" s="34" t="n">
        <x:v>3191.385</x:v>
      </x:c>
      <x:c r="AF262" s="34" t="n">
        <x:v>22774.462</x:v>
      </x:c>
      <x:c r="AG262" s="34" t="n">
        <x:v>34.972</x:v>
      </x:c>
      <x:c r="AH262" s="34" t="n">
        <x:v>-5562.166</x:v>
      </x:c>
      <x:c r="AI262" s="34" t="str">
        <x:v>model_estimate</x:v>
      </x:c>
      <x:c r="AJ262" s="34" t="str">
        <x:v>Nippon Steel 공식 생산·배출·용량 총량에 맞춘 지역 블록 배분</x:v>
      </x:c>
      <x:c r="AK262" s="34" t="str">
        <x:v>CAND-EBD30C485CEFDA</x:v>
      </x:c>
      <x:c r="AL262" s="34" t="str">
        <x:v>P2</x:v>
      </x:c>
      <x:c r="AM262" s="34" t="str">
        <x:v>PORT-9E76B3BFF9FF</x:v>
      </x:c>
      <x:c r="AN262" s="34" t="n">
        <x:v>1000</x:v>
      </x:c>
      <x:c r="AO262" s="34" t="n">
        <x:v>80.124994</x:v>
      </x:c>
      <x:c r="AP262" s="34" t="n">
        <x:v>24.920518</x:v>
      </x:c>
      <x:c r="AQ262" s="34" t="n">
        <x:v>456.103943</x:v>
      </x:c>
      <x:c r="AR262" s="34" t="n">
        <x:v>35619.4</x:v>
      </x:c>
      <x:c r="AS262" s="34" t="n">
        <x:v>78.094918</x:v>
      </x:c>
      <x:c r="AT262" s="40" t="b">
        <x:v>1</x:v>
      </x:c>
      <x:c r="AU262" s="40" t="b">
        <x:v>1</x:v>
      </x:c>
      <x:c r="AV262" s="34" t="str"/>
      <x:c r="AW262" s="34" t="n">
        <x:v>0</x:v>
      </x:c>
      <x:c r="AX262" s="34" t="str">
        <x:v>3.446647212967946e-06</x:v>
      </x:c>
      <x:c r="AY262" s="40" t="b">
        <x:v>1</x:v>
      </x:c>
      <x:c r="AZ262" s="40" t="b">
        <x:v>1</x:v>
      </x:c>
      <x:c r="BA262" s="40" t="b">
        <x:v>1</x:v>
      </x:c>
      <x:c r="BB262" s="40" t="b">
        <x:v>1</x:v>
      </x:c>
      <x:c r="BC262" s="34" t="str"/>
      <x:c r="BD262" s="34" t="n">
        <x:v>0</x:v>
      </x:c>
      <x:c r="BE262" s="34" t="n">
        <x:v>0</x:v>
      </x:c>
      <x:c r="BF262" s="34" t="n">
        <x:v>0</x:v>
      </x:c>
      <x:c r="BG262" s="34" t="n">
        <x:v>2</x:v>
      </x:c>
      <x:c r="BH262" s="34" t="n">
        <x:v>2</x:v>
      </x:c>
      <x:c r="BI262" s="34" t="n">
        <x:v>0.47641018879999986</x:v>
      </x:c>
      <x:c r="BJ262" s="34" t="n">
        <x:v>0.65</x:v>
      </x:c>
      <x:c r="BK262" s="34" t="n">
        <x:v>2.16</x:v>
      </x:c>
    </x:row>
    <x:row r="263">
      <x:c r="A263" s="34" t="str">
        <x:v>NIPPON_STEEL_JP</x:v>
      </x:c>
      <x:c r="B263" s="34" t="str">
        <x:v>Nippon Steel</x:v>
      </x:c>
      <x:c r="C263" s="34" t="str">
        <x:v>ACCELERATED_15C</x:v>
      </x:c>
      <x:c r="D263" s="34" t="str">
        <x:v>P2</x:v>
      </x:c>
      <x:c r="E263" s="34" t="str">
        <x:v>NS-SETOUCHI</x:v>
      </x:c>
      <x:c r="F263" s="34" t="str">
        <x:v>Setouchi Works Hirohata 블록</x:v>
      </x:c>
      <x:c r="G263" s="34" t="str">
        <x:v>세토우치</x:v>
      </x:c>
      <x:c r="H263" s="34" t="n">
        <x:v>2038</x:v>
      </x:c>
      <x:c r="I263" s="34" t="str">
        <x:v>BF_BOF</x:v>
      </x:c>
      <x:c r="J263" s="34" t="str">
        <x:v>기준 BF-BOF 복합 블록</x:v>
      </x:c>
      <x:c r="K263" s="34" t="str">
        <x:v>SCRAP_EAF</x:v>
      </x:c>
      <x:c r="L263" s="34" t="str">
        <x:v>스크랩 기반 대형 EAF</x:v>
      </x:c>
      <x:c r="M263" s="34" t="n">
        <x:v>4620</x:v>
      </x:c>
      <x:c r="N263" s="34" t="n">
        <x:v>2970</x:v>
      </x:c>
      <x:c r="O263" s="34" t="n">
        <x:v>7.5</x:v>
      </x:c>
      <x:c r="P263" s="34" t="n">
        <x:v>6.3</x:v>
      </x:c>
      <x:c r="Q263" s="34" t="n">
        <x:v>13.334693</x:v>
      </x:c>
      <x:c r="R263" s="34" t="n">
        <x:v>13.334693</x:v>
      </x:c>
      <x:c r="S263" s="34" t="n">
        <x:v>2.835</x:v>
      </x:c>
      <x:c r="T263" s="34" t="n">
        <x:v>2.835</x:v>
      </x:c>
      <x:c r="U263" s="34" t="n">
        <x:v>10.499693</x:v>
      </x:c>
      <x:c r="V263" s="34" t="n">
        <x:v>31.49908</x:v>
      </x:c>
      <x:c r="W263" s="34" t="n">
        <x:v>1066.672</x:v>
      </x:c>
      <x:c r="X263" s="34" t="n">
        <x:v>445.106</x:v>
      </x:c>
      <x:c r="Y263" s="34" t="n">
        <x:v>2700.03</x:v>
      </x:c>
      <x:c r="Z263" s="34" t="n">
        <x:v>2254.924</x:v>
      </x:c>
      <x:c r="AA263" s="34" t="n">
        <x:v>1633.359</x:v>
      </x:c>
      <x:c r="AB263" s="34" t="n">
        <x:v>621.566</x:v>
      </x:c>
      <x:c r="AC263" s="34" t="n">
        <x:v>1480.725</x:v>
      </x:c>
      <x:c r="AD263" s="34" t="n">
        <x:v>53.641</x:v>
      </x:c>
      <x:c r="AE263" s="34" t="n">
        <x:v>1160.962</x:v>
      </x:c>
      <x:c r="AF263" s="34" t="n">
        <x:v>0</x:v>
      </x:c>
      <x:c r="AG263" s="34" t="n">
        <x:v>4.703</x:v>
      </x:c>
      <x:c r="AH263" s="34" t="n">
        <x:v>-1633.359</x:v>
      </x:c>
      <x:c r="AI263" s="34" t="str">
        <x:v>model_estimate</x:v>
      </x:c>
      <x:c r="AJ263" s="34" t="str">
        <x:v>Hirohata EAF 투자 방향을 반영한 복합 블록; 생산량·재투자연도 추정</x:v>
      </x:c>
      <x:c r="AK263" s="34" t="str">
        <x:v>CAND-EBD30C485CEFDA</x:v>
      </x:c>
      <x:c r="AL263" s="34" t="str">
        <x:v>P2</x:v>
      </x:c>
      <x:c r="AM263" s="34" t="str">
        <x:v>PORT-9E76B3BFF9FF</x:v>
      </x:c>
      <x:c r="AN263" s="34" t="n">
        <x:v>1000</x:v>
      </x:c>
      <x:c r="AO263" s="34" t="n">
        <x:v>80.124994</x:v>
      </x:c>
      <x:c r="AP263" s="34" t="n">
        <x:v>24.920518</x:v>
      </x:c>
      <x:c r="AQ263" s="34" t="n">
        <x:v>456.103943</x:v>
      </x:c>
      <x:c r="AR263" s="34" t="n">
        <x:v>35619.4</x:v>
      </x:c>
      <x:c r="AS263" s="34" t="n">
        <x:v>78.094918</x:v>
      </x:c>
      <x:c r="AT263" s="40" t="b">
        <x:v>1</x:v>
      </x:c>
      <x:c r="AU263" s="40" t="b">
        <x:v>1</x:v>
      </x:c>
      <x:c r="AV263" s="34" t="str"/>
      <x:c r="AW263" s="34" t="n">
        <x:v>0</x:v>
      </x:c>
      <x:c r="AX263" s="34" t="str">
        <x:v>3.446647212967946e-06</x:v>
      </x:c>
      <x:c r="AY263" s="40" t="b">
        <x:v>1</x:v>
      </x:c>
      <x:c r="AZ263" s="40" t="b">
        <x:v>1</x:v>
      </x:c>
      <x:c r="BA263" s="40" t="b">
        <x:v>1</x:v>
      </x:c>
      <x:c r="BB263" s="40" t="b">
        <x:v>1</x:v>
      </x:c>
      <x:c r="BC263" s="34" t="str"/>
      <x:c r="BD263" s="34" t="n">
        <x:v>0</x:v>
      </x:c>
      <x:c r="BE263" s="34" t="n">
        <x:v>0</x:v>
      </x:c>
      <x:c r="BF263" s="34" t="n">
        <x:v>0</x:v>
      </x:c>
      <x:c r="BG263" s="34" t="n">
        <x:v>2</x:v>
      </x:c>
      <x:c r="BH263" s="34" t="n">
        <x:v>2</x:v>
      </x:c>
      <x:c r="BI263" s="34" t="n">
        <x:v>0.47641018879999986</x:v>
      </x:c>
      <x:c r="BJ263" s="34" t="n">
        <x:v>0.65</x:v>
      </x:c>
      <x:c r="BK263" s="34" t="n">
        <x:v>2.16</x:v>
      </x:c>
    </x:row>
    <x:row r="264">
      <x:c r="A264" s="34" t="str">
        <x:v>NIPPON_STEEL_JP</x:v>
      </x:c>
      <x:c r="B264" s="34" t="str">
        <x:v>Nippon Steel</x:v>
      </x:c>
      <x:c r="C264" s="34" t="str">
        <x:v>DISCLOSED_PATH</x:v>
      </x:c>
      <x:c r="D264" s="34" t="str">
        <x:v>P3</x:v>
      </x:c>
      <x:c r="E264" s="34" t="str">
        <x:v>NS-EAST</x:v>
      </x:c>
      <x:c r="F264" s="34" t="str">
        <x:v>East Nippon Works 블록</x:v>
      </x:c>
      <x:c r="G264" s="34" t="str">
        <x:v>동일본</x:v>
      </x:c>
      <x:c r="H264" s="34" t="n">
        <x:v>2034</x:v>
      </x:c>
      <x:c r="I264" s="34" t="str">
        <x:v>BF_BOF</x:v>
      </x:c>
      <x:c r="J264" s="34" t="str">
        <x:v>기준 BF-BOF 복합 블록</x:v>
      </x:c>
      <x:c r="K264" s="34" t="str">
        <x:v>H2_DRI_EAF</x:v>
      </x:c>
      <x:c r="L264" s="34" t="str">
        <x:v>수소 DRI + EAF</x:v>
      </x:c>
      <x:c r="M264" s="34" t="n">
        <x:v>8019</x:v>
      </x:c>
      <x:c r="N264" s="34" t="n">
        <x:v>6237</x:v>
      </x:c>
      <x:c r="O264" s="34" t="n">
        <x:v>8.1</x:v>
      </x:c>
      <x:c r="P264" s="34" t="n">
        <x:v>7.200001</x:v>
      </x:c>
      <x:c r="Q264" s="34" t="n">
        <x:v>15.239652</x:v>
      </x:c>
      <x:c r="R264" s="34" t="n">
        <x:v>15.239652</x:v>
      </x:c>
      <x:c r="S264" s="34" t="n">
        <x:v>1.44</x:v>
      </x:c>
      <x:c r="T264" s="34" t="n">
        <x:v>1.44</x:v>
      </x:c>
      <x:c r="U264" s="34" t="n">
        <x:v>13.799651</x:v>
      </x:c>
      <x:c r="V264" s="34" t="n">
        <x:v>96.597559</x:v>
      </x:c>
      <x:c r="W264" s="34" t="n">
        <x:v>21394.63</x:v>
      </x:c>
      <x:c r="X264" s="34" t="n">
        <x:v>2398.435</x:v>
      </x:c>
      <x:c r="Y264" s="34" t="n">
        <x:v>24786.515</x:v>
      </x:c>
      <x:c r="Z264" s="34" t="n">
        <x:v>22388.08</x:v>
      </x:c>
      <x:c r="AA264" s="34" t="n">
        <x:v>3391.885</x:v>
      </x:c>
      <x:c r="AB264" s="34" t="n">
        <x:v>18996.195</x:v>
      </x:c>
      <x:c r="AC264" s="34" t="n">
        <x:v>3852.154</x:v>
      </x:c>
      <x:c r="AD264" s="34" t="n">
        <x:v>346.602</x:v>
      </x:c>
      <x:c r="AE264" s="34" t="n">
        <x:v>2483.549</x:v>
      </x:c>
      <x:c r="AF264" s="34" t="n">
        <x:v>18005.29</x:v>
      </x:c>
      <x:c r="AG264" s="34" t="n">
        <x:v>98.92</x:v>
      </x:c>
      <x:c r="AH264" s="34" t="n">
        <x:v>-3391.885</x:v>
      </x:c>
      <x:c r="AI264" s="34" t="str">
        <x:v>model_estimate</x:v>
      </x:c>
      <x:c r="AJ264" s="34" t="str">
        <x:v>Nippon Steel 공식 생산·배출·용량 총량에 맞춘 지역 블록 배분</x:v>
      </x:c>
      <x:c r="AK264" s="34" t="str">
        <x:v>CAND-EF9F86F64A1C2A</x:v>
      </x:c>
      <x:c r="AL264" s="34" t="str">
        <x:v>P3</x:v>
      </x:c>
      <x:c r="AM264" s="34" t="str">
        <x:v>PORT-00B029BF7478</x:v>
      </x:c>
      <x:c r="AN264" s="34" t="n">
        <x:v>1000</x:v>
      </x:c>
      <x:c r="AO264" s="34" t="n">
        <x:v>94.32035</x:v>
      </x:c>
      <x:c r="AP264" s="34" t="n">
        <x:v>19.402731</x:v>
      </x:c>
      <x:c r="AQ264" s="34" t="n">
        <x:v>459.478949</x:v>
      </x:c>
      <x:c r="AR264" s="34" t="n">
        <x:v>42624.951</x:v>
      </x:c>
      <x:c r="AS264" s="34" t="n">
        <x:v>92.768018</x:v>
      </x:c>
      <x:c r="AT264" s="40" t="b">
        <x:v>1</x:v>
      </x:c>
      <x:c r="AU264" s="40" t="b">
        <x:v>1</x:v>
      </x:c>
      <x:c r="AV264" s="34" t="str"/>
      <x:c r="AW264" s="34" t="n">
        <x:v>0</x:v>
      </x:c>
      <x:c r="AX264" s="34" t="str">
        <x:v>3.446647212967946e-06</x:v>
      </x:c>
      <x:c r="AY264" s="40" t="b">
        <x:v>1</x:v>
      </x:c>
      <x:c r="AZ264" s="40" t="b">
        <x:v>1</x:v>
      </x:c>
      <x:c r="BA264" s="40" t="b">
        <x:v>1</x:v>
      </x:c>
      <x:c r="BB264" s="40" t="b">
        <x:v>1</x:v>
      </x:c>
      <x:c r="BC264" s="34" t="str"/>
      <x:c r="BD264" s="34" t="n">
        <x:v>0</x:v>
      </x:c>
      <x:c r="BE264" s="34" t="n">
        <x:v>0</x:v>
      </x:c>
      <x:c r="BF264" s="34" t="n">
        <x:v>0</x:v>
      </x:c>
      <x:c r="BG264" s="34" t="n">
        <x:v>2</x:v>
      </x:c>
      <x:c r="BH264" s="34" t="n">
        <x:v>2</x:v>
      </x:c>
      <x:c r="BI264" s="34" t="n">
        <x:v>0.5333221247999997</x:v>
      </x:c>
      <x:c r="BJ264" s="34" t="n">
        <x:v>0.65</x:v>
      </x:c>
      <x:c r="BK264" s="34" t="n">
        <x:v>2.6399999999999997</x:v>
      </x:c>
    </x:row>
    <x:row r="265">
      <x:c r="A265" s="34" t="str">
        <x:v>NIPPON_STEEL_JP</x:v>
      </x:c>
      <x:c r="B265" s="34" t="str">
        <x:v>Nippon Steel</x:v>
      </x:c>
      <x:c r="C265" s="34" t="str">
        <x:v>DISCLOSED_PATH</x:v>
      </x:c>
      <x:c r="D265" s="34" t="str">
        <x:v>P3</x:v>
      </x:c>
      <x:c r="E265" s="34" t="str">
        <x:v>NS-KANSAI</x:v>
      </x:c>
      <x:c r="F265" s="34" t="str">
        <x:v>Kansai Works 블록</x:v>
      </x:c>
      <x:c r="G265" s="34" t="str">
        <x:v>간사이</x:v>
      </x:c>
      <x:c r="H265" s="34" t="n">
        <x:v>2036</x:v>
      </x:c>
      <x:c r="I265" s="34" t="str">
        <x:v>BF_BOF</x:v>
      </x:c>
      <x:c r="J265" s="34" t="str">
        <x:v>기준 BF-BOF 복합 블록</x:v>
      </x:c>
      <x:c r="K265" s="34" t="str">
        <x:v>H2_DRI_EAF</x:v>
      </x:c>
      <x:c r="L265" s="34" t="str">
        <x:v>수소 DRI + EAF</x:v>
      </x:c>
      <x:c r="M265" s="34" t="n">
        <x:v>6237</x:v>
      </x:c>
      <x:c r="N265" s="34" t="n">
        <x:v>4851</x:v>
      </x:c>
      <x:c r="O265" s="34" t="n">
        <x:v>6.3</x:v>
      </x:c>
      <x:c r="P265" s="34" t="n">
        <x:v>5.600001</x:v>
      </x:c>
      <x:c r="Q265" s="34" t="n">
        <x:v>11.853062</x:v>
      </x:c>
      <x:c r="R265" s="34" t="n">
        <x:v>11.853062</x:v>
      </x:c>
      <x:c r="S265" s="34" t="n">
        <x:v>1.12</x:v>
      </x:c>
      <x:c r="T265" s="34" t="n">
        <x:v>1.12</x:v>
      </x:c>
      <x:c r="U265" s="34" t="n">
        <x:v>10.733062</x:v>
      </x:c>
      <x:c r="V265" s="34" t="n">
        <x:v>53.665311</x:v>
      </x:c>
      <x:c r="W265" s="34" t="n">
        <x:v>11860.997</x:v>
      </x:c>
      <x:c r="X265" s="34" t="n">
        <x:v>1444.305</x:v>
      </x:c>
      <x:c r="Y265" s="34" t="n">
        <x:v>13735.576</x:v>
      </x:c>
      <x:c r="Z265" s="34" t="n">
        <x:v>12291.27</x:v>
      </x:c>
      <x:c r="AA265" s="34" t="n">
        <x:v>1874.579</x:v>
      </x:c>
      <x:c r="AB265" s="34" t="n">
        <x:v>10416.691</x:v>
      </x:c>
      <x:c r="AC265" s="34" t="n">
        <x:v>2691.871</x:v>
      </x:c>
      <x:c r="AD265" s="34" t="n">
        <x:v>181.997</x:v>
      </x:c>
      <x:c r="AE265" s="34" t="n">
        <x:v>1314.06</x:v>
      </x:c>
      <x:c r="AF265" s="34" t="n">
        <x:v>9492.007</x:v>
      </x:c>
      <x:c r="AG265" s="34" t="n">
        <x:v>55.641</x:v>
      </x:c>
      <x:c r="AH265" s="34" t="n">
        <x:v>-1874.579</x:v>
      </x:c>
      <x:c r="AI265" s="34" t="str">
        <x:v>model_estimate</x:v>
      </x:c>
      <x:c r="AJ265" s="34" t="str">
        <x:v>Nippon Steel 공식 생산·배출·용량 총량에 맞춘 지역 블록 배분</x:v>
      </x:c>
      <x:c r="AK265" s="34" t="str">
        <x:v>CAND-EF9F86F64A1C2A</x:v>
      </x:c>
      <x:c r="AL265" s="34" t="str">
        <x:v>P3</x:v>
      </x:c>
      <x:c r="AM265" s="34" t="str">
        <x:v>PORT-00B029BF7478</x:v>
      </x:c>
      <x:c r="AN265" s="34" t="n">
        <x:v>1000</x:v>
      </x:c>
      <x:c r="AO265" s="34" t="n">
        <x:v>94.32035</x:v>
      </x:c>
      <x:c r="AP265" s="34" t="n">
        <x:v>19.402731</x:v>
      </x:c>
      <x:c r="AQ265" s="34" t="n">
        <x:v>459.478949</x:v>
      </x:c>
      <x:c r="AR265" s="34" t="n">
        <x:v>42624.951</x:v>
      </x:c>
      <x:c r="AS265" s="34" t="n">
        <x:v>92.768018</x:v>
      </x:c>
      <x:c r="AT265" s="40" t="b">
        <x:v>1</x:v>
      </x:c>
      <x:c r="AU265" s="40" t="b">
        <x:v>1</x:v>
      </x:c>
      <x:c r="AV265" s="34" t="str"/>
      <x:c r="AW265" s="34" t="n">
        <x:v>0</x:v>
      </x:c>
      <x:c r="AX265" s="34" t="str">
        <x:v>3.446647212967946e-06</x:v>
      </x:c>
      <x:c r="AY265" s="40" t="b">
        <x:v>1</x:v>
      </x:c>
      <x:c r="AZ265" s="40" t="b">
        <x:v>1</x:v>
      </x:c>
      <x:c r="BA265" s="40" t="b">
        <x:v>1</x:v>
      </x:c>
      <x:c r="BB265" s="40" t="b">
        <x:v>1</x:v>
      </x:c>
      <x:c r="BC265" s="34" t="str"/>
      <x:c r="BD265" s="34" t="n">
        <x:v>0</x:v>
      </x:c>
      <x:c r="BE265" s="34" t="n">
        <x:v>0</x:v>
      </x:c>
      <x:c r="BF265" s="34" t="n">
        <x:v>0</x:v>
      </x:c>
      <x:c r="BG265" s="34" t="n">
        <x:v>2</x:v>
      </x:c>
      <x:c r="BH265" s="34" t="n">
        <x:v>2</x:v>
      </x:c>
      <x:c r="BI265" s="34" t="n">
        <x:v>0.5333221247999997</x:v>
      </x:c>
      <x:c r="BJ265" s="34" t="n">
        <x:v>0.65</x:v>
      </x:c>
      <x:c r="BK265" s="34" t="n">
        <x:v>2.6399999999999997</x:v>
      </x:c>
    </x:row>
    <x:row r="266">
      <x:c r="A266" s="34" t="str">
        <x:v>NIPPON_STEEL_JP</x:v>
      </x:c>
      <x:c r="B266" s="34" t="str">
        <x:v>Nippon Steel</x:v>
      </x:c>
      <x:c r="C266" s="34" t="str">
        <x:v>DISCLOSED_PATH</x:v>
      </x:c>
      <x:c r="D266" s="34" t="str">
        <x:v>P3</x:v>
      </x:c>
      <x:c r="E266" s="34" t="str">
        <x:v>NS-KYUSHU</x:v>
      </x:c>
      <x:c r="F266" s="34" t="str">
        <x:v>Kyushu Works Yawata 블록</x:v>
      </x:c>
      <x:c r="G266" s="34" t="str">
        <x:v>규슈</x:v>
      </x:c>
      <x:c r="H266" s="34" t="n">
        <x:v>2029</x:v>
      </x:c>
      <x:c r="I266" s="34" t="str">
        <x:v>BF_BOF</x:v>
      </x:c>
      <x:c r="J266" s="34" t="str">
        <x:v>기준 BF-BOF 복합 블록</x:v>
      </x:c>
      <x:c r="K266" s="34" t="str">
        <x:v>SCRAP_EAF</x:v>
      </x:c>
      <x:c r="L266" s="34" t="str">
        <x:v>스크랩 기반 대형 EAF</x:v>
      </x:c>
      <x:c r="M266" s="34" t="n">
        <x:v>6160</x:v>
      </x:c>
      <x:c r="N266" s="34" t="n">
        <x:v>3960</x:v>
      </x:c>
      <x:c r="O266" s="34" t="n">
        <x:v>10</x:v>
      </x:c>
      <x:c r="P266" s="34" t="n">
        <x:v>9</x:v>
      </x:c>
      <x:c r="Q266" s="34" t="n">
        <x:v>19.049562</x:v>
      </x:c>
      <x:c r="R266" s="34" t="n">
        <x:v>4.05</x:v>
      </x:c>
      <x:c r="S266" s="34" t="n">
        <x:v>4.05</x:v>
      </x:c>
      <x:c r="T266" s="34" t="n">
        <x:v>4.05</x:v>
      </x:c>
      <x:c r="U266" s="34" t="n">
        <x:v>14.999562</x:v>
      </x:c>
      <x:c r="V266" s="34" t="n">
        <x:v>179.994744</x:v>
      </x:c>
      <x:c r="W266" s="34" t="n">
        <x:v>4753.792</x:v>
      </x:c>
      <x:c r="X266" s="34" t="n">
        <x:v>873.395</x:v>
      </x:c>
      <x:c r="Y266" s="34" t="n">
        <x:v>11045.989</x:v>
      </x:c>
      <x:c r="Z266" s="34" t="n">
        <x:v>10172.594</x:v>
      </x:c>
      <x:c r="AA266" s="34" t="n">
        <x:v>6292.198</x:v>
      </x:c>
      <x:c r="AB266" s="34" t="n">
        <x:v>3880.397</x:v>
      </x:c>
      <x:c r="AC266" s="34" t="n">
        <x:v>3196.578</x:v>
      </x:c>
      <x:c r="AD266" s="34" t="n">
        <x:v>462.398</x:v>
      </x:c>
      <x:c r="AE266" s="34" t="n">
        <x:v>7337.214</x:v>
      </x:c>
      <x:c r="AF266" s="34" t="n">
        <x:v>0</x:v>
      </x:c>
      <x:c r="AG266" s="34" t="n">
        <x:v>49.799</x:v>
      </x:c>
      <x:c r="AH266" s="34" t="n">
        <x:v>-6292.198</x:v>
      </x:c>
      <x:c r="AI266" s="34" t="str">
        <x:v>model_estimate</x:v>
      </x:c>
      <x:c r="AJ266" s="34" t="str">
        <x:v>Yawata BF→EAF 공시 방향을 반영해 조기 재투자 창을 설정; 블록 생산량 추정</x:v>
      </x:c>
      <x:c r="AK266" s="34" t="str">
        <x:v>CAND-EF9F86F64A1C2A</x:v>
      </x:c>
      <x:c r="AL266" s="34" t="str">
        <x:v>P3</x:v>
      </x:c>
      <x:c r="AM266" s="34" t="str">
        <x:v>PORT-00B029BF7478</x:v>
      </x:c>
      <x:c r="AN266" s="34" t="n">
        <x:v>1000</x:v>
      </x:c>
      <x:c r="AO266" s="34" t="n">
        <x:v>94.32035</x:v>
      </x:c>
      <x:c r="AP266" s="34" t="n">
        <x:v>19.402731</x:v>
      </x:c>
      <x:c r="AQ266" s="34" t="n">
        <x:v>459.478949</x:v>
      </x:c>
      <x:c r="AR266" s="34" t="n">
        <x:v>42624.951</x:v>
      </x:c>
      <x:c r="AS266" s="34" t="n">
        <x:v>92.768018</x:v>
      </x:c>
      <x:c r="AT266" s="40" t="b">
        <x:v>1</x:v>
      </x:c>
      <x:c r="AU266" s="40" t="b">
        <x:v>1</x:v>
      </x:c>
      <x:c r="AV266" s="34" t="str"/>
      <x:c r="AW266" s="34" t="n">
        <x:v>0</x:v>
      </x:c>
      <x:c r="AX266" s="34" t="str">
        <x:v>3.446647212967946e-06</x:v>
      </x:c>
      <x:c r="AY266" s="40" t="b">
        <x:v>1</x:v>
      </x:c>
      <x:c r="AZ266" s="40" t="b">
        <x:v>1</x:v>
      </x:c>
      <x:c r="BA266" s="40" t="b">
        <x:v>1</x:v>
      </x:c>
      <x:c r="BB266" s="40" t="b">
        <x:v>1</x:v>
      </x:c>
      <x:c r="BC266" s="34" t="str"/>
      <x:c r="BD266" s="34" t="n">
        <x:v>0</x:v>
      </x:c>
      <x:c r="BE266" s="34" t="n">
        <x:v>0</x:v>
      </x:c>
      <x:c r="BF266" s="34" t="n">
        <x:v>0</x:v>
      </x:c>
      <x:c r="BG266" s="34" t="n">
        <x:v>2</x:v>
      </x:c>
      <x:c r="BH266" s="34" t="n">
        <x:v>2</x:v>
      </x:c>
      <x:c r="BI266" s="34" t="n">
        <x:v>0.5333221247999997</x:v>
      </x:c>
      <x:c r="BJ266" s="34" t="n">
        <x:v>0.65</x:v>
      </x:c>
      <x:c r="BK266" s="34" t="n">
        <x:v>2.6399999999999997</x:v>
      </x:c>
    </x:row>
    <x:row r="267">
      <x:c r="A267" s="34" t="str">
        <x:v>NIPPON_STEEL_JP</x:v>
      </x:c>
      <x:c r="B267" s="34" t="str">
        <x:v>Nippon Steel</x:v>
      </x:c>
      <x:c r="C267" s="34" t="str">
        <x:v>DISCLOSED_PATH</x:v>
      </x:c>
      <x:c r="D267" s="34" t="str">
        <x:v>P3</x:v>
      </x:c>
      <x:c r="E267" s="34" t="str">
        <x:v>NS-NAGOYA</x:v>
      </x:c>
      <x:c r="F267" s="34" t="str">
        <x:v>Nagoya Works 블록</x:v>
      </x:c>
      <x:c r="G267" s="34" t="str">
        <x:v>나고야</x:v>
      </x:c>
      <x:c r="H267" s="34" t="n">
        <x:v>2032</x:v>
      </x:c>
      <x:c r="I267" s="34" t="str">
        <x:v>BF_BOF</x:v>
      </x:c>
      <x:c r="J267" s="34" t="str">
        <x:v>기준 BF-BOF 복합 블록</x:v>
      </x:c>
      <x:c r="K267" s="34" t="str">
        <x:v>SCRAP_EAF</x:v>
      </x:c>
      <x:c r="L267" s="34" t="str">
        <x:v>스크랩 기반 대형 EAF</x:v>
      </x:c>
      <x:c r="M267" s="34" t="n">
        <x:v>4312</x:v>
      </x:c>
      <x:c r="N267" s="34" t="n">
        <x:v>2772</x:v>
      </x:c>
      <x:c r="O267" s="34" t="n">
        <x:v>7</x:v>
      </x:c>
      <x:c r="P267" s="34" t="n">
        <x:v>6.199998</x:v>
      </x:c>
      <x:c r="Q267" s="34" t="n">
        <x:v>13.123027</x:v>
      </x:c>
      <x:c r="R267" s="34" t="n">
        <x:v>13.123027</x:v>
      </x:c>
      <x:c r="S267" s="34" t="n">
        <x:v>2.789999</x:v>
      </x:c>
      <x:c r="T267" s="34" t="n">
        <x:v>2.789999</x:v>
      </x:c>
      <x:c r="U267" s="34" t="n">
        <x:v>10.333028</x:v>
      </x:c>
      <x:c r="V267" s="34" t="n">
        <x:v>92.997254</x:v>
      </x:c>
      <x:c r="W267" s="34" t="n">
        <x:v>2365.146</x:v>
      </x:c>
      <x:c r="X267" s="34" t="n">
        <x:v>499.835</x:v>
      </x:c>
      <x:c r="Y267" s="34" t="n">
        <x:v>5635.963</x:v>
      </x:c>
      <x:c r="Z267" s="34" t="n">
        <x:v>5136.128</x:v>
      </x:c>
      <x:c r="AA267" s="34" t="n">
        <x:v>3270.817</x:v>
      </x:c>
      <x:c r="AB267" s="34" t="n">
        <x:v>1865.311</x:v>
      </x:c>
      <x:c r="AC267" s="34" t="n">
        <x:v>1905.575</x:v>
      </x:c>
      <x:c r="AD267" s="34" t="n">
        <x:v>187.564</x:v>
      </x:c>
      <x:c r="AE267" s="34" t="n">
        <x:v>3516.993</x:v>
      </x:c>
      <x:c r="AF267" s="34" t="n">
        <x:v>0</x:v>
      </x:c>
      <x:c r="AG267" s="34" t="n">
        <x:v>25.831</x:v>
      </x:c>
      <x:c r="AH267" s="34" t="n">
        <x:v>-3270.817</x:v>
      </x:c>
      <x:c r="AI267" s="34" t="str">
        <x:v>model_estimate</x:v>
      </x:c>
      <x:c r="AJ267" s="34" t="str">
        <x:v>Nippon Steel 공식 생산·배출·용량 총량에 맞춘 지역 블록 배분</x:v>
      </x:c>
      <x:c r="AK267" s="34" t="str">
        <x:v>CAND-EF9F86F64A1C2A</x:v>
      </x:c>
      <x:c r="AL267" s="34" t="str">
        <x:v>P3</x:v>
      </x:c>
      <x:c r="AM267" s="34" t="str">
        <x:v>PORT-00B029BF7478</x:v>
      </x:c>
      <x:c r="AN267" s="34" t="n">
        <x:v>1000</x:v>
      </x:c>
      <x:c r="AO267" s="34" t="n">
        <x:v>94.32035</x:v>
      </x:c>
      <x:c r="AP267" s="34" t="n">
        <x:v>19.402731</x:v>
      </x:c>
      <x:c r="AQ267" s="34" t="n">
        <x:v>459.478949</x:v>
      </x:c>
      <x:c r="AR267" s="34" t="n">
        <x:v>42624.951</x:v>
      </x:c>
      <x:c r="AS267" s="34" t="n">
        <x:v>92.768018</x:v>
      </x:c>
      <x:c r="AT267" s="40" t="b">
        <x:v>1</x:v>
      </x:c>
      <x:c r="AU267" s="40" t="b">
        <x:v>1</x:v>
      </x:c>
      <x:c r="AV267" s="34" t="str"/>
      <x:c r="AW267" s="34" t="n">
        <x:v>0</x:v>
      </x:c>
      <x:c r="AX267" s="34" t="str">
        <x:v>3.446647212967946e-06</x:v>
      </x:c>
      <x:c r="AY267" s="40" t="b">
        <x:v>1</x:v>
      </x:c>
      <x:c r="AZ267" s="40" t="b">
        <x:v>1</x:v>
      </x:c>
      <x:c r="BA267" s="40" t="b">
        <x:v>1</x:v>
      </x:c>
      <x:c r="BB267" s="40" t="b">
        <x:v>1</x:v>
      </x:c>
      <x:c r="BC267" s="34" t="str"/>
      <x:c r="BD267" s="34" t="n">
        <x:v>0</x:v>
      </x:c>
      <x:c r="BE267" s="34" t="n">
        <x:v>0</x:v>
      </x:c>
      <x:c r="BF267" s="34" t="n">
        <x:v>0</x:v>
      </x:c>
      <x:c r="BG267" s="34" t="n">
        <x:v>2</x:v>
      </x:c>
      <x:c r="BH267" s="34" t="n">
        <x:v>2</x:v>
      </x:c>
      <x:c r="BI267" s="34" t="n">
        <x:v>0.5333221247999997</x:v>
      </x:c>
      <x:c r="BJ267" s="34" t="n">
        <x:v>0.65</x:v>
      </x:c>
      <x:c r="BK267" s="34" t="n">
        <x:v>2.6399999999999997</x:v>
      </x:c>
    </x:row>
    <x:row r="268">
      <x:c r="A268" s="34" t="str">
        <x:v>NIPPON_STEEL_JP</x:v>
      </x:c>
      <x:c r="B268" s="34" t="str">
        <x:v>Nippon Steel</x:v>
      </x:c>
      <x:c r="C268" s="34" t="str">
        <x:v>DISCLOSED_PATH</x:v>
      </x:c>
      <x:c r="D268" s="34" t="str">
        <x:v>P3</x:v>
      </x:c>
      <x:c r="E268" s="34" t="str">
        <x:v>NS-SETOUCHI</x:v>
      </x:c>
      <x:c r="F268" s="34" t="str">
        <x:v>Setouchi Works Hirohata 블록</x:v>
      </x:c>
      <x:c r="G268" s="34" t="str">
        <x:v>세토우치</x:v>
      </x:c>
      <x:c r="H268" s="34" t="n">
        <x:v>2038</x:v>
      </x:c>
      <x:c r="I268" s="34" t="str">
        <x:v>BF_BOF</x:v>
      </x:c>
      <x:c r="J268" s="34" t="str">
        <x:v>기준 BF-BOF 복합 블록</x:v>
      </x:c>
      <x:c r="K268" s="34" t="str">
        <x:v>H2_DRI_EAF</x:v>
      </x:c>
      <x:c r="L268" s="34" t="str">
        <x:v>수소 DRI + EAF</x:v>
      </x:c>
      <x:c r="M268" s="34" t="n">
        <x:v>7425</x:v>
      </x:c>
      <x:c r="N268" s="34" t="n">
        <x:v>5775</x:v>
      </x:c>
      <x:c r="O268" s="34" t="n">
        <x:v>7.5</x:v>
      </x:c>
      <x:c r="P268" s="34" t="n">
        <x:v>6.3</x:v>
      </x:c>
      <x:c r="Q268" s="34" t="n">
        <x:v>13.334693</x:v>
      </x:c>
      <x:c r="R268" s="34" t="n">
        <x:v>13.334693</x:v>
      </x:c>
      <x:c r="S268" s="34" t="n">
        <x:v>1.26</x:v>
      </x:c>
      <x:c r="T268" s="34" t="n">
        <x:v>1.26</x:v>
      </x:c>
      <x:c r="U268" s="34" t="n">
        <x:v>12.074693</x:v>
      </x:c>
      <x:c r="V268" s="34" t="n">
        <x:v>36.22408</x:v>
      </x:c>
      <x:c r="W268" s="34" t="n">
        <x:v>8713.179</x:v>
      </x:c>
      <x:c r="X268" s="34" t="n">
        <x:v>1246.821</x:v>
      </x:c>
      <x:c r="Y268" s="34" t="n">
        <x:v>9968.087</x:v>
      </x:c>
      <x:c r="Z268" s="34" t="n">
        <x:v>8721.266</x:v>
      </x:c>
      <x:c r="AA268" s="34" t="n">
        <x:v>1254.908</x:v>
      </x:c>
      <x:c r="AB268" s="34" t="n">
        <x:v>7466.358</x:v>
      </x:c>
      <x:c r="AC268" s="34" t="n">
        <x:v>2879.188</x:v>
      </x:c>
      <x:c r="AD268" s="34" t="n">
        <x:v>116.221</x:v>
      </x:c>
      <x:c r="AE268" s="34" t="n">
        <x:v>845.313</x:v>
      </x:c>
      <x:c r="AF268" s="34" t="n">
        <x:v>6085.624</x:v>
      </x:c>
      <x:c r="AG268" s="34" t="n">
        <x:v>41.741</x:v>
      </x:c>
      <x:c r="AH268" s="34" t="n">
        <x:v>-1254.908</x:v>
      </x:c>
      <x:c r="AI268" s="34" t="str">
        <x:v>model_estimate</x:v>
      </x:c>
      <x:c r="AJ268" s="34" t="str">
        <x:v>Hirohata EAF 투자 방향을 반영한 복합 블록; 생산량·재투자연도 추정</x:v>
      </x:c>
      <x:c r="AK268" s="34" t="str">
        <x:v>CAND-EF9F86F64A1C2A</x:v>
      </x:c>
      <x:c r="AL268" s="34" t="str">
        <x:v>P3</x:v>
      </x:c>
      <x:c r="AM268" s="34" t="str">
        <x:v>PORT-00B029BF7478</x:v>
      </x:c>
      <x:c r="AN268" s="34" t="n">
        <x:v>1000</x:v>
      </x:c>
      <x:c r="AO268" s="34" t="n">
        <x:v>94.32035</x:v>
      </x:c>
      <x:c r="AP268" s="34" t="n">
        <x:v>19.402731</x:v>
      </x:c>
      <x:c r="AQ268" s="34" t="n">
        <x:v>459.478949</x:v>
      </x:c>
      <x:c r="AR268" s="34" t="n">
        <x:v>42624.951</x:v>
      </x:c>
      <x:c r="AS268" s="34" t="n">
        <x:v>92.768018</x:v>
      </x:c>
      <x:c r="AT268" s="40" t="b">
        <x:v>1</x:v>
      </x:c>
      <x:c r="AU268" s="40" t="b">
        <x:v>1</x:v>
      </x:c>
      <x:c r="AV268" s="34" t="str"/>
      <x:c r="AW268" s="34" t="n">
        <x:v>0</x:v>
      </x:c>
      <x:c r="AX268" s="34" t="str">
        <x:v>3.446647212967946e-06</x:v>
      </x:c>
      <x:c r="AY268" s="40" t="b">
        <x:v>1</x:v>
      </x:c>
      <x:c r="AZ268" s="40" t="b">
        <x:v>1</x:v>
      </x:c>
      <x:c r="BA268" s="40" t="b">
        <x:v>1</x:v>
      </x:c>
      <x:c r="BB268" s="40" t="b">
        <x:v>1</x:v>
      </x:c>
      <x:c r="BC268" s="34" t="str"/>
      <x:c r="BD268" s="34" t="n">
        <x:v>0</x:v>
      </x:c>
      <x:c r="BE268" s="34" t="n">
        <x:v>0</x:v>
      </x:c>
      <x:c r="BF268" s="34" t="n">
        <x:v>0</x:v>
      </x:c>
      <x:c r="BG268" s="34" t="n">
        <x:v>2</x:v>
      </x:c>
      <x:c r="BH268" s="34" t="n">
        <x:v>2</x:v>
      </x:c>
      <x:c r="BI268" s="34" t="n">
        <x:v>0.5333221247999997</x:v>
      </x:c>
      <x:c r="BJ268" s="34" t="n">
        <x:v>0.65</x:v>
      </x:c>
      <x:c r="BK268" s="34" t="n">
        <x:v>2.6399999999999997</x:v>
      </x:c>
    </x:row>
    <x:row r="269">
      <x:c r="A269" s="34" t="str">
        <x:v>NIPPON_STEEL_JP</x:v>
      </x:c>
      <x:c r="B269" s="34" t="str">
        <x:v>Nippon Steel</x:v>
      </x:c>
      <x:c r="C269" s="34" t="str">
        <x:v>ACCELERATED_15C</x:v>
      </x:c>
      <x:c r="D269" s="34" t="str">
        <x:v>P3</x:v>
      </x:c>
      <x:c r="E269" s="34" t="str">
        <x:v>NS-EAST</x:v>
      </x:c>
      <x:c r="F269" s="34" t="str">
        <x:v>East Nippon Works 블록</x:v>
      </x:c>
      <x:c r="G269" s="34" t="str">
        <x:v>동일본</x:v>
      </x:c>
      <x:c r="H269" s="34" t="n">
        <x:v>2034</x:v>
      </x:c>
      <x:c r="I269" s="34" t="str">
        <x:v>BF_BOF</x:v>
      </x:c>
      <x:c r="J269" s="34" t="str">
        <x:v>기준 BF-BOF 복합 블록</x:v>
      </x:c>
      <x:c r="K269" s="34" t="str">
        <x:v>H2_DRI_EAF</x:v>
      </x:c>
      <x:c r="L269" s="34" t="str">
        <x:v>수소 DRI + EAF</x:v>
      </x:c>
      <x:c r="M269" s="34" t="n">
        <x:v>8019</x:v>
      </x:c>
      <x:c r="N269" s="34" t="n">
        <x:v>6237</x:v>
      </x:c>
      <x:c r="O269" s="34" t="n">
        <x:v>8.1</x:v>
      </x:c>
      <x:c r="P269" s="34" t="n">
        <x:v>7.200001</x:v>
      </x:c>
      <x:c r="Q269" s="34" t="n">
        <x:v>15.239652</x:v>
      </x:c>
      <x:c r="R269" s="34" t="n">
        <x:v>15.239652</x:v>
      </x:c>
      <x:c r="S269" s="34" t="n">
        <x:v>1.44</x:v>
      </x:c>
      <x:c r="T269" s="34" t="n">
        <x:v>1.44</x:v>
      </x:c>
      <x:c r="U269" s="34" t="n">
        <x:v>13.799651</x:v>
      </x:c>
      <x:c r="V269" s="34" t="n">
        <x:v>96.597559</x:v>
      </x:c>
      <x:c r="W269" s="34" t="n">
        <x:v>21644.942</x:v>
      </x:c>
      <x:c r="X269" s="34" t="n">
        <x:v>3354.746</x:v>
      </x:c>
      <x:c r="Y269" s="34" t="n">
        <x:v>26691.986</x:v>
      </x:c>
      <x:c r="Z269" s="34" t="n">
        <x:v>23337.24</x:v>
      </x:c>
      <x:c r="AA269" s="34" t="n">
        <x:v>5047.043</x:v>
      </x:c>
      <x:c r="AB269" s="34" t="n">
        <x:v>18290.197</x:v>
      </x:c>
      <x:c r="AC269" s="34" t="n">
        <x:v>3852.154</x:v>
      </x:c>
      <x:c r="AD269" s="34" t="n">
        <x:v>346.602</x:v>
      </x:c>
      <x:c r="AE269" s="34" t="n">
        <x:v>2763.891</x:v>
      </x:c>
      <x:c r="AF269" s="34" t="n">
        <x:v>19623.091</x:v>
      </x:c>
      <x:c r="AG269" s="34" t="n">
        <x:v>106.248</x:v>
      </x:c>
      <x:c r="AH269" s="34" t="n">
        <x:v>-5047.043</x:v>
      </x:c>
      <x:c r="AI269" s="34" t="str">
        <x:v>model_estimate</x:v>
      </x:c>
      <x:c r="AJ269" s="34" t="str">
        <x:v>Nippon Steel 공식 생산·배출·용량 총량에 맞춘 지역 블록 배분</x:v>
      </x:c>
      <x:c r="AK269" s="34" t="str">
        <x:v>CAND-EF9F86F64A1C2A</x:v>
      </x:c>
      <x:c r="AL269" s="34" t="str">
        <x:v>P3</x:v>
      </x:c>
      <x:c r="AM269" s="34" t="str">
        <x:v>PORT-00B029BF7478</x:v>
      </x:c>
      <x:c r="AN269" s="34" t="n">
        <x:v>1000</x:v>
      </x:c>
      <x:c r="AO269" s="34" t="n">
        <x:v>83.496806</x:v>
      </x:c>
      <x:c r="AP269" s="34" t="n">
        <x:v>20.616214</x:v>
      </x:c>
      <x:c r="AQ269" s="34" t="n">
        <x:v>459.478949</x:v>
      </x:c>
      <x:c r="AR269" s="34" t="n">
        <x:v>37612.255</x:v>
      </x:c>
      <x:c r="AS269" s="34" t="n">
        <x:v>81.858493</x:v>
      </x:c>
      <x:c r="AT269" s="40" t="b">
        <x:v>1</x:v>
      </x:c>
      <x:c r="AU269" s="40" t="b">
        <x:v>1</x:v>
      </x:c>
      <x:c r="AV269" s="34" t="str"/>
      <x:c r="AW269" s="34" t="n">
        <x:v>0</x:v>
      </x:c>
      <x:c r="AX269" s="34" t="str">
        <x:v>3.446647212967946e-06</x:v>
      </x:c>
      <x:c r="AY269" s="40" t="b">
        <x:v>1</x:v>
      </x:c>
      <x:c r="AZ269" s="40" t="b">
        <x:v>1</x:v>
      </x:c>
      <x:c r="BA269" s="40" t="b">
        <x:v>1</x:v>
      </x:c>
      <x:c r="BB269" s="40" t="b">
        <x:v>1</x:v>
      </x:c>
      <x:c r="BC269" s="34" t="str"/>
      <x:c r="BD269" s="34" t="n">
        <x:v>0</x:v>
      </x:c>
      <x:c r="BE269" s="34" t="n">
        <x:v>0</x:v>
      </x:c>
      <x:c r="BF269" s="34" t="n">
        <x:v>0</x:v>
      </x:c>
      <x:c r="BG269" s="34" t="n">
        <x:v>2</x:v>
      </x:c>
      <x:c r="BH269" s="34" t="n">
        <x:v>2</x:v>
      </x:c>
      <x:c r="BI269" s="34" t="n">
        <x:v>0.5333221247999997</x:v>
      </x:c>
      <x:c r="BJ269" s="34" t="n">
        <x:v>0.65</x:v>
      </x:c>
      <x:c r="BK269" s="34" t="n">
        <x:v>2.6399999999999997</x:v>
      </x:c>
    </x:row>
    <x:row r="270">
      <x:c r="A270" s="34" t="str">
        <x:v>NIPPON_STEEL_JP</x:v>
      </x:c>
      <x:c r="B270" s="34" t="str">
        <x:v>Nippon Steel</x:v>
      </x:c>
      <x:c r="C270" s="34" t="str">
        <x:v>ACCELERATED_15C</x:v>
      </x:c>
      <x:c r="D270" s="34" t="str">
        <x:v>P3</x:v>
      </x:c>
      <x:c r="E270" s="34" t="str">
        <x:v>NS-KANSAI</x:v>
      </x:c>
      <x:c r="F270" s="34" t="str">
        <x:v>Kansai Works 블록</x:v>
      </x:c>
      <x:c r="G270" s="34" t="str">
        <x:v>간사이</x:v>
      </x:c>
      <x:c r="H270" s="34" t="n">
        <x:v>2036</x:v>
      </x:c>
      <x:c r="I270" s="34" t="str">
        <x:v>BF_BOF</x:v>
      </x:c>
      <x:c r="J270" s="34" t="str">
        <x:v>기준 BF-BOF 복합 블록</x:v>
      </x:c>
      <x:c r="K270" s="34" t="str">
        <x:v>H2_DRI_EAF</x:v>
      </x:c>
      <x:c r="L270" s="34" t="str">
        <x:v>수소 DRI + EAF</x:v>
      </x:c>
      <x:c r="M270" s="34" t="n">
        <x:v>6237</x:v>
      </x:c>
      <x:c r="N270" s="34" t="n">
        <x:v>4851</x:v>
      </x:c>
      <x:c r="O270" s="34" t="n">
        <x:v>6.3</x:v>
      </x:c>
      <x:c r="P270" s="34" t="n">
        <x:v>5.600001</x:v>
      </x:c>
      <x:c r="Q270" s="34" t="n">
        <x:v>11.853062</x:v>
      </x:c>
      <x:c r="R270" s="34" t="n">
        <x:v>11.853062</x:v>
      </x:c>
      <x:c r="S270" s="34" t="n">
        <x:v>1.12</x:v>
      </x:c>
      <x:c r="T270" s="34" t="n">
        <x:v>1.12</x:v>
      </x:c>
      <x:c r="U270" s="34" t="n">
        <x:v>10.733062</x:v>
      </x:c>
      <x:c r="V270" s="34" t="n">
        <x:v>53.665311</x:v>
      </x:c>
      <x:c r="W270" s="34" t="n">
        <x:v>12016.929</x:v>
      </x:c>
      <x:c r="X270" s="34" t="n">
        <x:v>1994.58</x:v>
      </x:c>
      <x:c r="Y270" s="34" t="n">
        <x:v>14816.077</x:v>
      </x:c>
      <x:c r="Z270" s="34" t="n">
        <x:v>12821.497</x:v>
      </x:c>
      <x:c r="AA270" s="34" t="n">
        <x:v>2799.149</x:v>
      </x:c>
      <x:c r="AB270" s="34" t="n">
        <x:v>10022.349</x:v>
      </x:c>
      <x:c r="AC270" s="34" t="n">
        <x:v>2691.871</x:v>
      </x:c>
      <x:c r="AD270" s="34" t="n">
        <x:v>181.997</x:v>
      </x:c>
      <x:c r="AE270" s="34" t="n">
        <x:v>1472.667</x:v>
      </x:c>
      <x:c r="AF270" s="34" t="n">
        <x:v>10409.747</x:v>
      </x:c>
      <x:c r="AG270" s="34" t="n">
        <x:v>59.796</x:v>
      </x:c>
      <x:c r="AH270" s="34" t="n">
        <x:v>-2799.149</x:v>
      </x:c>
      <x:c r="AI270" s="34" t="str">
        <x:v>model_estimate</x:v>
      </x:c>
      <x:c r="AJ270" s="34" t="str">
        <x:v>Nippon Steel 공식 생산·배출·용량 총량에 맞춘 지역 블록 배분</x:v>
      </x:c>
      <x:c r="AK270" s="34" t="str">
        <x:v>CAND-EF9F86F64A1C2A</x:v>
      </x:c>
      <x:c r="AL270" s="34" t="str">
        <x:v>P3</x:v>
      </x:c>
      <x:c r="AM270" s="34" t="str">
        <x:v>PORT-00B029BF7478</x:v>
      </x:c>
      <x:c r="AN270" s="34" t="n">
        <x:v>1000</x:v>
      </x:c>
      <x:c r="AO270" s="34" t="n">
        <x:v>83.496806</x:v>
      </x:c>
      <x:c r="AP270" s="34" t="n">
        <x:v>20.616214</x:v>
      </x:c>
      <x:c r="AQ270" s="34" t="n">
        <x:v>459.478949</x:v>
      </x:c>
      <x:c r="AR270" s="34" t="n">
        <x:v>37612.255</x:v>
      </x:c>
      <x:c r="AS270" s="34" t="n">
        <x:v>81.858493</x:v>
      </x:c>
      <x:c r="AT270" s="40" t="b">
        <x:v>1</x:v>
      </x:c>
      <x:c r="AU270" s="40" t="b">
        <x:v>1</x:v>
      </x:c>
      <x:c r="AV270" s="34" t="str"/>
      <x:c r="AW270" s="34" t="n">
        <x:v>0</x:v>
      </x:c>
      <x:c r="AX270" s="34" t="str">
        <x:v>3.446647212967946e-06</x:v>
      </x:c>
      <x:c r="AY270" s="40" t="b">
        <x:v>1</x:v>
      </x:c>
      <x:c r="AZ270" s="40" t="b">
        <x:v>1</x:v>
      </x:c>
      <x:c r="BA270" s="40" t="b">
        <x:v>1</x:v>
      </x:c>
      <x:c r="BB270" s="40" t="b">
        <x:v>1</x:v>
      </x:c>
      <x:c r="BC270" s="34" t="str"/>
      <x:c r="BD270" s="34" t="n">
        <x:v>0</x:v>
      </x:c>
      <x:c r="BE270" s="34" t="n">
        <x:v>0</x:v>
      </x:c>
      <x:c r="BF270" s="34" t="n">
        <x:v>0</x:v>
      </x:c>
      <x:c r="BG270" s="34" t="n">
        <x:v>2</x:v>
      </x:c>
      <x:c r="BH270" s="34" t="n">
        <x:v>2</x:v>
      </x:c>
      <x:c r="BI270" s="34" t="n">
        <x:v>0.5333221247999997</x:v>
      </x:c>
      <x:c r="BJ270" s="34" t="n">
        <x:v>0.65</x:v>
      </x:c>
      <x:c r="BK270" s="34" t="n">
        <x:v>2.6399999999999997</x:v>
      </x:c>
    </x:row>
    <x:row r="271">
      <x:c r="A271" s="34" t="str">
        <x:v>NIPPON_STEEL_JP</x:v>
      </x:c>
      <x:c r="B271" s="34" t="str">
        <x:v>Nippon Steel</x:v>
      </x:c>
      <x:c r="C271" s="34" t="str">
        <x:v>ACCELERATED_15C</x:v>
      </x:c>
      <x:c r="D271" s="34" t="str">
        <x:v>P3</x:v>
      </x:c>
      <x:c r="E271" s="34" t="str">
        <x:v>NS-KYUSHU</x:v>
      </x:c>
      <x:c r="F271" s="34" t="str">
        <x:v>Kyushu Works Yawata 블록</x:v>
      </x:c>
      <x:c r="G271" s="34" t="str">
        <x:v>규슈</x:v>
      </x:c>
      <x:c r="H271" s="34" t="n">
        <x:v>2029</x:v>
      </x:c>
      <x:c r="I271" s="34" t="str">
        <x:v>BF_BOF</x:v>
      </x:c>
      <x:c r="J271" s="34" t="str">
        <x:v>기준 BF-BOF 복합 블록</x:v>
      </x:c>
      <x:c r="K271" s="34" t="str">
        <x:v>SCRAP_EAF</x:v>
      </x:c>
      <x:c r="L271" s="34" t="str">
        <x:v>스크랩 기반 대형 EAF</x:v>
      </x:c>
      <x:c r="M271" s="34" t="n">
        <x:v>6160</x:v>
      </x:c>
      <x:c r="N271" s="34" t="n">
        <x:v>3960</x:v>
      </x:c>
      <x:c r="O271" s="34" t="n">
        <x:v>10</x:v>
      </x:c>
      <x:c r="P271" s="34" t="n">
        <x:v>9</x:v>
      </x:c>
      <x:c r="Q271" s="34" t="n">
        <x:v>19.049562</x:v>
      </x:c>
      <x:c r="R271" s="34" t="n">
        <x:v>4.05</x:v>
      </x:c>
      <x:c r="S271" s="34" t="n">
        <x:v>4.05</x:v>
      </x:c>
      <x:c r="T271" s="34" t="n">
        <x:v>4.05</x:v>
      </x:c>
      <x:c r="U271" s="34" t="n">
        <x:v>14.999562</x:v>
      </x:c>
      <x:c r="V271" s="34" t="n">
        <x:v>179.994744</x:v>
      </x:c>
      <x:c r="W271" s="34" t="n">
        <x:v>2545.209</x:v>
      </x:c>
      <x:c r="X271" s="34" t="n">
        <x:v>988.176</x:v>
      </x:c>
      <x:c r="Y271" s="34" t="n">
        <x:v>11721.143</x:v>
      </x:c>
      <x:c r="Z271" s="34" t="n">
        <x:v>10732.967</x:v>
      </x:c>
      <x:c r="AA271" s="34" t="n">
        <x:v>9175.933</x:v>
      </x:c>
      <x:c r="AB271" s="34" t="n">
        <x:v>1557.033</x:v>
      </x:c>
      <x:c r="AC271" s="34" t="n">
        <x:v>3196.578</x:v>
      </x:c>
      <x:c r="AD271" s="34" t="n">
        <x:v>462.398</x:v>
      </x:c>
      <x:c r="AE271" s="34" t="n">
        <x:v>8009.343</x:v>
      </x:c>
      <x:c r="AF271" s="34" t="n">
        <x:v>0</x:v>
      </x:c>
      <x:c r="AG271" s="34" t="n">
        <x:v>52.824</x:v>
      </x:c>
      <x:c r="AH271" s="34" t="n">
        <x:v>-9175.933</x:v>
      </x:c>
      <x:c r="AI271" s="34" t="str">
        <x:v>model_estimate</x:v>
      </x:c>
      <x:c r="AJ271" s="34" t="str">
        <x:v>Yawata BF→EAF 공시 방향을 반영해 조기 재투자 창을 설정; 블록 생산량 추정</x:v>
      </x:c>
      <x:c r="AK271" s="34" t="str">
        <x:v>CAND-EF9F86F64A1C2A</x:v>
      </x:c>
      <x:c r="AL271" s="34" t="str">
        <x:v>P3</x:v>
      </x:c>
      <x:c r="AM271" s="34" t="str">
        <x:v>PORT-00B029BF7478</x:v>
      </x:c>
      <x:c r="AN271" s="34" t="n">
        <x:v>1000</x:v>
      </x:c>
      <x:c r="AO271" s="34" t="n">
        <x:v>83.496806</x:v>
      </x:c>
      <x:c r="AP271" s="34" t="n">
        <x:v>20.616214</x:v>
      </x:c>
      <x:c r="AQ271" s="34" t="n">
        <x:v>459.478949</x:v>
      </x:c>
      <x:c r="AR271" s="34" t="n">
        <x:v>37612.255</x:v>
      </x:c>
      <x:c r="AS271" s="34" t="n">
        <x:v>81.858493</x:v>
      </x:c>
      <x:c r="AT271" s="40" t="b">
        <x:v>1</x:v>
      </x:c>
      <x:c r="AU271" s="40" t="b">
        <x:v>1</x:v>
      </x:c>
      <x:c r="AV271" s="34" t="str"/>
      <x:c r="AW271" s="34" t="n">
        <x:v>0</x:v>
      </x:c>
      <x:c r="AX271" s="34" t="str">
        <x:v>3.446647212967946e-06</x:v>
      </x:c>
      <x:c r="AY271" s="40" t="b">
        <x:v>1</x:v>
      </x:c>
      <x:c r="AZ271" s="40" t="b">
        <x:v>1</x:v>
      </x:c>
      <x:c r="BA271" s="40" t="b">
        <x:v>1</x:v>
      </x:c>
      <x:c r="BB271" s="40" t="b">
        <x:v>1</x:v>
      </x:c>
      <x:c r="BC271" s="34" t="str"/>
      <x:c r="BD271" s="34" t="n">
        <x:v>0</x:v>
      </x:c>
      <x:c r="BE271" s="34" t="n">
        <x:v>0</x:v>
      </x:c>
      <x:c r="BF271" s="34" t="n">
        <x:v>0</x:v>
      </x:c>
      <x:c r="BG271" s="34" t="n">
        <x:v>2</x:v>
      </x:c>
      <x:c r="BH271" s="34" t="n">
        <x:v>2</x:v>
      </x:c>
      <x:c r="BI271" s="34" t="n">
        <x:v>0.5333221247999997</x:v>
      </x:c>
      <x:c r="BJ271" s="34" t="n">
        <x:v>0.65</x:v>
      </x:c>
      <x:c r="BK271" s="34" t="n">
        <x:v>2.6399999999999997</x:v>
      </x:c>
    </x:row>
    <x:row r="272">
      <x:c r="A272" s="34" t="str">
        <x:v>NIPPON_STEEL_JP</x:v>
      </x:c>
      <x:c r="B272" s="34" t="str">
        <x:v>Nippon Steel</x:v>
      </x:c>
      <x:c r="C272" s="34" t="str">
        <x:v>ACCELERATED_15C</x:v>
      </x:c>
      <x:c r="D272" s="34" t="str">
        <x:v>P3</x:v>
      </x:c>
      <x:c r="E272" s="34" t="str">
        <x:v>NS-NAGOYA</x:v>
      </x:c>
      <x:c r="F272" s="34" t="str">
        <x:v>Nagoya Works 블록</x:v>
      </x:c>
      <x:c r="G272" s="34" t="str">
        <x:v>나고야</x:v>
      </x:c>
      <x:c r="H272" s="34" t="n">
        <x:v>2032</x:v>
      </x:c>
      <x:c r="I272" s="34" t="str">
        <x:v>BF_BOF</x:v>
      </x:c>
      <x:c r="J272" s="34" t="str">
        <x:v>기준 BF-BOF 복합 블록</x:v>
      </x:c>
      <x:c r="K272" s="34" t="str">
        <x:v>SCRAP_EAF</x:v>
      </x:c>
      <x:c r="L272" s="34" t="str">
        <x:v>스크랩 기반 대형 EAF</x:v>
      </x:c>
      <x:c r="M272" s="34" t="n">
        <x:v>4312</x:v>
      </x:c>
      <x:c r="N272" s="34" t="n">
        <x:v>2772</x:v>
      </x:c>
      <x:c r="O272" s="34" t="n">
        <x:v>7</x:v>
      </x:c>
      <x:c r="P272" s="34" t="n">
        <x:v>6.199998</x:v>
      </x:c>
      <x:c r="Q272" s="34" t="n">
        <x:v>13.123027</x:v>
      </x:c>
      <x:c r="R272" s="34" t="n">
        <x:v>13.123027</x:v>
      </x:c>
      <x:c r="S272" s="34" t="n">
        <x:v>2.789999</x:v>
      </x:c>
      <x:c r="T272" s="34" t="n">
        <x:v>2.789999</x:v>
      </x:c>
      <x:c r="U272" s="34" t="n">
        <x:v>10.333028</x:v>
      </x:c>
      <x:c r="V272" s="34" t="n">
        <x:v>92.997254</x:v>
      </x:c>
      <x:c r="W272" s="34" t="n">
        <x:v>1169.143</x:v>
      </x:c>
      <x:c r="X272" s="34" t="n">
        <x:v>575.125</x:v>
      </x:c>
      <x:c r="Y272" s="34" t="n">
        <x:v>6005.791</x:v>
      </x:c>
      <x:c r="Z272" s="34" t="n">
        <x:v>5430.665</x:v>
      </x:c>
      <x:c r="AA272" s="34" t="n">
        <x:v>4836.648</x:v>
      </x:c>
      <x:c r="AB272" s="34" t="n">
        <x:v>594.018</x:v>
      </x:c>
      <x:c r="AC272" s="34" t="n">
        <x:v>1905.575</x:v>
      </x:c>
      <x:c r="AD272" s="34" t="n">
        <x:v>187.564</x:v>
      </x:c>
      <x:c r="AE272" s="34" t="n">
        <x:v>3885.164</x:v>
      </x:c>
      <x:c r="AF272" s="34" t="n">
        <x:v>0</x:v>
      </x:c>
      <x:c r="AG272" s="34" t="n">
        <x:v>27.488</x:v>
      </x:c>
      <x:c r="AH272" s="34" t="n">
        <x:v>-4836.648</x:v>
      </x:c>
      <x:c r="AI272" s="34" t="str">
        <x:v>model_estimate</x:v>
      </x:c>
      <x:c r="AJ272" s="34" t="str">
        <x:v>Nippon Steel 공식 생산·배출·용량 총량에 맞춘 지역 블록 배분</x:v>
      </x:c>
      <x:c r="AK272" s="34" t="str">
        <x:v>CAND-EF9F86F64A1C2A</x:v>
      </x:c>
      <x:c r="AL272" s="34" t="str">
        <x:v>P3</x:v>
      </x:c>
      <x:c r="AM272" s="34" t="str">
        <x:v>PORT-00B029BF7478</x:v>
      </x:c>
      <x:c r="AN272" s="34" t="n">
        <x:v>1000</x:v>
      </x:c>
      <x:c r="AO272" s="34" t="n">
        <x:v>83.496806</x:v>
      </x:c>
      <x:c r="AP272" s="34" t="n">
        <x:v>20.616214</x:v>
      </x:c>
      <x:c r="AQ272" s="34" t="n">
        <x:v>459.478949</x:v>
      </x:c>
      <x:c r="AR272" s="34" t="n">
        <x:v>37612.255</x:v>
      </x:c>
      <x:c r="AS272" s="34" t="n">
        <x:v>81.858493</x:v>
      </x:c>
      <x:c r="AT272" s="40" t="b">
        <x:v>1</x:v>
      </x:c>
      <x:c r="AU272" s="40" t="b">
        <x:v>1</x:v>
      </x:c>
      <x:c r="AV272" s="34" t="str"/>
      <x:c r="AW272" s="34" t="n">
        <x:v>0</x:v>
      </x:c>
      <x:c r="AX272" s="34" t="str">
        <x:v>3.446647212967946e-06</x:v>
      </x:c>
      <x:c r="AY272" s="40" t="b">
        <x:v>1</x:v>
      </x:c>
      <x:c r="AZ272" s="40" t="b">
        <x:v>1</x:v>
      </x:c>
      <x:c r="BA272" s="40" t="b">
        <x:v>1</x:v>
      </x:c>
      <x:c r="BB272" s="40" t="b">
        <x:v>1</x:v>
      </x:c>
      <x:c r="BC272" s="34" t="str"/>
      <x:c r="BD272" s="34" t="n">
        <x:v>0</x:v>
      </x:c>
      <x:c r="BE272" s="34" t="n">
        <x:v>0</x:v>
      </x:c>
      <x:c r="BF272" s="34" t="n">
        <x:v>0</x:v>
      </x:c>
      <x:c r="BG272" s="34" t="n">
        <x:v>2</x:v>
      </x:c>
      <x:c r="BH272" s="34" t="n">
        <x:v>2</x:v>
      </x:c>
      <x:c r="BI272" s="34" t="n">
        <x:v>0.5333221247999997</x:v>
      </x:c>
      <x:c r="BJ272" s="34" t="n">
        <x:v>0.65</x:v>
      </x:c>
      <x:c r="BK272" s="34" t="n">
        <x:v>2.6399999999999997</x:v>
      </x:c>
    </x:row>
    <x:row r="273">
      <x:c r="A273" s="34" t="str">
        <x:v>NIPPON_STEEL_JP</x:v>
      </x:c>
      <x:c r="B273" s="34" t="str">
        <x:v>Nippon Steel</x:v>
      </x:c>
      <x:c r="C273" s="34" t="str">
        <x:v>ACCELERATED_15C</x:v>
      </x:c>
      <x:c r="D273" s="34" t="str">
        <x:v>P3</x:v>
      </x:c>
      <x:c r="E273" s="34" t="str">
        <x:v>NS-SETOUCHI</x:v>
      </x:c>
      <x:c r="F273" s="34" t="str">
        <x:v>Setouchi Works Hirohata 블록</x:v>
      </x:c>
      <x:c r="G273" s="34" t="str">
        <x:v>세토우치</x:v>
      </x:c>
      <x:c r="H273" s="34" t="n">
        <x:v>2038</x:v>
      </x:c>
      <x:c r="I273" s="34" t="str">
        <x:v>BF_BOF</x:v>
      </x:c>
      <x:c r="J273" s="34" t="str">
        <x:v>기준 BF-BOF 복합 블록</x:v>
      </x:c>
      <x:c r="K273" s="34" t="str">
        <x:v>H2_DRI_EAF</x:v>
      </x:c>
      <x:c r="L273" s="34" t="str">
        <x:v>수소 DRI + EAF</x:v>
      </x:c>
      <x:c r="M273" s="34" t="n">
        <x:v>7425</x:v>
      </x:c>
      <x:c r="N273" s="34" t="n">
        <x:v>5775</x:v>
      </x:c>
      <x:c r="O273" s="34" t="n">
        <x:v>7.5</x:v>
      </x:c>
      <x:c r="P273" s="34" t="n">
        <x:v>6.3</x:v>
      </x:c>
      <x:c r="Q273" s="34" t="n">
        <x:v>13.334693</x:v>
      </x:c>
      <x:c r="R273" s="34" t="n">
        <x:v>13.334693</x:v>
      </x:c>
      <x:c r="S273" s="34" t="n">
        <x:v>1.26</x:v>
      </x:c>
      <x:c r="T273" s="34" t="n">
        <x:v>1.26</x:v>
      </x:c>
      <x:c r="U273" s="34" t="n">
        <x:v>12.074693</x:v>
      </x:c>
      <x:c r="V273" s="34" t="n">
        <x:v>36.22408</x:v>
      </x:c>
      <x:c r="W273" s="34" t="n">
        <x:v>8829.358</x:v>
      </x:c>
      <x:c r="X273" s="34" t="n">
        <x:v>1680.7</x:v>
      </x:c>
      <x:c r="Y273" s="34" t="n">
        <x:v>10707.727</x:v>
      </x:c>
      <x:c r="Z273" s="34" t="n">
        <x:v>9027.028</x:v>
      </x:c>
      <x:c r="AA273" s="34" t="n">
        <x:v>1878.37</x:v>
      </x:c>
      <x:c r="AB273" s="34" t="n">
        <x:v>7148.658</x:v>
      </x:c>
      <x:c r="AC273" s="34" t="n">
        <x:v>2879.188</x:v>
      </x:c>
      <x:c r="AD273" s="34" t="n">
        <x:v>116.221</x:v>
      </x:c>
      <x:c r="AE273" s="34" t="n">
        <x:v>953.647</x:v>
      </x:c>
      <x:c r="AF273" s="34" t="n">
        <x:v>6714.086</x:v>
      </x:c>
      <x:c r="AG273" s="34" t="n">
        <x:v>44.585</x:v>
      </x:c>
      <x:c r="AH273" s="34" t="n">
        <x:v>-1878.37</x:v>
      </x:c>
      <x:c r="AI273" s="34" t="str">
        <x:v>model_estimate</x:v>
      </x:c>
      <x:c r="AJ273" s="34" t="str">
        <x:v>Hirohata EAF 투자 방향을 반영한 복합 블록; 생산량·재투자연도 추정</x:v>
      </x:c>
      <x:c r="AK273" s="34" t="str">
        <x:v>CAND-EF9F86F64A1C2A</x:v>
      </x:c>
      <x:c r="AL273" s="34" t="str">
        <x:v>P3</x:v>
      </x:c>
      <x:c r="AM273" s="34" t="str">
        <x:v>PORT-00B029BF7478</x:v>
      </x:c>
      <x:c r="AN273" s="34" t="n">
        <x:v>1000</x:v>
      </x:c>
      <x:c r="AO273" s="34" t="n">
        <x:v>83.496806</x:v>
      </x:c>
      <x:c r="AP273" s="34" t="n">
        <x:v>20.616214</x:v>
      </x:c>
      <x:c r="AQ273" s="34" t="n">
        <x:v>459.478949</x:v>
      </x:c>
      <x:c r="AR273" s="34" t="n">
        <x:v>37612.255</x:v>
      </x:c>
      <x:c r="AS273" s="34" t="n">
        <x:v>81.858493</x:v>
      </x:c>
      <x:c r="AT273" s="40" t="b">
        <x:v>1</x:v>
      </x:c>
      <x:c r="AU273" s="40" t="b">
        <x:v>1</x:v>
      </x:c>
      <x:c r="AV273" s="34" t="str"/>
      <x:c r="AW273" s="34" t="n">
        <x:v>0</x:v>
      </x:c>
      <x:c r="AX273" s="34" t="str">
        <x:v>3.446647212967946e-06</x:v>
      </x:c>
      <x:c r="AY273" s="40" t="b">
        <x:v>1</x:v>
      </x:c>
      <x:c r="AZ273" s="40" t="b">
        <x:v>1</x:v>
      </x:c>
      <x:c r="BA273" s="40" t="b">
        <x:v>1</x:v>
      </x:c>
      <x:c r="BB273" s="40" t="b">
        <x:v>1</x:v>
      </x:c>
      <x:c r="BC273" s="34" t="str"/>
      <x:c r="BD273" s="34" t="n">
        <x:v>0</x:v>
      </x:c>
      <x:c r="BE273" s="34" t="n">
        <x:v>0</x:v>
      </x:c>
      <x:c r="BF273" s="34" t="n">
        <x:v>0</x:v>
      </x:c>
      <x:c r="BG273" s="34" t="n">
        <x:v>2</x:v>
      </x:c>
      <x:c r="BH273" s="34" t="n">
        <x:v>2</x:v>
      </x:c>
      <x:c r="BI273" s="34" t="n">
        <x:v>0.5333221247999997</x:v>
      </x:c>
      <x:c r="BJ273" s="34" t="n">
        <x:v>0.65</x:v>
      </x:c>
      <x:c r="BK273" s="34" t="n">
        <x:v>2.6399999999999997</x:v>
      </x:c>
    </x:row>
    <x:row r="274">
      <x:c r="A274" s="34" t="str">
        <x:v>JFE_STEEL_JP</x:v>
      </x:c>
      <x:c r="B274" s="34" t="str">
        <x:v>JFE Steel</x:v>
      </x:c>
      <x:c r="C274" s="34" t="str">
        <x:v>DISCLOSED_PATH</x:v>
      </x:c>
      <x:c r="D274" s="34" t="str">
        <x:v>P2</x:v>
      </x:c>
      <x:c r="E274" s="34" t="str">
        <x:v>JFE-CHIBA</x:v>
      </x:c>
      <x:c r="F274" s="34" t="str">
        <x:v>East Japan Works Chiba</x:v>
      </x:c>
      <x:c r="G274" s="34" t="str">
        <x:v>치바</x:v>
      </x:c>
      <x:c r="H274" s="34" t="n">
        <x:v>2036</x:v>
      </x:c>
      <x:c r="I274" s="34" t="str">
        <x:v>BF_BOF</x:v>
      </x:c>
      <x:c r="J274" s="34" t="str">
        <x:v>기준 BF-BOF 복합 블록</x:v>
      </x:c>
      <x:c r="K274" s="34" t="str">
        <x:v>H2_DRI_EAF</x:v>
      </x:c>
      <x:c r="L274" s="34" t="str">
        <x:v>수소 DRI + EAF</x:v>
      </x:c>
      <x:c r="M274" s="34" t="n">
        <x:v>5940</x:v>
      </x:c>
      <x:c r="N274" s="34" t="n">
        <x:v>4620</x:v>
      </x:c>
      <x:c r="O274" s="34" t="n">
        <x:v>6</x:v>
      </x:c>
      <x:c r="P274" s="34" t="n">
        <x:v>5.449998</x:v>
      </x:c>
      <x:c r="Q274" s="34" t="n">
        <x:v>11.528348</x:v>
      </x:c>
      <x:c r="R274" s="34" t="n">
        <x:v>11.528348</x:v>
      </x:c>
      <x:c r="S274" s="34" t="n">
        <x:v>1.09</x:v>
      </x:c>
      <x:c r="T274" s="34" t="n">
        <x:v>1.09</x:v>
      </x:c>
      <x:c r="U274" s="34" t="n">
        <x:v>10.438348</x:v>
      </x:c>
      <x:c r="V274" s="34" t="n">
        <x:v>52.191742</x:v>
      </x:c>
      <x:c r="W274" s="34" t="n">
        <x:v>11436.975</x:v>
      </x:c>
      <x:c r="X274" s="34" t="n">
        <x:v>985.313</x:v>
      </x:c>
      <x:c r="Y274" s="34" t="n">
        <x:v>13260.081</x:v>
      </x:c>
      <x:c r="Z274" s="34" t="n">
        <x:v>12274.768</x:v>
      </x:c>
      <x:c r="AA274" s="34" t="n">
        <x:v>1823.106</x:v>
      </x:c>
      <x:c r="AB274" s="34" t="n">
        <x:v>10451.662</x:v>
      </x:c>
      <x:c r="AC274" s="34" t="n">
        <x:v>2563.687</x:v>
      </x:c>
      <x:c r="AD274" s="34" t="n">
        <x:v>163.497</x:v>
      </x:c>
      <x:c r="AE274" s="34" t="n">
        <x:v>1278.862</x:v>
      </x:c>
      <x:c r="AF274" s="34" t="n">
        <x:v>9237.752</x:v>
      </x:c>
      <x:c r="AG274" s="34" t="n">
        <x:v>16.283</x:v>
      </x:c>
      <x:c r="AH274" s="34" t="n">
        <x:v>-1823.106</x:v>
      </x:c>
      <x:c r="AI274" s="34" t="str">
        <x:v>model_estimate</x:v>
      </x:c>
      <x:c r="AJ274" s="34" t="str">
        <x:v>JFE 공식 생산·배출 총량에 맞춘 설비 블록 배분</x:v>
      </x:c>
      <x:c r="AK274" s="34" t="str">
        <x:v>CAND-F4B6AD5FB08D71</x:v>
      </x:c>
      <x:c r="AL274" s="34" t="str">
        <x:v>P2</x:v>
      </x:c>
      <x:c r="AM274" s="34" t="str">
        <x:v>PORT-51A2628EF9C2</x:v>
      </x:c>
      <x:c r="AN274" s="34" t="n">
        <x:v>1000</x:v>
      </x:c>
      <x:c r="AO274" s="34" t="n">
        <x:v>129.685059</x:v>
      </x:c>
      <x:c r="AP274" s="34" t="n">
        <x:v>32.792823</x:v>
      </x:c>
      <x:c r="AQ274" s="34" t="n">
        <x:v>328.220861</x:v>
      </x:c>
      <x:c r="AR274" s="34" t="n">
        <x:v>41807.514</x:v>
      </x:c>
      <x:c r="AS274" s="34" t="n">
        <x:v>127.376163</x:v>
      </x:c>
      <x:c r="AT274" s="40" t="b">
        <x:v>1</x:v>
      </x:c>
      <x:c r="AU274" s="40" t="b">
        <x:v>1</x:v>
      </x:c>
      <x:c r="AV274" s="34" t="str"/>
      <x:c r="AW274" s="34" t="n">
        <x:v>0</x:v>
      </x:c>
      <x:c r="AX274" s="34" t="str">
        <x:v>1.265341119704999e-05</x:v>
      </x:c>
      <x:c r="AY274" s="40" t="b">
        <x:v>1</x:v>
      </x:c>
      <x:c r="AZ274" s="40" t="b">
        <x:v>1</x:v>
      </x:c>
      <x:c r="BA274" s="40" t="b">
        <x:v>1</x:v>
      </x:c>
      <x:c r="BB274" s="40" t="b">
        <x:v>1</x:v>
      </x:c>
      <x:c r="BC274" s="34" t="str"/>
      <x:c r="BD274" s="34" t="n">
        <x:v>0</x:v>
      </x:c>
      <x:c r="BE274" s="34" t="n">
        <x:v>0</x:v>
      </x:c>
      <x:c r="BF274" s="34" t="n">
        <x:v>0</x:v>
      </x:c>
      <x:c r="BG274" s="34" t="n">
        <x:v>3</x:v>
      </x:c>
      <x:c r="BH274" s="34" t="n">
        <x:v>3</x:v>
      </x:c>
      <x:c r="BI274" s="34" t="n">
        <x:v>0.41232239999999987</x:v>
      </x:c>
      <x:c r="BJ274" s="34" t="n">
        <x:v>0.65</x:v>
      </x:c>
      <x:c r="BK274" s="34" t="n">
        <x:v>1.78</x:v>
      </x:c>
    </x:row>
    <x:row r="275">
      <x:c r="A275" s="34" t="str">
        <x:v>JFE_STEEL_JP</x:v>
      </x:c>
      <x:c r="B275" s="34" t="str">
        <x:v>JFE Steel</x:v>
      </x:c>
      <x:c r="C275" s="34" t="str">
        <x:v>DISCLOSED_PATH</x:v>
      </x:c>
      <x:c r="D275" s="34" t="str">
        <x:v>P2</x:v>
      </x:c>
      <x:c r="E275" s="34" t="str">
        <x:v>JFE-FUKU</x:v>
      </x:c>
      <x:c r="F275" s="34" t="str">
        <x:v>West Japan Works Fukuyama</x:v>
      </x:c>
      <x:c r="G275" s="34" t="str">
        <x:v>후쿠야마</x:v>
      </x:c>
      <x:c r="H275" s="34" t="n">
        <x:v>2033</x:v>
      </x:c>
      <x:c r="I275" s="34" t="str">
        <x:v>BF_BOF</x:v>
      </x:c>
      <x:c r="J275" s="34" t="str">
        <x:v>기준 BF-BOF 복합 블록</x:v>
      </x:c>
      <x:c r="K275" s="34" t="str">
        <x:v>H2_DRI_EAF</x:v>
      </x:c>
      <x:c r="L275" s="34" t="str">
        <x:v>수소 DRI + EAF</x:v>
      </x:c>
      <x:c r="M275" s="34" t="n">
        <x:v>9702</x:v>
      </x:c>
      <x:c r="N275" s="34" t="n">
        <x:v>7546</x:v>
      </x:c>
      <x:c r="O275" s="34" t="n">
        <x:v>9.8</x:v>
      </x:c>
      <x:c r="P275" s="34" t="n">
        <x:v>8.999997</x:v>
      </x:c>
      <x:c r="Q275" s="34" t="n">
        <x:v>19.037639</x:v>
      </x:c>
      <x:c r="R275" s="34" t="n">
        <x:v>19.037639</x:v>
      </x:c>
      <x:c r="S275" s="34" t="n">
        <x:v>1.799999</x:v>
      </x:c>
      <x:c r="T275" s="34" t="n">
        <x:v>1.799999</x:v>
      </x:c>
      <x:c r="U275" s="34" t="n">
        <x:v>17.237639</x:v>
      </x:c>
      <x:c r="V275" s="34" t="n">
        <x:v>137.901116</x:v>
      </x:c>
      <x:c r="W275" s="34" t="n">
        <x:v>30673.471</x:v>
      </x:c>
      <x:c r="X275" s="34" t="n">
        <x:v>2151.904</x:v>
      </x:c>
      <x:c r="Y275" s="34" t="n">
        <x:v>35521.981</x:v>
      </x:c>
      <x:c r="Z275" s="34" t="n">
        <x:v>33370.077</x:v>
      </x:c>
      <x:c r="AA275" s="34" t="n">
        <x:v>4848.509</x:v>
      </x:c>
      <x:c r="AB275" s="34" t="n">
        <x:v>28521.568</x:v>
      </x:c>
      <x:c r="AC275" s="34" t="n">
        <x:v>4916.965</x:v>
      </x:c>
      <x:c r="AD275" s="34" t="n">
        <x:v>509.49</x:v>
      </x:c>
      <x:c r="AE275" s="34" t="n">
        <x:v>3636.405</x:v>
      </x:c>
      <x:c r="AF275" s="34" t="n">
        <x:v>26417.415</x:v>
      </x:c>
      <x:c r="AG275" s="34" t="n">
        <x:v>41.706</x:v>
      </x:c>
      <x:c r="AH275" s="34" t="n">
        <x:v>-4848.509</x:v>
      </x:c>
      <x:c r="AI275" s="34" t="str">
        <x:v>model_estimate</x:v>
      </x:c>
      <x:c r="AJ275" s="34" t="str">
        <x:v>JFE 공식 생산·배출 총량에 맞춘 설비 블록 배분</x:v>
      </x:c>
      <x:c r="AK275" s="34" t="str">
        <x:v>CAND-F4B6AD5FB08D71</x:v>
      </x:c>
      <x:c r="AL275" s="34" t="str">
        <x:v>P2</x:v>
      </x:c>
      <x:c r="AM275" s="34" t="str">
        <x:v>PORT-51A2628EF9C2</x:v>
      </x:c>
      <x:c r="AN275" s="34" t="n">
        <x:v>1000</x:v>
      </x:c>
      <x:c r="AO275" s="34" t="n">
        <x:v>129.685059</x:v>
      </x:c>
      <x:c r="AP275" s="34" t="n">
        <x:v>32.792823</x:v>
      </x:c>
      <x:c r="AQ275" s="34" t="n">
        <x:v>328.220861</x:v>
      </x:c>
      <x:c r="AR275" s="34" t="n">
        <x:v>41807.514</x:v>
      </x:c>
      <x:c r="AS275" s="34" t="n">
        <x:v>127.376163</x:v>
      </x:c>
      <x:c r="AT275" s="40" t="b">
        <x:v>1</x:v>
      </x:c>
      <x:c r="AU275" s="40" t="b">
        <x:v>1</x:v>
      </x:c>
      <x:c r="AV275" s="34" t="str"/>
      <x:c r="AW275" s="34" t="n">
        <x:v>0</x:v>
      </x:c>
      <x:c r="AX275" s="34" t="str">
        <x:v>1.265341119704999e-05</x:v>
      </x:c>
      <x:c r="AY275" s="40" t="b">
        <x:v>1</x:v>
      </x:c>
      <x:c r="AZ275" s="40" t="b">
        <x:v>1</x:v>
      </x:c>
      <x:c r="BA275" s="40" t="b">
        <x:v>1</x:v>
      </x:c>
      <x:c r="BB275" s="40" t="b">
        <x:v>1</x:v>
      </x:c>
      <x:c r="BC275" s="34" t="str"/>
      <x:c r="BD275" s="34" t="n">
        <x:v>0</x:v>
      </x:c>
      <x:c r="BE275" s="34" t="n">
        <x:v>0</x:v>
      </x:c>
      <x:c r="BF275" s="34" t="n">
        <x:v>0</x:v>
      </x:c>
      <x:c r="BG275" s="34" t="n">
        <x:v>3</x:v>
      </x:c>
      <x:c r="BH275" s="34" t="n">
        <x:v>3</x:v>
      </x:c>
      <x:c r="BI275" s="34" t="n">
        <x:v>0.41232239999999987</x:v>
      </x:c>
      <x:c r="BJ275" s="34" t="n">
        <x:v>0.65</x:v>
      </x:c>
      <x:c r="BK275" s="34" t="n">
        <x:v>1.78</x:v>
      </x:c>
    </x:row>
    <x:row r="276">
      <x:c r="A276" s="34" t="str">
        <x:v>JFE_STEEL_JP</x:v>
      </x:c>
      <x:c r="B276" s="34" t="str">
        <x:v>JFE Steel</x:v>
      </x:c>
      <x:c r="C276" s="34" t="str">
        <x:v>DISCLOSED_PATH</x:v>
      </x:c>
      <x:c r="D276" s="34" t="str">
        <x:v>P2</x:v>
      </x:c>
      <x:c r="E276" s="34" t="str">
        <x:v>JFE-KURA</x:v>
      </x:c>
      <x:c r="F276" s="34" t="str">
        <x:v>West Japan Works Kurashiki</x:v>
      </x:c>
      <x:c r="G276" s="34" t="str">
        <x:v>구라시키</x:v>
      </x:c>
      <x:c r="H276" s="34" t="n">
        <x:v>2029</x:v>
      </x:c>
      <x:c r="I276" s="34" t="str">
        <x:v>BF_BOF</x:v>
      </x:c>
      <x:c r="J276" s="34" t="str">
        <x:v>기준 BF-BOF 복합 블록</x:v>
      </x:c>
      <x:c r="K276" s="34" t="str">
        <x:v>SCRAP_EAF</x:v>
      </x:c>
      <x:c r="L276" s="34" t="str">
        <x:v>스크랩 기반 대형 EAF</x:v>
      </x:c>
      <x:c r="M276" s="34" t="n">
        <x:v>4558.4</x:v>
      </x:c>
      <x:c r="N276" s="34" t="n">
        <x:v>2930.4</x:v>
      </x:c>
      <x:c r="O276" s="34" t="n">
        <x:v>7.4</x:v>
      </x:c>
      <x:c r="P276" s="34" t="n">
        <x:v>6.800001</x:v>
      </x:c>
      <x:c r="Q276" s="34" t="n">
        <x:v>14.384</x:v>
      </x:c>
      <x:c r="R276" s="34" t="n">
        <x:v>3.06</x:v>
      </x:c>
      <x:c r="S276" s="34" t="n">
        <x:v>3.06</x:v>
      </x:c>
      <x:c r="T276" s="34" t="n">
        <x:v>3.06</x:v>
      </x:c>
      <x:c r="U276" s="34" t="n">
        <x:v>11.324</x:v>
      </x:c>
      <x:c r="V276" s="34" t="n">
        <x:v>135.888002</x:v>
      </x:c>
      <x:c r="W276" s="34" t="n">
        <x:v>3471.316</x:v>
      </x:c>
      <x:c r="X276" s="34" t="n">
        <x:v>612.709</x:v>
      </x:c>
      <x:c r="Y276" s="34" t="n">
        <x:v>8221.645</x:v>
      </x:c>
      <x:c r="Z276" s="34" t="n">
        <x:v>7608.936</x:v>
      </x:c>
      <x:c r="AA276" s="34" t="n">
        <x:v>4750.329</x:v>
      </x:c>
      <x:c r="AB276" s="34" t="n">
        <x:v>2858.607</x:v>
      </x:c>
      <x:c r="AC276" s="34" t="n">
        <x:v>2365.468</x:v>
      </x:c>
      <x:c r="AD276" s="34" t="n">
        <x:v>299.458</x:v>
      </x:c>
      <x:c r="AE276" s="34" t="n">
        <x:v>5543.673</x:v>
      </x:c>
      <x:c r="AF276" s="34" t="n">
        <x:v>0</x:v>
      </x:c>
      <x:c r="AG276" s="34" t="n">
        <x:v>13.046</x:v>
      </x:c>
      <x:c r="AH276" s="34" t="n">
        <x:v>-4750.329</x:v>
      </x:c>
      <x:c r="AI276" s="34" t="str">
        <x:v>model_estimate</x:v>
      </x:c>
      <x:c r="AJ276" s="34" t="str">
        <x:v>2028 혁신 EAF 공시를 반영한 조기 재투자 창; 생산량은 공식 총량에 맞춘 추정</x:v>
      </x:c>
      <x:c r="AK276" s="34" t="str">
        <x:v>CAND-F4B6AD5FB08D71</x:v>
      </x:c>
      <x:c r="AL276" s="34" t="str">
        <x:v>P2</x:v>
      </x:c>
      <x:c r="AM276" s="34" t="str">
        <x:v>PORT-51A2628EF9C2</x:v>
      </x:c>
      <x:c r="AN276" s="34" t="n">
        <x:v>1000</x:v>
      </x:c>
      <x:c r="AO276" s="34" t="n">
        <x:v>129.685059</x:v>
      </x:c>
      <x:c r="AP276" s="34" t="n">
        <x:v>32.792823</x:v>
      </x:c>
      <x:c r="AQ276" s="34" t="n">
        <x:v>328.220861</x:v>
      </x:c>
      <x:c r="AR276" s="34" t="n">
        <x:v>41807.514</x:v>
      </x:c>
      <x:c r="AS276" s="34" t="n">
        <x:v>127.376163</x:v>
      </x:c>
      <x:c r="AT276" s="40" t="b">
        <x:v>1</x:v>
      </x:c>
      <x:c r="AU276" s="40" t="b">
        <x:v>1</x:v>
      </x:c>
      <x:c r="AV276" s="34" t="str"/>
      <x:c r="AW276" s="34" t="n">
        <x:v>0</x:v>
      </x:c>
      <x:c r="AX276" s="34" t="str">
        <x:v>1.265341119704999e-05</x:v>
      </x:c>
      <x:c r="AY276" s="40" t="b">
        <x:v>1</x:v>
      </x:c>
      <x:c r="AZ276" s="40" t="b">
        <x:v>1</x:v>
      </x:c>
      <x:c r="BA276" s="40" t="b">
        <x:v>1</x:v>
      </x:c>
      <x:c r="BB276" s="40" t="b">
        <x:v>1</x:v>
      </x:c>
      <x:c r="BC276" s="34" t="str"/>
      <x:c r="BD276" s="34" t="n">
        <x:v>0</x:v>
      </x:c>
      <x:c r="BE276" s="34" t="n">
        <x:v>0</x:v>
      </x:c>
      <x:c r="BF276" s="34" t="n">
        <x:v>0</x:v>
      </x:c>
      <x:c r="BG276" s="34" t="n">
        <x:v>3</x:v>
      </x:c>
      <x:c r="BH276" s="34" t="n">
        <x:v>3</x:v>
      </x:c>
      <x:c r="BI276" s="34" t="n">
        <x:v>0.41232239999999987</x:v>
      </x:c>
      <x:c r="BJ276" s="34" t="n">
        <x:v>0.65</x:v>
      </x:c>
      <x:c r="BK276" s="34" t="n">
        <x:v>1.78</x:v>
      </x:c>
    </x:row>
    <x:row r="277">
      <x:c r="A277" s="34" t="str">
        <x:v>JFE_STEEL_JP</x:v>
      </x:c>
      <x:c r="B277" s="34" t="str">
        <x:v>JFE Steel</x:v>
      </x:c>
      <x:c r="C277" s="34" t="str">
        <x:v>DISCLOSED_PATH</x:v>
      </x:c>
      <x:c r="D277" s="34" t="str">
        <x:v>P2</x:v>
      </x:c>
      <x:c r="E277" s="34" t="str">
        <x:v>JFE-SENDAI</x:v>
      </x:c>
      <x:c r="F277" s="34" t="str">
        <x:v>Sendai Works EAF</x:v>
      </x:c>
      <x:c r="G277" s="34" t="str">
        <x:v>센다이</x:v>
      </x:c>
      <x:c r="H277" s="34" t="n">
        <x:v>2033</x:v>
      </x:c>
      <x:c r="I277" s="34" t="str">
        <x:v>EAF_BASELINE</x:v>
      </x:c>
      <x:c r="J277" s="34" t="str">
        <x:v>기존 전기로 기준 블록</x:v>
      </x:c>
      <x:c r="K277" s="34" t="str">
        <x:v>EAF_RENEWABLE</x:v>
      </x:c>
      <x:c r="L277" s="34" t="str">
        <x:v>기존 EAF 재생전력 업그레이드</x:v>
      </x:c>
      <x:c r="M277" s="34" t="n">
        <x:v>228.8</x:v>
      </x:c>
      <x:c r="N277" s="34" t="n">
        <x:v>70.4</x:v>
      </x:c>
      <x:c r="O277" s="34" t="n">
        <x:v>0.8</x:v>
      </x:c>
      <x:c r="P277" s="34" t="n">
        <x:v>0.7</x:v>
      </x:c>
      <x:c r="Q277" s="34" t="n">
        <x:v>0.35</x:v>
      </x:c>
      <x:c r="R277" s="34" t="n">
        <x:v>0.35</x:v>
      </x:c>
      <x:c r="S277" s="34" t="n">
        <x:v>0.07</x:v>
      </x:c>
      <x:c r="T277" s="34" t="n">
        <x:v>0.07</x:v>
      </x:c>
      <x:c r="U277" s="34" t="n">
        <x:v>0.28</x:v>
      </x:c>
      <x:c r="V277" s="34" t="n">
        <x:v>2.24</x:v>
      </x:c>
      <x:c r="W277" s="34" t="n">
        <x:v>-17.429</x:v>
      </x:c>
      <x:c r="X277" s="34" t="n">
        <x:v>6.895</x:v>
      </x:c>
      <x:c r="Y277" s="34" t="n">
        <x:v>61.328</x:v>
      </x:c>
      <x:c r="Z277" s="34" t="n">
        <x:v>54.433</x:v>
      </x:c>
      <x:c r="AA277" s="34" t="n">
        <x:v>78.757</x:v>
      </x:c>
      <x:c r="AB277" s="34" t="n">
        <x:v>-24.324</x:v>
      </x:c>
      <x:c r="AC277" s="34" t="n">
        <x:v>45.873</x:v>
      </x:c>
      <x:c r="AD277" s="34" t="n">
        <x:v>3.048</x:v>
      </x:c>
      <x:c r="AE277" s="34" t="n">
        <x:v>12.297</x:v>
      </x:c>
      <x:c r="AF277" s="34" t="n">
        <x:v>0</x:v>
      </x:c>
      <x:c r="AG277" s="34" t="n">
        <x:v>0.11</x:v>
      </x:c>
      <x:c r="AH277" s="34" t="n">
        <x:v>-78.757</x:v>
      </x:c>
      <x:c r="AI277" s="34" t="str">
        <x:v>model_estimate</x:v>
      </x:c>
      <x:c r="AJ277" s="34" t="str">
        <x:v>공식 EAF 사업장 존재를 반영; 생산량·집약도·재투자연도 추정</x:v>
      </x:c>
      <x:c r="AK277" s="34" t="str">
        <x:v>CAND-F4B6AD5FB08D71</x:v>
      </x:c>
      <x:c r="AL277" s="34" t="str">
        <x:v>P2</x:v>
      </x:c>
      <x:c r="AM277" s="34" t="str">
        <x:v>PORT-51A2628EF9C2</x:v>
      </x:c>
      <x:c r="AN277" s="34" t="n">
        <x:v>1000</x:v>
      </x:c>
      <x:c r="AO277" s="34" t="n">
        <x:v>129.685059</x:v>
      </x:c>
      <x:c r="AP277" s="34" t="n">
        <x:v>32.792823</x:v>
      </x:c>
      <x:c r="AQ277" s="34" t="n">
        <x:v>328.220861</x:v>
      </x:c>
      <x:c r="AR277" s="34" t="n">
        <x:v>41807.514</x:v>
      </x:c>
      <x:c r="AS277" s="34" t="n">
        <x:v>127.376163</x:v>
      </x:c>
      <x:c r="AT277" s="40" t="b">
        <x:v>1</x:v>
      </x:c>
      <x:c r="AU277" s="40" t="b">
        <x:v>1</x:v>
      </x:c>
      <x:c r="AV277" s="34" t="str"/>
      <x:c r="AW277" s="34" t="n">
        <x:v>0</x:v>
      </x:c>
      <x:c r="AX277" s="34" t="str">
        <x:v>1.265341119704999e-05</x:v>
      </x:c>
      <x:c r="AY277" s="40" t="b">
        <x:v>1</x:v>
      </x:c>
      <x:c r="AZ277" s="40" t="b">
        <x:v>1</x:v>
      </x:c>
      <x:c r="BA277" s="40" t="b">
        <x:v>1</x:v>
      </x:c>
      <x:c r="BB277" s="40" t="b">
        <x:v>1</x:v>
      </x:c>
      <x:c r="BC277" s="34" t="str"/>
      <x:c r="BD277" s="34" t="n">
        <x:v>0</x:v>
      </x:c>
      <x:c r="BE277" s="34" t="n">
        <x:v>0</x:v>
      </x:c>
      <x:c r="BF277" s="34" t="n">
        <x:v>0</x:v>
      </x:c>
      <x:c r="BG277" s="34" t="n">
        <x:v>3</x:v>
      </x:c>
      <x:c r="BH277" s="34" t="n">
        <x:v>3</x:v>
      </x:c>
      <x:c r="BI277" s="34" t="n">
        <x:v>0.41232239999999987</x:v>
      </x:c>
      <x:c r="BJ277" s="34" t="n">
        <x:v>0.65</x:v>
      </x:c>
      <x:c r="BK277" s="34" t="n">
        <x:v>1.78</x:v>
      </x:c>
    </x:row>
    <x:row r="278">
      <x:c r="A278" s="34" t="str">
        <x:v>JFE_STEEL_JP</x:v>
      </x:c>
      <x:c r="B278" s="34" t="str">
        <x:v>JFE Steel</x:v>
      </x:c>
      <x:c r="C278" s="34" t="str">
        <x:v>ACCELERATED_15C</x:v>
      </x:c>
      <x:c r="D278" s="34" t="str">
        <x:v>P2</x:v>
      </x:c>
      <x:c r="E278" s="34" t="str">
        <x:v>JFE-CHIBA</x:v>
      </x:c>
      <x:c r="F278" s="34" t="str">
        <x:v>East Japan Works Chiba</x:v>
      </x:c>
      <x:c r="G278" s="34" t="str">
        <x:v>치바</x:v>
      </x:c>
      <x:c r="H278" s="34" t="n">
        <x:v>2036</x:v>
      </x:c>
      <x:c r="I278" s="34" t="str">
        <x:v>BF_BOF</x:v>
      </x:c>
      <x:c r="J278" s="34" t="str">
        <x:v>기준 BF-BOF 복합 블록</x:v>
      </x:c>
      <x:c r="K278" s="34" t="str">
        <x:v>H2_DRI_EAF</x:v>
      </x:c>
      <x:c r="L278" s="34" t="str">
        <x:v>수소 DRI + EAF</x:v>
      </x:c>
      <x:c r="M278" s="34" t="n">
        <x:v>5940</x:v>
      </x:c>
      <x:c r="N278" s="34" t="n">
        <x:v>4620</x:v>
      </x:c>
      <x:c r="O278" s="34" t="n">
        <x:v>6</x:v>
      </x:c>
      <x:c r="P278" s="34" t="n">
        <x:v>5.449998</x:v>
      </x:c>
      <x:c r="Q278" s="34" t="n">
        <x:v>11.528348</x:v>
      </x:c>
      <x:c r="R278" s="34" t="n">
        <x:v>11.528348</x:v>
      </x:c>
      <x:c r="S278" s="34" t="n">
        <x:v>1.09</x:v>
      </x:c>
      <x:c r="T278" s="34" t="n">
        <x:v>1.09</x:v>
      </x:c>
      <x:c r="U278" s="34" t="n">
        <x:v>10.438348</x:v>
      </x:c>
      <x:c r="V278" s="34" t="n">
        <x:v>52.191742</x:v>
      </x:c>
      <x:c r="W278" s="34" t="n">
        <x:v>11586.433</x:v>
      </x:c>
      <x:c r="X278" s="34" t="n">
        <x:v>1304.878</x:v>
      </x:c>
      <x:c r="Y278" s="34" t="n">
        <x:v>14308.721</x:v>
      </x:c>
      <x:c r="Z278" s="34" t="n">
        <x:v>13003.843</x:v>
      </x:c>
      <x:c r="AA278" s="34" t="n">
        <x:v>2722.288</x:v>
      </x:c>
      <x:c r="AB278" s="34" t="n">
        <x:v>10281.555</x:v>
      </x:c>
      <x:c r="AC278" s="34" t="n">
        <x:v>2563.687</x:v>
      </x:c>
      <x:c r="AD278" s="34" t="n">
        <x:v>163.497</x:v>
      </x:c>
      <x:c r="AE278" s="34" t="n">
        <x:v>1433.22</x:v>
      </x:c>
      <x:c r="AF278" s="34" t="n">
        <x:v>10130.909</x:v>
      </x:c>
      <x:c r="AG278" s="34" t="n">
        <x:v>17.408</x:v>
      </x:c>
      <x:c r="AH278" s="34" t="n">
        <x:v>-2722.288</x:v>
      </x:c>
      <x:c r="AI278" s="34" t="str">
        <x:v>model_estimate</x:v>
      </x:c>
      <x:c r="AJ278" s="34" t="str">
        <x:v>JFE 공식 생산·배출 총량에 맞춘 설비 블록 배분</x:v>
      </x:c>
      <x:c r="AK278" s="34" t="str">
        <x:v>CAND-F4B6AD5FB08D71</x:v>
      </x:c>
      <x:c r="AL278" s="34" t="str">
        <x:v>P2</x:v>
      </x:c>
      <x:c r="AM278" s="34" t="str">
        <x:v>PORT-51A2628EF9C2</x:v>
      </x:c>
      <x:c r="AN278" s="34" t="n">
        <x:v>1000</x:v>
      </x:c>
      <x:c r="AO278" s="34" t="n">
        <x:v>122.469982</x:v>
      </x:c>
      <x:c r="AP278" s="34" t="n">
        <x:v>35.295924</x:v>
      </x:c>
      <x:c r="AQ278" s="34" t="n">
        <x:v>328.220861</x:v>
      </x:c>
      <x:c r="AR278" s="34" t="n">
        <x:v>39413.198</x:v>
      </x:c>
      <x:c r="AS278" s="34" t="n">
        <x:v>120.081332</x:v>
      </x:c>
      <x:c r="AT278" s="40" t="b">
        <x:v>1</x:v>
      </x:c>
      <x:c r="AU278" s="40" t="b">
        <x:v>1</x:v>
      </x:c>
      <x:c r="AV278" s="34" t="str"/>
      <x:c r="AW278" s="34" t="n">
        <x:v>0</x:v>
      </x:c>
      <x:c r="AX278" s="34" t="str">
        <x:v>1.265341119704999e-05</x:v>
      </x:c>
      <x:c r="AY278" s="40" t="b">
        <x:v>1</x:v>
      </x:c>
      <x:c r="AZ278" s="40" t="b">
        <x:v>1</x:v>
      </x:c>
      <x:c r="BA278" s="40" t="b">
        <x:v>1</x:v>
      </x:c>
      <x:c r="BB278" s="40" t="b">
        <x:v>1</x:v>
      </x:c>
      <x:c r="BC278" s="34" t="str"/>
      <x:c r="BD278" s="34" t="n">
        <x:v>0</x:v>
      </x:c>
      <x:c r="BE278" s="34" t="n">
        <x:v>0</x:v>
      </x:c>
      <x:c r="BF278" s="34" t="n">
        <x:v>0</x:v>
      </x:c>
      <x:c r="BG278" s="34" t="n">
        <x:v>3</x:v>
      </x:c>
      <x:c r="BH278" s="34" t="n">
        <x:v>3</x:v>
      </x:c>
      <x:c r="BI278" s="34" t="n">
        <x:v>0.41232239999999987</x:v>
      </x:c>
      <x:c r="BJ278" s="34" t="n">
        <x:v>0.65</x:v>
      </x:c>
      <x:c r="BK278" s="34" t="n">
        <x:v>1.78</x:v>
      </x:c>
    </x:row>
    <x:row r="279">
      <x:c r="A279" s="34" t="str">
        <x:v>JFE_STEEL_JP</x:v>
      </x:c>
      <x:c r="B279" s="34" t="str">
        <x:v>JFE Steel</x:v>
      </x:c>
      <x:c r="C279" s="34" t="str">
        <x:v>ACCELERATED_15C</x:v>
      </x:c>
      <x:c r="D279" s="34" t="str">
        <x:v>P2</x:v>
      </x:c>
      <x:c r="E279" s="34" t="str">
        <x:v>JFE-FUKU</x:v>
      </x:c>
      <x:c r="F279" s="34" t="str">
        <x:v>West Japan Works Fukuyama</x:v>
      </x:c>
      <x:c r="G279" s="34" t="str">
        <x:v>후쿠야마</x:v>
      </x:c>
      <x:c r="H279" s="34" t="n">
        <x:v>2033</x:v>
      </x:c>
      <x:c r="I279" s="34" t="str">
        <x:v>BF_BOF</x:v>
      </x:c>
      <x:c r="J279" s="34" t="str">
        <x:v>기준 BF-BOF 복합 블록</x:v>
      </x:c>
      <x:c r="K279" s="34" t="str">
        <x:v>H2_DRI_EAF</x:v>
      </x:c>
      <x:c r="L279" s="34" t="str">
        <x:v>수소 DRI + EAF</x:v>
      </x:c>
      <x:c r="M279" s="34" t="n">
        <x:v>9702</x:v>
      </x:c>
      <x:c r="N279" s="34" t="n">
        <x:v>7546</x:v>
      </x:c>
      <x:c r="O279" s="34" t="n">
        <x:v>9.8</x:v>
      </x:c>
      <x:c r="P279" s="34" t="n">
        <x:v>8.999997</x:v>
      </x:c>
      <x:c r="Q279" s="34" t="n">
        <x:v>19.037639</x:v>
      </x:c>
      <x:c r="R279" s="34" t="n">
        <x:v>19.037639</x:v>
      </x:c>
      <x:c r="S279" s="34" t="n">
        <x:v>1.799999</x:v>
      </x:c>
      <x:c r="T279" s="34" t="n">
        <x:v>1.799999</x:v>
      </x:c>
      <x:c r="U279" s="34" t="n">
        <x:v>17.237639</x:v>
      </x:c>
      <x:c r="V279" s="34" t="n">
        <x:v>137.901116</x:v>
      </x:c>
      <x:c r="W279" s="34" t="n">
        <x:v>31007.963</x:v>
      </x:c>
      <x:c r="X279" s="34" t="n">
        <x:v>2898.032</x:v>
      </x:c>
      <x:c r="Y279" s="34" t="n">
        <x:v>38201.982</x:v>
      </x:c>
      <x:c r="Z279" s="34" t="n">
        <x:v>35303.95</x:v>
      </x:c>
      <x:c r="AA279" s="34" t="n">
        <x:v>7194.019</x:v>
      </x:c>
      <x:c r="AB279" s="34" t="n">
        <x:v>28109.931</x:v>
      </x:c>
      <x:c r="AC279" s="34" t="n">
        <x:v>4916.965</x:v>
      </x:c>
      <x:c r="AD279" s="34" t="n">
        <x:v>509.49</x:v>
      </x:c>
      <x:c r="AE279" s="34" t="n">
        <x:v>4032.152</x:v>
      </x:c>
      <x:c r="AF279" s="34" t="n">
        <x:v>28698.795</x:v>
      </x:c>
      <x:c r="AG279" s="34" t="n">
        <x:v>44.581</x:v>
      </x:c>
      <x:c r="AH279" s="34" t="n">
        <x:v>-7194.019</x:v>
      </x:c>
      <x:c r="AI279" s="34" t="str">
        <x:v>model_estimate</x:v>
      </x:c>
      <x:c r="AJ279" s="34" t="str">
        <x:v>JFE 공식 생산·배출 총량에 맞춘 설비 블록 배분</x:v>
      </x:c>
      <x:c r="AK279" s="34" t="str">
        <x:v>CAND-F4B6AD5FB08D71</x:v>
      </x:c>
      <x:c r="AL279" s="34" t="str">
        <x:v>P2</x:v>
      </x:c>
      <x:c r="AM279" s="34" t="str">
        <x:v>PORT-51A2628EF9C2</x:v>
      </x:c>
      <x:c r="AN279" s="34" t="n">
        <x:v>1000</x:v>
      </x:c>
      <x:c r="AO279" s="34" t="n">
        <x:v>122.469982</x:v>
      </x:c>
      <x:c r="AP279" s="34" t="n">
        <x:v>35.295924</x:v>
      </x:c>
      <x:c r="AQ279" s="34" t="n">
        <x:v>328.220861</x:v>
      </x:c>
      <x:c r="AR279" s="34" t="n">
        <x:v>39413.198</x:v>
      </x:c>
      <x:c r="AS279" s="34" t="n">
        <x:v>120.081332</x:v>
      </x:c>
      <x:c r="AT279" s="40" t="b">
        <x:v>1</x:v>
      </x:c>
      <x:c r="AU279" s="40" t="b">
        <x:v>1</x:v>
      </x:c>
      <x:c r="AV279" s="34" t="str"/>
      <x:c r="AW279" s="34" t="n">
        <x:v>0</x:v>
      </x:c>
      <x:c r="AX279" s="34" t="str">
        <x:v>1.265341119704999e-05</x:v>
      </x:c>
      <x:c r="AY279" s="40" t="b">
        <x:v>1</x:v>
      </x:c>
      <x:c r="AZ279" s="40" t="b">
        <x:v>1</x:v>
      </x:c>
      <x:c r="BA279" s="40" t="b">
        <x:v>1</x:v>
      </x:c>
      <x:c r="BB279" s="40" t="b">
        <x:v>1</x:v>
      </x:c>
      <x:c r="BC279" s="34" t="str"/>
      <x:c r="BD279" s="34" t="n">
        <x:v>0</x:v>
      </x:c>
      <x:c r="BE279" s="34" t="n">
        <x:v>0</x:v>
      </x:c>
      <x:c r="BF279" s="34" t="n">
        <x:v>0</x:v>
      </x:c>
      <x:c r="BG279" s="34" t="n">
        <x:v>3</x:v>
      </x:c>
      <x:c r="BH279" s="34" t="n">
        <x:v>3</x:v>
      </x:c>
      <x:c r="BI279" s="34" t="n">
        <x:v>0.41232239999999987</x:v>
      </x:c>
      <x:c r="BJ279" s="34" t="n">
        <x:v>0.65</x:v>
      </x:c>
      <x:c r="BK279" s="34" t="n">
        <x:v>1.78</x:v>
      </x:c>
    </x:row>
    <x:row r="280">
      <x:c r="A280" s="34" t="str">
        <x:v>JFE_STEEL_JP</x:v>
      </x:c>
      <x:c r="B280" s="34" t="str">
        <x:v>JFE Steel</x:v>
      </x:c>
      <x:c r="C280" s="34" t="str">
        <x:v>ACCELERATED_15C</x:v>
      </x:c>
      <x:c r="D280" s="34" t="str">
        <x:v>P2</x:v>
      </x:c>
      <x:c r="E280" s="34" t="str">
        <x:v>JFE-KURA</x:v>
      </x:c>
      <x:c r="F280" s="34" t="str">
        <x:v>West Japan Works Kurashiki</x:v>
      </x:c>
      <x:c r="G280" s="34" t="str">
        <x:v>구라시키</x:v>
      </x:c>
      <x:c r="H280" s="34" t="n">
        <x:v>2029</x:v>
      </x:c>
      <x:c r="I280" s="34" t="str">
        <x:v>BF_BOF</x:v>
      </x:c>
      <x:c r="J280" s="34" t="str">
        <x:v>기준 BF-BOF 복합 블록</x:v>
      </x:c>
      <x:c r="K280" s="34" t="str">
        <x:v>SCRAP_EAF</x:v>
      </x:c>
      <x:c r="L280" s="34" t="str">
        <x:v>스크랩 기반 대형 EAF</x:v>
      </x:c>
      <x:c r="M280" s="34" t="n">
        <x:v>4558.4</x:v>
      </x:c>
      <x:c r="N280" s="34" t="n">
        <x:v>2930.4</x:v>
      </x:c>
      <x:c r="O280" s="34" t="n">
        <x:v>7.4</x:v>
      </x:c>
      <x:c r="P280" s="34" t="n">
        <x:v>6.800001</x:v>
      </x:c>
      <x:c r="Q280" s="34" t="n">
        <x:v>14.384</x:v>
      </x:c>
      <x:c r="R280" s="34" t="n">
        <x:v>3.06</x:v>
      </x:c>
      <x:c r="S280" s="34" t="n">
        <x:v>3.06</x:v>
      </x:c>
      <x:c r="T280" s="34" t="n">
        <x:v>3.06</x:v>
      </x:c>
      <x:c r="U280" s="34" t="n">
        <x:v>11.324</x:v>
      </x:c>
      <x:c r="V280" s="34" t="n">
        <x:v>135.888002</x:v>
      </x:c>
      <x:c r="W280" s="34" t="n">
        <x:v>1802.817</x:v>
      </x:c>
      <x:c r="X280" s="34" t="n">
        <x:v>717.724</x:v>
      </x:c>
      <x:c r="Y280" s="34" t="n">
        <x:v>8730.238</x:v>
      </x:c>
      <x:c r="Z280" s="34" t="n">
        <x:v>8012.513</x:v>
      </x:c>
      <x:c r="AA280" s="34" t="n">
        <x:v>6927.42</x:v>
      </x:c>
      <x:c r="AB280" s="34" t="n">
        <x:v>1085.093</x:v>
      </x:c>
      <x:c r="AC280" s="34" t="n">
        <x:v>2365.468</x:v>
      </x:c>
      <x:c r="AD280" s="34" t="n">
        <x:v>299.458</x:v>
      </x:c>
      <x:c r="AE280" s="34" t="n">
        <x:v>6051.504</x:v>
      </x:c>
      <x:c r="AF280" s="34" t="n">
        <x:v>0</x:v>
      </x:c>
      <x:c r="AG280" s="34" t="n">
        <x:v>13.808</x:v>
      </x:c>
      <x:c r="AH280" s="34" t="n">
        <x:v>-6927.42</x:v>
      </x:c>
      <x:c r="AI280" s="34" t="str">
        <x:v>model_estimate</x:v>
      </x:c>
      <x:c r="AJ280" s="34" t="str">
        <x:v>2028 혁신 EAF 공시를 반영한 조기 재투자 창; 생산량은 공식 총량에 맞춘 추정</x:v>
      </x:c>
      <x:c r="AK280" s="34" t="str">
        <x:v>CAND-F4B6AD5FB08D71</x:v>
      </x:c>
      <x:c r="AL280" s="34" t="str">
        <x:v>P2</x:v>
      </x:c>
      <x:c r="AM280" s="34" t="str">
        <x:v>PORT-51A2628EF9C2</x:v>
      </x:c>
      <x:c r="AN280" s="34" t="n">
        <x:v>1000</x:v>
      </x:c>
      <x:c r="AO280" s="34" t="n">
        <x:v>122.469982</x:v>
      </x:c>
      <x:c r="AP280" s="34" t="n">
        <x:v>35.295924</x:v>
      </x:c>
      <x:c r="AQ280" s="34" t="n">
        <x:v>328.220861</x:v>
      </x:c>
      <x:c r="AR280" s="34" t="n">
        <x:v>39413.198</x:v>
      </x:c>
      <x:c r="AS280" s="34" t="n">
        <x:v>120.081332</x:v>
      </x:c>
      <x:c r="AT280" s="40" t="b">
        <x:v>1</x:v>
      </x:c>
      <x:c r="AU280" s="40" t="b">
        <x:v>1</x:v>
      </x:c>
      <x:c r="AV280" s="34" t="str"/>
      <x:c r="AW280" s="34" t="n">
        <x:v>0</x:v>
      </x:c>
      <x:c r="AX280" s="34" t="str">
        <x:v>1.265341119704999e-05</x:v>
      </x:c>
      <x:c r="AY280" s="40" t="b">
        <x:v>1</x:v>
      </x:c>
      <x:c r="AZ280" s="40" t="b">
        <x:v>1</x:v>
      </x:c>
      <x:c r="BA280" s="40" t="b">
        <x:v>1</x:v>
      </x:c>
      <x:c r="BB280" s="40" t="b">
        <x:v>1</x:v>
      </x:c>
      <x:c r="BC280" s="34" t="str"/>
      <x:c r="BD280" s="34" t="n">
        <x:v>0</x:v>
      </x:c>
      <x:c r="BE280" s="34" t="n">
        <x:v>0</x:v>
      </x:c>
      <x:c r="BF280" s="34" t="n">
        <x:v>0</x:v>
      </x:c>
      <x:c r="BG280" s="34" t="n">
        <x:v>3</x:v>
      </x:c>
      <x:c r="BH280" s="34" t="n">
        <x:v>3</x:v>
      </x:c>
      <x:c r="BI280" s="34" t="n">
        <x:v>0.41232239999999987</x:v>
      </x:c>
      <x:c r="BJ280" s="34" t="n">
        <x:v>0.65</x:v>
      </x:c>
      <x:c r="BK280" s="34" t="n">
        <x:v>1.78</x:v>
      </x:c>
    </x:row>
    <x:row r="281">
      <x:c r="A281" s="34" t="str">
        <x:v>JFE_STEEL_JP</x:v>
      </x:c>
      <x:c r="B281" s="34" t="str">
        <x:v>JFE Steel</x:v>
      </x:c>
      <x:c r="C281" s="34" t="str">
        <x:v>ACCELERATED_15C</x:v>
      </x:c>
      <x:c r="D281" s="34" t="str">
        <x:v>P2</x:v>
      </x:c>
      <x:c r="E281" s="34" t="str">
        <x:v>JFE-SENDAI</x:v>
      </x:c>
      <x:c r="F281" s="34" t="str">
        <x:v>Sendai Works EAF</x:v>
      </x:c>
      <x:c r="G281" s="34" t="str">
        <x:v>센다이</x:v>
      </x:c>
      <x:c r="H281" s="34" t="n">
        <x:v>2033</x:v>
      </x:c>
      <x:c r="I281" s="34" t="str">
        <x:v>EAF_BASELINE</x:v>
      </x:c>
      <x:c r="J281" s="34" t="str">
        <x:v>기존 전기로 기준 블록</x:v>
      </x:c>
      <x:c r="K281" s="34" t="str">
        <x:v>EAF_RENEWABLE</x:v>
      </x:c>
      <x:c r="L281" s="34" t="str">
        <x:v>기존 EAF 재생전력 업그레이드</x:v>
      </x:c>
      <x:c r="M281" s="34" t="n">
        <x:v>228.8</x:v>
      </x:c>
      <x:c r="N281" s="34" t="n">
        <x:v>70.4</x:v>
      </x:c>
      <x:c r="O281" s="34" t="n">
        <x:v>0.8</x:v>
      </x:c>
      <x:c r="P281" s="34" t="n">
        <x:v>0.7</x:v>
      </x:c>
      <x:c r="Q281" s="34" t="n">
        <x:v>0.35</x:v>
      </x:c>
      <x:c r="R281" s="34" t="n">
        <x:v>0.35</x:v>
      </x:c>
      <x:c r="S281" s="34" t="n">
        <x:v>0.07</x:v>
      </x:c>
      <x:c r="T281" s="34" t="n">
        <x:v>0.07</x:v>
      </x:c>
      <x:c r="U281" s="34" t="n">
        <x:v>0.28</x:v>
      </x:c>
      <x:c r="V281" s="34" t="n">
        <x:v>2.24</x:v>
      </x:c>
      <x:c r="W281" s="34" t="n">
        <x:v>-54.188</x:v>
      </x:c>
      <x:c r="X281" s="34" t="n">
        <x:v>9.193</x:v>
      </x:c>
      <x:c r="Y281" s="34" t="n">
        <x:v>62.668</x:v>
      </x:c>
      <x:c r="Z281" s="34" t="n">
        <x:v>53.475</x:v>
      </x:c>
      <x:c r="AA281" s="34" t="n">
        <x:v>116.856</x:v>
      </x:c>
      <x:c r="AB281" s="34" t="n">
        <x:v>-63.381</x:v>
      </x:c>
      <x:c r="AC281" s="34" t="n">
        <x:v>45.873</x:v>
      </x:c>
      <x:c r="AD281" s="34" t="n">
        <x:v>3.048</x:v>
      </x:c>
      <x:c r="AE281" s="34" t="n">
        <x:v>13.635</x:v>
      </x:c>
      <x:c r="AF281" s="34" t="n">
        <x:v>0</x:v>
      </x:c>
      <x:c r="AG281" s="34" t="n">
        <x:v>0.112</x:v>
      </x:c>
      <x:c r="AH281" s="34" t="n">
        <x:v>-116.856</x:v>
      </x:c>
      <x:c r="AI281" s="34" t="str">
        <x:v>model_estimate</x:v>
      </x:c>
      <x:c r="AJ281" s="34" t="str">
        <x:v>공식 EAF 사업장 존재를 반영; 생산량·집약도·재투자연도 추정</x:v>
      </x:c>
      <x:c r="AK281" s="34" t="str">
        <x:v>CAND-F4B6AD5FB08D71</x:v>
      </x:c>
      <x:c r="AL281" s="34" t="str">
        <x:v>P2</x:v>
      </x:c>
      <x:c r="AM281" s="34" t="str">
        <x:v>PORT-51A2628EF9C2</x:v>
      </x:c>
      <x:c r="AN281" s="34" t="n">
        <x:v>1000</x:v>
      </x:c>
      <x:c r="AO281" s="34" t="n">
        <x:v>122.469982</x:v>
      </x:c>
      <x:c r="AP281" s="34" t="n">
        <x:v>35.295924</x:v>
      </x:c>
      <x:c r="AQ281" s="34" t="n">
        <x:v>328.220861</x:v>
      </x:c>
      <x:c r="AR281" s="34" t="n">
        <x:v>39413.198</x:v>
      </x:c>
      <x:c r="AS281" s="34" t="n">
        <x:v>120.081332</x:v>
      </x:c>
      <x:c r="AT281" s="40" t="b">
        <x:v>1</x:v>
      </x:c>
      <x:c r="AU281" s="40" t="b">
        <x:v>1</x:v>
      </x:c>
      <x:c r="AV281" s="34" t="str"/>
      <x:c r="AW281" s="34" t="n">
        <x:v>0</x:v>
      </x:c>
      <x:c r="AX281" s="34" t="str">
        <x:v>1.265341119704999e-05</x:v>
      </x:c>
      <x:c r="AY281" s="40" t="b">
        <x:v>1</x:v>
      </x:c>
      <x:c r="AZ281" s="40" t="b">
        <x:v>1</x:v>
      </x:c>
      <x:c r="BA281" s="40" t="b">
        <x:v>1</x:v>
      </x:c>
      <x:c r="BB281" s="40" t="b">
        <x:v>1</x:v>
      </x:c>
      <x:c r="BC281" s="34" t="str"/>
      <x:c r="BD281" s="34" t="n">
        <x:v>0</x:v>
      </x:c>
      <x:c r="BE281" s="34" t="n">
        <x:v>0</x:v>
      </x:c>
      <x:c r="BF281" s="34" t="n">
        <x:v>0</x:v>
      </x:c>
      <x:c r="BG281" s="34" t="n">
        <x:v>3</x:v>
      </x:c>
      <x:c r="BH281" s="34" t="n">
        <x:v>3</x:v>
      </x:c>
      <x:c r="BI281" s="34" t="n">
        <x:v>0.41232239999999987</x:v>
      </x:c>
      <x:c r="BJ281" s="34" t="n">
        <x:v>0.65</x:v>
      </x:c>
      <x:c r="BK281" s="34" t="n">
        <x:v>1.78</x:v>
      </x:c>
    </x:row>
    <x:row r="282">
      <x:c r="A282" s="34" t="str">
        <x:v>NIPPON_STEEL_JP</x:v>
      </x:c>
      <x:c r="B282" s="34" t="str">
        <x:v>Nippon Steel</x:v>
      </x:c>
      <x:c r="C282" s="34" t="str">
        <x:v>DISCLOSED_PATH</x:v>
      </x:c>
      <x:c r="D282" s="34" t="str">
        <x:v>P2</x:v>
      </x:c>
      <x:c r="E282" s="34" t="str">
        <x:v>NS-EAST</x:v>
      </x:c>
      <x:c r="F282" s="34" t="str">
        <x:v>East Nippon Works 블록</x:v>
      </x:c>
      <x:c r="G282" s="34" t="str">
        <x:v>동일본</x:v>
      </x:c>
      <x:c r="H282" s="34" t="n">
        <x:v>2034</x:v>
      </x:c>
      <x:c r="I282" s="34" t="str">
        <x:v>BF_BOF</x:v>
      </x:c>
      <x:c r="J282" s="34" t="str">
        <x:v>기준 BF-BOF 복합 블록</x:v>
      </x:c>
      <x:c r="K282" s="34" t="str">
        <x:v>H2_DRI_EAF</x:v>
      </x:c>
      <x:c r="L282" s="34" t="str">
        <x:v>수소 DRI + EAF</x:v>
      </x:c>
      <x:c r="M282" s="34" t="n">
        <x:v>8019</x:v>
      </x:c>
      <x:c r="N282" s="34" t="n">
        <x:v>6237</x:v>
      </x:c>
      <x:c r="O282" s="34" t="n">
        <x:v>8.1</x:v>
      </x:c>
      <x:c r="P282" s="34" t="n">
        <x:v>7.200001</x:v>
      </x:c>
      <x:c r="Q282" s="34" t="n">
        <x:v>15.239652</x:v>
      </x:c>
      <x:c r="R282" s="34" t="n">
        <x:v>15.239652</x:v>
      </x:c>
      <x:c r="S282" s="34" t="n">
        <x:v>1.44</x:v>
      </x:c>
      <x:c r="T282" s="34" t="n">
        <x:v>1.44</x:v>
      </x:c>
      <x:c r="U282" s="34" t="n">
        <x:v>13.799651</x:v>
      </x:c>
      <x:c r="V282" s="34" t="n">
        <x:v>96.597559</x:v>
      </x:c>
      <x:c r="W282" s="34" t="n">
        <x:v>21325.145</x:v>
      </x:c>
      <x:c r="X282" s="34" t="n">
        <x:v>1604.719</x:v>
      </x:c>
      <x:c r="Y282" s="34" t="n">
        <x:v>24717.03</x:v>
      </x:c>
      <x:c r="Z282" s="34" t="n">
        <x:v>23112.311</x:v>
      </x:c>
      <x:c r="AA282" s="34" t="n">
        <x:v>3391.885</x:v>
      </x:c>
      <x:c r="AB282" s="34" t="n">
        <x:v>19720.426</x:v>
      </x:c>
      <x:c r="AC282" s="34" t="n">
        <x:v>3852.154</x:v>
      </x:c>
      <x:c r="AD282" s="34" t="n">
        <x:v>346.602</x:v>
      </x:c>
      <x:c r="AE282" s="34" t="n">
        <x:v>2483.549</x:v>
      </x:c>
      <x:c r="AF282" s="34" t="n">
        <x:v>18005.29</x:v>
      </x:c>
      <x:c r="AG282" s="34" t="n">
        <x:v>29.435</x:v>
      </x:c>
      <x:c r="AH282" s="34" t="n">
        <x:v>-3391.885</x:v>
      </x:c>
      <x:c r="AI282" s="34" t="str">
        <x:v>model_estimate</x:v>
      </x:c>
      <x:c r="AJ282" s="34" t="str">
        <x:v>Nippon Steel 공식 생산·배출·용량 총량에 맞춘 지역 블록 배분</x:v>
      </x:c>
      <x:c r="AK282" s="34" t="str">
        <x:v>CAND-F6184286A4322F</x:v>
      </x:c>
      <x:c r="AL282" s="34" t="str">
        <x:v>P2</x:v>
      </x:c>
      <x:c r="AM282" s="34" t="str">
        <x:v>PORT-6742936593A9</x:v>
      </x:c>
      <x:c r="AN282" s="34" t="n">
        <x:v>1000</x:v>
      </x:c>
      <x:c r="AO282" s="34" t="n">
        <x:v>84.033994</x:v>
      </x:c>
      <x:c r="AP282" s="34" t="n">
        <x:v>22.171311</x:v>
      </x:c>
      <x:c r="AQ282" s="34" t="n">
        <x:v>454.753949</x:v>
      </x:c>
      <x:c r="AR282" s="34" t="n">
        <x:v>37375.086</x:v>
      </x:c>
      <x:c r="AS282" s="34" t="n">
        <x:v>82.187491</x:v>
      </x:c>
      <x:c r="AT282" s="40" t="b">
        <x:v>1</x:v>
      </x:c>
      <x:c r="AU282" s="40" t="b">
        <x:v>1</x:v>
      </x:c>
      <x:c r="AV282" s="34" t="str"/>
      <x:c r="AW282" s="34" t="n">
        <x:v>0</x:v>
      </x:c>
      <x:c r="AX282" s="34" t="str">
        <x:v>3.446647212967946e-06</x:v>
      </x:c>
      <x:c r="AY282" s="40" t="b">
        <x:v>1</x:v>
      </x:c>
      <x:c r="AZ282" s="40" t="b">
        <x:v>1</x:v>
      </x:c>
      <x:c r="BA282" s="40" t="b">
        <x:v>1</x:v>
      </x:c>
      <x:c r="BB282" s="40" t="b">
        <x:v>1</x:v>
      </x:c>
      <x:c r="BC282" s="34" t="str"/>
      <x:c r="BD282" s="34" t="n">
        <x:v>0</x:v>
      </x:c>
      <x:c r="BE282" s="34" t="n">
        <x:v>0</x:v>
      </x:c>
      <x:c r="BF282" s="34" t="n">
        <x:v>0</x:v>
      </x:c>
      <x:c r="BG282" s="34" t="n">
        <x:v>2</x:v>
      </x:c>
      <x:c r="BH282" s="34" t="n">
        <x:v>2</x:v>
      </x:c>
      <x:c r="BI282" s="34" t="n">
        <x:v>0.47641018879999986</x:v>
      </x:c>
      <x:c r="BJ282" s="34" t="n">
        <x:v>0.65</x:v>
      </x:c>
      <x:c r="BK282" s="34" t="n">
        <x:v>2.16</x:v>
      </x:c>
    </x:row>
    <x:row r="283">
      <x:c r="A283" s="34" t="str">
        <x:v>NIPPON_STEEL_JP</x:v>
      </x:c>
      <x:c r="B283" s="34" t="str">
        <x:v>Nippon Steel</x:v>
      </x:c>
      <x:c r="C283" s="34" t="str">
        <x:v>DISCLOSED_PATH</x:v>
      </x:c>
      <x:c r="D283" s="34" t="str">
        <x:v>P2</x:v>
      </x:c>
      <x:c r="E283" s="34" t="str">
        <x:v>NS-KANSAI</x:v>
      </x:c>
      <x:c r="F283" s="34" t="str">
        <x:v>Kansai Works 블록</x:v>
      </x:c>
      <x:c r="G283" s="34" t="str">
        <x:v>간사이</x:v>
      </x:c>
      <x:c r="H283" s="34" t="n">
        <x:v>2036</x:v>
      </x:c>
      <x:c r="I283" s="34" t="str">
        <x:v>BF_BOF</x:v>
      </x:c>
      <x:c r="J283" s="34" t="str">
        <x:v>기준 BF-BOF 복합 블록</x:v>
      </x:c>
      <x:c r="K283" s="34" t="str">
        <x:v>H2_DRI_EAF</x:v>
      </x:c>
      <x:c r="L283" s="34" t="str">
        <x:v>수소 DRI + EAF</x:v>
      </x:c>
      <x:c r="M283" s="34" t="n">
        <x:v>6237</x:v>
      </x:c>
      <x:c r="N283" s="34" t="n">
        <x:v>4851</x:v>
      </x:c>
      <x:c r="O283" s="34" t="n">
        <x:v>6.3</x:v>
      </x:c>
      <x:c r="P283" s="34" t="n">
        <x:v>5.600001</x:v>
      </x:c>
      <x:c r="Q283" s="34" t="n">
        <x:v>11.853062</x:v>
      </x:c>
      <x:c r="R283" s="34" t="n">
        <x:v>11.853062</x:v>
      </x:c>
      <x:c r="S283" s="34" t="n">
        <x:v>1.12</x:v>
      </x:c>
      <x:c r="T283" s="34" t="n">
        <x:v>1.12</x:v>
      </x:c>
      <x:c r="U283" s="34" t="n">
        <x:v>10.733062</x:v>
      </x:c>
      <x:c r="V283" s="34" t="n">
        <x:v>53.665311</x:v>
      </x:c>
      <x:c r="W283" s="34" t="n">
        <x:v>11822.203</x:v>
      </x:c>
      <x:c r="X283" s="34" t="n">
        <x:v>1028.98</x:v>
      </x:c>
      <x:c r="Y283" s="34" t="n">
        <x:v>13696.782</x:v>
      </x:c>
      <x:c r="Z283" s="34" t="n">
        <x:v>12667.802</x:v>
      </x:c>
      <x:c r="AA283" s="34" t="n">
        <x:v>1874.579</x:v>
      </x:c>
      <x:c r="AB283" s="34" t="n">
        <x:v>10793.223</x:v>
      </x:c>
      <x:c r="AC283" s="34" t="n">
        <x:v>2691.871</x:v>
      </x:c>
      <x:c r="AD283" s="34" t="n">
        <x:v>181.997</x:v>
      </x:c>
      <x:c r="AE283" s="34" t="n">
        <x:v>1314.06</x:v>
      </x:c>
      <x:c r="AF283" s="34" t="n">
        <x:v>9492.007</x:v>
      </x:c>
      <x:c r="AG283" s="34" t="n">
        <x:v>16.847</x:v>
      </x:c>
      <x:c r="AH283" s="34" t="n">
        <x:v>-1874.579</x:v>
      </x:c>
      <x:c r="AI283" s="34" t="str">
        <x:v>model_estimate</x:v>
      </x:c>
      <x:c r="AJ283" s="34" t="str">
        <x:v>Nippon Steel 공식 생산·배출·용량 총량에 맞춘 지역 블록 배분</x:v>
      </x:c>
      <x:c r="AK283" s="34" t="str">
        <x:v>CAND-F6184286A4322F</x:v>
      </x:c>
      <x:c r="AL283" s="34" t="str">
        <x:v>P2</x:v>
      </x:c>
      <x:c r="AM283" s="34" t="str">
        <x:v>PORT-6742936593A9</x:v>
      </x:c>
      <x:c r="AN283" s="34" t="n">
        <x:v>1000</x:v>
      </x:c>
      <x:c r="AO283" s="34" t="n">
        <x:v>84.033994</x:v>
      </x:c>
      <x:c r="AP283" s="34" t="n">
        <x:v>22.171311</x:v>
      </x:c>
      <x:c r="AQ283" s="34" t="n">
        <x:v>454.753949</x:v>
      </x:c>
      <x:c r="AR283" s="34" t="n">
        <x:v>37375.086</x:v>
      </x:c>
      <x:c r="AS283" s="34" t="n">
        <x:v>82.187491</x:v>
      </x:c>
      <x:c r="AT283" s="40" t="b">
        <x:v>1</x:v>
      </x:c>
      <x:c r="AU283" s="40" t="b">
        <x:v>1</x:v>
      </x:c>
      <x:c r="AV283" s="34" t="str"/>
      <x:c r="AW283" s="34" t="n">
        <x:v>0</x:v>
      </x:c>
      <x:c r="AX283" s="34" t="str">
        <x:v>3.446647212967946e-06</x:v>
      </x:c>
      <x:c r="AY283" s="40" t="b">
        <x:v>1</x:v>
      </x:c>
      <x:c r="AZ283" s="40" t="b">
        <x:v>1</x:v>
      </x:c>
      <x:c r="BA283" s="40" t="b">
        <x:v>1</x:v>
      </x:c>
      <x:c r="BB283" s="40" t="b">
        <x:v>1</x:v>
      </x:c>
      <x:c r="BC283" s="34" t="str"/>
      <x:c r="BD283" s="34" t="n">
        <x:v>0</x:v>
      </x:c>
      <x:c r="BE283" s="34" t="n">
        <x:v>0</x:v>
      </x:c>
      <x:c r="BF283" s="34" t="n">
        <x:v>0</x:v>
      </x:c>
      <x:c r="BG283" s="34" t="n">
        <x:v>2</x:v>
      </x:c>
      <x:c r="BH283" s="34" t="n">
        <x:v>2</x:v>
      </x:c>
      <x:c r="BI283" s="34" t="n">
        <x:v>0.47641018879999986</x:v>
      </x:c>
      <x:c r="BJ283" s="34" t="n">
        <x:v>0.65</x:v>
      </x:c>
      <x:c r="BK283" s="34" t="n">
        <x:v>2.16</x:v>
      </x:c>
    </x:row>
    <x:row r="284">
      <x:c r="A284" s="34" t="str">
        <x:v>NIPPON_STEEL_JP</x:v>
      </x:c>
      <x:c r="B284" s="34" t="str">
        <x:v>Nippon Steel</x:v>
      </x:c>
      <x:c r="C284" s="34" t="str">
        <x:v>DISCLOSED_PATH</x:v>
      </x:c>
      <x:c r="D284" s="34" t="str">
        <x:v>P2</x:v>
      </x:c>
      <x:c r="E284" s="34" t="str">
        <x:v>NS-KYUSHU</x:v>
      </x:c>
      <x:c r="F284" s="34" t="str">
        <x:v>Kyushu Works Yawata 블록</x:v>
      </x:c>
      <x:c r="G284" s="34" t="str">
        <x:v>규슈</x:v>
      </x:c>
      <x:c r="H284" s="34" t="n">
        <x:v>2029</x:v>
      </x:c>
      <x:c r="I284" s="34" t="str">
        <x:v>BF_BOF</x:v>
      </x:c>
      <x:c r="J284" s="34" t="str">
        <x:v>기준 BF-BOF 복합 블록</x:v>
      </x:c>
      <x:c r="K284" s="34" t="str">
        <x:v>SCRAP_EAF</x:v>
      </x:c>
      <x:c r="L284" s="34" t="str">
        <x:v>스크랩 기반 대형 EAF</x:v>
      </x:c>
      <x:c r="M284" s="34" t="n">
        <x:v>6160</x:v>
      </x:c>
      <x:c r="N284" s="34" t="n">
        <x:v>3960</x:v>
      </x:c>
      <x:c r="O284" s="34" t="n">
        <x:v>10</x:v>
      </x:c>
      <x:c r="P284" s="34" t="n">
        <x:v>9</x:v>
      </x:c>
      <x:c r="Q284" s="34" t="n">
        <x:v>19.049562</x:v>
      </x:c>
      <x:c r="R284" s="34" t="n">
        <x:v>4.05</x:v>
      </x:c>
      <x:c r="S284" s="34" t="n">
        <x:v>4.05</x:v>
      </x:c>
      <x:c r="T284" s="34" t="n">
        <x:v>4.05</x:v>
      </x:c>
      <x:c r="U284" s="34" t="n">
        <x:v>14.999562</x:v>
      </x:c>
      <x:c r="V284" s="34" t="n">
        <x:v>179.994744</x:v>
      </x:c>
      <x:c r="W284" s="34" t="n">
        <x:v>4721.391</x:v>
      </x:c>
      <x:c r="X284" s="34" t="n">
        <x:v>828.394</x:v>
      </x:c>
      <x:c r="Y284" s="34" t="n">
        <x:v>11013.589</x:v>
      </x:c>
      <x:c r="Z284" s="34" t="n">
        <x:v>10185.195</x:v>
      </x:c>
      <x:c r="AA284" s="34" t="n">
        <x:v>6292.198</x:v>
      </x:c>
      <x:c r="AB284" s="34" t="n">
        <x:v>3892.997</x:v>
      </x:c>
      <x:c r="AC284" s="34" t="n">
        <x:v>3196.578</x:v>
      </x:c>
      <x:c r="AD284" s="34" t="n">
        <x:v>462.398</x:v>
      </x:c>
      <x:c r="AE284" s="34" t="n">
        <x:v>7337.214</x:v>
      </x:c>
      <x:c r="AF284" s="34" t="n">
        <x:v>0</x:v>
      </x:c>
      <x:c r="AG284" s="34" t="n">
        <x:v>17.399</x:v>
      </x:c>
      <x:c r="AH284" s="34" t="n">
        <x:v>-6292.198</x:v>
      </x:c>
      <x:c r="AI284" s="34" t="str">
        <x:v>model_estimate</x:v>
      </x:c>
      <x:c r="AJ284" s="34" t="str">
        <x:v>Yawata BF→EAF 공시 방향을 반영해 조기 재투자 창을 설정; 블록 생산량 추정</x:v>
      </x:c>
      <x:c r="AK284" s="34" t="str">
        <x:v>CAND-F6184286A4322F</x:v>
      </x:c>
      <x:c r="AL284" s="34" t="str">
        <x:v>P2</x:v>
      </x:c>
      <x:c r="AM284" s="34" t="str">
        <x:v>PORT-6742936593A9</x:v>
      </x:c>
      <x:c r="AN284" s="34" t="n">
        <x:v>1000</x:v>
      </x:c>
      <x:c r="AO284" s="34" t="n">
        <x:v>84.033994</x:v>
      </x:c>
      <x:c r="AP284" s="34" t="n">
        <x:v>22.171311</x:v>
      </x:c>
      <x:c r="AQ284" s="34" t="n">
        <x:v>454.753949</x:v>
      </x:c>
      <x:c r="AR284" s="34" t="n">
        <x:v>37375.086</x:v>
      </x:c>
      <x:c r="AS284" s="34" t="n">
        <x:v>82.187491</x:v>
      </x:c>
      <x:c r="AT284" s="40" t="b">
        <x:v>1</x:v>
      </x:c>
      <x:c r="AU284" s="40" t="b">
        <x:v>1</x:v>
      </x:c>
      <x:c r="AV284" s="34" t="str"/>
      <x:c r="AW284" s="34" t="n">
        <x:v>0</x:v>
      </x:c>
      <x:c r="AX284" s="34" t="str">
        <x:v>3.446647212967946e-06</x:v>
      </x:c>
      <x:c r="AY284" s="40" t="b">
        <x:v>1</x:v>
      </x:c>
      <x:c r="AZ284" s="40" t="b">
        <x:v>1</x:v>
      </x:c>
      <x:c r="BA284" s="40" t="b">
        <x:v>1</x:v>
      </x:c>
      <x:c r="BB284" s="40" t="b">
        <x:v>1</x:v>
      </x:c>
      <x:c r="BC284" s="34" t="str"/>
      <x:c r="BD284" s="34" t="n">
        <x:v>0</x:v>
      </x:c>
      <x:c r="BE284" s="34" t="n">
        <x:v>0</x:v>
      </x:c>
      <x:c r="BF284" s="34" t="n">
        <x:v>0</x:v>
      </x:c>
      <x:c r="BG284" s="34" t="n">
        <x:v>2</x:v>
      </x:c>
      <x:c r="BH284" s="34" t="n">
        <x:v>2</x:v>
      </x:c>
      <x:c r="BI284" s="34" t="n">
        <x:v>0.47641018879999986</x:v>
      </x:c>
      <x:c r="BJ284" s="34" t="n">
        <x:v>0.65</x:v>
      </x:c>
      <x:c r="BK284" s="34" t="n">
        <x:v>2.16</x:v>
      </x:c>
    </x:row>
    <x:row r="285">
      <x:c r="A285" s="34" t="str">
        <x:v>NIPPON_STEEL_JP</x:v>
      </x:c>
      <x:c r="B285" s="34" t="str">
        <x:v>Nippon Steel</x:v>
      </x:c>
      <x:c r="C285" s="34" t="str">
        <x:v>DISCLOSED_PATH</x:v>
      </x:c>
      <x:c r="D285" s="34" t="str">
        <x:v>P2</x:v>
      </x:c>
      <x:c r="E285" s="34" t="str">
        <x:v>NS-NAGOYA</x:v>
      </x:c>
      <x:c r="F285" s="34" t="str">
        <x:v>Nagoya Works 블록</x:v>
      </x:c>
      <x:c r="G285" s="34" t="str">
        <x:v>나고야</x:v>
      </x:c>
      <x:c r="H285" s="34" t="n">
        <x:v>2032</x:v>
      </x:c>
      <x:c r="I285" s="34" t="str">
        <x:v>BF_BOF</x:v>
      </x:c>
      <x:c r="J285" s="34" t="str">
        <x:v>기준 BF-BOF 복합 블록</x:v>
      </x:c>
      <x:c r="K285" s="34" t="str">
        <x:v>SCRAP_EAF</x:v>
      </x:c>
      <x:c r="L285" s="34" t="str">
        <x:v>스크랩 기반 대형 EAF</x:v>
      </x:c>
      <x:c r="M285" s="34" t="n">
        <x:v>4312</x:v>
      </x:c>
      <x:c r="N285" s="34" t="n">
        <x:v>2772</x:v>
      </x:c>
      <x:c r="O285" s="34" t="n">
        <x:v>7</x:v>
      </x:c>
      <x:c r="P285" s="34" t="n">
        <x:v>6.199998</x:v>
      </x:c>
      <x:c r="Q285" s="34" t="n">
        <x:v>13.123027</x:v>
      </x:c>
      <x:c r="R285" s="34" t="n">
        <x:v>13.123027</x:v>
      </x:c>
      <x:c r="S285" s="34" t="n">
        <x:v>2.789999</x:v>
      </x:c>
      <x:c r="T285" s="34" t="n">
        <x:v>2.789999</x:v>
      </x:c>
      <x:c r="U285" s="34" t="n">
        <x:v>10.333028</x:v>
      </x:c>
      <x:c r="V285" s="34" t="n">
        <x:v>92.997254</x:v>
      </x:c>
      <x:c r="W285" s="34" t="n">
        <x:v>2348.402</x:v>
      </x:c>
      <x:c r="X285" s="34" t="n">
        <x:v>485.568</x:v>
      </x:c>
      <x:c r="Y285" s="34" t="n">
        <x:v>5619.219</x:v>
      </x:c>
      <x:c r="Z285" s="34" t="n">
        <x:v>5133.651</x:v>
      </x:c>
      <x:c r="AA285" s="34" t="n">
        <x:v>3270.817</x:v>
      </x:c>
      <x:c r="AB285" s="34" t="n">
        <x:v>1862.833</x:v>
      </x:c>
      <x:c r="AC285" s="34" t="n">
        <x:v>1905.575</x:v>
      </x:c>
      <x:c r="AD285" s="34" t="n">
        <x:v>187.564</x:v>
      </x:c>
      <x:c r="AE285" s="34" t="n">
        <x:v>3516.993</x:v>
      </x:c>
      <x:c r="AF285" s="34" t="n">
        <x:v>0</x:v>
      </x:c>
      <x:c r="AG285" s="34" t="n">
        <x:v>9.087</x:v>
      </x:c>
      <x:c r="AH285" s="34" t="n">
        <x:v>-3270.817</x:v>
      </x:c>
      <x:c r="AI285" s="34" t="str">
        <x:v>model_estimate</x:v>
      </x:c>
      <x:c r="AJ285" s="34" t="str">
        <x:v>Nippon Steel 공식 생산·배출·용량 총량에 맞춘 지역 블록 배분</x:v>
      </x:c>
      <x:c r="AK285" s="34" t="str">
        <x:v>CAND-F6184286A4322F</x:v>
      </x:c>
      <x:c r="AL285" s="34" t="str">
        <x:v>P2</x:v>
      </x:c>
      <x:c r="AM285" s="34" t="str">
        <x:v>PORT-6742936593A9</x:v>
      </x:c>
      <x:c r="AN285" s="34" t="n">
        <x:v>1000</x:v>
      </x:c>
      <x:c r="AO285" s="34" t="n">
        <x:v>84.033994</x:v>
      </x:c>
      <x:c r="AP285" s="34" t="n">
        <x:v>22.171311</x:v>
      </x:c>
      <x:c r="AQ285" s="34" t="n">
        <x:v>454.753949</x:v>
      </x:c>
      <x:c r="AR285" s="34" t="n">
        <x:v>37375.086</x:v>
      </x:c>
      <x:c r="AS285" s="34" t="n">
        <x:v>82.187491</x:v>
      </x:c>
      <x:c r="AT285" s="40" t="b">
        <x:v>1</x:v>
      </x:c>
      <x:c r="AU285" s="40" t="b">
        <x:v>1</x:v>
      </x:c>
      <x:c r="AV285" s="34" t="str"/>
      <x:c r="AW285" s="34" t="n">
        <x:v>0</x:v>
      </x:c>
      <x:c r="AX285" s="34" t="str">
        <x:v>3.446647212967946e-06</x:v>
      </x:c>
      <x:c r="AY285" s="40" t="b">
        <x:v>1</x:v>
      </x:c>
      <x:c r="AZ285" s="40" t="b">
        <x:v>1</x:v>
      </x:c>
      <x:c r="BA285" s="40" t="b">
        <x:v>1</x:v>
      </x:c>
      <x:c r="BB285" s="40" t="b">
        <x:v>1</x:v>
      </x:c>
      <x:c r="BC285" s="34" t="str"/>
      <x:c r="BD285" s="34" t="n">
        <x:v>0</x:v>
      </x:c>
      <x:c r="BE285" s="34" t="n">
        <x:v>0</x:v>
      </x:c>
      <x:c r="BF285" s="34" t="n">
        <x:v>0</x:v>
      </x:c>
      <x:c r="BG285" s="34" t="n">
        <x:v>2</x:v>
      </x:c>
      <x:c r="BH285" s="34" t="n">
        <x:v>2</x:v>
      </x:c>
      <x:c r="BI285" s="34" t="n">
        <x:v>0.47641018879999986</x:v>
      </x:c>
      <x:c r="BJ285" s="34" t="n">
        <x:v>0.65</x:v>
      </x:c>
      <x:c r="BK285" s="34" t="n">
        <x:v>2.16</x:v>
      </x:c>
    </x:row>
    <x:row r="286">
      <x:c r="A286" s="34" t="str">
        <x:v>NIPPON_STEEL_JP</x:v>
      </x:c>
      <x:c r="B286" s="34" t="str">
        <x:v>Nippon Steel</x:v>
      </x:c>
      <x:c r="C286" s="34" t="str">
        <x:v>DISCLOSED_PATH</x:v>
      </x:c>
      <x:c r="D286" s="34" t="str">
        <x:v>P2</x:v>
      </x:c>
      <x:c r="E286" s="34" t="str">
        <x:v>NS-SETOUCHI</x:v>
      </x:c>
      <x:c r="F286" s="34" t="str">
        <x:v>Setouchi Works Hirohata 블록</x:v>
      </x:c>
      <x:c r="G286" s="34" t="str">
        <x:v>세토우치</x:v>
      </x:c>
      <x:c r="H286" s="34" t="n">
        <x:v>2038</x:v>
      </x:c>
      <x:c r="I286" s="34" t="str">
        <x:v>BF_BOF</x:v>
      </x:c>
      <x:c r="J286" s="34" t="str">
        <x:v>기준 BF-BOF 복합 블록</x:v>
      </x:c>
      <x:c r="K286" s="34" t="str">
        <x:v>SCRAP_EAF</x:v>
      </x:c>
      <x:c r="L286" s="34" t="str">
        <x:v>스크랩 기반 대형 EAF</x:v>
      </x:c>
      <x:c r="M286" s="34" t="n">
        <x:v>4620</x:v>
      </x:c>
      <x:c r="N286" s="34" t="n">
        <x:v>2970</x:v>
      </x:c>
      <x:c r="O286" s="34" t="n">
        <x:v>7.5</x:v>
      </x:c>
      <x:c r="P286" s="34" t="n">
        <x:v>6.3</x:v>
      </x:c>
      <x:c r="Q286" s="34" t="n">
        <x:v>13.334693</x:v>
      </x:c>
      <x:c r="R286" s="34" t="n">
        <x:v>13.334693</x:v>
      </x:c>
      <x:c r="S286" s="34" t="n">
        <x:v>2.835</x:v>
      </x:c>
      <x:c r="T286" s="34" t="n">
        <x:v>2.835</x:v>
      </x:c>
      <x:c r="U286" s="34" t="n">
        <x:v>10.499693</x:v>
      </x:c>
      <x:c r="V286" s="34" t="n">
        <x:v>31.49908</x:v>
      </x:c>
      <x:c r="W286" s="34" t="n">
        <x:v>1476.727</x:v>
      </x:c>
      <x:c r="X286" s="34" t="n">
        <x:v>371.121</x:v>
      </x:c>
      <x:c r="Y286" s="34" t="n">
        <x:v>2567.948</x:v>
      </x:c>
      <x:c r="Z286" s="34" t="n">
        <x:v>2196.827</x:v>
      </x:c>
      <x:c r="AA286" s="34" t="n">
        <x:v>1091.221</x:v>
      </x:c>
      <x:c r="AB286" s="34" t="n">
        <x:v>1105.606</x:v>
      </x:c>
      <x:c r="AC286" s="34" t="n">
        <x:v>1480.725</x:v>
      </x:c>
      <x:c r="AD286" s="34" t="n">
        <x:v>53.641</x:v>
      </x:c>
      <x:c r="AE286" s="34" t="n">
        <x:v>1029.077</x:v>
      </x:c>
      <x:c r="AF286" s="34" t="n">
        <x:v>0</x:v>
      </x:c>
      <x:c r="AG286" s="34" t="n">
        <x:v>4.505</x:v>
      </x:c>
      <x:c r="AH286" s="34" t="n">
        <x:v>-1091.221</x:v>
      </x:c>
      <x:c r="AI286" s="34" t="str">
        <x:v>model_estimate</x:v>
      </x:c>
      <x:c r="AJ286" s="34" t="str">
        <x:v>Hirohata EAF 투자 방향을 반영한 복합 블록; 생산량·재투자연도 추정</x:v>
      </x:c>
      <x:c r="AK286" s="34" t="str">
        <x:v>CAND-F6184286A4322F</x:v>
      </x:c>
      <x:c r="AL286" s="34" t="str">
        <x:v>P2</x:v>
      </x:c>
      <x:c r="AM286" s="34" t="str">
        <x:v>PORT-6742936593A9</x:v>
      </x:c>
      <x:c r="AN286" s="34" t="n">
        <x:v>1000</x:v>
      </x:c>
      <x:c r="AO286" s="34" t="n">
        <x:v>84.033994</x:v>
      </x:c>
      <x:c r="AP286" s="34" t="n">
        <x:v>22.171311</x:v>
      </x:c>
      <x:c r="AQ286" s="34" t="n">
        <x:v>454.753949</x:v>
      </x:c>
      <x:c r="AR286" s="34" t="n">
        <x:v>37375.086</x:v>
      </x:c>
      <x:c r="AS286" s="34" t="n">
        <x:v>82.187491</x:v>
      </x:c>
      <x:c r="AT286" s="40" t="b">
        <x:v>1</x:v>
      </x:c>
      <x:c r="AU286" s="40" t="b">
        <x:v>1</x:v>
      </x:c>
      <x:c r="AV286" s="34" t="str"/>
      <x:c r="AW286" s="34" t="n">
        <x:v>0</x:v>
      </x:c>
      <x:c r="AX286" s="34" t="str">
        <x:v>3.446647212967946e-06</x:v>
      </x:c>
      <x:c r="AY286" s="40" t="b">
        <x:v>1</x:v>
      </x:c>
      <x:c r="AZ286" s="40" t="b">
        <x:v>1</x:v>
      </x:c>
      <x:c r="BA286" s="40" t="b">
        <x:v>1</x:v>
      </x:c>
      <x:c r="BB286" s="40" t="b">
        <x:v>1</x:v>
      </x:c>
      <x:c r="BC286" s="34" t="str"/>
      <x:c r="BD286" s="34" t="n">
        <x:v>0</x:v>
      </x:c>
      <x:c r="BE286" s="34" t="n">
        <x:v>0</x:v>
      </x:c>
      <x:c r="BF286" s="34" t="n">
        <x:v>0</x:v>
      </x:c>
      <x:c r="BG286" s="34" t="n">
        <x:v>2</x:v>
      </x:c>
      <x:c r="BH286" s="34" t="n">
        <x:v>2</x:v>
      </x:c>
      <x:c r="BI286" s="34" t="n">
        <x:v>0.47641018879999986</x:v>
      </x:c>
      <x:c r="BJ286" s="34" t="n">
        <x:v>0.65</x:v>
      </x:c>
      <x:c r="BK286" s="34" t="n">
        <x:v>2.16</x:v>
      </x:c>
    </x:row>
    <x:row r="287">
      <x:c r="A287" s="34" t="str">
        <x:v>NIPPON_STEEL_JP</x:v>
      </x:c>
      <x:c r="B287" s="34" t="str">
        <x:v>Nippon Steel</x:v>
      </x:c>
      <x:c r="C287" s="34" t="str">
        <x:v>ACCELERATED_15C</x:v>
      </x:c>
      <x:c r="D287" s="34" t="str">
        <x:v>P2</x:v>
      </x:c>
      <x:c r="E287" s="34" t="str">
        <x:v>NS-EAST</x:v>
      </x:c>
      <x:c r="F287" s="34" t="str">
        <x:v>East Nippon Works 블록</x:v>
      </x:c>
      <x:c r="G287" s="34" t="str">
        <x:v>동일본</x:v>
      </x:c>
      <x:c r="H287" s="34" t="n">
        <x:v>2034</x:v>
      </x:c>
      <x:c r="I287" s="34" t="str">
        <x:v>BF_BOF</x:v>
      </x:c>
      <x:c r="J287" s="34" t="str">
        <x:v>기준 BF-BOF 복합 블록</x:v>
      </x:c>
      <x:c r="K287" s="34" t="str">
        <x:v>H2_DRI_EAF</x:v>
      </x:c>
      <x:c r="L287" s="34" t="str">
        <x:v>수소 DRI + EAF</x:v>
      </x:c>
      <x:c r="M287" s="34" t="n">
        <x:v>8019</x:v>
      </x:c>
      <x:c r="N287" s="34" t="n">
        <x:v>6237</x:v>
      </x:c>
      <x:c r="O287" s="34" t="n">
        <x:v>8.1</x:v>
      </x:c>
      <x:c r="P287" s="34" t="n">
        <x:v>7.200001</x:v>
      </x:c>
      <x:c r="Q287" s="34" t="n">
        <x:v>15.239652</x:v>
      </x:c>
      <x:c r="R287" s="34" t="n">
        <x:v>15.239652</x:v>
      </x:c>
      <x:c r="S287" s="34" t="n">
        <x:v>1.44</x:v>
      </x:c>
      <x:c r="T287" s="34" t="n">
        <x:v>1.44</x:v>
      </x:c>
      <x:c r="U287" s="34" t="n">
        <x:v>13.799651</x:v>
      </x:c>
      <x:c r="V287" s="34" t="n">
        <x:v>96.597559</x:v>
      </x:c>
      <x:c r="W287" s="34" t="n">
        <x:v>21570.168</x:v>
      </x:c>
      <x:c r="X287" s="34" t="n">
        <x:v>2147.914</x:v>
      </x:c>
      <x:c r="Y287" s="34" t="n">
        <x:v>26617.211</x:v>
      </x:c>
      <x:c r="Z287" s="34" t="n">
        <x:v>24469.297</x:v>
      </x:c>
      <x:c r="AA287" s="34" t="n">
        <x:v>5047.043</x:v>
      </x:c>
      <x:c r="AB287" s="34" t="n">
        <x:v>19422.253</x:v>
      </x:c>
      <x:c r="AC287" s="34" t="n">
        <x:v>3852.154</x:v>
      </x:c>
      <x:c r="AD287" s="34" t="n">
        <x:v>346.602</x:v>
      </x:c>
      <x:c r="AE287" s="34" t="n">
        <x:v>2763.891</x:v>
      </x:c>
      <x:c r="AF287" s="34" t="n">
        <x:v>19623.091</x:v>
      </x:c>
      <x:c r="AG287" s="34" t="n">
        <x:v>31.473</x:v>
      </x:c>
      <x:c r="AH287" s="34" t="n">
        <x:v>-5047.043</x:v>
      </x:c>
      <x:c r="AI287" s="34" t="str">
        <x:v>model_estimate</x:v>
      </x:c>
      <x:c r="AJ287" s="34" t="str">
        <x:v>Nippon Steel 공식 생산·배출·용량 총량에 맞춘 지역 블록 배분</x:v>
      </x:c>
      <x:c r="AK287" s="34" t="str">
        <x:v>CAND-F6184286A4322F</x:v>
      </x:c>
      <x:c r="AL287" s="34" t="str">
        <x:v>P2</x:v>
      </x:c>
      <x:c r="AM287" s="34" t="str">
        <x:v>PORT-6742936593A9</x:v>
      </x:c>
      <x:c r="AN287" s="34" t="n">
        <x:v>1000</x:v>
      </x:c>
      <x:c r="AO287" s="34" t="n">
        <x:v>73.8519</x:v>
      </x:c>
      <x:c r="AP287" s="34" t="n">
        <x:v>23.844211</x:v>
      </x:c>
      <x:c r="AQ287" s="34" t="n">
        <x:v>454.753949</x:v>
      </x:c>
      <x:c r="AR287" s="34" t="n">
        <x:v>32776.213</x:v>
      </x:c>
      <x:c r="AS287" s="34" t="n">
        <x:v>72.074609</x:v>
      </x:c>
      <x:c r="AT287" s="40" t="b">
        <x:v>1</x:v>
      </x:c>
      <x:c r="AU287" s="40" t="b">
        <x:v>1</x:v>
      </x:c>
      <x:c r="AV287" s="34" t="str"/>
      <x:c r="AW287" s="34" t="n">
        <x:v>0</x:v>
      </x:c>
      <x:c r="AX287" s="34" t="str">
        <x:v>3.446647212967946e-06</x:v>
      </x:c>
      <x:c r="AY287" s="40" t="b">
        <x:v>1</x:v>
      </x:c>
      <x:c r="AZ287" s="40" t="b">
        <x:v>1</x:v>
      </x:c>
      <x:c r="BA287" s="40" t="b">
        <x:v>1</x:v>
      </x:c>
      <x:c r="BB287" s="40" t="b">
        <x:v>1</x:v>
      </x:c>
      <x:c r="BC287" s="34" t="str"/>
      <x:c r="BD287" s="34" t="n">
        <x:v>0</x:v>
      </x:c>
      <x:c r="BE287" s="34" t="n">
        <x:v>0</x:v>
      </x:c>
      <x:c r="BF287" s="34" t="n">
        <x:v>0</x:v>
      </x:c>
      <x:c r="BG287" s="34" t="n">
        <x:v>2</x:v>
      </x:c>
      <x:c r="BH287" s="34" t="n">
        <x:v>2</x:v>
      </x:c>
      <x:c r="BI287" s="34" t="n">
        <x:v>0.47641018879999986</x:v>
      </x:c>
      <x:c r="BJ287" s="34" t="n">
        <x:v>0.65</x:v>
      </x:c>
      <x:c r="BK287" s="34" t="n">
        <x:v>2.16</x:v>
      </x:c>
    </x:row>
    <x:row r="288">
      <x:c r="A288" s="34" t="str">
        <x:v>NIPPON_STEEL_JP</x:v>
      </x:c>
      <x:c r="B288" s="34" t="str">
        <x:v>Nippon Steel</x:v>
      </x:c>
      <x:c r="C288" s="34" t="str">
        <x:v>ACCELERATED_15C</x:v>
      </x:c>
      <x:c r="D288" s="34" t="str">
        <x:v>P2</x:v>
      </x:c>
      <x:c r="E288" s="34" t="str">
        <x:v>NS-KANSAI</x:v>
      </x:c>
      <x:c r="F288" s="34" t="str">
        <x:v>Kansai Works 블록</x:v>
      </x:c>
      <x:c r="G288" s="34" t="str">
        <x:v>간사이</x:v>
      </x:c>
      <x:c r="H288" s="34" t="n">
        <x:v>2036</x:v>
      </x:c>
      <x:c r="I288" s="34" t="str">
        <x:v>BF_BOF</x:v>
      </x:c>
      <x:c r="J288" s="34" t="str">
        <x:v>기준 BF-BOF 복합 블록</x:v>
      </x:c>
      <x:c r="K288" s="34" t="str">
        <x:v>H2_DRI_EAF</x:v>
      </x:c>
      <x:c r="L288" s="34" t="str">
        <x:v>수소 DRI + EAF</x:v>
      </x:c>
      <x:c r="M288" s="34" t="n">
        <x:v>6237</x:v>
      </x:c>
      <x:c r="N288" s="34" t="n">
        <x:v>4851</x:v>
      </x:c>
      <x:c r="O288" s="34" t="n">
        <x:v>6.3</x:v>
      </x:c>
      <x:c r="P288" s="34" t="n">
        <x:v>5.600001</x:v>
      </x:c>
      <x:c r="Q288" s="34" t="n">
        <x:v>11.853062</x:v>
      </x:c>
      <x:c r="R288" s="34" t="n">
        <x:v>11.853062</x:v>
      </x:c>
      <x:c r="S288" s="34" t="n">
        <x:v>1.12</x:v>
      </x:c>
      <x:c r="T288" s="34" t="n">
        <x:v>1.12</x:v>
      </x:c>
      <x:c r="U288" s="34" t="n">
        <x:v>10.733062</x:v>
      </x:c>
      <x:c r="V288" s="34" t="n">
        <x:v>53.665311</x:v>
      </x:c>
      <x:c r="W288" s="34" t="n">
        <x:v>11975.136</x:v>
      </x:c>
      <x:c r="X288" s="34" t="n">
        <x:v>1361.544</x:v>
      </x:c>
      <x:c r="Y288" s="34" t="n">
        <x:v>14774.284</x:v>
      </x:c>
      <x:c r="Z288" s="34" t="n">
        <x:v>13412.74</x:v>
      </x:c>
      <x:c r="AA288" s="34" t="n">
        <x:v>2799.149</x:v>
      </x:c>
      <x:c r="AB288" s="34" t="n">
        <x:v>10613.592</x:v>
      </x:c>
      <x:c r="AC288" s="34" t="n">
        <x:v>2691.871</x:v>
      </x:c>
      <x:c r="AD288" s="34" t="n">
        <x:v>181.997</x:v>
      </x:c>
      <x:c r="AE288" s="34" t="n">
        <x:v>1472.667</x:v>
      </x:c>
      <x:c r="AF288" s="34" t="n">
        <x:v>10409.747</x:v>
      </x:c>
      <x:c r="AG288" s="34" t="n">
        <x:v>18.002</x:v>
      </x:c>
      <x:c r="AH288" s="34" t="n">
        <x:v>-2799.149</x:v>
      </x:c>
      <x:c r="AI288" s="34" t="str">
        <x:v>model_estimate</x:v>
      </x:c>
      <x:c r="AJ288" s="34" t="str">
        <x:v>Nippon Steel 공식 생산·배출·용량 총량에 맞춘 지역 블록 배분</x:v>
      </x:c>
      <x:c r="AK288" s="34" t="str">
        <x:v>CAND-F6184286A4322F</x:v>
      </x:c>
      <x:c r="AL288" s="34" t="str">
        <x:v>P2</x:v>
      </x:c>
      <x:c r="AM288" s="34" t="str">
        <x:v>PORT-6742936593A9</x:v>
      </x:c>
      <x:c r="AN288" s="34" t="n">
        <x:v>1000</x:v>
      </x:c>
      <x:c r="AO288" s="34" t="n">
        <x:v>73.8519</x:v>
      </x:c>
      <x:c r="AP288" s="34" t="n">
        <x:v>23.844211</x:v>
      </x:c>
      <x:c r="AQ288" s="34" t="n">
        <x:v>454.753949</x:v>
      </x:c>
      <x:c r="AR288" s="34" t="n">
        <x:v>32776.213</x:v>
      </x:c>
      <x:c r="AS288" s="34" t="n">
        <x:v>72.074609</x:v>
      </x:c>
      <x:c r="AT288" s="40" t="b">
        <x:v>1</x:v>
      </x:c>
      <x:c r="AU288" s="40" t="b">
        <x:v>1</x:v>
      </x:c>
      <x:c r="AV288" s="34" t="str"/>
      <x:c r="AW288" s="34" t="n">
        <x:v>0</x:v>
      </x:c>
      <x:c r="AX288" s="34" t="str">
        <x:v>3.446647212967946e-06</x:v>
      </x:c>
      <x:c r="AY288" s="40" t="b">
        <x:v>1</x:v>
      </x:c>
      <x:c r="AZ288" s="40" t="b">
        <x:v>1</x:v>
      </x:c>
      <x:c r="BA288" s="40" t="b">
        <x:v>1</x:v>
      </x:c>
      <x:c r="BB288" s="40" t="b">
        <x:v>1</x:v>
      </x:c>
      <x:c r="BC288" s="34" t="str"/>
      <x:c r="BD288" s="34" t="n">
        <x:v>0</x:v>
      </x:c>
      <x:c r="BE288" s="34" t="n">
        <x:v>0</x:v>
      </x:c>
      <x:c r="BF288" s="34" t="n">
        <x:v>0</x:v>
      </x:c>
      <x:c r="BG288" s="34" t="n">
        <x:v>2</x:v>
      </x:c>
      <x:c r="BH288" s="34" t="n">
        <x:v>2</x:v>
      </x:c>
      <x:c r="BI288" s="34" t="n">
        <x:v>0.47641018879999986</x:v>
      </x:c>
      <x:c r="BJ288" s="34" t="n">
        <x:v>0.65</x:v>
      </x:c>
      <x:c r="BK288" s="34" t="n">
        <x:v>2.16</x:v>
      </x:c>
    </x:row>
    <x:row r="289">
      <x:c r="A289" s="34" t="str">
        <x:v>NIPPON_STEEL_JP</x:v>
      </x:c>
      <x:c r="B289" s="34" t="str">
        <x:v>Nippon Steel</x:v>
      </x:c>
      <x:c r="C289" s="34" t="str">
        <x:v>ACCELERATED_15C</x:v>
      </x:c>
      <x:c r="D289" s="34" t="str">
        <x:v>P2</x:v>
      </x:c>
      <x:c r="E289" s="34" t="str">
        <x:v>NS-KYUSHU</x:v>
      </x:c>
      <x:c r="F289" s="34" t="str">
        <x:v>Kyushu Works Yawata 블록</x:v>
      </x:c>
      <x:c r="G289" s="34" t="str">
        <x:v>규슈</x:v>
      </x:c>
      <x:c r="H289" s="34" t="n">
        <x:v>2029</x:v>
      </x:c>
      <x:c r="I289" s="34" t="str">
        <x:v>BF_BOF</x:v>
      </x:c>
      <x:c r="J289" s="34" t="str">
        <x:v>기준 BF-BOF 복합 블록</x:v>
      </x:c>
      <x:c r="K289" s="34" t="str">
        <x:v>SCRAP_EAF</x:v>
      </x:c>
      <x:c r="L289" s="34" t="str">
        <x:v>스크랩 기반 대형 EAF</x:v>
      </x:c>
      <x:c r="M289" s="34" t="n">
        <x:v>6160</x:v>
      </x:c>
      <x:c r="N289" s="34" t="n">
        <x:v>3960</x:v>
      </x:c>
      <x:c r="O289" s="34" t="n">
        <x:v>10</x:v>
      </x:c>
      <x:c r="P289" s="34" t="n">
        <x:v>9</x:v>
      </x:c>
      <x:c r="Q289" s="34" t="n">
        <x:v>19.049562</x:v>
      </x:c>
      <x:c r="R289" s="34" t="n">
        <x:v>4.05</x:v>
      </x:c>
      <x:c r="S289" s="34" t="n">
        <x:v>4.05</x:v>
      </x:c>
      <x:c r="T289" s="34" t="n">
        <x:v>4.05</x:v>
      </x:c>
      <x:c r="U289" s="34" t="n">
        <x:v>14.999562</x:v>
      </x:c>
      <x:c r="V289" s="34" t="n">
        <x:v>179.994744</x:v>
      </x:c>
      <x:c r="W289" s="34" t="n">
        <x:v>2510.792</x:v>
      </x:c>
      <x:c r="X289" s="34" t="n">
        <x:v>970.326</x:v>
      </x:c>
      <x:c r="Y289" s="34" t="n">
        <x:v>11686.726</x:v>
      </x:c>
      <x:c r="Z289" s="34" t="n">
        <x:v>10716.4</x:v>
      </x:c>
      <x:c r="AA289" s="34" t="n">
        <x:v>9175.933</x:v>
      </x:c>
      <x:c r="AB289" s="34" t="n">
        <x:v>1540.466</x:v>
      </x:c>
      <x:c r="AC289" s="34" t="n">
        <x:v>3196.578</x:v>
      </x:c>
      <x:c r="AD289" s="34" t="n">
        <x:v>462.398</x:v>
      </x:c>
      <x:c r="AE289" s="34" t="n">
        <x:v>8009.343</x:v>
      </x:c>
      <x:c r="AF289" s="34" t="n">
        <x:v>0</x:v>
      </x:c>
      <x:c r="AG289" s="34" t="n">
        <x:v>18.407</x:v>
      </x:c>
      <x:c r="AH289" s="34" t="n">
        <x:v>-9175.933</x:v>
      </x:c>
      <x:c r="AI289" s="34" t="str">
        <x:v>model_estimate</x:v>
      </x:c>
      <x:c r="AJ289" s="34" t="str">
        <x:v>Yawata BF→EAF 공시 방향을 반영해 조기 재투자 창을 설정; 블록 생산량 추정</x:v>
      </x:c>
      <x:c r="AK289" s="34" t="str">
        <x:v>CAND-F6184286A4322F</x:v>
      </x:c>
      <x:c r="AL289" s="34" t="str">
        <x:v>P2</x:v>
      </x:c>
      <x:c r="AM289" s="34" t="str">
        <x:v>PORT-6742936593A9</x:v>
      </x:c>
      <x:c r="AN289" s="34" t="n">
        <x:v>1000</x:v>
      </x:c>
      <x:c r="AO289" s="34" t="n">
        <x:v>73.8519</x:v>
      </x:c>
      <x:c r="AP289" s="34" t="n">
        <x:v>23.844211</x:v>
      </x:c>
      <x:c r="AQ289" s="34" t="n">
        <x:v>454.753949</x:v>
      </x:c>
      <x:c r="AR289" s="34" t="n">
        <x:v>32776.213</x:v>
      </x:c>
      <x:c r="AS289" s="34" t="n">
        <x:v>72.074609</x:v>
      </x:c>
      <x:c r="AT289" s="40" t="b">
        <x:v>1</x:v>
      </x:c>
      <x:c r="AU289" s="40" t="b">
        <x:v>1</x:v>
      </x:c>
      <x:c r="AV289" s="34" t="str"/>
      <x:c r="AW289" s="34" t="n">
        <x:v>0</x:v>
      </x:c>
      <x:c r="AX289" s="34" t="str">
        <x:v>3.446647212967946e-06</x:v>
      </x:c>
      <x:c r="AY289" s="40" t="b">
        <x:v>1</x:v>
      </x:c>
      <x:c r="AZ289" s="40" t="b">
        <x:v>1</x:v>
      </x:c>
      <x:c r="BA289" s="40" t="b">
        <x:v>1</x:v>
      </x:c>
      <x:c r="BB289" s="40" t="b">
        <x:v>1</x:v>
      </x:c>
      <x:c r="BC289" s="34" t="str"/>
      <x:c r="BD289" s="34" t="n">
        <x:v>0</x:v>
      </x:c>
      <x:c r="BE289" s="34" t="n">
        <x:v>0</x:v>
      </x:c>
      <x:c r="BF289" s="34" t="n">
        <x:v>0</x:v>
      </x:c>
      <x:c r="BG289" s="34" t="n">
        <x:v>2</x:v>
      </x:c>
      <x:c r="BH289" s="34" t="n">
        <x:v>2</x:v>
      </x:c>
      <x:c r="BI289" s="34" t="n">
        <x:v>0.47641018879999986</x:v>
      </x:c>
      <x:c r="BJ289" s="34" t="n">
        <x:v>0.65</x:v>
      </x:c>
      <x:c r="BK289" s="34" t="n">
        <x:v>2.16</x:v>
      </x:c>
    </x:row>
    <x:row r="290">
      <x:c r="A290" s="34" t="str">
        <x:v>NIPPON_STEEL_JP</x:v>
      </x:c>
      <x:c r="B290" s="34" t="str">
        <x:v>Nippon Steel</x:v>
      </x:c>
      <x:c r="C290" s="34" t="str">
        <x:v>ACCELERATED_15C</x:v>
      </x:c>
      <x:c r="D290" s="34" t="str">
        <x:v>P2</x:v>
      </x:c>
      <x:c r="E290" s="34" t="str">
        <x:v>NS-NAGOYA</x:v>
      </x:c>
      <x:c r="F290" s="34" t="str">
        <x:v>Nagoya Works 블록</x:v>
      </x:c>
      <x:c r="G290" s="34" t="str">
        <x:v>나고야</x:v>
      </x:c>
      <x:c r="H290" s="34" t="n">
        <x:v>2032</x:v>
      </x:c>
      <x:c r="I290" s="34" t="str">
        <x:v>BF_BOF</x:v>
      </x:c>
      <x:c r="J290" s="34" t="str">
        <x:v>기준 BF-BOF 복합 블록</x:v>
      </x:c>
      <x:c r="K290" s="34" t="str">
        <x:v>SCRAP_EAF</x:v>
      </x:c>
      <x:c r="L290" s="34" t="str">
        <x:v>스크랩 기반 대형 EAF</x:v>
      </x:c>
      <x:c r="M290" s="34" t="n">
        <x:v>4312</x:v>
      </x:c>
      <x:c r="N290" s="34" t="n">
        <x:v>2772</x:v>
      </x:c>
      <x:c r="O290" s="34" t="n">
        <x:v>7</x:v>
      </x:c>
      <x:c r="P290" s="34" t="n">
        <x:v>6.199998</x:v>
      </x:c>
      <x:c r="Q290" s="34" t="n">
        <x:v>13.123027</x:v>
      </x:c>
      <x:c r="R290" s="34" t="n">
        <x:v>13.123027</x:v>
      </x:c>
      <x:c r="S290" s="34" t="n">
        <x:v>2.789999</x:v>
      </x:c>
      <x:c r="T290" s="34" t="n">
        <x:v>2.789999</x:v>
      </x:c>
      <x:c r="U290" s="34" t="n">
        <x:v>10.333028</x:v>
      </x:c>
      <x:c r="V290" s="34" t="n">
        <x:v>92.997254</x:v>
      </x:c>
      <x:c r="W290" s="34" t="n">
        <x:v>1151.294</x:v>
      </x:c>
      <x:c r="X290" s="34" t="n">
        <x:v>572.959</x:v>
      </x:c>
      <x:c r="Y290" s="34" t="n">
        <x:v>5987.942</x:v>
      </x:c>
      <x:c r="Z290" s="34" t="n">
        <x:v>5414.983</x:v>
      </x:c>
      <x:c r="AA290" s="34" t="n">
        <x:v>4836.648</x:v>
      </x:c>
      <x:c r="AB290" s="34" t="n">
        <x:v>578.336</x:v>
      </x:c>
      <x:c r="AC290" s="34" t="n">
        <x:v>1905.575</x:v>
      </x:c>
      <x:c r="AD290" s="34" t="n">
        <x:v>187.564</x:v>
      </x:c>
      <x:c r="AE290" s="34" t="n">
        <x:v>3885.164</x:v>
      </x:c>
      <x:c r="AF290" s="34" t="n">
        <x:v>0</x:v>
      </x:c>
      <x:c r="AG290" s="34" t="n">
        <x:v>9.639</x:v>
      </x:c>
      <x:c r="AH290" s="34" t="n">
        <x:v>-4836.648</x:v>
      </x:c>
      <x:c r="AI290" s="34" t="str">
        <x:v>model_estimate</x:v>
      </x:c>
      <x:c r="AJ290" s="34" t="str">
        <x:v>Nippon Steel 공식 생산·배출·용량 총량에 맞춘 지역 블록 배분</x:v>
      </x:c>
      <x:c r="AK290" s="34" t="str">
        <x:v>CAND-F6184286A4322F</x:v>
      </x:c>
      <x:c r="AL290" s="34" t="str">
        <x:v>P2</x:v>
      </x:c>
      <x:c r="AM290" s="34" t="str">
        <x:v>PORT-6742936593A9</x:v>
      </x:c>
      <x:c r="AN290" s="34" t="n">
        <x:v>1000</x:v>
      </x:c>
      <x:c r="AO290" s="34" t="n">
        <x:v>73.8519</x:v>
      </x:c>
      <x:c r="AP290" s="34" t="n">
        <x:v>23.844211</x:v>
      </x:c>
      <x:c r="AQ290" s="34" t="n">
        <x:v>454.753949</x:v>
      </x:c>
      <x:c r="AR290" s="34" t="n">
        <x:v>32776.213</x:v>
      </x:c>
      <x:c r="AS290" s="34" t="n">
        <x:v>72.074609</x:v>
      </x:c>
      <x:c r="AT290" s="40" t="b">
        <x:v>1</x:v>
      </x:c>
      <x:c r="AU290" s="40" t="b">
        <x:v>1</x:v>
      </x:c>
      <x:c r="AV290" s="34" t="str"/>
      <x:c r="AW290" s="34" t="n">
        <x:v>0</x:v>
      </x:c>
      <x:c r="AX290" s="34" t="str">
        <x:v>3.446647212967946e-06</x:v>
      </x:c>
      <x:c r="AY290" s="40" t="b">
        <x:v>1</x:v>
      </x:c>
      <x:c r="AZ290" s="40" t="b">
        <x:v>1</x:v>
      </x:c>
      <x:c r="BA290" s="40" t="b">
        <x:v>1</x:v>
      </x:c>
      <x:c r="BB290" s="40" t="b">
        <x:v>1</x:v>
      </x:c>
      <x:c r="BC290" s="34" t="str"/>
      <x:c r="BD290" s="34" t="n">
        <x:v>0</x:v>
      </x:c>
      <x:c r="BE290" s="34" t="n">
        <x:v>0</x:v>
      </x:c>
      <x:c r="BF290" s="34" t="n">
        <x:v>0</x:v>
      </x:c>
      <x:c r="BG290" s="34" t="n">
        <x:v>2</x:v>
      </x:c>
      <x:c r="BH290" s="34" t="n">
        <x:v>2</x:v>
      </x:c>
      <x:c r="BI290" s="34" t="n">
        <x:v>0.47641018879999986</x:v>
      </x:c>
      <x:c r="BJ290" s="34" t="n">
        <x:v>0.65</x:v>
      </x:c>
      <x:c r="BK290" s="34" t="n">
        <x:v>2.16</x:v>
      </x:c>
    </x:row>
    <x:row r="291">
      <x:c r="A291" s="34" t="str">
        <x:v>NIPPON_STEEL_JP</x:v>
      </x:c>
      <x:c r="B291" s="34" t="str">
        <x:v>Nippon Steel</x:v>
      </x:c>
      <x:c r="C291" s="34" t="str">
        <x:v>ACCELERATED_15C</x:v>
      </x:c>
      <x:c r="D291" s="34" t="str">
        <x:v>P2</x:v>
      </x:c>
      <x:c r="E291" s="34" t="str">
        <x:v>NS-SETOUCHI</x:v>
      </x:c>
      <x:c r="F291" s="34" t="str">
        <x:v>Setouchi Works Hirohata 블록</x:v>
      </x:c>
      <x:c r="G291" s="34" t="str">
        <x:v>세토우치</x:v>
      </x:c>
      <x:c r="H291" s="34" t="n">
        <x:v>2038</x:v>
      </x:c>
      <x:c r="I291" s="34" t="str">
        <x:v>BF_BOF</x:v>
      </x:c>
      <x:c r="J291" s="34" t="str">
        <x:v>기준 BF-BOF 복합 블록</x:v>
      </x:c>
      <x:c r="K291" s="34" t="str">
        <x:v>SCRAP_EAF</x:v>
      </x:c>
      <x:c r="L291" s="34" t="str">
        <x:v>스크랩 기반 대형 EAF</x:v>
      </x:c>
      <x:c r="M291" s="34" t="n">
        <x:v>4620</x:v>
      </x:c>
      <x:c r="N291" s="34" t="n">
        <x:v>2970</x:v>
      </x:c>
      <x:c r="O291" s="34" t="n">
        <x:v>7.5</x:v>
      </x:c>
      <x:c r="P291" s="34" t="n">
        <x:v>6.3</x:v>
      </x:c>
      <x:c r="Q291" s="34" t="n">
        <x:v>13.334693</x:v>
      </x:c>
      <x:c r="R291" s="34" t="n">
        <x:v>13.334693</x:v>
      </x:c>
      <x:c r="S291" s="34" t="n">
        <x:v>2.835</x:v>
      </x:c>
      <x:c r="T291" s="34" t="n">
        <x:v>2.835</x:v>
      </x:c>
      <x:c r="U291" s="34" t="n">
        <x:v>10.499693</x:v>
      </x:c>
      <x:c r="V291" s="34" t="n">
        <x:v>31.49908</x:v>
      </x:c>
      <x:c r="W291" s="34" t="n">
        <x:v>1066.672</x:v>
      </x:c>
      <x:c r="X291" s="34" t="n">
        <x:v>445.106</x:v>
      </x:c>
      <x:c r="Y291" s="34" t="n">
        <x:v>2700.03</x:v>
      </x:c>
      <x:c r="Z291" s="34" t="n">
        <x:v>2254.924</x:v>
      </x:c>
      <x:c r="AA291" s="34" t="n">
        <x:v>1633.359</x:v>
      </x:c>
      <x:c r="AB291" s="34" t="n">
        <x:v>621.566</x:v>
      </x:c>
      <x:c r="AC291" s="34" t="n">
        <x:v>1480.725</x:v>
      </x:c>
      <x:c r="AD291" s="34" t="n">
        <x:v>53.641</x:v>
      </x:c>
      <x:c r="AE291" s="34" t="n">
        <x:v>1160.962</x:v>
      </x:c>
      <x:c r="AF291" s="34" t="n">
        <x:v>0</x:v>
      </x:c>
      <x:c r="AG291" s="34" t="n">
        <x:v>4.703</x:v>
      </x:c>
      <x:c r="AH291" s="34" t="n">
        <x:v>-1633.359</x:v>
      </x:c>
      <x:c r="AI291" s="34" t="str">
        <x:v>model_estimate</x:v>
      </x:c>
      <x:c r="AJ291" s="34" t="str">
        <x:v>Hirohata EAF 투자 방향을 반영한 복합 블록; 생산량·재투자연도 추정</x:v>
      </x:c>
      <x:c r="AK291" s="34" t="str">
        <x:v>CAND-F6184286A4322F</x:v>
      </x:c>
      <x:c r="AL291" s="34" t="str">
        <x:v>P2</x:v>
      </x:c>
      <x:c r="AM291" s="34" t="str">
        <x:v>PORT-6742936593A9</x:v>
      </x:c>
      <x:c r="AN291" s="34" t="n">
        <x:v>1000</x:v>
      </x:c>
      <x:c r="AO291" s="34" t="n">
        <x:v>73.8519</x:v>
      </x:c>
      <x:c r="AP291" s="34" t="n">
        <x:v>23.844211</x:v>
      </x:c>
      <x:c r="AQ291" s="34" t="n">
        <x:v>454.753949</x:v>
      </x:c>
      <x:c r="AR291" s="34" t="n">
        <x:v>32776.213</x:v>
      </x:c>
      <x:c r="AS291" s="34" t="n">
        <x:v>72.074609</x:v>
      </x:c>
      <x:c r="AT291" s="40" t="b">
        <x:v>1</x:v>
      </x:c>
      <x:c r="AU291" s="40" t="b">
        <x:v>1</x:v>
      </x:c>
      <x:c r="AV291" s="34" t="str"/>
      <x:c r="AW291" s="34" t="n">
        <x:v>0</x:v>
      </x:c>
      <x:c r="AX291" s="34" t="str">
        <x:v>3.446647212967946e-06</x:v>
      </x:c>
      <x:c r="AY291" s="40" t="b">
        <x:v>1</x:v>
      </x:c>
      <x:c r="AZ291" s="40" t="b">
        <x:v>1</x:v>
      </x:c>
      <x:c r="BA291" s="40" t="b">
        <x:v>1</x:v>
      </x:c>
      <x:c r="BB291" s="40" t="b">
        <x:v>1</x:v>
      </x:c>
      <x:c r="BC291" s="34" t="str"/>
      <x:c r="BD291" s="34" t="n">
        <x:v>0</x:v>
      </x:c>
      <x:c r="BE291" s="34" t="n">
        <x:v>0</x:v>
      </x:c>
      <x:c r="BF291" s="34" t="n">
        <x:v>0</x:v>
      </x:c>
      <x:c r="BG291" s="34" t="n">
        <x:v>2</x:v>
      </x:c>
      <x:c r="BH291" s="34" t="n">
        <x:v>2</x:v>
      </x:c>
      <x:c r="BI291" s="34" t="n">
        <x:v>0.47641018879999986</x:v>
      </x:c>
      <x:c r="BJ291" s="34" t="n">
        <x:v>0.65</x:v>
      </x:c>
      <x:c r="BK291" s="34" t="n">
        <x:v>2.16</x:v>
      </x:c>
    </x:row>
    <x:row r="292">
      <x:c r="A292" s="34" t="str">
        <x:v>JFE_STEEL_JP</x:v>
      </x:c>
      <x:c r="B292" s="34" t="str">
        <x:v>JFE Steel</x:v>
      </x:c>
      <x:c r="C292" s="34" t="str">
        <x:v>DISCLOSED_PATH</x:v>
      </x:c>
      <x:c r="D292" s="34" t="str">
        <x:v>P3</x:v>
      </x:c>
      <x:c r="E292" s="34" t="str">
        <x:v>JFE-CHIBA</x:v>
      </x:c>
      <x:c r="F292" s="34" t="str">
        <x:v>East Japan Works Chiba</x:v>
      </x:c>
      <x:c r="G292" s="34" t="str">
        <x:v>치바</x:v>
      </x:c>
      <x:c r="H292" s="34" t="n">
        <x:v>2036</x:v>
      </x:c>
      <x:c r="I292" s="34" t="str">
        <x:v>BF_BOF</x:v>
      </x:c>
      <x:c r="J292" s="34" t="str">
        <x:v>기준 BF-BOF 복합 블록</x:v>
      </x:c>
      <x:c r="K292" s="34" t="str">
        <x:v>SCRAP_EAF</x:v>
      </x:c>
      <x:c r="L292" s="34" t="str">
        <x:v>스크랩 기반 대형 EAF</x:v>
      </x:c>
      <x:c r="M292" s="34" t="n">
        <x:v>3696</x:v>
      </x:c>
      <x:c r="N292" s="34" t="n">
        <x:v>2376</x:v>
      </x:c>
      <x:c r="O292" s="34" t="n">
        <x:v>6</x:v>
      </x:c>
      <x:c r="P292" s="34" t="n">
        <x:v>5.449998</x:v>
      </x:c>
      <x:c r="Q292" s="34" t="n">
        <x:v>11.528348</x:v>
      </x:c>
      <x:c r="R292" s="34" t="n">
        <x:v>11.528348</x:v>
      </x:c>
      <x:c r="S292" s="34" t="n">
        <x:v>2.452499</x:v>
      </x:c>
      <x:c r="T292" s="34" t="n">
        <x:v>2.452499</x:v>
      </x:c>
      <x:c r="U292" s="34" t="n">
        <x:v>9.075849</x:v>
      </x:c>
      <x:c r="V292" s="34" t="n">
        <x:v>45.379245</x:v>
      </x:c>
      <x:c r="W292" s="34" t="n">
        <x:v>1372.255</x:v>
      </x:c>
      <x:c r="X292" s="34" t="n">
        <x:v>334.284</x:v>
      </x:c>
      <x:c r="Y292" s="34" t="n">
        <x:v>2957.394</x:v>
      </x:c>
      <x:c r="Z292" s="34" t="n">
        <x:v>2623.11</x:v>
      </x:c>
      <x:c r="AA292" s="34" t="n">
        <x:v>1585.139</x:v>
      </x:c>
      <x:c r="AB292" s="34" t="n">
        <x:v>1037.971</x:v>
      </x:c>
      <x:c r="AC292" s="34" t="n">
        <x:v>1318.467</x:v>
      </x:c>
      <x:c r="AD292" s="34" t="n">
        <x:v>68.124</x:v>
      </x:c>
      <x:c r="AE292" s="34" t="n">
        <x:v>1556.875</x:v>
      </x:c>
      <x:c r="AF292" s="34" t="n">
        <x:v>0</x:v>
      </x:c>
      <x:c r="AG292" s="34" t="n">
        <x:v>13.928</x:v>
      </x:c>
      <x:c r="AH292" s="34" t="n">
        <x:v>-1585.139</x:v>
      </x:c>
      <x:c r="AI292" s="34" t="str">
        <x:v>model_estimate</x:v>
      </x:c>
      <x:c r="AJ292" s="34" t="str">
        <x:v>JFE 공식 생산·배출 총량에 맞춘 설비 블록 배분</x:v>
      </x:c>
      <x:c r="AK292" s="34" t="str">
        <x:v>CAND-FC0AA3F9FE37C6</x:v>
      </x:c>
      <x:c r="AL292" s="34" t="str">
        <x:v>P3</x:v>
      </x:c>
      <x:c r="AM292" s="34" t="str">
        <x:v>PORT-E5F3D5116135</x:v>
      </x:c>
      <x:c r="AN292" s="34" t="n">
        <x:v>1000</x:v>
      </x:c>
      <x:c r="AO292" s="34" t="n">
        <x:v>98.824485</x:v>
      </x:c>
      <x:c r="AP292" s="34" t="n">
        <x:v>22.717254</x:v>
      </x:c>
      <x:c r="AQ292" s="34" t="n">
        <x:v>321.408363</x:v>
      </x:c>
      <x:c r="AR292" s="34" t="n">
        <x:v>31315.689</x:v>
      </x:c>
      <x:c r="AS292" s="34" t="n">
        <x:v>97.432714</x:v>
      </x:c>
      <x:c r="AT292" s="40" t="b">
        <x:v>1</x:v>
      </x:c>
      <x:c r="AU292" s="40" t="b">
        <x:v>0</x:v>
      </x:c>
      <x:c r="AV292" s="34" t="str"/>
      <x:c r="AW292" s="34" t="n">
        <x:v>0</x:v>
      </x:c>
      <x:c r="AX292" s="34" t="str">
        <x:v>1.265341119704999e-05</x:v>
      </x:c>
      <x:c r="AY292" s="40" t="b">
        <x:v>0</x:v>
      </x:c>
      <x:c r="AZ292" s="40" t="b">
        <x:v>0</x:v>
      </x:c>
      <x:c r="BA292" s="40" t="b">
        <x:v>1</x:v>
      </x:c>
      <x:c r="BB292" s="40" t="b">
        <x:v>1</x:v>
      </x:c>
      <x:c r="BC292" s="34" t="n">
        <x:v>2036</x:v>
      </x:c>
      <x:c r="BD292" s="34" t="n">
        <x:v>0.004998229999999992</x:v>
      </x:c>
      <x:c r="BE292" s="34" t="n">
        <x:v>0</x:v>
      </x:c>
      <x:c r="BF292" s="34" t="n">
        <x:v>0</x:v>
      </x:c>
      <x:c r="BG292" s="34" t="n">
        <x:v>2</x:v>
      </x:c>
      <x:c r="BH292" s="34" t="n">
        <x:v>3</x:v>
      </x:c>
      <x:c r="BI292" s="34" t="n">
        <x:v>0.3406543999999999</x:v>
      </x:c>
      <x:c r="BJ292" s="34" t="n">
        <x:v>0.65</x:v>
      </x:c>
      <x:c r="BK292" s="34" t="n">
        <x:v>1.3</x:v>
      </x:c>
    </x:row>
    <x:row r="293">
      <x:c r="A293" s="34" t="str">
        <x:v>JFE_STEEL_JP</x:v>
      </x:c>
      <x:c r="B293" s="34" t="str">
        <x:v>JFE Steel</x:v>
      </x:c>
      <x:c r="C293" s="34" t="str">
        <x:v>DISCLOSED_PATH</x:v>
      </x:c>
      <x:c r="D293" s="34" t="str">
        <x:v>P3</x:v>
      </x:c>
      <x:c r="E293" s="34" t="str">
        <x:v>JFE-FUKU</x:v>
      </x:c>
      <x:c r="F293" s="34" t="str">
        <x:v>West Japan Works Fukuyama</x:v>
      </x:c>
      <x:c r="G293" s="34" t="str">
        <x:v>후쿠야마</x:v>
      </x:c>
      <x:c r="H293" s="34" t="n">
        <x:v>2033</x:v>
      </x:c>
      <x:c r="I293" s="34" t="str">
        <x:v>BF_BOF</x:v>
      </x:c>
      <x:c r="J293" s="34" t="str">
        <x:v>기준 BF-BOF 복합 블록</x:v>
      </x:c>
      <x:c r="K293" s="34" t="str">
        <x:v>H2_DRI_EAF</x:v>
      </x:c>
      <x:c r="L293" s="34" t="str">
        <x:v>수소 DRI + EAF</x:v>
      </x:c>
      <x:c r="M293" s="34" t="n">
        <x:v>9702</x:v>
      </x:c>
      <x:c r="N293" s="34" t="n">
        <x:v>7546</x:v>
      </x:c>
      <x:c r="O293" s="34" t="n">
        <x:v>9.8</x:v>
      </x:c>
      <x:c r="P293" s="34" t="n">
        <x:v>8.999997</x:v>
      </x:c>
      <x:c r="Q293" s="34" t="n">
        <x:v>19.037639</x:v>
      </x:c>
      <x:c r="R293" s="34" t="n">
        <x:v>19.037639</x:v>
      </x:c>
      <x:c r="S293" s="34" t="n">
        <x:v>1.799999</x:v>
      </x:c>
      <x:c r="T293" s="34" t="n">
        <x:v>1.799999</x:v>
      </x:c>
      <x:c r="U293" s="34" t="n">
        <x:v>17.237639</x:v>
      </x:c>
      <x:c r="V293" s="34" t="n">
        <x:v>137.901116</x:v>
      </x:c>
      <x:c r="W293" s="34" t="n">
        <x:v>30773.009</x:v>
      </x:c>
      <x:c r="X293" s="34" t="n">
        <x:v>3321.245</x:v>
      </x:c>
      <x:c r="Y293" s="34" t="n">
        <x:v>35621.518</x:v>
      </x:c>
      <x:c r="Z293" s="34" t="n">
        <x:v>32300.273</x:v>
      </x:c>
      <x:c r="AA293" s="34" t="n">
        <x:v>4848.509</x:v>
      </x:c>
      <x:c r="AB293" s="34" t="n">
        <x:v>27451.763</x:v>
      </x:c>
      <x:c r="AC293" s="34" t="n">
        <x:v>4916.965</x:v>
      </x:c>
      <x:c r="AD293" s="34" t="n">
        <x:v>509.49</x:v>
      </x:c>
      <x:c r="AE293" s="34" t="n">
        <x:v>3636.405</x:v>
      </x:c>
      <x:c r="AF293" s="34" t="n">
        <x:v>26417.415</x:v>
      </x:c>
      <x:c r="AG293" s="34" t="n">
        <x:v>141.243</x:v>
      </x:c>
      <x:c r="AH293" s="34" t="n">
        <x:v>-4848.509</x:v>
      </x:c>
      <x:c r="AI293" s="34" t="str">
        <x:v>model_estimate</x:v>
      </x:c>
      <x:c r="AJ293" s="34" t="str">
        <x:v>JFE 공식 생산·배출 총량에 맞춘 설비 블록 배분</x:v>
      </x:c>
      <x:c r="AK293" s="34" t="str">
        <x:v>CAND-FC0AA3F9FE37C6</x:v>
      </x:c>
      <x:c r="AL293" s="34" t="str">
        <x:v>P3</x:v>
      </x:c>
      <x:c r="AM293" s="34" t="str">
        <x:v>PORT-E5F3D5116135</x:v>
      </x:c>
      <x:c r="AN293" s="34" t="n">
        <x:v>1000</x:v>
      </x:c>
      <x:c r="AO293" s="34" t="n">
        <x:v>98.824485</x:v>
      </x:c>
      <x:c r="AP293" s="34" t="n">
        <x:v>22.717254</x:v>
      </x:c>
      <x:c r="AQ293" s="34" t="n">
        <x:v>321.408363</x:v>
      </x:c>
      <x:c r="AR293" s="34" t="n">
        <x:v>31315.689</x:v>
      </x:c>
      <x:c r="AS293" s="34" t="n">
        <x:v>97.432714</x:v>
      </x:c>
      <x:c r="AT293" s="40" t="b">
        <x:v>1</x:v>
      </x:c>
      <x:c r="AU293" s="40" t="b">
        <x:v>0</x:v>
      </x:c>
      <x:c r="AV293" s="34" t="str"/>
      <x:c r="AW293" s="34" t="n">
        <x:v>0</x:v>
      </x:c>
      <x:c r="AX293" s="34" t="str">
        <x:v>1.265341119704999e-05</x:v>
      </x:c>
      <x:c r="AY293" s="40" t="b">
        <x:v>0</x:v>
      </x:c>
      <x:c r="AZ293" s="40" t="b">
        <x:v>0</x:v>
      </x:c>
      <x:c r="BA293" s="40" t="b">
        <x:v>1</x:v>
      </x:c>
      <x:c r="BB293" s="40" t="b">
        <x:v>1</x:v>
      </x:c>
      <x:c r="BC293" s="34" t="n">
        <x:v>2036</x:v>
      </x:c>
      <x:c r="BD293" s="34" t="n">
        <x:v>0.004998229999999992</x:v>
      </x:c>
      <x:c r="BE293" s="34" t="n">
        <x:v>0</x:v>
      </x:c>
      <x:c r="BF293" s="34" t="n">
        <x:v>0</x:v>
      </x:c>
      <x:c r="BG293" s="34" t="n">
        <x:v>2</x:v>
      </x:c>
      <x:c r="BH293" s="34" t="n">
        <x:v>3</x:v>
      </x:c>
      <x:c r="BI293" s="34" t="n">
        <x:v>0.3406543999999999</x:v>
      </x:c>
      <x:c r="BJ293" s="34" t="n">
        <x:v>0.65</x:v>
      </x:c>
      <x:c r="BK293" s="34" t="n">
        <x:v>1.3</x:v>
      </x:c>
    </x:row>
    <x:row r="294">
      <x:c r="A294" s="34" t="str">
        <x:v>JFE_STEEL_JP</x:v>
      </x:c>
      <x:c r="B294" s="34" t="str">
        <x:v>JFE Steel</x:v>
      </x:c>
      <x:c r="C294" s="34" t="str">
        <x:v>DISCLOSED_PATH</x:v>
      </x:c>
      <x:c r="D294" s="34" t="str">
        <x:v>P3</x:v>
      </x:c>
      <x:c r="E294" s="34" t="str">
        <x:v>JFE-KURA</x:v>
      </x:c>
      <x:c r="F294" s="34" t="str">
        <x:v>West Japan Works Kurashiki</x:v>
      </x:c>
      <x:c r="G294" s="34" t="str">
        <x:v>구라시키</x:v>
      </x:c>
      <x:c r="H294" s="34" t="n">
        <x:v>2029</x:v>
      </x:c>
      <x:c r="I294" s="34" t="str">
        <x:v>BF_BOF</x:v>
      </x:c>
      <x:c r="J294" s="34" t="str">
        <x:v>기준 BF-BOF 복합 블록</x:v>
      </x:c>
      <x:c r="K294" s="34" t="str">
        <x:v>SCRAP_EAF</x:v>
      </x:c>
      <x:c r="L294" s="34" t="str">
        <x:v>스크랩 기반 대형 EAF</x:v>
      </x:c>
      <x:c r="M294" s="34" t="n">
        <x:v>4558.4</x:v>
      </x:c>
      <x:c r="N294" s="34" t="n">
        <x:v>2930.4</x:v>
      </x:c>
      <x:c r="O294" s="34" t="n">
        <x:v>7.4</x:v>
      </x:c>
      <x:c r="P294" s="34" t="n">
        <x:v>6.800001</x:v>
      </x:c>
      <x:c r="Q294" s="34" t="n">
        <x:v>14.384</x:v>
      </x:c>
      <x:c r="R294" s="34" t="n">
        <x:v>3.06</x:v>
      </x:c>
      <x:c r="S294" s="34" t="n">
        <x:v>3.06</x:v>
      </x:c>
      <x:c r="T294" s="34" t="n">
        <x:v>3.06</x:v>
      </x:c>
      <x:c r="U294" s="34" t="n">
        <x:v>11.324</x:v>
      </x:c>
      <x:c r="V294" s="34" t="n">
        <x:v>135.888002</x:v>
      </x:c>
      <x:c r="W294" s="34" t="n">
        <x:v>3495.635</x:v>
      </x:c>
      <x:c r="X294" s="34" t="n">
        <x:v>645.521</x:v>
      </x:c>
      <x:c r="Y294" s="34" t="n">
        <x:v>8245.964</x:v>
      </x:c>
      <x:c r="Z294" s="34" t="n">
        <x:v>7600.443</x:v>
      </x:c>
      <x:c r="AA294" s="34" t="n">
        <x:v>4750.329</x:v>
      </x:c>
      <x:c r="AB294" s="34" t="n">
        <x:v>2850.114</x:v>
      </x:c>
      <x:c r="AC294" s="34" t="n">
        <x:v>2365.468</x:v>
      </x:c>
      <x:c r="AD294" s="34" t="n">
        <x:v>299.458</x:v>
      </x:c>
      <x:c r="AE294" s="34" t="n">
        <x:v>5543.673</x:v>
      </x:c>
      <x:c r="AF294" s="34" t="n">
        <x:v>0</x:v>
      </x:c>
      <x:c r="AG294" s="34" t="n">
        <x:v>37.365</x:v>
      </x:c>
      <x:c r="AH294" s="34" t="n">
        <x:v>-4750.329</x:v>
      </x:c>
      <x:c r="AI294" s="34" t="str">
        <x:v>model_estimate</x:v>
      </x:c>
      <x:c r="AJ294" s="34" t="str">
        <x:v>2028 혁신 EAF 공시를 반영한 조기 재투자 창; 생산량은 공식 총량에 맞춘 추정</x:v>
      </x:c>
      <x:c r="AK294" s="34" t="str">
        <x:v>CAND-FC0AA3F9FE37C6</x:v>
      </x:c>
      <x:c r="AL294" s="34" t="str">
        <x:v>P3</x:v>
      </x:c>
      <x:c r="AM294" s="34" t="str">
        <x:v>PORT-E5F3D5116135</x:v>
      </x:c>
      <x:c r="AN294" s="34" t="n">
        <x:v>1000</x:v>
      </x:c>
      <x:c r="AO294" s="34" t="n">
        <x:v>98.824485</x:v>
      </x:c>
      <x:c r="AP294" s="34" t="n">
        <x:v>22.717254</x:v>
      </x:c>
      <x:c r="AQ294" s="34" t="n">
        <x:v>321.408363</x:v>
      </x:c>
      <x:c r="AR294" s="34" t="n">
        <x:v>31315.689</x:v>
      </x:c>
      <x:c r="AS294" s="34" t="n">
        <x:v>97.432714</x:v>
      </x:c>
      <x:c r="AT294" s="40" t="b">
        <x:v>1</x:v>
      </x:c>
      <x:c r="AU294" s="40" t="b">
        <x:v>0</x:v>
      </x:c>
      <x:c r="AV294" s="34" t="str"/>
      <x:c r="AW294" s="34" t="n">
        <x:v>0</x:v>
      </x:c>
      <x:c r="AX294" s="34" t="str">
        <x:v>1.265341119704999e-05</x:v>
      </x:c>
      <x:c r="AY294" s="40" t="b">
        <x:v>0</x:v>
      </x:c>
      <x:c r="AZ294" s="40" t="b">
        <x:v>0</x:v>
      </x:c>
      <x:c r="BA294" s="40" t="b">
        <x:v>1</x:v>
      </x:c>
      <x:c r="BB294" s="40" t="b">
        <x:v>1</x:v>
      </x:c>
      <x:c r="BC294" s="34" t="n">
        <x:v>2036</x:v>
      </x:c>
      <x:c r="BD294" s="34" t="n">
        <x:v>0.004998229999999992</x:v>
      </x:c>
      <x:c r="BE294" s="34" t="n">
        <x:v>0</x:v>
      </x:c>
      <x:c r="BF294" s="34" t="n">
        <x:v>0</x:v>
      </x:c>
      <x:c r="BG294" s="34" t="n">
        <x:v>2</x:v>
      </x:c>
      <x:c r="BH294" s="34" t="n">
        <x:v>3</x:v>
      </x:c>
      <x:c r="BI294" s="34" t="n">
        <x:v>0.3406543999999999</x:v>
      </x:c>
      <x:c r="BJ294" s="34" t="n">
        <x:v>0.65</x:v>
      </x:c>
      <x:c r="BK294" s="34" t="n">
        <x:v>1.3</x:v>
      </x:c>
    </x:row>
    <x:row r="295">
      <x:c r="A295" s="34" t="str">
        <x:v>JFE_STEEL_JP</x:v>
      </x:c>
      <x:c r="B295" s="34" t="str">
        <x:v>JFE Steel</x:v>
      </x:c>
      <x:c r="C295" s="34" t="str">
        <x:v>DISCLOSED_PATH</x:v>
      </x:c>
      <x:c r="D295" s="34" t="str">
        <x:v>P3</x:v>
      </x:c>
      <x:c r="E295" s="34" t="str">
        <x:v>JFE-SENDAI</x:v>
      </x:c>
      <x:c r="F295" s="34" t="str">
        <x:v>Sendai Works EAF</x:v>
      </x:c>
      <x:c r="G295" s="34" t="str">
        <x:v>센다이</x:v>
      </x:c>
      <x:c r="H295" s="34" t="n">
        <x:v>2033</x:v>
      </x:c>
      <x:c r="I295" s="34" t="str">
        <x:v>EAF_BASELINE</x:v>
      </x:c>
      <x:c r="J295" s="34" t="str">
        <x:v>기존 전기로 기준 블록</x:v>
      </x:c>
      <x:c r="K295" s="34" t="str">
        <x:v>EAF_RENEWABLE</x:v>
      </x:c>
      <x:c r="L295" s="34" t="str">
        <x:v>기존 EAF 재생전력 업그레이드</x:v>
      </x:c>
      <x:c r="M295" s="34" t="n">
        <x:v>228.8</x:v>
      </x:c>
      <x:c r="N295" s="34" t="n">
        <x:v>70.4</x:v>
      </x:c>
      <x:c r="O295" s="34" t="n">
        <x:v>0.8</x:v>
      </x:c>
      <x:c r="P295" s="34" t="n">
        <x:v>0.7</x:v>
      </x:c>
      <x:c r="Q295" s="34" t="n">
        <x:v>0.35</x:v>
      </x:c>
      <x:c r="R295" s="34" t="n">
        <x:v>0.35</x:v>
      </x:c>
      <x:c r="S295" s="34" t="n">
        <x:v>0.07</x:v>
      </x:c>
      <x:c r="T295" s="34" t="n">
        <x:v>0.07</x:v>
      </x:c>
      <x:c r="U295" s="34" t="n">
        <x:v>0.28</x:v>
      </x:c>
      <x:c r="V295" s="34" t="n">
        <x:v>2.24</x:v>
      </x:c>
      <x:c r="W295" s="34" t="n">
        <x:v>-17.243</x:v>
      </x:c>
      <x:c r="X295" s="34" t="n">
        <x:v>6.917</x:v>
      </x:c>
      <x:c r="Y295" s="34" t="n">
        <x:v>61.514</x:v>
      </x:c>
      <x:c r="Z295" s="34" t="n">
        <x:v>54.597</x:v>
      </x:c>
      <x:c r="AA295" s="34" t="n">
        <x:v>78.757</x:v>
      </x:c>
      <x:c r="AB295" s="34" t="n">
        <x:v>-24.16</x:v>
      </x:c>
      <x:c r="AC295" s="34" t="n">
        <x:v>45.873</x:v>
      </x:c>
      <x:c r="AD295" s="34" t="n">
        <x:v>3.048</x:v>
      </x:c>
      <x:c r="AE295" s="34" t="n">
        <x:v>12.297</x:v>
      </x:c>
      <x:c r="AF295" s="34" t="n">
        <x:v>0</x:v>
      </x:c>
      <x:c r="AG295" s="34" t="n">
        <x:v>0.296</x:v>
      </x:c>
      <x:c r="AH295" s="34" t="n">
        <x:v>-78.757</x:v>
      </x:c>
      <x:c r="AI295" s="34" t="str">
        <x:v>model_estimate</x:v>
      </x:c>
      <x:c r="AJ295" s="34" t="str">
        <x:v>공식 EAF 사업장 존재를 반영; 생산량·집약도·재투자연도 추정</x:v>
      </x:c>
      <x:c r="AK295" s="34" t="str">
        <x:v>CAND-FC0AA3F9FE37C6</x:v>
      </x:c>
      <x:c r="AL295" s="34" t="str">
        <x:v>P3</x:v>
      </x:c>
      <x:c r="AM295" s="34" t="str">
        <x:v>PORT-E5F3D5116135</x:v>
      </x:c>
      <x:c r="AN295" s="34" t="n">
        <x:v>1000</x:v>
      </x:c>
      <x:c r="AO295" s="34" t="n">
        <x:v>98.824485</x:v>
      </x:c>
      <x:c r="AP295" s="34" t="n">
        <x:v>22.717254</x:v>
      </x:c>
      <x:c r="AQ295" s="34" t="n">
        <x:v>321.408363</x:v>
      </x:c>
      <x:c r="AR295" s="34" t="n">
        <x:v>31315.689</x:v>
      </x:c>
      <x:c r="AS295" s="34" t="n">
        <x:v>97.432714</x:v>
      </x:c>
      <x:c r="AT295" s="40" t="b">
        <x:v>1</x:v>
      </x:c>
      <x:c r="AU295" s="40" t="b">
        <x:v>0</x:v>
      </x:c>
      <x:c r="AV295" s="34" t="str"/>
      <x:c r="AW295" s="34" t="n">
        <x:v>0</x:v>
      </x:c>
      <x:c r="AX295" s="34" t="str">
        <x:v>1.265341119704999e-05</x:v>
      </x:c>
      <x:c r="AY295" s="40" t="b">
        <x:v>0</x:v>
      </x:c>
      <x:c r="AZ295" s="40" t="b">
        <x:v>0</x:v>
      </x:c>
      <x:c r="BA295" s="40" t="b">
        <x:v>1</x:v>
      </x:c>
      <x:c r="BB295" s="40" t="b">
        <x:v>1</x:v>
      </x:c>
      <x:c r="BC295" s="34" t="n">
        <x:v>2036</x:v>
      </x:c>
      <x:c r="BD295" s="34" t="n">
        <x:v>0.004998229999999992</x:v>
      </x:c>
      <x:c r="BE295" s="34" t="n">
        <x:v>0</x:v>
      </x:c>
      <x:c r="BF295" s="34" t="n">
        <x:v>0</x:v>
      </x:c>
      <x:c r="BG295" s="34" t="n">
        <x:v>2</x:v>
      </x:c>
      <x:c r="BH295" s="34" t="n">
        <x:v>3</x:v>
      </x:c>
      <x:c r="BI295" s="34" t="n">
        <x:v>0.3406543999999999</x:v>
      </x:c>
      <x:c r="BJ295" s="34" t="n">
        <x:v>0.65</x:v>
      </x:c>
      <x:c r="BK295" s="34" t="n">
        <x:v>1.3</x:v>
      </x:c>
    </x:row>
    <x:row r="296">
      <x:c r="A296" s="34" t="str">
        <x:v>JFE_STEEL_JP</x:v>
      </x:c>
      <x:c r="B296" s="34" t="str">
        <x:v>JFE Steel</x:v>
      </x:c>
      <x:c r="C296" s="34" t="str">
        <x:v>ACCELERATED_15C</x:v>
      </x:c>
      <x:c r="D296" s="34" t="str">
        <x:v>P3</x:v>
      </x:c>
      <x:c r="E296" s="34" t="str">
        <x:v>JFE-CHIBA</x:v>
      </x:c>
      <x:c r="F296" s="34" t="str">
        <x:v>East Japan Works Chiba</x:v>
      </x:c>
      <x:c r="G296" s="34" t="str">
        <x:v>치바</x:v>
      </x:c>
      <x:c r="H296" s="34" t="n">
        <x:v>2036</x:v>
      </x:c>
      <x:c r="I296" s="34" t="str">
        <x:v>BF_BOF</x:v>
      </x:c>
      <x:c r="J296" s="34" t="str">
        <x:v>기준 BF-BOF 복합 블록</x:v>
      </x:c>
      <x:c r="K296" s="34" t="str">
        <x:v>SCRAP_EAF</x:v>
      </x:c>
      <x:c r="L296" s="34" t="str">
        <x:v>스크랩 기반 대형 EAF</x:v>
      </x:c>
      <x:c r="M296" s="34" t="n">
        <x:v>3696</x:v>
      </x:c>
      <x:c r="N296" s="34" t="n">
        <x:v>2376</x:v>
      </x:c>
      <x:c r="O296" s="34" t="n">
        <x:v>6</x:v>
      </x:c>
      <x:c r="P296" s="34" t="n">
        <x:v>5.449998</x:v>
      </x:c>
      <x:c r="Q296" s="34" t="n">
        <x:v>11.528348</x:v>
      </x:c>
      <x:c r="R296" s="34" t="n">
        <x:v>11.528348</x:v>
      </x:c>
      <x:c r="S296" s="34" t="n">
        <x:v>2.452499</x:v>
      </x:c>
      <x:c r="T296" s="34" t="n">
        <x:v>2.452499</x:v>
      </x:c>
      <x:c r="U296" s="34" t="n">
        <x:v>9.075849</x:v>
      </x:c>
      <x:c r="V296" s="34" t="n">
        <x:v>45.379245</x:v>
      </x:c>
      <x:c r="W296" s="34" t="n">
        <x:v>779.202</x:v>
      </x:c>
      <x:c r="X296" s="34" t="n">
        <x:v>397.617</x:v>
      </x:c>
      <x:c r="Y296" s="34" t="n">
        <x:v>3146.155</x:v>
      </x:c>
      <x:c r="Z296" s="34" t="n">
        <x:v>2748.538</x:v>
      </x:c>
      <x:c r="AA296" s="34" t="n">
        <x:v>2366.953</x:v>
      </x:c>
      <x:c r="AB296" s="34" t="n">
        <x:v>381.585</x:v>
      </x:c>
      <x:c r="AC296" s="34" t="n">
        <x:v>1318.467</x:v>
      </x:c>
      <x:c r="AD296" s="34" t="n">
        <x:v>68.124</x:v>
      </x:c>
      <x:c r="AE296" s="34" t="n">
        <x:v>1744.79</x:v>
      </x:c>
      <x:c r="AF296" s="34" t="n">
        <x:v>0</x:v>
      </x:c>
      <x:c r="AG296" s="34" t="n">
        <x:v>14.774</x:v>
      </x:c>
      <x:c r="AH296" s="34" t="n">
        <x:v>-2366.953</x:v>
      </x:c>
      <x:c r="AI296" s="34" t="str">
        <x:v>model_estimate</x:v>
      </x:c>
      <x:c r="AJ296" s="34" t="str">
        <x:v>JFE 공식 생산·배출 총량에 맞춘 설비 블록 배분</x:v>
      </x:c>
      <x:c r="AK296" s="34" t="str">
        <x:v>CAND-FC0AA3F9FE37C6</x:v>
      </x:c>
      <x:c r="AL296" s="34" t="str">
        <x:v>P3</x:v>
      </x:c>
      <x:c r="AM296" s="34" t="str">
        <x:v>PORT-E5F3D5116135</x:v>
      </x:c>
      <x:c r="AN296" s="34" t="n">
        <x:v>1000</x:v>
      </x:c>
      <x:c r="AO296" s="34" t="n">
        <x:v>88.069513</x:v>
      </x:c>
      <x:c r="AP296" s="34" t="n">
        <x:v>23.623738</x:v>
      </x:c>
      <x:c r="AQ296" s="34" t="n">
        <x:v>321.408363</x:v>
      </x:c>
      <x:c r="AR296" s="34" t="n">
        <x:v>27857.175</x:v>
      </x:c>
      <x:c r="AS296" s="34" t="n">
        <x:v>86.672217</x:v>
      </x:c>
      <x:c r="AT296" s="40" t="b">
        <x:v>1</x:v>
      </x:c>
      <x:c r="AU296" s="40" t="b">
        <x:v>1</x:v>
      </x:c>
      <x:c r="AV296" s="34" t="str"/>
      <x:c r="AW296" s="34" t="n">
        <x:v>0</x:v>
      </x:c>
      <x:c r="AX296" s="34" t="str">
        <x:v>1.265341119704999e-05</x:v>
      </x:c>
      <x:c r="AY296" s="40" t="b">
        <x:v>1</x:v>
      </x:c>
      <x:c r="AZ296" s="40" t="b">
        <x:v>1</x:v>
      </x:c>
      <x:c r="BA296" s="40" t="b">
        <x:v>1</x:v>
      </x:c>
      <x:c r="BB296" s="40" t="b">
        <x:v>1</x:v>
      </x:c>
      <x:c r="BC296" s="34" t="str"/>
      <x:c r="BD296" s="34" t="n">
        <x:v>0</x:v>
      </x:c>
      <x:c r="BE296" s="34" t="n">
        <x:v>0</x:v>
      </x:c>
      <x:c r="BF296" s="34" t="n">
        <x:v>0</x:v>
      </x:c>
      <x:c r="BG296" s="34" t="n">
        <x:v>2</x:v>
      </x:c>
      <x:c r="BH296" s="34" t="n">
        <x:v>3</x:v>
      </x:c>
      <x:c r="BI296" s="34" t="n">
        <x:v>0.3406543999999999</x:v>
      </x:c>
      <x:c r="BJ296" s="34" t="n">
        <x:v>0.65</x:v>
      </x:c>
      <x:c r="BK296" s="34" t="n">
        <x:v>1.3</x:v>
      </x:c>
    </x:row>
    <x:row r="297">
      <x:c r="A297" s="34" t="str">
        <x:v>JFE_STEEL_JP</x:v>
      </x:c>
      <x:c r="B297" s="34" t="str">
        <x:v>JFE Steel</x:v>
      </x:c>
      <x:c r="C297" s="34" t="str">
        <x:v>ACCELERATED_15C</x:v>
      </x:c>
      <x:c r="D297" s="34" t="str">
        <x:v>P3</x:v>
      </x:c>
      <x:c r="E297" s="34" t="str">
        <x:v>JFE-FUKU</x:v>
      </x:c>
      <x:c r="F297" s="34" t="str">
        <x:v>West Japan Works Fukuyama</x:v>
      </x:c>
      <x:c r="G297" s="34" t="str">
        <x:v>후쿠야마</x:v>
      </x:c>
      <x:c r="H297" s="34" t="n">
        <x:v>2033</x:v>
      </x:c>
      <x:c r="I297" s="34" t="str">
        <x:v>BF_BOF</x:v>
      </x:c>
      <x:c r="J297" s="34" t="str">
        <x:v>기준 BF-BOF 복합 블록</x:v>
      </x:c>
      <x:c r="K297" s="34" t="str">
        <x:v>H2_DRI_EAF</x:v>
      </x:c>
      <x:c r="L297" s="34" t="str">
        <x:v>수소 DRI + EAF</x:v>
      </x:c>
      <x:c r="M297" s="34" t="n">
        <x:v>9702</x:v>
      </x:c>
      <x:c r="N297" s="34" t="n">
        <x:v>7546</x:v>
      </x:c>
      <x:c r="O297" s="34" t="n">
        <x:v>9.8</x:v>
      </x:c>
      <x:c r="P297" s="34" t="n">
        <x:v>8.999997</x:v>
      </x:c>
      <x:c r="Q297" s="34" t="n">
        <x:v>19.037639</x:v>
      </x:c>
      <x:c r="R297" s="34" t="n">
        <x:v>19.037639</x:v>
      </x:c>
      <x:c r="S297" s="34" t="n">
        <x:v>1.799999</x:v>
      </x:c>
      <x:c r="T297" s="34" t="n">
        <x:v>1.799999</x:v>
      </x:c>
      <x:c r="U297" s="34" t="n">
        <x:v>17.237639</x:v>
      </x:c>
      <x:c r="V297" s="34" t="n">
        <x:v>137.901116</x:v>
      </x:c>
      <x:c r="W297" s="34" t="n">
        <x:v>31114.961</x:v>
      </x:c>
      <x:c r="X297" s="34" t="n">
        <x:v>4674.343</x:v>
      </x:c>
      <x:c r="Y297" s="34" t="n">
        <x:v>38308.981</x:v>
      </x:c>
      <x:c r="Z297" s="34" t="n">
        <x:v>33634.637</x:v>
      </x:c>
      <x:c r="AA297" s="34" t="n">
        <x:v>7194.019</x:v>
      </x:c>
      <x:c r="AB297" s="34" t="n">
        <x:v>26440.618</x:v>
      </x:c>
      <x:c r="AC297" s="34" t="n">
        <x:v>4916.965</x:v>
      </x:c>
      <x:c r="AD297" s="34" t="n">
        <x:v>509.49</x:v>
      </x:c>
      <x:c r="AE297" s="34" t="n">
        <x:v>4032.152</x:v>
      </x:c>
      <x:c r="AF297" s="34" t="n">
        <x:v>28698.795</x:v>
      </x:c>
      <x:c r="AG297" s="34" t="n">
        <x:v>151.579</x:v>
      </x:c>
      <x:c r="AH297" s="34" t="n">
        <x:v>-7194.019</x:v>
      </x:c>
      <x:c r="AI297" s="34" t="str">
        <x:v>model_estimate</x:v>
      </x:c>
      <x:c r="AJ297" s="34" t="str">
        <x:v>JFE 공식 생산·배출 총량에 맞춘 설비 블록 배분</x:v>
      </x:c>
      <x:c r="AK297" s="34" t="str">
        <x:v>CAND-FC0AA3F9FE37C6</x:v>
      </x:c>
      <x:c r="AL297" s="34" t="str">
        <x:v>P3</x:v>
      </x:c>
      <x:c r="AM297" s="34" t="str">
        <x:v>PORT-E5F3D5116135</x:v>
      </x:c>
      <x:c r="AN297" s="34" t="n">
        <x:v>1000</x:v>
      </x:c>
      <x:c r="AO297" s="34" t="n">
        <x:v>88.069513</x:v>
      </x:c>
      <x:c r="AP297" s="34" t="n">
        <x:v>23.623738</x:v>
      </x:c>
      <x:c r="AQ297" s="34" t="n">
        <x:v>321.408363</x:v>
      </x:c>
      <x:c r="AR297" s="34" t="n">
        <x:v>27857.175</x:v>
      </x:c>
      <x:c r="AS297" s="34" t="n">
        <x:v>86.672217</x:v>
      </x:c>
      <x:c r="AT297" s="40" t="b">
        <x:v>1</x:v>
      </x:c>
      <x:c r="AU297" s="40" t="b">
        <x:v>1</x:v>
      </x:c>
      <x:c r="AV297" s="34" t="str"/>
      <x:c r="AW297" s="34" t="n">
        <x:v>0</x:v>
      </x:c>
      <x:c r="AX297" s="34" t="str">
        <x:v>1.265341119704999e-05</x:v>
      </x:c>
      <x:c r="AY297" s="40" t="b">
        <x:v>1</x:v>
      </x:c>
      <x:c r="AZ297" s="40" t="b">
        <x:v>1</x:v>
      </x:c>
      <x:c r="BA297" s="40" t="b">
        <x:v>1</x:v>
      </x:c>
      <x:c r="BB297" s="40" t="b">
        <x:v>1</x:v>
      </x:c>
      <x:c r="BC297" s="34" t="str"/>
      <x:c r="BD297" s="34" t="n">
        <x:v>0</x:v>
      </x:c>
      <x:c r="BE297" s="34" t="n">
        <x:v>0</x:v>
      </x:c>
      <x:c r="BF297" s="34" t="n">
        <x:v>0</x:v>
      </x:c>
      <x:c r="BG297" s="34" t="n">
        <x:v>2</x:v>
      </x:c>
      <x:c r="BH297" s="34" t="n">
        <x:v>3</x:v>
      </x:c>
      <x:c r="BI297" s="34" t="n">
        <x:v>0.3406543999999999</x:v>
      </x:c>
      <x:c r="BJ297" s="34" t="n">
        <x:v>0.65</x:v>
      </x:c>
      <x:c r="BK297" s="34" t="n">
        <x:v>1.3</x:v>
      </x:c>
    </x:row>
    <x:row r="298">
      <x:c r="A298" s="34" t="str">
        <x:v>JFE_STEEL_JP</x:v>
      </x:c>
      <x:c r="B298" s="34" t="str">
        <x:v>JFE Steel</x:v>
      </x:c>
      <x:c r="C298" s="34" t="str">
        <x:v>ACCELERATED_15C</x:v>
      </x:c>
      <x:c r="D298" s="34" t="str">
        <x:v>P3</x:v>
      </x:c>
      <x:c r="E298" s="34" t="str">
        <x:v>JFE-KURA</x:v>
      </x:c>
      <x:c r="F298" s="34" t="str">
        <x:v>West Japan Works Kurashiki</x:v>
      </x:c>
      <x:c r="G298" s="34" t="str">
        <x:v>구라시키</x:v>
      </x:c>
      <x:c r="H298" s="34" t="n">
        <x:v>2029</x:v>
      </x:c>
      <x:c r="I298" s="34" t="str">
        <x:v>BF_BOF</x:v>
      </x:c>
      <x:c r="J298" s="34" t="str">
        <x:v>기준 BF-BOF 복합 블록</x:v>
      </x:c>
      <x:c r="K298" s="34" t="str">
        <x:v>SCRAP_EAF</x:v>
      </x:c>
      <x:c r="L298" s="34" t="str">
        <x:v>스크랩 기반 대형 EAF</x:v>
      </x:c>
      <x:c r="M298" s="34" t="n">
        <x:v>4558.4</x:v>
      </x:c>
      <x:c r="N298" s="34" t="n">
        <x:v>2930.4</x:v>
      </x:c>
      <x:c r="O298" s="34" t="n">
        <x:v>7.4</x:v>
      </x:c>
      <x:c r="P298" s="34" t="n">
        <x:v>6.800001</x:v>
      </x:c>
      <x:c r="Q298" s="34" t="n">
        <x:v>14.384</x:v>
      </x:c>
      <x:c r="R298" s="34" t="n">
        <x:v>3.06</x:v>
      </x:c>
      <x:c r="S298" s="34" t="n">
        <x:v>3.06</x:v>
      </x:c>
      <x:c r="T298" s="34" t="n">
        <x:v>3.06</x:v>
      </x:c>
      <x:c r="U298" s="34" t="n">
        <x:v>11.324</x:v>
      </x:c>
      <x:c r="V298" s="34" t="n">
        <x:v>135.888002</x:v>
      </x:c>
      <x:c r="W298" s="34" t="n">
        <x:v>1828.659</x:v>
      </x:c>
      <x:c r="X298" s="34" t="n">
        <x:v>730.467</x:v>
      </x:c>
      <x:c r="Y298" s="34" t="n">
        <x:v>8756.08</x:v>
      </x:c>
      <x:c r="Z298" s="34" t="n">
        <x:v>8025.613</x:v>
      </x:c>
      <x:c r="AA298" s="34" t="n">
        <x:v>6927.42</x:v>
      </x:c>
      <x:c r="AB298" s="34" t="n">
        <x:v>1098.193</x:v>
      </x:c>
      <x:c r="AC298" s="34" t="n">
        <x:v>2365.468</x:v>
      </x:c>
      <x:c r="AD298" s="34" t="n">
        <x:v>299.458</x:v>
      </x:c>
      <x:c r="AE298" s="34" t="n">
        <x:v>6051.504</x:v>
      </x:c>
      <x:c r="AF298" s="34" t="n">
        <x:v>0</x:v>
      </x:c>
      <x:c r="AG298" s="34" t="n">
        <x:v>39.65</x:v>
      </x:c>
      <x:c r="AH298" s="34" t="n">
        <x:v>-6927.42</x:v>
      </x:c>
      <x:c r="AI298" s="34" t="str">
        <x:v>model_estimate</x:v>
      </x:c>
      <x:c r="AJ298" s="34" t="str">
        <x:v>2028 혁신 EAF 공시를 반영한 조기 재투자 창; 생산량은 공식 총량에 맞춘 추정</x:v>
      </x:c>
      <x:c r="AK298" s="34" t="str">
        <x:v>CAND-FC0AA3F9FE37C6</x:v>
      </x:c>
      <x:c r="AL298" s="34" t="str">
        <x:v>P3</x:v>
      </x:c>
      <x:c r="AM298" s="34" t="str">
        <x:v>PORT-E5F3D5116135</x:v>
      </x:c>
      <x:c r="AN298" s="34" t="n">
        <x:v>1000</x:v>
      </x:c>
      <x:c r="AO298" s="34" t="n">
        <x:v>88.069513</x:v>
      </x:c>
      <x:c r="AP298" s="34" t="n">
        <x:v>23.623738</x:v>
      </x:c>
      <x:c r="AQ298" s="34" t="n">
        <x:v>321.408363</x:v>
      </x:c>
      <x:c r="AR298" s="34" t="n">
        <x:v>27857.175</x:v>
      </x:c>
      <x:c r="AS298" s="34" t="n">
        <x:v>86.672217</x:v>
      </x:c>
      <x:c r="AT298" s="40" t="b">
        <x:v>1</x:v>
      </x:c>
      <x:c r="AU298" s="40" t="b">
        <x:v>1</x:v>
      </x:c>
      <x:c r="AV298" s="34" t="str"/>
      <x:c r="AW298" s="34" t="n">
        <x:v>0</x:v>
      </x:c>
      <x:c r="AX298" s="34" t="str">
        <x:v>1.265341119704999e-05</x:v>
      </x:c>
      <x:c r="AY298" s="40" t="b">
        <x:v>1</x:v>
      </x:c>
      <x:c r="AZ298" s="40" t="b">
        <x:v>1</x:v>
      </x:c>
      <x:c r="BA298" s="40" t="b">
        <x:v>1</x:v>
      </x:c>
      <x:c r="BB298" s="40" t="b">
        <x:v>1</x:v>
      </x:c>
      <x:c r="BC298" s="34" t="str"/>
      <x:c r="BD298" s="34" t="n">
        <x:v>0</x:v>
      </x:c>
      <x:c r="BE298" s="34" t="n">
        <x:v>0</x:v>
      </x:c>
      <x:c r="BF298" s="34" t="n">
        <x:v>0</x:v>
      </x:c>
      <x:c r="BG298" s="34" t="n">
        <x:v>2</x:v>
      </x:c>
      <x:c r="BH298" s="34" t="n">
        <x:v>3</x:v>
      </x:c>
      <x:c r="BI298" s="34" t="n">
        <x:v>0.3406543999999999</x:v>
      </x:c>
      <x:c r="BJ298" s="34" t="n">
        <x:v>0.65</x:v>
      </x:c>
      <x:c r="BK298" s="34" t="n">
        <x:v>1.3</x:v>
      </x:c>
    </x:row>
    <x:row r="299">
      <x:c r="A299" s="34" t="str">
        <x:v>JFE_STEEL_JP</x:v>
      </x:c>
      <x:c r="B299" s="34" t="str">
        <x:v>JFE Steel</x:v>
      </x:c>
      <x:c r="C299" s="34" t="str">
        <x:v>ACCELERATED_15C</x:v>
      </x:c>
      <x:c r="D299" s="34" t="str">
        <x:v>P3</x:v>
      </x:c>
      <x:c r="E299" s="34" t="str">
        <x:v>JFE-SENDAI</x:v>
      </x:c>
      <x:c r="F299" s="34" t="str">
        <x:v>Sendai Works EAF</x:v>
      </x:c>
      <x:c r="G299" s="34" t="str">
        <x:v>센다이</x:v>
      </x:c>
      <x:c r="H299" s="34" t="n">
        <x:v>2033</x:v>
      </x:c>
      <x:c r="I299" s="34" t="str">
        <x:v>EAF_BASELINE</x:v>
      </x:c>
      <x:c r="J299" s="34" t="str">
        <x:v>기존 전기로 기준 블록</x:v>
      </x:c>
      <x:c r="K299" s="34" t="str">
        <x:v>EAF_RENEWABLE</x:v>
      </x:c>
      <x:c r="L299" s="34" t="str">
        <x:v>기존 EAF 재생전력 업그레이드</x:v>
      </x:c>
      <x:c r="M299" s="34" t="n">
        <x:v>228.8</x:v>
      </x:c>
      <x:c r="N299" s="34" t="n">
        <x:v>70.4</x:v>
      </x:c>
      <x:c r="O299" s="34" t="n">
        <x:v>0.8</x:v>
      </x:c>
      <x:c r="P299" s="34" t="n">
        <x:v>0.7</x:v>
      </x:c>
      <x:c r="Q299" s="34" t="n">
        <x:v>0.35</x:v>
      </x:c>
      <x:c r="R299" s="34" t="n">
        <x:v>0.35</x:v>
      </x:c>
      <x:c r="S299" s="34" t="n">
        <x:v>0.07</x:v>
      </x:c>
      <x:c r="T299" s="34" t="n">
        <x:v>0.07</x:v>
      </x:c>
      <x:c r="U299" s="34" t="n">
        <x:v>0.28</x:v>
      </x:c>
      <x:c r="V299" s="34" t="n">
        <x:v>2.24</x:v>
      </x:c>
      <x:c r="W299" s="34" t="n">
        <x:v>-53.998</x:v>
      </x:c>
      <x:c r="X299" s="34" t="n">
        <x:v>9.223</x:v>
      </x:c>
      <x:c r="Y299" s="34" t="n">
        <x:v>62.858</x:v>
      </x:c>
      <x:c r="Z299" s="34" t="n">
        <x:v>53.636</x:v>
      </x:c>
      <x:c r="AA299" s="34" t="n">
        <x:v>116.856</x:v>
      </x:c>
      <x:c r="AB299" s="34" t="n">
        <x:v>-63.221</x:v>
      </x:c>
      <x:c r="AC299" s="34" t="n">
        <x:v>45.873</x:v>
      </x:c>
      <x:c r="AD299" s="34" t="n">
        <x:v>3.048</x:v>
      </x:c>
      <x:c r="AE299" s="34" t="n">
        <x:v>13.635</x:v>
      </x:c>
      <x:c r="AF299" s="34" t="n">
        <x:v>0</x:v>
      </x:c>
      <x:c r="AG299" s="34" t="n">
        <x:v>0.302</x:v>
      </x:c>
      <x:c r="AH299" s="34" t="n">
        <x:v>-116.856</x:v>
      </x:c>
      <x:c r="AI299" s="34" t="str">
        <x:v>model_estimate</x:v>
      </x:c>
      <x:c r="AJ299" s="34" t="str">
        <x:v>공식 EAF 사업장 존재를 반영; 생산량·집약도·재투자연도 추정</x:v>
      </x:c>
      <x:c r="AK299" s="34" t="str">
        <x:v>CAND-FC0AA3F9FE37C6</x:v>
      </x:c>
      <x:c r="AL299" s="34" t="str">
        <x:v>P3</x:v>
      </x:c>
      <x:c r="AM299" s="34" t="str">
        <x:v>PORT-E5F3D5116135</x:v>
      </x:c>
      <x:c r="AN299" s="34" t="n">
        <x:v>1000</x:v>
      </x:c>
      <x:c r="AO299" s="34" t="n">
        <x:v>88.069513</x:v>
      </x:c>
      <x:c r="AP299" s="34" t="n">
        <x:v>23.623738</x:v>
      </x:c>
      <x:c r="AQ299" s="34" t="n">
        <x:v>321.408363</x:v>
      </x:c>
      <x:c r="AR299" s="34" t="n">
        <x:v>27857.175</x:v>
      </x:c>
      <x:c r="AS299" s="34" t="n">
        <x:v>86.672217</x:v>
      </x:c>
      <x:c r="AT299" s="40" t="b">
        <x:v>1</x:v>
      </x:c>
      <x:c r="AU299" s="40" t="b">
        <x:v>1</x:v>
      </x:c>
      <x:c r="AV299" s="34" t="str"/>
      <x:c r="AW299" s="34" t="n">
        <x:v>0</x:v>
      </x:c>
      <x:c r="AX299" s="34" t="str">
        <x:v>1.265341119704999e-05</x:v>
      </x:c>
      <x:c r="AY299" s="40" t="b">
        <x:v>1</x:v>
      </x:c>
      <x:c r="AZ299" s="40" t="b">
        <x:v>1</x:v>
      </x:c>
      <x:c r="BA299" s="40" t="b">
        <x:v>1</x:v>
      </x:c>
      <x:c r="BB299" s="40" t="b">
        <x:v>1</x:v>
      </x:c>
      <x:c r="BC299" s="34" t="str"/>
      <x:c r="BD299" s="34" t="n">
        <x:v>0</x:v>
      </x:c>
      <x:c r="BE299" s="34" t="n">
        <x:v>0</x:v>
      </x:c>
      <x:c r="BF299" s="34" t="n">
        <x:v>0</x:v>
      </x:c>
      <x:c r="BG299" s="34" t="n">
        <x:v>2</x:v>
      </x:c>
      <x:c r="BH299" s="34" t="n">
        <x:v>3</x:v>
      </x:c>
      <x:c r="BI299" s="34" t="n">
        <x:v>0.3406543999999999</x:v>
      </x:c>
      <x:c r="BJ299" s="34" t="n">
        <x:v>0.65</x:v>
      </x:c>
      <x:c r="BK299" s="34" t="n">
        <x:v>1.3</x:v>
      </x:c>
    </x:row>
    <x:row r="300">
      <x:c r="A300" s="34" t="str">
        <x:v>JFE_STEEL_JP</x:v>
      </x:c>
      <x:c r="B300" s="34" t="str">
        <x:v>JFE Steel</x:v>
      </x:c>
      <x:c r="C300" s="34" t="str">
        <x:v>DISCLOSED_PATH</x:v>
      </x:c>
      <x:c r="D300" s="34" t="str">
        <x:v>P1</x:v>
      </x:c>
      <x:c r="E300" s="34" t="str">
        <x:v>JFE-CHIBA</x:v>
      </x:c>
      <x:c r="F300" s="34" t="str">
        <x:v>East Japan Works Chiba</x:v>
      </x:c>
      <x:c r="G300" s="34" t="str">
        <x:v>치바</x:v>
      </x:c>
      <x:c r="H300" s="34" t="n">
        <x:v>2036</x:v>
      </x:c>
      <x:c r="I300" s="34" t="str">
        <x:v>BF_BOF</x:v>
      </x:c>
      <x:c r="J300" s="34" t="str">
        <x:v>기준 BF-BOF 복합 블록</x:v>
      </x:c>
      <x:c r="K300" s="34" t="str">
        <x:v>H2_DRI_EAF</x:v>
      </x:c>
      <x:c r="L300" s="34" t="str">
        <x:v>수소 DRI + EAF</x:v>
      </x:c>
      <x:c r="M300" s="34" t="n">
        <x:v>5940</x:v>
      </x:c>
      <x:c r="N300" s="34" t="n">
        <x:v>4620</x:v>
      </x:c>
      <x:c r="O300" s="34" t="n">
        <x:v>6</x:v>
      </x:c>
      <x:c r="P300" s="34" t="n">
        <x:v>5.449998</x:v>
      </x:c>
      <x:c r="Q300" s="34" t="n">
        <x:v>11.528348</x:v>
      </x:c>
      <x:c r="R300" s="34" t="n">
        <x:v>11.528348</x:v>
      </x:c>
      <x:c r="S300" s="34" t="n">
        <x:v>1.09</x:v>
      </x:c>
      <x:c r="T300" s="34" t="n">
        <x:v>1.09</x:v>
      </x:c>
      <x:c r="U300" s="34" t="n">
        <x:v>10.438348</x:v>
      </x:c>
      <x:c r="V300" s="34" t="n">
        <x:v>52.191742</x:v>
      </x:c>
      <x:c r="W300" s="34" t="n">
        <x:v>11420.692</x:v>
      </x:c>
      <x:c r="X300" s="34" t="n">
        <x:v>717.832</x:v>
      </x:c>
      <x:c r="Y300" s="34" t="n">
        <x:v>13243.798</x:v>
      </x:c>
      <x:c r="Z300" s="34" t="n">
        <x:v>12525.965</x:v>
      </x:c>
      <x:c r="AA300" s="34" t="n">
        <x:v>1823.106</x:v>
      </x:c>
      <x:c r="AB300" s="34" t="n">
        <x:v>10702.859</x:v>
      </x:c>
      <x:c r="AC300" s="34" t="n">
        <x:v>2563.687</x:v>
      </x:c>
      <x:c r="AD300" s="34" t="n">
        <x:v>163.497</x:v>
      </x:c>
      <x:c r="AE300" s="34" t="n">
        <x:v>1278.862</x:v>
      </x:c>
      <x:c r="AF300" s="34" t="n">
        <x:v>9237.752</x:v>
      </x:c>
      <x:c r="AG300" s="34" t="n">
        <x:v>0</x:v>
      </x:c>
      <x:c r="AH300" s="34" t="n">
        <x:v>-1823.106</x:v>
      </x:c>
      <x:c r="AI300" s="34" t="str">
        <x:v>model_estimate</x:v>
      </x:c>
      <x:c r="AJ300" s="34" t="str">
        <x:v>JFE 공식 생산·배출 총량에 맞춘 설비 블록 배분</x:v>
      </x:c>
      <x:c r="AK300" s="34" t="str">
        <x:v>CAND-FCDB7C1BD7991A</x:v>
      </x:c>
      <x:c r="AL300" s="34" t="str">
        <x:v>P1</x:v>
      </x:c>
      <x:c r="AM300" s="34" t="str">
        <x:v>PORT-51A2628EF9C2</x:v>
      </x:c>
      <x:c r="AN300" s="34" t="n">
        <x:v>1000</x:v>
      </x:c>
      <x:c r="AO300" s="34" t="n">
        <x:v>133.041946</x:v>
      </x:c>
      <x:c r="AP300" s="34" t="n">
        <x:v>37.909056</x:v>
      </x:c>
      <x:c r="AQ300" s="34" t="n">
        <x:v>328.220861</x:v>
      </x:c>
      <x:c r="AR300" s="34" t="n">
        <x:v>42800.358</x:v>
      </x:c>
      <x:c r="AS300" s="34" t="n">
        <x:v>130.401089</x:v>
      </x:c>
      <x:c r="AT300" s="40" t="b">
        <x:v>1</x:v>
      </x:c>
      <x:c r="AU300" s="40" t="b">
        <x:v>1</x:v>
      </x:c>
      <x:c r="AV300" s="34" t="str"/>
      <x:c r="AW300" s="34" t="n">
        <x:v>0</x:v>
      </x:c>
      <x:c r="AX300" s="34" t="str">
        <x:v>1.265341119704999e-05</x:v>
      </x:c>
      <x:c r="AY300" s="40" t="b">
        <x:v>1</x:v>
      </x:c>
      <x:c r="AZ300" s="40" t="b">
        <x:v>1</x:v>
      </x:c>
      <x:c r="BA300" s="40" t="b">
        <x:v>1</x:v>
      </x:c>
      <x:c r="BB300" s="40" t="b">
        <x:v>1</x:v>
      </x:c>
      <x:c r="BC300" s="34" t="str"/>
      <x:c r="BD300" s="34" t="n">
        <x:v>0</x:v>
      </x:c>
      <x:c r="BE300" s="34" t="n">
        <x:v>0</x:v>
      </x:c>
      <x:c r="BF300" s="34" t="n">
        <x:v>0</x:v>
      </x:c>
      <x:c r="BG300" s="34" t="n">
        <x:v>3</x:v>
      </x:c>
      <x:c r="BH300" s="34" t="n">
        <x:v>3</x:v>
      </x:c>
      <x:c r="BI300" s="34" t="n">
        <x:v>0.41232239999999987</x:v>
      </x:c>
      <x:c r="BJ300" s="34" t="n">
        <x:v>0.65</x:v>
      </x:c>
      <x:c r="BK300" s="34" t="n">
        <x:v>1.78</x:v>
      </x:c>
    </x:row>
    <x:row r="301">
      <x:c r="A301" s="34" t="str">
        <x:v>JFE_STEEL_JP</x:v>
      </x:c>
      <x:c r="B301" s="34" t="str">
        <x:v>JFE Steel</x:v>
      </x:c>
      <x:c r="C301" s="34" t="str">
        <x:v>DISCLOSED_PATH</x:v>
      </x:c>
      <x:c r="D301" s="34" t="str">
        <x:v>P1</x:v>
      </x:c>
      <x:c r="E301" s="34" t="str">
        <x:v>JFE-FUKU</x:v>
      </x:c>
      <x:c r="F301" s="34" t="str">
        <x:v>West Japan Works Fukuyama</x:v>
      </x:c>
      <x:c r="G301" s="34" t="str">
        <x:v>후쿠야마</x:v>
      </x:c>
      <x:c r="H301" s="34" t="n">
        <x:v>2033</x:v>
      </x:c>
      <x:c r="I301" s="34" t="str">
        <x:v>BF_BOF</x:v>
      </x:c>
      <x:c r="J301" s="34" t="str">
        <x:v>기준 BF-BOF 복합 블록</x:v>
      </x:c>
      <x:c r="K301" s="34" t="str">
        <x:v>H2_DRI_EAF</x:v>
      </x:c>
      <x:c r="L301" s="34" t="str">
        <x:v>수소 DRI + EAF</x:v>
      </x:c>
      <x:c r="M301" s="34" t="n">
        <x:v>9702</x:v>
      </x:c>
      <x:c r="N301" s="34" t="n">
        <x:v>7546</x:v>
      </x:c>
      <x:c r="O301" s="34" t="n">
        <x:v>9.8</x:v>
      </x:c>
      <x:c r="P301" s="34" t="n">
        <x:v>8.999997</x:v>
      </x:c>
      <x:c r="Q301" s="34" t="n">
        <x:v>19.037639</x:v>
      </x:c>
      <x:c r="R301" s="34" t="n">
        <x:v>19.037639</x:v>
      </x:c>
      <x:c r="S301" s="34" t="n">
        <x:v>1.799999</x:v>
      </x:c>
      <x:c r="T301" s="34" t="n">
        <x:v>1.799999</x:v>
      </x:c>
      <x:c r="U301" s="34" t="n">
        <x:v>17.237639</x:v>
      </x:c>
      <x:c r="V301" s="34" t="n">
        <x:v>137.901116</x:v>
      </x:c>
      <x:c r="W301" s="34" t="n">
        <x:v>30631.766</x:v>
      </x:c>
      <x:c r="X301" s="34" t="n">
        <x:v>1376.75</x:v>
      </x:c>
      <x:c r="Y301" s="34" t="n">
        <x:v>35480.275</x:v>
      </x:c>
      <x:c r="Z301" s="34" t="n">
        <x:v>34103.525</x:v>
      </x:c>
      <x:c r="AA301" s="34" t="n">
        <x:v>4848.509</x:v>
      </x:c>
      <x:c r="AB301" s="34" t="n">
        <x:v>29255.015</x:v>
      </x:c>
      <x:c r="AC301" s="34" t="n">
        <x:v>4916.965</x:v>
      </x:c>
      <x:c r="AD301" s="34" t="n">
        <x:v>509.49</x:v>
      </x:c>
      <x:c r="AE301" s="34" t="n">
        <x:v>3636.405</x:v>
      </x:c>
      <x:c r="AF301" s="34" t="n">
        <x:v>26417.415</x:v>
      </x:c>
      <x:c r="AG301" s="34" t="n">
        <x:v>0</x:v>
      </x:c>
      <x:c r="AH301" s="34" t="n">
        <x:v>-4848.509</x:v>
      </x:c>
      <x:c r="AI301" s="34" t="str">
        <x:v>model_estimate</x:v>
      </x:c>
      <x:c r="AJ301" s="34" t="str">
        <x:v>JFE 공식 생산·배출 총량에 맞춘 설비 블록 배분</x:v>
      </x:c>
      <x:c r="AK301" s="34" t="str">
        <x:v>CAND-FCDB7C1BD7991A</x:v>
      </x:c>
      <x:c r="AL301" s="34" t="str">
        <x:v>P1</x:v>
      </x:c>
      <x:c r="AM301" s="34" t="str">
        <x:v>PORT-51A2628EF9C2</x:v>
      </x:c>
      <x:c r="AN301" s="34" t="n">
        <x:v>1000</x:v>
      </x:c>
      <x:c r="AO301" s="34" t="n">
        <x:v>133.041946</x:v>
      </x:c>
      <x:c r="AP301" s="34" t="n">
        <x:v>37.909056</x:v>
      </x:c>
      <x:c r="AQ301" s="34" t="n">
        <x:v>328.220861</x:v>
      </x:c>
      <x:c r="AR301" s="34" t="n">
        <x:v>42800.358</x:v>
      </x:c>
      <x:c r="AS301" s="34" t="n">
        <x:v>130.401089</x:v>
      </x:c>
      <x:c r="AT301" s="40" t="b">
        <x:v>1</x:v>
      </x:c>
      <x:c r="AU301" s="40" t="b">
        <x:v>1</x:v>
      </x:c>
      <x:c r="AV301" s="34" t="str"/>
      <x:c r="AW301" s="34" t="n">
        <x:v>0</x:v>
      </x:c>
      <x:c r="AX301" s="34" t="str">
        <x:v>1.265341119704999e-05</x:v>
      </x:c>
      <x:c r="AY301" s="40" t="b">
        <x:v>1</x:v>
      </x:c>
      <x:c r="AZ301" s="40" t="b">
        <x:v>1</x:v>
      </x:c>
      <x:c r="BA301" s="40" t="b">
        <x:v>1</x:v>
      </x:c>
      <x:c r="BB301" s="40" t="b">
        <x:v>1</x:v>
      </x:c>
      <x:c r="BC301" s="34" t="str"/>
      <x:c r="BD301" s="34" t="n">
        <x:v>0</x:v>
      </x:c>
      <x:c r="BE301" s="34" t="n">
        <x:v>0</x:v>
      </x:c>
      <x:c r="BF301" s="34" t="n">
        <x:v>0</x:v>
      </x:c>
      <x:c r="BG301" s="34" t="n">
        <x:v>3</x:v>
      </x:c>
      <x:c r="BH301" s="34" t="n">
        <x:v>3</x:v>
      </x:c>
      <x:c r="BI301" s="34" t="n">
        <x:v>0.41232239999999987</x:v>
      </x:c>
      <x:c r="BJ301" s="34" t="n">
        <x:v>0.65</x:v>
      </x:c>
      <x:c r="BK301" s="34" t="n">
        <x:v>1.78</x:v>
      </x:c>
    </x:row>
    <x:row r="302">
      <x:c r="A302" s="34" t="str">
        <x:v>JFE_STEEL_JP</x:v>
      </x:c>
      <x:c r="B302" s="34" t="str">
        <x:v>JFE Steel</x:v>
      </x:c>
      <x:c r="C302" s="34" t="str">
        <x:v>DISCLOSED_PATH</x:v>
      </x:c>
      <x:c r="D302" s="34" t="str">
        <x:v>P1</x:v>
      </x:c>
      <x:c r="E302" s="34" t="str">
        <x:v>JFE-KURA</x:v>
      </x:c>
      <x:c r="F302" s="34" t="str">
        <x:v>West Japan Works Kurashiki</x:v>
      </x:c>
      <x:c r="G302" s="34" t="str">
        <x:v>구라시키</x:v>
      </x:c>
      <x:c r="H302" s="34" t="n">
        <x:v>2029</x:v>
      </x:c>
      <x:c r="I302" s="34" t="str">
        <x:v>BF_BOF</x:v>
      </x:c>
      <x:c r="J302" s="34" t="str">
        <x:v>기준 BF-BOF 복합 블록</x:v>
      </x:c>
      <x:c r="K302" s="34" t="str">
        <x:v>SCRAP_EAF</x:v>
      </x:c>
      <x:c r="L302" s="34" t="str">
        <x:v>스크랩 기반 대형 EAF</x:v>
      </x:c>
      <x:c r="M302" s="34" t="n">
        <x:v>4558.4</x:v>
      </x:c>
      <x:c r="N302" s="34" t="n">
        <x:v>2930.4</x:v>
      </x:c>
      <x:c r="O302" s="34" t="n">
        <x:v>7.4</x:v>
      </x:c>
      <x:c r="P302" s="34" t="n">
        <x:v>6.800001</x:v>
      </x:c>
      <x:c r="Q302" s="34" t="n">
        <x:v>14.384</x:v>
      </x:c>
      <x:c r="R302" s="34" t="n">
        <x:v>3.06</x:v>
      </x:c>
      <x:c r="S302" s="34" t="n">
        <x:v>3.06</x:v>
      </x:c>
      <x:c r="T302" s="34" t="n">
        <x:v>3.06</x:v>
      </x:c>
      <x:c r="U302" s="34" t="n">
        <x:v>11.324</x:v>
      </x:c>
      <x:c r="V302" s="34" t="n">
        <x:v>135.888002</x:v>
      </x:c>
      <x:c r="W302" s="34" t="n">
        <x:v>3458.27</x:v>
      </x:c>
      <x:c r="X302" s="34" t="n">
        <x:v>591.367</x:v>
      </x:c>
      <x:c r="Y302" s="34" t="n">
        <x:v>8208.599</x:v>
      </x:c>
      <x:c r="Z302" s="34" t="n">
        <x:v>7617.232</x:v>
      </x:c>
      <x:c r="AA302" s="34" t="n">
        <x:v>4750.329</x:v>
      </x:c>
      <x:c r="AB302" s="34" t="n">
        <x:v>2866.903</x:v>
      </x:c>
      <x:c r="AC302" s="34" t="n">
        <x:v>2365.468</x:v>
      </x:c>
      <x:c r="AD302" s="34" t="n">
        <x:v>299.458</x:v>
      </x:c>
      <x:c r="AE302" s="34" t="n">
        <x:v>5543.673</x:v>
      </x:c>
      <x:c r="AF302" s="34" t="n">
        <x:v>0</x:v>
      </x:c>
      <x:c r="AG302" s="34" t="n">
        <x:v>0</x:v>
      </x:c>
      <x:c r="AH302" s="34" t="n">
        <x:v>-4750.329</x:v>
      </x:c>
      <x:c r="AI302" s="34" t="str">
        <x:v>model_estimate</x:v>
      </x:c>
      <x:c r="AJ302" s="34" t="str">
        <x:v>2028 혁신 EAF 공시를 반영한 조기 재투자 창; 생산량은 공식 총량에 맞춘 추정</x:v>
      </x:c>
      <x:c r="AK302" s="34" t="str">
        <x:v>CAND-FCDB7C1BD7991A</x:v>
      </x:c>
      <x:c r="AL302" s="34" t="str">
        <x:v>P1</x:v>
      </x:c>
      <x:c r="AM302" s="34" t="str">
        <x:v>PORT-51A2628EF9C2</x:v>
      </x:c>
      <x:c r="AN302" s="34" t="n">
        <x:v>1000</x:v>
      </x:c>
      <x:c r="AO302" s="34" t="n">
        <x:v>133.041946</x:v>
      </x:c>
      <x:c r="AP302" s="34" t="n">
        <x:v>37.909056</x:v>
      </x:c>
      <x:c r="AQ302" s="34" t="n">
        <x:v>328.220861</x:v>
      </x:c>
      <x:c r="AR302" s="34" t="n">
        <x:v>42800.358</x:v>
      </x:c>
      <x:c r="AS302" s="34" t="n">
        <x:v>130.401089</x:v>
      </x:c>
      <x:c r="AT302" s="40" t="b">
        <x:v>1</x:v>
      </x:c>
      <x:c r="AU302" s="40" t="b">
        <x:v>1</x:v>
      </x:c>
      <x:c r="AV302" s="34" t="str"/>
      <x:c r="AW302" s="34" t="n">
        <x:v>0</x:v>
      </x:c>
      <x:c r="AX302" s="34" t="str">
        <x:v>1.265341119704999e-05</x:v>
      </x:c>
      <x:c r="AY302" s="40" t="b">
        <x:v>1</x:v>
      </x:c>
      <x:c r="AZ302" s="40" t="b">
        <x:v>1</x:v>
      </x:c>
      <x:c r="BA302" s="40" t="b">
        <x:v>1</x:v>
      </x:c>
      <x:c r="BB302" s="40" t="b">
        <x:v>1</x:v>
      </x:c>
      <x:c r="BC302" s="34" t="str"/>
      <x:c r="BD302" s="34" t="n">
        <x:v>0</x:v>
      </x:c>
      <x:c r="BE302" s="34" t="n">
        <x:v>0</x:v>
      </x:c>
      <x:c r="BF302" s="34" t="n">
        <x:v>0</x:v>
      </x:c>
      <x:c r="BG302" s="34" t="n">
        <x:v>3</x:v>
      </x:c>
      <x:c r="BH302" s="34" t="n">
        <x:v>3</x:v>
      </x:c>
      <x:c r="BI302" s="34" t="n">
        <x:v>0.41232239999999987</x:v>
      </x:c>
      <x:c r="BJ302" s="34" t="n">
        <x:v>0.65</x:v>
      </x:c>
      <x:c r="BK302" s="34" t="n">
        <x:v>1.78</x:v>
      </x:c>
    </x:row>
    <x:row r="303">
      <x:c r="A303" s="34" t="str">
        <x:v>JFE_STEEL_JP</x:v>
      </x:c>
      <x:c r="B303" s="34" t="str">
        <x:v>JFE Steel</x:v>
      </x:c>
      <x:c r="C303" s="34" t="str">
        <x:v>DISCLOSED_PATH</x:v>
      </x:c>
      <x:c r="D303" s="34" t="str">
        <x:v>P1</x:v>
      </x:c>
      <x:c r="E303" s="34" t="str">
        <x:v>JFE-SENDAI</x:v>
      </x:c>
      <x:c r="F303" s="34" t="str">
        <x:v>Sendai Works EAF</x:v>
      </x:c>
      <x:c r="G303" s="34" t="str">
        <x:v>센다이</x:v>
      </x:c>
      <x:c r="H303" s="34" t="n">
        <x:v>2033</x:v>
      </x:c>
      <x:c r="I303" s="34" t="str">
        <x:v>EAF_BASELINE</x:v>
      </x:c>
      <x:c r="J303" s="34" t="str">
        <x:v>기존 전기로 기준 블록</x:v>
      </x:c>
      <x:c r="K303" s="34" t="str">
        <x:v>EAF_RENEWABLE</x:v>
      </x:c>
      <x:c r="L303" s="34" t="str">
        <x:v>기존 EAF 재생전력 업그레이드</x:v>
      </x:c>
      <x:c r="M303" s="34" t="n">
        <x:v>228.8</x:v>
      </x:c>
      <x:c r="N303" s="34" t="n">
        <x:v>70.4</x:v>
      </x:c>
      <x:c r="O303" s="34" t="n">
        <x:v>0.8</x:v>
      </x:c>
      <x:c r="P303" s="34" t="n">
        <x:v>0.7</x:v>
      </x:c>
      <x:c r="Q303" s="34" t="n">
        <x:v>0.35</x:v>
      </x:c>
      <x:c r="R303" s="34" t="n">
        <x:v>0.35</x:v>
      </x:c>
      <x:c r="S303" s="34" t="n">
        <x:v>0.07</x:v>
      </x:c>
      <x:c r="T303" s="34" t="n">
        <x:v>0.07</x:v>
      </x:c>
      <x:c r="U303" s="34" t="n">
        <x:v>0.28</x:v>
      </x:c>
      <x:c r="V303" s="34" t="n">
        <x:v>2.24</x:v>
      </x:c>
      <x:c r="W303" s="34" t="n">
        <x:v>-17.539</x:v>
      </x:c>
      <x:c r="X303" s="34" t="n">
        <x:v>6.881</x:v>
      </x:c>
      <x:c r="Y303" s="34" t="n">
        <x:v>61.218</x:v>
      </x:c>
      <x:c r="Z303" s="34" t="n">
        <x:v>54.337</x:v>
      </x:c>
      <x:c r="AA303" s="34" t="n">
        <x:v>78.757</x:v>
      </x:c>
      <x:c r="AB303" s="34" t="n">
        <x:v>-24.42</x:v>
      </x:c>
      <x:c r="AC303" s="34" t="n">
        <x:v>45.873</x:v>
      </x:c>
      <x:c r="AD303" s="34" t="n">
        <x:v>3.048</x:v>
      </x:c>
      <x:c r="AE303" s="34" t="n">
        <x:v>12.297</x:v>
      </x:c>
      <x:c r="AF303" s="34" t="n">
        <x:v>0</x:v>
      </x:c>
      <x:c r="AG303" s="34" t="n">
        <x:v>0</x:v>
      </x:c>
      <x:c r="AH303" s="34" t="n">
        <x:v>-78.757</x:v>
      </x:c>
      <x:c r="AI303" s="34" t="str">
        <x:v>model_estimate</x:v>
      </x:c>
      <x:c r="AJ303" s="34" t="str">
        <x:v>공식 EAF 사업장 존재를 반영; 생산량·집약도·재투자연도 추정</x:v>
      </x:c>
      <x:c r="AK303" s="34" t="str">
        <x:v>CAND-FCDB7C1BD7991A</x:v>
      </x:c>
      <x:c r="AL303" s="34" t="str">
        <x:v>P1</x:v>
      </x:c>
      <x:c r="AM303" s="34" t="str">
        <x:v>PORT-51A2628EF9C2</x:v>
      </x:c>
      <x:c r="AN303" s="34" t="n">
        <x:v>1000</x:v>
      </x:c>
      <x:c r="AO303" s="34" t="n">
        <x:v>133.041946</x:v>
      </x:c>
      <x:c r="AP303" s="34" t="n">
        <x:v>37.909056</x:v>
      </x:c>
      <x:c r="AQ303" s="34" t="n">
        <x:v>328.220861</x:v>
      </x:c>
      <x:c r="AR303" s="34" t="n">
        <x:v>42800.358</x:v>
      </x:c>
      <x:c r="AS303" s="34" t="n">
        <x:v>130.401089</x:v>
      </x:c>
      <x:c r="AT303" s="40" t="b">
        <x:v>1</x:v>
      </x:c>
      <x:c r="AU303" s="40" t="b">
        <x:v>1</x:v>
      </x:c>
      <x:c r="AV303" s="34" t="str"/>
      <x:c r="AW303" s="34" t="n">
        <x:v>0</x:v>
      </x:c>
      <x:c r="AX303" s="34" t="str">
        <x:v>1.265341119704999e-05</x:v>
      </x:c>
      <x:c r="AY303" s="40" t="b">
        <x:v>1</x:v>
      </x:c>
      <x:c r="AZ303" s="40" t="b">
        <x:v>1</x:v>
      </x:c>
      <x:c r="BA303" s="40" t="b">
        <x:v>1</x:v>
      </x:c>
      <x:c r="BB303" s="40" t="b">
        <x:v>1</x:v>
      </x:c>
      <x:c r="BC303" s="34" t="str"/>
      <x:c r="BD303" s="34" t="n">
        <x:v>0</x:v>
      </x:c>
      <x:c r="BE303" s="34" t="n">
        <x:v>0</x:v>
      </x:c>
      <x:c r="BF303" s="34" t="n">
        <x:v>0</x:v>
      </x:c>
      <x:c r="BG303" s="34" t="n">
        <x:v>3</x:v>
      </x:c>
      <x:c r="BH303" s="34" t="n">
        <x:v>3</x:v>
      </x:c>
      <x:c r="BI303" s="34" t="n">
        <x:v>0.41232239999999987</x:v>
      </x:c>
      <x:c r="BJ303" s="34" t="n">
        <x:v>0.65</x:v>
      </x:c>
      <x:c r="BK303" s="34" t="n">
        <x:v>1.78</x:v>
      </x:c>
    </x:row>
    <x:row r="304">
      <x:c r="A304" s="34" t="str">
        <x:v>JFE_STEEL_JP</x:v>
      </x:c>
      <x:c r="B304" s="34" t="str">
        <x:v>JFE Steel</x:v>
      </x:c>
      <x:c r="C304" s="34" t="str">
        <x:v>ACCELERATED_15C</x:v>
      </x:c>
      <x:c r="D304" s="34" t="str">
        <x:v>P1</x:v>
      </x:c>
      <x:c r="E304" s="34" t="str">
        <x:v>JFE-CHIBA</x:v>
      </x:c>
      <x:c r="F304" s="34" t="str">
        <x:v>East Japan Works Chiba</x:v>
      </x:c>
      <x:c r="G304" s="34" t="str">
        <x:v>치바</x:v>
      </x:c>
      <x:c r="H304" s="34" t="n">
        <x:v>2036</x:v>
      </x:c>
      <x:c r="I304" s="34" t="str">
        <x:v>BF_BOF</x:v>
      </x:c>
      <x:c r="J304" s="34" t="str">
        <x:v>기준 BF-BOF 복합 블록</x:v>
      </x:c>
      <x:c r="K304" s="34" t="str">
        <x:v>H2_DRI_EAF</x:v>
      </x:c>
      <x:c r="L304" s="34" t="str">
        <x:v>수소 DRI + EAF</x:v>
      </x:c>
      <x:c r="M304" s="34" t="n">
        <x:v>5940</x:v>
      </x:c>
      <x:c r="N304" s="34" t="n">
        <x:v>4620</x:v>
      </x:c>
      <x:c r="O304" s="34" t="n">
        <x:v>6</x:v>
      </x:c>
      <x:c r="P304" s="34" t="n">
        <x:v>5.449998</x:v>
      </x:c>
      <x:c r="Q304" s="34" t="n">
        <x:v>11.528348</x:v>
      </x:c>
      <x:c r="R304" s="34" t="n">
        <x:v>11.528348</x:v>
      </x:c>
      <x:c r="S304" s="34" t="n">
        <x:v>1.09</x:v>
      </x:c>
      <x:c r="T304" s="34" t="n">
        <x:v>1.09</x:v>
      </x:c>
      <x:c r="U304" s="34" t="n">
        <x:v>10.438348</x:v>
      </x:c>
      <x:c r="V304" s="34" t="n">
        <x:v>52.191742</x:v>
      </x:c>
      <x:c r="W304" s="34" t="n">
        <x:v>11569.025</x:v>
      </x:c>
      <x:c r="X304" s="34" t="n">
        <x:v>897.29</x:v>
      </x:c>
      <x:c r="Y304" s="34" t="n">
        <x:v>14291.313</x:v>
      </x:c>
      <x:c r="Z304" s="34" t="n">
        <x:v>13394.023</x:v>
      </x:c>
      <x:c r="AA304" s="34" t="n">
        <x:v>2722.288</x:v>
      </x:c>
      <x:c r="AB304" s="34" t="n">
        <x:v>10671.734</x:v>
      </x:c>
      <x:c r="AC304" s="34" t="n">
        <x:v>2563.687</x:v>
      </x:c>
      <x:c r="AD304" s="34" t="n">
        <x:v>163.497</x:v>
      </x:c>
      <x:c r="AE304" s="34" t="n">
        <x:v>1433.22</x:v>
      </x:c>
      <x:c r="AF304" s="34" t="n">
        <x:v>10130.909</x:v>
      </x:c>
      <x:c r="AG304" s="34" t="n">
        <x:v>0</x:v>
      </x:c>
      <x:c r="AH304" s="34" t="n">
        <x:v>-2722.288</x:v>
      </x:c>
      <x:c r="AI304" s="34" t="str">
        <x:v>model_estimate</x:v>
      </x:c>
      <x:c r="AJ304" s="34" t="str">
        <x:v>JFE 공식 생산·배출 총량에 맞춘 설비 블록 배분</x:v>
      </x:c>
      <x:c r="AK304" s="34" t="str">
        <x:v>CAND-FCDB7C1BD7991A</x:v>
      </x:c>
      <x:c r="AL304" s="34" t="str">
        <x:v>P1</x:v>
      </x:c>
      <x:c r="AM304" s="34" t="str">
        <x:v>PORT-51A2628EF9C2</x:v>
      </x:c>
      <x:c r="AN304" s="34" t="n">
        <x:v>1000</x:v>
      </x:c>
      <x:c r="AO304" s="34" t="n">
        <x:v>127.502295</x:v>
      </x:c>
      <x:c r="AP304" s="34" t="n">
        <x:v>41.478766</x:v>
      </x:c>
      <x:c r="AQ304" s="34" t="n">
        <x:v>328.220861</x:v>
      </x:c>
      <x:c r="AR304" s="34" t="n">
        <x:v>40930.073</x:v>
      </x:c>
      <x:c r="AS304" s="34" t="n">
        <x:v>124.702838</x:v>
      </x:c>
      <x:c r="AT304" s="40" t="b">
        <x:v>1</x:v>
      </x:c>
      <x:c r="AU304" s="40" t="b">
        <x:v>1</x:v>
      </x:c>
      <x:c r="AV304" s="34" t="str"/>
      <x:c r="AW304" s="34" t="n">
        <x:v>0</x:v>
      </x:c>
      <x:c r="AX304" s="34" t="str">
        <x:v>1.265341119704999e-05</x:v>
      </x:c>
      <x:c r="AY304" s="40" t="b">
        <x:v>1</x:v>
      </x:c>
      <x:c r="AZ304" s="40" t="b">
        <x:v>1</x:v>
      </x:c>
      <x:c r="BA304" s="40" t="b">
        <x:v>1</x:v>
      </x:c>
      <x:c r="BB304" s="40" t="b">
        <x:v>1</x:v>
      </x:c>
      <x:c r="BC304" s="34" t="str"/>
      <x:c r="BD304" s="34" t="n">
        <x:v>0</x:v>
      </x:c>
      <x:c r="BE304" s="34" t="n">
        <x:v>0</x:v>
      </x:c>
      <x:c r="BF304" s="34" t="n">
        <x:v>0</x:v>
      </x:c>
      <x:c r="BG304" s="34" t="n">
        <x:v>3</x:v>
      </x:c>
      <x:c r="BH304" s="34" t="n">
        <x:v>3</x:v>
      </x:c>
      <x:c r="BI304" s="34" t="n">
        <x:v>0.41232239999999987</x:v>
      </x:c>
      <x:c r="BJ304" s="34" t="n">
        <x:v>0.65</x:v>
      </x:c>
      <x:c r="BK304" s="34" t="n">
        <x:v>1.78</x:v>
      </x:c>
    </x:row>
    <x:row r="305">
      <x:c r="A305" s="34" t="str">
        <x:v>JFE_STEEL_JP</x:v>
      </x:c>
      <x:c r="B305" s="34" t="str">
        <x:v>JFE Steel</x:v>
      </x:c>
      <x:c r="C305" s="34" t="str">
        <x:v>ACCELERATED_15C</x:v>
      </x:c>
      <x:c r="D305" s="34" t="str">
        <x:v>P1</x:v>
      </x:c>
      <x:c r="E305" s="34" t="str">
        <x:v>JFE-FUKU</x:v>
      </x:c>
      <x:c r="F305" s="34" t="str">
        <x:v>West Japan Works Fukuyama</x:v>
      </x:c>
      <x:c r="G305" s="34" t="str">
        <x:v>후쿠야마</x:v>
      </x:c>
      <x:c r="H305" s="34" t="n">
        <x:v>2033</x:v>
      </x:c>
      <x:c r="I305" s="34" t="str">
        <x:v>BF_BOF</x:v>
      </x:c>
      <x:c r="J305" s="34" t="str">
        <x:v>기준 BF-BOF 복합 블록</x:v>
      </x:c>
      <x:c r="K305" s="34" t="str">
        <x:v>H2_DRI_EAF</x:v>
      </x:c>
      <x:c r="L305" s="34" t="str">
        <x:v>수소 DRI + EAF</x:v>
      </x:c>
      <x:c r="M305" s="34" t="n">
        <x:v>9702</x:v>
      </x:c>
      <x:c r="N305" s="34" t="n">
        <x:v>7546</x:v>
      </x:c>
      <x:c r="O305" s="34" t="n">
        <x:v>9.8</x:v>
      </x:c>
      <x:c r="P305" s="34" t="n">
        <x:v>8.999997</x:v>
      </x:c>
      <x:c r="Q305" s="34" t="n">
        <x:v>19.037639</x:v>
      </x:c>
      <x:c r="R305" s="34" t="n">
        <x:v>19.037639</x:v>
      </x:c>
      <x:c r="S305" s="34" t="n">
        <x:v>1.799999</x:v>
      </x:c>
      <x:c r="T305" s="34" t="n">
        <x:v>1.799999</x:v>
      </x:c>
      <x:c r="U305" s="34" t="n">
        <x:v>17.237639</x:v>
      </x:c>
      <x:c r="V305" s="34" t="n">
        <x:v>137.901116</x:v>
      </x:c>
      <x:c r="W305" s="34" t="n">
        <x:v>30963.382</x:v>
      </x:c>
      <x:c r="X305" s="34" t="n">
        <x:v>1720.938</x:v>
      </x:c>
      <x:c r="Y305" s="34" t="n">
        <x:v>38157.401</x:v>
      </x:c>
      <x:c r="Z305" s="34" t="n">
        <x:v>36436.464</x:v>
      </x:c>
      <x:c r="AA305" s="34" t="n">
        <x:v>7194.019</x:v>
      </x:c>
      <x:c r="AB305" s="34" t="n">
        <x:v>29242.444</x:v>
      </x:c>
      <x:c r="AC305" s="34" t="n">
        <x:v>4916.965</x:v>
      </x:c>
      <x:c r="AD305" s="34" t="n">
        <x:v>509.49</x:v>
      </x:c>
      <x:c r="AE305" s="34" t="n">
        <x:v>4032.152</x:v>
      </x:c>
      <x:c r="AF305" s="34" t="n">
        <x:v>28698.795</x:v>
      </x:c>
      <x:c r="AG305" s="34" t="n">
        <x:v>0</x:v>
      </x:c>
      <x:c r="AH305" s="34" t="n">
        <x:v>-7194.019</x:v>
      </x:c>
      <x:c r="AI305" s="34" t="str">
        <x:v>model_estimate</x:v>
      </x:c>
      <x:c r="AJ305" s="34" t="str">
        <x:v>JFE 공식 생산·배출 총량에 맞춘 설비 블록 배분</x:v>
      </x:c>
      <x:c r="AK305" s="34" t="str">
        <x:v>CAND-FCDB7C1BD7991A</x:v>
      </x:c>
      <x:c r="AL305" s="34" t="str">
        <x:v>P1</x:v>
      </x:c>
      <x:c r="AM305" s="34" t="str">
        <x:v>PORT-51A2628EF9C2</x:v>
      </x:c>
      <x:c r="AN305" s="34" t="n">
        <x:v>1000</x:v>
      </x:c>
      <x:c r="AO305" s="34" t="n">
        <x:v>127.502295</x:v>
      </x:c>
      <x:c r="AP305" s="34" t="n">
        <x:v>41.478766</x:v>
      </x:c>
      <x:c r="AQ305" s="34" t="n">
        <x:v>328.220861</x:v>
      </x:c>
      <x:c r="AR305" s="34" t="n">
        <x:v>40930.073</x:v>
      </x:c>
      <x:c r="AS305" s="34" t="n">
        <x:v>124.702838</x:v>
      </x:c>
      <x:c r="AT305" s="40" t="b">
        <x:v>1</x:v>
      </x:c>
      <x:c r="AU305" s="40" t="b">
        <x:v>1</x:v>
      </x:c>
      <x:c r="AV305" s="34" t="str"/>
      <x:c r="AW305" s="34" t="n">
        <x:v>0</x:v>
      </x:c>
      <x:c r="AX305" s="34" t="str">
        <x:v>1.265341119704999e-05</x:v>
      </x:c>
      <x:c r="AY305" s="40" t="b">
        <x:v>1</x:v>
      </x:c>
      <x:c r="AZ305" s="40" t="b">
        <x:v>1</x:v>
      </x:c>
      <x:c r="BA305" s="40" t="b">
        <x:v>1</x:v>
      </x:c>
      <x:c r="BB305" s="40" t="b">
        <x:v>1</x:v>
      </x:c>
      <x:c r="BC305" s="34" t="str"/>
      <x:c r="BD305" s="34" t="n">
        <x:v>0</x:v>
      </x:c>
      <x:c r="BE305" s="34" t="n">
        <x:v>0</x:v>
      </x:c>
      <x:c r="BF305" s="34" t="n">
        <x:v>0</x:v>
      </x:c>
      <x:c r="BG305" s="34" t="n">
        <x:v>3</x:v>
      </x:c>
      <x:c r="BH305" s="34" t="n">
        <x:v>3</x:v>
      </x:c>
      <x:c r="BI305" s="34" t="n">
        <x:v>0.41232239999999987</x:v>
      </x:c>
      <x:c r="BJ305" s="34" t="n">
        <x:v>0.65</x:v>
      </x:c>
      <x:c r="BK305" s="34" t="n">
        <x:v>1.78</x:v>
      </x:c>
    </x:row>
    <x:row r="306">
      <x:c r="A306" s="34" t="str">
        <x:v>JFE_STEEL_JP</x:v>
      </x:c>
      <x:c r="B306" s="34" t="str">
        <x:v>JFE Steel</x:v>
      </x:c>
      <x:c r="C306" s="34" t="str">
        <x:v>ACCELERATED_15C</x:v>
      </x:c>
      <x:c r="D306" s="34" t="str">
        <x:v>P1</x:v>
      </x:c>
      <x:c r="E306" s="34" t="str">
        <x:v>JFE-KURA</x:v>
      </x:c>
      <x:c r="F306" s="34" t="str">
        <x:v>West Japan Works Kurashiki</x:v>
      </x:c>
      <x:c r="G306" s="34" t="str">
        <x:v>구라시키</x:v>
      </x:c>
      <x:c r="H306" s="34" t="n">
        <x:v>2029</x:v>
      </x:c>
      <x:c r="I306" s="34" t="str">
        <x:v>BF_BOF</x:v>
      </x:c>
      <x:c r="J306" s="34" t="str">
        <x:v>기준 BF-BOF 복합 블록</x:v>
      </x:c>
      <x:c r="K306" s="34" t="str">
        <x:v>SCRAP_EAF</x:v>
      </x:c>
      <x:c r="L306" s="34" t="str">
        <x:v>스크랩 기반 대형 EAF</x:v>
      </x:c>
      <x:c r="M306" s="34" t="n">
        <x:v>4558.4</x:v>
      </x:c>
      <x:c r="N306" s="34" t="n">
        <x:v>2930.4</x:v>
      </x:c>
      <x:c r="O306" s="34" t="n">
        <x:v>7.4</x:v>
      </x:c>
      <x:c r="P306" s="34" t="n">
        <x:v>6.800001</x:v>
      </x:c>
      <x:c r="Q306" s="34" t="n">
        <x:v>14.384</x:v>
      </x:c>
      <x:c r="R306" s="34" t="n">
        <x:v>3.06</x:v>
      </x:c>
      <x:c r="S306" s="34" t="n">
        <x:v>3.06</x:v>
      </x:c>
      <x:c r="T306" s="34" t="n">
        <x:v>3.06</x:v>
      </x:c>
      <x:c r="U306" s="34" t="n">
        <x:v>11.324</x:v>
      </x:c>
      <x:c r="V306" s="34" t="n">
        <x:v>135.888002</x:v>
      </x:c>
      <x:c r="W306" s="34" t="n">
        <x:v>1789.009</x:v>
      </x:c>
      <x:c r="X306" s="34" t="n">
        <x:v>709.64</x:v>
      </x:c>
      <x:c r="Y306" s="34" t="n">
        <x:v>8716.429</x:v>
      </x:c>
      <x:c r="Z306" s="34" t="n">
        <x:v>8006.789</x:v>
      </x:c>
      <x:c r="AA306" s="34" t="n">
        <x:v>6927.42</x:v>
      </x:c>
      <x:c r="AB306" s="34" t="n">
        <x:v>1079.369</x:v>
      </x:c>
      <x:c r="AC306" s="34" t="n">
        <x:v>2365.468</x:v>
      </x:c>
      <x:c r="AD306" s="34" t="n">
        <x:v>299.458</x:v>
      </x:c>
      <x:c r="AE306" s="34" t="n">
        <x:v>6051.504</x:v>
      </x:c>
      <x:c r="AF306" s="34" t="n">
        <x:v>0</x:v>
      </x:c>
      <x:c r="AG306" s="34" t="n">
        <x:v>0</x:v>
      </x:c>
      <x:c r="AH306" s="34" t="n">
        <x:v>-6927.42</x:v>
      </x:c>
      <x:c r="AI306" s="34" t="str">
        <x:v>model_estimate</x:v>
      </x:c>
      <x:c r="AJ306" s="34" t="str">
        <x:v>2028 혁신 EAF 공시를 반영한 조기 재투자 창; 생산량은 공식 총량에 맞춘 추정</x:v>
      </x:c>
      <x:c r="AK306" s="34" t="str">
        <x:v>CAND-FCDB7C1BD7991A</x:v>
      </x:c>
      <x:c r="AL306" s="34" t="str">
        <x:v>P1</x:v>
      </x:c>
      <x:c r="AM306" s="34" t="str">
        <x:v>PORT-51A2628EF9C2</x:v>
      </x:c>
      <x:c r="AN306" s="34" t="n">
        <x:v>1000</x:v>
      </x:c>
      <x:c r="AO306" s="34" t="n">
        <x:v>127.502295</x:v>
      </x:c>
      <x:c r="AP306" s="34" t="n">
        <x:v>41.478766</x:v>
      </x:c>
      <x:c r="AQ306" s="34" t="n">
        <x:v>328.220861</x:v>
      </x:c>
      <x:c r="AR306" s="34" t="n">
        <x:v>40930.073</x:v>
      </x:c>
      <x:c r="AS306" s="34" t="n">
        <x:v>124.702838</x:v>
      </x:c>
      <x:c r="AT306" s="40" t="b">
        <x:v>1</x:v>
      </x:c>
      <x:c r="AU306" s="40" t="b">
        <x:v>1</x:v>
      </x:c>
      <x:c r="AV306" s="34" t="str"/>
      <x:c r="AW306" s="34" t="n">
        <x:v>0</x:v>
      </x:c>
      <x:c r="AX306" s="34" t="str">
        <x:v>1.265341119704999e-05</x:v>
      </x:c>
      <x:c r="AY306" s="40" t="b">
        <x:v>1</x:v>
      </x:c>
      <x:c r="AZ306" s="40" t="b">
        <x:v>1</x:v>
      </x:c>
      <x:c r="BA306" s="40" t="b">
        <x:v>1</x:v>
      </x:c>
      <x:c r="BB306" s="40" t="b">
        <x:v>1</x:v>
      </x:c>
      <x:c r="BC306" s="34" t="str"/>
      <x:c r="BD306" s="34" t="n">
        <x:v>0</x:v>
      </x:c>
      <x:c r="BE306" s="34" t="n">
        <x:v>0</x:v>
      </x:c>
      <x:c r="BF306" s="34" t="n">
        <x:v>0</x:v>
      </x:c>
      <x:c r="BG306" s="34" t="n">
        <x:v>3</x:v>
      </x:c>
      <x:c r="BH306" s="34" t="n">
        <x:v>3</x:v>
      </x:c>
      <x:c r="BI306" s="34" t="n">
        <x:v>0.41232239999999987</x:v>
      </x:c>
      <x:c r="BJ306" s="34" t="n">
        <x:v>0.65</x:v>
      </x:c>
      <x:c r="BK306" s="34" t="n">
        <x:v>1.78</x:v>
      </x:c>
    </x:row>
    <x:row r="307">
      <x:c r="A307" s="34" t="str">
        <x:v>JFE_STEEL_JP</x:v>
      </x:c>
      <x:c r="B307" s="34" t="str">
        <x:v>JFE Steel</x:v>
      </x:c>
      <x:c r="C307" s="34" t="str">
        <x:v>ACCELERATED_15C</x:v>
      </x:c>
      <x:c r="D307" s="34" t="str">
        <x:v>P1</x:v>
      </x:c>
      <x:c r="E307" s="34" t="str">
        <x:v>JFE-SENDAI</x:v>
      </x:c>
      <x:c r="F307" s="34" t="str">
        <x:v>Sendai Works EAF</x:v>
      </x:c>
      <x:c r="G307" s="34" t="str">
        <x:v>센다이</x:v>
      </x:c>
      <x:c r="H307" s="34" t="n">
        <x:v>2033</x:v>
      </x:c>
      <x:c r="I307" s="34" t="str">
        <x:v>EAF_BASELINE</x:v>
      </x:c>
      <x:c r="J307" s="34" t="str">
        <x:v>기존 전기로 기준 블록</x:v>
      </x:c>
      <x:c r="K307" s="34" t="str">
        <x:v>EAF_RENEWABLE</x:v>
      </x:c>
      <x:c r="L307" s="34" t="str">
        <x:v>기존 EAF 재생전력 업그레이드</x:v>
      </x:c>
      <x:c r="M307" s="34" t="n">
        <x:v>228.8</x:v>
      </x:c>
      <x:c r="N307" s="34" t="n">
        <x:v>70.4</x:v>
      </x:c>
      <x:c r="O307" s="34" t="n">
        <x:v>0.8</x:v>
      </x:c>
      <x:c r="P307" s="34" t="n">
        <x:v>0.7</x:v>
      </x:c>
      <x:c r="Q307" s="34" t="n">
        <x:v>0.35</x:v>
      </x:c>
      <x:c r="R307" s="34" t="n">
        <x:v>0.35</x:v>
      </x:c>
      <x:c r="S307" s="34" t="n">
        <x:v>0.07</x:v>
      </x:c>
      <x:c r="T307" s="34" t="n">
        <x:v>0.07</x:v>
      </x:c>
      <x:c r="U307" s="34" t="n">
        <x:v>0.28</x:v>
      </x:c>
      <x:c r="V307" s="34" t="n">
        <x:v>2.24</x:v>
      </x:c>
      <x:c r="W307" s="34" t="n">
        <x:v>-54.3</x:v>
      </x:c>
      <x:c r="X307" s="34" t="n">
        <x:v>9.175</x:v>
      </x:c>
      <x:c r="Y307" s="34" t="n">
        <x:v>62.556</x:v>
      </x:c>
      <x:c r="Z307" s="34" t="n">
        <x:v>53.382</x:v>
      </x:c>
      <x:c r="AA307" s="34" t="n">
        <x:v>116.856</x:v>
      </x:c>
      <x:c r="AB307" s="34" t="n">
        <x:v>-63.475</x:v>
      </x:c>
      <x:c r="AC307" s="34" t="n">
        <x:v>45.873</x:v>
      </x:c>
      <x:c r="AD307" s="34" t="n">
        <x:v>3.048</x:v>
      </x:c>
      <x:c r="AE307" s="34" t="n">
        <x:v>13.635</x:v>
      </x:c>
      <x:c r="AF307" s="34" t="n">
        <x:v>0</x:v>
      </x:c>
      <x:c r="AG307" s="34" t="n">
        <x:v>0</x:v>
      </x:c>
      <x:c r="AH307" s="34" t="n">
        <x:v>-116.856</x:v>
      </x:c>
      <x:c r="AI307" s="34" t="str">
        <x:v>model_estimate</x:v>
      </x:c>
      <x:c r="AJ307" s="34" t="str">
        <x:v>공식 EAF 사업장 존재를 반영; 생산량·집약도·재투자연도 추정</x:v>
      </x:c>
      <x:c r="AK307" s="34" t="str">
        <x:v>CAND-FCDB7C1BD7991A</x:v>
      </x:c>
      <x:c r="AL307" s="34" t="str">
        <x:v>P1</x:v>
      </x:c>
      <x:c r="AM307" s="34" t="str">
        <x:v>PORT-51A2628EF9C2</x:v>
      </x:c>
      <x:c r="AN307" s="34" t="n">
        <x:v>1000</x:v>
      </x:c>
      <x:c r="AO307" s="34" t="n">
        <x:v>127.502295</x:v>
      </x:c>
      <x:c r="AP307" s="34" t="n">
        <x:v>41.478766</x:v>
      </x:c>
      <x:c r="AQ307" s="34" t="n">
        <x:v>328.220861</x:v>
      </x:c>
      <x:c r="AR307" s="34" t="n">
        <x:v>40930.073</x:v>
      </x:c>
      <x:c r="AS307" s="34" t="n">
        <x:v>124.702838</x:v>
      </x:c>
      <x:c r="AT307" s="40" t="b">
        <x:v>1</x:v>
      </x:c>
      <x:c r="AU307" s="40" t="b">
        <x:v>1</x:v>
      </x:c>
      <x:c r="AV307" s="34" t="str"/>
      <x:c r="AW307" s="34" t="n">
        <x:v>0</x:v>
      </x:c>
      <x:c r="AX307" s="34" t="str">
        <x:v>1.265341119704999e-05</x:v>
      </x:c>
      <x:c r="AY307" s="40" t="b">
        <x:v>1</x:v>
      </x:c>
      <x:c r="AZ307" s="40" t="b">
        <x:v>1</x:v>
      </x:c>
      <x:c r="BA307" s="40" t="b">
        <x:v>1</x:v>
      </x:c>
      <x:c r="BB307" s="40" t="b">
        <x:v>1</x:v>
      </x:c>
      <x:c r="BC307" s="34" t="str"/>
      <x:c r="BD307" s="34" t="n">
        <x:v>0</x:v>
      </x:c>
      <x:c r="BE307" s="34" t="n">
        <x:v>0</x:v>
      </x:c>
      <x:c r="BF307" s="34" t="n">
        <x:v>0</x:v>
      </x:c>
      <x:c r="BG307" s="34" t="n">
        <x:v>3</x:v>
      </x:c>
      <x:c r="BH307" s="34" t="n">
        <x:v>3</x:v>
      </x:c>
      <x:c r="BI307" s="34" t="n">
        <x:v>0.41232239999999987</x:v>
      </x:c>
      <x:c r="BJ307" s="34" t="n">
        <x:v>0.65</x:v>
      </x:c>
      <x:c r="BK307" s="34" t="n">
        <x:v>1.78</x:v>
      </x:c>
    </x:row>
    <x:row r="308">
      <x:c r="A308" s="34" t="str">
        <x:v>NIPPON_STEEL_JP</x:v>
      </x:c>
      <x:c r="B308" s="34" t="str">
        <x:v>Nippon Steel</x:v>
      </x:c>
      <x:c r="C308" s="34" t="str">
        <x:v>DISCLOSED_PATH</x:v>
      </x:c>
      <x:c r="D308" s="34" t="str">
        <x:v>P1</x:v>
      </x:c>
      <x:c r="E308" s="34" t="str">
        <x:v>NS-EAST</x:v>
      </x:c>
      <x:c r="F308" s="34" t="str">
        <x:v>East Nippon Works 블록</x:v>
      </x:c>
      <x:c r="G308" s="34" t="str">
        <x:v>동일본</x:v>
      </x:c>
      <x:c r="H308" s="34" t="n">
        <x:v>2034</x:v>
      </x:c>
      <x:c r="I308" s="34" t="str">
        <x:v>BF_BOF</x:v>
      </x:c>
      <x:c r="J308" s="34" t="str">
        <x:v>기준 BF-BOF 복합 블록</x:v>
      </x:c>
      <x:c r="K308" s="34" t="str">
        <x:v>SCRAP_EAF</x:v>
      </x:c>
      <x:c r="L308" s="34" t="str">
        <x:v>스크랩 기반 대형 EAF</x:v>
      </x:c>
      <x:c r="M308" s="34" t="n">
        <x:v>4989.6</x:v>
      </x:c>
      <x:c r="N308" s="34" t="n">
        <x:v>3207.6</x:v>
      </x:c>
      <x:c r="O308" s="34" t="n">
        <x:v>8.1</x:v>
      </x:c>
      <x:c r="P308" s="34" t="n">
        <x:v>7.200001</x:v>
      </x:c>
      <x:c r="Q308" s="34" t="n">
        <x:v>15.239652</x:v>
      </x:c>
      <x:c r="R308" s="34" t="n">
        <x:v>15.239652</x:v>
      </x:c>
      <x:c r="S308" s="34" t="n">
        <x:v>3.24</x:v>
      </x:c>
      <x:c r="T308" s="34" t="n">
        <x:v>3.24</x:v>
      </x:c>
      <x:c r="U308" s="34" t="n">
        <x:v>11.999651</x:v>
      </x:c>
      <x:c r="V308" s="34" t="n">
        <x:v>83.997558</x:v>
      </x:c>
      <x:c r="W308" s="34" t="n">
        <x:v>2215.075</x:v>
      </x:c>
      <x:c r="X308" s="34" t="n">
        <x:v>495.277</x:v>
      </x:c>
      <x:c r="Y308" s="34" t="n">
        <x:v>5164.529</x:v>
      </x:c>
      <x:c r="Z308" s="34" t="n">
        <x:v>4669.252</x:v>
      </x:c>
      <x:c r="AA308" s="34" t="n">
        <x:v>2949.454</x:v>
      </x:c>
      <x:c r="AB308" s="34" t="n">
        <x:v>1719.798</x:v>
      </x:c>
      <x:c r="AC308" s="34" t="n">
        <x:v>1981.108</x:v>
      </x:c>
      <x:c r="AD308" s="34" t="n">
        <x:v>159.97</x:v>
      </x:c>
      <x:c r="AE308" s="34" t="n">
        <x:v>3023.451</x:v>
      </x:c>
      <x:c r="AF308" s="34" t="n">
        <x:v>0</x:v>
      </x:c>
      <x:c r="AG308" s="34" t="n">
        <x:v>0</x:v>
      </x:c>
      <x:c r="AH308" s="34" t="n">
        <x:v>-2949.454</x:v>
      </x:c>
      <x:c r="AI308" s="34" t="str">
        <x:v>model_estimate</x:v>
      </x:c>
      <x:c r="AJ308" s="34" t="str">
        <x:v>Nippon Steel 공식 생산·배출·용량 총량에 맞춘 지역 블록 배분</x:v>
      </x:c>
      <x:c r="AK308" s="34" t="str">
        <x:v>CAND-FCEB78D7C5F4C6</x:v>
      </x:c>
      <x:c r="AL308" s="34" t="str">
        <x:v>P1</x:v>
      </x:c>
      <x:c r="AM308" s="34" t="str">
        <x:v>PORT-7DCD4991144C</x:v>
      </x:c>
      <x:c r="AN308" s="34" t="n">
        <x:v>1000</x:v>
      </x:c>
      <x:c r="AO308" s="34" t="n">
        <x:v>22.334383</x:v>
      </x:c>
      <x:c r="AP308" s="34" t="n">
        <x:v>10.761138</x:v>
      </x:c>
      <x:c r="AQ308" s="34" t="n">
        <x:v>313.643967</x:v>
      </x:c>
      <x:c r="AR308" s="34" t="n">
        <x:v>6683.267</x:v>
      </x:c>
      <x:c r="AS308" s="34" t="n">
        <x:v>21.30845</x:v>
      </x:c>
      <x:c r="AT308" s="40" t="b">
        <x:v>1</x:v>
      </x:c>
      <x:c r="AU308" s="40" t="b">
        <x:v>1</x:v>
      </x:c>
      <x:c r="AV308" s="34" t="str"/>
      <x:c r="AW308" s="34" t="n">
        <x:v>0</x:v>
      </x:c>
      <x:c r="AX308" s="34" t="str">
        <x:v>3.446647212967946e-06</x:v>
      </x:c>
      <x:c r="AY308" s="40" t="b">
        <x:v>1</x:v>
      </x:c>
      <x:c r="AZ308" s="40" t="b">
        <x:v>1</x:v>
      </x:c>
      <x:c r="BA308" s="40" t="b">
        <x:v>1</x:v>
      </x:c>
      <x:c r="BB308" s="40" t="b">
        <x:v>1</x:v>
      </x:c>
      <x:c r="BC308" s="34" t="str"/>
      <x:c r="BD308" s="34" t="n">
        <x:v>0</x:v>
      </x:c>
      <x:c r="BE308" s="34" t="n">
        <x:v>0</x:v>
      </x:c>
      <x:c r="BF308" s="34" t="n">
        <x:v>0</x:v>
      </x:c>
      <x:c r="BG308" s="34" t="n">
        <x:v>2</x:v>
      </x:c>
      <x:c r="BH308" s="34" t="n">
        <x:v>2</x:v>
      </x:c>
      <x:c r="BI308" s="34" t="n">
        <x:v>0.28236113919999994</x:v>
      </x:c>
      <x:c r="BJ308" s="34" t="n">
        <x:v>0.65</x:v>
      </x:c>
      <x:c r="BK308" s="34" t="n">
        <x:v>0.88</x:v>
      </x:c>
    </x:row>
    <x:row r="309">
      <x:c r="A309" s="34" t="str">
        <x:v>NIPPON_STEEL_JP</x:v>
      </x:c>
      <x:c r="B309" s="34" t="str">
        <x:v>Nippon Steel</x:v>
      </x:c>
      <x:c r="C309" s="34" t="str">
        <x:v>DISCLOSED_PATH</x:v>
      </x:c>
      <x:c r="D309" s="34" t="str">
        <x:v>P1</x:v>
      </x:c>
      <x:c r="E309" s="34" t="str">
        <x:v>NS-KANSAI</x:v>
      </x:c>
      <x:c r="F309" s="34" t="str">
        <x:v>Kansai Works 블록</x:v>
      </x:c>
      <x:c r="G309" s="34" t="str">
        <x:v>간사이</x:v>
      </x:c>
      <x:c r="H309" s="34" t="n">
        <x:v>2036</x:v>
      </x:c>
      <x:c r="I309" s="34" t="str">
        <x:v>BF_BOF</x:v>
      </x:c>
      <x:c r="J309" s="34" t="str">
        <x:v>기준 BF-BOF 복합 블록</x:v>
      </x:c>
      <x:c r="K309" s="34" t="str">
        <x:v>BF_RELINE</x:v>
      </x:c>
      <x:c r="L309" s="34" t="str">
        <x:v>BF 개수·효율 패키지</x:v>
      </x:c>
      <x:c r="M309" s="34" t="n">
        <x:v>1732.5</x:v>
      </x:c>
      <x:c r="N309" s="34" t="n">
        <x:v>346.5</x:v>
      </x:c>
      <x:c r="O309" s="34" t="n">
        <x:v>6.3</x:v>
      </x:c>
      <x:c r="P309" s="34" t="n">
        <x:v>5.600001</x:v>
      </x:c>
      <x:c r="Q309" s="34" t="n">
        <x:v>11.853062</x:v>
      </x:c>
      <x:c r="R309" s="34" t="n">
        <x:v>11.853062</x:v>
      </x:c>
      <x:c r="S309" s="34" t="n">
        <x:v>10.640001</x:v>
      </x:c>
      <x:c r="T309" s="34" t="n">
        <x:v>10.640001</x:v>
      </x:c>
      <x:c r="U309" s="34" t="n">
        <x:v>1.213061</x:v>
      </x:c>
      <x:c r="V309" s="34" t="n">
        <x:v>6.065305</x:v>
      </x:c>
      <x:c r="W309" s="34" t="n">
        <x:v>22.976</x:v>
      </x:c>
      <x:c r="X309" s="34" t="n">
        <x:v>0</x:v>
      </x:c>
      <x:c r="Y309" s="34" t="n">
        <x:v>234.843</x:v>
      </x:c>
      <x:c r="Z309" s="34" t="n">
        <x:v>234.843</x:v>
      </x:c>
      <x:c r="AA309" s="34" t="n">
        <x:v>211.867</x:v>
      </x:c>
      <x:c r="AB309" s="34" t="n">
        <x:v>22.976</x:v>
      </x:c>
      <x:c r="AC309" s="34" t="n">
        <x:v>192.276</x:v>
      </x:c>
      <x:c r="AD309" s="34" t="n">
        <x:v>14</x:v>
      </x:c>
      <x:c r="AE309" s="34" t="n">
        <x:v>28.567</x:v>
      </x:c>
      <x:c r="AF309" s="34" t="n">
        <x:v>0</x:v>
      </x:c>
      <x:c r="AG309" s="34" t="n">
        <x:v>0</x:v>
      </x:c>
      <x:c r="AH309" s="34" t="n">
        <x:v>-211.867</x:v>
      </x:c>
      <x:c r="AI309" s="34" t="str">
        <x:v>model_estimate</x:v>
      </x:c>
      <x:c r="AJ309" s="34" t="str">
        <x:v>Nippon Steel 공식 생산·배출·용량 총량에 맞춘 지역 블록 배분</x:v>
      </x:c>
      <x:c r="AK309" s="34" t="str">
        <x:v>CAND-FCEB78D7C5F4C6</x:v>
      </x:c>
      <x:c r="AL309" s="34" t="str">
        <x:v>P1</x:v>
      </x:c>
      <x:c r="AM309" s="34" t="str">
        <x:v>PORT-7DCD4991144C</x:v>
      </x:c>
      <x:c r="AN309" s="34" t="n">
        <x:v>1000</x:v>
      </x:c>
      <x:c r="AO309" s="34" t="n">
        <x:v>22.334383</x:v>
      </x:c>
      <x:c r="AP309" s="34" t="n">
        <x:v>10.761138</x:v>
      </x:c>
      <x:c r="AQ309" s="34" t="n">
        <x:v>313.643967</x:v>
      </x:c>
      <x:c r="AR309" s="34" t="n">
        <x:v>6683.267</x:v>
      </x:c>
      <x:c r="AS309" s="34" t="n">
        <x:v>21.30845</x:v>
      </x:c>
      <x:c r="AT309" s="40" t="b">
        <x:v>1</x:v>
      </x:c>
      <x:c r="AU309" s="40" t="b">
        <x:v>1</x:v>
      </x:c>
      <x:c r="AV309" s="34" t="str"/>
      <x:c r="AW309" s="34" t="n">
        <x:v>0</x:v>
      </x:c>
      <x:c r="AX309" s="34" t="str">
        <x:v>3.446647212967946e-06</x:v>
      </x:c>
      <x:c r="AY309" s="40" t="b">
        <x:v>1</x:v>
      </x:c>
      <x:c r="AZ309" s="40" t="b">
        <x:v>1</x:v>
      </x:c>
      <x:c r="BA309" s="40" t="b">
        <x:v>1</x:v>
      </x:c>
      <x:c r="BB309" s="40" t="b">
        <x:v>1</x:v>
      </x:c>
      <x:c r="BC309" s="34" t="str"/>
      <x:c r="BD309" s="34" t="n">
        <x:v>0</x:v>
      </x:c>
      <x:c r="BE309" s="34" t="n">
        <x:v>0</x:v>
      </x:c>
      <x:c r="BF309" s="34" t="n">
        <x:v>0</x:v>
      </x:c>
      <x:c r="BG309" s="34" t="n">
        <x:v>2</x:v>
      </x:c>
      <x:c r="BH309" s="34" t="n">
        <x:v>2</x:v>
      </x:c>
      <x:c r="BI309" s="34" t="n">
        <x:v>0.28236113919999994</x:v>
      </x:c>
      <x:c r="BJ309" s="34" t="n">
        <x:v>0.65</x:v>
      </x:c>
      <x:c r="BK309" s="34" t="n">
        <x:v>0.88</x:v>
      </x:c>
    </x:row>
    <x:row r="310">
      <x:c r="A310" s="34" t="str">
        <x:v>NIPPON_STEEL_JP</x:v>
      </x:c>
      <x:c r="B310" s="34" t="str">
        <x:v>Nippon Steel</x:v>
      </x:c>
      <x:c r="C310" s="34" t="str">
        <x:v>DISCLOSED_PATH</x:v>
      </x:c>
      <x:c r="D310" s="34" t="str">
        <x:v>P1</x:v>
      </x:c>
      <x:c r="E310" s="34" t="str">
        <x:v>NS-KYUSHU</x:v>
      </x:c>
      <x:c r="F310" s="34" t="str">
        <x:v>Kyushu Works Yawata 블록</x:v>
      </x:c>
      <x:c r="G310" s="34" t="str">
        <x:v>규슈</x:v>
      </x:c>
      <x:c r="H310" s="34" t="n">
        <x:v>2029</x:v>
      </x:c>
      <x:c r="I310" s="34" t="str">
        <x:v>BF_BOF</x:v>
      </x:c>
      <x:c r="J310" s="34" t="str">
        <x:v>기준 BF-BOF 복합 블록</x:v>
      </x:c>
      <x:c r="K310" s="34" t="str">
        <x:v>SCRAP_EAF</x:v>
      </x:c>
      <x:c r="L310" s="34" t="str">
        <x:v>스크랩 기반 대형 EAF</x:v>
      </x:c>
      <x:c r="M310" s="34" t="n">
        <x:v>6160</x:v>
      </x:c>
      <x:c r="N310" s="34" t="n">
        <x:v>3960</x:v>
      </x:c>
      <x:c r="O310" s="34" t="n">
        <x:v>10</x:v>
      </x:c>
      <x:c r="P310" s="34" t="n">
        <x:v>9</x:v>
      </x:c>
      <x:c r="Q310" s="34" t="n">
        <x:v>19.049562</x:v>
      </x:c>
      <x:c r="R310" s="34" t="n">
        <x:v>4.05</x:v>
      </x:c>
      <x:c r="S310" s="34" t="n">
        <x:v>4.05</x:v>
      </x:c>
      <x:c r="T310" s="34" t="n">
        <x:v>4.05</x:v>
      </x:c>
      <x:c r="U310" s="34" t="n">
        <x:v>14.999562</x:v>
      </x:c>
      <x:c r="V310" s="34" t="n">
        <x:v>179.994744</x:v>
      </x:c>
      <x:c r="W310" s="34" t="n">
        <x:v>4703.992</x:v>
      </x:c>
      <x:c r="X310" s="34" t="n">
        <x:v>799.145</x:v>
      </x:c>
      <x:c r="Y310" s="34" t="n">
        <x:v>10996.19</x:v>
      </x:c>
      <x:c r="Z310" s="34" t="n">
        <x:v>10197.045</x:v>
      </x:c>
      <x:c r="AA310" s="34" t="n">
        <x:v>6292.198</x:v>
      </x:c>
      <x:c r="AB310" s="34" t="n">
        <x:v>3904.847</x:v>
      </x:c>
      <x:c r="AC310" s="34" t="n">
        <x:v>3196.578</x:v>
      </x:c>
      <x:c r="AD310" s="34" t="n">
        <x:v>462.398</x:v>
      </x:c>
      <x:c r="AE310" s="34" t="n">
        <x:v>7337.214</x:v>
      </x:c>
      <x:c r="AF310" s="34" t="n">
        <x:v>0</x:v>
      </x:c>
      <x:c r="AG310" s="34" t="n">
        <x:v>0</x:v>
      </x:c>
      <x:c r="AH310" s="34" t="n">
        <x:v>-6292.198</x:v>
      </x:c>
      <x:c r="AI310" s="34" t="str">
        <x:v>model_estimate</x:v>
      </x:c>
      <x:c r="AJ310" s="34" t="str">
        <x:v>Yawata BF→EAF 공시 방향을 반영해 조기 재투자 창을 설정; 블록 생산량 추정</x:v>
      </x:c>
      <x:c r="AK310" s="34" t="str">
        <x:v>CAND-FCEB78D7C5F4C6</x:v>
      </x:c>
      <x:c r="AL310" s="34" t="str">
        <x:v>P1</x:v>
      </x:c>
      <x:c r="AM310" s="34" t="str">
        <x:v>PORT-7DCD4991144C</x:v>
      </x:c>
      <x:c r="AN310" s="34" t="n">
        <x:v>1000</x:v>
      </x:c>
      <x:c r="AO310" s="34" t="n">
        <x:v>22.334383</x:v>
      </x:c>
      <x:c r="AP310" s="34" t="n">
        <x:v>10.761138</x:v>
      </x:c>
      <x:c r="AQ310" s="34" t="n">
        <x:v>313.643967</x:v>
      </x:c>
      <x:c r="AR310" s="34" t="n">
        <x:v>6683.267</x:v>
      </x:c>
      <x:c r="AS310" s="34" t="n">
        <x:v>21.30845</x:v>
      </x:c>
      <x:c r="AT310" s="40" t="b">
        <x:v>1</x:v>
      </x:c>
      <x:c r="AU310" s="40" t="b">
        <x:v>1</x:v>
      </x:c>
      <x:c r="AV310" s="34" t="str"/>
      <x:c r="AW310" s="34" t="n">
        <x:v>0</x:v>
      </x:c>
      <x:c r="AX310" s="34" t="str">
        <x:v>3.446647212967946e-06</x:v>
      </x:c>
      <x:c r="AY310" s="40" t="b">
        <x:v>1</x:v>
      </x:c>
      <x:c r="AZ310" s="40" t="b">
        <x:v>1</x:v>
      </x:c>
      <x:c r="BA310" s="40" t="b">
        <x:v>1</x:v>
      </x:c>
      <x:c r="BB310" s="40" t="b">
        <x:v>1</x:v>
      </x:c>
      <x:c r="BC310" s="34" t="str"/>
      <x:c r="BD310" s="34" t="n">
        <x:v>0</x:v>
      </x:c>
      <x:c r="BE310" s="34" t="n">
        <x:v>0</x:v>
      </x:c>
      <x:c r="BF310" s="34" t="n">
        <x:v>0</x:v>
      </x:c>
      <x:c r="BG310" s="34" t="n">
        <x:v>2</x:v>
      </x:c>
      <x:c r="BH310" s="34" t="n">
        <x:v>2</x:v>
      </x:c>
      <x:c r="BI310" s="34" t="n">
        <x:v>0.28236113919999994</x:v>
      </x:c>
      <x:c r="BJ310" s="34" t="n">
        <x:v>0.65</x:v>
      </x:c>
      <x:c r="BK310" s="34" t="n">
        <x:v>0.88</x:v>
      </x:c>
    </x:row>
    <x:row r="311">
      <x:c r="A311" s="34" t="str">
        <x:v>NIPPON_STEEL_JP</x:v>
      </x:c>
      <x:c r="B311" s="34" t="str">
        <x:v>Nippon Steel</x:v>
      </x:c>
      <x:c r="C311" s="34" t="str">
        <x:v>DISCLOSED_PATH</x:v>
      </x:c>
      <x:c r="D311" s="34" t="str">
        <x:v>P1</x:v>
      </x:c>
      <x:c r="E311" s="34" t="str">
        <x:v>NS-NAGOYA</x:v>
      </x:c>
      <x:c r="F311" s="34" t="str">
        <x:v>Nagoya Works 블록</x:v>
      </x:c>
      <x:c r="G311" s="34" t="str">
        <x:v>나고야</x:v>
      </x:c>
      <x:c r="H311" s="34" t="n">
        <x:v>2032</x:v>
      </x:c>
      <x:c r="I311" s="34" t="str">
        <x:v>BF_BOF</x:v>
      </x:c>
      <x:c r="J311" s="34" t="str">
        <x:v>기준 BF-BOF 복합 블록</x:v>
      </x:c>
      <x:c r="K311" s="34" t="str">
        <x:v>BF_RELINE</x:v>
      </x:c>
      <x:c r="L311" s="34" t="str">
        <x:v>BF 개수·효율 패키지</x:v>
      </x:c>
      <x:c r="M311" s="34" t="n">
        <x:v>1925</x:v>
      </x:c>
      <x:c r="N311" s="34" t="n">
        <x:v>385</x:v>
      </x:c>
      <x:c r="O311" s="34" t="n">
        <x:v>7</x:v>
      </x:c>
      <x:c r="P311" s="34" t="n">
        <x:v>6.199998</x:v>
      </x:c>
      <x:c r="Q311" s="34" t="n">
        <x:v>13.123027</x:v>
      </x:c>
      <x:c r="R311" s="34" t="n">
        <x:v>13.123027</x:v>
      </x:c>
      <x:c r="S311" s="34" t="n">
        <x:v>11.779996</x:v>
      </x:c>
      <x:c r="T311" s="34" t="n">
        <x:v>11.779996</x:v>
      </x:c>
      <x:c r="U311" s="34" t="n">
        <x:v>1.343031</x:v>
      </x:c>
      <x:c r="V311" s="34" t="n">
        <x:v>12.087281</x:v>
      </x:c>
      <x:c r="W311" s="34" t="n">
        <x:v>-66.396</x:v>
      </x:c>
      <x:c r="X311" s="34" t="n">
        <x:v>0</x:v>
      </x:c>
      <x:c r="Y311" s="34" t="n">
        <x:v>358.727</x:v>
      </x:c>
      <x:c r="Z311" s="34" t="n">
        <x:v>358.727</x:v>
      </x:c>
      <x:c r="AA311" s="34" t="n">
        <x:v>425.123</x:v>
      </x:c>
      <x:c r="AB311" s="34" t="n">
        <x:v>-66.396</x:v>
      </x:c>
      <x:c r="AC311" s="34" t="n">
        <x:v>264.663</x:v>
      </x:c>
      <x:c r="AD311" s="34" t="n">
        <x:v>31.261</x:v>
      </x:c>
      <x:c r="AE311" s="34" t="n">
        <x:v>62.803</x:v>
      </x:c>
      <x:c r="AF311" s="34" t="n">
        <x:v>0</x:v>
      </x:c>
      <x:c r="AG311" s="34" t="n">
        <x:v>0</x:v>
      </x:c>
      <x:c r="AH311" s="34" t="n">
        <x:v>-425.123</x:v>
      </x:c>
      <x:c r="AI311" s="34" t="str">
        <x:v>model_estimate</x:v>
      </x:c>
      <x:c r="AJ311" s="34" t="str">
        <x:v>Nippon Steel 공식 생산·배출·용량 총량에 맞춘 지역 블록 배분</x:v>
      </x:c>
      <x:c r="AK311" s="34" t="str">
        <x:v>CAND-FCEB78D7C5F4C6</x:v>
      </x:c>
      <x:c r="AL311" s="34" t="str">
        <x:v>P1</x:v>
      </x:c>
      <x:c r="AM311" s="34" t="str">
        <x:v>PORT-7DCD4991144C</x:v>
      </x:c>
      <x:c r="AN311" s="34" t="n">
        <x:v>1000</x:v>
      </x:c>
      <x:c r="AO311" s="34" t="n">
        <x:v>22.334383</x:v>
      </x:c>
      <x:c r="AP311" s="34" t="n">
        <x:v>10.761138</x:v>
      </x:c>
      <x:c r="AQ311" s="34" t="n">
        <x:v>313.643967</x:v>
      </x:c>
      <x:c r="AR311" s="34" t="n">
        <x:v>6683.267</x:v>
      </x:c>
      <x:c r="AS311" s="34" t="n">
        <x:v>21.30845</x:v>
      </x:c>
      <x:c r="AT311" s="40" t="b">
        <x:v>1</x:v>
      </x:c>
      <x:c r="AU311" s="40" t="b">
        <x:v>1</x:v>
      </x:c>
      <x:c r="AV311" s="34" t="str"/>
      <x:c r="AW311" s="34" t="n">
        <x:v>0</x:v>
      </x:c>
      <x:c r="AX311" s="34" t="str">
        <x:v>3.446647212967946e-06</x:v>
      </x:c>
      <x:c r="AY311" s="40" t="b">
        <x:v>1</x:v>
      </x:c>
      <x:c r="AZ311" s="40" t="b">
        <x:v>1</x:v>
      </x:c>
      <x:c r="BA311" s="40" t="b">
        <x:v>1</x:v>
      </x:c>
      <x:c r="BB311" s="40" t="b">
        <x:v>1</x:v>
      </x:c>
      <x:c r="BC311" s="34" t="str"/>
      <x:c r="BD311" s="34" t="n">
        <x:v>0</x:v>
      </x:c>
      <x:c r="BE311" s="34" t="n">
        <x:v>0</x:v>
      </x:c>
      <x:c r="BF311" s="34" t="n">
        <x:v>0</x:v>
      </x:c>
      <x:c r="BG311" s="34" t="n">
        <x:v>2</x:v>
      </x:c>
      <x:c r="BH311" s="34" t="n">
        <x:v>2</x:v>
      </x:c>
      <x:c r="BI311" s="34" t="n">
        <x:v>0.28236113919999994</x:v>
      </x:c>
      <x:c r="BJ311" s="34" t="n">
        <x:v>0.65</x:v>
      </x:c>
      <x:c r="BK311" s="34" t="n">
        <x:v>0.88</x:v>
      </x:c>
    </x:row>
    <x:row r="312">
      <x:c r="A312" s="34" t="str">
        <x:v>NIPPON_STEEL_JP</x:v>
      </x:c>
      <x:c r="B312" s="34" t="str">
        <x:v>Nippon Steel</x:v>
      </x:c>
      <x:c r="C312" s="34" t="str">
        <x:v>DISCLOSED_PATH</x:v>
      </x:c>
      <x:c r="D312" s="34" t="str">
        <x:v>P1</x:v>
      </x:c>
      <x:c r="E312" s="34" t="str">
        <x:v>NS-SETOUCHI</x:v>
      </x:c>
      <x:c r="F312" s="34" t="str">
        <x:v>Setouchi Works Hirohata 블록</x:v>
      </x:c>
      <x:c r="G312" s="34" t="str">
        <x:v>세토우치</x:v>
      </x:c>
      <x:c r="H312" s="34" t="n">
        <x:v>2038</x:v>
      </x:c>
      <x:c r="I312" s="34" t="str">
        <x:v>BF_BOF</x:v>
      </x:c>
      <x:c r="J312" s="34" t="str">
        <x:v>기준 BF-BOF 복합 블록</x:v>
      </x:c>
      <x:c r="K312" s="34" t="str">
        <x:v>SCRAP_EAF</x:v>
      </x:c>
      <x:c r="L312" s="34" t="str">
        <x:v>스크랩 기반 대형 EAF</x:v>
      </x:c>
      <x:c r="M312" s="34" t="n">
        <x:v>4620</x:v>
      </x:c>
      <x:c r="N312" s="34" t="n">
        <x:v>2970</x:v>
      </x:c>
      <x:c r="O312" s="34" t="n">
        <x:v>7.5</x:v>
      </x:c>
      <x:c r="P312" s="34" t="n">
        <x:v>6.3</x:v>
      </x:c>
      <x:c r="Q312" s="34" t="n">
        <x:v>13.334693</x:v>
      </x:c>
      <x:c r="R312" s="34" t="n">
        <x:v>13.334693</x:v>
      </x:c>
      <x:c r="S312" s="34" t="n">
        <x:v>2.835</x:v>
      </x:c>
      <x:c r="T312" s="34" t="n">
        <x:v>2.835</x:v>
      </x:c>
      <x:c r="U312" s="34" t="n">
        <x:v>10.499693</x:v>
      </x:c>
      <x:c r="V312" s="34" t="n">
        <x:v>31.49908</x:v>
      </x:c>
      <x:c r="W312" s="34" t="n">
        <x:v>1472.222</x:v>
      </x:c>
      <x:c r="X312" s="34" t="n">
        <x:v>370.181</x:v>
      </x:c>
      <x:c r="Y312" s="34" t="n">
        <x:v>2563.443</x:v>
      </x:c>
      <x:c r="Z312" s="34" t="n">
        <x:v>2193.262</x:v>
      </x:c>
      <x:c r="AA312" s="34" t="n">
        <x:v>1091.221</x:v>
      </x:c>
      <x:c r="AB312" s="34" t="n">
        <x:v>1102.041</x:v>
      </x:c>
      <x:c r="AC312" s="34" t="n">
        <x:v>1480.725</x:v>
      </x:c>
      <x:c r="AD312" s="34" t="n">
        <x:v>53.641</x:v>
      </x:c>
      <x:c r="AE312" s="34" t="n">
        <x:v>1029.077</x:v>
      </x:c>
      <x:c r="AF312" s="34" t="n">
        <x:v>0</x:v>
      </x:c>
      <x:c r="AG312" s="34" t="n">
        <x:v>0</x:v>
      </x:c>
      <x:c r="AH312" s="34" t="n">
        <x:v>-1091.221</x:v>
      </x:c>
      <x:c r="AI312" s="34" t="str">
        <x:v>model_estimate</x:v>
      </x:c>
      <x:c r="AJ312" s="34" t="str">
        <x:v>Hirohata EAF 투자 방향을 반영한 복합 블록; 생산량·재투자연도 추정</x:v>
      </x:c>
      <x:c r="AK312" s="34" t="str">
        <x:v>CAND-FCEB78D7C5F4C6</x:v>
      </x:c>
      <x:c r="AL312" s="34" t="str">
        <x:v>P1</x:v>
      </x:c>
      <x:c r="AM312" s="34" t="str">
        <x:v>PORT-7DCD4991144C</x:v>
      </x:c>
      <x:c r="AN312" s="34" t="n">
        <x:v>1000</x:v>
      </x:c>
      <x:c r="AO312" s="34" t="n">
        <x:v>22.334383</x:v>
      </x:c>
      <x:c r="AP312" s="34" t="n">
        <x:v>10.761138</x:v>
      </x:c>
      <x:c r="AQ312" s="34" t="n">
        <x:v>313.643967</x:v>
      </x:c>
      <x:c r="AR312" s="34" t="n">
        <x:v>6683.267</x:v>
      </x:c>
      <x:c r="AS312" s="34" t="n">
        <x:v>21.30845</x:v>
      </x:c>
      <x:c r="AT312" s="40" t="b">
        <x:v>1</x:v>
      </x:c>
      <x:c r="AU312" s="40" t="b">
        <x:v>1</x:v>
      </x:c>
      <x:c r="AV312" s="34" t="str"/>
      <x:c r="AW312" s="34" t="n">
        <x:v>0</x:v>
      </x:c>
      <x:c r="AX312" s="34" t="str">
        <x:v>3.446647212967946e-06</x:v>
      </x:c>
      <x:c r="AY312" s="40" t="b">
        <x:v>1</x:v>
      </x:c>
      <x:c r="AZ312" s="40" t="b">
        <x:v>1</x:v>
      </x:c>
      <x:c r="BA312" s="40" t="b">
        <x:v>1</x:v>
      </x:c>
      <x:c r="BB312" s="40" t="b">
        <x:v>1</x:v>
      </x:c>
      <x:c r="BC312" s="34" t="str"/>
      <x:c r="BD312" s="34" t="n">
        <x:v>0</x:v>
      </x:c>
      <x:c r="BE312" s="34" t="n">
        <x:v>0</x:v>
      </x:c>
      <x:c r="BF312" s="34" t="n">
        <x:v>0</x:v>
      </x:c>
      <x:c r="BG312" s="34" t="n">
        <x:v>2</x:v>
      </x:c>
      <x:c r="BH312" s="34" t="n">
        <x:v>2</x:v>
      </x:c>
      <x:c r="BI312" s="34" t="n">
        <x:v>0.28236113919999994</x:v>
      </x:c>
      <x:c r="BJ312" s="34" t="n">
        <x:v>0.65</x:v>
      </x:c>
      <x:c r="BK312" s="34" t="n">
        <x:v>0.88</x:v>
      </x:c>
    </x:row>
    <x:row r="313">
      <x:c r="A313" s="34" t="str">
        <x:v>NIPPON_STEEL_JP</x:v>
      </x:c>
      <x:c r="B313" s="34" t="str">
        <x:v>Nippon Steel</x:v>
      </x:c>
      <x:c r="C313" s="34" t="str">
        <x:v>ACCELERATED_15C</x:v>
      </x:c>
      <x:c r="D313" s="34" t="str">
        <x:v>P1</x:v>
      </x:c>
      <x:c r="E313" s="34" t="str">
        <x:v>NS-EAST</x:v>
      </x:c>
      <x:c r="F313" s="34" t="str">
        <x:v>East Nippon Works 블록</x:v>
      </x:c>
      <x:c r="G313" s="34" t="str">
        <x:v>동일본</x:v>
      </x:c>
      <x:c r="H313" s="34" t="n">
        <x:v>2034</x:v>
      </x:c>
      <x:c r="I313" s="34" t="str">
        <x:v>BF_BOF</x:v>
      </x:c>
      <x:c r="J313" s="34" t="str">
        <x:v>기준 BF-BOF 복합 블록</x:v>
      </x:c>
      <x:c r="K313" s="34" t="str">
        <x:v>SCRAP_EAF</x:v>
      </x:c>
      <x:c r="L313" s="34" t="str">
        <x:v>스크랩 기반 대형 EAF</x:v>
      </x:c>
      <x:c r="M313" s="34" t="n">
        <x:v>4989.6</x:v>
      </x:c>
      <x:c r="N313" s="34" t="n">
        <x:v>3207.6</x:v>
      </x:c>
      <x:c r="O313" s="34" t="n">
        <x:v>8.1</x:v>
      </x:c>
      <x:c r="P313" s="34" t="n">
        <x:v>7.200001</x:v>
      </x:c>
      <x:c r="Q313" s="34" t="n">
        <x:v>15.239652</x:v>
      </x:c>
      <x:c r="R313" s="34" t="n">
        <x:v>15.239652</x:v>
      </x:c>
      <x:c r="S313" s="34" t="n">
        <x:v>3.24</x:v>
      </x:c>
      <x:c r="T313" s="34" t="n">
        <x:v>3.24</x:v>
      </x:c>
      <x:c r="U313" s="34" t="n">
        <x:v>11.999651</x:v>
      </x:c>
      <x:c r="V313" s="34" t="n">
        <x:v>83.997558</x:v>
      </x:c>
      <x:c r="W313" s="34" t="n">
        <x:v>1117.098</x:v>
      </x:c>
      <x:c r="X313" s="34" t="n">
        <x:v>594.332</x:v>
      </x:c>
      <x:c r="Y313" s="34" t="n">
        <x:v>5505.814</x:v>
      </x:c>
      <x:c r="Z313" s="34" t="n">
        <x:v>4911.482</x:v>
      </x:c>
      <x:c r="AA313" s="34" t="n">
        <x:v>4388.717</x:v>
      </x:c>
      <x:c r="AB313" s="34" t="n">
        <x:v>522.765</x:v>
      </x:c>
      <x:c r="AC313" s="34" t="n">
        <x:v>1981.108</x:v>
      </x:c>
      <x:c r="AD313" s="34" t="n">
        <x:v>159.97</x:v>
      </x:c>
      <x:c r="AE313" s="34" t="n">
        <x:v>3364.736</x:v>
      </x:c>
      <x:c r="AF313" s="34" t="n">
        <x:v>0</x:v>
      </x:c>
      <x:c r="AG313" s="34" t="n">
        <x:v>0</x:v>
      </x:c>
      <x:c r="AH313" s="34" t="n">
        <x:v>-4388.717</x:v>
      </x:c>
      <x:c r="AI313" s="34" t="str">
        <x:v>model_estimate</x:v>
      </x:c>
      <x:c r="AJ313" s="34" t="str">
        <x:v>Nippon Steel 공식 생산·배출·용량 총량에 맞춘 지역 블록 배분</x:v>
      </x:c>
      <x:c r="AK313" s="34" t="str">
        <x:v>CAND-FCEB78D7C5F4C6</x:v>
      </x:c>
      <x:c r="AL313" s="34" t="str">
        <x:v>P1</x:v>
      </x:c>
      <x:c r="AM313" s="34" t="str">
        <x:v>PORT-7DCD4991144C</x:v>
      </x:c>
      <x:c r="AN313" s="34" t="n">
        <x:v>1000</x:v>
      </x:c>
      <x:c r="AO313" s="34" t="n">
        <x:v>8.549815</x:v>
      </x:c>
      <x:c r="AP313" s="34" t="n">
        <x:v>11.479382</x:v>
      </x:c>
      <x:c r="AQ313" s="34" t="n">
        <x:v>313.643967</x:v>
      </x:c>
      <x:c r="AR313" s="34" t="n">
        <x:v>2332.517</x:v>
      </x:c>
      <x:c r="AS313" s="34" t="n">
        <x:v>7.43683</x:v>
      </x:c>
      <x:c r="AT313" s="40" t="b">
        <x:v>0</x:v>
      </x:c>
      <x:c r="AU313" s="40" t="b">
        <x:v>0</x:v>
      </x:c>
      <x:c r="AV313" s="34" t="n">
        <x:v>2035</x:v>
      </x:c>
      <x:c r="AW313" s="34" t="n">
        <x:v>14.544997934999998</x:v>
      </x:c>
      <x:c r="AX313" s="34" t="n">
        <x:v>-14.544997934999998</x:v>
      </x:c>
      <x:c r="AY313" s="40" t="b">
        <x:v>1</x:v>
      </x:c>
      <x:c r="AZ313" s="40" t="b">
        <x:v>1</x:v>
      </x:c>
      <x:c r="BA313" s="40" t="b">
        <x:v>1</x:v>
      </x:c>
      <x:c r="BB313" s="40" t="b">
        <x:v>1</x:v>
      </x:c>
      <x:c r="BC313" s="34" t="str"/>
      <x:c r="BD313" s="34" t="n">
        <x:v>0</x:v>
      </x:c>
      <x:c r="BE313" s="34" t="n">
        <x:v>0</x:v>
      </x:c>
      <x:c r="BF313" s="34" t="n">
        <x:v>0</x:v>
      </x:c>
      <x:c r="BG313" s="34" t="n">
        <x:v>2</x:v>
      </x:c>
      <x:c r="BH313" s="34" t="n">
        <x:v>2</x:v>
      </x:c>
      <x:c r="BI313" s="34" t="n">
        <x:v>0.28236113919999994</x:v>
      </x:c>
      <x:c r="BJ313" s="34" t="n">
        <x:v>0.65</x:v>
      </x:c>
      <x:c r="BK313" s="34" t="n">
        <x:v>0.88</x:v>
      </x:c>
    </x:row>
    <x:row r="314">
      <x:c r="A314" s="34" t="str">
        <x:v>NIPPON_STEEL_JP</x:v>
      </x:c>
      <x:c r="B314" s="34" t="str">
        <x:v>Nippon Steel</x:v>
      </x:c>
      <x:c r="C314" s="34" t="str">
        <x:v>ACCELERATED_15C</x:v>
      </x:c>
      <x:c r="D314" s="34" t="str">
        <x:v>P1</x:v>
      </x:c>
      <x:c r="E314" s="34" t="str">
        <x:v>NS-KANSAI</x:v>
      </x:c>
      <x:c r="F314" s="34" t="str">
        <x:v>Kansai Works 블록</x:v>
      </x:c>
      <x:c r="G314" s="34" t="str">
        <x:v>간사이</x:v>
      </x:c>
      <x:c r="H314" s="34" t="n">
        <x:v>2036</x:v>
      </x:c>
      <x:c r="I314" s="34" t="str">
        <x:v>BF_BOF</x:v>
      </x:c>
      <x:c r="J314" s="34" t="str">
        <x:v>기준 BF-BOF 복합 블록</x:v>
      </x:c>
      <x:c r="K314" s="34" t="str">
        <x:v>BF_RELINE</x:v>
      </x:c>
      <x:c r="L314" s="34" t="str">
        <x:v>BF 개수·효율 패키지</x:v>
      </x:c>
      <x:c r="M314" s="34" t="n">
        <x:v>1732.5</x:v>
      </x:c>
      <x:c r="N314" s="34" t="n">
        <x:v>346.5</x:v>
      </x:c>
      <x:c r="O314" s="34" t="n">
        <x:v>6.3</x:v>
      </x:c>
      <x:c r="P314" s="34" t="n">
        <x:v>5.600001</x:v>
      </x:c>
      <x:c r="Q314" s="34" t="n">
        <x:v>11.853062</x:v>
      </x:c>
      <x:c r="R314" s="34" t="n">
        <x:v>11.853062</x:v>
      </x:c>
      <x:c r="S314" s="34" t="n">
        <x:v>10.640001</x:v>
      </x:c>
      <x:c r="T314" s="34" t="n">
        <x:v>10.640001</x:v>
      </x:c>
      <x:c r="U314" s="34" t="n">
        <x:v>1.213061</x:v>
      </x:c>
      <x:c r="V314" s="34" t="n">
        <x:v>6.065305</x:v>
      </x:c>
      <x:c r="W314" s="34" t="n">
        <x:v>-78.072</x:v>
      </x:c>
      <x:c r="X314" s="34" t="n">
        <x:v>0</x:v>
      </x:c>
      <x:c r="Y314" s="34" t="n">
        <x:v>238.291</x:v>
      </x:c>
      <x:c r="Z314" s="34" t="n">
        <x:v>238.291</x:v>
      </x:c>
      <x:c r="AA314" s="34" t="n">
        <x:v>316.362</x:v>
      </x:c>
      <x:c r="AB314" s="34" t="n">
        <x:v>-78.072</x:v>
      </x:c>
      <x:c r="AC314" s="34" t="n">
        <x:v>192.276</x:v>
      </x:c>
      <x:c r="AD314" s="34" t="n">
        <x:v>14</x:v>
      </x:c>
      <x:c r="AE314" s="34" t="n">
        <x:v>32.015</x:v>
      </x:c>
      <x:c r="AF314" s="34" t="n">
        <x:v>0</x:v>
      </x:c>
      <x:c r="AG314" s="34" t="n">
        <x:v>0</x:v>
      </x:c>
      <x:c r="AH314" s="34" t="n">
        <x:v>-316.362</x:v>
      </x:c>
      <x:c r="AI314" s="34" t="str">
        <x:v>model_estimate</x:v>
      </x:c>
      <x:c r="AJ314" s="34" t="str">
        <x:v>Nippon Steel 공식 생산·배출·용량 총량에 맞춘 지역 블록 배분</x:v>
      </x:c>
      <x:c r="AK314" s="34" t="str">
        <x:v>CAND-FCEB78D7C5F4C6</x:v>
      </x:c>
      <x:c r="AL314" s="34" t="str">
        <x:v>P1</x:v>
      </x:c>
      <x:c r="AM314" s="34" t="str">
        <x:v>PORT-7DCD4991144C</x:v>
      </x:c>
      <x:c r="AN314" s="34" t="n">
        <x:v>1000</x:v>
      </x:c>
      <x:c r="AO314" s="34" t="n">
        <x:v>8.549815</x:v>
      </x:c>
      <x:c r="AP314" s="34" t="n">
        <x:v>11.479382</x:v>
      </x:c>
      <x:c r="AQ314" s="34" t="n">
        <x:v>313.643967</x:v>
      </x:c>
      <x:c r="AR314" s="34" t="n">
        <x:v>2332.517</x:v>
      </x:c>
      <x:c r="AS314" s="34" t="n">
        <x:v>7.43683</x:v>
      </x:c>
      <x:c r="AT314" s="40" t="b">
        <x:v>0</x:v>
      </x:c>
      <x:c r="AU314" s="40" t="b">
        <x:v>0</x:v>
      </x:c>
      <x:c r="AV314" s="34" t="n">
        <x:v>2035</x:v>
      </x:c>
      <x:c r="AW314" s="34" t="n">
        <x:v>14.544997934999998</x:v>
      </x:c>
      <x:c r="AX314" s="34" t="n">
        <x:v>-14.544997934999998</x:v>
      </x:c>
      <x:c r="AY314" s="40" t="b">
        <x:v>1</x:v>
      </x:c>
      <x:c r="AZ314" s="40" t="b">
        <x:v>1</x:v>
      </x:c>
      <x:c r="BA314" s="40" t="b">
        <x:v>1</x:v>
      </x:c>
      <x:c r="BB314" s="40" t="b">
        <x:v>1</x:v>
      </x:c>
      <x:c r="BC314" s="34" t="str"/>
      <x:c r="BD314" s="34" t="n">
        <x:v>0</x:v>
      </x:c>
      <x:c r="BE314" s="34" t="n">
        <x:v>0</x:v>
      </x:c>
      <x:c r="BF314" s="34" t="n">
        <x:v>0</x:v>
      </x:c>
      <x:c r="BG314" s="34" t="n">
        <x:v>2</x:v>
      </x:c>
      <x:c r="BH314" s="34" t="n">
        <x:v>2</x:v>
      </x:c>
      <x:c r="BI314" s="34" t="n">
        <x:v>0.28236113919999994</x:v>
      </x:c>
      <x:c r="BJ314" s="34" t="n">
        <x:v>0.65</x:v>
      </x:c>
      <x:c r="BK314" s="34" t="n">
        <x:v>0.88</x:v>
      </x:c>
    </x:row>
    <x:row r="315">
      <x:c r="A315" s="34" t="str">
        <x:v>NIPPON_STEEL_JP</x:v>
      </x:c>
      <x:c r="B315" s="34" t="str">
        <x:v>Nippon Steel</x:v>
      </x:c>
      <x:c r="C315" s="34" t="str">
        <x:v>ACCELERATED_15C</x:v>
      </x:c>
      <x:c r="D315" s="34" t="str">
        <x:v>P1</x:v>
      </x:c>
      <x:c r="E315" s="34" t="str">
        <x:v>NS-KYUSHU</x:v>
      </x:c>
      <x:c r="F315" s="34" t="str">
        <x:v>Kyushu Works Yawata 블록</x:v>
      </x:c>
      <x:c r="G315" s="34" t="str">
        <x:v>규슈</x:v>
      </x:c>
      <x:c r="H315" s="34" t="n">
        <x:v>2029</x:v>
      </x:c>
      <x:c r="I315" s="34" t="str">
        <x:v>BF_BOF</x:v>
      </x:c>
      <x:c r="J315" s="34" t="str">
        <x:v>기준 BF-BOF 복합 블록</x:v>
      </x:c>
      <x:c r="K315" s="34" t="str">
        <x:v>SCRAP_EAF</x:v>
      </x:c>
      <x:c r="L315" s="34" t="str">
        <x:v>스크랩 기반 대형 EAF</x:v>
      </x:c>
      <x:c r="M315" s="34" t="n">
        <x:v>6160</x:v>
      </x:c>
      <x:c r="N315" s="34" t="n">
        <x:v>3960</x:v>
      </x:c>
      <x:c r="O315" s="34" t="n">
        <x:v>10</x:v>
      </x:c>
      <x:c r="P315" s="34" t="n">
        <x:v>9</x:v>
      </x:c>
      <x:c r="Q315" s="34" t="n">
        <x:v>19.049562</x:v>
      </x:c>
      <x:c r="R315" s="34" t="n">
        <x:v>4.05</x:v>
      </x:c>
      <x:c r="S315" s="34" t="n">
        <x:v>4.05</x:v>
      </x:c>
      <x:c r="T315" s="34" t="n">
        <x:v>4.05</x:v>
      </x:c>
      <x:c r="U315" s="34" t="n">
        <x:v>14.999562</x:v>
      </x:c>
      <x:c r="V315" s="34" t="n">
        <x:v>179.994744</x:v>
      </x:c>
      <x:c r="W315" s="34" t="n">
        <x:v>2492.385</x:v>
      </x:c>
      <x:c r="X315" s="34" t="n">
        <x:v>958.973</x:v>
      </x:c>
      <x:c r="Y315" s="34" t="n">
        <x:v>11668.319</x:v>
      </x:c>
      <x:c r="Z315" s="34" t="n">
        <x:v>10709.345</x:v>
      </x:c>
      <x:c r="AA315" s="34" t="n">
        <x:v>9175.933</x:v>
      </x:c>
      <x:c r="AB315" s="34" t="n">
        <x:v>1533.412</x:v>
      </x:c>
      <x:c r="AC315" s="34" t="n">
        <x:v>3196.578</x:v>
      </x:c>
      <x:c r="AD315" s="34" t="n">
        <x:v>462.398</x:v>
      </x:c>
      <x:c r="AE315" s="34" t="n">
        <x:v>8009.343</x:v>
      </x:c>
      <x:c r="AF315" s="34" t="n">
        <x:v>0</x:v>
      </x:c>
      <x:c r="AG315" s="34" t="n">
        <x:v>0</x:v>
      </x:c>
      <x:c r="AH315" s="34" t="n">
        <x:v>-9175.933</x:v>
      </x:c>
      <x:c r="AI315" s="34" t="str">
        <x:v>model_estimate</x:v>
      </x:c>
      <x:c r="AJ315" s="34" t="str">
        <x:v>Yawata BF→EAF 공시 방향을 반영해 조기 재투자 창을 설정; 블록 생산량 추정</x:v>
      </x:c>
      <x:c r="AK315" s="34" t="str">
        <x:v>CAND-FCEB78D7C5F4C6</x:v>
      </x:c>
      <x:c r="AL315" s="34" t="str">
        <x:v>P1</x:v>
      </x:c>
      <x:c r="AM315" s="34" t="str">
        <x:v>PORT-7DCD4991144C</x:v>
      </x:c>
      <x:c r="AN315" s="34" t="n">
        <x:v>1000</x:v>
      </x:c>
      <x:c r="AO315" s="34" t="n">
        <x:v>8.549815</x:v>
      </x:c>
      <x:c r="AP315" s="34" t="n">
        <x:v>11.479382</x:v>
      </x:c>
      <x:c r="AQ315" s="34" t="n">
        <x:v>313.643967</x:v>
      </x:c>
      <x:c r="AR315" s="34" t="n">
        <x:v>2332.517</x:v>
      </x:c>
      <x:c r="AS315" s="34" t="n">
        <x:v>7.43683</x:v>
      </x:c>
      <x:c r="AT315" s="40" t="b">
        <x:v>0</x:v>
      </x:c>
      <x:c r="AU315" s="40" t="b">
        <x:v>0</x:v>
      </x:c>
      <x:c r="AV315" s="34" t="n">
        <x:v>2035</x:v>
      </x:c>
      <x:c r="AW315" s="34" t="n">
        <x:v>14.544997934999998</x:v>
      </x:c>
      <x:c r="AX315" s="34" t="n">
        <x:v>-14.544997934999998</x:v>
      </x:c>
      <x:c r="AY315" s="40" t="b">
        <x:v>1</x:v>
      </x:c>
      <x:c r="AZ315" s="40" t="b">
        <x:v>1</x:v>
      </x:c>
      <x:c r="BA315" s="40" t="b">
        <x:v>1</x:v>
      </x:c>
      <x:c r="BB315" s="40" t="b">
        <x:v>1</x:v>
      </x:c>
      <x:c r="BC315" s="34" t="str"/>
      <x:c r="BD315" s="34" t="n">
        <x:v>0</x:v>
      </x:c>
      <x:c r="BE315" s="34" t="n">
        <x:v>0</x:v>
      </x:c>
      <x:c r="BF315" s="34" t="n">
        <x:v>0</x:v>
      </x:c>
      <x:c r="BG315" s="34" t="n">
        <x:v>2</x:v>
      </x:c>
      <x:c r="BH315" s="34" t="n">
        <x:v>2</x:v>
      </x:c>
      <x:c r="BI315" s="34" t="n">
        <x:v>0.28236113919999994</x:v>
      </x:c>
      <x:c r="BJ315" s="34" t="n">
        <x:v>0.65</x:v>
      </x:c>
      <x:c r="BK315" s="34" t="n">
        <x:v>0.88</x:v>
      </x:c>
    </x:row>
    <x:row r="316">
      <x:c r="A316" s="34" t="str">
        <x:v>NIPPON_STEEL_JP</x:v>
      </x:c>
      <x:c r="B316" s="34" t="str">
        <x:v>Nippon Steel</x:v>
      </x:c>
      <x:c r="C316" s="34" t="str">
        <x:v>ACCELERATED_15C</x:v>
      </x:c>
      <x:c r="D316" s="34" t="str">
        <x:v>P1</x:v>
      </x:c>
      <x:c r="E316" s="34" t="str">
        <x:v>NS-NAGOYA</x:v>
      </x:c>
      <x:c r="F316" s="34" t="str">
        <x:v>Nagoya Works 블록</x:v>
      </x:c>
      <x:c r="G316" s="34" t="str">
        <x:v>나고야</x:v>
      </x:c>
      <x:c r="H316" s="34" t="n">
        <x:v>2032</x:v>
      </x:c>
      <x:c r="I316" s="34" t="str">
        <x:v>BF_BOF</x:v>
      </x:c>
      <x:c r="J316" s="34" t="str">
        <x:v>기준 BF-BOF 복합 블록</x:v>
      </x:c>
      <x:c r="K316" s="34" t="str">
        <x:v>BF_RELINE</x:v>
      </x:c>
      <x:c r="L316" s="34" t="str">
        <x:v>BF 개수·효율 패키지</x:v>
      </x:c>
      <x:c r="M316" s="34" t="n">
        <x:v>1925</x:v>
      </x:c>
      <x:c r="N316" s="34" t="n">
        <x:v>385</x:v>
      </x:c>
      <x:c r="O316" s="34" t="n">
        <x:v>7</x:v>
      </x:c>
      <x:c r="P316" s="34" t="n">
        <x:v>6.199998</x:v>
      </x:c>
      <x:c r="Q316" s="34" t="n">
        <x:v>13.123027</x:v>
      </x:c>
      <x:c r="R316" s="34" t="n">
        <x:v>13.123027</x:v>
      </x:c>
      <x:c r="S316" s="34" t="n">
        <x:v>11.779996</x:v>
      </x:c>
      <x:c r="T316" s="34" t="n">
        <x:v>11.779996</x:v>
      </x:c>
      <x:c r="U316" s="34" t="n">
        <x:v>1.343031</x:v>
      </x:c>
      <x:c r="V316" s="34" t="n">
        <x:v>12.087281</x:v>
      </x:c>
      <x:c r="W316" s="34" t="n">
        <x:v>-263.339</x:v>
      </x:c>
      <x:c r="X316" s="34" t="n">
        <x:v>0</x:v>
      </x:c>
      <x:c r="Y316" s="34" t="n">
        <x:v>365.302</x:v>
      </x:c>
      <x:c r="Z316" s="34" t="n">
        <x:v>365.302</x:v>
      </x:c>
      <x:c r="AA316" s="34" t="n">
        <x:v>628.641</x:v>
      </x:c>
      <x:c r="AB316" s="34" t="n">
        <x:v>-263.339</x:v>
      </x:c>
      <x:c r="AC316" s="34" t="n">
        <x:v>264.663</x:v>
      </x:c>
      <x:c r="AD316" s="34" t="n">
        <x:v>31.261</x:v>
      </x:c>
      <x:c r="AE316" s="34" t="n">
        <x:v>69.378</x:v>
      </x:c>
      <x:c r="AF316" s="34" t="n">
        <x:v>0</x:v>
      </x:c>
      <x:c r="AG316" s="34" t="n">
        <x:v>0</x:v>
      </x:c>
      <x:c r="AH316" s="34" t="n">
        <x:v>-628.641</x:v>
      </x:c>
      <x:c r="AI316" s="34" t="str">
        <x:v>model_estimate</x:v>
      </x:c>
      <x:c r="AJ316" s="34" t="str">
        <x:v>Nippon Steel 공식 생산·배출·용량 총량에 맞춘 지역 블록 배분</x:v>
      </x:c>
      <x:c r="AK316" s="34" t="str">
        <x:v>CAND-FCEB78D7C5F4C6</x:v>
      </x:c>
      <x:c r="AL316" s="34" t="str">
        <x:v>P1</x:v>
      </x:c>
      <x:c r="AM316" s="34" t="str">
        <x:v>PORT-7DCD4991144C</x:v>
      </x:c>
      <x:c r="AN316" s="34" t="n">
        <x:v>1000</x:v>
      </x:c>
      <x:c r="AO316" s="34" t="n">
        <x:v>8.549815</x:v>
      </x:c>
      <x:c r="AP316" s="34" t="n">
        <x:v>11.479382</x:v>
      </x:c>
      <x:c r="AQ316" s="34" t="n">
        <x:v>313.643967</x:v>
      </x:c>
      <x:c r="AR316" s="34" t="n">
        <x:v>2332.517</x:v>
      </x:c>
      <x:c r="AS316" s="34" t="n">
        <x:v>7.43683</x:v>
      </x:c>
      <x:c r="AT316" s="40" t="b">
        <x:v>0</x:v>
      </x:c>
      <x:c r="AU316" s="40" t="b">
        <x:v>0</x:v>
      </x:c>
      <x:c r="AV316" s="34" t="n">
        <x:v>2035</x:v>
      </x:c>
      <x:c r="AW316" s="34" t="n">
        <x:v>14.544997934999998</x:v>
      </x:c>
      <x:c r="AX316" s="34" t="n">
        <x:v>-14.544997934999998</x:v>
      </x:c>
      <x:c r="AY316" s="40" t="b">
        <x:v>1</x:v>
      </x:c>
      <x:c r="AZ316" s="40" t="b">
        <x:v>1</x:v>
      </x:c>
      <x:c r="BA316" s="40" t="b">
        <x:v>1</x:v>
      </x:c>
      <x:c r="BB316" s="40" t="b">
        <x:v>1</x:v>
      </x:c>
      <x:c r="BC316" s="34" t="str"/>
      <x:c r="BD316" s="34" t="n">
        <x:v>0</x:v>
      </x:c>
      <x:c r="BE316" s="34" t="n">
        <x:v>0</x:v>
      </x:c>
      <x:c r="BF316" s="34" t="n">
        <x:v>0</x:v>
      </x:c>
      <x:c r="BG316" s="34" t="n">
        <x:v>2</x:v>
      </x:c>
      <x:c r="BH316" s="34" t="n">
        <x:v>2</x:v>
      </x:c>
      <x:c r="BI316" s="34" t="n">
        <x:v>0.28236113919999994</x:v>
      </x:c>
      <x:c r="BJ316" s="34" t="n">
        <x:v>0.65</x:v>
      </x:c>
      <x:c r="BK316" s="34" t="n">
        <x:v>0.88</x:v>
      </x:c>
    </x:row>
    <x:row r="317">
      <x:c r="A317" s="35" t="str">
        <x:v>NIPPON_STEEL_JP</x:v>
      </x:c>
      <x:c r="B317" s="35" t="str">
        <x:v>Nippon Steel</x:v>
      </x:c>
      <x:c r="C317" s="35" t="str">
        <x:v>ACCELERATED_15C</x:v>
      </x:c>
      <x:c r="D317" s="35" t="str">
        <x:v>P1</x:v>
      </x:c>
      <x:c r="E317" s="35" t="str">
        <x:v>NS-SETOUCHI</x:v>
      </x:c>
      <x:c r="F317" s="35" t="str">
        <x:v>Setouchi Works Hirohata 블록</x:v>
      </x:c>
      <x:c r="G317" s="35" t="str">
        <x:v>세토우치</x:v>
      </x:c>
      <x:c r="H317" s="35" t="n">
        <x:v>2038</x:v>
      </x:c>
      <x:c r="I317" s="35" t="str">
        <x:v>BF_BOF</x:v>
      </x:c>
      <x:c r="J317" s="35" t="str">
        <x:v>기준 BF-BOF 복합 블록</x:v>
      </x:c>
      <x:c r="K317" s="35" t="str">
        <x:v>SCRAP_EAF</x:v>
      </x:c>
      <x:c r="L317" s="35" t="str">
        <x:v>스크랩 기반 대형 EAF</x:v>
      </x:c>
      <x:c r="M317" s="35" t="n">
        <x:v>4620</x:v>
      </x:c>
      <x:c r="N317" s="35" t="n">
        <x:v>2970</x:v>
      </x:c>
      <x:c r="O317" s="35" t="n">
        <x:v>7.5</x:v>
      </x:c>
      <x:c r="P317" s="35" t="n">
        <x:v>6.3</x:v>
      </x:c>
      <x:c r="Q317" s="35" t="n">
        <x:v>13.334693</x:v>
      </x:c>
      <x:c r="R317" s="35" t="n">
        <x:v>13.334693</x:v>
      </x:c>
      <x:c r="S317" s="35" t="n">
        <x:v>2.835</x:v>
      </x:c>
      <x:c r="T317" s="35" t="n">
        <x:v>2.835</x:v>
      </x:c>
      <x:c r="U317" s="35" t="n">
        <x:v>10.499693</x:v>
      </x:c>
      <x:c r="V317" s="35" t="n">
        <x:v>31.49908</x:v>
      </x:c>
      <x:c r="W317" s="35" t="n">
        <x:v>1061.969</x:v>
      </x:c>
      <x:c r="X317" s="35" t="n">
        <x:v>444.218</x:v>
      </x:c>
      <x:c r="Y317" s="35" t="n">
        <x:v>2695.327</x:v>
      </x:c>
      <x:c r="Z317" s="35" t="n">
        <x:v>2251.11</x:v>
      </x:c>
      <x:c r="AA317" s="35" t="n">
        <x:v>1633.359</x:v>
      </x:c>
      <x:c r="AB317" s="35" t="n">
        <x:v>617.751</x:v>
      </x:c>
      <x:c r="AC317" s="35" t="n">
        <x:v>1480.725</x:v>
      </x:c>
      <x:c r="AD317" s="35" t="n">
        <x:v>53.641</x:v>
      </x:c>
      <x:c r="AE317" s="35" t="n">
        <x:v>1160.962</x:v>
      </x:c>
      <x:c r="AF317" s="35" t="n">
        <x:v>0</x:v>
      </x:c>
      <x:c r="AG317" s="35" t="n">
        <x:v>0</x:v>
      </x:c>
      <x:c r="AH317" s="35" t="n">
        <x:v>-1633.359</x:v>
      </x:c>
      <x:c r="AI317" s="35" t="str">
        <x:v>model_estimate</x:v>
      </x:c>
      <x:c r="AJ317" s="35" t="str">
        <x:v>Hirohata EAF 투자 방향을 반영한 복합 블록; 생산량·재투자연도 추정</x:v>
      </x:c>
      <x:c r="AK317" s="35" t="str">
        <x:v>CAND-FCEB78D7C5F4C6</x:v>
      </x:c>
      <x:c r="AL317" s="35" t="str">
        <x:v>P1</x:v>
      </x:c>
      <x:c r="AM317" s="35" t="str">
        <x:v>PORT-7DCD4991144C</x:v>
      </x:c>
      <x:c r="AN317" s="35" t="n">
        <x:v>1000</x:v>
      </x:c>
      <x:c r="AO317" s="35" t="n">
        <x:v>8.549815</x:v>
      </x:c>
      <x:c r="AP317" s="35" t="n">
        <x:v>11.479382</x:v>
      </x:c>
      <x:c r="AQ317" s="35" t="n">
        <x:v>313.643967</x:v>
      </x:c>
      <x:c r="AR317" s="35" t="n">
        <x:v>2332.517</x:v>
      </x:c>
      <x:c r="AS317" s="35" t="n">
        <x:v>7.43683</x:v>
      </x:c>
      <x:c r="AT317" s="41" t="b">
        <x:v>0</x:v>
      </x:c>
      <x:c r="AU317" s="41" t="b">
        <x:v>0</x:v>
      </x:c>
      <x:c r="AV317" s="35" t="n">
        <x:v>2035</x:v>
      </x:c>
      <x:c r="AW317" s="35" t="n">
        <x:v>14.544997934999998</x:v>
      </x:c>
      <x:c r="AX317" s="35" t="n">
        <x:v>-14.544997934999998</x:v>
      </x:c>
      <x:c r="AY317" s="41" t="b">
        <x:v>1</x:v>
      </x:c>
      <x:c r="AZ317" s="41" t="b">
        <x:v>1</x:v>
      </x:c>
      <x:c r="BA317" s="41" t="b">
        <x:v>1</x:v>
      </x:c>
      <x:c r="BB317" s="41" t="b">
        <x:v>1</x:v>
      </x:c>
      <x:c r="BC317" s="35" t="str"/>
      <x:c r="BD317" s="35" t="n">
        <x:v>0</x:v>
      </x:c>
      <x:c r="BE317" s="35" t="n">
        <x:v>0</x:v>
      </x:c>
      <x:c r="BF317" s="35" t="n">
        <x:v>0</x:v>
      </x:c>
      <x:c r="BG317" s="35" t="n">
        <x:v>2</x:v>
      </x:c>
      <x:c r="BH317" s="35" t="n">
        <x:v>2</x:v>
      </x:c>
      <x:c r="BI317" s="35" t="n">
        <x:v>0.28236113919999994</x:v>
      </x:c>
      <x:c r="BJ317" s="35" t="n">
        <x:v>0.65</x:v>
      </x:c>
      <x:c r="BK317" s="35" t="n">
        <x:v>0.88</x:v>
      </x:c>
    </x:row>
  </x:sheetData>
  <x:pageMargins left="0.7" right="0.7" top="0.75" bottom="0.75" header="0.3" footer="0.3"/>
</x:worksheet>
</file>

<file path=xl/worksheets/sheet32.xml><?xml version="1.0" encoding="utf-8"?>
<x:worksheet xmlns:x="http://schemas.openxmlformats.org/spreadsheetml/2006/main">
  <x:sheetViews>
    <x:sheetView showGridLines="0" workbookViewId="0"/>
  </x:sheetViews>
  <x:sheetFormatPr defaultRowHeight="15"/>
  <x:cols>
    <x:col min="1" max="1" width="21" hidden="0" customWidth="1"/>
    <x:col min="2" max="2" width="21" hidden="0" customWidth="1"/>
    <x:col min="3" max="3" width="21" hidden="0" customWidth="1"/>
    <x:col min="4" max="4" width="21" hidden="0" customWidth="1"/>
    <x:col min="5" max="5" width="21" hidden="0" customWidth="1"/>
    <x:col min="6" max="6" width="21" hidden="0" customWidth="1"/>
    <x:col min="7" max="7" width="21"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 min="32" max="32" width="16" hidden="0" customWidth="1"/>
    <x:col min="33" max="33" width="16" hidden="0" customWidth="1"/>
    <x:col min="34" max="34" width="16" hidden="0" customWidth="1"/>
    <x:col min="35" max="35" width="16" hidden="0" customWidth="1"/>
    <x:col min="36" max="36" width="16"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6" hidden="0" customWidth="1"/>
    <x:col min="47" max="47" width="16" hidden="0" customWidth="1"/>
    <x:col min="48" max="48" width="16" hidden="0" customWidth="1"/>
  </x:cols>
  <x:sheetData>
    <x:row r="1" ht="28" customHeight="1">
      <x:c r="A1" s="29" t="str">
        <x:v>company_id</x:v>
      </x:c>
      <x:c r="B1" s="29" t="str">
        <x:v>company_name</x:v>
      </x:c>
      <x:c r="C1" s="29" t="str">
        <x:v>scenario_id</x:v>
      </x:c>
      <x:c r="D1" s="29" t="str">
        <x:v>plan_id</x:v>
      </x:c>
      <x:c r="E1" s="29" t="str">
        <x:v>year</x:v>
      </x:c>
      <x:c r="F1" s="29" t="str">
        <x:v>active_transitioned_facilities</x:v>
      </x:c>
      <x:c r="G1" s="29" t="str">
        <x:v>scrap_demand_mt</x:v>
      </x:c>
      <x:c r="H1" s="29" t="str">
        <x:v>scrap_supply_mt</x:v>
      </x:c>
      <x:c r="I1" s="29" t="str">
        <x:v>scrap_headroom_mt</x:v>
      </x:c>
      <x:c r="J1" s="29" t="str">
        <x:v>scrap_utilization_pct</x:v>
      </x:c>
      <x:c r="K1" s="29" t="str">
        <x:v>hydrogen_demand_mt</x:v>
      </x:c>
      <x:c r="L1" s="29" t="str">
        <x:v>hydrogen_supply_mt</x:v>
      </x:c>
      <x:c r="M1" s="29" t="str">
        <x:v>hydrogen_headroom_mt</x:v>
      </x:c>
      <x:c r="N1" s="29" t="str">
        <x:v>hydrogen_utilization_pct</x:v>
      </x:c>
      <x:c r="O1" s="29" t="str">
        <x:v>incremental_grid_demand_twh</x:v>
      </x:c>
      <x:c r="P1" s="29" t="str">
        <x:v>incremental_grid_supply_twh</x:v>
      </x:c>
      <x:c r="Q1" s="29" t="str">
        <x:v>incremental_grid_headroom_twh</x:v>
      </x:c>
      <x:c r="R1" s="29" t="str">
        <x:v>incremental_grid_utilization_pct</x:v>
      </x:c>
      <x:c r="S1" s="29" t="str">
        <x:v>resource_feasible</x:v>
      </x:c>
      <x:c r="T1" s="29" t="str">
        <x:v>data_status</x:v>
      </x:c>
      <x:c r="U1" s="29" t="str">
        <x:v>source_note</x:v>
      </x:c>
      <x:c r="V1" s="29" t="str">
        <x:v>candidate_id</x:v>
      </x:c>
      <x:c r="W1" s="29" t="str">
        <x:v>template_plan_id</x:v>
      </x:c>
      <x:c r="X1" s="29" t="str">
        <x:v>physical_portfolio_id</x:v>
      </x:c>
      <x:c r="Y1" s="29" t="str">
        <x:v>candidate_path_count</x:v>
      </x:c>
      <x:c r="Z1" s="29" t="str">
        <x:v>candidate_p50_kkrw_per_tco2</x:v>
      </x:c>
      <x:c r="AA1" s="29" t="str">
        <x:v>candidate_tcar_kkrw_per_tco2</x:v>
      </x:c>
      <x:c r="AB1" s="29" t="str">
        <x:v>common_avoided_emissions_mtco2</x:v>
      </x:c>
      <x:c r="AC1" s="29" t="str">
        <x:v>deterministic_economic_npv_bn_krw</x:v>
      </x:c>
      <x:c r="AD1" s="29" t="str">
        <x:v>deterministic_cost_common_kkrw_per_tco2</x:v>
      </x:c>
      <x:c r="AE1" s="29" t="str">
        <x:v>carbon_budget_feasible</x:v>
      </x:c>
      <x:c r="AF1" s="29" t="str">
        <x:v>scenario_feasible</x:v>
      </x:c>
      <x:c r="AG1" s="29" t="str">
        <x:v>first_budget_breach_year</x:v>
      </x:c>
      <x:c r="AH1" s="29" t="str">
        <x:v>max_annual_budget_excess_mtco2</x:v>
      </x:c>
      <x:c r="AI1" s="29" t="str">
        <x:v>minimum_annual_budget_margin_mtco2</x:v>
      </x:c>
      <x:c r="AJ1" s="29" t="str">
        <x:v>physical_constraints_feasible</x:v>
      </x:c>
      <x:c r="AK1" s="29" t="str">
        <x:v>resource_constraints_feasible</x:v>
      </x:c>
      <x:c r="AL1" s="29" t="str">
        <x:v>construction_concurrency_feasible</x:v>
      </x:c>
      <x:c r="AM1" s="29" t="str">
        <x:v>failure_risk_constraint_feasible</x:v>
      </x:c>
      <x:c r="AN1" s="29" t="str">
        <x:v>first_resource_breach_year</x:v>
      </x:c>
      <x:c r="AO1" s="29" t="str">
        <x:v>max_scrap_supply_excess_mt</x:v>
      </x:c>
      <x:c r="AP1" s="29" t="str">
        <x:v>max_hydrogen_supply_excess_mt</x:v>
      </x:c>
      <x:c r="AQ1" s="29" t="str">
        <x:v>max_incremental_grid_excess_twh</x:v>
      </x:c>
      <x:c r="AR1" s="29" t="str">
        <x:v>max_concurrent_construction_projects</x:v>
      </x:c>
      <x:c r="AS1" s="29" t="str">
        <x:v>concurrent_construction_limit</x:v>
      </x:c>
      <x:c r="AT1" s="29" t="str">
        <x:v>portfolio_failure_probability</x:v>
      </x:c>
      <x:c r="AU1" s="29" t="str">
        <x:v>portfolio_failure_probability_limit</x:v>
      </x:c>
      <x:c r="AV1" s="29" t="str">
        <x:v>expected_failure_delay_years</x:v>
      </x:c>
    </x:row>
    <x:row r="2">
      <x:c r="A2" s="34" t="str">
        <x:v>JFE_STEEL_JP</x:v>
      </x:c>
      <x:c r="B2" s="34" t="str">
        <x:v>JFE Steel</x:v>
      </x:c>
      <x:c r="C2" s="34" t="str">
        <x:v>DISCLOSED_PATH</x:v>
      </x:c>
      <x:c r="D2" s="34" t="str">
        <x:v>P2</x:v>
      </x:c>
      <x:c r="E2" s="34" t="n">
        <x:v>2026</x:v>
      </x:c>
      <x:c r="F2" s="34" t="n">
        <x:v>0</x:v>
      </x:c>
      <x:c r="G2" s="34" t="n">
        <x:v>0</x:v>
      </x:c>
      <x:c r="H2" s="34" t="n">
        <x:v>5</x:v>
      </x:c>
      <x:c r="I2" s="34" t="n">
        <x:v>5</x:v>
      </x:c>
      <x:c r="J2" s="34" t="n">
        <x:v>0</x:v>
      </x:c>
      <x:c r="K2" s="34" t="n">
        <x:v>0</x:v>
      </x:c>
      <x:c r="L2" s="34" t="n">
        <x:v>0</x:v>
      </x:c>
      <x:c r="M2" s="34" t="n">
        <x:v>0</x:v>
      </x:c>
      <x:c r="N2" s="34" t="n">
        <x:v>0</x:v>
      </x:c>
      <x:c r="O2" s="34" t="n">
        <x:v>0</x:v>
      </x:c>
      <x:c r="P2" s="34" t="n">
        <x:v>1.5</x:v>
      </x:c>
      <x:c r="Q2" s="34" t="n">
        <x:v>1.5</x:v>
      </x:c>
      <x:c r="R2" s="34" t="n">
        <x:v>0</x:v>
      </x:c>
      <x:c r="S2" s="40" t="b">
        <x:v>1</x:v>
      </x:c>
      <x:c r="T2" s="34" t="str">
        <x:v>model_interpolation</x:v>
      </x:c>
      <x:c r="U2" s="34" t="str">
        <x:v>Linear interpolation from 2026 to 2030</x:v>
      </x:c>
      <x:c r="V2" s="34" t="str">
        <x:v>CAND-0B566F19FFC9A2</x:v>
      </x:c>
      <x:c r="W2" s="34" t="str">
        <x:v>P2</x:v>
      </x:c>
      <x:c r="X2" s="34" t="str">
        <x:v>PORT-CCD4397FA6D4</x:v>
      </x:c>
      <x:c r="Y2" s="34" t="n">
        <x:v>1000</x:v>
      </x:c>
      <x:c r="Z2" s="34" t="n">
        <x:v>113.380842</x:v>
      </x:c>
      <x:c r="AA2" s="34" t="n">
        <x:v>30.812167</x:v>
      </x:c>
      <x:c r="AB2" s="34" t="n">
        <x:v>281.895878</x:v>
      </x:c>
      <x:c r="AC2" s="34" t="n">
        <x:v>31362.25</x:v>
      </x:c>
      <x:c r="AD2" s="34" t="n">
        <x:v>111.25473</x:v>
      </x:c>
      <x:c r="AE2" s="40" t="b">
        <x:v>1</x:v>
      </x:c>
      <x:c r="AF2" s="40" t="b">
        <x:v>1</x:v>
      </x:c>
      <x:c r="AG2" s="34" t="str"/>
      <x:c r="AH2" s="34" t="n">
        <x:v>0</x:v>
      </x:c>
      <x:c r="AI2" s="34" t="str">
        <x:v>1.265341119704999e-05</x:v>
      </x:c>
      <x:c r="AJ2" s="40" t="b">
        <x:v>1</x:v>
      </x:c>
      <x:c r="AK2" s="40" t="b">
        <x:v>1</x:v>
      </x:c>
      <x:c r="AL2" s="40" t="b">
        <x:v>1</x:v>
      </x:c>
      <x:c r="AM2" s="40" t="b">
        <x:v>1</x:v>
      </x:c>
      <x:c r="AN2" s="34" t="str"/>
      <x:c r="AO2" s="34" t="n">
        <x:v>0</x:v>
      </x:c>
      <x:c r="AP2" s="34" t="n">
        <x:v>0</x:v>
      </x:c>
      <x:c r="AQ2" s="34" t="n">
        <x:v>0</x:v>
      </x:c>
      <x:c r="AR2" s="34" t="n">
        <x:v>2</x:v>
      </x:c>
      <x:c r="AS2" s="34" t="n">
        <x:v>3</x:v>
      </x:c>
      <x:c r="AT2" s="34" t="n">
        <x:v>0.3119871999999999</x:v>
      </x:c>
      <x:c r="AU2" s="34" t="n">
        <x:v>0.65</x:v>
      </x:c>
      <x:c r="AV2" s="34" t="n">
        <x:v>1.1400000000000001</x:v>
      </x:c>
    </x:row>
    <x:row r="3">
      <x:c r="A3" s="34" t="str">
        <x:v>JFE_STEEL_JP</x:v>
      </x:c>
      <x:c r="B3" s="34" t="str">
        <x:v>JFE Steel</x:v>
      </x:c>
      <x:c r="C3" s="34" t="str">
        <x:v>DISCLOSED_PATH</x:v>
      </x:c>
      <x:c r="D3" s="34" t="str">
        <x:v>P2</x:v>
      </x:c>
      <x:c r="E3" s="34" t="n">
        <x:v>2027</x:v>
      </x:c>
      <x:c r="F3" s="34" t="n">
        <x:v>0</x:v>
      </x:c>
      <x:c r="G3" s="34" t="n">
        <x:v>0</x:v>
      </x:c>
      <x:c r="H3" s="34" t="n">
        <x:v>5.75</x:v>
      </x:c>
      <x:c r="I3" s="34" t="n">
        <x:v>5.75</x:v>
      </x:c>
      <x:c r="J3" s="34" t="n">
        <x:v>0</x:v>
      </x:c>
      <x:c r="K3" s="34" t="n">
        <x:v>0</x:v>
      </x:c>
      <x:c r="L3" s="34" t="n">
        <x:v>0.1</x:v>
      </x:c>
      <x:c r="M3" s="34" t="n">
        <x:v>0.1</x:v>
      </x:c>
      <x:c r="N3" s="34" t="n">
        <x:v>0</x:v>
      </x:c>
      <x:c r="O3" s="34" t="n">
        <x:v>0</x:v>
      </x:c>
      <x:c r="P3" s="34" t="n">
        <x:v>2.375</x:v>
      </x:c>
      <x:c r="Q3" s="34" t="n">
        <x:v>2.375</x:v>
      </x:c>
      <x:c r="R3" s="34" t="n">
        <x:v>0</x:v>
      </x:c>
      <x:c r="S3" s="40" t="b">
        <x:v>1</x:v>
      </x:c>
      <x:c r="T3" s="34" t="str">
        <x:v>model_interpolation</x:v>
      </x:c>
      <x:c r="U3" s="34" t="str">
        <x:v>Linear interpolation from 2026 to 2030</x:v>
      </x:c>
      <x:c r="V3" s="34" t="str">
        <x:v>CAND-0B566F19FFC9A2</x:v>
      </x:c>
      <x:c r="W3" s="34" t="str">
        <x:v>P2</x:v>
      </x:c>
      <x:c r="X3" s="34" t="str">
        <x:v>PORT-CCD4397FA6D4</x:v>
      </x:c>
      <x:c r="Y3" s="34" t="n">
        <x:v>1000</x:v>
      </x:c>
      <x:c r="Z3" s="34" t="n">
        <x:v>113.380842</x:v>
      </x:c>
      <x:c r="AA3" s="34" t="n">
        <x:v>30.812167</x:v>
      </x:c>
      <x:c r="AB3" s="34" t="n">
        <x:v>281.895878</x:v>
      </x:c>
      <x:c r="AC3" s="34" t="n">
        <x:v>31362.25</x:v>
      </x:c>
      <x:c r="AD3" s="34" t="n">
        <x:v>111.25473</x:v>
      </x:c>
      <x:c r="AE3" s="40" t="b">
        <x:v>1</x:v>
      </x:c>
      <x:c r="AF3" s="40" t="b">
        <x:v>1</x:v>
      </x:c>
      <x:c r="AG3" s="34" t="str"/>
      <x:c r="AH3" s="34" t="n">
        <x:v>0</x:v>
      </x:c>
      <x:c r="AI3" s="34" t="str">
        <x:v>1.265341119704999e-05</x:v>
      </x:c>
      <x:c r="AJ3" s="40" t="b">
        <x:v>1</x:v>
      </x:c>
      <x:c r="AK3" s="40" t="b">
        <x:v>1</x:v>
      </x:c>
      <x:c r="AL3" s="40" t="b">
        <x:v>1</x:v>
      </x:c>
      <x:c r="AM3" s="40" t="b">
        <x:v>1</x:v>
      </x:c>
      <x:c r="AN3" s="34" t="str"/>
      <x:c r="AO3" s="34" t="n">
        <x:v>0</x:v>
      </x:c>
      <x:c r="AP3" s="34" t="n">
        <x:v>0</x:v>
      </x:c>
      <x:c r="AQ3" s="34" t="n">
        <x:v>0</x:v>
      </x:c>
      <x:c r="AR3" s="34" t="n">
        <x:v>2</x:v>
      </x:c>
      <x:c r="AS3" s="34" t="n">
        <x:v>3</x:v>
      </x:c>
      <x:c r="AT3" s="34" t="n">
        <x:v>0.3119871999999999</x:v>
      </x:c>
      <x:c r="AU3" s="34" t="n">
        <x:v>0.65</x:v>
      </x:c>
      <x:c r="AV3" s="34" t="n">
        <x:v>1.1400000000000001</x:v>
      </x:c>
    </x:row>
    <x:row r="4">
      <x:c r="A4" s="34" t="str">
        <x:v>JFE_STEEL_JP</x:v>
      </x:c>
      <x:c r="B4" s="34" t="str">
        <x:v>JFE Steel</x:v>
      </x:c>
      <x:c r="C4" s="34" t="str">
        <x:v>DISCLOSED_PATH</x:v>
      </x:c>
      <x:c r="D4" s="34" t="str">
        <x:v>P2</x:v>
      </x:c>
      <x:c r="E4" s="34" t="n">
        <x:v>2028</x:v>
      </x:c>
      <x:c r="F4" s="34" t="n">
        <x:v>0</x:v>
      </x:c>
      <x:c r="G4" s="34" t="n">
        <x:v>0</x:v>
      </x:c>
      <x:c r="H4" s="34" t="n">
        <x:v>6.5</x:v>
      </x:c>
      <x:c r="I4" s="34" t="n">
        <x:v>6.5</x:v>
      </x:c>
      <x:c r="J4" s="34" t="n">
        <x:v>0</x:v>
      </x:c>
      <x:c r="K4" s="34" t="n">
        <x:v>0</x:v>
      </x:c>
      <x:c r="L4" s="34" t="n">
        <x:v>0.2</x:v>
      </x:c>
      <x:c r="M4" s="34" t="n">
        <x:v>0.2</x:v>
      </x:c>
      <x:c r="N4" s="34" t="n">
        <x:v>0</x:v>
      </x:c>
      <x:c r="O4" s="34" t="n">
        <x:v>0</x:v>
      </x:c>
      <x:c r="P4" s="34" t="n">
        <x:v>3.25</x:v>
      </x:c>
      <x:c r="Q4" s="34" t="n">
        <x:v>3.25</x:v>
      </x:c>
      <x:c r="R4" s="34" t="n">
        <x:v>0</x:v>
      </x:c>
      <x:c r="S4" s="40" t="b">
        <x:v>1</x:v>
      </x:c>
      <x:c r="T4" s="34" t="str">
        <x:v>model_interpolation</x:v>
      </x:c>
      <x:c r="U4" s="34" t="str">
        <x:v>Linear interpolation from 2026 to 2030</x:v>
      </x:c>
      <x:c r="V4" s="34" t="str">
        <x:v>CAND-0B566F19FFC9A2</x:v>
      </x:c>
      <x:c r="W4" s="34" t="str">
        <x:v>P2</x:v>
      </x:c>
      <x:c r="X4" s="34" t="str">
        <x:v>PORT-CCD4397FA6D4</x:v>
      </x:c>
      <x:c r="Y4" s="34" t="n">
        <x:v>1000</x:v>
      </x:c>
      <x:c r="Z4" s="34" t="n">
        <x:v>113.380842</x:v>
      </x:c>
      <x:c r="AA4" s="34" t="n">
        <x:v>30.812167</x:v>
      </x:c>
      <x:c r="AB4" s="34" t="n">
        <x:v>281.895878</x:v>
      </x:c>
      <x:c r="AC4" s="34" t="n">
        <x:v>31362.25</x:v>
      </x:c>
      <x:c r="AD4" s="34" t="n">
        <x:v>111.25473</x:v>
      </x:c>
      <x:c r="AE4" s="40" t="b">
        <x:v>1</x:v>
      </x:c>
      <x:c r="AF4" s="40" t="b">
        <x:v>1</x:v>
      </x:c>
      <x:c r="AG4" s="34" t="str"/>
      <x:c r="AH4" s="34" t="n">
        <x:v>0</x:v>
      </x:c>
      <x:c r="AI4" s="34" t="str">
        <x:v>1.265341119704999e-05</x:v>
      </x:c>
      <x:c r="AJ4" s="40" t="b">
        <x:v>1</x:v>
      </x:c>
      <x:c r="AK4" s="40" t="b">
        <x:v>1</x:v>
      </x:c>
      <x:c r="AL4" s="40" t="b">
        <x:v>1</x:v>
      </x:c>
      <x:c r="AM4" s="40" t="b">
        <x:v>1</x:v>
      </x:c>
      <x:c r="AN4" s="34" t="str"/>
      <x:c r="AO4" s="34" t="n">
        <x:v>0</x:v>
      </x:c>
      <x:c r="AP4" s="34" t="n">
        <x:v>0</x:v>
      </x:c>
      <x:c r="AQ4" s="34" t="n">
        <x:v>0</x:v>
      </x:c>
      <x:c r="AR4" s="34" t="n">
        <x:v>2</x:v>
      </x:c>
      <x:c r="AS4" s="34" t="n">
        <x:v>3</x:v>
      </x:c>
      <x:c r="AT4" s="34" t="n">
        <x:v>0.3119871999999999</x:v>
      </x:c>
      <x:c r="AU4" s="34" t="n">
        <x:v>0.65</x:v>
      </x:c>
      <x:c r="AV4" s="34" t="n">
        <x:v>1.1400000000000001</x:v>
      </x:c>
    </x:row>
    <x:row r="5">
      <x:c r="A5" s="34" t="str">
        <x:v>JFE_STEEL_JP</x:v>
      </x:c>
      <x:c r="B5" s="34" t="str">
        <x:v>JFE Steel</x:v>
      </x:c>
      <x:c r="C5" s="34" t="str">
        <x:v>DISCLOSED_PATH</x:v>
      </x:c>
      <x:c r="D5" s="34" t="str">
        <x:v>P2</x:v>
      </x:c>
      <x:c r="E5" s="34" t="n">
        <x:v>2029</x:v>
      </x:c>
      <x:c r="F5" s="34" t="n">
        <x:v>1</x:v>
      </x:c>
      <x:c r="G5" s="34" t="n">
        <x:v>6.120001</x:v>
      </x:c>
      <x:c r="H5" s="34" t="n">
        <x:v>7.25</x:v>
      </x:c>
      <x:c r="I5" s="34" t="n">
        <x:v>1.129999</x:v>
      </x:c>
      <x:c r="J5" s="34" t="n">
        <x:v>84.414</x:v>
      </x:c>
      <x:c r="K5" s="34" t="n">
        <x:v>0</x:v>
      </x:c>
      <x:c r="L5" s="34" t="n">
        <x:v>0.30000000000000004</x:v>
      </x:c>
      <x:c r="M5" s="34" t="n">
        <x:v>0.3</x:v>
      </x:c>
      <x:c r="N5" s="34" t="n">
        <x:v>0</x:v>
      </x:c>
      <x:c r="O5" s="34" t="n">
        <x:v>3.808</x:v>
      </x:c>
      <x:c r="P5" s="34" t="n">
        <x:v>4.125</x:v>
      </x:c>
      <x:c r="Q5" s="34" t="n">
        <x:v>0.317</x:v>
      </x:c>
      <x:c r="R5" s="34" t="n">
        <x:v>92.315</x:v>
      </x:c>
      <x:c r="S5" s="40" t="b">
        <x:v>1</x:v>
      </x:c>
      <x:c r="T5" s="34" t="str">
        <x:v>model_interpolation</x:v>
      </x:c>
      <x:c r="U5" s="34" t="str">
        <x:v>Linear interpolation from 2026 to 2030</x:v>
      </x:c>
      <x:c r="V5" s="34" t="str">
        <x:v>CAND-0B566F19FFC9A2</x:v>
      </x:c>
      <x:c r="W5" s="34" t="str">
        <x:v>P2</x:v>
      </x:c>
      <x:c r="X5" s="34" t="str">
        <x:v>PORT-CCD4397FA6D4</x:v>
      </x:c>
      <x:c r="Y5" s="34" t="n">
        <x:v>1000</x:v>
      </x:c>
      <x:c r="Z5" s="34" t="n">
        <x:v>113.380842</x:v>
      </x:c>
      <x:c r="AA5" s="34" t="n">
        <x:v>30.812167</x:v>
      </x:c>
      <x:c r="AB5" s="34" t="n">
        <x:v>281.895878</x:v>
      </x:c>
      <x:c r="AC5" s="34" t="n">
        <x:v>31362.25</x:v>
      </x:c>
      <x:c r="AD5" s="34" t="n">
        <x:v>111.25473</x:v>
      </x:c>
      <x:c r="AE5" s="40" t="b">
        <x:v>1</x:v>
      </x:c>
      <x:c r="AF5" s="40" t="b">
        <x:v>1</x:v>
      </x:c>
      <x:c r="AG5" s="34" t="str"/>
      <x:c r="AH5" s="34" t="n">
        <x:v>0</x:v>
      </x:c>
      <x:c r="AI5" s="34" t="str">
        <x:v>1.265341119704999e-05</x:v>
      </x:c>
      <x:c r="AJ5" s="40" t="b">
        <x:v>1</x:v>
      </x:c>
      <x:c r="AK5" s="40" t="b">
        <x:v>1</x:v>
      </x:c>
      <x:c r="AL5" s="40" t="b">
        <x:v>1</x:v>
      </x:c>
      <x:c r="AM5" s="40" t="b">
        <x:v>1</x:v>
      </x:c>
      <x:c r="AN5" s="34" t="str"/>
      <x:c r="AO5" s="34" t="n">
        <x:v>0</x:v>
      </x:c>
      <x:c r="AP5" s="34" t="n">
        <x:v>0</x:v>
      </x:c>
      <x:c r="AQ5" s="34" t="n">
        <x:v>0</x:v>
      </x:c>
      <x:c r="AR5" s="34" t="n">
        <x:v>2</x:v>
      </x:c>
      <x:c r="AS5" s="34" t="n">
        <x:v>3</x:v>
      </x:c>
      <x:c r="AT5" s="34" t="n">
        <x:v>0.3119871999999999</x:v>
      </x:c>
      <x:c r="AU5" s="34" t="n">
        <x:v>0.65</x:v>
      </x:c>
      <x:c r="AV5" s="34" t="n">
        <x:v>1.1400000000000001</x:v>
      </x:c>
    </x:row>
    <x:row r="6">
      <x:c r="A6" s="34" t="str">
        <x:v>JFE_STEEL_JP</x:v>
      </x:c>
      <x:c r="B6" s="34" t="str">
        <x:v>JFE Steel</x:v>
      </x:c>
      <x:c r="C6" s="34" t="str">
        <x:v>DISCLOSED_PATH</x:v>
      </x:c>
      <x:c r="D6" s="34" t="str">
        <x:v>P2</x:v>
      </x:c>
      <x:c r="E6" s="34" t="n">
        <x:v>2030</x:v>
      </x:c>
      <x:c r="F6" s="34" t="n">
        <x:v>1</x:v>
      </x:c>
      <x:c r="G6" s="34" t="n">
        <x:v>6.120001</x:v>
      </x:c>
      <x:c r="H6" s="34" t="n">
        <x:v>8</x:v>
      </x:c>
      <x:c r="I6" s="34" t="n">
        <x:v>1.879999</x:v>
      </x:c>
      <x:c r="J6" s="34" t="n">
        <x:v>76.5</x:v>
      </x:c>
      <x:c r="K6" s="34" t="n">
        <x:v>0</x:v>
      </x:c>
      <x:c r="L6" s="34" t="n">
        <x:v>0.4</x:v>
      </x:c>
      <x:c r="M6" s="34" t="n">
        <x:v>0.4</x:v>
      </x:c>
      <x:c r="N6" s="34" t="n">
        <x:v>0</x:v>
      </x:c>
      <x:c r="O6" s="34" t="n">
        <x:v>3.808</x:v>
      </x:c>
      <x:c r="P6" s="34" t="n">
        <x:v>5</x:v>
      </x:c>
      <x:c r="Q6" s="34" t="n">
        <x:v>1.192</x:v>
      </x:c>
      <x:c r="R6" s="34" t="n">
        <x:v>76.16</x:v>
      </x:c>
      <x:c r="S6" s="40" t="b">
        <x:v>1</x:v>
      </x:c>
      <x:c r="T6" s="34" t="str">
        <x:v>model_interpolation</x:v>
      </x:c>
      <x:c r="U6" s="34" t="str">
        <x:v>Linear interpolation from 2030 to 2035</x:v>
      </x:c>
      <x:c r="V6" s="34" t="str">
        <x:v>CAND-0B566F19FFC9A2</x:v>
      </x:c>
      <x:c r="W6" s="34" t="str">
        <x:v>P2</x:v>
      </x:c>
      <x:c r="X6" s="34" t="str">
        <x:v>PORT-CCD4397FA6D4</x:v>
      </x:c>
      <x:c r="Y6" s="34" t="n">
        <x:v>1000</x:v>
      </x:c>
      <x:c r="Z6" s="34" t="n">
        <x:v>113.380842</x:v>
      </x:c>
      <x:c r="AA6" s="34" t="n">
        <x:v>30.812167</x:v>
      </x:c>
      <x:c r="AB6" s="34" t="n">
        <x:v>281.895878</x:v>
      </x:c>
      <x:c r="AC6" s="34" t="n">
        <x:v>31362.25</x:v>
      </x:c>
      <x:c r="AD6" s="34" t="n">
        <x:v>111.25473</x:v>
      </x:c>
      <x:c r="AE6" s="40" t="b">
        <x:v>1</x:v>
      </x:c>
      <x:c r="AF6" s="40" t="b">
        <x:v>1</x:v>
      </x:c>
      <x:c r="AG6" s="34" t="str"/>
      <x:c r="AH6" s="34" t="n">
        <x:v>0</x:v>
      </x:c>
      <x:c r="AI6" s="34" t="str">
        <x:v>1.265341119704999e-05</x:v>
      </x:c>
      <x:c r="AJ6" s="40" t="b">
        <x:v>1</x:v>
      </x:c>
      <x:c r="AK6" s="40" t="b">
        <x:v>1</x:v>
      </x:c>
      <x:c r="AL6" s="40" t="b">
        <x:v>1</x:v>
      </x:c>
      <x:c r="AM6" s="40" t="b">
        <x:v>1</x:v>
      </x:c>
      <x:c r="AN6" s="34" t="str"/>
      <x:c r="AO6" s="34" t="n">
        <x:v>0</x:v>
      </x:c>
      <x:c r="AP6" s="34" t="n">
        <x:v>0</x:v>
      </x:c>
      <x:c r="AQ6" s="34" t="n">
        <x:v>0</x:v>
      </x:c>
      <x:c r="AR6" s="34" t="n">
        <x:v>2</x:v>
      </x:c>
      <x:c r="AS6" s="34" t="n">
        <x:v>3</x:v>
      </x:c>
      <x:c r="AT6" s="34" t="n">
        <x:v>0.3119871999999999</x:v>
      </x:c>
      <x:c r="AU6" s="34" t="n">
        <x:v>0.65</x:v>
      </x:c>
      <x:c r="AV6" s="34" t="n">
        <x:v>1.1400000000000001</x:v>
      </x:c>
    </x:row>
    <x:row r="7">
      <x:c r="A7" s="34" t="str">
        <x:v>JFE_STEEL_JP</x:v>
      </x:c>
      <x:c r="B7" s="34" t="str">
        <x:v>JFE Steel</x:v>
      </x:c>
      <x:c r="C7" s="34" t="str">
        <x:v>DISCLOSED_PATH</x:v>
      </x:c>
      <x:c r="D7" s="34" t="str">
        <x:v>P2</x:v>
      </x:c>
      <x:c r="E7" s="34" t="n">
        <x:v>2031</x:v>
      </x:c>
      <x:c r="F7" s="34" t="n">
        <x:v>1</x:v>
      </x:c>
      <x:c r="G7" s="34" t="n">
        <x:v>6.120001</x:v>
      </x:c>
      <x:c r="H7" s="34" t="n">
        <x:v>8.8</x:v>
      </x:c>
      <x:c r="I7" s="34" t="n">
        <x:v>2.679999</x:v>
      </x:c>
      <x:c r="J7" s="34" t="n">
        <x:v>69.545</x:v>
      </x:c>
      <x:c r="K7" s="34" t="n">
        <x:v>0</x:v>
      </x:c>
      <x:c r="L7" s="34" t="n">
        <x:v>0.56</x:v>
      </x:c>
      <x:c r="M7" s="34" t="n">
        <x:v>0.56</x:v>
      </x:c>
      <x:c r="N7" s="34" t="n">
        <x:v>0</x:v>
      </x:c>
      <x:c r="O7" s="34" t="n">
        <x:v>3.808</x:v>
      </x:c>
      <x:c r="P7" s="34" t="n">
        <x:v>6</x:v>
      </x:c>
      <x:c r="Q7" s="34" t="n">
        <x:v>2.192</x:v>
      </x:c>
      <x:c r="R7" s="34" t="n">
        <x:v>63.467</x:v>
      </x:c>
      <x:c r="S7" s="40" t="b">
        <x:v>1</x:v>
      </x:c>
      <x:c r="T7" s="34" t="str">
        <x:v>model_interpolation</x:v>
      </x:c>
      <x:c r="U7" s="34" t="str">
        <x:v>Linear interpolation from 2030 to 2035</x:v>
      </x:c>
      <x:c r="V7" s="34" t="str">
        <x:v>CAND-0B566F19FFC9A2</x:v>
      </x:c>
      <x:c r="W7" s="34" t="str">
        <x:v>P2</x:v>
      </x:c>
      <x:c r="X7" s="34" t="str">
        <x:v>PORT-CCD4397FA6D4</x:v>
      </x:c>
      <x:c r="Y7" s="34" t="n">
        <x:v>1000</x:v>
      </x:c>
      <x:c r="Z7" s="34" t="n">
        <x:v>113.380842</x:v>
      </x:c>
      <x:c r="AA7" s="34" t="n">
        <x:v>30.812167</x:v>
      </x:c>
      <x:c r="AB7" s="34" t="n">
        <x:v>281.895878</x:v>
      </x:c>
      <x:c r="AC7" s="34" t="n">
        <x:v>31362.25</x:v>
      </x:c>
      <x:c r="AD7" s="34" t="n">
        <x:v>111.25473</x:v>
      </x:c>
      <x:c r="AE7" s="40" t="b">
        <x:v>1</x:v>
      </x:c>
      <x:c r="AF7" s="40" t="b">
        <x:v>1</x:v>
      </x:c>
      <x:c r="AG7" s="34" t="str"/>
      <x:c r="AH7" s="34" t="n">
        <x:v>0</x:v>
      </x:c>
      <x:c r="AI7" s="34" t="str">
        <x:v>1.265341119704999e-05</x:v>
      </x:c>
      <x:c r="AJ7" s="40" t="b">
        <x:v>1</x:v>
      </x:c>
      <x:c r="AK7" s="40" t="b">
        <x:v>1</x:v>
      </x:c>
      <x:c r="AL7" s="40" t="b">
        <x:v>1</x:v>
      </x:c>
      <x:c r="AM7" s="40" t="b">
        <x:v>1</x:v>
      </x:c>
      <x:c r="AN7" s="34" t="str"/>
      <x:c r="AO7" s="34" t="n">
        <x:v>0</x:v>
      </x:c>
      <x:c r="AP7" s="34" t="n">
        <x:v>0</x:v>
      </x:c>
      <x:c r="AQ7" s="34" t="n">
        <x:v>0</x:v>
      </x:c>
      <x:c r="AR7" s="34" t="n">
        <x:v>2</x:v>
      </x:c>
      <x:c r="AS7" s="34" t="n">
        <x:v>3</x:v>
      </x:c>
      <x:c r="AT7" s="34" t="n">
        <x:v>0.3119871999999999</x:v>
      </x:c>
      <x:c r="AU7" s="34" t="n">
        <x:v>0.65</x:v>
      </x:c>
      <x:c r="AV7" s="34" t="n">
        <x:v>1.1400000000000001</x:v>
      </x:c>
    </x:row>
    <x:row r="8">
      <x:c r="A8" s="34" t="str">
        <x:v>JFE_STEEL_JP</x:v>
      </x:c>
      <x:c r="B8" s="34" t="str">
        <x:v>JFE Steel</x:v>
      </x:c>
      <x:c r="C8" s="34" t="str">
        <x:v>DISCLOSED_PATH</x:v>
      </x:c>
      <x:c r="D8" s="34" t="str">
        <x:v>P2</x:v>
      </x:c>
      <x:c r="E8" s="34" t="n">
        <x:v>2032</x:v>
      </x:c>
      <x:c r="F8" s="34" t="n">
        <x:v>1</x:v>
      </x:c>
      <x:c r="G8" s="34" t="n">
        <x:v>6.120001</x:v>
      </x:c>
      <x:c r="H8" s="34" t="n">
        <x:v>9.6</x:v>
      </x:c>
      <x:c r="I8" s="34" t="n">
        <x:v>3.479999</x:v>
      </x:c>
      <x:c r="J8" s="34" t="n">
        <x:v>63.75</x:v>
      </x:c>
      <x:c r="K8" s="34" t="n">
        <x:v>0</x:v>
      </x:c>
      <x:c r="L8" s="34" t="n">
        <x:v>0.72</x:v>
      </x:c>
      <x:c r="M8" s="34" t="n">
        <x:v>0.72</x:v>
      </x:c>
      <x:c r="N8" s="34" t="n">
        <x:v>0</x:v>
      </x:c>
      <x:c r="O8" s="34" t="n">
        <x:v>3.808</x:v>
      </x:c>
      <x:c r="P8" s="34" t="n">
        <x:v>7</x:v>
      </x:c>
      <x:c r="Q8" s="34" t="n">
        <x:v>3.192</x:v>
      </x:c>
      <x:c r="R8" s="34" t="n">
        <x:v>54.4</x:v>
      </x:c>
      <x:c r="S8" s="40" t="b">
        <x:v>1</x:v>
      </x:c>
      <x:c r="T8" s="34" t="str">
        <x:v>model_interpolation</x:v>
      </x:c>
      <x:c r="U8" s="34" t="str">
        <x:v>Linear interpolation from 2030 to 2035</x:v>
      </x:c>
      <x:c r="V8" s="34" t="str">
        <x:v>CAND-0B566F19FFC9A2</x:v>
      </x:c>
      <x:c r="W8" s="34" t="str">
        <x:v>P2</x:v>
      </x:c>
      <x:c r="X8" s="34" t="str">
        <x:v>PORT-CCD4397FA6D4</x:v>
      </x:c>
      <x:c r="Y8" s="34" t="n">
        <x:v>1000</x:v>
      </x:c>
      <x:c r="Z8" s="34" t="n">
        <x:v>113.380842</x:v>
      </x:c>
      <x:c r="AA8" s="34" t="n">
        <x:v>30.812167</x:v>
      </x:c>
      <x:c r="AB8" s="34" t="n">
        <x:v>281.895878</x:v>
      </x:c>
      <x:c r="AC8" s="34" t="n">
        <x:v>31362.25</x:v>
      </x:c>
      <x:c r="AD8" s="34" t="n">
        <x:v>111.25473</x:v>
      </x:c>
      <x:c r="AE8" s="40" t="b">
        <x:v>1</x:v>
      </x:c>
      <x:c r="AF8" s="40" t="b">
        <x:v>1</x:v>
      </x:c>
      <x:c r="AG8" s="34" t="str"/>
      <x:c r="AH8" s="34" t="n">
        <x:v>0</x:v>
      </x:c>
      <x:c r="AI8" s="34" t="str">
        <x:v>1.265341119704999e-05</x:v>
      </x:c>
      <x:c r="AJ8" s="40" t="b">
        <x:v>1</x:v>
      </x:c>
      <x:c r="AK8" s="40" t="b">
        <x:v>1</x:v>
      </x:c>
      <x:c r="AL8" s="40" t="b">
        <x:v>1</x:v>
      </x:c>
      <x:c r="AM8" s="40" t="b">
        <x:v>1</x:v>
      </x:c>
      <x:c r="AN8" s="34" t="str"/>
      <x:c r="AO8" s="34" t="n">
        <x:v>0</x:v>
      </x:c>
      <x:c r="AP8" s="34" t="n">
        <x:v>0</x:v>
      </x:c>
      <x:c r="AQ8" s="34" t="n">
        <x:v>0</x:v>
      </x:c>
      <x:c r="AR8" s="34" t="n">
        <x:v>2</x:v>
      </x:c>
      <x:c r="AS8" s="34" t="n">
        <x:v>3</x:v>
      </x:c>
      <x:c r="AT8" s="34" t="n">
        <x:v>0.3119871999999999</x:v>
      </x:c>
      <x:c r="AU8" s="34" t="n">
        <x:v>0.65</x:v>
      </x:c>
      <x:c r="AV8" s="34" t="n">
        <x:v>1.1400000000000001</x:v>
      </x:c>
    </x:row>
    <x:row r="9">
      <x:c r="A9" s="34" t="str">
        <x:v>JFE_STEEL_JP</x:v>
      </x:c>
      <x:c r="B9" s="34" t="str">
        <x:v>JFE Steel</x:v>
      </x:c>
      <x:c r="C9" s="34" t="str">
        <x:v>DISCLOSED_PATH</x:v>
      </x:c>
      <x:c r="D9" s="34" t="str">
        <x:v>P2</x:v>
      </x:c>
      <x:c r="E9" s="34" t="n">
        <x:v>2033</x:v>
      </x:c>
      <x:c r="F9" s="34" t="n">
        <x:v>3</x:v>
      </x:c>
      <x:c r="G9" s="34" t="n">
        <x:v>8.1</x:v>
      </x:c>
      <x:c r="H9" s="34" t="n">
        <x:v>10.4</x:v>
      </x:c>
      <x:c r="I9" s="34" t="n">
        <x:v>2.3</x:v>
      </x:c>
      <x:c r="J9" s="34" t="n">
        <x:v>77.885</x:v>
      </x:c>
      <x:c r="K9" s="34" t="n">
        <x:v>0.495</x:v>
      </x:c>
      <x:c r="L9" s="34" t="n">
        <x:v>0.8799999999999999</x:v>
      </x:c>
      <x:c r="M9" s="34" t="n">
        <x:v>0.385</x:v>
      </x:c>
      <x:c r="N9" s="34" t="n">
        <x:v>56.25</x:v>
      </x:c>
      <x:c r="O9" s="34" t="n">
        <x:v>7.961999</x:v>
      </x:c>
      <x:c r="P9" s="34" t="n">
        <x:v>8</x:v>
      </x:c>
      <x:c r="Q9" s="34" t="n">
        <x:v>0.038001</x:v>
      </x:c>
      <x:c r="R9" s="34" t="n">
        <x:v>99.525</x:v>
      </x:c>
      <x:c r="S9" s="40" t="b">
        <x:v>1</x:v>
      </x:c>
      <x:c r="T9" s="34" t="str">
        <x:v>model_interpolation</x:v>
      </x:c>
      <x:c r="U9" s="34" t="str">
        <x:v>Linear interpolation from 2030 to 2035</x:v>
      </x:c>
      <x:c r="V9" s="34" t="str">
        <x:v>CAND-0B566F19FFC9A2</x:v>
      </x:c>
      <x:c r="W9" s="34" t="str">
        <x:v>P2</x:v>
      </x:c>
      <x:c r="X9" s="34" t="str">
        <x:v>PORT-CCD4397FA6D4</x:v>
      </x:c>
      <x:c r="Y9" s="34" t="n">
        <x:v>1000</x:v>
      </x:c>
      <x:c r="Z9" s="34" t="n">
        <x:v>113.380842</x:v>
      </x:c>
      <x:c r="AA9" s="34" t="n">
        <x:v>30.812167</x:v>
      </x:c>
      <x:c r="AB9" s="34" t="n">
        <x:v>281.895878</x:v>
      </x:c>
      <x:c r="AC9" s="34" t="n">
        <x:v>31362.25</x:v>
      </x:c>
      <x:c r="AD9" s="34" t="n">
        <x:v>111.25473</x:v>
      </x:c>
      <x:c r="AE9" s="40" t="b">
        <x:v>1</x:v>
      </x:c>
      <x:c r="AF9" s="40" t="b">
        <x:v>1</x:v>
      </x:c>
      <x:c r="AG9" s="34" t="str"/>
      <x:c r="AH9" s="34" t="n">
        <x:v>0</x:v>
      </x:c>
      <x:c r="AI9" s="34" t="str">
        <x:v>1.265341119704999e-05</x:v>
      </x:c>
      <x:c r="AJ9" s="40" t="b">
        <x:v>1</x:v>
      </x:c>
      <x:c r="AK9" s="40" t="b">
        <x:v>1</x:v>
      </x:c>
      <x:c r="AL9" s="40" t="b">
        <x:v>1</x:v>
      </x:c>
      <x:c r="AM9" s="40" t="b">
        <x:v>1</x:v>
      </x:c>
      <x:c r="AN9" s="34" t="str"/>
      <x:c r="AO9" s="34" t="n">
        <x:v>0</x:v>
      </x:c>
      <x:c r="AP9" s="34" t="n">
        <x:v>0</x:v>
      </x:c>
      <x:c r="AQ9" s="34" t="n">
        <x:v>0</x:v>
      </x:c>
      <x:c r="AR9" s="34" t="n">
        <x:v>2</x:v>
      </x:c>
      <x:c r="AS9" s="34" t="n">
        <x:v>3</x:v>
      </x:c>
      <x:c r="AT9" s="34" t="n">
        <x:v>0.3119871999999999</x:v>
      </x:c>
      <x:c r="AU9" s="34" t="n">
        <x:v>0.65</x:v>
      </x:c>
      <x:c r="AV9" s="34" t="n">
        <x:v>1.1400000000000001</x:v>
      </x:c>
    </x:row>
    <x:row r="10">
      <x:c r="A10" s="34" t="str">
        <x:v>JFE_STEEL_JP</x:v>
      </x:c>
      <x:c r="B10" s="34" t="str">
        <x:v>JFE Steel</x:v>
      </x:c>
      <x:c r="C10" s="34" t="str">
        <x:v>DISCLOSED_PATH</x:v>
      </x:c>
      <x:c r="D10" s="34" t="str">
        <x:v>P2</x:v>
      </x:c>
      <x:c r="E10" s="34" t="n">
        <x:v>2034</x:v>
      </x:c>
      <x:c r="F10" s="34" t="n">
        <x:v>3</x:v>
      </x:c>
      <x:c r="G10" s="34" t="n">
        <x:v>8.1</x:v>
      </x:c>
      <x:c r="H10" s="34" t="n">
        <x:v>11.2</x:v>
      </x:c>
      <x:c r="I10" s="34" t="n">
        <x:v>3.1</x:v>
      </x:c>
      <x:c r="J10" s="34" t="n">
        <x:v>72.321</x:v>
      </x:c>
      <x:c r="K10" s="34" t="n">
        <x:v>0.495</x:v>
      </x:c>
      <x:c r="L10" s="34" t="n">
        <x:v>1.04</x:v>
      </x:c>
      <x:c r="M10" s="34" t="n">
        <x:v>0.545</x:v>
      </x:c>
      <x:c r="N10" s="34" t="n">
        <x:v>47.596</x:v>
      </x:c>
      <x:c r="O10" s="34" t="n">
        <x:v>7.961999</x:v>
      </x:c>
      <x:c r="P10" s="34" t="n">
        <x:v>9</x:v>
      </x:c>
      <x:c r="Q10" s="34" t="n">
        <x:v>1.038001</x:v>
      </x:c>
      <x:c r="R10" s="34" t="n">
        <x:v>88.467</x:v>
      </x:c>
      <x:c r="S10" s="40" t="b">
        <x:v>1</x:v>
      </x:c>
      <x:c r="T10" s="34" t="str">
        <x:v>model_interpolation</x:v>
      </x:c>
      <x:c r="U10" s="34" t="str">
        <x:v>Linear interpolation from 2030 to 2035</x:v>
      </x:c>
      <x:c r="V10" s="34" t="str">
        <x:v>CAND-0B566F19FFC9A2</x:v>
      </x:c>
      <x:c r="W10" s="34" t="str">
        <x:v>P2</x:v>
      </x:c>
      <x:c r="X10" s="34" t="str">
        <x:v>PORT-CCD4397FA6D4</x:v>
      </x:c>
      <x:c r="Y10" s="34" t="n">
        <x:v>1000</x:v>
      </x:c>
      <x:c r="Z10" s="34" t="n">
        <x:v>113.380842</x:v>
      </x:c>
      <x:c r="AA10" s="34" t="n">
        <x:v>30.812167</x:v>
      </x:c>
      <x:c r="AB10" s="34" t="n">
        <x:v>281.895878</x:v>
      </x:c>
      <x:c r="AC10" s="34" t="n">
        <x:v>31362.25</x:v>
      </x:c>
      <x:c r="AD10" s="34" t="n">
        <x:v>111.25473</x:v>
      </x:c>
      <x:c r="AE10" s="40" t="b">
        <x:v>1</x:v>
      </x:c>
      <x:c r="AF10" s="40" t="b">
        <x:v>1</x:v>
      </x:c>
      <x:c r="AG10" s="34" t="str"/>
      <x:c r="AH10" s="34" t="n">
        <x:v>0</x:v>
      </x:c>
      <x:c r="AI10" s="34" t="str">
        <x:v>1.265341119704999e-05</x:v>
      </x:c>
      <x:c r="AJ10" s="40" t="b">
        <x:v>1</x:v>
      </x:c>
      <x:c r="AK10" s="40" t="b">
        <x:v>1</x:v>
      </x:c>
      <x:c r="AL10" s="40" t="b">
        <x:v>1</x:v>
      </x:c>
      <x:c r="AM10" s="40" t="b">
        <x:v>1</x:v>
      </x:c>
      <x:c r="AN10" s="34" t="str"/>
      <x:c r="AO10" s="34" t="n">
        <x:v>0</x:v>
      </x:c>
      <x:c r="AP10" s="34" t="n">
        <x:v>0</x:v>
      </x:c>
      <x:c r="AQ10" s="34" t="n">
        <x:v>0</x:v>
      </x:c>
      <x:c r="AR10" s="34" t="n">
        <x:v>2</x:v>
      </x:c>
      <x:c r="AS10" s="34" t="n">
        <x:v>3</x:v>
      </x:c>
      <x:c r="AT10" s="34" t="n">
        <x:v>0.3119871999999999</x:v>
      </x:c>
      <x:c r="AU10" s="34" t="n">
        <x:v>0.65</x:v>
      </x:c>
      <x:c r="AV10" s="34" t="n">
        <x:v>1.1400000000000001</x:v>
      </x:c>
    </x:row>
    <x:row r="11">
      <x:c r="A11" s="34" t="str">
        <x:v>JFE_STEEL_JP</x:v>
      </x:c>
      <x:c r="B11" s="34" t="str">
        <x:v>JFE Steel</x:v>
      </x:c>
      <x:c r="C11" s="34" t="str">
        <x:v>DISCLOSED_PATH</x:v>
      </x:c>
      <x:c r="D11" s="34" t="str">
        <x:v>P2</x:v>
      </x:c>
      <x:c r="E11" s="34" t="n">
        <x:v>2035</x:v>
      </x:c>
      <x:c r="F11" s="34" t="n">
        <x:v>3</x:v>
      </x:c>
      <x:c r="G11" s="34" t="n">
        <x:v>8.1</x:v>
      </x:c>
      <x:c r="H11" s="34" t="n">
        <x:v>12</x:v>
      </x:c>
      <x:c r="I11" s="34" t="n">
        <x:v>3.9</x:v>
      </x:c>
      <x:c r="J11" s="34" t="n">
        <x:v>67.5</x:v>
      </x:c>
      <x:c r="K11" s="34" t="n">
        <x:v>0.495</x:v>
      </x:c>
      <x:c r="L11" s="34" t="n">
        <x:v>1.2</x:v>
      </x:c>
      <x:c r="M11" s="34" t="n">
        <x:v>0.705</x:v>
      </x:c>
      <x:c r="N11" s="34" t="n">
        <x:v>41.25</x:v>
      </x:c>
      <x:c r="O11" s="34" t="n">
        <x:v>7.961999</x:v>
      </x:c>
      <x:c r="P11" s="34" t="n">
        <x:v>10</x:v>
      </x:c>
      <x:c r="Q11" s="34" t="n">
        <x:v>2.038001</x:v>
      </x:c>
      <x:c r="R11" s="34" t="n">
        <x:v>79.62</x:v>
      </x:c>
      <x:c r="S11" s="40" t="b">
        <x:v>1</x:v>
      </x:c>
      <x:c r="T11" s="34" t="str">
        <x:v>model_interpolation</x:v>
      </x:c>
      <x:c r="U11" s="34" t="str">
        <x:v>Linear interpolation from 2035 to 2040</x:v>
      </x:c>
      <x:c r="V11" s="34" t="str">
        <x:v>CAND-0B566F19FFC9A2</x:v>
      </x:c>
      <x:c r="W11" s="34" t="str">
        <x:v>P2</x:v>
      </x:c>
      <x:c r="X11" s="34" t="str">
        <x:v>PORT-CCD4397FA6D4</x:v>
      </x:c>
      <x:c r="Y11" s="34" t="n">
        <x:v>1000</x:v>
      </x:c>
      <x:c r="Z11" s="34" t="n">
        <x:v>113.380842</x:v>
      </x:c>
      <x:c r="AA11" s="34" t="n">
        <x:v>30.812167</x:v>
      </x:c>
      <x:c r="AB11" s="34" t="n">
        <x:v>281.895878</x:v>
      </x:c>
      <x:c r="AC11" s="34" t="n">
        <x:v>31362.25</x:v>
      </x:c>
      <x:c r="AD11" s="34" t="n">
        <x:v>111.25473</x:v>
      </x:c>
      <x:c r="AE11" s="40" t="b">
        <x:v>1</x:v>
      </x:c>
      <x:c r="AF11" s="40" t="b">
        <x:v>1</x:v>
      </x:c>
      <x:c r="AG11" s="34" t="str"/>
      <x:c r="AH11" s="34" t="n">
        <x:v>0</x:v>
      </x:c>
      <x:c r="AI11" s="34" t="str">
        <x:v>1.265341119704999e-05</x:v>
      </x:c>
      <x:c r="AJ11" s="40" t="b">
        <x:v>1</x:v>
      </x:c>
      <x:c r="AK11" s="40" t="b">
        <x:v>1</x:v>
      </x:c>
      <x:c r="AL11" s="40" t="b">
        <x:v>1</x:v>
      </x:c>
      <x:c r="AM11" s="40" t="b">
        <x:v>1</x:v>
      </x:c>
      <x:c r="AN11" s="34" t="str"/>
      <x:c r="AO11" s="34" t="n">
        <x:v>0</x:v>
      </x:c>
      <x:c r="AP11" s="34" t="n">
        <x:v>0</x:v>
      </x:c>
      <x:c r="AQ11" s="34" t="n">
        <x:v>0</x:v>
      </x:c>
      <x:c r="AR11" s="34" t="n">
        <x:v>2</x:v>
      </x:c>
      <x:c r="AS11" s="34" t="n">
        <x:v>3</x:v>
      </x:c>
      <x:c r="AT11" s="34" t="n">
        <x:v>0.3119871999999999</x:v>
      </x:c>
      <x:c r="AU11" s="34" t="n">
        <x:v>0.65</x:v>
      </x:c>
      <x:c r="AV11" s="34" t="n">
        <x:v>1.1400000000000001</x:v>
      </x:c>
    </x:row>
    <x:row r="12">
      <x:c r="A12" s="34" t="str">
        <x:v>JFE_STEEL_JP</x:v>
      </x:c>
      <x:c r="B12" s="34" t="str">
        <x:v>JFE Steel</x:v>
      </x:c>
      <x:c r="C12" s="34" t="str">
        <x:v>DISCLOSED_PATH</x:v>
      </x:c>
      <x:c r="D12" s="34" t="str">
        <x:v>P2</x:v>
      </x:c>
      <x:c r="E12" s="34" t="n">
        <x:v>2036</x:v>
      </x:c>
      <x:c r="F12" s="34" t="n">
        <x:v>4</x:v>
      </x:c>
      <x:c r="G12" s="34" t="n">
        <x:v>8.9175</x:v>
      </x:c>
      <x:c r="H12" s="34" t="n">
        <x:v>13</x:v>
      </x:c>
      <x:c r="I12" s="34" t="n">
        <x:v>4.0825</x:v>
      </x:c>
      <x:c r="J12" s="34" t="n">
        <x:v>68.596</x:v>
      </x:c>
      <x:c r="K12" s="34" t="n">
        <x:v>0.495</x:v>
      </x:c>
      <x:c r="L12" s="34" t="n">
        <x:v>1.4</x:v>
      </x:c>
      <x:c r="M12" s="34" t="n">
        <x:v>0.905</x:v>
      </x:c>
      <x:c r="N12" s="34" t="n">
        <x:v>35.357</x:v>
      </x:c>
      <x:c r="O12" s="34" t="n">
        <x:v>8.016499</x:v>
      </x:c>
      <x:c r="P12" s="34" t="n">
        <x:v>11.4</x:v>
      </x:c>
      <x:c r="Q12" s="34" t="n">
        <x:v>3.383501</x:v>
      </x:c>
      <x:c r="R12" s="34" t="n">
        <x:v>70.32</x:v>
      </x:c>
      <x:c r="S12" s="40" t="b">
        <x:v>1</x:v>
      </x:c>
      <x:c r="T12" s="34" t="str">
        <x:v>model_interpolation</x:v>
      </x:c>
      <x:c r="U12" s="34" t="str">
        <x:v>Linear interpolation from 2035 to 2040</x:v>
      </x:c>
      <x:c r="V12" s="34" t="str">
        <x:v>CAND-0B566F19FFC9A2</x:v>
      </x:c>
      <x:c r="W12" s="34" t="str">
        <x:v>P2</x:v>
      </x:c>
      <x:c r="X12" s="34" t="str">
        <x:v>PORT-CCD4397FA6D4</x:v>
      </x:c>
      <x:c r="Y12" s="34" t="n">
        <x:v>1000</x:v>
      </x:c>
      <x:c r="Z12" s="34" t="n">
        <x:v>113.380842</x:v>
      </x:c>
      <x:c r="AA12" s="34" t="n">
        <x:v>30.812167</x:v>
      </x:c>
      <x:c r="AB12" s="34" t="n">
        <x:v>281.895878</x:v>
      </x:c>
      <x:c r="AC12" s="34" t="n">
        <x:v>31362.25</x:v>
      </x:c>
      <x:c r="AD12" s="34" t="n">
        <x:v>111.25473</x:v>
      </x:c>
      <x:c r="AE12" s="40" t="b">
        <x:v>1</x:v>
      </x:c>
      <x:c r="AF12" s="40" t="b">
        <x:v>1</x:v>
      </x:c>
      <x:c r="AG12" s="34" t="str"/>
      <x:c r="AH12" s="34" t="n">
        <x:v>0</x:v>
      </x:c>
      <x:c r="AI12" s="34" t="str">
        <x:v>1.265341119704999e-05</x:v>
      </x:c>
      <x:c r="AJ12" s="40" t="b">
        <x:v>1</x:v>
      </x:c>
      <x:c r="AK12" s="40" t="b">
        <x:v>1</x:v>
      </x:c>
      <x:c r="AL12" s="40" t="b">
        <x:v>1</x:v>
      </x:c>
      <x:c r="AM12" s="40" t="b">
        <x:v>1</x:v>
      </x:c>
      <x:c r="AN12" s="34" t="str"/>
      <x:c r="AO12" s="34" t="n">
        <x:v>0</x:v>
      </x:c>
      <x:c r="AP12" s="34" t="n">
        <x:v>0</x:v>
      </x:c>
      <x:c r="AQ12" s="34" t="n">
        <x:v>0</x:v>
      </x:c>
      <x:c r="AR12" s="34" t="n">
        <x:v>2</x:v>
      </x:c>
      <x:c r="AS12" s="34" t="n">
        <x:v>3</x:v>
      </x:c>
      <x:c r="AT12" s="34" t="n">
        <x:v>0.3119871999999999</x:v>
      </x:c>
      <x:c r="AU12" s="34" t="n">
        <x:v>0.65</x:v>
      </x:c>
      <x:c r="AV12" s="34" t="n">
        <x:v>1.1400000000000001</x:v>
      </x:c>
    </x:row>
    <x:row r="13">
      <x:c r="A13" s="34" t="str">
        <x:v>JFE_STEEL_JP</x:v>
      </x:c>
      <x:c r="B13" s="34" t="str">
        <x:v>JFE Steel</x:v>
      </x:c>
      <x:c r="C13" s="34" t="str">
        <x:v>DISCLOSED_PATH</x:v>
      </x:c>
      <x:c r="D13" s="34" t="str">
        <x:v>P2</x:v>
      </x:c>
      <x:c r="E13" s="34" t="n">
        <x:v>2037</x:v>
      </x:c>
      <x:c r="F13" s="34" t="n">
        <x:v>4</x:v>
      </x:c>
      <x:c r="G13" s="34" t="n">
        <x:v>8.9175</x:v>
      </x:c>
      <x:c r="H13" s="34" t="n">
        <x:v>14</x:v>
      </x:c>
      <x:c r="I13" s="34" t="n">
        <x:v>5.0825</x:v>
      </x:c>
      <x:c r="J13" s="34" t="n">
        <x:v>63.696</x:v>
      </x:c>
      <x:c r="K13" s="34" t="n">
        <x:v>0.495</x:v>
      </x:c>
      <x:c r="L13" s="34" t="n">
        <x:v>1.6</x:v>
      </x:c>
      <x:c r="M13" s="34" t="n">
        <x:v>1.105</x:v>
      </x:c>
      <x:c r="N13" s="34" t="n">
        <x:v>30.937</x:v>
      </x:c>
      <x:c r="O13" s="34" t="n">
        <x:v>8.016499</x:v>
      </x:c>
      <x:c r="P13" s="34" t="n">
        <x:v>12.8</x:v>
      </x:c>
      <x:c r="Q13" s="34" t="n">
        <x:v>4.783501</x:v>
      </x:c>
      <x:c r="R13" s="34" t="n">
        <x:v>62.629</x:v>
      </x:c>
      <x:c r="S13" s="40" t="b">
        <x:v>1</x:v>
      </x:c>
      <x:c r="T13" s="34" t="str">
        <x:v>model_interpolation</x:v>
      </x:c>
      <x:c r="U13" s="34" t="str">
        <x:v>Linear interpolation from 2035 to 2040</x:v>
      </x:c>
      <x:c r="V13" s="34" t="str">
        <x:v>CAND-0B566F19FFC9A2</x:v>
      </x:c>
      <x:c r="W13" s="34" t="str">
        <x:v>P2</x:v>
      </x:c>
      <x:c r="X13" s="34" t="str">
        <x:v>PORT-CCD4397FA6D4</x:v>
      </x:c>
      <x:c r="Y13" s="34" t="n">
        <x:v>1000</x:v>
      </x:c>
      <x:c r="Z13" s="34" t="n">
        <x:v>113.380842</x:v>
      </x:c>
      <x:c r="AA13" s="34" t="n">
        <x:v>30.812167</x:v>
      </x:c>
      <x:c r="AB13" s="34" t="n">
        <x:v>281.895878</x:v>
      </x:c>
      <x:c r="AC13" s="34" t="n">
        <x:v>31362.25</x:v>
      </x:c>
      <x:c r="AD13" s="34" t="n">
        <x:v>111.25473</x:v>
      </x:c>
      <x:c r="AE13" s="40" t="b">
        <x:v>1</x:v>
      </x:c>
      <x:c r="AF13" s="40" t="b">
        <x:v>1</x:v>
      </x:c>
      <x:c r="AG13" s="34" t="str"/>
      <x:c r="AH13" s="34" t="n">
        <x:v>0</x:v>
      </x:c>
      <x:c r="AI13" s="34" t="str">
        <x:v>1.265341119704999e-05</x:v>
      </x:c>
      <x:c r="AJ13" s="40" t="b">
        <x:v>1</x:v>
      </x:c>
      <x:c r="AK13" s="40" t="b">
        <x:v>1</x:v>
      </x:c>
      <x:c r="AL13" s="40" t="b">
        <x:v>1</x:v>
      </x:c>
      <x:c r="AM13" s="40" t="b">
        <x:v>1</x:v>
      </x:c>
      <x:c r="AN13" s="34" t="str"/>
      <x:c r="AO13" s="34" t="n">
        <x:v>0</x:v>
      </x:c>
      <x:c r="AP13" s="34" t="n">
        <x:v>0</x:v>
      </x:c>
      <x:c r="AQ13" s="34" t="n">
        <x:v>0</x:v>
      </x:c>
      <x:c r="AR13" s="34" t="n">
        <x:v>2</x:v>
      </x:c>
      <x:c r="AS13" s="34" t="n">
        <x:v>3</x:v>
      </x:c>
      <x:c r="AT13" s="34" t="n">
        <x:v>0.3119871999999999</x:v>
      </x:c>
      <x:c r="AU13" s="34" t="n">
        <x:v>0.65</x:v>
      </x:c>
      <x:c r="AV13" s="34" t="n">
        <x:v>1.1400000000000001</x:v>
      </x:c>
    </x:row>
    <x:row r="14">
      <x:c r="A14" s="34" t="str">
        <x:v>JFE_STEEL_JP</x:v>
      </x:c>
      <x:c r="B14" s="34" t="str">
        <x:v>JFE Steel</x:v>
      </x:c>
      <x:c r="C14" s="34" t="str">
        <x:v>DISCLOSED_PATH</x:v>
      </x:c>
      <x:c r="D14" s="34" t="str">
        <x:v>P2</x:v>
      </x:c>
      <x:c r="E14" s="34" t="n">
        <x:v>2038</x:v>
      </x:c>
      <x:c r="F14" s="34" t="n">
        <x:v>4</x:v>
      </x:c>
      <x:c r="G14" s="34" t="n">
        <x:v>8.9175</x:v>
      </x:c>
      <x:c r="H14" s="34" t="n">
        <x:v>15</x:v>
      </x:c>
      <x:c r="I14" s="34" t="n">
        <x:v>6.0825</x:v>
      </x:c>
      <x:c r="J14" s="34" t="n">
        <x:v>59.45</x:v>
      </x:c>
      <x:c r="K14" s="34" t="n">
        <x:v>0.495</x:v>
      </x:c>
      <x:c r="L14" s="34" t="n">
        <x:v>1.8</x:v>
      </x:c>
      <x:c r="M14" s="34" t="n">
        <x:v>1.305</x:v>
      </x:c>
      <x:c r="N14" s="34" t="n">
        <x:v>27.5</x:v>
      </x:c>
      <x:c r="O14" s="34" t="n">
        <x:v>8.016499</x:v>
      </x:c>
      <x:c r="P14" s="34" t="n">
        <x:v>14.2</x:v>
      </x:c>
      <x:c r="Q14" s="34" t="n">
        <x:v>6.183501</x:v>
      </x:c>
      <x:c r="R14" s="34" t="n">
        <x:v>56.454</x:v>
      </x:c>
      <x:c r="S14" s="40" t="b">
        <x:v>1</x:v>
      </x:c>
      <x:c r="T14" s="34" t="str">
        <x:v>model_interpolation</x:v>
      </x:c>
      <x:c r="U14" s="34" t="str">
        <x:v>Linear interpolation from 2035 to 2040</x:v>
      </x:c>
      <x:c r="V14" s="34" t="str">
        <x:v>CAND-0B566F19FFC9A2</x:v>
      </x:c>
      <x:c r="W14" s="34" t="str">
        <x:v>P2</x:v>
      </x:c>
      <x:c r="X14" s="34" t="str">
        <x:v>PORT-CCD4397FA6D4</x:v>
      </x:c>
      <x:c r="Y14" s="34" t="n">
        <x:v>1000</x:v>
      </x:c>
      <x:c r="Z14" s="34" t="n">
        <x:v>113.380842</x:v>
      </x:c>
      <x:c r="AA14" s="34" t="n">
        <x:v>30.812167</x:v>
      </x:c>
      <x:c r="AB14" s="34" t="n">
        <x:v>281.895878</x:v>
      </x:c>
      <x:c r="AC14" s="34" t="n">
        <x:v>31362.25</x:v>
      </x:c>
      <x:c r="AD14" s="34" t="n">
        <x:v>111.25473</x:v>
      </x:c>
      <x:c r="AE14" s="40" t="b">
        <x:v>1</x:v>
      </x:c>
      <x:c r="AF14" s="40" t="b">
        <x:v>1</x:v>
      </x:c>
      <x:c r="AG14" s="34" t="str"/>
      <x:c r="AH14" s="34" t="n">
        <x:v>0</x:v>
      </x:c>
      <x:c r="AI14" s="34" t="str">
        <x:v>1.265341119704999e-05</x:v>
      </x:c>
      <x:c r="AJ14" s="40" t="b">
        <x:v>1</x:v>
      </x:c>
      <x:c r="AK14" s="40" t="b">
        <x:v>1</x:v>
      </x:c>
      <x:c r="AL14" s="40" t="b">
        <x:v>1</x:v>
      </x:c>
      <x:c r="AM14" s="40" t="b">
        <x:v>1</x:v>
      </x:c>
      <x:c r="AN14" s="34" t="str"/>
      <x:c r="AO14" s="34" t="n">
        <x:v>0</x:v>
      </x:c>
      <x:c r="AP14" s="34" t="n">
        <x:v>0</x:v>
      </x:c>
      <x:c r="AQ14" s="34" t="n">
        <x:v>0</x:v>
      </x:c>
      <x:c r="AR14" s="34" t="n">
        <x:v>2</x:v>
      </x:c>
      <x:c r="AS14" s="34" t="n">
        <x:v>3</x:v>
      </x:c>
      <x:c r="AT14" s="34" t="n">
        <x:v>0.3119871999999999</x:v>
      </x:c>
      <x:c r="AU14" s="34" t="n">
        <x:v>0.65</x:v>
      </x:c>
      <x:c r="AV14" s="34" t="n">
        <x:v>1.1400000000000001</x:v>
      </x:c>
    </x:row>
    <x:row r="15">
      <x:c r="A15" s="34" t="str">
        <x:v>JFE_STEEL_JP</x:v>
      </x:c>
      <x:c r="B15" s="34" t="str">
        <x:v>JFE Steel</x:v>
      </x:c>
      <x:c r="C15" s="34" t="str">
        <x:v>DISCLOSED_PATH</x:v>
      </x:c>
      <x:c r="D15" s="34" t="str">
        <x:v>P2</x:v>
      </x:c>
      <x:c r="E15" s="34" t="n">
        <x:v>2039</x:v>
      </x:c>
      <x:c r="F15" s="34" t="n">
        <x:v>4</x:v>
      </x:c>
      <x:c r="G15" s="34" t="n">
        <x:v>8.9175</x:v>
      </x:c>
      <x:c r="H15" s="34" t="n">
        <x:v>16</x:v>
      </x:c>
      <x:c r="I15" s="34" t="n">
        <x:v>7.0825</x:v>
      </x:c>
      <x:c r="J15" s="34" t="n">
        <x:v>55.734</x:v>
      </x:c>
      <x:c r="K15" s="34" t="n">
        <x:v>0.495</x:v>
      </x:c>
      <x:c r="L15" s="34" t="n">
        <x:v>2</x:v>
      </x:c>
      <x:c r="M15" s="34" t="n">
        <x:v>1.505</x:v>
      </x:c>
      <x:c r="N15" s="34" t="n">
        <x:v>24.75</x:v>
      </x:c>
      <x:c r="O15" s="34" t="n">
        <x:v>8.016499</x:v>
      </x:c>
      <x:c r="P15" s="34" t="n">
        <x:v>15.600000000000001</x:v>
      </x:c>
      <x:c r="Q15" s="34" t="n">
        <x:v>7.583501</x:v>
      </x:c>
      <x:c r="R15" s="34" t="n">
        <x:v>51.388</x:v>
      </x:c>
      <x:c r="S15" s="40" t="b">
        <x:v>1</x:v>
      </x:c>
      <x:c r="T15" s="34" t="str">
        <x:v>model_interpolation</x:v>
      </x:c>
      <x:c r="U15" s="34" t="str">
        <x:v>Linear interpolation from 2035 to 2040</x:v>
      </x:c>
      <x:c r="V15" s="34" t="str">
        <x:v>CAND-0B566F19FFC9A2</x:v>
      </x:c>
      <x:c r="W15" s="34" t="str">
        <x:v>P2</x:v>
      </x:c>
      <x:c r="X15" s="34" t="str">
        <x:v>PORT-CCD4397FA6D4</x:v>
      </x:c>
      <x:c r="Y15" s="34" t="n">
        <x:v>1000</x:v>
      </x:c>
      <x:c r="Z15" s="34" t="n">
        <x:v>113.380842</x:v>
      </x:c>
      <x:c r="AA15" s="34" t="n">
        <x:v>30.812167</x:v>
      </x:c>
      <x:c r="AB15" s="34" t="n">
        <x:v>281.895878</x:v>
      </x:c>
      <x:c r="AC15" s="34" t="n">
        <x:v>31362.25</x:v>
      </x:c>
      <x:c r="AD15" s="34" t="n">
        <x:v>111.25473</x:v>
      </x:c>
      <x:c r="AE15" s="40" t="b">
        <x:v>1</x:v>
      </x:c>
      <x:c r="AF15" s="40" t="b">
        <x:v>1</x:v>
      </x:c>
      <x:c r="AG15" s="34" t="str"/>
      <x:c r="AH15" s="34" t="n">
        <x:v>0</x:v>
      </x:c>
      <x:c r="AI15" s="34" t="str">
        <x:v>1.265341119704999e-05</x:v>
      </x:c>
      <x:c r="AJ15" s="40" t="b">
        <x:v>1</x:v>
      </x:c>
      <x:c r="AK15" s="40" t="b">
        <x:v>1</x:v>
      </x:c>
      <x:c r="AL15" s="40" t="b">
        <x:v>1</x:v>
      </x:c>
      <x:c r="AM15" s="40" t="b">
        <x:v>1</x:v>
      </x:c>
      <x:c r="AN15" s="34" t="str"/>
      <x:c r="AO15" s="34" t="n">
        <x:v>0</x:v>
      </x:c>
      <x:c r="AP15" s="34" t="n">
        <x:v>0</x:v>
      </x:c>
      <x:c r="AQ15" s="34" t="n">
        <x:v>0</x:v>
      </x:c>
      <x:c r="AR15" s="34" t="n">
        <x:v>2</x:v>
      </x:c>
      <x:c r="AS15" s="34" t="n">
        <x:v>3</x:v>
      </x:c>
      <x:c r="AT15" s="34" t="n">
        <x:v>0.3119871999999999</x:v>
      </x:c>
      <x:c r="AU15" s="34" t="n">
        <x:v>0.65</x:v>
      </x:c>
      <x:c r="AV15" s="34" t="n">
        <x:v>1.1400000000000001</x:v>
      </x:c>
    </x:row>
    <x:row r="16">
      <x:c r="A16" s="34" t="str">
        <x:v>JFE_STEEL_JP</x:v>
      </x:c>
      <x:c r="B16" s="34" t="str">
        <x:v>JFE Steel</x:v>
      </x:c>
      <x:c r="C16" s="34" t="str">
        <x:v>DISCLOSED_PATH</x:v>
      </x:c>
      <x:c r="D16" s="34" t="str">
        <x:v>P2</x:v>
      </x:c>
      <x:c r="E16" s="34" t="n">
        <x:v>2040</x:v>
      </x:c>
      <x:c r="F16" s="34" t="n">
        <x:v>4</x:v>
      </x:c>
      <x:c r="G16" s="34" t="n">
        <x:v>8.9175</x:v>
      </x:c>
      <x:c r="H16" s="34" t="n">
        <x:v>17</x:v>
      </x:c>
      <x:c r="I16" s="34" t="n">
        <x:v>8.0825</x:v>
      </x:c>
      <x:c r="J16" s="34" t="n">
        <x:v>52.456</x:v>
      </x:c>
      <x:c r="K16" s="34" t="n">
        <x:v>0.495</x:v>
      </x:c>
      <x:c r="L16" s="34" t="n">
        <x:v>2.2</x:v>
      </x:c>
      <x:c r="M16" s="34" t="n">
        <x:v>1.705</x:v>
      </x:c>
      <x:c r="N16" s="34" t="n">
        <x:v>22.5</x:v>
      </x:c>
      <x:c r="O16" s="34" t="n">
        <x:v>8.016499</x:v>
      </x:c>
      <x:c r="P16" s="34" t="n">
        <x:v>17</x:v>
      </x:c>
      <x:c r="Q16" s="34" t="n">
        <x:v>8.983501</x:v>
      </x:c>
      <x:c r="R16" s="34" t="n">
        <x:v>47.156</x:v>
      </x:c>
      <x:c r="S16" s="40" t="b">
        <x:v>1</x:v>
      </x:c>
      <x:c r="T16" s="34" t="str">
        <x:v>model_estimate</x:v>
      </x:c>
      <x:c r="U16" s="34" t="str">
        <x:v>Illustrative screening envelope; not an official supply forecast</x:v>
      </x:c>
      <x:c r="V16" s="34" t="str">
        <x:v>CAND-0B566F19FFC9A2</x:v>
      </x:c>
      <x:c r="W16" s="34" t="str">
        <x:v>P2</x:v>
      </x:c>
      <x:c r="X16" s="34" t="str">
        <x:v>PORT-CCD4397FA6D4</x:v>
      </x:c>
      <x:c r="Y16" s="34" t="n">
        <x:v>1000</x:v>
      </x:c>
      <x:c r="Z16" s="34" t="n">
        <x:v>113.380842</x:v>
      </x:c>
      <x:c r="AA16" s="34" t="n">
        <x:v>30.812167</x:v>
      </x:c>
      <x:c r="AB16" s="34" t="n">
        <x:v>281.895878</x:v>
      </x:c>
      <x:c r="AC16" s="34" t="n">
        <x:v>31362.25</x:v>
      </x:c>
      <x:c r="AD16" s="34" t="n">
        <x:v>111.25473</x:v>
      </x:c>
      <x:c r="AE16" s="40" t="b">
        <x:v>1</x:v>
      </x:c>
      <x:c r="AF16" s="40" t="b">
        <x:v>1</x:v>
      </x:c>
      <x:c r="AG16" s="34" t="str"/>
      <x:c r="AH16" s="34" t="n">
        <x:v>0</x:v>
      </x:c>
      <x:c r="AI16" s="34" t="str">
        <x:v>1.265341119704999e-05</x:v>
      </x:c>
      <x:c r="AJ16" s="40" t="b">
        <x:v>1</x:v>
      </x:c>
      <x:c r="AK16" s="40" t="b">
        <x:v>1</x:v>
      </x:c>
      <x:c r="AL16" s="40" t="b">
        <x:v>1</x:v>
      </x:c>
      <x:c r="AM16" s="40" t="b">
        <x:v>1</x:v>
      </x:c>
      <x:c r="AN16" s="34" t="str"/>
      <x:c r="AO16" s="34" t="n">
        <x:v>0</x:v>
      </x:c>
      <x:c r="AP16" s="34" t="n">
        <x:v>0</x:v>
      </x:c>
      <x:c r="AQ16" s="34" t="n">
        <x:v>0</x:v>
      </x:c>
      <x:c r="AR16" s="34" t="n">
        <x:v>2</x:v>
      </x:c>
      <x:c r="AS16" s="34" t="n">
        <x:v>3</x:v>
      </x:c>
      <x:c r="AT16" s="34" t="n">
        <x:v>0.3119871999999999</x:v>
      </x:c>
      <x:c r="AU16" s="34" t="n">
        <x:v>0.65</x:v>
      </x:c>
      <x:c r="AV16" s="34" t="n">
        <x:v>1.1400000000000001</x:v>
      </x:c>
    </x:row>
    <x:row r="17">
      <x:c r="A17" s="34" t="str">
        <x:v>JFE_STEEL_JP</x:v>
      </x:c>
      <x:c r="B17" s="34" t="str">
        <x:v>JFE Steel</x:v>
      </x:c>
      <x:c r="C17" s="34" t="str">
        <x:v>ACCELERATED_15C</x:v>
      </x:c>
      <x:c r="D17" s="34" t="str">
        <x:v>P2</x:v>
      </x:c>
      <x:c r="E17" s="34" t="n">
        <x:v>2026</x:v>
      </x:c>
      <x:c r="F17" s="34" t="n">
        <x:v>0</x:v>
      </x:c>
      <x:c r="G17" s="34" t="n">
        <x:v>0</x:v>
      </x:c>
      <x:c r="H17" s="34" t="n">
        <x:v>5</x:v>
      </x:c>
      <x:c r="I17" s="34" t="n">
        <x:v>5</x:v>
      </x:c>
      <x:c r="J17" s="34" t="n">
        <x:v>0</x:v>
      </x:c>
      <x:c r="K17" s="34" t="n">
        <x:v>0</x:v>
      </x:c>
      <x:c r="L17" s="34" t="n">
        <x:v>0.1</x:v>
      </x:c>
      <x:c r="M17" s="34" t="n">
        <x:v>0.1</x:v>
      </x:c>
      <x:c r="N17" s="34" t="n">
        <x:v>0</x:v>
      </x:c>
      <x:c r="O17" s="34" t="n">
        <x:v>0</x:v>
      </x:c>
      <x:c r="P17" s="34" t="n">
        <x:v>1.5</x:v>
      </x:c>
      <x:c r="Q17" s="34" t="n">
        <x:v>1.5</x:v>
      </x:c>
      <x:c r="R17" s="34" t="n">
        <x:v>0</x:v>
      </x:c>
      <x:c r="S17" s="40" t="b">
        <x:v>1</x:v>
      </x:c>
      <x:c r="T17" s="34" t="str">
        <x:v>model_interpolation</x:v>
      </x:c>
      <x:c r="U17" s="34" t="str">
        <x:v>Linear interpolation from 2026 to 2030</x:v>
      </x:c>
      <x:c r="V17" s="34" t="str">
        <x:v>CAND-0B566F19FFC9A2</x:v>
      </x:c>
      <x:c r="W17" s="34" t="str">
        <x:v>P2</x:v>
      </x:c>
      <x:c r="X17" s="34" t="str">
        <x:v>PORT-CCD4397FA6D4</x:v>
      </x:c>
      <x:c r="Y17" s="34" t="n">
        <x:v>1000</x:v>
      </x:c>
      <x:c r="Z17" s="34" t="n">
        <x:v>105.19455</x:v>
      </x:c>
      <x:c r="AA17" s="34" t="n">
        <x:v>32.737156</x:v>
      </x:c>
      <x:c r="AB17" s="34" t="n">
        <x:v>281.895878</x:v>
      </x:c>
      <x:c r="AC17" s="34" t="n">
        <x:v>29040.327</x:v>
      </x:c>
      <x:c r="AD17" s="34" t="n">
        <x:v>103.01792</x:v>
      </x:c>
      <x:c r="AE17" s="40" t="b">
        <x:v>0</x:v>
      </x:c>
      <x:c r="AF17" s="40" t="b">
        <x:v>0</x:v>
      </x:c>
      <x:c r="AG17" s="34" t="n">
        <x:v>2040</x:v>
      </x:c>
      <x:c r="AH17" s="34" t="n">
        <x:v>5.28499579</x:v>
      </x:c>
      <x:c r="AI17" s="34" t="n">
        <x:v>-5.28499579</x:v>
      </x:c>
      <x:c r="AJ17" s="40" t="b">
        <x:v>1</x:v>
      </x:c>
      <x:c r="AK17" s="40" t="b">
        <x:v>1</x:v>
      </x:c>
      <x:c r="AL17" s="40" t="b">
        <x:v>1</x:v>
      </x:c>
      <x:c r="AM17" s="40" t="b">
        <x:v>1</x:v>
      </x:c>
      <x:c r="AN17" s="34" t="str"/>
      <x:c r="AO17" s="34" t="n">
        <x:v>0</x:v>
      </x:c>
      <x:c r="AP17" s="34" t="n">
        <x:v>0</x:v>
      </x:c>
      <x:c r="AQ17" s="34" t="n">
        <x:v>0</x:v>
      </x:c>
      <x:c r="AR17" s="34" t="n">
        <x:v>2</x:v>
      </x:c>
      <x:c r="AS17" s="34" t="n">
        <x:v>3</x:v>
      </x:c>
      <x:c r="AT17" s="34" t="n">
        <x:v>0.3119871999999999</x:v>
      </x:c>
      <x:c r="AU17" s="34" t="n">
        <x:v>0.65</x:v>
      </x:c>
      <x:c r="AV17" s="34" t="n">
        <x:v>1.1400000000000001</x:v>
      </x:c>
    </x:row>
    <x:row r="18">
      <x:c r="A18" s="34" t="str">
        <x:v>JFE_STEEL_JP</x:v>
      </x:c>
      <x:c r="B18" s="34" t="str">
        <x:v>JFE Steel</x:v>
      </x:c>
      <x:c r="C18" s="34" t="str">
        <x:v>ACCELERATED_15C</x:v>
      </x:c>
      <x:c r="D18" s="34" t="str">
        <x:v>P2</x:v>
      </x:c>
      <x:c r="E18" s="34" t="n">
        <x:v>2027</x:v>
      </x:c>
      <x:c r="F18" s="34" t="n">
        <x:v>0</x:v>
      </x:c>
      <x:c r="G18" s="34" t="n">
        <x:v>0</x:v>
      </x:c>
      <x:c r="H18" s="34" t="n">
        <x:v>6.25</x:v>
      </x:c>
      <x:c r="I18" s="34" t="n">
        <x:v>6.25</x:v>
      </x:c>
      <x:c r="J18" s="34" t="n">
        <x:v>0</x:v>
      </x:c>
      <x:c r="K18" s="34" t="n">
        <x:v>0</x:v>
      </x:c>
      <x:c r="L18" s="34" t="n">
        <x:v>0.225</x:v>
      </x:c>
      <x:c r="M18" s="34" t="n">
        <x:v>0.225</x:v>
      </x:c>
      <x:c r="N18" s="34" t="n">
        <x:v>0</x:v>
      </x:c>
      <x:c r="O18" s="34" t="n">
        <x:v>0</x:v>
      </x:c>
      <x:c r="P18" s="34" t="n">
        <x:v>2.875</x:v>
      </x:c>
      <x:c r="Q18" s="34" t="n">
        <x:v>2.875</x:v>
      </x:c>
      <x:c r="R18" s="34" t="n">
        <x:v>0</x:v>
      </x:c>
      <x:c r="S18" s="40" t="b">
        <x:v>1</x:v>
      </x:c>
      <x:c r="T18" s="34" t="str">
        <x:v>model_interpolation</x:v>
      </x:c>
      <x:c r="U18" s="34" t="str">
        <x:v>Linear interpolation from 2026 to 2030</x:v>
      </x:c>
      <x:c r="V18" s="34" t="str">
        <x:v>CAND-0B566F19FFC9A2</x:v>
      </x:c>
      <x:c r="W18" s="34" t="str">
        <x:v>P2</x:v>
      </x:c>
      <x:c r="X18" s="34" t="str">
        <x:v>PORT-CCD4397FA6D4</x:v>
      </x:c>
      <x:c r="Y18" s="34" t="n">
        <x:v>1000</x:v>
      </x:c>
      <x:c r="Z18" s="34" t="n">
        <x:v>105.19455</x:v>
      </x:c>
      <x:c r="AA18" s="34" t="n">
        <x:v>32.737156</x:v>
      </x:c>
      <x:c r="AB18" s="34" t="n">
        <x:v>281.895878</x:v>
      </x:c>
      <x:c r="AC18" s="34" t="n">
        <x:v>29040.327</x:v>
      </x:c>
      <x:c r="AD18" s="34" t="n">
        <x:v>103.01792</x:v>
      </x:c>
      <x:c r="AE18" s="40" t="b">
        <x:v>0</x:v>
      </x:c>
      <x:c r="AF18" s="40" t="b">
        <x:v>0</x:v>
      </x:c>
      <x:c r="AG18" s="34" t="n">
        <x:v>2040</x:v>
      </x:c>
      <x:c r="AH18" s="34" t="n">
        <x:v>5.28499579</x:v>
      </x:c>
      <x:c r="AI18" s="34" t="n">
        <x:v>-5.28499579</x:v>
      </x:c>
      <x:c r="AJ18" s="40" t="b">
        <x:v>1</x:v>
      </x:c>
      <x:c r="AK18" s="40" t="b">
        <x:v>1</x:v>
      </x:c>
      <x:c r="AL18" s="40" t="b">
        <x:v>1</x:v>
      </x:c>
      <x:c r="AM18" s="40" t="b">
        <x:v>1</x:v>
      </x:c>
      <x:c r="AN18" s="34" t="str"/>
      <x:c r="AO18" s="34" t="n">
        <x:v>0</x:v>
      </x:c>
      <x:c r="AP18" s="34" t="n">
        <x:v>0</x:v>
      </x:c>
      <x:c r="AQ18" s="34" t="n">
        <x:v>0</x:v>
      </x:c>
      <x:c r="AR18" s="34" t="n">
        <x:v>2</x:v>
      </x:c>
      <x:c r="AS18" s="34" t="n">
        <x:v>3</x:v>
      </x:c>
      <x:c r="AT18" s="34" t="n">
        <x:v>0.3119871999999999</x:v>
      </x:c>
      <x:c r="AU18" s="34" t="n">
        <x:v>0.65</x:v>
      </x:c>
      <x:c r="AV18" s="34" t="n">
        <x:v>1.1400000000000001</x:v>
      </x:c>
    </x:row>
    <x:row r="19">
      <x:c r="A19" s="34" t="str">
        <x:v>JFE_STEEL_JP</x:v>
      </x:c>
      <x:c r="B19" s="34" t="str">
        <x:v>JFE Steel</x:v>
      </x:c>
      <x:c r="C19" s="34" t="str">
        <x:v>ACCELERATED_15C</x:v>
      </x:c>
      <x:c r="D19" s="34" t="str">
        <x:v>P2</x:v>
      </x:c>
      <x:c r="E19" s="34" t="n">
        <x:v>2028</x:v>
      </x:c>
      <x:c r="F19" s="34" t="n">
        <x:v>0</x:v>
      </x:c>
      <x:c r="G19" s="34" t="n">
        <x:v>0</x:v>
      </x:c>
      <x:c r="H19" s="34" t="n">
        <x:v>7.5</x:v>
      </x:c>
      <x:c r="I19" s="34" t="n">
        <x:v>7.5</x:v>
      </x:c>
      <x:c r="J19" s="34" t="n">
        <x:v>0</x:v>
      </x:c>
      <x:c r="K19" s="34" t="n">
        <x:v>0</x:v>
      </x:c>
      <x:c r="L19" s="34" t="n">
        <x:v>0.35</x:v>
      </x:c>
      <x:c r="M19" s="34" t="n">
        <x:v>0.35</x:v>
      </x:c>
      <x:c r="N19" s="34" t="n">
        <x:v>0</x:v>
      </x:c>
      <x:c r="O19" s="34" t="n">
        <x:v>0</x:v>
      </x:c>
      <x:c r="P19" s="34" t="n">
        <x:v>4.25</x:v>
      </x:c>
      <x:c r="Q19" s="34" t="n">
        <x:v>4.25</x:v>
      </x:c>
      <x:c r="R19" s="34" t="n">
        <x:v>0</x:v>
      </x:c>
      <x:c r="S19" s="40" t="b">
        <x:v>1</x:v>
      </x:c>
      <x:c r="T19" s="34" t="str">
        <x:v>model_interpolation</x:v>
      </x:c>
      <x:c r="U19" s="34" t="str">
        <x:v>Linear interpolation from 2026 to 2030</x:v>
      </x:c>
      <x:c r="V19" s="34" t="str">
        <x:v>CAND-0B566F19FFC9A2</x:v>
      </x:c>
      <x:c r="W19" s="34" t="str">
        <x:v>P2</x:v>
      </x:c>
      <x:c r="X19" s="34" t="str">
        <x:v>PORT-CCD4397FA6D4</x:v>
      </x:c>
      <x:c r="Y19" s="34" t="n">
        <x:v>1000</x:v>
      </x:c>
      <x:c r="Z19" s="34" t="n">
        <x:v>105.19455</x:v>
      </x:c>
      <x:c r="AA19" s="34" t="n">
        <x:v>32.737156</x:v>
      </x:c>
      <x:c r="AB19" s="34" t="n">
        <x:v>281.895878</x:v>
      </x:c>
      <x:c r="AC19" s="34" t="n">
        <x:v>29040.327</x:v>
      </x:c>
      <x:c r="AD19" s="34" t="n">
        <x:v>103.01792</x:v>
      </x:c>
      <x:c r="AE19" s="40" t="b">
        <x:v>0</x:v>
      </x:c>
      <x:c r="AF19" s="40" t="b">
        <x:v>0</x:v>
      </x:c>
      <x:c r="AG19" s="34" t="n">
        <x:v>2040</x:v>
      </x:c>
      <x:c r="AH19" s="34" t="n">
        <x:v>5.28499579</x:v>
      </x:c>
      <x:c r="AI19" s="34" t="n">
        <x:v>-5.28499579</x:v>
      </x:c>
      <x:c r="AJ19" s="40" t="b">
        <x:v>1</x:v>
      </x:c>
      <x:c r="AK19" s="40" t="b">
        <x:v>1</x:v>
      </x:c>
      <x:c r="AL19" s="40" t="b">
        <x:v>1</x:v>
      </x:c>
      <x:c r="AM19" s="40" t="b">
        <x:v>1</x:v>
      </x:c>
      <x:c r="AN19" s="34" t="str"/>
      <x:c r="AO19" s="34" t="n">
        <x:v>0</x:v>
      </x:c>
      <x:c r="AP19" s="34" t="n">
        <x:v>0</x:v>
      </x:c>
      <x:c r="AQ19" s="34" t="n">
        <x:v>0</x:v>
      </x:c>
      <x:c r="AR19" s="34" t="n">
        <x:v>2</x:v>
      </x:c>
      <x:c r="AS19" s="34" t="n">
        <x:v>3</x:v>
      </x:c>
      <x:c r="AT19" s="34" t="n">
        <x:v>0.3119871999999999</x:v>
      </x:c>
      <x:c r="AU19" s="34" t="n">
        <x:v>0.65</x:v>
      </x:c>
      <x:c r="AV19" s="34" t="n">
        <x:v>1.1400000000000001</x:v>
      </x:c>
    </x:row>
    <x:row r="20">
      <x:c r="A20" s="34" t="str">
        <x:v>JFE_STEEL_JP</x:v>
      </x:c>
      <x:c r="B20" s="34" t="str">
        <x:v>JFE Steel</x:v>
      </x:c>
      <x:c r="C20" s="34" t="str">
        <x:v>ACCELERATED_15C</x:v>
      </x:c>
      <x:c r="D20" s="34" t="str">
        <x:v>P2</x:v>
      </x:c>
      <x:c r="E20" s="34" t="n">
        <x:v>2029</x:v>
      </x:c>
      <x:c r="F20" s="34" t="n">
        <x:v>1</x:v>
      </x:c>
      <x:c r="G20" s="34" t="n">
        <x:v>6.120001</x:v>
      </x:c>
      <x:c r="H20" s="34" t="n">
        <x:v>8.75</x:v>
      </x:c>
      <x:c r="I20" s="34" t="n">
        <x:v>2.629999</x:v>
      </x:c>
      <x:c r="J20" s="34" t="n">
        <x:v>69.943</x:v>
      </x:c>
      <x:c r="K20" s="34" t="n">
        <x:v>0</x:v>
      </x:c>
      <x:c r="L20" s="34" t="n">
        <x:v>0.475</x:v>
      </x:c>
      <x:c r="M20" s="34" t="n">
        <x:v>0.475</x:v>
      </x:c>
      <x:c r="N20" s="34" t="n">
        <x:v>0</x:v>
      </x:c>
      <x:c r="O20" s="34" t="n">
        <x:v>3.808</x:v>
      </x:c>
      <x:c r="P20" s="34" t="n">
        <x:v>5.625</x:v>
      </x:c>
      <x:c r="Q20" s="34" t="n">
        <x:v>1.817</x:v>
      </x:c>
      <x:c r="R20" s="34" t="n">
        <x:v>67.698</x:v>
      </x:c>
      <x:c r="S20" s="40" t="b">
        <x:v>1</x:v>
      </x:c>
      <x:c r="T20" s="34" t="str">
        <x:v>model_interpolation</x:v>
      </x:c>
      <x:c r="U20" s="34" t="str">
        <x:v>Linear interpolation from 2026 to 2030</x:v>
      </x:c>
      <x:c r="V20" s="34" t="str">
        <x:v>CAND-0B566F19FFC9A2</x:v>
      </x:c>
      <x:c r="W20" s="34" t="str">
        <x:v>P2</x:v>
      </x:c>
      <x:c r="X20" s="34" t="str">
        <x:v>PORT-CCD4397FA6D4</x:v>
      </x:c>
      <x:c r="Y20" s="34" t="n">
        <x:v>1000</x:v>
      </x:c>
      <x:c r="Z20" s="34" t="n">
        <x:v>105.19455</x:v>
      </x:c>
      <x:c r="AA20" s="34" t="n">
        <x:v>32.737156</x:v>
      </x:c>
      <x:c r="AB20" s="34" t="n">
        <x:v>281.895878</x:v>
      </x:c>
      <x:c r="AC20" s="34" t="n">
        <x:v>29040.327</x:v>
      </x:c>
      <x:c r="AD20" s="34" t="n">
        <x:v>103.01792</x:v>
      </x:c>
      <x:c r="AE20" s="40" t="b">
        <x:v>0</x:v>
      </x:c>
      <x:c r="AF20" s="40" t="b">
        <x:v>0</x:v>
      </x:c>
      <x:c r="AG20" s="34" t="n">
        <x:v>2040</x:v>
      </x:c>
      <x:c r="AH20" s="34" t="n">
        <x:v>5.28499579</x:v>
      </x:c>
      <x:c r="AI20" s="34" t="n">
        <x:v>-5.28499579</x:v>
      </x:c>
      <x:c r="AJ20" s="40" t="b">
        <x:v>1</x:v>
      </x:c>
      <x:c r="AK20" s="40" t="b">
        <x:v>1</x:v>
      </x:c>
      <x:c r="AL20" s="40" t="b">
        <x:v>1</x:v>
      </x:c>
      <x:c r="AM20" s="40" t="b">
        <x:v>1</x:v>
      </x:c>
      <x:c r="AN20" s="34" t="str"/>
      <x:c r="AO20" s="34" t="n">
        <x:v>0</x:v>
      </x:c>
      <x:c r="AP20" s="34" t="n">
        <x:v>0</x:v>
      </x:c>
      <x:c r="AQ20" s="34" t="n">
        <x:v>0</x:v>
      </x:c>
      <x:c r="AR20" s="34" t="n">
        <x:v>2</x:v>
      </x:c>
      <x:c r="AS20" s="34" t="n">
        <x:v>3</x:v>
      </x:c>
      <x:c r="AT20" s="34" t="n">
        <x:v>0.3119871999999999</x:v>
      </x:c>
      <x:c r="AU20" s="34" t="n">
        <x:v>0.65</x:v>
      </x:c>
      <x:c r="AV20" s="34" t="n">
        <x:v>1.1400000000000001</x:v>
      </x:c>
    </x:row>
    <x:row r="21">
      <x:c r="A21" s="34" t="str">
        <x:v>JFE_STEEL_JP</x:v>
      </x:c>
      <x:c r="B21" s="34" t="str">
        <x:v>JFE Steel</x:v>
      </x:c>
      <x:c r="C21" s="34" t="str">
        <x:v>ACCELERATED_15C</x:v>
      </x:c>
      <x:c r="D21" s="34" t="str">
        <x:v>P2</x:v>
      </x:c>
      <x:c r="E21" s="34" t="n">
        <x:v>2030</x:v>
      </x:c>
      <x:c r="F21" s="34" t="n">
        <x:v>1</x:v>
      </x:c>
      <x:c r="G21" s="34" t="n">
        <x:v>6.120001</x:v>
      </x:c>
      <x:c r="H21" s="34" t="n">
        <x:v>10</x:v>
      </x:c>
      <x:c r="I21" s="34" t="n">
        <x:v>3.879999</x:v>
      </x:c>
      <x:c r="J21" s="34" t="n">
        <x:v>61.2</x:v>
      </x:c>
      <x:c r="K21" s="34" t="n">
        <x:v>0</x:v>
      </x:c>
      <x:c r="L21" s="34" t="n">
        <x:v>0.6</x:v>
      </x:c>
      <x:c r="M21" s="34" t="n">
        <x:v>0.6</x:v>
      </x:c>
      <x:c r="N21" s="34" t="n">
        <x:v>0</x:v>
      </x:c>
      <x:c r="O21" s="34" t="n">
        <x:v>3.808</x:v>
      </x:c>
      <x:c r="P21" s="34" t="n">
        <x:v>7</x:v>
      </x:c>
      <x:c r="Q21" s="34" t="n">
        <x:v>3.192</x:v>
      </x:c>
      <x:c r="R21" s="34" t="n">
        <x:v>54.4</x:v>
      </x:c>
      <x:c r="S21" s="40" t="b">
        <x:v>1</x:v>
      </x:c>
      <x:c r="T21" s="34" t="str">
        <x:v>model_interpolation</x:v>
      </x:c>
      <x:c r="U21" s="34" t="str">
        <x:v>Linear interpolation from 2030 to 2035</x:v>
      </x:c>
      <x:c r="V21" s="34" t="str">
        <x:v>CAND-0B566F19FFC9A2</x:v>
      </x:c>
      <x:c r="W21" s="34" t="str">
        <x:v>P2</x:v>
      </x:c>
      <x:c r="X21" s="34" t="str">
        <x:v>PORT-CCD4397FA6D4</x:v>
      </x:c>
      <x:c r="Y21" s="34" t="n">
        <x:v>1000</x:v>
      </x:c>
      <x:c r="Z21" s="34" t="n">
        <x:v>105.19455</x:v>
      </x:c>
      <x:c r="AA21" s="34" t="n">
        <x:v>32.737156</x:v>
      </x:c>
      <x:c r="AB21" s="34" t="n">
        <x:v>281.895878</x:v>
      </x:c>
      <x:c r="AC21" s="34" t="n">
        <x:v>29040.327</x:v>
      </x:c>
      <x:c r="AD21" s="34" t="n">
        <x:v>103.01792</x:v>
      </x:c>
      <x:c r="AE21" s="40" t="b">
        <x:v>0</x:v>
      </x:c>
      <x:c r="AF21" s="40" t="b">
        <x:v>0</x:v>
      </x:c>
      <x:c r="AG21" s="34" t="n">
        <x:v>2040</x:v>
      </x:c>
      <x:c r="AH21" s="34" t="n">
        <x:v>5.28499579</x:v>
      </x:c>
      <x:c r="AI21" s="34" t="n">
        <x:v>-5.28499579</x:v>
      </x:c>
      <x:c r="AJ21" s="40" t="b">
        <x:v>1</x:v>
      </x:c>
      <x:c r="AK21" s="40" t="b">
        <x:v>1</x:v>
      </x:c>
      <x:c r="AL21" s="40" t="b">
        <x:v>1</x:v>
      </x:c>
      <x:c r="AM21" s="40" t="b">
        <x:v>1</x:v>
      </x:c>
      <x:c r="AN21" s="34" t="str"/>
      <x:c r="AO21" s="34" t="n">
        <x:v>0</x:v>
      </x:c>
      <x:c r="AP21" s="34" t="n">
        <x:v>0</x:v>
      </x:c>
      <x:c r="AQ21" s="34" t="n">
        <x:v>0</x:v>
      </x:c>
      <x:c r="AR21" s="34" t="n">
        <x:v>2</x:v>
      </x:c>
      <x:c r="AS21" s="34" t="n">
        <x:v>3</x:v>
      </x:c>
      <x:c r="AT21" s="34" t="n">
        <x:v>0.3119871999999999</x:v>
      </x:c>
      <x:c r="AU21" s="34" t="n">
        <x:v>0.65</x:v>
      </x:c>
      <x:c r="AV21" s="34" t="n">
        <x:v>1.1400000000000001</x:v>
      </x:c>
    </x:row>
    <x:row r="22">
      <x:c r="A22" s="34" t="str">
        <x:v>JFE_STEEL_JP</x:v>
      </x:c>
      <x:c r="B22" s="34" t="str">
        <x:v>JFE Steel</x:v>
      </x:c>
      <x:c r="C22" s="34" t="str">
        <x:v>ACCELERATED_15C</x:v>
      </x:c>
      <x:c r="D22" s="34" t="str">
        <x:v>P2</x:v>
      </x:c>
      <x:c r="E22" s="34" t="n">
        <x:v>2031</x:v>
      </x:c>
      <x:c r="F22" s="34" t="n">
        <x:v>1</x:v>
      </x:c>
      <x:c r="G22" s="34" t="n">
        <x:v>6.120001</x:v>
      </x:c>
      <x:c r="H22" s="34" t="n">
        <x:v>11.2</x:v>
      </x:c>
      <x:c r="I22" s="34" t="n">
        <x:v>5.079999</x:v>
      </x:c>
      <x:c r="J22" s="34" t="n">
        <x:v>54.643</x:v>
      </x:c>
      <x:c r="K22" s="34" t="n">
        <x:v>0</x:v>
      </x:c>
      <x:c r="L22" s="34" t="n">
        <x:v>0.8400000000000001</x:v>
      </x:c>
      <x:c r="M22" s="34" t="n">
        <x:v>0.84</x:v>
      </x:c>
      <x:c r="N22" s="34" t="n">
        <x:v>0</x:v>
      </x:c>
      <x:c r="O22" s="34" t="n">
        <x:v>3.808</x:v>
      </x:c>
      <x:c r="P22" s="34" t="n">
        <x:v>8.4</x:v>
      </x:c>
      <x:c r="Q22" s="34" t="n">
        <x:v>4.592</x:v>
      </x:c>
      <x:c r="R22" s="34" t="n">
        <x:v>45.333</x:v>
      </x:c>
      <x:c r="S22" s="40" t="b">
        <x:v>1</x:v>
      </x:c>
      <x:c r="T22" s="34" t="str">
        <x:v>model_interpolation</x:v>
      </x:c>
      <x:c r="U22" s="34" t="str">
        <x:v>Linear interpolation from 2030 to 2035</x:v>
      </x:c>
      <x:c r="V22" s="34" t="str">
        <x:v>CAND-0B566F19FFC9A2</x:v>
      </x:c>
      <x:c r="W22" s="34" t="str">
        <x:v>P2</x:v>
      </x:c>
      <x:c r="X22" s="34" t="str">
        <x:v>PORT-CCD4397FA6D4</x:v>
      </x:c>
      <x:c r="Y22" s="34" t="n">
        <x:v>1000</x:v>
      </x:c>
      <x:c r="Z22" s="34" t="n">
        <x:v>105.19455</x:v>
      </x:c>
      <x:c r="AA22" s="34" t="n">
        <x:v>32.737156</x:v>
      </x:c>
      <x:c r="AB22" s="34" t="n">
        <x:v>281.895878</x:v>
      </x:c>
      <x:c r="AC22" s="34" t="n">
        <x:v>29040.327</x:v>
      </x:c>
      <x:c r="AD22" s="34" t="n">
        <x:v>103.01792</x:v>
      </x:c>
      <x:c r="AE22" s="40" t="b">
        <x:v>0</x:v>
      </x:c>
      <x:c r="AF22" s="40" t="b">
        <x:v>0</x:v>
      </x:c>
      <x:c r="AG22" s="34" t="n">
        <x:v>2040</x:v>
      </x:c>
      <x:c r="AH22" s="34" t="n">
        <x:v>5.28499579</x:v>
      </x:c>
      <x:c r="AI22" s="34" t="n">
        <x:v>-5.28499579</x:v>
      </x:c>
      <x:c r="AJ22" s="40" t="b">
        <x:v>1</x:v>
      </x:c>
      <x:c r="AK22" s="40" t="b">
        <x:v>1</x:v>
      </x:c>
      <x:c r="AL22" s="40" t="b">
        <x:v>1</x:v>
      </x:c>
      <x:c r="AM22" s="40" t="b">
        <x:v>1</x:v>
      </x:c>
      <x:c r="AN22" s="34" t="str"/>
      <x:c r="AO22" s="34" t="n">
        <x:v>0</x:v>
      </x:c>
      <x:c r="AP22" s="34" t="n">
        <x:v>0</x:v>
      </x:c>
      <x:c r="AQ22" s="34" t="n">
        <x:v>0</x:v>
      </x:c>
      <x:c r="AR22" s="34" t="n">
        <x:v>2</x:v>
      </x:c>
      <x:c r="AS22" s="34" t="n">
        <x:v>3</x:v>
      </x:c>
      <x:c r="AT22" s="34" t="n">
        <x:v>0.3119871999999999</x:v>
      </x:c>
      <x:c r="AU22" s="34" t="n">
        <x:v>0.65</x:v>
      </x:c>
      <x:c r="AV22" s="34" t="n">
        <x:v>1.1400000000000001</x:v>
      </x:c>
    </x:row>
    <x:row r="23">
      <x:c r="A23" s="34" t="str">
        <x:v>JFE_STEEL_JP</x:v>
      </x:c>
      <x:c r="B23" s="34" t="str">
        <x:v>JFE Steel</x:v>
      </x:c>
      <x:c r="C23" s="34" t="str">
        <x:v>ACCELERATED_15C</x:v>
      </x:c>
      <x:c r="D23" s="34" t="str">
        <x:v>P2</x:v>
      </x:c>
      <x:c r="E23" s="34" t="n">
        <x:v>2032</x:v>
      </x:c>
      <x:c r="F23" s="34" t="n">
        <x:v>1</x:v>
      </x:c>
      <x:c r="G23" s="34" t="n">
        <x:v>6.120001</x:v>
      </x:c>
      <x:c r="H23" s="34" t="n">
        <x:v>12.4</x:v>
      </x:c>
      <x:c r="I23" s="34" t="n">
        <x:v>6.279999</x:v>
      </x:c>
      <x:c r="J23" s="34" t="n">
        <x:v>49.355</x:v>
      </x:c>
      <x:c r="K23" s="34" t="n">
        <x:v>0</x:v>
      </x:c>
      <x:c r="L23" s="34" t="n">
        <x:v>1.08</x:v>
      </x:c>
      <x:c r="M23" s="34" t="n">
        <x:v>1.08</x:v>
      </x:c>
      <x:c r="N23" s="34" t="n">
        <x:v>0</x:v>
      </x:c>
      <x:c r="O23" s="34" t="n">
        <x:v>3.808</x:v>
      </x:c>
      <x:c r="P23" s="34" t="n">
        <x:v>9.8</x:v>
      </x:c>
      <x:c r="Q23" s="34" t="n">
        <x:v>5.992</x:v>
      </x:c>
      <x:c r="R23" s="34" t="n">
        <x:v>38.857</x:v>
      </x:c>
      <x:c r="S23" s="40" t="b">
        <x:v>1</x:v>
      </x:c>
      <x:c r="T23" s="34" t="str">
        <x:v>model_interpolation</x:v>
      </x:c>
      <x:c r="U23" s="34" t="str">
        <x:v>Linear interpolation from 2030 to 2035</x:v>
      </x:c>
      <x:c r="V23" s="34" t="str">
        <x:v>CAND-0B566F19FFC9A2</x:v>
      </x:c>
      <x:c r="W23" s="34" t="str">
        <x:v>P2</x:v>
      </x:c>
      <x:c r="X23" s="34" t="str">
        <x:v>PORT-CCD4397FA6D4</x:v>
      </x:c>
      <x:c r="Y23" s="34" t="n">
        <x:v>1000</x:v>
      </x:c>
      <x:c r="Z23" s="34" t="n">
        <x:v>105.19455</x:v>
      </x:c>
      <x:c r="AA23" s="34" t="n">
        <x:v>32.737156</x:v>
      </x:c>
      <x:c r="AB23" s="34" t="n">
        <x:v>281.895878</x:v>
      </x:c>
      <x:c r="AC23" s="34" t="n">
        <x:v>29040.327</x:v>
      </x:c>
      <x:c r="AD23" s="34" t="n">
        <x:v>103.01792</x:v>
      </x:c>
      <x:c r="AE23" s="40" t="b">
        <x:v>0</x:v>
      </x:c>
      <x:c r="AF23" s="40" t="b">
        <x:v>0</x:v>
      </x:c>
      <x:c r="AG23" s="34" t="n">
        <x:v>2040</x:v>
      </x:c>
      <x:c r="AH23" s="34" t="n">
        <x:v>5.28499579</x:v>
      </x:c>
      <x:c r="AI23" s="34" t="n">
        <x:v>-5.28499579</x:v>
      </x:c>
      <x:c r="AJ23" s="40" t="b">
        <x:v>1</x:v>
      </x:c>
      <x:c r="AK23" s="40" t="b">
        <x:v>1</x:v>
      </x:c>
      <x:c r="AL23" s="40" t="b">
        <x:v>1</x:v>
      </x:c>
      <x:c r="AM23" s="40" t="b">
        <x:v>1</x:v>
      </x:c>
      <x:c r="AN23" s="34" t="str"/>
      <x:c r="AO23" s="34" t="n">
        <x:v>0</x:v>
      </x:c>
      <x:c r="AP23" s="34" t="n">
        <x:v>0</x:v>
      </x:c>
      <x:c r="AQ23" s="34" t="n">
        <x:v>0</x:v>
      </x:c>
      <x:c r="AR23" s="34" t="n">
        <x:v>2</x:v>
      </x:c>
      <x:c r="AS23" s="34" t="n">
        <x:v>3</x:v>
      </x:c>
      <x:c r="AT23" s="34" t="n">
        <x:v>0.3119871999999999</x:v>
      </x:c>
      <x:c r="AU23" s="34" t="n">
        <x:v>0.65</x:v>
      </x:c>
      <x:c r="AV23" s="34" t="n">
        <x:v>1.1400000000000001</x:v>
      </x:c>
    </x:row>
    <x:row r="24">
      <x:c r="A24" s="34" t="str">
        <x:v>JFE_STEEL_JP</x:v>
      </x:c>
      <x:c r="B24" s="34" t="str">
        <x:v>JFE Steel</x:v>
      </x:c>
      <x:c r="C24" s="34" t="str">
        <x:v>ACCELERATED_15C</x:v>
      </x:c>
      <x:c r="D24" s="34" t="str">
        <x:v>P2</x:v>
      </x:c>
      <x:c r="E24" s="34" t="n">
        <x:v>2033</x:v>
      </x:c>
      <x:c r="F24" s="34" t="n">
        <x:v>3</x:v>
      </x:c>
      <x:c r="G24" s="34" t="n">
        <x:v>8.1</x:v>
      </x:c>
      <x:c r="H24" s="34" t="n">
        <x:v>13.6</x:v>
      </x:c>
      <x:c r="I24" s="34" t="n">
        <x:v>5.5</x:v>
      </x:c>
      <x:c r="J24" s="34" t="n">
        <x:v>59.559</x:v>
      </x:c>
      <x:c r="K24" s="34" t="n">
        <x:v>0.495</x:v>
      </x:c>
      <x:c r="L24" s="34" t="n">
        <x:v>1.32</x:v>
      </x:c>
      <x:c r="M24" s="34" t="n">
        <x:v>0.825</x:v>
      </x:c>
      <x:c r="N24" s="34" t="n">
        <x:v>37.5</x:v>
      </x:c>
      <x:c r="O24" s="34" t="n">
        <x:v>7.961999</x:v>
      </x:c>
      <x:c r="P24" s="34" t="n">
        <x:v>11.2</x:v>
      </x:c>
      <x:c r="Q24" s="34" t="n">
        <x:v>3.238001</x:v>
      </x:c>
      <x:c r="R24" s="34" t="n">
        <x:v>71.089</x:v>
      </x:c>
      <x:c r="S24" s="40" t="b">
        <x:v>1</x:v>
      </x:c>
      <x:c r="T24" s="34" t="str">
        <x:v>model_interpolation</x:v>
      </x:c>
      <x:c r="U24" s="34" t="str">
        <x:v>Linear interpolation from 2030 to 2035</x:v>
      </x:c>
      <x:c r="V24" s="34" t="str">
        <x:v>CAND-0B566F19FFC9A2</x:v>
      </x:c>
      <x:c r="W24" s="34" t="str">
        <x:v>P2</x:v>
      </x:c>
      <x:c r="X24" s="34" t="str">
        <x:v>PORT-CCD4397FA6D4</x:v>
      </x:c>
      <x:c r="Y24" s="34" t="n">
        <x:v>1000</x:v>
      </x:c>
      <x:c r="Z24" s="34" t="n">
        <x:v>105.19455</x:v>
      </x:c>
      <x:c r="AA24" s="34" t="n">
        <x:v>32.737156</x:v>
      </x:c>
      <x:c r="AB24" s="34" t="n">
        <x:v>281.895878</x:v>
      </x:c>
      <x:c r="AC24" s="34" t="n">
        <x:v>29040.327</x:v>
      </x:c>
      <x:c r="AD24" s="34" t="n">
        <x:v>103.01792</x:v>
      </x:c>
      <x:c r="AE24" s="40" t="b">
        <x:v>0</x:v>
      </x:c>
      <x:c r="AF24" s="40" t="b">
        <x:v>0</x:v>
      </x:c>
      <x:c r="AG24" s="34" t="n">
        <x:v>2040</x:v>
      </x:c>
      <x:c r="AH24" s="34" t="n">
        <x:v>5.28499579</x:v>
      </x:c>
      <x:c r="AI24" s="34" t="n">
        <x:v>-5.28499579</x:v>
      </x:c>
      <x:c r="AJ24" s="40" t="b">
        <x:v>1</x:v>
      </x:c>
      <x:c r="AK24" s="40" t="b">
        <x:v>1</x:v>
      </x:c>
      <x:c r="AL24" s="40" t="b">
        <x:v>1</x:v>
      </x:c>
      <x:c r="AM24" s="40" t="b">
        <x:v>1</x:v>
      </x:c>
      <x:c r="AN24" s="34" t="str"/>
      <x:c r="AO24" s="34" t="n">
        <x:v>0</x:v>
      </x:c>
      <x:c r="AP24" s="34" t="n">
        <x:v>0</x:v>
      </x:c>
      <x:c r="AQ24" s="34" t="n">
        <x:v>0</x:v>
      </x:c>
      <x:c r="AR24" s="34" t="n">
        <x:v>2</x:v>
      </x:c>
      <x:c r="AS24" s="34" t="n">
        <x:v>3</x:v>
      </x:c>
      <x:c r="AT24" s="34" t="n">
        <x:v>0.3119871999999999</x:v>
      </x:c>
      <x:c r="AU24" s="34" t="n">
        <x:v>0.65</x:v>
      </x:c>
      <x:c r="AV24" s="34" t="n">
        <x:v>1.1400000000000001</x:v>
      </x:c>
    </x:row>
    <x:row r="25">
      <x:c r="A25" s="34" t="str">
        <x:v>JFE_STEEL_JP</x:v>
      </x:c>
      <x:c r="B25" s="34" t="str">
        <x:v>JFE Steel</x:v>
      </x:c>
      <x:c r="C25" s="34" t="str">
        <x:v>ACCELERATED_15C</x:v>
      </x:c>
      <x:c r="D25" s="34" t="str">
        <x:v>P2</x:v>
      </x:c>
      <x:c r="E25" s="34" t="n">
        <x:v>2034</x:v>
      </x:c>
      <x:c r="F25" s="34" t="n">
        <x:v>3</x:v>
      </x:c>
      <x:c r="G25" s="34" t="n">
        <x:v>8.1</x:v>
      </x:c>
      <x:c r="H25" s="34" t="n">
        <x:v>14.8</x:v>
      </x:c>
      <x:c r="I25" s="34" t="n">
        <x:v>6.7</x:v>
      </x:c>
      <x:c r="J25" s="34" t="n">
        <x:v>54.73</x:v>
      </x:c>
      <x:c r="K25" s="34" t="n">
        <x:v>0.495</x:v>
      </x:c>
      <x:c r="L25" s="34" t="n">
        <x:v>1.56</x:v>
      </x:c>
      <x:c r="M25" s="34" t="n">
        <x:v>1.065</x:v>
      </x:c>
      <x:c r="N25" s="34" t="n">
        <x:v>31.731</x:v>
      </x:c>
      <x:c r="O25" s="34" t="n">
        <x:v>7.961999</x:v>
      </x:c>
      <x:c r="P25" s="34" t="n">
        <x:v>12.600000000000001</x:v>
      </x:c>
      <x:c r="Q25" s="34" t="n">
        <x:v>4.638001</x:v>
      </x:c>
      <x:c r="R25" s="34" t="n">
        <x:v>63.19</x:v>
      </x:c>
      <x:c r="S25" s="40" t="b">
        <x:v>1</x:v>
      </x:c>
      <x:c r="T25" s="34" t="str">
        <x:v>model_interpolation</x:v>
      </x:c>
      <x:c r="U25" s="34" t="str">
        <x:v>Linear interpolation from 2030 to 2035</x:v>
      </x:c>
      <x:c r="V25" s="34" t="str">
        <x:v>CAND-0B566F19FFC9A2</x:v>
      </x:c>
      <x:c r="W25" s="34" t="str">
        <x:v>P2</x:v>
      </x:c>
      <x:c r="X25" s="34" t="str">
        <x:v>PORT-CCD4397FA6D4</x:v>
      </x:c>
      <x:c r="Y25" s="34" t="n">
        <x:v>1000</x:v>
      </x:c>
      <x:c r="Z25" s="34" t="n">
        <x:v>105.19455</x:v>
      </x:c>
      <x:c r="AA25" s="34" t="n">
        <x:v>32.737156</x:v>
      </x:c>
      <x:c r="AB25" s="34" t="n">
        <x:v>281.895878</x:v>
      </x:c>
      <x:c r="AC25" s="34" t="n">
        <x:v>29040.327</x:v>
      </x:c>
      <x:c r="AD25" s="34" t="n">
        <x:v>103.01792</x:v>
      </x:c>
      <x:c r="AE25" s="40" t="b">
        <x:v>0</x:v>
      </x:c>
      <x:c r="AF25" s="40" t="b">
        <x:v>0</x:v>
      </x:c>
      <x:c r="AG25" s="34" t="n">
        <x:v>2040</x:v>
      </x:c>
      <x:c r="AH25" s="34" t="n">
        <x:v>5.28499579</x:v>
      </x:c>
      <x:c r="AI25" s="34" t="n">
        <x:v>-5.28499579</x:v>
      </x:c>
      <x:c r="AJ25" s="40" t="b">
        <x:v>1</x:v>
      </x:c>
      <x:c r="AK25" s="40" t="b">
        <x:v>1</x:v>
      </x:c>
      <x:c r="AL25" s="40" t="b">
        <x:v>1</x:v>
      </x:c>
      <x:c r="AM25" s="40" t="b">
        <x:v>1</x:v>
      </x:c>
      <x:c r="AN25" s="34" t="str"/>
      <x:c r="AO25" s="34" t="n">
        <x:v>0</x:v>
      </x:c>
      <x:c r="AP25" s="34" t="n">
        <x:v>0</x:v>
      </x:c>
      <x:c r="AQ25" s="34" t="n">
        <x:v>0</x:v>
      </x:c>
      <x:c r="AR25" s="34" t="n">
        <x:v>2</x:v>
      </x:c>
      <x:c r="AS25" s="34" t="n">
        <x:v>3</x:v>
      </x:c>
      <x:c r="AT25" s="34" t="n">
        <x:v>0.3119871999999999</x:v>
      </x:c>
      <x:c r="AU25" s="34" t="n">
        <x:v>0.65</x:v>
      </x:c>
      <x:c r="AV25" s="34" t="n">
        <x:v>1.1400000000000001</x:v>
      </x:c>
    </x:row>
    <x:row r="26">
      <x:c r="A26" s="34" t="str">
        <x:v>JFE_STEEL_JP</x:v>
      </x:c>
      <x:c r="B26" s="34" t="str">
        <x:v>JFE Steel</x:v>
      </x:c>
      <x:c r="C26" s="34" t="str">
        <x:v>ACCELERATED_15C</x:v>
      </x:c>
      <x:c r="D26" s="34" t="str">
        <x:v>P2</x:v>
      </x:c>
      <x:c r="E26" s="34" t="n">
        <x:v>2035</x:v>
      </x:c>
      <x:c r="F26" s="34" t="n">
        <x:v>3</x:v>
      </x:c>
      <x:c r="G26" s="34" t="n">
        <x:v>8.1</x:v>
      </x:c>
      <x:c r="H26" s="34" t="n">
        <x:v>16</x:v>
      </x:c>
      <x:c r="I26" s="34" t="n">
        <x:v>7.9</x:v>
      </x:c>
      <x:c r="J26" s="34" t="n">
        <x:v>50.625</x:v>
      </x:c>
      <x:c r="K26" s="34" t="n">
        <x:v>0.495</x:v>
      </x:c>
      <x:c r="L26" s="34" t="n">
        <x:v>1.8</x:v>
      </x:c>
      <x:c r="M26" s="34" t="n">
        <x:v>1.305</x:v>
      </x:c>
      <x:c r="N26" s="34" t="n">
        <x:v>27.5</x:v>
      </x:c>
      <x:c r="O26" s="34" t="n">
        <x:v>7.961999</x:v>
      </x:c>
      <x:c r="P26" s="34" t="n">
        <x:v>14</x:v>
      </x:c>
      <x:c r="Q26" s="34" t="n">
        <x:v>6.038001</x:v>
      </x:c>
      <x:c r="R26" s="34" t="n">
        <x:v>56.871</x:v>
      </x:c>
      <x:c r="S26" s="40" t="b">
        <x:v>1</x:v>
      </x:c>
      <x:c r="T26" s="34" t="str">
        <x:v>model_interpolation</x:v>
      </x:c>
      <x:c r="U26" s="34" t="str">
        <x:v>Linear interpolation from 2035 to 2040</x:v>
      </x:c>
      <x:c r="V26" s="34" t="str">
        <x:v>CAND-0B566F19FFC9A2</x:v>
      </x:c>
      <x:c r="W26" s="34" t="str">
        <x:v>P2</x:v>
      </x:c>
      <x:c r="X26" s="34" t="str">
        <x:v>PORT-CCD4397FA6D4</x:v>
      </x:c>
      <x:c r="Y26" s="34" t="n">
        <x:v>1000</x:v>
      </x:c>
      <x:c r="Z26" s="34" t="n">
        <x:v>105.19455</x:v>
      </x:c>
      <x:c r="AA26" s="34" t="n">
        <x:v>32.737156</x:v>
      </x:c>
      <x:c r="AB26" s="34" t="n">
        <x:v>281.895878</x:v>
      </x:c>
      <x:c r="AC26" s="34" t="n">
        <x:v>29040.327</x:v>
      </x:c>
      <x:c r="AD26" s="34" t="n">
        <x:v>103.01792</x:v>
      </x:c>
      <x:c r="AE26" s="40" t="b">
        <x:v>0</x:v>
      </x:c>
      <x:c r="AF26" s="40" t="b">
        <x:v>0</x:v>
      </x:c>
      <x:c r="AG26" s="34" t="n">
        <x:v>2040</x:v>
      </x:c>
      <x:c r="AH26" s="34" t="n">
        <x:v>5.28499579</x:v>
      </x:c>
      <x:c r="AI26" s="34" t="n">
        <x:v>-5.28499579</x:v>
      </x:c>
      <x:c r="AJ26" s="40" t="b">
        <x:v>1</x:v>
      </x:c>
      <x:c r="AK26" s="40" t="b">
        <x:v>1</x:v>
      </x:c>
      <x:c r="AL26" s="40" t="b">
        <x:v>1</x:v>
      </x:c>
      <x:c r="AM26" s="40" t="b">
        <x:v>1</x:v>
      </x:c>
      <x:c r="AN26" s="34" t="str"/>
      <x:c r="AO26" s="34" t="n">
        <x:v>0</x:v>
      </x:c>
      <x:c r="AP26" s="34" t="n">
        <x:v>0</x:v>
      </x:c>
      <x:c r="AQ26" s="34" t="n">
        <x:v>0</x:v>
      </x:c>
      <x:c r="AR26" s="34" t="n">
        <x:v>2</x:v>
      </x:c>
      <x:c r="AS26" s="34" t="n">
        <x:v>3</x:v>
      </x:c>
      <x:c r="AT26" s="34" t="n">
        <x:v>0.3119871999999999</x:v>
      </x:c>
      <x:c r="AU26" s="34" t="n">
        <x:v>0.65</x:v>
      </x:c>
      <x:c r="AV26" s="34" t="n">
        <x:v>1.1400000000000001</x:v>
      </x:c>
    </x:row>
    <x:row r="27">
      <x:c r="A27" s="34" t="str">
        <x:v>JFE_STEEL_JP</x:v>
      </x:c>
      <x:c r="B27" s="34" t="str">
        <x:v>JFE Steel</x:v>
      </x:c>
      <x:c r="C27" s="34" t="str">
        <x:v>ACCELERATED_15C</x:v>
      </x:c>
      <x:c r="D27" s="34" t="str">
        <x:v>P2</x:v>
      </x:c>
      <x:c r="E27" s="34" t="n">
        <x:v>2036</x:v>
      </x:c>
      <x:c r="F27" s="34" t="n">
        <x:v>4</x:v>
      </x:c>
      <x:c r="G27" s="34" t="n">
        <x:v>8.9175</x:v>
      </x:c>
      <x:c r="H27" s="34" t="n">
        <x:v>17</x:v>
      </x:c>
      <x:c r="I27" s="34" t="n">
        <x:v>8.0825</x:v>
      </x:c>
      <x:c r="J27" s="34" t="n">
        <x:v>52.456</x:v>
      </x:c>
      <x:c r="K27" s="34" t="n">
        <x:v>0.495</x:v>
      </x:c>
      <x:c r="L27" s="34" t="n">
        <x:v>2.04</x:v>
      </x:c>
      <x:c r="M27" s="34" t="n">
        <x:v>1.545</x:v>
      </x:c>
      <x:c r="N27" s="34" t="n">
        <x:v>24.265</x:v>
      </x:c>
      <x:c r="O27" s="34" t="n">
        <x:v>8.016499</x:v>
      </x:c>
      <x:c r="P27" s="34" t="n">
        <x:v>15.6</x:v>
      </x:c>
      <x:c r="Q27" s="34" t="n">
        <x:v>7.583501</x:v>
      </x:c>
      <x:c r="R27" s="34" t="n">
        <x:v>51.388</x:v>
      </x:c>
      <x:c r="S27" s="40" t="b">
        <x:v>1</x:v>
      </x:c>
      <x:c r="T27" s="34" t="str">
        <x:v>model_interpolation</x:v>
      </x:c>
      <x:c r="U27" s="34" t="str">
        <x:v>Linear interpolation from 2035 to 2040</x:v>
      </x:c>
      <x:c r="V27" s="34" t="str">
        <x:v>CAND-0B566F19FFC9A2</x:v>
      </x:c>
      <x:c r="W27" s="34" t="str">
        <x:v>P2</x:v>
      </x:c>
      <x:c r="X27" s="34" t="str">
        <x:v>PORT-CCD4397FA6D4</x:v>
      </x:c>
      <x:c r="Y27" s="34" t="n">
        <x:v>1000</x:v>
      </x:c>
      <x:c r="Z27" s="34" t="n">
        <x:v>105.19455</x:v>
      </x:c>
      <x:c r="AA27" s="34" t="n">
        <x:v>32.737156</x:v>
      </x:c>
      <x:c r="AB27" s="34" t="n">
        <x:v>281.895878</x:v>
      </x:c>
      <x:c r="AC27" s="34" t="n">
        <x:v>29040.327</x:v>
      </x:c>
      <x:c r="AD27" s="34" t="n">
        <x:v>103.01792</x:v>
      </x:c>
      <x:c r="AE27" s="40" t="b">
        <x:v>0</x:v>
      </x:c>
      <x:c r="AF27" s="40" t="b">
        <x:v>0</x:v>
      </x:c>
      <x:c r="AG27" s="34" t="n">
        <x:v>2040</x:v>
      </x:c>
      <x:c r="AH27" s="34" t="n">
        <x:v>5.28499579</x:v>
      </x:c>
      <x:c r="AI27" s="34" t="n">
        <x:v>-5.28499579</x:v>
      </x:c>
      <x:c r="AJ27" s="40" t="b">
        <x:v>1</x:v>
      </x:c>
      <x:c r="AK27" s="40" t="b">
        <x:v>1</x:v>
      </x:c>
      <x:c r="AL27" s="40" t="b">
        <x:v>1</x:v>
      </x:c>
      <x:c r="AM27" s="40" t="b">
        <x:v>1</x:v>
      </x:c>
      <x:c r="AN27" s="34" t="str"/>
      <x:c r="AO27" s="34" t="n">
        <x:v>0</x:v>
      </x:c>
      <x:c r="AP27" s="34" t="n">
        <x:v>0</x:v>
      </x:c>
      <x:c r="AQ27" s="34" t="n">
        <x:v>0</x:v>
      </x:c>
      <x:c r="AR27" s="34" t="n">
        <x:v>2</x:v>
      </x:c>
      <x:c r="AS27" s="34" t="n">
        <x:v>3</x:v>
      </x:c>
      <x:c r="AT27" s="34" t="n">
        <x:v>0.3119871999999999</x:v>
      </x:c>
      <x:c r="AU27" s="34" t="n">
        <x:v>0.65</x:v>
      </x:c>
      <x:c r="AV27" s="34" t="n">
        <x:v>1.1400000000000001</x:v>
      </x:c>
    </x:row>
    <x:row r="28">
      <x:c r="A28" s="34" t="str">
        <x:v>JFE_STEEL_JP</x:v>
      </x:c>
      <x:c r="B28" s="34" t="str">
        <x:v>JFE Steel</x:v>
      </x:c>
      <x:c r="C28" s="34" t="str">
        <x:v>ACCELERATED_15C</x:v>
      </x:c>
      <x:c r="D28" s="34" t="str">
        <x:v>P2</x:v>
      </x:c>
      <x:c r="E28" s="34" t="n">
        <x:v>2037</x:v>
      </x:c>
      <x:c r="F28" s="34" t="n">
        <x:v>4</x:v>
      </x:c>
      <x:c r="G28" s="34" t="n">
        <x:v>8.9175</x:v>
      </x:c>
      <x:c r="H28" s="34" t="n">
        <x:v>18</x:v>
      </x:c>
      <x:c r="I28" s="34" t="n">
        <x:v>9.0825</x:v>
      </x:c>
      <x:c r="J28" s="34" t="n">
        <x:v>49.542</x:v>
      </x:c>
      <x:c r="K28" s="34" t="n">
        <x:v>0.495</x:v>
      </x:c>
      <x:c r="L28" s="34" t="n">
        <x:v>2.2800000000000002</x:v>
      </x:c>
      <x:c r="M28" s="34" t="n">
        <x:v>1.785</x:v>
      </x:c>
      <x:c r="N28" s="34" t="n">
        <x:v>21.711</x:v>
      </x:c>
      <x:c r="O28" s="34" t="n">
        <x:v>8.016499</x:v>
      </x:c>
      <x:c r="P28" s="34" t="n">
        <x:v>17.2</x:v>
      </x:c>
      <x:c r="Q28" s="34" t="n">
        <x:v>9.183501</x:v>
      </x:c>
      <x:c r="R28" s="34" t="n">
        <x:v>46.608</x:v>
      </x:c>
      <x:c r="S28" s="40" t="b">
        <x:v>1</x:v>
      </x:c>
      <x:c r="T28" s="34" t="str">
        <x:v>model_interpolation</x:v>
      </x:c>
      <x:c r="U28" s="34" t="str">
        <x:v>Linear interpolation from 2035 to 2040</x:v>
      </x:c>
      <x:c r="V28" s="34" t="str">
        <x:v>CAND-0B566F19FFC9A2</x:v>
      </x:c>
      <x:c r="W28" s="34" t="str">
        <x:v>P2</x:v>
      </x:c>
      <x:c r="X28" s="34" t="str">
        <x:v>PORT-CCD4397FA6D4</x:v>
      </x:c>
      <x:c r="Y28" s="34" t="n">
        <x:v>1000</x:v>
      </x:c>
      <x:c r="Z28" s="34" t="n">
        <x:v>105.19455</x:v>
      </x:c>
      <x:c r="AA28" s="34" t="n">
        <x:v>32.737156</x:v>
      </x:c>
      <x:c r="AB28" s="34" t="n">
        <x:v>281.895878</x:v>
      </x:c>
      <x:c r="AC28" s="34" t="n">
        <x:v>29040.327</x:v>
      </x:c>
      <x:c r="AD28" s="34" t="n">
        <x:v>103.01792</x:v>
      </x:c>
      <x:c r="AE28" s="40" t="b">
        <x:v>0</x:v>
      </x:c>
      <x:c r="AF28" s="40" t="b">
        <x:v>0</x:v>
      </x:c>
      <x:c r="AG28" s="34" t="n">
        <x:v>2040</x:v>
      </x:c>
      <x:c r="AH28" s="34" t="n">
        <x:v>5.28499579</x:v>
      </x:c>
      <x:c r="AI28" s="34" t="n">
        <x:v>-5.28499579</x:v>
      </x:c>
      <x:c r="AJ28" s="40" t="b">
        <x:v>1</x:v>
      </x:c>
      <x:c r="AK28" s="40" t="b">
        <x:v>1</x:v>
      </x:c>
      <x:c r="AL28" s="40" t="b">
        <x:v>1</x:v>
      </x:c>
      <x:c r="AM28" s="40" t="b">
        <x:v>1</x:v>
      </x:c>
      <x:c r="AN28" s="34" t="str"/>
      <x:c r="AO28" s="34" t="n">
        <x:v>0</x:v>
      </x:c>
      <x:c r="AP28" s="34" t="n">
        <x:v>0</x:v>
      </x:c>
      <x:c r="AQ28" s="34" t="n">
        <x:v>0</x:v>
      </x:c>
      <x:c r="AR28" s="34" t="n">
        <x:v>2</x:v>
      </x:c>
      <x:c r="AS28" s="34" t="n">
        <x:v>3</x:v>
      </x:c>
      <x:c r="AT28" s="34" t="n">
        <x:v>0.3119871999999999</x:v>
      </x:c>
      <x:c r="AU28" s="34" t="n">
        <x:v>0.65</x:v>
      </x:c>
      <x:c r="AV28" s="34" t="n">
        <x:v>1.1400000000000001</x:v>
      </x:c>
    </x:row>
    <x:row r="29">
      <x:c r="A29" s="34" t="str">
        <x:v>JFE_STEEL_JP</x:v>
      </x:c>
      <x:c r="B29" s="34" t="str">
        <x:v>JFE Steel</x:v>
      </x:c>
      <x:c r="C29" s="34" t="str">
        <x:v>ACCELERATED_15C</x:v>
      </x:c>
      <x:c r="D29" s="34" t="str">
        <x:v>P2</x:v>
      </x:c>
      <x:c r="E29" s="34" t="n">
        <x:v>2038</x:v>
      </x:c>
      <x:c r="F29" s="34" t="n">
        <x:v>4</x:v>
      </x:c>
      <x:c r="G29" s="34" t="n">
        <x:v>8.9175</x:v>
      </x:c>
      <x:c r="H29" s="34" t="n">
        <x:v>19</x:v>
      </x:c>
      <x:c r="I29" s="34" t="n">
        <x:v>10.0825</x:v>
      </x:c>
      <x:c r="J29" s="34" t="n">
        <x:v>46.934</x:v>
      </x:c>
      <x:c r="K29" s="34" t="n">
        <x:v>0.495</x:v>
      </x:c>
      <x:c r="L29" s="34" t="n">
        <x:v>2.52</x:v>
      </x:c>
      <x:c r="M29" s="34" t="n">
        <x:v>2.025</x:v>
      </x:c>
      <x:c r="N29" s="34" t="n">
        <x:v>19.643</x:v>
      </x:c>
      <x:c r="O29" s="34" t="n">
        <x:v>8.016499</x:v>
      </x:c>
      <x:c r="P29" s="34" t="n">
        <x:v>18.8</x:v>
      </x:c>
      <x:c r="Q29" s="34" t="n">
        <x:v>10.783501</x:v>
      </x:c>
      <x:c r="R29" s="34" t="n">
        <x:v>42.641</x:v>
      </x:c>
      <x:c r="S29" s="40" t="b">
        <x:v>1</x:v>
      </x:c>
      <x:c r="T29" s="34" t="str">
        <x:v>model_interpolation</x:v>
      </x:c>
      <x:c r="U29" s="34" t="str">
        <x:v>Linear interpolation from 2035 to 2040</x:v>
      </x:c>
      <x:c r="V29" s="34" t="str">
        <x:v>CAND-0B566F19FFC9A2</x:v>
      </x:c>
      <x:c r="W29" s="34" t="str">
        <x:v>P2</x:v>
      </x:c>
      <x:c r="X29" s="34" t="str">
        <x:v>PORT-CCD4397FA6D4</x:v>
      </x:c>
      <x:c r="Y29" s="34" t="n">
        <x:v>1000</x:v>
      </x:c>
      <x:c r="Z29" s="34" t="n">
        <x:v>105.19455</x:v>
      </x:c>
      <x:c r="AA29" s="34" t="n">
        <x:v>32.737156</x:v>
      </x:c>
      <x:c r="AB29" s="34" t="n">
        <x:v>281.895878</x:v>
      </x:c>
      <x:c r="AC29" s="34" t="n">
        <x:v>29040.327</x:v>
      </x:c>
      <x:c r="AD29" s="34" t="n">
        <x:v>103.01792</x:v>
      </x:c>
      <x:c r="AE29" s="40" t="b">
        <x:v>0</x:v>
      </x:c>
      <x:c r="AF29" s="40" t="b">
        <x:v>0</x:v>
      </x:c>
      <x:c r="AG29" s="34" t="n">
        <x:v>2040</x:v>
      </x:c>
      <x:c r="AH29" s="34" t="n">
        <x:v>5.28499579</x:v>
      </x:c>
      <x:c r="AI29" s="34" t="n">
        <x:v>-5.28499579</x:v>
      </x:c>
      <x:c r="AJ29" s="40" t="b">
        <x:v>1</x:v>
      </x:c>
      <x:c r="AK29" s="40" t="b">
        <x:v>1</x:v>
      </x:c>
      <x:c r="AL29" s="40" t="b">
        <x:v>1</x:v>
      </x:c>
      <x:c r="AM29" s="40" t="b">
        <x:v>1</x:v>
      </x:c>
      <x:c r="AN29" s="34" t="str"/>
      <x:c r="AO29" s="34" t="n">
        <x:v>0</x:v>
      </x:c>
      <x:c r="AP29" s="34" t="n">
        <x:v>0</x:v>
      </x:c>
      <x:c r="AQ29" s="34" t="n">
        <x:v>0</x:v>
      </x:c>
      <x:c r="AR29" s="34" t="n">
        <x:v>2</x:v>
      </x:c>
      <x:c r="AS29" s="34" t="n">
        <x:v>3</x:v>
      </x:c>
      <x:c r="AT29" s="34" t="n">
        <x:v>0.3119871999999999</x:v>
      </x:c>
      <x:c r="AU29" s="34" t="n">
        <x:v>0.65</x:v>
      </x:c>
      <x:c r="AV29" s="34" t="n">
        <x:v>1.1400000000000001</x:v>
      </x:c>
    </x:row>
    <x:row r="30">
      <x:c r="A30" s="34" t="str">
        <x:v>JFE_STEEL_JP</x:v>
      </x:c>
      <x:c r="B30" s="34" t="str">
        <x:v>JFE Steel</x:v>
      </x:c>
      <x:c r="C30" s="34" t="str">
        <x:v>ACCELERATED_15C</x:v>
      </x:c>
      <x:c r="D30" s="34" t="str">
        <x:v>P2</x:v>
      </x:c>
      <x:c r="E30" s="34" t="n">
        <x:v>2039</x:v>
      </x:c>
      <x:c r="F30" s="34" t="n">
        <x:v>4</x:v>
      </x:c>
      <x:c r="G30" s="34" t="n">
        <x:v>8.9175</x:v>
      </x:c>
      <x:c r="H30" s="34" t="n">
        <x:v>20</x:v>
      </x:c>
      <x:c r="I30" s="34" t="n">
        <x:v>11.0825</x:v>
      </x:c>
      <x:c r="J30" s="34" t="n">
        <x:v>44.587</x:v>
      </x:c>
      <x:c r="K30" s="34" t="n">
        <x:v>0.495</x:v>
      </x:c>
      <x:c r="L30" s="34" t="n">
        <x:v>2.76</x:v>
      </x:c>
      <x:c r="M30" s="34" t="n">
        <x:v>2.265</x:v>
      </x:c>
      <x:c r="N30" s="34" t="n">
        <x:v>17.935</x:v>
      </x:c>
      <x:c r="O30" s="34" t="n">
        <x:v>8.016499</x:v>
      </x:c>
      <x:c r="P30" s="34" t="n">
        <x:v>20.4</x:v>
      </x:c>
      <x:c r="Q30" s="34" t="n">
        <x:v>12.383501</x:v>
      </x:c>
      <x:c r="R30" s="34" t="n">
        <x:v>39.297</x:v>
      </x:c>
      <x:c r="S30" s="40" t="b">
        <x:v>1</x:v>
      </x:c>
      <x:c r="T30" s="34" t="str">
        <x:v>model_interpolation</x:v>
      </x:c>
      <x:c r="U30" s="34" t="str">
        <x:v>Linear interpolation from 2035 to 2040</x:v>
      </x:c>
      <x:c r="V30" s="34" t="str">
        <x:v>CAND-0B566F19FFC9A2</x:v>
      </x:c>
      <x:c r="W30" s="34" t="str">
        <x:v>P2</x:v>
      </x:c>
      <x:c r="X30" s="34" t="str">
        <x:v>PORT-CCD4397FA6D4</x:v>
      </x:c>
      <x:c r="Y30" s="34" t="n">
        <x:v>1000</x:v>
      </x:c>
      <x:c r="Z30" s="34" t="n">
        <x:v>105.19455</x:v>
      </x:c>
      <x:c r="AA30" s="34" t="n">
        <x:v>32.737156</x:v>
      </x:c>
      <x:c r="AB30" s="34" t="n">
        <x:v>281.895878</x:v>
      </x:c>
      <x:c r="AC30" s="34" t="n">
        <x:v>29040.327</x:v>
      </x:c>
      <x:c r="AD30" s="34" t="n">
        <x:v>103.01792</x:v>
      </x:c>
      <x:c r="AE30" s="40" t="b">
        <x:v>0</x:v>
      </x:c>
      <x:c r="AF30" s="40" t="b">
        <x:v>0</x:v>
      </x:c>
      <x:c r="AG30" s="34" t="n">
        <x:v>2040</x:v>
      </x:c>
      <x:c r="AH30" s="34" t="n">
        <x:v>5.28499579</x:v>
      </x:c>
      <x:c r="AI30" s="34" t="n">
        <x:v>-5.28499579</x:v>
      </x:c>
      <x:c r="AJ30" s="40" t="b">
        <x:v>1</x:v>
      </x:c>
      <x:c r="AK30" s="40" t="b">
        <x:v>1</x:v>
      </x:c>
      <x:c r="AL30" s="40" t="b">
        <x:v>1</x:v>
      </x:c>
      <x:c r="AM30" s="40" t="b">
        <x:v>1</x:v>
      </x:c>
      <x:c r="AN30" s="34" t="str"/>
      <x:c r="AO30" s="34" t="n">
        <x:v>0</x:v>
      </x:c>
      <x:c r="AP30" s="34" t="n">
        <x:v>0</x:v>
      </x:c>
      <x:c r="AQ30" s="34" t="n">
        <x:v>0</x:v>
      </x:c>
      <x:c r="AR30" s="34" t="n">
        <x:v>2</x:v>
      </x:c>
      <x:c r="AS30" s="34" t="n">
        <x:v>3</x:v>
      </x:c>
      <x:c r="AT30" s="34" t="n">
        <x:v>0.3119871999999999</x:v>
      </x:c>
      <x:c r="AU30" s="34" t="n">
        <x:v>0.65</x:v>
      </x:c>
      <x:c r="AV30" s="34" t="n">
        <x:v>1.1400000000000001</x:v>
      </x:c>
    </x:row>
    <x:row r="31">
      <x:c r="A31" s="34" t="str">
        <x:v>JFE_STEEL_JP</x:v>
      </x:c>
      <x:c r="B31" s="34" t="str">
        <x:v>JFE Steel</x:v>
      </x:c>
      <x:c r="C31" s="34" t="str">
        <x:v>ACCELERATED_15C</x:v>
      </x:c>
      <x:c r="D31" s="34" t="str">
        <x:v>P2</x:v>
      </x:c>
      <x:c r="E31" s="34" t="n">
        <x:v>2040</x:v>
      </x:c>
      <x:c r="F31" s="34" t="n">
        <x:v>4</x:v>
      </x:c>
      <x:c r="G31" s="34" t="n">
        <x:v>8.9175</x:v>
      </x:c>
      <x:c r="H31" s="34" t="n">
        <x:v>21</x:v>
      </x:c>
      <x:c r="I31" s="34" t="n">
        <x:v>12.0825</x:v>
      </x:c>
      <x:c r="J31" s="34" t="n">
        <x:v>42.464</x:v>
      </x:c>
      <x:c r="K31" s="34" t="n">
        <x:v>0.495</x:v>
      </x:c>
      <x:c r="L31" s="34" t="n">
        <x:v>3</x:v>
      </x:c>
      <x:c r="M31" s="34" t="n">
        <x:v>2.505</x:v>
      </x:c>
      <x:c r="N31" s="34" t="n">
        <x:v>16.5</x:v>
      </x:c>
      <x:c r="O31" s="34" t="n">
        <x:v>8.016499</x:v>
      </x:c>
      <x:c r="P31" s="34" t="n">
        <x:v>22</x:v>
      </x:c>
      <x:c r="Q31" s="34" t="n">
        <x:v>13.983501</x:v>
      </x:c>
      <x:c r="R31" s="34" t="n">
        <x:v>36.439</x:v>
      </x:c>
      <x:c r="S31" s="40" t="b">
        <x:v>1</x:v>
      </x:c>
      <x:c r="T31" s="34" t="str">
        <x:v>model_estimate</x:v>
      </x:c>
      <x:c r="U31" s="34" t="str">
        <x:v>Illustrative accelerated envelope; not GCAM or an official supply forecast</x:v>
      </x:c>
      <x:c r="V31" s="34" t="str">
        <x:v>CAND-0B566F19FFC9A2</x:v>
      </x:c>
      <x:c r="W31" s="34" t="str">
        <x:v>P2</x:v>
      </x:c>
      <x:c r="X31" s="34" t="str">
        <x:v>PORT-CCD4397FA6D4</x:v>
      </x:c>
      <x:c r="Y31" s="34" t="n">
        <x:v>1000</x:v>
      </x:c>
      <x:c r="Z31" s="34" t="n">
        <x:v>105.19455</x:v>
      </x:c>
      <x:c r="AA31" s="34" t="n">
        <x:v>32.737156</x:v>
      </x:c>
      <x:c r="AB31" s="34" t="n">
        <x:v>281.895878</x:v>
      </x:c>
      <x:c r="AC31" s="34" t="n">
        <x:v>29040.327</x:v>
      </x:c>
      <x:c r="AD31" s="34" t="n">
        <x:v>103.01792</x:v>
      </x:c>
      <x:c r="AE31" s="40" t="b">
        <x:v>0</x:v>
      </x:c>
      <x:c r="AF31" s="40" t="b">
        <x:v>0</x:v>
      </x:c>
      <x:c r="AG31" s="34" t="n">
        <x:v>2040</x:v>
      </x:c>
      <x:c r="AH31" s="34" t="n">
        <x:v>5.28499579</x:v>
      </x:c>
      <x:c r="AI31" s="34" t="n">
        <x:v>-5.28499579</x:v>
      </x:c>
      <x:c r="AJ31" s="40" t="b">
        <x:v>1</x:v>
      </x:c>
      <x:c r="AK31" s="40" t="b">
        <x:v>1</x:v>
      </x:c>
      <x:c r="AL31" s="40" t="b">
        <x:v>1</x:v>
      </x:c>
      <x:c r="AM31" s="40" t="b">
        <x:v>1</x:v>
      </x:c>
      <x:c r="AN31" s="34" t="str"/>
      <x:c r="AO31" s="34" t="n">
        <x:v>0</x:v>
      </x:c>
      <x:c r="AP31" s="34" t="n">
        <x:v>0</x:v>
      </x:c>
      <x:c r="AQ31" s="34" t="n">
        <x:v>0</x:v>
      </x:c>
      <x:c r="AR31" s="34" t="n">
        <x:v>2</x:v>
      </x:c>
      <x:c r="AS31" s="34" t="n">
        <x:v>3</x:v>
      </x:c>
      <x:c r="AT31" s="34" t="n">
        <x:v>0.3119871999999999</x:v>
      </x:c>
      <x:c r="AU31" s="34" t="n">
        <x:v>0.65</x:v>
      </x:c>
      <x:c r="AV31" s="34" t="n">
        <x:v>1.1400000000000001</x:v>
      </x:c>
    </x:row>
    <x:row r="32">
      <x:c r="A32" s="34" t="str">
        <x:v>KOBE_STEEL_JP</x:v>
      </x:c>
      <x:c r="B32" s="34" t="str">
        <x:v>Kobe Steel</x:v>
      </x:c>
      <x:c r="C32" s="34" t="str">
        <x:v>DISCLOSED_PATH</x:v>
      </x:c>
      <x:c r="D32" s="34" t="str">
        <x:v>P7</x:v>
      </x:c>
      <x:c r="E32" s="34" t="n">
        <x:v>2026</x:v>
      </x:c>
      <x:c r="F32" s="34" t="n">
        <x:v>0</x:v>
      </x:c>
      <x:c r="G32" s="34" t="n">
        <x:v>0</x:v>
      </x:c>
      <x:c r="H32" s="34" t="n">
        <x:v>2</x:v>
      </x:c>
      <x:c r="I32" s="34" t="n">
        <x:v>2</x:v>
      </x:c>
      <x:c r="J32" s="34" t="n">
        <x:v>0</x:v>
      </x:c>
      <x:c r="K32" s="34" t="n">
        <x:v>0</x:v>
      </x:c>
      <x:c r="L32" s="34" t="n">
        <x:v>0</x:v>
      </x:c>
      <x:c r="M32" s="34" t="n">
        <x:v>0</x:v>
      </x:c>
      <x:c r="N32" s="34" t="n">
        <x:v>0</x:v>
      </x:c>
      <x:c r="O32" s="34" t="n">
        <x:v>0</x:v>
      </x:c>
      <x:c r="P32" s="34" t="n">
        <x:v>0.8</x:v>
      </x:c>
      <x:c r="Q32" s="34" t="n">
        <x:v>0.8</x:v>
      </x:c>
      <x:c r="R32" s="34" t="n">
        <x:v>0</x:v>
      </x:c>
      <x:c r="S32" s="40" t="b">
        <x:v>1</x:v>
      </x:c>
      <x:c r="T32" s="34" t="str">
        <x:v>model_interpolation</x:v>
      </x:c>
      <x:c r="U32" s="34" t="str">
        <x:v>Linear interpolation from 2026 to 2030</x:v>
      </x:c>
      <x:c r="V32" s="34" t="str">
        <x:v>CAND-0E9003448A63C3</x:v>
      </x:c>
      <x:c r="W32" s="34" t="str">
        <x:v>P7</x:v>
      </x:c>
      <x:c r="X32" s="34" t="str">
        <x:v>PORT-F194BB679477</x:v>
      </x:c>
      <x:c r="Y32" s="34" t="n">
        <x:v>1000</x:v>
      </x:c>
      <x:c r="Z32" s="34" t="n">
        <x:v>151.009261</x:v>
      </x:c>
      <x:c r="AA32" s="34" t="n">
        <x:v>1.485917</x:v>
      </x:c>
      <x:c r="AB32" s="34" t="n">
        <x:v>131.48782</x:v>
      </x:c>
      <x:c r="AC32" s="34" t="n">
        <x:v>19837.419</x:v>
      </x:c>
      <x:c r="AD32" s="34" t="n">
        <x:v>150.868867</x:v>
      </x:c>
      <x:c r="AE32" s="40" t="b">
        <x:v>1</x:v>
      </x:c>
      <x:c r="AF32" s="40" t="b">
        <x:v>0</x:v>
      </x:c>
      <x:c r="AG32" s="34" t="str"/>
      <x:c r="AH32" s="34" t="n">
        <x:v>0</x:v>
      </x:c>
      <x:c r="AI32" s="34" t="str">
        <x:v>9.990856690045291e-05</x:v>
      </x:c>
      <x:c r="AJ32" s="40" t="b">
        <x:v>0</x:v>
      </x:c>
      <x:c r="AK32" s="40" t="b">
        <x:v>0</x:v>
      </x:c>
      <x:c r="AL32" s="40" t="b">
        <x:v>1</x:v>
      </x:c>
      <x:c r="AM32" s="40" t="b">
        <x:v>1</x:v>
      </x:c>
      <x:c r="AN32" s="34" t="n">
        <x:v>2028</x:v>
      </x:c>
      <x:c r="AO32" s="34" t="n">
        <x:v>0</x:v>
      </x:c>
      <x:c r="AP32" s="34" t="n">
        <x:v>0.012250011000000005</x:v>
      </x:c>
      <x:c r="AQ32" s="34" t="n">
        <x:v>0</x:v>
      </x:c>
      <x:c r="AR32" s="34" t="n">
        <x:v>1</x:v>
      </x:c>
      <x:c r="AS32" s="34" t="n">
        <x:v>1</x:v>
      </x:c>
      <x:c r="AT32" s="34" t="n">
        <x:v>0.3612199999999999</x:v>
      </x:c>
      <x:c r="AU32" s="34" t="n">
        <x:v>0.6</x:v>
      </x:c>
      <x:c r="AV32" s="34" t="n">
        <x:v>1.54</x:v>
      </x:c>
    </x:row>
    <x:row r="33">
      <x:c r="A33" s="34" t="str">
        <x:v>KOBE_STEEL_JP</x:v>
      </x:c>
      <x:c r="B33" s="34" t="str">
        <x:v>Kobe Steel</x:v>
      </x:c>
      <x:c r="C33" s="34" t="str">
        <x:v>DISCLOSED_PATH</x:v>
      </x:c>
      <x:c r="D33" s="34" t="str">
        <x:v>P7</x:v>
      </x:c>
      <x:c r="E33" s="34" t="n">
        <x:v>2027</x:v>
      </x:c>
      <x:c r="F33" s="34" t="n">
        <x:v>0</x:v>
      </x:c>
      <x:c r="G33" s="34" t="n">
        <x:v>0</x:v>
      </x:c>
      <x:c r="H33" s="34" t="n">
        <x:v>2.5</x:v>
      </x:c>
      <x:c r="I33" s="34" t="n">
        <x:v>2.5</x:v>
      </x:c>
      <x:c r="J33" s="34" t="n">
        <x:v>0</x:v>
      </x:c>
      <x:c r="K33" s="34" t="n">
        <x:v>0</x:v>
      </x:c>
      <x:c r="L33" s="34" t="n">
        <x:v>0.075</x:v>
      </x:c>
      <x:c r="M33" s="34" t="n">
        <x:v>0.075</x:v>
      </x:c>
      <x:c r="N33" s="34" t="n">
        <x:v>0</x:v>
      </x:c>
      <x:c r="O33" s="34" t="n">
        <x:v>0</x:v>
      </x:c>
      <x:c r="P33" s="34" t="n">
        <x:v>1.35</x:v>
      </x:c>
      <x:c r="Q33" s="34" t="n">
        <x:v>1.35</x:v>
      </x:c>
      <x:c r="R33" s="34" t="n">
        <x:v>0</x:v>
      </x:c>
      <x:c r="S33" s="40" t="b">
        <x:v>1</x:v>
      </x:c>
      <x:c r="T33" s="34" t="str">
        <x:v>model_interpolation</x:v>
      </x:c>
      <x:c r="U33" s="34" t="str">
        <x:v>Linear interpolation from 2026 to 2030</x:v>
      </x:c>
      <x:c r="V33" s="34" t="str">
        <x:v>CAND-0E9003448A63C3</x:v>
      </x:c>
      <x:c r="W33" s="34" t="str">
        <x:v>P7</x:v>
      </x:c>
      <x:c r="X33" s="34" t="str">
        <x:v>PORT-F194BB679477</x:v>
      </x:c>
      <x:c r="Y33" s="34" t="n">
        <x:v>1000</x:v>
      </x:c>
      <x:c r="Z33" s="34" t="n">
        <x:v>151.009261</x:v>
      </x:c>
      <x:c r="AA33" s="34" t="n">
        <x:v>1.485917</x:v>
      </x:c>
      <x:c r="AB33" s="34" t="n">
        <x:v>131.48782</x:v>
      </x:c>
      <x:c r="AC33" s="34" t="n">
        <x:v>19837.419</x:v>
      </x:c>
      <x:c r="AD33" s="34" t="n">
        <x:v>150.868867</x:v>
      </x:c>
      <x:c r="AE33" s="40" t="b">
        <x:v>1</x:v>
      </x:c>
      <x:c r="AF33" s="40" t="b">
        <x:v>0</x:v>
      </x:c>
      <x:c r="AG33" s="34" t="str"/>
      <x:c r="AH33" s="34" t="n">
        <x:v>0</x:v>
      </x:c>
      <x:c r="AI33" s="34" t="str">
        <x:v>9.990856690045291e-05</x:v>
      </x:c>
      <x:c r="AJ33" s="40" t="b">
        <x:v>0</x:v>
      </x:c>
      <x:c r="AK33" s="40" t="b">
        <x:v>0</x:v>
      </x:c>
      <x:c r="AL33" s="40" t="b">
        <x:v>1</x:v>
      </x:c>
      <x:c r="AM33" s="40" t="b">
        <x:v>1</x:v>
      </x:c>
      <x:c r="AN33" s="34" t="n">
        <x:v>2028</x:v>
      </x:c>
      <x:c r="AO33" s="34" t="n">
        <x:v>0</x:v>
      </x:c>
      <x:c r="AP33" s="34" t="n">
        <x:v>0.012250011000000005</x:v>
      </x:c>
      <x:c r="AQ33" s="34" t="n">
        <x:v>0</x:v>
      </x:c>
      <x:c r="AR33" s="34" t="n">
        <x:v>1</x:v>
      </x:c>
      <x:c r="AS33" s="34" t="n">
        <x:v>1</x:v>
      </x:c>
      <x:c r="AT33" s="34" t="n">
        <x:v>0.3612199999999999</x:v>
      </x:c>
      <x:c r="AU33" s="34" t="n">
        <x:v>0.6</x:v>
      </x:c>
      <x:c r="AV33" s="34" t="n">
        <x:v>1.54</x:v>
      </x:c>
    </x:row>
    <x:row r="34">
      <x:c r="A34" s="34" t="str">
        <x:v>KOBE_STEEL_JP</x:v>
      </x:c>
      <x:c r="B34" s="34" t="str">
        <x:v>Kobe Steel</x:v>
      </x:c>
      <x:c r="C34" s="34" t="str">
        <x:v>DISCLOSED_PATH</x:v>
      </x:c>
      <x:c r="D34" s="34" t="str">
        <x:v>P7</x:v>
      </x:c>
      <x:c r="E34" s="34" t="n">
        <x:v>2028</x:v>
      </x:c>
      <x:c r="F34" s="34" t="n">
        <x:v>1</x:v>
      </x:c>
      <x:c r="G34" s="34" t="n">
        <x:v>0.4425</x:v>
      </x:c>
      <x:c r="H34" s="34" t="n">
        <x:v>3</x:v>
      </x:c>
      <x:c r="I34" s="34" t="n">
        <x:v>2.5575</x:v>
      </x:c>
      <x:c r="J34" s="34" t="n">
        <x:v>14.75</x:v>
      </x:c>
      <x:c r="K34" s="34" t="n">
        <x:v>0.16225</x:v>
      </x:c>
      <x:c r="L34" s="34" t="n">
        <x:v>0.15</x:v>
      </x:c>
      <x:c r="M34" s="34" t="n">
        <x:v>-0.01225</x:v>
      </x:c>
      <x:c r="N34" s="34" t="n">
        <x:v>108.167</x:v>
      </x:c>
      <x:c r="O34" s="34" t="n">
        <x:v>1.357</x:v>
      </x:c>
      <x:c r="P34" s="34" t="n">
        <x:v>1.9000000000000001</x:v>
      </x:c>
      <x:c r="Q34" s="34" t="n">
        <x:v>0.543</x:v>
      </x:c>
      <x:c r="R34" s="34" t="n">
        <x:v>71.421</x:v>
      </x:c>
      <x:c r="S34" s="40" t="b">
        <x:v>0</x:v>
      </x:c>
      <x:c r="T34" s="34" t="str">
        <x:v>model_interpolation</x:v>
      </x:c>
      <x:c r="U34" s="34" t="str">
        <x:v>Linear interpolation from 2026 to 2030</x:v>
      </x:c>
      <x:c r="V34" s="34" t="str">
        <x:v>CAND-0E9003448A63C3</x:v>
      </x:c>
      <x:c r="W34" s="34" t="str">
        <x:v>P7</x:v>
      </x:c>
      <x:c r="X34" s="34" t="str">
        <x:v>PORT-F194BB679477</x:v>
      </x:c>
      <x:c r="Y34" s="34" t="n">
        <x:v>1000</x:v>
      </x:c>
      <x:c r="Z34" s="34" t="n">
        <x:v>151.009261</x:v>
      </x:c>
      <x:c r="AA34" s="34" t="n">
        <x:v>1.485917</x:v>
      </x:c>
      <x:c r="AB34" s="34" t="n">
        <x:v>131.48782</x:v>
      </x:c>
      <x:c r="AC34" s="34" t="n">
        <x:v>19837.419</x:v>
      </x:c>
      <x:c r="AD34" s="34" t="n">
        <x:v>150.868867</x:v>
      </x:c>
      <x:c r="AE34" s="40" t="b">
        <x:v>1</x:v>
      </x:c>
      <x:c r="AF34" s="40" t="b">
        <x:v>0</x:v>
      </x:c>
      <x:c r="AG34" s="34" t="str"/>
      <x:c r="AH34" s="34" t="n">
        <x:v>0</x:v>
      </x:c>
      <x:c r="AI34" s="34" t="str">
        <x:v>9.990856690045291e-05</x:v>
      </x:c>
      <x:c r="AJ34" s="40" t="b">
        <x:v>0</x:v>
      </x:c>
      <x:c r="AK34" s="40" t="b">
        <x:v>0</x:v>
      </x:c>
      <x:c r="AL34" s="40" t="b">
        <x:v>1</x:v>
      </x:c>
      <x:c r="AM34" s="40" t="b">
        <x:v>1</x:v>
      </x:c>
      <x:c r="AN34" s="34" t="n">
        <x:v>2028</x:v>
      </x:c>
      <x:c r="AO34" s="34" t="n">
        <x:v>0</x:v>
      </x:c>
      <x:c r="AP34" s="34" t="n">
        <x:v>0.012250011000000005</x:v>
      </x:c>
      <x:c r="AQ34" s="34" t="n">
        <x:v>0</x:v>
      </x:c>
      <x:c r="AR34" s="34" t="n">
        <x:v>1</x:v>
      </x:c>
      <x:c r="AS34" s="34" t="n">
        <x:v>1</x:v>
      </x:c>
      <x:c r="AT34" s="34" t="n">
        <x:v>0.3612199999999999</x:v>
      </x:c>
      <x:c r="AU34" s="34" t="n">
        <x:v>0.6</x:v>
      </x:c>
      <x:c r="AV34" s="34" t="n">
        <x:v>1.54</x:v>
      </x:c>
    </x:row>
    <x:row r="35">
      <x:c r="A35" s="34" t="str">
        <x:v>KOBE_STEEL_JP</x:v>
      </x:c>
      <x:c r="B35" s="34" t="str">
        <x:v>Kobe Steel</x:v>
      </x:c>
      <x:c r="C35" s="34" t="str">
        <x:v>DISCLOSED_PATH</x:v>
      </x:c>
      <x:c r="D35" s="34" t="str">
        <x:v>P7</x:v>
      </x:c>
      <x:c r="E35" s="34" t="n">
        <x:v>2029</x:v>
      </x:c>
      <x:c r="F35" s="34" t="n">
        <x:v>1</x:v>
      </x:c>
      <x:c r="G35" s="34" t="n">
        <x:v>0.4425</x:v>
      </x:c>
      <x:c r="H35" s="34" t="n">
        <x:v>3.5</x:v>
      </x:c>
      <x:c r="I35" s="34" t="n">
        <x:v>3.0575</x:v>
      </x:c>
      <x:c r="J35" s="34" t="n">
        <x:v>12.643</x:v>
      </x:c>
      <x:c r="K35" s="34" t="n">
        <x:v>0.16225</x:v>
      </x:c>
      <x:c r="L35" s="34" t="n">
        <x:v>0.22499999999999998</x:v>
      </x:c>
      <x:c r="M35" s="34" t="n">
        <x:v>0.06275</x:v>
      </x:c>
      <x:c r="N35" s="34" t="n">
        <x:v>72.111</x:v>
      </x:c>
      <x:c r="O35" s="34" t="n">
        <x:v>1.357</x:v>
      </x:c>
      <x:c r="P35" s="34" t="n">
        <x:v>2.45</x:v>
      </x:c>
      <x:c r="Q35" s="34" t="n">
        <x:v>1.093</x:v>
      </x:c>
      <x:c r="R35" s="34" t="n">
        <x:v>55.388</x:v>
      </x:c>
      <x:c r="S35" s="40" t="b">
        <x:v>1</x:v>
      </x:c>
      <x:c r="T35" s="34" t="str">
        <x:v>model_interpolation</x:v>
      </x:c>
      <x:c r="U35" s="34" t="str">
        <x:v>Linear interpolation from 2026 to 2030</x:v>
      </x:c>
      <x:c r="V35" s="34" t="str">
        <x:v>CAND-0E9003448A63C3</x:v>
      </x:c>
      <x:c r="W35" s="34" t="str">
        <x:v>P7</x:v>
      </x:c>
      <x:c r="X35" s="34" t="str">
        <x:v>PORT-F194BB679477</x:v>
      </x:c>
      <x:c r="Y35" s="34" t="n">
        <x:v>1000</x:v>
      </x:c>
      <x:c r="Z35" s="34" t="n">
        <x:v>151.009261</x:v>
      </x:c>
      <x:c r="AA35" s="34" t="n">
        <x:v>1.485917</x:v>
      </x:c>
      <x:c r="AB35" s="34" t="n">
        <x:v>131.48782</x:v>
      </x:c>
      <x:c r="AC35" s="34" t="n">
        <x:v>19837.419</x:v>
      </x:c>
      <x:c r="AD35" s="34" t="n">
        <x:v>150.868867</x:v>
      </x:c>
      <x:c r="AE35" s="40" t="b">
        <x:v>1</x:v>
      </x:c>
      <x:c r="AF35" s="40" t="b">
        <x:v>0</x:v>
      </x:c>
      <x:c r="AG35" s="34" t="str"/>
      <x:c r="AH35" s="34" t="n">
        <x:v>0</x:v>
      </x:c>
      <x:c r="AI35" s="34" t="str">
        <x:v>9.990856690045291e-05</x:v>
      </x:c>
      <x:c r="AJ35" s="40" t="b">
        <x:v>0</x:v>
      </x:c>
      <x:c r="AK35" s="40" t="b">
        <x:v>0</x:v>
      </x:c>
      <x:c r="AL35" s="40" t="b">
        <x:v>1</x:v>
      </x:c>
      <x:c r="AM35" s="40" t="b">
        <x:v>1</x:v>
      </x:c>
      <x:c r="AN35" s="34" t="n">
        <x:v>2028</x:v>
      </x:c>
      <x:c r="AO35" s="34" t="n">
        <x:v>0</x:v>
      </x:c>
      <x:c r="AP35" s="34" t="n">
        <x:v>0.012250011000000005</x:v>
      </x:c>
      <x:c r="AQ35" s="34" t="n">
        <x:v>0</x:v>
      </x:c>
      <x:c r="AR35" s="34" t="n">
        <x:v>1</x:v>
      </x:c>
      <x:c r="AS35" s="34" t="n">
        <x:v>1</x:v>
      </x:c>
      <x:c r="AT35" s="34" t="n">
        <x:v>0.3612199999999999</x:v>
      </x:c>
      <x:c r="AU35" s="34" t="n">
        <x:v>0.6</x:v>
      </x:c>
      <x:c r="AV35" s="34" t="n">
        <x:v>1.54</x:v>
      </x:c>
    </x:row>
    <x:row r="36">
      <x:c r="A36" s="34" t="str">
        <x:v>KOBE_STEEL_JP</x:v>
      </x:c>
      <x:c r="B36" s="34" t="str">
        <x:v>Kobe Steel</x:v>
      </x:c>
      <x:c r="C36" s="34" t="str">
        <x:v>DISCLOSED_PATH</x:v>
      </x:c>
      <x:c r="D36" s="34" t="str">
        <x:v>P7</x:v>
      </x:c>
      <x:c r="E36" s="34" t="n">
        <x:v>2030</x:v>
      </x:c>
      <x:c r="F36" s="34" t="n">
        <x:v>2</x:v>
      </x:c>
      <x:c r="G36" s="34" t="n">
        <x:v>0.5325</x:v>
      </x:c>
      <x:c r="H36" s="34" t="n">
        <x:v>4</x:v>
      </x:c>
      <x:c r="I36" s="34" t="n">
        <x:v>3.4675</x:v>
      </x:c>
      <x:c r="J36" s="34" t="n">
        <x:v>13.313</x:v>
      </x:c>
      <x:c r="K36" s="34" t="n">
        <x:v>0.16225</x:v>
      </x:c>
      <x:c r="L36" s="34" t="n">
        <x:v>0.3</x:v>
      </x:c>
      <x:c r="M36" s="34" t="n">
        <x:v>0.13775</x:v>
      </x:c>
      <x:c r="N36" s="34" t="n">
        <x:v>54.083</x:v>
      </x:c>
      <x:c r="O36" s="34" t="n">
        <x:v>1.359</x:v>
      </x:c>
      <x:c r="P36" s="34" t="n">
        <x:v>3</x:v>
      </x:c>
      <x:c r="Q36" s="34" t="n">
        <x:v>1.641</x:v>
      </x:c>
      <x:c r="R36" s="34" t="n">
        <x:v>45.3</x:v>
      </x:c>
      <x:c r="S36" s="40" t="b">
        <x:v>1</x:v>
      </x:c>
      <x:c r="T36" s="34" t="str">
        <x:v>model_interpolation</x:v>
      </x:c>
      <x:c r="U36" s="34" t="str">
        <x:v>Linear interpolation from 2030 to 2035</x:v>
      </x:c>
      <x:c r="V36" s="34" t="str">
        <x:v>CAND-0E9003448A63C3</x:v>
      </x:c>
      <x:c r="W36" s="34" t="str">
        <x:v>P7</x:v>
      </x:c>
      <x:c r="X36" s="34" t="str">
        <x:v>PORT-F194BB679477</x:v>
      </x:c>
      <x:c r="Y36" s="34" t="n">
        <x:v>1000</x:v>
      </x:c>
      <x:c r="Z36" s="34" t="n">
        <x:v>151.009261</x:v>
      </x:c>
      <x:c r="AA36" s="34" t="n">
        <x:v>1.485917</x:v>
      </x:c>
      <x:c r="AB36" s="34" t="n">
        <x:v>131.48782</x:v>
      </x:c>
      <x:c r="AC36" s="34" t="n">
        <x:v>19837.419</x:v>
      </x:c>
      <x:c r="AD36" s="34" t="n">
        <x:v>150.868867</x:v>
      </x:c>
      <x:c r="AE36" s="40" t="b">
        <x:v>1</x:v>
      </x:c>
      <x:c r="AF36" s="40" t="b">
        <x:v>0</x:v>
      </x:c>
      <x:c r="AG36" s="34" t="str"/>
      <x:c r="AH36" s="34" t="n">
        <x:v>0</x:v>
      </x:c>
      <x:c r="AI36" s="34" t="str">
        <x:v>9.990856690045291e-05</x:v>
      </x:c>
      <x:c r="AJ36" s="40" t="b">
        <x:v>0</x:v>
      </x:c>
      <x:c r="AK36" s="40" t="b">
        <x:v>0</x:v>
      </x:c>
      <x:c r="AL36" s="40" t="b">
        <x:v>1</x:v>
      </x:c>
      <x:c r="AM36" s="40" t="b">
        <x:v>1</x:v>
      </x:c>
      <x:c r="AN36" s="34" t="n">
        <x:v>2028</x:v>
      </x:c>
      <x:c r="AO36" s="34" t="n">
        <x:v>0</x:v>
      </x:c>
      <x:c r="AP36" s="34" t="n">
        <x:v>0.012250011000000005</x:v>
      </x:c>
      <x:c r="AQ36" s="34" t="n">
        <x:v>0</x:v>
      </x:c>
      <x:c r="AR36" s="34" t="n">
        <x:v>1</x:v>
      </x:c>
      <x:c r="AS36" s="34" t="n">
        <x:v>1</x:v>
      </x:c>
      <x:c r="AT36" s="34" t="n">
        <x:v>0.3612199999999999</x:v>
      </x:c>
      <x:c r="AU36" s="34" t="n">
        <x:v>0.6</x:v>
      </x:c>
      <x:c r="AV36" s="34" t="n">
        <x:v>1.54</x:v>
      </x:c>
    </x:row>
    <x:row r="37">
      <x:c r="A37" s="34" t="str">
        <x:v>KOBE_STEEL_JP</x:v>
      </x:c>
      <x:c r="B37" s="34" t="str">
        <x:v>Kobe Steel</x:v>
      </x:c>
      <x:c r="C37" s="34" t="str">
        <x:v>DISCLOSED_PATH</x:v>
      </x:c>
      <x:c r="D37" s="34" t="str">
        <x:v>P7</x:v>
      </x:c>
      <x:c r="E37" s="34" t="n">
        <x:v>2031</x:v>
      </x:c>
      <x:c r="F37" s="34" t="n">
        <x:v>2</x:v>
      </x:c>
      <x:c r="G37" s="34" t="n">
        <x:v>0.5325</x:v>
      </x:c>
      <x:c r="H37" s="34" t="n">
        <x:v>4</x:v>
      </x:c>
      <x:c r="I37" s="34" t="n">
        <x:v>3.4675</x:v>
      </x:c>
      <x:c r="J37" s="34" t="n">
        <x:v>13.313</x:v>
      </x:c>
      <x:c r="K37" s="34" t="n">
        <x:v>0.16225</x:v>
      </x:c>
      <x:c r="L37" s="34" t="n">
        <x:v>0.32</x:v>
      </x:c>
      <x:c r="M37" s="34" t="n">
        <x:v>0.15775</x:v>
      </x:c>
      <x:c r="N37" s="34" t="n">
        <x:v>50.703</x:v>
      </x:c>
      <x:c r="O37" s="34" t="n">
        <x:v>1.359</x:v>
      </x:c>
      <x:c r="P37" s="34" t="n">
        <x:v>3</x:v>
      </x:c>
      <x:c r="Q37" s="34" t="n">
        <x:v>1.641</x:v>
      </x:c>
      <x:c r="R37" s="34" t="n">
        <x:v>45.3</x:v>
      </x:c>
      <x:c r="S37" s="40" t="b">
        <x:v>1</x:v>
      </x:c>
      <x:c r="T37" s="34" t="str">
        <x:v>model_interpolation</x:v>
      </x:c>
      <x:c r="U37" s="34" t="str">
        <x:v>Linear interpolation from 2030 to 2035</x:v>
      </x:c>
      <x:c r="V37" s="34" t="str">
        <x:v>CAND-0E9003448A63C3</x:v>
      </x:c>
      <x:c r="W37" s="34" t="str">
        <x:v>P7</x:v>
      </x:c>
      <x:c r="X37" s="34" t="str">
        <x:v>PORT-F194BB679477</x:v>
      </x:c>
      <x:c r="Y37" s="34" t="n">
        <x:v>1000</x:v>
      </x:c>
      <x:c r="Z37" s="34" t="n">
        <x:v>151.009261</x:v>
      </x:c>
      <x:c r="AA37" s="34" t="n">
        <x:v>1.485917</x:v>
      </x:c>
      <x:c r="AB37" s="34" t="n">
        <x:v>131.48782</x:v>
      </x:c>
      <x:c r="AC37" s="34" t="n">
        <x:v>19837.419</x:v>
      </x:c>
      <x:c r="AD37" s="34" t="n">
        <x:v>150.868867</x:v>
      </x:c>
      <x:c r="AE37" s="40" t="b">
        <x:v>1</x:v>
      </x:c>
      <x:c r="AF37" s="40" t="b">
        <x:v>0</x:v>
      </x:c>
      <x:c r="AG37" s="34" t="str"/>
      <x:c r="AH37" s="34" t="n">
        <x:v>0</x:v>
      </x:c>
      <x:c r="AI37" s="34" t="str">
        <x:v>9.990856690045291e-05</x:v>
      </x:c>
      <x:c r="AJ37" s="40" t="b">
        <x:v>0</x:v>
      </x:c>
      <x:c r="AK37" s="40" t="b">
        <x:v>0</x:v>
      </x:c>
      <x:c r="AL37" s="40" t="b">
        <x:v>1</x:v>
      </x:c>
      <x:c r="AM37" s="40" t="b">
        <x:v>1</x:v>
      </x:c>
      <x:c r="AN37" s="34" t="n">
        <x:v>2028</x:v>
      </x:c>
      <x:c r="AO37" s="34" t="n">
        <x:v>0</x:v>
      </x:c>
      <x:c r="AP37" s="34" t="n">
        <x:v>0.012250011000000005</x:v>
      </x:c>
      <x:c r="AQ37" s="34" t="n">
        <x:v>0</x:v>
      </x:c>
      <x:c r="AR37" s="34" t="n">
        <x:v>1</x:v>
      </x:c>
      <x:c r="AS37" s="34" t="n">
        <x:v>1</x:v>
      </x:c>
      <x:c r="AT37" s="34" t="n">
        <x:v>0.3612199999999999</x:v>
      </x:c>
      <x:c r="AU37" s="34" t="n">
        <x:v>0.6</x:v>
      </x:c>
      <x:c r="AV37" s="34" t="n">
        <x:v>1.54</x:v>
      </x:c>
    </x:row>
    <x:row r="38">
      <x:c r="A38" s="34" t="str">
        <x:v>KOBE_STEEL_JP</x:v>
      </x:c>
      <x:c r="B38" s="34" t="str">
        <x:v>Kobe Steel</x:v>
      </x:c>
      <x:c r="C38" s="34" t="str">
        <x:v>DISCLOSED_PATH</x:v>
      </x:c>
      <x:c r="D38" s="34" t="str">
        <x:v>P7</x:v>
      </x:c>
      <x:c r="E38" s="34" t="n">
        <x:v>2032</x:v>
      </x:c>
      <x:c r="F38" s="34" t="n">
        <x:v>2</x:v>
      </x:c>
      <x:c r="G38" s="34" t="n">
        <x:v>0.5325</x:v>
      </x:c>
      <x:c r="H38" s="34" t="n">
        <x:v>4</x:v>
      </x:c>
      <x:c r="I38" s="34" t="n">
        <x:v>3.4675</x:v>
      </x:c>
      <x:c r="J38" s="34" t="n">
        <x:v>13.313</x:v>
      </x:c>
      <x:c r="K38" s="34" t="n">
        <x:v>0.16225</x:v>
      </x:c>
      <x:c r="L38" s="34" t="n">
        <x:v>0.34</x:v>
      </x:c>
      <x:c r="M38" s="34" t="n">
        <x:v>0.17775</x:v>
      </x:c>
      <x:c r="N38" s="34" t="n">
        <x:v>47.721</x:v>
      </x:c>
      <x:c r="O38" s="34" t="n">
        <x:v>1.359</x:v>
      </x:c>
      <x:c r="P38" s="34" t="n">
        <x:v>3</x:v>
      </x:c>
      <x:c r="Q38" s="34" t="n">
        <x:v>1.641</x:v>
      </x:c>
      <x:c r="R38" s="34" t="n">
        <x:v>45.3</x:v>
      </x:c>
      <x:c r="S38" s="40" t="b">
        <x:v>1</x:v>
      </x:c>
      <x:c r="T38" s="34" t="str">
        <x:v>model_interpolation</x:v>
      </x:c>
      <x:c r="U38" s="34" t="str">
        <x:v>Linear interpolation from 2030 to 2035</x:v>
      </x:c>
      <x:c r="V38" s="34" t="str">
        <x:v>CAND-0E9003448A63C3</x:v>
      </x:c>
      <x:c r="W38" s="34" t="str">
        <x:v>P7</x:v>
      </x:c>
      <x:c r="X38" s="34" t="str">
        <x:v>PORT-F194BB679477</x:v>
      </x:c>
      <x:c r="Y38" s="34" t="n">
        <x:v>1000</x:v>
      </x:c>
      <x:c r="Z38" s="34" t="n">
        <x:v>151.009261</x:v>
      </x:c>
      <x:c r="AA38" s="34" t="n">
        <x:v>1.485917</x:v>
      </x:c>
      <x:c r="AB38" s="34" t="n">
        <x:v>131.48782</x:v>
      </x:c>
      <x:c r="AC38" s="34" t="n">
        <x:v>19837.419</x:v>
      </x:c>
      <x:c r="AD38" s="34" t="n">
        <x:v>150.868867</x:v>
      </x:c>
      <x:c r="AE38" s="40" t="b">
        <x:v>1</x:v>
      </x:c>
      <x:c r="AF38" s="40" t="b">
        <x:v>0</x:v>
      </x:c>
      <x:c r="AG38" s="34" t="str"/>
      <x:c r="AH38" s="34" t="n">
        <x:v>0</x:v>
      </x:c>
      <x:c r="AI38" s="34" t="str">
        <x:v>9.990856690045291e-05</x:v>
      </x:c>
      <x:c r="AJ38" s="40" t="b">
        <x:v>0</x:v>
      </x:c>
      <x:c r="AK38" s="40" t="b">
        <x:v>0</x:v>
      </x:c>
      <x:c r="AL38" s="40" t="b">
        <x:v>1</x:v>
      </x:c>
      <x:c r="AM38" s="40" t="b">
        <x:v>1</x:v>
      </x:c>
      <x:c r="AN38" s="34" t="n">
        <x:v>2028</x:v>
      </x:c>
      <x:c r="AO38" s="34" t="n">
        <x:v>0</x:v>
      </x:c>
      <x:c r="AP38" s="34" t="n">
        <x:v>0.012250011000000005</x:v>
      </x:c>
      <x:c r="AQ38" s="34" t="n">
        <x:v>0</x:v>
      </x:c>
      <x:c r="AR38" s="34" t="n">
        <x:v>1</x:v>
      </x:c>
      <x:c r="AS38" s="34" t="n">
        <x:v>1</x:v>
      </x:c>
      <x:c r="AT38" s="34" t="n">
        <x:v>0.3612199999999999</x:v>
      </x:c>
      <x:c r="AU38" s="34" t="n">
        <x:v>0.6</x:v>
      </x:c>
      <x:c r="AV38" s="34" t="n">
        <x:v>1.54</x:v>
      </x:c>
    </x:row>
    <x:row r="39">
      <x:c r="A39" s="34" t="str">
        <x:v>KOBE_STEEL_JP</x:v>
      </x:c>
      <x:c r="B39" s="34" t="str">
        <x:v>Kobe Steel</x:v>
      </x:c>
      <x:c r="C39" s="34" t="str">
        <x:v>DISCLOSED_PATH</x:v>
      </x:c>
      <x:c r="D39" s="34" t="str">
        <x:v>P7</x:v>
      </x:c>
      <x:c r="E39" s="34" t="n">
        <x:v>2033</x:v>
      </x:c>
      <x:c r="F39" s="34" t="n">
        <x:v>2</x:v>
      </x:c>
      <x:c r="G39" s="34" t="n">
        <x:v>0.5325</x:v>
      </x:c>
      <x:c r="H39" s="34" t="n">
        <x:v>4</x:v>
      </x:c>
      <x:c r="I39" s="34" t="n">
        <x:v>3.4675</x:v>
      </x:c>
      <x:c r="J39" s="34" t="n">
        <x:v>13.313</x:v>
      </x:c>
      <x:c r="K39" s="34" t="n">
        <x:v>0.16225</x:v>
      </x:c>
      <x:c r="L39" s="34" t="n">
        <x:v>0.36</x:v>
      </x:c>
      <x:c r="M39" s="34" t="n">
        <x:v>0.19775</x:v>
      </x:c>
      <x:c r="N39" s="34" t="n">
        <x:v>45.069</x:v>
      </x:c>
      <x:c r="O39" s="34" t="n">
        <x:v>1.359</x:v>
      </x:c>
      <x:c r="P39" s="34" t="n">
        <x:v>3</x:v>
      </x:c>
      <x:c r="Q39" s="34" t="n">
        <x:v>1.641</x:v>
      </x:c>
      <x:c r="R39" s="34" t="n">
        <x:v>45.3</x:v>
      </x:c>
      <x:c r="S39" s="40" t="b">
        <x:v>1</x:v>
      </x:c>
      <x:c r="T39" s="34" t="str">
        <x:v>model_interpolation</x:v>
      </x:c>
      <x:c r="U39" s="34" t="str">
        <x:v>Linear interpolation from 2030 to 2035</x:v>
      </x:c>
      <x:c r="V39" s="34" t="str">
        <x:v>CAND-0E9003448A63C3</x:v>
      </x:c>
      <x:c r="W39" s="34" t="str">
        <x:v>P7</x:v>
      </x:c>
      <x:c r="X39" s="34" t="str">
        <x:v>PORT-F194BB679477</x:v>
      </x:c>
      <x:c r="Y39" s="34" t="n">
        <x:v>1000</x:v>
      </x:c>
      <x:c r="Z39" s="34" t="n">
        <x:v>151.009261</x:v>
      </x:c>
      <x:c r="AA39" s="34" t="n">
        <x:v>1.485917</x:v>
      </x:c>
      <x:c r="AB39" s="34" t="n">
        <x:v>131.48782</x:v>
      </x:c>
      <x:c r="AC39" s="34" t="n">
        <x:v>19837.419</x:v>
      </x:c>
      <x:c r="AD39" s="34" t="n">
        <x:v>150.868867</x:v>
      </x:c>
      <x:c r="AE39" s="40" t="b">
        <x:v>1</x:v>
      </x:c>
      <x:c r="AF39" s="40" t="b">
        <x:v>0</x:v>
      </x:c>
      <x:c r="AG39" s="34" t="str"/>
      <x:c r="AH39" s="34" t="n">
        <x:v>0</x:v>
      </x:c>
      <x:c r="AI39" s="34" t="str">
        <x:v>9.990856690045291e-05</x:v>
      </x:c>
      <x:c r="AJ39" s="40" t="b">
        <x:v>0</x:v>
      </x:c>
      <x:c r="AK39" s="40" t="b">
        <x:v>0</x:v>
      </x:c>
      <x:c r="AL39" s="40" t="b">
        <x:v>1</x:v>
      </x:c>
      <x:c r="AM39" s="40" t="b">
        <x:v>1</x:v>
      </x:c>
      <x:c r="AN39" s="34" t="n">
        <x:v>2028</x:v>
      </x:c>
      <x:c r="AO39" s="34" t="n">
        <x:v>0</x:v>
      </x:c>
      <x:c r="AP39" s="34" t="n">
        <x:v>0.012250011000000005</x:v>
      </x:c>
      <x:c r="AQ39" s="34" t="n">
        <x:v>0</x:v>
      </x:c>
      <x:c r="AR39" s="34" t="n">
        <x:v>1</x:v>
      </x:c>
      <x:c r="AS39" s="34" t="n">
        <x:v>1</x:v>
      </x:c>
      <x:c r="AT39" s="34" t="n">
        <x:v>0.3612199999999999</x:v>
      </x:c>
      <x:c r="AU39" s="34" t="n">
        <x:v>0.6</x:v>
      </x:c>
      <x:c r="AV39" s="34" t="n">
        <x:v>1.54</x:v>
      </x:c>
    </x:row>
    <x:row r="40">
      <x:c r="A40" s="34" t="str">
        <x:v>KOBE_STEEL_JP</x:v>
      </x:c>
      <x:c r="B40" s="34" t="str">
        <x:v>Kobe Steel</x:v>
      </x:c>
      <x:c r="C40" s="34" t="str">
        <x:v>DISCLOSED_PATH</x:v>
      </x:c>
      <x:c r="D40" s="34" t="str">
        <x:v>P7</x:v>
      </x:c>
      <x:c r="E40" s="34" t="n">
        <x:v>2034</x:v>
      </x:c>
      <x:c r="F40" s="34" t="n">
        <x:v>3</x:v>
      </x:c>
      <x:c r="G40" s="34" t="n">
        <x:v>0.969</x:v>
      </x:c>
      <x:c r="H40" s="34" t="n">
        <x:v>4</x:v>
      </x:c>
      <x:c r="I40" s="34" t="n">
        <x:v>3.031</x:v>
      </x:c>
      <x:c r="J40" s="34" t="n">
        <x:v>24.225</x:v>
      </x:c>
      <x:c r="K40" s="34" t="n">
        <x:v>0.3223</x:v>
      </x:c>
      <x:c r="L40" s="34" t="n">
        <x:v>0.38</x:v>
      </x:c>
      <x:c r="M40" s="34" t="n">
        <x:v>0.0577</x:v>
      </x:c>
      <x:c r="N40" s="34" t="n">
        <x:v>84.816</x:v>
      </x:c>
      <x:c r="O40" s="34" t="n">
        <x:v>2.6976</x:v>
      </x:c>
      <x:c r="P40" s="34" t="n">
        <x:v>3</x:v>
      </x:c>
      <x:c r="Q40" s="34" t="n">
        <x:v>0.3024</x:v>
      </x:c>
      <x:c r="R40" s="34" t="n">
        <x:v>89.92</x:v>
      </x:c>
      <x:c r="S40" s="40" t="b">
        <x:v>1</x:v>
      </x:c>
      <x:c r="T40" s="34" t="str">
        <x:v>model_interpolation</x:v>
      </x:c>
      <x:c r="U40" s="34" t="str">
        <x:v>Linear interpolation from 2030 to 2035</x:v>
      </x:c>
      <x:c r="V40" s="34" t="str">
        <x:v>CAND-0E9003448A63C3</x:v>
      </x:c>
      <x:c r="W40" s="34" t="str">
        <x:v>P7</x:v>
      </x:c>
      <x:c r="X40" s="34" t="str">
        <x:v>PORT-F194BB679477</x:v>
      </x:c>
      <x:c r="Y40" s="34" t="n">
        <x:v>1000</x:v>
      </x:c>
      <x:c r="Z40" s="34" t="n">
        <x:v>151.009261</x:v>
      </x:c>
      <x:c r="AA40" s="34" t="n">
        <x:v>1.485917</x:v>
      </x:c>
      <x:c r="AB40" s="34" t="n">
        <x:v>131.48782</x:v>
      </x:c>
      <x:c r="AC40" s="34" t="n">
        <x:v>19837.419</x:v>
      </x:c>
      <x:c r="AD40" s="34" t="n">
        <x:v>150.868867</x:v>
      </x:c>
      <x:c r="AE40" s="40" t="b">
        <x:v>1</x:v>
      </x:c>
      <x:c r="AF40" s="40" t="b">
        <x:v>0</x:v>
      </x:c>
      <x:c r="AG40" s="34" t="str"/>
      <x:c r="AH40" s="34" t="n">
        <x:v>0</x:v>
      </x:c>
      <x:c r="AI40" s="34" t="str">
        <x:v>9.990856690045291e-05</x:v>
      </x:c>
      <x:c r="AJ40" s="40" t="b">
        <x:v>0</x:v>
      </x:c>
      <x:c r="AK40" s="40" t="b">
        <x:v>0</x:v>
      </x:c>
      <x:c r="AL40" s="40" t="b">
        <x:v>1</x:v>
      </x:c>
      <x:c r="AM40" s="40" t="b">
        <x:v>1</x:v>
      </x:c>
      <x:c r="AN40" s="34" t="n">
        <x:v>2028</x:v>
      </x:c>
      <x:c r="AO40" s="34" t="n">
        <x:v>0</x:v>
      </x:c>
      <x:c r="AP40" s="34" t="n">
        <x:v>0.012250011000000005</x:v>
      </x:c>
      <x:c r="AQ40" s="34" t="n">
        <x:v>0</x:v>
      </x:c>
      <x:c r="AR40" s="34" t="n">
        <x:v>1</x:v>
      </x:c>
      <x:c r="AS40" s="34" t="n">
        <x:v>1</x:v>
      </x:c>
      <x:c r="AT40" s="34" t="n">
        <x:v>0.3612199999999999</x:v>
      </x:c>
      <x:c r="AU40" s="34" t="n">
        <x:v>0.6</x:v>
      </x:c>
      <x:c r="AV40" s="34" t="n">
        <x:v>1.54</x:v>
      </x:c>
    </x:row>
    <x:row r="41">
      <x:c r="A41" s="34" t="str">
        <x:v>KOBE_STEEL_JP</x:v>
      </x:c>
      <x:c r="B41" s="34" t="str">
        <x:v>Kobe Steel</x:v>
      </x:c>
      <x:c r="C41" s="34" t="str">
        <x:v>DISCLOSED_PATH</x:v>
      </x:c>
      <x:c r="D41" s="34" t="str">
        <x:v>P7</x:v>
      </x:c>
      <x:c r="E41" s="34" t="n">
        <x:v>2035</x:v>
      </x:c>
      <x:c r="F41" s="34" t="n">
        <x:v>3</x:v>
      </x:c>
      <x:c r="G41" s="34" t="n">
        <x:v>0.969</x:v>
      </x:c>
      <x:c r="H41" s="34" t="n">
        <x:v>4</x:v>
      </x:c>
      <x:c r="I41" s="34" t="n">
        <x:v>3.031</x:v>
      </x:c>
      <x:c r="J41" s="34" t="n">
        <x:v>24.225</x:v>
      </x:c>
      <x:c r="K41" s="34" t="n">
        <x:v>0.3223</x:v>
      </x:c>
      <x:c r="L41" s="34" t="n">
        <x:v>0.4</x:v>
      </x:c>
      <x:c r="M41" s="34" t="n">
        <x:v>0.0777</x:v>
      </x:c>
      <x:c r="N41" s="34" t="n">
        <x:v>80.575</x:v>
      </x:c>
      <x:c r="O41" s="34" t="n">
        <x:v>2.6976</x:v>
      </x:c>
      <x:c r="P41" s="34" t="n">
        <x:v>3</x:v>
      </x:c>
      <x:c r="Q41" s="34" t="n">
        <x:v>0.3024</x:v>
      </x:c>
      <x:c r="R41" s="34" t="n">
        <x:v>89.92</x:v>
      </x:c>
      <x:c r="S41" s="40" t="b">
        <x:v>1</x:v>
      </x:c>
      <x:c r="T41" s="34" t="str">
        <x:v>model_interpolation</x:v>
      </x:c>
      <x:c r="U41" s="34" t="str">
        <x:v>Linear interpolation from 2035 to 2040</x:v>
      </x:c>
      <x:c r="V41" s="34" t="str">
        <x:v>CAND-0E9003448A63C3</x:v>
      </x:c>
      <x:c r="W41" s="34" t="str">
        <x:v>P7</x:v>
      </x:c>
      <x:c r="X41" s="34" t="str">
        <x:v>PORT-F194BB679477</x:v>
      </x:c>
      <x:c r="Y41" s="34" t="n">
        <x:v>1000</x:v>
      </x:c>
      <x:c r="Z41" s="34" t="n">
        <x:v>151.009261</x:v>
      </x:c>
      <x:c r="AA41" s="34" t="n">
        <x:v>1.485917</x:v>
      </x:c>
      <x:c r="AB41" s="34" t="n">
        <x:v>131.48782</x:v>
      </x:c>
      <x:c r="AC41" s="34" t="n">
        <x:v>19837.419</x:v>
      </x:c>
      <x:c r="AD41" s="34" t="n">
        <x:v>150.868867</x:v>
      </x:c>
      <x:c r="AE41" s="40" t="b">
        <x:v>1</x:v>
      </x:c>
      <x:c r="AF41" s="40" t="b">
        <x:v>0</x:v>
      </x:c>
      <x:c r="AG41" s="34" t="str"/>
      <x:c r="AH41" s="34" t="n">
        <x:v>0</x:v>
      </x:c>
      <x:c r="AI41" s="34" t="str">
        <x:v>9.990856690045291e-05</x:v>
      </x:c>
      <x:c r="AJ41" s="40" t="b">
        <x:v>0</x:v>
      </x:c>
      <x:c r="AK41" s="40" t="b">
        <x:v>0</x:v>
      </x:c>
      <x:c r="AL41" s="40" t="b">
        <x:v>1</x:v>
      </x:c>
      <x:c r="AM41" s="40" t="b">
        <x:v>1</x:v>
      </x:c>
      <x:c r="AN41" s="34" t="n">
        <x:v>2028</x:v>
      </x:c>
      <x:c r="AO41" s="34" t="n">
        <x:v>0</x:v>
      </x:c>
      <x:c r="AP41" s="34" t="n">
        <x:v>0.012250011000000005</x:v>
      </x:c>
      <x:c r="AQ41" s="34" t="n">
        <x:v>0</x:v>
      </x:c>
      <x:c r="AR41" s="34" t="n">
        <x:v>1</x:v>
      </x:c>
      <x:c r="AS41" s="34" t="n">
        <x:v>1</x:v>
      </x:c>
      <x:c r="AT41" s="34" t="n">
        <x:v>0.3612199999999999</x:v>
      </x:c>
      <x:c r="AU41" s="34" t="n">
        <x:v>0.6</x:v>
      </x:c>
      <x:c r="AV41" s="34" t="n">
        <x:v>1.54</x:v>
      </x:c>
    </x:row>
    <x:row r="42">
      <x:c r="A42" s="34" t="str">
        <x:v>KOBE_STEEL_JP</x:v>
      </x:c>
      <x:c r="B42" s="34" t="str">
        <x:v>Kobe Steel</x:v>
      </x:c>
      <x:c r="C42" s="34" t="str">
        <x:v>DISCLOSED_PATH</x:v>
      </x:c>
      <x:c r="D42" s="34" t="str">
        <x:v>P7</x:v>
      </x:c>
      <x:c r="E42" s="34" t="n">
        <x:v>2036</x:v>
      </x:c>
      <x:c r="F42" s="34" t="n">
        <x:v>3</x:v>
      </x:c>
      <x:c r="G42" s="34" t="n">
        <x:v>0.969</x:v>
      </x:c>
      <x:c r="H42" s="34" t="n">
        <x:v>4.2</x:v>
      </x:c>
      <x:c r="I42" s="34" t="n">
        <x:v>3.231</x:v>
      </x:c>
      <x:c r="J42" s="34" t="n">
        <x:v>23.071</x:v>
      </x:c>
      <x:c r="K42" s="34" t="n">
        <x:v>0.3223</x:v>
      </x:c>
      <x:c r="L42" s="34" t="n">
        <x:v>0.48000000000000004</x:v>
      </x:c>
      <x:c r="M42" s="34" t="n">
        <x:v>0.1577</x:v>
      </x:c>
      <x:c r="N42" s="34" t="n">
        <x:v>67.146</x:v>
      </x:c>
      <x:c r="O42" s="34" t="n">
        <x:v>2.6976</x:v>
      </x:c>
      <x:c r="P42" s="34" t="n">
        <x:v>3.4</x:v>
      </x:c>
      <x:c r="Q42" s="34" t="n">
        <x:v>0.7024</x:v>
      </x:c>
      <x:c r="R42" s="34" t="n">
        <x:v>79.341</x:v>
      </x:c>
      <x:c r="S42" s="40" t="b">
        <x:v>1</x:v>
      </x:c>
      <x:c r="T42" s="34" t="str">
        <x:v>model_interpolation</x:v>
      </x:c>
      <x:c r="U42" s="34" t="str">
        <x:v>Linear interpolation from 2035 to 2040</x:v>
      </x:c>
      <x:c r="V42" s="34" t="str">
        <x:v>CAND-0E9003448A63C3</x:v>
      </x:c>
      <x:c r="W42" s="34" t="str">
        <x:v>P7</x:v>
      </x:c>
      <x:c r="X42" s="34" t="str">
        <x:v>PORT-F194BB679477</x:v>
      </x:c>
      <x:c r="Y42" s="34" t="n">
        <x:v>1000</x:v>
      </x:c>
      <x:c r="Z42" s="34" t="n">
        <x:v>151.009261</x:v>
      </x:c>
      <x:c r="AA42" s="34" t="n">
        <x:v>1.485917</x:v>
      </x:c>
      <x:c r="AB42" s="34" t="n">
        <x:v>131.48782</x:v>
      </x:c>
      <x:c r="AC42" s="34" t="n">
        <x:v>19837.419</x:v>
      </x:c>
      <x:c r="AD42" s="34" t="n">
        <x:v>150.868867</x:v>
      </x:c>
      <x:c r="AE42" s="40" t="b">
        <x:v>1</x:v>
      </x:c>
      <x:c r="AF42" s="40" t="b">
        <x:v>0</x:v>
      </x:c>
      <x:c r="AG42" s="34" t="str"/>
      <x:c r="AH42" s="34" t="n">
        <x:v>0</x:v>
      </x:c>
      <x:c r="AI42" s="34" t="str">
        <x:v>9.990856690045291e-05</x:v>
      </x:c>
      <x:c r="AJ42" s="40" t="b">
        <x:v>0</x:v>
      </x:c>
      <x:c r="AK42" s="40" t="b">
        <x:v>0</x:v>
      </x:c>
      <x:c r="AL42" s="40" t="b">
        <x:v>1</x:v>
      </x:c>
      <x:c r="AM42" s="40" t="b">
        <x:v>1</x:v>
      </x:c>
      <x:c r="AN42" s="34" t="n">
        <x:v>2028</x:v>
      </x:c>
      <x:c r="AO42" s="34" t="n">
        <x:v>0</x:v>
      </x:c>
      <x:c r="AP42" s="34" t="n">
        <x:v>0.012250011000000005</x:v>
      </x:c>
      <x:c r="AQ42" s="34" t="n">
        <x:v>0</x:v>
      </x:c>
      <x:c r="AR42" s="34" t="n">
        <x:v>1</x:v>
      </x:c>
      <x:c r="AS42" s="34" t="n">
        <x:v>1</x:v>
      </x:c>
      <x:c r="AT42" s="34" t="n">
        <x:v>0.3612199999999999</x:v>
      </x:c>
      <x:c r="AU42" s="34" t="n">
        <x:v>0.6</x:v>
      </x:c>
      <x:c r="AV42" s="34" t="n">
        <x:v>1.54</x:v>
      </x:c>
    </x:row>
    <x:row r="43">
      <x:c r="A43" s="34" t="str">
        <x:v>KOBE_STEEL_JP</x:v>
      </x:c>
      <x:c r="B43" s="34" t="str">
        <x:v>Kobe Steel</x:v>
      </x:c>
      <x:c r="C43" s="34" t="str">
        <x:v>DISCLOSED_PATH</x:v>
      </x:c>
      <x:c r="D43" s="34" t="str">
        <x:v>P7</x:v>
      </x:c>
      <x:c r="E43" s="34" t="n">
        <x:v>2037</x:v>
      </x:c>
      <x:c r="F43" s="34" t="n">
        <x:v>3</x:v>
      </x:c>
      <x:c r="G43" s="34" t="n">
        <x:v>0.969</x:v>
      </x:c>
      <x:c r="H43" s="34" t="n">
        <x:v>4.4</x:v>
      </x:c>
      <x:c r="I43" s="34" t="n">
        <x:v>3.431</x:v>
      </x:c>
      <x:c r="J43" s="34" t="n">
        <x:v>22.023</x:v>
      </x:c>
      <x:c r="K43" s="34" t="n">
        <x:v>0.3223</x:v>
      </x:c>
      <x:c r="L43" s="34" t="n">
        <x:v>0.56</x:v>
      </x:c>
      <x:c r="M43" s="34" t="n">
        <x:v>0.2377</x:v>
      </x:c>
      <x:c r="N43" s="34" t="n">
        <x:v>57.554</x:v>
      </x:c>
      <x:c r="O43" s="34" t="n">
        <x:v>2.6976</x:v>
      </x:c>
      <x:c r="P43" s="34" t="n">
        <x:v>3.8</x:v>
      </x:c>
      <x:c r="Q43" s="34" t="n">
        <x:v>1.1024</x:v>
      </x:c>
      <x:c r="R43" s="34" t="n">
        <x:v>70.989</x:v>
      </x:c>
      <x:c r="S43" s="40" t="b">
        <x:v>1</x:v>
      </x:c>
      <x:c r="T43" s="34" t="str">
        <x:v>model_interpolation</x:v>
      </x:c>
      <x:c r="U43" s="34" t="str">
        <x:v>Linear interpolation from 2035 to 2040</x:v>
      </x:c>
      <x:c r="V43" s="34" t="str">
        <x:v>CAND-0E9003448A63C3</x:v>
      </x:c>
      <x:c r="W43" s="34" t="str">
        <x:v>P7</x:v>
      </x:c>
      <x:c r="X43" s="34" t="str">
        <x:v>PORT-F194BB679477</x:v>
      </x:c>
      <x:c r="Y43" s="34" t="n">
        <x:v>1000</x:v>
      </x:c>
      <x:c r="Z43" s="34" t="n">
        <x:v>151.009261</x:v>
      </x:c>
      <x:c r="AA43" s="34" t="n">
        <x:v>1.485917</x:v>
      </x:c>
      <x:c r="AB43" s="34" t="n">
        <x:v>131.48782</x:v>
      </x:c>
      <x:c r="AC43" s="34" t="n">
        <x:v>19837.419</x:v>
      </x:c>
      <x:c r="AD43" s="34" t="n">
        <x:v>150.868867</x:v>
      </x:c>
      <x:c r="AE43" s="40" t="b">
        <x:v>1</x:v>
      </x:c>
      <x:c r="AF43" s="40" t="b">
        <x:v>0</x:v>
      </x:c>
      <x:c r="AG43" s="34" t="str"/>
      <x:c r="AH43" s="34" t="n">
        <x:v>0</x:v>
      </x:c>
      <x:c r="AI43" s="34" t="str">
        <x:v>9.990856690045291e-05</x:v>
      </x:c>
      <x:c r="AJ43" s="40" t="b">
        <x:v>0</x:v>
      </x:c>
      <x:c r="AK43" s="40" t="b">
        <x:v>0</x:v>
      </x:c>
      <x:c r="AL43" s="40" t="b">
        <x:v>1</x:v>
      </x:c>
      <x:c r="AM43" s="40" t="b">
        <x:v>1</x:v>
      </x:c>
      <x:c r="AN43" s="34" t="n">
        <x:v>2028</x:v>
      </x:c>
      <x:c r="AO43" s="34" t="n">
        <x:v>0</x:v>
      </x:c>
      <x:c r="AP43" s="34" t="n">
        <x:v>0.012250011000000005</x:v>
      </x:c>
      <x:c r="AQ43" s="34" t="n">
        <x:v>0</x:v>
      </x:c>
      <x:c r="AR43" s="34" t="n">
        <x:v>1</x:v>
      </x:c>
      <x:c r="AS43" s="34" t="n">
        <x:v>1</x:v>
      </x:c>
      <x:c r="AT43" s="34" t="n">
        <x:v>0.3612199999999999</x:v>
      </x:c>
      <x:c r="AU43" s="34" t="n">
        <x:v>0.6</x:v>
      </x:c>
      <x:c r="AV43" s="34" t="n">
        <x:v>1.54</x:v>
      </x:c>
    </x:row>
    <x:row r="44">
      <x:c r="A44" s="34" t="str">
        <x:v>KOBE_STEEL_JP</x:v>
      </x:c>
      <x:c r="B44" s="34" t="str">
        <x:v>Kobe Steel</x:v>
      </x:c>
      <x:c r="C44" s="34" t="str">
        <x:v>DISCLOSED_PATH</x:v>
      </x:c>
      <x:c r="D44" s="34" t="str">
        <x:v>P7</x:v>
      </x:c>
      <x:c r="E44" s="34" t="n">
        <x:v>2038</x:v>
      </x:c>
      <x:c r="F44" s="34" t="n">
        <x:v>3</x:v>
      </x:c>
      <x:c r="G44" s="34" t="n">
        <x:v>0.969</x:v>
      </x:c>
      <x:c r="H44" s="34" t="n">
        <x:v>4.6</x:v>
      </x:c>
      <x:c r="I44" s="34" t="n">
        <x:v>3.631</x:v>
      </x:c>
      <x:c r="J44" s="34" t="n">
        <x:v>21.065</x:v>
      </x:c>
      <x:c r="K44" s="34" t="n">
        <x:v>0.3223</x:v>
      </x:c>
      <x:c r="L44" s="34" t="n">
        <x:v>0.64</x:v>
      </x:c>
      <x:c r="M44" s="34" t="n">
        <x:v>0.3177</x:v>
      </x:c>
      <x:c r="N44" s="34" t="n">
        <x:v>50.359</x:v>
      </x:c>
      <x:c r="O44" s="34" t="n">
        <x:v>2.6976</x:v>
      </x:c>
      <x:c r="P44" s="34" t="n">
        <x:v>4.2</x:v>
      </x:c>
      <x:c r="Q44" s="34" t="n">
        <x:v>1.5024</x:v>
      </x:c>
      <x:c r="R44" s="34" t="n">
        <x:v>64.229</x:v>
      </x:c>
      <x:c r="S44" s="40" t="b">
        <x:v>1</x:v>
      </x:c>
      <x:c r="T44" s="34" t="str">
        <x:v>model_interpolation</x:v>
      </x:c>
      <x:c r="U44" s="34" t="str">
        <x:v>Linear interpolation from 2035 to 2040</x:v>
      </x:c>
      <x:c r="V44" s="34" t="str">
        <x:v>CAND-0E9003448A63C3</x:v>
      </x:c>
      <x:c r="W44" s="34" t="str">
        <x:v>P7</x:v>
      </x:c>
      <x:c r="X44" s="34" t="str">
        <x:v>PORT-F194BB679477</x:v>
      </x:c>
      <x:c r="Y44" s="34" t="n">
        <x:v>1000</x:v>
      </x:c>
      <x:c r="Z44" s="34" t="n">
        <x:v>151.009261</x:v>
      </x:c>
      <x:c r="AA44" s="34" t="n">
        <x:v>1.485917</x:v>
      </x:c>
      <x:c r="AB44" s="34" t="n">
        <x:v>131.48782</x:v>
      </x:c>
      <x:c r="AC44" s="34" t="n">
        <x:v>19837.419</x:v>
      </x:c>
      <x:c r="AD44" s="34" t="n">
        <x:v>150.868867</x:v>
      </x:c>
      <x:c r="AE44" s="40" t="b">
        <x:v>1</x:v>
      </x:c>
      <x:c r="AF44" s="40" t="b">
        <x:v>0</x:v>
      </x:c>
      <x:c r="AG44" s="34" t="str"/>
      <x:c r="AH44" s="34" t="n">
        <x:v>0</x:v>
      </x:c>
      <x:c r="AI44" s="34" t="str">
        <x:v>9.990856690045291e-05</x:v>
      </x:c>
      <x:c r="AJ44" s="40" t="b">
        <x:v>0</x:v>
      </x:c>
      <x:c r="AK44" s="40" t="b">
        <x:v>0</x:v>
      </x:c>
      <x:c r="AL44" s="40" t="b">
        <x:v>1</x:v>
      </x:c>
      <x:c r="AM44" s="40" t="b">
        <x:v>1</x:v>
      </x:c>
      <x:c r="AN44" s="34" t="n">
        <x:v>2028</x:v>
      </x:c>
      <x:c r="AO44" s="34" t="n">
        <x:v>0</x:v>
      </x:c>
      <x:c r="AP44" s="34" t="n">
        <x:v>0.012250011000000005</x:v>
      </x:c>
      <x:c r="AQ44" s="34" t="n">
        <x:v>0</x:v>
      </x:c>
      <x:c r="AR44" s="34" t="n">
        <x:v>1</x:v>
      </x:c>
      <x:c r="AS44" s="34" t="n">
        <x:v>1</x:v>
      </x:c>
      <x:c r="AT44" s="34" t="n">
        <x:v>0.3612199999999999</x:v>
      </x:c>
      <x:c r="AU44" s="34" t="n">
        <x:v>0.6</x:v>
      </x:c>
      <x:c r="AV44" s="34" t="n">
        <x:v>1.54</x:v>
      </x:c>
    </x:row>
    <x:row r="45">
      <x:c r="A45" s="34" t="str">
        <x:v>KOBE_STEEL_JP</x:v>
      </x:c>
      <x:c r="B45" s="34" t="str">
        <x:v>Kobe Steel</x:v>
      </x:c>
      <x:c r="C45" s="34" t="str">
        <x:v>DISCLOSED_PATH</x:v>
      </x:c>
      <x:c r="D45" s="34" t="str">
        <x:v>P7</x:v>
      </x:c>
      <x:c r="E45" s="34" t="n">
        <x:v>2039</x:v>
      </x:c>
      <x:c r="F45" s="34" t="n">
        <x:v>3</x:v>
      </x:c>
      <x:c r="G45" s="34" t="n">
        <x:v>0.969</x:v>
      </x:c>
      <x:c r="H45" s="34" t="n">
        <x:v>4.8</x:v>
      </x:c>
      <x:c r="I45" s="34" t="n">
        <x:v>3.831</x:v>
      </x:c>
      <x:c r="J45" s="34" t="n">
        <x:v>20.187</x:v>
      </x:c>
      <x:c r="K45" s="34" t="n">
        <x:v>0.3223</x:v>
      </x:c>
      <x:c r="L45" s="34" t="n">
        <x:v>0.7200000000000001</x:v>
      </x:c>
      <x:c r="M45" s="34" t="n">
        <x:v>0.3977</x:v>
      </x:c>
      <x:c r="N45" s="34" t="n">
        <x:v>44.764</x:v>
      </x:c>
      <x:c r="O45" s="34" t="n">
        <x:v>2.6976</x:v>
      </x:c>
      <x:c r="P45" s="34" t="n">
        <x:v>4.6</x:v>
      </x:c>
      <x:c r="Q45" s="34" t="n">
        <x:v>1.9024</x:v>
      </x:c>
      <x:c r="R45" s="34" t="n">
        <x:v>58.643</x:v>
      </x:c>
      <x:c r="S45" s="40" t="b">
        <x:v>1</x:v>
      </x:c>
      <x:c r="T45" s="34" t="str">
        <x:v>model_interpolation</x:v>
      </x:c>
      <x:c r="U45" s="34" t="str">
        <x:v>Linear interpolation from 2035 to 2040</x:v>
      </x:c>
      <x:c r="V45" s="34" t="str">
        <x:v>CAND-0E9003448A63C3</x:v>
      </x:c>
      <x:c r="W45" s="34" t="str">
        <x:v>P7</x:v>
      </x:c>
      <x:c r="X45" s="34" t="str">
        <x:v>PORT-F194BB679477</x:v>
      </x:c>
      <x:c r="Y45" s="34" t="n">
        <x:v>1000</x:v>
      </x:c>
      <x:c r="Z45" s="34" t="n">
        <x:v>151.009261</x:v>
      </x:c>
      <x:c r="AA45" s="34" t="n">
        <x:v>1.485917</x:v>
      </x:c>
      <x:c r="AB45" s="34" t="n">
        <x:v>131.48782</x:v>
      </x:c>
      <x:c r="AC45" s="34" t="n">
        <x:v>19837.419</x:v>
      </x:c>
      <x:c r="AD45" s="34" t="n">
        <x:v>150.868867</x:v>
      </x:c>
      <x:c r="AE45" s="40" t="b">
        <x:v>1</x:v>
      </x:c>
      <x:c r="AF45" s="40" t="b">
        <x:v>0</x:v>
      </x:c>
      <x:c r="AG45" s="34" t="str"/>
      <x:c r="AH45" s="34" t="n">
        <x:v>0</x:v>
      </x:c>
      <x:c r="AI45" s="34" t="str">
        <x:v>9.990856690045291e-05</x:v>
      </x:c>
      <x:c r="AJ45" s="40" t="b">
        <x:v>0</x:v>
      </x:c>
      <x:c r="AK45" s="40" t="b">
        <x:v>0</x:v>
      </x:c>
      <x:c r="AL45" s="40" t="b">
        <x:v>1</x:v>
      </x:c>
      <x:c r="AM45" s="40" t="b">
        <x:v>1</x:v>
      </x:c>
      <x:c r="AN45" s="34" t="n">
        <x:v>2028</x:v>
      </x:c>
      <x:c r="AO45" s="34" t="n">
        <x:v>0</x:v>
      </x:c>
      <x:c r="AP45" s="34" t="n">
        <x:v>0.012250011000000005</x:v>
      </x:c>
      <x:c r="AQ45" s="34" t="n">
        <x:v>0</x:v>
      </x:c>
      <x:c r="AR45" s="34" t="n">
        <x:v>1</x:v>
      </x:c>
      <x:c r="AS45" s="34" t="n">
        <x:v>1</x:v>
      </x:c>
      <x:c r="AT45" s="34" t="n">
        <x:v>0.3612199999999999</x:v>
      </x:c>
      <x:c r="AU45" s="34" t="n">
        <x:v>0.6</x:v>
      </x:c>
      <x:c r="AV45" s="34" t="n">
        <x:v>1.54</x:v>
      </x:c>
    </x:row>
    <x:row r="46">
      <x:c r="A46" s="34" t="str">
        <x:v>KOBE_STEEL_JP</x:v>
      </x:c>
      <x:c r="B46" s="34" t="str">
        <x:v>Kobe Steel</x:v>
      </x:c>
      <x:c r="C46" s="34" t="str">
        <x:v>DISCLOSED_PATH</x:v>
      </x:c>
      <x:c r="D46" s="34" t="str">
        <x:v>P7</x:v>
      </x:c>
      <x:c r="E46" s="34" t="n">
        <x:v>2040</x:v>
      </x:c>
      <x:c r="F46" s="34" t="n">
        <x:v>3</x:v>
      </x:c>
      <x:c r="G46" s="34" t="n">
        <x:v>0.969</x:v>
      </x:c>
      <x:c r="H46" s="34" t="n">
        <x:v>5</x:v>
      </x:c>
      <x:c r="I46" s="34" t="n">
        <x:v>4.031</x:v>
      </x:c>
      <x:c r="J46" s="34" t="n">
        <x:v>19.38</x:v>
      </x:c>
      <x:c r="K46" s="34" t="n">
        <x:v>0.3223</x:v>
      </x:c>
      <x:c r="L46" s="34" t="n">
        <x:v>0.8</x:v>
      </x:c>
      <x:c r="M46" s="34" t="n">
        <x:v>0.4777</x:v>
      </x:c>
      <x:c r="N46" s="34" t="n">
        <x:v>40.287</x:v>
      </x:c>
      <x:c r="O46" s="34" t="n">
        <x:v>2.6976</x:v>
      </x:c>
      <x:c r="P46" s="34" t="n">
        <x:v>5</x:v>
      </x:c>
      <x:c r="Q46" s="34" t="n">
        <x:v>2.3024</x:v>
      </x:c>
      <x:c r="R46" s="34" t="n">
        <x:v>53.952</x:v>
      </x:c>
      <x:c r="S46" s="40" t="b">
        <x:v>1</x:v>
      </x:c>
      <x:c r="T46" s="34" t="str">
        <x:v>model_estimate</x:v>
      </x:c>
      <x:c r="U46" s="34" t="str">
        <x:v>Illustrative screening envelope; not an official supply forecast</x:v>
      </x:c>
      <x:c r="V46" s="34" t="str">
        <x:v>CAND-0E9003448A63C3</x:v>
      </x:c>
      <x:c r="W46" s="34" t="str">
        <x:v>P7</x:v>
      </x:c>
      <x:c r="X46" s="34" t="str">
        <x:v>PORT-F194BB679477</x:v>
      </x:c>
      <x:c r="Y46" s="34" t="n">
        <x:v>1000</x:v>
      </x:c>
      <x:c r="Z46" s="34" t="n">
        <x:v>151.009261</x:v>
      </x:c>
      <x:c r="AA46" s="34" t="n">
        <x:v>1.485917</x:v>
      </x:c>
      <x:c r="AB46" s="34" t="n">
        <x:v>131.48782</x:v>
      </x:c>
      <x:c r="AC46" s="34" t="n">
        <x:v>19837.419</x:v>
      </x:c>
      <x:c r="AD46" s="34" t="n">
        <x:v>150.868867</x:v>
      </x:c>
      <x:c r="AE46" s="40" t="b">
        <x:v>1</x:v>
      </x:c>
      <x:c r="AF46" s="40" t="b">
        <x:v>0</x:v>
      </x:c>
      <x:c r="AG46" s="34" t="str"/>
      <x:c r="AH46" s="34" t="n">
        <x:v>0</x:v>
      </x:c>
      <x:c r="AI46" s="34" t="str">
        <x:v>9.990856690045291e-05</x:v>
      </x:c>
      <x:c r="AJ46" s="40" t="b">
        <x:v>0</x:v>
      </x:c>
      <x:c r="AK46" s="40" t="b">
        <x:v>0</x:v>
      </x:c>
      <x:c r="AL46" s="40" t="b">
        <x:v>1</x:v>
      </x:c>
      <x:c r="AM46" s="40" t="b">
        <x:v>1</x:v>
      </x:c>
      <x:c r="AN46" s="34" t="n">
        <x:v>2028</x:v>
      </x:c>
      <x:c r="AO46" s="34" t="n">
        <x:v>0</x:v>
      </x:c>
      <x:c r="AP46" s="34" t="n">
        <x:v>0.012250011000000005</x:v>
      </x:c>
      <x:c r="AQ46" s="34" t="n">
        <x:v>0</x:v>
      </x:c>
      <x:c r="AR46" s="34" t="n">
        <x:v>1</x:v>
      </x:c>
      <x:c r="AS46" s="34" t="n">
        <x:v>1</x:v>
      </x:c>
      <x:c r="AT46" s="34" t="n">
        <x:v>0.3612199999999999</x:v>
      </x:c>
      <x:c r="AU46" s="34" t="n">
        <x:v>0.6</x:v>
      </x:c>
      <x:c r="AV46" s="34" t="n">
        <x:v>1.54</x:v>
      </x:c>
    </x:row>
    <x:row r="47">
      <x:c r="A47" s="34" t="str">
        <x:v>KOBE_STEEL_JP</x:v>
      </x:c>
      <x:c r="B47" s="34" t="str">
        <x:v>Kobe Steel</x:v>
      </x:c>
      <x:c r="C47" s="34" t="str">
        <x:v>ACCELERATED_15C</x:v>
      </x:c>
      <x:c r="D47" s="34" t="str">
        <x:v>P7</x:v>
      </x:c>
      <x:c r="E47" s="34" t="n">
        <x:v>2026</x:v>
      </x:c>
      <x:c r="F47" s="34" t="n">
        <x:v>0</x:v>
      </x:c>
      <x:c r="G47" s="34" t="n">
        <x:v>0</x:v>
      </x:c>
      <x:c r="H47" s="34" t="n">
        <x:v>2</x:v>
      </x:c>
      <x:c r="I47" s="34" t="n">
        <x:v>2</x:v>
      </x:c>
      <x:c r="J47" s="34" t="n">
        <x:v>0</x:v>
      </x:c>
      <x:c r="K47" s="34" t="n">
        <x:v>0</x:v>
      </x:c>
      <x:c r="L47" s="34" t="n">
        <x:v>0.2</x:v>
      </x:c>
      <x:c r="M47" s="34" t="n">
        <x:v>0.2</x:v>
      </x:c>
      <x:c r="N47" s="34" t="n">
        <x:v>0</x:v>
      </x:c>
      <x:c r="O47" s="34" t="n">
        <x:v>0</x:v>
      </x:c>
      <x:c r="P47" s="34" t="n">
        <x:v>1</x:v>
      </x:c>
      <x:c r="Q47" s="34" t="n">
        <x:v>1</x:v>
      </x:c>
      <x:c r="R47" s="34" t="n">
        <x:v>0</x:v>
      </x:c>
      <x:c r="S47" s="40" t="b">
        <x:v>1</x:v>
      </x:c>
      <x:c r="T47" s="34" t="str">
        <x:v>model_interpolation</x:v>
      </x:c>
      <x:c r="U47" s="34" t="str">
        <x:v>Linear interpolation from 2026 to 2030</x:v>
      </x:c>
      <x:c r="V47" s="34" t="str">
        <x:v>CAND-0E9003448A63C3</x:v>
      </x:c>
      <x:c r="W47" s="34" t="str">
        <x:v>P7</x:v>
      </x:c>
      <x:c r="X47" s="34" t="str">
        <x:v>PORT-F194BB679477</x:v>
      </x:c>
      <x:c r="Y47" s="34" t="n">
        <x:v>1000</x:v>
      </x:c>
      <x:c r="Z47" s="34" t="n">
        <x:v>124.925143</x:v>
      </x:c>
      <x:c r="AA47" s="34" t="n">
        <x:v>1.324203</x:v>
      </x:c>
      <x:c r="AB47" s="34" t="n">
        <x:v>131.48782</x:v>
      </x:c>
      <x:c r="AC47" s="34" t="n">
        <x:v>16410.005</x:v>
      </x:c>
      <x:c r="AD47" s="34" t="n">
        <x:v>124.802469</x:v>
      </x:c>
      <x:c r="AE47" s="40" t="b">
        <x:v>1</x:v>
      </x:c>
      <x:c r="AF47" s="40" t="b">
        <x:v>1</x:v>
      </x:c>
      <x:c r="AG47" s="34" t="str"/>
      <x:c r="AH47" s="34" t="n">
        <x:v>0</x:v>
      </x:c>
      <x:c r="AI47" s="34" t="str">
        <x:v>9.990856690045291e-05</x:v>
      </x:c>
      <x:c r="AJ47" s="40" t="b">
        <x:v>1</x:v>
      </x:c>
      <x:c r="AK47" s="40" t="b">
        <x:v>1</x:v>
      </x:c>
      <x:c r="AL47" s="40" t="b">
        <x:v>1</x:v>
      </x:c>
      <x:c r="AM47" s="40" t="b">
        <x:v>1</x:v>
      </x:c>
      <x:c r="AN47" s="34" t="str"/>
      <x:c r="AO47" s="34" t="n">
        <x:v>0</x:v>
      </x:c>
      <x:c r="AP47" s="34" t="n">
        <x:v>0</x:v>
      </x:c>
      <x:c r="AQ47" s="34" t="n">
        <x:v>0</x:v>
      </x:c>
      <x:c r="AR47" s="34" t="n">
        <x:v>1</x:v>
      </x:c>
      <x:c r="AS47" s="34" t="n">
        <x:v>1</x:v>
      </x:c>
      <x:c r="AT47" s="34" t="n">
        <x:v>0.3612199999999999</x:v>
      </x:c>
      <x:c r="AU47" s="34" t="n">
        <x:v>0.6</x:v>
      </x:c>
      <x:c r="AV47" s="34" t="n">
        <x:v>1.54</x:v>
      </x:c>
    </x:row>
    <x:row r="48">
      <x:c r="A48" s="34" t="str">
        <x:v>KOBE_STEEL_JP</x:v>
      </x:c>
      <x:c r="B48" s="34" t="str">
        <x:v>Kobe Steel</x:v>
      </x:c>
      <x:c r="C48" s="34" t="str">
        <x:v>ACCELERATED_15C</x:v>
      </x:c>
      <x:c r="D48" s="34" t="str">
        <x:v>P7</x:v>
      </x:c>
      <x:c r="E48" s="34" t="n">
        <x:v>2027</x:v>
      </x:c>
      <x:c r="F48" s="34" t="n">
        <x:v>0</x:v>
      </x:c>
      <x:c r="G48" s="34" t="n">
        <x:v>0</x:v>
      </x:c>
      <x:c r="H48" s="34" t="n">
        <x:v>2.25</x:v>
      </x:c>
      <x:c r="I48" s="34" t="n">
        <x:v>2.25</x:v>
      </x:c>
      <x:c r="J48" s="34" t="n">
        <x:v>0</x:v>
      </x:c>
      <x:c r="K48" s="34" t="n">
        <x:v>0</x:v>
      </x:c>
      <x:c r="L48" s="34" t="n">
        <x:v>0.25</x:v>
      </x:c>
      <x:c r="M48" s="34" t="n">
        <x:v>0.25</x:v>
      </x:c>
      <x:c r="N48" s="34" t="n">
        <x:v>0</x:v>
      </x:c>
      <x:c r="O48" s="34" t="n">
        <x:v>0</x:v>
      </x:c>
      <x:c r="P48" s="34" t="n">
        <x:v>1.375</x:v>
      </x:c>
      <x:c r="Q48" s="34" t="n">
        <x:v>1.375</x:v>
      </x:c>
      <x:c r="R48" s="34" t="n">
        <x:v>0</x:v>
      </x:c>
      <x:c r="S48" s="40" t="b">
        <x:v>1</x:v>
      </x:c>
      <x:c r="T48" s="34" t="str">
        <x:v>model_interpolation</x:v>
      </x:c>
      <x:c r="U48" s="34" t="str">
        <x:v>Linear interpolation from 2026 to 2030</x:v>
      </x:c>
      <x:c r="V48" s="34" t="str">
        <x:v>CAND-0E9003448A63C3</x:v>
      </x:c>
      <x:c r="W48" s="34" t="str">
        <x:v>P7</x:v>
      </x:c>
      <x:c r="X48" s="34" t="str">
        <x:v>PORT-F194BB679477</x:v>
      </x:c>
      <x:c r="Y48" s="34" t="n">
        <x:v>1000</x:v>
      </x:c>
      <x:c r="Z48" s="34" t="n">
        <x:v>124.925143</x:v>
      </x:c>
      <x:c r="AA48" s="34" t="n">
        <x:v>1.324203</x:v>
      </x:c>
      <x:c r="AB48" s="34" t="n">
        <x:v>131.48782</x:v>
      </x:c>
      <x:c r="AC48" s="34" t="n">
        <x:v>16410.005</x:v>
      </x:c>
      <x:c r="AD48" s="34" t="n">
        <x:v>124.802469</x:v>
      </x:c>
      <x:c r="AE48" s="40" t="b">
        <x:v>1</x:v>
      </x:c>
      <x:c r="AF48" s="40" t="b">
        <x:v>1</x:v>
      </x:c>
      <x:c r="AG48" s="34" t="str"/>
      <x:c r="AH48" s="34" t="n">
        <x:v>0</x:v>
      </x:c>
      <x:c r="AI48" s="34" t="str">
        <x:v>9.990856690045291e-05</x:v>
      </x:c>
      <x:c r="AJ48" s="40" t="b">
        <x:v>1</x:v>
      </x:c>
      <x:c r="AK48" s="40" t="b">
        <x:v>1</x:v>
      </x:c>
      <x:c r="AL48" s="40" t="b">
        <x:v>1</x:v>
      </x:c>
      <x:c r="AM48" s="40" t="b">
        <x:v>1</x:v>
      </x:c>
      <x:c r="AN48" s="34" t="str"/>
      <x:c r="AO48" s="34" t="n">
        <x:v>0</x:v>
      </x:c>
      <x:c r="AP48" s="34" t="n">
        <x:v>0</x:v>
      </x:c>
      <x:c r="AQ48" s="34" t="n">
        <x:v>0</x:v>
      </x:c>
      <x:c r="AR48" s="34" t="n">
        <x:v>1</x:v>
      </x:c>
      <x:c r="AS48" s="34" t="n">
        <x:v>1</x:v>
      </x:c>
      <x:c r="AT48" s="34" t="n">
        <x:v>0.3612199999999999</x:v>
      </x:c>
      <x:c r="AU48" s="34" t="n">
        <x:v>0.6</x:v>
      </x:c>
      <x:c r="AV48" s="34" t="n">
        <x:v>1.54</x:v>
      </x:c>
    </x:row>
    <x:row r="49">
      <x:c r="A49" s="34" t="str">
        <x:v>KOBE_STEEL_JP</x:v>
      </x:c>
      <x:c r="B49" s="34" t="str">
        <x:v>Kobe Steel</x:v>
      </x:c>
      <x:c r="C49" s="34" t="str">
        <x:v>ACCELERATED_15C</x:v>
      </x:c>
      <x:c r="D49" s="34" t="str">
        <x:v>P7</x:v>
      </x:c>
      <x:c r="E49" s="34" t="n">
        <x:v>2028</x:v>
      </x:c>
      <x:c r="F49" s="34" t="n">
        <x:v>1</x:v>
      </x:c>
      <x:c r="G49" s="34" t="n">
        <x:v>0.4425</x:v>
      </x:c>
      <x:c r="H49" s="34" t="n">
        <x:v>2.5</x:v>
      </x:c>
      <x:c r="I49" s="34" t="n">
        <x:v>2.0575</x:v>
      </x:c>
      <x:c r="J49" s="34" t="n">
        <x:v>17.7</x:v>
      </x:c>
      <x:c r="K49" s="34" t="n">
        <x:v>0.16225</x:v>
      </x:c>
      <x:c r="L49" s="34" t="n">
        <x:v>0.30000000000000004</x:v>
      </x:c>
      <x:c r="M49" s="34" t="n">
        <x:v>0.13775</x:v>
      </x:c>
      <x:c r="N49" s="34" t="n">
        <x:v>54.083</x:v>
      </x:c>
      <x:c r="O49" s="34" t="n">
        <x:v>1.357</x:v>
      </x:c>
      <x:c r="P49" s="34" t="n">
        <x:v>1.75</x:v>
      </x:c>
      <x:c r="Q49" s="34" t="n">
        <x:v>0.393</x:v>
      </x:c>
      <x:c r="R49" s="34" t="n">
        <x:v>77.543</x:v>
      </x:c>
      <x:c r="S49" s="40" t="b">
        <x:v>1</x:v>
      </x:c>
      <x:c r="T49" s="34" t="str">
        <x:v>model_interpolation</x:v>
      </x:c>
      <x:c r="U49" s="34" t="str">
        <x:v>Linear interpolation from 2026 to 2030</x:v>
      </x:c>
      <x:c r="V49" s="34" t="str">
        <x:v>CAND-0E9003448A63C3</x:v>
      </x:c>
      <x:c r="W49" s="34" t="str">
        <x:v>P7</x:v>
      </x:c>
      <x:c r="X49" s="34" t="str">
        <x:v>PORT-F194BB679477</x:v>
      </x:c>
      <x:c r="Y49" s="34" t="n">
        <x:v>1000</x:v>
      </x:c>
      <x:c r="Z49" s="34" t="n">
        <x:v>124.925143</x:v>
      </x:c>
      <x:c r="AA49" s="34" t="n">
        <x:v>1.324203</x:v>
      </x:c>
      <x:c r="AB49" s="34" t="n">
        <x:v>131.48782</x:v>
      </x:c>
      <x:c r="AC49" s="34" t="n">
        <x:v>16410.005</x:v>
      </x:c>
      <x:c r="AD49" s="34" t="n">
        <x:v>124.802469</x:v>
      </x:c>
      <x:c r="AE49" s="40" t="b">
        <x:v>1</x:v>
      </x:c>
      <x:c r="AF49" s="40" t="b">
        <x:v>1</x:v>
      </x:c>
      <x:c r="AG49" s="34" t="str"/>
      <x:c r="AH49" s="34" t="n">
        <x:v>0</x:v>
      </x:c>
      <x:c r="AI49" s="34" t="str">
        <x:v>9.990856690045291e-05</x:v>
      </x:c>
      <x:c r="AJ49" s="40" t="b">
        <x:v>1</x:v>
      </x:c>
      <x:c r="AK49" s="40" t="b">
        <x:v>1</x:v>
      </x:c>
      <x:c r="AL49" s="40" t="b">
        <x:v>1</x:v>
      </x:c>
      <x:c r="AM49" s="40" t="b">
        <x:v>1</x:v>
      </x:c>
      <x:c r="AN49" s="34" t="str"/>
      <x:c r="AO49" s="34" t="n">
        <x:v>0</x:v>
      </x:c>
      <x:c r="AP49" s="34" t="n">
        <x:v>0</x:v>
      </x:c>
      <x:c r="AQ49" s="34" t="n">
        <x:v>0</x:v>
      </x:c>
      <x:c r="AR49" s="34" t="n">
        <x:v>1</x:v>
      </x:c>
      <x:c r="AS49" s="34" t="n">
        <x:v>1</x:v>
      </x:c>
      <x:c r="AT49" s="34" t="n">
        <x:v>0.3612199999999999</x:v>
      </x:c>
      <x:c r="AU49" s="34" t="n">
        <x:v>0.6</x:v>
      </x:c>
      <x:c r="AV49" s="34" t="n">
        <x:v>1.54</x:v>
      </x:c>
    </x:row>
    <x:row r="50">
      <x:c r="A50" s="34" t="str">
        <x:v>KOBE_STEEL_JP</x:v>
      </x:c>
      <x:c r="B50" s="34" t="str">
        <x:v>Kobe Steel</x:v>
      </x:c>
      <x:c r="C50" s="34" t="str">
        <x:v>ACCELERATED_15C</x:v>
      </x:c>
      <x:c r="D50" s="34" t="str">
        <x:v>P7</x:v>
      </x:c>
      <x:c r="E50" s="34" t="n">
        <x:v>2029</x:v>
      </x:c>
      <x:c r="F50" s="34" t="n">
        <x:v>1</x:v>
      </x:c>
      <x:c r="G50" s="34" t="n">
        <x:v>0.4425</x:v>
      </x:c>
      <x:c r="H50" s="34" t="n">
        <x:v>2.75</x:v>
      </x:c>
      <x:c r="I50" s="34" t="n">
        <x:v>2.3075</x:v>
      </x:c>
      <x:c r="J50" s="34" t="n">
        <x:v>16.091</x:v>
      </x:c>
      <x:c r="K50" s="34" t="n">
        <x:v>0.16225</x:v>
      </x:c>
      <x:c r="L50" s="34" t="n">
        <x:v>0.35000000000000003</x:v>
      </x:c>
      <x:c r="M50" s="34" t="n">
        <x:v>0.18775</x:v>
      </x:c>
      <x:c r="N50" s="34" t="n">
        <x:v>46.357</x:v>
      </x:c>
      <x:c r="O50" s="34" t="n">
        <x:v>1.357</x:v>
      </x:c>
      <x:c r="P50" s="34" t="n">
        <x:v>2.125</x:v>
      </x:c>
      <x:c r="Q50" s="34" t="n">
        <x:v>0.768</x:v>
      </x:c>
      <x:c r="R50" s="34" t="n">
        <x:v>63.859</x:v>
      </x:c>
      <x:c r="S50" s="40" t="b">
        <x:v>1</x:v>
      </x:c>
      <x:c r="T50" s="34" t="str">
        <x:v>model_interpolation</x:v>
      </x:c>
      <x:c r="U50" s="34" t="str">
        <x:v>Linear interpolation from 2026 to 2030</x:v>
      </x:c>
      <x:c r="V50" s="34" t="str">
        <x:v>CAND-0E9003448A63C3</x:v>
      </x:c>
      <x:c r="W50" s="34" t="str">
        <x:v>P7</x:v>
      </x:c>
      <x:c r="X50" s="34" t="str">
        <x:v>PORT-F194BB679477</x:v>
      </x:c>
      <x:c r="Y50" s="34" t="n">
        <x:v>1000</x:v>
      </x:c>
      <x:c r="Z50" s="34" t="n">
        <x:v>124.925143</x:v>
      </x:c>
      <x:c r="AA50" s="34" t="n">
        <x:v>1.324203</x:v>
      </x:c>
      <x:c r="AB50" s="34" t="n">
        <x:v>131.48782</x:v>
      </x:c>
      <x:c r="AC50" s="34" t="n">
        <x:v>16410.005</x:v>
      </x:c>
      <x:c r="AD50" s="34" t="n">
        <x:v>124.802469</x:v>
      </x:c>
      <x:c r="AE50" s="40" t="b">
        <x:v>1</x:v>
      </x:c>
      <x:c r="AF50" s="40" t="b">
        <x:v>1</x:v>
      </x:c>
      <x:c r="AG50" s="34" t="str"/>
      <x:c r="AH50" s="34" t="n">
        <x:v>0</x:v>
      </x:c>
      <x:c r="AI50" s="34" t="str">
        <x:v>9.990856690045291e-05</x:v>
      </x:c>
      <x:c r="AJ50" s="40" t="b">
        <x:v>1</x:v>
      </x:c>
      <x:c r="AK50" s="40" t="b">
        <x:v>1</x:v>
      </x:c>
      <x:c r="AL50" s="40" t="b">
        <x:v>1</x:v>
      </x:c>
      <x:c r="AM50" s="40" t="b">
        <x:v>1</x:v>
      </x:c>
      <x:c r="AN50" s="34" t="str"/>
      <x:c r="AO50" s="34" t="n">
        <x:v>0</x:v>
      </x:c>
      <x:c r="AP50" s="34" t="n">
        <x:v>0</x:v>
      </x:c>
      <x:c r="AQ50" s="34" t="n">
        <x:v>0</x:v>
      </x:c>
      <x:c r="AR50" s="34" t="n">
        <x:v>1</x:v>
      </x:c>
      <x:c r="AS50" s="34" t="n">
        <x:v>1</x:v>
      </x:c>
      <x:c r="AT50" s="34" t="n">
        <x:v>0.3612199999999999</x:v>
      </x:c>
      <x:c r="AU50" s="34" t="n">
        <x:v>0.6</x:v>
      </x:c>
      <x:c r="AV50" s="34" t="n">
        <x:v>1.54</x:v>
      </x:c>
    </x:row>
    <x:row r="51">
      <x:c r="A51" s="34" t="str">
        <x:v>KOBE_STEEL_JP</x:v>
      </x:c>
      <x:c r="B51" s="34" t="str">
        <x:v>Kobe Steel</x:v>
      </x:c>
      <x:c r="C51" s="34" t="str">
        <x:v>ACCELERATED_15C</x:v>
      </x:c>
      <x:c r="D51" s="34" t="str">
        <x:v>P7</x:v>
      </x:c>
      <x:c r="E51" s="34" t="n">
        <x:v>2030</x:v>
      </x:c>
      <x:c r="F51" s="34" t="n">
        <x:v>2</x:v>
      </x:c>
      <x:c r="G51" s="34" t="n">
        <x:v>0.5325</x:v>
      </x:c>
      <x:c r="H51" s="34" t="n">
        <x:v>3</x:v>
      </x:c>
      <x:c r="I51" s="34" t="n">
        <x:v>2.4675</x:v>
      </x:c>
      <x:c r="J51" s="34" t="n">
        <x:v>17.75</x:v>
      </x:c>
      <x:c r="K51" s="34" t="n">
        <x:v>0.16225</x:v>
      </x:c>
      <x:c r="L51" s="34" t="n">
        <x:v>0.4</x:v>
      </x:c>
      <x:c r="M51" s="34" t="n">
        <x:v>0.23775</x:v>
      </x:c>
      <x:c r="N51" s="34" t="n">
        <x:v>40.563</x:v>
      </x:c>
      <x:c r="O51" s="34" t="n">
        <x:v>1.359</x:v>
      </x:c>
      <x:c r="P51" s="34" t="n">
        <x:v>2.5</x:v>
      </x:c>
      <x:c r="Q51" s="34" t="n">
        <x:v>1.141</x:v>
      </x:c>
      <x:c r="R51" s="34" t="n">
        <x:v>54.36</x:v>
      </x:c>
      <x:c r="S51" s="40" t="b">
        <x:v>1</x:v>
      </x:c>
      <x:c r="T51" s="34" t="str">
        <x:v>model_interpolation</x:v>
      </x:c>
      <x:c r="U51" s="34" t="str">
        <x:v>Linear interpolation from 2030 to 2035</x:v>
      </x:c>
      <x:c r="V51" s="34" t="str">
        <x:v>CAND-0E9003448A63C3</x:v>
      </x:c>
      <x:c r="W51" s="34" t="str">
        <x:v>P7</x:v>
      </x:c>
      <x:c r="X51" s="34" t="str">
        <x:v>PORT-F194BB679477</x:v>
      </x:c>
      <x:c r="Y51" s="34" t="n">
        <x:v>1000</x:v>
      </x:c>
      <x:c r="Z51" s="34" t="n">
        <x:v>124.925143</x:v>
      </x:c>
      <x:c r="AA51" s="34" t="n">
        <x:v>1.324203</x:v>
      </x:c>
      <x:c r="AB51" s="34" t="n">
        <x:v>131.48782</x:v>
      </x:c>
      <x:c r="AC51" s="34" t="n">
        <x:v>16410.005</x:v>
      </x:c>
      <x:c r="AD51" s="34" t="n">
        <x:v>124.802469</x:v>
      </x:c>
      <x:c r="AE51" s="40" t="b">
        <x:v>1</x:v>
      </x:c>
      <x:c r="AF51" s="40" t="b">
        <x:v>1</x:v>
      </x:c>
      <x:c r="AG51" s="34" t="str"/>
      <x:c r="AH51" s="34" t="n">
        <x:v>0</x:v>
      </x:c>
      <x:c r="AI51" s="34" t="str">
        <x:v>9.990856690045291e-05</x:v>
      </x:c>
      <x:c r="AJ51" s="40" t="b">
        <x:v>1</x:v>
      </x:c>
      <x:c r="AK51" s="40" t="b">
        <x:v>1</x:v>
      </x:c>
      <x:c r="AL51" s="40" t="b">
        <x:v>1</x:v>
      </x:c>
      <x:c r="AM51" s="40" t="b">
        <x:v>1</x:v>
      </x:c>
      <x:c r="AN51" s="34" t="str"/>
      <x:c r="AO51" s="34" t="n">
        <x:v>0</x:v>
      </x:c>
      <x:c r="AP51" s="34" t="n">
        <x:v>0</x:v>
      </x:c>
      <x:c r="AQ51" s="34" t="n">
        <x:v>0</x:v>
      </x:c>
      <x:c r="AR51" s="34" t="n">
        <x:v>1</x:v>
      </x:c>
      <x:c r="AS51" s="34" t="n">
        <x:v>1</x:v>
      </x:c>
      <x:c r="AT51" s="34" t="n">
        <x:v>0.3612199999999999</x:v>
      </x:c>
      <x:c r="AU51" s="34" t="n">
        <x:v>0.6</x:v>
      </x:c>
      <x:c r="AV51" s="34" t="n">
        <x:v>1.54</x:v>
      </x:c>
    </x:row>
    <x:row r="52">
      <x:c r="A52" s="34" t="str">
        <x:v>KOBE_STEEL_JP</x:v>
      </x:c>
      <x:c r="B52" s="34" t="str">
        <x:v>Kobe Steel</x:v>
      </x:c>
      <x:c r="C52" s="34" t="str">
        <x:v>ACCELERATED_15C</x:v>
      </x:c>
      <x:c r="D52" s="34" t="str">
        <x:v>P7</x:v>
      </x:c>
      <x:c r="E52" s="34" t="n">
        <x:v>2031</x:v>
      </x:c>
      <x:c r="F52" s="34" t="n">
        <x:v>2</x:v>
      </x:c>
      <x:c r="G52" s="34" t="n">
        <x:v>0.5325</x:v>
      </x:c>
      <x:c r="H52" s="34" t="n">
        <x:v>3.4</x:v>
      </x:c>
      <x:c r="I52" s="34" t="n">
        <x:v>2.8675</x:v>
      </x:c>
      <x:c r="J52" s="34" t="n">
        <x:v>15.662</x:v>
      </x:c>
      <x:c r="K52" s="34" t="n">
        <x:v>0.16225</x:v>
      </x:c>
      <x:c r="L52" s="34" t="n">
        <x:v>0.44</x:v>
      </x:c>
      <x:c r="M52" s="34" t="n">
        <x:v>0.27775</x:v>
      </x:c>
      <x:c r="N52" s="34" t="n">
        <x:v>36.875</x:v>
      </x:c>
      <x:c r="O52" s="34" t="n">
        <x:v>1.359</x:v>
      </x:c>
      <x:c r="P52" s="34" t="n">
        <x:v>2.8</x:v>
      </x:c>
      <x:c r="Q52" s="34" t="n">
        <x:v>1.441</x:v>
      </x:c>
      <x:c r="R52" s="34" t="n">
        <x:v>48.536</x:v>
      </x:c>
      <x:c r="S52" s="40" t="b">
        <x:v>1</x:v>
      </x:c>
      <x:c r="T52" s="34" t="str">
        <x:v>model_interpolation</x:v>
      </x:c>
      <x:c r="U52" s="34" t="str">
        <x:v>Linear interpolation from 2030 to 2035</x:v>
      </x:c>
      <x:c r="V52" s="34" t="str">
        <x:v>CAND-0E9003448A63C3</x:v>
      </x:c>
      <x:c r="W52" s="34" t="str">
        <x:v>P7</x:v>
      </x:c>
      <x:c r="X52" s="34" t="str">
        <x:v>PORT-F194BB679477</x:v>
      </x:c>
      <x:c r="Y52" s="34" t="n">
        <x:v>1000</x:v>
      </x:c>
      <x:c r="Z52" s="34" t="n">
        <x:v>124.925143</x:v>
      </x:c>
      <x:c r="AA52" s="34" t="n">
        <x:v>1.324203</x:v>
      </x:c>
      <x:c r="AB52" s="34" t="n">
        <x:v>131.48782</x:v>
      </x:c>
      <x:c r="AC52" s="34" t="n">
        <x:v>16410.005</x:v>
      </x:c>
      <x:c r="AD52" s="34" t="n">
        <x:v>124.802469</x:v>
      </x:c>
      <x:c r="AE52" s="40" t="b">
        <x:v>1</x:v>
      </x:c>
      <x:c r="AF52" s="40" t="b">
        <x:v>1</x:v>
      </x:c>
      <x:c r="AG52" s="34" t="str"/>
      <x:c r="AH52" s="34" t="n">
        <x:v>0</x:v>
      </x:c>
      <x:c r="AI52" s="34" t="str">
        <x:v>9.990856690045291e-05</x:v>
      </x:c>
      <x:c r="AJ52" s="40" t="b">
        <x:v>1</x:v>
      </x:c>
      <x:c r="AK52" s="40" t="b">
        <x:v>1</x:v>
      </x:c>
      <x:c r="AL52" s="40" t="b">
        <x:v>1</x:v>
      </x:c>
      <x:c r="AM52" s="40" t="b">
        <x:v>1</x:v>
      </x:c>
      <x:c r="AN52" s="34" t="str"/>
      <x:c r="AO52" s="34" t="n">
        <x:v>0</x:v>
      </x:c>
      <x:c r="AP52" s="34" t="n">
        <x:v>0</x:v>
      </x:c>
      <x:c r="AQ52" s="34" t="n">
        <x:v>0</x:v>
      </x:c>
      <x:c r="AR52" s="34" t="n">
        <x:v>1</x:v>
      </x:c>
      <x:c r="AS52" s="34" t="n">
        <x:v>1</x:v>
      </x:c>
      <x:c r="AT52" s="34" t="n">
        <x:v>0.3612199999999999</x:v>
      </x:c>
      <x:c r="AU52" s="34" t="n">
        <x:v>0.6</x:v>
      </x:c>
      <x:c r="AV52" s="34" t="n">
        <x:v>1.54</x:v>
      </x:c>
    </x:row>
    <x:row r="53">
      <x:c r="A53" s="34" t="str">
        <x:v>KOBE_STEEL_JP</x:v>
      </x:c>
      <x:c r="B53" s="34" t="str">
        <x:v>Kobe Steel</x:v>
      </x:c>
      <x:c r="C53" s="34" t="str">
        <x:v>ACCELERATED_15C</x:v>
      </x:c>
      <x:c r="D53" s="34" t="str">
        <x:v>P7</x:v>
      </x:c>
      <x:c r="E53" s="34" t="n">
        <x:v>2032</x:v>
      </x:c>
      <x:c r="F53" s="34" t="n">
        <x:v>2</x:v>
      </x:c>
      <x:c r="G53" s="34" t="n">
        <x:v>0.5325</x:v>
      </x:c>
      <x:c r="H53" s="34" t="n">
        <x:v>3.8</x:v>
      </x:c>
      <x:c r="I53" s="34" t="n">
        <x:v>3.2675</x:v>
      </x:c>
      <x:c r="J53" s="34" t="n">
        <x:v>14.013</x:v>
      </x:c>
      <x:c r="K53" s="34" t="n">
        <x:v>0.16225</x:v>
      </x:c>
      <x:c r="L53" s="34" t="n">
        <x:v>0.48</x:v>
      </x:c>
      <x:c r="M53" s="34" t="n">
        <x:v>0.31775</x:v>
      </x:c>
      <x:c r="N53" s="34" t="n">
        <x:v>33.802</x:v>
      </x:c>
      <x:c r="O53" s="34" t="n">
        <x:v>1.359</x:v>
      </x:c>
      <x:c r="P53" s="34" t="n">
        <x:v>3.1</x:v>
      </x:c>
      <x:c r="Q53" s="34" t="n">
        <x:v>1.741</x:v>
      </x:c>
      <x:c r="R53" s="34" t="n">
        <x:v>43.839</x:v>
      </x:c>
      <x:c r="S53" s="40" t="b">
        <x:v>1</x:v>
      </x:c>
      <x:c r="T53" s="34" t="str">
        <x:v>model_interpolation</x:v>
      </x:c>
      <x:c r="U53" s="34" t="str">
        <x:v>Linear interpolation from 2030 to 2035</x:v>
      </x:c>
      <x:c r="V53" s="34" t="str">
        <x:v>CAND-0E9003448A63C3</x:v>
      </x:c>
      <x:c r="W53" s="34" t="str">
        <x:v>P7</x:v>
      </x:c>
      <x:c r="X53" s="34" t="str">
        <x:v>PORT-F194BB679477</x:v>
      </x:c>
      <x:c r="Y53" s="34" t="n">
        <x:v>1000</x:v>
      </x:c>
      <x:c r="Z53" s="34" t="n">
        <x:v>124.925143</x:v>
      </x:c>
      <x:c r="AA53" s="34" t="n">
        <x:v>1.324203</x:v>
      </x:c>
      <x:c r="AB53" s="34" t="n">
        <x:v>131.48782</x:v>
      </x:c>
      <x:c r="AC53" s="34" t="n">
        <x:v>16410.005</x:v>
      </x:c>
      <x:c r="AD53" s="34" t="n">
        <x:v>124.802469</x:v>
      </x:c>
      <x:c r="AE53" s="40" t="b">
        <x:v>1</x:v>
      </x:c>
      <x:c r="AF53" s="40" t="b">
        <x:v>1</x:v>
      </x:c>
      <x:c r="AG53" s="34" t="str"/>
      <x:c r="AH53" s="34" t="n">
        <x:v>0</x:v>
      </x:c>
      <x:c r="AI53" s="34" t="str">
        <x:v>9.990856690045291e-05</x:v>
      </x:c>
      <x:c r="AJ53" s="40" t="b">
        <x:v>1</x:v>
      </x:c>
      <x:c r="AK53" s="40" t="b">
        <x:v>1</x:v>
      </x:c>
      <x:c r="AL53" s="40" t="b">
        <x:v>1</x:v>
      </x:c>
      <x:c r="AM53" s="40" t="b">
        <x:v>1</x:v>
      </x:c>
      <x:c r="AN53" s="34" t="str"/>
      <x:c r="AO53" s="34" t="n">
        <x:v>0</x:v>
      </x:c>
      <x:c r="AP53" s="34" t="n">
        <x:v>0</x:v>
      </x:c>
      <x:c r="AQ53" s="34" t="n">
        <x:v>0</x:v>
      </x:c>
      <x:c r="AR53" s="34" t="n">
        <x:v>1</x:v>
      </x:c>
      <x:c r="AS53" s="34" t="n">
        <x:v>1</x:v>
      </x:c>
      <x:c r="AT53" s="34" t="n">
        <x:v>0.3612199999999999</x:v>
      </x:c>
      <x:c r="AU53" s="34" t="n">
        <x:v>0.6</x:v>
      </x:c>
      <x:c r="AV53" s="34" t="n">
        <x:v>1.54</x:v>
      </x:c>
    </x:row>
    <x:row r="54">
      <x:c r="A54" s="34" t="str">
        <x:v>KOBE_STEEL_JP</x:v>
      </x:c>
      <x:c r="B54" s="34" t="str">
        <x:v>Kobe Steel</x:v>
      </x:c>
      <x:c r="C54" s="34" t="str">
        <x:v>ACCELERATED_15C</x:v>
      </x:c>
      <x:c r="D54" s="34" t="str">
        <x:v>P7</x:v>
      </x:c>
      <x:c r="E54" s="34" t="n">
        <x:v>2033</x:v>
      </x:c>
      <x:c r="F54" s="34" t="n">
        <x:v>2</x:v>
      </x:c>
      <x:c r="G54" s="34" t="n">
        <x:v>0.5325</x:v>
      </x:c>
      <x:c r="H54" s="34" t="n">
        <x:v>4.2</x:v>
      </x:c>
      <x:c r="I54" s="34" t="n">
        <x:v>3.6675</x:v>
      </x:c>
      <x:c r="J54" s="34" t="n">
        <x:v>12.679</x:v>
      </x:c>
      <x:c r="K54" s="34" t="n">
        <x:v>0.16225</x:v>
      </x:c>
      <x:c r="L54" s="34" t="n">
        <x:v>0.52</x:v>
      </x:c>
      <x:c r="M54" s="34" t="n">
        <x:v>0.35775</x:v>
      </x:c>
      <x:c r="N54" s="34" t="n">
        <x:v>31.202</x:v>
      </x:c>
      <x:c r="O54" s="34" t="n">
        <x:v>1.359</x:v>
      </x:c>
      <x:c r="P54" s="34" t="n">
        <x:v>3.4</x:v>
      </x:c>
      <x:c r="Q54" s="34" t="n">
        <x:v>2.041</x:v>
      </x:c>
      <x:c r="R54" s="34" t="n">
        <x:v>39.971</x:v>
      </x:c>
      <x:c r="S54" s="40" t="b">
        <x:v>1</x:v>
      </x:c>
      <x:c r="T54" s="34" t="str">
        <x:v>model_interpolation</x:v>
      </x:c>
      <x:c r="U54" s="34" t="str">
        <x:v>Linear interpolation from 2030 to 2035</x:v>
      </x:c>
      <x:c r="V54" s="34" t="str">
        <x:v>CAND-0E9003448A63C3</x:v>
      </x:c>
      <x:c r="W54" s="34" t="str">
        <x:v>P7</x:v>
      </x:c>
      <x:c r="X54" s="34" t="str">
        <x:v>PORT-F194BB679477</x:v>
      </x:c>
      <x:c r="Y54" s="34" t="n">
        <x:v>1000</x:v>
      </x:c>
      <x:c r="Z54" s="34" t="n">
        <x:v>124.925143</x:v>
      </x:c>
      <x:c r="AA54" s="34" t="n">
        <x:v>1.324203</x:v>
      </x:c>
      <x:c r="AB54" s="34" t="n">
        <x:v>131.48782</x:v>
      </x:c>
      <x:c r="AC54" s="34" t="n">
        <x:v>16410.005</x:v>
      </x:c>
      <x:c r="AD54" s="34" t="n">
        <x:v>124.802469</x:v>
      </x:c>
      <x:c r="AE54" s="40" t="b">
        <x:v>1</x:v>
      </x:c>
      <x:c r="AF54" s="40" t="b">
        <x:v>1</x:v>
      </x:c>
      <x:c r="AG54" s="34" t="str"/>
      <x:c r="AH54" s="34" t="n">
        <x:v>0</x:v>
      </x:c>
      <x:c r="AI54" s="34" t="str">
        <x:v>9.990856690045291e-05</x:v>
      </x:c>
      <x:c r="AJ54" s="40" t="b">
        <x:v>1</x:v>
      </x:c>
      <x:c r="AK54" s="40" t="b">
        <x:v>1</x:v>
      </x:c>
      <x:c r="AL54" s="40" t="b">
        <x:v>1</x:v>
      </x:c>
      <x:c r="AM54" s="40" t="b">
        <x:v>1</x:v>
      </x:c>
      <x:c r="AN54" s="34" t="str"/>
      <x:c r="AO54" s="34" t="n">
        <x:v>0</x:v>
      </x:c>
      <x:c r="AP54" s="34" t="n">
        <x:v>0</x:v>
      </x:c>
      <x:c r="AQ54" s="34" t="n">
        <x:v>0</x:v>
      </x:c>
      <x:c r="AR54" s="34" t="n">
        <x:v>1</x:v>
      </x:c>
      <x:c r="AS54" s="34" t="n">
        <x:v>1</x:v>
      </x:c>
      <x:c r="AT54" s="34" t="n">
        <x:v>0.3612199999999999</x:v>
      </x:c>
      <x:c r="AU54" s="34" t="n">
        <x:v>0.6</x:v>
      </x:c>
      <x:c r="AV54" s="34" t="n">
        <x:v>1.54</x:v>
      </x:c>
    </x:row>
    <x:row r="55">
      <x:c r="A55" s="34" t="str">
        <x:v>KOBE_STEEL_JP</x:v>
      </x:c>
      <x:c r="B55" s="34" t="str">
        <x:v>Kobe Steel</x:v>
      </x:c>
      <x:c r="C55" s="34" t="str">
        <x:v>ACCELERATED_15C</x:v>
      </x:c>
      <x:c r="D55" s="34" t="str">
        <x:v>P7</x:v>
      </x:c>
      <x:c r="E55" s="34" t="n">
        <x:v>2034</x:v>
      </x:c>
      <x:c r="F55" s="34" t="n">
        <x:v>3</x:v>
      </x:c>
      <x:c r="G55" s="34" t="n">
        <x:v>0.969</x:v>
      </x:c>
      <x:c r="H55" s="34" t="n">
        <x:v>4.6</x:v>
      </x:c>
      <x:c r="I55" s="34" t="n">
        <x:v>3.631</x:v>
      </x:c>
      <x:c r="J55" s="34" t="n">
        <x:v>21.065</x:v>
      </x:c>
      <x:c r="K55" s="34" t="n">
        <x:v>0.3223</x:v>
      </x:c>
      <x:c r="L55" s="34" t="n">
        <x:v>0.56</x:v>
      </x:c>
      <x:c r="M55" s="34" t="n">
        <x:v>0.2377</x:v>
      </x:c>
      <x:c r="N55" s="34" t="n">
        <x:v>57.554</x:v>
      </x:c>
      <x:c r="O55" s="34" t="n">
        <x:v>2.6976</x:v>
      </x:c>
      <x:c r="P55" s="34" t="n">
        <x:v>3.7</x:v>
      </x:c>
      <x:c r="Q55" s="34" t="n">
        <x:v>1.0024</x:v>
      </x:c>
      <x:c r="R55" s="34" t="n">
        <x:v>72.908</x:v>
      </x:c>
      <x:c r="S55" s="40" t="b">
        <x:v>1</x:v>
      </x:c>
      <x:c r="T55" s="34" t="str">
        <x:v>model_interpolation</x:v>
      </x:c>
      <x:c r="U55" s="34" t="str">
        <x:v>Linear interpolation from 2030 to 2035</x:v>
      </x:c>
      <x:c r="V55" s="34" t="str">
        <x:v>CAND-0E9003448A63C3</x:v>
      </x:c>
      <x:c r="W55" s="34" t="str">
        <x:v>P7</x:v>
      </x:c>
      <x:c r="X55" s="34" t="str">
        <x:v>PORT-F194BB679477</x:v>
      </x:c>
      <x:c r="Y55" s="34" t="n">
        <x:v>1000</x:v>
      </x:c>
      <x:c r="Z55" s="34" t="n">
        <x:v>124.925143</x:v>
      </x:c>
      <x:c r="AA55" s="34" t="n">
        <x:v>1.324203</x:v>
      </x:c>
      <x:c r="AB55" s="34" t="n">
        <x:v>131.48782</x:v>
      </x:c>
      <x:c r="AC55" s="34" t="n">
        <x:v>16410.005</x:v>
      </x:c>
      <x:c r="AD55" s="34" t="n">
        <x:v>124.802469</x:v>
      </x:c>
      <x:c r="AE55" s="40" t="b">
        <x:v>1</x:v>
      </x:c>
      <x:c r="AF55" s="40" t="b">
        <x:v>1</x:v>
      </x:c>
      <x:c r="AG55" s="34" t="str"/>
      <x:c r="AH55" s="34" t="n">
        <x:v>0</x:v>
      </x:c>
      <x:c r="AI55" s="34" t="str">
        <x:v>9.990856690045291e-05</x:v>
      </x:c>
      <x:c r="AJ55" s="40" t="b">
        <x:v>1</x:v>
      </x:c>
      <x:c r="AK55" s="40" t="b">
        <x:v>1</x:v>
      </x:c>
      <x:c r="AL55" s="40" t="b">
        <x:v>1</x:v>
      </x:c>
      <x:c r="AM55" s="40" t="b">
        <x:v>1</x:v>
      </x:c>
      <x:c r="AN55" s="34" t="str"/>
      <x:c r="AO55" s="34" t="n">
        <x:v>0</x:v>
      </x:c>
      <x:c r="AP55" s="34" t="n">
        <x:v>0</x:v>
      </x:c>
      <x:c r="AQ55" s="34" t="n">
        <x:v>0</x:v>
      </x:c>
      <x:c r="AR55" s="34" t="n">
        <x:v>1</x:v>
      </x:c>
      <x:c r="AS55" s="34" t="n">
        <x:v>1</x:v>
      </x:c>
      <x:c r="AT55" s="34" t="n">
        <x:v>0.3612199999999999</x:v>
      </x:c>
      <x:c r="AU55" s="34" t="n">
        <x:v>0.6</x:v>
      </x:c>
      <x:c r="AV55" s="34" t="n">
        <x:v>1.54</x:v>
      </x:c>
    </x:row>
    <x:row r="56">
      <x:c r="A56" s="34" t="str">
        <x:v>KOBE_STEEL_JP</x:v>
      </x:c>
      <x:c r="B56" s="34" t="str">
        <x:v>Kobe Steel</x:v>
      </x:c>
      <x:c r="C56" s="34" t="str">
        <x:v>ACCELERATED_15C</x:v>
      </x:c>
      <x:c r="D56" s="34" t="str">
        <x:v>P7</x:v>
      </x:c>
      <x:c r="E56" s="34" t="n">
        <x:v>2035</x:v>
      </x:c>
      <x:c r="F56" s="34" t="n">
        <x:v>3</x:v>
      </x:c>
      <x:c r="G56" s="34" t="n">
        <x:v>0.969</x:v>
      </x:c>
      <x:c r="H56" s="34" t="n">
        <x:v>5</x:v>
      </x:c>
      <x:c r="I56" s="34" t="n">
        <x:v>4.031</x:v>
      </x:c>
      <x:c r="J56" s="34" t="n">
        <x:v>19.38</x:v>
      </x:c>
      <x:c r="K56" s="34" t="n">
        <x:v>0.3223</x:v>
      </x:c>
      <x:c r="L56" s="34" t="n">
        <x:v>0.6</x:v>
      </x:c>
      <x:c r="M56" s="34" t="n">
        <x:v>0.2777</x:v>
      </x:c>
      <x:c r="N56" s="34" t="n">
        <x:v>53.717</x:v>
      </x:c>
      <x:c r="O56" s="34" t="n">
        <x:v>2.6976</x:v>
      </x:c>
      <x:c r="P56" s="34" t="n">
        <x:v>4</x:v>
      </x:c>
      <x:c r="Q56" s="34" t="n">
        <x:v>1.3024</x:v>
      </x:c>
      <x:c r="R56" s="34" t="n">
        <x:v>67.44</x:v>
      </x:c>
      <x:c r="S56" s="40" t="b">
        <x:v>1</x:v>
      </x:c>
      <x:c r="T56" s="34" t="str">
        <x:v>model_interpolation</x:v>
      </x:c>
      <x:c r="U56" s="34" t="str">
        <x:v>Linear interpolation from 2035 to 2040</x:v>
      </x:c>
      <x:c r="V56" s="34" t="str">
        <x:v>CAND-0E9003448A63C3</x:v>
      </x:c>
      <x:c r="W56" s="34" t="str">
        <x:v>P7</x:v>
      </x:c>
      <x:c r="X56" s="34" t="str">
        <x:v>PORT-F194BB679477</x:v>
      </x:c>
      <x:c r="Y56" s="34" t="n">
        <x:v>1000</x:v>
      </x:c>
      <x:c r="Z56" s="34" t="n">
        <x:v>124.925143</x:v>
      </x:c>
      <x:c r="AA56" s="34" t="n">
        <x:v>1.324203</x:v>
      </x:c>
      <x:c r="AB56" s="34" t="n">
        <x:v>131.48782</x:v>
      </x:c>
      <x:c r="AC56" s="34" t="n">
        <x:v>16410.005</x:v>
      </x:c>
      <x:c r="AD56" s="34" t="n">
        <x:v>124.802469</x:v>
      </x:c>
      <x:c r="AE56" s="40" t="b">
        <x:v>1</x:v>
      </x:c>
      <x:c r="AF56" s="40" t="b">
        <x:v>1</x:v>
      </x:c>
      <x:c r="AG56" s="34" t="str"/>
      <x:c r="AH56" s="34" t="n">
        <x:v>0</x:v>
      </x:c>
      <x:c r="AI56" s="34" t="str">
        <x:v>9.990856690045291e-05</x:v>
      </x:c>
      <x:c r="AJ56" s="40" t="b">
        <x:v>1</x:v>
      </x:c>
      <x:c r="AK56" s="40" t="b">
        <x:v>1</x:v>
      </x:c>
      <x:c r="AL56" s="40" t="b">
        <x:v>1</x:v>
      </x:c>
      <x:c r="AM56" s="40" t="b">
        <x:v>1</x:v>
      </x:c>
      <x:c r="AN56" s="34" t="str"/>
      <x:c r="AO56" s="34" t="n">
        <x:v>0</x:v>
      </x:c>
      <x:c r="AP56" s="34" t="n">
        <x:v>0</x:v>
      </x:c>
      <x:c r="AQ56" s="34" t="n">
        <x:v>0</x:v>
      </x:c>
      <x:c r="AR56" s="34" t="n">
        <x:v>1</x:v>
      </x:c>
      <x:c r="AS56" s="34" t="n">
        <x:v>1</x:v>
      </x:c>
      <x:c r="AT56" s="34" t="n">
        <x:v>0.3612199999999999</x:v>
      </x:c>
      <x:c r="AU56" s="34" t="n">
        <x:v>0.6</x:v>
      </x:c>
      <x:c r="AV56" s="34" t="n">
        <x:v>1.54</x:v>
      </x:c>
    </x:row>
    <x:row r="57">
      <x:c r="A57" s="34" t="str">
        <x:v>KOBE_STEEL_JP</x:v>
      </x:c>
      <x:c r="B57" s="34" t="str">
        <x:v>Kobe Steel</x:v>
      </x:c>
      <x:c r="C57" s="34" t="str">
        <x:v>ACCELERATED_15C</x:v>
      </x:c>
      <x:c r="D57" s="34" t="str">
        <x:v>P7</x:v>
      </x:c>
      <x:c r="E57" s="34" t="n">
        <x:v>2036</x:v>
      </x:c>
      <x:c r="F57" s="34" t="n">
        <x:v>3</x:v>
      </x:c>
      <x:c r="G57" s="34" t="n">
        <x:v>0.969</x:v>
      </x:c>
      <x:c r="H57" s="34" t="n">
        <x:v>5.2</x:v>
      </x:c>
      <x:c r="I57" s="34" t="n">
        <x:v>4.231</x:v>
      </x:c>
      <x:c r="J57" s="34" t="n">
        <x:v>18.635</x:v>
      </x:c>
      <x:c r="K57" s="34" t="n">
        <x:v>0.3223</x:v>
      </x:c>
      <x:c r="L57" s="34" t="n">
        <x:v>0.6799999999999999</x:v>
      </x:c>
      <x:c r="M57" s="34" t="n">
        <x:v>0.3577</x:v>
      </x:c>
      <x:c r="N57" s="34" t="n">
        <x:v>47.397</x:v>
      </x:c>
      <x:c r="O57" s="34" t="n">
        <x:v>2.6976</x:v>
      </x:c>
      <x:c r="P57" s="34" t="n">
        <x:v>4.5</x:v>
      </x:c>
      <x:c r="Q57" s="34" t="n">
        <x:v>1.8024</x:v>
      </x:c>
      <x:c r="R57" s="34" t="n">
        <x:v>59.947</x:v>
      </x:c>
      <x:c r="S57" s="40" t="b">
        <x:v>1</x:v>
      </x:c>
      <x:c r="T57" s="34" t="str">
        <x:v>model_interpolation</x:v>
      </x:c>
      <x:c r="U57" s="34" t="str">
        <x:v>Linear interpolation from 2035 to 2040</x:v>
      </x:c>
      <x:c r="V57" s="34" t="str">
        <x:v>CAND-0E9003448A63C3</x:v>
      </x:c>
      <x:c r="W57" s="34" t="str">
        <x:v>P7</x:v>
      </x:c>
      <x:c r="X57" s="34" t="str">
        <x:v>PORT-F194BB679477</x:v>
      </x:c>
      <x:c r="Y57" s="34" t="n">
        <x:v>1000</x:v>
      </x:c>
      <x:c r="Z57" s="34" t="n">
        <x:v>124.925143</x:v>
      </x:c>
      <x:c r="AA57" s="34" t="n">
        <x:v>1.324203</x:v>
      </x:c>
      <x:c r="AB57" s="34" t="n">
        <x:v>131.48782</x:v>
      </x:c>
      <x:c r="AC57" s="34" t="n">
        <x:v>16410.005</x:v>
      </x:c>
      <x:c r="AD57" s="34" t="n">
        <x:v>124.802469</x:v>
      </x:c>
      <x:c r="AE57" s="40" t="b">
        <x:v>1</x:v>
      </x:c>
      <x:c r="AF57" s="40" t="b">
        <x:v>1</x:v>
      </x:c>
      <x:c r="AG57" s="34" t="str"/>
      <x:c r="AH57" s="34" t="n">
        <x:v>0</x:v>
      </x:c>
      <x:c r="AI57" s="34" t="str">
        <x:v>9.990856690045291e-05</x:v>
      </x:c>
      <x:c r="AJ57" s="40" t="b">
        <x:v>1</x:v>
      </x:c>
      <x:c r="AK57" s="40" t="b">
        <x:v>1</x:v>
      </x:c>
      <x:c r="AL57" s="40" t="b">
        <x:v>1</x:v>
      </x:c>
      <x:c r="AM57" s="40" t="b">
        <x:v>1</x:v>
      </x:c>
      <x:c r="AN57" s="34" t="str"/>
      <x:c r="AO57" s="34" t="n">
        <x:v>0</x:v>
      </x:c>
      <x:c r="AP57" s="34" t="n">
        <x:v>0</x:v>
      </x:c>
      <x:c r="AQ57" s="34" t="n">
        <x:v>0</x:v>
      </x:c>
      <x:c r="AR57" s="34" t="n">
        <x:v>1</x:v>
      </x:c>
      <x:c r="AS57" s="34" t="n">
        <x:v>1</x:v>
      </x:c>
      <x:c r="AT57" s="34" t="n">
        <x:v>0.3612199999999999</x:v>
      </x:c>
      <x:c r="AU57" s="34" t="n">
        <x:v>0.6</x:v>
      </x:c>
      <x:c r="AV57" s="34" t="n">
        <x:v>1.54</x:v>
      </x:c>
    </x:row>
    <x:row r="58">
      <x:c r="A58" s="34" t="str">
        <x:v>KOBE_STEEL_JP</x:v>
      </x:c>
      <x:c r="B58" s="34" t="str">
        <x:v>Kobe Steel</x:v>
      </x:c>
      <x:c r="C58" s="34" t="str">
        <x:v>ACCELERATED_15C</x:v>
      </x:c>
      <x:c r="D58" s="34" t="str">
        <x:v>P7</x:v>
      </x:c>
      <x:c r="E58" s="34" t="n">
        <x:v>2037</x:v>
      </x:c>
      <x:c r="F58" s="34" t="n">
        <x:v>3</x:v>
      </x:c>
      <x:c r="G58" s="34" t="n">
        <x:v>0.969</x:v>
      </x:c>
      <x:c r="H58" s="34" t="n">
        <x:v>5.4</x:v>
      </x:c>
      <x:c r="I58" s="34" t="n">
        <x:v>4.431</x:v>
      </x:c>
      <x:c r="J58" s="34" t="n">
        <x:v>17.944</x:v>
      </x:c>
      <x:c r="K58" s="34" t="n">
        <x:v>0.3223</x:v>
      </x:c>
      <x:c r="L58" s="34" t="n">
        <x:v>0.76</x:v>
      </x:c>
      <x:c r="M58" s="34" t="n">
        <x:v>0.4377</x:v>
      </x:c>
      <x:c r="N58" s="34" t="n">
        <x:v>42.408</x:v>
      </x:c>
      <x:c r="O58" s="34" t="n">
        <x:v>2.6976</x:v>
      </x:c>
      <x:c r="P58" s="34" t="n">
        <x:v>5</x:v>
      </x:c>
      <x:c r="Q58" s="34" t="n">
        <x:v>2.3024</x:v>
      </x:c>
      <x:c r="R58" s="34" t="n">
        <x:v>53.952</x:v>
      </x:c>
      <x:c r="S58" s="40" t="b">
        <x:v>1</x:v>
      </x:c>
      <x:c r="T58" s="34" t="str">
        <x:v>model_interpolation</x:v>
      </x:c>
      <x:c r="U58" s="34" t="str">
        <x:v>Linear interpolation from 2035 to 2040</x:v>
      </x:c>
      <x:c r="V58" s="34" t="str">
        <x:v>CAND-0E9003448A63C3</x:v>
      </x:c>
      <x:c r="W58" s="34" t="str">
        <x:v>P7</x:v>
      </x:c>
      <x:c r="X58" s="34" t="str">
        <x:v>PORT-F194BB679477</x:v>
      </x:c>
      <x:c r="Y58" s="34" t="n">
        <x:v>1000</x:v>
      </x:c>
      <x:c r="Z58" s="34" t="n">
        <x:v>124.925143</x:v>
      </x:c>
      <x:c r="AA58" s="34" t="n">
        <x:v>1.324203</x:v>
      </x:c>
      <x:c r="AB58" s="34" t="n">
        <x:v>131.48782</x:v>
      </x:c>
      <x:c r="AC58" s="34" t="n">
        <x:v>16410.005</x:v>
      </x:c>
      <x:c r="AD58" s="34" t="n">
        <x:v>124.802469</x:v>
      </x:c>
      <x:c r="AE58" s="40" t="b">
        <x:v>1</x:v>
      </x:c>
      <x:c r="AF58" s="40" t="b">
        <x:v>1</x:v>
      </x:c>
      <x:c r="AG58" s="34" t="str"/>
      <x:c r="AH58" s="34" t="n">
        <x:v>0</x:v>
      </x:c>
      <x:c r="AI58" s="34" t="str">
        <x:v>9.990856690045291e-05</x:v>
      </x:c>
      <x:c r="AJ58" s="40" t="b">
        <x:v>1</x:v>
      </x:c>
      <x:c r="AK58" s="40" t="b">
        <x:v>1</x:v>
      </x:c>
      <x:c r="AL58" s="40" t="b">
        <x:v>1</x:v>
      </x:c>
      <x:c r="AM58" s="40" t="b">
        <x:v>1</x:v>
      </x:c>
      <x:c r="AN58" s="34" t="str"/>
      <x:c r="AO58" s="34" t="n">
        <x:v>0</x:v>
      </x:c>
      <x:c r="AP58" s="34" t="n">
        <x:v>0</x:v>
      </x:c>
      <x:c r="AQ58" s="34" t="n">
        <x:v>0</x:v>
      </x:c>
      <x:c r="AR58" s="34" t="n">
        <x:v>1</x:v>
      </x:c>
      <x:c r="AS58" s="34" t="n">
        <x:v>1</x:v>
      </x:c>
      <x:c r="AT58" s="34" t="n">
        <x:v>0.3612199999999999</x:v>
      </x:c>
      <x:c r="AU58" s="34" t="n">
        <x:v>0.6</x:v>
      </x:c>
      <x:c r="AV58" s="34" t="n">
        <x:v>1.54</x:v>
      </x:c>
    </x:row>
    <x:row r="59">
      <x:c r="A59" s="34" t="str">
        <x:v>KOBE_STEEL_JP</x:v>
      </x:c>
      <x:c r="B59" s="34" t="str">
        <x:v>Kobe Steel</x:v>
      </x:c>
      <x:c r="C59" s="34" t="str">
        <x:v>ACCELERATED_15C</x:v>
      </x:c>
      <x:c r="D59" s="34" t="str">
        <x:v>P7</x:v>
      </x:c>
      <x:c r="E59" s="34" t="n">
        <x:v>2038</x:v>
      </x:c>
      <x:c r="F59" s="34" t="n">
        <x:v>3</x:v>
      </x:c>
      <x:c r="G59" s="34" t="n">
        <x:v>0.969</x:v>
      </x:c>
      <x:c r="H59" s="34" t="n">
        <x:v>5.6</x:v>
      </x:c>
      <x:c r="I59" s="34" t="n">
        <x:v>4.631</x:v>
      </x:c>
      <x:c r="J59" s="34" t="n">
        <x:v>17.304</x:v>
      </x:c>
      <x:c r="K59" s="34" t="n">
        <x:v>0.3223</x:v>
      </x:c>
      <x:c r="L59" s="34" t="n">
        <x:v>0.84</x:v>
      </x:c>
      <x:c r="M59" s="34" t="n">
        <x:v>0.5177</x:v>
      </x:c>
      <x:c r="N59" s="34" t="n">
        <x:v>38.369</x:v>
      </x:c>
      <x:c r="O59" s="34" t="n">
        <x:v>2.6976</x:v>
      </x:c>
      <x:c r="P59" s="34" t="n">
        <x:v>5.5</x:v>
      </x:c>
      <x:c r="Q59" s="34" t="n">
        <x:v>2.8024</x:v>
      </x:c>
      <x:c r="R59" s="34" t="n">
        <x:v>49.047</x:v>
      </x:c>
      <x:c r="S59" s="40" t="b">
        <x:v>1</x:v>
      </x:c>
      <x:c r="T59" s="34" t="str">
        <x:v>model_interpolation</x:v>
      </x:c>
      <x:c r="U59" s="34" t="str">
        <x:v>Linear interpolation from 2035 to 2040</x:v>
      </x:c>
      <x:c r="V59" s="34" t="str">
        <x:v>CAND-0E9003448A63C3</x:v>
      </x:c>
      <x:c r="W59" s="34" t="str">
        <x:v>P7</x:v>
      </x:c>
      <x:c r="X59" s="34" t="str">
        <x:v>PORT-F194BB679477</x:v>
      </x:c>
      <x:c r="Y59" s="34" t="n">
        <x:v>1000</x:v>
      </x:c>
      <x:c r="Z59" s="34" t="n">
        <x:v>124.925143</x:v>
      </x:c>
      <x:c r="AA59" s="34" t="n">
        <x:v>1.324203</x:v>
      </x:c>
      <x:c r="AB59" s="34" t="n">
        <x:v>131.48782</x:v>
      </x:c>
      <x:c r="AC59" s="34" t="n">
        <x:v>16410.005</x:v>
      </x:c>
      <x:c r="AD59" s="34" t="n">
        <x:v>124.802469</x:v>
      </x:c>
      <x:c r="AE59" s="40" t="b">
        <x:v>1</x:v>
      </x:c>
      <x:c r="AF59" s="40" t="b">
        <x:v>1</x:v>
      </x:c>
      <x:c r="AG59" s="34" t="str"/>
      <x:c r="AH59" s="34" t="n">
        <x:v>0</x:v>
      </x:c>
      <x:c r="AI59" s="34" t="str">
        <x:v>9.990856690045291e-05</x:v>
      </x:c>
      <x:c r="AJ59" s="40" t="b">
        <x:v>1</x:v>
      </x:c>
      <x:c r="AK59" s="40" t="b">
        <x:v>1</x:v>
      </x:c>
      <x:c r="AL59" s="40" t="b">
        <x:v>1</x:v>
      </x:c>
      <x:c r="AM59" s="40" t="b">
        <x:v>1</x:v>
      </x:c>
      <x:c r="AN59" s="34" t="str"/>
      <x:c r="AO59" s="34" t="n">
        <x:v>0</x:v>
      </x:c>
      <x:c r="AP59" s="34" t="n">
        <x:v>0</x:v>
      </x:c>
      <x:c r="AQ59" s="34" t="n">
        <x:v>0</x:v>
      </x:c>
      <x:c r="AR59" s="34" t="n">
        <x:v>1</x:v>
      </x:c>
      <x:c r="AS59" s="34" t="n">
        <x:v>1</x:v>
      </x:c>
      <x:c r="AT59" s="34" t="n">
        <x:v>0.3612199999999999</x:v>
      </x:c>
      <x:c r="AU59" s="34" t="n">
        <x:v>0.6</x:v>
      </x:c>
      <x:c r="AV59" s="34" t="n">
        <x:v>1.54</x:v>
      </x:c>
    </x:row>
    <x:row r="60">
      <x:c r="A60" s="34" t="str">
        <x:v>KOBE_STEEL_JP</x:v>
      </x:c>
      <x:c r="B60" s="34" t="str">
        <x:v>Kobe Steel</x:v>
      </x:c>
      <x:c r="C60" s="34" t="str">
        <x:v>ACCELERATED_15C</x:v>
      </x:c>
      <x:c r="D60" s="34" t="str">
        <x:v>P7</x:v>
      </x:c>
      <x:c r="E60" s="34" t="n">
        <x:v>2039</x:v>
      </x:c>
      <x:c r="F60" s="34" t="n">
        <x:v>3</x:v>
      </x:c>
      <x:c r="G60" s="34" t="n">
        <x:v>0.969</x:v>
      </x:c>
      <x:c r="H60" s="34" t="n">
        <x:v>5.8</x:v>
      </x:c>
      <x:c r="I60" s="34" t="n">
        <x:v>4.831</x:v>
      </x:c>
      <x:c r="J60" s="34" t="n">
        <x:v>16.707</x:v>
      </x:c>
      <x:c r="K60" s="34" t="n">
        <x:v>0.3223</x:v>
      </x:c>
      <x:c r="L60" s="34" t="n">
        <x:v>0.92</x:v>
      </x:c>
      <x:c r="M60" s="34" t="n">
        <x:v>0.5977</x:v>
      </x:c>
      <x:c r="N60" s="34" t="n">
        <x:v>35.033</x:v>
      </x:c>
      <x:c r="O60" s="34" t="n">
        <x:v>2.6976</x:v>
      </x:c>
      <x:c r="P60" s="34" t="n">
        <x:v>6</x:v>
      </x:c>
      <x:c r="Q60" s="34" t="n">
        <x:v>3.3024</x:v>
      </x:c>
      <x:c r="R60" s="34" t="n">
        <x:v>44.96</x:v>
      </x:c>
      <x:c r="S60" s="40" t="b">
        <x:v>1</x:v>
      </x:c>
      <x:c r="T60" s="34" t="str">
        <x:v>model_interpolation</x:v>
      </x:c>
      <x:c r="U60" s="34" t="str">
        <x:v>Linear interpolation from 2035 to 2040</x:v>
      </x:c>
      <x:c r="V60" s="34" t="str">
        <x:v>CAND-0E9003448A63C3</x:v>
      </x:c>
      <x:c r="W60" s="34" t="str">
        <x:v>P7</x:v>
      </x:c>
      <x:c r="X60" s="34" t="str">
        <x:v>PORT-F194BB679477</x:v>
      </x:c>
      <x:c r="Y60" s="34" t="n">
        <x:v>1000</x:v>
      </x:c>
      <x:c r="Z60" s="34" t="n">
        <x:v>124.925143</x:v>
      </x:c>
      <x:c r="AA60" s="34" t="n">
        <x:v>1.324203</x:v>
      </x:c>
      <x:c r="AB60" s="34" t="n">
        <x:v>131.48782</x:v>
      </x:c>
      <x:c r="AC60" s="34" t="n">
        <x:v>16410.005</x:v>
      </x:c>
      <x:c r="AD60" s="34" t="n">
        <x:v>124.802469</x:v>
      </x:c>
      <x:c r="AE60" s="40" t="b">
        <x:v>1</x:v>
      </x:c>
      <x:c r="AF60" s="40" t="b">
        <x:v>1</x:v>
      </x:c>
      <x:c r="AG60" s="34" t="str"/>
      <x:c r="AH60" s="34" t="n">
        <x:v>0</x:v>
      </x:c>
      <x:c r="AI60" s="34" t="str">
        <x:v>9.990856690045291e-05</x:v>
      </x:c>
      <x:c r="AJ60" s="40" t="b">
        <x:v>1</x:v>
      </x:c>
      <x:c r="AK60" s="40" t="b">
        <x:v>1</x:v>
      </x:c>
      <x:c r="AL60" s="40" t="b">
        <x:v>1</x:v>
      </x:c>
      <x:c r="AM60" s="40" t="b">
        <x:v>1</x:v>
      </x:c>
      <x:c r="AN60" s="34" t="str"/>
      <x:c r="AO60" s="34" t="n">
        <x:v>0</x:v>
      </x:c>
      <x:c r="AP60" s="34" t="n">
        <x:v>0</x:v>
      </x:c>
      <x:c r="AQ60" s="34" t="n">
        <x:v>0</x:v>
      </x:c>
      <x:c r="AR60" s="34" t="n">
        <x:v>1</x:v>
      </x:c>
      <x:c r="AS60" s="34" t="n">
        <x:v>1</x:v>
      </x:c>
      <x:c r="AT60" s="34" t="n">
        <x:v>0.3612199999999999</x:v>
      </x:c>
      <x:c r="AU60" s="34" t="n">
        <x:v>0.6</x:v>
      </x:c>
      <x:c r="AV60" s="34" t="n">
        <x:v>1.54</x:v>
      </x:c>
    </x:row>
    <x:row r="61">
      <x:c r="A61" s="34" t="str">
        <x:v>KOBE_STEEL_JP</x:v>
      </x:c>
      <x:c r="B61" s="34" t="str">
        <x:v>Kobe Steel</x:v>
      </x:c>
      <x:c r="C61" s="34" t="str">
        <x:v>ACCELERATED_15C</x:v>
      </x:c>
      <x:c r="D61" s="34" t="str">
        <x:v>P7</x:v>
      </x:c>
      <x:c r="E61" s="34" t="n">
        <x:v>2040</x:v>
      </x:c>
      <x:c r="F61" s="34" t="n">
        <x:v>3</x:v>
      </x:c>
      <x:c r="G61" s="34" t="n">
        <x:v>0.969</x:v>
      </x:c>
      <x:c r="H61" s="34" t="n">
        <x:v>6</x:v>
      </x:c>
      <x:c r="I61" s="34" t="n">
        <x:v>5.031</x:v>
      </x:c>
      <x:c r="J61" s="34" t="n">
        <x:v>16.15</x:v>
      </x:c>
      <x:c r="K61" s="34" t="n">
        <x:v>0.3223</x:v>
      </x:c>
      <x:c r="L61" s="34" t="n">
        <x:v>1</x:v>
      </x:c>
      <x:c r="M61" s="34" t="n">
        <x:v>0.6777</x:v>
      </x:c>
      <x:c r="N61" s="34" t="n">
        <x:v>32.23</x:v>
      </x:c>
      <x:c r="O61" s="34" t="n">
        <x:v>2.6976</x:v>
      </x:c>
      <x:c r="P61" s="34" t="n">
        <x:v>6.5</x:v>
      </x:c>
      <x:c r="Q61" s="34" t="n">
        <x:v>3.8024</x:v>
      </x:c>
      <x:c r="R61" s="34" t="n">
        <x:v>41.502</x:v>
      </x:c>
      <x:c r="S61" s="40" t="b">
        <x:v>1</x:v>
      </x:c>
      <x:c r="T61" s="34" t="str">
        <x:v>model_estimate</x:v>
      </x:c>
      <x:c r="U61" s="34" t="str">
        <x:v>Illustrative accelerated envelope; not GCAM or an official supply forecast</x:v>
      </x:c>
      <x:c r="V61" s="34" t="str">
        <x:v>CAND-0E9003448A63C3</x:v>
      </x:c>
      <x:c r="W61" s="34" t="str">
        <x:v>P7</x:v>
      </x:c>
      <x:c r="X61" s="34" t="str">
        <x:v>PORT-F194BB679477</x:v>
      </x:c>
      <x:c r="Y61" s="34" t="n">
        <x:v>1000</x:v>
      </x:c>
      <x:c r="Z61" s="34" t="n">
        <x:v>124.925143</x:v>
      </x:c>
      <x:c r="AA61" s="34" t="n">
        <x:v>1.324203</x:v>
      </x:c>
      <x:c r="AB61" s="34" t="n">
        <x:v>131.48782</x:v>
      </x:c>
      <x:c r="AC61" s="34" t="n">
        <x:v>16410.005</x:v>
      </x:c>
      <x:c r="AD61" s="34" t="n">
        <x:v>124.802469</x:v>
      </x:c>
      <x:c r="AE61" s="40" t="b">
        <x:v>1</x:v>
      </x:c>
      <x:c r="AF61" s="40" t="b">
        <x:v>1</x:v>
      </x:c>
      <x:c r="AG61" s="34" t="str"/>
      <x:c r="AH61" s="34" t="n">
        <x:v>0</x:v>
      </x:c>
      <x:c r="AI61" s="34" t="str">
        <x:v>9.990856690045291e-05</x:v>
      </x:c>
      <x:c r="AJ61" s="40" t="b">
        <x:v>1</x:v>
      </x:c>
      <x:c r="AK61" s="40" t="b">
        <x:v>1</x:v>
      </x:c>
      <x:c r="AL61" s="40" t="b">
        <x:v>1</x:v>
      </x:c>
      <x:c r="AM61" s="40" t="b">
        <x:v>1</x:v>
      </x:c>
      <x:c r="AN61" s="34" t="str"/>
      <x:c r="AO61" s="34" t="n">
        <x:v>0</x:v>
      </x:c>
      <x:c r="AP61" s="34" t="n">
        <x:v>0</x:v>
      </x:c>
      <x:c r="AQ61" s="34" t="n">
        <x:v>0</x:v>
      </x:c>
      <x:c r="AR61" s="34" t="n">
        <x:v>1</x:v>
      </x:c>
      <x:c r="AS61" s="34" t="n">
        <x:v>1</x:v>
      </x:c>
      <x:c r="AT61" s="34" t="n">
        <x:v>0.3612199999999999</x:v>
      </x:c>
      <x:c r="AU61" s="34" t="n">
        <x:v>0.6</x:v>
      </x:c>
      <x:c r="AV61" s="34" t="n">
        <x:v>1.54</x:v>
      </x:c>
    </x:row>
    <x:row r="62">
      <x:c r="A62" s="34" t="str">
        <x:v>NIPPON_STEEL_JP</x:v>
      </x:c>
      <x:c r="B62" s="34" t="str">
        <x:v>Nippon Steel</x:v>
      </x:c>
      <x:c r="C62" s="34" t="str">
        <x:v>DISCLOSED_PATH</x:v>
      </x:c>
      <x:c r="D62" s="34" t="str">
        <x:v>P1</x:v>
      </x:c>
      <x:c r="E62" s="34" t="n">
        <x:v>2026</x:v>
      </x:c>
      <x:c r="F62" s="34" t="n">
        <x:v>0</x:v>
      </x:c>
      <x:c r="G62" s="34" t="n">
        <x:v>0</x:v>
      </x:c>
      <x:c r="H62" s="34" t="n">
        <x:v>8</x:v>
      </x:c>
      <x:c r="I62" s="34" t="n">
        <x:v>8</x:v>
      </x:c>
      <x:c r="J62" s="34" t="n">
        <x:v>0</x:v>
      </x:c>
      <x:c r="K62" s="34" t="n">
        <x:v>0</x:v>
      </x:c>
      <x:c r="L62" s="34" t="n">
        <x:v>0</x:v>
      </x:c>
      <x:c r="M62" s="34" t="n">
        <x:v>0</x:v>
      </x:c>
      <x:c r="N62" s="34" t="n">
        <x:v>0</x:v>
      </x:c>
      <x:c r="O62" s="34" t="n">
        <x:v>0</x:v>
      </x:c>
      <x:c r="P62" s="34" t="n">
        <x:v>2</x:v>
      </x:c>
      <x:c r="Q62" s="34" t="n">
        <x:v>2</x:v>
      </x:c>
      <x:c r="R62" s="34" t="n">
        <x:v>0</x:v>
      </x:c>
      <x:c r="S62" s="40" t="b">
        <x:v>1</x:v>
      </x:c>
      <x:c r="T62" s="34" t="str">
        <x:v>model_interpolation</x:v>
      </x:c>
      <x:c r="U62" s="34" t="str">
        <x:v>Linear interpolation from 2026 to 2030</x:v>
      </x:c>
      <x:c r="V62" s="34" t="str">
        <x:v>CAND-18F73BD54A9F34</x:v>
      </x:c>
      <x:c r="W62" s="34" t="str">
        <x:v>P1</x:v>
      </x:c>
      <x:c r="X62" s="34" t="str">
        <x:v>PORT-6742936593A9</x:v>
      </x:c>
      <x:c r="Y62" s="34" t="n">
        <x:v>1000</x:v>
      </x:c>
      <x:c r="Z62" s="34" t="n">
        <x:v>85.949846</x:v>
      </x:c>
      <x:c r="AA62" s="34" t="n">
        <x:v>25.696198</x:v>
      </x:c>
      <x:c r="AB62" s="34" t="n">
        <x:v>454.753949</x:v>
      </x:c>
      <x:c r="AC62" s="34" t="n">
        <x:v>38138.549</x:v>
      </x:c>
      <x:c r="AD62" s="34" t="n">
        <x:v>83.866339</x:v>
      </x:c>
      <x:c r="AE62" s="40" t="b">
        <x:v>1</x:v>
      </x:c>
      <x:c r="AF62" s="40" t="b">
        <x:v>1</x:v>
      </x:c>
      <x:c r="AG62" s="34" t="str"/>
      <x:c r="AH62" s="34" t="n">
        <x:v>0</x:v>
      </x:c>
      <x:c r="AI62" s="34" t="str">
        <x:v>3.446647212967946e-06</x:v>
      </x:c>
      <x:c r="AJ62" s="40" t="b">
        <x:v>1</x:v>
      </x:c>
      <x:c r="AK62" s="40" t="b">
        <x:v>1</x:v>
      </x:c>
      <x:c r="AL62" s="40" t="b">
        <x:v>1</x:v>
      </x:c>
      <x:c r="AM62" s="40" t="b">
        <x:v>1</x:v>
      </x:c>
      <x:c r="AN62" s="34" t="str"/>
      <x:c r="AO62" s="34" t="n">
        <x:v>0</x:v>
      </x:c>
      <x:c r="AP62" s="34" t="n">
        <x:v>0</x:v>
      </x:c>
      <x:c r="AQ62" s="34" t="n">
        <x:v>0</x:v>
      </x:c>
      <x:c r="AR62" s="34" t="n">
        <x:v>2</x:v>
      </x:c>
      <x:c r="AS62" s="34" t="n">
        <x:v>2</x:v>
      </x:c>
      <x:c r="AT62" s="34" t="n">
        <x:v>0.47641018879999986</x:v>
      </x:c>
      <x:c r="AU62" s="34" t="n">
        <x:v>0.65</x:v>
      </x:c>
      <x:c r="AV62" s="34" t="n">
        <x:v>2.16</x:v>
      </x:c>
    </x:row>
    <x:row r="63">
      <x:c r="A63" s="34" t="str">
        <x:v>NIPPON_STEEL_JP</x:v>
      </x:c>
      <x:c r="B63" s="34" t="str">
        <x:v>Nippon Steel</x:v>
      </x:c>
      <x:c r="C63" s="34" t="str">
        <x:v>DISCLOSED_PATH</x:v>
      </x:c>
      <x:c r="D63" s="34" t="str">
        <x:v>P1</x:v>
      </x:c>
      <x:c r="E63" s="34" t="n">
        <x:v>2027</x:v>
      </x:c>
      <x:c r="F63" s="34" t="n">
        <x:v>0</x:v>
      </x:c>
      <x:c r="G63" s="34" t="n">
        <x:v>0</x:v>
      </x:c>
      <x:c r="H63" s="34" t="n">
        <x:v>9</x:v>
      </x:c>
      <x:c r="I63" s="34" t="n">
        <x:v>9</x:v>
      </x:c>
      <x:c r="J63" s="34" t="n">
        <x:v>0</x:v>
      </x:c>
      <x:c r="K63" s="34" t="n">
        <x:v>0</x:v>
      </x:c>
      <x:c r="L63" s="34" t="n">
        <x:v>0.15</x:v>
      </x:c>
      <x:c r="M63" s="34" t="n">
        <x:v>0.15</x:v>
      </x:c>
      <x:c r="N63" s="34" t="n">
        <x:v>0</x:v>
      </x:c>
      <x:c r="O63" s="34" t="n">
        <x:v>0</x:v>
      </x:c>
      <x:c r="P63" s="34" t="n">
        <x:v>3.25</x:v>
      </x:c>
      <x:c r="Q63" s="34" t="n">
        <x:v>3.25</x:v>
      </x:c>
      <x:c r="R63" s="34" t="n">
        <x:v>0</x:v>
      </x:c>
      <x:c r="S63" s="40" t="b">
        <x:v>1</x:v>
      </x:c>
      <x:c r="T63" s="34" t="str">
        <x:v>model_interpolation</x:v>
      </x:c>
      <x:c r="U63" s="34" t="str">
        <x:v>Linear interpolation from 2026 to 2030</x:v>
      </x:c>
      <x:c r="V63" s="34" t="str">
        <x:v>CAND-18F73BD54A9F34</x:v>
      </x:c>
      <x:c r="W63" s="34" t="str">
        <x:v>P1</x:v>
      </x:c>
      <x:c r="X63" s="34" t="str">
        <x:v>PORT-6742936593A9</x:v>
      </x:c>
      <x:c r="Y63" s="34" t="n">
        <x:v>1000</x:v>
      </x:c>
      <x:c r="Z63" s="34" t="n">
        <x:v>85.949846</x:v>
      </x:c>
      <x:c r="AA63" s="34" t="n">
        <x:v>25.696198</x:v>
      </x:c>
      <x:c r="AB63" s="34" t="n">
        <x:v>454.753949</x:v>
      </x:c>
      <x:c r="AC63" s="34" t="n">
        <x:v>38138.549</x:v>
      </x:c>
      <x:c r="AD63" s="34" t="n">
        <x:v>83.866339</x:v>
      </x:c>
      <x:c r="AE63" s="40" t="b">
        <x:v>1</x:v>
      </x:c>
      <x:c r="AF63" s="40" t="b">
        <x:v>1</x:v>
      </x:c>
      <x:c r="AG63" s="34" t="str"/>
      <x:c r="AH63" s="34" t="n">
        <x:v>0</x:v>
      </x:c>
      <x:c r="AI63" s="34" t="str">
        <x:v>3.446647212967946e-06</x:v>
      </x:c>
      <x:c r="AJ63" s="40" t="b">
        <x:v>1</x:v>
      </x:c>
      <x:c r="AK63" s="40" t="b">
        <x:v>1</x:v>
      </x:c>
      <x:c r="AL63" s="40" t="b">
        <x:v>1</x:v>
      </x:c>
      <x:c r="AM63" s="40" t="b">
        <x:v>1</x:v>
      </x:c>
      <x:c r="AN63" s="34" t="str"/>
      <x:c r="AO63" s="34" t="n">
        <x:v>0</x:v>
      </x:c>
      <x:c r="AP63" s="34" t="n">
        <x:v>0</x:v>
      </x:c>
      <x:c r="AQ63" s="34" t="n">
        <x:v>0</x:v>
      </x:c>
      <x:c r="AR63" s="34" t="n">
        <x:v>2</x:v>
      </x:c>
      <x:c r="AS63" s="34" t="n">
        <x:v>2</x:v>
      </x:c>
      <x:c r="AT63" s="34" t="n">
        <x:v>0.47641018879999986</x:v>
      </x:c>
      <x:c r="AU63" s="34" t="n">
        <x:v>0.65</x:v>
      </x:c>
      <x:c r="AV63" s="34" t="n">
        <x:v>2.16</x:v>
      </x:c>
    </x:row>
    <x:row r="64">
      <x:c r="A64" s="34" t="str">
        <x:v>NIPPON_STEEL_JP</x:v>
      </x:c>
      <x:c r="B64" s="34" t="str">
        <x:v>Nippon Steel</x:v>
      </x:c>
      <x:c r="C64" s="34" t="str">
        <x:v>DISCLOSED_PATH</x:v>
      </x:c>
      <x:c r="D64" s="34" t="str">
        <x:v>P1</x:v>
      </x:c>
      <x:c r="E64" s="34" t="n">
        <x:v>2028</x:v>
      </x:c>
      <x:c r="F64" s="34" t="n">
        <x:v>0</x:v>
      </x:c>
      <x:c r="G64" s="34" t="n">
        <x:v>0</x:v>
      </x:c>
      <x:c r="H64" s="34" t="n">
        <x:v>10</x:v>
      </x:c>
      <x:c r="I64" s="34" t="n">
        <x:v>10</x:v>
      </x:c>
      <x:c r="J64" s="34" t="n">
        <x:v>0</x:v>
      </x:c>
      <x:c r="K64" s="34" t="n">
        <x:v>0</x:v>
      </x:c>
      <x:c r="L64" s="34" t="n">
        <x:v>0.3</x:v>
      </x:c>
      <x:c r="M64" s="34" t="n">
        <x:v>0.3</x:v>
      </x:c>
      <x:c r="N64" s="34" t="n">
        <x:v>0</x:v>
      </x:c>
      <x:c r="O64" s="34" t="n">
        <x:v>0</x:v>
      </x:c>
      <x:c r="P64" s="34" t="n">
        <x:v>4.5</x:v>
      </x:c>
      <x:c r="Q64" s="34" t="n">
        <x:v>4.5</x:v>
      </x:c>
      <x:c r="R64" s="34" t="n">
        <x:v>0</x:v>
      </x:c>
      <x:c r="S64" s="40" t="b">
        <x:v>1</x:v>
      </x:c>
      <x:c r="T64" s="34" t="str">
        <x:v>model_interpolation</x:v>
      </x:c>
      <x:c r="U64" s="34" t="str">
        <x:v>Linear interpolation from 2026 to 2030</x:v>
      </x:c>
      <x:c r="V64" s="34" t="str">
        <x:v>CAND-18F73BD54A9F34</x:v>
      </x:c>
      <x:c r="W64" s="34" t="str">
        <x:v>P1</x:v>
      </x:c>
      <x:c r="X64" s="34" t="str">
        <x:v>PORT-6742936593A9</x:v>
      </x:c>
      <x:c r="Y64" s="34" t="n">
        <x:v>1000</x:v>
      </x:c>
      <x:c r="Z64" s="34" t="n">
        <x:v>85.949846</x:v>
      </x:c>
      <x:c r="AA64" s="34" t="n">
        <x:v>25.696198</x:v>
      </x:c>
      <x:c r="AB64" s="34" t="n">
        <x:v>454.753949</x:v>
      </x:c>
      <x:c r="AC64" s="34" t="n">
        <x:v>38138.549</x:v>
      </x:c>
      <x:c r="AD64" s="34" t="n">
        <x:v>83.866339</x:v>
      </x:c>
      <x:c r="AE64" s="40" t="b">
        <x:v>1</x:v>
      </x:c>
      <x:c r="AF64" s="40" t="b">
        <x:v>1</x:v>
      </x:c>
      <x:c r="AG64" s="34" t="str"/>
      <x:c r="AH64" s="34" t="n">
        <x:v>0</x:v>
      </x:c>
      <x:c r="AI64" s="34" t="str">
        <x:v>3.446647212967946e-06</x:v>
      </x:c>
      <x:c r="AJ64" s="40" t="b">
        <x:v>1</x:v>
      </x:c>
      <x:c r="AK64" s="40" t="b">
        <x:v>1</x:v>
      </x:c>
      <x:c r="AL64" s="40" t="b">
        <x:v>1</x:v>
      </x:c>
      <x:c r="AM64" s="40" t="b">
        <x:v>1</x:v>
      </x:c>
      <x:c r="AN64" s="34" t="str"/>
      <x:c r="AO64" s="34" t="n">
        <x:v>0</x:v>
      </x:c>
      <x:c r="AP64" s="34" t="n">
        <x:v>0</x:v>
      </x:c>
      <x:c r="AQ64" s="34" t="n">
        <x:v>0</x:v>
      </x:c>
      <x:c r="AR64" s="34" t="n">
        <x:v>2</x:v>
      </x:c>
      <x:c r="AS64" s="34" t="n">
        <x:v>2</x:v>
      </x:c>
      <x:c r="AT64" s="34" t="n">
        <x:v>0.47641018879999986</x:v>
      </x:c>
      <x:c r="AU64" s="34" t="n">
        <x:v>0.65</x:v>
      </x:c>
      <x:c r="AV64" s="34" t="n">
        <x:v>2.16</x:v>
      </x:c>
    </x:row>
    <x:row r="65">
      <x:c r="A65" s="34" t="str">
        <x:v>NIPPON_STEEL_JP</x:v>
      </x:c>
      <x:c r="B65" s="34" t="str">
        <x:v>Nippon Steel</x:v>
      </x:c>
      <x:c r="C65" s="34" t="str">
        <x:v>DISCLOSED_PATH</x:v>
      </x:c>
      <x:c r="D65" s="34" t="str">
        <x:v>P1</x:v>
      </x:c>
      <x:c r="E65" s="34" t="n">
        <x:v>2029</x:v>
      </x:c>
      <x:c r="F65" s="34" t="n">
        <x:v>1</x:v>
      </x:c>
      <x:c r="G65" s="34" t="n">
        <x:v>8.1</x:v>
      </x:c>
      <x:c r="H65" s="34" t="n">
        <x:v>11</x:v>
      </x:c>
      <x:c r="I65" s="34" t="n">
        <x:v>2.9</x:v>
      </x:c>
      <x:c r="J65" s="34" t="n">
        <x:v>73.636</x:v>
      </x:c>
      <x:c r="K65" s="34" t="n">
        <x:v>0</x:v>
      </x:c>
      <x:c r="L65" s="34" t="n">
        <x:v>0.44999999999999996</x:v>
      </x:c>
      <x:c r="M65" s="34" t="n">
        <x:v>0.45</x:v>
      </x:c>
      <x:c r="N65" s="34" t="n">
        <x:v>0</x:v>
      </x:c>
      <x:c r="O65" s="34" t="n">
        <x:v>5.04</x:v>
      </x:c>
      <x:c r="P65" s="34" t="n">
        <x:v>5.75</x:v>
      </x:c>
      <x:c r="Q65" s="34" t="n">
        <x:v>0.71</x:v>
      </x:c>
      <x:c r="R65" s="34" t="n">
        <x:v>87.652</x:v>
      </x:c>
      <x:c r="S65" s="40" t="b">
        <x:v>1</x:v>
      </x:c>
      <x:c r="T65" s="34" t="str">
        <x:v>model_interpolation</x:v>
      </x:c>
      <x:c r="U65" s="34" t="str">
        <x:v>Linear interpolation from 2026 to 2030</x:v>
      </x:c>
      <x:c r="V65" s="34" t="str">
        <x:v>CAND-18F73BD54A9F34</x:v>
      </x:c>
      <x:c r="W65" s="34" t="str">
        <x:v>P1</x:v>
      </x:c>
      <x:c r="X65" s="34" t="str">
        <x:v>PORT-6742936593A9</x:v>
      </x:c>
      <x:c r="Y65" s="34" t="n">
        <x:v>1000</x:v>
      </x:c>
      <x:c r="Z65" s="34" t="n">
        <x:v>85.949846</x:v>
      </x:c>
      <x:c r="AA65" s="34" t="n">
        <x:v>25.696198</x:v>
      </x:c>
      <x:c r="AB65" s="34" t="n">
        <x:v>454.753949</x:v>
      </x:c>
      <x:c r="AC65" s="34" t="n">
        <x:v>38138.549</x:v>
      </x:c>
      <x:c r="AD65" s="34" t="n">
        <x:v>83.866339</x:v>
      </x:c>
      <x:c r="AE65" s="40" t="b">
        <x:v>1</x:v>
      </x:c>
      <x:c r="AF65" s="40" t="b">
        <x:v>1</x:v>
      </x:c>
      <x:c r="AG65" s="34" t="str"/>
      <x:c r="AH65" s="34" t="n">
        <x:v>0</x:v>
      </x:c>
      <x:c r="AI65" s="34" t="str">
        <x:v>3.446647212967946e-06</x:v>
      </x:c>
      <x:c r="AJ65" s="40" t="b">
        <x:v>1</x:v>
      </x:c>
      <x:c r="AK65" s="40" t="b">
        <x:v>1</x:v>
      </x:c>
      <x:c r="AL65" s="40" t="b">
        <x:v>1</x:v>
      </x:c>
      <x:c r="AM65" s="40" t="b">
        <x:v>1</x:v>
      </x:c>
      <x:c r="AN65" s="34" t="str"/>
      <x:c r="AO65" s="34" t="n">
        <x:v>0</x:v>
      </x:c>
      <x:c r="AP65" s="34" t="n">
        <x:v>0</x:v>
      </x:c>
      <x:c r="AQ65" s="34" t="n">
        <x:v>0</x:v>
      </x:c>
      <x:c r="AR65" s="34" t="n">
        <x:v>2</x:v>
      </x:c>
      <x:c r="AS65" s="34" t="n">
        <x:v>2</x:v>
      </x:c>
      <x:c r="AT65" s="34" t="n">
        <x:v>0.47641018879999986</x:v>
      </x:c>
      <x:c r="AU65" s="34" t="n">
        <x:v>0.65</x:v>
      </x:c>
      <x:c r="AV65" s="34" t="n">
        <x:v>2.16</x:v>
      </x:c>
    </x:row>
    <x:row r="66">
      <x:c r="A66" s="34" t="str">
        <x:v>NIPPON_STEEL_JP</x:v>
      </x:c>
      <x:c r="B66" s="34" t="str">
        <x:v>Nippon Steel</x:v>
      </x:c>
      <x:c r="C66" s="34" t="str">
        <x:v>DISCLOSED_PATH</x:v>
      </x:c>
      <x:c r="D66" s="34" t="str">
        <x:v>P1</x:v>
      </x:c>
      <x:c r="E66" s="34" t="n">
        <x:v>2030</x:v>
      </x:c>
      <x:c r="F66" s="34" t="n">
        <x:v>1</x:v>
      </x:c>
      <x:c r="G66" s="34" t="n">
        <x:v>8.1</x:v>
      </x:c>
      <x:c r="H66" s="34" t="n">
        <x:v>12</x:v>
      </x:c>
      <x:c r="I66" s="34" t="n">
        <x:v>3.9</x:v>
      </x:c>
      <x:c r="J66" s="34" t="n">
        <x:v>67.5</x:v>
      </x:c>
      <x:c r="K66" s="34" t="n">
        <x:v>0</x:v>
      </x:c>
      <x:c r="L66" s="34" t="n">
        <x:v>0.6</x:v>
      </x:c>
      <x:c r="M66" s="34" t="n">
        <x:v>0.6</x:v>
      </x:c>
      <x:c r="N66" s="34" t="n">
        <x:v>0</x:v>
      </x:c>
      <x:c r="O66" s="34" t="n">
        <x:v>5.04</x:v>
      </x:c>
      <x:c r="P66" s="34" t="n">
        <x:v>7</x:v>
      </x:c>
      <x:c r="Q66" s="34" t="n">
        <x:v>1.96</x:v>
      </x:c>
      <x:c r="R66" s="34" t="n">
        <x:v>72</x:v>
      </x:c>
      <x:c r="S66" s="40" t="b">
        <x:v>1</x:v>
      </x:c>
      <x:c r="T66" s="34" t="str">
        <x:v>model_interpolation</x:v>
      </x:c>
      <x:c r="U66" s="34" t="str">
        <x:v>Linear interpolation from 2030 to 2035</x:v>
      </x:c>
      <x:c r="V66" s="34" t="str">
        <x:v>CAND-18F73BD54A9F34</x:v>
      </x:c>
      <x:c r="W66" s="34" t="str">
        <x:v>P1</x:v>
      </x:c>
      <x:c r="X66" s="34" t="str">
        <x:v>PORT-6742936593A9</x:v>
      </x:c>
      <x:c r="Y66" s="34" t="n">
        <x:v>1000</x:v>
      </x:c>
      <x:c r="Z66" s="34" t="n">
        <x:v>85.949846</x:v>
      </x:c>
      <x:c r="AA66" s="34" t="n">
        <x:v>25.696198</x:v>
      </x:c>
      <x:c r="AB66" s="34" t="n">
        <x:v>454.753949</x:v>
      </x:c>
      <x:c r="AC66" s="34" t="n">
        <x:v>38138.549</x:v>
      </x:c>
      <x:c r="AD66" s="34" t="n">
        <x:v>83.866339</x:v>
      </x:c>
      <x:c r="AE66" s="40" t="b">
        <x:v>1</x:v>
      </x:c>
      <x:c r="AF66" s="40" t="b">
        <x:v>1</x:v>
      </x:c>
      <x:c r="AG66" s="34" t="str"/>
      <x:c r="AH66" s="34" t="n">
        <x:v>0</x:v>
      </x:c>
      <x:c r="AI66" s="34" t="str">
        <x:v>3.446647212967946e-06</x:v>
      </x:c>
      <x:c r="AJ66" s="40" t="b">
        <x:v>1</x:v>
      </x:c>
      <x:c r="AK66" s="40" t="b">
        <x:v>1</x:v>
      </x:c>
      <x:c r="AL66" s="40" t="b">
        <x:v>1</x:v>
      </x:c>
      <x:c r="AM66" s="40" t="b">
        <x:v>1</x:v>
      </x:c>
      <x:c r="AN66" s="34" t="str"/>
      <x:c r="AO66" s="34" t="n">
        <x:v>0</x:v>
      </x:c>
      <x:c r="AP66" s="34" t="n">
        <x:v>0</x:v>
      </x:c>
      <x:c r="AQ66" s="34" t="n">
        <x:v>0</x:v>
      </x:c>
      <x:c r="AR66" s="34" t="n">
        <x:v>2</x:v>
      </x:c>
      <x:c r="AS66" s="34" t="n">
        <x:v>2</x:v>
      </x:c>
      <x:c r="AT66" s="34" t="n">
        <x:v>0.47641018879999986</x:v>
      </x:c>
      <x:c r="AU66" s="34" t="n">
        <x:v>0.65</x:v>
      </x:c>
      <x:c r="AV66" s="34" t="n">
        <x:v>2.16</x:v>
      </x:c>
    </x:row>
    <x:row r="67">
      <x:c r="A67" s="34" t="str">
        <x:v>NIPPON_STEEL_JP</x:v>
      </x:c>
      <x:c r="B67" s="34" t="str">
        <x:v>Nippon Steel</x:v>
      </x:c>
      <x:c r="C67" s="34" t="str">
        <x:v>DISCLOSED_PATH</x:v>
      </x:c>
      <x:c r="D67" s="34" t="str">
        <x:v>P1</x:v>
      </x:c>
      <x:c r="E67" s="34" t="n">
        <x:v>2031</x:v>
      </x:c>
      <x:c r="F67" s="34" t="n">
        <x:v>1</x:v>
      </x:c>
      <x:c r="G67" s="34" t="n">
        <x:v>8.1</x:v>
      </x:c>
      <x:c r="H67" s="34" t="n">
        <x:v>13.2</x:v>
      </x:c>
      <x:c r="I67" s="34" t="n">
        <x:v>5.1</x:v>
      </x:c>
      <x:c r="J67" s="34" t="n">
        <x:v>61.364</x:v>
      </x:c>
      <x:c r="K67" s="34" t="n">
        <x:v>0</x:v>
      </x:c>
      <x:c r="L67" s="34" t="n">
        <x:v>0.8400000000000001</x:v>
      </x:c>
      <x:c r="M67" s="34" t="n">
        <x:v>0.84</x:v>
      </x:c>
      <x:c r="N67" s="34" t="n">
        <x:v>0</x:v>
      </x:c>
      <x:c r="O67" s="34" t="n">
        <x:v>5.04</x:v>
      </x:c>
      <x:c r="P67" s="34" t="n">
        <x:v>8.6</x:v>
      </x:c>
      <x:c r="Q67" s="34" t="n">
        <x:v>3.56</x:v>
      </x:c>
      <x:c r="R67" s="34" t="n">
        <x:v>58.605</x:v>
      </x:c>
      <x:c r="S67" s="40" t="b">
        <x:v>1</x:v>
      </x:c>
      <x:c r="T67" s="34" t="str">
        <x:v>model_interpolation</x:v>
      </x:c>
      <x:c r="U67" s="34" t="str">
        <x:v>Linear interpolation from 2030 to 2035</x:v>
      </x:c>
      <x:c r="V67" s="34" t="str">
        <x:v>CAND-18F73BD54A9F34</x:v>
      </x:c>
      <x:c r="W67" s="34" t="str">
        <x:v>P1</x:v>
      </x:c>
      <x:c r="X67" s="34" t="str">
        <x:v>PORT-6742936593A9</x:v>
      </x:c>
      <x:c r="Y67" s="34" t="n">
        <x:v>1000</x:v>
      </x:c>
      <x:c r="Z67" s="34" t="n">
        <x:v>85.949846</x:v>
      </x:c>
      <x:c r="AA67" s="34" t="n">
        <x:v>25.696198</x:v>
      </x:c>
      <x:c r="AB67" s="34" t="n">
        <x:v>454.753949</x:v>
      </x:c>
      <x:c r="AC67" s="34" t="n">
        <x:v>38138.549</x:v>
      </x:c>
      <x:c r="AD67" s="34" t="n">
        <x:v>83.866339</x:v>
      </x:c>
      <x:c r="AE67" s="40" t="b">
        <x:v>1</x:v>
      </x:c>
      <x:c r="AF67" s="40" t="b">
        <x:v>1</x:v>
      </x:c>
      <x:c r="AG67" s="34" t="str"/>
      <x:c r="AH67" s="34" t="n">
        <x:v>0</x:v>
      </x:c>
      <x:c r="AI67" s="34" t="str">
        <x:v>3.446647212967946e-06</x:v>
      </x:c>
      <x:c r="AJ67" s="40" t="b">
        <x:v>1</x:v>
      </x:c>
      <x:c r="AK67" s="40" t="b">
        <x:v>1</x:v>
      </x:c>
      <x:c r="AL67" s="40" t="b">
        <x:v>1</x:v>
      </x:c>
      <x:c r="AM67" s="40" t="b">
        <x:v>1</x:v>
      </x:c>
      <x:c r="AN67" s="34" t="str"/>
      <x:c r="AO67" s="34" t="n">
        <x:v>0</x:v>
      </x:c>
      <x:c r="AP67" s="34" t="n">
        <x:v>0</x:v>
      </x:c>
      <x:c r="AQ67" s="34" t="n">
        <x:v>0</x:v>
      </x:c>
      <x:c r="AR67" s="34" t="n">
        <x:v>2</x:v>
      </x:c>
      <x:c r="AS67" s="34" t="n">
        <x:v>2</x:v>
      </x:c>
      <x:c r="AT67" s="34" t="n">
        <x:v>0.47641018879999986</x:v>
      </x:c>
      <x:c r="AU67" s="34" t="n">
        <x:v>0.65</x:v>
      </x:c>
      <x:c r="AV67" s="34" t="n">
        <x:v>2.16</x:v>
      </x:c>
    </x:row>
    <x:row r="68">
      <x:c r="A68" s="34" t="str">
        <x:v>NIPPON_STEEL_JP</x:v>
      </x:c>
      <x:c r="B68" s="34" t="str">
        <x:v>Nippon Steel</x:v>
      </x:c>
      <x:c r="C68" s="34" t="str">
        <x:v>DISCLOSED_PATH</x:v>
      </x:c>
      <x:c r="D68" s="34" t="str">
        <x:v>P1</x:v>
      </x:c>
      <x:c r="E68" s="34" t="n">
        <x:v>2032</x:v>
      </x:c>
      <x:c r="F68" s="34" t="n">
        <x:v>2</x:v>
      </x:c>
      <x:c r="G68" s="34" t="n">
        <x:v>13.679998</x:v>
      </x:c>
      <x:c r="H68" s="34" t="n">
        <x:v>14.4</x:v>
      </x:c>
      <x:c r="I68" s="34" t="n">
        <x:v>0.720002</x:v>
      </x:c>
      <x:c r="J68" s="34" t="n">
        <x:v>95</x:v>
      </x:c>
      <x:c r="K68" s="34" t="n">
        <x:v>0</x:v>
      </x:c>
      <x:c r="L68" s="34" t="n">
        <x:v>1.08</x:v>
      </x:c>
      <x:c r="M68" s="34" t="n">
        <x:v>1.08</x:v>
      </x:c>
      <x:c r="N68" s="34" t="n">
        <x:v>0</x:v>
      </x:c>
      <x:c r="O68" s="34" t="n">
        <x:v>8.511999</x:v>
      </x:c>
      <x:c r="P68" s="34" t="n">
        <x:v>10.2</x:v>
      </x:c>
      <x:c r="Q68" s="34" t="n">
        <x:v>1.688001</x:v>
      </x:c>
      <x:c r="R68" s="34" t="n">
        <x:v>83.451</x:v>
      </x:c>
      <x:c r="S68" s="40" t="b">
        <x:v>1</x:v>
      </x:c>
      <x:c r="T68" s="34" t="str">
        <x:v>model_interpolation</x:v>
      </x:c>
      <x:c r="U68" s="34" t="str">
        <x:v>Linear interpolation from 2030 to 2035</x:v>
      </x:c>
      <x:c r="V68" s="34" t="str">
        <x:v>CAND-18F73BD54A9F34</x:v>
      </x:c>
      <x:c r="W68" s="34" t="str">
        <x:v>P1</x:v>
      </x:c>
      <x:c r="X68" s="34" t="str">
        <x:v>PORT-6742936593A9</x:v>
      </x:c>
      <x:c r="Y68" s="34" t="n">
        <x:v>1000</x:v>
      </x:c>
      <x:c r="Z68" s="34" t="n">
        <x:v>85.949846</x:v>
      </x:c>
      <x:c r="AA68" s="34" t="n">
        <x:v>25.696198</x:v>
      </x:c>
      <x:c r="AB68" s="34" t="n">
        <x:v>454.753949</x:v>
      </x:c>
      <x:c r="AC68" s="34" t="n">
        <x:v>38138.549</x:v>
      </x:c>
      <x:c r="AD68" s="34" t="n">
        <x:v>83.866339</x:v>
      </x:c>
      <x:c r="AE68" s="40" t="b">
        <x:v>1</x:v>
      </x:c>
      <x:c r="AF68" s="40" t="b">
        <x:v>1</x:v>
      </x:c>
      <x:c r="AG68" s="34" t="str"/>
      <x:c r="AH68" s="34" t="n">
        <x:v>0</x:v>
      </x:c>
      <x:c r="AI68" s="34" t="str">
        <x:v>3.446647212967946e-06</x:v>
      </x:c>
      <x:c r="AJ68" s="40" t="b">
        <x:v>1</x:v>
      </x:c>
      <x:c r="AK68" s="40" t="b">
        <x:v>1</x:v>
      </x:c>
      <x:c r="AL68" s="40" t="b">
        <x:v>1</x:v>
      </x:c>
      <x:c r="AM68" s="40" t="b">
        <x:v>1</x:v>
      </x:c>
      <x:c r="AN68" s="34" t="str"/>
      <x:c r="AO68" s="34" t="n">
        <x:v>0</x:v>
      </x:c>
      <x:c r="AP68" s="34" t="n">
        <x:v>0</x:v>
      </x:c>
      <x:c r="AQ68" s="34" t="n">
        <x:v>0</x:v>
      </x:c>
      <x:c r="AR68" s="34" t="n">
        <x:v>2</x:v>
      </x:c>
      <x:c r="AS68" s="34" t="n">
        <x:v>2</x:v>
      </x:c>
      <x:c r="AT68" s="34" t="n">
        <x:v>0.47641018879999986</x:v>
      </x:c>
      <x:c r="AU68" s="34" t="n">
        <x:v>0.65</x:v>
      </x:c>
      <x:c r="AV68" s="34" t="n">
        <x:v>2.16</x:v>
      </x:c>
    </x:row>
    <x:row r="69">
      <x:c r="A69" s="34" t="str">
        <x:v>NIPPON_STEEL_JP</x:v>
      </x:c>
      <x:c r="B69" s="34" t="str">
        <x:v>Nippon Steel</x:v>
      </x:c>
      <x:c r="C69" s="34" t="str">
        <x:v>DISCLOSED_PATH</x:v>
      </x:c>
      <x:c r="D69" s="34" t="str">
        <x:v>P1</x:v>
      </x:c>
      <x:c r="E69" s="34" t="n">
        <x:v>2033</x:v>
      </x:c>
      <x:c r="F69" s="34" t="n">
        <x:v>2</x:v>
      </x:c>
      <x:c r="G69" s="34" t="n">
        <x:v>13.679998</x:v>
      </x:c>
      <x:c r="H69" s="34" t="n">
        <x:v>15.6</x:v>
      </x:c>
      <x:c r="I69" s="34" t="n">
        <x:v>1.920002</x:v>
      </x:c>
      <x:c r="J69" s="34" t="n">
        <x:v>87.692</x:v>
      </x:c>
      <x:c r="K69" s="34" t="n">
        <x:v>0</x:v>
      </x:c>
      <x:c r="L69" s="34" t="n">
        <x:v>1.32</x:v>
      </x:c>
      <x:c r="M69" s="34" t="n">
        <x:v>1.32</x:v>
      </x:c>
      <x:c r="N69" s="34" t="n">
        <x:v>0</x:v>
      </x:c>
      <x:c r="O69" s="34" t="n">
        <x:v>8.511999</x:v>
      </x:c>
      <x:c r="P69" s="34" t="n">
        <x:v>11.8</x:v>
      </x:c>
      <x:c r="Q69" s="34" t="n">
        <x:v>3.288001</x:v>
      </x:c>
      <x:c r="R69" s="34" t="n">
        <x:v>72.136</x:v>
      </x:c>
      <x:c r="S69" s="40" t="b">
        <x:v>1</x:v>
      </x:c>
      <x:c r="T69" s="34" t="str">
        <x:v>model_interpolation</x:v>
      </x:c>
      <x:c r="U69" s="34" t="str">
        <x:v>Linear interpolation from 2030 to 2035</x:v>
      </x:c>
      <x:c r="V69" s="34" t="str">
        <x:v>CAND-18F73BD54A9F34</x:v>
      </x:c>
      <x:c r="W69" s="34" t="str">
        <x:v>P1</x:v>
      </x:c>
      <x:c r="X69" s="34" t="str">
        <x:v>PORT-6742936593A9</x:v>
      </x:c>
      <x:c r="Y69" s="34" t="n">
        <x:v>1000</x:v>
      </x:c>
      <x:c r="Z69" s="34" t="n">
        <x:v>85.949846</x:v>
      </x:c>
      <x:c r="AA69" s="34" t="n">
        <x:v>25.696198</x:v>
      </x:c>
      <x:c r="AB69" s="34" t="n">
        <x:v>454.753949</x:v>
      </x:c>
      <x:c r="AC69" s="34" t="n">
        <x:v>38138.549</x:v>
      </x:c>
      <x:c r="AD69" s="34" t="n">
        <x:v>83.866339</x:v>
      </x:c>
      <x:c r="AE69" s="40" t="b">
        <x:v>1</x:v>
      </x:c>
      <x:c r="AF69" s="40" t="b">
        <x:v>1</x:v>
      </x:c>
      <x:c r="AG69" s="34" t="str"/>
      <x:c r="AH69" s="34" t="n">
        <x:v>0</x:v>
      </x:c>
      <x:c r="AI69" s="34" t="str">
        <x:v>3.446647212967946e-06</x:v>
      </x:c>
      <x:c r="AJ69" s="40" t="b">
        <x:v>1</x:v>
      </x:c>
      <x:c r="AK69" s="40" t="b">
        <x:v>1</x:v>
      </x:c>
      <x:c r="AL69" s="40" t="b">
        <x:v>1</x:v>
      </x:c>
      <x:c r="AM69" s="40" t="b">
        <x:v>1</x:v>
      </x:c>
      <x:c r="AN69" s="34" t="str"/>
      <x:c r="AO69" s="34" t="n">
        <x:v>0</x:v>
      </x:c>
      <x:c r="AP69" s="34" t="n">
        <x:v>0</x:v>
      </x:c>
      <x:c r="AQ69" s="34" t="n">
        <x:v>0</x:v>
      </x:c>
      <x:c r="AR69" s="34" t="n">
        <x:v>2</x:v>
      </x:c>
      <x:c r="AS69" s="34" t="n">
        <x:v>2</x:v>
      </x:c>
      <x:c r="AT69" s="34" t="n">
        <x:v>0.47641018879999986</x:v>
      </x:c>
      <x:c r="AU69" s="34" t="n">
        <x:v>0.65</x:v>
      </x:c>
      <x:c r="AV69" s="34" t="n">
        <x:v>2.16</x:v>
      </x:c>
    </x:row>
    <x:row r="70">
      <x:c r="A70" s="34" t="str">
        <x:v>NIPPON_STEEL_JP</x:v>
      </x:c>
      <x:c r="B70" s="34" t="str">
        <x:v>Nippon Steel</x:v>
      </x:c>
      <x:c r="C70" s="34" t="str">
        <x:v>DISCLOSED_PATH</x:v>
      </x:c>
      <x:c r="D70" s="34" t="str">
        <x:v>P1</x:v>
      </x:c>
      <x:c r="E70" s="34" t="n">
        <x:v>2034</x:v>
      </x:c>
      <x:c r="F70" s="34" t="n">
        <x:v>3</x:v>
      </x:c>
      <x:c r="G70" s="34" t="n">
        <x:v>14.759998</x:v>
      </x:c>
      <x:c r="H70" s="34" t="n">
        <x:v>16.8</x:v>
      </x:c>
      <x:c r="I70" s="34" t="n">
        <x:v>2.040002</x:v>
      </x:c>
      <x:c r="J70" s="34" t="n">
        <x:v>87.857</x:v>
      </x:c>
      <x:c r="K70" s="34" t="n">
        <x:v>0.396</x:v>
      </x:c>
      <x:c r="L70" s="34" t="n">
        <x:v>1.56</x:v>
      </x:c>
      <x:c r="M70" s="34" t="n">
        <x:v>1.164</x:v>
      </x:c>
      <x:c r="N70" s="34" t="n">
        <x:v>25.385</x:v>
      </x:c>
      <x:c r="O70" s="34" t="n">
        <x:v>11.823999</x:v>
      </x:c>
      <x:c r="P70" s="34" t="n">
        <x:v>13.4</x:v>
      </x:c>
      <x:c r="Q70" s="34" t="n">
        <x:v>1.576001</x:v>
      </x:c>
      <x:c r="R70" s="34" t="n">
        <x:v>88.239</x:v>
      </x:c>
      <x:c r="S70" s="40" t="b">
        <x:v>1</x:v>
      </x:c>
      <x:c r="T70" s="34" t="str">
        <x:v>model_interpolation</x:v>
      </x:c>
      <x:c r="U70" s="34" t="str">
        <x:v>Linear interpolation from 2030 to 2035</x:v>
      </x:c>
      <x:c r="V70" s="34" t="str">
        <x:v>CAND-18F73BD54A9F34</x:v>
      </x:c>
      <x:c r="W70" s="34" t="str">
        <x:v>P1</x:v>
      </x:c>
      <x:c r="X70" s="34" t="str">
        <x:v>PORT-6742936593A9</x:v>
      </x:c>
      <x:c r="Y70" s="34" t="n">
        <x:v>1000</x:v>
      </x:c>
      <x:c r="Z70" s="34" t="n">
        <x:v>85.949846</x:v>
      </x:c>
      <x:c r="AA70" s="34" t="n">
        <x:v>25.696198</x:v>
      </x:c>
      <x:c r="AB70" s="34" t="n">
        <x:v>454.753949</x:v>
      </x:c>
      <x:c r="AC70" s="34" t="n">
        <x:v>38138.549</x:v>
      </x:c>
      <x:c r="AD70" s="34" t="n">
        <x:v>83.866339</x:v>
      </x:c>
      <x:c r="AE70" s="40" t="b">
        <x:v>1</x:v>
      </x:c>
      <x:c r="AF70" s="40" t="b">
        <x:v>1</x:v>
      </x:c>
      <x:c r="AG70" s="34" t="str"/>
      <x:c r="AH70" s="34" t="n">
        <x:v>0</x:v>
      </x:c>
      <x:c r="AI70" s="34" t="str">
        <x:v>3.446647212967946e-06</x:v>
      </x:c>
      <x:c r="AJ70" s="40" t="b">
        <x:v>1</x:v>
      </x:c>
      <x:c r="AK70" s="40" t="b">
        <x:v>1</x:v>
      </x:c>
      <x:c r="AL70" s="40" t="b">
        <x:v>1</x:v>
      </x:c>
      <x:c r="AM70" s="40" t="b">
        <x:v>1</x:v>
      </x:c>
      <x:c r="AN70" s="34" t="str"/>
      <x:c r="AO70" s="34" t="n">
        <x:v>0</x:v>
      </x:c>
      <x:c r="AP70" s="34" t="n">
        <x:v>0</x:v>
      </x:c>
      <x:c r="AQ70" s="34" t="n">
        <x:v>0</x:v>
      </x:c>
      <x:c r="AR70" s="34" t="n">
        <x:v>2</x:v>
      </x:c>
      <x:c r="AS70" s="34" t="n">
        <x:v>2</x:v>
      </x:c>
      <x:c r="AT70" s="34" t="n">
        <x:v>0.47641018879999986</x:v>
      </x:c>
      <x:c r="AU70" s="34" t="n">
        <x:v>0.65</x:v>
      </x:c>
      <x:c r="AV70" s="34" t="n">
        <x:v>2.16</x:v>
      </x:c>
    </x:row>
    <x:row r="71">
      <x:c r="A71" s="34" t="str">
        <x:v>NIPPON_STEEL_JP</x:v>
      </x:c>
      <x:c r="B71" s="34" t="str">
        <x:v>Nippon Steel</x:v>
      </x:c>
      <x:c r="C71" s="34" t="str">
        <x:v>DISCLOSED_PATH</x:v>
      </x:c>
      <x:c r="D71" s="34" t="str">
        <x:v>P1</x:v>
      </x:c>
      <x:c r="E71" s="34" t="n">
        <x:v>2035</x:v>
      </x:c>
      <x:c r="F71" s="34" t="n">
        <x:v>3</x:v>
      </x:c>
      <x:c r="G71" s="34" t="n">
        <x:v>14.759998</x:v>
      </x:c>
      <x:c r="H71" s="34" t="n">
        <x:v>18</x:v>
      </x:c>
      <x:c r="I71" s="34" t="n">
        <x:v>3.240002</x:v>
      </x:c>
      <x:c r="J71" s="34" t="n">
        <x:v>82</x:v>
      </x:c>
      <x:c r="K71" s="34" t="n">
        <x:v>0.396</x:v>
      </x:c>
      <x:c r="L71" s="34" t="n">
        <x:v>1.8</x:v>
      </x:c>
      <x:c r="M71" s="34" t="n">
        <x:v>1.404</x:v>
      </x:c>
      <x:c r="N71" s="34" t="n">
        <x:v>22</x:v>
      </x:c>
      <x:c r="O71" s="34" t="n">
        <x:v>11.823999</x:v>
      </x:c>
      <x:c r="P71" s="34" t="n">
        <x:v>15</x:v>
      </x:c>
      <x:c r="Q71" s="34" t="n">
        <x:v>3.176001</x:v>
      </x:c>
      <x:c r="R71" s="34" t="n">
        <x:v>78.827</x:v>
      </x:c>
      <x:c r="S71" s="40" t="b">
        <x:v>1</x:v>
      </x:c>
      <x:c r="T71" s="34" t="str">
        <x:v>model_interpolation</x:v>
      </x:c>
      <x:c r="U71" s="34" t="str">
        <x:v>Linear interpolation from 2035 to 2040</x:v>
      </x:c>
      <x:c r="V71" s="34" t="str">
        <x:v>CAND-18F73BD54A9F34</x:v>
      </x:c>
      <x:c r="W71" s="34" t="str">
        <x:v>P1</x:v>
      </x:c>
      <x:c r="X71" s="34" t="str">
        <x:v>PORT-6742936593A9</x:v>
      </x:c>
      <x:c r="Y71" s="34" t="n">
        <x:v>1000</x:v>
      </x:c>
      <x:c r="Z71" s="34" t="n">
        <x:v>85.949846</x:v>
      </x:c>
      <x:c r="AA71" s="34" t="n">
        <x:v>25.696198</x:v>
      </x:c>
      <x:c r="AB71" s="34" t="n">
        <x:v>454.753949</x:v>
      </x:c>
      <x:c r="AC71" s="34" t="n">
        <x:v>38138.549</x:v>
      </x:c>
      <x:c r="AD71" s="34" t="n">
        <x:v>83.866339</x:v>
      </x:c>
      <x:c r="AE71" s="40" t="b">
        <x:v>1</x:v>
      </x:c>
      <x:c r="AF71" s="40" t="b">
        <x:v>1</x:v>
      </x:c>
      <x:c r="AG71" s="34" t="str"/>
      <x:c r="AH71" s="34" t="n">
        <x:v>0</x:v>
      </x:c>
      <x:c r="AI71" s="34" t="str">
        <x:v>3.446647212967946e-06</x:v>
      </x:c>
      <x:c r="AJ71" s="40" t="b">
        <x:v>1</x:v>
      </x:c>
      <x:c r="AK71" s="40" t="b">
        <x:v>1</x:v>
      </x:c>
      <x:c r="AL71" s="40" t="b">
        <x:v>1</x:v>
      </x:c>
      <x:c r="AM71" s="40" t="b">
        <x:v>1</x:v>
      </x:c>
      <x:c r="AN71" s="34" t="str"/>
      <x:c r="AO71" s="34" t="n">
        <x:v>0</x:v>
      </x:c>
      <x:c r="AP71" s="34" t="n">
        <x:v>0</x:v>
      </x:c>
      <x:c r="AQ71" s="34" t="n">
        <x:v>0</x:v>
      </x:c>
      <x:c r="AR71" s="34" t="n">
        <x:v>2</x:v>
      </x:c>
      <x:c r="AS71" s="34" t="n">
        <x:v>2</x:v>
      </x:c>
      <x:c r="AT71" s="34" t="n">
        <x:v>0.47641018879999986</x:v>
      </x:c>
      <x:c r="AU71" s="34" t="n">
        <x:v>0.65</x:v>
      </x:c>
      <x:c r="AV71" s="34" t="n">
        <x:v>2.16</x:v>
      </x:c>
    </x:row>
    <x:row r="72">
      <x:c r="A72" s="34" t="str">
        <x:v>NIPPON_STEEL_JP</x:v>
      </x:c>
      <x:c r="B72" s="34" t="str">
        <x:v>Nippon Steel</x:v>
      </x:c>
      <x:c r="C72" s="34" t="str">
        <x:v>DISCLOSED_PATH</x:v>
      </x:c>
      <x:c r="D72" s="34" t="str">
        <x:v>P1</x:v>
      </x:c>
      <x:c r="E72" s="34" t="n">
        <x:v>2036</x:v>
      </x:c>
      <x:c r="F72" s="34" t="n">
        <x:v>4</x:v>
      </x:c>
      <x:c r="G72" s="34" t="n">
        <x:v>15.599998</x:v>
      </x:c>
      <x:c r="H72" s="34" t="n">
        <x:v>19.4</x:v>
      </x:c>
      <x:c r="I72" s="34" t="n">
        <x:v>3.800002</x:v>
      </x:c>
      <x:c r="J72" s="34" t="n">
        <x:v>80.412</x:v>
      </x:c>
      <x:c r="K72" s="34" t="n">
        <x:v>0.704</x:v>
      </x:c>
      <x:c r="L72" s="34" t="n">
        <x:v>2.08</x:v>
      </x:c>
      <x:c r="M72" s="34" t="n">
        <x:v>1.376</x:v>
      </x:c>
      <x:c r="N72" s="34" t="n">
        <x:v>33.846</x:v>
      </x:c>
      <x:c r="O72" s="34" t="n">
        <x:v>14.4</x:v>
      </x:c>
      <x:c r="P72" s="34" t="n">
        <x:v>17</x:v>
      </x:c>
      <x:c r="Q72" s="34" t="n">
        <x:v>2.6</x:v>
      </x:c>
      <x:c r="R72" s="34" t="n">
        <x:v>84.706</x:v>
      </x:c>
      <x:c r="S72" s="40" t="b">
        <x:v>1</x:v>
      </x:c>
      <x:c r="T72" s="34" t="str">
        <x:v>model_interpolation</x:v>
      </x:c>
      <x:c r="U72" s="34" t="str">
        <x:v>Linear interpolation from 2035 to 2040</x:v>
      </x:c>
      <x:c r="V72" s="34" t="str">
        <x:v>CAND-18F73BD54A9F34</x:v>
      </x:c>
      <x:c r="W72" s="34" t="str">
        <x:v>P1</x:v>
      </x:c>
      <x:c r="X72" s="34" t="str">
        <x:v>PORT-6742936593A9</x:v>
      </x:c>
      <x:c r="Y72" s="34" t="n">
        <x:v>1000</x:v>
      </x:c>
      <x:c r="Z72" s="34" t="n">
        <x:v>85.949846</x:v>
      </x:c>
      <x:c r="AA72" s="34" t="n">
        <x:v>25.696198</x:v>
      </x:c>
      <x:c r="AB72" s="34" t="n">
        <x:v>454.753949</x:v>
      </x:c>
      <x:c r="AC72" s="34" t="n">
        <x:v>38138.549</x:v>
      </x:c>
      <x:c r="AD72" s="34" t="n">
        <x:v>83.866339</x:v>
      </x:c>
      <x:c r="AE72" s="40" t="b">
        <x:v>1</x:v>
      </x:c>
      <x:c r="AF72" s="40" t="b">
        <x:v>1</x:v>
      </x:c>
      <x:c r="AG72" s="34" t="str"/>
      <x:c r="AH72" s="34" t="n">
        <x:v>0</x:v>
      </x:c>
      <x:c r="AI72" s="34" t="str">
        <x:v>3.446647212967946e-06</x:v>
      </x:c>
      <x:c r="AJ72" s="40" t="b">
        <x:v>1</x:v>
      </x:c>
      <x:c r="AK72" s="40" t="b">
        <x:v>1</x:v>
      </x:c>
      <x:c r="AL72" s="40" t="b">
        <x:v>1</x:v>
      </x:c>
      <x:c r="AM72" s="40" t="b">
        <x:v>1</x:v>
      </x:c>
      <x:c r="AN72" s="34" t="str"/>
      <x:c r="AO72" s="34" t="n">
        <x:v>0</x:v>
      </x:c>
      <x:c r="AP72" s="34" t="n">
        <x:v>0</x:v>
      </x:c>
      <x:c r="AQ72" s="34" t="n">
        <x:v>0</x:v>
      </x:c>
      <x:c r="AR72" s="34" t="n">
        <x:v>2</x:v>
      </x:c>
      <x:c r="AS72" s="34" t="n">
        <x:v>2</x:v>
      </x:c>
      <x:c r="AT72" s="34" t="n">
        <x:v>0.47641018879999986</x:v>
      </x:c>
      <x:c r="AU72" s="34" t="n">
        <x:v>0.65</x:v>
      </x:c>
      <x:c r="AV72" s="34" t="n">
        <x:v>2.16</x:v>
      </x:c>
    </x:row>
    <x:row r="73">
      <x:c r="A73" s="34" t="str">
        <x:v>NIPPON_STEEL_JP</x:v>
      </x:c>
      <x:c r="B73" s="34" t="str">
        <x:v>Nippon Steel</x:v>
      </x:c>
      <x:c r="C73" s="34" t="str">
        <x:v>DISCLOSED_PATH</x:v>
      </x:c>
      <x:c r="D73" s="34" t="str">
        <x:v>P1</x:v>
      </x:c>
      <x:c r="E73" s="34" t="n">
        <x:v>2037</x:v>
      </x:c>
      <x:c r="F73" s="34" t="n">
        <x:v>4</x:v>
      </x:c>
      <x:c r="G73" s="34" t="n">
        <x:v>15.599998</x:v>
      </x:c>
      <x:c r="H73" s="34" t="n">
        <x:v>20.8</x:v>
      </x:c>
      <x:c r="I73" s="34" t="n">
        <x:v>5.200002</x:v>
      </x:c>
      <x:c r="J73" s="34" t="n">
        <x:v>75</x:v>
      </x:c>
      <x:c r="K73" s="34" t="n">
        <x:v>0.704</x:v>
      </x:c>
      <x:c r="L73" s="34" t="n">
        <x:v>2.3600000000000003</x:v>
      </x:c>
      <x:c r="M73" s="34" t="n">
        <x:v>1.656</x:v>
      </x:c>
      <x:c r="N73" s="34" t="n">
        <x:v>29.831</x:v>
      </x:c>
      <x:c r="O73" s="34" t="n">
        <x:v>14.4</x:v>
      </x:c>
      <x:c r="P73" s="34" t="n">
        <x:v>19</x:v>
      </x:c>
      <x:c r="Q73" s="34" t="n">
        <x:v>4.6</x:v>
      </x:c>
      <x:c r="R73" s="34" t="n">
        <x:v>75.789</x:v>
      </x:c>
      <x:c r="S73" s="40" t="b">
        <x:v>1</x:v>
      </x:c>
      <x:c r="T73" s="34" t="str">
        <x:v>model_interpolation</x:v>
      </x:c>
      <x:c r="U73" s="34" t="str">
        <x:v>Linear interpolation from 2035 to 2040</x:v>
      </x:c>
      <x:c r="V73" s="34" t="str">
        <x:v>CAND-18F73BD54A9F34</x:v>
      </x:c>
      <x:c r="W73" s="34" t="str">
        <x:v>P1</x:v>
      </x:c>
      <x:c r="X73" s="34" t="str">
        <x:v>PORT-6742936593A9</x:v>
      </x:c>
      <x:c r="Y73" s="34" t="n">
        <x:v>1000</x:v>
      </x:c>
      <x:c r="Z73" s="34" t="n">
        <x:v>85.949846</x:v>
      </x:c>
      <x:c r="AA73" s="34" t="n">
        <x:v>25.696198</x:v>
      </x:c>
      <x:c r="AB73" s="34" t="n">
        <x:v>454.753949</x:v>
      </x:c>
      <x:c r="AC73" s="34" t="n">
        <x:v>38138.549</x:v>
      </x:c>
      <x:c r="AD73" s="34" t="n">
        <x:v>83.866339</x:v>
      </x:c>
      <x:c r="AE73" s="40" t="b">
        <x:v>1</x:v>
      </x:c>
      <x:c r="AF73" s="40" t="b">
        <x:v>1</x:v>
      </x:c>
      <x:c r="AG73" s="34" t="str"/>
      <x:c r="AH73" s="34" t="n">
        <x:v>0</x:v>
      </x:c>
      <x:c r="AI73" s="34" t="str">
        <x:v>3.446647212967946e-06</x:v>
      </x:c>
      <x:c r="AJ73" s="40" t="b">
        <x:v>1</x:v>
      </x:c>
      <x:c r="AK73" s="40" t="b">
        <x:v>1</x:v>
      </x:c>
      <x:c r="AL73" s="40" t="b">
        <x:v>1</x:v>
      </x:c>
      <x:c r="AM73" s="40" t="b">
        <x:v>1</x:v>
      </x:c>
      <x:c r="AN73" s="34" t="str"/>
      <x:c r="AO73" s="34" t="n">
        <x:v>0</x:v>
      </x:c>
      <x:c r="AP73" s="34" t="n">
        <x:v>0</x:v>
      </x:c>
      <x:c r="AQ73" s="34" t="n">
        <x:v>0</x:v>
      </x:c>
      <x:c r="AR73" s="34" t="n">
        <x:v>2</x:v>
      </x:c>
      <x:c r="AS73" s="34" t="n">
        <x:v>2</x:v>
      </x:c>
      <x:c r="AT73" s="34" t="n">
        <x:v>0.47641018879999986</x:v>
      </x:c>
      <x:c r="AU73" s="34" t="n">
        <x:v>0.65</x:v>
      </x:c>
      <x:c r="AV73" s="34" t="n">
        <x:v>2.16</x:v>
      </x:c>
    </x:row>
    <x:row r="74">
      <x:c r="A74" s="34" t="str">
        <x:v>NIPPON_STEEL_JP</x:v>
      </x:c>
      <x:c r="B74" s="34" t="str">
        <x:v>Nippon Steel</x:v>
      </x:c>
      <x:c r="C74" s="34" t="str">
        <x:v>DISCLOSED_PATH</x:v>
      </x:c>
      <x:c r="D74" s="34" t="str">
        <x:v>P1</x:v>
      </x:c>
      <x:c r="E74" s="34" t="n">
        <x:v>2038</x:v>
      </x:c>
      <x:c r="F74" s="34" t="n">
        <x:v>5</x:v>
      </x:c>
      <x:c r="G74" s="34" t="n">
        <x:v>21.269998</x:v>
      </x:c>
      <x:c r="H74" s="34" t="n">
        <x:v>22.2</x:v>
      </x:c>
      <x:c r="I74" s="34" t="n">
        <x:v>0.930002</x:v>
      </x:c>
      <x:c r="J74" s="34" t="n">
        <x:v>95.811</x:v>
      </x:c>
      <x:c r="K74" s="34" t="n">
        <x:v>0.704</x:v>
      </x:c>
      <x:c r="L74" s="34" t="n">
        <x:v>2.64</x:v>
      </x:c>
      <x:c r="M74" s="34" t="n">
        <x:v>1.936</x:v>
      </x:c>
      <x:c r="N74" s="34" t="n">
        <x:v>26.667</x:v>
      </x:c>
      <x:c r="O74" s="34" t="n">
        <x:v>17.928</x:v>
      </x:c>
      <x:c r="P74" s="34" t="n">
        <x:v>21</x:v>
      </x:c>
      <x:c r="Q74" s="34" t="n">
        <x:v>3.072</x:v>
      </x:c>
      <x:c r="R74" s="34" t="n">
        <x:v>85.371</x:v>
      </x:c>
      <x:c r="S74" s="40" t="b">
        <x:v>1</x:v>
      </x:c>
      <x:c r="T74" s="34" t="str">
        <x:v>model_interpolation</x:v>
      </x:c>
      <x:c r="U74" s="34" t="str">
        <x:v>Linear interpolation from 2035 to 2040</x:v>
      </x:c>
      <x:c r="V74" s="34" t="str">
        <x:v>CAND-18F73BD54A9F34</x:v>
      </x:c>
      <x:c r="W74" s="34" t="str">
        <x:v>P1</x:v>
      </x:c>
      <x:c r="X74" s="34" t="str">
        <x:v>PORT-6742936593A9</x:v>
      </x:c>
      <x:c r="Y74" s="34" t="n">
        <x:v>1000</x:v>
      </x:c>
      <x:c r="Z74" s="34" t="n">
        <x:v>85.949846</x:v>
      </x:c>
      <x:c r="AA74" s="34" t="n">
        <x:v>25.696198</x:v>
      </x:c>
      <x:c r="AB74" s="34" t="n">
        <x:v>454.753949</x:v>
      </x:c>
      <x:c r="AC74" s="34" t="n">
        <x:v>38138.549</x:v>
      </x:c>
      <x:c r="AD74" s="34" t="n">
        <x:v>83.866339</x:v>
      </x:c>
      <x:c r="AE74" s="40" t="b">
        <x:v>1</x:v>
      </x:c>
      <x:c r="AF74" s="40" t="b">
        <x:v>1</x:v>
      </x:c>
      <x:c r="AG74" s="34" t="str"/>
      <x:c r="AH74" s="34" t="n">
        <x:v>0</x:v>
      </x:c>
      <x:c r="AI74" s="34" t="str">
        <x:v>3.446647212967946e-06</x:v>
      </x:c>
      <x:c r="AJ74" s="40" t="b">
        <x:v>1</x:v>
      </x:c>
      <x:c r="AK74" s="40" t="b">
        <x:v>1</x:v>
      </x:c>
      <x:c r="AL74" s="40" t="b">
        <x:v>1</x:v>
      </x:c>
      <x:c r="AM74" s="40" t="b">
        <x:v>1</x:v>
      </x:c>
      <x:c r="AN74" s="34" t="str"/>
      <x:c r="AO74" s="34" t="n">
        <x:v>0</x:v>
      </x:c>
      <x:c r="AP74" s="34" t="n">
        <x:v>0</x:v>
      </x:c>
      <x:c r="AQ74" s="34" t="n">
        <x:v>0</x:v>
      </x:c>
      <x:c r="AR74" s="34" t="n">
        <x:v>2</x:v>
      </x:c>
      <x:c r="AS74" s="34" t="n">
        <x:v>2</x:v>
      </x:c>
      <x:c r="AT74" s="34" t="n">
        <x:v>0.47641018879999986</x:v>
      </x:c>
      <x:c r="AU74" s="34" t="n">
        <x:v>0.65</x:v>
      </x:c>
      <x:c r="AV74" s="34" t="n">
        <x:v>2.16</x:v>
      </x:c>
    </x:row>
    <x:row r="75">
      <x:c r="A75" s="34" t="str">
        <x:v>NIPPON_STEEL_JP</x:v>
      </x:c>
      <x:c r="B75" s="34" t="str">
        <x:v>Nippon Steel</x:v>
      </x:c>
      <x:c r="C75" s="34" t="str">
        <x:v>DISCLOSED_PATH</x:v>
      </x:c>
      <x:c r="D75" s="34" t="str">
        <x:v>P1</x:v>
      </x:c>
      <x:c r="E75" s="34" t="n">
        <x:v>2039</x:v>
      </x:c>
      <x:c r="F75" s="34" t="n">
        <x:v>5</x:v>
      </x:c>
      <x:c r="G75" s="34" t="n">
        <x:v>21.269998</x:v>
      </x:c>
      <x:c r="H75" s="34" t="n">
        <x:v>23.6</x:v>
      </x:c>
      <x:c r="I75" s="34" t="n">
        <x:v>2.330002</x:v>
      </x:c>
      <x:c r="J75" s="34" t="n">
        <x:v>90.127</x:v>
      </x:c>
      <x:c r="K75" s="34" t="n">
        <x:v>0.704</x:v>
      </x:c>
      <x:c r="L75" s="34" t="n">
        <x:v>2.92</x:v>
      </x:c>
      <x:c r="M75" s="34" t="n">
        <x:v>2.216</x:v>
      </x:c>
      <x:c r="N75" s="34" t="n">
        <x:v>24.11</x:v>
      </x:c>
      <x:c r="O75" s="34" t="n">
        <x:v>17.928</x:v>
      </x:c>
      <x:c r="P75" s="34" t="n">
        <x:v>23</x:v>
      </x:c>
      <x:c r="Q75" s="34" t="n">
        <x:v>5.072</x:v>
      </x:c>
      <x:c r="R75" s="34" t="n">
        <x:v>77.948</x:v>
      </x:c>
      <x:c r="S75" s="40" t="b">
        <x:v>1</x:v>
      </x:c>
      <x:c r="T75" s="34" t="str">
        <x:v>model_interpolation</x:v>
      </x:c>
      <x:c r="U75" s="34" t="str">
        <x:v>Linear interpolation from 2035 to 2040</x:v>
      </x:c>
      <x:c r="V75" s="34" t="str">
        <x:v>CAND-18F73BD54A9F34</x:v>
      </x:c>
      <x:c r="W75" s="34" t="str">
        <x:v>P1</x:v>
      </x:c>
      <x:c r="X75" s="34" t="str">
        <x:v>PORT-6742936593A9</x:v>
      </x:c>
      <x:c r="Y75" s="34" t="n">
        <x:v>1000</x:v>
      </x:c>
      <x:c r="Z75" s="34" t="n">
        <x:v>85.949846</x:v>
      </x:c>
      <x:c r="AA75" s="34" t="n">
        <x:v>25.696198</x:v>
      </x:c>
      <x:c r="AB75" s="34" t="n">
        <x:v>454.753949</x:v>
      </x:c>
      <x:c r="AC75" s="34" t="n">
        <x:v>38138.549</x:v>
      </x:c>
      <x:c r="AD75" s="34" t="n">
        <x:v>83.866339</x:v>
      </x:c>
      <x:c r="AE75" s="40" t="b">
        <x:v>1</x:v>
      </x:c>
      <x:c r="AF75" s="40" t="b">
        <x:v>1</x:v>
      </x:c>
      <x:c r="AG75" s="34" t="str"/>
      <x:c r="AH75" s="34" t="n">
        <x:v>0</x:v>
      </x:c>
      <x:c r="AI75" s="34" t="str">
        <x:v>3.446647212967946e-06</x:v>
      </x:c>
      <x:c r="AJ75" s="40" t="b">
        <x:v>1</x:v>
      </x:c>
      <x:c r="AK75" s="40" t="b">
        <x:v>1</x:v>
      </x:c>
      <x:c r="AL75" s="40" t="b">
        <x:v>1</x:v>
      </x:c>
      <x:c r="AM75" s="40" t="b">
        <x:v>1</x:v>
      </x:c>
      <x:c r="AN75" s="34" t="str"/>
      <x:c r="AO75" s="34" t="n">
        <x:v>0</x:v>
      </x:c>
      <x:c r="AP75" s="34" t="n">
        <x:v>0</x:v>
      </x:c>
      <x:c r="AQ75" s="34" t="n">
        <x:v>0</x:v>
      </x:c>
      <x:c r="AR75" s="34" t="n">
        <x:v>2</x:v>
      </x:c>
      <x:c r="AS75" s="34" t="n">
        <x:v>2</x:v>
      </x:c>
      <x:c r="AT75" s="34" t="n">
        <x:v>0.47641018879999986</x:v>
      </x:c>
      <x:c r="AU75" s="34" t="n">
        <x:v>0.65</x:v>
      </x:c>
      <x:c r="AV75" s="34" t="n">
        <x:v>2.16</x:v>
      </x:c>
    </x:row>
    <x:row r="76">
      <x:c r="A76" s="34" t="str">
        <x:v>NIPPON_STEEL_JP</x:v>
      </x:c>
      <x:c r="B76" s="34" t="str">
        <x:v>Nippon Steel</x:v>
      </x:c>
      <x:c r="C76" s="34" t="str">
        <x:v>DISCLOSED_PATH</x:v>
      </x:c>
      <x:c r="D76" s="34" t="str">
        <x:v>P1</x:v>
      </x:c>
      <x:c r="E76" s="34" t="n">
        <x:v>2040</x:v>
      </x:c>
      <x:c r="F76" s="34" t="n">
        <x:v>5</x:v>
      </x:c>
      <x:c r="G76" s="34" t="n">
        <x:v>21.269998</x:v>
      </x:c>
      <x:c r="H76" s="34" t="n">
        <x:v>25</x:v>
      </x:c>
      <x:c r="I76" s="34" t="n">
        <x:v>3.730002</x:v>
      </x:c>
      <x:c r="J76" s="34" t="n">
        <x:v>85.08</x:v>
      </x:c>
      <x:c r="K76" s="34" t="n">
        <x:v>0.704</x:v>
      </x:c>
      <x:c r="L76" s="34" t="n">
        <x:v>3.2</x:v>
      </x:c>
      <x:c r="M76" s="34" t="n">
        <x:v>2.496</x:v>
      </x:c>
      <x:c r="N76" s="34" t="n">
        <x:v>22</x:v>
      </x:c>
      <x:c r="O76" s="34" t="n">
        <x:v>17.928</x:v>
      </x:c>
      <x:c r="P76" s="34" t="n">
        <x:v>25</x:v>
      </x:c>
      <x:c r="Q76" s="34" t="n">
        <x:v>7.072</x:v>
      </x:c>
      <x:c r="R76" s="34" t="n">
        <x:v>71.712</x:v>
      </x:c>
      <x:c r="S76" s="40" t="b">
        <x:v>1</x:v>
      </x:c>
      <x:c r="T76" s="34" t="str">
        <x:v>model_estimate</x:v>
      </x:c>
      <x:c r="U76" s="34" t="str">
        <x:v>Illustrative screening envelope; not an official supply forecast</x:v>
      </x:c>
      <x:c r="V76" s="34" t="str">
        <x:v>CAND-18F73BD54A9F34</x:v>
      </x:c>
      <x:c r="W76" s="34" t="str">
        <x:v>P1</x:v>
      </x:c>
      <x:c r="X76" s="34" t="str">
        <x:v>PORT-6742936593A9</x:v>
      </x:c>
      <x:c r="Y76" s="34" t="n">
        <x:v>1000</x:v>
      </x:c>
      <x:c r="Z76" s="34" t="n">
        <x:v>85.949846</x:v>
      </x:c>
      <x:c r="AA76" s="34" t="n">
        <x:v>25.696198</x:v>
      </x:c>
      <x:c r="AB76" s="34" t="n">
        <x:v>454.753949</x:v>
      </x:c>
      <x:c r="AC76" s="34" t="n">
        <x:v>38138.549</x:v>
      </x:c>
      <x:c r="AD76" s="34" t="n">
        <x:v>83.866339</x:v>
      </x:c>
      <x:c r="AE76" s="40" t="b">
        <x:v>1</x:v>
      </x:c>
      <x:c r="AF76" s="40" t="b">
        <x:v>1</x:v>
      </x:c>
      <x:c r="AG76" s="34" t="str"/>
      <x:c r="AH76" s="34" t="n">
        <x:v>0</x:v>
      </x:c>
      <x:c r="AI76" s="34" t="str">
        <x:v>3.446647212967946e-06</x:v>
      </x:c>
      <x:c r="AJ76" s="40" t="b">
        <x:v>1</x:v>
      </x:c>
      <x:c r="AK76" s="40" t="b">
        <x:v>1</x:v>
      </x:c>
      <x:c r="AL76" s="40" t="b">
        <x:v>1</x:v>
      </x:c>
      <x:c r="AM76" s="40" t="b">
        <x:v>1</x:v>
      </x:c>
      <x:c r="AN76" s="34" t="str"/>
      <x:c r="AO76" s="34" t="n">
        <x:v>0</x:v>
      </x:c>
      <x:c r="AP76" s="34" t="n">
        <x:v>0</x:v>
      </x:c>
      <x:c r="AQ76" s="34" t="n">
        <x:v>0</x:v>
      </x:c>
      <x:c r="AR76" s="34" t="n">
        <x:v>2</x:v>
      </x:c>
      <x:c r="AS76" s="34" t="n">
        <x:v>2</x:v>
      </x:c>
      <x:c r="AT76" s="34" t="n">
        <x:v>0.47641018879999986</x:v>
      </x:c>
      <x:c r="AU76" s="34" t="n">
        <x:v>0.65</x:v>
      </x:c>
      <x:c r="AV76" s="34" t="n">
        <x:v>2.16</x:v>
      </x:c>
    </x:row>
    <x:row r="77">
      <x:c r="A77" s="34" t="str">
        <x:v>NIPPON_STEEL_JP</x:v>
      </x:c>
      <x:c r="B77" s="34" t="str">
        <x:v>Nippon Steel</x:v>
      </x:c>
      <x:c r="C77" s="34" t="str">
        <x:v>ACCELERATED_15C</x:v>
      </x:c>
      <x:c r="D77" s="34" t="str">
        <x:v>P1</x:v>
      </x:c>
      <x:c r="E77" s="34" t="n">
        <x:v>2026</x:v>
      </x:c>
      <x:c r="F77" s="34" t="n">
        <x:v>0</x:v>
      </x:c>
      <x:c r="G77" s="34" t="n">
        <x:v>0</x:v>
      </x:c>
      <x:c r="H77" s="34" t="n">
        <x:v>8</x:v>
      </x:c>
      <x:c r="I77" s="34" t="n">
        <x:v>8</x:v>
      </x:c>
      <x:c r="J77" s="34" t="n">
        <x:v>0</x:v>
      </x:c>
      <x:c r="K77" s="34" t="n">
        <x:v>0</x:v>
      </x:c>
      <x:c r="L77" s="34" t="n">
        <x:v>0.1</x:v>
      </x:c>
      <x:c r="M77" s="34" t="n">
        <x:v>0.1</x:v>
      </x:c>
      <x:c r="N77" s="34" t="n">
        <x:v>0</x:v>
      </x:c>
      <x:c r="O77" s="34" t="n">
        <x:v>0</x:v>
      </x:c>
      <x:c r="P77" s="34" t="n">
        <x:v>2</x:v>
      </x:c>
      <x:c r="Q77" s="34" t="n">
        <x:v>2</x:v>
      </x:c>
      <x:c r="R77" s="34" t="n">
        <x:v>0</x:v>
      </x:c>
      <x:c r="S77" s="40" t="b">
        <x:v>1</x:v>
      </x:c>
      <x:c r="T77" s="34" t="str">
        <x:v>model_interpolation</x:v>
      </x:c>
      <x:c r="U77" s="34" t="str">
        <x:v>Linear interpolation from 2026 to 2030</x:v>
      </x:c>
      <x:c r="V77" s="34" t="str">
        <x:v>CAND-18F73BD54A9F34</x:v>
      </x:c>
      <x:c r="W77" s="34" t="str">
        <x:v>P1</x:v>
      </x:c>
      <x:c r="X77" s="34" t="str">
        <x:v>PORT-6742936593A9</x:v>
      </x:c>
      <x:c r="Y77" s="34" t="n">
        <x:v>1000</x:v>
      </x:c>
      <x:c r="Z77" s="34" t="n">
        <x:v>76.756785</x:v>
      </x:c>
      <x:c r="AA77" s="34" t="n">
        <x:v>27.904392</x:v>
      </x:c>
      <x:c r="AB77" s="34" t="n">
        <x:v>454.753949</x:v>
      </x:c>
      <x:c r="AC77" s="34" t="n">
        <x:v>33926.565</x:v>
      </x:c>
      <x:c r="AD77" s="34" t="n">
        <x:v>74.604223</x:v>
      </x:c>
      <x:c r="AE77" s="40" t="b">
        <x:v>1</x:v>
      </x:c>
      <x:c r="AF77" s="40" t="b">
        <x:v>1</x:v>
      </x:c>
      <x:c r="AG77" s="34" t="str"/>
      <x:c r="AH77" s="34" t="n">
        <x:v>0</x:v>
      </x:c>
      <x:c r="AI77" s="34" t="str">
        <x:v>3.446647212967946e-06</x:v>
      </x:c>
      <x:c r="AJ77" s="40" t="b">
        <x:v>1</x:v>
      </x:c>
      <x:c r="AK77" s="40" t="b">
        <x:v>1</x:v>
      </x:c>
      <x:c r="AL77" s="40" t="b">
        <x:v>1</x:v>
      </x:c>
      <x:c r="AM77" s="40" t="b">
        <x:v>1</x:v>
      </x:c>
      <x:c r="AN77" s="34" t="str"/>
      <x:c r="AO77" s="34" t="n">
        <x:v>0</x:v>
      </x:c>
      <x:c r="AP77" s="34" t="n">
        <x:v>0</x:v>
      </x:c>
      <x:c r="AQ77" s="34" t="n">
        <x:v>0</x:v>
      </x:c>
      <x:c r="AR77" s="34" t="n">
        <x:v>2</x:v>
      </x:c>
      <x:c r="AS77" s="34" t="n">
        <x:v>2</x:v>
      </x:c>
      <x:c r="AT77" s="34" t="n">
        <x:v>0.47641018879999986</x:v>
      </x:c>
      <x:c r="AU77" s="34" t="n">
        <x:v>0.65</x:v>
      </x:c>
      <x:c r="AV77" s="34" t="n">
        <x:v>2.16</x:v>
      </x:c>
    </x:row>
    <x:row r="78">
      <x:c r="A78" s="34" t="str">
        <x:v>NIPPON_STEEL_JP</x:v>
      </x:c>
      <x:c r="B78" s="34" t="str">
        <x:v>Nippon Steel</x:v>
      </x:c>
      <x:c r="C78" s="34" t="str">
        <x:v>ACCELERATED_15C</x:v>
      </x:c>
      <x:c r="D78" s="34" t="str">
        <x:v>P1</x:v>
      </x:c>
      <x:c r="E78" s="34" t="n">
        <x:v>2027</x:v>
      </x:c>
      <x:c r="F78" s="34" t="n">
        <x:v>0</x:v>
      </x:c>
      <x:c r="G78" s="34" t="n">
        <x:v>0</x:v>
      </x:c>
      <x:c r="H78" s="34" t="n">
        <x:v>9.75</x:v>
      </x:c>
      <x:c r="I78" s="34" t="n">
        <x:v>9.75</x:v>
      </x:c>
      <x:c r="J78" s="34" t="n">
        <x:v>0</x:v>
      </x:c>
      <x:c r="K78" s="34" t="n">
        <x:v>0</x:v>
      </x:c>
      <x:c r="L78" s="34" t="n">
        <x:v>0.30000000000000004</x:v>
      </x:c>
      <x:c r="M78" s="34" t="n">
        <x:v>0.3</x:v>
      </x:c>
      <x:c r="N78" s="34" t="n">
        <x:v>0</x:v>
      </x:c>
      <x:c r="O78" s="34" t="n">
        <x:v>0</x:v>
      </x:c>
      <x:c r="P78" s="34" t="n">
        <x:v>4</x:v>
      </x:c>
      <x:c r="Q78" s="34" t="n">
        <x:v>4</x:v>
      </x:c>
      <x:c r="R78" s="34" t="n">
        <x:v>0</x:v>
      </x:c>
      <x:c r="S78" s="40" t="b">
        <x:v>1</x:v>
      </x:c>
      <x:c r="T78" s="34" t="str">
        <x:v>model_interpolation</x:v>
      </x:c>
      <x:c r="U78" s="34" t="str">
        <x:v>Linear interpolation from 2026 to 2030</x:v>
      </x:c>
      <x:c r="V78" s="34" t="str">
        <x:v>CAND-18F73BD54A9F34</x:v>
      </x:c>
      <x:c r="W78" s="34" t="str">
        <x:v>P1</x:v>
      </x:c>
      <x:c r="X78" s="34" t="str">
        <x:v>PORT-6742936593A9</x:v>
      </x:c>
      <x:c r="Y78" s="34" t="n">
        <x:v>1000</x:v>
      </x:c>
      <x:c r="Z78" s="34" t="n">
        <x:v>76.756785</x:v>
      </x:c>
      <x:c r="AA78" s="34" t="n">
        <x:v>27.904392</x:v>
      </x:c>
      <x:c r="AB78" s="34" t="n">
        <x:v>454.753949</x:v>
      </x:c>
      <x:c r="AC78" s="34" t="n">
        <x:v>33926.565</x:v>
      </x:c>
      <x:c r="AD78" s="34" t="n">
        <x:v>74.604223</x:v>
      </x:c>
      <x:c r="AE78" s="40" t="b">
        <x:v>1</x:v>
      </x:c>
      <x:c r="AF78" s="40" t="b">
        <x:v>1</x:v>
      </x:c>
      <x:c r="AG78" s="34" t="str"/>
      <x:c r="AH78" s="34" t="n">
        <x:v>0</x:v>
      </x:c>
      <x:c r="AI78" s="34" t="str">
        <x:v>3.446647212967946e-06</x:v>
      </x:c>
      <x:c r="AJ78" s="40" t="b">
        <x:v>1</x:v>
      </x:c>
      <x:c r="AK78" s="40" t="b">
        <x:v>1</x:v>
      </x:c>
      <x:c r="AL78" s="40" t="b">
        <x:v>1</x:v>
      </x:c>
      <x:c r="AM78" s="40" t="b">
        <x:v>1</x:v>
      </x:c>
      <x:c r="AN78" s="34" t="str"/>
      <x:c r="AO78" s="34" t="n">
        <x:v>0</x:v>
      </x:c>
      <x:c r="AP78" s="34" t="n">
        <x:v>0</x:v>
      </x:c>
      <x:c r="AQ78" s="34" t="n">
        <x:v>0</x:v>
      </x:c>
      <x:c r="AR78" s="34" t="n">
        <x:v>2</x:v>
      </x:c>
      <x:c r="AS78" s="34" t="n">
        <x:v>2</x:v>
      </x:c>
      <x:c r="AT78" s="34" t="n">
        <x:v>0.47641018879999986</x:v>
      </x:c>
      <x:c r="AU78" s="34" t="n">
        <x:v>0.65</x:v>
      </x:c>
      <x:c r="AV78" s="34" t="n">
        <x:v>2.16</x:v>
      </x:c>
    </x:row>
    <x:row r="79">
      <x:c r="A79" s="34" t="str">
        <x:v>NIPPON_STEEL_JP</x:v>
      </x:c>
      <x:c r="B79" s="34" t="str">
        <x:v>Nippon Steel</x:v>
      </x:c>
      <x:c r="C79" s="34" t="str">
        <x:v>ACCELERATED_15C</x:v>
      </x:c>
      <x:c r="D79" s="34" t="str">
        <x:v>P1</x:v>
      </x:c>
      <x:c r="E79" s="34" t="n">
        <x:v>2028</x:v>
      </x:c>
      <x:c r="F79" s="34" t="n">
        <x:v>0</x:v>
      </x:c>
      <x:c r="G79" s="34" t="n">
        <x:v>0</x:v>
      </x:c>
      <x:c r="H79" s="34" t="n">
        <x:v>11.5</x:v>
      </x:c>
      <x:c r="I79" s="34" t="n">
        <x:v>11.5</x:v>
      </x:c>
      <x:c r="J79" s="34" t="n">
        <x:v>0</x:v>
      </x:c>
      <x:c r="K79" s="34" t="n">
        <x:v>0</x:v>
      </x:c>
      <x:c r="L79" s="34" t="n">
        <x:v>0.5</x:v>
      </x:c>
      <x:c r="M79" s="34" t="n">
        <x:v>0.5</x:v>
      </x:c>
      <x:c r="N79" s="34" t="n">
        <x:v>0</x:v>
      </x:c>
      <x:c r="O79" s="34" t="n">
        <x:v>0</x:v>
      </x:c>
      <x:c r="P79" s="34" t="n">
        <x:v>6</x:v>
      </x:c>
      <x:c r="Q79" s="34" t="n">
        <x:v>6</x:v>
      </x:c>
      <x:c r="R79" s="34" t="n">
        <x:v>0</x:v>
      </x:c>
      <x:c r="S79" s="40" t="b">
        <x:v>1</x:v>
      </x:c>
      <x:c r="T79" s="34" t="str">
        <x:v>model_interpolation</x:v>
      </x:c>
      <x:c r="U79" s="34" t="str">
        <x:v>Linear interpolation from 2026 to 2030</x:v>
      </x:c>
      <x:c r="V79" s="34" t="str">
        <x:v>CAND-18F73BD54A9F34</x:v>
      </x:c>
      <x:c r="W79" s="34" t="str">
        <x:v>P1</x:v>
      </x:c>
      <x:c r="X79" s="34" t="str">
        <x:v>PORT-6742936593A9</x:v>
      </x:c>
      <x:c r="Y79" s="34" t="n">
        <x:v>1000</x:v>
      </x:c>
      <x:c r="Z79" s="34" t="n">
        <x:v>76.756785</x:v>
      </x:c>
      <x:c r="AA79" s="34" t="n">
        <x:v>27.904392</x:v>
      </x:c>
      <x:c r="AB79" s="34" t="n">
        <x:v>454.753949</x:v>
      </x:c>
      <x:c r="AC79" s="34" t="n">
        <x:v>33926.565</x:v>
      </x:c>
      <x:c r="AD79" s="34" t="n">
        <x:v>74.604223</x:v>
      </x:c>
      <x:c r="AE79" s="40" t="b">
        <x:v>1</x:v>
      </x:c>
      <x:c r="AF79" s="40" t="b">
        <x:v>1</x:v>
      </x:c>
      <x:c r="AG79" s="34" t="str"/>
      <x:c r="AH79" s="34" t="n">
        <x:v>0</x:v>
      </x:c>
      <x:c r="AI79" s="34" t="str">
        <x:v>3.446647212967946e-06</x:v>
      </x:c>
      <x:c r="AJ79" s="40" t="b">
        <x:v>1</x:v>
      </x:c>
      <x:c r="AK79" s="40" t="b">
        <x:v>1</x:v>
      </x:c>
      <x:c r="AL79" s="40" t="b">
        <x:v>1</x:v>
      </x:c>
      <x:c r="AM79" s="40" t="b">
        <x:v>1</x:v>
      </x:c>
      <x:c r="AN79" s="34" t="str"/>
      <x:c r="AO79" s="34" t="n">
        <x:v>0</x:v>
      </x:c>
      <x:c r="AP79" s="34" t="n">
        <x:v>0</x:v>
      </x:c>
      <x:c r="AQ79" s="34" t="n">
        <x:v>0</x:v>
      </x:c>
      <x:c r="AR79" s="34" t="n">
        <x:v>2</x:v>
      </x:c>
      <x:c r="AS79" s="34" t="n">
        <x:v>2</x:v>
      </x:c>
      <x:c r="AT79" s="34" t="n">
        <x:v>0.47641018879999986</x:v>
      </x:c>
      <x:c r="AU79" s="34" t="n">
        <x:v>0.65</x:v>
      </x:c>
      <x:c r="AV79" s="34" t="n">
        <x:v>2.16</x:v>
      </x:c>
    </x:row>
    <x:row r="80">
      <x:c r="A80" s="34" t="str">
        <x:v>NIPPON_STEEL_JP</x:v>
      </x:c>
      <x:c r="B80" s="34" t="str">
        <x:v>Nippon Steel</x:v>
      </x:c>
      <x:c r="C80" s="34" t="str">
        <x:v>ACCELERATED_15C</x:v>
      </x:c>
      <x:c r="D80" s="34" t="str">
        <x:v>P1</x:v>
      </x:c>
      <x:c r="E80" s="34" t="n">
        <x:v>2029</x:v>
      </x:c>
      <x:c r="F80" s="34" t="n">
        <x:v>1</x:v>
      </x:c>
      <x:c r="G80" s="34" t="n">
        <x:v>8.1</x:v>
      </x:c>
      <x:c r="H80" s="34" t="n">
        <x:v>13.25</x:v>
      </x:c>
      <x:c r="I80" s="34" t="n">
        <x:v>5.15</x:v>
      </x:c>
      <x:c r="J80" s="34" t="n">
        <x:v>61.132</x:v>
      </x:c>
      <x:c r="K80" s="34" t="n">
        <x:v>0</x:v>
      </x:c>
      <x:c r="L80" s="34" t="n">
        <x:v>0.7000000000000001</x:v>
      </x:c>
      <x:c r="M80" s="34" t="n">
        <x:v>0.7</x:v>
      </x:c>
      <x:c r="N80" s="34" t="n">
        <x:v>0</x:v>
      </x:c>
      <x:c r="O80" s="34" t="n">
        <x:v>5.04</x:v>
      </x:c>
      <x:c r="P80" s="34" t="n">
        <x:v>8</x:v>
      </x:c>
      <x:c r="Q80" s="34" t="n">
        <x:v>2.96</x:v>
      </x:c>
      <x:c r="R80" s="34" t="n">
        <x:v>63</x:v>
      </x:c>
      <x:c r="S80" s="40" t="b">
        <x:v>1</x:v>
      </x:c>
      <x:c r="T80" s="34" t="str">
        <x:v>model_interpolation</x:v>
      </x:c>
      <x:c r="U80" s="34" t="str">
        <x:v>Linear interpolation from 2026 to 2030</x:v>
      </x:c>
      <x:c r="V80" s="34" t="str">
        <x:v>CAND-18F73BD54A9F34</x:v>
      </x:c>
      <x:c r="W80" s="34" t="str">
        <x:v>P1</x:v>
      </x:c>
      <x:c r="X80" s="34" t="str">
        <x:v>PORT-6742936593A9</x:v>
      </x:c>
      <x:c r="Y80" s="34" t="n">
        <x:v>1000</x:v>
      </x:c>
      <x:c r="Z80" s="34" t="n">
        <x:v>76.756785</x:v>
      </x:c>
      <x:c r="AA80" s="34" t="n">
        <x:v>27.904392</x:v>
      </x:c>
      <x:c r="AB80" s="34" t="n">
        <x:v>454.753949</x:v>
      </x:c>
      <x:c r="AC80" s="34" t="n">
        <x:v>33926.565</x:v>
      </x:c>
      <x:c r="AD80" s="34" t="n">
        <x:v>74.604223</x:v>
      </x:c>
      <x:c r="AE80" s="40" t="b">
        <x:v>1</x:v>
      </x:c>
      <x:c r="AF80" s="40" t="b">
        <x:v>1</x:v>
      </x:c>
      <x:c r="AG80" s="34" t="str"/>
      <x:c r="AH80" s="34" t="n">
        <x:v>0</x:v>
      </x:c>
      <x:c r="AI80" s="34" t="str">
        <x:v>3.446647212967946e-06</x:v>
      </x:c>
      <x:c r="AJ80" s="40" t="b">
        <x:v>1</x:v>
      </x:c>
      <x:c r="AK80" s="40" t="b">
        <x:v>1</x:v>
      </x:c>
      <x:c r="AL80" s="40" t="b">
        <x:v>1</x:v>
      </x:c>
      <x:c r="AM80" s="40" t="b">
        <x:v>1</x:v>
      </x:c>
      <x:c r="AN80" s="34" t="str"/>
      <x:c r="AO80" s="34" t="n">
        <x:v>0</x:v>
      </x:c>
      <x:c r="AP80" s="34" t="n">
        <x:v>0</x:v>
      </x:c>
      <x:c r="AQ80" s="34" t="n">
        <x:v>0</x:v>
      </x:c>
      <x:c r="AR80" s="34" t="n">
        <x:v>2</x:v>
      </x:c>
      <x:c r="AS80" s="34" t="n">
        <x:v>2</x:v>
      </x:c>
      <x:c r="AT80" s="34" t="n">
        <x:v>0.47641018879999986</x:v>
      </x:c>
      <x:c r="AU80" s="34" t="n">
        <x:v>0.65</x:v>
      </x:c>
      <x:c r="AV80" s="34" t="n">
        <x:v>2.16</x:v>
      </x:c>
    </x:row>
    <x:row r="81">
      <x:c r="A81" s="34" t="str">
        <x:v>NIPPON_STEEL_JP</x:v>
      </x:c>
      <x:c r="B81" s="34" t="str">
        <x:v>Nippon Steel</x:v>
      </x:c>
      <x:c r="C81" s="34" t="str">
        <x:v>ACCELERATED_15C</x:v>
      </x:c>
      <x:c r="D81" s="34" t="str">
        <x:v>P1</x:v>
      </x:c>
      <x:c r="E81" s="34" t="n">
        <x:v>2030</x:v>
      </x:c>
      <x:c r="F81" s="34" t="n">
        <x:v>1</x:v>
      </x:c>
      <x:c r="G81" s="34" t="n">
        <x:v>8.1</x:v>
      </x:c>
      <x:c r="H81" s="34" t="n">
        <x:v>15</x:v>
      </x:c>
      <x:c r="I81" s="34" t="n">
        <x:v>6.9</x:v>
      </x:c>
      <x:c r="J81" s="34" t="n">
        <x:v>54</x:v>
      </x:c>
      <x:c r="K81" s="34" t="n">
        <x:v>0</x:v>
      </x:c>
      <x:c r="L81" s="34" t="n">
        <x:v>0.9</x:v>
      </x:c>
      <x:c r="M81" s="34" t="n">
        <x:v>0.9</x:v>
      </x:c>
      <x:c r="N81" s="34" t="n">
        <x:v>0</x:v>
      </x:c>
      <x:c r="O81" s="34" t="n">
        <x:v>5.04</x:v>
      </x:c>
      <x:c r="P81" s="34" t="n">
        <x:v>10</x:v>
      </x:c>
      <x:c r="Q81" s="34" t="n">
        <x:v>4.96</x:v>
      </x:c>
      <x:c r="R81" s="34" t="n">
        <x:v>50.4</x:v>
      </x:c>
      <x:c r="S81" s="40" t="b">
        <x:v>1</x:v>
      </x:c>
      <x:c r="T81" s="34" t="str">
        <x:v>model_interpolation</x:v>
      </x:c>
      <x:c r="U81" s="34" t="str">
        <x:v>Linear interpolation from 2030 to 2035</x:v>
      </x:c>
      <x:c r="V81" s="34" t="str">
        <x:v>CAND-18F73BD54A9F34</x:v>
      </x:c>
      <x:c r="W81" s="34" t="str">
        <x:v>P1</x:v>
      </x:c>
      <x:c r="X81" s="34" t="str">
        <x:v>PORT-6742936593A9</x:v>
      </x:c>
      <x:c r="Y81" s="34" t="n">
        <x:v>1000</x:v>
      </x:c>
      <x:c r="Z81" s="34" t="n">
        <x:v>76.756785</x:v>
      </x:c>
      <x:c r="AA81" s="34" t="n">
        <x:v>27.904392</x:v>
      </x:c>
      <x:c r="AB81" s="34" t="n">
        <x:v>454.753949</x:v>
      </x:c>
      <x:c r="AC81" s="34" t="n">
        <x:v>33926.565</x:v>
      </x:c>
      <x:c r="AD81" s="34" t="n">
        <x:v>74.604223</x:v>
      </x:c>
      <x:c r="AE81" s="40" t="b">
        <x:v>1</x:v>
      </x:c>
      <x:c r="AF81" s="40" t="b">
        <x:v>1</x:v>
      </x:c>
      <x:c r="AG81" s="34" t="str"/>
      <x:c r="AH81" s="34" t="n">
        <x:v>0</x:v>
      </x:c>
      <x:c r="AI81" s="34" t="str">
        <x:v>3.446647212967946e-06</x:v>
      </x:c>
      <x:c r="AJ81" s="40" t="b">
        <x:v>1</x:v>
      </x:c>
      <x:c r="AK81" s="40" t="b">
        <x:v>1</x:v>
      </x:c>
      <x:c r="AL81" s="40" t="b">
        <x:v>1</x:v>
      </x:c>
      <x:c r="AM81" s="40" t="b">
        <x:v>1</x:v>
      </x:c>
      <x:c r="AN81" s="34" t="str"/>
      <x:c r="AO81" s="34" t="n">
        <x:v>0</x:v>
      </x:c>
      <x:c r="AP81" s="34" t="n">
        <x:v>0</x:v>
      </x:c>
      <x:c r="AQ81" s="34" t="n">
        <x:v>0</x:v>
      </x:c>
      <x:c r="AR81" s="34" t="n">
        <x:v>2</x:v>
      </x:c>
      <x:c r="AS81" s="34" t="n">
        <x:v>2</x:v>
      </x:c>
      <x:c r="AT81" s="34" t="n">
        <x:v>0.47641018879999986</x:v>
      </x:c>
      <x:c r="AU81" s="34" t="n">
        <x:v>0.65</x:v>
      </x:c>
      <x:c r="AV81" s="34" t="n">
        <x:v>2.16</x:v>
      </x:c>
    </x:row>
    <x:row r="82">
      <x:c r="A82" s="34" t="str">
        <x:v>NIPPON_STEEL_JP</x:v>
      </x:c>
      <x:c r="B82" s="34" t="str">
        <x:v>Nippon Steel</x:v>
      </x:c>
      <x:c r="C82" s="34" t="str">
        <x:v>ACCELERATED_15C</x:v>
      </x:c>
      <x:c r="D82" s="34" t="str">
        <x:v>P1</x:v>
      </x:c>
      <x:c r="E82" s="34" t="n">
        <x:v>2031</x:v>
      </x:c>
      <x:c r="F82" s="34" t="n">
        <x:v>1</x:v>
      </x:c>
      <x:c r="G82" s="34" t="n">
        <x:v>8.1</x:v>
      </x:c>
      <x:c r="H82" s="34" t="n">
        <x:v>16.6</x:v>
      </x:c>
      <x:c r="I82" s="34" t="n">
        <x:v>8.5</x:v>
      </x:c>
      <x:c r="J82" s="34" t="n">
        <x:v>48.795</x:v>
      </x:c>
      <x:c r="K82" s="34" t="n">
        <x:v>0</x:v>
      </x:c>
      <x:c r="L82" s="34" t="n">
        <x:v>1.2200000000000002</x:v>
      </x:c>
      <x:c r="M82" s="34" t="n">
        <x:v>1.22</x:v>
      </x:c>
      <x:c r="N82" s="34" t="n">
        <x:v>0</x:v>
      </x:c>
      <x:c r="O82" s="34" t="n">
        <x:v>5.04</x:v>
      </x:c>
      <x:c r="P82" s="34" t="n">
        <x:v>12</x:v>
      </x:c>
      <x:c r="Q82" s="34" t="n">
        <x:v>6.96</x:v>
      </x:c>
      <x:c r="R82" s="34" t="n">
        <x:v>42</x:v>
      </x:c>
      <x:c r="S82" s="40" t="b">
        <x:v>1</x:v>
      </x:c>
      <x:c r="T82" s="34" t="str">
        <x:v>model_interpolation</x:v>
      </x:c>
      <x:c r="U82" s="34" t="str">
        <x:v>Linear interpolation from 2030 to 2035</x:v>
      </x:c>
      <x:c r="V82" s="34" t="str">
        <x:v>CAND-18F73BD54A9F34</x:v>
      </x:c>
      <x:c r="W82" s="34" t="str">
        <x:v>P1</x:v>
      </x:c>
      <x:c r="X82" s="34" t="str">
        <x:v>PORT-6742936593A9</x:v>
      </x:c>
      <x:c r="Y82" s="34" t="n">
        <x:v>1000</x:v>
      </x:c>
      <x:c r="Z82" s="34" t="n">
        <x:v>76.756785</x:v>
      </x:c>
      <x:c r="AA82" s="34" t="n">
        <x:v>27.904392</x:v>
      </x:c>
      <x:c r="AB82" s="34" t="n">
        <x:v>454.753949</x:v>
      </x:c>
      <x:c r="AC82" s="34" t="n">
        <x:v>33926.565</x:v>
      </x:c>
      <x:c r="AD82" s="34" t="n">
        <x:v>74.604223</x:v>
      </x:c>
      <x:c r="AE82" s="40" t="b">
        <x:v>1</x:v>
      </x:c>
      <x:c r="AF82" s="40" t="b">
        <x:v>1</x:v>
      </x:c>
      <x:c r="AG82" s="34" t="str"/>
      <x:c r="AH82" s="34" t="n">
        <x:v>0</x:v>
      </x:c>
      <x:c r="AI82" s="34" t="str">
        <x:v>3.446647212967946e-06</x:v>
      </x:c>
      <x:c r="AJ82" s="40" t="b">
        <x:v>1</x:v>
      </x:c>
      <x:c r="AK82" s="40" t="b">
        <x:v>1</x:v>
      </x:c>
      <x:c r="AL82" s="40" t="b">
        <x:v>1</x:v>
      </x:c>
      <x:c r="AM82" s="40" t="b">
        <x:v>1</x:v>
      </x:c>
      <x:c r="AN82" s="34" t="str"/>
      <x:c r="AO82" s="34" t="n">
        <x:v>0</x:v>
      </x:c>
      <x:c r="AP82" s="34" t="n">
        <x:v>0</x:v>
      </x:c>
      <x:c r="AQ82" s="34" t="n">
        <x:v>0</x:v>
      </x:c>
      <x:c r="AR82" s="34" t="n">
        <x:v>2</x:v>
      </x:c>
      <x:c r="AS82" s="34" t="n">
        <x:v>2</x:v>
      </x:c>
      <x:c r="AT82" s="34" t="n">
        <x:v>0.47641018879999986</x:v>
      </x:c>
      <x:c r="AU82" s="34" t="n">
        <x:v>0.65</x:v>
      </x:c>
      <x:c r="AV82" s="34" t="n">
        <x:v>2.16</x:v>
      </x:c>
    </x:row>
    <x:row r="83">
      <x:c r="A83" s="34" t="str">
        <x:v>NIPPON_STEEL_JP</x:v>
      </x:c>
      <x:c r="B83" s="34" t="str">
        <x:v>Nippon Steel</x:v>
      </x:c>
      <x:c r="C83" s="34" t="str">
        <x:v>ACCELERATED_15C</x:v>
      </x:c>
      <x:c r="D83" s="34" t="str">
        <x:v>P1</x:v>
      </x:c>
      <x:c r="E83" s="34" t="n">
        <x:v>2032</x:v>
      </x:c>
      <x:c r="F83" s="34" t="n">
        <x:v>2</x:v>
      </x:c>
      <x:c r="G83" s="34" t="n">
        <x:v>13.679998</x:v>
      </x:c>
      <x:c r="H83" s="34" t="n">
        <x:v>18.2</x:v>
      </x:c>
      <x:c r="I83" s="34" t="n">
        <x:v>4.520002</x:v>
      </x:c>
      <x:c r="J83" s="34" t="n">
        <x:v>75.165</x:v>
      </x:c>
      <x:c r="K83" s="34" t="n">
        <x:v>0</x:v>
      </x:c>
      <x:c r="L83" s="34" t="n">
        <x:v>1.54</x:v>
      </x:c>
      <x:c r="M83" s="34" t="n">
        <x:v>1.54</x:v>
      </x:c>
      <x:c r="N83" s="34" t="n">
        <x:v>0</x:v>
      </x:c>
      <x:c r="O83" s="34" t="n">
        <x:v>8.511999</x:v>
      </x:c>
      <x:c r="P83" s="34" t="n">
        <x:v>14</x:v>
      </x:c>
      <x:c r="Q83" s="34" t="n">
        <x:v>5.488001</x:v>
      </x:c>
      <x:c r="R83" s="34" t="n">
        <x:v>60.8</x:v>
      </x:c>
      <x:c r="S83" s="40" t="b">
        <x:v>1</x:v>
      </x:c>
      <x:c r="T83" s="34" t="str">
        <x:v>model_interpolation</x:v>
      </x:c>
      <x:c r="U83" s="34" t="str">
        <x:v>Linear interpolation from 2030 to 2035</x:v>
      </x:c>
      <x:c r="V83" s="34" t="str">
        <x:v>CAND-18F73BD54A9F34</x:v>
      </x:c>
      <x:c r="W83" s="34" t="str">
        <x:v>P1</x:v>
      </x:c>
      <x:c r="X83" s="34" t="str">
        <x:v>PORT-6742936593A9</x:v>
      </x:c>
      <x:c r="Y83" s="34" t="n">
        <x:v>1000</x:v>
      </x:c>
      <x:c r="Z83" s="34" t="n">
        <x:v>76.756785</x:v>
      </x:c>
      <x:c r="AA83" s="34" t="n">
        <x:v>27.904392</x:v>
      </x:c>
      <x:c r="AB83" s="34" t="n">
        <x:v>454.753949</x:v>
      </x:c>
      <x:c r="AC83" s="34" t="n">
        <x:v>33926.565</x:v>
      </x:c>
      <x:c r="AD83" s="34" t="n">
        <x:v>74.604223</x:v>
      </x:c>
      <x:c r="AE83" s="40" t="b">
        <x:v>1</x:v>
      </x:c>
      <x:c r="AF83" s="40" t="b">
        <x:v>1</x:v>
      </x:c>
      <x:c r="AG83" s="34" t="str"/>
      <x:c r="AH83" s="34" t="n">
        <x:v>0</x:v>
      </x:c>
      <x:c r="AI83" s="34" t="str">
        <x:v>3.446647212967946e-06</x:v>
      </x:c>
      <x:c r="AJ83" s="40" t="b">
        <x:v>1</x:v>
      </x:c>
      <x:c r="AK83" s="40" t="b">
        <x:v>1</x:v>
      </x:c>
      <x:c r="AL83" s="40" t="b">
        <x:v>1</x:v>
      </x:c>
      <x:c r="AM83" s="40" t="b">
        <x:v>1</x:v>
      </x:c>
      <x:c r="AN83" s="34" t="str"/>
      <x:c r="AO83" s="34" t="n">
        <x:v>0</x:v>
      </x:c>
      <x:c r="AP83" s="34" t="n">
        <x:v>0</x:v>
      </x:c>
      <x:c r="AQ83" s="34" t="n">
        <x:v>0</x:v>
      </x:c>
      <x:c r="AR83" s="34" t="n">
        <x:v>2</x:v>
      </x:c>
      <x:c r="AS83" s="34" t="n">
        <x:v>2</x:v>
      </x:c>
      <x:c r="AT83" s="34" t="n">
        <x:v>0.47641018879999986</x:v>
      </x:c>
      <x:c r="AU83" s="34" t="n">
        <x:v>0.65</x:v>
      </x:c>
      <x:c r="AV83" s="34" t="n">
        <x:v>2.16</x:v>
      </x:c>
    </x:row>
    <x:row r="84">
      <x:c r="A84" s="34" t="str">
        <x:v>NIPPON_STEEL_JP</x:v>
      </x:c>
      <x:c r="B84" s="34" t="str">
        <x:v>Nippon Steel</x:v>
      </x:c>
      <x:c r="C84" s="34" t="str">
        <x:v>ACCELERATED_15C</x:v>
      </x:c>
      <x:c r="D84" s="34" t="str">
        <x:v>P1</x:v>
      </x:c>
      <x:c r="E84" s="34" t="n">
        <x:v>2033</x:v>
      </x:c>
      <x:c r="F84" s="34" t="n">
        <x:v>2</x:v>
      </x:c>
      <x:c r="G84" s="34" t="n">
        <x:v>13.679998</x:v>
      </x:c>
      <x:c r="H84" s="34" t="n">
        <x:v>19.8</x:v>
      </x:c>
      <x:c r="I84" s="34" t="n">
        <x:v>6.120002</x:v>
      </x:c>
      <x:c r="J84" s="34" t="n">
        <x:v>69.091</x:v>
      </x:c>
      <x:c r="K84" s="34" t="n">
        <x:v>0</x:v>
      </x:c>
      <x:c r="L84" s="34" t="n">
        <x:v>1.8599999999999999</x:v>
      </x:c>
      <x:c r="M84" s="34" t="n">
        <x:v>1.86</x:v>
      </x:c>
      <x:c r="N84" s="34" t="n">
        <x:v>0</x:v>
      </x:c>
      <x:c r="O84" s="34" t="n">
        <x:v>8.511999</x:v>
      </x:c>
      <x:c r="P84" s="34" t="n">
        <x:v>16</x:v>
      </x:c>
      <x:c r="Q84" s="34" t="n">
        <x:v>7.488001</x:v>
      </x:c>
      <x:c r="R84" s="34" t="n">
        <x:v>53.2</x:v>
      </x:c>
      <x:c r="S84" s="40" t="b">
        <x:v>1</x:v>
      </x:c>
      <x:c r="T84" s="34" t="str">
        <x:v>model_interpolation</x:v>
      </x:c>
      <x:c r="U84" s="34" t="str">
        <x:v>Linear interpolation from 2030 to 2035</x:v>
      </x:c>
      <x:c r="V84" s="34" t="str">
        <x:v>CAND-18F73BD54A9F34</x:v>
      </x:c>
      <x:c r="W84" s="34" t="str">
        <x:v>P1</x:v>
      </x:c>
      <x:c r="X84" s="34" t="str">
        <x:v>PORT-6742936593A9</x:v>
      </x:c>
      <x:c r="Y84" s="34" t="n">
        <x:v>1000</x:v>
      </x:c>
      <x:c r="Z84" s="34" t="n">
        <x:v>76.756785</x:v>
      </x:c>
      <x:c r="AA84" s="34" t="n">
        <x:v>27.904392</x:v>
      </x:c>
      <x:c r="AB84" s="34" t="n">
        <x:v>454.753949</x:v>
      </x:c>
      <x:c r="AC84" s="34" t="n">
        <x:v>33926.565</x:v>
      </x:c>
      <x:c r="AD84" s="34" t="n">
        <x:v>74.604223</x:v>
      </x:c>
      <x:c r="AE84" s="40" t="b">
        <x:v>1</x:v>
      </x:c>
      <x:c r="AF84" s="40" t="b">
        <x:v>1</x:v>
      </x:c>
      <x:c r="AG84" s="34" t="str"/>
      <x:c r="AH84" s="34" t="n">
        <x:v>0</x:v>
      </x:c>
      <x:c r="AI84" s="34" t="str">
        <x:v>3.446647212967946e-06</x:v>
      </x:c>
      <x:c r="AJ84" s="40" t="b">
        <x:v>1</x:v>
      </x:c>
      <x:c r="AK84" s="40" t="b">
        <x:v>1</x:v>
      </x:c>
      <x:c r="AL84" s="40" t="b">
        <x:v>1</x:v>
      </x:c>
      <x:c r="AM84" s="40" t="b">
        <x:v>1</x:v>
      </x:c>
      <x:c r="AN84" s="34" t="str"/>
      <x:c r="AO84" s="34" t="n">
        <x:v>0</x:v>
      </x:c>
      <x:c r="AP84" s="34" t="n">
        <x:v>0</x:v>
      </x:c>
      <x:c r="AQ84" s="34" t="n">
        <x:v>0</x:v>
      </x:c>
      <x:c r="AR84" s="34" t="n">
        <x:v>2</x:v>
      </x:c>
      <x:c r="AS84" s="34" t="n">
        <x:v>2</x:v>
      </x:c>
      <x:c r="AT84" s="34" t="n">
        <x:v>0.47641018879999986</x:v>
      </x:c>
      <x:c r="AU84" s="34" t="n">
        <x:v>0.65</x:v>
      </x:c>
      <x:c r="AV84" s="34" t="n">
        <x:v>2.16</x:v>
      </x:c>
    </x:row>
    <x:row r="85">
      <x:c r="A85" s="34" t="str">
        <x:v>NIPPON_STEEL_JP</x:v>
      </x:c>
      <x:c r="B85" s="34" t="str">
        <x:v>Nippon Steel</x:v>
      </x:c>
      <x:c r="C85" s="34" t="str">
        <x:v>ACCELERATED_15C</x:v>
      </x:c>
      <x:c r="D85" s="34" t="str">
        <x:v>P1</x:v>
      </x:c>
      <x:c r="E85" s="34" t="n">
        <x:v>2034</x:v>
      </x:c>
      <x:c r="F85" s="34" t="n">
        <x:v>3</x:v>
      </x:c>
      <x:c r="G85" s="34" t="n">
        <x:v>14.759998</x:v>
      </x:c>
      <x:c r="H85" s="34" t="n">
        <x:v>21.4</x:v>
      </x:c>
      <x:c r="I85" s="34" t="n">
        <x:v>6.640002</x:v>
      </x:c>
      <x:c r="J85" s="34" t="n">
        <x:v>68.972</x:v>
      </x:c>
      <x:c r="K85" s="34" t="n">
        <x:v>0.396</x:v>
      </x:c>
      <x:c r="L85" s="34" t="n">
        <x:v>2.18</x:v>
      </x:c>
      <x:c r="M85" s="34" t="n">
        <x:v>1.784</x:v>
      </x:c>
      <x:c r="N85" s="34" t="n">
        <x:v>18.165</x:v>
      </x:c>
      <x:c r="O85" s="34" t="n">
        <x:v>11.823999</x:v>
      </x:c>
      <x:c r="P85" s="34" t="n">
        <x:v>18</x:v>
      </x:c>
      <x:c r="Q85" s="34" t="n">
        <x:v>6.176001</x:v>
      </x:c>
      <x:c r="R85" s="34" t="n">
        <x:v>65.689</x:v>
      </x:c>
      <x:c r="S85" s="40" t="b">
        <x:v>1</x:v>
      </x:c>
      <x:c r="T85" s="34" t="str">
        <x:v>model_interpolation</x:v>
      </x:c>
      <x:c r="U85" s="34" t="str">
        <x:v>Linear interpolation from 2030 to 2035</x:v>
      </x:c>
      <x:c r="V85" s="34" t="str">
        <x:v>CAND-18F73BD54A9F34</x:v>
      </x:c>
      <x:c r="W85" s="34" t="str">
        <x:v>P1</x:v>
      </x:c>
      <x:c r="X85" s="34" t="str">
        <x:v>PORT-6742936593A9</x:v>
      </x:c>
      <x:c r="Y85" s="34" t="n">
        <x:v>1000</x:v>
      </x:c>
      <x:c r="Z85" s="34" t="n">
        <x:v>76.756785</x:v>
      </x:c>
      <x:c r="AA85" s="34" t="n">
        <x:v>27.904392</x:v>
      </x:c>
      <x:c r="AB85" s="34" t="n">
        <x:v>454.753949</x:v>
      </x:c>
      <x:c r="AC85" s="34" t="n">
        <x:v>33926.565</x:v>
      </x:c>
      <x:c r="AD85" s="34" t="n">
        <x:v>74.604223</x:v>
      </x:c>
      <x:c r="AE85" s="40" t="b">
        <x:v>1</x:v>
      </x:c>
      <x:c r="AF85" s="40" t="b">
        <x:v>1</x:v>
      </x:c>
      <x:c r="AG85" s="34" t="str"/>
      <x:c r="AH85" s="34" t="n">
        <x:v>0</x:v>
      </x:c>
      <x:c r="AI85" s="34" t="str">
        <x:v>3.446647212967946e-06</x:v>
      </x:c>
      <x:c r="AJ85" s="40" t="b">
        <x:v>1</x:v>
      </x:c>
      <x:c r="AK85" s="40" t="b">
        <x:v>1</x:v>
      </x:c>
      <x:c r="AL85" s="40" t="b">
        <x:v>1</x:v>
      </x:c>
      <x:c r="AM85" s="40" t="b">
        <x:v>1</x:v>
      </x:c>
      <x:c r="AN85" s="34" t="str"/>
      <x:c r="AO85" s="34" t="n">
        <x:v>0</x:v>
      </x:c>
      <x:c r="AP85" s="34" t="n">
        <x:v>0</x:v>
      </x:c>
      <x:c r="AQ85" s="34" t="n">
        <x:v>0</x:v>
      </x:c>
      <x:c r="AR85" s="34" t="n">
        <x:v>2</x:v>
      </x:c>
      <x:c r="AS85" s="34" t="n">
        <x:v>2</x:v>
      </x:c>
      <x:c r="AT85" s="34" t="n">
        <x:v>0.47641018879999986</x:v>
      </x:c>
      <x:c r="AU85" s="34" t="n">
        <x:v>0.65</x:v>
      </x:c>
      <x:c r="AV85" s="34" t="n">
        <x:v>2.16</x:v>
      </x:c>
    </x:row>
    <x:row r="86">
      <x:c r="A86" s="34" t="str">
        <x:v>NIPPON_STEEL_JP</x:v>
      </x:c>
      <x:c r="B86" s="34" t="str">
        <x:v>Nippon Steel</x:v>
      </x:c>
      <x:c r="C86" s="34" t="str">
        <x:v>ACCELERATED_15C</x:v>
      </x:c>
      <x:c r="D86" s="34" t="str">
        <x:v>P1</x:v>
      </x:c>
      <x:c r="E86" s="34" t="n">
        <x:v>2035</x:v>
      </x:c>
      <x:c r="F86" s="34" t="n">
        <x:v>3</x:v>
      </x:c>
      <x:c r="G86" s="34" t="n">
        <x:v>14.759998</x:v>
      </x:c>
      <x:c r="H86" s="34" t="n">
        <x:v>23</x:v>
      </x:c>
      <x:c r="I86" s="34" t="n">
        <x:v>8.240002</x:v>
      </x:c>
      <x:c r="J86" s="34" t="n">
        <x:v>64.174</x:v>
      </x:c>
      <x:c r="K86" s="34" t="n">
        <x:v>0.396</x:v>
      </x:c>
      <x:c r="L86" s="34" t="n">
        <x:v>2.5</x:v>
      </x:c>
      <x:c r="M86" s="34" t="n">
        <x:v>2.104</x:v>
      </x:c>
      <x:c r="N86" s="34" t="n">
        <x:v>15.84</x:v>
      </x:c>
      <x:c r="O86" s="34" t="n">
        <x:v>11.823999</x:v>
      </x:c>
      <x:c r="P86" s="34" t="n">
        <x:v>20</x:v>
      </x:c>
      <x:c r="Q86" s="34" t="n">
        <x:v>8.176001</x:v>
      </x:c>
      <x:c r="R86" s="34" t="n">
        <x:v>59.12</x:v>
      </x:c>
      <x:c r="S86" s="40" t="b">
        <x:v>1</x:v>
      </x:c>
      <x:c r="T86" s="34" t="str">
        <x:v>model_interpolation</x:v>
      </x:c>
      <x:c r="U86" s="34" t="str">
        <x:v>Linear interpolation from 2035 to 2040</x:v>
      </x:c>
      <x:c r="V86" s="34" t="str">
        <x:v>CAND-18F73BD54A9F34</x:v>
      </x:c>
      <x:c r="W86" s="34" t="str">
        <x:v>P1</x:v>
      </x:c>
      <x:c r="X86" s="34" t="str">
        <x:v>PORT-6742936593A9</x:v>
      </x:c>
      <x:c r="Y86" s="34" t="n">
        <x:v>1000</x:v>
      </x:c>
      <x:c r="Z86" s="34" t="n">
        <x:v>76.756785</x:v>
      </x:c>
      <x:c r="AA86" s="34" t="n">
        <x:v>27.904392</x:v>
      </x:c>
      <x:c r="AB86" s="34" t="n">
        <x:v>454.753949</x:v>
      </x:c>
      <x:c r="AC86" s="34" t="n">
        <x:v>33926.565</x:v>
      </x:c>
      <x:c r="AD86" s="34" t="n">
        <x:v>74.604223</x:v>
      </x:c>
      <x:c r="AE86" s="40" t="b">
        <x:v>1</x:v>
      </x:c>
      <x:c r="AF86" s="40" t="b">
        <x:v>1</x:v>
      </x:c>
      <x:c r="AG86" s="34" t="str"/>
      <x:c r="AH86" s="34" t="n">
        <x:v>0</x:v>
      </x:c>
      <x:c r="AI86" s="34" t="str">
        <x:v>3.446647212967946e-06</x:v>
      </x:c>
      <x:c r="AJ86" s="40" t="b">
        <x:v>1</x:v>
      </x:c>
      <x:c r="AK86" s="40" t="b">
        <x:v>1</x:v>
      </x:c>
      <x:c r="AL86" s="40" t="b">
        <x:v>1</x:v>
      </x:c>
      <x:c r="AM86" s="40" t="b">
        <x:v>1</x:v>
      </x:c>
      <x:c r="AN86" s="34" t="str"/>
      <x:c r="AO86" s="34" t="n">
        <x:v>0</x:v>
      </x:c>
      <x:c r="AP86" s="34" t="n">
        <x:v>0</x:v>
      </x:c>
      <x:c r="AQ86" s="34" t="n">
        <x:v>0</x:v>
      </x:c>
      <x:c r="AR86" s="34" t="n">
        <x:v>2</x:v>
      </x:c>
      <x:c r="AS86" s="34" t="n">
        <x:v>2</x:v>
      </x:c>
      <x:c r="AT86" s="34" t="n">
        <x:v>0.47641018879999986</x:v>
      </x:c>
      <x:c r="AU86" s="34" t="n">
        <x:v>0.65</x:v>
      </x:c>
      <x:c r="AV86" s="34" t="n">
        <x:v>2.16</x:v>
      </x:c>
    </x:row>
    <x:row r="87">
      <x:c r="A87" s="34" t="str">
        <x:v>NIPPON_STEEL_JP</x:v>
      </x:c>
      <x:c r="B87" s="34" t="str">
        <x:v>Nippon Steel</x:v>
      </x:c>
      <x:c r="C87" s="34" t="str">
        <x:v>ACCELERATED_15C</x:v>
      </x:c>
      <x:c r="D87" s="34" t="str">
        <x:v>P1</x:v>
      </x:c>
      <x:c r="E87" s="34" t="n">
        <x:v>2036</x:v>
      </x:c>
      <x:c r="F87" s="34" t="n">
        <x:v>4</x:v>
      </x:c>
      <x:c r="G87" s="34" t="n">
        <x:v>15.599998</x:v>
      </x:c>
      <x:c r="H87" s="34" t="n">
        <x:v>24.4</x:v>
      </x:c>
      <x:c r="I87" s="34" t="n">
        <x:v>8.800002</x:v>
      </x:c>
      <x:c r="J87" s="34" t="n">
        <x:v>63.934</x:v>
      </x:c>
      <x:c r="K87" s="34" t="n">
        <x:v>0.704</x:v>
      </x:c>
      <x:c r="L87" s="34" t="n">
        <x:v>2.9</x:v>
      </x:c>
      <x:c r="M87" s="34" t="n">
        <x:v>2.196</x:v>
      </x:c>
      <x:c r="N87" s="34" t="n">
        <x:v>24.276</x:v>
      </x:c>
      <x:c r="O87" s="34" t="n">
        <x:v>14.4</x:v>
      </x:c>
      <x:c r="P87" s="34" t="n">
        <x:v>22.4</x:v>
      </x:c>
      <x:c r="Q87" s="34" t="n">
        <x:v>8</x:v>
      </x:c>
      <x:c r="R87" s="34" t="n">
        <x:v>64.286</x:v>
      </x:c>
      <x:c r="S87" s="40" t="b">
        <x:v>1</x:v>
      </x:c>
      <x:c r="T87" s="34" t="str">
        <x:v>model_interpolation</x:v>
      </x:c>
      <x:c r="U87" s="34" t="str">
        <x:v>Linear interpolation from 2035 to 2040</x:v>
      </x:c>
      <x:c r="V87" s="34" t="str">
        <x:v>CAND-18F73BD54A9F34</x:v>
      </x:c>
      <x:c r="W87" s="34" t="str">
        <x:v>P1</x:v>
      </x:c>
      <x:c r="X87" s="34" t="str">
        <x:v>PORT-6742936593A9</x:v>
      </x:c>
      <x:c r="Y87" s="34" t="n">
        <x:v>1000</x:v>
      </x:c>
      <x:c r="Z87" s="34" t="n">
        <x:v>76.756785</x:v>
      </x:c>
      <x:c r="AA87" s="34" t="n">
        <x:v>27.904392</x:v>
      </x:c>
      <x:c r="AB87" s="34" t="n">
        <x:v>454.753949</x:v>
      </x:c>
      <x:c r="AC87" s="34" t="n">
        <x:v>33926.565</x:v>
      </x:c>
      <x:c r="AD87" s="34" t="n">
        <x:v>74.604223</x:v>
      </x:c>
      <x:c r="AE87" s="40" t="b">
        <x:v>1</x:v>
      </x:c>
      <x:c r="AF87" s="40" t="b">
        <x:v>1</x:v>
      </x:c>
      <x:c r="AG87" s="34" t="str"/>
      <x:c r="AH87" s="34" t="n">
        <x:v>0</x:v>
      </x:c>
      <x:c r="AI87" s="34" t="str">
        <x:v>3.446647212967946e-06</x:v>
      </x:c>
      <x:c r="AJ87" s="40" t="b">
        <x:v>1</x:v>
      </x:c>
      <x:c r="AK87" s="40" t="b">
        <x:v>1</x:v>
      </x:c>
      <x:c r="AL87" s="40" t="b">
        <x:v>1</x:v>
      </x:c>
      <x:c r="AM87" s="40" t="b">
        <x:v>1</x:v>
      </x:c>
      <x:c r="AN87" s="34" t="str"/>
      <x:c r="AO87" s="34" t="n">
        <x:v>0</x:v>
      </x:c>
      <x:c r="AP87" s="34" t="n">
        <x:v>0</x:v>
      </x:c>
      <x:c r="AQ87" s="34" t="n">
        <x:v>0</x:v>
      </x:c>
      <x:c r="AR87" s="34" t="n">
        <x:v>2</x:v>
      </x:c>
      <x:c r="AS87" s="34" t="n">
        <x:v>2</x:v>
      </x:c>
      <x:c r="AT87" s="34" t="n">
        <x:v>0.47641018879999986</x:v>
      </x:c>
      <x:c r="AU87" s="34" t="n">
        <x:v>0.65</x:v>
      </x:c>
      <x:c r="AV87" s="34" t="n">
        <x:v>2.16</x:v>
      </x:c>
    </x:row>
    <x:row r="88">
      <x:c r="A88" s="34" t="str">
        <x:v>NIPPON_STEEL_JP</x:v>
      </x:c>
      <x:c r="B88" s="34" t="str">
        <x:v>Nippon Steel</x:v>
      </x:c>
      <x:c r="C88" s="34" t="str">
        <x:v>ACCELERATED_15C</x:v>
      </x:c>
      <x:c r="D88" s="34" t="str">
        <x:v>P1</x:v>
      </x:c>
      <x:c r="E88" s="34" t="n">
        <x:v>2037</x:v>
      </x:c>
      <x:c r="F88" s="34" t="n">
        <x:v>4</x:v>
      </x:c>
      <x:c r="G88" s="34" t="n">
        <x:v>15.599998</x:v>
      </x:c>
      <x:c r="H88" s="34" t="n">
        <x:v>25.8</x:v>
      </x:c>
      <x:c r="I88" s="34" t="n">
        <x:v>10.200002</x:v>
      </x:c>
      <x:c r="J88" s="34" t="n">
        <x:v>60.465</x:v>
      </x:c>
      <x:c r="K88" s="34" t="n">
        <x:v>0.704</x:v>
      </x:c>
      <x:c r="L88" s="34" t="n">
        <x:v>3.3</x:v>
      </x:c>
      <x:c r="M88" s="34" t="n">
        <x:v>2.596</x:v>
      </x:c>
      <x:c r="N88" s="34" t="n">
        <x:v>21.333</x:v>
      </x:c>
      <x:c r="O88" s="34" t="n">
        <x:v>14.4</x:v>
      </x:c>
      <x:c r="P88" s="34" t="n">
        <x:v>24.8</x:v>
      </x:c>
      <x:c r="Q88" s="34" t="n">
        <x:v>10.4</x:v>
      </x:c>
      <x:c r="R88" s="34" t="n">
        <x:v>58.065</x:v>
      </x:c>
      <x:c r="S88" s="40" t="b">
        <x:v>1</x:v>
      </x:c>
      <x:c r="T88" s="34" t="str">
        <x:v>model_interpolation</x:v>
      </x:c>
      <x:c r="U88" s="34" t="str">
        <x:v>Linear interpolation from 2035 to 2040</x:v>
      </x:c>
      <x:c r="V88" s="34" t="str">
        <x:v>CAND-18F73BD54A9F34</x:v>
      </x:c>
      <x:c r="W88" s="34" t="str">
        <x:v>P1</x:v>
      </x:c>
      <x:c r="X88" s="34" t="str">
        <x:v>PORT-6742936593A9</x:v>
      </x:c>
      <x:c r="Y88" s="34" t="n">
        <x:v>1000</x:v>
      </x:c>
      <x:c r="Z88" s="34" t="n">
        <x:v>76.756785</x:v>
      </x:c>
      <x:c r="AA88" s="34" t="n">
        <x:v>27.904392</x:v>
      </x:c>
      <x:c r="AB88" s="34" t="n">
        <x:v>454.753949</x:v>
      </x:c>
      <x:c r="AC88" s="34" t="n">
        <x:v>33926.565</x:v>
      </x:c>
      <x:c r="AD88" s="34" t="n">
        <x:v>74.604223</x:v>
      </x:c>
      <x:c r="AE88" s="40" t="b">
        <x:v>1</x:v>
      </x:c>
      <x:c r="AF88" s="40" t="b">
        <x:v>1</x:v>
      </x:c>
      <x:c r="AG88" s="34" t="str"/>
      <x:c r="AH88" s="34" t="n">
        <x:v>0</x:v>
      </x:c>
      <x:c r="AI88" s="34" t="str">
        <x:v>3.446647212967946e-06</x:v>
      </x:c>
      <x:c r="AJ88" s="40" t="b">
        <x:v>1</x:v>
      </x:c>
      <x:c r="AK88" s="40" t="b">
        <x:v>1</x:v>
      </x:c>
      <x:c r="AL88" s="40" t="b">
        <x:v>1</x:v>
      </x:c>
      <x:c r="AM88" s="40" t="b">
        <x:v>1</x:v>
      </x:c>
      <x:c r="AN88" s="34" t="str"/>
      <x:c r="AO88" s="34" t="n">
        <x:v>0</x:v>
      </x:c>
      <x:c r="AP88" s="34" t="n">
        <x:v>0</x:v>
      </x:c>
      <x:c r="AQ88" s="34" t="n">
        <x:v>0</x:v>
      </x:c>
      <x:c r="AR88" s="34" t="n">
        <x:v>2</x:v>
      </x:c>
      <x:c r="AS88" s="34" t="n">
        <x:v>2</x:v>
      </x:c>
      <x:c r="AT88" s="34" t="n">
        <x:v>0.47641018879999986</x:v>
      </x:c>
      <x:c r="AU88" s="34" t="n">
        <x:v>0.65</x:v>
      </x:c>
      <x:c r="AV88" s="34" t="n">
        <x:v>2.16</x:v>
      </x:c>
    </x:row>
    <x:row r="89">
      <x:c r="A89" s="34" t="str">
        <x:v>NIPPON_STEEL_JP</x:v>
      </x:c>
      <x:c r="B89" s="34" t="str">
        <x:v>Nippon Steel</x:v>
      </x:c>
      <x:c r="C89" s="34" t="str">
        <x:v>ACCELERATED_15C</x:v>
      </x:c>
      <x:c r="D89" s="34" t="str">
        <x:v>P1</x:v>
      </x:c>
      <x:c r="E89" s="34" t="n">
        <x:v>2038</x:v>
      </x:c>
      <x:c r="F89" s="34" t="n">
        <x:v>5</x:v>
      </x:c>
      <x:c r="G89" s="34" t="n">
        <x:v>21.269998</x:v>
      </x:c>
      <x:c r="H89" s="34" t="n">
        <x:v>27.2</x:v>
      </x:c>
      <x:c r="I89" s="34" t="n">
        <x:v>5.930002</x:v>
      </x:c>
      <x:c r="J89" s="34" t="n">
        <x:v>78.199</x:v>
      </x:c>
      <x:c r="K89" s="34" t="n">
        <x:v>0.704</x:v>
      </x:c>
      <x:c r="L89" s="34" t="n">
        <x:v>3.7</x:v>
      </x:c>
      <x:c r="M89" s="34" t="n">
        <x:v>2.996</x:v>
      </x:c>
      <x:c r="N89" s="34" t="n">
        <x:v>19.027</x:v>
      </x:c>
      <x:c r="O89" s="34" t="n">
        <x:v>17.928</x:v>
      </x:c>
      <x:c r="P89" s="34" t="n">
        <x:v>27.2</x:v>
      </x:c>
      <x:c r="Q89" s="34" t="n">
        <x:v>9.272</x:v>
      </x:c>
      <x:c r="R89" s="34" t="n">
        <x:v>65.912</x:v>
      </x:c>
      <x:c r="S89" s="40" t="b">
        <x:v>1</x:v>
      </x:c>
      <x:c r="T89" s="34" t="str">
        <x:v>model_interpolation</x:v>
      </x:c>
      <x:c r="U89" s="34" t="str">
        <x:v>Linear interpolation from 2035 to 2040</x:v>
      </x:c>
      <x:c r="V89" s="34" t="str">
        <x:v>CAND-18F73BD54A9F34</x:v>
      </x:c>
      <x:c r="W89" s="34" t="str">
        <x:v>P1</x:v>
      </x:c>
      <x:c r="X89" s="34" t="str">
        <x:v>PORT-6742936593A9</x:v>
      </x:c>
      <x:c r="Y89" s="34" t="n">
        <x:v>1000</x:v>
      </x:c>
      <x:c r="Z89" s="34" t="n">
        <x:v>76.756785</x:v>
      </x:c>
      <x:c r="AA89" s="34" t="n">
        <x:v>27.904392</x:v>
      </x:c>
      <x:c r="AB89" s="34" t="n">
        <x:v>454.753949</x:v>
      </x:c>
      <x:c r="AC89" s="34" t="n">
        <x:v>33926.565</x:v>
      </x:c>
      <x:c r="AD89" s="34" t="n">
        <x:v>74.604223</x:v>
      </x:c>
      <x:c r="AE89" s="40" t="b">
        <x:v>1</x:v>
      </x:c>
      <x:c r="AF89" s="40" t="b">
        <x:v>1</x:v>
      </x:c>
      <x:c r="AG89" s="34" t="str"/>
      <x:c r="AH89" s="34" t="n">
        <x:v>0</x:v>
      </x:c>
      <x:c r="AI89" s="34" t="str">
        <x:v>3.446647212967946e-06</x:v>
      </x:c>
      <x:c r="AJ89" s="40" t="b">
        <x:v>1</x:v>
      </x:c>
      <x:c r="AK89" s="40" t="b">
        <x:v>1</x:v>
      </x:c>
      <x:c r="AL89" s="40" t="b">
        <x:v>1</x:v>
      </x:c>
      <x:c r="AM89" s="40" t="b">
        <x:v>1</x:v>
      </x:c>
      <x:c r="AN89" s="34" t="str"/>
      <x:c r="AO89" s="34" t="n">
        <x:v>0</x:v>
      </x:c>
      <x:c r="AP89" s="34" t="n">
        <x:v>0</x:v>
      </x:c>
      <x:c r="AQ89" s="34" t="n">
        <x:v>0</x:v>
      </x:c>
      <x:c r="AR89" s="34" t="n">
        <x:v>2</x:v>
      </x:c>
      <x:c r="AS89" s="34" t="n">
        <x:v>2</x:v>
      </x:c>
      <x:c r="AT89" s="34" t="n">
        <x:v>0.47641018879999986</x:v>
      </x:c>
      <x:c r="AU89" s="34" t="n">
        <x:v>0.65</x:v>
      </x:c>
      <x:c r="AV89" s="34" t="n">
        <x:v>2.16</x:v>
      </x:c>
    </x:row>
    <x:row r="90">
      <x:c r="A90" s="34" t="str">
        <x:v>NIPPON_STEEL_JP</x:v>
      </x:c>
      <x:c r="B90" s="34" t="str">
        <x:v>Nippon Steel</x:v>
      </x:c>
      <x:c r="C90" s="34" t="str">
        <x:v>ACCELERATED_15C</x:v>
      </x:c>
      <x:c r="D90" s="34" t="str">
        <x:v>P1</x:v>
      </x:c>
      <x:c r="E90" s="34" t="n">
        <x:v>2039</x:v>
      </x:c>
      <x:c r="F90" s="34" t="n">
        <x:v>5</x:v>
      </x:c>
      <x:c r="G90" s="34" t="n">
        <x:v>21.269998</x:v>
      </x:c>
      <x:c r="H90" s="34" t="n">
        <x:v>28.6</x:v>
      </x:c>
      <x:c r="I90" s="34" t="n">
        <x:v>7.330002</x:v>
      </x:c>
      <x:c r="J90" s="34" t="n">
        <x:v>74.371</x:v>
      </x:c>
      <x:c r="K90" s="34" t="n">
        <x:v>0.704</x:v>
      </x:c>
      <x:c r="L90" s="34" t="n">
        <x:v>4.1</x:v>
      </x:c>
      <x:c r="M90" s="34" t="n">
        <x:v>3.396</x:v>
      </x:c>
      <x:c r="N90" s="34" t="n">
        <x:v>17.171</x:v>
      </x:c>
      <x:c r="O90" s="34" t="n">
        <x:v>17.928</x:v>
      </x:c>
      <x:c r="P90" s="34" t="n">
        <x:v>29.6</x:v>
      </x:c>
      <x:c r="Q90" s="34" t="n">
        <x:v>11.672</x:v>
      </x:c>
      <x:c r="R90" s="34" t="n">
        <x:v>60.568</x:v>
      </x:c>
      <x:c r="S90" s="40" t="b">
        <x:v>1</x:v>
      </x:c>
      <x:c r="T90" s="34" t="str">
        <x:v>model_interpolation</x:v>
      </x:c>
      <x:c r="U90" s="34" t="str">
        <x:v>Linear interpolation from 2035 to 2040</x:v>
      </x:c>
      <x:c r="V90" s="34" t="str">
        <x:v>CAND-18F73BD54A9F34</x:v>
      </x:c>
      <x:c r="W90" s="34" t="str">
        <x:v>P1</x:v>
      </x:c>
      <x:c r="X90" s="34" t="str">
        <x:v>PORT-6742936593A9</x:v>
      </x:c>
      <x:c r="Y90" s="34" t="n">
        <x:v>1000</x:v>
      </x:c>
      <x:c r="Z90" s="34" t="n">
        <x:v>76.756785</x:v>
      </x:c>
      <x:c r="AA90" s="34" t="n">
        <x:v>27.904392</x:v>
      </x:c>
      <x:c r="AB90" s="34" t="n">
        <x:v>454.753949</x:v>
      </x:c>
      <x:c r="AC90" s="34" t="n">
        <x:v>33926.565</x:v>
      </x:c>
      <x:c r="AD90" s="34" t="n">
        <x:v>74.604223</x:v>
      </x:c>
      <x:c r="AE90" s="40" t="b">
        <x:v>1</x:v>
      </x:c>
      <x:c r="AF90" s="40" t="b">
        <x:v>1</x:v>
      </x:c>
      <x:c r="AG90" s="34" t="str"/>
      <x:c r="AH90" s="34" t="n">
        <x:v>0</x:v>
      </x:c>
      <x:c r="AI90" s="34" t="str">
        <x:v>3.446647212967946e-06</x:v>
      </x:c>
      <x:c r="AJ90" s="40" t="b">
        <x:v>1</x:v>
      </x:c>
      <x:c r="AK90" s="40" t="b">
        <x:v>1</x:v>
      </x:c>
      <x:c r="AL90" s="40" t="b">
        <x:v>1</x:v>
      </x:c>
      <x:c r="AM90" s="40" t="b">
        <x:v>1</x:v>
      </x:c>
      <x:c r="AN90" s="34" t="str"/>
      <x:c r="AO90" s="34" t="n">
        <x:v>0</x:v>
      </x:c>
      <x:c r="AP90" s="34" t="n">
        <x:v>0</x:v>
      </x:c>
      <x:c r="AQ90" s="34" t="n">
        <x:v>0</x:v>
      </x:c>
      <x:c r="AR90" s="34" t="n">
        <x:v>2</x:v>
      </x:c>
      <x:c r="AS90" s="34" t="n">
        <x:v>2</x:v>
      </x:c>
      <x:c r="AT90" s="34" t="n">
        <x:v>0.47641018879999986</x:v>
      </x:c>
      <x:c r="AU90" s="34" t="n">
        <x:v>0.65</x:v>
      </x:c>
      <x:c r="AV90" s="34" t="n">
        <x:v>2.16</x:v>
      </x:c>
    </x:row>
    <x:row r="91">
      <x:c r="A91" s="34" t="str">
        <x:v>NIPPON_STEEL_JP</x:v>
      </x:c>
      <x:c r="B91" s="34" t="str">
        <x:v>Nippon Steel</x:v>
      </x:c>
      <x:c r="C91" s="34" t="str">
        <x:v>ACCELERATED_15C</x:v>
      </x:c>
      <x:c r="D91" s="34" t="str">
        <x:v>P1</x:v>
      </x:c>
      <x:c r="E91" s="34" t="n">
        <x:v>2040</x:v>
      </x:c>
      <x:c r="F91" s="34" t="n">
        <x:v>5</x:v>
      </x:c>
      <x:c r="G91" s="34" t="n">
        <x:v>21.269998</x:v>
      </x:c>
      <x:c r="H91" s="34" t="n">
        <x:v>30</x:v>
      </x:c>
      <x:c r="I91" s="34" t="n">
        <x:v>8.730002</x:v>
      </x:c>
      <x:c r="J91" s="34" t="n">
        <x:v>70.9</x:v>
      </x:c>
      <x:c r="K91" s="34" t="n">
        <x:v>0.704</x:v>
      </x:c>
      <x:c r="L91" s="34" t="n">
        <x:v>4.5</x:v>
      </x:c>
      <x:c r="M91" s="34" t="n">
        <x:v>3.796</x:v>
      </x:c>
      <x:c r="N91" s="34" t="n">
        <x:v>15.644</x:v>
      </x:c>
      <x:c r="O91" s="34" t="n">
        <x:v>17.928</x:v>
      </x:c>
      <x:c r="P91" s="34" t="n">
        <x:v>32</x:v>
      </x:c>
      <x:c r="Q91" s="34" t="n">
        <x:v>14.072</x:v>
      </x:c>
      <x:c r="R91" s="34" t="n">
        <x:v>56.025</x:v>
      </x:c>
      <x:c r="S91" s="40" t="b">
        <x:v>1</x:v>
      </x:c>
      <x:c r="T91" s="34" t="str">
        <x:v>model_estimate</x:v>
      </x:c>
      <x:c r="U91" s="34" t="str">
        <x:v>Illustrative accelerated envelope; not GCAM or an official supply forecast</x:v>
      </x:c>
      <x:c r="V91" s="34" t="str">
        <x:v>CAND-18F73BD54A9F34</x:v>
      </x:c>
      <x:c r="W91" s="34" t="str">
        <x:v>P1</x:v>
      </x:c>
      <x:c r="X91" s="34" t="str">
        <x:v>PORT-6742936593A9</x:v>
      </x:c>
      <x:c r="Y91" s="34" t="n">
        <x:v>1000</x:v>
      </x:c>
      <x:c r="Z91" s="34" t="n">
        <x:v>76.756785</x:v>
      </x:c>
      <x:c r="AA91" s="34" t="n">
        <x:v>27.904392</x:v>
      </x:c>
      <x:c r="AB91" s="34" t="n">
        <x:v>454.753949</x:v>
      </x:c>
      <x:c r="AC91" s="34" t="n">
        <x:v>33926.565</x:v>
      </x:c>
      <x:c r="AD91" s="34" t="n">
        <x:v>74.604223</x:v>
      </x:c>
      <x:c r="AE91" s="40" t="b">
        <x:v>1</x:v>
      </x:c>
      <x:c r="AF91" s="40" t="b">
        <x:v>1</x:v>
      </x:c>
      <x:c r="AG91" s="34" t="str"/>
      <x:c r="AH91" s="34" t="n">
        <x:v>0</x:v>
      </x:c>
      <x:c r="AI91" s="34" t="str">
        <x:v>3.446647212967946e-06</x:v>
      </x:c>
      <x:c r="AJ91" s="40" t="b">
        <x:v>1</x:v>
      </x:c>
      <x:c r="AK91" s="40" t="b">
        <x:v>1</x:v>
      </x:c>
      <x:c r="AL91" s="40" t="b">
        <x:v>1</x:v>
      </x:c>
      <x:c r="AM91" s="40" t="b">
        <x:v>1</x:v>
      </x:c>
      <x:c r="AN91" s="34" t="str"/>
      <x:c r="AO91" s="34" t="n">
        <x:v>0</x:v>
      </x:c>
      <x:c r="AP91" s="34" t="n">
        <x:v>0</x:v>
      </x:c>
      <x:c r="AQ91" s="34" t="n">
        <x:v>0</x:v>
      </x:c>
      <x:c r="AR91" s="34" t="n">
        <x:v>2</x:v>
      </x:c>
      <x:c r="AS91" s="34" t="n">
        <x:v>2</x:v>
      </x:c>
      <x:c r="AT91" s="34" t="n">
        <x:v>0.47641018879999986</x:v>
      </x:c>
      <x:c r="AU91" s="34" t="n">
        <x:v>0.65</x:v>
      </x:c>
      <x:c r="AV91" s="34" t="n">
        <x:v>2.16</x:v>
      </x:c>
    </x:row>
    <x:row r="92">
      <x:c r="A92" s="34" t="str">
        <x:v>POSCO_KR</x:v>
      </x:c>
      <x:c r="B92" s="34" t="str">
        <x:v>POSCO</x:v>
      </x:c>
      <x:c r="C92" s="34" t="str">
        <x:v>DISCLOSED_PATH</x:v>
      </x:c>
      <x:c r="D92" s="34" t="str">
        <x:v>P1</x:v>
      </x:c>
      <x:c r="E92" s="34" t="n">
        <x:v>2026</x:v>
      </x:c>
      <x:c r="F92" s="34" t="n">
        <x:v>0</x:v>
      </x:c>
      <x:c r="G92" s="34" t="n">
        <x:v>0</x:v>
      </x:c>
      <x:c r="H92" s="34" t="n">
        <x:v>8</x:v>
      </x:c>
      <x:c r="I92" s="34" t="n">
        <x:v>8</x:v>
      </x:c>
      <x:c r="J92" s="34" t="n">
        <x:v>0</x:v>
      </x:c>
      <x:c r="K92" s="34" t="n">
        <x:v>0</x:v>
      </x:c>
      <x:c r="L92" s="34" t="n">
        <x:v>0</x:v>
      </x:c>
      <x:c r="M92" s="34" t="n">
        <x:v>0</x:v>
      </x:c>
      <x:c r="N92" s="34" t="n">
        <x:v>0</x:v>
      </x:c>
      <x:c r="O92" s="34" t="n">
        <x:v>0</x:v>
      </x:c>
      <x:c r="P92" s="34" t="n">
        <x:v>2</x:v>
      </x:c>
      <x:c r="Q92" s="34" t="n">
        <x:v>2</x:v>
      </x:c>
      <x:c r="R92" s="34" t="n">
        <x:v>0</x:v>
      </x:c>
      <x:c r="S92" s="40" t="b">
        <x:v>1</x:v>
      </x:c>
      <x:c r="T92" s="34" t="str">
        <x:v>model_interpolation</x:v>
      </x:c>
      <x:c r="U92" s="34" t="str">
        <x:v>Linear interpolation from 2026 to 2030</x:v>
      </x:c>
      <x:c r="V92" s="34" t="str">
        <x:v>CAND-2F5D03A613EDBE</x:v>
      </x:c>
      <x:c r="W92" s="34" t="str">
        <x:v>P1</x:v>
      </x:c>
      <x:c r="X92" s="34" t="str">
        <x:v>PORT-0E469489028A</x:v>
      </x:c>
      <x:c r="Y92" s="34" t="n">
        <x:v>1000</x:v>
      </x:c>
      <x:c r="Z92" s="34" t="n">
        <x:v>8.976264</x:v>
      </x:c>
      <x:c r="AA92" s="34" t="n">
        <x:v>7.615491</x:v>
      </x:c>
      <x:c r="AB92" s="34" t="n">
        <x:v>261.543846</x:v>
      </x:c>
      <x:c r="AC92" s="34" t="n">
        <x:v>2124.876</x:v>
      </x:c>
      <x:c r="AD92" s="34" t="n">
        <x:v>8.124359</x:v>
      </x:c>
      <x:c r="AE92" s="40" t="b">
        <x:v>1</x:v>
      </x:c>
      <x:c r="AF92" s="40" t="b">
        <x:v>1</x:v>
      </x:c>
      <x:c r="AG92" s="34" t="str"/>
      <x:c r="AH92" s="34" t="n">
        <x:v>0</x:v>
      </x:c>
      <x:c r="AI92" s="34" t="str">
        <x:v>2.0275124185786808e-05</x:v>
      </x:c>
      <x:c r="AJ92" s="40" t="b">
        <x:v>1</x:v>
      </x:c>
      <x:c r="AK92" s="40" t="b">
        <x:v>1</x:v>
      </x:c>
      <x:c r="AL92" s="40" t="b">
        <x:v>1</x:v>
      </x:c>
      <x:c r="AM92" s="40" t="b">
        <x:v>1</x:v>
      </x:c>
      <x:c r="AN92" s="34" t="str"/>
      <x:c r="AO92" s="34" t="n">
        <x:v>0</x:v>
      </x:c>
      <x:c r="AP92" s="34" t="n">
        <x:v>0</x:v>
      </x:c>
      <x:c r="AQ92" s="34" t="n">
        <x:v>0</x:v>
      </x:c>
      <x:c r="AR92" s="34" t="n">
        <x:v>2</x:v>
      </x:c>
      <x:c r="AS92" s="34" t="n">
        <x:v>3</x:v>
      </x:c>
      <x:c r="AT92" s="34" t="n">
        <x:v>0.2589598719999999</x:v>
      </x:c>
      <x:c r="AU92" s="34" t="n">
        <x:v>0.65</x:v>
      </x:c>
      <x:c r="AV92" s="34" t="n">
        <x:v>0.7399999999999999</x:v>
      </x:c>
    </x:row>
    <x:row r="93">
      <x:c r="A93" s="34" t="str">
        <x:v>POSCO_KR</x:v>
      </x:c>
      <x:c r="B93" s="34" t="str">
        <x:v>POSCO</x:v>
      </x:c>
      <x:c r="C93" s="34" t="str">
        <x:v>DISCLOSED_PATH</x:v>
      </x:c>
      <x:c r="D93" s="34" t="str">
        <x:v>P1</x:v>
      </x:c>
      <x:c r="E93" s="34" t="n">
        <x:v>2027</x:v>
      </x:c>
      <x:c r="F93" s="34" t="n">
        <x:v>0</x:v>
      </x:c>
      <x:c r="G93" s="34" t="n">
        <x:v>0</x:v>
      </x:c>
      <x:c r="H93" s="34" t="n">
        <x:v>9</x:v>
      </x:c>
      <x:c r="I93" s="34" t="n">
        <x:v>9</x:v>
      </x:c>
      <x:c r="J93" s="34" t="n">
        <x:v>0</x:v>
      </x:c>
      <x:c r="K93" s="34" t="n">
        <x:v>0</x:v>
      </x:c>
      <x:c r="L93" s="34" t="n">
        <x:v>0.125</x:v>
      </x:c>
      <x:c r="M93" s="34" t="n">
        <x:v>0.125</x:v>
      </x:c>
      <x:c r="N93" s="34" t="n">
        <x:v>0</x:v>
      </x:c>
      <x:c r="O93" s="34" t="n">
        <x:v>0</x:v>
      </x:c>
      <x:c r="P93" s="34" t="n">
        <x:v>3.25</x:v>
      </x:c>
      <x:c r="Q93" s="34" t="n">
        <x:v>3.25</x:v>
      </x:c>
      <x:c r="R93" s="34" t="n">
        <x:v>0</x:v>
      </x:c>
      <x:c r="S93" s="40" t="b">
        <x:v>1</x:v>
      </x:c>
      <x:c r="T93" s="34" t="str">
        <x:v>model_interpolation</x:v>
      </x:c>
      <x:c r="U93" s="34" t="str">
        <x:v>Linear interpolation from 2026 to 2030</x:v>
      </x:c>
      <x:c r="V93" s="34" t="str">
        <x:v>CAND-2F5D03A613EDBE</x:v>
      </x:c>
      <x:c r="W93" s="34" t="str">
        <x:v>P1</x:v>
      </x:c>
      <x:c r="X93" s="34" t="str">
        <x:v>PORT-0E469489028A</x:v>
      </x:c>
      <x:c r="Y93" s="34" t="n">
        <x:v>1000</x:v>
      </x:c>
      <x:c r="Z93" s="34" t="n">
        <x:v>8.976264</x:v>
      </x:c>
      <x:c r="AA93" s="34" t="n">
        <x:v>7.615491</x:v>
      </x:c>
      <x:c r="AB93" s="34" t="n">
        <x:v>261.543846</x:v>
      </x:c>
      <x:c r="AC93" s="34" t="n">
        <x:v>2124.876</x:v>
      </x:c>
      <x:c r="AD93" s="34" t="n">
        <x:v>8.124359</x:v>
      </x:c>
      <x:c r="AE93" s="40" t="b">
        <x:v>1</x:v>
      </x:c>
      <x:c r="AF93" s="40" t="b">
        <x:v>1</x:v>
      </x:c>
      <x:c r="AG93" s="34" t="str"/>
      <x:c r="AH93" s="34" t="n">
        <x:v>0</x:v>
      </x:c>
      <x:c r="AI93" s="34" t="str">
        <x:v>2.0275124185786808e-05</x:v>
      </x:c>
      <x:c r="AJ93" s="40" t="b">
        <x:v>1</x:v>
      </x:c>
      <x:c r="AK93" s="40" t="b">
        <x:v>1</x:v>
      </x:c>
      <x:c r="AL93" s="40" t="b">
        <x:v>1</x:v>
      </x:c>
      <x:c r="AM93" s="40" t="b">
        <x:v>1</x:v>
      </x:c>
      <x:c r="AN93" s="34" t="str"/>
      <x:c r="AO93" s="34" t="n">
        <x:v>0</x:v>
      </x:c>
      <x:c r="AP93" s="34" t="n">
        <x:v>0</x:v>
      </x:c>
      <x:c r="AQ93" s="34" t="n">
        <x:v>0</x:v>
      </x:c>
      <x:c r="AR93" s="34" t="n">
        <x:v>2</x:v>
      </x:c>
      <x:c r="AS93" s="34" t="n">
        <x:v>3</x:v>
      </x:c>
      <x:c r="AT93" s="34" t="n">
        <x:v>0.2589598719999999</x:v>
      </x:c>
      <x:c r="AU93" s="34" t="n">
        <x:v>0.65</x:v>
      </x:c>
      <x:c r="AV93" s="34" t="n">
        <x:v>0.7399999999999999</x:v>
      </x:c>
    </x:row>
    <x:row r="94">
      <x:c r="A94" s="34" t="str">
        <x:v>POSCO_KR</x:v>
      </x:c>
      <x:c r="B94" s="34" t="str">
        <x:v>POSCO</x:v>
      </x:c>
      <x:c r="C94" s="34" t="str">
        <x:v>DISCLOSED_PATH</x:v>
      </x:c>
      <x:c r="D94" s="34" t="str">
        <x:v>P1</x:v>
      </x:c>
      <x:c r="E94" s="34" t="n">
        <x:v>2028</x:v>
      </x:c>
      <x:c r="F94" s="34" t="n">
        <x:v>0</x:v>
      </x:c>
      <x:c r="G94" s="34" t="n">
        <x:v>0</x:v>
      </x:c>
      <x:c r="H94" s="34" t="n">
        <x:v>10</x:v>
      </x:c>
      <x:c r="I94" s="34" t="n">
        <x:v>10</x:v>
      </x:c>
      <x:c r="J94" s="34" t="n">
        <x:v>0</x:v>
      </x:c>
      <x:c r="K94" s="34" t="n">
        <x:v>0</x:v>
      </x:c>
      <x:c r="L94" s="34" t="n">
        <x:v>0.25</x:v>
      </x:c>
      <x:c r="M94" s="34" t="n">
        <x:v>0.25</x:v>
      </x:c>
      <x:c r="N94" s="34" t="n">
        <x:v>0</x:v>
      </x:c>
      <x:c r="O94" s="34" t="n">
        <x:v>0</x:v>
      </x:c>
      <x:c r="P94" s="34" t="n">
        <x:v>4.5</x:v>
      </x:c>
      <x:c r="Q94" s="34" t="n">
        <x:v>4.5</x:v>
      </x:c>
      <x:c r="R94" s="34" t="n">
        <x:v>0</x:v>
      </x:c>
      <x:c r="S94" s="40" t="b">
        <x:v>1</x:v>
      </x:c>
      <x:c r="T94" s="34" t="str">
        <x:v>model_interpolation</x:v>
      </x:c>
      <x:c r="U94" s="34" t="str">
        <x:v>Linear interpolation from 2026 to 2030</x:v>
      </x:c>
      <x:c r="V94" s="34" t="str">
        <x:v>CAND-2F5D03A613EDBE</x:v>
      </x:c>
      <x:c r="W94" s="34" t="str">
        <x:v>P1</x:v>
      </x:c>
      <x:c r="X94" s="34" t="str">
        <x:v>PORT-0E469489028A</x:v>
      </x:c>
      <x:c r="Y94" s="34" t="n">
        <x:v>1000</x:v>
      </x:c>
      <x:c r="Z94" s="34" t="n">
        <x:v>8.976264</x:v>
      </x:c>
      <x:c r="AA94" s="34" t="n">
        <x:v>7.615491</x:v>
      </x:c>
      <x:c r="AB94" s="34" t="n">
        <x:v>261.543846</x:v>
      </x:c>
      <x:c r="AC94" s="34" t="n">
        <x:v>2124.876</x:v>
      </x:c>
      <x:c r="AD94" s="34" t="n">
        <x:v>8.124359</x:v>
      </x:c>
      <x:c r="AE94" s="40" t="b">
        <x:v>1</x:v>
      </x:c>
      <x:c r="AF94" s="40" t="b">
        <x:v>1</x:v>
      </x:c>
      <x:c r="AG94" s="34" t="str"/>
      <x:c r="AH94" s="34" t="n">
        <x:v>0</x:v>
      </x:c>
      <x:c r="AI94" s="34" t="str">
        <x:v>2.0275124185786808e-05</x:v>
      </x:c>
      <x:c r="AJ94" s="40" t="b">
        <x:v>1</x:v>
      </x:c>
      <x:c r="AK94" s="40" t="b">
        <x:v>1</x:v>
      </x:c>
      <x:c r="AL94" s="40" t="b">
        <x:v>1</x:v>
      </x:c>
      <x:c r="AM94" s="40" t="b">
        <x:v>1</x:v>
      </x:c>
      <x:c r="AN94" s="34" t="str"/>
      <x:c r="AO94" s="34" t="n">
        <x:v>0</x:v>
      </x:c>
      <x:c r="AP94" s="34" t="n">
        <x:v>0</x:v>
      </x:c>
      <x:c r="AQ94" s="34" t="n">
        <x:v>0</x:v>
      </x:c>
      <x:c r="AR94" s="34" t="n">
        <x:v>2</x:v>
      </x:c>
      <x:c r="AS94" s="34" t="n">
        <x:v>3</x:v>
      </x:c>
      <x:c r="AT94" s="34" t="n">
        <x:v>0.2589598719999999</x:v>
      </x:c>
      <x:c r="AU94" s="34" t="n">
        <x:v>0.65</x:v>
      </x:c>
      <x:c r="AV94" s="34" t="n">
        <x:v>0.7399999999999999</x:v>
      </x:c>
    </x:row>
    <x:row r="95">
      <x:c r="A95" s="34" t="str">
        <x:v>POSCO_KR</x:v>
      </x:c>
      <x:c r="B95" s="34" t="str">
        <x:v>POSCO</x:v>
      </x:c>
      <x:c r="C95" s="34" t="str">
        <x:v>DISCLOSED_PATH</x:v>
      </x:c>
      <x:c r="D95" s="34" t="str">
        <x:v>P1</x:v>
      </x:c>
      <x:c r="E95" s="34" t="n">
        <x:v>2029</x:v>
      </x:c>
      <x:c r="F95" s="34" t="n">
        <x:v>1</x:v>
      </x:c>
      <x:c r="G95" s="34" t="n">
        <x:v>6.839998</x:v>
      </x:c>
      <x:c r="H95" s="34" t="n">
        <x:v>11</x:v>
      </x:c>
      <x:c r="I95" s="34" t="n">
        <x:v>4.160002</x:v>
      </x:c>
      <x:c r="J95" s="34" t="n">
        <x:v>62.182</x:v>
      </x:c>
      <x:c r="K95" s="34" t="n">
        <x:v>0</x:v>
      </x:c>
      <x:c r="L95" s="34" t="n">
        <x:v>0.375</x:v>
      </x:c>
      <x:c r="M95" s="34" t="n">
        <x:v>0.375</x:v>
      </x:c>
      <x:c r="N95" s="34" t="n">
        <x:v>0</x:v>
      </x:c>
      <x:c r="O95" s="34" t="n">
        <x:v>4.255999</x:v>
      </x:c>
      <x:c r="P95" s="34" t="n">
        <x:v>5.75</x:v>
      </x:c>
      <x:c r="Q95" s="34" t="n">
        <x:v>1.494001</x:v>
      </x:c>
      <x:c r="R95" s="34" t="n">
        <x:v>74.017</x:v>
      </x:c>
      <x:c r="S95" s="40" t="b">
        <x:v>1</x:v>
      </x:c>
      <x:c r="T95" s="34" t="str">
        <x:v>model_interpolation</x:v>
      </x:c>
      <x:c r="U95" s="34" t="str">
        <x:v>Linear interpolation from 2026 to 2030</x:v>
      </x:c>
      <x:c r="V95" s="34" t="str">
        <x:v>CAND-2F5D03A613EDBE</x:v>
      </x:c>
      <x:c r="W95" s="34" t="str">
        <x:v>P1</x:v>
      </x:c>
      <x:c r="X95" s="34" t="str">
        <x:v>PORT-0E469489028A</x:v>
      </x:c>
      <x:c r="Y95" s="34" t="n">
        <x:v>1000</x:v>
      </x:c>
      <x:c r="Z95" s="34" t="n">
        <x:v>8.976264</x:v>
      </x:c>
      <x:c r="AA95" s="34" t="n">
        <x:v>7.615491</x:v>
      </x:c>
      <x:c r="AB95" s="34" t="n">
        <x:v>261.543846</x:v>
      </x:c>
      <x:c r="AC95" s="34" t="n">
        <x:v>2124.876</x:v>
      </x:c>
      <x:c r="AD95" s="34" t="n">
        <x:v>8.124359</x:v>
      </x:c>
      <x:c r="AE95" s="40" t="b">
        <x:v>1</x:v>
      </x:c>
      <x:c r="AF95" s="40" t="b">
        <x:v>1</x:v>
      </x:c>
      <x:c r="AG95" s="34" t="str"/>
      <x:c r="AH95" s="34" t="n">
        <x:v>0</x:v>
      </x:c>
      <x:c r="AI95" s="34" t="str">
        <x:v>2.0275124185786808e-05</x:v>
      </x:c>
      <x:c r="AJ95" s="40" t="b">
        <x:v>1</x:v>
      </x:c>
      <x:c r="AK95" s="40" t="b">
        <x:v>1</x:v>
      </x:c>
      <x:c r="AL95" s="40" t="b">
        <x:v>1</x:v>
      </x:c>
      <x:c r="AM95" s="40" t="b">
        <x:v>1</x:v>
      </x:c>
      <x:c r="AN95" s="34" t="str"/>
      <x:c r="AO95" s="34" t="n">
        <x:v>0</x:v>
      </x:c>
      <x:c r="AP95" s="34" t="n">
        <x:v>0</x:v>
      </x:c>
      <x:c r="AQ95" s="34" t="n">
        <x:v>0</x:v>
      </x:c>
      <x:c r="AR95" s="34" t="n">
        <x:v>2</x:v>
      </x:c>
      <x:c r="AS95" s="34" t="n">
        <x:v>3</x:v>
      </x:c>
      <x:c r="AT95" s="34" t="n">
        <x:v>0.2589598719999999</x:v>
      </x:c>
      <x:c r="AU95" s="34" t="n">
        <x:v>0.65</x:v>
      </x:c>
      <x:c r="AV95" s="34" t="n">
        <x:v>0.7399999999999999</x:v>
      </x:c>
    </x:row>
    <x:row r="96">
      <x:c r="A96" s="34" t="str">
        <x:v>POSCO_KR</x:v>
      </x:c>
      <x:c r="B96" s="34" t="str">
        <x:v>POSCO</x:v>
      </x:c>
      <x:c r="C96" s="34" t="str">
        <x:v>DISCLOSED_PATH</x:v>
      </x:c>
      <x:c r="D96" s="34" t="str">
        <x:v>P1</x:v>
      </x:c>
      <x:c r="E96" s="34" t="n">
        <x:v>2030</x:v>
      </x:c>
      <x:c r="F96" s="34" t="n">
        <x:v>1</x:v>
      </x:c>
      <x:c r="G96" s="34" t="n">
        <x:v>6.839998</x:v>
      </x:c>
      <x:c r="H96" s="34" t="n">
        <x:v>12</x:v>
      </x:c>
      <x:c r="I96" s="34" t="n">
        <x:v>5.160002</x:v>
      </x:c>
      <x:c r="J96" s="34" t="n">
        <x:v>57</x:v>
      </x:c>
      <x:c r="K96" s="34" t="n">
        <x:v>0</x:v>
      </x:c>
      <x:c r="L96" s="34" t="n">
        <x:v>0.5</x:v>
      </x:c>
      <x:c r="M96" s="34" t="n">
        <x:v>0.5</x:v>
      </x:c>
      <x:c r="N96" s="34" t="n">
        <x:v>0</x:v>
      </x:c>
      <x:c r="O96" s="34" t="n">
        <x:v>4.255999</x:v>
      </x:c>
      <x:c r="P96" s="34" t="n">
        <x:v>7</x:v>
      </x:c>
      <x:c r="Q96" s="34" t="n">
        <x:v>2.744001</x:v>
      </x:c>
      <x:c r="R96" s="34" t="n">
        <x:v>60.8</x:v>
      </x:c>
      <x:c r="S96" s="40" t="b">
        <x:v>1</x:v>
      </x:c>
      <x:c r="T96" s="34" t="str">
        <x:v>model_interpolation</x:v>
      </x:c>
      <x:c r="U96" s="34" t="str">
        <x:v>Linear interpolation from 2030 to 2035</x:v>
      </x:c>
      <x:c r="V96" s="34" t="str">
        <x:v>CAND-2F5D03A613EDBE</x:v>
      </x:c>
      <x:c r="W96" s="34" t="str">
        <x:v>P1</x:v>
      </x:c>
      <x:c r="X96" s="34" t="str">
        <x:v>PORT-0E469489028A</x:v>
      </x:c>
      <x:c r="Y96" s="34" t="n">
        <x:v>1000</x:v>
      </x:c>
      <x:c r="Z96" s="34" t="n">
        <x:v>8.976264</x:v>
      </x:c>
      <x:c r="AA96" s="34" t="n">
        <x:v>7.615491</x:v>
      </x:c>
      <x:c r="AB96" s="34" t="n">
        <x:v>261.543846</x:v>
      </x:c>
      <x:c r="AC96" s="34" t="n">
        <x:v>2124.876</x:v>
      </x:c>
      <x:c r="AD96" s="34" t="n">
        <x:v>8.124359</x:v>
      </x:c>
      <x:c r="AE96" s="40" t="b">
        <x:v>1</x:v>
      </x:c>
      <x:c r="AF96" s="40" t="b">
        <x:v>1</x:v>
      </x:c>
      <x:c r="AG96" s="34" t="str"/>
      <x:c r="AH96" s="34" t="n">
        <x:v>0</x:v>
      </x:c>
      <x:c r="AI96" s="34" t="str">
        <x:v>2.0275124185786808e-05</x:v>
      </x:c>
      <x:c r="AJ96" s="40" t="b">
        <x:v>1</x:v>
      </x:c>
      <x:c r="AK96" s="40" t="b">
        <x:v>1</x:v>
      </x:c>
      <x:c r="AL96" s="40" t="b">
        <x:v>1</x:v>
      </x:c>
      <x:c r="AM96" s="40" t="b">
        <x:v>1</x:v>
      </x:c>
      <x:c r="AN96" s="34" t="str"/>
      <x:c r="AO96" s="34" t="n">
        <x:v>0</x:v>
      </x:c>
      <x:c r="AP96" s="34" t="n">
        <x:v>0</x:v>
      </x:c>
      <x:c r="AQ96" s="34" t="n">
        <x:v>0</x:v>
      </x:c>
      <x:c r="AR96" s="34" t="n">
        <x:v>2</x:v>
      </x:c>
      <x:c r="AS96" s="34" t="n">
        <x:v>3</x:v>
      </x:c>
      <x:c r="AT96" s="34" t="n">
        <x:v>0.2589598719999999</x:v>
      </x:c>
      <x:c r="AU96" s="34" t="n">
        <x:v>0.65</x:v>
      </x:c>
      <x:c r="AV96" s="34" t="n">
        <x:v>0.7399999999999999</x:v>
      </x:c>
    </x:row>
    <x:row r="97">
      <x:c r="A97" s="34" t="str">
        <x:v>POSCO_KR</x:v>
      </x:c>
      <x:c r="B97" s="34" t="str">
        <x:v>POSCO</x:v>
      </x:c>
      <x:c r="C97" s="34" t="str">
        <x:v>DISCLOSED_PATH</x:v>
      </x:c>
      <x:c r="D97" s="34" t="str">
        <x:v>P1</x:v>
      </x:c>
      <x:c r="E97" s="34" t="n">
        <x:v>2031</x:v>
      </x:c>
      <x:c r="F97" s="34" t="n">
        <x:v>1</x:v>
      </x:c>
      <x:c r="G97" s="34" t="n">
        <x:v>6.839998</x:v>
      </x:c>
      <x:c r="H97" s="34" t="n">
        <x:v>13.2</x:v>
      </x:c>
      <x:c r="I97" s="34" t="n">
        <x:v>6.360002</x:v>
      </x:c>
      <x:c r="J97" s="34" t="n">
        <x:v>51.818</x:v>
      </x:c>
      <x:c r="K97" s="34" t="n">
        <x:v>0</x:v>
      </x:c>
      <x:c r="L97" s="34" t="n">
        <x:v>0.7</x:v>
      </x:c>
      <x:c r="M97" s="34" t="n">
        <x:v>0.7</x:v>
      </x:c>
      <x:c r="N97" s="34" t="n">
        <x:v>0</x:v>
      </x:c>
      <x:c r="O97" s="34" t="n">
        <x:v>4.255999</x:v>
      </x:c>
      <x:c r="P97" s="34" t="n">
        <x:v>8.6</x:v>
      </x:c>
      <x:c r="Q97" s="34" t="n">
        <x:v>4.344001</x:v>
      </x:c>
      <x:c r="R97" s="34" t="n">
        <x:v>49.488</x:v>
      </x:c>
      <x:c r="S97" s="40" t="b">
        <x:v>1</x:v>
      </x:c>
      <x:c r="T97" s="34" t="str">
        <x:v>model_interpolation</x:v>
      </x:c>
      <x:c r="U97" s="34" t="str">
        <x:v>Linear interpolation from 2030 to 2035</x:v>
      </x:c>
      <x:c r="V97" s="34" t="str">
        <x:v>CAND-2F5D03A613EDBE</x:v>
      </x:c>
      <x:c r="W97" s="34" t="str">
        <x:v>P1</x:v>
      </x:c>
      <x:c r="X97" s="34" t="str">
        <x:v>PORT-0E469489028A</x:v>
      </x:c>
      <x:c r="Y97" s="34" t="n">
        <x:v>1000</x:v>
      </x:c>
      <x:c r="Z97" s="34" t="n">
        <x:v>8.976264</x:v>
      </x:c>
      <x:c r="AA97" s="34" t="n">
        <x:v>7.615491</x:v>
      </x:c>
      <x:c r="AB97" s="34" t="n">
        <x:v>261.543846</x:v>
      </x:c>
      <x:c r="AC97" s="34" t="n">
        <x:v>2124.876</x:v>
      </x:c>
      <x:c r="AD97" s="34" t="n">
        <x:v>8.124359</x:v>
      </x:c>
      <x:c r="AE97" s="40" t="b">
        <x:v>1</x:v>
      </x:c>
      <x:c r="AF97" s="40" t="b">
        <x:v>1</x:v>
      </x:c>
      <x:c r="AG97" s="34" t="str"/>
      <x:c r="AH97" s="34" t="n">
        <x:v>0</x:v>
      </x:c>
      <x:c r="AI97" s="34" t="str">
        <x:v>2.0275124185786808e-05</x:v>
      </x:c>
      <x:c r="AJ97" s="40" t="b">
        <x:v>1</x:v>
      </x:c>
      <x:c r="AK97" s="40" t="b">
        <x:v>1</x:v>
      </x:c>
      <x:c r="AL97" s="40" t="b">
        <x:v>1</x:v>
      </x:c>
      <x:c r="AM97" s="40" t="b">
        <x:v>1</x:v>
      </x:c>
      <x:c r="AN97" s="34" t="str"/>
      <x:c r="AO97" s="34" t="n">
        <x:v>0</x:v>
      </x:c>
      <x:c r="AP97" s="34" t="n">
        <x:v>0</x:v>
      </x:c>
      <x:c r="AQ97" s="34" t="n">
        <x:v>0</x:v>
      </x:c>
      <x:c r="AR97" s="34" t="n">
        <x:v>2</x:v>
      </x:c>
      <x:c r="AS97" s="34" t="n">
        <x:v>3</x:v>
      </x:c>
      <x:c r="AT97" s="34" t="n">
        <x:v>0.2589598719999999</x:v>
      </x:c>
      <x:c r="AU97" s="34" t="n">
        <x:v>0.65</x:v>
      </x:c>
      <x:c r="AV97" s="34" t="n">
        <x:v>0.7399999999999999</x:v>
      </x:c>
    </x:row>
    <x:row r="98">
      <x:c r="A98" s="34" t="str">
        <x:v>POSCO_KR</x:v>
      </x:c>
      <x:c r="B98" s="34" t="str">
        <x:v>POSCO</x:v>
      </x:c>
      <x:c r="C98" s="34" t="str">
        <x:v>DISCLOSED_PATH</x:v>
      </x:c>
      <x:c r="D98" s="34" t="str">
        <x:v>P1</x:v>
      </x:c>
      <x:c r="E98" s="34" t="n">
        <x:v>2032</x:v>
      </x:c>
      <x:c r="F98" s="34" t="n">
        <x:v>2</x:v>
      </x:c>
      <x:c r="G98" s="34" t="n">
        <x:v>7.859998</x:v>
      </x:c>
      <x:c r="H98" s="34" t="n">
        <x:v>14.4</x:v>
      </x:c>
      <x:c r="I98" s="34" t="n">
        <x:v>6.540002</x:v>
      </x:c>
      <x:c r="J98" s="34" t="n">
        <x:v>54.583</x:v>
      </x:c>
      <x:c r="K98" s="34" t="n">
        <x:v>0</x:v>
      </x:c>
      <x:c r="L98" s="34" t="n">
        <x:v>0.9</x:v>
      </x:c>
      <x:c r="M98" s="34" t="n">
        <x:v>0.9</x:v>
      </x:c>
      <x:c r="N98" s="34" t="n">
        <x:v>0</x:v>
      </x:c>
      <x:c r="O98" s="34" t="n">
        <x:v>4.323999</x:v>
      </x:c>
      <x:c r="P98" s="34" t="n">
        <x:v>10.2</x:v>
      </x:c>
      <x:c r="Q98" s="34" t="n">
        <x:v>5.876001</x:v>
      </x:c>
      <x:c r="R98" s="34" t="n">
        <x:v>42.392</x:v>
      </x:c>
      <x:c r="S98" s="40" t="b">
        <x:v>1</x:v>
      </x:c>
      <x:c r="T98" s="34" t="str">
        <x:v>model_interpolation</x:v>
      </x:c>
      <x:c r="U98" s="34" t="str">
        <x:v>Linear interpolation from 2030 to 2035</x:v>
      </x:c>
      <x:c r="V98" s="34" t="str">
        <x:v>CAND-2F5D03A613EDBE</x:v>
      </x:c>
      <x:c r="W98" s="34" t="str">
        <x:v>P1</x:v>
      </x:c>
      <x:c r="X98" s="34" t="str">
        <x:v>PORT-0E469489028A</x:v>
      </x:c>
      <x:c r="Y98" s="34" t="n">
        <x:v>1000</x:v>
      </x:c>
      <x:c r="Z98" s="34" t="n">
        <x:v>8.976264</x:v>
      </x:c>
      <x:c r="AA98" s="34" t="n">
        <x:v>7.615491</x:v>
      </x:c>
      <x:c r="AB98" s="34" t="n">
        <x:v>261.543846</x:v>
      </x:c>
      <x:c r="AC98" s="34" t="n">
        <x:v>2124.876</x:v>
      </x:c>
      <x:c r="AD98" s="34" t="n">
        <x:v>8.124359</x:v>
      </x:c>
      <x:c r="AE98" s="40" t="b">
        <x:v>1</x:v>
      </x:c>
      <x:c r="AF98" s="40" t="b">
        <x:v>1</x:v>
      </x:c>
      <x:c r="AG98" s="34" t="str"/>
      <x:c r="AH98" s="34" t="n">
        <x:v>0</x:v>
      </x:c>
      <x:c r="AI98" s="34" t="str">
        <x:v>2.0275124185786808e-05</x:v>
      </x:c>
      <x:c r="AJ98" s="40" t="b">
        <x:v>1</x:v>
      </x:c>
      <x:c r="AK98" s="40" t="b">
        <x:v>1</x:v>
      </x:c>
      <x:c r="AL98" s="40" t="b">
        <x:v>1</x:v>
      </x:c>
      <x:c r="AM98" s="40" t="b">
        <x:v>1</x:v>
      </x:c>
      <x:c r="AN98" s="34" t="str"/>
      <x:c r="AO98" s="34" t="n">
        <x:v>0</x:v>
      </x:c>
      <x:c r="AP98" s="34" t="n">
        <x:v>0</x:v>
      </x:c>
      <x:c r="AQ98" s="34" t="n">
        <x:v>0</x:v>
      </x:c>
      <x:c r="AR98" s="34" t="n">
        <x:v>2</x:v>
      </x:c>
      <x:c r="AS98" s="34" t="n">
        <x:v>3</x:v>
      </x:c>
      <x:c r="AT98" s="34" t="n">
        <x:v>0.2589598719999999</x:v>
      </x:c>
      <x:c r="AU98" s="34" t="n">
        <x:v>0.65</x:v>
      </x:c>
      <x:c r="AV98" s="34" t="n">
        <x:v>0.7399999999999999</x:v>
      </x:c>
    </x:row>
    <x:row r="99">
      <x:c r="A99" s="34" t="str">
        <x:v>POSCO_KR</x:v>
      </x:c>
      <x:c r="B99" s="34" t="str">
        <x:v>POSCO</x:v>
      </x:c>
      <x:c r="C99" s="34" t="str">
        <x:v>DISCLOSED_PATH</x:v>
      </x:c>
      <x:c r="D99" s="34" t="str">
        <x:v>P1</x:v>
      </x:c>
      <x:c r="E99" s="34" t="n">
        <x:v>2033</x:v>
      </x:c>
      <x:c r="F99" s="34" t="n">
        <x:v>3</x:v>
      </x:c>
      <x:c r="G99" s="34" t="n">
        <x:v>8.880598</x:v>
      </x:c>
      <x:c r="H99" s="34" t="n">
        <x:v>15.6</x:v>
      </x:c>
      <x:c r="I99" s="34" t="n">
        <x:v>6.719402</x:v>
      </x:c>
      <x:c r="J99" s="34" t="n">
        <x:v>56.927</x:v>
      </x:c>
      <x:c r="K99" s="34" t="n">
        <x:v>0</x:v>
      </x:c>
      <x:c r="L99" s="34" t="n">
        <x:v>1.1</x:v>
      </x:c>
      <x:c r="M99" s="34" t="n">
        <x:v>1.1</x:v>
      </x:c>
      <x:c r="N99" s="34" t="n">
        <x:v>0</x:v>
      </x:c>
      <x:c r="O99" s="34" t="n">
        <x:v>4.392039</x:v>
      </x:c>
      <x:c r="P99" s="34" t="n">
        <x:v>11.8</x:v>
      </x:c>
      <x:c r="Q99" s="34" t="n">
        <x:v>7.407961</x:v>
      </x:c>
      <x:c r="R99" s="34" t="n">
        <x:v>37.221</x:v>
      </x:c>
      <x:c r="S99" s="40" t="b">
        <x:v>1</x:v>
      </x:c>
      <x:c r="T99" s="34" t="str">
        <x:v>model_interpolation</x:v>
      </x:c>
      <x:c r="U99" s="34" t="str">
        <x:v>Linear interpolation from 2030 to 2035</x:v>
      </x:c>
      <x:c r="V99" s="34" t="str">
        <x:v>CAND-2F5D03A613EDBE</x:v>
      </x:c>
      <x:c r="W99" s="34" t="str">
        <x:v>P1</x:v>
      </x:c>
      <x:c r="X99" s="34" t="str">
        <x:v>PORT-0E469489028A</x:v>
      </x:c>
      <x:c r="Y99" s="34" t="n">
        <x:v>1000</x:v>
      </x:c>
      <x:c r="Z99" s="34" t="n">
        <x:v>8.976264</x:v>
      </x:c>
      <x:c r="AA99" s="34" t="n">
        <x:v>7.615491</x:v>
      </x:c>
      <x:c r="AB99" s="34" t="n">
        <x:v>261.543846</x:v>
      </x:c>
      <x:c r="AC99" s="34" t="n">
        <x:v>2124.876</x:v>
      </x:c>
      <x:c r="AD99" s="34" t="n">
        <x:v>8.124359</x:v>
      </x:c>
      <x:c r="AE99" s="40" t="b">
        <x:v>1</x:v>
      </x:c>
      <x:c r="AF99" s="40" t="b">
        <x:v>1</x:v>
      </x:c>
      <x:c r="AG99" s="34" t="str"/>
      <x:c r="AH99" s="34" t="n">
        <x:v>0</x:v>
      </x:c>
      <x:c r="AI99" s="34" t="str">
        <x:v>2.0275124185786808e-05</x:v>
      </x:c>
      <x:c r="AJ99" s="40" t="b">
        <x:v>1</x:v>
      </x:c>
      <x:c r="AK99" s="40" t="b">
        <x:v>1</x:v>
      </x:c>
      <x:c r="AL99" s="40" t="b">
        <x:v>1</x:v>
      </x:c>
      <x:c r="AM99" s="40" t="b">
        <x:v>1</x:v>
      </x:c>
      <x:c r="AN99" s="34" t="str"/>
      <x:c r="AO99" s="34" t="n">
        <x:v>0</x:v>
      </x:c>
      <x:c r="AP99" s="34" t="n">
        <x:v>0</x:v>
      </x:c>
      <x:c r="AQ99" s="34" t="n">
        <x:v>0</x:v>
      </x:c>
      <x:c r="AR99" s="34" t="n">
        <x:v>2</x:v>
      </x:c>
      <x:c r="AS99" s="34" t="n">
        <x:v>3</x:v>
      </x:c>
      <x:c r="AT99" s="34" t="n">
        <x:v>0.2589598719999999</x:v>
      </x:c>
      <x:c r="AU99" s="34" t="n">
        <x:v>0.65</x:v>
      </x:c>
      <x:c r="AV99" s="34" t="n">
        <x:v>0.7399999999999999</x:v>
      </x:c>
    </x:row>
    <x:row r="100">
      <x:c r="A100" s="34" t="str">
        <x:v>POSCO_KR</x:v>
      </x:c>
      <x:c r="B100" s="34" t="str">
        <x:v>POSCO</x:v>
      </x:c>
      <x:c r="C100" s="34" t="str">
        <x:v>DISCLOSED_PATH</x:v>
      </x:c>
      <x:c r="D100" s="34" t="str">
        <x:v>P1</x:v>
      </x:c>
      <x:c r="E100" s="34" t="n">
        <x:v>2034</x:v>
      </x:c>
      <x:c r="F100" s="34" t="n">
        <x:v>3</x:v>
      </x:c>
      <x:c r="G100" s="34" t="n">
        <x:v>8.880598</x:v>
      </x:c>
      <x:c r="H100" s="34" t="n">
        <x:v>16.8</x:v>
      </x:c>
      <x:c r="I100" s="34" t="n">
        <x:v>7.919402</x:v>
      </x:c>
      <x:c r="J100" s="34" t="n">
        <x:v>52.861</x:v>
      </x:c>
      <x:c r="K100" s="34" t="n">
        <x:v>0</x:v>
      </x:c>
      <x:c r="L100" s="34" t="n">
        <x:v>1.3</x:v>
      </x:c>
      <x:c r="M100" s="34" t="n">
        <x:v>1.3</x:v>
      </x:c>
      <x:c r="N100" s="34" t="n">
        <x:v>0</x:v>
      </x:c>
      <x:c r="O100" s="34" t="n">
        <x:v>4.392039</x:v>
      </x:c>
      <x:c r="P100" s="34" t="n">
        <x:v>13.4</x:v>
      </x:c>
      <x:c r="Q100" s="34" t="n">
        <x:v>9.007961</x:v>
      </x:c>
      <x:c r="R100" s="34" t="n">
        <x:v>32.776</x:v>
      </x:c>
      <x:c r="S100" s="40" t="b">
        <x:v>1</x:v>
      </x:c>
      <x:c r="T100" s="34" t="str">
        <x:v>model_interpolation</x:v>
      </x:c>
      <x:c r="U100" s="34" t="str">
        <x:v>Linear interpolation from 2030 to 2035</x:v>
      </x:c>
      <x:c r="V100" s="34" t="str">
        <x:v>CAND-2F5D03A613EDBE</x:v>
      </x:c>
      <x:c r="W100" s="34" t="str">
        <x:v>P1</x:v>
      </x:c>
      <x:c r="X100" s="34" t="str">
        <x:v>PORT-0E469489028A</x:v>
      </x:c>
      <x:c r="Y100" s="34" t="n">
        <x:v>1000</x:v>
      </x:c>
      <x:c r="Z100" s="34" t="n">
        <x:v>8.976264</x:v>
      </x:c>
      <x:c r="AA100" s="34" t="n">
        <x:v>7.615491</x:v>
      </x:c>
      <x:c r="AB100" s="34" t="n">
        <x:v>261.543846</x:v>
      </x:c>
      <x:c r="AC100" s="34" t="n">
        <x:v>2124.876</x:v>
      </x:c>
      <x:c r="AD100" s="34" t="n">
        <x:v>8.124359</x:v>
      </x:c>
      <x:c r="AE100" s="40" t="b">
        <x:v>1</x:v>
      </x:c>
      <x:c r="AF100" s="40" t="b">
        <x:v>1</x:v>
      </x:c>
      <x:c r="AG100" s="34" t="str"/>
      <x:c r="AH100" s="34" t="n">
        <x:v>0</x:v>
      </x:c>
      <x:c r="AI100" s="34" t="str">
        <x:v>2.0275124185786808e-05</x:v>
      </x:c>
      <x:c r="AJ100" s="40" t="b">
        <x:v>1</x:v>
      </x:c>
      <x:c r="AK100" s="40" t="b">
        <x:v>1</x:v>
      </x:c>
      <x:c r="AL100" s="40" t="b">
        <x:v>1</x:v>
      </x:c>
      <x:c r="AM100" s="40" t="b">
        <x:v>1</x:v>
      </x:c>
      <x:c r="AN100" s="34" t="str"/>
      <x:c r="AO100" s="34" t="n">
        <x:v>0</x:v>
      </x:c>
      <x:c r="AP100" s="34" t="n">
        <x:v>0</x:v>
      </x:c>
      <x:c r="AQ100" s="34" t="n">
        <x:v>0</x:v>
      </x:c>
      <x:c r="AR100" s="34" t="n">
        <x:v>2</x:v>
      </x:c>
      <x:c r="AS100" s="34" t="n">
        <x:v>3</x:v>
      </x:c>
      <x:c r="AT100" s="34" t="n">
        <x:v>0.2589598719999999</x:v>
      </x:c>
      <x:c r="AU100" s="34" t="n">
        <x:v>0.65</x:v>
      </x:c>
      <x:c r="AV100" s="34" t="n">
        <x:v>0.7399999999999999</x:v>
      </x:c>
    </x:row>
    <x:row r="101">
      <x:c r="A101" s="34" t="str">
        <x:v>POSCO_KR</x:v>
      </x:c>
      <x:c r="B101" s="34" t="str">
        <x:v>POSCO</x:v>
      </x:c>
      <x:c r="C101" s="34" t="str">
        <x:v>DISCLOSED_PATH</x:v>
      </x:c>
      <x:c r="D101" s="34" t="str">
        <x:v>P1</x:v>
      </x:c>
      <x:c r="E101" s="34" t="n">
        <x:v>2035</x:v>
      </x:c>
      <x:c r="F101" s="34" t="n">
        <x:v>4</x:v>
      </x:c>
      <x:c r="G101" s="34" t="n">
        <x:v>17.430597</x:v>
      </x:c>
      <x:c r="H101" s="34" t="n">
        <x:v>18</x:v>
      </x:c>
      <x:c r="I101" s="34" t="n">
        <x:v>0.569403</x:v>
      </x:c>
      <x:c r="J101" s="34" t="n">
        <x:v>96.837</x:v>
      </x:c>
      <x:c r="K101" s="34" t="n">
        <x:v>0</x:v>
      </x:c>
      <x:c r="L101" s="34" t="n">
        <x:v>1.5</x:v>
      </x:c>
      <x:c r="M101" s="34" t="n">
        <x:v>1.5</x:v>
      </x:c>
      <x:c r="N101" s="34" t="n">
        <x:v>0</x:v>
      </x:c>
      <x:c r="O101" s="34" t="n">
        <x:v>9.807038</x:v>
      </x:c>
      <x:c r="P101" s="34" t="n">
        <x:v>15</x:v>
      </x:c>
      <x:c r="Q101" s="34" t="n">
        <x:v>5.192962</x:v>
      </x:c>
      <x:c r="R101" s="34" t="n">
        <x:v>65.38</x:v>
      </x:c>
      <x:c r="S101" s="40" t="b">
        <x:v>1</x:v>
      </x:c>
      <x:c r="T101" s="34" t="str">
        <x:v>model_interpolation</x:v>
      </x:c>
      <x:c r="U101" s="34" t="str">
        <x:v>Linear interpolation from 2035 to 2040</x:v>
      </x:c>
      <x:c r="V101" s="34" t="str">
        <x:v>CAND-2F5D03A613EDBE</x:v>
      </x:c>
      <x:c r="W101" s="34" t="str">
        <x:v>P1</x:v>
      </x:c>
      <x:c r="X101" s="34" t="str">
        <x:v>PORT-0E469489028A</x:v>
      </x:c>
      <x:c r="Y101" s="34" t="n">
        <x:v>1000</x:v>
      </x:c>
      <x:c r="Z101" s="34" t="n">
        <x:v>8.976264</x:v>
      </x:c>
      <x:c r="AA101" s="34" t="n">
        <x:v>7.615491</x:v>
      </x:c>
      <x:c r="AB101" s="34" t="n">
        <x:v>261.543846</x:v>
      </x:c>
      <x:c r="AC101" s="34" t="n">
        <x:v>2124.876</x:v>
      </x:c>
      <x:c r="AD101" s="34" t="n">
        <x:v>8.124359</x:v>
      </x:c>
      <x:c r="AE101" s="40" t="b">
        <x:v>1</x:v>
      </x:c>
      <x:c r="AF101" s="40" t="b">
        <x:v>1</x:v>
      </x:c>
      <x:c r="AG101" s="34" t="str"/>
      <x:c r="AH101" s="34" t="n">
        <x:v>0</x:v>
      </x:c>
      <x:c r="AI101" s="34" t="str">
        <x:v>2.0275124185786808e-05</x:v>
      </x:c>
      <x:c r="AJ101" s="40" t="b">
        <x:v>1</x:v>
      </x:c>
      <x:c r="AK101" s="40" t="b">
        <x:v>1</x:v>
      </x:c>
      <x:c r="AL101" s="40" t="b">
        <x:v>1</x:v>
      </x:c>
      <x:c r="AM101" s="40" t="b">
        <x:v>1</x:v>
      </x:c>
      <x:c r="AN101" s="34" t="str"/>
      <x:c r="AO101" s="34" t="n">
        <x:v>0</x:v>
      </x:c>
      <x:c r="AP101" s="34" t="n">
        <x:v>0</x:v>
      </x:c>
      <x:c r="AQ101" s="34" t="n">
        <x:v>0</x:v>
      </x:c>
      <x:c r="AR101" s="34" t="n">
        <x:v>2</x:v>
      </x:c>
      <x:c r="AS101" s="34" t="n">
        <x:v>3</x:v>
      </x:c>
      <x:c r="AT101" s="34" t="n">
        <x:v>0.2589598719999999</x:v>
      </x:c>
      <x:c r="AU101" s="34" t="n">
        <x:v>0.65</x:v>
      </x:c>
      <x:c r="AV101" s="34" t="n">
        <x:v>0.7399999999999999</x:v>
      </x:c>
    </x:row>
    <x:row r="102">
      <x:c r="A102" s="34" t="str">
        <x:v>POSCO_KR</x:v>
      </x:c>
      <x:c r="B102" s="34" t="str">
        <x:v>POSCO</x:v>
      </x:c>
      <x:c r="C102" s="34" t="str">
        <x:v>DISCLOSED_PATH</x:v>
      </x:c>
      <x:c r="D102" s="34" t="str">
        <x:v>P1</x:v>
      </x:c>
      <x:c r="E102" s="34" t="n">
        <x:v>2036</x:v>
      </x:c>
      <x:c r="F102" s="34" t="n">
        <x:v>4</x:v>
      </x:c>
      <x:c r="G102" s="34" t="n">
        <x:v>17.430597</x:v>
      </x:c>
      <x:c r="H102" s="34" t="n">
        <x:v>19.4</x:v>
      </x:c>
      <x:c r="I102" s="34" t="n">
        <x:v>1.969403</x:v>
      </x:c>
      <x:c r="J102" s="34" t="n">
        <x:v>89.848</x:v>
      </x:c>
      <x:c r="K102" s="34" t="n">
        <x:v>0</x:v>
      </x:c>
      <x:c r="L102" s="34" t="n">
        <x:v>1.8</x:v>
      </x:c>
      <x:c r="M102" s="34" t="n">
        <x:v>1.8</x:v>
      </x:c>
      <x:c r="N102" s="34" t="n">
        <x:v>0</x:v>
      </x:c>
      <x:c r="O102" s="34" t="n">
        <x:v>9.807038</x:v>
      </x:c>
      <x:c r="P102" s="34" t="n">
        <x:v>17</x:v>
      </x:c>
      <x:c r="Q102" s="34" t="n">
        <x:v>7.192962</x:v>
      </x:c>
      <x:c r="R102" s="34" t="n">
        <x:v>57.688</x:v>
      </x:c>
      <x:c r="S102" s="40" t="b">
        <x:v>1</x:v>
      </x:c>
      <x:c r="T102" s="34" t="str">
        <x:v>model_interpolation</x:v>
      </x:c>
      <x:c r="U102" s="34" t="str">
        <x:v>Linear interpolation from 2035 to 2040</x:v>
      </x:c>
      <x:c r="V102" s="34" t="str">
        <x:v>CAND-2F5D03A613EDBE</x:v>
      </x:c>
      <x:c r="W102" s="34" t="str">
        <x:v>P1</x:v>
      </x:c>
      <x:c r="X102" s="34" t="str">
        <x:v>PORT-0E469489028A</x:v>
      </x:c>
      <x:c r="Y102" s="34" t="n">
        <x:v>1000</x:v>
      </x:c>
      <x:c r="Z102" s="34" t="n">
        <x:v>8.976264</x:v>
      </x:c>
      <x:c r="AA102" s="34" t="n">
        <x:v>7.615491</x:v>
      </x:c>
      <x:c r="AB102" s="34" t="n">
        <x:v>261.543846</x:v>
      </x:c>
      <x:c r="AC102" s="34" t="n">
        <x:v>2124.876</x:v>
      </x:c>
      <x:c r="AD102" s="34" t="n">
        <x:v>8.124359</x:v>
      </x:c>
      <x:c r="AE102" s="40" t="b">
        <x:v>1</x:v>
      </x:c>
      <x:c r="AF102" s="40" t="b">
        <x:v>1</x:v>
      </x:c>
      <x:c r="AG102" s="34" t="str"/>
      <x:c r="AH102" s="34" t="n">
        <x:v>0</x:v>
      </x:c>
      <x:c r="AI102" s="34" t="str">
        <x:v>2.0275124185786808e-05</x:v>
      </x:c>
      <x:c r="AJ102" s="40" t="b">
        <x:v>1</x:v>
      </x:c>
      <x:c r="AK102" s="40" t="b">
        <x:v>1</x:v>
      </x:c>
      <x:c r="AL102" s="40" t="b">
        <x:v>1</x:v>
      </x:c>
      <x:c r="AM102" s="40" t="b">
        <x:v>1</x:v>
      </x:c>
      <x:c r="AN102" s="34" t="str"/>
      <x:c r="AO102" s="34" t="n">
        <x:v>0</x:v>
      </x:c>
      <x:c r="AP102" s="34" t="n">
        <x:v>0</x:v>
      </x:c>
      <x:c r="AQ102" s="34" t="n">
        <x:v>0</x:v>
      </x:c>
      <x:c r="AR102" s="34" t="n">
        <x:v>2</x:v>
      </x:c>
      <x:c r="AS102" s="34" t="n">
        <x:v>3</x:v>
      </x:c>
      <x:c r="AT102" s="34" t="n">
        <x:v>0.2589598719999999</x:v>
      </x:c>
      <x:c r="AU102" s="34" t="n">
        <x:v>0.65</x:v>
      </x:c>
      <x:c r="AV102" s="34" t="n">
        <x:v>0.7399999999999999</x:v>
      </x:c>
    </x:row>
    <x:row r="103">
      <x:c r="A103" s="34" t="str">
        <x:v>POSCO_KR</x:v>
      </x:c>
      <x:c r="B103" s="34" t="str">
        <x:v>POSCO</x:v>
      </x:c>
      <x:c r="C103" s="34" t="str">
        <x:v>DISCLOSED_PATH</x:v>
      </x:c>
      <x:c r="D103" s="34" t="str">
        <x:v>P1</x:v>
      </x:c>
      <x:c r="E103" s="34" t="n">
        <x:v>2037</x:v>
      </x:c>
      <x:c r="F103" s="34" t="n">
        <x:v>5</x:v>
      </x:c>
      <x:c r="G103" s="34" t="n">
        <x:v>18.856047</x:v>
      </x:c>
      <x:c r="H103" s="34" t="n">
        <x:v>20.8</x:v>
      </x:c>
      <x:c r="I103" s="34" t="n">
        <x:v>1.943953</x:v>
      </x:c>
      <x:c r="J103" s="34" t="n">
        <x:v>90.654</x:v>
      </x:c>
      <x:c r="K103" s="34" t="n">
        <x:v>0</x:v>
      </x:c>
      <x:c r="L103" s="34" t="n">
        <x:v>2.1</x:v>
      </x:c>
      <x:c r="M103" s="34" t="n">
        <x:v>2.1</x:v>
      </x:c>
      <x:c r="N103" s="34" t="n">
        <x:v>0</x:v>
      </x:c>
      <x:c r="O103" s="34" t="n">
        <x:v>9.997098</x:v>
      </x:c>
      <x:c r="P103" s="34" t="n">
        <x:v>19</x:v>
      </x:c>
      <x:c r="Q103" s="34" t="n">
        <x:v>9.002902</x:v>
      </x:c>
      <x:c r="R103" s="34" t="n">
        <x:v>52.616</x:v>
      </x:c>
      <x:c r="S103" s="40" t="b">
        <x:v>1</x:v>
      </x:c>
      <x:c r="T103" s="34" t="str">
        <x:v>model_interpolation</x:v>
      </x:c>
      <x:c r="U103" s="34" t="str">
        <x:v>Linear interpolation from 2035 to 2040</x:v>
      </x:c>
      <x:c r="V103" s="34" t="str">
        <x:v>CAND-2F5D03A613EDBE</x:v>
      </x:c>
      <x:c r="W103" s="34" t="str">
        <x:v>P1</x:v>
      </x:c>
      <x:c r="X103" s="34" t="str">
        <x:v>PORT-0E469489028A</x:v>
      </x:c>
      <x:c r="Y103" s="34" t="n">
        <x:v>1000</x:v>
      </x:c>
      <x:c r="Z103" s="34" t="n">
        <x:v>8.976264</x:v>
      </x:c>
      <x:c r="AA103" s="34" t="n">
        <x:v>7.615491</x:v>
      </x:c>
      <x:c r="AB103" s="34" t="n">
        <x:v>261.543846</x:v>
      </x:c>
      <x:c r="AC103" s="34" t="n">
        <x:v>2124.876</x:v>
      </x:c>
      <x:c r="AD103" s="34" t="n">
        <x:v>8.124359</x:v>
      </x:c>
      <x:c r="AE103" s="40" t="b">
        <x:v>1</x:v>
      </x:c>
      <x:c r="AF103" s="40" t="b">
        <x:v>1</x:v>
      </x:c>
      <x:c r="AG103" s="34" t="str"/>
      <x:c r="AH103" s="34" t="n">
        <x:v>0</x:v>
      </x:c>
      <x:c r="AI103" s="34" t="str">
        <x:v>2.0275124185786808e-05</x:v>
      </x:c>
      <x:c r="AJ103" s="40" t="b">
        <x:v>1</x:v>
      </x:c>
      <x:c r="AK103" s="40" t="b">
        <x:v>1</x:v>
      </x:c>
      <x:c r="AL103" s="40" t="b">
        <x:v>1</x:v>
      </x:c>
      <x:c r="AM103" s="40" t="b">
        <x:v>1</x:v>
      </x:c>
      <x:c r="AN103" s="34" t="str"/>
      <x:c r="AO103" s="34" t="n">
        <x:v>0</x:v>
      </x:c>
      <x:c r="AP103" s="34" t="n">
        <x:v>0</x:v>
      </x:c>
      <x:c r="AQ103" s="34" t="n">
        <x:v>0</x:v>
      </x:c>
      <x:c r="AR103" s="34" t="n">
        <x:v>2</x:v>
      </x:c>
      <x:c r="AS103" s="34" t="n">
        <x:v>3</x:v>
      </x:c>
      <x:c r="AT103" s="34" t="n">
        <x:v>0.2589598719999999</x:v>
      </x:c>
      <x:c r="AU103" s="34" t="n">
        <x:v>0.65</x:v>
      </x:c>
      <x:c r="AV103" s="34" t="n">
        <x:v>0.7399999999999999</x:v>
      </x:c>
    </x:row>
    <x:row r="104">
      <x:c r="A104" s="34" t="str">
        <x:v>POSCO_KR</x:v>
      </x:c>
      <x:c r="B104" s="34" t="str">
        <x:v>POSCO</x:v>
      </x:c>
      <x:c r="C104" s="34" t="str">
        <x:v>DISCLOSED_PATH</x:v>
      </x:c>
      <x:c r="D104" s="34" t="str">
        <x:v>P1</x:v>
      </x:c>
      <x:c r="E104" s="34" t="n">
        <x:v>2038</x:v>
      </x:c>
      <x:c r="F104" s="34" t="n">
        <x:v>5</x:v>
      </x:c>
      <x:c r="G104" s="34" t="n">
        <x:v>18.856047</x:v>
      </x:c>
      <x:c r="H104" s="34" t="n">
        <x:v>22.2</x:v>
      </x:c>
      <x:c r="I104" s="34" t="n">
        <x:v>3.343953</x:v>
      </x:c>
      <x:c r="J104" s="34" t="n">
        <x:v>84.937</x:v>
      </x:c>
      <x:c r="K104" s="34" t="n">
        <x:v>0</x:v>
      </x:c>
      <x:c r="L104" s="34" t="n">
        <x:v>2.4</x:v>
      </x:c>
      <x:c r="M104" s="34" t="n">
        <x:v>2.4</x:v>
      </x:c>
      <x:c r="N104" s="34" t="n">
        <x:v>0</x:v>
      </x:c>
      <x:c r="O104" s="34" t="n">
        <x:v>9.997098</x:v>
      </x:c>
      <x:c r="P104" s="34" t="n">
        <x:v>21</x:v>
      </x:c>
      <x:c r="Q104" s="34" t="n">
        <x:v>11.002902</x:v>
      </x:c>
      <x:c r="R104" s="34" t="n">
        <x:v>47.605</x:v>
      </x:c>
      <x:c r="S104" s="40" t="b">
        <x:v>1</x:v>
      </x:c>
      <x:c r="T104" s="34" t="str">
        <x:v>model_interpolation</x:v>
      </x:c>
      <x:c r="U104" s="34" t="str">
        <x:v>Linear interpolation from 2035 to 2040</x:v>
      </x:c>
      <x:c r="V104" s="34" t="str">
        <x:v>CAND-2F5D03A613EDBE</x:v>
      </x:c>
      <x:c r="W104" s="34" t="str">
        <x:v>P1</x:v>
      </x:c>
      <x:c r="X104" s="34" t="str">
        <x:v>PORT-0E469489028A</x:v>
      </x:c>
      <x:c r="Y104" s="34" t="n">
        <x:v>1000</x:v>
      </x:c>
      <x:c r="Z104" s="34" t="n">
        <x:v>8.976264</x:v>
      </x:c>
      <x:c r="AA104" s="34" t="n">
        <x:v>7.615491</x:v>
      </x:c>
      <x:c r="AB104" s="34" t="n">
        <x:v>261.543846</x:v>
      </x:c>
      <x:c r="AC104" s="34" t="n">
        <x:v>2124.876</x:v>
      </x:c>
      <x:c r="AD104" s="34" t="n">
        <x:v>8.124359</x:v>
      </x:c>
      <x:c r="AE104" s="40" t="b">
        <x:v>1</x:v>
      </x:c>
      <x:c r="AF104" s="40" t="b">
        <x:v>1</x:v>
      </x:c>
      <x:c r="AG104" s="34" t="str"/>
      <x:c r="AH104" s="34" t="n">
        <x:v>0</x:v>
      </x:c>
      <x:c r="AI104" s="34" t="str">
        <x:v>2.0275124185786808e-05</x:v>
      </x:c>
      <x:c r="AJ104" s="40" t="b">
        <x:v>1</x:v>
      </x:c>
      <x:c r="AK104" s="40" t="b">
        <x:v>1</x:v>
      </x:c>
      <x:c r="AL104" s="40" t="b">
        <x:v>1</x:v>
      </x:c>
      <x:c r="AM104" s="40" t="b">
        <x:v>1</x:v>
      </x:c>
      <x:c r="AN104" s="34" t="str"/>
      <x:c r="AO104" s="34" t="n">
        <x:v>0</x:v>
      </x:c>
      <x:c r="AP104" s="34" t="n">
        <x:v>0</x:v>
      </x:c>
      <x:c r="AQ104" s="34" t="n">
        <x:v>0</x:v>
      </x:c>
      <x:c r="AR104" s="34" t="n">
        <x:v>2</x:v>
      </x:c>
      <x:c r="AS104" s="34" t="n">
        <x:v>3</x:v>
      </x:c>
      <x:c r="AT104" s="34" t="n">
        <x:v>0.2589598719999999</x:v>
      </x:c>
      <x:c r="AU104" s="34" t="n">
        <x:v>0.65</x:v>
      </x:c>
      <x:c r="AV104" s="34" t="n">
        <x:v>0.7399999999999999</x:v>
      </x:c>
    </x:row>
    <x:row r="105">
      <x:c r="A105" s="34" t="str">
        <x:v>POSCO_KR</x:v>
      </x:c>
      <x:c r="B105" s="34" t="str">
        <x:v>POSCO</x:v>
      </x:c>
      <x:c r="C105" s="34" t="str">
        <x:v>DISCLOSED_PATH</x:v>
      </x:c>
      <x:c r="D105" s="34" t="str">
        <x:v>P1</x:v>
      </x:c>
      <x:c r="E105" s="34" t="n">
        <x:v>2039</x:v>
      </x:c>
      <x:c r="F105" s="34" t="n">
        <x:v>5</x:v>
      </x:c>
      <x:c r="G105" s="34" t="n">
        <x:v>18.856047</x:v>
      </x:c>
      <x:c r="H105" s="34" t="n">
        <x:v>23.6</x:v>
      </x:c>
      <x:c r="I105" s="34" t="n">
        <x:v>4.743953</x:v>
      </x:c>
      <x:c r="J105" s="34" t="n">
        <x:v>79.899</x:v>
      </x:c>
      <x:c r="K105" s="34" t="n">
        <x:v>0</x:v>
      </x:c>
      <x:c r="L105" s="34" t="n">
        <x:v>2.7</x:v>
      </x:c>
      <x:c r="M105" s="34" t="n">
        <x:v>2.7</x:v>
      </x:c>
      <x:c r="N105" s="34" t="n">
        <x:v>0</x:v>
      </x:c>
      <x:c r="O105" s="34" t="n">
        <x:v>9.997098</x:v>
      </x:c>
      <x:c r="P105" s="34" t="n">
        <x:v>23</x:v>
      </x:c>
      <x:c r="Q105" s="34" t="n">
        <x:v>13.002902</x:v>
      </x:c>
      <x:c r="R105" s="34" t="n">
        <x:v>43.466</x:v>
      </x:c>
      <x:c r="S105" s="40" t="b">
        <x:v>1</x:v>
      </x:c>
      <x:c r="T105" s="34" t="str">
        <x:v>model_interpolation</x:v>
      </x:c>
      <x:c r="U105" s="34" t="str">
        <x:v>Linear interpolation from 2035 to 2040</x:v>
      </x:c>
      <x:c r="V105" s="34" t="str">
        <x:v>CAND-2F5D03A613EDBE</x:v>
      </x:c>
      <x:c r="W105" s="34" t="str">
        <x:v>P1</x:v>
      </x:c>
      <x:c r="X105" s="34" t="str">
        <x:v>PORT-0E469489028A</x:v>
      </x:c>
      <x:c r="Y105" s="34" t="n">
        <x:v>1000</x:v>
      </x:c>
      <x:c r="Z105" s="34" t="n">
        <x:v>8.976264</x:v>
      </x:c>
      <x:c r="AA105" s="34" t="n">
        <x:v>7.615491</x:v>
      </x:c>
      <x:c r="AB105" s="34" t="n">
        <x:v>261.543846</x:v>
      </x:c>
      <x:c r="AC105" s="34" t="n">
        <x:v>2124.876</x:v>
      </x:c>
      <x:c r="AD105" s="34" t="n">
        <x:v>8.124359</x:v>
      </x:c>
      <x:c r="AE105" s="40" t="b">
        <x:v>1</x:v>
      </x:c>
      <x:c r="AF105" s="40" t="b">
        <x:v>1</x:v>
      </x:c>
      <x:c r="AG105" s="34" t="str"/>
      <x:c r="AH105" s="34" t="n">
        <x:v>0</x:v>
      </x:c>
      <x:c r="AI105" s="34" t="str">
        <x:v>2.0275124185786808e-05</x:v>
      </x:c>
      <x:c r="AJ105" s="40" t="b">
        <x:v>1</x:v>
      </x:c>
      <x:c r="AK105" s="40" t="b">
        <x:v>1</x:v>
      </x:c>
      <x:c r="AL105" s="40" t="b">
        <x:v>1</x:v>
      </x:c>
      <x:c r="AM105" s="40" t="b">
        <x:v>1</x:v>
      </x:c>
      <x:c r="AN105" s="34" t="str"/>
      <x:c r="AO105" s="34" t="n">
        <x:v>0</x:v>
      </x:c>
      <x:c r="AP105" s="34" t="n">
        <x:v>0</x:v>
      </x:c>
      <x:c r="AQ105" s="34" t="n">
        <x:v>0</x:v>
      </x:c>
      <x:c r="AR105" s="34" t="n">
        <x:v>2</x:v>
      </x:c>
      <x:c r="AS105" s="34" t="n">
        <x:v>3</x:v>
      </x:c>
      <x:c r="AT105" s="34" t="n">
        <x:v>0.2589598719999999</x:v>
      </x:c>
      <x:c r="AU105" s="34" t="n">
        <x:v>0.65</x:v>
      </x:c>
      <x:c r="AV105" s="34" t="n">
        <x:v>0.7399999999999999</x:v>
      </x:c>
    </x:row>
    <x:row r="106">
      <x:c r="A106" s="34" t="str">
        <x:v>POSCO_KR</x:v>
      </x:c>
      <x:c r="B106" s="34" t="str">
        <x:v>POSCO</x:v>
      </x:c>
      <x:c r="C106" s="34" t="str">
        <x:v>DISCLOSED_PATH</x:v>
      </x:c>
      <x:c r="D106" s="34" t="str">
        <x:v>P1</x:v>
      </x:c>
      <x:c r="E106" s="34" t="n">
        <x:v>2040</x:v>
      </x:c>
      <x:c r="F106" s="34" t="n">
        <x:v>5</x:v>
      </x:c>
      <x:c r="G106" s="34" t="n">
        <x:v>18.856047</x:v>
      </x:c>
      <x:c r="H106" s="34" t="n">
        <x:v>25</x:v>
      </x:c>
      <x:c r="I106" s="34" t="n">
        <x:v>6.143953</x:v>
      </x:c>
      <x:c r="J106" s="34" t="n">
        <x:v>75.424</x:v>
      </x:c>
      <x:c r="K106" s="34" t="n">
        <x:v>0</x:v>
      </x:c>
      <x:c r="L106" s="34" t="n">
        <x:v>3</x:v>
      </x:c>
      <x:c r="M106" s="34" t="n">
        <x:v>3</x:v>
      </x:c>
      <x:c r="N106" s="34" t="n">
        <x:v>0</x:v>
      </x:c>
      <x:c r="O106" s="34" t="n">
        <x:v>9.997098</x:v>
      </x:c>
      <x:c r="P106" s="34" t="n">
        <x:v>25</x:v>
      </x:c>
      <x:c r="Q106" s="34" t="n">
        <x:v>15.002902</x:v>
      </x:c>
      <x:c r="R106" s="34" t="n">
        <x:v>39.988</x:v>
      </x:c>
      <x:c r="S106" s="40" t="b">
        <x:v>1</x:v>
      </x:c>
      <x:c r="T106" s="34" t="str">
        <x:v>model_estimate</x:v>
      </x:c>
      <x:c r="U106" s="34" t="str">
        <x:v>Illustrative screening envelope; not an official supply forecast</x:v>
      </x:c>
      <x:c r="V106" s="34" t="str">
        <x:v>CAND-2F5D03A613EDBE</x:v>
      </x:c>
      <x:c r="W106" s="34" t="str">
        <x:v>P1</x:v>
      </x:c>
      <x:c r="X106" s="34" t="str">
        <x:v>PORT-0E469489028A</x:v>
      </x:c>
      <x:c r="Y106" s="34" t="n">
        <x:v>1000</x:v>
      </x:c>
      <x:c r="Z106" s="34" t="n">
        <x:v>8.976264</x:v>
      </x:c>
      <x:c r="AA106" s="34" t="n">
        <x:v>7.615491</x:v>
      </x:c>
      <x:c r="AB106" s="34" t="n">
        <x:v>261.543846</x:v>
      </x:c>
      <x:c r="AC106" s="34" t="n">
        <x:v>2124.876</x:v>
      </x:c>
      <x:c r="AD106" s="34" t="n">
        <x:v>8.124359</x:v>
      </x:c>
      <x:c r="AE106" s="40" t="b">
        <x:v>1</x:v>
      </x:c>
      <x:c r="AF106" s="40" t="b">
        <x:v>1</x:v>
      </x:c>
      <x:c r="AG106" s="34" t="str"/>
      <x:c r="AH106" s="34" t="n">
        <x:v>0</x:v>
      </x:c>
      <x:c r="AI106" s="34" t="str">
        <x:v>2.0275124185786808e-05</x:v>
      </x:c>
      <x:c r="AJ106" s="40" t="b">
        <x:v>1</x:v>
      </x:c>
      <x:c r="AK106" s="40" t="b">
        <x:v>1</x:v>
      </x:c>
      <x:c r="AL106" s="40" t="b">
        <x:v>1</x:v>
      </x:c>
      <x:c r="AM106" s="40" t="b">
        <x:v>1</x:v>
      </x:c>
      <x:c r="AN106" s="34" t="str"/>
      <x:c r="AO106" s="34" t="n">
        <x:v>0</x:v>
      </x:c>
      <x:c r="AP106" s="34" t="n">
        <x:v>0</x:v>
      </x:c>
      <x:c r="AQ106" s="34" t="n">
        <x:v>0</x:v>
      </x:c>
      <x:c r="AR106" s="34" t="n">
        <x:v>2</x:v>
      </x:c>
      <x:c r="AS106" s="34" t="n">
        <x:v>3</x:v>
      </x:c>
      <x:c r="AT106" s="34" t="n">
        <x:v>0.2589598719999999</x:v>
      </x:c>
      <x:c r="AU106" s="34" t="n">
        <x:v>0.65</x:v>
      </x:c>
      <x:c r="AV106" s="34" t="n">
        <x:v>0.7399999999999999</x:v>
      </x:c>
    </x:row>
    <x:row r="107">
      <x:c r="A107" s="34" t="str">
        <x:v>POSCO_KR</x:v>
      </x:c>
      <x:c r="B107" s="34" t="str">
        <x:v>POSCO</x:v>
      </x:c>
      <x:c r="C107" s="34" t="str">
        <x:v>ACCELERATED_15C</x:v>
      </x:c>
      <x:c r="D107" s="34" t="str">
        <x:v>P1</x:v>
      </x:c>
      <x:c r="E107" s="34" t="n">
        <x:v>2026</x:v>
      </x:c>
      <x:c r="F107" s="34" t="n">
        <x:v>0</x:v>
      </x:c>
      <x:c r="G107" s="34" t="n">
        <x:v>0</x:v>
      </x:c>
      <x:c r="H107" s="34" t="n">
        <x:v>8</x:v>
      </x:c>
      <x:c r="I107" s="34" t="n">
        <x:v>8</x:v>
      </x:c>
      <x:c r="J107" s="34" t="n">
        <x:v>0</x:v>
      </x:c>
      <x:c r="K107" s="34" t="n">
        <x:v>0</x:v>
      </x:c>
      <x:c r="L107" s="34" t="n">
        <x:v>0.1</x:v>
      </x:c>
      <x:c r="M107" s="34" t="n">
        <x:v>0.1</x:v>
      </x:c>
      <x:c r="N107" s="34" t="n">
        <x:v>0</x:v>
      </x:c>
      <x:c r="O107" s="34" t="n">
        <x:v>0</x:v>
      </x:c>
      <x:c r="P107" s="34" t="n">
        <x:v>2</x:v>
      </x:c>
      <x:c r="Q107" s="34" t="n">
        <x:v>2</x:v>
      </x:c>
      <x:c r="R107" s="34" t="n">
        <x:v>0</x:v>
      </x:c>
      <x:c r="S107" s="40" t="b">
        <x:v>1</x:v>
      </x:c>
      <x:c r="T107" s="34" t="str">
        <x:v>model_interpolation</x:v>
      </x:c>
      <x:c r="U107" s="34" t="str">
        <x:v>Linear interpolation from 2026 to 2030</x:v>
      </x:c>
      <x:c r="V107" s="34" t="str">
        <x:v>CAND-2F5D03A613EDBE</x:v>
      </x:c>
      <x:c r="W107" s="34" t="str">
        <x:v>P1</x:v>
      </x:c>
      <x:c r="X107" s="34" t="str">
        <x:v>PORT-0E469489028A</x:v>
      </x:c>
      <x:c r="Y107" s="34" t="n">
        <x:v>1000</x:v>
      </x:c>
      <x:c r="Z107" s="34" t="n">
        <x:v>-5.728423</x:v>
      </x:c>
      <x:c r="AA107" s="34" t="n">
        <x:v>8.177309</x:v>
      </x:c>
      <x:c r="AB107" s="34" t="n">
        <x:v>261.543846</x:v>
      </x:c>
      <x:c r="AC107" s="34" t="n">
        <x:v>-1733.653</x:v>
      </x:c>
      <x:c r="AD107" s="34" t="n">
        <x:v>-6.628536</x:v>
      </x:c>
      <x:c r="AE107" s="40" t="b">
        <x:v>0</x:v>
      </x:c>
      <x:c r="AF107" s="40" t="b">
        <x:v>0</x:v>
      </x:c>
      <x:c r="AG107" s="34" t="n">
        <x:v>2035</x:v>
      </x:c>
      <x:c r="AH107" s="34" t="n">
        <x:v>19.084092670000008</x:v>
      </x:c>
      <x:c r="AI107" s="34" t="n">
        <x:v>-19.084092670000008</x:v>
      </x:c>
      <x:c r="AJ107" s="40" t="b">
        <x:v>1</x:v>
      </x:c>
      <x:c r="AK107" s="40" t="b">
        <x:v>1</x:v>
      </x:c>
      <x:c r="AL107" s="40" t="b">
        <x:v>1</x:v>
      </x:c>
      <x:c r="AM107" s="40" t="b">
        <x:v>1</x:v>
      </x:c>
      <x:c r="AN107" s="34" t="str"/>
      <x:c r="AO107" s="34" t="n">
        <x:v>0</x:v>
      </x:c>
      <x:c r="AP107" s="34" t="n">
        <x:v>0</x:v>
      </x:c>
      <x:c r="AQ107" s="34" t="n">
        <x:v>0</x:v>
      </x:c>
      <x:c r="AR107" s="34" t="n">
        <x:v>2</x:v>
      </x:c>
      <x:c r="AS107" s="34" t="n">
        <x:v>3</x:v>
      </x:c>
      <x:c r="AT107" s="34" t="n">
        <x:v>0.2589598719999999</x:v>
      </x:c>
      <x:c r="AU107" s="34" t="n">
        <x:v>0.65</x:v>
      </x:c>
      <x:c r="AV107" s="34" t="n">
        <x:v>0.7399999999999999</x:v>
      </x:c>
    </x:row>
    <x:row r="108">
      <x:c r="A108" s="34" t="str">
        <x:v>POSCO_KR</x:v>
      </x:c>
      <x:c r="B108" s="34" t="str">
        <x:v>POSCO</x:v>
      </x:c>
      <x:c r="C108" s="34" t="str">
        <x:v>ACCELERATED_15C</x:v>
      </x:c>
      <x:c r="D108" s="34" t="str">
        <x:v>P1</x:v>
      </x:c>
      <x:c r="E108" s="34" t="n">
        <x:v>2027</x:v>
      </x:c>
      <x:c r="F108" s="34" t="n">
        <x:v>0</x:v>
      </x:c>
      <x:c r="G108" s="34" t="n">
        <x:v>0</x:v>
      </x:c>
      <x:c r="H108" s="34" t="n">
        <x:v>9.75</x:v>
      </x:c>
      <x:c r="I108" s="34" t="n">
        <x:v>9.75</x:v>
      </x:c>
      <x:c r="J108" s="34" t="n">
        <x:v>0</x:v>
      </x:c>
      <x:c r="K108" s="34" t="n">
        <x:v>0</x:v>
      </x:c>
      <x:c r="L108" s="34" t="n">
        <x:v>0.275</x:v>
      </x:c>
      <x:c r="M108" s="34" t="n">
        <x:v>0.275</x:v>
      </x:c>
      <x:c r="N108" s="34" t="n">
        <x:v>0</x:v>
      </x:c>
      <x:c r="O108" s="34" t="n">
        <x:v>0</x:v>
      </x:c>
      <x:c r="P108" s="34" t="n">
        <x:v>4</x:v>
      </x:c>
      <x:c r="Q108" s="34" t="n">
        <x:v>4</x:v>
      </x:c>
      <x:c r="R108" s="34" t="n">
        <x:v>0</x:v>
      </x:c>
      <x:c r="S108" s="40" t="b">
        <x:v>1</x:v>
      </x:c>
      <x:c r="T108" s="34" t="str">
        <x:v>model_interpolation</x:v>
      </x:c>
      <x:c r="U108" s="34" t="str">
        <x:v>Linear interpolation from 2026 to 2030</x:v>
      </x:c>
      <x:c r="V108" s="34" t="str">
        <x:v>CAND-2F5D03A613EDBE</x:v>
      </x:c>
      <x:c r="W108" s="34" t="str">
        <x:v>P1</x:v>
      </x:c>
      <x:c r="X108" s="34" t="str">
        <x:v>PORT-0E469489028A</x:v>
      </x:c>
      <x:c r="Y108" s="34" t="n">
        <x:v>1000</x:v>
      </x:c>
      <x:c r="Z108" s="34" t="n">
        <x:v>-5.728423</x:v>
      </x:c>
      <x:c r="AA108" s="34" t="n">
        <x:v>8.177309</x:v>
      </x:c>
      <x:c r="AB108" s="34" t="n">
        <x:v>261.543846</x:v>
      </x:c>
      <x:c r="AC108" s="34" t="n">
        <x:v>-1733.653</x:v>
      </x:c>
      <x:c r="AD108" s="34" t="n">
        <x:v>-6.628536</x:v>
      </x:c>
      <x:c r="AE108" s="40" t="b">
        <x:v>0</x:v>
      </x:c>
      <x:c r="AF108" s="40" t="b">
        <x:v>0</x:v>
      </x:c>
      <x:c r="AG108" s="34" t="n">
        <x:v>2035</x:v>
      </x:c>
      <x:c r="AH108" s="34" t="n">
        <x:v>19.084092670000008</x:v>
      </x:c>
      <x:c r="AI108" s="34" t="n">
        <x:v>-19.084092670000008</x:v>
      </x:c>
      <x:c r="AJ108" s="40" t="b">
        <x:v>1</x:v>
      </x:c>
      <x:c r="AK108" s="40" t="b">
        <x:v>1</x:v>
      </x:c>
      <x:c r="AL108" s="40" t="b">
        <x:v>1</x:v>
      </x:c>
      <x:c r="AM108" s="40" t="b">
        <x:v>1</x:v>
      </x:c>
      <x:c r="AN108" s="34" t="str"/>
      <x:c r="AO108" s="34" t="n">
        <x:v>0</x:v>
      </x:c>
      <x:c r="AP108" s="34" t="n">
        <x:v>0</x:v>
      </x:c>
      <x:c r="AQ108" s="34" t="n">
        <x:v>0</x:v>
      </x:c>
      <x:c r="AR108" s="34" t="n">
        <x:v>2</x:v>
      </x:c>
      <x:c r="AS108" s="34" t="n">
        <x:v>3</x:v>
      </x:c>
      <x:c r="AT108" s="34" t="n">
        <x:v>0.2589598719999999</x:v>
      </x:c>
      <x:c r="AU108" s="34" t="n">
        <x:v>0.65</x:v>
      </x:c>
      <x:c r="AV108" s="34" t="n">
        <x:v>0.7399999999999999</x:v>
      </x:c>
    </x:row>
    <x:row r="109">
      <x:c r="A109" s="34" t="str">
        <x:v>POSCO_KR</x:v>
      </x:c>
      <x:c r="B109" s="34" t="str">
        <x:v>POSCO</x:v>
      </x:c>
      <x:c r="C109" s="34" t="str">
        <x:v>ACCELERATED_15C</x:v>
      </x:c>
      <x:c r="D109" s="34" t="str">
        <x:v>P1</x:v>
      </x:c>
      <x:c r="E109" s="34" t="n">
        <x:v>2028</x:v>
      </x:c>
      <x:c r="F109" s="34" t="n">
        <x:v>0</x:v>
      </x:c>
      <x:c r="G109" s="34" t="n">
        <x:v>0</x:v>
      </x:c>
      <x:c r="H109" s="34" t="n">
        <x:v>11.5</x:v>
      </x:c>
      <x:c r="I109" s="34" t="n">
        <x:v>11.5</x:v>
      </x:c>
      <x:c r="J109" s="34" t="n">
        <x:v>0</x:v>
      </x:c>
      <x:c r="K109" s="34" t="n">
        <x:v>0</x:v>
      </x:c>
      <x:c r="L109" s="34" t="n">
        <x:v>0.45000000000000007</x:v>
      </x:c>
      <x:c r="M109" s="34" t="n">
        <x:v>0.45</x:v>
      </x:c>
      <x:c r="N109" s="34" t="n">
        <x:v>0</x:v>
      </x:c>
      <x:c r="O109" s="34" t="n">
        <x:v>0</x:v>
      </x:c>
      <x:c r="P109" s="34" t="n">
        <x:v>6</x:v>
      </x:c>
      <x:c r="Q109" s="34" t="n">
        <x:v>6</x:v>
      </x:c>
      <x:c r="R109" s="34" t="n">
        <x:v>0</x:v>
      </x:c>
      <x:c r="S109" s="40" t="b">
        <x:v>1</x:v>
      </x:c>
      <x:c r="T109" s="34" t="str">
        <x:v>model_interpolation</x:v>
      </x:c>
      <x:c r="U109" s="34" t="str">
        <x:v>Linear interpolation from 2026 to 2030</x:v>
      </x:c>
      <x:c r="V109" s="34" t="str">
        <x:v>CAND-2F5D03A613EDBE</x:v>
      </x:c>
      <x:c r="W109" s="34" t="str">
        <x:v>P1</x:v>
      </x:c>
      <x:c r="X109" s="34" t="str">
        <x:v>PORT-0E469489028A</x:v>
      </x:c>
      <x:c r="Y109" s="34" t="n">
        <x:v>1000</x:v>
      </x:c>
      <x:c r="Z109" s="34" t="n">
        <x:v>-5.728423</x:v>
      </x:c>
      <x:c r="AA109" s="34" t="n">
        <x:v>8.177309</x:v>
      </x:c>
      <x:c r="AB109" s="34" t="n">
        <x:v>261.543846</x:v>
      </x:c>
      <x:c r="AC109" s="34" t="n">
        <x:v>-1733.653</x:v>
      </x:c>
      <x:c r="AD109" s="34" t="n">
        <x:v>-6.628536</x:v>
      </x:c>
      <x:c r="AE109" s="40" t="b">
        <x:v>0</x:v>
      </x:c>
      <x:c r="AF109" s="40" t="b">
        <x:v>0</x:v>
      </x:c>
      <x:c r="AG109" s="34" t="n">
        <x:v>2035</x:v>
      </x:c>
      <x:c r="AH109" s="34" t="n">
        <x:v>19.084092670000008</x:v>
      </x:c>
      <x:c r="AI109" s="34" t="n">
        <x:v>-19.084092670000008</x:v>
      </x:c>
      <x:c r="AJ109" s="40" t="b">
        <x:v>1</x:v>
      </x:c>
      <x:c r="AK109" s="40" t="b">
        <x:v>1</x:v>
      </x:c>
      <x:c r="AL109" s="40" t="b">
        <x:v>1</x:v>
      </x:c>
      <x:c r="AM109" s="40" t="b">
        <x:v>1</x:v>
      </x:c>
      <x:c r="AN109" s="34" t="str"/>
      <x:c r="AO109" s="34" t="n">
        <x:v>0</x:v>
      </x:c>
      <x:c r="AP109" s="34" t="n">
        <x:v>0</x:v>
      </x:c>
      <x:c r="AQ109" s="34" t="n">
        <x:v>0</x:v>
      </x:c>
      <x:c r="AR109" s="34" t="n">
        <x:v>2</x:v>
      </x:c>
      <x:c r="AS109" s="34" t="n">
        <x:v>3</x:v>
      </x:c>
      <x:c r="AT109" s="34" t="n">
        <x:v>0.2589598719999999</x:v>
      </x:c>
      <x:c r="AU109" s="34" t="n">
        <x:v>0.65</x:v>
      </x:c>
      <x:c r="AV109" s="34" t="n">
        <x:v>0.7399999999999999</x:v>
      </x:c>
    </x:row>
    <x:row r="110">
      <x:c r="A110" s="34" t="str">
        <x:v>POSCO_KR</x:v>
      </x:c>
      <x:c r="B110" s="34" t="str">
        <x:v>POSCO</x:v>
      </x:c>
      <x:c r="C110" s="34" t="str">
        <x:v>ACCELERATED_15C</x:v>
      </x:c>
      <x:c r="D110" s="34" t="str">
        <x:v>P1</x:v>
      </x:c>
      <x:c r="E110" s="34" t="n">
        <x:v>2029</x:v>
      </x:c>
      <x:c r="F110" s="34" t="n">
        <x:v>1</x:v>
      </x:c>
      <x:c r="G110" s="34" t="n">
        <x:v>6.839998</x:v>
      </x:c>
      <x:c r="H110" s="34" t="n">
        <x:v>13.25</x:v>
      </x:c>
      <x:c r="I110" s="34" t="n">
        <x:v>6.410002</x:v>
      </x:c>
      <x:c r="J110" s="34" t="n">
        <x:v>51.623</x:v>
      </x:c>
      <x:c r="K110" s="34" t="n">
        <x:v>0</x:v>
      </x:c>
      <x:c r="L110" s="34" t="n">
        <x:v>0.625</x:v>
      </x:c>
      <x:c r="M110" s="34" t="n">
        <x:v>0.625</x:v>
      </x:c>
      <x:c r="N110" s="34" t="n">
        <x:v>0</x:v>
      </x:c>
      <x:c r="O110" s="34" t="n">
        <x:v>4.255999</x:v>
      </x:c>
      <x:c r="P110" s="34" t="n">
        <x:v>8</x:v>
      </x:c>
      <x:c r="Q110" s="34" t="n">
        <x:v>3.744001</x:v>
      </x:c>
      <x:c r="R110" s="34" t="n">
        <x:v>53.2</x:v>
      </x:c>
      <x:c r="S110" s="40" t="b">
        <x:v>1</x:v>
      </x:c>
      <x:c r="T110" s="34" t="str">
        <x:v>model_interpolation</x:v>
      </x:c>
      <x:c r="U110" s="34" t="str">
        <x:v>Linear interpolation from 2026 to 2030</x:v>
      </x:c>
      <x:c r="V110" s="34" t="str">
        <x:v>CAND-2F5D03A613EDBE</x:v>
      </x:c>
      <x:c r="W110" s="34" t="str">
        <x:v>P1</x:v>
      </x:c>
      <x:c r="X110" s="34" t="str">
        <x:v>PORT-0E469489028A</x:v>
      </x:c>
      <x:c r="Y110" s="34" t="n">
        <x:v>1000</x:v>
      </x:c>
      <x:c r="Z110" s="34" t="n">
        <x:v>-5.728423</x:v>
      </x:c>
      <x:c r="AA110" s="34" t="n">
        <x:v>8.177309</x:v>
      </x:c>
      <x:c r="AB110" s="34" t="n">
        <x:v>261.543846</x:v>
      </x:c>
      <x:c r="AC110" s="34" t="n">
        <x:v>-1733.653</x:v>
      </x:c>
      <x:c r="AD110" s="34" t="n">
        <x:v>-6.628536</x:v>
      </x:c>
      <x:c r="AE110" s="40" t="b">
        <x:v>0</x:v>
      </x:c>
      <x:c r="AF110" s="40" t="b">
        <x:v>0</x:v>
      </x:c>
      <x:c r="AG110" s="34" t="n">
        <x:v>2035</x:v>
      </x:c>
      <x:c r="AH110" s="34" t="n">
        <x:v>19.084092670000008</x:v>
      </x:c>
      <x:c r="AI110" s="34" t="n">
        <x:v>-19.084092670000008</x:v>
      </x:c>
      <x:c r="AJ110" s="40" t="b">
        <x:v>1</x:v>
      </x:c>
      <x:c r="AK110" s="40" t="b">
        <x:v>1</x:v>
      </x:c>
      <x:c r="AL110" s="40" t="b">
        <x:v>1</x:v>
      </x:c>
      <x:c r="AM110" s="40" t="b">
        <x:v>1</x:v>
      </x:c>
      <x:c r="AN110" s="34" t="str"/>
      <x:c r="AO110" s="34" t="n">
        <x:v>0</x:v>
      </x:c>
      <x:c r="AP110" s="34" t="n">
        <x:v>0</x:v>
      </x:c>
      <x:c r="AQ110" s="34" t="n">
        <x:v>0</x:v>
      </x:c>
      <x:c r="AR110" s="34" t="n">
        <x:v>2</x:v>
      </x:c>
      <x:c r="AS110" s="34" t="n">
        <x:v>3</x:v>
      </x:c>
      <x:c r="AT110" s="34" t="n">
        <x:v>0.2589598719999999</x:v>
      </x:c>
      <x:c r="AU110" s="34" t="n">
        <x:v>0.65</x:v>
      </x:c>
      <x:c r="AV110" s="34" t="n">
        <x:v>0.7399999999999999</x:v>
      </x:c>
    </x:row>
    <x:row r="111">
      <x:c r="A111" s="34" t="str">
        <x:v>POSCO_KR</x:v>
      </x:c>
      <x:c r="B111" s="34" t="str">
        <x:v>POSCO</x:v>
      </x:c>
      <x:c r="C111" s="34" t="str">
        <x:v>ACCELERATED_15C</x:v>
      </x:c>
      <x:c r="D111" s="34" t="str">
        <x:v>P1</x:v>
      </x:c>
      <x:c r="E111" s="34" t="n">
        <x:v>2030</x:v>
      </x:c>
      <x:c r="F111" s="34" t="n">
        <x:v>1</x:v>
      </x:c>
      <x:c r="G111" s="34" t="n">
        <x:v>6.839998</x:v>
      </x:c>
      <x:c r="H111" s="34" t="n">
        <x:v>15</x:v>
      </x:c>
      <x:c r="I111" s="34" t="n">
        <x:v>8.160002</x:v>
      </x:c>
      <x:c r="J111" s="34" t="n">
        <x:v>45.6</x:v>
      </x:c>
      <x:c r="K111" s="34" t="n">
        <x:v>0</x:v>
      </x:c>
      <x:c r="L111" s="34" t="n">
        <x:v>0.8</x:v>
      </x:c>
      <x:c r="M111" s="34" t="n">
        <x:v>0.8</x:v>
      </x:c>
      <x:c r="N111" s="34" t="n">
        <x:v>0</x:v>
      </x:c>
      <x:c r="O111" s="34" t="n">
        <x:v>4.255999</x:v>
      </x:c>
      <x:c r="P111" s="34" t="n">
        <x:v>10</x:v>
      </x:c>
      <x:c r="Q111" s="34" t="n">
        <x:v>5.744001</x:v>
      </x:c>
      <x:c r="R111" s="34" t="n">
        <x:v>42.56</x:v>
      </x:c>
      <x:c r="S111" s="40" t="b">
        <x:v>1</x:v>
      </x:c>
      <x:c r="T111" s="34" t="str">
        <x:v>model_interpolation</x:v>
      </x:c>
      <x:c r="U111" s="34" t="str">
        <x:v>Linear interpolation from 2030 to 2035</x:v>
      </x:c>
      <x:c r="V111" s="34" t="str">
        <x:v>CAND-2F5D03A613EDBE</x:v>
      </x:c>
      <x:c r="W111" s="34" t="str">
        <x:v>P1</x:v>
      </x:c>
      <x:c r="X111" s="34" t="str">
        <x:v>PORT-0E469489028A</x:v>
      </x:c>
      <x:c r="Y111" s="34" t="n">
        <x:v>1000</x:v>
      </x:c>
      <x:c r="Z111" s="34" t="n">
        <x:v>-5.728423</x:v>
      </x:c>
      <x:c r="AA111" s="34" t="n">
        <x:v>8.177309</x:v>
      </x:c>
      <x:c r="AB111" s="34" t="n">
        <x:v>261.543846</x:v>
      </x:c>
      <x:c r="AC111" s="34" t="n">
        <x:v>-1733.653</x:v>
      </x:c>
      <x:c r="AD111" s="34" t="n">
        <x:v>-6.628536</x:v>
      </x:c>
      <x:c r="AE111" s="40" t="b">
        <x:v>0</x:v>
      </x:c>
      <x:c r="AF111" s="40" t="b">
        <x:v>0</x:v>
      </x:c>
      <x:c r="AG111" s="34" t="n">
        <x:v>2035</x:v>
      </x:c>
      <x:c r="AH111" s="34" t="n">
        <x:v>19.084092670000008</x:v>
      </x:c>
      <x:c r="AI111" s="34" t="n">
        <x:v>-19.084092670000008</x:v>
      </x:c>
      <x:c r="AJ111" s="40" t="b">
        <x:v>1</x:v>
      </x:c>
      <x:c r="AK111" s="40" t="b">
        <x:v>1</x:v>
      </x:c>
      <x:c r="AL111" s="40" t="b">
        <x:v>1</x:v>
      </x:c>
      <x:c r="AM111" s="40" t="b">
        <x:v>1</x:v>
      </x:c>
      <x:c r="AN111" s="34" t="str"/>
      <x:c r="AO111" s="34" t="n">
        <x:v>0</x:v>
      </x:c>
      <x:c r="AP111" s="34" t="n">
        <x:v>0</x:v>
      </x:c>
      <x:c r="AQ111" s="34" t="n">
        <x:v>0</x:v>
      </x:c>
      <x:c r="AR111" s="34" t="n">
        <x:v>2</x:v>
      </x:c>
      <x:c r="AS111" s="34" t="n">
        <x:v>3</x:v>
      </x:c>
      <x:c r="AT111" s="34" t="n">
        <x:v>0.2589598719999999</x:v>
      </x:c>
      <x:c r="AU111" s="34" t="n">
        <x:v>0.65</x:v>
      </x:c>
      <x:c r="AV111" s="34" t="n">
        <x:v>0.7399999999999999</x:v>
      </x:c>
    </x:row>
    <x:row r="112">
      <x:c r="A112" s="34" t="str">
        <x:v>POSCO_KR</x:v>
      </x:c>
      <x:c r="B112" s="34" t="str">
        <x:v>POSCO</x:v>
      </x:c>
      <x:c r="C112" s="34" t="str">
        <x:v>ACCELERATED_15C</x:v>
      </x:c>
      <x:c r="D112" s="34" t="str">
        <x:v>P1</x:v>
      </x:c>
      <x:c r="E112" s="34" t="n">
        <x:v>2031</x:v>
      </x:c>
      <x:c r="F112" s="34" t="n">
        <x:v>1</x:v>
      </x:c>
      <x:c r="G112" s="34" t="n">
        <x:v>6.839998</x:v>
      </x:c>
      <x:c r="H112" s="34" t="n">
        <x:v>16.6</x:v>
      </x:c>
      <x:c r="I112" s="34" t="n">
        <x:v>9.760002</x:v>
      </x:c>
      <x:c r="J112" s="34" t="n">
        <x:v>41.205</x:v>
      </x:c>
      <x:c r="K112" s="34" t="n">
        <x:v>0</x:v>
      </x:c>
      <x:c r="L112" s="34" t="n">
        <x:v>1.08</x:v>
      </x:c>
      <x:c r="M112" s="34" t="n">
        <x:v>1.08</x:v>
      </x:c>
      <x:c r="N112" s="34" t="n">
        <x:v>0</x:v>
      </x:c>
      <x:c r="O112" s="34" t="n">
        <x:v>4.255999</x:v>
      </x:c>
      <x:c r="P112" s="34" t="n">
        <x:v>12</x:v>
      </x:c>
      <x:c r="Q112" s="34" t="n">
        <x:v>7.744001</x:v>
      </x:c>
      <x:c r="R112" s="34" t="n">
        <x:v>35.467</x:v>
      </x:c>
      <x:c r="S112" s="40" t="b">
        <x:v>1</x:v>
      </x:c>
      <x:c r="T112" s="34" t="str">
        <x:v>model_interpolation</x:v>
      </x:c>
      <x:c r="U112" s="34" t="str">
        <x:v>Linear interpolation from 2030 to 2035</x:v>
      </x:c>
      <x:c r="V112" s="34" t="str">
        <x:v>CAND-2F5D03A613EDBE</x:v>
      </x:c>
      <x:c r="W112" s="34" t="str">
        <x:v>P1</x:v>
      </x:c>
      <x:c r="X112" s="34" t="str">
        <x:v>PORT-0E469489028A</x:v>
      </x:c>
      <x:c r="Y112" s="34" t="n">
        <x:v>1000</x:v>
      </x:c>
      <x:c r="Z112" s="34" t="n">
        <x:v>-5.728423</x:v>
      </x:c>
      <x:c r="AA112" s="34" t="n">
        <x:v>8.177309</x:v>
      </x:c>
      <x:c r="AB112" s="34" t="n">
        <x:v>261.543846</x:v>
      </x:c>
      <x:c r="AC112" s="34" t="n">
        <x:v>-1733.653</x:v>
      </x:c>
      <x:c r="AD112" s="34" t="n">
        <x:v>-6.628536</x:v>
      </x:c>
      <x:c r="AE112" s="40" t="b">
        <x:v>0</x:v>
      </x:c>
      <x:c r="AF112" s="40" t="b">
        <x:v>0</x:v>
      </x:c>
      <x:c r="AG112" s="34" t="n">
        <x:v>2035</x:v>
      </x:c>
      <x:c r="AH112" s="34" t="n">
        <x:v>19.084092670000008</x:v>
      </x:c>
      <x:c r="AI112" s="34" t="n">
        <x:v>-19.084092670000008</x:v>
      </x:c>
      <x:c r="AJ112" s="40" t="b">
        <x:v>1</x:v>
      </x:c>
      <x:c r="AK112" s="40" t="b">
        <x:v>1</x:v>
      </x:c>
      <x:c r="AL112" s="40" t="b">
        <x:v>1</x:v>
      </x:c>
      <x:c r="AM112" s="40" t="b">
        <x:v>1</x:v>
      </x:c>
      <x:c r="AN112" s="34" t="str"/>
      <x:c r="AO112" s="34" t="n">
        <x:v>0</x:v>
      </x:c>
      <x:c r="AP112" s="34" t="n">
        <x:v>0</x:v>
      </x:c>
      <x:c r="AQ112" s="34" t="n">
        <x:v>0</x:v>
      </x:c>
      <x:c r="AR112" s="34" t="n">
        <x:v>2</x:v>
      </x:c>
      <x:c r="AS112" s="34" t="n">
        <x:v>3</x:v>
      </x:c>
      <x:c r="AT112" s="34" t="n">
        <x:v>0.2589598719999999</x:v>
      </x:c>
      <x:c r="AU112" s="34" t="n">
        <x:v>0.65</x:v>
      </x:c>
      <x:c r="AV112" s="34" t="n">
        <x:v>0.7399999999999999</x:v>
      </x:c>
    </x:row>
    <x:row r="113">
      <x:c r="A113" s="34" t="str">
        <x:v>POSCO_KR</x:v>
      </x:c>
      <x:c r="B113" s="34" t="str">
        <x:v>POSCO</x:v>
      </x:c>
      <x:c r="C113" s="34" t="str">
        <x:v>ACCELERATED_15C</x:v>
      </x:c>
      <x:c r="D113" s="34" t="str">
        <x:v>P1</x:v>
      </x:c>
      <x:c r="E113" s="34" t="n">
        <x:v>2032</x:v>
      </x:c>
      <x:c r="F113" s="34" t="n">
        <x:v>2</x:v>
      </x:c>
      <x:c r="G113" s="34" t="n">
        <x:v>7.859998</x:v>
      </x:c>
      <x:c r="H113" s="34" t="n">
        <x:v>18.2</x:v>
      </x:c>
      <x:c r="I113" s="34" t="n">
        <x:v>10.340002</x:v>
      </x:c>
      <x:c r="J113" s="34" t="n">
        <x:v>43.187</x:v>
      </x:c>
      <x:c r="K113" s="34" t="n">
        <x:v>0</x:v>
      </x:c>
      <x:c r="L113" s="34" t="n">
        <x:v>1.36</x:v>
      </x:c>
      <x:c r="M113" s="34" t="n">
        <x:v>1.36</x:v>
      </x:c>
      <x:c r="N113" s="34" t="n">
        <x:v>0</x:v>
      </x:c>
      <x:c r="O113" s="34" t="n">
        <x:v>4.323999</x:v>
      </x:c>
      <x:c r="P113" s="34" t="n">
        <x:v>14</x:v>
      </x:c>
      <x:c r="Q113" s="34" t="n">
        <x:v>9.676001</x:v>
      </x:c>
      <x:c r="R113" s="34" t="n">
        <x:v>30.886</x:v>
      </x:c>
      <x:c r="S113" s="40" t="b">
        <x:v>1</x:v>
      </x:c>
      <x:c r="T113" s="34" t="str">
        <x:v>model_interpolation</x:v>
      </x:c>
      <x:c r="U113" s="34" t="str">
        <x:v>Linear interpolation from 2030 to 2035</x:v>
      </x:c>
      <x:c r="V113" s="34" t="str">
        <x:v>CAND-2F5D03A613EDBE</x:v>
      </x:c>
      <x:c r="W113" s="34" t="str">
        <x:v>P1</x:v>
      </x:c>
      <x:c r="X113" s="34" t="str">
        <x:v>PORT-0E469489028A</x:v>
      </x:c>
      <x:c r="Y113" s="34" t="n">
        <x:v>1000</x:v>
      </x:c>
      <x:c r="Z113" s="34" t="n">
        <x:v>-5.728423</x:v>
      </x:c>
      <x:c r="AA113" s="34" t="n">
        <x:v>8.177309</x:v>
      </x:c>
      <x:c r="AB113" s="34" t="n">
        <x:v>261.543846</x:v>
      </x:c>
      <x:c r="AC113" s="34" t="n">
        <x:v>-1733.653</x:v>
      </x:c>
      <x:c r="AD113" s="34" t="n">
        <x:v>-6.628536</x:v>
      </x:c>
      <x:c r="AE113" s="40" t="b">
        <x:v>0</x:v>
      </x:c>
      <x:c r="AF113" s="40" t="b">
        <x:v>0</x:v>
      </x:c>
      <x:c r="AG113" s="34" t="n">
        <x:v>2035</x:v>
      </x:c>
      <x:c r="AH113" s="34" t="n">
        <x:v>19.084092670000008</x:v>
      </x:c>
      <x:c r="AI113" s="34" t="n">
        <x:v>-19.084092670000008</x:v>
      </x:c>
      <x:c r="AJ113" s="40" t="b">
        <x:v>1</x:v>
      </x:c>
      <x:c r="AK113" s="40" t="b">
        <x:v>1</x:v>
      </x:c>
      <x:c r="AL113" s="40" t="b">
        <x:v>1</x:v>
      </x:c>
      <x:c r="AM113" s="40" t="b">
        <x:v>1</x:v>
      </x:c>
      <x:c r="AN113" s="34" t="str"/>
      <x:c r="AO113" s="34" t="n">
        <x:v>0</x:v>
      </x:c>
      <x:c r="AP113" s="34" t="n">
        <x:v>0</x:v>
      </x:c>
      <x:c r="AQ113" s="34" t="n">
        <x:v>0</x:v>
      </x:c>
      <x:c r="AR113" s="34" t="n">
        <x:v>2</x:v>
      </x:c>
      <x:c r="AS113" s="34" t="n">
        <x:v>3</x:v>
      </x:c>
      <x:c r="AT113" s="34" t="n">
        <x:v>0.2589598719999999</x:v>
      </x:c>
      <x:c r="AU113" s="34" t="n">
        <x:v>0.65</x:v>
      </x:c>
      <x:c r="AV113" s="34" t="n">
        <x:v>0.7399999999999999</x:v>
      </x:c>
    </x:row>
    <x:row r="114">
      <x:c r="A114" s="34" t="str">
        <x:v>POSCO_KR</x:v>
      </x:c>
      <x:c r="B114" s="34" t="str">
        <x:v>POSCO</x:v>
      </x:c>
      <x:c r="C114" s="34" t="str">
        <x:v>ACCELERATED_15C</x:v>
      </x:c>
      <x:c r="D114" s="34" t="str">
        <x:v>P1</x:v>
      </x:c>
      <x:c r="E114" s="34" t="n">
        <x:v>2033</x:v>
      </x:c>
      <x:c r="F114" s="34" t="n">
        <x:v>3</x:v>
      </x:c>
      <x:c r="G114" s="34" t="n">
        <x:v>8.880598</x:v>
      </x:c>
      <x:c r="H114" s="34" t="n">
        <x:v>19.8</x:v>
      </x:c>
      <x:c r="I114" s="34" t="n">
        <x:v>10.919402</x:v>
      </x:c>
      <x:c r="J114" s="34" t="n">
        <x:v>44.852</x:v>
      </x:c>
      <x:c r="K114" s="34" t="n">
        <x:v>0</x:v>
      </x:c>
      <x:c r="L114" s="34" t="n">
        <x:v>1.6400000000000001</x:v>
      </x:c>
      <x:c r="M114" s="34" t="n">
        <x:v>1.64</x:v>
      </x:c>
      <x:c r="N114" s="34" t="n">
        <x:v>0</x:v>
      </x:c>
      <x:c r="O114" s="34" t="n">
        <x:v>4.392039</x:v>
      </x:c>
      <x:c r="P114" s="34" t="n">
        <x:v>16</x:v>
      </x:c>
      <x:c r="Q114" s="34" t="n">
        <x:v>11.607961</x:v>
      </x:c>
      <x:c r="R114" s="34" t="n">
        <x:v>27.45</x:v>
      </x:c>
      <x:c r="S114" s="40" t="b">
        <x:v>1</x:v>
      </x:c>
      <x:c r="T114" s="34" t="str">
        <x:v>model_interpolation</x:v>
      </x:c>
      <x:c r="U114" s="34" t="str">
        <x:v>Linear interpolation from 2030 to 2035</x:v>
      </x:c>
      <x:c r="V114" s="34" t="str">
        <x:v>CAND-2F5D03A613EDBE</x:v>
      </x:c>
      <x:c r="W114" s="34" t="str">
        <x:v>P1</x:v>
      </x:c>
      <x:c r="X114" s="34" t="str">
        <x:v>PORT-0E469489028A</x:v>
      </x:c>
      <x:c r="Y114" s="34" t="n">
        <x:v>1000</x:v>
      </x:c>
      <x:c r="Z114" s="34" t="n">
        <x:v>-5.728423</x:v>
      </x:c>
      <x:c r="AA114" s="34" t="n">
        <x:v>8.177309</x:v>
      </x:c>
      <x:c r="AB114" s="34" t="n">
        <x:v>261.543846</x:v>
      </x:c>
      <x:c r="AC114" s="34" t="n">
        <x:v>-1733.653</x:v>
      </x:c>
      <x:c r="AD114" s="34" t="n">
        <x:v>-6.628536</x:v>
      </x:c>
      <x:c r="AE114" s="40" t="b">
        <x:v>0</x:v>
      </x:c>
      <x:c r="AF114" s="40" t="b">
        <x:v>0</x:v>
      </x:c>
      <x:c r="AG114" s="34" t="n">
        <x:v>2035</x:v>
      </x:c>
      <x:c r="AH114" s="34" t="n">
        <x:v>19.084092670000008</x:v>
      </x:c>
      <x:c r="AI114" s="34" t="n">
        <x:v>-19.084092670000008</x:v>
      </x:c>
      <x:c r="AJ114" s="40" t="b">
        <x:v>1</x:v>
      </x:c>
      <x:c r="AK114" s="40" t="b">
        <x:v>1</x:v>
      </x:c>
      <x:c r="AL114" s="40" t="b">
        <x:v>1</x:v>
      </x:c>
      <x:c r="AM114" s="40" t="b">
        <x:v>1</x:v>
      </x:c>
      <x:c r="AN114" s="34" t="str"/>
      <x:c r="AO114" s="34" t="n">
        <x:v>0</x:v>
      </x:c>
      <x:c r="AP114" s="34" t="n">
        <x:v>0</x:v>
      </x:c>
      <x:c r="AQ114" s="34" t="n">
        <x:v>0</x:v>
      </x:c>
      <x:c r="AR114" s="34" t="n">
        <x:v>2</x:v>
      </x:c>
      <x:c r="AS114" s="34" t="n">
        <x:v>3</x:v>
      </x:c>
      <x:c r="AT114" s="34" t="n">
        <x:v>0.2589598719999999</x:v>
      </x:c>
      <x:c r="AU114" s="34" t="n">
        <x:v>0.65</x:v>
      </x:c>
      <x:c r="AV114" s="34" t="n">
        <x:v>0.7399999999999999</x:v>
      </x:c>
    </x:row>
    <x:row r="115">
      <x:c r="A115" s="34" t="str">
        <x:v>POSCO_KR</x:v>
      </x:c>
      <x:c r="B115" s="34" t="str">
        <x:v>POSCO</x:v>
      </x:c>
      <x:c r="C115" s="34" t="str">
        <x:v>ACCELERATED_15C</x:v>
      </x:c>
      <x:c r="D115" s="34" t="str">
        <x:v>P1</x:v>
      </x:c>
      <x:c r="E115" s="34" t="n">
        <x:v>2034</x:v>
      </x:c>
      <x:c r="F115" s="34" t="n">
        <x:v>3</x:v>
      </x:c>
      <x:c r="G115" s="34" t="n">
        <x:v>8.880598</x:v>
      </x:c>
      <x:c r="H115" s="34" t="n">
        <x:v>21.4</x:v>
      </x:c>
      <x:c r="I115" s="34" t="n">
        <x:v>12.519402</x:v>
      </x:c>
      <x:c r="J115" s="34" t="n">
        <x:v>41.498</x:v>
      </x:c>
      <x:c r="K115" s="34" t="n">
        <x:v>0</x:v>
      </x:c>
      <x:c r="L115" s="34" t="n">
        <x:v>1.9200000000000002</x:v>
      </x:c>
      <x:c r="M115" s="34" t="n">
        <x:v>1.92</x:v>
      </x:c>
      <x:c r="N115" s="34" t="n">
        <x:v>0</x:v>
      </x:c>
      <x:c r="O115" s="34" t="n">
        <x:v>4.392039</x:v>
      </x:c>
      <x:c r="P115" s="34" t="n">
        <x:v>18</x:v>
      </x:c>
      <x:c r="Q115" s="34" t="n">
        <x:v>13.607961</x:v>
      </x:c>
      <x:c r="R115" s="34" t="n">
        <x:v>24.4</x:v>
      </x:c>
      <x:c r="S115" s="40" t="b">
        <x:v>1</x:v>
      </x:c>
      <x:c r="T115" s="34" t="str">
        <x:v>model_interpolation</x:v>
      </x:c>
      <x:c r="U115" s="34" t="str">
        <x:v>Linear interpolation from 2030 to 2035</x:v>
      </x:c>
      <x:c r="V115" s="34" t="str">
        <x:v>CAND-2F5D03A613EDBE</x:v>
      </x:c>
      <x:c r="W115" s="34" t="str">
        <x:v>P1</x:v>
      </x:c>
      <x:c r="X115" s="34" t="str">
        <x:v>PORT-0E469489028A</x:v>
      </x:c>
      <x:c r="Y115" s="34" t="n">
        <x:v>1000</x:v>
      </x:c>
      <x:c r="Z115" s="34" t="n">
        <x:v>-5.728423</x:v>
      </x:c>
      <x:c r="AA115" s="34" t="n">
        <x:v>8.177309</x:v>
      </x:c>
      <x:c r="AB115" s="34" t="n">
        <x:v>261.543846</x:v>
      </x:c>
      <x:c r="AC115" s="34" t="n">
        <x:v>-1733.653</x:v>
      </x:c>
      <x:c r="AD115" s="34" t="n">
        <x:v>-6.628536</x:v>
      </x:c>
      <x:c r="AE115" s="40" t="b">
        <x:v>0</x:v>
      </x:c>
      <x:c r="AF115" s="40" t="b">
        <x:v>0</x:v>
      </x:c>
      <x:c r="AG115" s="34" t="n">
        <x:v>2035</x:v>
      </x:c>
      <x:c r="AH115" s="34" t="n">
        <x:v>19.084092670000008</x:v>
      </x:c>
      <x:c r="AI115" s="34" t="n">
        <x:v>-19.084092670000008</x:v>
      </x:c>
      <x:c r="AJ115" s="40" t="b">
        <x:v>1</x:v>
      </x:c>
      <x:c r="AK115" s="40" t="b">
        <x:v>1</x:v>
      </x:c>
      <x:c r="AL115" s="40" t="b">
        <x:v>1</x:v>
      </x:c>
      <x:c r="AM115" s="40" t="b">
        <x:v>1</x:v>
      </x:c>
      <x:c r="AN115" s="34" t="str"/>
      <x:c r="AO115" s="34" t="n">
        <x:v>0</x:v>
      </x:c>
      <x:c r="AP115" s="34" t="n">
        <x:v>0</x:v>
      </x:c>
      <x:c r="AQ115" s="34" t="n">
        <x:v>0</x:v>
      </x:c>
      <x:c r="AR115" s="34" t="n">
        <x:v>2</x:v>
      </x:c>
      <x:c r="AS115" s="34" t="n">
        <x:v>3</x:v>
      </x:c>
      <x:c r="AT115" s="34" t="n">
        <x:v>0.2589598719999999</x:v>
      </x:c>
      <x:c r="AU115" s="34" t="n">
        <x:v>0.65</x:v>
      </x:c>
      <x:c r="AV115" s="34" t="n">
        <x:v>0.7399999999999999</x:v>
      </x:c>
    </x:row>
    <x:row r="116">
      <x:c r="A116" s="34" t="str">
        <x:v>POSCO_KR</x:v>
      </x:c>
      <x:c r="B116" s="34" t="str">
        <x:v>POSCO</x:v>
      </x:c>
      <x:c r="C116" s="34" t="str">
        <x:v>ACCELERATED_15C</x:v>
      </x:c>
      <x:c r="D116" s="34" t="str">
        <x:v>P1</x:v>
      </x:c>
      <x:c r="E116" s="34" t="n">
        <x:v>2035</x:v>
      </x:c>
      <x:c r="F116" s="34" t="n">
        <x:v>4</x:v>
      </x:c>
      <x:c r="G116" s="34" t="n">
        <x:v>17.430597</x:v>
      </x:c>
      <x:c r="H116" s="34" t="n">
        <x:v>23</x:v>
      </x:c>
      <x:c r="I116" s="34" t="n">
        <x:v>5.569403</x:v>
      </x:c>
      <x:c r="J116" s="34" t="n">
        <x:v>75.785</x:v>
      </x:c>
      <x:c r="K116" s="34" t="n">
        <x:v>0</x:v>
      </x:c>
      <x:c r="L116" s="34" t="n">
        <x:v>2.2</x:v>
      </x:c>
      <x:c r="M116" s="34" t="n">
        <x:v>2.2</x:v>
      </x:c>
      <x:c r="N116" s="34" t="n">
        <x:v>0</x:v>
      </x:c>
      <x:c r="O116" s="34" t="n">
        <x:v>9.807038</x:v>
      </x:c>
      <x:c r="P116" s="34" t="n">
        <x:v>20</x:v>
      </x:c>
      <x:c r="Q116" s="34" t="n">
        <x:v>10.192962</x:v>
      </x:c>
      <x:c r="R116" s="34" t="n">
        <x:v>49.035</x:v>
      </x:c>
      <x:c r="S116" s="40" t="b">
        <x:v>1</x:v>
      </x:c>
      <x:c r="T116" s="34" t="str">
        <x:v>model_interpolation</x:v>
      </x:c>
      <x:c r="U116" s="34" t="str">
        <x:v>Linear interpolation from 2035 to 2040</x:v>
      </x:c>
      <x:c r="V116" s="34" t="str">
        <x:v>CAND-2F5D03A613EDBE</x:v>
      </x:c>
      <x:c r="W116" s="34" t="str">
        <x:v>P1</x:v>
      </x:c>
      <x:c r="X116" s="34" t="str">
        <x:v>PORT-0E469489028A</x:v>
      </x:c>
      <x:c r="Y116" s="34" t="n">
        <x:v>1000</x:v>
      </x:c>
      <x:c r="Z116" s="34" t="n">
        <x:v>-5.728423</x:v>
      </x:c>
      <x:c r="AA116" s="34" t="n">
        <x:v>8.177309</x:v>
      </x:c>
      <x:c r="AB116" s="34" t="n">
        <x:v>261.543846</x:v>
      </x:c>
      <x:c r="AC116" s="34" t="n">
        <x:v>-1733.653</x:v>
      </x:c>
      <x:c r="AD116" s="34" t="n">
        <x:v>-6.628536</x:v>
      </x:c>
      <x:c r="AE116" s="40" t="b">
        <x:v>0</x:v>
      </x:c>
      <x:c r="AF116" s="40" t="b">
        <x:v>0</x:v>
      </x:c>
      <x:c r="AG116" s="34" t="n">
        <x:v>2035</x:v>
      </x:c>
      <x:c r="AH116" s="34" t="n">
        <x:v>19.084092670000008</x:v>
      </x:c>
      <x:c r="AI116" s="34" t="n">
        <x:v>-19.084092670000008</x:v>
      </x:c>
      <x:c r="AJ116" s="40" t="b">
        <x:v>1</x:v>
      </x:c>
      <x:c r="AK116" s="40" t="b">
        <x:v>1</x:v>
      </x:c>
      <x:c r="AL116" s="40" t="b">
        <x:v>1</x:v>
      </x:c>
      <x:c r="AM116" s="40" t="b">
        <x:v>1</x:v>
      </x:c>
      <x:c r="AN116" s="34" t="str"/>
      <x:c r="AO116" s="34" t="n">
        <x:v>0</x:v>
      </x:c>
      <x:c r="AP116" s="34" t="n">
        <x:v>0</x:v>
      </x:c>
      <x:c r="AQ116" s="34" t="n">
        <x:v>0</x:v>
      </x:c>
      <x:c r="AR116" s="34" t="n">
        <x:v>2</x:v>
      </x:c>
      <x:c r="AS116" s="34" t="n">
        <x:v>3</x:v>
      </x:c>
      <x:c r="AT116" s="34" t="n">
        <x:v>0.2589598719999999</x:v>
      </x:c>
      <x:c r="AU116" s="34" t="n">
        <x:v>0.65</x:v>
      </x:c>
      <x:c r="AV116" s="34" t="n">
        <x:v>0.7399999999999999</x:v>
      </x:c>
    </x:row>
    <x:row r="117">
      <x:c r="A117" s="34" t="str">
        <x:v>POSCO_KR</x:v>
      </x:c>
      <x:c r="B117" s="34" t="str">
        <x:v>POSCO</x:v>
      </x:c>
      <x:c r="C117" s="34" t="str">
        <x:v>ACCELERATED_15C</x:v>
      </x:c>
      <x:c r="D117" s="34" t="str">
        <x:v>P1</x:v>
      </x:c>
      <x:c r="E117" s="34" t="n">
        <x:v>2036</x:v>
      </x:c>
      <x:c r="F117" s="34" t="n">
        <x:v>4</x:v>
      </x:c>
      <x:c r="G117" s="34" t="n">
        <x:v>17.430597</x:v>
      </x:c>
      <x:c r="H117" s="34" t="n">
        <x:v>24.4</x:v>
      </x:c>
      <x:c r="I117" s="34" t="n">
        <x:v>6.969403</x:v>
      </x:c>
      <x:c r="J117" s="34" t="n">
        <x:v>71.437</x:v>
      </x:c>
      <x:c r="K117" s="34" t="n">
        <x:v>0</x:v>
      </x:c>
      <x:c r="L117" s="34" t="n">
        <x:v>2.56</x:v>
      </x:c>
      <x:c r="M117" s="34" t="n">
        <x:v>2.56</x:v>
      </x:c>
      <x:c r="N117" s="34" t="n">
        <x:v>0</x:v>
      </x:c>
      <x:c r="O117" s="34" t="n">
        <x:v>9.807038</x:v>
      </x:c>
      <x:c r="P117" s="34" t="n">
        <x:v>22.4</x:v>
      </x:c>
      <x:c r="Q117" s="34" t="n">
        <x:v>12.592962</x:v>
      </x:c>
      <x:c r="R117" s="34" t="n">
        <x:v>43.781</x:v>
      </x:c>
      <x:c r="S117" s="40" t="b">
        <x:v>1</x:v>
      </x:c>
      <x:c r="T117" s="34" t="str">
        <x:v>model_interpolation</x:v>
      </x:c>
      <x:c r="U117" s="34" t="str">
        <x:v>Linear interpolation from 2035 to 2040</x:v>
      </x:c>
      <x:c r="V117" s="34" t="str">
        <x:v>CAND-2F5D03A613EDBE</x:v>
      </x:c>
      <x:c r="W117" s="34" t="str">
        <x:v>P1</x:v>
      </x:c>
      <x:c r="X117" s="34" t="str">
        <x:v>PORT-0E469489028A</x:v>
      </x:c>
      <x:c r="Y117" s="34" t="n">
        <x:v>1000</x:v>
      </x:c>
      <x:c r="Z117" s="34" t="n">
        <x:v>-5.728423</x:v>
      </x:c>
      <x:c r="AA117" s="34" t="n">
        <x:v>8.177309</x:v>
      </x:c>
      <x:c r="AB117" s="34" t="n">
        <x:v>261.543846</x:v>
      </x:c>
      <x:c r="AC117" s="34" t="n">
        <x:v>-1733.653</x:v>
      </x:c>
      <x:c r="AD117" s="34" t="n">
        <x:v>-6.628536</x:v>
      </x:c>
      <x:c r="AE117" s="40" t="b">
        <x:v>0</x:v>
      </x:c>
      <x:c r="AF117" s="40" t="b">
        <x:v>0</x:v>
      </x:c>
      <x:c r="AG117" s="34" t="n">
        <x:v>2035</x:v>
      </x:c>
      <x:c r="AH117" s="34" t="n">
        <x:v>19.084092670000008</x:v>
      </x:c>
      <x:c r="AI117" s="34" t="n">
        <x:v>-19.084092670000008</x:v>
      </x:c>
      <x:c r="AJ117" s="40" t="b">
        <x:v>1</x:v>
      </x:c>
      <x:c r="AK117" s="40" t="b">
        <x:v>1</x:v>
      </x:c>
      <x:c r="AL117" s="40" t="b">
        <x:v>1</x:v>
      </x:c>
      <x:c r="AM117" s="40" t="b">
        <x:v>1</x:v>
      </x:c>
      <x:c r="AN117" s="34" t="str"/>
      <x:c r="AO117" s="34" t="n">
        <x:v>0</x:v>
      </x:c>
      <x:c r="AP117" s="34" t="n">
        <x:v>0</x:v>
      </x:c>
      <x:c r="AQ117" s="34" t="n">
        <x:v>0</x:v>
      </x:c>
      <x:c r="AR117" s="34" t="n">
        <x:v>2</x:v>
      </x:c>
      <x:c r="AS117" s="34" t="n">
        <x:v>3</x:v>
      </x:c>
      <x:c r="AT117" s="34" t="n">
        <x:v>0.2589598719999999</x:v>
      </x:c>
      <x:c r="AU117" s="34" t="n">
        <x:v>0.65</x:v>
      </x:c>
      <x:c r="AV117" s="34" t="n">
        <x:v>0.7399999999999999</x:v>
      </x:c>
    </x:row>
    <x:row r="118">
      <x:c r="A118" s="34" t="str">
        <x:v>POSCO_KR</x:v>
      </x:c>
      <x:c r="B118" s="34" t="str">
        <x:v>POSCO</x:v>
      </x:c>
      <x:c r="C118" s="34" t="str">
        <x:v>ACCELERATED_15C</x:v>
      </x:c>
      <x:c r="D118" s="34" t="str">
        <x:v>P1</x:v>
      </x:c>
      <x:c r="E118" s="34" t="n">
        <x:v>2037</x:v>
      </x:c>
      <x:c r="F118" s="34" t="n">
        <x:v>5</x:v>
      </x:c>
      <x:c r="G118" s="34" t="n">
        <x:v>18.856047</x:v>
      </x:c>
      <x:c r="H118" s="34" t="n">
        <x:v>25.8</x:v>
      </x:c>
      <x:c r="I118" s="34" t="n">
        <x:v>6.943953</x:v>
      </x:c>
      <x:c r="J118" s="34" t="n">
        <x:v>73.085</x:v>
      </x:c>
      <x:c r="K118" s="34" t="n">
        <x:v>0</x:v>
      </x:c>
      <x:c r="L118" s="34" t="n">
        <x:v>2.92</x:v>
      </x:c>
      <x:c r="M118" s="34" t="n">
        <x:v>2.92</x:v>
      </x:c>
      <x:c r="N118" s="34" t="n">
        <x:v>0</x:v>
      </x:c>
      <x:c r="O118" s="34" t="n">
        <x:v>9.997098</x:v>
      </x:c>
      <x:c r="P118" s="34" t="n">
        <x:v>24.8</x:v>
      </x:c>
      <x:c r="Q118" s="34" t="n">
        <x:v>14.802902</x:v>
      </x:c>
      <x:c r="R118" s="34" t="n">
        <x:v>40.311</x:v>
      </x:c>
      <x:c r="S118" s="40" t="b">
        <x:v>1</x:v>
      </x:c>
      <x:c r="T118" s="34" t="str">
        <x:v>model_interpolation</x:v>
      </x:c>
      <x:c r="U118" s="34" t="str">
        <x:v>Linear interpolation from 2035 to 2040</x:v>
      </x:c>
      <x:c r="V118" s="34" t="str">
        <x:v>CAND-2F5D03A613EDBE</x:v>
      </x:c>
      <x:c r="W118" s="34" t="str">
        <x:v>P1</x:v>
      </x:c>
      <x:c r="X118" s="34" t="str">
        <x:v>PORT-0E469489028A</x:v>
      </x:c>
      <x:c r="Y118" s="34" t="n">
        <x:v>1000</x:v>
      </x:c>
      <x:c r="Z118" s="34" t="n">
        <x:v>-5.728423</x:v>
      </x:c>
      <x:c r="AA118" s="34" t="n">
        <x:v>8.177309</x:v>
      </x:c>
      <x:c r="AB118" s="34" t="n">
        <x:v>261.543846</x:v>
      </x:c>
      <x:c r="AC118" s="34" t="n">
        <x:v>-1733.653</x:v>
      </x:c>
      <x:c r="AD118" s="34" t="n">
        <x:v>-6.628536</x:v>
      </x:c>
      <x:c r="AE118" s="40" t="b">
        <x:v>0</x:v>
      </x:c>
      <x:c r="AF118" s="40" t="b">
        <x:v>0</x:v>
      </x:c>
      <x:c r="AG118" s="34" t="n">
        <x:v>2035</x:v>
      </x:c>
      <x:c r="AH118" s="34" t="n">
        <x:v>19.084092670000008</x:v>
      </x:c>
      <x:c r="AI118" s="34" t="n">
        <x:v>-19.084092670000008</x:v>
      </x:c>
      <x:c r="AJ118" s="40" t="b">
        <x:v>1</x:v>
      </x:c>
      <x:c r="AK118" s="40" t="b">
        <x:v>1</x:v>
      </x:c>
      <x:c r="AL118" s="40" t="b">
        <x:v>1</x:v>
      </x:c>
      <x:c r="AM118" s="40" t="b">
        <x:v>1</x:v>
      </x:c>
      <x:c r="AN118" s="34" t="str"/>
      <x:c r="AO118" s="34" t="n">
        <x:v>0</x:v>
      </x:c>
      <x:c r="AP118" s="34" t="n">
        <x:v>0</x:v>
      </x:c>
      <x:c r="AQ118" s="34" t="n">
        <x:v>0</x:v>
      </x:c>
      <x:c r="AR118" s="34" t="n">
        <x:v>2</x:v>
      </x:c>
      <x:c r="AS118" s="34" t="n">
        <x:v>3</x:v>
      </x:c>
      <x:c r="AT118" s="34" t="n">
        <x:v>0.2589598719999999</x:v>
      </x:c>
      <x:c r="AU118" s="34" t="n">
        <x:v>0.65</x:v>
      </x:c>
      <x:c r="AV118" s="34" t="n">
        <x:v>0.7399999999999999</x:v>
      </x:c>
    </x:row>
    <x:row r="119">
      <x:c r="A119" s="34" t="str">
        <x:v>POSCO_KR</x:v>
      </x:c>
      <x:c r="B119" s="34" t="str">
        <x:v>POSCO</x:v>
      </x:c>
      <x:c r="C119" s="34" t="str">
        <x:v>ACCELERATED_15C</x:v>
      </x:c>
      <x:c r="D119" s="34" t="str">
        <x:v>P1</x:v>
      </x:c>
      <x:c r="E119" s="34" t="n">
        <x:v>2038</x:v>
      </x:c>
      <x:c r="F119" s="34" t="n">
        <x:v>5</x:v>
      </x:c>
      <x:c r="G119" s="34" t="n">
        <x:v>18.856047</x:v>
      </x:c>
      <x:c r="H119" s="34" t="n">
        <x:v>27.2</x:v>
      </x:c>
      <x:c r="I119" s="34" t="n">
        <x:v>8.343953</x:v>
      </x:c>
      <x:c r="J119" s="34" t="n">
        <x:v>69.324</x:v>
      </x:c>
      <x:c r="K119" s="34" t="n">
        <x:v>0</x:v>
      </x:c>
      <x:c r="L119" s="34" t="n">
        <x:v>3.2800000000000002</x:v>
      </x:c>
      <x:c r="M119" s="34" t="n">
        <x:v>3.28</x:v>
      </x:c>
      <x:c r="N119" s="34" t="n">
        <x:v>0</x:v>
      </x:c>
      <x:c r="O119" s="34" t="n">
        <x:v>9.997098</x:v>
      </x:c>
      <x:c r="P119" s="34" t="n">
        <x:v>27.2</x:v>
      </x:c>
      <x:c r="Q119" s="34" t="n">
        <x:v>17.202902</x:v>
      </x:c>
      <x:c r="R119" s="34" t="n">
        <x:v>36.754</x:v>
      </x:c>
      <x:c r="S119" s="40" t="b">
        <x:v>1</x:v>
      </x:c>
      <x:c r="T119" s="34" t="str">
        <x:v>model_interpolation</x:v>
      </x:c>
      <x:c r="U119" s="34" t="str">
        <x:v>Linear interpolation from 2035 to 2040</x:v>
      </x:c>
      <x:c r="V119" s="34" t="str">
        <x:v>CAND-2F5D03A613EDBE</x:v>
      </x:c>
      <x:c r="W119" s="34" t="str">
        <x:v>P1</x:v>
      </x:c>
      <x:c r="X119" s="34" t="str">
        <x:v>PORT-0E469489028A</x:v>
      </x:c>
      <x:c r="Y119" s="34" t="n">
        <x:v>1000</x:v>
      </x:c>
      <x:c r="Z119" s="34" t="n">
        <x:v>-5.728423</x:v>
      </x:c>
      <x:c r="AA119" s="34" t="n">
        <x:v>8.177309</x:v>
      </x:c>
      <x:c r="AB119" s="34" t="n">
        <x:v>261.543846</x:v>
      </x:c>
      <x:c r="AC119" s="34" t="n">
        <x:v>-1733.653</x:v>
      </x:c>
      <x:c r="AD119" s="34" t="n">
        <x:v>-6.628536</x:v>
      </x:c>
      <x:c r="AE119" s="40" t="b">
        <x:v>0</x:v>
      </x:c>
      <x:c r="AF119" s="40" t="b">
        <x:v>0</x:v>
      </x:c>
      <x:c r="AG119" s="34" t="n">
        <x:v>2035</x:v>
      </x:c>
      <x:c r="AH119" s="34" t="n">
        <x:v>19.084092670000008</x:v>
      </x:c>
      <x:c r="AI119" s="34" t="n">
        <x:v>-19.084092670000008</x:v>
      </x:c>
      <x:c r="AJ119" s="40" t="b">
        <x:v>1</x:v>
      </x:c>
      <x:c r="AK119" s="40" t="b">
        <x:v>1</x:v>
      </x:c>
      <x:c r="AL119" s="40" t="b">
        <x:v>1</x:v>
      </x:c>
      <x:c r="AM119" s="40" t="b">
        <x:v>1</x:v>
      </x:c>
      <x:c r="AN119" s="34" t="str"/>
      <x:c r="AO119" s="34" t="n">
        <x:v>0</x:v>
      </x:c>
      <x:c r="AP119" s="34" t="n">
        <x:v>0</x:v>
      </x:c>
      <x:c r="AQ119" s="34" t="n">
        <x:v>0</x:v>
      </x:c>
      <x:c r="AR119" s="34" t="n">
        <x:v>2</x:v>
      </x:c>
      <x:c r="AS119" s="34" t="n">
        <x:v>3</x:v>
      </x:c>
      <x:c r="AT119" s="34" t="n">
        <x:v>0.2589598719999999</x:v>
      </x:c>
      <x:c r="AU119" s="34" t="n">
        <x:v>0.65</x:v>
      </x:c>
      <x:c r="AV119" s="34" t="n">
        <x:v>0.7399999999999999</x:v>
      </x:c>
    </x:row>
    <x:row r="120">
      <x:c r="A120" s="34" t="str">
        <x:v>POSCO_KR</x:v>
      </x:c>
      <x:c r="B120" s="34" t="str">
        <x:v>POSCO</x:v>
      </x:c>
      <x:c r="C120" s="34" t="str">
        <x:v>ACCELERATED_15C</x:v>
      </x:c>
      <x:c r="D120" s="34" t="str">
        <x:v>P1</x:v>
      </x:c>
      <x:c r="E120" s="34" t="n">
        <x:v>2039</x:v>
      </x:c>
      <x:c r="F120" s="34" t="n">
        <x:v>5</x:v>
      </x:c>
      <x:c r="G120" s="34" t="n">
        <x:v>18.856047</x:v>
      </x:c>
      <x:c r="H120" s="34" t="n">
        <x:v>28.6</x:v>
      </x:c>
      <x:c r="I120" s="34" t="n">
        <x:v>9.743953</x:v>
      </x:c>
      <x:c r="J120" s="34" t="n">
        <x:v>65.93</x:v>
      </x:c>
      <x:c r="K120" s="34" t="n">
        <x:v>0</x:v>
      </x:c>
      <x:c r="L120" s="34" t="n">
        <x:v>3.64</x:v>
      </x:c>
      <x:c r="M120" s="34" t="n">
        <x:v>3.64</x:v>
      </x:c>
      <x:c r="N120" s="34" t="n">
        <x:v>0</x:v>
      </x:c>
      <x:c r="O120" s="34" t="n">
        <x:v>9.997098</x:v>
      </x:c>
      <x:c r="P120" s="34" t="n">
        <x:v>29.6</x:v>
      </x:c>
      <x:c r="Q120" s="34" t="n">
        <x:v>19.602902</x:v>
      </x:c>
      <x:c r="R120" s="34" t="n">
        <x:v>33.774</x:v>
      </x:c>
      <x:c r="S120" s="40" t="b">
        <x:v>1</x:v>
      </x:c>
      <x:c r="T120" s="34" t="str">
        <x:v>model_interpolation</x:v>
      </x:c>
      <x:c r="U120" s="34" t="str">
        <x:v>Linear interpolation from 2035 to 2040</x:v>
      </x:c>
      <x:c r="V120" s="34" t="str">
        <x:v>CAND-2F5D03A613EDBE</x:v>
      </x:c>
      <x:c r="W120" s="34" t="str">
        <x:v>P1</x:v>
      </x:c>
      <x:c r="X120" s="34" t="str">
        <x:v>PORT-0E469489028A</x:v>
      </x:c>
      <x:c r="Y120" s="34" t="n">
        <x:v>1000</x:v>
      </x:c>
      <x:c r="Z120" s="34" t="n">
        <x:v>-5.728423</x:v>
      </x:c>
      <x:c r="AA120" s="34" t="n">
        <x:v>8.177309</x:v>
      </x:c>
      <x:c r="AB120" s="34" t="n">
        <x:v>261.543846</x:v>
      </x:c>
      <x:c r="AC120" s="34" t="n">
        <x:v>-1733.653</x:v>
      </x:c>
      <x:c r="AD120" s="34" t="n">
        <x:v>-6.628536</x:v>
      </x:c>
      <x:c r="AE120" s="40" t="b">
        <x:v>0</x:v>
      </x:c>
      <x:c r="AF120" s="40" t="b">
        <x:v>0</x:v>
      </x:c>
      <x:c r="AG120" s="34" t="n">
        <x:v>2035</x:v>
      </x:c>
      <x:c r="AH120" s="34" t="n">
        <x:v>19.084092670000008</x:v>
      </x:c>
      <x:c r="AI120" s="34" t="n">
        <x:v>-19.084092670000008</x:v>
      </x:c>
      <x:c r="AJ120" s="40" t="b">
        <x:v>1</x:v>
      </x:c>
      <x:c r="AK120" s="40" t="b">
        <x:v>1</x:v>
      </x:c>
      <x:c r="AL120" s="40" t="b">
        <x:v>1</x:v>
      </x:c>
      <x:c r="AM120" s="40" t="b">
        <x:v>1</x:v>
      </x:c>
      <x:c r="AN120" s="34" t="str"/>
      <x:c r="AO120" s="34" t="n">
        <x:v>0</x:v>
      </x:c>
      <x:c r="AP120" s="34" t="n">
        <x:v>0</x:v>
      </x:c>
      <x:c r="AQ120" s="34" t="n">
        <x:v>0</x:v>
      </x:c>
      <x:c r="AR120" s="34" t="n">
        <x:v>2</x:v>
      </x:c>
      <x:c r="AS120" s="34" t="n">
        <x:v>3</x:v>
      </x:c>
      <x:c r="AT120" s="34" t="n">
        <x:v>0.2589598719999999</x:v>
      </x:c>
      <x:c r="AU120" s="34" t="n">
        <x:v>0.65</x:v>
      </x:c>
      <x:c r="AV120" s="34" t="n">
        <x:v>0.7399999999999999</x:v>
      </x:c>
    </x:row>
    <x:row r="121">
      <x:c r="A121" s="34" t="str">
        <x:v>POSCO_KR</x:v>
      </x:c>
      <x:c r="B121" s="34" t="str">
        <x:v>POSCO</x:v>
      </x:c>
      <x:c r="C121" s="34" t="str">
        <x:v>ACCELERATED_15C</x:v>
      </x:c>
      <x:c r="D121" s="34" t="str">
        <x:v>P1</x:v>
      </x:c>
      <x:c r="E121" s="34" t="n">
        <x:v>2040</x:v>
      </x:c>
      <x:c r="F121" s="34" t="n">
        <x:v>5</x:v>
      </x:c>
      <x:c r="G121" s="34" t="n">
        <x:v>18.856047</x:v>
      </x:c>
      <x:c r="H121" s="34" t="n">
        <x:v>30</x:v>
      </x:c>
      <x:c r="I121" s="34" t="n">
        <x:v>11.143953</x:v>
      </x:c>
      <x:c r="J121" s="34" t="n">
        <x:v>62.853</x:v>
      </x:c>
      <x:c r="K121" s="34" t="n">
        <x:v>0</x:v>
      </x:c>
      <x:c r="L121" s="34" t="n">
        <x:v>4</x:v>
      </x:c>
      <x:c r="M121" s="34" t="n">
        <x:v>4</x:v>
      </x:c>
      <x:c r="N121" s="34" t="n">
        <x:v>0</x:v>
      </x:c>
      <x:c r="O121" s="34" t="n">
        <x:v>9.997098</x:v>
      </x:c>
      <x:c r="P121" s="34" t="n">
        <x:v>32</x:v>
      </x:c>
      <x:c r="Q121" s="34" t="n">
        <x:v>22.002902</x:v>
      </x:c>
      <x:c r="R121" s="34" t="n">
        <x:v>31.241</x:v>
      </x:c>
      <x:c r="S121" s="40" t="b">
        <x:v>1</x:v>
      </x:c>
      <x:c r="T121" s="34" t="str">
        <x:v>model_estimate</x:v>
      </x:c>
      <x:c r="U121" s="34" t="str">
        <x:v>Illustrative accelerated envelope; not GCAM or an official supply forecast</x:v>
      </x:c>
      <x:c r="V121" s="34" t="str">
        <x:v>CAND-2F5D03A613EDBE</x:v>
      </x:c>
      <x:c r="W121" s="34" t="str">
        <x:v>P1</x:v>
      </x:c>
      <x:c r="X121" s="34" t="str">
        <x:v>PORT-0E469489028A</x:v>
      </x:c>
      <x:c r="Y121" s="34" t="n">
        <x:v>1000</x:v>
      </x:c>
      <x:c r="Z121" s="34" t="n">
        <x:v>-5.728423</x:v>
      </x:c>
      <x:c r="AA121" s="34" t="n">
        <x:v>8.177309</x:v>
      </x:c>
      <x:c r="AB121" s="34" t="n">
        <x:v>261.543846</x:v>
      </x:c>
      <x:c r="AC121" s="34" t="n">
        <x:v>-1733.653</x:v>
      </x:c>
      <x:c r="AD121" s="34" t="n">
        <x:v>-6.628536</x:v>
      </x:c>
      <x:c r="AE121" s="40" t="b">
        <x:v>0</x:v>
      </x:c>
      <x:c r="AF121" s="40" t="b">
        <x:v>0</x:v>
      </x:c>
      <x:c r="AG121" s="34" t="n">
        <x:v>2035</x:v>
      </x:c>
      <x:c r="AH121" s="34" t="n">
        <x:v>19.084092670000008</x:v>
      </x:c>
      <x:c r="AI121" s="34" t="n">
        <x:v>-19.084092670000008</x:v>
      </x:c>
      <x:c r="AJ121" s="40" t="b">
        <x:v>1</x:v>
      </x:c>
      <x:c r="AK121" s="40" t="b">
        <x:v>1</x:v>
      </x:c>
      <x:c r="AL121" s="40" t="b">
        <x:v>1</x:v>
      </x:c>
      <x:c r="AM121" s="40" t="b">
        <x:v>1</x:v>
      </x:c>
      <x:c r="AN121" s="34" t="str"/>
      <x:c r="AO121" s="34" t="n">
        <x:v>0</x:v>
      </x:c>
      <x:c r="AP121" s="34" t="n">
        <x:v>0</x:v>
      </x:c>
      <x:c r="AQ121" s="34" t="n">
        <x:v>0</x:v>
      </x:c>
      <x:c r="AR121" s="34" t="n">
        <x:v>2</x:v>
      </x:c>
      <x:c r="AS121" s="34" t="n">
        <x:v>3</x:v>
      </x:c>
      <x:c r="AT121" s="34" t="n">
        <x:v>0.2589598719999999</x:v>
      </x:c>
      <x:c r="AU121" s="34" t="n">
        <x:v>0.65</x:v>
      </x:c>
      <x:c r="AV121" s="34" t="n">
        <x:v>0.7399999999999999</x:v>
      </x:c>
    </x:row>
    <x:row r="122">
      <x:c r="A122" s="34" t="str">
        <x:v>KOBE_STEEL_JP</x:v>
      </x:c>
      <x:c r="B122" s="34" t="str">
        <x:v>Kobe Steel</x:v>
      </x:c>
      <x:c r="C122" s="34" t="str">
        <x:v>DISCLOSED_PATH</x:v>
      </x:c>
      <x:c r="D122" s="34" t="str">
        <x:v>P3</x:v>
      </x:c>
      <x:c r="E122" s="34" t="n">
        <x:v>2026</x:v>
      </x:c>
      <x:c r="F122" s="34" t="n">
        <x:v>0</x:v>
      </x:c>
      <x:c r="G122" s="34" t="n">
        <x:v>0</x:v>
      </x:c>
      <x:c r="H122" s="34" t="n">
        <x:v>2</x:v>
      </x:c>
      <x:c r="I122" s="34" t="n">
        <x:v>2</x:v>
      </x:c>
      <x:c r="J122" s="34" t="n">
        <x:v>0</x:v>
      </x:c>
      <x:c r="K122" s="34" t="n">
        <x:v>0</x:v>
      </x:c>
      <x:c r="L122" s="34" t="n">
        <x:v>0</x:v>
      </x:c>
      <x:c r="M122" s="34" t="n">
        <x:v>0</x:v>
      </x:c>
      <x:c r="N122" s="34" t="n">
        <x:v>0</x:v>
      </x:c>
      <x:c r="O122" s="34" t="n">
        <x:v>0</x:v>
      </x:c>
      <x:c r="P122" s="34" t="n">
        <x:v>0.8</x:v>
      </x:c>
      <x:c r="Q122" s="34" t="n">
        <x:v>0.8</x:v>
      </x:c>
      <x:c r="R122" s="34" t="n">
        <x:v>0</x:v>
      </x:c>
      <x:c r="S122" s="40" t="b">
        <x:v>1</x:v>
      </x:c>
      <x:c r="T122" s="34" t="str">
        <x:v>model_interpolation</x:v>
      </x:c>
      <x:c r="U122" s="34" t="str">
        <x:v>Linear interpolation from 2026 to 2030</x:v>
      </x:c>
      <x:c r="V122" s="34" t="str">
        <x:v>CAND-314B41E5534D98</x:v>
      </x:c>
      <x:c r="W122" s="34" t="str">
        <x:v>P3</x:v>
      </x:c>
      <x:c r="X122" s="34" t="str">
        <x:v>PORT-9862FC05DA24</x:v>
      </x:c>
      <x:c r="Y122" s="34" t="n">
        <x:v>1000</x:v>
      </x:c>
      <x:c r="Z122" s="34" t="n">
        <x:v>178.554045</x:v>
      </x:c>
      <x:c r="AA122" s="34" t="n">
        <x:v>33.174917</x:v>
      </x:c>
      <x:c r="AB122" s="34" t="n">
        <x:v>105.301092</x:v>
      </x:c>
      <x:c r="AC122" s="34" t="n">
        <x:v>18546.646</x:v>
      </x:c>
      <x:c r="AD122" s="34" t="n">
        <x:v>176.129668</x:v>
      </x:c>
      <x:c r="AE122" s="40" t="b">
        <x:v>1</x:v>
      </x:c>
      <x:c r="AF122" s="40" t="b">
        <x:v>1</x:v>
      </x:c>
      <x:c r="AG122" s="34" t="str"/>
      <x:c r="AH122" s="34" t="n">
        <x:v>0</x:v>
      </x:c>
      <x:c r="AI122" s="34" t="str">
        <x:v>9.990856690045291e-05</x:v>
      </x:c>
      <x:c r="AJ122" s="40" t="b">
        <x:v>1</x:v>
      </x:c>
      <x:c r="AK122" s="40" t="b">
        <x:v>1</x:v>
      </x:c>
      <x:c r="AL122" s="40" t="b">
        <x:v>1</x:v>
      </x:c>
      <x:c r="AM122" s="40" t="b">
        <x:v>1</x:v>
      </x:c>
      <x:c r="AN122" s="34" t="str"/>
      <x:c r="AO122" s="34" t="n">
        <x:v>0</x:v>
      </x:c>
      <x:c r="AP122" s="34" t="n">
        <x:v>0</x:v>
      </x:c>
      <x:c r="AQ122" s="34" t="n">
        <x:v>0</x:v>
      </x:c>
      <x:c r="AR122" s="34" t="n">
        <x:v>1</x:v>
      </x:c>
      <x:c r="AS122" s="34" t="n">
        <x:v>1</x:v>
      </x:c>
      <x:c r="AT122" s="34" t="n">
        <x:v>0.3612199999999999</x:v>
      </x:c>
      <x:c r="AU122" s="34" t="n">
        <x:v>0.6</x:v>
      </x:c>
      <x:c r="AV122" s="34" t="n">
        <x:v>1.54</x:v>
      </x:c>
    </x:row>
    <x:row r="123">
      <x:c r="A123" s="34" t="str">
        <x:v>KOBE_STEEL_JP</x:v>
      </x:c>
      <x:c r="B123" s="34" t="str">
        <x:v>Kobe Steel</x:v>
      </x:c>
      <x:c r="C123" s="34" t="str">
        <x:v>DISCLOSED_PATH</x:v>
      </x:c>
      <x:c r="D123" s="34" t="str">
        <x:v>P3</x:v>
      </x:c>
      <x:c r="E123" s="34" t="n">
        <x:v>2027</x:v>
      </x:c>
      <x:c r="F123" s="34" t="n">
        <x:v>0</x:v>
      </x:c>
      <x:c r="G123" s="34" t="n">
        <x:v>0</x:v>
      </x:c>
      <x:c r="H123" s="34" t="n">
        <x:v>2.5</x:v>
      </x:c>
      <x:c r="I123" s="34" t="n">
        <x:v>2.5</x:v>
      </x:c>
      <x:c r="J123" s="34" t="n">
        <x:v>0</x:v>
      </x:c>
      <x:c r="K123" s="34" t="n">
        <x:v>0</x:v>
      </x:c>
      <x:c r="L123" s="34" t="n">
        <x:v>0.075</x:v>
      </x:c>
      <x:c r="M123" s="34" t="n">
        <x:v>0.075</x:v>
      </x:c>
      <x:c r="N123" s="34" t="n">
        <x:v>0</x:v>
      </x:c>
      <x:c r="O123" s="34" t="n">
        <x:v>0</x:v>
      </x:c>
      <x:c r="P123" s="34" t="n">
        <x:v>1.35</x:v>
      </x:c>
      <x:c r="Q123" s="34" t="n">
        <x:v>1.35</x:v>
      </x:c>
      <x:c r="R123" s="34" t="n">
        <x:v>0</x:v>
      </x:c>
      <x:c r="S123" s="40" t="b">
        <x:v>1</x:v>
      </x:c>
      <x:c r="T123" s="34" t="str">
        <x:v>model_interpolation</x:v>
      </x:c>
      <x:c r="U123" s="34" t="str">
        <x:v>Linear interpolation from 2026 to 2030</x:v>
      </x:c>
      <x:c r="V123" s="34" t="str">
        <x:v>CAND-314B41E5534D98</x:v>
      </x:c>
      <x:c r="W123" s="34" t="str">
        <x:v>P3</x:v>
      </x:c>
      <x:c r="X123" s="34" t="str">
        <x:v>PORT-9862FC05DA24</x:v>
      </x:c>
      <x:c r="Y123" s="34" t="n">
        <x:v>1000</x:v>
      </x:c>
      <x:c r="Z123" s="34" t="n">
        <x:v>178.554045</x:v>
      </x:c>
      <x:c r="AA123" s="34" t="n">
        <x:v>33.174917</x:v>
      </x:c>
      <x:c r="AB123" s="34" t="n">
        <x:v>105.301092</x:v>
      </x:c>
      <x:c r="AC123" s="34" t="n">
        <x:v>18546.646</x:v>
      </x:c>
      <x:c r="AD123" s="34" t="n">
        <x:v>176.129668</x:v>
      </x:c>
      <x:c r="AE123" s="40" t="b">
        <x:v>1</x:v>
      </x:c>
      <x:c r="AF123" s="40" t="b">
        <x:v>1</x:v>
      </x:c>
      <x:c r="AG123" s="34" t="str"/>
      <x:c r="AH123" s="34" t="n">
        <x:v>0</x:v>
      </x:c>
      <x:c r="AI123" s="34" t="str">
        <x:v>9.990856690045291e-05</x:v>
      </x:c>
      <x:c r="AJ123" s="40" t="b">
        <x:v>1</x:v>
      </x:c>
      <x:c r="AK123" s="40" t="b">
        <x:v>1</x:v>
      </x:c>
      <x:c r="AL123" s="40" t="b">
        <x:v>1</x:v>
      </x:c>
      <x:c r="AM123" s="40" t="b">
        <x:v>1</x:v>
      </x:c>
      <x:c r="AN123" s="34" t="str"/>
      <x:c r="AO123" s="34" t="n">
        <x:v>0</x:v>
      </x:c>
      <x:c r="AP123" s="34" t="n">
        <x:v>0</x:v>
      </x:c>
      <x:c r="AQ123" s="34" t="n">
        <x:v>0</x:v>
      </x:c>
      <x:c r="AR123" s="34" t="n">
        <x:v>1</x:v>
      </x:c>
      <x:c r="AS123" s="34" t="n">
        <x:v>1</x:v>
      </x:c>
      <x:c r="AT123" s="34" t="n">
        <x:v>0.3612199999999999</x:v>
      </x:c>
      <x:c r="AU123" s="34" t="n">
        <x:v>0.6</x:v>
      </x:c>
      <x:c r="AV123" s="34" t="n">
        <x:v>1.54</x:v>
      </x:c>
    </x:row>
    <x:row r="124">
      <x:c r="A124" s="34" t="str">
        <x:v>KOBE_STEEL_JP</x:v>
      </x:c>
      <x:c r="B124" s="34" t="str">
        <x:v>Kobe Steel</x:v>
      </x:c>
      <x:c r="C124" s="34" t="str">
        <x:v>DISCLOSED_PATH</x:v>
      </x:c>
      <x:c r="D124" s="34" t="str">
        <x:v>P3</x:v>
      </x:c>
      <x:c r="E124" s="34" t="n">
        <x:v>2028</x:v>
      </x:c>
      <x:c r="F124" s="34" t="n">
        <x:v>0</x:v>
      </x:c>
      <x:c r="G124" s="34" t="n">
        <x:v>0</x:v>
      </x:c>
      <x:c r="H124" s="34" t="n">
        <x:v>3</x:v>
      </x:c>
      <x:c r="I124" s="34" t="n">
        <x:v>3</x:v>
      </x:c>
      <x:c r="J124" s="34" t="n">
        <x:v>0</x:v>
      </x:c>
      <x:c r="K124" s="34" t="n">
        <x:v>0</x:v>
      </x:c>
      <x:c r="L124" s="34" t="n">
        <x:v>0.15</x:v>
      </x:c>
      <x:c r="M124" s="34" t="n">
        <x:v>0.15</x:v>
      </x:c>
      <x:c r="N124" s="34" t="n">
        <x:v>0</x:v>
      </x:c>
      <x:c r="O124" s="34" t="n">
        <x:v>0</x:v>
      </x:c>
      <x:c r="P124" s="34" t="n">
        <x:v>1.9000000000000001</x:v>
      </x:c>
      <x:c r="Q124" s="34" t="n">
        <x:v>1.9</x:v>
      </x:c>
      <x:c r="R124" s="34" t="n">
        <x:v>0</x:v>
      </x:c>
      <x:c r="S124" s="40" t="b">
        <x:v>1</x:v>
      </x:c>
      <x:c r="T124" s="34" t="str">
        <x:v>model_interpolation</x:v>
      </x:c>
      <x:c r="U124" s="34" t="str">
        <x:v>Linear interpolation from 2026 to 2030</x:v>
      </x:c>
      <x:c r="V124" s="34" t="str">
        <x:v>CAND-314B41E5534D98</x:v>
      </x:c>
      <x:c r="W124" s="34" t="str">
        <x:v>P3</x:v>
      </x:c>
      <x:c r="X124" s="34" t="str">
        <x:v>PORT-9862FC05DA24</x:v>
      </x:c>
      <x:c r="Y124" s="34" t="n">
        <x:v>1000</x:v>
      </x:c>
      <x:c r="Z124" s="34" t="n">
        <x:v>178.554045</x:v>
      </x:c>
      <x:c r="AA124" s="34" t="n">
        <x:v>33.174917</x:v>
      </x:c>
      <x:c r="AB124" s="34" t="n">
        <x:v>105.301092</x:v>
      </x:c>
      <x:c r="AC124" s="34" t="n">
        <x:v>18546.646</x:v>
      </x:c>
      <x:c r="AD124" s="34" t="n">
        <x:v>176.129668</x:v>
      </x:c>
      <x:c r="AE124" s="40" t="b">
        <x:v>1</x:v>
      </x:c>
      <x:c r="AF124" s="40" t="b">
        <x:v>1</x:v>
      </x:c>
      <x:c r="AG124" s="34" t="str"/>
      <x:c r="AH124" s="34" t="n">
        <x:v>0</x:v>
      </x:c>
      <x:c r="AI124" s="34" t="str">
        <x:v>9.990856690045291e-05</x:v>
      </x:c>
      <x:c r="AJ124" s="40" t="b">
        <x:v>1</x:v>
      </x:c>
      <x:c r="AK124" s="40" t="b">
        <x:v>1</x:v>
      </x:c>
      <x:c r="AL124" s="40" t="b">
        <x:v>1</x:v>
      </x:c>
      <x:c r="AM124" s="40" t="b">
        <x:v>1</x:v>
      </x:c>
      <x:c r="AN124" s="34" t="str"/>
      <x:c r="AO124" s="34" t="n">
        <x:v>0</x:v>
      </x:c>
      <x:c r="AP124" s="34" t="n">
        <x:v>0</x:v>
      </x:c>
      <x:c r="AQ124" s="34" t="n">
        <x:v>0</x:v>
      </x:c>
      <x:c r="AR124" s="34" t="n">
        <x:v>1</x:v>
      </x:c>
      <x:c r="AS124" s="34" t="n">
        <x:v>1</x:v>
      </x:c>
      <x:c r="AT124" s="34" t="n">
        <x:v>0.3612199999999999</x:v>
      </x:c>
      <x:c r="AU124" s="34" t="n">
        <x:v>0.6</x:v>
      </x:c>
      <x:c r="AV124" s="34" t="n">
        <x:v>1.54</x:v>
      </x:c>
    </x:row>
    <x:row r="125">
      <x:c r="A125" s="34" t="str">
        <x:v>KOBE_STEEL_JP</x:v>
      </x:c>
      <x:c r="B125" s="34" t="str">
        <x:v>Kobe Steel</x:v>
      </x:c>
      <x:c r="C125" s="34" t="str">
        <x:v>DISCLOSED_PATH</x:v>
      </x:c>
      <x:c r="D125" s="34" t="str">
        <x:v>P3</x:v>
      </x:c>
      <x:c r="E125" s="34" t="n">
        <x:v>2029</x:v>
      </x:c>
      <x:c r="F125" s="34" t="n">
        <x:v>1</x:v>
      </x:c>
      <x:c r="G125" s="34" t="n">
        <x:v>0.4425</x:v>
      </x:c>
      <x:c r="H125" s="34" t="n">
        <x:v>3.5</x:v>
      </x:c>
      <x:c r="I125" s="34" t="n">
        <x:v>3.0575</x:v>
      </x:c>
      <x:c r="J125" s="34" t="n">
        <x:v>12.643</x:v>
      </x:c>
      <x:c r="K125" s="34" t="n">
        <x:v>0.16225</x:v>
      </x:c>
      <x:c r="L125" s="34" t="n">
        <x:v>0.22499999999999998</x:v>
      </x:c>
      <x:c r="M125" s="34" t="n">
        <x:v>0.06275</x:v>
      </x:c>
      <x:c r="N125" s="34" t="n">
        <x:v>72.111</x:v>
      </x:c>
      <x:c r="O125" s="34" t="n">
        <x:v>1.357</x:v>
      </x:c>
      <x:c r="P125" s="34" t="n">
        <x:v>2.45</x:v>
      </x:c>
      <x:c r="Q125" s="34" t="n">
        <x:v>1.093</x:v>
      </x:c>
      <x:c r="R125" s="34" t="n">
        <x:v>55.388</x:v>
      </x:c>
      <x:c r="S125" s="40" t="b">
        <x:v>1</x:v>
      </x:c>
      <x:c r="T125" s="34" t="str">
        <x:v>model_interpolation</x:v>
      </x:c>
      <x:c r="U125" s="34" t="str">
        <x:v>Linear interpolation from 2026 to 2030</x:v>
      </x:c>
      <x:c r="V125" s="34" t="str">
        <x:v>CAND-314B41E5534D98</x:v>
      </x:c>
      <x:c r="W125" s="34" t="str">
        <x:v>P3</x:v>
      </x:c>
      <x:c r="X125" s="34" t="str">
        <x:v>PORT-9862FC05DA24</x:v>
      </x:c>
      <x:c r="Y125" s="34" t="n">
        <x:v>1000</x:v>
      </x:c>
      <x:c r="Z125" s="34" t="n">
        <x:v>178.554045</x:v>
      </x:c>
      <x:c r="AA125" s="34" t="n">
        <x:v>33.174917</x:v>
      </x:c>
      <x:c r="AB125" s="34" t="n">
        <x:v>105.301092</x:v>
      </x:c>
      <x:c r="AC125" s="34" t="n">
        <x:v>18546.646</x:v>
      </x:c>
      <x:c r="AD125" s="34" t="n">
        <x:v>176.129668</x:v>
      </x:c>
      <x:c r="AE125" s="40" t="b">
        <x:v>1</x:v>
      </x:c>
      <x:c r="AF125" s="40" t="b">
        <x:v>1</x:v>
      </x:c>
      <x:c r="AG125" s="34" t="str"/>
      <x:c r="AH125" s="34" t="n">
        <x:v>0</x:v>
      </x:c>
      <x:c r="AI125" s="34" t="str">
        <x:v>9.990856690045291e-05</x:v>
      </x:c>
      <x:c r="AJ125" s="40" t="b">
        <x:v>1</x:v>
      </x:c>
      <x:c r="AK125" s="40" t="b">
        <x:v>1</x:v>
      </x:c>
      <x:c r="AL125" s="40" t="b">
        <x:v>1</x:v>
      </x:c>
      <x:c r="AM125" s="40" t="b">
        <x:v>1</x:v>
      </x:c>
      <x:c r="AN125" s="34" t="str"/>
      <x:c r="AO125" s="34" t="n">
        <x:v>0</x:v>
      </x:c>
      <x:c r="AP125" s="34" t="n">
        <x:v>0</x:v>
      </x:c>
      <x:c r="AQ125" s="34" t="n">
        <x:v>0</x:v>
      </x:c>
      <x:c r="AR125" s="34" t="n">
        <x:v>1</x:v>
      </x:c>
      <x:c r="AS125" s="34" t="n">
        <x:v>1</x:v>
      </x:c>
      <x:c r="AT125" s="34" t="n">
        <x:v>0.3612199999999999</x:v>
      </x:c>
      <x:c r="AU125" s="34" t="n">
        <x:v>0.6</x:v>
      </x:c>
      <x:c r="AV125" s="34" t="n">
        <x:v>1.54</x:v>
      </x:c>
    </x:row>
    <x:row r="126">
      <x:c r="A126" s="34" t="str">
        <x:v>KOBE_STEEL_JP</x:v>
      </x:c>
      <x:c r="B126" s="34" t="str">
        <x:v>Kobe Steel</x:v>
      </x:c>
      <x:c r="C126" s="34" t="str">
        <x:v>DISCLOSED_PATH</x:v>
      </x:c>
      <x:c r="D126" s="34" t="str">
        <x:v>P3</x:v>
      </x:c>
      <x:c r="E126" s="34" t="n">
        <x:v>2030</x:v>
      </x:c>
      <x:c r="F126" s="34" t="n">
        <x:v>1</x:v>
      </x:c>
      <x:c r="G126" s="34" t="n">
        <x:v>0.4425</x:v>
      </x:c>
      <x:c r="H126" s="34" t="n">
        <x:v>4</x:v>
      </x:c>
      <x:c r="I126" s="34" t="n">
        <x:v>3.5575</x:v>
      </x:c>
      <x:c r="J126" s="34" t="n">
        <x:v>11.063</x:v>
      </x:c>
      <x:c r="K126" s="34" t="n">
        <x:v>0.16225</x:v>
      </x:c>
      <x:c r="L126" s="34" t="n">
        <x:v>0.3</x:v>
      </x:c>
      <x:c r="M126" s="34" t="n">
        <x:v>0.13775</x:v>
      </x:c>
      <x:c r="N126" s="34" t="n">
        <x:v>54.083</x:v>
      </x:c>
      <x:c r="O126" s="34" t="n">
        <x:v>1.357</x:v>
      </x:c>
      <x:c r="P126" s="34" t="n">
        <x:v>3</x:v>
      </x:c>
      <x:c r="Q126" s="34" t="n">
        <x:v>1.643</x:v>
      </x:c>
      <x:c r="R126" s="34" t="n">
        <x:v>45.233</x:v>
      </x:c>
      <x:c r="S126" s="40" t="b">
        <x:v>1</x:v>
      </x:c>
      <x:c r="T126" s="34" t="str">
        <x:v>model_interpolation</x:v>
      </x:c>
      <x:c r="U126" s="34" t="str">
        <x:v>Linear interpolation from 2030 to 2035</x:v>
      </x:c>
      <x:c r="V126" s="34" t="str">
        <x:v>CAND-314B41E5534D98</x:v>
      </x:c>
      <x:c r="W126" s="34" t="str">
        <x:v>P3</x:v>
      </x:c>
      <x:c r="X126" s="34" t="str">
        <x:v>PORT-9862FC05DA24</x:v>
      </x:c>
      <x:c r="Y126" s="34" t="n">
        <x:v>1000</x:v>
      </x:c>
      <x:c r="Z126" s="34" t="n">
        <x:v>178.554045</x:v>
      </x:c>
      <x:c r="AA126" s="34" t="n">
        <x:v>33.174917</x:v>
      </x:c>
      <x:c r="AB126" s="34" t="n">
        <x:v>105.301092</x:v>
      </x:c>
      <x:c r="AC126" s="34" t="n">
        <x:v>18546.646</x:v>
      </x:c>
      <x:c r="AD126" s="34" t="n">
        <x:v>176.129668</x:v>
      </x:c>
      <x:c r="AE126" s="40" t="b">
        <x:v>1</x:v>
      </x:c>
      <x:c r="AF126" s="40" t="b">
        <x:v>1</x:v>
      </x:c>
      <x:c r="AG126" s="34" t="str"/>
      <x:c r="AH126" s="34" t="n">
        <x:v>0</x:v>
      </x:c>
      <x:c r="AI126" s="34" t="str">
        <x:v>9.990856690045291e-05</x:v>
      </x:c>
      <x:c r="AJ126" s="40" t="b">
        <x:v>1</x:v>
      </x:c>
      <x:c r="AK126" s="40" t="b">
        <x:v>1</x:v>
      </x:c>
      <x:c r="AL126" s="40" t="b">
        <x:v>1</x:v>
      </x:c>
      <x:c r="AM126" s="40" t="b">
        <x:v>1</x:v>
      </x:c>
      <x:c r="AN126" s="34" t="str"/>
      <x:c r="AO126" s="34" t="n">
        <x:v>0</x:v>
      </x:c>
      <x:c r="AP126" s="34" t="n">
        <x:v>0</x:v>
      </x:c>
      <x:c r="AQ126" s="34" t="n">
        <x:v>0</x:v>
      </x:c>
      <x:c r="AR126" s="34" t="n">
        <x:v>1</x:v>
      </x:c>
      <x:c r="AS126" s="34" t="n">
        <x:v>1</x:v>
      </x:c>
      <x:c r="AT126" s="34" t="n">
        <x:v>0.3612199999999999</x:v>
      </x:c>
      <x:c r="AU126" s="34" t="n">
        <x:v>0.6</x:v>
      </x:c>
      <x:c r="AV126" s="34" t="n">
        <x:v>1.54</x:v>
      </x:c>
    </x:row>
    <x:row r="127">
      <x:c r="A127" s="34" t="str">
        <x:v>KOBE_STEEL_JP</x:v>
      </x:c>
      <x:c r="B127" s="34" t="str">
        <x:v>Kobe Steel</x:v>
      </x:c>
      <x:c r="C127" s="34" t="str">
        <x:v>DISCLOSED_PATH</x:v>
      </x:c>
      <x:c r="D127" s="34" t="str">
        <x:v>P3</x:v>
      </x:c>
      <x:c r="E127" s="34" t="n">
        <x:v>2031</x:v>
      </x:c>
      <x:c r="F127" s="34" t="n">
        <x:v>1</x:v>
      </x:c>
      <x:c r="G127" s="34" t="n">
        <x:v>0.4425</x:v>
      </x:c>
      <x:c r="H127" s="34" t="n">
        <x:v>4</x:v>
      </x:c>
      <x:c r="I127" s="34" t="n">
        <x:v>3.5575</x:v>
      </x:c>
      <x:c r="J127" s="34" t="n">
        <x:v>11.063</x:v>
      </x:c>
      <x:c r="K127" s="34" t="n">
        <x:v>0.16225</x:v>
      </x:c>
      <x:c r="L127" s="34" t="n">
        <x:v>0.32</x:v>
      </x:c>
      <x:c r="M127" s="34" t="n">
        <x:v>0.15775</x:v>
      </x:c>
      <x:c r="N127" s="34" t="n">
        <x:v>50.703</x:v>
      </x:c>
      <x:c r="O127" s="34" t="n">
        <x:v>1.357</x:v>
      </x:c>
      <x:c r="P127" s="34" t="n">
        <x:v>3</x:v>
      </x:c>
      <x:c r="Q127" s="34" t="n">
        <x:v>1.643</x:v>
      </x:c>
      <x:c r="R127" s="34" t="n">
        <x:v>45.233</x:v>
      </x:c>
      <x:c r="S127" s="40" t="b">
        <x:v>1</x:v>
      </x:c>
      <x:c r="T127" s="34" t="str">
        <x:v>model_interpolation</x:v>
      </x:c>
      <x:c r="U127" s="34" t="str">
        <x:v>Linear interpolation from 2030 to 2035</x:v>
      </x:c>
      <x:c r="V127" s="34" t="str">
        <x:v>CAND-314B41E5534D98</x:v>
      </x:c>
      <x:c r="W127" s="34" t="str">
        <x:v>P3</x:v>
      </x:c>
      <x:c r="X127" s="34" t="str">
        <x:v>PORT-9862FC05DA24</x:v>
      </x:c>
      <x:c r="Y127" s="34" t="n">
        <x:v>1000</x:v>
      </x:c>
      <x:c r="Z127" s="34" t="n">
        <x:v>178.554045</x:v>
      </x:c>
      <x:c r="AA127" s="34" t="n">
        <x:v>33.174917</x:v>
      </x:c>
      <x:c r="AB127" s="34" t="n">
        <x:v>105.301092</x:v>
      </x:c>
      <x:c r="AC127" s="34" t="n">
        <x:v>18546.646</x:v>
      </x:c>
      <x:c r="AD127" s="34" t="n">
        <x:v>176.129668</x:v>
      </x:c>
      <x:c r="AE127" s="40" t="b">
        <x:v>1</x:v>
      </x:c>
      <x:c r="AF127" s="40" t="b">
        <x:v>1</x:v>
      </x:c>
      <x:c r="AG127" s="34" t="str"/>
      <x:c r="AH127" s="34" t="n">
        <x:v>0</x:v>
      </x:c>
      <x:c r="AI127" s="34" t="str">
        <x:v>9.990856690045291e-05</x:v>
      </x:c>
      <x:c r="AJ127" s="40" t="b">
        <x:v>1</x:v>
      </x:c>
      <x:c r="AK127" s="40" t="b">
        <x:v>1</x:v>
      </x:c>
      <x:c r="AL127" s="40" t="b">
        <x:v>1</x:v>
      </x:c>
      <x:c r="AM127" s="40" t="b">
        <x:v>1</x:v>
      </x:c>
      <x:c r="AN127" s="34" t="str"/>
      <x:c r="AO127" s="34" t="n">
        <x:v>0</x:v>
      </x:c>
      <x:c r="AP127" s="34" t="n">
        <x:v>0</x:v>
      </x:c>
      <x:c r="AQ127" s="34" t="n">
        <x:v>0</x:v>
      </x:c>
      <x:c r="AR127" s="34" t="n">
        <x:v>1</x:v>
      </x:c>
      <x:c r="AS127" s="34" t="n">
        <x:v>1</x:v>
      </x:c>
      <x:c r="AT127" s="34" t="n">
        <x:v>0.3612199999999999</x:v>
      </x:c>
      <x:c r="AU127" s="34" t="n">
        <x:v>0.6</x:v>
      </x:c>
      <x:c r="AV127" s="34" t="n">
        <x:v>1.54</x:v>
      </x:c>
    </x:row>
    <x:row r="128">
      <x:c r="A128" s="34" t="str">
        <x:v>KOBE_STEEL_JP</x:v>
      </x:c>
      <x:c r="B128" s="34" t="str">
        <x:v>Kobe Steel</x:v>
      </x:c>
      <x:c r="C128" s="34" t="str">
        <x:v>DISCLOSED_PATH</x:v>
      </x:c>
      <x:c r="D128" s="34" t="str">
        <x:v>P3</x:v>
      </x:c>
      <x:c r="E128" s="34" t="n">
        <x:v>2032</x:v>
      </x:c>
      <x:c r="F128" s="34" t="n">
        <x:v>1</x:v>
      </x:c>
      <x:c r="G128" s="34" t="n">
        <x:v>0.4425</x:v>
      </x:c>
      <x:c r="H128" s="34" t="n">
        <x:v>4</x:v>
      </x:c>
      <x:c r="I128" s="34" t="n">
        <x:v>3.5575</x:v>
      </x:c>
      <x:c r="J128" s="34" t="n">
        <x:v>11.063</x:v>
      </x:c>
      <x:c r="K128" s="34" t="n">
        <x:v>0.16225</x:v>
      </x:c>
      <x:c r="L128" s="34" t="n">
        <x:v>0.34</x:v>
      </x:c>
      <x:c r="M128" s="34" t="n">
        <x:v>0.17775</x:v>
      </x:c>
      <x:c r="N128" s="34" t="n">
        <x:v>47.721</x:v>
      </x:c>
      <x:c r="O128" s="34" t="n">
        <x:v>1.357</x:v>
      </x:c>
      <x:c r="P128" s="34" t="n">
        <x:v>3</x:v>
      </x:c>
      <x:c r="Q128" s="34" t="n">
        <x:v>1.643</x:v>
      </x:c>
      <x:c r="R128" s="34" t="n">
        <x:v>45.233</x:v>
      </x:c>
      <x:c r="S128" s="40" t="b">
        <x:v>1</x:v>
      </x:c>
      <x:c r="T128" s="34" t="str">
        <x:v>model_interpolation</x:v>
      </x:c>
      <x:c r="U128" s="34" t="str">
        <x:v>Linear interpolation from 2030 to 2035</x:v>
      </x:c>
      <x:c r="V128" s="34" t="str">
        <x:v>CAND-314B41E5534D98</x:v>
      </x:c>
      <x:c r="W128" s="34" t="str">
        <x:v>P3</x:v>
      </x:c>
      <x:c r="X128" s="34" t="str">
        <x:v>PORT-9862FC05DA24</x:v>
      </x:c>
      <x:c r="Y128" s="34" t="n">
        <x:v>1000</x:v>
      </x:c>
      <x:c r="Z128" s="34" t="n">
        <x:v>178.554045</x:v>
      </x:c>
      <x:c r="AA128" s="34" t="n">
        <x:v>33.174917</x:v>
      </x:c>
      <x:c r="AB128" s="34" t="n">
        <x:v>105.301092</x:v>
      </x:c>
      <x:c r="AC128" s="34" t="n">
        <x:v>18546.646</x:v>
      </x:c>
      <x:c r="AD128" s="34" t="n">
        <x:v>176.129668</x:v>
      </x:c>
      <x:c r="AE128" s="40" t="b">
        <x:v>1</x:v>
      </x:c>
      <x:c r="AF128" s="40" t="b">
        <x:v>1</x:v>
      </x:c>
      <x:c r="AG128" s="34" t="str"/>
      <x:c r="AH128" s="34" t="n">
        <x:v>0</x:v>
      </x:c>
      <x:c r="AI128" s="34" t="str">
        <x:v>9.990856690045291e-05</x:v>
      </x:c>
      <x:c r="AJ128" s="40" t="b">
        <x:v>1</x:v>
      </x:c>
      <x:c r="AK128" s="40" t="b">
        <x:v>1</x:v>
      </x:c>
      <x:c r="AL128" s="40" t="b">
        <x:v>1</x:v>
      </x:c>
      <x:c r="AM128" s="40" t="b">
        <x:v>1</x:v>
      </x:c>
      <x:c r="AN128" s="34" t="str"/>
      <x:c r="AO128" s="34" t="n">
        <x:v>0</x:v>
      </x:c>
      <x:c r="AP128" s="34" t="n">
        <x:v>0</x:v>
      </x:c>
      <x:c r="AQ128" s="34" t="n">
        <x:v>0</x:v>
      </x:c>
      <x:c r="AR128" s="34" t="n">
        <x:v>1</x:v>
      </x:c>
      <x:c r="AS128" s="34" t="n">
        <x:v>1</x:v>
      </x:c>
      <x:c r="AT128" s="34" t="n">
        <x:v>0.3612199999999999</x:v>
      </x:c>
      <x:c r="AU128" s="34" t="n">
        <x:v>0.6</x:v>
      </x:c>
      <x:c r="AV128" s="34" t="n">
        <x:v>1.54</x:v>
      </x:c>
    </x:row>
    <x:row r="129">
      <x:c r="A129" s="34" t="str">
        <x:v>KOBE_STEEL_JP</x:v>
      </x:c>
      <x:c r="B129" s="34" t="str">
        <x:v>Kobe Steel</x:v>
      </x:c>
      <x:c r="C129" s="34" t="str">
        <x:v>DISCLOSED_PATH</x:v>
      </x:c>
      <x:c r="D129" s="34" t="str">
        <x:v>P3</x:v>
      </x:c>
      <x:c r="E129" s="34" t="n">
        <x:v>2033</x:v>
      </x:c>
      <x:c r="F129" s="34" t="n">
        <x:v>2</x:v>
      </x:c>
      <x:c r="G129" s="34" t="n">
        <x:v>0.5325</x:v>
      </x:c>
      <x:c r="H129" s="34" t="n">
        <x:v>4</x:v>
      </x:c>
      <x:c r="I129" s="34" t="n">
        <x:v>3.4675</x:v>
      </x:c>
      <x:c r="J129" s="34" t="n">
        <x:v>13.313</x:v>
      </x:c>
      <x:c r="K129" s="34" t="n">
        <x:v>0.16225</x:v>
      </x:c>
      <x:c r="L129" s="34" t="n">
        <x:v>0.36</x:v>
      </x:c>
      <x:c r="M129" s="34" t="n">
        <x:v>0.19775</x:v>
      </x:c>
      <x:c r="N129" s="34" t="n">
        <x:v>45.069</x:v>
      </x:c>
      <x:c r="O129" s="34" t="n">
        <x:v>1.359</x:v>
      </x:c>
      <x:c r="P129" s="34" t="n">
        <x:v>3</x:v>
      </x:c>
      <x:c r="Q129" s="34" t="n">
        <x:v>1.641</x:v>
      </x:c>
      <x:c r="R129" s="34" t="n">
        <x:v>45.3</x:v>
      </x:c>
      <x:c r="S129" s="40" t="b">
        <x:v>1</x:v>
      </x:c>
      <x:c r="T129" s="34" t="str">
        <x:v>model_interpolation</x:v>
      </x:c>
      <x:c r="U129" s="34" t="str">
        <x:v>Linear interpolation from 2030 to 2035</x:v>
      </x:c>
      <x:c r="V129" s="34" t="str">
        <x:v>CAND-314B41E5534D98</x:v>
      </x:c>
      <x:c r="W129" s="34" t="str">
        <x:v>P3</x:v>
      </x:c>
      <x:c r="X129" s="34" t="str">
        <x:v>PORT-9862FC05DA24</x:v>
      </x:c>
      <x:c r="Y129" s="34" t="n">
        <x:v>1000</x:v>
      </x:c>
      <x:c r="Z129" s="34" t="n">
        <x:v>178.554045</x:v>
      </x:c>
      <x:c r="AA129" s="34" t="n">
        <x:v>33.174917</x:v>
      </x:c>
      <x:c r="AB129" s="34" t="n">
        <x:v>105.301092</x:v>
      </x:c>
      <x:c r="AC129" s="34" t="n">
        <x:v>18546.646</x:v>
      </x:c>
      <x:c r="AD129" s="34" t="n">
        <x:v>176.129668</x:v>
      </x:c>
      <x:c r="AE129" s="40" t="b">
        <x:v>1</x:v>
      </x:c>
      <x:c r="AF129" s="40" t="b">
        <x:v>1</x:v>
      </x:c>
      <x:c r="AG129" s="34" t="str"/>
      <x:c r="AH129" s="34" t="n">
        <x:v>0</x:v>
      </x:c>
      <x:c r="AI129" s="34" t="str">
        <x:v>9.990856690045291e-05</x:v>
      </x:c>
      <x:c r="AJ129" s="40" t="b">
        <x:v>1</x:v>
      </x:c>
      <x:c r="AK129" s="40" t="b">
        <x:v>1</x:v>
      </x:c>
      <x:c r="AL129" s="40" t="b">
        <x:v>1</x:v>
      </x:c>
      <x:c r="AM129" s="40" t="b">
        <x:v>1</x:v>
      </x:c>
      <x:c r="AN129" s="34" t="str"/>
      <x:c r="AO129" s="34" t="n">
        <x:v>0</x:v>
      </x:c>
      <x:c r="AP129" s="34" t="n">
        <x:v>0</x:v>
      </x:c>
      <x:c r="AQ129" s="34" t="n">
        <x:v>0</x:v>
      </x:c>
      <x:c r="AR129" s="34" t="n">
        <x:v>1</x:v>
      </x:c>
      <x:c r="AS129" s="34" t="n">
        <x:v>1</x:v>
      </x:c>
      <x:c r="AT129" s="34" t="n">
        <x:v>0.3612199999999999</x:v>
      </x:c>
      <x:c r="AU129" s="34" t="n">
        <x:v>0.6</x:v>
      </x:c>
      <x:c r="AV129" s="34" t="n">
        <x:v>1.54</x:v>
      </x:c>
    </x:row>
    <x:row r="130">
      <x:c r="A130" s="34" t="str">
        <x:v>KOBE_STEEL_JP</x:v>
      </x:c>
      <x:c r="B130" s="34" t="str">
        <x:v>Kobe Steel</x:v>
      </x:c>
      <x:c r="C130" s="34" t="str">
        <x:v>DISCLOSED_PATH</x:v>
      </x:c>
      <x:c r="D130" s="34" t="str">
        <x:v>P3</x:v>
      </x:c>
      <x:c r="E130" s="34" t="n">
        <x:v>2034</x:v>
      </x:c>
      <x:c r="F130" s="34" t="n">
        <x:v>2</x:v>
      </x:c>
      <x:c r="G130" s="34" t="n">
        <x:v>0.5325</x:v>
      </x:c>
      <x:c r="H130" s="34" t="n">
        <x:v>4</x:v>
      </x:c>
      <x:c r="I130" s="34" t="n">
        <x:v>3.4675</x:v>
      </x:c>
      <x:c r="J130" s="34" t="n">
        <x:v>13.313</x:v>
      </x:c>
      <x:c r="K130" s="34" t="n">
        <x:v>0.16225</x:v>
      </x:c>
      <x:c r="L130" s="34" t="n">
        <x:v>0.38</x:v>
      </x:c>
      <x:c r="M130" s="34" t="n">
        <x:v>0.21775</x:v>
      </x:c>
      <x:c r="N130" s="34" t="n">
        <x:v>42.697</x:v>
      </x:c>
      <x:c r="O130" s="34" t="n">
        <x:v>1.359</x:v>
      </x:c>
      <x:c r="P130" s="34" t="n">
        <x:v>3</x:v>
      </x:c>
      <x:c r="Q130" s="34" t="n">
        <x:v>1.641</x:v>
      </x:c>
      <x:c r="R130" s="34" t="n">
        <x:v>45.3</x:v>
      </x:c>
      <x:c r="S130" s="40" t="b">
        <x:v>1</x:v>
      </x:c>
      <x:c r="T130" s="34" t="str">
        <x:v>model_interpolation</x:v>
      </x:c>
      <x:c r="U130" s="34" t="str">
        <x:v>Linear interpolation from 2030 to 2035</x:v>
      </x:c>
      <x:c r="V130" s="34" t="str">
        <x:v>CAND-314B41E5534D98</x:v>
      </x:c>
      <x:c r="W130" s="34" t="str">
        <x:v>P3</x:v>
      </x:c>
      <x:c r="X130" s="34" t="str">
        <x:v>PORT-9862FC05DA24</x:v>
      </x:c>
      <x:c r="Y130" s="34" t="n">
        <x:v>1000</x:v>
      </x:c>
      <x:c r="Z130" s="34" t="n">
        <x:v>178.554045</x:v>
      </x:c>
      <x:c r="AA130" s="34" t="n">
        <x:v>33.174917</x:v>
      </x:c>
      <x:c r="AB130" s="34" t="n">
        <x:v>105.301092</x:v>
      </x:c>
      <x:c r="AC130" s="34" t="n">
        <x:v>18546.646</x:v>
      </x:c>
      <x:c r="AD130" s="34" t="n">
        <x:v>176.129668</x:v>
      </x:c>
      <x:c r="AE130" s="40" t="b">
        <x:v>1</x:v>
      </x:c>
      <x:c r="AF130" s="40" t="b">
        <x:v>1</x:v>
      </x:c>
      <x:c r="AG130" s="34" t="str"/>
      <x:c r="AH130" s="34" t="n">
        <x:v>0</x:v>
      </x:c>
      <x:c r="AI130" s="34" t="str">
        <x:v>9.990856690045291e-05</x:v>
      </x:c>
      <x:c r="AJ130" s="40" t="b">
        <x:v>1</x:v>
      </x:c>
      <x:c r="AK130" s="40" t="b">
        <x:v>1</x:v>
      </x:c>
      <x:c r="AL130" s="40" t="b">
        <x:v>1</x:v>
      </x:c>
      <x:c r="AM130" s="40" t="b">
        <x:v>1</x:v>
      </x:c>
      <x:c r="AN130" s="34" t="str"/>
      <x:c r="AO130" s="34" t="n">
        <x:v>0</x:v>
      </x:c>
      <x:c r="AP130" s="34" t="n">
        <x:v>0</x:v>
      </x:c>
      <x:c r="AQ130" s="34" t="n">
        <x:v>0</x:v>
      </x:c>
      <x:c r="AR130" s="34" t="n">
        <x:v>1</x:v>
      </x:c>
      <x:c r="AS130" s="34" t="n">
        <x:v>1</x:v>
      </x:c>
      <x:c r="AT130" s="34" t="n">
        <x:v>0.3612199999999999</x:v>
      </x:c>
      <x:c r="AU130" s="34" t="n">
        <x:v>0.6</x:v>
      </x:c>
      <x:c r="AV130" s="34" t="n">
        <x:v>1.54</x:v>
      </x:c>
    </x:row>
    <x:row r="131">
      <x:c r="A131" s="34" t="str">
        <x:v>KOBE_STEEL_JP</x:v>
      </x:c>
      <x:c r="B131" s="34" t="str">
        <x:v>Kobe Steel</x:v>
      </x:c>
      <x:c r="C131" s="34" t="str">
        <x:v>DISCLOSED_PATH</x:v>
      </x:c>
      <x:c r="D131" s="34" t="str">
        <x:v>P3</x:v>
      </x:c>
      <x:c r="E131" s="34" t="n">
        <x:v>2035</x:v>
      </x:c>
      <x:c r="F131" s="34" t="n">
        <x:v>2</x:v>
      </x:c>
      <x:c r="G131" s="34" t="n">
        <x:v>0.5325</x:v>
      </x:c>
      <x:c r="H131" s="34" t="n">
        <x:v>4</x:v>
      </x:c>
      <x:c r="I131" s="34" t="n">
        <x:v>3.4675</x:v>
      </x:c>
      <x:c r="J131" s="34" t="n">
        <x:v>13.313</x:v>
      </x:c>
      <x:c r="K131" s="34" t="n">
        <x:v>0.16225</x:v>
      </x:c>
      <x:c r="L131" s="34" t="n">
        <x:v>0.4</x:v>
      </x:c>
      <x:c r="M131" s="34" t="n">
        <x:v>0.23775</x:v>
      </x:c>
      <x:c r="N131" s="34" t="n">
        <x:v>40.563</x:v>
      </x:c>
      <x:c r="O131" s="34" t="n">
        <x:v>1.359</x:v>
      </x:c>
      <x:c r="P131" s="34" t="n">
        <x:v>3</x:v>
      </x:c>
      <x:c r="Q131" s="34" t="n">
        <x:v>1.641</x:v>
      </x:c>
      <x:c r="R131" s="34" t="n">
        <x:v>45.3</x:v>
      </x:c>
      <x:c r="S131" s="40" t="b">
        <x:v>1</x:v>
      </x:c>
      <x:c r="T131" s="34" t="str">
        <x:v>model_interpolation</x:v>
      </x:c>
      <x:c r="U131" s="34" t="str">
        <x:v>Linear interpolation from 2035 to 2040</x:v>
      </x:c>
      <x:c r="V131" s="34" t="str">
        <x:v>CAND-314B41E5534D98</x:v>
      </x:c>
      <x:c r="W131" s="34" t="str">
        <x:v>P3</x:v>
      </x:c>
      <x:c r="X131" s="34" t="str">
        <x:v>PORT-9862FC05DA24</x:v>
      </x:c>
      <x:c r="Y131" s="34" t="n">
        <x:v>1000</x:v>
      </x:c>
      <x:c r="Z131" s="34" t="n">
        <x:v>178.554045</x:v>
      </x:c>
      <x:c r="AA131" s="34" t="n">
        <x:v>33.174917</x:v>
      </x:c>
      <x:c r="AB131" s="34" t="n">
        <x:v>105.301092</x:v>
      </x:c>
      <x:c r="AC131" s="34" t="n">
        <x:v>18546.646</x:v>
      </x:c>
      <x:c r="AD131" s="34" t="n">
        <x:v>176.129668</x:v>
      </x:c>
      <x:c r="AE131" s="40" t="b">
        <x:v>1</x:v>
      </x:c>
      <x:c r="AF131" s="40" t="b">
        <x:v>1</x:v>
      </x:c>
      <x:c r="AG131" s="34" t="str"/>
      <x:c r="AH131" s="34" t="n">
        <x:v>0</x:v>
      </x:c>
      <x:c r="AI131" s="34" t="str">
        <x:v>9.990856690045291e-05</x:v>
      </x:c>
      <x:c r="AJ131" s="40" t="b">
        <x:v>1</x:v>
      </x:c>
      <x:c r="AK131" s="40" t="b">
        <x:v>1</x:v>
      </x:c>
      <x:c r="AL131" s="40" t="b">
        <x:v>1</x:v>
      </x:c>
      <x:c r="AM131" s="40" t="b">
        <x:v>1</x:v>
      </x:c>
      <x:c r="AN131" s="34" t="str"/>
      <x:c r="AO131" s="34" t="n">
        <x:v>0</x:v>
      </x:c>
      <x:c r="AP131" s="34" t="n">
        <x:v>0</x:v>
      </x:c>
      <x:c r="AQ131" s="34" t="n">
        <x:v>0</x:v>
      </x:c>
      <x:c r="AR131" s="34" t="n">
        <x:v>1</x:v>
      </x:c>
      <x:c r="AS131" s="34" t="n">
        <x:v>1</x:v>
      </x:c>
      <x:c r="AT131" s="34" t="n">
        <x:v>0.3612199999999999</x:v>
      </x:c>
      <x:c r="AU131" s="34" t="n">
        <x:v>0.6</x:v>
      </x:c>
      <x:c r="AV131" s="34" t="n">
        <x:v>1.54</x:v>
      </x:c>
    </x:row>
    <x:row r="132">
      <x:c r="A132" s="34" t="str">
        <x:v>KOBE_STEEL_JP</x:v>
      </x:c>
      <x:c r="B132" s="34" t="str">
        <x:v>Kobe Steel</x:v>
      </x:c>
      <x:c r="C132" s="34" t="str">
        <x:v>DISCLOSED_PATH</x:v>
      </x:c>
      <x:c r="D132" s="34" t="str">
        <x:v>P3</x:v>
      </x:c>
      <x:c r="E132" s="34" t="n">
        <x:v>2036</x:v>
      </x:c>
      <x:c r="F132" s="34" t="n">
        <x:v>2</x:v>
      </x:c>
      <x:c r="G132" s="34" t="n">
        <x:v>0.5325</x:v>
      </x:c>
      <x:c r="H132" s="34" t="n">
        <x:v>4.2</x:v>
      </x:c>
      <x:c r="I132" s="34" t="n">
        <x:v>3.6675</x:v>
      </x:c>
      <x:c r="J132" s="34" t="n">
        <x:v>12.679</x:v>
      </x:c>
      <x:c r="K132" s="34" t="n">
        <x:v>0.16225</x:v>
      </x:c>
      <x:c r="L132" s="34" t="n">
        <x:v>0.48000000000000004</x:v>
      </x:c>
      <x:c r="M132" s="34" t="n">
        <x:v>0.31775</x:v>
      </x:c>
      <x:c r="N132" s="34" t="n">
        <x:v>33.802</x:v>
      </x:c>
      <x:c r="O132" s="34" t="n">
        <x:v>1.359</x:v>
      </x:c>
      <x:c r="P132" s="34" t="n">
        <x:v>3.4</x:v>
      </x:c>
      <x:c r="Q132" s="34" t="n">
        <x:v>2.041</x:v>
      </x:c>
      <x:c r="R132" s="34" t="n">
        <x:v>39.971</x:v>
      </x:c>
      <x:c r="S132" s="40" t="b">
        <x:v>1</x:v>
      </x:c>
      <x:c r="T132" s="34" t="str">
        <x:v>model_interpolation</x:v>
      </x:c>
      <x:c r="U132" s="34" t="str">
        <x:v>Linear interpolation from 2035 to 2040</x:v>
      </x:c>
      <x:c r="V132" s="34" t="str">
        <x:v>CAND-314B41E5534D98</x:v>
      </x:c>
      <x:c r="W132" s="34" t="str">
        <x:v>P3</x:v>
      </x:c>
      <x:c r="X132" s="34" t="str">
        <x:v>PORT-9862FC05DA24</x:v>
      </x:c>
      <x:c r="Y132" s="34" t="n">
        <x:v>1000</x:v>
      </x:c>
      <x:c r="Z132" s="34" t="n">
        <x:v>178.554045</x:v>
      </x:c>
      <x:c r="AA132" s="34" t="n">
        <x:v>33.174917</x:v>
      </x:c>
      <x:c r="AB132" s="34" t="n">
        <x:v>105.301092</x:v>
      </x:c>
      <x:c r="AC132" s="34" t="n">
        <x:v>18546.646</x:v>
      </x:c>
      <x:c r="AD132" s="34" t="n">
        <x:v>176.129668</x:v>
      </x:c>
      <x:c r="AE132" s="40" t="b">
        <x:v>1</x:v>
      </x:c>
      <x:c r="AF132" s="40" t="b">
        <x:v>1</x:v>
      </x:c>
      <x:c r="AG132" s="34" t="str"/>
      <x:c r="AH132" s="34" t="n">
        <x:v>0</x:v>
      </x:c>
      <x:c r="AI132" s="34" t="str">
        <x:v>9.990856690045291e-05</x:v>
      </x:c>
      <x:c r="AJ132" s="40" t="b">
        <x:v>1</x:v>
      </x:c>
      <x:c r="AK132" s="40" t="b">
        <x:v>1</x:v>
      </x:c>
      <x:c r="AL132" s="40" t="b">
        <x:v>1</x:v>
      </x:c>
      <x:c r="AM132" s="40" t="b">
        <x:v>1</x:v>
      </x:c>
      <x:c r="AN132" s="34" t="str"/>
      <x:c r="AO132" s="34" t="n">
        <x:v>0</x:v>
      </x:c>
      <x:c r="AP132" s="34" t="n">
        <x:v>0</x:v>
      </x:c>
      <x:c r="AQ132" s="34" t="n">
        <x:v>0</x:v>
      </x:c>
      <x:c r="AR132" s="34" t="n">
        <x:v>1</x:v>
      </x:c>
      <x:c r="AS132" s="34" t="n">
        <x:v>1</x:v>
      </x:c>
      <x:c r="AT132" s="34" t="n">
        <x:v>0.3612199999999999</x:v>
      </x:c>
      <x:c r="AU132" s="34" t="n">
        <x:v>0.6</x:v>
      </x:c>
      <x:c r="AV132" s="34" t="n">
        <x:v>1.54</x:v>
      </x:c>
    </x:row>
    <x:row r="133">
      <x:c r="A133" s="34" t="str">
        <x:v>KOBE_STEEL_JP</x:v>
      </x:c>
      <x:c r="B133" s="34" t="str">
        <x:v>Kobe Steel</x:v>
      </x:c>
      <x:c r="C133" s="34" t="str">
        <x:v>DISCLOSED_PATH</x:v>
      </x:c>
      <x:c r="D133" s="34" t="str">
        <x:v>P3</x:v>
      </x:c>
      <x:c r="E133" s="34" t="n">
        <x:v>2037</x:v>
      </x:c>
      <x:c r="F133" s="34" t="n">
        <x:v>3</x:v>
      </x:c>
      <x:c r="G133" s="34" t="n">
        <x:v>0.969</x:v>
      </x:c>
      <x:c r="H133" s="34" t="n">
        <x:v>4.4</x:v>
      </x:c>
      <x:c r="I133" s="34" t="n">
        <x:v>3.431</x:v>
      </x:c>
      <x:c r="J133" s="34" t="n">
        <x:v>22.023</x:v>
      </x:c>
      <x:c r="K133" s="34" t="n">
        <x:v>0.3223</x:v>
      </x:c>
      <x:c r="L133" s="34" t="n">
        <x:v>0.56</x:v>
      </x:c>
      <x:c r="M133" s="34" t="n">
        <x:v>0.2377</x:v>
      </x:c>
      <x:c r="N133" s="34" t="n">
        <x:v>57.554</x:v>
      </x:c>
      <x:c r="O133" s="34" t="n">
        <x:v>2.6976</x:v>
      </x:c>
      <x:c r="P133" s="34" t="n">
        <x:v>3.8</x:v>
      </x:c>
      <x:c r="Q133" s="34" t="n">
        <x:v>1.1024</x:v>
      </x:c>
      <x:c r="R133" s="34" t="n">
        <x:v>70.989</x:v>
      </x:c>
      <x:c r="S133" s="40" t="b">
        <x:v>1</x:v>
      </x:c>
      <x:c r="T133" s="34" t="str">
        <x:v>model_interpolation</x:v>
      </x:c>
      <x:c r="U133" s="34" t="str">
        <x:v>Linear interpolation from 2035 to 2040</x:v>
      </x:c>
      <x:c r="V133" s="34" t="str">
        <x:v>CAND-314B41E5534D98</x:v>
      </x:c>
      <x:c r="W133" s="34" t="str">
        <x:v>P3</x:v>
      </x:c>
      <x:c r="X133" s="34" t="str">
        <x:v>PORT-9862FC05DA24</x:v>
      </x:c>
      <x:c r="Y133" s="34" t="n">
        <x:v>1000</x:v>
      </x:c>
      <x:c r="Z133" s="34" t="n">
        <x:v>178.554045</x:v>
      </x:c>
      <x:c r="AA133" s="34" t="n">
        <x:v>33.174917</x:v>
      </x:c>
      <x:c r="AB133" s="34" t="n">
        <x:v>105.301092</x:v>
      </x:c>
      <x:c r="AC133" s="34" t="n">
        <x:v>18546.646</x:v>
      </x:c>
      <x:c r="AD133" s="34" t="n">
        <x:v>176.129668</x:v>
      </x:c>
      <x:c r="AE133" s="40" t="b">
        <x:v>1</x:v>
      </x:c>
      <x:c r="AF133" s="40" t="b">
        <x:v>1</x:v>
      </x:c>
      <x:c r="AG133" s="34" t="str"/>
      <x:c r="AH133" s="34" t="n">
        <x:v>0</x:v>
      </x:c>
      <x:c r="AI133" s="34" t="str">
        <x:v>9.990856690045291e-05</x:v>
      </x:c>
      <x:c r="AJ133" s="40" t="b">
        <x:v>1</x:v>
      </x:c>
      <x:c r="AK133" s="40" t="b">
        <x:v>1</x:v>
      </x:c>
      <x:c r="AL133" s="40" t="b">
        <x:v>1</x:v>
      </x:c>
      <x:c r="AM133" s="40" t="b">
        <x:v>1</x:v>
      </x:c>
      <x:c r="AN133" s="34" t="str"/>
      <x:c r="AO133" s="34" t="n">
        <x:v>0</x:v>
      </x:c>
      <x:c r="AP133" s="34" t="n">
        <x:v>0</x:v>
      </x:c>
      <x:c r="AQ133" s="34" t="n">
        <x:v>0</x:v>
      </x:c>
      <x:c r="AR133" s="34" t="n">
        <x:v>1</x:v>
      </x:c>
      <x:c r="AS133" s="34" t="n">
        <x:v>1</x:v>
      </x:c>
      <x:c r="AT133" s="34" t="n">
        <x:v>0.3612199999999999</x:v>
      </x:c>
      <x:c r="AU133" s="34" t="n">
        <x:v>0.6</x:v>
      </x:c>
      <x:c r="AV133" s="34" t="n">
        <x:v>1.54</x:v>
      </x:c>
    </x:row>
    <x:row r="134">
      <x:c r="A134" s="34" t="str">
        <x:v>KOBE_STEEL_JP</x:v>
      </x:c>
      <x:c r="B134" s="34" t="str">
        <x:v>Kobe Steel</x:v>
      </x:c>
      <x:c r="C134" s="34" t="str">
        <x:v>DISCLOSED_PATH</x:v>
      </x:c>
      <x:c r="D134" s="34" t="str">
        <x:v>P3</x:v>
      </x:c>
      <x:c r="E134" s="34" t="n">
        <x:v>2038</x:v>
      </x:c>
      <x:c r="F134" s="34" t="n">
        <x:v>3</x:v>
      </x:c>
      <x:c r="G134" s="34" t="n">
        <x:v>0.969</x:v>
      </x:c>
      <x:c r="H134" s="34" t="n">
        <x:v>4.6</x:v>
      </x:c>
      <x:c r="I134" s="34" t="n">
        <x:v>3.631</x:v>
      </x:c>
      <x:c r="J134" s="34" t="n">
        <x:v>21.065</x:v>
      </x:c>
      <x:c r="K134" s="34" t="n">
        <x:v>0.3223</x:v>
      </x:c>
      <x:c r="L134" s="34" t="n">
        <x:v>0.64</x:v>
      </x:c>
      <x:c r="M134" s="34" t="n">
        <x:v>0.3177</x:v>
      </x:c>
      <x:c r="N134" s="34" t="n">
        <x:v>50.359</x:v>
      </x:c>
      <x:c r="O134" s="34" t="n">
        <x:v>2.6976</x:v>
      </x:c>
      <x:c r="P134" s="34" t="n">
        <x:v>4.2</x:v>
      </x:c>
      <x:c r="Q134" s="34" t="n">
        <x:v>1.5024</x:v>
      </x:c>
      <x:c r="R134" s="34" t="n">
        <x:v>64.229</x:v>
      </x:c>
      <x:c r="S134" s="40" t="b">
        <x:v>1</x:v>
      </x:c>
      <x:c r="T134" s="34" t="str">
        <x:v>model_interpolation</x:v>
      </x:c>
      <x:c r="U134" s="34" t="str">
        <x:v>Linear interpolation from 2035 to 2040</x:v>
      </x:c>
      <x:c r="V134" s="34" t="str">
        <x:v>CAND-314B41E5534D98</x:v>
      </x:c>
      <x:c r="W134" s="34" t="str">
        <x:v>P3</x:v>
      </x:c>
      <x:c r="X134" s="34" t="str">
        <x:v>PORT-9862FC05DA24</x:v>
      </x:c>
      <x:c r="Y134" s="34" t="n">
        <x:v>1000</x:v>
      </x:c>
      <x:c r="Z134" s="34" t="n">
        <x:v>178.554045</x:v>
      </x:c>
      <x:c r="AA134" s="34" t="n">
        <x:v>33.174917</x:v>
      </x:c>
      <x:c r="AB134" s="34" t="n">
        <x:v>105.301092</x:v>
      </x:c>
      <x:c r="AC134" s="34" t="n">
        <x:v>18546.646</x:v>
      </x:c>
      <x:c r="AD134" s="34" t="n">
        <x:v>176.129668</x:v>
      </x:c>
      <x:c r="AE134" s="40" t="b">
        <x:v>1</x:v>
      </x:c>
      <x:c r="AF134" s="40" t="b">
        <x:v>1</x:v>
      </x:c>
      <x:c r="AG134" s="34" t="str"/>
      <x:c r="AH134" s="34" t="n">
        <x:v>0</x:v>
      </x:c>
      <x:c r="AI134" s="34" t="str">
        <x:v>9.990856690045291e-05</x:v>
      </x:c>
      <x:c r="AJ134" s="40" t="b">
        <x:v>1</x:v>
      </x:c>
      <x:c r="AK134" s="40" t="b">
        <x:v>1</x:v>
      </x:c>
      <x:c r="AL134" s="40" t="b">
        <x:v>1</x:v>
      </x:c>
      <x:c r="AM134" s="40" t="b">
        <x:v>1</x:v>
      </x:c>
      <x:c r="AN134" s="34" t="str"/>
      <x:c r="AO134" s="34" t="n">
        <x:v>0</x:v>
      </x:c>
      <x:c r="AP134" s="34" t="n">
        <x:v>0</x:v>
      </x:c>
      <x:c r="AQ134" s="34" t="n">
        <x:v>0</x:v>
      </x:c>
      <x:c r="AR134" s="34" t="n">
        <x:v>1</x:v>
      </x:c>
      <x:c r="AS134" s="34" t="n">
        <x:v>1</x:v>
      </x:c>
      <x:c r="AT134" s="34" t="n">
        <x:v>0.3612199999999999</x:v>
      </x:c>
      <x:c r="AU134" s="34" t="n">
        <x:v>0.6</x:v>
      </x:c>
      <x:c r="AV134" s="34" t="n">
        <x:v>1.54</x:v>
      </x:c>
    </x:row>
    <x:row r="135">
      <x:c r="A135" s="34" t="str">
        <x:v>KOBE_STEEL_JP</x:v>
      </x:c>
      <x:c r="B135" s="34" t="str">
        <x:v>Kobe Steel</x:v>
      </x:c>
      <x:c r="C135" s="34" t="str">
        <x:v>DISCLOSED_PATH</x:v>
      </x:c>
      <x:c r="D135" s="34" t="str">
        <x:v>P3</x:v>
      </x:c>
      <x:c r="E135" s="34" t="n">
        <x:v>2039</x:v>
      </x:c>
      <x:c r="F135" s="34" t="n">
        <x:v>3</x:v>
      </x:c>
      <x:c r="G135" s="34" t="n">
        <x:v>0.969</x:v>
      </x:c>
      <x:c r="H135" s="34" t="n">
        <x:v>4.8</x:v>
      </x:c>
      <x:c r="I135" s="34" t="n">
        <x:v>3.831</x:v>
      </x:c>
      <x:c r="J135" s="34" t="n">
        <x:v>20.187</x:v>
      </x:c>
      <x:c r="K135" s="34" t="n">
        <x:v>0.3223</x:v>
      </x:c>
      <x:c r="L135" s="34" t="n">
        <x:v>0.7200000000000001</x:v>
      </x:c>
      <x:c r="M135" s="34" t="n">
        <x:v>0.3977</x:v>
      </x:c>
      <x:c r="N135" s="34" t="n">
        <x:v>44.764</x:v>
      </x:c>
      <x:c r="O135" s="34" t="n">
        <x:v>2.6976</x:v>
      </x:c>
      <x:c r="P135" s="34" t="n">
        <x:v>4.6</x:v>
      </x:c>
      <x:c r="Q135" s="34" t="n">
        <x:v>1.9024</x:v>
      </x:c>
      <x:c r="R135" s="34" t="n">
        <x:v>58.643</x:v>
      </x:c>
      <x:c r="S135" s="40" t="b">
        <x:v>1</x:v>
      </x:c>
      <x:c r="T135" s="34" t="str">
        <x:v>model_interpolation</x:v>
      </x:c>
      <x:c r="U135" s="34" t="str">
        <x:v>Linear interpolation from 2035 to 2040</x:v>
      </x:c>
      <x:c r="V135" s="34" t="str">
        <x:v>CAND-314B41E5534D98</x:v>
      </x:c>
      <x:c r="W135" s="34" t="str">
        <x:v>P3</x:v>
      </x:c>
      <x:c r="X135" s="34" t="str">
        <x:v>PORT-9862FC05DA24</x:v>
      </x:c>
      <x:c r="Y135" s="34" t="n">
        <x:v>1000</x:v>
      </x:c>
      <x:c r="Z135" s="34" t="n">
        <x:v>178.554045</x:v>
      </x:c>
      <x:c r="AA135" s="34" t="n">
        <x:v>33.174917</x:v>
      </x:c>
      <x:c r="AB135" s="34" t="n">
        <x:v>105.301092</x:v>
      </x:c>
      <x:c r="AC135" s="34" t="n">
        <x:v>18546.646</x:v>
      </x:c>
      <x:c r="AD135" s="34" t="n">
        <x:v>176.129668</x:v>
      </x:c>
      <x:c r="AE135" s="40" t="b">
        <x:v>1</x:v>
      </x:c>
      <x:c r="AF135" s="40" t="b">
        <x:v>1</x:v>
      </x:c>
      <x:c r="AG135" s="34" t="str"/>
      <x:c r="AH135" s="34" t="n">
        <x:v>0</x:v>
      </x:c>
      <x:c r="AI135" s="34" t="str">
        <x:v>9.990856690045291e-05</x:v>
      </x:c>
      <x:c r="AJ135" s="40" t="b">
        <x:v>1</x:v>
      </x:c>
      <x:c r="AK135" s="40" t="b">
        <x:v>1</x:v>
      </x:c>
      <x:c r="AL135" s="40" t="b">
        <x:v>1</x:v>
      </x:c>
      <x:c r="AM135" s="40" t="b">
        <x:v>1</x:v>
      </x:c>
      <x:c r="AN135" s="34" t="str"/>
      <x:c r="AO135" s="34" t="n">
        <x:v>0</x:v>
      </x:c>
      <x:c r="AP135" s="34" t="n">
        <x:v>0</x:v>
      </x:c>
      <x:c r="AQ135" s="34" t="n">
        <x:v>0</x:v>
      </x:c>
      <x:c r="AR135" s="34" t="n">
        <x:v>1</x:v>
      </x:c>
      <x:c r="AS135" s="34" t="n">
        <x:v>1</x:v>
      </x:c>
      <x:c r="AT135" s="34" t="n">
        <x:v>0.3612199999999999</x:v>
      </x:c>
      <x:c r="AU135" s="34" t="n">
        <x:v>0.6</x:v>
      </x:c>
      <x:c r="AV135" s="34" t="n">
        <x:v>1.54</x:v>
      </x:c>
    </x:row>
    <x:row r="136">
      <x:c r="A136" s="34" t="str">
        <x:v>KOBE_STEEL_JP</x:v>
      </x:c>
      <x:c r="B136" s="34" t="str">
        <x:v>Kobe Steel</x:v>
      </x:c>
      <x:c r="C136" s="34" t="str">
        <x:v>DISCLOSED_PATH</x:v>
      </x:c>
      <x:c r="D136" s="34" t="str">
        <x:v>P3</x:v>
      </x:c>
      <x:c r="E136" s="34" t="n">
        <x:v>2040</x:v>
      </x:c>
      <x:c r="F136" s="34" t="n">
        <x:v>3</x:v>
      </x:c>
      <x:c r="G136" s="34" t="n">
        <x:v>0.969</x:v>
      </x:c>
      <x:c r="H136" s="34" t="n">
        <x:v>5</x:v>
      </x:c>
      <x:c r="I136" s="34" t="n">
        <x:v>4.031</x:v>
      </x:c>
      <x:c r="J136" s="34" t="n">
        <x:v>19.38</x:v>
      </x:c>
      <x:c r="K136" s="34" t="n">
        <x:v>0.3223</x:v>
      </x:c>
      <x:c r="L136" s="34" t="n">
        <x:v>0.8</x:v>
      </x:c>
      <x:c r="M136" s="34" t="n">
        <x:v>0.4777</x:v>
      </x:c>
      <x:c r="N136" s="34" t="n">
        <x:v>40.287</x:v>
      </x:c>
      <x:c r="O136" s="34" t="n">
        <x:v>2.6976</x:v>
      </x:c>
      <x:c r="P136" s="34" t="n">
        <x:v>5</x:v>
      </x:c>
      <x:c r="Q136" s="34" t="n">
        <x:v>2.3024</x:v>
      </x:c>
      <x:c r="R136" s="34" t="n">
        <x:v>53.952</x:v>
      </x:c>
      <x:c r="S136" s="40" t="b">
        <x:v>1</x:v>
      </x:c>
      <x:c r="T136" s="34" t="str">
        <x:v>model_estimate</x:v>
      </x:c>
      <x:c r="U136" s="34" t="str">
        <x:v>Illustrative screening envelope; not an official supply forecast</x:v>
      </x:c>
      <x:c r="V136" s="34" t="str">
        <x:v>CAND-314B41E5534D98</x:v>
      </x:c>
      <x:c r="W136" s="34" t="str">
        <x:v>P3</x:v>
      </x:c>
      <x:c r="X136" s="34" t="str">
        <x:v>PORT-9862FC05DA24</x:v>
      </x:c>
      <x:c r="Y136" s="34" t="n">
        <x:v>1000</x:v>
      </x:c>
      <x:c r="Z136" s="34" t="n">
        <x:v>178.554045</x:v>
      </x:c>
      <x:c r="AA136" s="34" t="n">
        <x:v>33.174917</x:v>
      </x:c>
      <x:c r="AB136" s="34" t="n">
        <x:v>105.301092</x:v>
      </x:c>
      <x:c r="AC136" s="34" t="n">
        <x:v>18546.646</x:v>
      </x:c>
      <x:c r="AD136" s="34" t="n">
        <x:v>176.129668</x:v>
      </x:c>
      <x:c r="AE136" s="40" t="b">
        <x:v>1</x:v>
      </x:c>
      <x:c r="AF136" s="40" t="b">
        <x:v>1</x:v>
      </x:c>
      <x:c r="AG136" s="34" t="str"/>
      <x:c r="AH136" s="34" t="n">
        <x:v>0</x:v>
      </x:c>
      <x:c r="AI136" s="34" t="str">
        <x:v>9.990856690045291e-05</x:v>
      </x:c>
      <x:c r="AJ136" s="40" t="b">
        <x:v>1</x:v>
      </x:c>
      <x:c r="AK136" s="40" t="b">
        <x:v>1</x:v>
      </x:c>
      <x:c r="AL136" s="40" t="b">
        <x:v>1</x:v>
      </x:c>
      <x:c r="AM136" s="40" t="b">
        <x:v>1</x:v>
      </x:c>
      <x:c r="AN136" s="34" t="str"/>
      <x:c r="AO136" s="34" t="n">
        <x:v>0</x:v>
      </x:c>
      <x:c r="AP136" s="34" t="n">
        <x:v>0</x:v>
      </x:c>
      <x:c r="AQ136" s="34" t="n">
        <x:v>0</x:v>
      </x:c>
      <x:c r="AR136" s="34" t="n">
        <x:v>1</x:v>
      </x:c>
      <x:c r="AS136" s="34" t="n">
        <x:v>1</x:v>
      </x:c>
      <x:c r="AT136" s="34" t="n">
        <x:v>0.3612199999999999</x:v>
      </x:c>
      <x:c r="AU136" s="34" t="n">
        <x:v>0.6</x:v>
      </x:c>
      <x:c r="AV136" s="34" t="n">
        <x:v>1.54</x:v>
      </x:c>
    </x:row>
    <x:row r="137">
      <x:c r="A137" s="34" t="str">
        <x:v>KOBE_STEEL_JP</x:v>
      </x:c>
      <x:c r="B137" s="34" t="str">
        <x:v>Kobe Steel</x:v>
      </x:c>
      <x:c r="C137" s="34" t="str">
        <x:v>ACCELERATED_15C</x:v>
      </x:c>
      <x:c r="D137" s="34" t="str">
        <x:v>P3</x:v>
      </x:c>
      <x:c r="E137" s="34" t="n">
        <x:v>2026</x:v>
      </x:c>
      <x:c r="F137" s="34" t="n">
        <x:v>0</x:v>
      </x:c>
      <x:c r="G137" s="34" t="n">
        <x:v>0</x:v>
      </x:c>
      <x:c r="H137" s="34" t="n">
        <x:v>2</x:v>
      </x:c>
      <x:c r="I137" s="34" t="n">
        <x:v>2</x:v>
      </x:c>
      <x:c r="J137" s="34" t="n">
        <x:v>0</x:v>
      </x:c>
      <x:c r="K137" s="34" t="n">
        <x:v>0</x:v>
      </x:c>
      <x:c r="L137" s="34" t="n">
        <x:v>0.2</x:v>
      </x:c>
      <x:c r="M137" s="34" t="n">
        <x:v>0.2</x:v>
      </x:c>
      <x:c r="N137" s="34" t="n">
        <x:v>0</x:v>
      </x:c>
      <x:c r="O137" s="34" t="n">
        <x:v>0</x:v>
      </x:c>
      <x:c r="P137" s="34" t="n">
        <x:v>1</x:v>
      </x:c>
      <x:c r="Q137" s="34" t="n">
        <x:v>1</x:v>
      </x:c>
      <x:c r="R137" s="34" t="n">
        <x:v>0</x:v>
      </x:c>
      <x:c r="S137" s="40" t="b">
        <x:v>1</x:v>
      </x:c>
      <x:c r="T137" s="34" t="str">
        <x:v>model_interpolation</x:v>
      </x:c>
      <x:c r="U137" s="34" t="str">
        <x:v>Linear interpolation from 2026 to 2030</x:v>
      </x:c>
      <x:c r="V137" s="34" t="str">
        <x:v>CAND-314B41E5534D98</x:v>
      </x:c>
      <x:c r="W137" s="34" t="str">
        <x:v>P3</x:v>
      </x:c>
      <x:c r="X137" s="34" t="str">
        <x:v>PORT-9862FC05DA24</x:v>
      </x:c>
      <x:c r="Y137" s="34" t="n">
        <x:v>1000</x:v>
      </x:c>
      <x:c r="Z137" s="34" t="n">
        <x:v>169.659222</x:v>
      </x:c>
      <x:c r="AA137" s="34" t="n">
        <x:v>34.732335</x:v>
      </x:c>
      <x:c r="AB137" s="34" t="n">
        <x:v>105.301092</x:v>
      </x:c>
      <x:c r="AC137" s="34" t="n">
        <x:v>17627.204</x:v>
      </x:c>
      <x:c r="AD137" s="34" t="n">
        <x:v>167.398115</x:v>
      </x:c>
      <x:c r="AE137" s="40" t="b">
        <x:v>1</x:v>
      </x:c>
      <x:c r="AF137" s="40" t="b">
        <x:v>1</x:v>
      </x:c>
      <x:c r="AG137" s="34" t="str"/>
      <x:c r="AH137" s="34" t="n">
        <x:v>0</x:v>
      </x:c>
      <x:c r="AI137" s="34" t="str">
        <x:v>9.990856690045291e-05</x:v>
      </x:c>
      <x:c r="AJ137" s="40" t="b">
        <x:v>1</x:v>
      </x:c>
      <x:c r="AK137" s="40" t="b">
        <x:v>1</x:v>
      </x:c>
      <x:c r="AL137" s="40" t="b">
        <x:v>1</x:v>
      </x:c>
      <x:c r="AM137" s="40" t="b">
        <x:v>1</x:v>
      </x:c>
      <x:c r="AN137" s="34" t="str"/>
      <x:c r="AO137" s="34" t="n">
        <x:v>0</x:v>
      </x:c>
      <x:c r="AP137" s="34" t="n">
        <x:v>0</x:v>
      </x:c>
      <x:c r="AQ137" s="34" t="n">
        <x:v>0</x:v>
      </x:c>
      <x:c r="AR137" s="34" t="n">
        <x:v>1</x:v>
      </x:c>
      <x:c r="AS137" s="34" t="n">
        <x:v>1</x:v>
      </x:c>
      <x:c r="AT137" s="34" t="n">
        <x:v>0.3612199999999999</x:v>
      </x:c>
      <x:c r="AU137" s="34" t="n">
        <x:v>0.6</x:v>
      </x:c>
      <x:c r="AV137" s="34" t="n">
        <x:v>1.54</x:v>
      </x:c>
    </x:row>
    <x:row r="138">
      <x:c r="A138" s="34" t="str">
        <x:v>KOBE_STEEL_JP</x:v>
      </x:c>
      <x:c r="B138" s="34" t="str">
        <x:v>Kobe Steel</x:v>
      </x:c>
      <x:c r="C138" s="34" t="str">
        <x:v>ACCELERATED_15C</x:v>
      </x:c>
      <x:c r="D138" s="34" t="str">
        <x:v>P3</x:v>
      </x:c>
      <x:c r="E138" s="34" t="n">
        <x:v>2027</x:v>
      </x:c>
      <x:c r="F138" s="34" t="n">
        <x:v>0</x:v>
      </x:c>
      <x:c r="G138" s="34" t="n">
        <x:v>0</x:v>
      </x:c>
      <x:c r="H138" s="34" t="n">
        <x:v>2.25</x:v>
      </x:c>
      <x:c r="I138" s="34" t="n">
        <x:v>2.25</x:v>
      </x:c>
      <x:c r="J138" s="34" t="n">
        <x:v>0</x:v>
      </x:c>
      <x:c r="K138" s="34" t="n">
        <x:v>0</x:v>
      </x:c>
      <x:c r="L138" s="34" t="n">
        <x:v>0.25</x:v>
      </x:c>
      <x:c r="M138" s="34" t="n">
        <x:v>0.25</x:v>
      </x:c>
      <x:c r="N138" s="34" t="n">
        <x:v>0</x:v>
      </x:c>
      <x:c r="O138" s="34" t="n">
        <x:v>0</x:v>
      </x:c>
      <x:c r="P138" s="34" t="n">
        <x:v>1.375</x:v>
      </x:c>
      <x:c r="Q138" s="34" t="n">
        <x:v>1.375</x:v>
      </x:c>
      <x:c r="R138" s="34" t="n">
        <x:v>0</x:v>
      </x:c>
      <x:c r="S138" s="40" t="b">
        <x:v>1</x:v>
      </x:c>
      <x:c r="T138" s="34" t="str">
        <x:v>model_interpolation</x:v>
      </x:c>
      <x:c r="U138" s="34" t="str">
        <x:v>Linear interpolation from 2026 to 2030</x:v>
      </x:c>
      <x:c r="V138" s="34" t="str">
        <x:v>CAND-314B41E5534D98</x:v>
      </x:c>
      <x:c r="W138" s="34" t="str">
        <x:v>P3</x:v>
      </x:c>
      <x:c r="X138" s="34" t="str">
        <x:v>PORT-9862FC05DA24</x:v>
      </x:c>
      <x:c r="Y138" s="34" t="n">
        <x:v>1000</x:v>
      </x:c>
      <x:c r="Z138" s="34" t="n">
        <x:v>169.659222</x:v>
      </x:c>
      <x:c r="AA138" s="34" t="n">
        <x:v>34.732335</x:v>
      </x:c>
      <x:c r="AB138" s="34" t="n">
        <x:v>105.301092</x:v>
      </x:c>
      <x:c r="AC138" s="34" t="n">
        <x:v>17627.204</x:v>
      </x:c>
      <x:c r="AD138" s="34" t="n">
        <x:v>167.398115</x:v>
      </x:c>
      <x:c r="AE138" s="40" t="b">
        <x:v>1</x:v>
      </x:c>
      <x:c r="AF138" s="40" t="b">
        <x:v>1</x:v>
      </x:c>
      <x:c r="AG138" s="34" t="str"/>
      <x:c r="AH138" s="34" t="n">
        <x:v>0</x:v>
      </x:c>
      <x:c r="AI138" s="34" t="str">
        <x:v>9.990856690045291e-05</x:v>
      </x:c>
      <x:c r="AJ138" s="40" t="b">
        <x:v>1</x:v>
      </x:c>
      <x:c r="AK138" s="40" t="b">
        <x:v>1</x:v>
      </x:c>
      <x:c r="AL138" s="40" t="b">
        <x:v>1</x:v>
      </x:c>
      <x:c r="AM138" s="40" t="b">
        <x:v>1</x:v>
      </x:c>
      <x:c r="AN138" s="34" t="str"/>
      <x:c r="AO138" s="34" t="n">
        <x:v>0</x:v>
      </x:c>
      <x:c r="AP138" s="34" t="n">
        <x:v>0</x:v>
      </x:c>
      <x:c r="AQ138" s="34" t="n">
        <x:v>0</x:v>
      </x:c>
      <x:c r="AR138" s="34" t="n">
        <x:v>1</x:v>
      </x:c>
      <x:c r="AS138" s="34" t="n">
        <x:v>1</x:v>
      </x:c>
      <x:c r="AT138" s="34" t="n">
        <x:v>0.3612199999999999</x:v>
      </x:c>
      <x:c r="AU138" s="34" t="n">
        <x:v>0.6</x:v>
      </x:c>
      <x:c r="AV138" s="34" t="n">
        <x:v>1.54</x:v>
      </x:c>
    </x:row>
    <x:row r="139">
      <x:c r="A139" s="34" t="str">
        <x:v>KOBE_STEEL_JP</x:v>
      </x:c>
      <x:c r="B139" s="34" t="str">
        <x:v>Kobe Steel</x:v>
      </x:c>
      <x:c r="C139" s="34" t="str">
        <x:v>ACCELERATED_15C</x:v>
      </x:c>
      <x:c r="D139" s="34" t="str">
        <x:v>P3</x:v>
      </x:c>
      <x:c r="E139" s="34" t="n">
        <x:v>2028</x:v>
      </x:c>
      <x:c r="F139" s="34" t="n">
        <x:v>0</x:v>
      </x:c>
      <x:c r="G139" s="34" t="n">
        <x:v>0</x:v>
      </x:c>
      <x:c r="H139" s="34" t="n">
        <x:v>2.5</x:v>
      </x:c>
      <x:c r="I139" s="34" t="n">
        <x:v>2.5</x:v>
      </x:c>
      <x:c r="J139" s="34" t="n">
        <x:v>0</x:v>
      </x:c>
      <x:c r="K139" s="34" t="n">
        <x:v>0</x:v>
      </x:c>
      <x:c r="L139" s="34" t="n">
        <x:v>0.30000000000000004</x:v>
      </x:c>
      <x:c r="M139" s="34" t="n">
        <x:v>0.3</x:v>
      </x:c>
      <x:c r="N139" s="34" t="n">
        <x:v>0</x:v>
      </x:c>
      <x:c r="O139" s="34" t="n">
        <x:v>0</x:v>
      </x:c>
      <x:c r="P139" s="34" t="n">
        <x:v>1.75</x:v>
      </x:c>
      <x:c r="Q139" s="34" t="n">
        <x:v>1.75</x:v>
      </x:c>
      <x:c r="R139" s="34" t="n">
        <x:v>0</x:v>
      </x:c>
      <x:c r="S139" s="40" t="b">
        <x:v>1</x:v>
      </x:c>
      <x:c r="T139" s="34" t="str">
        <x:v>model_interpolation</x:v>
      </x:c>
      <x:c r="U139" s="34" t="str">
        <x:v>Linear interpolation from 2026 to 2030</x:v>
      </x:c>
      <x:c r="V139" s="34" t="str">
        <x:v>CAND-314B41E5534D98</x:v>
      </x:c>
      <x:c r="W139" s="34" t="str">
        <x:v>P3</x:v>
      </x:c>
      <x:c r="X139" s="34" t="str">
        <x:v>PORT-9862FC05DA24</x:v>
      </x:c>
      <x:c r="Y139" s="34" t="n">
        <x:v>1000</x:v>
      </x:c>
      <x:c r="Z139" s="34" t="n">
        <x:v>169.659222</x:v>
      </x:c>
      <x:c r="AA139" s="34" t="n">
        <x:v>34.732335</x:v>
      </x:c>
      <x:c r="AB139" s="34" t="n">
        <x:v>105.301092</x:v>
      </x:c>
      <x:c r="AC139" s="34" t="n">
        <x:v>17627.204</x:v>
      </x:c>
      <x:c r="AD139" s="34" t="n">
        <x:v>167.398115</x:v>
      </x:c>
      <x:c r="AE139" s="40" t="b">
        <x:v>1</x:v>
      </x:c>
      <x:c r="AF139" s="40" t="b">
        <x:v>1</x:v>
      </x:c>
      <x:c r="AG139" s="34" t="str"/>
      <x:c r="AH139" s="34" t="n">
        <x:v>0</x:v>
      </x:c>
      <x:c r="AI139" s="34" t="str">
        <x:v>9.990856690045291e-05</x:v>
      </x:c>
      <x:c r="AJ139" s="40" t="b">
        <x:v>1</x:v>
      </x:c>
      <x:c r="AK139" s="40" t="b">
        <x:v>1</x:v>
      </x:c>
      <x:c r="AL139" s="40" t="b">
        <x:v>1</x:v>
      </x:c>
      <x:c r="AM139" s="40" t="b">
        <x:v>1</x:v>
      </x:c>
      <x:c r="AN139" s="34" t="str"/>
      <x:c r="AO139" s="34" t="n">
        <x:v>0</x:v>
      </x:c>
      <x:c r="AP139" s="34" t="n">
        <x:v>0</x:v>
      </x:c>
      <x:c r="AQ139" s="34" t="n">
        <x:v>0</x:v>
      </x:c>
      <x:c r="AR139" s="34" t="n">
        <x:v>1</x:v>
      </x:c>
      <x:c r="AS139" s="34" t="n">
        <x:v>1</x:v>
      </x:c>
      <x:c r="AT139" s="34" t="n">
        <x:v>0.3612199999999999</x:v>
      </x:c>
      <x:c r="AU139" s="34" t="n">
        <x:v>0.6</x:v>
      </x:c>
      <x:c r="AV139" s="34" t="n">
        <x:v>1.54</x:v>
      </x:c>
    </x:row>
    <x:row r="140">
      <x:c r="A140" s="34" t="str">
        <x:v>KOBE_STEEL_JP</x:v>
      </x:c>
      <x:c r="B140" s="34" t="str">
        <x:v>Kobe Steel</x:v>
      </x:c>
      <x:c r="C140" s="34" t="str">
        <x:v>ACCELERATED_15C</x:v>
      </x:c>
      <x:c r="D140" s="34" t="str">
        <x:v>P3</x:v>
      </x:c>
      <x:c r="E140" s="34" t="n">
        <x:v>2029</x:v>
      </x:c>
      <x:c r="F140" s="34" t="n">
        <x:v>1</x:v>
      </x:c>
      <x:c r="G140" s="34" t="n">
        <x:v>0.4425</x:v>
      </x:c>
      <x:c r="H140" s="34" t="n">
        <x:v>2.75</x:v>
      </x:c>
      <x:c r="I140" s="34" t="n">
        <x:v>2.3075</x:v>
      </x:c>
      <x:c r="J140" s="34" t="n">
        <x:v>16.091</x:v>
      </x:c>
      <x:c r="K140" s="34" t="n">
        <x:v>0.16225</x:v>
      </x:c>
      <x:c r="L140" s="34" t="n">
        <x:v>0.35000000000000003</x:v>
      </x:c>
      <x:c r="M140" s="34" t="n">
        <x:v>0.18775</x:v>
      </x:c>
      <x:c r="N140" s="34" t="n">
        <x:v>46.357</x:v>
      </x:c>
      <x:c r="O140" s="34" t="n">
        <x:v>1.357</x:v>
      </x:c>
      <x:c r="P140" s="34" t="n">
        <x:v>2.125</x:v>
      </x:c>
      <x:c r="Q140" s="34" t="n">
        <x:v>0.768</x:v>
      </x:c>
      <x:c r="R140" s="34" t="n">
        <x:v>63.859</x:v>
      </x:c>
      <x:c r="S140" s="40" t="b">
        <x:v>1</x:v>
      </x:c>
      <x:c r="T140" s="34" t="str">
        <x:v>model_interpolation</x:v>
      </x:c>
      <x:c r="U140" s="34" t="str">
        <x:v>Linear interpolation from 2026 to 2030</x:v>
      </x:c>
      <x:c r="V140" s="34" t="str">
        <x:v>CAND-314B41E5534D98</x:v>
      </x:c>
      <x:c r="W140" s="34" t="str">
        <x:v>P3</x:v>
      </x:c>
      <x:c r="X140" s="34" t="str">
        <x:v>PORT-9862FC05DA24</x:v>
      </x:c>
      <x:c r="Y140" s="34" t="n">
        <x:v>1000</x:v>
      </x:c>
      <x:c r="Z140" s="34" t="n">
        <x:v>169.659222</x:v>
      </x:c>
      <x:c r="AA140" s="34" t="n">
        <x:v>34.732335</x:v>
      </x:c>
      <x:c r="AB140" s="34" t="n">
        <x:v>105.301092</x:v>
      </x:c>
      <x:c r="AC140" s="34" t="n">
        <x:v>17627.204</x:v>
      </x:c>
      <x:c r="AD140" s="34" t="n">
        <x:v>167.398115</x:v>
      </x:c>
      <x:c r="AE140" s="40" t="b">
        <x:v>1</x:v>
      </x:c>
      <x:c r="AF140" s="40" t="b">
        <x:v>1</x:v>
      </x:c>
      <x:c r="AG140" s="34" t="str"/>
      <x:c r="AH140" s="34" t="n">
        <x:v>0</x:v>
      </x:c>
      <x:c r="AI140" s="34" t="str">
        <x:v>9.990856690045291e-05</x:v>
      </x:c>
      <x:c r="AJ140" s="40" t="b">
        <x:v>1</x:v>
      </x:c>
      <x:c r="AK140" s="40" t="b">
        <x:v>1</x:v>
      </x:c>
      <x:c r="AL140" s="40" t="b">
        <x:v>1</x:v>
      </x:c>
      <x:c r="AM140" s="40" t="b">
        <x:v>1</x:v>
      </x:c>
      <x:c r="AN140" s="34" t="str"/>
      <x:c r="AO140" s="34" t="n">
        <x:v>0</x:v>
      </x:c>
      <x:c r="AP140" s="34" t="n">
        <x:v>0</x:v>
      </x:c>
      <x:c r="AQ140" s="34" t="n">
        <x:v>0</x:v>
      </x:c>
      <x:c r="AR140" s="34" t="n">
        <x:v>1</x:v>
      </x:c>
      <x:c r="AS140" s="34" t="n">
        <x:v>1</x:v>
      </x:c>
      <x:c r="AT140" s="34" t="n">
        <x:v>0.3612199999999999</x:v>
      </x:c>
      <x:c r="AU140" s="34" t="n">
        <x:v>0.6</x:v>
      </x:c>
      <x:c r="AV140" s="34" t="n">
        <x:v>1.54</x:v>
      </x:c>
    </x:row>
    <x:row r="141">
      <x:c r="A141" s="34" t="str">
        <x:v>KOBE_STEEL_JP</x:v>
      </x:c>
      <x:c r="B141" s="34" t="str">
        <x:v>Kobe Steel</x:v>
      </x:c>
      <x:c r="C141" s="34" t="str">
        <x:v>ACCELERATED_15C</x:v>
      </x:c>
      <x:c r="D141" s="34" t="str">
        <x:v>P3</x:v>
      </x:c>
      <x:c r="E141" s="34" t="n">
        <x:v>2030</x:v>
      </x:c>
      <x:c r="F141" s="34" t="n">
        <x:v>1</x:v>
      </x:c>
      <x:c r="G141" s="34" t="n">
        <x:v>0.4425</x:v>
      </x:c>
      <x:c r="H141" s="34" t="n">
        <x:v>3</x:v>
      </x:c>
      <x:c r="I141" s="34" t="n">
        <x:v>2.5575</x:v>
      </x:c>
      <x:c r="J141" s="34" t="n">
        <x:v>14.75</x:v>
      </x:c>
      <x:c r="K141" s="34" t="n">
        <x:v>0.16225</x:v>
      </x:c>
      <x:c r="L141" s="34" t="n">
        <x:v>0.4</x:v>
      </x:c>
      <x:c r="M141" s="34" t="n">
        <x:v>0.23775</x:v>
      </x:c>
      <x:c r="N141" s="34" t="n">
        <x:v>40.563</x:v>
      </x:c>
      <x:c r="O141" s="34" t="n">
        <x:v>1.357</x:v>
      </x:c>
      <x:c r="P141" s="34" t="n">
        <x:v>2.5</x:v>
      </x:c>
      <x:c r="Q141" s="34" t="n">
        <x:v>1.143</x:v>
      </x:c>
      <x:c r="R141" s="34" t="n">
        <x:v>54.28</x:v>
      </x:c>
      <x:c r="S141" s="40" t="b">
        <x:v>1</x:v>
      </x:c>
      <x:c r="T141" s="34" t="str">
        <x:v>model_interpolation</x:v>
      </x:c>
      <x:c r="U141" s="34" t="str">
        <x:v>Linear interpolation from 2030 to 2035</x:v>
      </x:c>
      <x:c r="V141" s="34" t="str">
        <x:v>CAND-314B41E5534D98</x:v>
      </x:c>
      <x:c r="W141" s="34" t="str">
        <x:v>P3</x:v>
      </x:c>
      <x:c r="X141" s="34" t="str">
        <x:v>PORT-9862FC05DA24</x:v>
      </x:c>
      <x:c r="Y141" s="34" t="n">
        <x:v>1000</x:v>
      </x:c>
      <x:c r="Z141" s="34" t="n">
        <x:v>169.659222</x:v>
      </x:c>
      <x:c r="AA141" s="34" t="n">
        <x:v>34.732335</x:v>
      </x:c>
      <x:c r="AB141" s="34" t="n">
        <x:v>105.301092</x:v>
      </x:c>
      <x:c r="AC141" s="34" t="n">
        <x:v>17627.204</x:v>
      </x:c>
      <x:c r="AD141" s="34" t="n">
        <x:v>167.398115</x:v>
      </x:c>
      <x:c r="AE141" s="40" t="b">
        <x:v>1</x:v>
      </x:c>
      <x:c r="AF141" s="40" t="b">
        <x:v>1</x:v>
      </x:c>
      <x:c r="AG141" s="34" t="str"/>
      <x:c r="AH141" s="34" t="n">
        <x:v>0</x:v>
      </x:c>
      <x:c r="AI141" s="34" t="str">
        <x:v>9.990856690045291e-05</x:v>
      </x:c>
      <x:c r="AJ141" s="40" t="b">
        <x:v>1</x:v>
      </x:c>
      <x:c r="AK141" s="40" t="b">
        <x:v>1</x:v>
      </x:c>
      <x:c r="AL141" s="40" t="b">
        <x:v>1</x:v>
      </x:c>
      <x:c r="AM141" s="40" t="b">
        <x:v>1</x:v>
      </x:c>
      <x:c r="AN141" s="34" t="str"/>
      <x:c r="AO141" s="34" t="n">
        <x:v>0</x:v>
      </x:c>
      <x:c r="AP141" s="34" t="n">
        <x:v>0</x:v>
      </x:c>
      <x:c r="AQ141" s="34" t="n">
        <x:v>0</x:v>
      </x:c>
      <x:c r="AR141" s="34" t="n">
        <x:v>1</x:v>
      </x:c>
      <x:c r="AS141" s="34" t="n">
        <x:v>1</x:v>
      </x:c>
      <x:c r="AT141" s="34" t="n">
        <x:v>0.3612199999999999</x:v>
      </x:c>
      <x:c r="AU141" s="34" t="n">
        <x:v>0.6</x:v>
      </x:c>
      <x:c r="AV141" s="34" t="n">
        <x:v>1.54</x:v>
      </x:c>
    </x:row>
    <x:row r="142">
      <x:c r="A142" s="34" t="str">
        <x:v>KOBE_STEEL_JP</x:v>
      </x:c>
      <x:c r="B142" s="34" t="str">
        <x:v>Kobe Steel</x:v>
      </x:c>
      <x:c r="C142" s="34" t="str">
        <x:v>ACCELERATED_15C</x:v>
      </x:c>
      <x:c r="D142" s="34" t="str">
        <x:v>P3</x:v>
      </x:c>
      <x:c r="E142" s="34" t="n">
        <x:v>2031</x:v>
      </x:c>
      <x:c r="F142" s="34" t="n">
        <x:v>1</x:v>
      </x:c>
      <x:c r="G142" s="34" t="n">
        <x:v>0.4425</x:v>
      </x:c>
      <x:c r="H142" s="34" t="n">
        <x:v>3.4</x:v>
      </x:c>
      <x:c r="I142" s="34" t="n">
        <x:v>2.9575</x:v>
      </x:c>
      <x:c r="J142" s="34" t="n">
        <x:v>13.015</x:v>
      </x:c>
      <x:c r="K142" s="34" t="n">
        <x:v>0.16225</x:v>
      </x:c>
      <x:c r="L142" s="34" t="n">
        <x:v>0.44</x:v>
      </x:c>
      <x:c r="M142" s="34" t="n">
        <x:v>0.27775</x:v>
      </x:c>
      <x:c r="N142" s="34" t="n">
        <x:v>36.875</x:v>
      </x:c>
      <x:c r="O142" s="34" t="n">
        <x:v>1.357</x:v>
      </x:c>
      <x:c r="P142" s="34" t="n">
        <x:v>2.8</x:v>
      </x:c>
      <x:c r="Q142" s="34" t="n">
        <x:v>1.443</x:v>
      </x:c>
      <x:c r="R142" s="34" t="n">
        <x:v>48.464</x:v>
      </x:c>
      <x:c r="S142" s="40" t="b">
        <x:v>1</x:v>
      </x:c>
      <x:c r="T142" s="34" t="str">
        <x:v>model_interpolation</x:v>
      </x:c>
      <x:c r="U142" s="34" t="str">
        <x:v>Linear interpolation from 2030 to 2035</x:v>
      </x:c>
      <x:c r="V142" s="34" t="str">
        <x:v>CAND-314B41E5534D98</x:v>
      </x:c>
      <x:c r="W142" s="34" t="str">
        <x:v>P3</x:v>
      </x:c>
      <x:c r="X142" s="34" t="str">
        <x:v>PORT-9862FC05DA24</x:v>
      </x:c>
      <x:c r="Y142" s="34" t="n">
        <x:v>1000</x:v>
      </x:c>
      <x:c r="Z142" s="34" t="n">
        <x:v>169.659222</x:v>
      </x:c>
      <x:c r="AA142" s="34" t="n">
        <x:v>34.732335</x:v>
      </x:c>
      <x:c r="AB142" s="34" t="n">
        <x:v>105.301092</x:v>
      </x:c>
      <x:c r="AC142" s="34" t="n">
        <x:v>17627.204</x:v>
      </x:c>
      <x:c r="AD142" s="34" t="n">
        <x:v>167.398115</x:v>
      </x:c>
      <x:c r="AE142" s="40" t="b">
        <x:v>1</x:v>
      </x:c>
      <x:c r="AF142" s="40" t="b">
        <x:v>1</x:v>
      </x:c>
      <x:c r="AG142" s="34" t="str"/>
      <x:c r="AH142" s="34" t="n">
        <x:v>0</x:v>
      </x:c>
      <x:c r="AI142" s="34" t="str">
        <x:v>9.990856690045291e-05</x:v>
      </x:c>
      <x:c r="AJ142" s="40" t="b">
        <x:v>1</x:v>
      </x:c>
      <x:c r="AK142" s="40" t="b">
        <x:v>1</x:v>
      </x:c>
      <x:c r="AL142" s="40" t="b">
        <x:v>1</x:v>
      </x:c>
      <x:c r="AM142" s="40" t="b">
        <x:v>1</x:v>
      </x:c>
      <x:c r="AN142" s="34" t="str"/>
      <x:c r="AO142" s="34" t="n">
        <x:v>0</x:v>
      </x:c>
      <x:c r="AP142" s="34" t="n">
        <x:v>0</x:v>
      </x:c>
      <x:c r="AQ142" s="34" t="n">
        <x:v>0</x:v>
      </x:c>
      <x:c r="AR142" s="34" t="n">
        <x:v>1</x:v>
      </x:c>
      <x:c r="AS142" s="34" t="n">
        <x:v>1</x:v>
      </x:c>
      <x:c r="AT142" s="34" t="n">
        <x:v>0.3612199999999999</x:v>
      </x:c>
      <x:c r="AU142" s="34" t="n">
        <x:v>0.6</x:v>
      </x:c>
      <x:c r="AV142" s="34" t="n">
        <x:v>1.54</x:v>
      </x:c>
    </x:row>
    <x:row r="143">
      <x:c r="A143" s="34" t="str">
        <x:v>KOBE_STEEL_JP</x:v>
      </x:c>
      <x:c r="B143" s="34" t="str">
        <x:v>Kobe Steel</x:v>
      </x:c>
      <x:c r="C143" s="34" t="str">
        <x:v>ACCELERATED_15C</x:v>
      </x:c>
      <x:c r="D143" s="34" t="str">
        <x:v>P3</x:v>
      </x:c>
      <x:c r="E143" s="34" t="n">
        <x:v>2032</x:v>
      </x:c>
      <x:c r="F143" s="34" t="n">
        <x:v>1</x:v>
      </x:c>
      <x:c r="G143" s="34" t="n">
        <x:v>0.4425</x:v>
      </x:c>
      <x:c r="H143" s="34" t="n">
        <x:v>3.8</x:v>
      </x:c>
      <x:c r="I143" s="34" t="n">
        <x:v>3.3575</x:v>
      </x:c>
      <x:c r="J143" s="34" t="n">
        <x:v>11.645</x:v>
      </x:c>
      <x:c r="K143" s="34" t="n">
        <x:v>0.16225</x:v>
      </x:c>
      <x:c r="L143" s="34" t="n">
        <x:v>0.48</x:v>
      </x:c>
      <x:c r="M143" s="34" t="n">
        <x:v>0.31775</x:v>
      </x:c>
      <x:c r="N143" s="34" t="n">
        <x:v>33.802</x:v>
      </x:c>
      <x:c r="O143" s="34" t="n">
        <x:v>1.357</x:v>
      </x:c>
      <x:c r="P143" s="34" t="n">
        <x:v>3.1</x:v>
      </x:c>
      <x:c r="Q143" s="34" t="n">
        <x:v>1.743</x:v>
      </x:c>
      <x:c r="R143" s="34" t="n">
        <x:v>43.774</x:v>
      </x:c>
      <x:c r="S143" s="40" t="b">
        <x:v>1</x:v>
      </x:c>
      <x:c r="T143" s="34" t="str">
        <x:v>model_interpolation</x:v>
      </x:c>
      <x:c r="U143" s="34" t="str">
        <x:v>Linear interpolation from 2030 to 2035</x:v>
      </x:c>
      <x:c r="V143" s="34" t="str">
        <x:v>CAND-314B41E5534D98</x:v>
      </x:c>
      <x:c r="W143" s="34" t="str">
        <x:v>P3</x:v>
      </x:c>
      <x:c r="X143" s="34" t="str">
        <x:v>PORT-9862FC05DA24</x:v>
      </x:c>
      <x:c r="Y143" s="34" t="n">
        <x:v>1000</x:v>
      </x:c>
      <x:c r="Z143" s="34" t="n">
        <x:v>169.659222</x:v>
      </x:c>
      <x:c r="AA143" s="34" t="n">
        <x:v>34.732335</x:v>
      </x:c>
      <x:c r="AB143" s="34" t="n">
        <x:v>105.301092</x:v>
      </x:c>
      <x:c r="AC143" s="34" t="n">
        <x:v>17627.204</x:v>
      </x:c>
      <x:c r="AD143" s="34" t="n">
        <x:v>167.398115</x:v>
      </x:c>
      <x:c r="AE143" s="40" t="b">
        <x:v>1</x:v>
      </x:c>
      <x:c r="AF143" s="40" t="b">
        <x:v>1</x:v>
      </x:c>
      <x:c r="AG143" s="34" t="str"/>
      <x:c r="AH143" s="34" t="n">
        <x:v>0</x:v>
      </x:c>
      <x:c r="AI143" s="34" t="str">
        <x:v>9.990856690045291e-05</x:v>
      </x:c>
      <x:c r="AJ143" s="40" t="b">
        <x:v>1</x:v>
      </x:c>
      <x:c r="AK143" s="40" t="b">
        <x:v>1</x:v>
      </x:c>
      <x:c r="AL143" s="40" t="b">
        <x:v>1</x:v>
      </x:c>
      <x:c r="AM143" s="40" t="b">
        <x:v>1</x:v>
      </x:c>
      <x:c r="AN143" s="34" t="str"/>
      <x:c r="AO143" s="34" t="n">
        <x:v>0</x:v>
      </x:c>
      <x:c r="AP143" s="34" t="n">
        <x:v>0</x:v>
      </x:c>
      <x:c r="AQ143" s="34" t="n">
        <x:v>0</x:v>
      </x:c>
      <x:c r="AR143" s="34" t="n">
        <x:v>1</x:v>
      </x:c>
      <x:c r="AS143" s="34" t="n">
        <x:v>1</x:v>
      </x:c>
      <x:c r="AT143" s="34" t="n">
        <x:v>0.3612199999999999</x:v>
      </x:c>
      <x:c r="AU143" s="34" t="n">
        <x:v>0.6</x:v>
      </x:c>
      <x:c r="AV143" s="34" t="n">
        <x:v>1.54</x:v>
      </x:c>
    </x:row>
    <x:row r="144">
      <x:c r="A144" s="34" t="str">
        <x:v>KOBE_STEEL_JP</x:v>
      </x:c>
      <x:c r="B144" s="34" t="str">
        <x:v>Kobe Steel</x:v>
      </x:c>
      <x:c r="C144" s="34" t="str">
        <x:v>ACCELERATED_15C</x:v>
      </x:c>
      <x:c r="D144" s="34" t="str">
        <x:v>P3</x:v>
      </x:c>
      <x:c r="E144" s="34" t="n">
        <x:v>2033</x:v>
      </x:c>
      <x:c r="F144" s="34" t="n">
        <x:v>2</x:v>
      </x:c>
      <x:c r="G144" s="34" t="n">
        <x:v>0.5325</x:v>
      </x:c>
      <x:c r="H144" s="34" t="n">
        <x:v>4.2</x:v>
      </x:c>
      <x:c r="I144" s="34" t="n">
        <x:v>3.6675</x:v>
      </x:c>
      <x:c r="J144" s="34" t="n">
        <x:v>12.679</x:v>
      </x:c>
      <x:c r="K144" s="34" t="n">
        <x:v>0.16225</x:v>
      </x:c>
      <x:c r="L144" s="34" t="n">
        <x:v>0.52</x:v>
      </x:c>
      <x:c r="M144" s="34" t="n">
        <x:v>0.35775</x:v>
      </x:c>
      <x:c r="N144" s="34" t="n">
        <x:v>31.202</x:v>
      </x:c>
      <x:c r="O144" s="34" t="n">
        <x:v>1.359</x:v>
      </x:c>
      <x:c r="P144" s="34" t="n">
        <x:v>3.4</x:v>
      </x:c>
      <x:c r="Q144" s="34" t="n">
        <x:v>2.041</x:v>
      </x:c>
      <x:c r="R144" s="34" t="n">
        <x:v>39.971</x:v>
      </x:c>
      <x:c r="S144" s="40" t="b">
        <x:v>1</x:v>
      </x:c>
      <x:c r="T144" s="34" t="str">
        <x:v>model_interpolation</x:v>
      </x:c>
      <x:c r="U144" s="34" t="str">
        <x:v>Linear interpolation from 2030 to 2035</x:v>
      </x:c>
      <x:c r="V144" s="34" t="str">
        <x:v>CAND-314B41E5534D98</x:v>
      </x:c>
      <x:c r="W144" s="34" t="str">
        <x:v>P3</x:v>
      </x:c>
      <x:c r="X144" s="34" t="str">
        <x:v>PORT-9862FC05DA24</x:v>
      </x:c>
      <x:c r="Y144" s="34" t="n">
        <x:v>1000</x:v>
      </x:c>
      <x:c r="Z144" s="34" t="n">
        <x:v>169.659222</x:v>
      </x:c>
      <x:c r="AA144" s="34" t="n">
        <x:v>34.732335</x:v>
      </x:c>
      <x:c r="AB144" s="34" t="n">
        <x:v>105.301092</x:v>
      </x:c>
      <x:c r="AC144" s="34" t="n">
        <x:v>17627.204</x:v>
      </x:c>
      <x:c r="AD144" s="34" t="n">
        <x:v>167.398115</x:v>
      </x:c>
      <x:c r="AE144" s="40" t="b">
        <x:v>1</x:v>
      </x:c>
      <x:c r="AF144" s="40" t="b">
        <x:v>1</x:v>
      </x:c>
      <x:c r="AG144" s="34" t="str"/>
      <x:c r="AH144" s="34" t="n">
        <x:v>0</x:v>
      </x:c>
      <x:c r="AI144" s="34" t="str">
        <x:v>9.990856690045291e-05</x:v>
      </x:c>
      <x:c r="AJ144" s="40" t="b">
        <x:v>1</x:v>
      </x:c>
      <x:c r="AK144" s="40" t="b">
        <x:v>1</x:v>
      </x:c>
      <x:c r="AL144" s="40" t="b">
        <x:v>1</x:v>
      </x:c>
      <x:c r="AM144" s="40" t="b">
        <x:v>1</x:v>
      </x:c>
      <x:c r="AN144" s="34" t="str"/>
      <x:c r="AO144" s="34" t="n">
        <x:v>0</x:v>
      </x:c>
      <x:c r="AP144" s="34" t="n">
        <x:v>0</x:v>
      </x:c>
      <x:c r="AQ144" s="34" t="n">
        <x:v>0</x:v>
      </x:c>
      <x:c r="AR144" s="34" t="n">
        <x:v>1</x:v>
      </x:c>
      <x:c r="AS144" s="34" t="n">
        <x:v>1</x:v>
      </x:c>
      <x:c r="AT144" s="34" t="n">
        <x:v>0.3612199999999999</x:v>
      </x:c>
      <x:c r="AU144" s="34" t="n">
        <x:v>0.6</x:v>
      </x:c>
      <x:c r="AV144" s="34" t="n">
        <x:v>1.54</x:v>
      </x:c>
    </x:row>
    <x:row r="145">
      <x:c r="A145" s="34" t="str">
        <x:v>KOBE_STEEL_JP</x:v>
      </x:c>
      <x:c r="B145" s="34" t="str">
        <x:v>Kobe Steel</x:v>
      </x:c>
      <x:c r="C145" s="34" t="str">
        <x:v>ACCELERATED_15C</x:v>
      </x:c>
      <x:c r="D145" s="34" t="str">
        <x:v>P3</x:v>
      </x:c>
      <x:c r="E145" s="34" t="n">
        <x:v>2034</x:v>
      </x:c>
      <x:c r="F145" s="34" t="n">
        <x:v>2</x:v>
      </x:c>
      <x:c r="G145" s="34" t="n">
        <x:v>0.5325</x:v>
      </x:c>
      <x:c r="H145" s="34" t="n">
        <x:v>4.6</x:v>
      </x:c>
      <x:c r="I145" s="34" t="n">
        <x:v>4.0675</x:v>
      </x:c>
      <x:c r="J145" s="34" t="n">
        <x:v>11.576</x:v>
      </x:c>
      <x:c r="K145" s="34" t="n">
        <x:v>0.16225</x:v>
      </x:c>
      <x:c r="L145" s="34" t="n">
        <x:v>0.56</x:v>
      </x:c>
      <x:c r="M145" s="34" t="n">
        <x:v>0.39775</x:v>
      </x:c>
      <x:c r="N145" s="34" t="n">
        <x:v>28.973</x:v>
      </x:c>
      <x:c r="O145" s="34" t="n">
        <x:v>1.359</x:v>
      </x:c>
      <x:c r="P145" s="34" t="n">
        <x:v>3.7</x:v>
      </x:c>
      <x:c r="Q145" s="34" t="n">
        <x:v>2.341</x:v>
      </x:c>
      <x:c r="R145" s="34" t="n">
        <x:v>36.73</x:v>
      </x:c>
      <x:c r="S145" s="40" t="b">
        <x:v>1</x:v>
      </x:c>
      <x:c r="T145" s="34" t="str">
        <x:v>model_interpolation</x:v>
      </x:c>
      <x:c r="U145" s="34" t="str">
        <x:v>Linear interpolation from 2030 to 2035</x:v>
      </x:c>
      <x:c r="V145" s="34" t="str">
        <x:v>CAND-314B41E5534D98</x:v>
      </x:c>
      <x:c r="W145" s="34" t="str">
        <x:v>P3</x:v>
      </x:c>
      <x:c r="X145" s="34" t="str">
        <x:v>PORT-9862FC05DA24</x:v>
      </x:c>
      <x:c r="Y145" s="34" t="n">
        <x:v>1000</x:v>
      </x:c>
      <x:c r="Z145" s="34" t="n">
        <x:v>169.659222</x:v>
      </x:c>
      <x:c r="AA145" s="34" t="n">
        <x:v>34.732335</x:v>
      </x:c>
      <x:c r="AB145" s="34" t="n">
        <x:v>105.301092</x:v>
      </x:c>
      <x:c r="AC145" s="34" t="n">
        <x:v>17627.204</x:v>
      </x:c>
      <x:c r="AD145" s="34" t="n">
        <x:v>167.398115</x:v>
      </x:c>
      <x:c r="AE145" s="40" t="b">
        <x:v>1</x:v>
      </x:c>
      <x:c r="AF145" s="40" t="b">
        <x:v>1</x:v>
      </x:c>
      <x:c r="AG145" s="34" t="str"/>
      <x:c r="AH145" s="34" t="n">
        <x:v>0</x:v>
      </x:c>
      <x:c r="AI145" s="34" t="str">
        <x:v>9.990856690045291e-05</x:v>
      </x:c>
      <x:c r="AJ145" s="40" t="b">
        <x:v>1</x:v>
      </x:c>
      <x:c r="AK145" s="40" t="b">
        <x:v>1</x:v>
      </x:c>
      <x:c r="AL145" s="40" t="b">
        <x:v>1</x:v>
      </x:c>
      <x:c r="AM145" s="40" t="b">
        <x:v>1</x:v>
      </x:c>
      <x:c r="AN145" s="34" t="str"/>
      <x:c r="AO145" s="34" t="n">
        <x:v>0</x:v>
      </x:c>
      <x:c r="AP145" s="34" t="n">
        <x:v>0</x:v>
      </x:c>
      <x:c r="AQ145" s="34" t="n">
        <x:v>0</x:v>
      </x:c>
      <x:c r="AR145" s="34" t="n">
        <x:v>1</x:v>
      </x:c>
      <x:c r="AS145" s="34" t="n">
        <x:v>1</x:v>
      </x:c>
      <x:c r="AT145" s="34" t="n">
        <x:v>0.3612199999999999</x:v>
      </x:c>
      <x:c r="AU145" s="34" t="n">
        <x:v>0.6</x:v>
      </x:c>
      <x:c r="AV145" s="34" t="n">
        <x:v>1.54</x:v>
      </x:c>
    </x:row>
    <x:row r="146">
      <x:c r="A146" s="34" t="str">
        <x:v>KOBE_STEEL_JP</x:v>
      </x:c>
      <x:c r="B146" s="34" t="str">
        <x:v>Kobe Steel</x:v>
      </x:c>
      <x:c r="C146" s="34" t="str">
        <x:v>ACCELERATED_15C</x:v>
      </x:c>
      <x:c r="D146" s="34" t="str">
        <x:v>P3</x:v>
      </x:c>
      <x:c r="E146" s="34" t="n">
        <x:v>2035</x:v>
      </x:c>
      <x:c r="F146" s="34" t="n">
        <x:v>2</x:v>
      </x:c>
      <x:c r="G146" s="34" t="n">
        <x:v>0.5325</x:v>
      </x:c>
      <x:c r="H146" s="34" t="n">
        <x:v>5</x:v>
      </x:c>
      <x:c r="I146" s="34" t="n">
        <x:v>4.4675</x:v>
      </x:c>
      <x:c r="J146" s="34" t="n">
        <x:v>10.65</x:v>
      </x:c>
      <x:c r="K146" s="34" t="n">
        <x:v>0.16225</x:v>
      </x:c>
      <x:c r="L146" s="34" t="n">
        <x:v>0.6</x:v>
      </x:c>
      <x:c r="M146" s="34" t="n">
        <x:v>0.43775</x:v>
      </x:c>
      <x:c r="N146" s="34" t="n">
        <x:v>27.042</x:v>
      </x:c>
      <x:c r="O146" s="34" t="n">
        <x:v>1.359</x:v>
      </x:c>
      <x:c r="P146" s="34" t="n">
        <x:v>4</x:v>
      </x:c>
      <x:c r="Q146" s="34" t="n">
        <x:v>2.641</x:v>
      </x:c>
      <x:c r="R146" s="34" t="n">
        <x:v>33.975</x:v>
      </x:c>
      <x:c r="S146" s="40" t="b">
        <x:v>1</x:v>
      </x:c>
      <x:c r="T146" s="34" t="str">
        <x:v>model_interpolation</x:v>
      </x:c>
      <x:c r="U146" s="34" t="str">
        <x:v>Linear interpolation from 2035 to 2040</x:v>
      </x:c>
      <x:c r="V146" s="34" t="str">
        <x:v>CAND-314B41E5534D98</x:v>
      </x:c>
      <x:c r="W146" s="34" t="str">
        <x:v>P3</x:v>
      </x:c>
      <x:c r="X146" s="34" t="str">
        <x:v>PORT-9862FC05DA24</x:v>
      </x:c>
      <x:c r="Y146" s="34" t="n">
        <x:v>1000</x:v>
      </x:c>
      <x:c r="Z146" s="34" t="n">
        <x:v>169.659222</x:v>
      </x:c>
      <x:c r="AA146" s="34" t="n">
        <x:v>34.732335</x:v>
      </x:c>
      <x:c r="AB146" s="34" t="n">
        <x:v>105.301092</x:v>
      </x:c>
      <x:c r="AC146" s="34" t="n">
        <x:v>17627.204</x:v>
      </x:c>
      <x:c r="AD146" s="34" t="n">
        <x:v>167.398115</x:v>
      </x:c>
      <x:c r="AE146" s="40" t="b">
        <x:v>1</x:v>
      </x:c>
      <x:c r="AF146" s="40" t="b">
        <x:v>1</x:v>
      </x:c>
      <x:c r="AG146" s="34" t="str"/>
      <x:c r="AH146" s="34" t="n">
        <x:v>0</x:v>
      </x:c>
      <x:c r="AI146" s="34" t="str">
        <x:v>9.990856690045291e-05</x:v>
      </x:c>
      <x:c r="AJ146" s="40" t="b">
        <x:v>1</x:v>
      </x:c>
      <x:c r="AK146" s="40" t="b">
        <x:v>1</x:v>
      </x:c>
      <x:c r="AL146" s="40" t="b">
        <x:v>1</x:v>
      </x:c>
      <x:c r="AM146" s="40" t="b">
        <x:v>1</x:v>
      </x:c>
      <x:c r="AN146" s="34" t="str"/>
      <x:c r="AO146" s="34" t="n">
        <x:v>0</x:v>
      </x:c>
      <x:c r="AP146" s="34" t="n">
        <x:v>0</x:v>
      </x:c>
      <x:c r="AQ146" s="34" t="n">
        <x:v>0</x:v>
      </x:c>
      <x:c r="AR146" s="34" t="n">
        <x:v>1</x:v>
      </x:c>
      <x:c r="AS146" s="34" t="n">
        <x:v>1</x:v>
      </x:c>
      <x:c r="AT146" s="34" t="n">
        <x:v>0.3612199999999999</x:v>
      </x:c>
      <x:c r="AU146" s="34" t="n">
        <x:v>0.6</x:v>
      </x:c>
      <x:c r="AV146" s="34" t="n">
        <x:v>1.54</x:v>
      </x:c>
    </x:row>
    <x:row r="147">
      <x:c r="A147" s="34" t="str">
        <x:v>KOBE_STEEL_JP</x:v>
      </x:c>
      <x:c r="B147" s="34" t="str">
        <x:v>Kobe Steel</x:v>
      </x:c>
      <x:c r="C147" s="34" t="str">
        <x:v>ACCELERATED_15C</x:v>
      </x:c>
      <x:c r="D147" s="34" t="str">
        <x:v>P3</x:v>
      </x:c>
      <x:c r="E147" s="34" t="n">
        <x:v>2036</x:v>
      </x:c>
      <x:c r="F147" s="34" t="n">
        <x:v>2</x:v>
      </x:c>
      <x:c r="G147" s="34" t="n">
        <x:v>0.5325</x:v>
      </x:c>
      <x:c r="H147" s="34" t="n">
        <x:v>5.2</x:v>
      </x:c>
      <x:c r="I147" s="34" t="n">
        <x:v>4.6675</x:v>
      </x:c>
      <x:c r="J147" s="34" t="n">
        <x:v>10.24</x:v>
      </x:c>
      <x:c r="K147" s="34" t="n">
        <x:v>0.16225</x:v>
      </x:c>
      <x:c r="L147" s="34" t="n">
        <x:v>0.6799999999999999</x:v>
      </x:c>
      <x:c r="M147" s="34" t="n">
        <x:v>0.51775</x:v>
      </x:c>
      <x:c r="N147" s="34" t="n">
        <x:v>23.86</x:v>
      </x:c>
      <x:c r="O147" s="34" t="n">
        <x:v>1.359</x:v>
      </x:c>
      <x:c r="P147" s="34" t="n">
        <x:v>4.5</x:v>
      </x:c>
      <x:c r="Q147" s="34" t="n">
        <x:v>3.141</x:v>
      </x:c>
      <x:c r="R147" s="34" t="n">
        <x:v>30.2</x:v>
      </x:c>
      <x:c r="S147" s="40" t="b">
        <x:v>1</x:v>
      </x:c>
      <x:c r="T147" s="34" t="str">
        <x:v>model_interpolation</x:v>
      </x:c>
      <x:c r="U147" s="34" t="str">
        <x:v>Linear interpolation from 2035 to 2040</x:v>
      </x:c>
      <x:c r="V147" s="34" t="str">
        <x:v>CAND-314B41E5534D98</x:v>
      </x:c>
      <x:c r="W147" s="34" t="str">
        <x:v>P3</x:v>
      </x:c>
      <x:c r="X147" s="34" t="str">
        <x:v>PORT-9862FC05DA24</x:v>
      </x:c>
      <x:c r="Y147" s="34" t="n">
        <x:v>1000</x:v>
      </x:c>
      <x:c r="Z147" s="34" t="n">
        <x:v>169.659222</x:v>
      </x:c>
      <x:c r="AA147" s="34" t="n">
        <x:v>34.732335</x:v>
      </x:c>
      <x:c r="AB147" s="34" t="n">
        <x:v>105.301092</x:v>
      </x:c>
      <x:c r="AC147" s="34" t="n">
        <x:v>17627.204</x:v>
      </x:c>
      <x:c r="AD147" s="34" t="n">
        <x:v>167.398115</x:v>
      </x:c>
      <x:c r="AE147" s="40" t="b">
        <x:v>1</x:v>
      </x:c>
      <x:c r="AF147" s="40" t="b">
        <x:v>1</x:v>
      </x:c>
      <x:c r="AG147" s="34" t="str"/>
      <x:c r="AH147" s="34" t="n">
        <x:v>0</x:v>
      </x:c>
      <x:c r="AI147" s="34" t="str">
        <x:v>9.990856690045291e-05</x:v>
      </x:c>
      <x:c r="AJ147" s="40" t="b">
        <x:v>1</x:v>
      </x:c>
      <x:c r="AK147" s="40" t="b">
        <x:v>1</x:v>
      </x:c>
      <x:c r="AL147" s="40" t="b">
        <x:v>1</x:v>
      </x:c>
      <x:c r="AM147" s="40" t="b">
        <x:v>1</x:v>
      </x:c>
      <x:c r="AN147" s="34" t="str"/>
      <x:c r="AO147" s="34" t="n">
        <x:v>0</x:v>
      </x:c>
      <x:c r="AP147" s="34" t="n">
        <x:v>0</x:v>
      </x:c>
      <x:c r="AQ147" s="34" t="n">
        <x:v>0</x:v>
      </x:c>
      <x:c r="AR147" s="34" t="n">
        <x:v>1</x:v>
      </x:c>
      <x:c r="AS147" s="34" t="n">
        <x:v>1</x:v>
      </x:c>
      <x:c r="AT147" s="34" t="n">
        <x:v>0.3612199999999999</x:v>
      </x:c>
      <x:c r="AU147" s="34" t="n">
        <x:v>0.6</x:v>
      </x:c>
      <x:c r="AV147" s="34" t="n">
        <x:v>1.54</x:v>
      </x:c>
    </x:row>
    <x:row r="148">
      <x:c r="A148" s="34" t="str">
        <x:v>KOBE_STEEL_JP</x:v>
      </x:c>
      <x:c r="B148" s="34" t="str">
        <x:v>Kobe Steel</x:v>
      </x:c>
      <x:c r="C148" s="34" t="str">
        <x:v>ACCELERATED_15C</x:v>
      </x:c>
      <x:c r="D148" s="34" t="str">
        <x:v>P3</x:v>
      </x:c>
      <x:c r="E148" s="34" t="n">
        <x:v>2037</x:v>
      </x:c>
      <x:c r="F148" s="34" t="n">
        <x:v>3</x:v>
      </x:c>
      <x:c r="G148" s="34" t="n">
        <x:v>0.969</x:v>
      </x:c>
      <x:c r="H148" s="34" t="n">
        <x:v>5.4</x:v>
      </x:c>
      <x:c r="I148" s="34" t="n">
        <x:v>4.431</x:v>
      </x:c>
      <x:c r="J148" s="34" t="n">
        <x:v>17.944</x:v>
      </x:c>
      <x:c r="K148" s="34" t="n">
        <x:v>0.3223</x:v>
      </x:c>
      <x:c r="L148" s="34" t="n">
        <x:v>0.76</x:v>
      </x:c>
      <x:c r="M148" s="34" t="n">
        <x:v>0.4377</x:v>
      </x:c>
      <x:c r="N148" s="34" t="n">
        <x:v>42.408</x:v>
      </x:c>
      <x:c r="O148" s="34" t="n">
        <x:v>2.6976</x:v>
      </x:c>
      <x:c r="P148" s="34" t="n">
        <x:v>5</x:v>
      </x:c>
      <x:c r="Q148" s="34" t="n">
        <x:v>2.3024</x:v>
      </x:c>
      <x:c r="R148" s="34" t="n">
        <x:v>53.952</x:v>
      </x:c>
      <x:c r="S148" s="40" t="b">
        <x:v>1</x:v>
      </x:c>
      <x:c r="T148" s="34" t="str">
        <x:v>model_interpolation</x:v>
      </x:c>
      <x:c r="U148" s="34" t="str">
        <x:v>Linear interpolation from 2035 to 2040</x:v>
      </x:c>
      <x:c r="V148" s="34" t="str">
        <x:v>CAND-314B41E5534D98</x:v>
      </x:c>
      <x:c r="W148" s="34" t="str">
        <x:v>P3</x:v>
      </x:c>
      <x:c r="X148" s="34" t="str">
        <x:v>PORT-9862FC05DA24</x:v>
      </x:c>
      <x:c r="Y148" s="34" t="n">
        <x:v>1000</x:v>
      </x:c>
      <x:c r="Z148" s="34" t="n">
        <x:v>169.659222</x:v>
      </x:c>
      <x:c r="AA148" s="34" t="n">
        <x:v>34.732335</x:v>
      </x:c>
      <x:c r="AB148" s="34" t="n">
        <x:v>105.301092</x:v>
      </x:c>
      <x:c r="AC148" s="34" t="n">
        <x:v>17627.204</x:v>
      </x:c>
      <x:c r="AD148" s="34" t="n">
        <x:v>167.398115</x:v>
      </x:c>
      <x:c r="AE148" s="40" t="b">
        <x:v>1</x:v>
      </x:c>
      <x:c r="AF148" s="40" t="b">
        <x:v>1</x:v>
      </x:c>
      <x:c r="AG148" s="34" t="str"/>
      <x:c r="AH148" s="34" t="n">
        <x:v>0</x:v>
      </x:c>
      <x:c r="AI148" s="34" t="str">
        <x:v>9.990856690045291e-05</x:v>
      </x:c>
      <x:c r="AJ148" s="40" t="b">
        <x:v>1</x:v>
      </x:c>
      <x:c r="AK148" s="40" t="b">
        <x:v>1</x:v>
      </x:c>
      <x:c r="AL148" s="40" t="b">
        <x:v>1</x:v>
      </x:c>
      <x:c r="AM148" s="40" t="b">
        <x:v>1</x:v>
      </x:c>
      <x:c r="AN148" s="34" t="str"/>
      <x:c r="AO148" s="34" t="n">
        <x:v>0</x:v>
      </x:c>
      <x:c r="AP148" s="34" t="n">
        <x:v>0</x:v>
      </x:c>
      <x:c r="AQ148" s="34" t="n">
        <x:v>0</x:v>
      </x:c>
      <x:c r="AR148" s="34" t="n">
        <x:v>1</x:v>
      </x:c>
      <x:c r="AS148" s="34" t="n">
        <x:v>1</x:v>
      </x:c>
      <x:c r="AT148" s="34" t="n">
        <x:v>0.3612199999999999</x:v>
      </x:c>
      <x:c r="AU148" s="34" t="n">
        <x:v>0.6</x:v>
      </x:c>
      <x:c r="AV148" s="34" t="n">
        <x:v>1.54</x:v>
      </x:c>
    </x:row>
    <x:row r="149">
      <x:c r="A149" s="34" t="str">
        <x:v>KOBE_STEEL_JP</x:v>
      </x:c>
      <x:c r="B149" s="34" t="str">
        <x:v>Kobe Steel</x:v>
      </x:c>
      <x:c r="C149" s="34" t="str">
        <x:v>ACCELERATED_15C</x:v>
      </x:c>
      <x:c r="D149" s="34" t="str">
        <x:v>P3</x:v>
      </x:c>
      <x:c r="E149" s="34" t="n">
        <x:v>2038</x:v>
      </x:c>
      <x:c r="F149" s="34" t="n">
        <x:v>3</x:v>
      </x:c>
      <x:c r="G149" s="34" t="n">
        <x:v>0.969</x:v>
      </x:c>
      <x:c r="H149" s="34" t="n">
        <x:v>5.6</x:v>
      </x:c>
      <x:c r="I149" s="34" t="n">
        <x:v>4.631</x:v>
      </x:c>
      <x:c r="J149" s="34" t="n">
        <x:v>17.304</x:v>
      </x:c>
      <x:c r="K149" s="34" t="n">
        <x:v>0.3223</x:v>
      </x:c>
      <x:c r="L149" s="34" t="n">
        <x:v>0.84</x:v>
      </x:c>
      <x:c r="M149" s="34" t="n">
        <x:v>0.5177</x:v>
      </x:c>
      <x:c r="N149" s="34" t="n">
        <x:v>38.369</x:v>
      </x:c>
      <x:c r="O149" s="34" t="n">
        <x:v>2.6976</x:v>
      </x:c>
      <x:c r="P149" s="34" t="n">
        <x:v>5.5</x:v>
      </x:c>
      <x:c r="Q149" s="34" t="n">
        <x:v>2.8024</x:v>
      </x:c>
      <x:c r="R149" s="34" t="n">
        <x:v>49.047</x:v>
      </x:c>
      <x:c r="S149" s="40" t="b">
        <x:v>1</x:v>
      </x:c>
      <x:c r="T149" s="34" t="str">
        <x:v>model_interpolation</x:v>
      </x:c>
      <x:c r="U149" s="34" t="str">
        <x:v>Linear interpolation from 2035 to 2040</x:v>
      </x:c>
      <x:c r="V149" s="34" t="str">
        <x:v>CAND-314B41E5534D98</x:v>
      </x:c>
      <x:c r="W149" s="34" t="str">
        <x:v>P3</x:v>
      </x:c>
      <x:c r="X149" s="34" t="str">
        <x:v>PORT-9862FC05DA24</x:v>
      </x:c>
      <x:c r="Y149" s="34" t="n">
        <x:v>1000</x:v>
      </x:c>
      <x:c r="Z149" s="34" t="n">
        <x:v>169.659222</x:v>
      </x:c>
      <x:c r="AA149" s="34" t="n">
        <x:v>34.732335</x:v>
      </x:c>
      <x:c r="AB149" s="34" t="n">
        <x:v>105.301092</x:v>
      </x:c>
      <x:c r="AC149" s="34" t="n">
        <x:v>17627.204</x:v>
      </x:c>
      <x:c r="AD149" s="34" t="n">
        <x:v>167.398115</x:v>
      </x:c>
      <x:c r="AE149" s="40" t="b">
        <x:v>1</x:v>
      </x:c>
      <x:c r="AF149" s="40" t="b">
        <x:v>1</x:v>
      </x:c>
      <x:c r="AG149" s="34" t="str"/>
      <x:c r="AH149" s="34" t="n">
        <x:v>0</x:v>
      </x:c>
      <x:c r="AI149" s="34" t="str">
        <x:v>9.990856690045291e-05</x:v>
      </x:c>
      <x:c r="AJ149" s="40" t="b">
        <x:v>1</x:v>
      </x:c>
      <x:c r="AK149" s="40" t="b">
        <x:v>1</x:v>
      </x:c>
      <x:c r="AL149" s="40" t="b">
        <x:v>1</x:v>
      </x:c>
      <x:c r="AM149" s="40" t="b">
        <x:v>1</x:v>
      </x:c>
      <x:c r="AN149" s="34" t="str"/>
      <x:c r="AO149" s="34" t="n">
        <x:v>0</x:v>
      </x:c>
      <x:c r="AP149" s="34" t="n">
        <x:v>0</x:v>
      </x:c>
      <x:c r="AQ149" s="34" t="n">
        <x:v>0</x:v>
      </x:c>
      <x:c r="AR149" s="34" t="n">
        <x:v>1</x:v>
      </x:c>
      <x:c r="AS149" s="34" t="n">
        <x:v>1</x:v>
      </x:c>
      <x:c r="AT149" s="34" t="n">
        <x:v>0.3612199999999999</x:v>
      </x:c>
      <x:c r="AU149" s="34" t="n">
        <x:v>0.6</x:v>
      </x:c>
      <x:c r="AV149" s="34" t="n">
        <x:v>1.54</x:v>
      </x:c>
    </x:row>
    <x:row r="150">
      <x:c r="A150" s="34" t="str">
        <x:v>KOBE_STEEL_JP</x:v>
      </x:c>
      <x:c r="B150" s="34" t="str">
        <x:v>Kobe Steel</x:v>
      </x:c>
      <x:c r="C150" s="34" t="str">
        <x:v>ACCELERATED_15C</x:v>
      </x:c>
      <x:c r="D150" s="34" t="str">
        <x:v>P3</x:v>
      </x:c>
      <x:c r="E150" s="34" t="n">
        <x:v>2039</x:v>
      </x:c>
      <x:c r="F150" s="34" t="n">
        <x:v>3</x:v>
      </x:c>
      <x:c r="G150" s="34" t="n">
        <x:v>0.969</x:v>
      </x:c>
      <x:c r="H150" s="34" t="n">
        <x:v>5.8</x:v>
      </x:c>
      <x:c r="I150" s="34" t="n">
        <x:v>4.831</x:v>
      </x:c>
      <x:c r="J150" s="34" t="n">
        <x:v>16.707</x:v>
      </x:c>
      <x:c r="K150" s="34" t="n">
        <x:v>0.3223</x:v>
      </x:c>
      <x:c r="L150" s="34" t="n">
        <x:v>0.92</x:v>
      </x:c>
      <x:c r="M150" s="34" t="n">
        <x:v>0.5977</x:v>
      </x:c>
      <x:c r="N150" s="34" t="n">
        <x:v>35.033</x:v>
      </x:c>
      <x:c r="O150" s="34" t="n">
        <x:v>2.6976</x:v>
      </x:c>
      <x:c r="P150" s="34" t="n">
        <x:v>6</x:v>
      </x:c>
      <x:c r="Q150" s="34" t="n">
        <x:v>3.3024</x:v>
      </x:c>
      <x:c r="R150" s="34" t="n">
        <x:v>44.96</x:v>
      </x:c>
      <x:c r="S150" s="40" t="b">
        <x:v>1</x:v>
      </x:c>
      <x:c r="T150" s="34" t="str">
        <x:v>model_interpolation</x:v>
      </x:c>
      <x:c r="U150" s="34" t="str">
        <x:v>Linear interpolation from 2035 to 2040</x:v>
      </x:c>
      <x:c r="V150" s="34" t="str">
        <x:v>CAND-314B41E5534D98</x:v>
      </x:c>
      <x:c r="W150" s="34" t="str">
        <x:v>P3</x:v>
      </x:c>
      <x:c r="X150" s="34" t="str">
        <x:v>PORT-9862FC05DA24</x:v>
      </x:c>
      <x:c r="Y150" s="34" t="n">
        <x:v>1000</x:v>
      </x:c>
      <x:c r="Z150" s="34" t="n">
        <x:v>169.659222</x:v>
      </x:c>
      <x:c r="AA150" s="34" t="n">
        <x:v>34.732335</x:v>
      </x:c>
      <x:c r="AB150" s="34" t="n">
        <x:v>105.301092</x:v>
      </x:c>
      <x:c r="AC150" s="34" t="n">
        <x:v>17627.204</x:v>
      </x:c>
      <x:c r="AD150" s="34" t="n">
        <x:v>167.398115</x:v>
      </x:c>
      <x:c r="AE150" s="40" t="b">
        <x:v>1</x:v>
      </x:c>
      <x:c r="AF150" s="40" t="b">
        <x:v>1</x:v>
      </x:c>
      <x:c r="AG150" s="34" t="str"/>
      <x:c r="AH150" s="34" t="n">
        <x:v>0</x:v>
      </x:c>
      <x:c r="AI150" s="34" t="str">
        <x:v>9.990856690045291e-05</x:v>
      </x:c>
      <x:c r="AJ150" s="40" t="b">
        <x:v>1</x:v>
      </x:c>
      <x:c r="AK150" s="40" t="b">
        <x:v>1</x:v>
      </x:c>
      <x:c r="AL150" s="40" t="b">
        <x:v>1</x:v>
      </x:c>
      <x:c r="AM150" s="40" t="b">
        <x:v>1</x:v>
      </x:c>
      <x:c r="AN150" s="34" t="str"/>
      <x:c r="AO150" s="34" t="n">
        <x:v>0</x:v>
      </x:c>
      <x:c r="AP150" s="34" t="n">
        <x:v>0</x:v>
      </x:c>
      <x:c r="AQ150" s="34" t="n">
        <x:v>0</x:v>
      </x:c>
      <x:c r="AR150" s="34" t="n">
        <x:v>1</x:v>
      </x:c>
      <x:c r="AS150" s="34" t="n">
        <x:v>1</x:v>
      </x:c>
      <x:c r="AT150" s="34" t="n">
        <x:v>0.3612199999999999</x:v>
      </x:c>
      <x:c r="AU150" s="34" t="n">
        <x:v>0.6</x:v>
      </x:c>
      <x:c r="AV150" s="34" t="n">
        <x:v>1.54</x:v>
      </x:c>
    </x:row>
    <x:row r="151">
      <x:c r="A151" s="34" t="str">
        <x:v>KOBE_STEEL_JP</x:v>
      </x:c>
      <x:c r="B151" s="34" t="str">
        <x:v>Kobe Steel</x:v>
      </x:c>
      <x:c r="C151" s="34" t="str">
        <x:v>ACCELERATED_15C</x:v>
      </x:c>
      <x:c r="D151" s="34" t="str">
        <x:v>P3</x:v>
      </x:c>
      <x:c r="E151" s="34" t="n">
        <x:v>2040</x:v>
      </x:c>
      <x:c r="F151" s="34" t="n">
        <x:v>3</x:v>
      </x:c>
      <x:c r="G151" s="34" t="n">
        <x:v>0.969</x:v>
      </x:c>
      <x:c r="H151" s="34" t="n">
        <x:v>6</x:v>
      </x:c>
      <x:c r="I151" s="34" t="n">
        <x:v>5.031</x:v>
      </x:c>
      <x:c r="J151" s="34" t="n">
        <x:v>16.15</x:v>
      </x:c>
      <x:c r="K151" s="34" t="n">
        <x:v>0.3223</x:v>
      </x:c>
      <x:c r="L151" s="34" t="n">
        <x:v>1</x:v>
      </x:c>
      <x:c r="M151" s="34" t="n">
        <x:v>0.6777</x:v>
      </x:c>
      <x:c r="N151" s="34" t="n">
        <x:v>32.23</x:v>
      </x:c>
      <x:c r="O151" s="34" t="n">
        <x:v>2.6976</x:v>
      </x:c>
      <x:c r="P151" s="34" t="n">
        <x:v>6.5</x:v>
      </x:c>
      <x:c r="Q151" s="34" t="n">
        <x:v>3.8024</x:v>
      </x:c>
      <x:c r="R151" s="34" t="n">
        <x:v>41.502</x:v>
      </x:c>
      <x:c r="S151" s="40" t="b">
        <x:v>1</x:v>
      </x:c>
      <x:c r="T151" s="34" t="str">
        <x:v>model_estimate</x:v>
      </x:c>
      <x:c r="U151" s="34" t="str">
        <x:v>Illustrative accelerated envelope; not GCAM or an official supply forecast</x:v>
      </x:c>
      <x:c r="V151" s="34" t="str">
        <x:v>CAND-314B41E5534D98</x:v>
      </x:c>
      <x:c r="W151" s="34" t="str">
        <x:v>P3</x:v>
      </x:c>
      <x:c r="X151" s="34" t="str">
        <x:v>PORT-9862FC05DA24</x:v>
      </x:c>
      <x:c r="Y151" s="34" t="n">
        <x:v>1000</x:v>
      </x:c>
      <x:c r="Z151" s="34" t="n">
        <x:v>169.659222</x:v>
      </x:c>
      <x:c r="AA151" s="34" t="n">
        <x:v>34.732335</x:v>
      </x:c>
      <x:c r="AB151" s="34" t="n">
        <x:v>105.301092</x:v>
      </x:c>
      <x:c r="AC151" s="34" t="n">
        <x:v>17627.204</x:v>
      </x:c>
      <x:c r="AD151" s="34" t="n">
        <x:v>167.398115</x:v>
      </x:c>
      <x:c r="AE151" s="40" t="b">
        <x:v>1</x:v>
      </x:c>
      <x:c r="AF151" s="40" t="b">
        <x:v>1</x:v>
      </x:c>
      <x:c r="AG151" s="34" t="str"/>
      <x:c r="AH151" s="34" t="n">
        <x:v>0</x:v>
      </x:c>
      <x:c r="AI151" s="34" t="str">
        <x:v>9.990856690045291e-05</x:v>
      </x:c>
      <x:c r="AJ151" s="40" t="b">
        <x:v>1</x:v>
      </x:c>
      <x:c r="AK151" s="40" t="b">
        <x:v>1</x:v>
      </x:c>
      <x:c r="AL151" s="40" t="b">
        <x:v>1</x:v>
      </x:c>
      <x:c r="AM151" s="40" t="b">
        <x:v>1</x:v>
      </x:c>
      <x:c r="AN151" s="34" t="str"/>
      <x:c r="AO151" s="34" t="n">
        <x:v>0</x:v>
      </x:c>
      <x:c r="AP151" s="34" t="n">
        <x:v>0</x:v>
      </x:c>
      <x:c r="AQ151" s="34" t="n">
        <x:v>0</x:v>
      </x:c>
      <x:c r="AR151" s="34" t="n">
        <x:v>1</x:v>
      </x:c>
      <x:c r="AS151" s="34" t="n">
        <x:v>1</x:v>
      </x:c>
      <x:c r="AT151" s="34" t="n">
        <x:v>0.3612199999999999</x:v>
      </x:c>
      <x:c r="AU151" s="34" t="n">
        <x:v>0.6</x:v>
      </x:c>
      <x:c r="AV151" s="34" t="n">
        <x:v>1.54</x:v>
      </x:c>
    </x:row>
    <x:row r="152">
      <x:c r="A152" s="34" t="str">
        <x:v>NIPPON_STEEL_JP</x:v>
      </x:c>
      <x:c r="B152" s="34" t="str">
        <x:v>Nippon Steel</x:v>
      </x:c>
      <x:c r="C152" s="34" t="str">
        <x:v>DISCLOSED_PATH</x:v>
      </x:c>
      <x:c r="D152" s="34" t="str">
        <x:v>P3</x:v>
      </x:c>
      <x:c r="E152" s="34" t="n">
        <x:v>2026</x:v>
      </x:c>
      <x:c r="F152" s="34" t="n">
        <x:v>0</x:v>
      </x:c>
      <x:c r="G152" s="34" t="n">
        <x:v>0</x:v>
      </x:c>
      <x:c r="H152" s="34" t="n">
        <x:v>8</x:v>
      </x:c>
      <x:c r="I152" s="34" t="n">
        <x:v>8</x:v>
      </x:c>
      <x:c r="J152" s="34" t="n">
        <x:v>0</x:v>
      </x:c>
      <x:c r="K152" s="34" t="n">
        <x:v>0</x:v>
      </x:c>
      <x:c r="L152" s="34" t="n">
        <x:v>0</x:v>
      </x:c>
      <x:c r="M152" s="34" t="n">
        <x:v>0</x:v>
      </x:c>
      <x:c r="N152" s="34" t="n">
        <x:v>0</x:v>
      </x:c>
      <x:c r="O152" s="34" t="n">
        <x:v>0</x:v>
      </x:c>
      <x:c r="P152" s="34" t="n">
        <x:v>2</x:v>
      </x:c>
      <x:c r="Q152" s="34" t="n">
        <x:v>2</x:v>
      </x:c>
      <x:c r="R152" s="34" t="n">
        <x:v>0</x:v>
      </x:c>
      <x:c r="S152" s="40" t="b">
        <x:v>1</x:v>
      </x:c>
      <x:c r="T152" s="34" t="str">
        <x:v>model_interpolation</x:v>
      </x:c>
      <x:c r="U152" s="34" t="str">
        <x:v>Linear interpolation from 2026 to 2030</x:v>
      </x:c>
      <x:c r="V152" s="34" t="str">
        <x:v>CAND-32B1C4DEC95227</x:v>
      </x:c>
      <x:c r="W152" s="34" t="str">
        <x:v>P3</x:v>
      </x:c>
      <x:c r="X152" s="34" t="str">
        <x:v>PORT-0ACD636A8AEE</x:v>
      </x:c>
      <x:c r="Y152" s="34" t="n">
        <x:v>1000</x:v>
      </x:c>
      <x:c r="Z152" s="34" t="n">
        <x:v>57.952455</x:v>
      </x:c>
      <x:c r="AA152" s="34" t="n">
        <x:v>13.342227</x:v>
      </x:c>
      <x:c r="AB152" s="34" t="n">
        <x:v>446.878947</x:v>
      </x:c>
      <x:c r="AC152" s="34" t="n">
        <x:v>25357.995</x:v>
      </x:c>
      <x:c r="AD152" s="34" t="n">
        <x:v>56.744663</x:v>
      </x:c>
      <x:c r="AE152" s="40" t="b">
        <x:v>1</x:v>
      </x:c>
      <x:c r="AF152" s="40" t="b">
        <x:v>0</x:v>
      </x:c>
      <x:c r="AG152" s="34" t="str"/>
      <x:c r="AH152" s="34" t="n">
        <x:v>0</x:v>
      </x:c>
      <x:c r="AI152" s="34" t="str">
        <x:v>3.446647212967946e-06</x:v>
      </x:c>
      <x:c r="AJ152" s="40" t="b">
        <x:v>0</x:v>
      </x:c>
      <x:c r="AK152" s="40" t="b">
        <x:v>0</x:v>
      </x:c>
      <x:c r="AL152" s="40" t="b">
        <x:v>1</x:v>
      </x:c>
      <x:c r="AM152" s="40" t="b">
        <x:v>1</x:v>
      </x:c>
      <x:c r="AN152" s="34" t="n">
        <x:v>2034</x:v>
      </x:c>
      <x:c r="AO152" s="34" t="n">
        <x:v>3.3599990099999992</x:v>
      </x:c>
      <x:c r="AP152" s="34" t="n">
        <x:v>0</x:v>
      </x:c>
      <x:c r="AQ152" s="34" t="n">
        <x:v>0</x:v>
      </x:c>
      <x:c r="AR152" s="34" t="n">
        <x:v>2</x:v>
      </x:c>
      <x:c r="AS152" s="34" t="n">
        <x:v>2</x:v>
      </x:c>
      <x:c r="AT152" s="34" t="n">
        <x:v>0.47641018879999986</x:v>
      </x:c>
      <x:c r="AU152" s="34" t="n">
        <x:v>0.65</x:v>
      </x:c>
      <x:c r="AV152" s="34" t="n">
        <x:v>2.16</x:v>
      </x:c>
    </x:row>
    <x:row r="153">
      <x:c r="A153" s="34" t="str">
        <x:v>NIPPON_STEEL_JP</x:v>
      </x:c>
      <x:c r="B153" s="34" t="str">
        <x:v>Nippon Steel</x:v>
      </x:c>
      <x:c r="C153" s="34" t="str">
        <x:v>DISCLOSED_PATH</x:v>
      </x:c>
      <x:c r="D153" s="34" t="str">
        <x:v>P3</x:v>
      </x:c>
      <x:c r="E153" s="34" t="n">
        <x:v>2027</x:v>
      </x:c>
      <x:c r="F153" s="34" t="n">
        <x:v>0</x:v>
      </x:c>
      <x:c r="G153" s="34" t="n">
        <x:v>0</x:v>
      </x:c>
      <x:c r="H153" s="34" t="n">
        <x:v>9</x:v>
      </x:c>
      <x:c r="I153" s="34" t="n">
        <x:v>9</x:v>
      </x:c>
      <x:c r="J153" s="34" t="n">
        <x:v>0</x:v>
      </x:c>
      <x:c r="K153" s="34" t="n">
        <x:v>0</x:v>
      </x:c>
      <x:c r="L153" s="34" t="n">
        <x:v>0.15</x:v>
      </x:c>
      <x:c r="M153" s="34" t="n">
        <x:v>0.15</x:v>
      </x:c>
      <x:c r="N153" s="34" t="n">
        <x:v>0</x:v>
      </x:c>
      <x:c r="O153" s="34" t="n">
        <x:v>0</x:v>
      </x:c>
      <x:c r="P153" s="34" t="n">
        <x:v>3.25</x:v>
      </x:c>
      <x:c r="Q153" s="34" t="n">
        <x:v>3.25</x:v>
      </x:c>
      <x:c r="R153" s="34" t="n">
        <x:v>0</x:v>
      </x:c>
      <x:c r="S153" s="40" t="b">
        <x:v>1</x:v>
      </x:c>
      <x:c r="T153" s="34" t="str">
        <x:v>model_interpolation</x:v>
      </x:c>
      <x:c r="U153" s="34" t="str">
        <x:v>Linear interpolation from 2026 to 2030</x:v>
      </x:c>
      <x:c r="V153" s="34" t="str">
        <x:v>CAND-32B1C4DEC95227</x:v>
      </x:c>
      <x:c r="W153" s="34" t="str">
        <x:v>P3</x:v>
      </x:c>
      <x:c r="X153" s="34" t="str">
        <x:v>PORT-0ACD636A8AEE</x:v>
      </x:c>
      <x:c r="Y153" s="34" t="n">
        <x:v>1000</x:v>
      </x:c>
      <x:c r="Z153" s="34" t="n">
        <x:v>57.952455</x:v>
      </x:c>
      <x:c r="AA153" s="34" t="n">
        <x:v>13.342227</x:v>
      </x:c>
      <x:c r="AB153" s="34" t="n">
        <x:v>446.878947</x:v>
      </x:c>
      <x:c r="AC153" s="34" t="n">
        <x:v>25357.995</x:v>
      </x:c>
      <x:c r="AD153" s="34" t="n">
        <x:v>56.744663</x:v>
      </x:c>
      <x:c r="AE153" s="40" t="b">
        <x:v>1</x:v>
      </x:c>
      <x:c r="AF153" s="40" t="b">
        <x:v>0</x:v>
      </x:c>
      <x:c r="AG153" s="34" t="str"/>
      <x:c r="AH153" s="34" t="n">
        <x:v>0</x:v>
      </x:c>
      <x:c r="AI153" s="34" t="str">
        <x:v>3.446647212967946e-06</x:v>
      </x:c>
      <x:c r="AJ153" s="40" t="b">
        <x:v>0</x:v>
      </x:c>
      <x:c r="AK153" s="40" t="b">
        <x:v>0</x:v>
      </x:c>
      <x:c r="AL153" s="40" t="b">
        <x:v>1</x:v>
      </x:c>
      <x:c r="AM153" s="40" t="b">
        <x:v>1</x:v>
      </x:c>
      <x:c r="AN153" s="34" t="n">
        <x:v>2034</x:v>
      </x:c>
      <x:c r="AO153" s="34" t="n">
        <x:v>3.3599990099999992</x:v>
      </x:c>
      <x:c r="AP153" s="34" t="n">
        <x:v>0</x:v>
      </x:c>
      <x:c r="AQ153" s="34" t="n">
        <x:v>0</x:v>
      </x:c>
      <x:c r="AR153" s="34" t="n">
        <x:v>2</x:v>
      </x:c>
      <x:c r="AS153" s="34" t="n">
        <x:v>2</x:v>
      </x:c>
      <x:c r="AT153" s="34" t="n">
        <x:v>0.47641018879999986</x:v>
      </x:c>
      <x:c r="AU153" s="34" t="n">
        <x:v>0.65</x:v>
      </x:c>
      <x:c r="AV153" s="34" t="n">
        <x:v>2.16</x:v>
      </x:c>
    </x:row>
    <x:row r="154">
      <x:c r="A154" s="34" t="str">
        <x:v>NIPPON_STEEL_JP</x:v>
      </x:c>
      <x:c r="B154" s="34" t="str">
        <x:v>Nippon Steel</x:v>
      </x:c>
      <x:c r="C154" s="34" t="str">
        <x:v>DISCLOSED_PATH</x:v>
      </x:c>
      <x:c r="D154" s="34" t="str">
        <x:v>P3</x:v>
      </x:c>
      <x:c r="E154" s="34" t="n">
        <x:v>2028</x:v>
      </x:c>
      <x:c r="F154" s="34" t="n">
        <x:v>0</x:v>
      </x:c>
      <x:c r="G154" s="34" t="n">
        <x:v>0</x:v>
      </x:c>
      <x:c r="H154" s="34" t="n">
        <x:v>10</x:v>
      </x:c>
      <x:c r="I154" s="34" t="n">
        <x:v>10</x:v>
      </x:c>
      <x:c r="J154" s="34" t="n">
        <x:v>0</x:v>
      </x:c>
      <x:c r="K154" s="34" t="n">
        <x:v>0</x:v>
      </x:c>
      <x:c r="L154" s="34" t="n">
        <x:v>0.3</x:v>
      </x:c>
      <x:c r="M154" s="34" t="n">
        <x:v>0.3</x:v>
      </x:c>
      <x:c r="N154" s="34" t="n">
        <x:v>0</x:v>
      </x:c>
      <x:c r="O154" s="34" t="n">
        <x:v>0</x:v>
      </x:c>
      <x:c r="P154" s="34" t="n">
        <x:v>4.5</x:v>
      </x:c>
      <x:c r="Q154" s="34" t="n">
        <x:v>4.5</x:v>
      </x:c>
      <x:c r="R154" s="34" t="n">
        <x:v>0</x:v>
      </x:c>
      <x:c r="S154" s="40" t="b">
        <x:v>1</x:v>
      </x:c>
      <x:c r="T154" s="34" t="str">
        <x:v>model_interpolation</x:v>
      </x:c>
      <x:c r="U154" s="34" t="str">
        <x:v>Linear interpolation from 2026 to 2030</x:v>
      </x:c>
      <x:c r="V154" s="34" t="str">
        <x:v>CAND-32B1C4DEC95227</x:v>
      </x:c>
      <x:c r="W154" s="34" t="str">
        <x:v>P3</x:v>
      </x:c>
      <x:c r="X154" s="34" t="str">
        <x:v>PORT-0ACD636A8AEE</x:v>
      </x:c>
      <x:c r="Y154" s="34" t="n">
        <x:v>1000</x:v>
      </x:c>
      <x:c r="Z154" s="34" t="n">
        <x:v>57.952455</x:v>
      </x:c>
      <x:c r="AA154" s="34" t="n">
        <x:v>13.342227</x:v>
      </x:c>
      <x:c r="AB154" s="34" t="n">
        <x:v>446.878947</x:v>
      </x:c>
      <x:c r="AC154" s="34" t="n">
        <x:v>25357.995</x:v>
      </x:c>
      <x:c r="AD154" s="34" t="n">
        <x:v>56.744663</x:v>
      </x:c>
      <x:c r="AE154" s="40" t="b">
        <x:v>1</x:v>
      </x:c>
      <x:c r="AF154" s="40" t="b">
        <x:v>0</x:v>
      </x:c>
      <x:c r="AG154" s="34" t="str"/>
      <x:c r="AH154" s="34" t="n">
        <x:v>0</x:v>
      </x:c>
      <x:c r="AI154" s="34" t="str">
        <x:v>3.446647212967946e-06</x:v>
      </x:c>
      <x:c r="AJ154" s="40" t="b">
        <x:v>0</x:v>
      </x:c>
      <x:c r="AK154" s="40" t="b">
        <x:v>0</x:v>
      </x:c>
      <x:c r="AL154" s="40" t="b">
        <x:v>1</x:v>
      </x:c>
      <x:c r="AM154" s="40" t="b">
        <x:v>1</x:v>
      </x:c>
      <x:c r="AN154" s="34" t="n">
        <x:v>2034</x:v>
      </x:c>
      <x:c r="AO154" s="34" t="n">
        <x:v>3.3599990099999992</x:v>
      </x:c>
      <x:c r="AP154" s="34" t="n">
        <x:v>0</x:v>
      </x:c>
      <x:c r="AQ154" s="34" t="n">
        <x:v>0</x:v>
      </x:c>
      <x:c r="AR154" s="34" t="n">
        <x:v>2</x:v>
      </x:c>
      <x:c r="AS154" s="34" t="n">
        <x:v>2</x:v>
      </x:c>
      <x:c r="AT154" s="34" t="n">
        <x:v>0.47641018879999986</x:v>
      </x:c>
      <x:c r="AU154" s="34" t="n">
        <x:v>0.65</x:v>
      </x:c>
      <x:c r="AV154" s="34" t="n">
        <x:v>2.16</x:v>
      </x:c>
    </x:row>
    <x:row r="155">
      <x:c r="A155" s="34" t="str">
        <x:v>NIPPON_STEEL_JP</x:v>
      </x:c>
      <x:c r="B155" s="34" t="str">
        <x:v>Nippon Steel</x:v>
      </x:c>
      <x:c r="C155" s="34" t="str">
        <x:v>DISCLOSED_PATH</x:v>
      </x:c>
      <x:c r="D155" s="34" t="str">
        <x:v>P3</x:v>
      </x:c>
      <x:c r="E155" s="34" t="n">
        <x:v>2029</x:v>
      </x:c>
      <x:c r="F155" s="34" t="n">
        <x:v>1</x:v>
      </x:c>
      <x:c r="G155" s="34" t="n">
        <x:v>8.1</x:v>
      </x:c>
      <x:c r="H155" s="34" t="n">
        <x:v>11</x:v>
      </x:c>
      <x:c r="I155" s="34" t="n">
        <x:v>2.9</x:v>
      </x:c>
      <x:c r="J155" s="34" t="n">
        <x:v>73.636</x:v>
      </x:c>
      <x:c r="K155" s="34" t="n">
        <x:v>0</x:v>
      </x:c>
      <x:c r="L155" s="34" t="n">
        <x:v>0.44999999999999996</x:v>
      </x:c>
      <x:c r="M155" s="34" t="n">
        <x:v>0.45</x:v>
      </x:c>
      <x:c r="N155" s="34" t="n">
        <x:v>0</x:v>
      </x:c>
      <x:c r="O155" s="34" t="n">
        <x:v>5.04</x:v>
      </x:c>
      <x:c r="P155" s="34" t="n">
        <x:v>5.75</x:v>
      </x:c>
      <x:c r="Q155" s="34" t="n">
        <x:v>0.71</x:v>
      </x:c>
      <x:c r="R155" s="34" t="n">
        <x:v>87.652</x:v>
      </x:c>
      <x:c r="S155" s="40" t="b">
        <x:v>1</x:v>
      </x:c>
      <x:c r="T155" s="34" t="str">
        <x:v>model_interpolation</x:v>
      </x:c>
      <x:c r="U155" s="34" t="str">
        <x:v>Linear interpolation from 2026 to 2030</x:v>
      </x:c>
      <x:c r="V155" s="34" t="str">
        <x:v>CAND-32B1C4DEC95227</x:v>
      </x:c>
      <x:c r="W155" s="34" t="str">
        <x:v>P3</x:v>
      </x:c>
      <x:c r="X155" s="34" t="str">
        <x:v>PORT-0ACD636A8AEE</x:v>
      </x:c>
      <x:c r="Y155" s="34" t="n">
        <x:v>1000</x:v>
      </x:c>
      <x:c r="Z155" s="34" t="n">
        <x:v>57.952455</x:v>
      </x:c>
      <x:c r="AA155" s="34" t="n">
        <x:v>13.342227</x:v>
      </x:c>
      <x:c r="AB155" s="34" t="n">
        <x:v>446.878947</x:v>
      </x:c>
      <x:c r="AC155" s="34" t="n">
        <x:v>25357.995</x:v>
      </x:c>
      <x:c r="AD155" s="34" t="n">
        <x:v>56.744663</x:v>
      </x:c>
      <x:c r="AE155" s="40" t="b">
        <x:v>1</x:v>
      </x:c>
      <x:c r="AF155" s="40" t="b">
        <x:v>0</x:v>
      </x:c>
      <x:c r="AG155" s="34" t="str"/>
      <x:c r="AH155" s="34" t="n">
        <x:v>0</x:v>
      </x:c>
      <x:c r="AI155" s="34" t="str">
        <x:v>3.446647212967946e-06</x:v>
      </x:c>
      <x:c r="AJ155" s="40" t="b">
        <x:v>0</x:v>
      </x:c>
      <x:c r="AK155" s="40" t="b">
        <x:v>0</x:v>
      </x:c>
      <x:c r="AL155" s="40" t="b">
        <x:v>1</x:v>
      </x:c>
      <x:c r="AM155" s="40" t="b">
        <x:v>1</x:v>
      </x:c>
      <x:c r="AN155" s="34" t="n">
        <x:v>2034</x:v>
      </x:c>
      <x:c r="AO155" s="34" t="n">
        <x:v>3.3599990099999992</x:v>
      </x:c>
      <x:c r="AP155" s="34" t="n">
        <x:v>0</x:v>
      </x:c>
      <x:c r="AQ155" s="34" t="n">
        <x:v>0</x:v>
      </x:c>
      <x:c r="AR155" s="34" t="n">
        <x:v>2</x:v>
      </x:c>
      <x:c r="AS155" s="34" t="n">
        <x:v>2</x:v>
      </x:c>
      <x:c r="AT155" s="34" t="n">
        <x:v>0.47641018879999986</x:v>
      </x:c>
      <x:c r="AU155" s="34" t="n">
        <x:v>0.65</x:v>
      </x:c>
      <x:c r="AV155" s="34" t="n">
        <x:v>2.16</x:v>
      </x:c>
    </x:row>
    <x:row r="156">
      <x:c r="A156" s="34" t="str">
        <x:v>NIPPON_STEEL_JP</x:v>
      </x:c>
      <x:c r="B156" s="34" t="str">
        <x:v>Nippon Steel</x:v>
      </x:c>
      <x:c r="C156" s="34" t="str">
        <x:v>DISCLOSED_PATH</x:v>
      </x:c>
      <x:c r="D156" s="34" t="str">
        <x:v>P3</x:v>
      </x:c>
      <x:c r="E156" s="34" t="n">
        <x:v>2030</x:v>
      </x:c>
      <x:c r="F156" s="34" t="n">
        <x:v>1</x:v>
      </x:c>
      <x:c r="G156" s="34" t="n">
        <x:v>8.1</x:v>
      </x:c>
      <x:c r="H156" s="34" t="n">
        <x:v>12</x:v>
      </x:c>
      <x:c r="I156" s="34" t="n">
        <x:v>3.9</x:v>
      </x:c>
      <x:c r="J156" s="34" t="n">
        <x:v>67.5</x:v>
      </x:c>
      <x:c r="K156" s="34" t="n">
        <x:v>0</x:v>
      </x:c>
      <x:c r="L156" s="34" t="n">
        <x:v>0.6</x:v>
      </x:c>
      <x:c r="M156" s="34" t="n">
        <x:v>0.6</x:v>
      </x:c>
      <x:c r="N156" s="34" t="n">
        <x:v>0</x:v>
      </x:c>
      <x:c r="O156" s="34" t="n">
        <x:v>5.04</x:v>
      </x:c>
      <x:c r="P156" s="34" t="n">
        <x:v>7</x:v>
      </x:c>
      <x:c r="Q156" s="34" t="n">
        <x:v>1.96</x:v>
      </x:c>
      <x:c r="R156" s="34" t="n">
        <x:v>72</x:v>
      </x:c>
      <x:c r="S156" s="40" t="b">
        <x:v>1</x:v>
      </x:c>
      <x:c r="T156" s="34" t="str">
        <x:v>model_interpolation</x:v>
      </x:c>
      <x:c r="U156" s="34" t="str">
        <x:v>Linear interpolation from 2030 to 2035</x:v>
      </x:c>
      <x:c r="V156" s="34" t="str">
        <x:v>CAND-32B1C4DEC95227</x:v>
      </x:c>
      <x:c r="W156" s="34" t="str">
        <x:v>P3</x:v>
      </x:c>
      <x:c r="X156" s="34" t="str">
        <x:v>PORT-0ACD636A8AEE</x:v>
      </x:c>
      <x:c r="Y156" s="34" t="n">
        <x:v>1000</x:v>
      </x:c>
      <x:c r="Z156" s="34" t="n">
        <x:v>57.952455</x:v>
      </x:c>
      <x:c r="AA156" s="34" t="n">
        <x:v>13.342227</x:v>
      </x:c>
      <x:c r="AB156" s="34" t="n">
        <x:v>446.878947</x:v>
      </x:c>
      <x:c r="AC156" s="34" t="n">
        <x:v>25357.995</x:v>
      </x:c>
      <x:c r="AD156" s="34" t="n">
        <x:v>56.744663</x:v>
      </x:c>
      <x:c r="AE156" s="40" t="b">
        <x:v>1</x:v>
      </x:c>
      <x:c r="AF156" s="40" t="b">
        <x:v>0</x:v>
      </x:c>
      <x:c r="AG156" s="34" t="str"/>
      <x:c r="AH156" s="34" t="n">
        <x:v>0</x:v>
      </x:c>
      <x:c r="AI156" s="34" t="str">
        <x:v>3.446647212967946e-06</x:v>
      </x:c>
      <x:c r="AJ156" s="40" t="b">
        <x:v>0</x:v>
      </x:c>
      <x:c r="AK156" s="40" t="b">
        <x:v>0</x:v>
      </x:c>
      <x:c r="AL156" s="40" t="b">
        <x:v>1</x:v>
      </x:c>
      <x:c r="AM156" s="40" t="b">
        <x:v>1</x:v>
      </x:c>
      <x:c r="AN156" s="34" t="n">
        <x:v>2034</x:v>
      </x:c>
      <x:c r="AO156" s="34" t="n">
        <x:v>3.3599990099999992</x:v>
      </x:c>
      <x:c r="AP156" s="34" t="n">
        <x:v>0</x:v>
      </x:c>
      <x:c r="AQ156" s="34" t="n">
        <x:v>0</x:v>
      </x:c>
      <x:c r="AR156" s="34" t="n">
        <x:v>2</x:v>
      </x:c>
      <x:c r="AS156" s="34" t="n">
        <x:v>2</x:v>
      </x:c>
      <x:c r="AT156" s="34" t="n">
        <x:v>0.47641018879999986</x:v>
      </x:c>
      <x:c r="AU156" s="34" t="n">
        <x:v>0.65</x:v>
      </x:c>
      <x:c r="AV156" s="34" t="n">
        <x:v>2.16</x:v>
      </x:c>
    </x:row>
    <x:row r="157">
      <x:c r="A157" s="34" t="str">
        <x:v>NIPPON_STEEL_JP</x:v>
      </x:c>
      <x:c r="B157" s="34" t="str">
        <x:v>Nippon Steel</x:v>
      </x:c>
      <x:c r="C157" s="34" t="str">
        <x:v>DISCLOSED_PATH</x:v>
      </x:c>
      <x:c r="D157" s="34" t="str">
        <x:v>P3</x:v>
      </x:c>
      <x:c r="E157" s="34" t="n">
        <x:v>2031</x:v>
      </x:c>
      <x:c r="F157" s="34" t="n">
        <x:v>1</x:v>
      </x:c>
      <x:c r="G157" s="34" t="n">
        <x:v>8.1</x:v>
      </x:c>
      <x:c r="H157" s="34" t="n">
        <x:v>13.2</x:v>
      </x:c>
      <x:c r="I157" s="34" t="n">
        <x:v>5.1</x:v>
      </x:c>
      <x:c r="J157" s="34" t="n">
        <x:v>61.364</x:v>
      </x:c>
      <x:c r="K157" s="34" t="n">
        <x:v>0</x:v>
      </x:c>
      <x:c r="L157" s="34" t="n">
        <x:v>0.8400000000000001</x:v>
      </x:c>
      <x:c r="M157" s="34" t="n">
        <x:v>0.84</x:v>
      </x:c>
      <x:c r="N157" s="34" t="n">
        <x:v>0</x:v>
      </x:c>
      <x:c r="O157" s="34" t="n">
        <x:v>5.04</x:v>
      </x:c>
      <x:c r="P157" s="34" t="n">
        <x:v>8.6</x:v>
      </x:c>
      <x:c r="Q157" s="34" t="n">
        <x:v>3.56</x:v>
      </x:c>
      <x:c r="R157" s="34" t="n">
        <x:v>58.605</x:v>
      </x:c>
      <x:c r="S157" s="40" t="b">
        <x:v>1</x:v>
      </x:c>
      <x:c r="T157" s="34" t="str">
        <x:v>model_interpolation</x:v>
      </x:c>
      <x:c r="U157" s="34" t="str">
        <x:v>Linear interpolation from 2030 to 2035</x:v>
      </x:c>
      <x:c r="V157" s="34" t="str">
        <x:v>CAND-32B1C4DEC95227</x:v>
      </x:c>
      <x:c r="W157" s="34" t="str">
        <x:v>P3</x:v>
      </x:c>
      <x:c r="X157" s="34" t="str">
        <x:v>PORT-0ACD636A8AEE</x:v>
      </x:c>
      <x:c r="Y157" s="34" t="n">
        <x:v>1000</x:v>
      </x:c>
      <x:c r="Z157" s="34" t="n">
        <x:v>57.952455</x:v>
      </x:c>
      <x:c r="AA157" s="34" t="n">
        <x:v>13.342227</x:v>
      </x:c>
      <x:c r="AB157" s="34" t="n">
        <x:v>446.878947</x:v>
      </x:c>
      <x:c r="AC157" s="34" t="n">
        <x:v>25357.995</x:v>
      </x:c>
      <x:c r="AD157" s="34" t="n">
        <x:v>56.744663</x:v>
      </x:c>
      <x:c r="AE157" s="40" t="b">
        <x:v>1</x:v>
      </x:c>
      <x:c r="AF157" s="40" t="b">
        <x:v>0</x:v>
      </x:c>
      <x:c r="AG157" s="34" t="str"/>
      <x:c r="AH157" s="34" t="n">
        <x:v>0</x:v>
      </x:c>
      <x:c r="AI157" s="34" t="str">
        <x:v>3.446647212967946e-06</x:v>
      </x:c>
      <x:c r="AJ157" s="40" t="b">
        <x:v>0</x:v>
      </x:c>
      <x:c r="AK157" s="40" t="b">
        <x:v>0</x:v>
      </x:c>
      <x:c r="AL157" s="40" t="b">
        <x:v>1</x:v>
      </x:c>
      <x:c r="AM157" s="40" t="b">
        <x:v>1</x:v>
      </x:c>
      <x:c r="AN157" s="34" t="n">
        <x:v>2034</x:v>
      </x:c>
      <x:c r="AO157" s="34" t="n">
        <x:v>3.3599990099999992</x:v>
      </x:c>
      <x:c r="AP157" s="34" t="n">
        <x:v>0</x:v>
      </x:c>
      <x:c r="AQ157" s="34" t="n">
        <x:v>0</x:v>
      </x:c>
      <x:c r="AR157" s="34" t="n">
        <x:v>2</x:v>
      </x:c>
      <x:c r="AS157" s="34" t="n">
        <x:v>2</x:v>
      </x:c>
      <x:c r="AT157" s="34" t="n">
        <x:v>0.47641018879999986</x:v>
      </x:c>
      <x:c r="AU157" s="34" t="n">
        <x:v>0.65</x:v>
      </x:c>
      <x:c r="AV157" s="34" t="n">
        <x:v>2.16</x:v>
      </x:c>
    </x:row>
    <x:row r="158">
      <x:c r="A158" s="34" t="str">
        <x:v>NIPPON_STEEL_JP</x:v>
      </x:c>
      <x:c r="B158" s="34" t="str">
        <x:v>Nippon Steel</x:v>
      </x:c>
      <x:c r="C158" s="34" t="str">
        <x:v>DISCLOSED_PATH</x:v>
      </x:c>
      <x:c r="D158" s="34" t="str">
        <x:v>P3</x:v>
      </x:c>
      <x:c r="E158" s="34" t="n">
        <x:v>2032</x:v>
      </x:c>
      <x:c r="F158" s="34" t="n">
        <x:v>2</x:v>
      </x:c>
      <x:c r="G158" s="34" t="n">
        <x:v>13.679998</x:v>
      </x:c>
      <x:c r="H158" s="34" t="n">
        <x:v>14.4</x:v>
      </x:c>
      <x:c r="I158" s="34" t="n">
        <x:v>0.720002</x:v>
      </x:c>
      <x:c r="J158" s="34" t="n">
        <x:v>95</x:v>
      </x:c>
      <x:c r="K158" s="34" t="n">
        <x:v>0</x:v>
      </x:c>
      <x:c r="L158" s="34" t="n">
        <x:v>1.08</x:v>
      </x:c>
      <x:c r="M158" s="34" t="n">
        <x:v>1.08</x:v>
      </x:c>
      <x:c r="N158" s="34" t="n">
        <x:v>0</x:v>
      </x:c>
      <x:c r="O158" s="34" t="n">
        <x:v>8.511999</x:v>
      </x:c>
      <x:c r="P158" s="34" t="n">
        <x:v>10.2</x:v>
      </x:c>
      <x:c r="Q158" s="34" t="n">
        <x:v>1.688001</x:v>
      </x:c>
      <x:c r="R158" s="34" t="n">
        <x:v>83.451</x:v>
      </x:c>
      <x:c r="S158" s="40" t="b">
        <x:v>1</x:v>
      </x:c>
      <x:c r="T158" s="34" t="str">
        <x:v>model_interpolation</x:v>
      </x:c>
      <x:c r="U158" s="34" t="str">
        <x:v>Linear interpolation from 2030 to 2035</x:v>
      </x:c>
      <x:c r="V158" s="34" t="str">
        <x:v>CAND-32B1C4DEC95227</x:v>
      </x:c>
      <x:c r="W158" s="34" t="str">
        <x:v>P3</x:v>
      </x:c>
      <x:c r="X158" s="34" t="str">
        <x:v>PORT-0ACD636A8AEE</x:v>
      </x:c>
      <x:c r="Y158" s="34" t="n">
        <x:v>1000</x:v>
      </x:c>
      <x:c r="Z158" s="34" t="n">
        <x:v>57.952455</x:v>
      </x:c>
      <x:c r="AA158" s="34" t="n">
        <x:v>13.342227</x:v>
      </x:c>
      <x:c r="AB158" s="34" t="n">
        <x:v>446.878947</x:v>
      </x:c>
      <x:c r="AC158" s="34" t="n">
        <x:v>25357.995</x:v>
      </x:c>
      <x:c r="AD158" s="34" t="n">
        <x:v>56.744663</x:v>
      </x:c>
      <x:c r="AE158" s="40" t="b">
        <x:v>1</x:v>
      </x:c>
      <x:c r="AF158" s="40" t="b">
        <x:v>0</x:v>
      </x:c>
      <x:c r="AG158" s="34" t="str"/>
      <x:c r="AH158" s="34" t="n">
        <x:v>0</x:v>
      </x:c>
      <x:c r="AI158" s="34" t="str">
        <x:v>3.446647212967946e-06</x:v>
      </x:c>
      <x:c r="AJ158" s="40" t="b">
        <x:v>0</x:v>
      </x:c>
      <x:c r="AK158" s="40" t="b">
        <x:v>0</x:v>
      </x:c>
      <x:c r="AL158" s="40" t="b">
        <x:v>1</x:v>
      </x:c>
      <x:c r="AM158" s="40" t="b">
        <x:v>1</x:v>
      </x:c>
      <x:c r="AN158" s="34" t="n">
        <x:v>2034</x:v>
      </x:c>
      <x:c r="AO158" s="34" t="n">
        <x:v>3.3599990099999992</x:v>
      </x:c>
      <x:c r="AP158" s="34" t="n">
        <x:v>0</x:v>
      </x:c>
      <x:c r="AQ158" s="34" t="n">
        <x:v>0</x:v>
      </x:c>
      <x:c r="AR158" s="34" t="n">
        <x:v>2</x:v>
      </x:c>
      <x:c r="AS158" s="34" t="n">
        <x:v>2</x:v>
      </x:c>
      <x:c r="AT158" s="34" t="n">
        <x:v>0.47641018879999986</x:v>
      </x:c>
      <x:c r="AU158" s="34" t="n">
        <x:v>0.65</x:v>
      </x:c>
      <x:c r="AV158" s="34" t="n">
        <x:v>2.16</x:v>
      </x:c>
    </x:row>
    <x:row r="159">
      <x:c r="A159" s="34" t="str">
        <x:v>NIPPON_STEEL_JP</x:v>
      </x:c>
      <x:c r="B159" s="34" t="str">
        <x:v>Nippon Steel</x:v>
      </x:c>
      <x:c r="C159" s="34" t="str">
        <x:v>DISCLOSED_PATH</x:v>
      </x:c>
      <x:c r="D159" s="34" t="str">
        <x:v>P3</x:v>
      </x:c>
      <x:c r="E159" s="34" t="n">
        <x:v>2033</x:v>
      </x:c>
      <x:c r="F159" s="34" t="n">
        <x:v>2</x:v>
      </x:c>
      <x:c r="G159" s="34" t="n">
        <x:v>13.679998</x:v>
      </x:c>
      <x:c r="H159" s="34" t="n">
        <x:v>15.6</x:v>
      </x:c>
      <x:c r="I159" s="34" t="n">
        <x:v>1.920002</x:v>
      </x:c>
      <x:c r="J159" s="34" t="n">
        <x:v>87.692</x:v>
      </x:c>
      <x:c r="K159" s="34" t="n">
        <x:v>0</x:v>
      </x:c>
      <x:c r="L159" s="34" t="n">
        <x:v>1.32</x:v>
      </x:c>
      <x:c r="M159" s="34" t="n">
        <x:v>1.32</x:v>
      </x:c>
      <x:c r="N159" s="34" t="n">
        <x:v>0</x:v>
      </x:c>
      <x:c r="O159" s="34" t="n">
        <x:v>8.511999</x:v>
      </x:c>
      <x:c r="P159" s="34" t="n">
        <x:v>11.8</x:v>
      </x:c>
      <x:c r="Q159" s="34" t="n">
        <x:v>3.288001</x:v>
      </x:c>
      <x:c r="R159" s="34" t="n">
        <x:v>72.136</x:v>
      </x:c>
      <x:c r="S159" s="40" t="b">
        <x:v>1</x:v>
      </x:c>
      <x:c r="T159" s="34" t="str">
        <x:v>model_interpolation</x:v>
      </x:c>
      <x:c r="U159" s="34" t="str">
        <x:v>Linear interpolation from 2030 to 2035</x:v>
      </x:c>
      <x:c r="V159" s="34" t="str">
        <x:v>CAND-32B1C4DEC95227</x:v>
      </x:c>
      <x:c r="W159" s="34" t="str">
        <x:v>P3</x:v>
      </x:c>
      <x:c r="X159" s="34" t="str">
        <x:v>PORT-0ACD636A8AEE</x:v>
      </x:c>
      <x:c r="Y159" s="34" t="n">
        <x:v>1000</x:v>
      </x:c>
      <x:c r="Z159" s="34" t="n">
        <x:v>57.952455</x:v>
      </x:c>
      <x:c r="AA159" s="34" t="n">
        <x:v>13.342227</x:v>
      </x:c>
      <x:c r="AB159" s="34" t="n">
        <x:v>446.878947</x:v>
      </x:c>
      <x:c r="AC159" s="34" t="n">
        <x:v>25357.995</x:v>
      </x:c>
      <x:c r="AD159" s="34" t="n">
        <x:v>56.744663</x:v>
      </x:c>
      <x:c r="AE159" s="40" t="b">
        <x:v>1</x:v>
      </x:c>
      <x:c r="AF159" s="40" t="b">
        <x:v>0</x:v>
      </x:c>
      <x:c r="AG159" s="34" t="str"/>
      <x:c r="AH159" s="34" t="n">
        <x:v>0</x:v>
      </x:c>
      <x:c r="AI159" s="34" t="str">
        <x:v>3.446647212967946e-06</x:v>
      </x:c>
      <x:c r="AJ159" s="40" t="b">
        <x:v>0</x:v>
      </x:c>
      <x:c r="AK159" s="40" t="b">
        <x:v>0</x:v>
      </x:c>
      <x:c r="AL159" s="40" t="b">
        <x:v>1</x:v>
      </x:c>
      <x:c r="AM159" s="40" t="b">
        <x:v>1</x:v>
      </x:c>
      <x:c r="AN159" s="34" t="n">
        <x:v>2034</x:v>
      </x:c>
      <x:c r="AO159" s="34" t="n">
        <x:v>3.3599990099999992</x:v>
      </x:c>
      <x:c r="AP159" s="34" t="n">
        <x:v>0</x:v>
      </x:c>
      <x:c r="AQ159" s="34" t="n">
        <x:v>0</x:v>
      </x:c>
      <x:c r="AR159" s="34" t="n">
        <x:v>2</x:v>
      </x:c>
      <x:c r="AS159" s="34" t="n">
        <x:v>2</x:v>
      </x:c>
      <x:c r="AT159" s="34" t="n">
        <x:v>0.47641018879999986</x:v>
      </x:c>
      <x:c r="AU159" s="34" t="n">
        <x:v>0.65</x:v>
      </x:c>
      <x:c r="AV159" s="34" t="n">
        <x:v>2.16</x:v>
      </x:c>
    </x:row>
    <x:row r="160">
      <x:c r="A160" s="34" t="str">
        <x:v>NIPPON_STEEL_JP</x:v>
      </x:c>
      <x:c r="B160" s="34" t="str">
        <x:v>Nippon Steel</x:v>
      </x:c>
      <x:c r="C160" s="34" t="str">
        <x:v>DISCLOSED_PATH</x:v>
      </x:c>
      <x:c r="D160" s="34" t="str">
        <x:v>P3</x:v>
      </x:c>
      <x:c r="E160" s="34" t="n">
        <x:v>2034</x:v>
      </x:c>
      <x:c r="F160" s="34" t="n">
        <x:v>3</x:v>
      </x:c>
      <x:c r="G160" s="34" t="n">
        <x:v>20.159999</x:v>
      </x:c>
      <x:c r="H160" s="34" t="n">
        <x:v>16.8</x:v>
      </x:c>
      <x:c r="I160" s="34" t="n">
        <x:v>-3.359999</x:v>
      </x:c>
      <x:c r="J160" s="34" t="n">
        <x:v>120</x:v>
      </x:c>
      <x:c r="K160" s="34" t="n">
        <x:v>0</x:v>
      </x:c>
      <x:c r="L160" s="34" t="n">
        <x:v>1.56</x:v>
      </x:c>
      <x:c r="M160" s="34" t="n">
        <x:v>1.56</x:v>
      </x:c>
      <x:c r="N160" s="34" t="n">
        <x:v>0</x:v>
      </x:c>
      <x:c r="O160" s="34" t="n">
        <x:v>12.543999</x:v>
      </x:c>
      <x:c r="P160" s="34" t="n">
        <x:v>13.4</x:v>
      </x:c>
      <x:c r="Q160" s="34" t="n">
        <x:v>0.856001</x:v>
      </x:c>
      <x:c r="R160" s="34" t="n">
        <x:v>93.612</x:v>
      </x:c>
      <x:c r="S160" s="40" t="b">
        <x:v>0</x:v>
      </x:c>
      <x:c r="T160" s="34" t="str">
        <x:v>model_interpolation</x:v>
      </x:c>
      <x:c r="U160" s="34" t="str">
        <x:v>Linear interpolation from 2030 to 2035</x:v>
      </x:c>
      <x:c r="V160" s="34" t="str">
        <x:v>CAND-32B1C4DEC95227</x:v>
      </x:c>
      <x:c r="W160" s="34" t="str">
        <x:v>P3</x:v>
      </x:c>
      <x:c r="X160" s="34" t="str">
        <x:v>PORT-0ACD636A8AEE</x:v>
      </x:c>
      <x:c r="Y160" s="34" t="n">
        <x:v>1000</x:v>
      </x:c>
      <x:c r="Z160" s="34" t="n">
        <x:v>57.952455</x:v>
      </x:c>
      <x:c r="AA160" s="34" t="n">
        <x:v>13.342227</x:v>
      </x:c>
      <x:c r="AB160" s="34" t="n">
        <x:v>446.878947</x:v>
      </x:c>
      <x:c r="AC160" s="34" t="n">
        <x:v>25357.995</x:v>
      </x:c>
      <x:c r="AD160" s="34" t="n">
        <x:v>56.744663</x:v>
      </x:c>
      <x:c r="AE160" s="40" t="b">
        <x:v>1</x:v>
      </x:c>
      <x:c r="AF160" s="40" t="b">
        <x:v>0</x:v>
      </x:c>
      <x:c r="AG160" s="34" t="str"/>
      <x:c r="AH160" s="34" t="n">
        <x:v>0</x:v>
      </x:c>
      <x:c r="AI160" s="34" t="str">
        <x:v>3.446647212967946e-06</x:v>
      </x:c>
      <x:c r="AJ160" s="40" t="b">
        <x:v>0</x:v>
      </x:c>
      <x:c r="AK160" s="40" t="b">
        <x:v>0</x:v>
      </x:c>
      <x:c r="AL160" s="40" t="b">
        <x:v>1</x:v>
      </x:c>
      <x:c r="AM160" s="40" t="b">
        <x:v>1</x:v>
      </x:c>
      <x:c r="AN160" s="34" t="n">
        <x:v>2034</x:v>
      </x:c>
      <x:c r="AO160" s="34" t="n">
        <x:v>3.3599990099999992</x:v>
      </x:c>
      <x:c r="AP160" s="34" t="n">
        <x:v>0</x:v>
      </x:c>
      <x:c r="AQ160" s="34" t="n">
        <x:v>0</x:v>
      </x:c>
      <x:c r="AR160" s="34" t="n">
        <x:v>2</x:v>
      </x:c>
      <x:c r="AS160" s="34" t="n">
        <x:v>2</x:v>
      </x:c>
      <x:c r="AT160" s="34" t="n">
        <x:v>0.47641018879999986</x:v>
      </x:c>
      <x:c r="AU160" s="34" t="n">
        <x:v>0.65</x:v>
      </x:c>
      <x:c r="AV160" s="34" t="n">
        <x:v>2.16</x:v>
      </x:c>
    </x:row>
    <x:row r="161">
      <x:c r="A161" s="34" t="str">
        <x:v>NIPPON_STEEL_JP</x:v>
      </x:c>
      <x:c r="B161" s="34" t="str">
        <x:v>Nippon Steel</x:v>
      </x:c>
      <x:c r="C161" s="34" t="str">
        <x:v>DISCLOSED_PATH</x:v>
      </x:c>
      <x:c r="D161" s="34" t="str">
        <x:v>P3</x:v>
      </x:c>
      <x:c r="E161" s="34" t="n">
        <x:v>2035</x:v>
      </x:c>
      <x:c r="F161" s="34" t="n">
        <x:v>3</x:v>
      </x:c>
      <x:c r="G161" s="34" t="n">
        <x:v>20.159999</x:v>
      </x:c>
      <x:c r="H161" s="34" t="n">
        <x:v>18</x:v>
      </x:c>
      <x:c r="I161" s="34" t="n">
        <x:v>-2.159999</x:v>
      </x:c>
      <x:c r="J161" s="34" t="n">
        <x:v>112</x:v>
      </x:c>
      <x:c r="K161" s="34" t="n">
        <x:v>0</x:v>
      </x:c>
      <x:c r="L161" s="34" t="n">
        <x:v>1.8</x:v>
      </x:c>
      <x:c r="M161" s="34" t="n">
        <x:v>1.8</x:v>
      </x:c>
      <x:c r="N161" s="34" t="n">
        <x:v>0</x:v>
      </x:c>
      <x:c r="O161" s="34" t="n">
        <x:v>12.543999</x:v>
      </x:c>
      <x:c r="P161" s="34" t="n">
        <x:v>15</x:v>
      </x:c>
      <x:c r="Q161" s="34" t="n">
        <x:v>2.456001</x:v>
      </x:c>
      <x:c r="R161" s="34" t="n">
        <x:v>83.627</x:v>
      </x:c>
      <x:c r="S161" s="40" t="b">
        <x:v>0</x:v>
      </x:c>
      <x:c r="T161" s="34" t="str">
        <x:v>model_interpolation</x:v>
      </x:c>
      <x:c r="U161" s="34" t="str">
        <x:v>Linear interpolation from 2035 to 2040</x:v>
      </x:c>
      <x:c r="V161" s="34" t="str">
        <x:v>CAND-32B1C4DEC95227</x:v>
      </x:c>
      <x:c r="W161" s="34" t="str">
        <x:v>P3</x:v>
      </x:c>
      <x:c r="X161" s="34" t="str">
        <x:v>PORT-0ACD636A8AEE</x:v>
      </x:c>
      <x:c r="Y161" s="34" t="n">
        <x:v>1000</x:v>
      </x:c>
      <x:c r="Z161" s="34" t="n">
        <x:v>57.952455</x:v>
      </x:c>
      <x:c r="AA161" s="34" t="n">
        <x:v>13.342227</x:v>
      </x:c>
      <x:c r="AB161" s="34" t="n">
        <x:v>446.878947</x:v>
      </x:c>
      <x:c r="AC161" s="34" t="n">
        <x:v>25357.995</x:v>
      </x:c>
      <x:c r="AD161" s="34" t="n">
        <x:v>56.744663</x:v>
      </x:c>
      <x:c r="AE161" s="40" t="b">
        <x:v>1</x:v>
      </x:c>
      <x:c r="AF161" s="40" t="b">
        <x:v>0</x:v>
      </x:c>
      <x:c r="AG161" s="34" t="str"/>
      <x:c r="AH161" s="34" t="n">
        <x:v>0</x:v>
      </x:c>
      <x:c r="AI161" s="34" t="str">
        <x:v>3.446647212967946e-06</x:v>
      </x:c>
      <x:c r="AJ161" s="40" t="b">
        <x:v>0</x:v>
      </x:c>
      <x:c r="AK161" s="40" t="b">
        <x:v>0</x:v>
      </x:c>
      <x:c r="AL161" s="40" t="b">
        <x:v>1</x:v>
      </x:c>
      <x:c r="AM161" s="40" t="b">
        <x:v>1</x:v>
      </x:c>
      <x:c r="AN161" s="34" t="n">
        <x:v>2034</x:v>
      </x:c>
      <x:c r="AO161" s="34" t="n">
        <x:v>3.3599990099999992</x:v>
      </x:c>
      <x:c r="AP161" s="34" t="n">
        <x:v>0</x:v>
      </x:c>
      <x:c r="AQ161" s="34" t="n">
        <x:v>0</x:v>
      </x:c>
      <x:c r="AR161" s="34" t="n">
        <x:v>2</x:v>
      </x:c>
      <x:c r="AS161" s="34" t="n">
        <x:v>2</x:v>
      </x:c>
      <x:c r="AT161" s="34" t="n">
        <x:v>0.47641018879999986</x:v>
      </x:c>
      <x:c r="AU161" s="34" t="n">
        <x:v>0.65</x:v>
      </x:c>
      <x:c r="AV161" s="34" t="n">
        <x:v>2.16</x:v>
      </x:c>
    </x:row>
    <x:row r="162">
      <x:c r="A162" s="34" t="str">
        <x:v>NIPPON_STEEL_JP</x:v>
      </x:c>
      <x:c r="B162" s="34" t="str">
        <x:v>Nippon Steel</x:v>
      </x:c>
      <x:c r="C162" s="34" t="str">
        <x:v>DISCLOSED_PATH</x:v>
      </x:c>
      <x:c r="D162" s="34" t="str">
        <x:v>P3</x:v>
      </x:c>
      <x:c r="E162" s="34" t="n">
        <x:v>2036</x:v>
      </x:c>
      <x:c r="F162" s="34" t="n">
        <x:v>4</x:v>
      </x:c>
      <x:c r="G162" s="34" t="n">
        <x:v>20.999999</x:v>
      </x:c>
      <x:c r="H162" s="34" t="n">
        <x:v>19.4</x:v>
      </x:c>
      <x:c r="I162" s="34" t="n">
        <x:v>-1.599999</x:v>
      </x:c>
      <x:c r="J162" s="34" t="n">
        <x:v>108.247</x:v>
      </x:c>
      <x:c r="K162" s="34" t="n">
        <x:v>0.308</x:v>
      </x:c>
      <x:c r="L162" s="34" t="n">
        <x:v>2.08</x:v>
      </x:c>
      <x:c r="M162" s="34" t="n">
        <x:v>1.772</x:v>
      </x:c>
      <x:c r="N162" s="34" t="n">
        <x:v>14.808</x:v>
      </x:c>
      <x:c r="O162" s="34" t="n">
        <x:v>15.12</x:v>
      </x:c>
      <x:c r="P162" s="34" t="n">
        <x:v>17</x:v>
      </x:c>
      <x:c r="Q162" s="34" t="n">
        <x:v>1.88</x:v>
      </x:c>
      <x:c r="R162" s="34" t="n">
        <x:v>88.941</x:v>
      </x:c>
      <x:c r="S162" s="40" t="b">
        <x:v>0</x:v>
      </x:c>
      <x:c r="T162" s="34" t="str">
        <x:v>model_interpolation</x:v>
      </x:c>
      <x:c r="U162" s="34" t="str">
        <x:v>Linear interpolation from 2035 to 2040</x:v>
      </x:c>
      <x:c r="V162" s="34" t="str">
        <x:v>CAND-32B1C4DEC95227</x:v>
      </x:c>
      <x:c r="W162" s="34" t="str">
        <x:v>P3</x:v>
      </x:c>
      <x:c r="X162" s="34" t="str">
        <x:v>PORT-0ACD636A8AEE</x:v>
      </x:c>
      <x:c r="Y162" s="34" t="n">
        <x:v>1000</x:v>
      </x:c>
      <x:c r="Z162" s="34" t="n">
        <x:v>57.952455</x:v>
      </x:c>
      <x:c r="AA162" s="34" t="n">
        <x:v>13.342227</x:v>
      </x:c>
      <x:c r="AB162" s="34" t="n">
        <x:v>446.878947</x:v>
      </x:c>
      <x:c r="AC162" s="34" t="n">
        <x:v>25357.995</x:v>
      </x:c>
      <x:c r="AD162" s="34" t="n">
        <x:v>56.744663</x:v>
      </x:c>
      <x:c r="AE162" s="40" t="b">
        <x:v>1</x:v>
      </x:c>
      <x:c r="AF162" s="40" t="b">
        <x:v>0</x:v>
      </x:c>
      <x:c r="AG162" s="34" t="str"/>
      <x:c r="AH162" s="34" t="n">
        <x:v>0</x:v>
      </x:c>
      <x:c r="AI162" s="34" t="str">
        <x:v>3.446647212967946e-06</x:v>
      </x:c>
      <x:c r="AJ162" s="40" t="b">
        <x:v>0</x:v>
      </x:c>
      <x:c r="AK162" s="40" t="b">
        <x:v>0</x:v>
      </x:c>
      <x:c r="AL162" s="40" t="b">
        <x:v>1</x:v>
      </x:c>
      <x:c r="AM162" s="40" t="b">
        <x:v>1</x:v>
      </x:c>
      <x:c r="AN162" s="34" t="n">
        <x:v>2034</x:v>
      </x:c>
      <x:c r="AO162" s="34" t="n">
        <x:v>3.3599990099999992</x:v>
      </x:c>
      <x:c r="AP162" s="34" t="n">
        <x:v>0</x:v>
      </x:c>
      <x:c r="AQ162" s="34" t="n">
        <x:v>0</x:v>
      </x:c>
      <x:c r="AR162" s="34" t="n">
        <x:v>2</x:v>
      </x:c>
      <x:c r="AS162" s="34" t="n">
        <x:v>2</x:v>
      </x:c>
      <x:c r="AT162" s="34" t="n">
        <x:v>0.47641018879999986</x:v>
      </x:c>
      <x:c r="AU162" s="34" t="n">
        <x:v>0.65</x:v>
      </x:c>
      <x:c r="AV162" s="34" t="n">
        <x:v>2.16</x:v>
      </x:c>
    </x:row>
    <x:row r="163">
      <x:c r="A163" s="34" t="str">
        <x:v>NIPPON_STEEL_JP</x:v>
      </x:c>
      <x:c r="B163" s="34" t="str">
        <x:v>Nippon Steel</x:v>
      </x:c>
      <x:c r="C163" s="34" t="str">
        <x:v>DISCLOSED_PATH</x:v>
      </x:c>
      <x:c r="D163" s="34" t="str">
        <x:v>P3</x:v>
      </x:c>
      <x:c r="E163" s="34" t="n">
        <x:v>2037</x:v>
      </x:c>
      <x:c r="F163" s="34" t="n">
        <x:v>4</x:v>
      </x:c>
      <x:c r="G163" s="34" t="n">
        <x:v>20.999999</x:v>
      </x:c>
      <x:c r="H163" s="34" t="n">
        <x:v>20.8</x:v>
      </x:c>
      <x:c r="I163" s="34" t="n">
        <x:v>-0.199999</x:v>
      </x:c>
      <x:c r="J163" s="34" t="n">
        <x:v>100.962</x:v>
      </x:c>
      <x:c r="K163" s="34" t="n">
        <x:v>0.308</x:v>
      </x:c>
      <x:c r="L163" s="34" t="n">
        <x:v>2.3600000000000003</x:v>
      </x:c>
      <x:c r="M163" s="34" t="n">
        <x:v>2.052</x:v>
      </x:c>
      <x:c r="N163" s="34" t="n">
        <x:v>13.051</x:v>
      </x:c>
      <x:c r="O163" s="34" t="n">
        <x:v>15.12</x:v>
      </x:c>
      <x:c r="P163" s="34" t="n">
        <x:v>19</x:v>
      </x:c>
      <x:c r="Q163" s="34" t="n">
        <x:v>3.88</x:v>
      </x:c>
      <x:c r="R163" s="34" t="n">
        <x:v>79.579</x:v>
      </x:c>
      <x:c r="S163" s="40" t="b">
        <x:v>0</x:v>
      </x:c>
      <x:c r="T163" s="34" t="str">
        <x:v>model_interpolation</x:v>
      </x:c>
      <x:c r="U163" s="34" t="str">
        <x:v>Linear interpolation from 2035 to 2040</x:v>
      </x:c>
      <x:c r="V163" s="34" t="str">
        <x:v>CAND-32B1C4DEC95227</x:v>
      </x:c>
      <x:c r="W163" s="34" t="str">
        <x:v>P3</x:v>
      </x:c>
      <x:c r="X163" s="34" t="str">
        <x:v>PORT-0ACD636A8AEE</x:v>
      </x:c>
      <x:c r="Y163" s="34" t="n">
        <x:v>1000</x:v>
      </x:c>
      <x:c r="Z163" s="34" t="n">
        <x:v>57.952455</x:v>
      </x:c>
      <x:c r="AA163" s="34" t="n">
        <x:v>13.342227</x:v>
      </x:c>
      <x:c r="AB163" s="34" t="n">
        <x:v>446.878947</x:v>
      </x:c>
      <x:c r="AC163" s="34" t="n">
        <x:v>25357.995</x:v>
      </x:c>
      <x:c r="AD163" s="34" t="n">
        <x:v>56.744663</x:v>
      </x:c>
      <x:c r="AE163" s="40" t="b">
        <x:v>1</x:v>
      </x:c>
      <x:c r="AF163" s="40" t="b">
        <x:v>0</x:v>
      </x:c>
      <x:c r="AG163" s="34" t="str"/>
      <x:c r="AH163" s="34" t="n">
        <x:v>0</x:v>
      </x:c>
      <x:c r="AI163" s="34" t="str">
        <x:v>3.446647212967946e-06</x:v>
      </x:c>
      <x:c r="AJ163" s="40" t="b">
        <x:v>0</x:v>
      </x:c>
      <x:c r="AK163" s="40" t="b">
        <x:v>0</x:v>
      </x:c>
      <x:c r="AL163" s="40" t="b">
        <x:v>1</x:v>
      </x:c>
      <x:c r="AM163" s="40" t="b">
        <x:v>1</x:v>
      </x:c>
      <x:c r="AN163" s="34" t="n">
        <x:v>2034</x:v>
      </x:c>
      <x:c r="AO163" s="34" t="n">
        <x:v>3.3599990099999992</x:v>
      </x:c>
      <x:c r="AP163" s="34" t="n">
        <x:v>0</x:v>
      </x:c>
      <x:c r="AQ163" s="34" t="n">
        <x:v>0</x:v>
      </x:c>
      <x:c r="AR163" s="34" t="n">
        <x:v>2</x:v>
      </x:c>
      <x:c r="AS163" s="34" t="n">
        <x:v>2</x:v>
      </x:c>
      <x:c r="AT163" s="34" t="n">
        <x:v>0.47641018879999986</x:v>
      </x:c>
      <x:c r="AU163" s="34" t="n">
        <x:v>0.65</x:v>
      </x:c>
      <x:c r="AV163" s="34" t="n">
        <x:v>2.16</x:v>
      </x:c>
    </x:row>
    <x:row r="164">
      <x:c r="A164" s="34" t="str">
        <x:v>NIPPON_STEEL_JP</x:v>
      </x:c>
      <x:c r="B164" s="34" t="str">
        <x:v>Nippon Steel</x:v>
      </x:c>
      <x:c r="C164" s="34" t="str">
        <x:v>DISCLOSED_PATH</x:v>
      </x:c>
      <x:c r="D164" s="34" t="str">
        <x:v>P3</x:v>
      </x:c>
      <x:c r="E164" s="34" t="n">
        <x:v>2038</x:v>
      </x:c>
      <x:c r="F164" s="34" t="n">
        <x:v>5</x:v>
      </x:c>
      <x:c r="G164" s="34" t="n">
        <x:v>21.944999</x:v>
      </x:c>
      <x:c r="H164" s="34" t="n">
        <x:v>22.2</x:v>
      </x:c>
      <x:c r="I164" s="34" t="n">
        <x:v>0.255001</x:v>
      </x:c>
      <x:c r="J164" s="34" t="n">
        <x:v>98.851</x:v>
      </x:c>
      <x:c r="K164" s="34" t="n">
        <x:v>0.6545</x:v>
      </x:c>
      <x:c r="L164" s="34" t="n">
        <x:v>2.64</x:v>
      </x:c>
      <x:c r="M164" s="34" t="n">
        <x:v>1.9855</x:v>
      </x:c>
      <x:c r="N164" s="34" t="n">
        <x:v>24.792</x:v>
      </x:c>
      <x:c r="O164" s="34" t="n">
        <x:v>18.018</x:v>
      </x:c>
      <x:c r="P164" s="34" t="n">
        <x:v>21</x:v>
      </x:c>
      <x:c r="Q164" s="34" t="n">
        <x:v>2.982</x:v>
      </x:c>
      <x:c r="R164" s="34" t="n">
        <x:v>85.8</x:v>
      </x:c>
      <x:c r="S164" s="40" t="b">
        <x:v>1</x:v>
      </x:c>
      <x:c r="T164" s="34" t="str">
        <x:v>model_interpolation</x:v>
      </x:c>
      <x:c r="U164" s="34" t="str">
        <x:v>Linear interpolation from 2035 to 2040</x:v>
      </x:c>
      <x:c r="V164" s="34" t="str">
        <x:v>CAND-32B1C4DEC95227</x:v>
      </x:c>
      <x:c r="W164" s="34" t="str">
        <x:v>P3</x:v>
      </x:c>
      <x:c r="X164" s="34" t="str">
        <x:v>PORT-0ACD636A8AEE</x:v>
      </x:c>
      <x:c r="Y164" s="34" t="n">
        <x:v>1000</x:v>
      </x:c>
      <x:c r="Z164" s="34" t="n">
        <x:v>57.952455</x:v>
      </x:c>
      <x:c r="AA164" s="34" t="n">
        <x:v>13.342227</x:v>
      </x:c>
      <x:c r="AB164" s="34" t="n">
        <x:v>446.878947</x:v>
      </x:c>
      <x:c r="AC164" s="34" t="n">
        <x:v>25357.995</x:v>
      </x:c>
      <x:c r="AD164" s="34" t="n">
        <x:v>56.744663</x:v>
      </x:c>
      <x:c r="AE164" s="40" t="b">
        <x:v>1</x:v>
      </x:c>
      <x:c r="AF164" s="40" t="b">
        <x:v>0</x:v>
      </x:c>
      <x:c r="AG164" s="34" t="str"/>
      <x:c r="AH164" s="34" t="n">
        <x:v>0</x:v>
      </x:c>
      <x:c r="AI164" s="34" t="str">
        <x:v>3.446647212967946e-06</x:v>
      </x:c>
      <x:c r="AJ164" s="40" t="b">
        <x:v>0</x:v>
      </x:c>
      <x:c r="AK164" s="40" t="b">
        <x:v>0</x:v>
      </x:c>
      <x:c r="AL164" s="40" t="b">
        <x:v>1</x:v>
      </x:c>
      <x:c r="AM164" s="40" t="b">
        <x:v>1</x:v>
      </x:c>
      <x:c r="AN164" s="34" t="n">
        <x:v>2034</x:v>
      </x:c>
      <x:c r="AO164" s="34" t="n">
        <x:v>3.3599990099999992</x:v>
      </x:c>
      <x:c r="AP164" s="34" t="n">
        <x:v>0</x:v>
      </x:c>
      <x:c r="AQ164" s="34" t="n">
        <x:v>0</x:v>
      </x:c>
      <x:c r="AR164" s="34" t="n">
        <x:v>2</x:v>
      </x:c>
      <x:c r="AS164" s="34" t="n">
        <x:v>2</x:v>
      </x:c>
      <x:c r="AT164" s="34" t="n">
        <x:v>0.47641018879999986</x:v>
      </x:c>
      <x:c r="AU164" s="34" t="n">
        <x:v>0.65</x:v>
      </x:c>
      <x:c r="AV164" s="34" t="n">
        <x:v>2.16</x:v>
      </x:c>
    </x:row>
    <x:row r="165">
      <x:c r="A165" s="34" t="str">
        <x:v>NIPPON_STEEL_JP</x:v>
      </x:c>
      <x:c r="B165" s="34" t="str">
        <x:v>Nippon Steel</x:v>
      </x:c>
      <x:c r="C165" s="34" t="str">
        <x:v>DISCLOSED_PATH</x:v>
      </x:c>
      <x:c r="D165" s="34" t="str">
        <x:v>P3</x:v>
      </x:c>
      <x:c r="E165" s="34" t="n">
        <x:v>2039</x:v>
      </x:c>
      <x:c r="F165" s="34" t="n">
        <x:v>5</x:v>
      </x:c>
      <x:c r="G165" s="34" t="n">
        <x:v>21.944999</x:v>
      </x:c>
      <x:c r="H165" s="34" t="n">
        <x:v>23.6</x:v>
      </x:c>
      <x:c r="I165" s="34" t="n">
        <x:v>1.655001</x:v>
      </x:c>
      <x:c r="J165" s="34" t="n">
        <x:v>92.987</x:v>
      </x:c>
      <x:c r="K165" s="34" t="n">
        <x:v>0.6545</x:v>
      </x:c>
      <x:c r="L165" s="34" t="n">
        <x:v>2.92</x:v>
      </x:c>
      <x:c r="M165" s="34" t="n">
        <x:v>2.2655</x:v>
      </x:c>
      <x:c r="N165" s="34" t="n">
        <x:v>22.414</x:v>
      </x:c>
      <x:c r="O165" s="34" t="n">
        <x:v>18.018</x:v>
      </x:c>
      <x:c r="P165" s="34" t="n">
        <x:v>23</x:v>
      </x:c>
      <x:c r="Q165" s="34" t="n">
        <x:v>4.982</x:v>
      </x:c>
      <x:c r="R165" s="34" t="n">
        <x:v>78.339</x:v>
      </x:c>
      <x:c r="S165" s="40" t="b">
        <x:v>1</x:v>
      </x:c>
      <x:c r="T165" s="34" t="str">
        <x:v>model_interpolation</x:v>
      </x:c>
      <x:c r="U165" s="34" t="str">
        <x:v>Linear interpolation from 2035 to 2040</x:v>
      </x:c>
      <x:c r="V165" s="34" t="str">
        <x:v>CAND-32B1C4DEC95227</x:v>
      </x:c>
      <x:c r="W165" s="34" t="str">
        <x:v>P3</x:v>
      </x:c>
      <x:c r="X165" s="34" t="str">
        <x:v>PORT-0ACD636A8AEE</x:v>
      </x:c>
      <x:c r="Y165" s="34" t="n">
        <x:v>1000</x:v>
      </x:c>
      <x:c r="Z165" s="34" t="n">
        <x:v>57.952455</x:v>
      </x:c>
      <x:c r="AA165" s="34" t="n">
        <x:v>13.342227</x:v>
      </x:c>
      <x:c r="AB165" s="34" t="n">
        <x:v>446.878947</x:v>
      </x:c>
      <x:c r="AC165" s="34" t="n">
        <x:v>25357.995</x:v>
      </x:c>
      <x:c r="AD165" s="34" t="n">
        <x:v>56.744663</x:v>
      </x:c>
      <x:c r="AE165" s="40" t="b">
        <x:v>1</x:v>
      </x:c>
      <x:c r="AF165" s="40" t="b">
        <x:v>0</x:v>
      </x:c>
      <x:c r="AG165" s="34" t="str"/>
      <x:c r="AH165" s="34" t="n">
        <x:v>0</x:v>
      </x:c>
      <x:c r="AI165" s="34" t="str">
        <x:v>3.446647212967946e-06</x:v>
      </x:c>
      <x:c r="AJ165" s="40" t="b">
        <x:v>0</x:v>
      </x:c>
      <x:c r="AK165" s="40" t="b">
        <x:v>0</x:v>
      </x:c>
      <x:c r="AL165" s="40" t="b">
        <x:v>1</x:v>
      </x:c>
      <x:c r="AM165" s="40" t="b">
        <x:v>1</x:v>
      </x:c>
      <x:c r="AN165" s="34" t="n">
        <x:v>2034</x:v>
      </x:c>
      <x:c r="AO165" s="34" t="n">
        <x:v>3.3599990099999992</x:v>
      </x:c>
      <x:c r="AP165" s="34" t="n">
        <x:v>0</x:v>
      </x:c>
      <x:c r="AQ165" s="34" t="n">
        <x:v>0</x:v>
      </x:c>
      <x:c r="AR165" s="34" t="n">
        <x:v>2</x:v>
      </x:c>
      <x:c r="AS165" s="34" t="n">
        <x:v>2</x:v>
      </x:c>
      <x:c r="AT165" s="34" t="n">
        <x:v>0.47641018879999986</x:v>
      </x:c>
      <x:c r="AU165" s="34" t="n">
        <x:v>0.65</x:v>
      </x:c>
      <x:c r="AV165" s="34" t="n">
        <x:v>2.16</x:v>
      </x:c>
    </x:row>
    <x:row r="166">
      <x:c r="A166" s="34" t="str">
        <x:v>NIPPON_STEEL_JP</x:v>
      </x:c>
      <x:c r="B166" s="34" t="str">
        <x:v>Nippon Steel</x:v>
      </x:c>
      <x:c r="C166" s="34" t="str">
        <x:v>DISCLOSED_PATH</x:v>
      </x:c>
      <x:c r="D166" s="34" t="str">
        <x:v>P3</x:v>
      </x:c>
      <x:c r="E166" s="34" t="n">
        <x:v>2040</x:v>
      </x:c>
      <x:c r="F166" s="34" t="n">
        <x:v>5</x:v>
      </x:c>
      <x:c r="G166" s="34" t="n">
        <x:v>21.944999</x:v>
      </x:c>
      <x:c r="H166" s="34" t="n">
        <x:v>25</x:v>
      </x:c>
      <x:c r="I166" s="34" t="n">
        <x:v>3.055001</x:v>
      </x:c>
      <x:c r="J166" s="34" t="n">
        <x:v>87.78</x:v>
      </x:c>
      <x:c r="K166" s="34" t="n">
        <x:v>0.6545</x:v>
      </x:c>
      <x:c r="L166" s="34" t="n">
        <x:v>3.2</x:v>
      </x:c>
      <x:c r="M166" s="34" t="n">
        <x:v>2.5455</x:v>
      </x:c>
      <x:c r="N166" s="34" t="n">
        <x:v>20.453</x:v>
      </x:c>
      <x:c r="O166" s="34" t="n">
        <x:v>18.018</x:v>
      </x:c>
      <x:c r="P166" s="34" t="n">
        <x:v>25</x:v>
      </x:c>
      <x:c r="Q166" s="34" t="n">
        <x:v>6.982</x:v>
      </x:c>
      <x:c r="R166" s="34" t="n">
        <x:v>72.072</x:v>
      </x:c>
      <x:c r="S166" s="40" t="b">
        <x:v>1</x:v>
      </x:c>
      <x:c r="T166" s="34" t="str">
        <x:v>model_estimate</x:v>
      </x:c>
      <x:c r="U166" s="34" t="str">
        <x:v>Illustrative screening envelope; not an official supply forecast</x:v>
      </x:c>
      <x:c r="V166" s="34" t="str">
        <x:v>CAND-32B1C4DEC95227</x:v>
      </x:c>
      <x:c r="W166" s="34" t="str">
        <x:v>P3</x:v>
      </x:c>
      <x:c r="X166" s="34" t="str">
        <x:v>PORT-0ACD636A8AEE</x:v>
      </x:c>
      <x:c r="Y166" s="34" t="n">
        <x:v>1000</x:v>
      </x:c>
      <x:c r="Z166" s="34" t="n">
        <x:v>57.952455</x:v>
      </x:c>
      <x:c r="AA166" s="34" t="n">
        <x:v>13.342227</x:v>
      </x:c>
      <x:c r="AB166" s="34" t="n">
        <x:v>446.878947</x:v>
      </x:c>
      <x:c r="AC166" s="34" t="n">
        <x:v>25357.995</x:v>
      </x:c>
      <x:c r="AD166" s="34" t="n">
        <x:v>56.744663</x:v>
      </x:c>
      <x:c r="AE166" s="40" t="b">
        <x:v>1</x:v>
      </x:c>
      <x:c r="AF166" s="40" t="b">
        <x:v>0</x:v>
      </x:c>
      <x:c r="AG166" s="34" t="str"/>
      <x:c r="AH166" s="34" t="n">
        <x:v>0</x:v>
      </x:c>
      <x:c r="AI166" s="34" t="str">
        <x:v>3.446647212967946e-06</x:v>
      </x:c>
      <x:c r="AJ166" s="40" t="b">
        <x:v>0</x:v>
      </x:c>
      <x:c r="AK166" s="40" t="b">
        <x:v>0</x:v>
      </x:c>
      <x:c r="AL166" s="40" t="b">
        <x:v>1</x:v>
      </x:c>
      <x:c r="AM166" s="40" t="b">
        <x:v>1</x:v>
      </x:c>
      <x:c r="AN166" s="34" t="n">
        <x:v>2034</x:v>
      </x:c>
      <x:c r="AO166" s="34" t="n">
        <x:v>3.3599990099999992</x:v>
      </x:c>
      <x:c r="AP166" s="34" t="n">
        <x:v>0</x:v>
      </x:c>
      <x:c r="AQ166" s="34" t="n">
        <x:v>0</x:v>
      </x:c>
      <x:c r="AR166" s="34" t="n">
        <x:v>2</x:v>
      </x:c>
      <x:c r="AS166" s="34" t="n">
        <x:v>2</x:v>
      </x:c>
      <x:c r="AT166" s="34" t="n">
        <x:v>0.47641018879999986</x:v>
      </x:c>
      <x:c r="AU166" s="34" t="n">
        <x:v>0.65</x:v>
      </x:c>
      <x:c r="AV166" s="34" t="n">
        <x:v>2.16</x:v>
      </x:c>
    </x:row>
    <x:row r="167">
      <x:c r="A167" s="34" t="str">
        <x:v>NIPPON_STEEL_JP</x:v>
      </x:c>
      <x:c r="B167" s="34" t="str">
        <x:v>Nippon Steel</x:v>
      </x:c>
      <x:c r="C167" s="34" t="str">
        <x:v>ACCELERATED_15C</x:v>
      </x:c>
      <x:c r="D167" s="34" t="str">
        <x:v>P3</x:v>
      </x:c>
      <x:c r="E167" s="34" t="n">
        <x:v>2026</x:v>
      </x:c>
      <x:c r="F167" s="34" t="n">
        <x:v>0</x:v>
      </x:c>
      <x:c r="G167" s="34" t="n">
        <x:v>0</x:v>
      </x:c>
      <x:c r="H167" s="34" t="n">
        <x:v>8</x:v>
      </x:c>
      <x:c r="I167" s="34" t="n">
        <x:v>8</x:v>
      </x:c>
      <x:c r="J167" s="34" t="n">
        <x:v>0</x:v>
      </x:c>
      <x:c r="K167" s="34" t="n">
        <x:v>0</x:v>
      </x:c>
      <x:c r="L167" s="34" t="n">
        <x:v>0.1</x:v>
      </x:c>
      <x:c r="M167" s="34" t="n">
        <x:v>0.1</x:v>
      </x:c>
      <x:c r="N167" s="34" t="n">
        <x:v>0</x:v>
      </x:c>
      <x:c r="O167" s="34" t="n">
        <x:v>0</x:v>
      </x:c>
      <x:c r="P167" s="34" t="n">
        <x:v>2</x:v>
      </x:c>
      <x:c r="Q167" s="34" t="n">
        <x:v>2</x:v>
      </x:c>
      <x:c r="R167" s="34" t="n">
        <x:v>0</x:v>
      </x:c>
      <x:c r="S167" s="40" t="b">
        <x:v>1</x:v>
      </x:c>
      <x:c r="T167" s="34" t="str">
        <x:v>model_interpolation</x:v>
      </x:c>
      <x:c r="U167" s="34" t="str">
        <x:v>Linear interpolation from 2026 to 2030</x:v>
      </x:c>
      <x:c r="V167" s="34" t="str">
        <x:v>CAND-32B1C4DEC95227</x:v>
      </x:c>
      <x:c r="W167" s="34" t="str">
        <x:v>P3</x:v>
      </x:c>
      <x:c r="X167" s="34" t="str">
        <x:v>PORT-0ACD636A8AEE</x:v>
      </x:c>
      <x:c r="Y167" s="34" t="n">
        <x:v>1000</x:v>
      </x:c>
      <x:c r="Z167" s="34" t="n">
        <x:v>45.577186</x:v>
      </x:c>
      <x:c r="AA167" s="34" t="n">
        <x:v>14.234655</x:v>
      </x:c>
      <x:c r="AB167" s="34" t="n">
        <x:v>446.878947</x:v>
      </x:c>
      <x:c r="AC167" s="34" t="n">
        <x:v>19867.245</x:v>
      </x:c>
      <x:c r="AD167" s="34" t="n">
        <x:v>44.457778</x:v>
      </x:c>
      <x:c r="AE167" s="40" t="b">
        <x:v>1</x:v>
      </x:c>
      <x:c r="AF167" s="40" t="b">
        <x:v>1</x:v>
      </x:c>
      <x:c r="AG167" s="34" t="str"/>
      <x:c r="AH167" s="34" t="n">
        <x:v>0</x:v>
      </x:c>
      <x:c r="AI167" s="34" t="str">
        <x:v>3.446647212967946e-06</x:v>
      </x:c>
      <x:c r="AJ167" s="40" t="b">
        <x:v>1</x:v>
      </x:c>
      <x:c r="AK167" s="40" t="b">
        <x:v>1</x:v>
      </x:c>
      <x:c r="AL167" s="40" t="b">
        <x:v>1</x:v>
      </x:c>
      <x:c r="AM167" s="40" t="b">
        <x:v>1</x:v>
      </x:c>
      <x:c r="AN167" s="34" t="str"/>
      <x:c r="AO167" s="34" t="n">
        <x:v>0</x:v>
      </x:c>
      <x:c r="AP167" s="34" t="n">
        <x:v>0</x:v>
      </x:c>
      <x:c r="AQ167" s="34" t="n">
        <x:v>0</x:v>
      </x:c>
      <x:c r="AR167" s="34" t="n">
        <x:v>2</x:v>
      </x:c>
      <x:c r="AS167" s="34" t="n">
        <x:v>2</x:v>
      </x:c>
      <x:c r="AT167" s="34" t="n">
        <x:v>0.47641018879999986</x:v>
      </x:c>
      <x:c r="AU167" s="34" t="n">
        <x:v>0.65</x:v>
      </x:c>
      <x:c r="AV167" s="34" t="n">
        <x:v>2.16</x:v>
      </x:c>
    </x:row>
    <x:row r="168">
      <x:c r="A168" s="34" t="str">
        <x:v>NIPPON_STEEL_JP</x:v>
      </x:c>
      <x:c r="B168" s="34" t="str">
        <x:v>Nippon Steel</x:v>
      </x:c>
      <x:c r="C168" s="34" t="str">
        <x:v>ACCELERATED_15C</x:v>
      </x:c>
      <x:c r="D168" s="34" t="str">
        <x:v>P3</x:v>
      </x:c>
      <x:c r="E168" s="34" t="n">
        <x:v>2027</x:v>
      </x:c>
      <x:c r="F168" s="34" t="n">
        <x:v>0</x:v>
      </x:c>
      <x:c r="G168" s="34" t="n">
        <x:v>0</x:v>
      </x:c>
      <x:c r="H168" s="34" t="n">
        <x:v>9.75</x:v>
      </x:c>
      <x:c r="I168" s="34" t="n">
        <x:v>9.75</x:v>
      </x:c>
      <x:c r="J168" s="34" t="n">
        <x:v>0</x:v>
      </x:c>
      <x:c r="K168" s="34" t="n">
        <x:v>0</x:v>
      </x:c>
      <x:c r="L168" s="34" t="n">
        <x:v>0.30000000000000004</x:v>
      </x:c>
      <x:c r="M168" s="34" t="n">
        <x:v>0.3</x:v>
      </x:c>
      <x:c r="N168" s="34" t="n">
        <x:v>0</x:v>
      </x:c>
      <x:c r="O168" s="34" t="n">
        <x:v>0</x:v>
      </x:c>
      <x:c r="P168" s="34" t="n">
        <x:v>4</x:v>
      </x:c>
      <x:c r="Q168" s="34" t="n">
        <x:v>4</x:v>
      </x:c>
      <x:c r="R168" s="34" t="n">
        <x:v>0</x:v>
      </x:c>
      <x:c r="S168" s="40" t="b">
        <x:v>1</x:v>
      </x:c>
      <x:c r="T168" s="34" t="str">
        <x:v>model_interpolation</x:v>
      </x:c>
      <x:c r="U168" s="34" t="str">
        <x:v>Linear interpolation from 2026 to 2030</x:v>
      </x:c>
      <x:c r="V168" s="34" t="str">
        <x:v>CAND-32B1C4DEC95227</x:v>
      </x:c>
      <x:c r="W168" s="34" t="str">
        <x:v>P3</x:v>
      </x:c>
      <x:c r="X168" s="34" t="str">
        <x:v>PORT-0ACD636A8AEE</x:v>
      </x:c>
      <x:c r="Y168" s="34" t="n">
        <x:v>1000</x:v>
      </x:c>
      <x:c r="Z168" s="34" t="n">
        <x:v>45.577186</x:v>
      </x:c>
      <x:c r="AA168" s="34" t="n">
        <x:v>14.234655</x:v>
      </x:c>
      <x:c r="AB168" s="34" t="n">
        <x:v>446.878947</x:v>
      </x:c>
      <x:c r="AC168" s="34" t="n">
        <x:v>19867.245</x:v>
      </x:c>
      <x:c r="AD168" s="34" t="n">
        <x:v>44.457778</x:v>
      </x:c>
      <x:c r="AE168" s="40" t="b">
        <x:v>1</x:v>
      </x:c>
      <x:c r="AF168" s="40" t="b">
        <x:v>1</x:v>
      </x:c>
      <x:c r="AG168" s="34" t="str"/>
      <x:c r="AH168" s="34" t="n">
        <x:v>0</x:v>
      </x:c>
      <x:c r="AI168" s="34" t="str">
        <x:v>3.446647212967946e-06</x:v>
      </x:c>
      <x:c r="AJ168" s="40" t="b">
        <x:v>1</x:v>
      </x:c>
      <x:c r="AK168" s="40" t="b">
        <x:v>1</x:v>
      </x:c>
      <x:c r="AL168" s="40" t="b">
        <x:v>1</x:v>
      </x:c>
      <x:c r="AM168" s="40" t="b">
        <x:v>1</x:v>
      </x:c>
      <x:c r="AN168" s="34" t="str"/>
      <x:c r="AO168" s="34" t="n">
        <x:v>0</x:v>
      </x:c>
      <x:c r="AP168" s="34" t="n">
        <x:v>0</x:v>
      </x:c>
      <x:c r="AQ168" s="34" t="n">
        <x:v>0</x:v>
      </x:c>
      <x:c r="AR168" s="34" t="n">
        <x:v>2</x:v>
      </x:c>
      <x:c r="AS168" s="34" t="n">
        <x:v>2</x:v>
      </x:c>
      <x:c r="AT168" s="34" t="n">
        <x:v>0.47641018879999986</x:v>
      </x:c>
      <x:c r="AU168" s="34" t="n">
        <x:v>0.65</x:v>
      </x:c>
      <x:c r="AV168" s="34" t="n">
        <x:v>2.16</x:v>
      </x:c>
    </x:row>
    <x:row r="169">
      <x:c r="A169" s="34" t="str">
        <x:v>NIPPON_STEEL_JP</x:v>
      </x:c>
      <x:c r="B169" s="34" t="str">
        <x:v>Nippon Steel</x:v>
      </x:c>
      <x:c r="C169" s="34" t="str">
        <x:v>ACCELERATED_15C</x:v>
      </x:c>
      <x:c r="D169" s="34" t="str">
        <x:v>P3</x:v>
      </x:c>
      <x:c r="E169" s="34" t="n">
        <x:v>2028</x:v>
      </x:c>
      <x:c r="F169" s="34" t="n">
        <x:v>0</x:v>
      </x:c>
      <x:c r="G169" s="34" t="n">
        <x:v>0</x:v>
      </x:c>
      <x:c r="H169" s="34" t="n">
        <x:v>11.5</x:v>
      </x:c>
      <x:c r="I169" s="34" t="n">
        <x:v>11.5</x:v>
      </x:c>
      <x:c r="J169" s="34" t="n">
        <x:v>0</x:v>
      </x:c>
      <x:c r="K169" s="34" t="n">
        <x:v>0</x:v>
      </x:c>
      <x:c r="L169" s="34" t="n">
        <x:v>0.5</x:v>
      </x:c>
      <x:c r="M169" s="34" t="n">
        <x:v>0.5</x:v>
      </x:c>
      <x:c r="N169" s="34" t="n">
        <x:v>0</x:v>
      </x:c>
      <x:c r="O169" s="34" t="n">
        <x:v>0</x:v>
      </x:c>
      <x:c r="P169" s="34" t="n">
        <x:v>6</x:v>
      </x:c>
      <x:c r="Q169" s="34" t="n">
        <x:v>6</x:v>
      </x:c>
      <x:c r="R169" s="34" t="n">
        <x:v>0</x:v>
      </x:c>
      <x:c r="S169" s="40" t="b">
        <x:v>1</x:v>
      </x:c>
      <x:c r="T169" s="34" t="str">
        <x:v>model_interpolation</x:v>
      </x:c>
      <x:c r="U169" s="34" t="str">
        <x:v>Linear interpolation from 2026 to 2030</x:v>
      </x:c>
      <x:c r="V169" s="34" t="str">
        <x:v>CAND-32B1C4DEC95227</x:v>
      </x:c>
      <x:c r="W169" s="34" t="str">
        <x:v>P3</x:v>
      </x:c>
      <x:c r="X169" s="34" t="str">
        <x:v>PORT-0ACD636A8AEE</x:v>
      </x:c>
      <x:c r="Y169" s="34" t="n">
        <x:v>1000</x:v>
      </x:c>
      <x:c r="Z169" s="34" t="n">
        <x:v>45.577186</x:v>
      </x:c>
      <x:c r="AA169" s="34" t="n">
        <x:v>14.234655</x:v>
      </x:c>
      <x:c r="AB169" s="34" t="n">
        <x:v>446.878947</x:v>
      </x:c>
      <x:c r="AC169" s="34" t="n">
        <x:v>19867.245</x:v>
      </x:c>
      <x:c r="AD169" s="34" t="n">
        <x:v>44.457778</x:v>
      </x:c>
      <x:c r="AE169" s="40" t="b">
        <x:v>1</x:v>
      </x:c>
      <x:c r="AF169" s="40" t="b">
        <x:v>1</x:v>
      </x:c>
      <x:c r="AG169" s="34" t="str"/>
      <x:c r="AH169" s="34" t="n">
        <x:v>0</x:v>
      </x:c>
      <x:c r="AI169" s="34" t="str">
        <x:v>3.446647212967946e-06</x:v>
      </x:c>
      <x:c r="AJ169" s="40" t="b">
        <x:v>1</x:v>
      </x:c>
      <x:c r="AK169" s="40" t="b">
        <x:v>1</x:v>
      </x:c>
      <x:c r="AL169" s="40" t="b">
        <x:v>1</x:v>
      </x:c>
      <x:c r="AM169" s="40" t="b">
        <x:v>1</x:v>
      </x:c>
      <x:c r="AN169" s="34" t="str"/>
      <x:c r="AO169" s="34" t="n">
        <x:v>0</x:v>
      </x:c>
      <x:c r="AP169" s="34" t="n">
        <x:v>0</x:v>
      </x:c>
      <x:c r="AQ169" s="34" t="n">
        <x:v>0</x:v>
      </x:c>
      <x:c r="AR169" s="34" t="n">
        <x:v>2</x:v>
      </x:c>
      <x:c r="AS169" s="34" t="n">
        <x:v>2</x:v>
      </x:c>
      <x:c r="AT169" s="34" t="n">
        <x:v>0.47641018879999986</x:v>
      </x:c>
      <x:c r="AU169" s="34" t="n">
        <x:v>0.65</x:v>
      </x:c>
      <x:c r="AV169" s="34" t="n">
        <x:v>2.16</x:v>
      </x:c>
    </x:row>
    <x:row r="170">
      <x:c r="A170" s="34" t="str">
        <x:v>NIPPON_STEEL_JP</x:v>
      </x:c>
      <x:c r="B170" s="34" t="str">
        <x:v>Nippon Steel</x:v>
      </x:c>
      <x:c r="C170" s="34" t="str">
        <x:v>ACCELERATED_15C</x:v>
      </x:c>
      <x:c r="D170" s="34" t="str">
        <x:v>P3</x:v>
      </x:c>
      <x:c r="E170" s="34" t="n">
        <x:v>2029</x:v>
      </x:c>
      <x:c r="F170" s="34" t="n">
        <x:v>1</x:v>
      </x:c>
      <x:c r="G170" s="34" t="n">
        <x:v>8.1</x:v>
      </x:c>
      <x:c r="H170" s="34" t="n">
        <x:v>13.25</x:v>
      </x:c>
      <x:c r="I170" s="34" t="n">
        <x:v>5.15</x:v>
      </x:c>
      <x:c r="J170" s="34" t="n">
        <x:v>61.132</x:v>
      </x:c>
      <x:c r="K170" s="34" t="n">
        <x:v>0</x:v>
      </x:c>
      <x:c r="L170" s="34" t="n">
        <x:v>0.7000000000000001</x:v>
      </x:c>
      <x:c r="M170" s="34" t="n">
        <x:v>0.7</x:v>
      </x:c>
      <x:c r="N170" s="34" t="n">
        <x:v>0</x:v>
      </x:c>
      <x:c r="O170" s="34" t="n">
        <x:v>5.04</x:v>
      </x:c>
      <x:c r="P170" s="34" t="n">
        <x:v>8</x:v>
      </x:c>
      <x:c r="Q170" s="34" t="n">
        <x:v>2.96</x:v>
      </x:c>
      <x:c r="R170" s="34" t="n">
        <x:v>63</x:v>
      </x:c>
      <x:c r="S170" s="40" t="b">
        <x:v>1</x:v>
      </x:c>
      <x:c r="T170" s="34" t="str">
        <x:v>model_interpolation</x:v>
      </x:c>
      <x:c r="U170" s="34" t="str">
        <x:v>Linear interpolation from 2026 to 2030</x:v>
      </x:c>
      <x:c r="V170" s="34" t="str">
        <x:v>CAND-32B1C4DEC95227</x:v>
      </x:c>
      <x:c r="W170" s="34" t="str">
        <x:v>P3</x:v>
      </x:c>
      <x:c r="X170" s="34" t="str">
        <x:v>PORT-0ACD636A8AEE</x:v>
      </x:c>
      <x:c r="Y170" s="34" t="n">
        <x:v>1000</x:v>
      </x:c>
      <x:c r="Z170" s="34" t="n">
        <x:v>45.577186</x:v>
      </x:c>
      <x:c r="AA170" s="34" t="n">
        <x:v>14.234655</x:v>
      </x:c>
      <x:c r="AB170" s="34" t="n">
        <x:v>446.878947</x:v>
      </x:c>
      <x:c r="AC170" s="34" t="n">
        <x:v>19867.245</x:v>
      </x:c>
      <x:c r="AD170" s="34" t="n">
        <x:v>44.457778</x:v>
      </x:c>
      <x:c r="AE170" s="40" t="b">
        <x:v>1</x:v>
      </x:c>
      <x:c r="AF170" s="40" t="b">
        <x:v>1</x:v>
      </x:c>
      <x:c r="AG170" s="34" t="str"/>
      <x:c r="AH170" s="34" t="n">
        <x:v>0</x:v>
      </x:c>
      <x:c r="AI170" s="34" t="str">
        <x:v>3.446647212967946e-06</x:v>
      </x:c>
      <x:c r="AJ170" s="40" t="b">
        <x:v>1</x:v>
      </x:c>
      <x:c r="AK170" s="40" t="b">
        <x:v>1</x:v>
      </x:c>
      <x:c r="AL170" s="40" t="b">
        <x:v>1</x:v>
      </x:c>
      <x:c r="AM170" s="40" t="b">
        <x:v>1</x:v>
      </x:c>
      <x:c r="AN170" s="34" t="str"/>
      <x:c r="AO170" s="34" t="n">
        <x:v>0</x:v>
      </x:c>
      <x:c r="AP170" s="34" t="n">
        <x:v>0</x:v>
      </x:c>
      <x:c r="AQ170" s="34" t="n">
        <x:v>0</x:v>
      </x:c>
      <x:c r="AR170" s="34" t="n">
        <x:v>2</x:v>
      </x:c>
      <x:c r="AS170" s="34" t="n">
        <x:v>2</x:v>
      </x:c>
      <x:c r="AT170" s="34" t="n">
        <x:v>0.47641018879999986</x:v>
      </x:c>
      <x:c r="AU170" s="34" t="n">
        <x:v>0.65</x:v>
      </x:c>
      <x:c r="AV170" s="34" t="n">
        <x:v>2.16</x:v>
      </x:c>
    </x:row>
    <x:row r="171">
      <x:c r="A171" s="34" t="str">
        <x:v>NIPPON_STEEL_JP</x:v>
      </x:c>
      <x:c r="B171" s="34" t="str">
        <x:v>Nippon Steel</x:v>
      </x:c>
      <x:c r="C171" s="34" t="str">
        <x:v>ACCELERATED_15C</x:v>
      </x:c>
      <x:c r="D171" s="34" t="str">
        <x:v>P3</x:v>
      </x:c>
      <x:c r="E171" s="34" t="n">
        <x:v>2030</x:v>
      </x:c>
      <x:c r="F171" s="34" t="n">
        <x:v>1</x:v>
      </x:c>
      <x:c r="G171" s="34" t="n">
        <x:v>8.1</x:v>
      </x:c>
      <x:c r="H171" s="34" t="n">
        <x:v>15</x:v>
      </x:c>
      <x:c r="I171" s="34" t="n">
        <x:v>6.9</x:v>
      </x:c>
      <x:c r="J171" s="34" t="n">
        <x:v>54</x:v>
      </x:c>
      <x:c r="K171" s="34" t="n">
        <x:v>0</x:v>
      </x:c>
      <x:c r="L171" s="34" t="n">
        <x:v>0.9</x:v>
      </x:c>
      <x:c r="M171" s="34" t="n">
        <x:v>0.9</x:v>
      </x:c>
      <x:c r="N171" s="34" t="n">
        <x:v>0</x:v>
      </x:c>
      <x:c r="O171" s="34" t="n">
        <x:v>5.04</x:v>
      </x:c>
      <x:c r="P171" s="34" t="n">
        <x:v>10</x:v>
      </x:c>
      <x:c r="Q171" s="34" t="n">
        <x:v>4.96</x:v>
      </x:c>
      <x:c r="R171" s="34" t="n">
        <x:v>50.4</x:v>
      </x:c>
      <x:c r="S171" s="40" t="b">
        <x:v>1</x:v>
      </x:c>
      <x:c r="T171" s="34" t="str">
        <x:v>model_interpolation</x:v>
      </x:c>
      <x:c r="U171" s="34" t="str">
        <x:v>Linear interpolation from 2030 to 2035</x:v>
      </x:c>
      <x:c r="V171" s="34" t="str">
        <x:v>CAND-32B1C4DEC95227</x:v>
      </x:c>
      <x:c r="W171" s="34" t="str">
        <x:v>P3</x:v>
      </x:c>
      <x:c r="X171" s="34" t="str">
        <x:v>PORT-0ACD636A8AEE</x:v>
      </x:c>
      <x:c r="Y171" s="34" t="n">
        <x:v>1000</x:v>
      </x:c>
      <x:c r="Z171" s="34" t="n">
        <x:v>45.577186</x:v>
      </x:c>
      <x:c r="AA171" s="34" t="n">
        <x:v>14.234655</x:v>
      </x:c>
      <x:c r="AB171" s="34" t="n">
        <x:v>446.878947</x:v>
      </x:c>
      <x:c r="AC171" s="34" t="n">
        <x:v>19867.245</x:v>
      </x:c>
      <x:c r="AD171" s="34" t="n">
        <x:v>44.457778</x:v>
      </x:c>
      <x:c r="AE171" s="40" t="b">
        <x:v>1</x:v>
      </x:c>
      <x:c r="AF171" s="40" t="b">
        <x:v>1</x:v>
      </x:c>
      <x:c r="AG171" s="34" t="str"/>
      <x:c r="AH171" s="34" t="n">
        <x:v>0</x:v>
      </x:c>
      <x:c r="AI171" s="34" t="str">
        <x:v>3.446647212967946e-06</x:v>
      </x:c>
      <x:c r="AJ171" s="40" t="b">
        <x:v>1</x:v>
      </x:c>
      <x:c r="AK171" s="40" t="b">
        <x:v>1</x:v>
      </x:c>
      <x:c r="AL171" s="40" t="b">
        <x:v>1</x:v>
      </x:c>
      <x:c r="AM171" s="40" t="b">
        <x:v>1</x:v>
      </x:c>
      <x:c r="AN171" s="34" t="str"/>
      <x:c r="AO171" s="34" t="n">
        <x:v>0</x:v>
      </x:c>
      <x:c r="AP171" s="34" t="n">
        <x:v>0</x:v>
      </x:c>
      <x:c r="AQ171" s="34" t="n">
        <x:v>0</x:v>
      </x:c>
      <x:c r="AR171" s="34" t="n">
        <x:v>2</x:v>
      </x:c>
      <x:c r="AS171" s="34" t="n">
        <x:v>2</x:v>
      </x:c>
      <x:c r="AT171" s="34" t="n">
        <x:v>0.47641018879999986</x:v>
      </x:c>
      <x:c r="AU171" s="34" t="n">
        <x:v>0.65</x:v>
      </x:c>
      <x:c r="AV171" s="34" t="n">
        <x:v>2.16</x:v>
      </x:c>
    </x:row>
    <x:row r="172">
      <x:c r="A172" s="34" t="str">
        <x:v>NIPPON_STEEL_JP</x:v>
      </x:c>
      <x:c r="B172" s="34" t="str">
        <x:v>Nippon Steel</x:v>
      </x:c>
      <x:c r="C172" s="34" t="str">
        <x:v>ACCELERATED_15C</x:v>
      </x:c>
      <x:c r="D172" s="34" t="str">
        <x:v>P3</x:v>
      </x:c>
      <x:c r="E172" s="34" t="n">
        <x:v>2031</x:v>
      </x:c>
      <x:c r="F172" s="34" t="n">
        <x:v>1</x:v>
      </x:c>
      <x:c r="G172" s="34" t="n">
        <x:v>8.1</x:v>
      </x:c>
      <x:c r="H172" s="34" t="n">
        <x:v>16.6</x:v>
      </x:c>
      <x:c r="I172" s="34" t="n">
        <x:v>8.5</x:v>
      </x:c>
      <x:c r="J172" s="34" t="n">
        <x:v>48.795</x:v>
      </x:c>
      <x:c r="K172" s="34" t="n">
        <x:v>0</x:v>
      </x:c>
      <x:c r="L172" s="34" t="n">
        <x:v>1.2200000000000002</x:v>
      </x:c>
      <x:c r="M172" s="34" t="n">
        <x:v>1.22</x:v>
      </x:c>
      <x:c r="N172" s="34" t="n">
        <x:v>0</x:v>
      </x:c>
      <x:c r="O172" s="34" t="n">
        <x:v>5.04</x:v>
      </x:c>
      <x:c r="P172" s="34" t="n">
        <x:v>12</x:v>
      </x:c>
      <x:c r="Q172" s="34" t="n">
        <x:v>6.96</x:v>
      </x:c>
      <x:c r="R172" s="34" t="n">
        <x:v>42</x:v>
      </x:c>
      <x:c r="S172" s="40" t="b">
        <x:v>1</x:v>
      </x:c>
      <x:c r="T172" s="34" t="str">
        <x:v>model_interpolation</x:v>
      </x:c>
      <x:c r="U172" s="34" t="str">
        <x:v>Linear interpolation from 2030 to 2035</x:v>
      </x:c>
      <x:c r="V172" s="34" t="str">
        <x:v>CAND-32B1C4DEC95227</x:v>
      </x:c>
      <x:c r="W172" s="34" t="str">
        <x:v>P3</x:v>
      </x:c>
      <x:c r="X172" s="34" t="str">
        <x:v>PORT-0ACD636A8AEE</x:v>
      </x:c>
      <x:c r="Y172" s="34" t="n">
        <x:v>1000</x:v>
      </x:c>
      <x:c r="Z172" s="34" t="n">
        <x:v>45.577186</x:v>
      </x:c>
      <x:c r="AA172" s="34" t="n">
        <x:v>14.234655</x:v>
      </x:c>
      <x:c r="AB172" s="34" t="n">
        <x:v>446.878947</x:v>
      </x:c>
      <x:c r="AC172" s="34" t="n">
        <x:v>19867.245</x:v>
      </x:c>
      <x:c r="AD172" s="34" t="n">
        <x:v>44.457778</x:v>
      </x:c>
      <x:c r="AE172" s="40" t="b">
        <x:v>1</x:v>
      </x:c>
      <x:c r="AF172" s="40" t="b">
        <x:v>1</x:v>
      </x:c>
      <x:c r="AG172" s="34" t="str"/>
      <x:c r="AH172" s="34" t="n">
        <x:v>0</x:v>
      </x:c>
      <x:c r="AI172" s="34" t="str">
        <x:v>3.446647212967946e-06</x:v>
      </x:c>
      <x:c r="AJ172" s="40" t="b">
        <x:v>1</x:v>
      </x:c>
      <x:c r="AK172" s="40" t="b">
        <x:v>1</x:v>
      </x:c>
      <x:c r="AL172" s="40" t="b">
        <x:v>1</x:v>
      </x:c>
      <x:c r="AM172" s="40" t="b">
        <x:v>1</x:v>
      </x:c>
      <x:c r="AN172" s="34" t="str"/>
      <x:c r="AO172" s="34" t="n">
        <x:v>0</x:v>
      </x:c>
      <x:c r="AP172" s="34" t="n">
        <x:v>0</x:v>
      </x:c>
      <x:c r="AQ172" s="34" t="n">
        <x:v>0</x:v>
      </x:c>
      <x:c r="AR172" s="34" t="n">
        <x:v>2</x:v>
      </x:c>
      <x:c r="AS172" s="34" t="n">
        <x:v>2</x:v>
      </x:c>
      <x:c r="AT172" s="34" t="n">
        <x:v>0.47641018879999986</x:v>
      </x:c>
      <x:c r="AU172" s="34" t="n">
        <x:v>0.65</x:v>
      </x:c>
      <x:c r="AV172" s="34" t="n">
        <x:v>2.16</x:v>
      </x:c>
    </x:row>
    <x:row r="173">
      <x:c r="A173" s="34" t="str">
        <x:v>NIPPON_STEEL_JP</x:v>
      </x:c>
      <x:c r="B173" s="34" t="str">
        <x:v>Nippon Steel</x:v>
      </x:c>
      <x:c r="C173" s="34" t="str">
        <x:v>ACCELERATED_15C</x:v>
      </x:c>
      <x:c r="D173" s="34" t="str">
        <x:v>P3</x:v>
      </x:c>
      <x:c r="E173" s="34" t="n">
        <x:v>2032</x:v>
      </x:c>
      <x:c r="F173" s="34" t="n">
        <x:v>2</x:v>
      </x:c>
      <x:c r="G173" s="34" t="n">
        <x:v>13.679998</x:v>
      </x:c>
      <x:c r="H173" s="34" t="n">
        <x:v>18.2</x:v>
      </x:c>
      <x:c r="I173" s="34" t="n">
        <x:v>4.520002</x:v>
      </x:c>
      <x:c r="J173" s="34" t="n">
        <x:v>75.165</x:v>
      </x:c>
      <x:c r="K173" s="34" t="n">
        <x:v>0</x:v>
      </x:c>
      <x:c r="L173" s="34" t="n">
        <x:v>1.54</x:v>
      </x:c>
      <x:c r="M173" s="34" t="n">
        <x:v>1.54</x:v>
      </x:c>
      <x:c r="N173" s="34" t="n">
        <x:v>0</x:v>
      </x:c>
      <x:c r="O173" s="34" t="n">
        <x:v>8.511999</x:v>
      </x:c>
      <x:c r="P173" s="34" t="n">
        <x:v>14</x:v>
      </x:c>
      <x:c r="Q173" s="34" t="n">
        <x:v>5.488001</x:v>
      </x:c>
      <x:c r="R173" s="34" t="n">
        <x:v>60.8</x:v>
      </x:c>
      <x:c r="S173" s="40" t="b">
        <x:v>1</x:v>
      </x:c>
      <x:c r="T173" s="34" t="str">
        <x:v>model_interpolation</x:v>
      </x:c>
      <x:c r="U173" s="34" t="str">
        <x:v>Linear interpolation from 2030 to 2035</x:v>
      </x:c>
      <x:c r="V173" s="34" t="str">
        <x:v>CAND-32B1C4DEC95227</x:v>
      </x:c>
      <x:c r="W173" s="34" t="str">
        <x:v>P3</x:v>
      </x:c>
      <x:c r="X173" s="34" t="str">
        <x:v>PORT-0ACD636A8AEE</x:v>
      </x:c>
      <x:c r="Y173" s="34" t="n">
        <x:v>1000</x:v>
      </x:c>
      <x:c r="Z173" s="34" t="n">
        <x:v>45.577186</x:v>
      </x:c>
      <x:c r="AA173" s="34" t="n">
        <x:v>14.234655</x:v>
      </x:c>
      <x:c r="AB173" s="34" t="n">
        <x:v>446.878947</x:v>
      </x:c>
      <x:c r="AC173" s="34" t="n">
        <x:v>19867.245</x:v>
      </x:c>
      <x:c r="AD173" s="34" t="n">
        <x:v>44.457778</x:v>
      </x:c>
      <x:c r="AE173" s="40" t="b">
        <x:v>1</x:v>
      </x:c>
      <x:c r="AF173" s="40" t="b">
        <x:v>1</x:v>
      </x:c>
      <x:c r="AG173" s="34" t="str"/>
      <x:c r="AH173" s="34" t="n">
        <x:v>0</x:v>
      </x:c>
      <x:c r="AI173" s="34" t="str">
        <x:v>3.446647212967946e-06</x:v>
      </x:c>
      <x:c r="AJ173" s="40" t="b">
        <x:v>1</x:v>
      </x:c>
      <x:c r="AK173" s="40" t="b">
        <x:v>1</x:v>
      </x:c>
      <x:c r="AL173" s="40" t="b">
        <x:v>1</x:v>
      </x:c>
      <x:c r="AM173" s="40" t="b">
        <x:v>1</x:v>
      </x:c>
      <x:c r="AN173" s="34" t="str"/>
      <x:c r="AO173" s="34" t="n">
        <x:v>0</x:v>
      </x:c>
      <x:c r="AP173" s="34" t="n">
        <x:v>0</x:v>
      </x:c>
      <x:c r="AQ173" s="34" t="n">
        <x:v>0</x:v>
      </x:c>
      <x:c r="AR173" s="34" t="n">
        <x:v>2</x:v>
      </x:c>
      <x:c r="AS173" s="34" t="n">
        <x:v>2</x:v>
      </x:c>
      <x:c r="AT173" s="34" t="n">
        <x:v>0.47641018879999986</x:v>
      </x:c>
      <x:c r="AU173" s="34" t="n">
        <x:v>0.65</x:v>
      </x:c>
      <x:c r="AV173" s="34" t="n">
        <x:v>2.16</x:v>
      </x:c>
    </x:row>
    <x:row r="174">
      <x:c r="A174" s="34" t="str">
        <x:v>NIPPON_STEEL_JP</x:v>
      </x:c>
      <x:c r="B174" s="34" t="str">
        <x:v>Nippon Steel</x:v>
      </x:c>
      <x:c r="C174" s="34" t="str">
        <x:v>ACCELERATED_15C</x:v>
      </x:c>
      <x:c r="D174" s="34" t="str">
        <x:v>P3</x:v>
      </x:c>
      <x:c r="E174" s="34" t="n">
        <x:v>2033</x:v>
      </x:c>
      <x:c r="F174" s="34" t="n">
        <x:v>2</x:v>
      </x:c>
      <x:c r="G174" s="34" t="n">
        <x:v>13.679998</x:v>
      </x:c>
      <x:c r="H174" s="34" t="n">
        <x:v>19.8</x:v>
      </x:c>
      <x:c r="I174" s="34" t="n">
        <x:v>6.120002</x:v>
      </x:c>
      <x:c r="J174" s="34" t="n">
        <x:v>69.091</x:v>
      </x:c>
      <x:c r="K174" s="34" t="n">
        <x:v>0</x:v>
      </x:c>
      <x:c r="L174" s="34" t="n">
        <x:v>1.8599999999999999</x:v>
      </x:c>
      <x:c r="M174" s="34" t="n">
        <x:v>1.86</x:v>
      </x:c>
      <x:c r="N174" s="34" t="n">
        <x:v>0</x:v>
      </x:c>
      <x:c r="O174" s="34" t="n">
        <x:v>8.511999</x:v>
      </x:c>
      <x:c r="P174" s="34" t="n">
        <x:v>16</x:v>
      </x:c>
      <x:c r="Q174" s="34" t="n">
        <x:v>7.488001</x:v>
      </x:c>
      <x:c r="R174" s="34" t="n">
        <x:v>53.2</x:v>
      </x:c>
      <x:c r="S174" s="40" t="b">
        <x:v>1</x:v>
      </x:c>
      <x:c r="T174" s="34" t="str">
        <x:v>model_interpolation</x:v>
      </x:c>
      <x:c r="U174" s="34" t="str">
        <x:v>Linear interpolation from 2030 to 2035</x:v>
      </x:c>
      <x:c r="V174" s="34" t="str">
        <x:v>CAND-32B1C4DEC95227</x:v>
      </x:c>
      <x:c r="W174" s="34" t="str">
        <x:v>P3</x:v>
      </x:c>
      <x:c r="X174" s="34" t="str">
        <x:v>PORT-0ACD636A8AEE</x:v>
      </x:c>
      <x:c r="Y174" s="34" t="n">
        <x:v>1000</x:v>
      </x:c>
      <x:c r="Z174" s="34" t="n">
        <x:v>45.577186</x:v>
      </x:c>
      <x:c r="AA174" s="34" t="n">
        <x:v>14.234655</x:v>
      </x:c>
      <x:c r="AB174" s="34" t="n">
        <x:v>446.878947</x:v>
      </x:c>
      <x:c r="AC174" s="34" t="n">
        <x:v>19867.245</x:v>
      </x:c>
      <x:c r="AD174" s="34" t="n">
        <x:v>44.457778</x:v>
      </x:c>
      <x:c r="AE174" s="40" t="b">
        <x:v>1</x:v>
      </x:c>
      <x:c r="AF174" s="40" t="b">
        <x:v>1</x:v>
      </x:c>
      <x:c r="AG174" s="34" t="str"/>
      <x:c r="AH174" s="34" t="n">
        <x:v>0</x:v>
      </x:c>
      <x:c r="AI174" s="34" t="str">
        <x:v>3.446647212967946e-06</x:v>
      </x:c>
      <x:c r="AJ174" s="40" t="b">
        <x:v>1</x:v>
      </x:c>
      <x:c r="AK174" s="40" t="b">
        <x:v>1</x:v>
      </x:c>
      <x:c r="AL174" s="40" t="b">
        <x:v>1</x:v>
      </x:c>
      <x:c r="AM174" s="40" t="b">
        <x:v>1</x:v>
      </x:c>
      <x:c r="AN174" s="34" t="str"/>
      <x:c r="AO174" s="34" t="n">
        <x:v>0</x:v>
      </x:c>
      <x:c r="AP174" s="34" t="n">
        <x:v>0</x:v>
      </x:c>
      <x:c r="AQ174" s="34" t="n">
        <x:v>0</x:v>
      </x:c>
      <x:c r="AR174" s="34" t="n">
        <x:v>2</x:v>
      </x:c>
      <x:c r="AS174" s="34" t="n">
        <x:v>2</x:v>
      </x:c>
      <x:c r="AT174" s="34" t="n">
        <x:v>0.47641018879999986</x:v>
      </x:c>
      <x:c r="AU174" s="34" t="n">
        <x:v>0.65</x:v>
      </x:c>
      <x:c r="AV174" s="34" t="n">
        <x:v>2.16</x:v>
      </x:c>
    </x:row>
    <x:row r="175">
      <x:c r="A175" s="34" t="str">
        <x:v>NIPPON_STEEL_JP</x:v>
      </x:c>
      <x:c r="B175" s="34" t="str">
        <x:v>Nippon Steel</x:v>
      </x:c>
      <x:c r="C175" s="34" t="str">
        <x:v>ACCELERATED_15C</x:v>
      </x:c>
      <x:c r="D175" s="34" t="str">
        <x:v>P3</x:v>
      </x:c>
      <x:c r="E175" s="34" t="n">
        <x:v>2034</x:v>
      </x:c>
      <x:c r="F175" s="34" t="n">
        <x:v>3</x:v>
      </x:c>
      <x:c r="G175" s="34" t="n">
        <x:v>20.159999</x:v>
      </x:c>
      <x:c r="H175" s="34" t="n">
        <x:v>21.4</x:v>
      </x:c>
      <x:c r="I175" s="34" t="n">
        <x:v>1.240001</x:v>
      </x:c>
      <x:c r="J175" s="34" t="n">
        <x:v>94.206</x:v>
      </x:c>
      <x:c r="K175" s="34" t="n">
        <x:v>0</x:v>
      </x:c>
      <x:c r="L175" s="34" t="n">
        <x:v>2.18</x:v>
      </x:c>
      <x:c r="M175" s="34" t="n">
        <x:v>2.18</x:v>
      </x:c>
      <x:c r="N175" s="34" t="n">
        <x:v>0</x:v>
      </x:c>
      <x:c r="O175" s="34" t="n">
        <x:v>12.543999</x:v>
      </x:c>
      <x:c r="P175" s="34" t="n">
        <x:v>18</x:v>
      </x:c>
      <x:c r="Q175" s="34" t="n">
        <x:v>5.456001</x:v>
      </x:c>
      <x:c r="R175" s="34" t="n">
        <x:v>69.689</x:v>
      </x:c>
      <x:c r="S175" s="40" t="b">
        <x:v>1</x:v>
      </x:c>
      <x:c r="T175" s="34" t="str">
        <x:v>model_interpolation</x:v>
      </x:c>
      <x:c r="U175" s="34" t="str">
        <x:v>Linear interpolation from 2030 to 2035</x:v>
      </x:c>
      <x:c r="V175" s="34" t="str">
        <x:v>CAND-32B1C4DEC95227</x:v>
      </x:c>
      <x:c r="W175" s="34" t="str">
        <x:v>P3</x:v>
      </x:c>
      <x:c r="X175" s="34" t="str">
        <x:v>PORT-0ACD636A8AEE</x:v>
      </x:c>
      <x:c r="Y175" s="34" t="n">
        <x:v>1000</x:v>
      </x:c>
      <x:c r="Z175" s="34" t="n">
        <x:v>45.577186</x:v>
      </x:c>
      <x:c r="AA175" s="34" t="n">
        <x:v>14.234655</x:v>
      </x:c>
      <x:c r="AB175" s="34" t="n">
        <x:v>446.878947</x:v>
      </x:c>
      <x:c r="AC175" s="34" t="n">
        <x:v>19867.245</x:v>
      </x:c>
      <x:c r="AD175" s="34" t="n">
        <x:v>44.457778</x:v>
      </x:c>
      <x:c r="AE175" s="40" t="b">
        <x:v>1</x:v>
      </x:c>
      <x:c r="AF175" s="40" t="b">
        <x:v>1</x:v>
      </x:c>
      <x:c r="AG175" s="34" t="str"/>
      <x:c r="AH175" s="34" t="n">
        <x:v>0</x:v>
      </x:c>
      <x:c r="AI175" s="34" t="str">
        <x:v>3.446647212967946e-06</x:v>
      </x:c>
      <x:c r="AJ175" s="40" t="b">
        <x:v>1</x:v>
      </x:c>
      <x:c r="AK175" s="40" t="b">
        <x:v>1</x:v>
      </x:c>
      <x:c r="AL175" s="40" t="b">
        <x:v>1</x:v>
      </x:c>
      <x:c r="AM175" s="40" t="b">
        <x:v>1</x:v>
      </x:c>
      <x:c r="AN175" s="34" t="str"/>
      <x:c r="AO175" s="34" t="n">
        <x:v>0</x:v>
      </x:c>
      <x:c r="AP175" s="34" t="n">
        <x:v>0</x:v>
      </x:c>
      <x:c r="AQ175" s="34" t="n">
        <x:v>0</x:v>
      </x:c>
      <x:c r="AR175" s="34" t="n">
        <x:v>2</x:v>
      </x:c>
      <x:c r="AS175" s="34" t="n">
        <x:v>2</x:v>
      </x:c>
      <x:c r="AT175" s="34" t="n">
        <x:v>0.47641018879999986</x:v>
      </x:c>
      <x:c r="AU175" s="34" t="n">
        <x:v>0.65</x:v>
      </x:c>
      <x:c r="AV175" s="34" t="n">
        <x:v>2.16</x:v>
      </x:c>
    </x:row>
    <x:row r="176">
      <x:c r="A176" s="34" t="str">
        <x:v>NIPPON_STEEL_JP</x:v>
      </x:c>
      <x:c r="B176" s="34" t="str">
        <x:v>Nippon Steel</x:v>
      </x:c>
      <x:c r="C176" s="34" t="str">
        <x:v>ACCELERATED_15C</x:v>
      </x:c>
      <x:c r="D176" s="34" t="str">
        <x:v>P3</x:v>
      </x:c>
      <x:c r="E176" s="34" t="n">
        <x:v>2035</x:v>
      </x:c>
      <x:c r="F176" s="34" t="n">
        <x:v>3</x:v>
      </x:c>
      <x:c r="G176" s="34" t="n">
        <x:v>20.159999</x:v>
      </x:c>
      <x:c r="H176" s="34" t="n">
        <x:v>23</x:v>
      </x:c>
      <x:c r="I176" s="34" t="n">
        <x:v>2.840001</x:v>
      </x:c>
      <x:c r="J176" s="34" t="n">
        <x:v>87.652</x:v>
      </x:c>
      <x:c r="K176" s="34" t="n">
        <x:v>0</x:v>
      </x:c>
      <x:c r="L176" s="34" t="n">
        <x:v>2.5</x:v>
      </x:c>
      <x:c r="M176" s="34" t="n">
        <x:v>2.5</x:v>
      </x:c>
      <x:c r="N176" s="34" t="n">
        <x:v>0</x:v>
      </x:c>
      <x:c r="O176" s="34" t="n">
        <x:v>12.543999</x:v>
      </x:c>
      <x:c r="P176" s="34" t="n">
        <x:v>20</x:v>
      </x:c>
      <x:c r="Q176" s="34" t="n">
        <x:v>7.456001</x:v>
      </x:c>
      <x:c r="R176" s="34" t="n">
        <x:v>62.72</x:v>
      </x:c>
      <x:c r="S176" s="40" t="b">
        <x:v>1</x:v>
      </x:c>
      <x:c r="T176" s="34" t="str">
        <x:v>model_interpolation</x:v>
      </x:c>
      <x:c r="U176" s="34" t="str">
        <x:v>Linear interpolation from 2035 to 2040</x:v>
      </x:c>
      <x:c r="V176" s="34" t="str">
        <x:v>CAND-32B1C4DEC95227</x:v>
      </x:c>
      <x:c r="W176" s="34" t="str">
        <x:v>P3</x:v>
      </x:c>
      <x:c r="X176" s="34" t="str">
        <x:v>PORT-0ACD636A8AEE</x:v>
      </x:c>
      <x:c r="Y176" s="34" t="n">
        <x:v>1000</x:v>
      </x:c>
      <x:c r="Z176" s="34" t="n">
        <x:v>45.577186</x:v>
      </x:c>
      <x:c r="AA176" s="34" t="n">
        <x:v>14.234655</x:v>
      </x:c>
      <x:c r="AB176" s="34" t="n">
        <x:v>446.878947</x:v>
      </x:c>
      <x:c r="AC176" s="34" t="n">
        <x:v>19867.245</x:v>
      </x:c>
      <x:c r="AD176" s="34" t="n">
        <x:v>44.457778</x:v>
      </x:c>
      <x:c r="AE176" s="40" t="b">
        <x:v>1</x:v>
      </x:c>
      <x:c r="AF176" s="40" t="b">
        <x:v>1</x:v>
      </x:c>
      <x:c r="AG176" s="34" t="str"/>
      <x:c r="AH176" s="34" t="n">
        <x:v>0</x:v>
      </x:c>
      <x:c r="AI176" s="34" t="str">
        <x:v>3.446647212967946e-06</x:v>
      </x:c>
      <x:c r="AJ176" s="40" t="b">
        <x:v>1</x:v>
      </x:c>
      <x:c r="AK176" s="40" t="b">
        <x:v>1</x:v>
      </x:c>
      <x:c r="AL176" s="40" t="b">
        <x:v>1</x:v>
      </x:c>
      <x:c r="AM176" s="40" t="b">
        <x:v>1</x:v>
      </x:c>
      <x:c r="AN176" s="34" t="str"/>
      <x:c r="AO176" s="34" t="n">
        <x:v>0</x:v>
      </x:c>
      <x:c r="AP176" s="34" t="n">
        <x:v>0</x:v>
      </x:c>
      <x:c r="AQ176" s="34" t="n">
        <x:v>0</x:v>
      </x:c>
      <x:c r="AR176" s="34" t="n">
        <x:v>2</x:v>
      </x:c>
      <x:c r="AS176" s="34" t="n">
        <x:v>2</x:v>
      </x:c>
      <x:c r="AT176" s="34" t="n">
        <x:v>0.47641018879999986</x:v>
      </x:c>
      <x:c r="AU176" s="34" t="n">
        <x:v>0.65</x:v>
      </x:c>
      <x:c r="AV176" s="34" t="n">
        <x:v>2.16</x:v>
      </x:c>
    </x:row>
    <x:row r="177">
      <x:c r="A177" s="34" t="str">
        <x:v>NIPPON_STEEL_JP</x:v>
      </x:c>
      <x:c r="B177" s="34" t="str">
        <x:v>Nippon Steel</x:v>
      </x:c>
      <x:c r="C177" s="34" t="str">
        <x:v>ACCELERATED_15C</x:v>
      </x:c>
      <x:c r="D177" s="34" t="str">
        <x:v>P3</x:v>
      </x:c>
      <x:c r="E177" s="34" t="n">
        <x:v>2036</x:v>
      </x:c>
      <x:c r="F177" s="34" t="n">
        <x:v>4</x:v>
      </x:c>
      <x:c r="G177" s="34" t="n">
        <x:v>20.999999</x:v>
      </x:c>
      <x:c r="H177" s="34" t="n">
        <x:v>24.4</x:v>
      </x:c>
      <x:c r="I177" s="34" t="n">
        <x:v>3.400001</x:v>
      </x:c>
      <x:c r="J177" s="34" t="n">
        <x:v>86.066</x:v>
      </x:c>
      <x:c r="K177" s="34" t="n">
        <x:v>0.308</x:v>
      </x:c>
      <x:c r="L177" s="34" t="n">
        <x:v>2.9</x:v>
      </x:c>
      <x:c r="M177" s="34" t="n">
        <x:v>2.592</x:v>
      </x:c>
      <x:c r="N177" s="34" t="n">
        <x:v>10.621</x:v>
      </x:c>
      <x:c r="O177" s="34" t="n">
        <x:v>15.12</x:v>
      </x:c>
      <x:c r="P177" s="34" t="n">
        <x:v>22.4</x:v>
      </x:c>
      <x:c r="Q177" s="34" t="n">
        <x:v>7.28</x:v>
      </x:c>
      <x:c r="R177" s="34" t="n">
        <x:v>67.5</x:v>
      </x:c>
      <x:c r="S177" s="40" t="b">
        <x:v>1</x:v>
      </x:c>
      <x:c r="T177" s="34" t="str">
        <x:v>model_interpolation</x:v>
      </x:c>
      <x:c r="U177" s="34" t="str">
        <x:v>Linear interpolation from 2035 to 2040</x:v>
      </x:c>
      <x:c r="V177" s="34" t="str">
        <x:v>CAND-32B1C4DEC95227</x:v>
      </x:c>
      <x:c r="W177" s="34" t="str">
        <x:v>P3</x:v>
      </x:c>
      <x:c r="X177" s="34" t="str">
        <x:v>PORT-0ACD636A8AEE</x:v>
      </x:c>
      <x:c r="Y177" s="34" t="n">
        <x:v>1000</x:v>
      </x:c>
      <x:c r="Z177" s="34" t="n">
        <x:v>45.577186</x:v>
      </x:c>
      <x:c r="AA177" s="34" t="n">
        <x:v>14.234655</x:v>
      </x:c>
      <x:c r="AB177" s="34" t="n">
        <x:v>446.878947</x:v>
      </x:c>
      <x:c r="AC177" s="34" t="n">
        <x:v>19867.245</x:v>
      </x:c>
      <x:c r="AD177" s="34" t="n">
        <x:v>44.457778</x:v>
      </x:c>
      <x:c r="AE177" s="40" t="b">
        <x:v>1</x:v>
      </x:c>
      <x:c r="AF177" s="40" t="b">
        <x:v>1</x:v>
      </x:c>
      <x:c r="AG177" s="34" t="str"/>
      <x:c r="AH177" s="34" t="n">
        <x:v>0</x:v>
      </x:c>
      <x:c r="AI177" s="34" t="str">
        <x:v>3.446647212967946e-06</x:v>
      </x:c>
      <x:c r="AJ177" s="40" t="b">
        <x:v>1</x:v>
      </x:c>
      <x:c r="AK177" s="40" t="b">
        <x:v>1</x:v>
      </x:c>
      <x:c r="AL177" s="40" t="b">
        <x:v>1</x:v>
      </x:c>
      <x:c r="AM177" s="40" t="b">
        <x:v>1</x:v>
      </x:c>
      <x:c r="AN177" s="34" t="str"/>
      <x:c r="AO177" s="34" t="n">
        <x:v>0</x:v>
      </x:c>
      <x:c r="AP177" s="34" t="n">
        <x:v>0</x:v>
      </x:c>
      <x:c r="AQ177" s="34" t="n">
        <x:v>0</x:v>
      </x:c>
      <x:c r="AR177" s="34" t="n">
        <x:v>2</x:v>
      </x:c>
      <x:c r="AS177" s="34" t="n">
        <x:v>2</x:v>
      </x:c>
      <x:c r="AT177" s="34" t="n">
        <x:v>0.47641018879999986</x:v>
      </x:c>
      <x:c r="AU177" s="34" t="n">
        <x:v>0.65</x:v>
      </x:c>
      <x:c r="AV177" s="34" t="n">
        <x:v>2.16</x:v>
      </x:c>
    </x:row>
    <x:row r="178">
      <x:c r="A178" s="34" t="str">
        <x:v>NIPPON_STEEL_JP</x:v>
      </x:c>
      <x:c r="B178" s="34" t="str">
        <x:v>Nippon Steel</x:v>
      </x:c>
      <x:c r="C178" s="34" t="str">
        <x:v>ACCELERATED_15C</x:v>
      </x:c>
      <x:c r="D178" s="34" t="str">
        <x:v>P3</x:v>
      </x:c>
      <x:c r="E178" s="34" t="n">
        <x:v>2037</x:v>
      </x:c>
      <x:c r="F178" s="34" t="n">
        <x:v>4</x:v>
      </x:c>
      <x:c r="G178" s="34" t="n">
        <x:v>20.999999</x:v>
      </x:c>
      <x:c r="H178" s="34" t="n">
        <x:v>25.8</x:v>
      </x:c>
      <x:c r="I178" s="34" t="n">
        <x:v>4.800001</x:v>
      </x:c>
      <x:c r="J178" s="34" t="n">
        <x:v>81.395</x:v>
      </x:c>
      <x:c r="K178" s="34" t="n">
        <x:v>0.308</x:v>
      </x:c>
      <x:c r="L178" s="34" t="n">
        <x:v>3.3</x:v>
      </x:c>
      <x:c r="M178" s="34" t="n">
        <x:v>2.992</x:v>
      </x:c>
      <x:c r="N178" s="34" t="n">
        <x:v>9.333</x:v>
      </x:c>
      <x:c r="O178" s="34" t="n">
        <x:v>15.12</x:v>
      </x:c>
      <x:c r="P178" s="34" t="n">
        <x:v>24.8</x:v>
      </x:c>
      <x:c r="Q178" s="34" t="n">
        <x:v>9.68</x:v>
      </x:c>
      <x:c r="R178" s="34" t="n">
        <x:v>60.968</x:v>
      </x:c>
      <x:c r="S178" s="40" t="b">
        <x:v>1</x:v>
      </x:c>
      <x:c r="T178" s="34" t="str">
        <x:v>model_interpolation</x:v>
      </x:c>
      <x:c r="U178" s="34" t="str">
        <x:v>Linear interpolation from 2035 to 2040</x:v>
      </x:c>
      <x:c r="V178" s="34" t="str">
        <x:v>CAND-32B1C4DEC95227</x:v>
      </x:c>
      <x:c r="W178" s="34" t="str">
        <x:v>P3</x:v>
      </x:c>
      <x:c r="X178" s="34" t="str">
        <x:v>PORT-0ACD636A8AEE</x:v>
      </x:c>
      <x:c r="Y178" s="34" t="n">
        <x:v>1000</x:v>
      </x:c>
      <x:c r="Z178" s="34" t="n">
        <x:v>45.577186</x:v>
      </x:c>
      <x:c r="AA178" s="34" t="n">
        <x:v>14.234655</x:v>
      </x:c>
      <x:c r="AB178" s="34" t="n">
        <x:v>446.878947</x:v>
      </x:c>
      <x:c r="AC178" s="34" t="n">
        <x:v>19867.245</x:v>
      </x:c>
      <x:c r="AD178" s="34" t="n">
        <x:v>44.457778</x:v>
      </x:c>
      <x:c r="AE178" s="40" t="b">
        <x:v>1</x:v>
      </x:c>
      <x:c r="AF178" s="40" t="b">
        <x:v>1</x:v>
      </x:c>
      <x:c r="AG178" s="34" t="str"/>
      <x:c r="AH178" s="34" t="n">
        <x:v>0</x:v>
      </x:c>
      <x:c r="AI178" s="34" t="str">
        <x:v>3.446647212967946e-06</x:v>
      </x:c>
      <x:c r="AJ178" s="40" t="b">
        <x:v>1</x:v>
      </x:c>
      <x:c r="AK178" s="40" t="b">
        <x:v>1</x:v>
      </x:c>
      <x:c r="AL178" s="40" t="b">
        <x:v>1</x:v>
      </x:c>
      <x:c r="AM178" s="40" t="b">
        <x:v>1</x:v>
      </x:c>
      <x:c r="AN178" s="34" t="str"/>
      <x:c r="AO178" s="34" t="n">
        <x:v>0</x:v>
      </x:c>
      <x:c r="AP178" s="34" t="n">
        <x:v>0</x:v>
      </x:c>
      <x:c r="AQ178" s="34" t="n">
        <x:v>0</x:v>
      </x:c>
      <x:c r="AR178" s="34" t="n">
        <x:v>2</x:v>
      </x:c>
      <x:c r="AS178" s="34" t="n">
        <x:v>2</x:v>
      </x:c>
      <x:c r="AT178" s="34" t="n">
        <x:v>0.47641018879999986</x:v>
      </x:c>
      <x:c r="AU178" s="34" t="n">
        <x:v>0.65</x:v>
      </x:c>
      <x:c r="AV178" s="34" t="n">
        <x:v>2.16</x:v>
      </x:c>
    </x:row>
    <x:row r="179">
      <x:c r="A179" s="34" t="str">
        <x:v>NIPPON_STEEL_JP</x:v>
      </x:c>
      <x:c r="B179" s="34" t="str">
        <x:v>Nippon Steel</x:v>
      </x:c>
      <x:c r="C179" s="34" t="str">
        <x:v>ACCELERATED_15C</x:v>
      </x:c>
      <x:c r="D179" s="34" t="str">
        <x:v>P3</x:v>
      </x:c>
      <x:c r="E179" s="34" t="n">
        <x:v>2038</x:v>
      </x:c>
      <x:c r="F179" s="34" t="n">
        <x:v>5</x:v>
      </x:c>
      <x:c r="G179" s="34" t="n">
        <x:v>21.944999</x:v>
      </x:c>
      <x:c r="H179" s="34" t="n">
        <x:v>27.2</x:v>
      </x:c>
      <x:c r="I179" s="34" t="n">
        <x:v>5.255001</x:v>
      </x:c>
      <x:c r="J179" s="34" t="n">
        <x:v>80.68</x:v>
      </x:c>
      <x:c r="K179" s="34" t="n">
        <x:v>0.6545</x:v>
      </x:c>
      <x:c r="L179" s="34" t="n">
        <x:v>3.7</x:v>
      </x:c>
      <x:c r="M179" s="34" t="n">
        <x:v>3.0455</x:v>
      </x:c>
      <x:c r="N179" s="34" t="n">
        <x:v>17.689</x:v>
      </x:c>
      <x:c r="O179" s="34" t="n">
        <x:v>18.018</x:v>
      </x:c>
      <x:c r="P179" s="34" t="n">
        <x:v>27.2</x:v>
      </x:c>
      <x:c r="Q179" s="34" t="n">
        <x:v>9.182</x:v>
      </x:c>
      <x:c r="R179" s="34" t="n">
        <x:v>66.243</x:v>
      </x:c>
      <x:c r="S179" s="40" t="b">
        <x:v>1</x:v>
      </x:c>
      <x:c r="T179" s="34" t="str">
        <x:v>model_interpolation</x:v>
      </x:c>
      <x:c r="U179" s="34" t="str">
        <x:v>Linear interpolation from 2035 to 2040</x:v>
      </x:c>
      <x:c r="V179" s="34" t="str">
        <x:v>CAND-32B1C4DEC95227</x:v>
      </x:c>
      <x:c r="W179" s="34" t="str">
        <x:v>P3</x:v>
      </x:c>
      <x:c r="X179" s="34" t="str">
        <x:v>PORT-0ACD636A8AEE</x:v>
      </x:c>
      <x:c r="Y179" s="34" t="n">
        <x:v>1000</x:v>
      </x:c>
      <x:c r="Z179" s="34" t="n">
        <x:v>45.577186</x:v>
      </x:c>
      <x:c r="AA179" s="34" t="n">
        <x:v>14.234655</x:v>
      </x:c>
      <x:c r="AB179" s="34" t="n">
        <x:v>446.878947</x:v>
      </x:c>
      <x:c r="AC179" s="34" t="n">
        <x:v>19867.245</x:v>
      </x:c>
      <x:c r="AD179" s="34" t="n">
        <x:v>44.457778</x:v>
      </x:c>
      <x:c r="AE179" s="40" t="b">
        <x:v>1</x:v>
      </x:c>
      <x:c r="AF179" s="40" t="b">
        <x:v>1</x:v>
      </x:c>
      <x:c r="AG179" s="34" t="str"/>
      <x:c r="AH179" s="34" t="n">
        <x:v>0</x:v>
      </x:c>
      <x:c r="AI179" s="34" t="str">
        <x:v>3.446647212967946e-06</x:v>
      </x:c>
      <x:c r="AJ179" s="40" t="b">
        <x:v>1</x:v>
      </x:c>
      <x:c r="AK179" s="40" t="b">
        <x:v>1</x:v>
      </x:c>
      <x:c r="AL179" s="40" t="b">
        <x:v>1</x:v>
      </x:c>
      <x:c r="AM179" s="40" t="b">
        <x:v>1</x:v>
      </x:c>
      <x:c r="AN179" s="34" t="str"/>
      <x:c r="AO179" s="34" t="n">
        <x:v>0</x:v>
      </x:c>
      <x:c r="AP179" s="34" t="n">
        <x:v>0</x:v>
      </x:c>
      <x:c r="AQ179" s="34" t="n">
        <x:v>0</x:v>
      </x:c>
      <x:c r="AR179" s="34" t="n">
        <x:v>2</x:v>
      </x:c>
      <x:c r="AS179" s="34" t="n">
        <x:v>2</x:v>
      </x:c>
      <x:c r="AT179" s="34" t="n">
        <x:v>0.47641018879999986</x:v>
      </x:c>
      <x:c r="AU179" s="34" t="n">
        <x:v>0.65</x:v>
      </x:c>
      <x:c r="AV179" s="34" t="n">
        <x:v>2.16</x:v>
      </x:c>
    </x:row>
    <x:row r="180">
      <x:c r="A180" s="34" t="str">
        <x:v>NIPPON_STEEL_JP</x:v>
      </x:c>
      <x:c r="B180" s="34" t="str">
        <x:v>Nippon Steel</x:v>
      </x:c>
      <x:c r="C180" s="34" t="str">
        <x:v>ACCELERATED_15C</x:v>
      </x:c>
      <x:c r="D180" s="34" t="str">
        <x:v>P3</x:v>
      </x:c>
      <x:c r="E180" s="34" t="n">
        <x:v>2039</x:v>
      </x:c>
      <x:c r="F180" s="34" t="n">
        <x:v>5</x:v>
      </x:c>
      <x:c r="G180" s="34" t="n">
        <x:v>21.944999</x:v>
      </x:c>
      <x:c r="H180" s="34" t="n">
        <x:v>28.6</x:v>
      </x:c>
      <x:c r="I180" s="34" t="n">
        <x:v>6.655001</x:v>
      </x:c>
      <x:c r="J180" s="34" t="n">
        <x:v>76.731</x:v>
      </x:c>
      <x:c r="K180" s="34" t="n">
        <x:v>0.6545</x:v>
      </x:c>
      <x:c r="L180" s="34" t="n">
        <x:v>4.1</x:v>
      </x:c>
      <x:c r="M180" s="34" t="n">
        <x:v>3.4455</x:v>
      </x:c>
      <x:c r="N180" s="34" t="n">
        <x:v>15.963</x:v>
      </x:c>
      <x:c r="O180" s="34" t="n">
        <x:v>18.018</x:v>
      </x:c>
      <x:c r="P180" s="34" t="n">
        <x:v>29.6</x:v>
      </x:c>
      <x:c r="Q180" s="34" t="n">
        <x:v>11.582</x:v>
      </x:c>
      <x:c r="R180" s="34" t="n">
        <x:v>60.872</x:v>
      </x:c>
      <x:c r="S180" s="40" t="b">
        <x:v>1</x:v>
      </x:c>
      <x:c r="T180" s="34" t="str">
        <x:v>model_interpolation</x:v>
      </x:c>
      <x:c r="U180" s="34" t="str">
        <x:v>Linear interpolation from 2035 to 2040</x:v>
      </x:c>
      <x:c r="V180" s="34" t="str">
        <x:v>CAND-32B1C4DEC95227</x:v>
      </x:c>
      <x:c r="W180" s="34" t="str">
        <x:v>P3</x:v>
      </x:c>
      <x:c r="X180" s="34" t="str">
        <x:v>PORT-0ACD636A8AEE</x:v>
      </x:c>
      <x:c r="Y180" s="34" t="n">
        <x:v>1000</x:v>
      </x:c>
      <x:c r="Z180" s="34" t="n">
        <x:v>45.577186</x:v>
      </x:c>
      <x:c r="AA180" s="34" t="n">
        <x:v>14.234655</x:v>
      </x:c>
      <x:c r="AB180" s="34" t="n">
        <x:v>446.878947</x:v>
      </x:c>
      <x:c r="AC180" s="34" t="n">
        <x:v>19867.245</x:v>
      </x:c>
      <x:c r="AD180" s="34" t="n">
        <x:v>44.457778</x:v>
      </x:c>
      <x:c r="AE180" s="40" t="b">
        <x:v>1</x:v>
      </x:c>
      <x:c r="AF180" s="40" t="b">
        <x:v>1</x:v>
      </x:c>
      <x:c r="AG180" s="34" t="str"/>
      <x:c r="AH180" s="34" t="n">
        <x:v>0</x:v>
      </x:c>
      <x:c r="AI180" s="34" t="str">
        <x:v>3.446647212967946e-06</x:v>
      </x:c>
      <x:c r="AJ180" s="40" t="b">
        <x:v>1</x:v>
      </x:c>
      <x:c r="AK180" s="40" t="b">
        <x:v>1</x:v>
      </x:c>
      <x:c r="AL180" s="40" t="b">
        <x:v>1</x:v>
      </x:c>
      <x:c r="AM180" s="40" t="b">
        <x:v>1</x:v>
      </x:c>
      <x:c r="AN180" s="34" t="str"/>
      <x:c r="AO180" s="34" t="n">
        <x:v>0</x:v>
      </x:c>
      <x:c r="AP180" s="34" t="n">
        <x:v>0</x:v>
      </x:c>
      <x:c r="AQ180" s="34" t="n">
        <x:v>0</x:v>
      </x:c>
      <x:c r="AR180" s="34" t="n">
        <x:v>2</x:v>
      </x:c>
      <x:c r="AS180" s="34" t="n">
        <x:v>2</x:v>
      </x:c>
      <x:c r="AT180" s="34" t="n">
        <x:v>0.47641018879999986</x:v>
      </x:c>
      <x:c r="AU180" s="34" t="n">
        <x:v>0.65</x:v>
      </x:c>
      <x:c r="AV180" s="34" t="n">
        <x:v>2.16</x:v>
      </x:c>
    </x:row>
    <x:row r="181">
      <x:c r="A181" s="34" t="str">
        <x:v>NIPPON_STEEL_JP</x:v>
      </x:c>
      <x:c r="B181" s="34" t="str">
        <x:v>Nippon Steel</x:v>
      </x:c>
      <x:c r="C181" s="34" t="str">
        <x:v>ACCELERATED_15C</x:v>
      </x:c>
      <x:c r="D181" s="34" t="str">
        <x:v>P3</x:v>
      </x:c>
      <x:c r="E181" s="34" t="n">
        <x:v>2040</x:v>
      </x:c>
      <x:c r="F181" s="34" t="n">
        <x:v>5</x:v>
      </x:c>
      <x:c r="G181" s="34" t="n">
        <x:v>21.944999</x:v>
      </x:c>
      <x:c r="H181" s="34" t="n">
        <x:v>30</x:v>
      </x:c>
      <x:c r="I181" s="34" t="n">
        <x:v>8.055001</x:v>
      </x:c>
      <x:c r="J181" s="34" t="n">
        <x:v>73.15</x:v>
      </x:c>
      <x:c r="K181" s="34" t="n">
        <x:v>0.6545</x:v>
      </x:c>
      <x:c r="L181" s="34" t="n">
        <x:v>4.5</x:v>
      </x:c>
      <x:c r="M181" s="34" t="n">
        <x:v>3.8455</x:v>
      </x:c>
      <x:c r="N181" s="34" t="n">
        <x:v>14.544</x:v>
      </x:c>
      <x:c r="O181" s="34" t="n">
        <x:v>18.018</x:v>
      </x:c>
      <x:c r="P181" s="34" t="n">
        <x:v>32</x:v>
      </x:c>
      <x:c r="Q181" s="34" t="n">
        <x:v>13.982</x:v>
      </x:c>
      <x:c r="R181" s="34" t="n">
        <x:v>56.306</x:v>
      </x:c>
      <x:c r="S181" s="40" t="b">
        <x:v>1</x:v>
      </x:c>
      <x:c r="T181" s="34" t="str">
        <x:v>model_estimate</x:v>
      </x:c>
      <x:c r="U181" s="34" t="str">
        <x:v>Illustrative accelerated envelope; not GCAM or an official supply forecast</x:v>
      </x:c>
      <x:c r="V181" s="34" t="str">
        <x:v>CAND-32B1C4DEC95227</x:v>
      </x:c>
      <x:c r="W181" s="34" t="str">
        <x:v>P3</x:v>
      </x:c>
      <x:c r="X181" s="34" t="str">
        <x:v>PORT-0ACD636A8AEE</x:v>
      </x:c>
      <x:c r="Y181" s="34" t="n">
        <x:v>1000</x:v>
      </x:c>
      <x:c r="Z181" s="34" t="n">
        <x:v>45.577186</x:v>
      </x:c>
      <x:c r="AA181" s="34" t="n">
        <x:v>14.234655</x:v>
      </x:c>
      <x:c r="AB181" s="34" t="n">
        <x:v>446.878947</x:v>
      </x:c>
      <x:c r="AC181" s="34" t="n">
        <x:v>19867.245</x:v>
      </x:c>
      <x:c r="AD181" s="34" t="n">
        <x:v>44.457778</x:v>
      </x:c>
      <x:c r="AE181" s="40" t="b">
        <x:v>1</x:v>
      </x:c>
      <x:c r="AF181" s="40" t="b">
        <x:v>1</x:v>
      </x:c>
      <x:c r="AG181" s="34" t="str"/>
      <x:c r="AH181" s="34" t="n">
        <x:v>0</x:v>
      </x:c>
      <x:c r="AI181" s="34" t="str">
        <x:v>3.446647212967946e-06</x:v>
      </x:c>
      <x:c r="AJ181" s="40" t="b">
        <x:v>1</x:v>
      </x:c>
      <x:c r="AK181" s="40" t="b">
        <x:v>1</x:v>
      </x:c>
      <x:c r="AL181" s="40" t="b">
        <x:v>1</x:v>
      </x:c>
      <x:c r="AM181" s="40" t="b">
        <x:v>1</x:v>
      </x:c>
      <x:c r="AN181" s="34" t="str"/>
      <x:c r="AO181" s="34" t="n">
        <x:v>0</x:v>
      </x:c>
      <x:c r="AP181" s="34" t="n">
        <x:v>0</x:v>
      </x:c>
      <x:c r="AQ181" s="34" t="n">
        <x:v>0</x:v>
      </x:c>
      <x:c r="AR181" s="34" t="n">
        <x:v>2</x:v>
      </x:c>
      <x:c r="AS181" s="34" t="n">
        <x:v>2</x:v>
      </x:c>
      <x:c r="AT181" s="34" t="n">
        <x:v>0.47641018879999986</x:v>
      </x:c>
      <x:c r="AU181" s="34" t="n">
        <x:v>0.65</x:v>
      </x:c>
      <x:c r="AV181" s="34" t="n">
        <x:v>2.16</x:v>
      </x:c>
    </x:row>
    <x:row r="182">
      <x:c r="A182" s="34" t="str">
        <x:v>POSCO_KR</x:v>
      </x:c>
      <x:c r="B182" s="34" t="str">
        <x:v>POSCO</x:v>
      </x:c>
      <x:c r="C182" s="34" t="str">
        <x:v>DISCLOSED_PATH</x:v>
      </x:c>
      <x:c r="D182" s="34" t="str">
        <x:v>P1</x:v>
      </x:c>
      <x:c r="E182" s="34" t="n">
        <x:v>2026</x:v>
      </x:c>
      <x:c r="F182" s="34" t="n">
        <x:v>0</x:v>
      </x:c>
      <x:c r="G182" s="34" t="n">
        <x:v>0</x:v>
      </x:c>
      <x:c r="H182" s="34" t="n">
        <x:v>8</x:v>
      </x:c>
      <x:c r="I182" s="34" t="n">
        <x:v>8</x:v>
      </x:c>
      <x:c r="J182" s="34" t="n">
        <x:v>0</x:v>
      </x:c>
      <x:c r="K182" s="34" t="n">
        <x:v>0</x:v>
      </x:c>
      <x:c r="L182" s="34" t="n">
        <x:v>0</x:v>
      </x:c>
      <x:c r="M182" s="34" t="n">
        <x:v>0</x:v>
      </x:c>
      <x:c r="N182" s="34" t="n">
        <x:v>0</x:v>
      </x:c>
      <x:c r="O182" s="34" t="n">
        <x:v>0</x:v>
      </x:c>
      <x:c r="P182" s="34" t="n">
        <x:v>2</x:v>
      </x:c>
      <x:c r="Q182" s="34" t="n">
        <x:v>2</x:v>
      </x:c>
      <x:c r="R182" s="34" t="n">
        <x:v>0</x:v>
      </x:c>
      <x:c r="S182" s="40" t="b">
        <x:v>1</x:v>
      </x:c>
      <x:c r="T182" s="34" t="str">
        <x:v>model_interpolation</x:v>
      </x:c>
      <x:c r="U182" s="34" t="str">
        <x:v>Linear interpolation from 2026 to 2030</x:v>
      </x:c>
      <x:c r="V182" s="34" t="str">
        <x:v>CAND-44C957BBFA61A4</x:v>
      </x:c>
      <x:c r="W182" s="34" t="str">
        <x:v>P1</x:v>
      </x:c>
      <x:c r="X182" s="34" t="str">
        <x:v>PORT-96133A6427FE</x:v>
      </x:c>
      <x:c r="Y182" s="34" t="n">
        <x:v>1000</x:v>
      </x:c>
      <x:c r="Z182" s="34" t="n">
        <x:v>70.973588</x:v>
      </x:c>
      <x:c r="AA182" s="34" t="n">
        <x:v>20.481379</x:v>
      </x:c>
      <x:c r="AB182" s="34" t="n">
        <x:v>430.20423</x:v>
      </x:c>
      <x:c r="AC182" s="34" t="n">
        <x:v>29693.364</x:v>
      </x:c>
      <x:c r="AD182" s="34" t="n">
        <x:v>69.021552</x:v>
      </x:c>
      <x:c r="AE182" s="40" t="b">
        <x:v>1</x:v>
      </x:c>
      <x:c r="AF182" s="40" t="b">
        <x:v>1</x:v>
      </x:c>
      <x:c r="AG182" s="34" t="str"/>
      <x:c r="AH182" s="34" t="n">
        <x:v>0</x:v>
      </x:c>
      <x:c r="AI182" s="34" t="str">
        <x:v>2.0275124185786808e-05</x:v>
      </x:c>
      <x:c r="AJ182" s="40" t="b">
        <x:v>1</x:v>
      </x:c>
      <x:c r="AK182" s="40" t="b">
        <x:v>1</x:v>
      </x:c>
      <x:c r="AL182" s="40" t="b">
        <x:v>1</x:v>
      </x:c>
      <x:c r="AM182" s="40" t="b">
        <x:v>1</x:v>
      </x:c>
      <x:c r="AN182" s="34" t="str"/>
      <x:c r="AO182" s="34" t="n">
        <x:v>0</x:v>
      </x:c>
      <x:c r="AP182" s="34" t="n">
        <x:v>0</x:v>
      </x:c>
      <x:c r="AQ182" s="34" t="n">
        <x:v>0</x:v>
      </x:c>
      <x:c r="AR182" s="34" t="n">
        <x:v>2</x:v>
      </x:c>
      <x:c r="AS182" s="34" t="n">
        <x:v>3</x:v>
      </x:c>
      <x:c r="AT182" s="34" t="n">
        <x:v>0.45933660799999987</x:v>
      </x:c>
      <x:c r="AU182" s="34" t="n">
        <x:v>0.65</x:v>
      </x:c>
      <x:c r="AV182" s="34" t="n">
        <x:v>2.02</x:v>
      </x:c>
    </x:row>
    <x:row r="183">
      <x:c r="A183" s="34" t="str">
        <x:v>POSCO_KR</x:v>
      </x:c>
      <x:c r="B183" s="34" t="str">
        <x:v>POSCO</x:v>
      </x:c>
      <x:c r="C183" s="34" t="str">
        <x:v>DISCLOSED_PATH</x:v>
      </x:c>
      <x:c r="D183" s="34" t="str">
        <x:v>P1</x:v>
      </x:c>
      <x:c r="E183" s="34" t="n">
        <x:v>2027</x:v>
      </x:c>
      <x:c r="F183" s="34" t="n">
        <x:v>0</x:v>
      </x:c>
      <x:c r="G183" s="34" t="n">
        <x:v>0</x:v>
      </x:c>
      <x:c r="H183" s="34" t="n">
        <x:v>9</x:v>
      </x:c>
      <x:c r="I183" s="34" t="n">
        <x:v>9</x:v>
      </x:c>
      <x:c r="J183" s="34" t="n">
        <x:v>0</x:v>
      </x:c>
      <x:c r="K183" s="34" t="n">
        <x:v>0</x:v>
      </x:c>
      <x:c r="L183" s="34" t="n">
        <x:v>0.125</x:v>
      </x:c>
      <x:c r="M183" s="34" t="n">
        <x:v>0.125</x:v>
      </x:c>
      <x:c r="N183" s="34" t="n">
        <x:v>0</x:v>
      </x:c>
      <x:c r="O183" s="34" t="n">
        <x:v>0</x:v>
      </x:c>
      <x:c r="P183" s="34" t="n">
        <x:v>3.25</x:v>
      </x:c>
      <x:c r="Q183" s="34" t="n">
        <x:v>3.25</x:v>
      </x:c>
      <x:c r="R183" s="34" t="n">
        <x:v>0</x:v>
      </x:c>
      <x:c r="S183" s="40" t="b">
        <x:v>1</x:v>
      </x:c>
      <x:c r="T183" s="34" t="str">
        <x:v>model_interpolation</x:v>
      </x:c>
      <x:c r="U183" s="34" t="str">
        <x:v>Linear interpolation from 2026 to 2030</x:v>
      </x:c>
      <x:c r="V183" s="34" t="str">
        <x:v>CAND-44C957BBFA61A4</x:v>
      </x:c>
      <x:c r="W183" s="34" t="str">
        <x:v>P1</x:v>
      </x:c>
      <x:c r="X183" s="34" t="str">
        <x:v>PORT-96133A6427FE</x:v>
      </x:c>
      <x:c r="Y183" s="34" t="n">
        <x:v>1000</x:v>
      </x:c>
      <x:c r="Z183" s="34" t="n">
        <x:v>70.973588</x:v>
      </x:c>
      <x:c r="AA183" s="34" t="n">
        <x:v>20.481379</x:v>
      </x:c>
      <x:c r="AB183" s="34" t="n">
        <x:v>430.20423</x:v>
      </x:c>
      <x:c r="AC183" s="34" t="n">
        <x:v>29693.364</x:v>
      </x:c>
      <x:c r="AD183" s="34" t="n">
        <x:v>69.021552</x:v>
      </x:c>
      <x:c r="AE183" s="40" t="b">
        <x:v>1</x:v>
      </x:c>
      <x:c r="AF183" s="40" t="b">
        <x:v>1</x:v>
      </x:c>
      <x:c r="AG183" s="34" t="str"/>
      <x:c r="AH183" s="34" t="n">
        <x:v>0</x:v>
      </x:c>
      <x:c r="AI183" s="34" t="str">
        <x:v>2.0275124185786808e-05</x:v>
      </x:c>
      <x:c r="AJ183" s="40" t="b">
        <x:v>1</x:v>
      </x:c>
      <x:c r="AK183" s="40" t="b">
        <x:v>1</x:v>
      </x:c>
      <x:c r="AL183" s="40" t="b">
        <x:v>1</x:v>
      </x:c>
      <x:c r="AM183" s="40" t="b">
        <x:v>1</x:v>
      </x:c>
      <x:c r="AN183" s="34" t="str"/>
      <x:c r="AO183" s="34" t="n">
        <x:v>0</x:v>
      </x:c>
      <x:c r="AP183" s="34" t="n">
        <x:v>0</x:v>
      </x:c>
      <x:c r="AQ183" s="34" t="n">
        <x:v>0</x:v>
      </x:c>
      <x:c r="AR183" s="34" t="n">
        <x:v>2</x:v>
      </x:c>
      <x:c r="AS183" s="34" t="n">
        <x:v>3</x:v>
      </x:c>
      <x:c r="AT183" s="34" t="n">
        <x:v>0.45933660799999987</x:v>
      </x:c>
      <x:c r="AU183" s="34" t="n">
        <x:v>0.65</x:v>
      </x:c>
      <x:c r="AV183" s="34" t="n">
        <x:v>2.02</x:v>
      </x:c>
    </x:row>
    <x:row r="184">
      <x:c r="A184" s="34" t="str">
        <x:v>POSCO_KR</x:v>
      </x:c>
      <x:c r="B184" s="34" t="str">
        <x:v>POSCO</x:v>
      </x:c>
      <x:c r="C184" s="34" t="str">
        <x:v>DISCLOSED_PATH</x:v>
      </x:c>
      <x:c r="D184" s="34" t="str">
        <x:v>P1</x:v>
      </x:c>
      <x:c r="E184" s="34" t="n">
        <x:v>2028</x:v>
      </x:c>
      <x:c r="F184" s="34" t="n">
        <x:v>0</x:v>
      </x:c>
      <x:c r="G184" s="34" t="n">
        <x:v>0</x:v>
      </x:c>
      <x:c r="H184" s="34" t="n">
        <x:v>10</x:v>
      </x:c>
      <x:c r="I184" s="34" t="n">
        <x:v>10</x:v>
      </x:c>
      <x:c r="J184" s="34" t="n">
        <x:v>0</x:v>
      </x:c>
      <x:c r="K184" s="34" t="n">
        <x:v>0</x:v>
      </x:c>
      <x:c r="L184" s="34" t="n">
        <x:v>0.25</x:v>
      </x:c>
      <x:c r="M184" s="34" t="n">
        <x:v>0.25</x:v>
      </x:c>
      <x:c r="N184" s="34" t="n">
        <x:v>0</x:v>
      </x:c>
      <x:c r="O184" s="34" t="n">
        <x:v>0</x:v>
      </x:c>
      <x:c r="P184" s="34" t="n">
        <x:v>4.5</x:v>
      </x:c>
      <x:c r="Q184" s="34" t="n">
        <x:v>4.5</x:v>
      </x:c>
      <x:c r="R184" s="34" t="n">
        <x:v>0</x:v>
      </x:c>
      <x:c r="S184" s="40" t="b">
        <x:v>1</x:v>
      </x:c>
      <x:c r="T184" s="34" t="str">
        <x:v>model_interpolation</x:v>
      </x:c>
      <x:c r="U184" s="34" t="str">
        <x:v>Linear interpolation from 2026 to 2030</x:v>
      </x:c>
      <x:c r="V184" s="34" t="str">
        <x:v>CAND-44C957BBFA61A4</x:v>
      </x:c>
      <x:c r="W184" s="34" t="str">
        <x:v>P1</x:v>
      </x:c>
      <x:c r="X184" s="34" t="str">
        <x:v>PORT-96133A6427FE</x:v>
      </x:c>
      <x:c r="Y184" s="34" t="n">
        <x:v>1000</x:v>
      </x:c>
      <x:c r="Z184" s="34" t="n">
        <x:v>70.973588</x:v>
      </x:c>
      <x:c r="AA184" s="34" t="n">
        <x:v>20.481379</x:v>
      </x:c>
      <x:c r="AB184" s="34" t="n">
        <x:v>430.20423</x:v>
      </x:c>
      <x:c r="AC184" s="34" t="n">
        <x:v>29693.364</x:v>
      </x:c>
      <x:c r="AD184" s="34" t="n">
        <x:v>69.021552</x:v>
      </x:c>
      <x:c r="AE184" s="40" t="b">
        <x:v>1</x:v>
      </x:c>
      <x:c r="AF184" s="40" t="b">
        <x:v>1</x:v>
      </x:c>
      <x:c r="AG184" s="34" t="str"/>
      <x:c r="AH184" s="34" t="n">
        <x:v>0</x:v>
      </x:c>
      <x:c r="AI184" s="34" t="str">
        <x:v>2.0275124185786808e-05</x:v>
      </x:c>
      <x:c r="AJ184" s="40" t="b">
        <x:v>1</x:v>
      </x:c>
      <x:c r="AK184" s="40" t="b">
        <x:v>1</x:v>
      </x:c>
      <x:c r="AL184" s="40" t="b">
        <x:v>1</x:v>
      </x:c>
      <x:c r="AM184" s="40" t="b">
        <x:v>1</x:v>
      </x:c>
      <x:c r="AN184" s="34" t="str"/>
      <x:c r="AO184" s="34" t="n">
        <x:v>0</x:v>
      </x:c>
      <x:c r="AP184" s="34" t="n">
        <x:v>0</x:v>
      </x:c>
      <x:c r="AQ184" s="34" t="n">
        <x:v>0</x:v>
      </x:c>
      <x:c r="AR184" s="34" t="n">
        <x:v>2</x:v>
      </x:c>
      <x:c r="AS184" s="34" t="n">
        <x:v>3</x:v>
      </x:c>
      <x:c r="AT184" s="34" t="n">
        <x:v>0.45933660799999987</x:v>
      </x:c>
      <x:c r="AU184" s="34" t="n">
        <x:v>0.65</x:v>
      </x:c>
      <x:c r="AV184" s="34" t="n">
        <x:v>2.02</x:v>
      </x:c>
    </x:row>
    <x:row r="185">
      <x:c r="A185" s="34" t="str">
        <x:v>POSCO_KR</x:v>
      </x:c>
      <x:c r="B185" s="34" t="str">
        <x:v>POSCO</x:v>
      </x:c>
      <x:c r="C185" s="34" t="str">
        <x:v>DISCLOSED_PATH</x:v>
      </x:c>
      <x:c r="D185" s="34" t="str">
        <x:v>P1</x:v>
      </x:c>
      <x:c r="E185" s="34" t="n">
        <x:v>2029</x:v>
      </x:c>
      <x:c r="F185" s="34" t="n">
        <x:v>1</x:v>
      </x:c>
      <x:c r="G185" s="34" t="n">
        <x:v>6.839998</x:v>
      </x:c>
      <x:c r="H185" s="34" t="n">
        <x:v>11</x:v>
      </x:c>
      <x:c r="I185" s="34" t="n">
        <x:v>4.160002</x:v>
      </x:c>
      <x:c r="J185" s="34" t="n">
        <x:v>62.182</x:v>
      </x:c>
      <x:c r="K185" s="34" t="n">
        <x:v>0</x:v>
      </x:c>
      <x:c r="L185" s="34" t="n">
        <x:v>0.375</x:v>
      </x:c>
      <x:c r="M185" s="34" t="n">
        <x:v>0.375</x:v>
      </x:c>
      <x:c r="N185" s="34" t="n">
        <x:v>0</x:v>
      </x:c>
      <x:c r="O185" s="34" t="n">
        <x:v>4.255999</x:v>
      </x:c>
      <x:c r="P185" s="34" t="n">
        <x:v>5.75</x:v>
      </x:c>
      <x:c r="Q185" s="34" t="n">
        <x:v>1.494001</x:v>
      </x:c>
      <x:c r="R185" s="34" t="n">
        <x:v>74.017</x:v>
      </x:c>
      <x:c r="S185" s="40" t="b">
        <x:v>1</x:v>
      </x:c>
      <x:c r="T185" s="34" t="str">
        <x:v>model_interpolation</x:v>
      </x:c>
      <x:c r="U185" s="34" t="str">
        <x:v>Linear interpolation from 2026 to 2030</x:v>
      </x:c>
      <x:c r="V185" s="34" t="str">
        <x:v>CAND-44C957BBFA61A4</x:v>
      </x:c>
      <x:c r="W185" s="34" t="str">
        <x:v>P1</x:v>
      </x:c>
      <x:c r="X185" s="34" t="str">
        <x:v>PORT-96133A6427FE</x:v>
      </x:c>
      <x:c r="Y185" s="34" t="n">
        <x:v>1000</x:v>
      </x:c>
      <x:c r="Z185" s="34" t="n">
        <x:v>70.973588</x:v>
      </x:c>
      <x:c r="AA185" s="34" t="n">
        <x:v>20.481379</x:v>
      </x:c>
      <x:c r="AB185" s="34" t="n">
        <x:v>430.20423</x:v>
      </x:c>
      <x:c r="AC185" s="34" t="n">
        <x:v>29693.364</x:v>
      </x:c>
      <x:c r="AD185" s="34" t="n">
        <x:v>69.021552</x:v>
      </x:c>
      <x:c r="AE185" s="40" t="b">
        <x:v>1</x:v>
      </x:c>
      <x:c r="AF185" s="40" t="b">
        <x:v>1</x:v>
      </x:c>
      <x:c r="AG185" s="34" t="str"/>
      <x:c r="AH185" s="34" t="n">
        <x:v>0</x:v>
      </x:c>
      <x:c r="AI185" s="34" t="str">
        <x:v>2.0275124185786808e-05</x:v>
      </x:c>
      <x:c r="AJ185" s="40" t="b">
        <x:v>1</x:v>
      </x:c>
      <x:c r="AK185" s="40" t="b">
        <x:v>1</x:v>
      </x:c>
      <x:c r="AL185" s="40" t="b">
        <x:v>1</x:v>
      </x:c>
      <x:c r="AM185" s="40" t="b">
        <x:v>1</x:v>
      </x:c>
      <x:c r="AN185" s="34" t="str"/>
      <x:c r="AO185" s="34" t="n">
        <x:v>0</x:v>
      </x:c>
      <x:c r="AP185" s="34" t="n">
        <x:v>0</x:v>
      </x:c>
      <x:c r="AQ185" s="34" t="n">
        <x:v>0</x:v>
      </x:c>
      <x:c r="AR185" s="34" t="n">
        <x:v>2</x:v>
      </x:c>
      <x:c r="AS185" s="34" t="n">
        <x:v>3</x:v>
      </x:c>
      <x:c r="AT185" s="34" t="n">
        <x:v>0.45933660799999987</x:v>
      </x:c>
      <x:c r="AU185" s="34" t="n">
        <x:v>0.65</x:v>
      </x:c>
      <x:c r="AV185" s="34" t="n">
        <x:v>2.02</x:v>
      </x:c>
    </x:row>
    <x:row r="186">
      <x:c r="A186" s="34" t="str">
        <x:v>POSCO_KR</x:v>
      </x:c>
      <x:c r="B186" s="34" t="str">
        <x:v>POSCO</x:v>
      </x:c>
      <x:c r="C186" s="34" t="str">
        <x:v>DISCLOSED_PATH</x:v>
      </x:c>
      <x:c r="D186" s="34" t="str">
        <x:v>P1</x:v>
      </x:c>
      <x:c r="E186" s="34" t="n">
        <x:v>2030</x:v>
      </x:c>
      <x:c r="F186" s="34" t="n">
        <x:v>1</x:v>
      </x:c>
      <x:c r="G186" s="34" t="n">
        <x:v>6.839998</x:v>
      </x:c>
      <x:c r="H186" s="34" t="n">
        <x:v>12</x:v>
      </x:c>
      <x:c r="I186" s="34" t="n">
        <x:v>5.160002</x:v>
      </x:c>
      <x:c r="J186" s="34" t="n">
        <x:v>57</x:v>
      </x:c>
      <x:c r="K186" s="34" t="n">
        <x:v>0</x:v>
      </x:c>
      <x:c r="L186" s="34" t="n">
        <x:v>0.5</x:v>
      </x:c>
      <x:c r="M186" s="34" t="n">
        <x:v>0.5</x:v>
      </x:c>
      <x:c r="N186" s="34" t="n">
        <x:v>0</x:v>
      </x:c>
      <x:c r="O186" s="34" t="n">
        <x:v>4.255999</x:v>
      </x:c>
      <x:c r="P186" s="34" t="n">
        <x:v>7</x:v>
      </x:c>
      <x:c r="Q186" s="34" t="n">
        <x:v>2.744001</x:v>
      </x:c>
      <x:c r="R186" s="34" t="n">
        <x:v>60.8</x:v>
      </x:c>
      <x:c r="S186" s="40" t="b">
        <x:v>1</x:v>
      </x:c>
      <x:c r="T186" s="34" t="str">
        <x:v>model_interpolation</x:v>
      </x:c>
      <x:c r="U186" s="34" t="str">
        <x:v>Linear interpolation from 2030 to 2035</x:v>
      </x:c>
      <x:c r="V186" s="34" t="str">
        <x:v>CAND-44C957BBFA61A4</x:v>
      </x:c>
      <x:c r="W186" s="34" t="str">
        <x:v>P1</x:v>
      </x:c>
      <x:c r="X186" s="34" t="str">
        <x:v>PORT-96133A6427FE</x:v>
      </x:c>
      <x:c r="Y186" s="34" t="n">
        <x:v>1000</x:v>
      </x:c>
      <x:c r="Z186" s="34" t="n">
        <x:v>70.973588</x:v>
      </x:c>
      <x:c r="AA186" s="34" t="n">
        <x:v>20.481379</x:v>
      </x:c>
      <x:c r="AB186" s="34" t="n">
        <x:v>430.20423</x:v>
      </x:c>
      <x:c r="AC186" s="34" t="n">
        <x:v>29693.364</x:v>
      </x:c>
      <x:c r="AD186" s="34" t="n">
        <x:v>69.021552</x:v>
      </x:c>
      <x:c r="AE186" s="40" t="b">
        <x:v>1</x:v>
      </x:c>
      <x:c r="AF186" s="40" t="b">
        <x:v>1</x:v>
      </x:c>
      <x:c r="AG186" s="34" t="str"/>
      <x:c r="AH186" s="34" t="n">
        <x:v>0</x:v>
      </x:c>
      <x:c r="AI186" s="34" t="str">
        <x:v>2.0275124185786808e-05</x:v>
      </x:c>
      <x:c r="AJ186" s="40" t="b">
        <x:v>1</x:v>
      </x:c>
      <x:c r="AK186" s="40" t="b">
        <x:v>1</x:v>
      </x:c>
      <x:c r="AL186" s="40" t="b">
        <x:v>1</x:v>
      </x:c>
      <x:c r="AM186" s="40" t="b">
        <x:v>1</x:v>
      </x:c>
      <x:c r="AN186" s="34" t="str"/>
      <x:c r="AO186" s="34" t="n">
        <x:v>0</x:v>
      </x:c>
      <x:c r="AP186" s="34" t="n">
        <x:v>0</x:v>
      </x:c>
      <x:c r="AQ186" s="34" t="n">
        <x:v>0</x:v>
      </x:c>
      <x:c r="AR186" s="34" t="n">
        <x:v>2</x:v>
      </x:c>
      <x:c r="AS186" s="34" t="n">
        <x:v>3</x:v>
      </x:c>
      <x:c r="AT186" s="34" t="n">
        <x:v>0.45933660799999987</x:v>
      </x:c>
      <x:c r="AU186" s="34" t="n">
        <x:v>0.65</x:v>
      </x:c>
      <x:c r="AV186" s="34" t="n">
        <x:v>2.02</x:v>
      </x:c>
    </x:row>
    <x:row r="187">
      <x:c r="A187" s="34" t="str">
        <x:v>POSCO_KR</x:v>
      </x:c>
      <x:c r="B187" s="34" t="str">
        <x:v>POSCO</x:v>
      </x:c>
      <x:c r="C187" s="34" t="str">
        <x:v>DISCLOSED_PATH</x:v>
      </x:c>
      <x:c r="D187" s="34" t="str">
        <x:v>P1</x:v>
      </x:c>
      <x:c r="E187" s="34" t="n">
        <x:v>2031</x:v>
      </x:c>
      <x:c r="F187" s="34" t="n">
        <x:v>1</x:v>
      </x:c>
      <x:c r="G187" s="34" t="n">
        <x:v>6.839998</x:v>
      </x:c>
      <x:c r="H187" s="34" t="n">
        <x:v>13.2</x:v>
      </x:c>
      <x:c r="I187" s="34" t="n">
        <x:v>6.360002</x:v>
      </x:c>
      <x:c r="J187" s="34" t="n">
        <x:v>51.818</x:v>
      </x:c>
      <x:c r="K187" s="34" t="n">
        <x:v>0</x:v>
      </x:c>
      <x:c r="L187" s="34" t="n">
        <x:v>0.7</x:v>
      </x:c>
      <x:c r="M187" s="34" t="n">
        <x:v>0.7</x:v>
      </x:c>
      <x:c r="N187" s="34" t="n">
        <x:v>0</x:v>
      </x:c>
      <x:c r="O187" s="34" t="n">
        <x:v>4.255999</x:v>
      </x:c>
      <x:c r="P187" s="34" t="n">
        <x:v>8.6</x:v>
      </x:c>
      <x:c r="Q187" s="34" t="n">
        <x:v>4.344001</x:v>
      </x:c>
      <x:c r="R187" s="34" t="n">
        <x:v>49.488</x:v>
      </x:c>
      <x:c r="S187" s="40" t="b">
        <x:v>1</x:v>
      </x:c>
      <x:c r="T187" s="34" t="str">
        <x:v>model_interpolation</x:v>
      </x:c>
      <x:c r="U187" s="34" t="str">
        <x:v>Linear interpolation from 2030 to 2035</x:v>
      </x:c>
      <x:c r="V187" s="34" t="str">
        <x:v>CAND-44C957BBFA61A4</x:v>
      </x:c>
      <x:c r="W187" s="34" t="str">
        <x:v>P1</x:v>
      </x:c>
      <x:c r="X187" s="34" t="str">
        <x:v>PORT-96133A6427FE</x:v>
      </x:c>
      <x:c r="Y187" s="34" t="n">
        <x:v>1000</x:v>
      </x:c>
      <x:c r="Z187" s="34" t="n">
        <x:v>70.973588</x:v>
      </x:c>
      <x:c r="AA187" s="34" t="n">
        <x:v>20.481379</x:v>
      </x:c>
      <x:c r="AB187" s="34" t="n">
        <x:v>430.20423</x:v>
      </x:c>
      <x:c r="AC187" s="34" t="n">
        <x:v>29693.364</x:v>
      </x:c>
      <x:c r="AD187" s="34" t="n">
        <x:v>69.021552</x:v>
      </x:c>
      <x:c r="AE187" s="40" t="b">
        <x:v>1</x:v>
      </x:c>
      <x:c r="AF187" s="40" t="b">
        <x:v>1</x:v>
      </x:c>
      <x:c r="AG187" s="34" t="str"/>
      <x:c r="AH187" s="34" t="n">
        <x:v>0</x:v>
      </x:c>
      <x:c r="AI187" s="34" t="str">
        <x:v>2.0275124185786808e-05</x:v>
      </x:c>
      <x:c r="AJ187" s="40" t="b">
        <x:v>1</x:v>
      </x:c>
      <x:c r="AK187" s="40" t="b">
        <x:v>1</x:v>
      </x:c>
      <x:c r="AL187" s="40" t="b">
        <x:v>1</x:v>
      </x:c>
      <x:c r="AM187" s="40" t="b">
        <x:v>1</x:v>
      </x:c>
      <x:c r="AN187" s="34" t="str"/>
      <x:c r="AO187" s="34" t="n">
        <x:v>0</x:v>
      </x:c>
      <x:c r="AP187" s="34" t="n">
        <x:v>0</x:v>
      </x:c>
      <x:c r="AQ187" s="34" t="n">
        <x:v>0</x:v>
      </x:c>
      <x:c r="AR187" s="34" t="n">
        <x:v>2</x:v>
      </x:c>
      <x:c r="AS187" s="34" t="n">
        <x:v>3</x:v>
      </x:c>
      <x:c r="AT187" s="34" t="n">
        <x:v>0.45933660799999987</x:v>
      </x:c>
      <x:c r="AU187" s="34" t="n">
        <x:v>0.65</x:v>
      </x:c>
      <x:c r="AV187" s="34" t="n">
        <x:v>2.02</x:v>
      </x:c>
    </x:row>
    <x:row r="188">
      <x:c r="A188" s="34" t="str">
        <x:v>POSCO_KR</x:v>
      </x:c>
      <x:c r="B188" s="34" t="str">
        <x:v>POSCO</x:v>
      </x:c>
      <x:c r="C188" s="34" t="str">
        <x:v>DISCLOSED_PATH</x:v>
      </x:c>
      <x:c r="D188" s="34" t="str">
        <x:v>P1</x:v>
      </x:c>
      <x:c r="E188" s="34" t="n">
        <x:v>2032</x:v>
      </x:c>
      <x:c r="F188" s="34" t="n">
        <x:v>2</x:v>
      </x:c>
      <x:c r="G188" s="34" t="n">
        <x:v>7.859998</x:v>
      </x:c>
      <x:c r="H188" s="34" t="n">
        <x:v>14.4</x:v>
      </x:c>
      <x:c r="I188" s="34" t="n">
        <x:v>6.540002</x:v>
      </x:c>
      <x:c r="J188" s="34" t="n">
        <x:v>54.583</x:v>
      </x:c>
      <x:c r="K188" s="34" t="n">
        <x:v>0.374</x:v>
      </x:c>
      <x:c r="L188" s="34" t="n">
        <x:v>0.9</x:v>
      </x:c>
      <x:c r="M188" s="34" t="n">
        <x:v>0.526</x:v>
      </x:c>
      <x:c r="N188" s="34" t="n">
        <x:v>41.556</x:v>
      </x:c>
      <x:c r="O188" s="34" t="n">
        <x:v>7.383999</x:v>
      </x:c>
      <x:c r="P188" s="34" t="n">
        <x:v>10.2</x:v>
      </x:c>
      <x:c r="Q188" s="34" t="n">
        <x:v>2.816001</x:v>
      </x:c>
      <x:c r="R188" s="34" t="n">
        <x:v>72.392</x:v>
      </x:c>
      <x:c r="S188" s="40" t="b">
        <x:v>1</x:v>
      </x:c>
      <x:c r="T188" s="34" t="str">
        <x:v>model_interpolation</x:v>
      </x:c>
      <x:c r="U188" s="34" t="str">
        <x:v>Linear interpolation from 2030 to 2035</x:v>
      </x:c>
      <x:c r="V188" s="34" t="str">
        <x:v>CAND-44C957BBFA61A4</x:v>
      </x:c>
      <x:c r="W188" s="34" t="str">
        <x:v>P1</x:v>
      </x:c>
      <x:c r="X188" s="34" t="str">
        <x:v>PORT-96133A6427FE</x:v>
      </x:c>
      <x:c r="Y188" s="34" t="n">
        <x:v>1000</x:v>
      </x:c>
      <x:c r="Z188" s="34" t="n">
        <x:v>70.973588</x:v>
      </x:c>
      <x:c r="AA188" s="34" t="n">
        <x:v>20.481379</x:v>
      </x:c>
      <x:c r="AB188" s="34" t="n">
        <x:v>430.20423</x:v>
      </x:c>
      <x:c r="AC188" s="34" t="n">
        <x:v>29693.364</x:v>
      </x:c>
      <x:c r="AD188" s="34" t="n">
        <x:v>69.021552</x:v>
      </x:c>
      <x:c r="AE188" s="40" t="b">
        <x:v>1</x:v>
      </x:c>
      <x:c r="AF188" s="40" t="b">
        <x:v>1</x:v>
      </x:c>
      <x:c r="AG188" s="34" t="str"/>
      <x:c r="AH188" s="34" t="n">
        <x:v>0</x:v>
      </x:c>
      <x:c r="AI188" s="34" t="str">
        <x:v>2.0275124185786808e-05</x:v>
      </x:c>
      <x:c r="AJ188" s="40" t="b">
        <x:v>1</x:v>
      </x:c>
      <x:c r="AK188" s="40" t="b">
        <x:v>1</x:v>
      </x:c>
      <x:c r="AL188" s="40" t="b">
        <x:v>1</x:v>
      </x:c>
      <x:c r="AM188" s="40" t="b">
        <x:v>1</x:v>
      </x:c>
      <x:c r="AN188" s="34" t="str"/>
      <x:c r="AO188" s="34" t="n">
        <x:v>0</x:v>
      </x:c>
      <x:c r="AP188" s="34" t="n">
        <x:v>0</x:v>
      </x:c>
      <x:c r="AQ188" s="34" t="n">
        <x:v>0</x:v>
      </x:c>
      <x:c r="AR188" s="34" t="n">
        <x:v>2</x:v>
      </x:c>
      <x:c r="AS188" s="34" t="n">
        <x:v>3</x:v>
      </x:c>
      <x:c r="AT188" s="34" t="n">
        <x:v>0.45933660799999987</x:v>
      </x:c>
      <x:c r="AU188" s="34" t="n">
        <x:v>0.65</x:v>
      </x:c>
      <x:c r="AV188" s="34" t="n">
        <x:v>2.02</x:v>
      </x:c>
    </x:row>
    <x:row r="189">
      <x:c r="A189" s="34" t="str">
        <x:v>POSCO_KR</x:v>
      </x:c>
      <x:c r="B189" s="34" t="str">
        <x:v>POSCO</x:v>
      </x:c>
      <x:c r="C189" s="34" t="str">
        <x:v>DISCLOSED_PATH</x:v>
      </x:c>
      <x:c r="D189" s="34" t="str">
        <x:v>P1</x:v>
      </x:c>
      <x:c r="E189" s="34" t="n">
        <x:v>2033</x:v>
      </x:c>
      <x:c r="F189" s="34" t="n">
        <x:v>3</x:v>
      </x:c>
      <x:c r="G189" s="34" t="n">
        <x:v>8.880598</x:v>
      </x:c>
      <x:c r="H189" s="34" t="n">
        <x:v>15.6</x:v>
      </x:c>
      <x:c r="I189" s="34" t="n">
        <x:v>6.719402</x:v>
      </x:c>
      <x:c r="J189" s="34" t="n">
        <x:v>56.927</x:v>
      </x:c>
      <x:c r="K189" s="34" t="n">
        <x:v>0.374</x:v>
      </x:c>
      <x:c r="L189" s="34" t="n">
        <x:v>1.1</x:v>
      </x:c>
      <x:c r="M189" s="34" t="n">
        <x:v>0.726</x:v>
      </x:c>
      <x:c r="N189" s="34" t="n">
        <x:v>34</x:v>
      </x:c>
      <x:c r="O189" s="34" t="n">
        <x:v>7.452039</x:v>
      </x:c>
      <x:c r="P189" s="34" t="n">
        <x:v>11.8</x:v>
      </x:c>
      <x:c r="Q189" s="34" t="n">
        <x:v>4.347961</x:v>
      </x:c>
      <x:c r="R189" s="34" t="n">
        <x:v>63.153</x:v>
      </x:c>
      <x:c r="S189" s="40" t="b">
        <x:v>1</x:v>
      </x:c>
      <x:c r="T189" s="34" t="str">
        <x:v>model_interpolation</x:v>
      </x:c>
      <x:c r="U189" s="34" t="str">
        <x:v>Linear interpolation from 2030 to 2035</x:v>
      </x:c>
      <x:c r="V189" s="34" t="str">
        <x:v>CAND-44C957BBFA61A4</x:v>
      </x:c>
      <x:c r="W189" s="34" t="str">
        <x:v>P1</x:v>
      </x:c>
      <x:c r="X189" s="34" t="str">
        <x:v>PORT-96133A6427FE</x:v>
      </x:c>
      <x:c r="Y189" s="34" t="n">
        <x:v>1000</x:v>
      </x:c>
      <x:c r="Z189" s="34" t="n">
        <x:v>70.973588</x:v>
      </x:c>
      <x:c r="AA189" s="34" t="n">
        <x:v>20.481379</x:v>
      </x:c>
      <x:c r="AB189" s="34" t="n">
        <x:v>430.20423</x:v>
      </x:c>
      <x:c r="AC189" s="34" t="n">
        <x:v>29693.364</x:v>
      </x:c>
      <x:c r="AD189" s="34" t="n">
        <x:v>69.021552</x:v>
      </x:c>
      <x:c r="AE189" s="40" t="b">
        <x:v>1</x:v>
      </x:c>
      <x:c r="AF189" s="40" t="b">
        <x:v>1</x:v>
      </x:c>
      <x:c r="AG189" s="34" t="str"/>
      <x:c r="AH189" s="34" t="n">
        <x:v>0</x:v>
      </x:c>
      <x:c r="AI189" s="34" t="str">
        <x:v>2.0275124185786808e-05</x:v>
      </x:c>
      <x:c r="AJ189" s="40" t="b">
        <x:v>1</x:v>
      </x:c>
      <x:c r="AK189" s="40" t="b">
        <x:v>1</x:v>
      </x:c>
      <x:c r="AL189" s="40" t="b">
        <x:v>1</x:v>
      </x:c>
      <x:c r="AM189" s="40" t="b">
        <x:v>1</x:v>
      </x:c>
      <x:c r="AN189" s="34" t="str"/>
      <x:c r="AO189" s="34" t="n">
        <x:v>0</x:v>
      </x:c>
      <x:c r="AP189" s="34" t="n">
        <x:v>0</x:v>
      </x:c>
      <x:c r="AQ189" s="34" t="n">
        <x:v>0</x:v>
      </x:c>
      <x:c r="AR189" s="34" t="n">
        <x:v>2</x:v>
      </x:c>
      <x:c r="AS189" s="34" t="n">
        <x:v>3</x:v>
      </x:c>
      <x:c r="AT189" s="34" t="n">
        <x:v>0.45933660799999987</x:v>
      </x:c>
      <x:c r="AU189" s="34" t="n">
        <x:v>0.65</x:v>
      </x:c>
      <x:c r="AV189" s="34" t="n">
        <x:v>2.02</x:v>
      </x:c>
    </x:row>
    <x:row r="190">
      <x:c r="A190" s="34" t="str">
        <x:v>POSCO_KR</x:v>
      </x:c>
      <x:c r="B190" s="34" t="str">
        <x:v>POSCO</x:v>
      </x:c>
      <x:c r="C190" s="34" t="str">
        <x:v>DISCLOSED_PATH</x:v>
      </x:c>
      <x:c r="D190" s="34" t="str">
        <x:v>P1</x:v>
      </x:c>
      <x:c r="E190" s="34" t="n">
        <x:v>2034</x:v>
      </x:c>
      <x:c r="F190" s="34" t="n">
        <x:v>3</x:v>
      </x:c>
      <x:c r="G190" s="34" t="n">
        <x:v>8.880598</x:v>
      </x:c>
      <x:c r="H190" s="34" t="n">
        <x:v>16.8</x:v>
      </x:c>
      <x:c r="I190" s="34" t="n">
        <x:v>7.919402</x:v>
      </x:c>
      <x:c r="J190" s="34" t="n">
        <x:v>52.861</x:v>
      </x:c>
      <x:c r="K190" s="34" t="n">
        <x:v>0.374</x:v>
      </x:c>
      <x:c r="L190" s="34" t="n">
        <x:v>1.3</x:v>
      </x:c>
      <x:c r="M190" s="34" t="n">
        <x:v>0.926</x:v>
      </x:c>
      <x:c r="N190" s="34" t="n">
        <x:v>28.769</x:v>
      </x:c>
      <x:c r="O190" s="34" t="n">
        <x:v>7.452039</x:v>
      </x:c>
      <x:c r="P190" s="34" t="n">
        <x:v>13.4</x:v>
      </x:c>
      <x:c r="Q190" s="34" t="n">
        <x:v>5.947961</x:v>
      </x:c>
      <x:c r="R190" s="34" t="n">
        <x:v>55.612</x:v>
      </x:c>
      <x:c r="S190" s="40" t="b">
        <x:v>1</x:v>
      </x:c>
      <x:c r="T190" s="34" t="str">
        <x:v>model_interpolation</x:v>
      </x:c>
      <x:c r="U190" s="34" t="str">
        <x:v>Linear interpolation from 2030 to 2035</x:v>
      </x:c>
      <x:c r="V190" s="34" t="str">
        <x:v>CAND-44C957BBFA61A4</x:v>
      </x:c>
      <x:c r="W190" s="34" t="str">
        <x:v>P1</x:v>
      </x:c>
      <x:c r="X190" s="34" t="str">
        <x:v>PORT-96133A6427FE</x:v>
      </x:c>
      <x:c r="Y190" s="34" t="n">
        <x:v>1000</x:v>
      </x:c>
      <x:c r="Z190" s="34" t="n">
        <x:v>70.973588</x:v>
      </x:c>
      <x:c r="AA190" s="34" t="n">
        <x:v>20.481379</x:v>
      </x:c>
      <x:c r="AB190" s="34" t="n">
        <x:v>430.20423</x:v>
      </x:c>
      <x:c r="AC190" s="34" t="n">
        <x:v>29693.364</x:v>
      </x:c>
      <x:c r="AD190" s="34" t="n">
        <x:v>69.021552</x:v>
      </x:c>
      <x:c r="AE190" s="40" t="b">
        <x:v>1</x:v>
      </x:c>
      <x:c r="AF190" s="40" t="b">
        <x:v>1</x:v>
      </x:c>
      <x:c r="AG190" s="34" t="str"/>
      <x:c r="AH190" s="34" t="n">
        <x:v>0</x:v>
      </x:c>
      <x:c r="AI190" s="34" t="str">
        <x:v>2.0275124185786808e-05</x:v>
      </x:c>
      <x:c r="AJ190" s="40" t="b">
        <x:v>1</x:v>
      </x:c>
      <x:c r="AK190" s="40" t="b">
        <x:v>1</x:v>
      </x:c>
      <x:c r="AL190" s="40" t="b">
        <x:v>1</x:v>
      </x:c>
      <x:c r="AM190" s="40" t="b">
        <x:v>1</x:v>
      </x:c>
      <x:c r="AN190" s="34" t="str"/>
      <x:c r="AO190" s="34" t="n">
        <x:v>0</x:v>
      </x:c>
      <x:c r="AP190" s="34" t="n">
        <x:v>0</x:v>
      </x:c>
      <x:c r="AQ190" s="34" t="n">
        <x:v>0</x:v>
      </x:c>
      <x:c r="AR190" s="34" t="n">
        <x:v>2</x:v>
      </x:c>
      <x:c r="AS190" s="34" t="n">
        <x:v>3</x:v>
      </x:c>
      <x:c r="AT190" s="34" t="n">
        <x:v>0.45933660799999987</x:v>
      </x:c>
      <x:c r="AU190" s="34" t="n">
        <x:v>0.65</x:v>
      </x:c>
      <x:c r="AV190" s="34" t="n">
        <x:v>2.02</x:v>
      </x:c>
    </x:row>
    <x:row r="191">
      <x:c r="A191" s="34" t="str">
        <x:v>POSCO_KR</x:v>
      </x:c>
      <x:c r="B191" s="34" t="str">
        <x:v>POSCO</x:v>
      </x:c>
      <x:c r="C191" s="34" t="str">
        <x:v>DISCLOSED_PATH</x:v>
      </x:c>
      <x:c r="D191" s="34" t="str">
        <x:v>P1</x:v>
      </x:c>
      <x:c r="E191" s="34" t="n">
        <x:v>2035</x:v>
      </x:c>
      <x:c r="F191" s="34" t="n">
        <x:v>4</x:v>
      </x:c>
      <x:c r="G191" s="34" t="n">
        <x:v>17.430597</x:v>
      </x:c>
      <x:c r="H191" s="34" t="n">
        <x:v>18</x:v>
      </x:c>
      <x:c r="I191" s="34" t="n">
        <x:v>0.569403</x:v>
      </x:c>
      <x:c r="J191" s="34" t="n">
        <x:v>96.837</x:v>
      </x:c>
      <x:c r="K191" s="34" t="n">
        <x:v>0.374</x:v>
      </x:c>
      <x:c r="L191" s="34" t="n">
        <x:v>1.5</x:v>
      </x:c>
      <x:c r="M191" s="34" t="n">
        <x:v>1.126</x:v>
      </x:c>
      <x:c r="N191" s="34" t="n">
        <x:v>24.933</x:v>
      </x:c>
      <x:c r="O191" s="34" t="n">
        <x:v>12.867038</x:v>
      </x:c>
      <x:c r="P191" s="34" t="n">
        <x:v>15</x:v>
      </x:c>
      <x:c r="Q191" s="34" t="n">
        <x:v>2.132962</x:v>
      </x:c>
      <x:c r="R191" s="34" t="n">
        <x:v>85.78</x:v>
      </x:c>
      <x:c r="S191" s="40" t="b">
        <x:v>1</x:v>
      </x:c>
      <x:c r="T191" s="34" t="str">
        <x:v>model_interpolation</x:v>
      </x:c>
      <x:c r="U191" s="34" t="str">
        <x:v>Linear interpolation from 2035 to 2040</x:v>
      </x:c>
      <x:c r="V191" s="34" t="str">
        <x:v>CAND-44C957BBFA61A4</x:v>
      </x:c>
      <x:c r="W191" s="34" t="str">
        <x:v>P1</x:v>
      </x:c>
      <x:c r="X191" s="34" t="str">
        <x:v>PORT-96133A6427FE</x:v>
      </x:c>
      <x:c r="Y191" s="34" t="n">
        <x:v>1000</x:v>
      </x:c>
      <x:c r="Z191" s="34" t="n">
        <x:v>70.973588</x:v>
      </x:c>
      <x:c r="AA191" s="34" t="n">
        <x:v>20.481379</x:v>
      </x:c>
      <x:c r="AB191" s="34" t="n">
        <x:v>430.20423</x:v>
      </x:c>
      <x:c r="AC191" s="34" t="n">
        <x:v>29693.364</x:v>
      </x:c>
      <x:c r="AD191" s="34" t="n">
        <x:v>69.021552</x:v>
      </x:c>
      <x:c r="AE191" s="40" t="b">
        <x:v>1</x:v>
      </x:c>
      <x:c r="AF191" s="40" t="b">
        <x:v>1</x:v>
      </x:c>
      <x:c r="AG191" s="34" t="str"/>
      <x:c r="AH191" s="34" t="n">
        <x:v>0</x:v>
      </x:c>
      <x:c r="AI191" s="34" t="str">
        <x:v>2.0275124185786808e-05</x:v>
      </x:c>
      <x:c r="AJ191" s="40" t="b">
        <x:v>1</x:v>
      </x:c>
      <x:c r="AK191" s="40" t="b">
        <x:v>1</x:v>
      </x:c>
      <x:c r="AL191" s="40" t="b">
        <x:v>1</x:v>
      </x:c>
      <x:c r="AM191" s="40" t="b">
        <x:v>1</x:v>
      </x:c>
      <x:c r="AN191" s="34" t="str"/>
      <x:c r="AO191" s="34" t="n">
        <x:v>0</x:v>
      </x:c>
      <x:c r="AP191" s="34" t="n">
        <x:v>0</x:v>
      </x:c>
      <x:c r="AQ191" s="34" t="n">
        <x:v>0</x:v>
      </x:c>
      <x:c r="AR191" s="34" t="n">
        <x:v>2</x:v>
      </x:c>
      <x:c r="AS191" s="34" t="n">
        <x:v>3</x:v>
      </x:c>
      <x:c r="AT191" s="34" t="n">
        <x:v>0.45933660799999987</x:v>
      </x:c>
      <x:c r="AU191" s="34" t="n">
        <x:v>0.65</x:v>
      </x:c>
      <x:c r="AV191" s="34" t="n">
        <x:v>2.02</x:v>
      </x:c>
    </x:row>
    <x:row r="192">
      <x:c r="A192" s="34" t="str">
        <x:v>POSCO_KR</x:v>
      </x:c>
      <x:c r="B192" s="34" t="str">
        <x:v>POSCO</x:v>
      </x:c>
      <x:c r="C192" s="34" t="str">
        <x:v>DISCLOSED_PATH</x:v>
      </x:c>
      <x:c r="D192" s="34" t="str">
        <x:v>P1</x:v>
      </x:c>
      <x:c r="E192" s="34" t="n">
        <x:v>2036</x:v>
      </x:c>
      <x:c r="F192" s="34" t="n">
        <x:v>4</x:v>
      </x:c>
      <x:c r="G192" s="34" t="n">
        <x:v>17.430597</x:v>
      </x:c>
      <x:c r="H192" s="34" t="n">
        <x:v>19.4</x:v>
      </x:c>
      <x:c r="I192" s="34" t="n">
        <x:v>1.969403</x:v>
      </x:c>
      <x:c r="J192" s="34" t="n">
        <x:v>89.848</x:v>
      </x:c>
      <x:c r="K192" s="34" t="n">
        <x:v>0.374</x:v>
      </x:c>
      <x:c r="L192" s="34" t="n">
        <x:v>1.8</x:v>
      </x:c>
      <x:c r="M192" s="34" t="n">
        <x:v>1.426</x:v>
      </x:c>
      <x:c r="N192" s="34" t="n">
        <x:v>20.778</x:v>
      </x:c>
      <x:c r="O192" s="34" t="n">
        <x:v>12.867038</x:v>
      </x:c>
      <x:c r="P192" s="34" t="n">
        <x:v>17</x:v>
      </x:c>
      <x:c r="Q192" s="34" t="n">
        <x:v>4.132962</x:v>
      </x:c>
      <x:c r="R192" s="34" t="n">
        <x:v>75.688</x:v>
      </x:c>
      <x:c r="S192" s="40" t="b">
        <x:v>1</x:v>
      </x:c>
      <x:c r="T192" s="34" t="str">
        <x:v>model_interpolation</x:v>
      </x:c>
      <x:c r="U192" s="34" t="str">
        <x:v>Linear interpolation from 2035 to 2040</x:v>
      </x:c>
      <x:c r="V192" s="34" t="str">
        <x:v>CAND-44C957BBFA61A4</x:v>
      </x:c>
      <x:c r="W192" s="34" t="str">
        <x:v>P1</x:v>
      </x:c>
      <x:c r="X192" s="34" t="str">
        <x:v>PORT-96133A6427FE</x:v>
      </x:c>
      <x:c r="Y192" s="34" t="n">
        <x:v>1000</x:v>
      </x:c>
      <x:c r="Z192" s="34" t="n">
        <x:v>70.973588</x:v>
      </x:c>
      <x:c r="AA192" s="34" t="n">
        <x:v>20.481379</x:v>
      </x:c>
      <x:c r="AB192" s="34" t="n">
        <x:v>430.20423</x:v>
      </x:c>
      <x:c r="AC192" s="34" t="n">
        <x:v>29693.364</x:v>
      </x:c>
      <x:c r="AD192" s="34" t="n">
        <x:v>69.021552</x:v>
      </x:c>
      <x:c r="AE192" s="40" t="b">
        <x:v>1</x:v>
      </x:c>
      <x:c r="AF192" s="40" t="b">
        <x:v>1</x:v>
      </x:c>
      <x:c r="AG192" s="34" t="str"/>
      <x:c r="AH192" s="34" t="n">
        <x:v>0</x:v>
      </x:c>
      <x:c r="AI192" s="34" t="str">
        <x:v>2.0275124185786808e-05</x:v>
      </x:c>
      <x:c r="AJ192" s="40" t="b">
        <x:v>1</x:v>
      </x:c>
      <x:c r="AK192" s="40" t="b">
        <x:v>1</x:v>
      </x:c>
      <x:c r="AL192" s="40" t="b">
        <x:v>1</x:v>
      </x:c>
      <x:c r="AM192" s="40" t="b">
        <x:v>1</x:v>
      </x:c>
      <x:c r="AN192" s="34" t="str"/>
      <x:c r="AO192" s="34" t="n">
        <x:v>0</x:v>
      </x:c>
      <x:c r="AP192" s="34" t="n">
        <x:v>0</x:v>
      </x:c>
      <x:c r="AQ192" s="34" t="n">
        <x:v>0</x:v>
      </x:c>
      <x:c r="AR192" s="34" t="n">
        <x:v>2</x:v>
      </x:c>
      <x:c r="AS192" s="34" t="n">
        <x:v>3</x:v>
      </x:c>
      <x:c r="AT192" s="34" t="n">
        <x:v>0.45933660799999987</x:v>
      </x:c>
      <x:c r="AU192" s="34" t="n">
        <x:v>0.65</x:v>
      </x:c>
      <x:c r="AV192" s="34" t="n">
        <x:v>2.02</x:v>
      </x:c>
    </x:row>
    <x:row r="193">
      <x:c r="A193" s="34" t="str">
        <x:v>POSCO_KR</x:v>
      </x:c>
      <x:c r="B193" s="34" t="str">
        <x:v>POSCO</x:v>
      </x:c>
      <x:c r="C193" s="34" t="str">
        <x:v>DISCLOSED_PATH</x:v>
      </x:c>
      <x:c r="D193" s="34" t="str">
        <x:v>P1</x:v>
      </x:c>
      <x:c r="E193" s="34" t="n">
        <x:v>2037</x:v>
      </x:c>
      <x:c r="F193" s="34" t="n">
        <x:v>5</x:v>
      </x:c>
      <x:c r="G193" s="34" t="n">
        <x:v>18.856047</x:v>
      </x:c>
      <x:c r="H193" s="34" t="n">
        <x:v>20.8</x:v>
      </x:c>
      <x:c r="I193" s="34" t="n">
        <x:v>1.943953</x:v>
      </x:c>
      <x:c r="J193" s="34" t="n">
        <x:v>90.654</x:v>
      </x:c>
      <x:c r="K193" s="34" t="n">
        <x:v>0.896665</x:v>
      </x:c>
      <x:c r="L193" s="34" t="n">
        <x:v>2.1</x:v>
      </x:c>
      <x:c r="M193" s="34" t="n">
        <x:v>1.203335</x:v>
      </x:c>
      <x:c r="N193" s="34" t="n">
        <x:v>42.698</x:v>
      </x:c>
      <x:c r="O193" s="34" t="n">
        <x:v>17.333447</x:v>
      </x:c>
      <x:c r="P193" s="34" t="n">
        <x:v>19</x:v>
      </x:c>
      <x:c r="Q193" s="34" t="n">
        <x:v>1.666553</x:v>
      </x:c>
      <x:c r="R193" s="34" t="n">
        <x:v>91.229</x:v>
      </x:c>
      <x:c r="S193" s="40" t="b">
        <x:v>1</x:v>
      </x:c>
      <x:c r="T193" s="34" t="str">
        <x:v>model_interpolation</x:v>
      </x:c>
      <x:c r="U193" s="34" t="str">
        <x:v>Linear interpolation from 2035 to 2040</x:v>
      </x:c>
      <x:c r="V193" s="34" t="str">
        <x:v>CAND-44C957BBFA61A4</x:v>
      </x:c>
      <x:c r="W193" s="34" t="str">
        <x:v>P1</x:v>
      </x:c>
      <x:c r="X193" s="34" t="str">
        <x:v>PORT-96133A6427FE</x:v>
      </x:c>
      <x:c r="Y193" s="34" t="n">
        <x:v>1000</x:v>
      </x:c>
      <x:c r="Z193" s="34" t="n">
        <x:v>70.973588</x:v>
      </x:c>
      <x:c r="AA193" s="34" t="n">
        <x:v>20.481379</x:v>
      </x:c>
      <x:c r="AB193" s="34" t="n">
        <x:v>430.20423</x:v>
      </x:c>
      <x:c r="AC193" s="34" t="n">
        <x:v>29693.364</x:v>
      </x:c>
      <x:c r="AD193" s="34" t="n">
        <x:v>69.021552</x:v>
      </x:c>
      <x:c r="AE193" s="40" t="b">
        <x:v>1</x:v>
      </x:c>
      <x:c r="AF193" s="40" t="b">
        <x:v>1</x:v>
      </x:c>
      <x:c r="AG193" s="34" t="str"/>
      <x:c r="AH193" s="34" t="n">
        <x:v>0</x:v>
      </x:c>
      <x:c r="AI193" s="34" t="str">
        <x:v>2.0275124185786808e-05</x:v>
      </x:c>
      <x:c r="AJ193" s="40" t="b">
        <x:v>1</x:v>
      </x:c>
      <x:c r="AK193" s="40" t="b">
        <x:v>1</x:v>
      </x:c>
      <x:c r="AL193" s="40" t="b">
        <x:v>1</x:v>
      </x:c>
      <x:c r="AM193" s="40" t="b">
        <x:v>1</x:v>
      </x:c>
      <x:c r="AN193" s="34" t="str"/>
      <x:c r="AO193" s="34" t="n">
        <x:v>0</x:v>
      </x:c>
      <x:c r="AP193" s="34" t="n">
        <x:v>0</x:v>
      </x:c>
      <x:c r="AQ193" s="34" t="n">
        <x:v>0</x:v>
      </x:c>
      <x:c r="AR193" s="34" t="n">
        <x:v>2</x:v>
      </x:c>
      <x:c r="AS193" s="34" t="n">
        <x:v>3</x:v>
      </x:c>
      <x:c r="AT193" s="34" t="n">
        <x:v>0.45933660799999987</x:v>
      </x:c>
      <x:c r="AU193" s="34" t="n">
        <x:v>0.65</x:v>
      </x:c>
      <x:c r="AV193" s="34" t="n">
        <x:v>2.02</x:v>
      </x:c>
    </x:row>
    <x:row r="194">
      <x:c r="A194" s="34" t="str">
        <x:v>POSCO_KR</x:v>
      </x:c>
      <x:c r="B194" s="34" t="str">
        <x:v>POSCO</x:v>
      </x:c>
      <x:c r="C194" s="34" t="str">
        <x:v>DISCLOSED_PATH</x:v>
      </x:c>
      <x:c r="D194" s="34" t="str">
        <x:v>P1</x:v>
      </x:c>
      <x:c r="E194" s="34" t="n">
        <x:v>2038</x:v>
      </x:c>
      <x:c r="F194" s="34" t="n">
        <x:v>5</x:v>
      </x:c>
      <x:c r="G194" s="34" t="n">
        <x:v>18.856047</x:v>
      </x:c>
      <x:c r="H194" s="34" t="n">
        <x:v>22.2</x:v>
      </x:c>
      <x:c r="I194" s="34" t="n">
        <x:v>3.343953</x:v>
      </x:c>
      <x:c r="J194" s="34" t="n">
        <x:v>84.937</x:v>
      </x:c>
      <x:c r="K194" s="34" t="n">
        <x:v>0.896665</x:v>
      </x:c>
      <x:c r="L194" s="34" t="n">
        <x:v>2.4</x:v>
      </x:c>
      <x:c r="M194" s="34" t="n">
        <x:v>1.503335</x:v>
      </x:c>
      <x:c r="N194" s="34" t="n">
        <x:v>37.361</x:v>
      </x:c>
      <x:c r="O194" s="34" t="n">
        <x:v>17.333447</x:v>
      </x:c>
      <x:c r="P194" s="34" t="n">
        <x:v>21</x:v>
      </x:c>
      <x:c r="Q194" s="34" t="n">
        <x:v>3.666553</x:v>
      </x:c>
      <x:c r="R194" s="34" t="n">
        <x:v>82.54</x:v>
      </x:c>
      <x:c r="S194" s="40" t="b">
        <x:v>1</x:v>
      </x:c>
      <x:c r="T194" s="34" t="str">
        <x:v>model_interpolation</x:v>
      </x:c>
      <x:c r="U194" s="34" t="str">
        <x:v>Linear interpolation from 2035 to 2040</x:v>
      </x:c>
      <x:c r="V194" s="34" t="str">
        <x:v>CAND-44C957BBFA61A4</x:v>
      </x:c>
      <x:c r="W194" s="34" t="str">
        <x:v>P1</x:v>
      </x:c>
      <x:c r="X194" s="34" t="str">
        <x:v>PORT-96133A6427FE</x:v>
      </x:c>
      <x:c r="Y194" s="34" t="n">
        <x:v>1000</x:v>
      </x:c>
      <x:c r="Z194" s="34" t="n">
        <x:v>70.973588</x:v>
      </x:c>
      <x:c r="AA194" s="34" t="n">
        <x:v>20.481379</x:v>
      </x:c>
      <x:c r="AB194" s="34" t="n">
        <x:v>430.20423</x:v>
      </x:c>
      <x:c r="AC194" s="34" t="n">
        <x:v>29693.364</x:v>
      </x:c>
      <x:c r="AD194" s="34" t="n">
        <x:v>69.021552</x:v>
      </x:c>
      <x:c r="AE194" s="40" t="b">
        <x:v>1</x:v>
      </x:c>
      <x:c r="AF194" s="40" t="b">
        <x:v>1</x:v>
      </x:c>
      <x:c r="AG194" s="34" t="str"/>
      <x:c r="AH194" s="34" t="n">
        <x:v>0</x:v>
      </x:c>
      <x:c r="AI194" s="34" t="str">
        <x:v>2.0275124185786808e-05</x:v>
      </x:c>
      <x:c r="AJ194" s="40" t="b">
        <x:v>1</x:v>
      </x:c>
      <x:c r="AK194" s="40" t="b">
        <x:v>1</x:v>
      </x:c>
      <x:c r="AL194" s="40" t="b">
        <x:v>1</x:v>
      </x:c>
      <x:c r="AM194" s="40" t="b">
        <x:v>1</x:v>
      </x:c>
      <x:c r="AN194" s="34" t="str"/>
      <x:c r="AO194" s="34" t="n">
        <x:v>0</x:v>
      </x:c>
      <x:c r="AP194" s="34" t="n">
        <x:v>0</x:v>
      </x:c>
      <x:c r="AQ194" s="34" t="n">
        <x:v>0</x:v>
      </x:c>
      <x:c r="AR194" s="34" t="n">
        <x:v>2</x:v>
      </x:c>
      <x:c r="AS194" s="34" t="n">
        <x:v>3</x:v>
      </x:c>
      <x:c r="AT194" s="34" t="n">
        <x:v>0.45933660799999987</x:v>
      </x:c>
      <x:c r="AU194" s="34" t="n">
        <x:v>0.65</x:v>
      </x:c>
      <x:c r="AV194" s="34" t="n">
        <x:v>2.02</x:v>
      </x:c>
    </x:row>
    <x:row r="195">
      <x:c r="A195" s="34" t="str">
        <x:v>POSCO_KR</x:v>
      </x:c>
      <x:c r="B195" s="34" t="str">
        <x:v>POSCO</x:v>
      </x:c>
      <x:c r="C195" s="34" t="str">
        <x:v>DISCLOSED_PATH</x:v>
      </x:c>
      <x:c r="D195" s="34" t="str">
        <x:v>P1</x:v>
      </x:c>
      <x:c r="E195" s="34" t="n">
        <x:v>2039</x:v>
      </x:c>
      <x:c r="F195" s="34" t="n">
        <x:v>5</x:v>
      </x:c>
      <x:c r="G195" s="34" t="n">
        <x:v>18.856047</x:v>
      </x:c>
      <x:c r="H195" s="34" t="n">
        <x:v>23.6</x:v>
      </x:c>
      <x:c r="I195" s="34" t="n">
        <x:v>4.743953</x:v>
      </x:c>
      <x:c r="J195" s="34" t="n">
        <x:v>79.899</x:v>
      </x:c>
      <x:c r="K195" s="34" t="n">
        <x:v>0.896665</x:v>
      </x:c>
      <x:c r="L195" s="34" t="n">
        <x:v>2.7</x:v>
      </x:c>
      <x:c r="M195" s="34" t="n">
        <x:v>1.803335</x:v>
      </x:c>
      <x:c r="N195" s="34" t="n">
        <x:v>33.21</x:v>
      </x:c>
      <x:c r="O195" s="34" t="n">
        <x:v>17.333447</x:v>
      </x:c>
      <x:c r="P195" s="34" t="n">
        <x:v>23</x:v>
      </x:c>
      <x:c r="Q195" s="34" t="n">
        <x:v>5.666553</x:v>
      </x:c>
      <x:c r="R195" s="34" t="n">
        <x:v>75.363</x:v>
      </x:c>
      <x:c r="S195" s="40" t="b">
        <x:v>1</x:v>
      </x:c>
      <x:c r="T195" s="34" t="str">
        <x:v>model_interpolation</x:v>
      </x:c>
      <x:c r="U195" s="34" t="str">
        <x:v>Linear interpolation from 2035 to 2040</x:v>
      </x:c>
      <x:c r="V195" s="34" t="str">
        <x:v>CAND-44C957BBFA61A4</x:v>
      </x:c>
      <x:c r="W195" s="34" t="str">
        <x:v>P1</x:v>
      </x:c>
      <x:c r="X195" s="34" t="str">
        <x:v>PORT-96133A6427FE</x:v>
      </x:c>
      <x:c r="Y195" s="34" t="n">
        <x:v>1000</x:v>
      </x:c>
      <x:c r="Z195" s="34" t="n">
        <x:v>70.973588</x:v>
      </x:c>
      <x:c r="AA195" s="34" t="n">
        <x:v>20.481379</x:v>
      </x:c>
      <x:c r="AB195" s="34" t="n">
        <x:v>430.20423</x:v>
      </x:c>
      <x:c r="AC195" s="34" t="n">
        <x:v>29693.364</x:v>
      </x:c>
      <x:c r="AD195" s="34" t="n">
        <x:v>69.021552</x:v>
      </x:c>
      <x:c r="AE195" s="40" t="b">
        <x:v>1</x:v>
      </x:c>
      <x:c r="AF195" s="40" t="b">
        <x:v>1</x:v>
      </x:c>
      <x:c r="AG195" s="34" t="str"/>
      <x:c r="AH195" s="34" t="n">
        <x:v>0</x:v>
      </x:c>
      <x:c r="AI195" s="34" t="str">
        <x:v>2.0275124185786808e-05</x:v>
      </x:c>
      <x:c r="AJ195" s="40" t="b">
        <x:v>1</x:v>
      </x:c>
      <x:c r="AK195" s="40" t="b">
        <x:v>1</x:v>
      </x:c>
      <x:c r="AL195" s="40" t="b">
        <x:v>1</x:v>
      </x:c>
      <x:c r="AM195" s="40" t="b">
        <x:v>1</x:v>
      </x:c>
      <x:c r="AN195" s="34" t="str"/>
      <x:c r="AO195" s="34" t="n">
        <x:v>0</x:v>
      </x:c>
      <x:c r="AP195" s="34" t="n">
        <x:v>0</x:v>
      </x:c>
      <x:c r="AQ195" s="34" t="n">
        <x:v>0</x:v>
      </x:c>
      <x:c r="AR195" s="34" t="n">
        <x:v>2</x:v>
      </x:c>
      <x:c r="AS195" s="34" t="n">
        <x:v>3</x:v>
      </x:c>
      <x:c r="AT195" s="34" t="n">
        <x:v>0.45933660799999987</x:v>
      </x:c>
      <x:c r="AU195" s="34" t="n">
        <x:v>0.65</x:v>
      </x:c>
      <x:c r="AV195" s="34" t="n">
        <x:v>2.02</x:v>
      </x:c>
    </x:row>
    <x:row r="196">
      <x:c r="A196" s="34" t="str">
        <x:v>POSCO_KR</x:v>
      </x:c>
      <x:c r="B196" s="34" t="str">
        <x:v>POSCO</x:v>
      </x:c>
      <x:c r="C196" s="34" t="str">
        <x:v>DISCLOSED_PATH</x:v>
      </x:c>
      <x:c r="D196" s="34" t="str">
        <x:v>P1</x:v>
      </x:c>
      <x:c r="E196" s="34" t="n">
        <x:v>2040</x:v>
      </x:c>
      <x:c r="F196" s="34" t="n">
        <x:v>5</x:v>
      </x:c>
      <x:c r="G196" s="34" t="n">
        <x:v>18.856047</x:v>
      </x:c>
      <x:c r="H196" s="34" t="n">
        <x:v>25</x:v>
      </x:c>
      <x:c r="I196" s="34" t="n">
        <x:v>6.143953</x:v>
      </x:c>
      <x:c r="J196" s="34" t="n">
        <x:v>75.424</x:v>
      </x:c>
      <x:c r="K196" s="34" t="n">
        <x:v>0.896665</x:v>
      </x:c>
      <x:c r="L196" s="34" t="n">
        <x:v>3</x:v>
      </x:c>
      <x:c r="M196" s="34" t="n">
        <x:v>2.103335</x:v>
      </x:c>
      <x:c r="N196" s="34" t="n">
        <x:v>29.889</x:v>
      </x:c>
      <x:c r="O196" s="34" t="n">
        <x:v>17.333447</x:v>
      </x:c>
      <x:c r="P196" s="34" t="n">
        <x:v>25</x:v>
      </x:c>
      <x:c r="Q196" s="34" t="n">
        <x:v>7.666553</x:v>
      </x:c>
      <x:c r="R196" s="34" t="n">
        <x:v>69.334</x:v>
      </x:c>
      <x:c r="S196" s="40" t="b">
        <x:v>1</x:v>
      </x:c>
      <x:c r="T196" s="34" t="str">
        <x:v>model_estimate</x:v>
      </x:c>
      <x:c r="U196" s="34" t="str">
        <x:v>Illustrative screening envelope; not an official supply forecast</x:v>
      </x:c>
      <x:c r="V196" s="34" t="str">
        <x:v>CAND-44C957BBFA61A4</x:v>
      </x:c>
      <x:c r="W196" s="34" t="str">
        <x:v>P1</x:v>
      </x:c>
      <x:c r="X196" s="34" t="str">
        <x:v>PORT-96133A6427FE</x:v>
      </x:c>
      <x:c r="Y196" s="34" t="n">
        <x:v>1000</x:v>
      </x:c>
      <x:c r="Z196" s="34" t="n">
        <x:v>70.973588</x:v>
      </x:c>
      <x:c r="AA196" s="34" t="n">
        <x:v>20.481379</x:v>
      </x:c>
      <x:c r="AB196" s="34" t="n">
        <x:v>430.20423</x:v>
      </x:c>
      <x:c r="AC196" s="34" t="n">
        <x:v>29693.364</x:v>
      </x:c>
      <x:c r="AD196" s="34" t="n">
        <x:v>69.021552</x:v>
      </x:c>
      <x:c r="AE196" s="40" t="b">
        <x:v>1</x:v>
      </x:c>
      <x:c r="AF196" s="40" t="b">
        <x:v>1</x:v>
      </x:c>
      <x:c r="AG196" s="34" t="str"/>
      <x:c r="AH196" s="34" t="n">
        <x:v>0</x:v>
      </x:c>
      <x:c r="AI196" s="34" t="str">
        <x:v>2.0275124185786808e-05</x:v>
      </x:c>
      <x:c r="AJ196" s="40" t="b">
        <x:v>1</x:v>
      </x:c>
      <x:c r="AK196" s="40" t="b">
        <x:v>1</x:v>
      </x:c>
      <x:c r="AL196" s="40" t="b">
        <x:v>1</x:v>
      </x:c>
      <x:c r="AM196" s="40" t="b">
        <x:v>1</x:v>
      </x:c>
      <x:c r="AN196" s="34" t="str"/>
      <x:c r="AO196" s="34" t="n">
        <x:v>0</x:v>
      </x:c>
      <x:c r="AP196" s="34" t="n">
        <x:v>0</x:v>
      </x:c>
      <x:c r="AQ196" s="34" t="n">
        <x:v>0</x:v>
      </x:c>
      <x:c r="AR196" s="34" t="n">
        <x:v>2</x:v>
      </x:c>
      <x:c r="AS196" s="34" t="n">
        <x:v>3</x:v>
      </x:c>
      <x:c r="AT196" s="34" t="n">
        <x:v>0.45933660799999987</x:v>
      </x:c>
      <x:c r="AU196" s="34" t="n">
        <x:v>0.65</x:v>
      </x:c>
      <x:c r="AV196" s="34" t="n">
        <x:v>2.02</x:v>
      </x:c>
    </x:row>
    <x:row r="197">
      <x:c r="A197" s="34" t="str">
        <x:v>POSCO_KR</x:v>
      </x:c>
      <x:c r="B197" s="34" t="str">
        <x:v>POSCO</x:v>
      </x:c>
      <x:c r="C197" s="34" t="str">
        <x:v>ACCELERATED_15C</x:v>
      </x:c>
      <x:c r="D197" s="34" t="str">
        <x:v>P1</x:v>
      </x:c>
      <x:c r="E197" s="34" t="n">
        <x:v>2026</x:v>
      </x:c>
      <x:c r="F197" s="34" t="n">
        <x:v>0</x:v>
      </x:c>
      <x:c r="G197" s="34" t="n">
        <x:v>0</x:v>
      </x:c>
      <x:c r="H197" s="34" t="n">
        <x:v>8</x:v>
      </x:c>
      <x:c r="I197" s="34" t="n">
        <x:v>8</x:v>
      </x:c>
      <x:c r="J197" s="34" t="n">
        <x:v>0</x:v>
      </x:c>
      <x:c r="K197" s="34" t="n">
        <x:v>0</x:v>
      </x:c>
      <x:c r="L197" s="34" t="n">
        <x:v>0.1</x:v>
      </x:c>
      <x:c r="M197" s="34" t="n">
        <x:v>0.1</x:v>
      </x:c>
      <x:c r="N197" s="34" t="n">
        <x:v>0</x:v>
      </x:c>
      <x:c r="O197" s="34" t="n">
        <x:v>0</x:v>
      </x:c>
      <x:c r="P197" s="34" t="n">
        <x:v>2</x:v>
      </x:c>
      <x:c r="Q197" s="34" t="n">
        <x:v>2</x:v>
      </x:c>
      <x:c r="R197" s="34" t="n">
        <x:v>0</x:v>
      </x:c>
      <x:c r="S197" s="40" t="b">
        <x:v>1</x:v>
      </x:c>
      <x:c r="T197" s="34" t="str">
        <x:v>model_interpolation</x:v>
      </x:c>
      <x:c r="U197" s="34" t="str">
        <x:v>Linear interpolation from 2026 to 2030</x:v>
      </x:c>
      <x:c r="V197" s="34" t="str">
        <x:v>CAND-44C957BBFA61A4</x:v>
      </x:c>
      <x:c r="W197" s="34" t="str">
        <x:v>P1</x:v>
      </x:c>
      <x:c r="X197" s="34" t="str">
        <x:v>PORT-96133A6427FE</x:v>
      </x:c>
      <x:c r="Y197" s="34" t="n">
        <x:v>1000</x:v>
      </x:c>
      <x:c r="Z197" s="34" t="n">
        <x:v>59.924202</x:v>
      </x:c>
      <x:c r="AA197" s="34" t="n">
        <x:v>22.278135</x:v>
      </x:c>
      <x:c r="AB197" s="34" t="n">
        <x:v>430.20423</x:v>
      </x:c>
      <x:c r="AC197" s="34" t="n">
        <x:v>24922.922</x:v>
      </x:c>
      <x:c r="AD197" s="34" t="n">
        <x:v>57.932769</x:v>
      </x:c>
      <x:c r="AE197" s="40" t="b">
        <x:v>1</x:v>
      </x:c>
      <x:c r="AF197" s="40" t="b">
        <x:v>1</x:v>
      </x:c>
      <x:c r="AG197" s="34" t="str"/>
      <x:c r="AH197" s="34" t="n">
        <x:v>0</x:v>
      </x:c>
      <x:c r="AI197" s="34" t="str">
        <x:v>2.0275124185786808e-05</x:v>
      </x:c>
      <x:c r="AJ197" s="40" t="b">
        <x:v>1</x:v>
      </x:c>
      <x:c r="AK197" s="40" t="b">
        <x:v>1</x:v>
      </x:c>
      <x:c r="AL197" s="40" t="b">
        <x:v>1</x:v>
      </x:c>
      <x:c r="AM197" s="40" t="b">
        <x:v>1</x:v>
      </x:c>
      <x:c r="AN197" s="34" t="str"/>
      <x:c r="AO197" s="34" t="n">
        <x:v>0</x:v>
      </x:c>
      <x:c r="AP197" s="34" t="n">
        <x:v>0</x:v>
      </x:c>
      <x:c r="AQ197" s="34" t="n">
        <x:v>0</x:v>
      </x:c>
      <x:c r="AR197" s="34" t="n">
        <x:v>2</x:v>
      </x:c>
      <x:c r="AS197" s="34" t="n">
        <x:v>3</x:v>
      </x:c>
      <x:c r="AT197" s="34" t="n">
        <x:v>0.45933660799999987</x:v>
      </x:c>
      <x:c r="AU197" s="34" t="n">
        <x:v>0.65</x:v>
      </x:c>
      <x:c r="AV197" s="34" t="n">
        <x:v>2.02</x:v>
      </x:c>
    </x:row>
    <x:row r="198">
      <x:c r="A198" s="34" t="str">
        <x:v>POSCO_KR</x:v>
      </x:c>
      <x:c r="B198" s="34" t="str">
        <x:v>POSCO</x:v>
      </x:c>
      <x:c r="C198" s="34" t="str">
        <x:v>ACCELERATED_15C</x:v>
      </x:c>
      <x:c r="D198" s="34" t="str">
        <x:v>P1</x:v>
      </x:c>
      <x:c r="E198" s="34" t="n">
        <x:v>2027</x:v>
      </x:c>
      <x:c r="F198" s="34" t="n">
        <x:v>0</x:v>
      </x:c>
      <x:c r="G198" s="34" t="n">
        <x:v>0</x:v>
      </x:c>
      <x:c r="H198" s="34" t="n">
        <x:v>9.75</x:v>
      </x:c>
      <x:c r="I198" s="34" t="n">
        <x:v>9.75</x:v>
      </x:c>
      <x:c r="J198" s="34" t="n">
        <x:v>0</x:v>
      </x:c>
      <x:c r="K198" s="34" t="n">
        <x:v>0</x:v>
      </x:c>
      <x:c r="L198" s="34" t="n">
        <x:v>0.275</x:v>
      </x:c>
      <x:c r="M198" s="34" t="n">
        <x:v>0.275</x:v>
      </x:c>
      <x:c r="N198" s="34" t="n">
        <x:v>0</x:v>
      </x:c>
      <x:c r="O198" s="34" t="n">
        <x:v>0</x:v>
      </x:c>
      <x:c r="P198" s="34" t="n">
        <x:v>4</x:v>
      </x:c>
      <x:c r="Q198" s="34" t="n">
        <x:v>4</x:v>
      </x:c>
      <x:c r="R198" s="34" t="n">
        <x:v>0</x:v>
      </x:c>
      <x:c r="S198" s="40" t="b">
        <x:v>1</x:v>
      </x:c>
      <x:c r="T198" s="34" t="str">
        <x:v>model_interpolation</x:v>
      </x:c>
      <x:c r="U198" s="34" t="str">
        <x:v>Linear interpolation from 2026 to 2030</x:v>
      </x:c>
      <x:c r="V198" s="34" t="str">
        <x:v>CAND-44C957BBFA61A4</x:v>
      </x:c>
      <x:c r="W198" s="34" t="str">
        <x:v>P1</x:v>
      </x:c>
      <x:c r="X198" s="34" t="str">
        <x:v>PORT-96133A6427FE</x:v>
      </x:c>
      <x:c r="Y198" s="34" t="n">
        <x:v>1000</x:v>
      </x:c>
      <x:c r="Z198" s="34" t="n">
        <x:v>59.924202</x:v>
      </x:c>
      <x:c r="AA198" s="34" t="n">
        <x:v>22.278135</x:v>
      </x:c>
      <x:c r="AB198" s="34" t="n">
        <x:v>430.20423</x:v>
      </x:c>
      <x:c r="AC198" s="34" t="n">
        <x:v>24922.922</x:v>
      </x:c>
      <x:c r="AD198" s="34" t="n">
        <x:v>57.932769</x:v>
      </x:c>
      <x:c r="AE198" s="40" t="b">
        <x:v>1</x:v>
      </x:c>
      <x:c r="AF198" s="40" t="b">
        <x:v>1</x:v>
      </x:c>
      <x:c r="AG198" s="34" t="str"/>
      <x:c r="AH198" s="34" t="n">
        <x:v>0</x:v>
      </x:c>
      <x:c r="AI198" s="34" t="str">
        <x:v>2.0275124185786808e-05</x:v>
      </x:c>
      <x:c r="AJ198" s="40" t="b">
        <x:v>1</x:v>
      </x:c>
      <x:c r="AK198" s="40" t="b">
        <x:v>1</x:v>
      </x:c>
      <x:c r="AL198" s="40" t="b">
        <x:v>1</x:v>
      </x:c>
      <x:c r="AM198" s="40" t="b">
        <x:v>1</x:v>
      </x:c>
      <x:c r="AN198" s="34" t="str"/>
      <x:c r="AO198" s="34" t="n">
        <x:v>0</x:v>
      </x:c>
      <x:c r="AP198" s="34" t="n">
        <x:v>0</x:v>
      </x:c>
      <x:c r="AQ198" s="34" t="n">
        <x:v>0</x:v>
      </x:c>
      <x:c r="AR198" s="34" t="n">
        <x:v>2</x:v>
      </x:c>
      <x:c r="AS198" s="34" t="n">
        <x:v>3</x:v>
      </x:c>
      <x:c r="AT198" s="34" t="n">
        <x:v>0.45933660799999987</x:v>
      </x:c>
      <x:c r="AU198" s="34" t="n">
        <x:v>0.65</x:v>
      </x:c>
      <x:c r="AV198" s="34" t="n">
        <x:v>2.02</x:v>
      </x:c>
    </x:row>
    <x:row r="199">
      <x:c r="A199" s="34" t="str">
        <x:v>POSCO_KR</x:v>
      </x:c>
      <x:c r="B199" s="34" t="str">
        <x:v>POSCO</x:v>
      </x:c>
      <x:c r="C199" s="34" t="str">
        <x:v>ACCELERATED_15C</x:v>
      </x:c>
      <x:c r="D199" s="34" t="str">
        <x:v>P1</x:v>
      </x:c>
      <x:c r="E199" s="34" t="n">
        <x:v>2028</x:v>
      </x:c>
      <x:c r="F199" s="34" t="n">
        <x:v>0</x:v>
      </x:c>
      <x:c r="G199" s="34" t="n">
        <x:v>0</x:v>
      </x:c>
      <x:c r="H199" s="34" t="n">
        <x:v>11.5</x:v>
      </x:c>
      <x:c r="I199" s="34" t="n">
        <x:v>11.5</x:v>
      </x:c>
      <x:c r="J199" s="34" t="n">
        <x:v>0</x:v>
      </x:c>
      <x:c r="K199" s="34" t="n">
        <x:v>0</x:v>
      </x:c>
      <x:c r="L199" s="34" t="n">
        <x:v>0.45000000000000007</x:v>
      </x:c>
      <x:c r="M199" s="34" t="n">
        <x:v>0.45</x:v>
      </x:c>
      <x:c r="N199" s="34" t="n">
        <x:v>0</x:v>
      </x:c>
      <x:c r="O199" s="34" t="n">
        <x:v>0</x:v>
      </x:c>
      <x:c r="P199" s="34" t="n">
        <x:v>6</x:v>
      </x:c>
      <x:c r="Q199" s="34" t="n">
        <x:v>6</x:v>
      </x:c>
      <x:c r="R199" s="34" t="n">
        <x:v>0</x:v>
      </x:c>
      <x:c r="S199" s="40" t="b">
        <x:v>1</x:v>
      </x:c>
      <x:c r="T199" s="34" t="str">
        <x:v>model_interpolation</x:v>
      </x:c>
      <x:c r="U199" s="34" t="str">
        <x:v>Linear interpolation from 2026 to 2030</x:v>
      </x:c>
      <x:c r="V199" s="34" t="str">
        <x:v>CAND-44C957BBFA61A4</x:v>
      </x:c>
      <x:c r="W199" s="34" t="str">
        <x:v>P1</x:v>
      </x:c>
      <x:c r="X199" s="34" t="str">
        <x:v>PORT-96133A6427FE</x:v>
      </x:c>
      <x:c r="Y199" s="34" t="n">
        <x:v>1000</x:v>
      </x:c>
      <x:c r="Z199" s="34" t="n">
        <x:v>59.924202</x:v>
      </x:c>
      <x:c r="AA199" s="34" t="n">
        <x:v>22.278135</x:v>
      </x:c>
      <x:c r="AB199" s="34" t="n">
        <x:v>430.20423</x:v>
      </x:c>
      <x:c r="AC199" s="34" t="n">
        <x:v>24922.922</x:v>
      </x:c>
      <x:c r="AD199" s="34" t="n">
        <x:v>57.932769</x:v>
      </x:c>
      <x:c r="AE199" s="40" t="b">
        <x:v>1</x:v>
      </x:c>
      <x:c r="AF199" s="40" t="b">
        <x:v>1</x:v>
      </x:c>
      <x:c r="AG199" s="34" t="str"/>
      <x:c r="AH199" s="34" t="n">
        <x:v>0</x:v>
      </x:c>
      <x:c r="AI199" s="34" t="str">
        <x:v>2.0275124185786808e-05</x:v>
      </x:c>
      <x:c r="AJ199" s="40" t="b">
        <x:v>1</x:v>
      </x:c>
      <x:c r="AK199" s="40" t="b">
        <x:v>1</x:v>
      </x:c>
      <x:c r="AL199" s="40" t="b">
        <x:v>1</x:v>
      </x:c>
      <x:c r="AM199" s="40" t="b">
        <x:v>1</x:v>
      </x:c>
      <x:c r="AN199" s="34" t="str"/>
      <x:c r="AO199" s="34" t="n">
        <x:v>0</x:v>
      </x:c>
      <x:c r="AP199" s="34" t="n">
        <x:v>0</x:v>
      </x:c>
      <x:c r="AQ199" s="34" t="n">
        <x:v>0</x:v>
      </x:c>
      <x:c r="AR199" s="34" t="n">
        <x:v>2</x:v>
      </x:c>
      <x:c r="AS199" s="34" t="n">
        <x:v>3</x:v>
      </x:c>
      <x:c r="AT199" s="34" t="n">
        <x:v>0.45933660799999987</x:v>
      </x:c>
      <x:c r="AU199" s="34" t="n">
        <x:v>0.65</x:v>
      </x:c>
      <x:c r="AV199" s="34" t="n">
        <x:v>2.02</x:v>
      </x:c>
    </x:row>
    <x:row r="200">
      <x:c r="A200" s="34" t="str">
        <x:v>POSCO_KR</x:v>
      </x:c>
      <x:c r="B200" s="34" t="str">
        <x:v>POSCO</x:v>
      </x:c>
      <x:c r="C200" s="34" t="str">
        <x:v>ACCELERATED_15C</x:v>
      </x:c>
      <x:c r="D200" s="34" t="str">
        <x:v>P1</x:v>
      </x:c>
      <x:c r="E200" s="34" t="n">
        <x:v>2029</x:v>
      </x:c>
      <x:c r="F200" s="34" t="n">
        <x:v>1</x:v>
      </x:c>
      <x:c r="G200" s="34" t="n">
        <x:v>6.839998</x:v>
      </x:c>
      <x:c r="H200" s="34" t="n">
        <x:v>13.25</x:v>
      </x:c>
      <x:c r="I200" s="34" t="n">
        <x:v>6.410002</x:v>
      </x:c>
      <x:c r="J200" s="34" t="n">
        <x:v>51.623</x:v>
      </x:c>
      <x:c r="K200" s="34" t="n">
        <x:v>0</x:v>
      </x:c>
      <x:c r="L200" s="34" t="n">
        <x:v>0.625</x:v>
      </x:c>
      <x:c r="M200" s="34" t="n">
        <x:v>0.625</x:v>
      </x:c>
      <x:c r="N200" s="34" t="n">
        <x:v>0</x:v>
      </x:c>
      <x:c r="O200" s="34" t="n">
        <x:v>4.255999</x:v>
      </x:c>
      <x:c r="P200" s="34" t="n">
        <x:v>8</x:v>
      </x:c>
      <x:c r="Q200" s="34" t="n">
        <x:v>3.744001</x:v>
      </x:c>
      <x:c r="R200" s="34" t="n">
        <x:v>53.2</x:v>
      </x:c>
      <x:c r="S200" s="40" t="b">
        <x:v>1</x:v>
      </x:c>
      <x:c r="T200" s="34" t="str">
        <x:v>model_interpolation</x:v>
      </x:c>
      <x:c r="U200" s="34" t="str">
        <x:v>Linear interpolation from 2026 to 2030</x:v>
      </x:c>
      <x:c r="V200" s="34" t="str">
        <x:v>CAND-44C957BBFA61A4</x:v>
      </x:c>
      <x:c r="W200" s="34" t="str">
        <x:v>P1</x:v>
      </x:c>
      <x:c r="X200" s="34" t="str">
        <x:v>PORT-96133A6427FE</x:v>
      </x:c>
      <x:c r="Y200" s="34" t="n">
        <x:v>1000</x:v>
      </x:c>
      <x:c r="Z200" s="34" t="n">
        <x:v>59.924202</x:v>
      </x:c>
      <x:c r="AA200" s="34" t="n">
        <x:v>22.278135</x:v>
      </x:c>
      <x:c r="AB200" s="34" t="n">
        <x:v>430.20423</x:v>
      </x:c>
      <x:c r="AC200" s="34" t="n">
        <x:v>24922.922</x:v>
      </x:c>
      <x:c r="AD200" s="34" t="n">
        <x:v>57.932769</x:v>
      </x:c>
      <x:c r="AE200" s="40" t="b">
        <x:v>1</x:v>
      </x:c>
      <x:c r="AF200" s="40" t="b">
        <x:v>1</x:v>
      </x:c>
      <x:c r="AG200" s="34" t="str"/>
      <x:c r="AH200" s="34" t="n">
        <x:v>0</x:v>
      </x:c>
      <x:c r="AI200" s="34" t="str">
        <x:v>2.0275124185786808e-05</x:v>
      </x:c>
      <x:c r="AJ200" s="40" t="b">
        <x:v>1</x:v>
      </x:c>
      <x:c r="AK200" s="40" t="b">
        <x:v>1</x:v>
      </x:c>
      <x:c r="AL200" s="40" t="b">
        <x:v>1</x:v>
      </x:c>
      <x:c r="AM200" s="40" t="b">
        <x:v>1</x:v>
      </x:c>
      <x:c r="AN200" s="34" t="str"/>
      <x:c r="AO200" s="34" t="n">
        <x:v>0</x:v>
      </x:c>
      <x:c r="AP200" s="34" t="n">
        <x:v>0</x:v>
      </x:c>
      <x:c r="AQ200" s="34" t="n">
        <x:v>0</x:v>
      </x:c>
      <x:c r="AR200" s="34" t="n">
        <x:v>2</x:v>
      </x:c>
      <x:c r="AS200" s="34" t="n">
        <x:v>3</x:v>
      </x:c>
      <x:c r="AT200" s="34" t="n">
        <x:v>0.45933660799999987</x:v>
      </x:c>
      <x:c r="AU200" s="34" t="n">
        <x:v>0.65</x:v>
      </x:c>
      <x:c r="AV200" s="34" t="n">
        <x:v>2.02</x:v>
      </x:c>
    </x:row>
    <x:row r="201">
      <x:c r="A201" s="34" t="str">
        <x:v>POSCO_KR</x:v>
      </x:c>
      <x:c r="B201" s="34" t="str">
        <x:v>POSCO</x:v>
      </x:c>
      <x:c r="C201" s="34" t="str">
        <x:v>ACCELERATED_15C</x:v>
      </x:c>
      <x:c r="D201" s="34" t="str">
        <x:v>P1</x:v>
      </x:c>
      <x:c r="E201" s="34" t="n">
        <x:v>2030</x:v>
      </x:c>
      <x:c r="F201" s="34" t="n">
        <x:v>1</x:v>
      </x:c>
      <x:c r="G201" s="34" t="n">
        <x:v>6.839998</x:v>
      </x:c>
      <x:c r="H201" s="34" t="n">
        <x:v>15</x:v>
      </x:c>
      <x:c r="I201" s="34" t="n">
        <x:v>8.160002</x:v>
      </x:c>
      <x:c r="J201" s="34" t="n">
        <x:v>45.6</x:v>
      </x:c>
      <x:c r="K201" s="34" t="n">
        <x:v>0</x:v>
      </x:c>
      <x:c r="L201" s="34" t="n">
        <x:v>0.8</x:v>
      </x:c>
      <x:c r="M201" s="34" t="n">
        <x:v>0.8</x:v>
      </x:c>
      <x:c r="N201" s="34" t="n">
        <x:v>0</x:v>
      </x:c>
      <x:c r="O201" s="34" t="n">
        <x:v>4.255999</x:v>
      </x:c>
      <x:c r="P201" s="34" t="n">
        <x:v>10</x:v>
      </x:c>
      <x:c r="Q201" s="34" t="n">
        <x:v>5.744001</x:v>
      </x:c>
      <x:c r="R201" s="34" t="n">
        <x:v>42.56</x:v>
      </x:c>
      <x:c r="S201" s="40" t="b">
        <x:v>1</x:v>
      </x:c>
      <x:c r="T201" s="34" t="str">
        <x:v>model_interpolation</x:v>
      </x:c>
      <x:c r="U201" s="34" t="str">
        <x:v>Linear interpolation from 2030 to 2035</x:v>
      </x:c>
      <x:c r="V201" s="34" t="str">
        <x:v>CAND-44C957BBFA61A4</x:v>
      </x:c>
      <x:c r="W201" s="34" t="str">
        <x:v>P1</x:v>
      </x:c>
      <x:c r="X201" s="34" t="str">
        <x:v>PORT-96133A6427FE</x:v>
      </x:c>
      <x:c r="Y201" s="34" t="n">
        <x:v>1000</x:v>
      </x:c>
      <x:c r="Z201" s="34" t="n">
        <x:v>59.924202</x:v>
      </x:c>
      <x:c r="AA201" s="34" t="n">
        <x:v>22.278135</x:v>
      </x:c>
      <x:c r="AB201" s="34" t="n">
        <x:v>430.20423</x:v>
      </x:c>
      <x:c r="AC201" s="34" t="n">
        <x:v>24922.922</x:v>
      </x:c>
      <x:c r="AD201" s="34" t="n">
        <x:v>57.932769</x:v>
      </x:c>
      <x:c r="AE201" s="40" t="b">
        <x:v>1</x:v>
      </x:c>
      <x:c r="AF201" s="40" t="b">
        <x:v>1</x:v>
      </x:c>
      <x:c r="AG201" s="34" t="str"/>
      <x:c r="AH201" s="34" t="n">
        <x:v>0</x:v>
      </x:c>
      <x:c r="AI201" s="34" t="str">
        <x:v>2.0275124185786808e-05</x:v>
      </x:c>
      <x:c r="AJ201" s="40" t="b">
        <x:v>1</x:v>
      </x:c>
      <x:c r="AK201" s="40" t="b">
        <x:v>1</x:v>
      </x:c>
      <x:c r="AL201" s="40" t="b">
        <x:v>1</x:v>
      </x:c>
      <x:c r="AM201" s="40" t="b">
        <x:v>1</x:v>
      </x:c>
      <x:c r="AN201" s="34" t="str"/>
      <x:c r="AO201" s="34" t="n">
        <x:v>0</x:v>
      </x:c>
      <x:c r="AP201" s="34" t="n">
        <x:v>0</x:v>
      </x:c>
      <x:c r="AQ201" s="34" t="n">
        <x:v>0</x:v>
      </x:c>
      <x:c r="AR201" s="34" t="n">
        <x:v>2</x:v>
      </x:c>
      <x:c r="AS201" s="34" t="n">
        <x:v>3</x:v>
      </x:c>
      <x:c r="AT201" s="34" t="n">
        <x:v>0.45933660799999987</x:v>
      </x:c>
      <x:c r="AU201" s="34" t="n">
        <x:v>0.65</x:v>
      </x:c>
      <x:c r="AV201" s="34" t="n">
        <x:v>2.02</x:v>
      </x:c>
    </x:row>
    <x:row r="202">
      <x:c r="A202" s="34" t="str">
        <x:v>POSCO_KR</x:v>
      </x:c>
      <x:c r="B202" s="34" t="str">
        <x:v>POSCO</x:v>
      </x:c>
      <x:c r="C202" s="34" t="str">
        <x:v>ACCELERATED_15C</x:v>
      </x:c>
      <x:c r="D202" s="34" t="str">
        <x:v>P1</x:v>
      </x:c>
      <x:c r="E202" s="34" t="n">
        <x:v>2031</x:v>
      </x:c>
      <x:c r="F202" s="34" t="n">
        <x:v>1</x:v>
      </x:c>
      <x:c r="G202" s="34" t="n">
        <x:v>6.839998</x:v>
      </x:c>
      <x:c r="H202" s="34" t="n">
        <x:v>16.6</x:v>
      </x:c>
      <x:c r="I202" s="34" t="n">
        <x:v>9.760002</x:v>
      </x:c>
      <x:c r="J202" s="34" t="n">
        <x:v>41.205</x:v>
      </x:c>
      <x:c r="K202" s="34" t="n">
        <x:v>0</x:v>
      </x:c>
      <x:c r="L202" s="34" t="n">
        <x:v>1.08</x:v>
      </x:c>
      <x:c r="M202" s="34" t="n">
        <x:v>1.08</x:v>
      </x:c>
      <x:c r="N202" s="34" t="n">
        <x:v>0</x:v>
      </x:c>
      <x:c r="O202" s="34" t="n">
        <x:v>4.255999</x:v>
      </x:c>
      <x:c r="P202" s="34" t="n">
        <x:v>12</x:v>
      </x:c>
      <x:c r="Q202" s="34" t="n">
        <x:v>7.744001</x:v>
      </x:c>
      <x:c r="R202" s="34" t="n">
        <x:v>35.467</x:v>
      </x:c>
      <x:c r="S202" s="40" t="b">
        <x:v>1</x:v>
      </x:c>
      <x:c r="T202" s="34" t="str">
        <x:v>model_interpolation</x:v>
      </x:c>
      <x:c r="U202" s="34" t="str">
        <x:v>Linear interpolation from 2030 to 2035</x:v>
      </x:c>
      <x:c r="V202" s="34" t="str">
        <x:v>CAND-44C957BBFA61A4</x:v>
      </x:c>
      <x:c r="W202" s="34" t="str">
        <x:v>P1</x:v>
      </x:c>
      <x:c r="X202" s="34" t="str">
        <x:v>PORT-96133A6427FE</x:v>
      </x:c>
      <x:c r="Y202" s="34" t="n">
        <x:v>1000</x:v>
      </x:c>
      <x:c r="Z202" s="34" t="n">
        <x:v>59.924202</x:v>
      </x:c>
      <x:c r="AA202" s="34" t="n">
        <x:v>22.278135</x:v>
      </x:c>
      <x:c r="AB202" s="34" t="n">
        <x:v>430.20423</x:v>
      </x:c>
      <x:c r="AC202" s="34" t="n">
        <x:v>24922.922</x:v>
      </x:c>
      <x:c r="AD202" s="34" t="n">
        <x:v>57.932769</x:v>
      </x:c>
      <x:c r="AE202" s="40" t="b">
        <x:v>1</x:v>
      </x:c>
      <x:c r="AF202" s="40" t="b">
        <x:v>1</x:v>
      </x:c>
      <x:c r="AG202" s="34" t="str"/>
      <x:c r="AH202" s="34" t="n">
        <x:v>0</x:v>
      </x:c>
      <x:c r="AI202" s="34" t="str">
        <x:v>2.0275124185786808e-05</x:v>
      </x:c>
      <x:c r="AJ202" s="40" t="b">
        <x:v>1</x:v>
      </x:c>
      <x:c r="AK202" s="40" t="b">
        <x:v>1</x:v>
      </x:c>
      <x:c r="AL202" s="40" t="b">
        <x:v>1</x:v>
      </x:c>
      <x:c r="AM202" s="40" t="b">
        <x:v>1</x:v>
      </x:c>
      <x:c r="AN202" s="34" t="str"/>
      <x:c r="AO202" s="34" t="n">
        <x:v>0</x:v>
      </x:c>
      <x:c r="AP202" s="34" t="n">
        <x:v>0</x:v>
      </x:c>
      <x:c r="AQ202" s="34" t="n">
        <x:v>0</x:v>
      </x:c>
      <x:c r="AR202" s="34" t="n">
        <x:v>2</x:v>
      </x:c>
      <x:c r="AS202" s="34" t="n">
        <x:v>3</x:v>
      </x:c>
      <x:c r="AT202" s="34" t="n">
        <x:v>0.45933660799999987</x:v>
      </x:c>
      <x:c r="AU202" s="34" t="n">
        <x:v>0.65</x:v>
      </x:c>
      <x:c r="AV202" s="34" t="n">
        <x:v>2.02</x:v>
      </x:c>
    </x:row>
    <x:row r="203">
      <x:c r="A203" s="34" t="str">
        <x:v>POSCO_KR</x:v>
      </x:c>
      <x:c r="B203" s="34" t="str">
        <x:v>POSCO</x:v>
      </x:c>
      <x:c r="C203" s="34" t="str">
        <x:v>ACCELERATED_15C</x:v>
      </x:c>
      <x:c r="D203" s="34" t="str">
        <x:v>P1</x:v>
      </x:c>
      <x:c r="E203" s="34" t="n">
        <x:v>2032</x:v>
      </x:c>
      <x:c r="F203" s="34" t="n">
        <x:v>2</x:v>
      </x:c>
      <x:c r="G203" s="34" t="n">
        <x:v>7.859998</x:v>
      </x:c>
      <x:c r="H203" s="34" t="n">
        <x:v>18.2</x:v>
      </x:c>
      <x:c r="I203" s="34" t="n">
        <x:v>10.340002</x:v>
      </x:c>
      <x:c r="J203" s="34" t="n">
        <x:v>43.187</x:v>
      </x:c>
      <x:c r="K203" s="34" t="n">
        <x:v>0.374</x:v>
      </x:c>
      <x:c r="L203" s="34" t="n">
        <x:v>1.36</x:v>
      </x:c>
      <x:c r="M203" s="34" t="n">
        <x:v>0.986</x:v>
      </x:c>
      <x:c r="N203" s="34" t="n">
        <x:v>27.5</x:v>
      </x:c>
      <x:c r="O203" s="34" t="n">
        <x:v>7.383999</x:v>
      </x:c>
      <x:c r="P203" s="34" t="n">
        <x:v>14</x:v>
      </x:c>
      <x:c r="Q203" s="34" t="n">
        <x:v>6.616001</x:v>
      </x:c>
      <x:c r="R203" s="34" t="n">
        <x:v>52.743</x:v>
      </x:c>
      <x:c r="S203" s="40" t="b">
        <x:v>1</x:v>
      </x:c>
      <x:c r="T203" s="34" t="str">
        <x:v>model_interpolation</x:v>
      </x:c>
      <x:c r="U203" s="34" t="str">
        <x:v>Linear interpolation from 2030 to 2035</x:v>
      </x:c>
      <x:c r="V203" s="34" t="str">
        <x:v>CAND-44C957BBFA61A4</x:v>
      </x:c>
      <x:c r="W203" s="34" t="str">
        <x:v>P1</x:v>
      </x:c>
      <x:c r="X203" s="34" t="str">
        <x:v>PORT-96133A6427FE</x:v>
      </x:c>
      <x:c r="Y203" s="34" t="n">
        <x:v>1000</x:v>
      </x:c>
      <x:c r="Z203" s="34" t="n">
        <x:v>59.924202</x:v>
      </x:c>
      <x:c r="AA203" s="34" t="n">
        <x:v>22.278135</x:v>
      </x:c>
      <x:c r="AB203" s="34" t="n">
        <x:v>430.20423</x:v>
      </x:c>
      <x:c r="AC203" s="34" t="n">
        <x:v>24922.922</x:v>
      </x:c>
      <x:c r="AD203" s="34" t="n">
        <x:v>57.932769</x:v>
      </x:c>
      <x:c r="AE203" s="40" t="b">
        <x:v>1</x:v>
      </x:c>
      <x:c r="AF203" s="40" t="b">
        <x:v>1</x:v>
      </x:c>
      <x:c r="AG203" s="34" t="str"/>
      <x:c r="AH203" s="34" t="n">
        <x:v>0</x:v>
      </x:c>
      <x:c r="AI203" s="34" t="str">
        <x:v>2.0275124185786808e-05</x:v>
      </x:c>
      <x:c r="AJ203" s="40" t="b">
        <x:v>1</x:v>
      </x:c>
      <x:c r="AK203" s="40" t="b">
        <x:v>1</x:v>
      </x:c>
      <x:c r="AL203" s="40" t="b">
        <x:v>1</x:v>
      </x:c>
      <x:c r="AM203" s="40" t="b">
        <x:v>1</x:v>
      </x:c>
      <x:c r="AN203" s="34" t="str"/>
      <x:c r="AO203" s="34" t="n">
        <x:v>0</x:v>
      </x:c>
      <x:c r="AP203" s="34" t="n">
        <x:v>0</x:v>
      </x:c>
      <x:c r="AQ203" s="34" t="n">
        <x:v>0</x:v>
      </x:c>
      <x:c r="AR203" s="34" t="n">
        <x:v>2</x:v>
      </x:c>
      <x:c r="AS203" s="34" t="n">
        <x:v>3</x:v>
      </x:c>
      <x:c r="AT203" s="34" t="n">
        <x:v>0.45933660799999987</x:v>
      </x:c>
      <x:c r="AU203" s="34" t="n">
        <x:v>0.65</x:v>
      </x:c>
      <x:c r="AV203" s="34" t="n">
        <x:v>2.02</x:v>
      </x:c>
    </x:row>
    <x:row r="204">
      <x:c r="A204" s="34" t="str">
        <x:v>POSCO_KR</x:v>
      </x:c>
      <x:c r="B204" s="34" t="str">
        <x:v>POSCO</x:v>
      </x:c>
      <x:c r="C204" s="34" t="str">
        <x:v>ACCELERATED_15C</x:v>
      </x:c>
      <x:c r="D204" s="34" t="str">
        <x:v>P1</x:v>
      </x:c>
      <x:c r="E204" s="34" t="n">
        <x:v>2033</x:v>
      </x:c>
      <x:c r="F204" s="34" t="n">
        <x:v>3</x:v>
      </x:c>
      <x:c r="G204" s="34" t="n">
        <x:v>8.880598</x:v>
      </x:c>
      <x:c r="H204" s="34" t="n">
        <x:v>19.8</x:v>
      </x:c>
      <x:c r="I204" s="34" t="n">
        <x:v>10.919402</x:v>
      </x:c>
      <x:c r="J204" s="34" t="n">
        <x:v>44.852</x:v>
      </x:c>
      <x:c r="K204" s="34" t="n">
        <x:v>0.374</x:v>
      </x:c>
      <x:c r="L204" s="34" t="n">
        <x:v>1.6400000000000001</x:v>
      </x:c>
      <x:c r="M204" s="34" t="n">
        <x:v>1.266</x:v>
      </x:c>
      <x:c r="N204" s="34" t="n">
        <x:v>22.805</x:v>
      </x:c>
      <x:c r="O204" s="34" t="n">
        <x:v>7.452039</x:v>
      </x:c>
      <x:c r="P204" s="34" t="n">
        <x:v>16</x:v>
      </x:c>
      <x:c r="Q204" s="34" t="n">
        <x:v>8.547961</x:v>
      </x:c>
      <x:c r="R204" s="34" t="n">
        <x:v>46.575</x:v>
      </x:c>
      <x:c r="S204" s="40" t="b">
        <x:v>1</x:v>
      </x:c>
      <x:c r="T204" s="34" t="str">
        <x:v>model_interpolation</x:v>
      </x:c>
      <x:c r="U204" s="34" t="str">
        <x:v>Linear interpolation from 2030 to 2035</x:v>
      </x:c>
      <x:c r="V204" s="34" t="str">
        <x:v>CAND-44C957BBFA61A4</x:v>
      </x:c>
      <x:c r="W204" s="34" t="str">
        <x:v>P1</x:v>
      </x:c>
      <x:c r="X204" s="34" t="str">
        <x:v>PORT-96133A6427FE</x:v>
      </x:c>
      <x:c r="Y204" s="34" t="n">
        <x:v>1000</x:v>
      </x:c>
      <x:c r="Z204" s="34" t="n">
        <x:v>59.924202</x:v>
      </x:c>
      <x:c r="AA204" s="34" t="n">
        <x:v>22.278135</x:v>
      </x:c>
      <x:c r="AB204" s="34" t="n">
        <x:v>430.20423</x:v>
      </x:c>
      <x:c r="AC204" s="34" t="n">
        <x:v>24922.922</x:v>
      </x:c>
      <x:c r="AD204" s="34" t="n">
        <x:v>57.932769</x:v>
      </x:c>
      <x:c r="AE204" s="40" t="b">
        <x:v>1</x:v>
      </x:c>
      <x:c r="AF204" s="40" t="b">
        <x:v>1</x:v>
      </x:c>
      <x:c r="AG204" s="34" t="str"/>
      <x:c r="AH204" s="34" t="n">
        <x:v>0</x:v>
      </x:c>
      <x:c r="AI204" s="34" t="str">
        <x:v>2.0275124185786808e-05</x:v>
      </x:c>
      <x:c r="AJ204" s="40" t="b">
        <x:v>1</x:v>
      </x:c>
      <x:c r="AK204" s="40" t="b">
        <x:v>1</x:v>
      </x:c>
      <x:c r="AL204" s="40" t="b">
        <x:v>1</x:v>
      </x:c>
      <x:c r="AM204" s="40" t="b">
        <x:v>1</x:v>
      </x:c>
      <x:c r="AN204" s="34" t="str"/>
      <x:c r="AO204" s="34" t="n">
        <x:v>0</x:v>
      </x:c>
      <x:c r="AP204" s="34" t="n">
        <x:v>0</x:v>
      </x:c>
      <x:c r="AQ204" s="34" t="n">
        <x:v>0</x:v>
      </x:c>
      <x:c r="AR204" s="34" t="n">
        <x:v>2</x:v>
      </x:c>
      <x:c r="AS204" s="34" t="n">
        <x:v>3</x:v>
      </x:c>
      <x:c r="AT204" s="34" t="n">
        <x:v>0.45933660799999987</x:v>
      </x:c>
      <x:c r="AU204" s="34" t="n">
        <x:v>0.65</x:v>
      </x:c>
      <x:c r="AV204" s="34" t="n">
        <x:v>2.02</x:v>
      </x:c>
    </x:row>
    <x:row r="205">
      <x:c r="A205" s="34" t="str">
        <x:v>POSCO_KR</x:v>
      </x:c>
      <x:c r="B205" s="34" t="str">
        <x:v>POSCO</x:v>
      </x:c>
      <x:c r="C205" s="34" t="str">
        <x:v>ACCELERATED_15C</x:v>
      </x:c>
      <x:c r="D205" s="34" t="str">
        <x:v>P1</x:v>
      </x:c>
      <x:c r="E205" s="34" t="n">
        <x:v>2034</x:v>
      </x:c>
      <x:c r="F205" s="34" t="n">
        <x:v>3</x:v>
      </x:c>
      <x:c r="G205" s="34" t="n">
        <x:v>8.880598</x:v>
      </x:c>
      <x:c r="H205" s="34" t="n">
        <x:v>21.4</x:v>
      </x:c>
      <x:c r="I205" s="34" t="n">
        <x:v>12.519402</x:v>
      </x:c>
      <x:c r="J205" s="34" t="n">
        <x:v>41.498</x:v>
      </x:c>
      <x:c r="K205" s="34" t="n">
        <x:v>0.374</x:v>
      </x:c>
      <x:c r="L205" s="34" t="n">
        <x:v>1.9200000000000002</x:v>
      </x:c>
      <x:c r="M205" s="34" t="n">
        <x:v>1.546</x:v>
      </x:c>
      <x:c r="N205" s="34" t="n">
        <x:v>19.479</x:v>
      </x:c>
      <x:c r="O205" s="34" t="n">
        <x:v>7.452039</x:v>
      </x:c>
      <x:c r="P205" s="34" t="n">
        <x:v>18</x:v>
      </x:c>
      <x:c r="Q205" s="34" t="n">
        <x:v>10.547961</x:v>
      </x:c>
      <x:c r="R205" s="34" t="n">
        <x:v>41.4</x:v>
      </x:c>
      <x:c r="S205" s="40" t="b">
        <x:v>1</x:v>
      </x:c>
      <x:c r="T205" s="34" t="str">
        <x:v>model_interpolation</x:v>
      </x:c>
      <x:c r="U205" s="34" t="str">
        <x:v>Linear interpolation from 2030 to 2035</x:v>
      </x:c>
      <x:c r="V205" s="34" t="str">
        <x:v>CAND-44C957BBFA61A4</x:v>
      </x:c>
      <x:c r="W205" s="34" t="str">
        <x:v>P1</x:v>
      </x:c>
      <x:c r="X205" s="34" t="str">
        <x:v>PORT-96133A6427FE</x:v>
      </x:c>
      <x:c r="Y205" s="34" t="n">
        <x:v>1000</x:v>
      </x:c>
      <x:c r="Z205" s="34" t="n">
        <x:v>59.924202</x:v>
      </x:c>
      <x:c r="AA205" s="34" t="n">
        <x:v>22.278135</x:v>
      </x:c>
      <x:c r="AB205" s="34" t="n">
        <x:v>430.20423</x:v>
      </x:c>
      <x:c r="AC205" s="34" t="n">
        <x:v>24922.922</x:v>
      </x:c>
      <x:c r="AD205" s="34" t="n">
        <x:v>57.932769</x:v>
      </x:c>
      <x:c r="AE205" s="40" t="b">
        <x:v>1</x:v>
      </x:c>
      <x:c r="AF205" s="40" t="b">
        <x:v>1</x:v>
      </x:c>
      <x:c r="AG205" s="34" t="str"/>
      <x:c r="AH205" s="34" t="n">
        <x:v>0</x:v>
      </x:c>
      <x:c r="AI205" s="34" t="str">
        <x:v>2.0275124185786808e-05</x:v>
      </x:c>
      <x:c r="AJ205" s="40" t="b">
        <x:v>1</x:v>
      </x:c>
      <x:c r="AK205" s="40" t="b">
        <x:v>1</x:v>
      </x:c>
      <x:c r="AL205" s="40" t="b">
        <x:v>1</x:v>
      </x:c>
      <x:c r="AM205" s="40" t="b">
        <x:v>1</x:v>
      </x:c>
      <x:c r="AN205" s="34" t="str"/>
      <x:c r="AO205" s="34" t="n">
        <x:v>0</x:v>
      </x:c>
      <x:c r="AP205" s="34" t="n">
        <x:v>0</x:v>
      </x:c>
      <x:c r="AQ205" s="34" t="n">
        <x:v>0</x:v>
      </x:c>
      <x:c r="AR205" s="34" t="n">
        <x:v>2</x:v>
      </x:c>
      <x:c r="AS205" s="34" t="n">
        <x:v>3</x:v>
      </x:c>
      <x:c r="AT205" s="34" t="n">
        <x:v>0.45933660799999987</x:v>
      </x:c>
      <x:c r="AU205" s="34" t="n">
        <x:v>0.65</x:v>
      </x:c>
      <x:c r="AV205" s="34" t="n">
        <x:v>2.02</x:v>
      </x:c>
    </x:row>
    <x:row r="206">
      <x:c r="A206" s="34" t="str">
        <x:v>POSCO_KR</x:v>
      </x:c>
      <x:c r="B206" s="34" t="str">
        <x:v>POSCO</x:v>
      </x:c>
      <x:c r="C206" s="34" t="str">
        <x:v>ACCELERATED_15C</x:v>
      </x:c>
      <x:c r="D206" s="34" t="str">
        <x:v>P1</x:v>
      </x:c>
      <x:c r="E206" s="34" t="n">
        <x:v>2035</x:v>
      </x:c>
      <x:c r="F206" s="34" t="n">
        <x:v>4</x:v>
      </x:c>
      <x:c r="G206" s="34" t="n">
        <x:v>17.430597</x:v>
      </x:c>
      <x:c r="H206" s="34" t="n">
        <x:v>23</x:v>
      </x:c>
      <x:c r="I206" s="34" t="n">
        <x:v>5.569403</x:v>
      </x:c>
      <x:c r="J206" s="34" t="n">
        <x:v>75.785</x:v>
      </x:c>
      <x:c r="K206" s="34" t="n">
        <x:v>0.374</x:v>
      </x:c>
      <x:c r="L206" s="34" t="n">
        <x:v>2.2</x:v>
      </x:c>
      <x:c r="M206" s="34" t="n">
        <x:v>1.826</x:v>
      </x:c>
      <x:c r="N206" s="34" t="n">
        <x:v>17</x:v>
      </x:c>
      <x:c r="O206" s="34" t="n">
        <x:v>12.867038</x:v>
      </x:c>
      <x:c r="P206" s="34" t="n">
        <x:v>20</x:v>
      </x:c>
      <x:c r="Q206" s="34" t="n">
        <x:v>7.132962</x:v>
      </x:c>
      <x:c r="R206" s="34" t="n">
        <x:v>64.335</x:v>
      </x:c>
      <x:c r="S206" s="40" t="b">
        <x:v>1</x:v>
      </x:c>
      <x:c r="T206" s="34" t="str">
        <x:v>model_interpolation</x:v>
      </x:c>
      <x:c r="U206" s="34" t="str">
        <x:v>Linear interpolation from 2035 to 2040</x:v>
      </x:c>
      <x:c r="V206" s="34" t="str">
        <x:v>CAND-44C957BBFA61A4</x:v>
      </x:c>
      <x:c r="W206" s="34" t="str">
        <x:v>P1</x:v>
      </x:c>
      <x:c r="X206" s="34" t="str">
        <x:v>PORT-96133A6427FE</x:v>
      </x:c>
      <x:c r="Y206" s="34" t="n">
        <x:v>1000</x:v>
      </x:c>
      <x:c r="Z206" s="34" t="n">
        <x:v>59.924202</x:v>
      </x:c>
      <x:c r="AA206" s="34" t="n">
        <x:v>22.278135</x:v>
      </x:c>
      <x:c r="AB206" s="34" t="n">
        <x:v>430.20423</x:v>
      </x:c>
      <x:c r="AC206" s="34" t="n">
        <x:v>24922.922</x:v>
      </x:c>
      <x:c r="AD206" s="34" t="n">
        <x:v>57.932769</x:v>
      </x:c>
      <x:c r="AE206" s="40" t="b">
        <x:v>1</x:v>
      </x:c>
      <x:c r="AF206" s="40" t="b">
        <x:v>1</x:v>
      </x:c>
      <x:c r="AG206" s="34" t="str"/>
      <x:c r="AH206" s="34" t="n">
        <x:v>0</x:v>
      </x:c>
      <x:c r="AI206" s="34" t="str">
        <x:v>2.0275124185786808e-05</x:v>
      </x:c>
      <x:c r="AJ206" s="40" t="b">
        <x:v>1</x:v>
      </x:c>
      <x:c r="AK206" s="40" t="b">
        <x:v>1</x:v>
      </x:c>
      <x:c r="AL206" s="40" t="b">
        <x:v>1</x:v>
      </x:c>
      <x:c r="AM206" s="40" t="b">
        <x:v>1</x:v>
      </x:c>
      <x:c r="AN206" s="34" t="str"/>
      <x:c r="AO206" s="34" t="n">
        <x:v>0</x:v>
      </x:c>
      <x:c r="AP206" s="34" t="n">
        <x:v>0</x:v>
      </x:c>
      <x:c r="AQ206" s="34" t="n">
        <x:v>0</x:v>
      </x:c>
      <x:c r="AR206" s="34" t="n">
        <x:v>2</x:v>
      </x:c>
      <x:c r="AS206" s="34" t="n">
        <x:v>3</x:v>
      </x:c>
      <x:c r="AT206" s="34" t="n">
        <x:v>0.45933660799999987</x:v>
      </x:c>
      <x:c r="AU206" s="34" t="n">
        <x:v>0.65</x:v>
      </x:c>
      <x:c r="AV206" s="34" t="n">
        <x:v>2.02</x:v>
      </x:c>
    </x:row>
    <x:row r="207">
      <x:c r="A207" s="34" t="str">
        <x:v>POSCO_KR</x:v>
      </x:c>
      <x:c r="B207" s="34" t="str">
        <x:v>POSCO</x:v>
      </x:c>
      <x:c r="C207" s="34" t="str">
        <x:v>ACCELERATED_15C</x:v>
      </x:c>
      <x:c r="D207" s="34" t="str">
        <x:v>P1</x:v>
      </x:c>
      <x:c r="E207" s="34" t="n">
        <x:v>2036</x:v>
      </x:c>
      <x:c r="F207" s="34" t="n">
        <x:v>4</x:v>
      </x:c>
      <x:c r="G207" s="34" t="n">
        <x:v>17.430597</x:v>
      </x:c>
      <x:c r="H207" s="34" t="n">
        <x:v>24.4</x:v>
      </x:c>
      <x:c r="I207" s="34" t="n">
        <x:v>6.969403</x:v>
      </x:c>
      <x:c r="J207" s="34" t="n">
        <x:v>71.437</x:v>
      </x:c>
      <x:c r="K207" s="34" t="n">
        <x:v>0.374</x:v>
      </x:c>
      <x:c r="L207" s="34" t="n">
        <x:v>2.56</x:v>
      </x:c>
      <x:c r="M207" s="34" t="n">
        <x:v>2.186</x:v>
      </x:c>
      <x:c r="N207" s="34" t="n">
        <x:v>14.609</x:v>
      </x:c>
      <x:c r="O207" s="34" t="n">
        <x:v>12.867038</x:v>
      </x:c>
      <x:c r="P207" s="34" t="n">
        <x:v>22.4</x:v>
      </x:c>
      <x:c r="Q207" s="34" t="n">
        <x:v>9.532962</x:v>
      </x:c>
      <x:c r="R207" s="34" t="n">
        <x:v>57.442</x:v>
      </x:c>
      <x:c r="S207" s="40" t="b">
        <x:v>1</x:v>
      </x:c>
      <x:c r="T207" s="34" t="str">
        <x:v>model_interpolation</x:v>
      </x:c>
      <x:c r="U207" s="34" t="str">
        <x:v>Linear interpolation from 2035 to 2040</x:v>
      </x:c>
      <x:c r="V207" s="34" t="str">
        <x:v>CAND-44C957BBFA61A4</x:v>
      </x:c>
      <x:c r="W207" s="34" t="str">
        <x:v>P1</x:v>
      </x:c>
      <x:c r="X207" s="34" t="str">
        <x:v>PORT-96133A6427FE</x:v>
      </x:c>
      <x:c r="Y207" s="34" t="n">
        <x:v>1000</x:v>
      </x:c>
      <x:c r="Z207" s="34" t="n">
        <x:v>59.924202</x:v>
      </x:c>
      <x:c r="AA207" s="34" t="n">
        <x:v>22.278135</x:v>
      </x:c>
      <x:c r="AB207" s="34" t="n">
        <x:v>430.20423</x:v>
      </x:c>
      <x:c r="AC207" s="34" t="n">
        <x:v>24922.922</x:v>
      </x:c>
      <x:c r="AD207" s="34" t="n">
        <x:v>57.932769</x:v>
      </x:c>
      <x:c r="AE207" s="40" t="b">
        <x:v>1</x:v>
      </x:c>
      <x:c r="AF207" s="40" t="b">
        <x:v>1</x:v>
      </x:c>
      <x:c r="AG207" s="34" t="str"/>
      <x:c r="AH207" s="34" t="n">
        <x:v>0</x:v>
      </x:c>
      <x:c r="AI207" s="34" t="str">
        <x:v>2.0275124185786808e-05</x:v>
      </x:c>
      <x:c r="AJ207" s="40" t="b">
        <x:v>1</x:v>
      </x:c>
      <x:c r="AK207" s="40" t="b">
        <x:v>1</x:v>
      </x:c>
      <x:c r="AL207" s="40" t="b">
        <x:v>1</x:v>
      </x:c>
      <x:c r="AM207" s="40" t="b">
        <x:v>1</x:v>
      </x:c>
      <x:c r="AN207" s="34" t="str"/>
      <x:c r="AO207" s="34" t="n">
        <x:v>0</x:v>
      </x:c>
      <x:c r="AP207" s="34" t="n">
        <x:v>0</x:v>
      </x:c>
      <x:c r="AQ207" s="34" t="n">
        <x:v>0</x:v>
      </x:c>
      <x:c r="AR207" s="34" t="n">
        <x:v>2</x:v>
      </x:c>
      <x:c r="AS207" s="34" t="n">
        <x:v>3</x:v>
      </x:c>
      <x:c r="AT207" s="34" t="n">
        <x:v>0.45933660799999987</x:v>
      </x:c>
      <x:c r="AU207" s="34" t="n">
        <x:v>0.65</x:v>
      </x:c>
      <x:c r="AV207" s="34" t="n">
        <x:v>2.02</x:v>
      </x:c>
    </x:row>
    <x:row r="208">
      <x:c r="A208" s="34" t="str">
        <x:v>POSCO_KR</x:v>
      </x:c>
      <x:c r="B208" s="34" t="str">
        <x:v>POSCO</x:v>
      </x:c>
      <x:c r="C208" s="34" t="str">
        <x:v>ACCELERATED_15C</x:v>
      </x:c>
      <x:c r="D208" s="34" t="str">
        <x:v>P1</x:v>
      </x:c>
      <x:c r="E208" s="34" t="n">
        <x:v>2037</x:v>
      </x:c>
      <x:c r="F208" s="34" t="n">
        <x:v>5</x:v>
      </x:c>
      <x:c r="G208" s="34" t="n">
        <x:v>18.856047</x:v>
      </x:c>
      <x:c r="H208" s="34" t="n">
        <x:v>25.8</x:v>
      </x:c>
      <x:c r="I208" s="34" t="n">
        <x:v>6.943953</x:v>
      </x:c>
      <x:c r="J208" s="34" t="n">
        <x:v>73.085</x:v>
      </x:c>
      <x:c r="K208" s="34" t="n">
        <x:v>0.896665</x:v>
      </x:c>
      <x:c r="L208" s="34" t="n">
        <x:v>2.92</x:v>
      </x:c>
      <x:c r="M208" s="34" t="n">
        <x:v>2.023335</x:v>
      </x:c>
      <x:c r="N208" s="34" t="n">
        <x:v>30.708</x:v>
      </x:c>
      <x:c r="O208" s="34" t="n">
        <x:v>17.333447</x:v>
      </x:c>
      <x:c r="P208" s="34" t="n">
        <x:v>24.8</x:v>
      </x:c>
      <x:c r="Q208" s="34" t="n">
        <x:v>7.466553</x:v>
      </x:c>
      <x:c r="R208" s="34" t="n">
        <x:v>69.893</x:v>
      </x:c>
      <x:c r="S208" s="40" t="b">
        <x:v>1</x:v>
      </x:c>
      <x:c r="T208" s="34" t="str">
        <x:v>model_interpolation</x:v>
      </x:c>
      <x:c r="U208" s="34" t="str">
        <x:v>Linear interpolation from 2035 to 2040</x:v>
      </x:c>
      <x:c r="V208" s="34" t="str">
        <x:v>CAND-44C957BBFA61A4</x:v>
      </x:c>
      <x:c r="W208" s="34" t="str">
        <x:v>P1</x:v>
      </x:c>
      <x:c r="X208" s="34" t="str">
        <x:v>PORT-96133A6427FE</x:v>
      </x:c>
      <x:c r="Y208" s="34" t="n">
        <x:v>1000</x:v>
      </x:c>
      <x:c r="Z208" s="34" t="n">
        <x:v>59.924202</x:v>
      </x:c>
      <x:c r="AA208" s="34" t="n">
        <x:v>22.278135</x:v>
      </x:c>
      <x:c r="AB208" s="34" t="n">
        <x:v>430.20423</x:v>
      </x:c>
      <x:c r="AC208" s="34" t="n">
        <x:v>24922.922</x:v>
      </x:c>
      <x:c r="AD208" s="34" t="n">
        <x:v>57.932769</x:v>
      </x:c>
      <x:c r="AE208" s="40" t="b">
        <x:v>1</x:v>
      </x:c>
      <x:c r="AF208" s="40" t="b">
        <x:v>1</x:v>
      </x:c>
      <x:c r="AG208" s="34" t="str"/>
      <x:c r="AH208" s="34" t="n">
        <x:v>0</x:v>
      </x:c>
      <x:c r="AI208" s="34" t="str">
        <x:v>2.0275124185786808e-05</x:v>
      </x:c>
      <x:c r="AJ208" s="40" t="b">
        <x:v>1</x:v>
      </x:c>
      <x:c r="AK208" s="40" t="b">
        <x:v>1</x:v>
      </x:c>
      <x:c r="AL208" s="40" t="b">
        <x:v>1</x:v>
      </x:c>
      <x:c r="AM208" s="40" t="b">
        <x:v>1</x:v>
      </x:c>
      <x:c r="AN208" s="34" t="str"/>
      <x:c r="AO208" s="34" t="n">
        <x:v>0</x:v>
      </x:c>
      <x:c r="AP208" s="34" t="n">
        <x:v>0</x:v>
      </x:c>
      <x:c r="AQ208" s="34" t="n">
        <x:v>0</x:v>
      </x:c>
      <x:c r="AR208" s="34" t="n">
        <x:v>2</x:v>
      </x:c>
      <x:c r="AS208" s="34" t="n">
        <x:v>3</x:v>
      </x:c>
      <x:c r="AT208" s="34" t="n">
        <x:v>0.45933660799999987</x:v>
      </x:c>
      <x:c r="AU208" s="34" t="n">
        <x:v>0.65</x:v>
      </x:c>
      <x:c r="AV208" s="34" t="n">
        <x:v>2.02</x:v>
      </x:c>
    </x:row>
    <x:row r="209">
      <x:c r="A209" s="34" t="str">
        <x:v>POSCO_KR</x:v>
      </x:c>
      <x:c r="B209" s="34" t="str">
        <x:v>POSCO</x:v>
      </x:c>
      <x:c r="C209" s="34" t="str">
        <x:v>ACCELERATED_15C</x:v>
      </x:c>
      <x:c r="D209" s="34" t="str">
        <x:v>P1</x:v>
      </x:c>
      <x:c r="E209" s="34" t="n">
        <x:v>2038</x:v>
      </x:c>
      <x:c r="F209" s="34" t="n">
        <x:v>5</x:v>
      </x:c>
      <x:c r="G209" s="34" t="n">
        <x:v>18.856047</x:v>
      </x:c>
      <x:c r="H209" s="34" t="n">
        <x:v>27.2</x:v>
      </x:c>
      <x:c r="I209" s="34" t="n">
        <x:v>8.343953</x:v>
      </x:c>
      <x:c r="J209" s="34" t="n">
        <x:v>69.324</x:v>
      </x:c>
      <x:c r="K209" s="34" t="n">
        <x:v>0.896665</x:v>
      </x:c>
      <x:c r="L209" s="34" t="n">
        <x:v>3.2800000000000002</x:v>
      </x:c>
      <x:c r="M209" s="34" t="n">
        <x:v>2.383335</x:v>
      </x:c>
      <x:c r="N209" s="34" t="n">
        <x:v>27.337</x:v>
      </x:c>
      <x:c r="O209" s="34" t="n">
        <x:v>17.333447</x:v>
      </x:c>
      <x:c r="P209" s="34" t="n">
        <x:v>27.2</x:v>
      </x:c>
      <x:c r="Q209" s="34" t="n">
        <x:v>9.866553</x:v>
      </x:c>
      <x:c r="R209" s="34" t="n">
        <x:v>63.726</x:v>
      </x:c>
      <x:c r="S209" s="40" t="b">
        <x:v>1</x:v>
      </x:c>
      <x:c r="T209" s="34" t="str">
        <x:v>model_interpolation</x:v>
      </x:c>
      <x:c r="U209" s="34" t="str">
        <x:v>Linear interpolation from 2035 to 2040</x:v>
      </x:c>
      <x:c r="V209" s="34" t="str">
        <x:v>CAND-44C957BBFA61A4</x:v>
      </x:c>
      <x:c r="W209" s="34" t="str">
        <x:v>P1</x:v>
      </x:c>
      <x:c r="X209" s="34" t="str">
        <x:v>PORT-96133A6427FE</x:v>
      </x:c>
      <x:c r="Y209" s="34" t="n">
        <x:v>1000</x:v>
      </x:c>
      <x:c r="Z209" s="34" t="n">
        <x:v>59.924202</x:v>
      </x:c>
      <x:c r="AA209" s="34" t="n">
        <x:v>22.278135</x:v>
      </x:c>
      <x:c r="AB209" s="34" t="n">
        <x:v>430.20423</x:v>
      </x:c>
      <x:c r="AC209" s="34" t="n">
        <x:v>24922.922</x:v>
      </x:c>
      <x:c r="AD209" s="34" t="n">
        <x:v>57.932769</x:v>
      </x:c>
      <x:c r="AE209" s="40" t="b">
        <x:v>1</x:v>
      </x:c>
      <x:c r="AF209" s="40" t="b">
        <x:v>1</x:v>
      </x:c>
      <x:c r="AG209" s="34" t="str"/>
      <x:c r="AH209" s="34" t="n">
        <x:v>0</x:v>
      </x:c>
      <x:c r="AI209" s="34" t="str">
        <x:v>2.0275124185786808e-05</x:v>
      </x:c>
      <x:c r="AJ209" s="40" t="b">
        <x:v>1</x:v>
      </x:c>
      <x:c r="AK209" s="40" t="b">
        <x:v>1</x:v>
      </x:c>
      <x:c r="AL209" s="40" t="b">
        <x:v>1</x:v>
      </x:c>
      <x:c r="AM209" s="40" t="b">
        <x:v>1</x:v>
      </x:c>
      <x:c r="AN209" s="34" t="str"/>
      <x:c r="AO209" s="34" t="n">
        <x:v>0</x:v>
      </x:c>
      <x:c r="AP209" s="34" t="n">
        <x:v>0</x:v>
      </x:c>
      <x:c r="AQ209" s="34" t="n">
        <x:v>0</x:v>
      </x:c>
      <x:c r="AR209" s="34" t="n">
        <x:v>2</x:v>
      </x:c>
      <x:c r="AS209" s="34" t="n">
        <x:v>3</x:v>
      </x:c>
      <x:c r="AT209" s="34" t="n">
        <x:v>0.45933660799999987</x:v>
      </x:c>
      <x:c r="AU209" s="34" t="n">
        <x:v>0.65</x:v>
      </x:c>
      <x:c r="AV209" s="34" t="n">
        <x:v>2.02</x:v>
      </x:c>
    </x:row>
    <x:row r="210">
      <x:c r="A210" s="34" t="str">
        <x:v>POSCO_KR</x:v>
      </x:c>
      <x:c r="B210" s="34" t="str">
        <x:v>POSCO</x:v>
      </x:c>
      <x:c r="C210" s="34" t="str">
        <x:v>ACCELERATED_15C</x:v>
      </x:c>
      <x:c r="D210" s="34" t="str">
        <x:v>P1</x:v>
      </x:c>
      <x:c r="E210" s="34" t="n">
        <x:v>2039</x:v>
      </x:c>
      <x:c r="F210" s="34" t="n">
        <x:v>5</x:v>
      </x:c>
      <x:c r="G210" s="34" t="n">
        <x:v>18.856047</x:v>
      </x:c>
      <x:c r="H210" s="34" t="n">
        <x:v>28.6</x:v>
      </x:c>
      <x:c r="I210" s="34" t="n">
        <x:v>9.743953</x:v>
      </x:c>
      <x:c r="J210" s="34" t="n">
        <x:v>65.93</x:v>
      </x:c>
      <x:c r="K210" s="34" t="n">
        <x:v>0.896665</x:v>
      </x:c>
      <x:c r="L210" s="34" t="n">
        <x:v>3.64</x:v>
      </x:c>
      <x:c r="M210" s="34" t="n">
        <x:v>2.743335</x:v>
      </x:c>
      <x:c r="N210" s="34" t="n">
        <x:v>24.634</x:v>
      </x:c>
      <x:c r="O210" s="34" t="n">
        <x:v>17.333447</x:v>
      </x:c>
      <x:c r="P210" s="34" t="n">
        <x:v>29.6</x:v>
      </x:c>
      <x:c r="Q210" s="34" t="n">
        <x:v>12.266553</x:v>
      </x:c>
      <x:c r="R210" s="34" t="n">
        <x:v>58.559</x:v>
      </x:c>
      <x:c r="S210" s="40" t="b">
        <x:v>1</x:v>
      </x:c>
      <x:c r="T210" s="34" t="str">
        <x:v>model_interpolation</x:v>
      </x:c>
      <x:c r="U210" s="34" t="str">
        <x:v>Linear interpolation from 2035 to 2040</x:v>
      </x:c>
      <x:c r="V210" s="34" t="str">
        <x:v>CAND-44C957BBFA61A4</x:v>
      </x:c>
      <x:c r="W210" s="34" t="str">
        <x:v>P1</x:v>
      </x:c>
      <x:c r="X210" s="34" t="str">
        <x:v>PORT-96133A6427FE</x:v>
      </x:c>
      <x:c r="Y210" s="34" t="n">
        <x:v>1000</x:v>
      </x:c>
      <x:c r="Z210" s="34" t="n">
        <x:v>59.924202</x:v>
      </x:c>
      <x:c r="AA210" s="34" t="n">
        <x:v>22.278135</x:v>
      </x:c>
      <x:c r="AB210" s="34" t="n">
        <x:v>430.20423</x:v>
      </x:c>
      <x:c r="AC210" s="34" t="n">
        <x:v>24922.922</x:v>
      </x:c>
      <x:c r="AD210" s="34" t="n">
        <x:v>57.932769</x:v>
      </x:c>
      <x:c r="AE210" s="40" t="b">
        <x:v>1</x:v>
      </x:c>
      <x:c r="AF210" s="40" t="b">
        <x:v>1</x:v>
      </x:c>
      <x:c r="AG210" s="34" t="str"/>
      <x:c r="AH210" s="34" t="n">
        <x:v>0</x:v>
      </x:c>
      <x:c r="AI210" s="34" t="str">
        <x:v>2.0275124185786808e-05</x:v>
      </x:c>
      <x:c r="AJ210" s="40" t="b">
        <x:v>1</x:v>
      </x:c>
      <x:c r="AK210" s="40" t="b">
        <x:v>1</x:v>
      </x:c>
      <x:c r="AL210" s="40" t="b">
        <x:v>1</x:v>
      </x:c>
      <x:c r="AM210" s="40" t="b">
        <x:v>1</x:v>
      </x:c>
      <x:c r="AN210" s="34" t="str"/>
      <x:c r="AO210" s="34" t="n">
        <x:v>0</x:v>
      </x:c>
      <x:c r="AP210" s="34" t="n">
        <x:v>0</x:v>
      </x:c>
      <x:c r="AQ210" s="34" t="n">
        <x:v>0</x:v>
      </x:c>
      <x:c r="AR210" s="34" t="n">
        <x:v>2</x:v>
      </x:c>
      <x:c r="AS210" s="34" t="n">
        <x:v>3</x:v>
      </x:c>
      <x:c r="AT210" s="34" t="n">
        <x:v>0.45933660799999987</x:v>
      </x:c>
      <x:c r="AU210" s="34" t="n">
        <x:v>0.65</x:v>
      </x:c>
      <x:c r="AV210" s="34" t="n">
        <x:v>2.02</x:v>
      </x:c>
    </x:row>
    <x:row r="211">
      <x:c r="A211" s="34" t="str">
        <x:v>POSCO_KR</x:v>
      </x:c>
      <x:c r="B211" s="34" t="str">
        <x:v>POSCO</x:v>
      </x:c>
      <x:c r="C211" s="34" t="str">
        <x:v>ACCELERATED_15C</x:v>
      </x:c>
      <x:c r="D211" s="34" t="str">
        <x:v>P1</x:v>
      </x:c>
      <x:c r="E211" s="34" t="n">
        <x:v>2040</x:v>
      </x:c>
      <x:c r="F211" s="34" t="n">
        <x:v>5</x:v>
      </x:c>
      <x:c r="G211" s="34" t="n">
        <x:v>18.856047</x:v>
      </x:c>
      <x:c r="H211" s="34" t="n">
        <x:v>30</x:v>
      </x:c>
      <x:c r="I211" s="34" t="n">
        <x:v>11.143953</x:v>
      </x:c>
      <x:c r="J211" s="34" t="n">
        <x:v>62.853</x:v>
      </x:c>
      <x:c r="K211" s="34" t="n">
        <x:v>0.896665</x:v>
      </x:c>
      <x:c r="L211" s="34" t="n">
        <x:v>4</x:v>
      </x:c>
      <x:c r="M211" s="34" t="n">
        <x:v>3.103335</x:v>
      </x:c>
      <x:c r="N211" s="34" t="n">
        <x:v>22.417</x:v>
      </x:c>
      <x:c r="O211" s="34" t="n">
        <x:v>17.333447</x:v>
      </x:c>
      <x:c r="P211" s="34" t="n">
        <x:v>32</x:v>
      </x:c>
      <x:c r="Q211" s="34" t="n">
        <x:v>14.666553</x:v>
      </x:c>
      <x:c r="R211" s="34" t="n">
        <x:v>54.167</x:v>
      </x:c>
      <x:c r="S211" s="40" t="b">
        <x:v>1</x:v>
      </x:c>
      <x:c r="T211" s="34" t="str">
        <x:v>model_estimate</x:v>
      </x:c>
      <x:c r="U211" s="34" t="str">
        <x:v>Illustrative accelerated envelope; not GCAM or an official supply forecast</x:v>
      </x:c>
      <x:c r="V211" s="34" t="str">
        <x:v>CAND-44C957BBFA61A4</x:v>
      </x:c>
      <x:c r="W211" s="34" t="str">
        <x:v>P1</x:v>
      </x:c>
      <x:c r="X211" s="34" t="str">
        <x:v>PORT-96133A6427FE</x:v>
      </x:c>
      <x:c r="Y211" s="34" t="n">
        <x:v>1000</x:v>
      </x:c>
      <x:c r="Z211" s="34" t="n">
        <x:v>59.924202</x:v>
      </x:c>
      <x:c r="AA211" s="34" t="n">
        <x:v>22.278135</x:v>
      </x:c>
      <x:c r="AB211" s="34" t="n">
        <x:v>430.20423</x:v>
      </x:c>
      <x:c r="AC211" s="34" t="n">
        <x:v>24922.922</x:v>
      </x:c>
      <x:c r="AD211" s="34" t="n">
        <x:v>57.932769</x:v>
      </x:c>
      <x:c r="AE211" s="40" t="b">
        <x:v>1</x:v>
      </x:c>
      <x:c r="AF211" s="40" t="b">
        <x:v>1</x:v>
      </x:c>
      <x:c r="AG211" s="34" t="str"/>
      <x:c r="AH211" s="34" t="n">
        <x:v>0</x:v>
      </x:c>
      <x:c r="AI211" s="34" t="str">
        <x:v>2.0275124185786808e-05</x:v>
      </x:c>
      <x:c r="AJ211" s="40" t="b">
        <x:v>1</x:v>
      </x:c>
      <x:c r="AK211" s="40" t="b">
        <x:v>1</x:v>
      </x:c>
      <x:c r="AL211" s="40" t="b">
        <x:v>1</x:v>
      </x:c>
      <x:c r="AM211" s="40" t="b">
        <x:v>1</x:v>
      </x:c>
      <x:c r="AN211" s="34" t="str"/>
      <x:c r="AO211" s="34" t="n">
        <x:v>0</x:v>
      </x:c>
      <x:c r="AP211" s="34" t="n">
        <x:v>0</x:v>
      </x:c>
      <x:c r="AQ211" s="34" t="n">
        <x:v>0</x:v>
      </x:c>
      <x:c r="AR211" s="34" t="n">
        <x:v>2</x:v>
      </x:c>
      <x:c r="AS211" s="34" t="n">
        <x:v>3</x:v>
      </x:c>
      <x:c r="AT211" s="34" t="n">
        <x:v>0.45933660799999987</x:v>
      </x:c>
      <x:c r="AU211" s="34" t="n">
        <x:v>0.65</x:v>
      </x:c>
      <x:c r="AV211" s="34" t="n">
        <x:v>2.02</x:v>
      </x:c>
    </x:row>
    <x:row r="212">
      <x:c r="A212" s="34" t="str">
        <x:v>POSCO_KR</x:v>
      </x:c>
      <x:c r="B212" s="34" t="str">
        <x:v>POSCO</x:v>
      </x:c>
      <x:c r="C212" s="34" t="str">
        <x:v>DISCLOSED_PATH</x:v>
      </x:c>
      <x:c r="D212" s="34" t="str">
        <x:v>P2</x:v>
      </x:c>
      <x:c r="E212" s="34" t="n">
        <x:v>2026</x:v>
      </x:c>
      <x:c r="F212" s="34" t="n">
        <x:v>0</x:v>
      </x:c>
      <x:c r="G212" s="34" t="n">
        <x:v>0</x:v>
      </x:c>
      <x:c r="H212" s="34" t="n">
        <x:v>8</x:v>
      </x:c>
      <x:c r="I212" s="34" t="n">
        <x:v>8</x:v>
      </x:c>
      <x:c r="J212" s="34" t="n">
        <x:v>0</x:v>
      </x:c>
      <x:c r="K212" s="34" t="n">
        <x:v>0</x:v>
      </x:c>
      <x:c r="L212" s="34" t="n">
        <x:v>0</x:v>
      </x:c>
      <x:c r="M212" s="34" t="n">
        <x:v>0</x:v>
      </x:c>
      <x:c r="N212" s="34" t="n">
        <x:v>0</x:v>
      </x:c>
      <x:c r="O212" s="34" t="n">
        <x:v>0</x:v>
      </x:c>
      <x:c r="P212" s="34" t="n">
        <x:v>2</x:v>
      </x:c>
      <x:c r="Q212" s="34" t="n">
        <x:v>2</x:v>
      </x:c>
      <x:c r="R212" s="34" t="n">
        <x:v>0</x:v>
      </x:c>
      <x:c r="S212" s="40" t="b">
        <x:v>1</x:v>
      </x:c>
      <x:c r="T212" s="34" t="str">
        <x:v>model_interpolation</x:v>
      </x:c>
      <x:c r="U212" s="34" t="str">
        <x:v>Linear interpolation from 2026 to 2030</x:v>
      </x:c>
      <x:c r="V212" s="34" t="str">
        <x:v>CAND-466C04961ED513</x:v>
      </x:c>
      <x:c r="W212" s="34" t="str">
        <x:v>P2</x:v>
      </x:c>
      <x:c r="X212" s="34" t="str">
        <x:v>PORT-7ED23B40E316</x:v>
      </x:c>
      <x:c r="Y212" s="34" t="n">
        <x:v>1000</x:v>
      </x:c>
      <x:c r="Z212" s="34" t="n">
        <x:v>32.779683</x:v>
      </x:c>
      <x:c r="AA212" s="34" t="n">
        <x:v>11.005763</x:v>
      </x:c>
      <x:c r="AB212" s="34" t="n">
        <x:v>414.904229</x:v>
      </x:c>
      <x:c r="AC212" s="34" t="n">
        <x:v>13064.613</x:v>
      </x:c>
      <x:c r="AD212" s="34" t="n">
        <x:v>31.488261</x:v>
      </x:c>
      <x:c r="AE212" s="40" t="b">
        <x:v>1</x:v>
      </x:c>
      <x:c r="AF212" s="40" t="b">
        <x:v>0</x:v>
      </x:c>
      <x:c r="AG212" s="34" t="str"/>
      <x:c r="AH212" s="34" t="n">
        <x:v>0</x:v>
      </x:c>
      <x:c r="AI212" s="34" t="str">
        <x:v>2.0275124185786808e-05</x:v>
      </x:c>
      <x:c r="AJ212" s="40" t="b">
        <x:v>0</x:v>
      </x:c>
      <x:c r="AK212" s="40" t="b">
        <x:v>0</x:v>
      </x:c>
      <x:c r="AL212" s="40" t="b">
        <x:v>1</x:v>
      </x:c>
      <x:c r="AM212" s="40" t="b">
        <x:v>1</x:v>
      </x:c>
      <x:c r="AN212" s="34" t="n">
        <x:v>2035</x:v>
      </x:c>
      <x:c r="AO212" s="34" t="n">
        <x:v>4.530597659999998</x:v>
      </x:c>
      <x:c r="AP212" s="34" t="n">
        <x:v>0</x:v>
      </x:c>
      <x:c r="AQ212" s="34" t="n">
        <x:v>0</x:v>
      </x:c>
      <x:c r="AR212" s="34" t="n">
        <x:v>2</x:v>
      </x:c>
      <x:c r="AS212" s="34" t="n">
        <x:v>3</x:v>
      </x:c>
      <x:c r="AT212" s="34" t="n">
        <x:v>0.3934020479999999</x:v>
      </x:c>
      <x:c r="AU212" s="34" t="n">
        <x:v>0.65</x:v>
      </x:c>
      <x:c r="AV212" s="34" t="n">
        <x:v>1.54</x:v>
      </x:c>
    </x:row>
    <x:row r="213">
      <x:c r="A213" s="34" t="str">
        <x:v>POSCO_KR</x:v>
      </x:c>
      <x:c r="B213" s="34" t="str">
        <x:v>POSCO</x:v>
      </x:c>
      <x:c r="C213" s="34" t="str">
        <x:v>DISCLOSED_PATH</x:v>
      </x:c>
      <x:c r="D213" s="34" t="str">
        <x:v>P2</x:v>
      </x:c>
      <x:c r="E213" s="34" t="n">
        <x:v>2027</x:v>
      </x:c>
      <x:c r="F213" s="34" t="n">
        <x:v>0</x:v>
      </x:c>
      <x:c r="G213" s="34" t="n">
        <x:v>0</x:v>
      </x:c>
      <x:c r="H213" s="34" t="n">
        <x:v>9</x:v>
      </x:c>
      <x:c r="I213" s="34" t="n">
        <x:v>9</x:v>
      </x:c>
      <x:c r="J213" s="34" t="n">
        <x:v>0</x:v>
      </x:c>
      <x:c r="K213" s="34" t="n">
        <x:v>0</x:v>
      </x:c>
      <x:c r="L213" s="34" t="n">
        <x:v>0.125</x:v>
      </x:c>
      <x:c r="M213" s="34" t="n">
        <x:v>0.125</x:v>
      </x:c>
      <x:c r="N213" s="34" t="n">
        <x:v>0</x:v>
      </x:c>
      <x:c r="O213" s="34" t="n">
        <x:v>0</x:v>
      </x:c>
      <x:c r="P213" s="34" t="n">
        <x:v>3.25</x:v>
      </x:c>
      <x:c r="Q213" s="34" t="n">
        <x:v>3.25</x:v>
      </x:c>
      <x:c r="R213" s="34" t="n">
        <x:v>0</x:v>
      </x:c>
      <x:c r="S213" s="40" t="b">
        <x:v>1</x:v>
      </x:c>
      <x:c r="T213" s="34" t="str">
        <x:v>model_interpolation</x:v>
      </x:c>
      <x:c r="U213" s="34" t="str">
        <x:v>Linear interpolation from 2026 to 2030</x:v>
      </x:c>
      <x:c r="V213" s="34" t="str">
        <x:v>CAND-466C04961ED513</x:v>
      </x:c>
      <x:c r="W213" s="34" t="str">
        <x:v>P2</x:v>
      </x:c>
      <x:c r="X213" s="34" t="str">
        <x:v>PORT-7ED23B40E316</x:v>
      </x:c>
      <x:c r="Y213" s="34" t="n">
        <x:v>1000</x:v>
      </x:c>
      <x:c r="Z213" s="34" t="n">
        <x:v>32.779683</x:v>
      </x:c>
      <x:c r="AA213" s="34" t="n">
        <x:v>11.005763</x:v>
      </x:c>
      <x:c r="AB213" s="34" t="n">
        <x:v>414.904229</x:v>
      </x:c>
      <x:c r="AC213" s="34" t="n">
        <x:v>13064.613</x:v>
      </x:c>
      <x:c r="AD213" s="34" t="n">
        <x:v>31.488261</x:v>
      </x:c>
      <x:c r="AE213" s="40" t="b">
        <x:v>1</x:v>
      </x:c>
      <x:c r="AF213" s="40" t="b">
        <x:v>0</x:v>
      </x:c>
      <x:c r="AG213" s="34" t="str"/>
      <x:c r="AH213" s="34" t="n">
        <x:v>0</x:v>
      </x:c>
      <x:c r="AI213" s="34" t="str">
        <x:v>2.0275124185786808e-05</x:v>
      </x:c>
      <x:c r="AJ213" s="40" t="b">
        <x:v>0</x:v>
      </x:c>
      <x:c r="AK213" s="40" t="b">
        <x:v>0</x:v>
      </x:c>
      <x:c r="AL213" s="40" t="b">
        <x:v>1</x:v>
      </x:c>
      <x:c r="AM213" s="40" t="b">
        <x:v>1</x:v>
      </x:c>
      <x:c r="AN213" s="34" t="n">
        <x:v>2035</x:v>
      </x:c>
      <x:c r="AO213" s="34" t="n">
        <x:v>4.530597659999998</x:v>
      </x:c>
      <x:c r="AP213" s="34" t="n">
        <x:v>0</x:v>
      </x:c>
      <x:c r="AQ213" s="34" t="n">
        <x:v>0</x:v>
      </x:c>
      <x:c r="AR213" s="34" t="n">
        <x:v>2</x:v>
      </x:c>
      <x:c r="AS213" s="34" t="n">
        <x:v>3</x:v>
      </x:c>
      <x:c r="AT213" s="34" t="n">
        <x:v>0.3934020479999999</x:v>
      </x:c>
      <x:c r="AU213" s="34" t="n">
        <x:v>0.65</x:v>
      </x:c>
      <x:c r="AV213" s="34" t="n">
        <x:v>1.54</x:v>
      </x:c>
    </x:row>
    <x:row r="214">
      <x:c r="A214" s="34" t="str">
        <x:v>POSCO_KR</x:v>
      </x:c>
      <x:c r="B214" s="34" t="str">
        <x:v>POSCO</x:v>
      </x:c>
      <x:c r="C214" s="34" t="str">
        <x:v>DISCLOSED_PATH</x:v>
      </x:c>
      <x:c r="D214" s="34" t="str">
        <x:v>P2</x:v>
      </x:c>
      <x:c r="E214" s="34" t="n">
        <x:v>2028</x:v>
      </x:c>
      <x:c r="F214" s="34" t="n">
        <x:v>0</x:v>
      </x:c>
      <x:c r="G214" s="34" t="n">
        <x:v>0</x:v>
      </x:c>
      <x:c r="H214" s="34" t="n">
        <x:v>10</x:v>
      </x:c>
      <x:c r="I214" s="34" t="n">
        <x:v>10</x:v>
      </x:c>
      <x:c r="J214" s="34" t="n">
        <x:v>0</x:v>
      </x:c>
      <x:c r="K214" s="34" t="n">
        <x:v>0</x:v>
      </x:c>
      <x:c r="L214" s="34" t="n">
        <x:v>0.25</x:v>
      </x:c>
      <x:c r="M214" s="34" t="n">
        <x:v>0.25</x:v>
      </x:c>
      <x:c r="N214" s="34" t="n">
        <x:v>0</x:v>
      </x:c>
      <x:c r="O214" s="34" t="n">
        <x:v>0</x:v>
      </x:c>
      <x:c r="P214" s="34" t="n">
        <x:v>4.5</x:v>
      </x:c>
      <x:c r="Q214" s="34" t="n">
        <x:v>4.5</x:v>
      </x:c>
      <x:c r="R214" s="34" t="n">
        <x:v>0</x:v>
      </x:c>
      <x:c r="S214" s="40" t="b">
        <x:v>1</x:v>
      </x:c>
      <x:c r="T214" s="34" t="str">
        <x:v>model_interpolation</x:v>
      </x:c>
      <x:c r="U214" s="34" t="str">
        <x:v>Linear interpolation from 2026 to 2030</x:v>
      </x:c>
      <x:c r="V214" s="34" t="str">
        <x:v>CAND-466C04961ED513</x:v>
      </x:c>
      <x:c r="W214" s="34" t="str">
        <x:v>P2</x:v>
      </x:c>
      <x:c r="X214" s="34" t="str">
        <x:v>PORT-7ED23B40E316</x:v>
      </x:c>
      <x:c r="Y214" s="34" t="n">
        <x:v>1000</x:v>
      </x:c>
      <x:c r="Z214" s="34" t="n">
        <x:v>32.779683</x:v>
      </x:c>
      <x:c r="AA214" s="34" t="n">
        <x:v>11.005763</x:v>
      </x:c>
      <x:c r="AB214" s="34" t="n">
        <x:v>414.904229</x:v>
      </x:c>
      <x:c r="AC214" s="34" t="n">
        <x:v>13064.613</x:v>
      </x:c>
      <x:c r="AD214" s="34" t="n">
        <x:v>31.488261</x:v>
      </x:c>
      <x:c r="AE214" s="40" t="b">
        <x:v>1</x:v>
      </x:c>
      <x:c r="AF214" s="40" t="b">
        <x:v>0</x:v>
      </x:c>
      <x:c r="AG214" s="34" t="str"/>
      <x:c r="AH214" s="34" t="n">
        <x:v>0</x:v>
      </x:c>
      <x:c r="AI214" s="34" t="str">
        <x:v>2.0275124185786808e-05</x:v>
      </x:c>
      <x:c r="AJ214" s="40" t="b">
        <x:v>0</x:v>
      </x:c>
      <x:c r="AK214" s="40" t="b">
        <x:v>0</x:v>
      </x:c>
      <x:c r="AL214" s="40" t="b">
        <x:v>1</x:v>
      </x:c>
      <x:c r="AM214" s="40" t="b">
        <x:v>1</x:v>
      </x:c>
      <x:c r="AN214" s="34" t="n">
        <x:v>2035</x:v>
      </x:c>
      <x:c r="AO214" s="34" t="n">
        <x:v>4.530597659999998</x:v>
      </x:c>
      <x:c r="AP214" s="34" t="n">
        <x:v>0</x:v>
      </x:c>
      <x:c r="AQ214" s="34" t="n">
        <x:v>0</x:v>
      </x:c>
      <x:c r="AR214" s="34" t="n">
        <x:v>2</x:v>
      </x:c>
      <x:c r="AS214" s="34" t="n">
        <x:v>3</x:v>
      </x:c>
      <x:c r="AT214" s="34" t="n">
        <x:v>0.3934020479999999</x:v>
      </x:c>
      <x:c r="AU214" s="34" t="n">
        <x:v>0.65</x:v>
      </x:c>
      <x:c r="AV214" s="34" t="n">
        <x:v>1.54</x:v>
      </x:c>
    </x:row>
    <x:row r="215">
      <x:c r="A215" s="34" t="str">
        <x:v>POSCO_KR</x:v>
      </x:c>
      <x:c r="B215" s="34" t="str">
        <x:v>POSCO</x:v>
      </x:c>
      <x:c r="C215" s="34" t="str">
        <x:v>DISCLOSED_PATH</x:v>
      </x:c>
      <x:c r="D215" s="34" t="str">
        <x:v>P2</x:v>
      </x:c>
      <x:c r="E215" s="34" t="n">
        <x:v>2029</x:v>
      </x:c>
      <x:c r="F215" s="34" t="n">
        <x:v>1</x:v>
      </x:c>
      <x:c r="G215" s="34" t="n">
        <x:v>6.839998</x:v>
      </x:c>
      <x:c r="H215" s="34" t="n">
        <x:v>11</x:v>
      </x:c>
      <x:c r="I215" s="34" t="n">
        <x:v>4.160002</x:v>
      </x:c>
      <x:c r="J215" s="34" t="n">
        <x:v>62.182</x:v>
      </x:c>
      <x:c r="K215" s="34" t="n">
        <x:v>0</x:v>
      </x:c>
      <x:c r="L215" s="34" t="n">
        <x:v>0.375</x:v>
      </x:c>
      <x:c r="M215" s="34" t="n">
        <x:v>0.375</x:v>
      </x:c>
      <x:c r="N215" s="34" t="n">
        <x:v>0</x:v>
      </x:c>
      <x:c r="O215" s="34" t="n">
        <x:v>4.255999</x:v>
      </x:c>
      <x:c r="P215" s="34" t="n">
        <x:v>5.75</x:v>
      </x:c>
      <x:c r="Q215" s="34" t="n">
        <x:v>1.494001</x:v>
      </x:c>
      <x:c r="R215" s="34" t="n">
        <x:v>74.017</x:v>
      </x:c>
      <x:c r="S215" s="40" t="b">
        <x:v>1</x:v>
      </x:c>
      <x:c r="T215" s="34" t="str">
        <x:v>model_interpolation</x:v>
      </x:c>
      <x:c r="U215" s="34" t="str">
        <x:v>Linear interpolation from 2026 to 2030</x:v>
      </x:c>
      <x:c r="V215" s="34" t="str">
        <x:v>CAND-466C04961ED513</x:v>
      </x:c>
      <x:c r="W215" s="34" t="str">
        <x:v>P2</x:v>
      </x:c>
      <x:c r="X215" s="34" t="str">
        <x:v>PORT-7ED23B40E316</x:v>
      </x:c>
      <x:c r="Y215" s="34" t="n">
        <x:v>1000</x:v>
      </x:c>
      <x:c r="Z215" s="34" t="n">
        <x:v>32.779683</x:v>
      </x:c>
      <x:c r="AA215" s="34" t="n">
        <x:v>11.005763</x:v>
      </x:c>
      <x:c r="AB215" s="34" t="n">
        <x:v>414.904229</x:v>
      </x:c>
      <x:c r="AC215" s="34" t="n">
        <x:v>13064.613</x:v>
      </x:c>
      <x:c r="AD215" s="34" t="n">
        <x:v>31.488261</x:v>
      </x:c>
      <x:c r="AE215" s="40" t="b">
        <x:v>1</x:v>
      </x:c>
      <x:c r="AF215" s="40" t="b">
        <x:v>0</x:v>
      </x:c>
      <x:c r="AG215" s="34" t="str"/>
      <x:c r="AH215" s="34" t="n">
        <x:v>0</x:v>
      </x:c>
      <x:c r="AI215" s="34" t="str">
        <x:v>2.0275124185786808e-05</x:v>
      </x:c>
      <x:c r="AJ215" s="40" t="b">
        <x:v>0</x:v>
      </x:c>
      <x:c r="AK215" s="40" t="b">
        <x:v>0</x:v>
      </x:c>
      <x:c r="AL215" s="40" t="b">
        <x:v>1</x:v>
      </x:c>
      <x:c r="AM215" s="40" t="b">
        <x:v>1</x:v>
      </x:c>
      <x:c r="AN215" s="34" t="n">
        <x:v>2035</x:v>
      </x:c>
      <x:c r="AO215" s="34" t="n">
        <x:v>4.530597659999998</x:v>
      </x:c>
      <x:c r="AP215" s="34" t="n">
        <x:v>0</x:v>
      </x:c>
      <x:c r="AQ215" s="34" t="n">
        <x:v>0</x:v>
      </x:c>
      <x:c r="AR215" s="34" t="n">
        <x:v>2</x:v>
      </x:c>
      <x:c r="AS215" s="34" t="n">
        <x:v>3</x:v>
      </x:c>
      <x:c r="AT215" s="34" t="n">
        <x:v>0.3934020479999999</x:v>
      </x:c>
      <x:c r="AU215" s="34" t="n">
        <x:v>0.65</x:v>
      </x:c>
      <x:c r="AV215" s="34" t="n">
        <x:v>1.54</x:v>
      </x:c>
    </x:row>
    <x:row r="216">
      <x:c r="A216" s="34" t="str">
        <x:v>POSCO_KR</x:v>
      </x:c>
      <x:c r="B216" s="34" t="str">
        <x:v>POSCO</x:v>
      </x:c>
      <x:c r="C216" s="34" t="str">
        <x:v>DISCLOSED_PATH</x:v>
      </x:c>
      <x:c r="D216" s="34" t="str">
        <x:v>P2</x:v>
      </x:c>
      <x:c r="E216" s="34" t="n">
        <x:v>2030</x:v>
      </x:c>
      <x:c r="F216" s="34" t="n">
        <x:v>1</x:v>
      </x:c>
      <x:c r="G216" s="34" t="n">
        <x:v>6.839998</x:v>
      </x:c>
      <x:c r="H216" s="34" t="n">
        <x:v>12</x:v>
      </x:c>
      <x:c r="I216" s="34" t="n">
        <x:v>5.160002</x:v>
      </x:c>
      <x:c r="J216" s="34" t="n">
        <x:v>57</x:v>
      </x:c>
      <x:c r="K216" s="34" t="n">
        <x:v>0</x:v>
      </x:c>
      <x:c r="L216" s="34" t="n">
        <x:v>0.5</x:v>
      </x:c>
      <x:c r="M216" s="34" t="n">
        <x:v>0.5</x:v>
      </x:c>
      <x:c r="N216" s="34" t="n">
        <x:v>0</x:v>
      </x:c>
      <x:c r="O216" s="34" t="n">
        <x:v>4.255999</x:v>
      </x:c>
      <x:c r="P216" s="34" t="n">
        <x:v>7</x:v>
      </x:c>
      <x:c r="Q216" s="34" t="n">
        <x:v>2.744001</x:v>
      </x:c>
      <x:c r="R216" s="34" t="n">
        <x:v>60.8</x:v>
      </x:c>
      <x:c r="S216" s="40" t="b">
        <x:v>1</x:v>
      </x:c>
      <x:c r="T216" s="34" t="str">
        <x:v>model_interpolation</x:v>
      </x:c>
      <x:c r="U216" s="34" t="str">
        <x:v>Linear interpolation from 2030 to 2035</x:v>
      </x:c>
      <x:c r="V216" s="34" t="str">
        <x:v>CAND-466C04961ED513</x:v>
      </x:c>
      <x:c r="W216" s="34" t="str">
        <x:v>P2</x:v>
      </x:c>
      <x:c r="X216" s="34" t="str">
        <x:v>PORT-7ED23B40E316</x:v>
      </x:c>
      <x:c r="Y216" s="34" t="n">
        <x:v>1000</x:v>
      </x:c>
      <x:c r="Z216" s="34" t="n">
        <x:v>32.779683</x:v>
      </x:c>
      <x:c r="AA216" s="34" t="n">
        <x:v>11.005763</x:v>
      </x:c>
      <x:c r="AB216" s="34" t="n">
        <x:v>414.904229</x:v>
      </x:c>
      <x:c r="AC216" s="34" t="n">
        <x:v>13064.613</x:v>
      </x:c>
      <x:c r="AD216" s="34" t="n">
        <x:v>31.488261</x:v>
      </x:c>
      <x:c r="AE216" s="40" t="b">
        <x:v>1</x:v>
      </x:c>
      <x:c r="AF216" s="40" t="b">
        <x:v>0</x:v>
      </x:c>
      <x:c r="AG216" s="34" t="str"/>
      <x:c r="AH216" s="34" t="n">
        <x:v>0</x:v>
      </x:c>
      <x:c r="AI216" s="34" t="str">
        <x:v>2.0275124185786808e-05</x:v>
      </x:c>
      <x:c r="AJ216" s="40" t="b">
        <x:v>0</x:v>
      </x:c>
      <x:c r="AK216" s="40" t="b">
        <x:v>0</x:v>
      </x:c>
      <x:c r="AL216" s="40" t="b">
        <x:v>1</x:v>
      </x:c>
      <x:c r="AM216" s="40" t="b">
        <x:v>1</x:v>
      </x:c>
      <x:c r="AN216" s="34" t="n">
        <x:v>2035</x:v>
      </x:c>
      <x:c r="AO216" s="34" t="n">
        <x:v>4.530597659999998</x:v>
      </x:c>
      <x:c r="AP216" s="34" t="n">
        <x:v>0</x:v>
      </x:c>
      <x:c r="AQ216" s="34" t="n">
        <x:v>0</x:v>
      </x:c>
      <x:c r="AR216" s="34" t="n">
        <x:v>2</x:v>
      </x:c>
      <x:c r="AS216" s="34" t="n">
        <x:v>3</x:v>
      </x:c>
      <x:c r="AT216" s="34" t="n">
        <x:v>0.3934020479999999</x:v>
      </x:c>
      <x:c r="AU216" s="34" t="n">
        <x:v>0.65</x:v>
      </x:c>
      <x:c r="AV216" s="34" t="n">
        <x:v>1.54</x:v>
      </x:c>
    </x:row>
    <x:row r="217">
      <x:c r="A217" s="34" t="str">
        <x:v>POSCO_KR</x:v>
      </x:c>
      <x:c r="B217" s="34" t="str">
        <x:v>POSCO</x:v>
      </x:c>
      <x:c r="C217" s="34" t="str">
        <x:v>DISCLOSED_PATH</x:v>
      </x:c>
      <x:c r="D217" s="34" t="str">
        <x:v>P2</x:v>
      </x:c>
      <x:c r="E217" s="34" t="n">
        <x:v>2031</x:v>
      </x:c>
      <x:c r="F217" s="34" t="n">
        <x:v>1</x:v>
      </x:c>
      <x:c r="G217" s="34" t="n">
        <x:v>6.839998</x:v>
      </x:c>
      <x:c r="H217" s="34" t="n">
        <x:v>13.2</x:v>
      </x:c>
      <x:c r="I217" s="34" t="n">
        <x:v>6.360002</x:v>
      </x:c>
      <x:c r="J217" s="34" t="n">
        <x:v>51.818</x:v>
      </x:c>
      <x:c r="K217" s="34" t="n">
        <x:v>0</x:v>
      </x:c>
      <x:c r="L217" s="34" t="n">
        <x:v>0.7</x:v>
      </x:c>
      <x:c r="M217" s="34" t="n">
        <x:v>0.7</x:v>
      </x:c>
      <x:c r="N217" s="34" t="n">
        <x:v>0</x:v>
      </x:c>
      <x:c r="O217" s="34" t="n">
        <x:v>4.255999</x:v>
      </x:c>
      <x:c r="P217" s="34" t="n">
        <x:v>8.6</x:v>
      </x:c>
      <x:c r="Q217" s="34" t="n">
        <x:v>4.344001</x:v>
      </x:c>
      <x:c r="R217" s="34" t="n">
        <x:v>49.488</x:v>
      </x:c>
      <x:c r="S217" s="40" t="b">
        <x:v>1</x:v>
      </x:c>
      <x:c r="T217" s="34" t="str">
        <x:v>model_interpolation</x:v>
      </x:c>
      <x:c r="U217" s="34" t="str">
        <x:v>Linear interpolation from 2030 to 2035</x:v>
      </x:c>
      <x:c r="V217" s="34" t="str">
        <x:v>CAND-466C04961ED513</x:v>
      </x:c>
      <x:c r="W217" s="34" t="str">
        <x:v>P2</x:v>
      </x:c>
      <x:c r="X217" s="34" t="str">
        <x:v>PORT-7ED23B40E316</x:v>
      </x:c>
      <x:c r="Y217" s="34" t="n">
        <x:v>1000</x:v>
      </x:c>
      <x:c r="Z217" s="34" t="n">
        <x:v>32.779683</x:v>
      </x:c>
      <x:c r="AA217" s="34" t="n">
        <x:v>11.005763</x:v>
      </x:c>
      <x:c r="AB217" s="34" t="n">
        <x:v>414.904229</x:v>
      </x:c>
      <x:c r="AC217" s="34" t="n">
        <x:v>13064.613</x:v>
      </x:c>
      <x:c r="AD217" s="34" t="n">
        <x:v>31.488261</x:v>
      </x:c>
      <x:c r="AE217" s="40" t="b">
        <x:v>1</x:v>
      </x:c>
      <x:c r="AF217" s="40" t="b">
        <x:v>0</x:v>
      </x:c>
      <x:c r="AG217" s="34" t="str"/>
      <x:c r="AH217" s="34" t="n">
        <x:v>0</x:v>
      </x:c>
      <x:c r="AI217" s="34" t="str">
        <x:v>2.0275124185786808e-05</x:v>
      </x:c>
      <x:c r="AJ217" s="40" t="b">
        <x:v>0</x:v>
      </x:c>
      <x:c r="AK217" s="40" t="b">
        <x:v>0</x:v>
      </x:c>
      <x:c r="AL217" s="40" t="b">
        <x:v>1</x:v>
      </x:c>
      <x:c r="AM217" s="40" t="b">
        <x:v>1</x:v>
      </x:c>
      <x:c r="AN217" s="34" t="n">
        <x:v>2035</x:v>
      </x:c>
      <x:c r="AO217" s="34" t="n">
        <x:v>4.530597659999998</x:v>
      </x:c>
      <x:c r="AP217" s="34" t="n">
        <x:v>0</x:v>
      </x:c>
      <x:c r="AQ217" s="34" t="n">
        <x:v>0</x:v>
      </x:c>
      <x:c r="AR217" s="34" t="n">
        <x:v>2</x:v>
      </x:c>
      <x:c r="AS217" s="34" t="n">
        <x:v>3</x:v>
      </x:c>
      <x:c r="AT217" s="34" t="n">
        <x:v>0.3934020479999999</x:v>
      </x:c>
      <x:c r="AU217" s="34" t="n">
        <x:v>0.65</x:v>
      </x:c>
      <x:c r="AV217" s="34" t="n">
        <x:v>1.54</x:v>
      </x:c>
    </x:row>
    <x:row r="218">
      <x:c r="A218" s="34" t="str">
        <x:v>POSCO_KR</x:v>
      </x:c>
      <x:c r="B218" s="34" t="str">
        <x:v>POSCO</x:v>
      </x:c>
      <x:c r="C218" s="34" t="str">
        <x:v>DISCLOSED_PATH</x:v>
      </x:c>
      <x:c r="D218" s="34" t="str">
        <x:v>P2</x:v>
      </x:c>
      <x:c r="E218" s="34" t="n">
        <x:v>2032</x:v>
      </x:c>
      <x:c r="F218" s="34" t="n">
        <x:v>2</x:v>
      </x:c>
      <x:c r="G218" s="34" t="n">
        <x:v>12.959999</x:v>
      </x:c>
      <x:c r="H218" s="34" t="n">
        <x:v>14.4</x:v>
      </x:c>
      <x:c r="I218" s="34" t="n">
        <x:v>1.440001</x:v>
      </x:c>
      <x:c r="J218" s="34" t="n">
        <x:v>90</x:v>
      </x:c>
      <x:c r="K218" s="34" t="n">
        <x:v>0</x:v>
      </x:c>
      <x:c r="L218" s="34" t="n">
        <x:v>0.9</x:v>
      </x:c>
      <x:c r="M218" s="34" t="n">
        <x:v>0.9</x:v>
      </x:c>
      <x:c r="N218" s="34" t="n">
        <x:v>0</x:v>
      </x:c>
      <x:c r="O218" s="34" t="n">
        <x:v>8.063999</x:v>
      </x:c>
      <x:c r="P218" s="34" t="n">
        <x:v>10.2</x:v>
      </x:c>
      <x:c r="Q218" s="34" t="n">
        <x:v>2.136001</x:v>
      </x:c>
      <x:c r="R218" s="34" t="n">
        <x:v>79.059</x:v>
      </x:c>
      <x:c r="S218" s="40" t="b">
        <x:v>1</x:v>
      </x:c>
      <x:c r="T218" s="34" t="str">
        <x:v>model_interpolation</x:v>
      </x:c>
      <x:c r="U218" s="34" t="str">
        <x:v>Linear interpolation from 2030 to 2035</x:v>
      </x:c>
      <x:c r="V218" s="34" t="str">
        <x:v>CAND-466C04961ED513</x:v>
      </x:c>
      <x:c r="W218" s="34" t="str">
        <x:v>P2</x:v>
      </x:c>
      <x:c r="X218" s="34" t="str">
        <x:v>PORT-7ED23B40E316</x:v>
      </x:c>
      <x:c r="Y218" s="34" t="n">
        <x:v>1000</x:v>
      </x:c>
      <x:c r="Z218" s="34" t="n">
        <x:v>32.779683</x:v>
      </x:c>
      <x:c r="AA218" s="34" t="n">
        <x:v>11.005763</x:v>
      </x:c>
      <x:c r="AB218" s="34" t="n">
        <x:v>414.904229</x:v>
      </x:c>
      <x:c r="AC218" s="34" t="n">
        <x:v>13064.613</x:v>
      </x:c>
      <x:c r="AD218" s="34" t="n">
        <x:v>31.488261</x:v>
      </x:c>
      <x:c r="AE218" s="40" t="b">
        <x:v>1</x:v>
      </x:c>
      <x:c r="AF218" s="40" t="b">
        <x:v>0</x:v>
      </x:c>
      <x:c r="AG218" s="34" t="str"/>
      <x:c r="AH218" s="34" t="n">
        <x:v>0</x:v>
      </x:c>
      <x:c r="AI218" s="34" t="str">
        <x:v>2.0275124185786808e-05</x:v>
      </x:c>
      <x:c r="AJ218" s="40" t="b">
        <x:v>0</x:v>
      </x:c>
      <x:c r="AK218" s="40" t="b">
        <x:v>0</x:v>
      </x:c>
      <x:c r="AL218" s="40" t="b">
        <x:v>1</x:v>
      </x:c>
      <x:c r="AM218" s="40" t="b">
        <x:v>1</x:v>
      </x:c>
      <x:c r="AN218" s="34" t="n">
        <x:v>2035</x:v>
      </x:c>
      <x:c r="AO218" s="34" t="n">
        <x:v>4.530597659999998</x:v>
      </x:c>
      <x:c r="AP218" s="34" t="n">
        <x:v>0</x:v>
      </x:c>
      <x:c r="AQ218" s="34" t="n">
        <x:v>0</x:v>
      </x:c>
      <x:c r="AR218" s="34" t="n">
        <x:v>2</x:v>
      </x:c>
      <x:c r="AS218" s="34" t="n">
        <x:v>3</x:v>
      </x:c>
      <x:c r="AT218" s="34" t="n">
        <x:v>0.3934020479999999</x:v>
      </x:c>
      <x:c r="AU218" s="34" t="n">
        <x:v>0.65</x:v>
      </x:c>
      <x:c r="AV218" s="34" t="n">
        <x:v>1.54</x:v>
      </x:c>
    </x:row>
    <x:row r="219">
      <x:c r="A219" s="34" t="str">
        <x:v>POSCO_KR</x:v>
      </x:c>
      <x:c r="B219" s="34" t="str">
        <x:v>POSCO</x:v>
      </x:c>
      <x:c r="C219" s="34" t="str">
        <x:v>DISCLOSED_PATH</x:v>
      </x:c>
      <x:c r="D219" s="34" t="str">
        <x:v>P2</x:v>
      </x:c>
      <x:c r="E219" s="34" t="n">
        <x:v>2033</x:v>
      </x:c>
      <x:c r="F219" s="34" t="n">
        <x:v>3</x:v>
      </x:c>
      <x:c r="G219" s="34" t="n">
        <x:v>13.980599</x:v>
      </x:c>
      <x:c r="H219" s="34" t="n">
        <x:v>15.6</x:v>
      </x:c>
      <x:c r="I219" s="34" t="n">
        <x:v>1.619401</x:v>
      </x:c>
      <x:c r="J219" s="34" t="n">
        <x:v>89.619</x:v>
      </x:c>
      <x:c r="K219" s="34" t="n">
        <x:v>0</x:v>
      </x:c>
      <x:c r="L219" s="34" t="n">
        <x:v>1.1</x:v>
      </x:c>
      <x:c r="M219" s="34" t="n">
        <x:v>1.1</x:v>
      </x:c>
      <x:c r="N219" s="34" t="n">
        <x:v>0</x:v>
      </x:c>
      <x:c r="O219" s="34" t="n">
        <x:v>8.132039</x:v>
      </x:c>
      <x:c r="P219" s="34" t="n">
        <x:v>11.8</x:v>
      </x:c>
      <x:c r="Q219" s="34" t="n">
        <x:v>3.667961</x:v>
      </x:c>
      <x:c r="R219" s="34" t="n">
        <x:v>68.916</x:v>
      </x:c>
      <x:c r="S219" s="40" t="b">
        <x:v>1</x:v>
      </x:c>
      <x:c r="T219" s="34" t="str">
        <x:v>model_interpolation</x:v>
      </x:c>
      <x:c r="U219" s="34" t="str">
        <x:v>Linear interpolation from 2030 to 2035</x:v>
      </x:c>
      <x:c r="V219" s="34" t="str">
        <x:v>CAND-466C04961ED513</x:v>
      </x:c>
      <x:c r="W219" s="34" t="str">
        <x:v>P2</x:v>
      </x:c>
      <x:c r="X219" s="34" t="str">
        <x:v>PORT-7ED23B40E316</x:v>
      </x:c>
      <x:c r="Y219" s="34" t="n">
        <x:v>1000</x:v>
      </x:c>
      <x:c r="Z219" s="34" t="n">
        <x:v>32.779683</x:v>
      </x:c>
      <x:c r="AA219" s="34" t="n">
        <x:v>11.005763</x:v>
      </x:c>
      <x:c r="AB219" s="34" t="n">
        <x:v>414.904229</x:v>
      </x:c>
      <x:c r="AC219" s="34" t="n">
        <x:v>13064.613</x:v>
      </x:c>
      <x:c r="AD219" s="34" t="n">
        <x:v>31.488261</x:v>
      </x:c>
      <x:c r="AE219" s="40" t="b">
        <x:v>1</x:v>
      </x:c>
      <x:c r="AF219" s="40" t="b">
        <x:v>0</x:v>
      </x:c>
      <x:c r="AG219" s="34" t="str"/>
      <x:c r="AH219" s="34" t="n">
        <x:v>0</x:v>
      </x:c>
      <x:c r="AI219" s="34" t="str">
        <x:v>2.0275124185786808e-05</x:v>
      </x:c>
      <x:c r="AJ219" s="40" t="b">
        <x:v>0</x:v>
      </x:c>
      <x:c r="AK219" s="40" t="b">
        <x:v>0</x:v>
      </x:c>
      <x:c r="AL219" s="40" t="b">
        <x:v>1</x:v>
      </x:c>
      <x:c r="AM219" s="40" t="b">
        <x:v>1</x:v>
      </x:c>
      <x:c r="AN219" s="34" t="n">
        <x:v>2035</x:v>
      </x:c>
      <x:c r="AO219" s="34" t="n">
        <x:v>4.530597659999998</x:v>
      </x:c>
      <x:c r="AP219" s="34" t="n">
        <x:v>0</x:v>
      </x:c>
      <x:c r="AQ219" s="34" t="n">
        <x:v>0</x:v>
      </x:c>
      <x:c r="AR219" s="34" t="n">
        <x:v>2</x:v>
      </x:c>
      <x:c r="AS219" s="34" t="n">
        <x:v>3</x:v>
      </x:c>
      <x:c r="AT219" s="34" t="n">
        <x:v>0.3934020479999999</x:v>
      </x:c>
      <x:c r="AU219" s="34" t="n">
        <x:v>0.65</x:v>
      </x:c>
      <x:c r="AV219" s="34" t="n">
        <x:v>1.54</x:v>
      </x:c>
    </x:row>
    <x:row r="220">
      <x:c r="A220" s="34" t="str">
        <x:v>POSCO_KR</x:v>
      </x:c>
      <x:c r="B220" s="34" t="str">
        <x:v>POSCO</x:v>
      </x:c>
      <x:c r="C220" s="34" t="str">
        <x:v>DISCLOSED_PATH</x:v>
      </x:c>
      <x:c r="D220" s="34" t="str">
        <x:v>P2</x:v>
      </x:c>
      <x:c r="E220" s="34" t="n">
        <x:v>2034</x:v>
      </x:c>
      <x:c r="F220" s="34" t="n">
        <x:v>3</x:v>
      </x:c>
      <x:c r="G220" s="34" t="n">
        <x:v>13.980599</x:v>
      </x:c>
      <x:c r="H220" s="34" t="n">
        <x:v>16.8</x:v>
      </x:c>
      <x:c r="I220" s="34" t="n">
        <x:v>2.819401</x:v>
      </x:c>
      <x:c r="J220" s="34" t="n">
        <x:v>83.218</x:v>
      </x:c>
      <x:c r="K220" s="34" t="n">
        <x:v>0</x:v>
      </x:c>
      <x:c r="L220" s="34" t="n">
        <x:v>1.3</x:v>
      </x:c>
      <x:c r="M220" s="34" t="n">
        <x:v>1.3</x:v>
      </x:c>
      <x:c r="N220" s="34" t="n">
        <x:v>0</x:v>
      </x:c>
      <x:c r="O220" s="34" t="n">
        <x:v>8.132039</x:v>
      </x:c>
      <x:c r="P220" s="34" t="n">
        <x:v>13.4</x:v>
      </x:c>
      <x:c r="Q220" s="34" t="n">
        <x:v>5.267961</x:v>
      </x:c>
      <x:c r="R220" s="34" t="n">
        <x:v>60.687</x:v>
      </x:c>
      <x:c r="S220" s="40" t="b">
        <x:v>1</x:v>
      </x:c>
      <x:c r="T220" s="34" t="str">
        <x:v>model_interpolation</x:v>
      </x:c>
      <x:c r="U220" s="34" t="str">
        <x:v>Linear interpolation from 2030 to 2035</x:v>
      </x:c>
      <x:c r="V220" s="34" t="str">
        <x:v>CAND-466C04961ED513</x:v>
      </x:c>
      <x:c r="W220" s="34" t="str">
        <x:v>P2</x:v>
      </x:c>
      <x:c r="X220" s="34" t="str">
        <x:v>PORT-7ED23B40E316</x:v>
      </x:c>
      <x:c r="Y220" s="34" t="n">
        <x:v>1000</x:v>
      </x:c>
      <x:c r="Z220" s="34" t="n">
        <x:v>32.779683</x:v>
      </x:c>
      <x:c r="AA220" s="34" t="n">
        <x:v>11.005763</x:v>
      </x:c>
      <x:c r="AB220" s="34" t="n">
        <x:v>414.904229</x:v>
      </x:c>
      <x:c r="AC220" s="34" t="n">
        <x:v>13064.613</x:v>
      </x:c>
      <x:c r="AD220" s="34" t="n">
        <x:v>31.488261</x:v>
      </x:c>
      <x:c r="AE220" s="40" t="b">
        <x:v>1</x:v>
      </x:c>
      <x:c r="AF220" s="40" t="b">
        <x:v>0</x:v>
      </x:c>
      <x:c r="AG220" s="34" t="str"/>
      <x:c r="AH220" s="34" t="n">
        <x:v>0</x:v>
      </x:c>
      <x:c r="AI220" s="34" t="str">
        <x:v>2.0275124185786808e-05</x:v>
      </x:c>
      <x:c r="AJ220" s="40" t="b">
        <x:v>0</x:v>
      </x:c>
      <x:c r="AK220" s="40" t="b">
        <x:v>0</x:v>
      </x:c>
      <x:c r="AL220" s="40" t="b">
        <x:v>1</x:v>
      </x:c>
      <x:c r="AM220" s="40" t="b">
        <x:v>1</x:v>
      </x:c>
      <x:c r="AN220" s="34" t="n">
        <x:v>2035</x:v>
      </x:c>
      <x:c r="AO220" s="34" t="n">
        <x:v>4.530597659999998</x:v>
      </x:c>
      <x:c r="AP220" s="34" t="n">
        <x:v>0</x:v>
      </x:c>
      <x:c r="AQ220" s="34" t="n">
        <x:v>0</x:v>
      </x:c>
      <x:c r="AR220" s="34" t="n">
        <x:v>2</x:v>
      </x:c>
      <x:c r="AS220" s="34" t="n">
        <x:v>3</x:v>
      </x:c>
      <x:c r="AT220" s="34" t="n">
        <x:v>0.3934020479999999</x:v>
      </x:c>
      <x:c r="AU220" s="34" t="n">
        <x:v>0.65</x:v>
      </x:c>
      <x:c r="AV220" s="34" t="n">
        <x:v>1.54</x:v>
      </x:c>
    </x:row>
    <x:row r="221">
      <x:c r="A221" s="34" t="str">
        <x:v>POSCO_KR</x:v>
      </x:c>
      <x:c r="B221" s="34" t="str">
        <x:v>POSCO</x:v>
      </x:c>
      <x:c r="C221" s="34" t="str">
        <x:v>DISCLOSED_PATH</x:v>
      </x:c>
      <x:c r="D221" s="34" t="str">
        <x:v>P2</x:v>
      </x:c>
      <x:c r="E221" s="34" t="n">
        <x:v>2035</x:v>
      </x:c>
      <x:c r="F221" s="34" t="n">
        <x:v>4</x:v>
      </x:c>
      <x:c r="G221" s="34" t="n">
        <x:v>22.530598</x:v>
      </x:c>
      <x:c r="H221" s="34" t="n">
        <x:v>18</x:v>
      </x:c>
      <x:c r="I221" s="34" t="n">
        <x:v>-4.530598</x:v>
      </x:c>
      <x:c r="J221" s="34" t="n">
        <x:v>125.17</x:v>
      </x:c>
      <x:c r="K221" s="34" t="n">
        <x:v>0</x:v>
      </x:c>
      <x:c r="L221" s="34" t="n">
        <x:v>1.5</x:v>
      </x:c>
      <x:c r="M221" s="34" t="n">
        <x:v>1.5</x:v>
      </x:c>
      <x:c r="N221" s="34" t="n">
        <x:v>0</x:v>
      </x:c>
      <x:c r="O221" s="34" t="n">
        <x:v>13.547039</x:v>
      </x:c>
      <x:c r="P221" s="34" t="n">
        <x:v>15</x:v>
      </x:c>
      <x:c r="Q221" s="34" t="n">
        <x:v>1.452961</x:v>
      </x:c>
      <x:c r="R221" s="34" t="n">
        <x:v>90.314</x:v>
      </x:c>
      <x:c r="S221" s="40" t="b">
        <x:v>0</x:v>
      </x:c>
      <x:c r="T221" s="34" t="str">
        <x:v>model_interpolation</x:v>
      </x:c>
      <x:c r="U221" s="34" t="str">
        <x:v>Linear interpolation from 2035 to 2040</x:v>
      </x:c>
      <x:c r="V221" s="34" t="str">
        <x:v>CAND-466C04961ED513</x:v>
      </x:c>
      <x:c r="W221" s="34" t="str">
        <x:v>P2</x:v>
      </x:c>
      <x:c r="X221" s="34" t="str">
        <x:v>PORT-7ED23B40E316</x:v>
      </x:c>
      <x:c r="Y221" s="34" t="n">
        <x:v>1000</x:v>
      </x:c>
      <x:c r="Z221" s="34" t="n">
        <x:v>32.779683</x:v>
      </x:c>
      <x:c r="AA221" s="34" t="n">
        <x:v>11.005763</x:v>
      </x:c>
      <x:c r="AB221" s="34" t="n">
        <x:v>414.904229</x:v>
      </x:c>
      <x:c r="AC221" s="34" t="n">
        <x:v>13064.613</x:v>
      </x:c>
      <x:c r="AD221" s="34" t="n">
        <x:v>31.488261</x:v>
      </x:c>
      <x:c r="AE221" s="40" t="b">
        <x:v>1</x:v>
      </x:c>
      <x:c r="AF221" s="40" t="b">
        <x:v>0</x:v>
      </x:c>
      <x:c r="AG221" s="34" t="str"/>
      <x:c r="AH221" s="34" t="n">
        <x:v>0</x:v>
      </x:c>
      <x:c r="AI221" s="34" t="str">
        <x:v>2.0275124185786808e-05</x:v>
      </x:c>
      <x:c r="AJ221" s="40" t="b">
        <x:v>0</x:v>
      </x:c>
      <x:c r="AK221" s="40" t="b">
        <x:v>0</x:v>
      </x:c>
      <x:c r="AL221" s="40" t="b">
        <x:v>1</x:v>
      </x:c>
      <x:c r="AM221" s="40" t="b">
        <x:v>1</x:v>
      </x:c>
      <x:c r="AN221" s="34" t="n">
        <x:v>2035</x:v>
      </x:c>
      <x:c r="AO221" s="34" t="n">
        <x:v>4.530597659999998</x:v>
      </x:c>
      <x:c r="AP221" s="34" t="n">
        <x:v>0</x:v>
      </x:c>
      <x:c r="AQ221" s="34" t="n">
        <x:v>0</x:v>
      </x:c>
      <x:c r="AR221" s="34" t="n">
        <x:v>2</x:v>
      </x:c>
      <x:c r="AS221" s="34" t="n">
        <x:v>3</x:v>
      </x:c>
      <x:c r="AT221" s="34" t="n">
        <x:v>0.3934020479999999</x:v>
      </x:c>
      <x:c r="AU221" s="34" t="n">
        <x:v>0.65</x:v>
      </x:c>
      <x:c r="AV221" s="34" t="n">
        <x:v>1.54</x:v>
      </x:c>
    </x:row>
    <x:row r="222">
      <x:c r="A222" s="34" t="str">
        <x:v>POSCO_KR</x:v>
      </x:c>
      <x:c r="B222" s="34" t="str">
        <x:v>POSCO</x:v>
      </x:c>
      <x:c r="C222" s="34" t="str">
        <x:v>DISCLOSED_PATH</x:v>
      </x:c>
      <x:c r="D222" s="34" t="str">
        <x:v>P2</x:v>
      </x:c>
      <x:c r="E222" s="34" t="n">
        <x:v>2036</x:v>
      </x:c>
      <x:c r="F222" s="34" t="n">
        <x:v>4</x:v>
      </x:c>
      <x:c r="G222" s="34" t="n">
        <x:v>22.530598</x:v>
      </x:c>
      <x:c r="H222" s="34" t="n">
        <x:v>19.4</x:v>
      </x:c>
      <x:c r="I222" s="34" t="n">
        <x:v>-3.130598</x:v>
      </x:c>
      <x:c r="J222" s="34" t="n">
        <x:v>116.137</x:v>
      </x:c>
      <x:c r="K222" s="34" t="n">
        <x:v>0</x:v>
      </x:c>
      <x:c r="L222" s="34" t="n">
        <x:v>1.8</x:v>
      </x:c>
      <x:c r="M222" s="34" t="n">
        <x:v>1.8</x:v>
      </x:c>
      <x:c r="N222" s="34" t="n">
        <x:v>0</x:v>
      </x:c>
      <x:c r="O222" s="34" t="n">
        <x:v>13.547039</x:v>
      </x:c>
      <x:c r="P222" s="34" t="n">
        <x:v>17</x:v>
      </x:c>
      <x:c r="Q222" s="34" t="n">
        <x:v>3.452961</x:v>
      </x:c>
      <x:c r="R222" s="34" t="n">
        <x:v>79.688</x:v>
      </x:c>
      <x:c r="S222" s="40" t="b">
        <x:v>0</x:v>
      </x:c>
      <x:c r="T222" s="34" t="str">
        <x:v>model_interpolation</x:v>
      </x:c>
      <x:c r="U222" s="34" t="str">
        <x:v>Linear interpolation from 2035 to 2040</x:v>
      </x:c>
      <x:c r="V222" s="34" t="str">
        <x:v>CAND-466C04961ED513</x:v>
      </x:c>
      <x:c r="W222" s="34" t="str">
        <x:v>P2</x:v>
      </x:c>
      <x:c r="X222" s="34" t="str">
        <x:v>PORT-7ED23B40E316</x:v>
      </x:c>
      <x:c r="Y222" s="34" t="n">
        <x:v>1000</x:v>
      </x:c>
      <x:c r="Z222" s="34" t="n">
        <x:v>32.779683</x:v>
      </x:c>
      <x:c r="AA222" s="34" t="n">
        <x:v>11.005763</x:v>
      </x:c>
      <x:c r="AB222" s="34" t="n">
        <x:v>414.904229</x:v>
      </x:c>
      <x:c r="AC222" s="34" t="n">
        <x:v>13064.613</x:v>
      </x:c>
      <x:c r="AD222" s="34" t="n">
        <x:v>31.488261</x:v>
      </x:c>
      <x:c r="AE222" s="40" t="b">
        <x:v>1</x:v>
      </x:c>
      <x:c r="AF222" s="40" t="b">
        <x:v>0</x:v>
      </x:c>
      <x:c r="AG222" s="34" t="str"/>
      <x:c r="AH222" s="34" t="n">
        <x:v>0</x:v>
      </x:c>
      <x:c r="AI222" s="34" t="str">
        <x:v>2.0275124185786808e-05</x:v>
      </x:c>
      <x:c r="AJ222" s="40" t="b">
        <x:v>0</x:v>
      </x:c>
      <x:c r="AK222" s="40" t="b">
        <x:v>0</x:v>
      </x:c>
      <x:c r="AL222" s="40" t="b">
        <x:v>1</x:v>
      </x:c>
      <x:c r="AM222" s="40" t="b">
        <x:v>1</x:v>
      </x:c>
      <x:c r="AN222" s="34" t="n">
        <x:v>2035</x:v>
      </x:c>
      <x:c r="AO222" s="34" t="n">
        <x:v>4.530597659999998</x:v>
      </x:c>
      <x:c r="AP222" s="34" t="n">
        <x:v>0</x:v>
      </x:c>
      <x:c r="AQ222" s="34" t="n">
        <x:v>0</x:v>
      </x:c>
      <x:c r="AR222" s="34" t="n">
        <x:v>2</x:v>
      </x:c>
      <x:c r="AS222" s="34" t="n">
        <x:v>3</x:v>
      </x:c>
      <x:c r="AT222" s="34" t="n">
        <x:v>0.3934020479999999</x:v>
      </x:c>
      <x:c r="AU222" s="34" t="n">
        <x:v>0.65</x:v>
      </x:c>
      <x:c r="AV222" s="34" t="n">
        <x:v>1.54</x:v>
      </x:c>
    </x:row>
    <x:row r="223">
      <x:c r="A223" s="34" t="str">
        <x:v>POSCO_KR</x:v>
      </x:c>
      <x:c r="B223" s="34" t="str">
        <x:v>POSCO</x:v>
      </x:c>
      <x:c r="C223" s="34" t="str">
        <x:v>DISCLOSED_PATH</x:v>
      </x:c>
      <x:c r="D223" s="34" t="str">
        <x:v>P2</x:v>
      </x:c>
      <x:c r="E223" s="34" t="n">
        <x:v>2037</x:v>
      </x:c>
      <x:c r="F223" s="34" t="n">
        <x:v>5</x:v>
      </x:c>
      <x:c r="G223" s="34" t="n">
        <x:v>23.956047</x:v>
      </x:c>
      <x:c r="H223" s="34" t="n">
        <x:v>20.8</x:v>
      </x:c>
      <x:c r="I223" s="34" t="n">
        <x:v>-3.156047</x:v>
      </x:c>
      <x:c r="J223" s="34" t="n">
        <x:v>115.173</x:v>
      </x:c>
      <x:c r="K223" s="34" t="n">
        <x:v>0.522665</x:v>
      </x:c>
      <x:c r="L223" s="34" t="n">
        <x:v>2.1</x:v>
      </x:c>
      <x:c r="M223" s="34" t="n">
        <x:v>1.577335</x:v>
      </x:c>
      <x:c r="N223" s="34" t="n">
        <x:v>24.889</x:v>
      </x:c>
      <x:c r="O223" s="34" t="n">
        <x:v>18.013447</x:v>
      </x:c>
      <x:c r="P223" s="34" t="n">
        <x:v>19</x:v>
      </x:c>
      <x:c r="Q223" s="34" t="n">
        <x:v>0.986553</x:v>
      </x:c>
      <x:c r="R223" s="34" t="n">
        <x:v>94.808</x:v>
      </x:c>
      <x:c r="S223" s="40" t="b">
        <x:v>0</x:v>
      </x:c>
      <x:c r="T223" s="34" t="str">
        <x:v>model_interpolation</x:v>
      </x:c>
      <x:c r="U223" s="34" t="str">
        <x:v>Linear interpolation from 2035 to 2040</x:v>
      </x:c>
      <x:c r="V223" s="34" t="str">
        <x:v>CAND-466C04961ED513</x:v>
      </x:c>
      <x:c r="W223" s="34" t="str">
        <x:v>P2</x:v>
      </x:c>
      <x:c r="X223" s="34" t="str">
        <x:v>PORT-7ED23B40E316</x:v>
      </x:c>
      <x:c r="Y223" s="34" t="n">
        <x:v>1000</x:v>
      </x:c>
      <x:c r="Z223" s="34" t="n">
        <x:v>32.779683</x:v>
      </x:c>
      <x:c r="AA223" s="34" t="n">
        <x:v>11.005763</x:v>
      </x:c>
      <x:c r="AB223" s="34" t="n">
        <x:v>414.904229</x:v>
      </x:c>
      <x:c r="AC223" s="34" t="n">
        <x:v>13064.613</x:v>
      </x:c>
      <x:c r="AD223" s="34" t="n">
        <x:v>31.488261</x:v>
      </x:c>
      <x:c r="AE223" s="40" t="b">
        <x:v>1</x:v>
      </x:c>
      <x:c r="AF223" s="40" t="b">
        <x:v>0</x:v>
      </x:c>
      <x:c r="AG223" s="34" t="str"/>
      <x:c r="AH223" s="34" t="n">
        <x:v>0</x:v>
      </x:c>
      <x:c r="AI223" s="34" t="str">
        <x:v>2.0275124185786808e-05</x:v>
      </x:c>
      <x:c r="AJ223" s="40" t="b">
        <x:v>0</x:v>
      </x:c>
      <x:c r="AK223" s="40" t="b">
        <x:v>0</x:v>
      </x:c>
      <x:c r="AL223" s="40" t="b">
        <x:v>1</x:v>
      </x:c>
      <x:c r="AM223" s="40" t="b">
        <x:v>1</x:v>
      </x:c>
      <x:c r="AN223" s="34" t="n">
        <x:v>2035</x:v>
      </x:c>
      <x:c r="AO223" s="34" t="n">
        <x:v>4.530597659999998</x:v>
      </x:c>
      <x:c r="AP223" s="34" t="n">
        <x:v>0</x:v>
      </x:c>
      <x:c r="AQ223" s="34" t="n">
        <x:v>0</x:v>
      </x:c>
      <x:c r="AR223" s="34" t="n">
        <x:v>2</x:v>
      </x:c>
      <x:c r="AS223" s="34" t="n">
        <x:v>3</x:v>
      </x:c>
      <x:c r="AT223" s="34" t="n">
        <x:v>0.3934020479999999</x:v>
      </x:c>
      <x:c r="AU223" s="34" t="n">
        <x:v>0.65</x:v>
      </x:c>
      <x:c r="AV223" s="34" t="n">
        <x:v>1.54</x:v>
      </x:c>
    </x:row>
    <x:row r="224">
      <x:c r="A224" s="34" t="str">
        <x:v>POSCO_KR</x:v>
      </x:c>
      <x:c r="B224" s="34" t="str">
        <x:v>POSCO</x:v>
      </x:c>
      <x:c r="C224" s="34" t="str">
        <x:v>DISCLOSED_PATH</x:v>
      </x:c>
      <x:c r="D224" s="34" t="str">
        <x:v>P2</x:v>
      </x:c>
      <x:c r="E224" s="34" t="n">
        <x:v>2038</x:v>
      </x:c>
      <x:c r="F224" s="34" t="n">
        <x:v>5</x:v>
      </x:c>
      <x:c r="G224" s="34" t="n">
        <x:v>23.956047</x:v>
      </x:c>
      <x:c r="H224" s="34" t="n">
        <x:v>22.2</x:v>
      </x:c>
      <x:c r="I224" s="34" t="n">
        <x:v>-1.756047</x:v>
      </x:c>
      <x:c r="J224" s="34" t="n">
        <x:v>107.91</x:v>
      </x:c>
      <x:c r="K224" s="34" t="n">
        <x:v>0.522665</x:v>
      </x:c>
      <x:c r="L224" s="34" t="n">
        <x:v>2.4</x:v>
      </x:c>
      <x:c r="M224" s="34" t="n">
        <x:v>1.877335</x:v>
      </x:c>
      <x:c r="N224" s="34" t="n">
        <x:v>21.778</x:v>
      </x:c>
      <x:c r="O224" s="34" t="n">
        <x:v>18.013447</x:v>
      </x:c>
      <x:c r="P224" s="34" t="n">
        <x:v>21</x:v>
      </x:c>
      <x:c r="Q224" s="34" t="n">
        <x:v>2.986553</x:v>
      </x:c>
      <x:c r="R224" s="34" t="n">
        <x:v>85.778</x:v>
      </x:c>
      <x:c r="S224" s="40" t="b">
        <x:v>0</x:v>
      </x:c>
      <x:c r="T224" s="34" t="str">
        <x:v>model_interpolation</x:v>
      </x:c>
      <x:c r="U224" s="34" t="str">
        <x:v>Linear interpolation from 2035 to 2040</x:v>
      </x:c>
      <x:c r="V224" s="34" t="str">
        <x:v>CAND-466C04961ED513</x:v>
      </x:c>
      <x:c r="W224" s="34" t="str">
        <x:v>P2</x:v>
      </x:c>
      <x:c r="X224" s="34" t="str">
        <x:v>PORT-7ED23B40E316</x:v>
      </x:c>
      <x:c r="Y224" s="34" t="n">
        <x:v>1000</x:v>
      </x:c>
      <x:c r="Z224" s="34" t="n">
        <x:v>32.779683</x:v>
      </x:c>
      <x:c r="AA224" s="34" t="n">
        <x:v>11.005763</x:v>
      </x:c>
      <x:c r="AB224" s="34" t="n">
        <x:v>414.904229</x:v>
      </x:c>
      <x:c r="AC224" s="34" t="n">
        <x:v>13064.613</x:v>
      </x:c>
      <x:c r="AD224" s="34" t="n">
        <x:v>31.488261</x:v>
      </x:c>
      <x:c r="AE224" s="40" t="b">
        <x:v>1</x:v>
      </x:c>
      <x:c r="AF224" s="40" t="b">
        <x:v>0</x:v>
      </x:c>
      <x:c r="AG224" s="34" t="str"/>
      <x:c r="AH224" s="34" t="n">
        <x:v>0</x:v>
      </x:c>
      <x:c r="AI224" s="34" t="str">
        <x:v>2.0275124185786808e-05</x:v>
      </x:c>
      <x:c r="AJ224" s="40" t="b">
        <x:v>0</x:v>
      </x:c>
      <x:c r="AK224" s="40" t="b">
        <x:v>0</x:v>
      </x:c>
      <x:c r="AL224" s="40" t="b">
        <x:v>1</x:v>
      </x:c>
      <x:c r="AM224" s="40" t="b">
        <x:v>1</x:v>
      </x:c>
      <x:c r="AN224" s="34" t="n">
        <x:v>2035</x:v>
      </x:c>
      <x:c r="AO224" s="34" t="n">
        <x:v>4.530597659999998</x:v>
      </x:c>
      <x:c r="AP224" s="34" t="n">
        <x:v>0</x:v>
      </x:c>
      <x:c r="AQ224" s="34" t="n">
        <x:v>0</x:v>
      </x:c>
      <x:c r="AR224" s="34" t="n">
        <x:v>2</x:v>
      </x:c>
      <x:c r="AS224" s="34" t="n">
        <x:v>3</x:v>
      </x:c>
      <x:c r="AT224" s="34" t="n">
        <x:v>0.3934020479999999</x:v>
      </x:c>
      <x:c r="AU224" s="34" t="n">
        <x:v>0.65</x:v>
      </x:c>
      <x:c r="AV224" s="34" t="n">
        <x:v>1.54</x:v>
      </x:c>
    </x:row>
    <x:row r="225">
      <x:c r="A225" s="34" t="str">
        <x:v>POSCO_KR</x:v>
      </x:c>
      <x:c r="B225" s="34" t="str">
        <x:v>POSCO</x:v>
      </x:c>
      <x:c r="C225" s="34" t="str">
        <x:v>DISCLOSED_PATH</x:v>
      </x:c>
      <x:c r="D225" s="34" t="str">
        <x:v>P2</x:v>
      </x:c>
      <x:c r="E225" s="34" t="n">
        <x:v>2039</x:v>
      </x:c>
      <x:c r="F225" s="34" t="n">
        <x:v>5</x:v>
      </x:c>
      <x:c r="G225" s="34" t="n">
        <x:v>23.956047</x:v>
      </x:c>
      <x:c r="H225" s="34" t="n">
        <x:v>23.6</x:v>
      </x:c>
      <x:c r="I225" s="34" t="n">
        <x:v>-0.356047</x:v>
      </x:c>
      <x:c r="J225" s="34" t="n">
        <x:v>101.509</x:v>
      </x:c>
      <x:c r="K225" s="34" t="n">
        <x:v>0.522665</x:v>
      </x:c>
      <x:c r="L225" s="34" t="n">
        <x:v>2.7</x:v>
      </x:c>
      <x:c r="M225" s="34" t="n">
        <x:v>2.177335</x:v>
      </x:c>
      <x:c r="N225" s="34" t="n">
        <x:v>19.358</x:v>
      </x:c>
      <x:c r="O225" s="34" t="n">
        <x:v>18.013447</x:v>
      </x:c>
      <x:c r="P225" s="34" t="n">
        <x:v>23</x:v>
      </x:c>
      <x:c r="Q225" s="34" t="n">
        <x:v>4.986553</x:v>
      </x:c>
      <x:c r="R225" s="34" t="n">
        <x:v>78.319</x:v>
      </x:c>
      <x:c r="S225" s="40" t="b">
        <x:v>0</x:v>
      </x:c>
      <x:c r="T225" s="34" t="str">
        <x:v>model_interpolation</x:v>
      </x:c>
      <x:c r="U225" s="34" t="str">
        <x:v>Linear interpolation from 2035 to 2040</x:v>
      </x:c>
      <x:c r="V225" s="34" t="str">
        <x:v>CAND-466C04961ED513</x:v>
      </x:c>
      <x:c r="W225" s="34" t="str">
        <x:v>P2</x:v>
      </x:c>
      <x:c r="X225" s="34" t="str">
        <x:v>PORT-7ED23B40E316</x:v>
      </x:c>
      <x:c r="Y225" s="34" t="n">
        <x:v>1000</x:v>
      </x:c>
      <x:c r="Z225" s="34" t="n">
        <x:v>32.779683</x:v>
      </x:c>
      <x:c r="AA225" s="34" t="n">
        <x:v>11.005763</x:v>
      </x:c>
      <x:c r="AB225" s="34" t="n">
        <x:v>414.904229</x:v>
      </x:c>
      <x:c r="AC225" s="34" t="n">
        <x:v>13064.613</x:v>
      </x:c>
      <x:c r="AD225" s="34" t="n">
        <x:v>31.488261</x:v>
      </x:c>
      <x:c r="AE225" s="40" t="b">
        <x:v>1</x:v>
      </x:c>
      <x:c r="AF225" s="40" t="b">
        <x:v>0</x:v>
      </x:c>
      <x:c r="AG225" s="34" t="str"/>
      <x:c r="AH225" s="34" t="n">
        <x:v>0</x:v>
      </x:c>
      <x:c r="AI225" s="34" t="str">
        <x:v>2.0275124185786808e-05</x:v>
      </x:c>
      <x:c r="AJ225" s="40" t="b">
        <x:v>0</x:v>
      </x:c>
      <x:c r="AK225" s="40" t="b">
        <x:v>0</x:v>
      </x:c>
      <x:c r="AL225" s="40" t="b">
        <x:v>1</x:v>
      </x:c>
      <x:c r="AM225" s="40" t="b">
        <x:v>1</x:v>
      </x:c>
      <x:c r="AN225" s="34" t="n">
        <x:v>2035</x:v>
      </x:c>
      <x:c r="AO225" s="34" t="n">
        <x:v>4.530597659999998</x:v>
      </x:c>
      <x:c r="AP225" s="34" t="n">
        <x:v>0</x:v>
      </x:c>
      <x:c r="AQ225" s="34" t="n">
        <x:v>0</x:v>
      </x:c>
      <x:c r="AR225" s="34" t="n">
        <x:v>2</x:v>
      </x:c>
      <x:c r="AS225" s="34" t="n">
        <x:v>3</x:v>
      </x:c>
      <x:c r="AT225" s="34" t="n">
        <x:v>0.3934020479999999</x:v>
      </x:c>
      <x:c r="AU225" s="34" t="n">
        <x:v>0.65</x:v>
      </x:c>
      <x:c r="AV225" s="34" t="n">
        <x:v>1.54</x:v>
      </x:c>
    </x:row>
    <x:row r="226">
      <x:c r="A226" s="34" t="str">
        <x:v>POSCO_KR</x:v>
      </x:c>
      <x:c r="B226" s="34" t="str">
        <x:v>POSCO</x:v>
      </x:c>
      <x:c r="C226" s="34" t="str">
        <x:v>DISCLOSED_PATH</x:v>
      </x:c>
      <x:c r="D226" s="34" t="str">
        <x:v>P2</x:v>
      </x:c>
      <x:c r="E226" s="34" t="n">
        <x:v>2040</x:v>
      </x:c>
      <x:c r="F226" s="34" t="n">
        <x:v>5</x:v>
      </x:c>
      <x:c r="G226" s="34" t="n">
        <x:v>23.956047</x:v>
      </x:c>
      <x:c r="H226" s="34" t="n">
        <x:v>25</x:v>
      </x:c>
      <x:c r="I226" s="34" t="n">
        <x:v>1.043953</x:v>
      </x:c>
      <x:c r="J226" s="34" t="n">
        <x:v>95.824</x:v>
      </x:c>
      <x:c r="K226" s="34" t="n">
        <x:v>0.522665</x:v>
      </x:c>
      <x:c r="L226" s="34" t="n">
        <x:v>3</x:v>
      </x:c>
      <x:c r="M226" s="34" t="n">
        <x:v>2.477335</x:v>
      </x:c>
      <x:c r="N226" s="34" t="n">
        <x:v>17.422</x:v>
      </x:c>
      <x:c r="O226" s="34" t="n">
        <x:v>18.013447</x:v>
      </x:c>
      <x:c r="P226" s="34" t="n">
        <x:v>25</x:v>
      </x:c>
      <x:c r="Q226" s="34" t="n">
        <x:v>6.986553</x:v>
      </x:c>
      <x:c r="R226" s="34" t="n">
        <x:v>72.054</x:v>
      </x:c>
      <x:c r="S226" s="40" t="b">
        <x:v>1</x:v>
      </x:c>
      <x:c r="T226" s="34" t="str">
        <x:v>model_estimate</x:v>
      </x:c>
      <x:c r="U226" s="34" t="str">
        <x:v>Illustrative screening envelope; not an official supply forecast</x:v>
      </x:c>
      <x:c r="V226" s="34" t="str">
        <x:v>CAND-466C04961ED513</x:v>
      </x:c>
      <x:c r="W226" s="34" t="str">
        <x:v>P2</x:v>
      </x:c>
      <x:c r="X226" s="34" t="str">
        <x:v>PORT-7ED23B40E316</x:v>
      </x:c>
      <x:c r="Y226" s="34" t="n">
        <x:v>1000</x:v>
      </x:c>
      <x:c r="Z226" s="34" t="n">
        <x:v>32.779683</x:v>
      </x:c>
      <x:c r="AA226" s="34" t="n">
        <x:v>11.005763</x:v>
      </x:c>
      <x:c r="AB226" s="34" t="n">
        <x:v>414.904229</x:v>
      </x:c>
      <x:c r="AC226" s="34" t="n">
        <x:v>13064.613</x:v>
      </x:c>
      <x:c r="AD226" s="34" t="n">
        <x:v>31.488261</x:v>
      </x:c>
      <x:c r="AE226" s="40" t="b">
        <x:v>1</x:v>
      </x:c>
      <x:c r="AF226" s="40" t="b">
        <x:v>0</x:v>
      </x:c>
      <x:c r="AG226" s="34" t="str"/>
      <x:c r="AH226" s="34" t="n">
        <x:v>0</x:v>
      </x:c>
      <x:c r="AI226" s="34" t="str">
        <x:v>2.0275124185786808e-05</x:v>
      </x:c>
      <x:c r="AJ226" s="40" t="b">
        <x:v>0</x:v>
      </x:c>
      <x:c r="AK226" s="40" t="b">
        <x:v>0</x:v>
      </x:c>
      <x:c r="AL226" s="40" t="b">
        <x:v>1</x:v>
      </x:c>
      <x:c r="AM226" s="40" t="b">
        <x:v>1</x:v>
      </x:c>
      <x:c r="AN226" s="34" t="n">
        <x:v>2035</x:v>
      </x:c>
      <x:c r="AO226" s="34" t="n">
        <x:v>4.530597659999998</x:v>
      </x:c>
      <x:c r="AP226" s="34" t="n">
        <x:v>0</x:v>
      </x:c>
      <x:c r="AQ226" s="34" t="n">
        <x:v>0</x:v>
      </x:c>
      <x:c r="AR226" s="34" t="n">
        <x:v>2</x:v>
      </x:c>
      <x:c r="AS226" s="34" t="n">
        <x:v>3</x:v>
      </x:c>
      <x:c r="AT226" s="34" t="n">
        <x:v>0.3934020479999999</x:v>
      </x:c>
      <x:c r="AU226" s="34" t="n">
        <x:v>0.65</x:v>
      </x:c>
      <x:c r="AV226" s="34" t="n">
        <x:v>1.54</x:v>
      </x:c>
    </x:row>
    <x:row r="227">
      <x:c r="A227" s="34" t="str">
        <x:v>POSCO_KR</x:v>
      </x:c>
      <x:c r="B227" s="34" t="str">
        <x:v>POSCO</x:v>
      </x:c>
      <x:c r="C227" s="34" t="str">
        <x:v>ACCELERATED_15C</x:v>
      </x:c>
      <x:c r="D227" s="34" t="str">
        <x:v>P2</x:v>
      </x:c>
      <x:c r="E227" s="34" t="n">
        <x:v>2026</x:v>
      </x:c>
      <x:c r="F227" s="34" t="n">
        <x:v>0</x:v>
      </x:c>
      <x:c r="G227" s="34" t="n">
        <x:v>0</x:v>
      </x:c>
      <x:c r="H227" s="34" t="n">
        <x:v>8</x:v>
      </x:c>
      <x:c r="I227" s="34" t="n">
        <x:v>8</x:v>
      </x:c>
      <x:c r="J227" s="34" t="n">
        <x:v>0</x:v>
      </x:c>
      <x:c r="K227" s="34" t="n">
        <x:v>0</x:v>
      </x:c>
      <x:c r="L227" s="34" t="n">
        <x:v>0.1</x:v>
      </x:c>
      <x:c r="M227" s="34" t="n">
        <x:v>0.1</x:v>
      </x:c>
      <x:c r="N227" s="34" t="n">
        <x:v>0</x:v>
      </x:c>
      <x:c r="O227" s="34" t="n">
        <x:v>0</x:v>
      </x:c>
      <x:c r="P227" s="34" t="n">
        <x:v>2</x:v>
      </x:c>
      <x:c r="Q227" s="34" t="n">
        <x:v>2</x:v>
      </x:c>
      <x:c r="R227" s="34" t="n">
        <x:v>0</x:v>
      </x:c>
      <x:c r="S227" s="40" t="b">
        <x:v>1</x:v>
      </x:c>
      <x:c r="T227" s="34" t="str">
        <x:v>model_interpolation</x:v>
      </x:c>
      <x:c r="U227" s="34" t="str">
        <x:v>Linear interpolation from 2026 to 2030</x:v>
      </x:c>
      <x:c r="V227" s="34" t="str">
        <x:v>CAND-466C04961ED513</x:v>
      </x:c>
      <x:c r="W227" s="34" t="str">
        <x:v>P2</x:v>
      </x:c>
      <x:c r="X227" s="34" t="str">
        <x:v>PORT-7ED23B40E316</x:v>
      </x:c>
      <x:c r="Y227" s="34" t="n">
        <x:v>1000</x:v>
      </x:c>
      <x:c r="Z227" s="34" t="n">
        <x:v>19.099809</x:v>
      </x:c>
      <x:c r="AA227" s="34" t="n">
        <x:v>11.886727</x:v>
      </x:c>
      <x:c r="AB227" s="34" t="n">
        <x:v>414.904229</x:v>
      </x:c>
      <x:c r="AC227" s="34" t="n">
        <x:v>7402.041</x:v>
      </x:c>
      <x:c r="AD227" s="34" t="n">
        <x:v>17.84036</x:v>
      </x:c>
      <x:c r="AE227" s="40" t="b">
        <x:v>1</x:v>
      </x:c>
      <x:c r="AF227" s="40" t="b">
        <x:v>1</x:v>
      </x:c>
      <x:c r="AG227" s="34" t="str"/>
      <x:c r="AH227" s="34" t="n">
        <x:v>0</x:v>
      </x:c>
      <x:c r="AI227" s="34" t="str">
        <x:v>2.0275124185786808e-05</x:v>
      </x:c>
      <x:c r="AJ227" s="40" t="b">
        <x:v>1</x:v>
      </x:c>
      <x:c r="AK227" s="40" t="b">
        <x:v>1</x:v>
      </x:c>
      <x:c r="AL227" s="40" t="b">
        <x:v>1</x:v>
      </x:c>
      <x:c r="AM227" s="40" t="b">
        <x:v>1</x:v>
      </x:c>
      <x:c r="AN227" s="34" t="str"/>
      <x:c r="AO227" s="34" t="n">
        <x:v>0</x:v>
      </x:c>
      <x:c r="AP227" s="34" t="n">
        <x:v>0</x:v>
      </x:c>
      <x:c r="AQ227" s="34" t="n">
        <x:v>0</x:v>
      </x:c>
      <x:c r="AR227" s="34" t="n">
        <x:v>2</x:v>
      </x:c>
      <x:c r="AS227" s="34" t="n">
        <x:v>3</x:v>
      </x:c>
      <x:c r="AT227" s="34" t="n">
        <x:v>0.3934020479999999</x:v>
      </x:c>
      <x:c r="AU227" s="34" t="n">
        <x:v>0.65</x:v>
      </x:c>
      <x:c r="AV227" s="34" t="n">
        <x:v>1.54</x:v>
      </x:c>
    </x:row>
    <x:row r="228">
      <x:c r="A228" s="34" t="str">
        <x:v>POSCO_KR</x:v>
      </x:c>
      <x:c r="B228" s="34" t="str">
        <x:v>POSCO</x:v>
      </x:c>
      <x:c r="C228" s="34" t="str">
        <x:v>ACCELERATED_15C</x:v>
      </x:c>
      <x:c r="D228" s="34" t="str">
        <x:v>P2</x:v>
      </x:c>
      <x:c r="E228" s="34" t="n">
        <x:v>2027</x:v>
      </x:c>
      <x:c r="F228" s="34" t="n">
        <x:v>0</x:v>
      </x:c>
      <x:c r="G228" s="34" t="n">
        <x:v>0</x:v>
      </x:c>
      <x:c r="H228" s="34" t="n">
        <x:v>9.75</x:v>
      </x:c>
      <x:c r="I228" s="34" t="n">
        <x:v>9.75</x:v>
      </x:c>
      <x:c r="J228" s="34" t="n">
        <x:v>0</x:v>
      </x:c>
      <x:c r="K228" s="34" t="n">
        <x:v>0</x:v>
      </x:c>
      <x:c r="L228" s="34" t="n">
        <x:v>0.275</x:v>
      </x:c>
      <x:c r="M228" s="34" t="n">
        <x:v>0.275</x:v>
      </x:c>
      <x:c r="N228" s="34" t="n">
        <x:v>0</x:v>
      </x:c>
      <x:c r="O228" s="34" t="n">
        <x:v>0</x:v>
      </x:c>
      <x:c r="P228" s="34" t="n">
        <x:v>4</x:v>
      </x:c>
      <x:c r="Q228" s="34" t="n">
        <x:v>4</x:v>
      </x:c>
      <x:c r="R228" s="34" t="n">
        <x:v>0</x:v>
      </x:c>
      <x:c r="S228" s="40" t="b">
        <x:v>1</x:v>
      </x:c>
      <x:c r="T228" s="34" t="str">
        <x:v>model_interpolation</x:v>
      </x:c>
      <x:c r="U228" s="34" t="str">
        <x:v>Linear interpolation from 2026 to 2030</x:v>
      </x:c>
      <x:c r="V228" s="34" t="str">
        <x:v>CAND-466C04961ED513</x:v>
      </x:c>
      <x:c r="W228" s="34" t="str">
        <x:v>P2</x:v>
      </x:c>
      <x:c r="X228" s="34" t="str">
        <x:v>PORT-7ED23B40E316</x:v>
      </x:c>
      <x:c r="Y228" s="34" t="n">
        <x:v>1000</x:v>
      </x:c>
      <x:c r="Z228" s="34" t="n">
        <x:v>19.099809</x:v>
      </x:c>
      <x:c r="AA228" s="34" t="n">
        <x:v>11.886727</x:v>
      </x:c>
      <x:c r="AB228" s="34" t="n">
        <x:v>414.904229</x:v>
      </x:c>
      <x:c r="AC228" s="34" t="n">
        <x:v>7402.041</x:v>
      </x:c>
      <x:c r="AD228" s="34" t="n">
        <x:v>17.84036</x:v>
      </x:c>
      <x:c r="AE228" s="40" t="b">
        <x:v>1</x:v>
      </x:c>
      <x:c r="AF228" s="40" t="b">
        <x:v>1</x:v>
      </x:c>
      <x:c r="AG228" s="34" t="str"/>
      <x:c r="AH228" s="34" t="n">
        <x:v>0</x:v>
      </x:c>
      <x:c r="AI228" s="34" t="str">
        <x:v>2.0275124185786808e-05</x:v>
      </x:c>
      <x:c r="AJ228" s="40" t="b">
        <x:v>1</x:v>
      </x:c>
      <x:c r="AK228" s="40" t="b">
        <x:v>1</x:v>
      </x:c>
      <x:c r="AL228" s="40" t="b">
        <x:v>1</x:v>
      </x:c>
      <x:c r="AM228" s="40" t="b">
        <x:v>1</x:v>
      </x:c>
      <x:c r="AN228" s="34" t="str"/>
      <x:c r="AO228" s="34" t="n">
        <x:v>0</x:v>
      </x:c>
      <x:c r="AP228" s="34" t="n">
        <x:v>0</x:v>
      </x:c>
      <x:c r="AQ228" s="34" t="n">
        <x:v>0</x:v>
      </x:c>
      <x:c r="AR228" s="34" t="n">
        <x:v>2</x:v>
      </x:c>
      <x:c r="AS228" s="34" t="n">
        <x:v>3</x:v>
      </x:c>
      <x:c r="AT228" s="34" t="n">
        <x:v>0.3934020479999999</x:v>
      </x:c>
      <x:c r="AU228" s="34" t="n">
        <x:v>0.65</x:v>
      </x:c>
      <x:c r="AV228" s="34" t="n">
        <x:v>1.54</x:v>
      </x:c>
    </x:row>
    <x:row r="229">
      <x:c r="A229" s="34" t="str">
        <x:v>POSCO_KR</x:v>
      </x:c>
      <x:c r="B229" s="34" t="str">
        <x:v>POSCO</x:v>
      </x:c>
      <x:c r="C229" s="34" t="str">
        <x:v>ACCELERATED_15C</x:v>
      </x:c>
      <x:c r="D229" s="34" t="str">
        <x:v>P2</x:v>
      </x:c>
      <x:c r="E229" s="34" t="n">
        <x:v>2028</x:v>
      </x:c>
      <x:c r="F229" s="34" t="n">
        <x:v>0</x:v>
      </x:c>
      <x:c r="G229" s="34" t="n">
        <x:v>0</x:v>
      </x:c>
      <x:c r="H229" s="34" t="n">
        <x:v>11.5</x:v>
      </x:c>
      <x:c r="I229" s="34" t="n">
        <x:v>11.5</x:v>
      </x:c>
      <x:c r="J229" s="34" t="n">
        <x:v>0</x:v>
      </x:c>
      <x:c r="K229" s="34" t="n">
        <x:v>0</x:v>
      </x:c>
      <x:c r="L229" s="34" t="n">
        <x:v>0.45000000000000007</x:v>
      </x:c>
      <x:c r="M229" s="34" t="n">
        <x:v>0.45</x:v>
      </x:c>
      <x:c r="N229" s="34" t="n">
        <x:v>0</x:v>
      </x:c>
      <x:c r="O229" s="34" t="n">
        <x:v>0</x:v>
      </x:c>
      <x:c r="P229" s="34" t="n">
        <x:v>6</x:v>
      </x:c>
      <x:c r="Q229" s="34" t="n">
        <x:v>6</x:v>
      </x:c>
      <x:c r="R229" s="34" t="n">
        <x:v>0</x:v>
      </x:c>
      <x:c r="S229" s="40" t="b">
        <x:v>1</x:v>
      </x:c>
      <x:c r="T229" s="34" t="str">
        <x:v>model_interpolation</x:v>
      </x:c>
      <x:c r="U229" s="34" t="str">
        <x:v>Linear interpolation from 2026 to 2030</x:v>
      </x:c>
      <x:c r="V229" s="34" t="str">
        <x:v>CAND-466C04961ED513</x:v>
      </x:c>
      <x:c r="W229" s="34" t="str">
        <x:v>P2</x:v>
      </x:c>
      <x:c r="X229" s="34" t="str">
        <x:v>PORT-7ED23B40E316</x:v>
      </x:c>
      <x:c r="Y229" s="34" t="n">
        <x:v>1000</x:v>
      </x:c>
      <x:c r="Z229" s="34" t="n">
        <x:v>19.099809</x:v>
      </x:c>
      <x:c r="AA229" s="34" t="n">
        <x:v>11.886727</x:v>
      </x:c>
      <x:c r="AB229" s="34" t="n">
        <x:v>414.904229</x:v>
      </x:c>
      <x:c r="AC229" s="34" t="n">
        <x:v>7402.041</x:v>
      </x:c>
      <x:c r="AD229" s="34" t="n">
        <x:v>17.84036</x:v>
      </x:c>
      <x:c r="AE229" s="40" t="b">
        <x:v>1</x:v>
      </x:c>
      <x:c r="AF229" s="40" t="b">
        <x:v>1</x:v>
      </x:c>
      <x:c r="AG229" s="34" t="str"/>
      <x:c r="AH229" s="34" t="n">
        <x:v>0</x:v>
      </x:c>
      <x:c r="AI229" s="34" t="str">
        <x:v>2.0275124185786808e-05</x:v>
      </x:c>
      <x:c r="AJ229" s="40" t="b">
        <x:v>1</x:v>
      </x:c>
      <x:c r="AK229" s="40" t="b">
        <x:v>1</x:v>
      </x:c>
      <x:c r="AL229" s="40" t="b">
        <x:v>1</x:v>
      </x:c>
      <x:c r="AM229" s="40" t="b">
        <x:v>1</x:v>
      </x:c>
      <x:c r="AN229" s="34" t="str"/>
      <x:c r="AO229" s="34" t="n">
        <x:v>0</x:v>
      </x:c>
      <x:c r="AP229" s="34" t="n">
        <x:v>0</x:v>
      </x:c>
      <x:c r="AQ229" s="34" t="n">
        <x:v>0</x:v>
      </x:c>
      <x:c r="AR229" s="34" t="n">
        <x:v>2</x:v>
      </x:c>
      <x:c r="AS229" s="34" t="n">
        <x:v>3</x:v>
      </x:c>
      <x:c r="AT229" s="34" t="n">
        <x:v>0.3934020479999999</x:v>
      </x:c>
      <x:c r="AU229" s="34" t="n">
        <x:v>0.65</x:v>
      </x:c>
      <x:c r="AV229" s="34" t="n">
        <x:v>1.54</x:v>
      </x:c>
    </x:row>
    <x:row r="230">
      <x:c r="A230" s="34" t="str">
        <x:v>POSCO_KR</x:v>
      </x:c>
      <x:c r="B230" s="34" t="str">
        <x:v>POSCO</x:v>
      </x:c>
      <x:c r="C230" s="34" t="str">
        <x:v>ACCELERATED_15C</x:v>
      </x:c>
      <x:c r="D230" s="34" t="str">
        <x:v>P2</x:v>
      </x:c>
      <x:c r="E230" s="34" t="n">
        <x:v>2029</x:v>
      </x:c>
      <x:c r="F230" s="34" t="n">
        <x:v>1</x:v>
      </x:c>
      <x:c r="G230" s="34" t="n">
        <x:v>6.839998</x:v>
      </x:c>
      <x:c r="H230" s="34" t="n">
        <x:v>13.25</x:v>
      </x:c>
      <x:c r="I230" s="34" t="n">
        <x:v>6.410002</x:v>
      </x:c>
      <x:c r="J230" s="34" t="n">
        <x:v>51.623</x:v>
      </x:c>
      <x:c r="K230" s="34" t="n">
        <x:v>0</x:v>
      </x:c>
      <x:c r="L230" s="34" t="n">
        <x:v>0.625</x:v>
      </x:c>
      <x:c r="M230" s="34" t="n">
        <x:v>0.625</x:v>
      </x:c>
      <x:c r="N230" s="34" t="n">
        <x:v>0</x:v>
      </x:c>
      <x:c r="O230" s="34" t="n">
        <x:v>4.255999</x:v>
      </x:c>
      <x:c r="P230" s="34" t="n">
        <x:v>8</x:v>
      </x:c>
      <x:c r="Q230" s="34" t="n">
        <x:v>3.744001</x:v>
      </x:c>
      <x:c r="R230" s="34" t="n">
        <x:v>53.2</x:v>
      </x:c>
      <x:c r="S230" s="40" t="b">
        <x:v>1</x:v>
      </x:c>
      <x:c r="T230" s="34" t="str">
        <x:v>model_interpolation</x:v>
      </x:c>
      <x:c r="U230" s="34" t="str">
        <x:v>Linear interpolation from 2026 to 2030</x:v>
      </x:c>
      <x:c r="V230" s="34" t="str">
        <x:v>CAND-466C04961ED513</x:v>
      </x:c>
      <x:c r="W230" s="34" t="str">
        <x:v>P2</x:v>
      </x:c>
      <x:c r="X230" s="34" t="str">
        <x:v>PORT-7ED23B40E316</x:v>
      </x:c>
      <x:c r="Y230" s="34" t="n">
        <x:v>1000</x:v>
      </x:c>
      <x:c r="Z230" s="34" t="n">
        <x:v>19.099809</x:v>
      </x:c>
      <x:c r="AA230" s="34" t="n">
        <x:v>11.886727</x:v>
      </x:c>
      <x:c r="AB230" s="34" t="n">
        <x:v>414.904229</x:v>
      </x:c>
      <x:c r="AC230" s="34" t="n">
        <x:v>7402.041</x:v>
      </x:c>
      <x:c r="AD230" s="34" t="n">
        <x:v>17.84036</x:v>
      </x:c>
      <x:c r="AE230" s="40" t="b">
        <x:v>1</x:v>
      </x:c>
      <x:c r="AF230" s="40" t="b">
        <x:v>1</x:v>
      </x:c>
      <x:c r="AG230" s="34" t="str"/>
      <x:c r="AH230" s="34" t="n">
        <x:v>0</x:v>
      </x:c>
      <x:c r="AI230" s="34" t="str">
        <x:v>2.0275124185786808e-05</x:v>
      </x:c>
      <x:c r="AJ230" s="40" t="b">
        <x:v>1</x:v>
      </x:c>
      <x:c r="AK230" s="40" t="b">
        <x:v>1</x:v>
      </x:c>
      <x:c r="AL230" s="40" t="b">
        <x:v>1</x:v>
      </x:c>
      <x:c r="AM230" s="40" t="b">
        <x:v>1</x:v>
      </x:c>
      <x:c r="AN230" s="34" t="str"/>
      <x:c r="AO230" s="34" t="n">
        <x:v>0</x:v>
      </x:c>
      <x:c r="AP230" s="34" t="n">
        <x:v>0</x:v>
      </x:c>
      <x:c r="AQ230" s="34" t="n">
        <x:v>0</x:v>
      </x:c>
      <x:c r="AR230" s="34" t="n">
        <x:v>2</x:v>
      </x:c>
      <x:c r="AS230" s="34" t="n">
        <x:v>3</x:v>
      </x:c>
      <x:c r="AT230" s="34" t="n">
        <x:v>0.3934020479999999</x:v>
      </x:c>
      <x:c r="AU230" s="34" t="n">
        <x:v>0.65</x:v>
      </x:c>
      <x:c r="AV230" s="34" t="n">
        <x:v>1.54</x:v>
      </x:c>
    </x:row>
    <x:row r="231">
      <x:c r="A231" s="34" t="str">
        <x:v>POSCO_KR</x:v>
      </x:c>
      <x:c r="B231" s="34" t="str">
        <x:v>POSCO</x:v>
      </x:c>
      <x:c r="C231" s="34" t="str">
        <x:v>ACCELERATED_15C</x:v>
      </x:c>
      <x:c r="D231" s="34" t="str">
        <x:v>P2</x:v>
      </x:c>
      <x:c r="E231" s="34" t="n">
        <x:v>2030</x:v>
      </x:c>
      <x:c r="F231" s="34" t="n">
        <x:v>1</x:v>
      </x:c>
      <x:c r="G231" s="34" t="n">
        <x:v>6.839998</x:v>
      </x:c>
      <x:c r="H231" s="34" t="n">
        <x:v>15</x:v>
      </x:c>
      <x:c r="I231" s="34" t="n">
        <x:v>8.160002</x:v>
      </x:c>
      <x:c r="J231" s="34" t="n">
        <x:v>45.6</x:v>
      </x:c>
      <x:c r="K231" s="34" t="n">
        <x:v>0</x:v>
      </x:c>
      <x:c r="L231" s="34" t="n">
        <x:v>0.8</x:v>
      </x:c>
      <x:c r="M231" s="34" t="n">
        <x:v>0.8</x:v>
      </x:c>
      <x:c r="N231" s="34" t="n">
        <x:v>0</x:v>
      </x:c>
      <x:c r="O231" s="34" t="n">
        <x:v>4.255999</x:v>
      </x:c>
      <x:c r="P231" s="34" t="n">
        <x:v>10</x:v>
      </x:c>
      <x:c r="Q231" s="34" t="n">
        <x:v>5.744001</x:v>
      </x:c>
      <x:c r="R231" s="34" t="n">
        <x:v>42.56</x:v>
      </x:c>
      <x:c r="S231" s="40" t="b">
        <x:v>1</x:v>
      </x:c>
      <x:c r="T231" s="34" t="str">
        <x:v>model_interpolation</x:v>
      </x:c>
      <x:c r="U231" s="34" t="str">
        <x:v>Linear interpolation from 2030 to 2035</x:v>
      </x:c>
      <x:c r="V231" s="34" t="str">
        <x:v>CAND-466C04961ED513</x:v>
      </x:c>
      <x:c r="W231" s="34" t="str">
        <x:v>P2</x:v>
      </x:c>
      <x:c r="X231" s="34" t="str">
        <x:v>PORT-7ED23B40E316</x:v>
      </x:c>
      <x:c r="Y231" s="34" t="n">
        <x:v>1000</x:v>
      </x:c>
      <x:c r="Z231" s="34" t="n">
        <x:v>19.099809</x:v>
      </x:c>
      <x:c r="AA231" s="34" t="n">
        <x:v>11.886727</x:v>
      </x:c>
      <x:c r="AB231" s="34" t="n">
        <x:v>414.904229</x:v>
      </x:c>
      <x:c r="AC231" s="34" t="n">
        <x:v>7402.041</x:v>
      </x:c>
      <x:c r="AD231" s="34" t="n">
        <x:v>17.84036</x:v>
      </x:c>
      <x:c r="AE231" s="40" t="b">
        <x:v>1</x:v>
      </x:c>
      <x:c r="AF231" s="40" t="b">
        <x:v>1</x:v>
      </x:c>
      <x:c r="AG231" s="34" t="str"/>
      <x:c r="AH231" s="34" t="n">
        <x:v>0</x:v>
      </x:c>
      <x:c r="AI231" s="34" t="str">
        <x:v>2.0275124185786808e-05</x:v>
      </x:c>
      <x:c r="AJ231" s="40" t="b">
        <x:v>1</x:v>
      </x:c>
      <x:c r="AK231" s="40" t="b">
        <x:v>1</x:v>
      </x:c>
      <x:c r="AL231" s="40" t="b">
        <x:v>1</x:v>
      </x:c>
      <x:c r="AM231" s="40" t="b">
        <x:v>1</x:v>
      </x:c>
      <x:c r="AN231" s="34" t="str"/>
      <x:c r="AO231" s="34" t="n">
        <x:v>0</x:v>
      </x:c>
      <x:c r="AP231" s="34" t="n">
        <x:v>0</x:v>
      </x:c>
      <x:c r="AQ231" s="34" t="n">
        <x:v>0</x:v>
      </x:c>
      <x:c r="AR231" s="34" t="n">
        <x:v>2</x:v>
      </x:c>
      <x:c r="AS231" s="34" t="n">
        <x:v>3</x:v>
      </x:c>
      <x:c r="AT231" s="34" t="n">
        <x:v>0.3934020479999999</x:v>
      </x:c>
      <x:c r="AU231" s="34" t="n">
        <x:v>0.65</x:v>
      </x:c>
      <x:c r="AV231" s="34" t="n">
        <x:v>1.54</x:v>
      </x:c>
    </x:row>
    <x:row r="232">
      <x:c r="A232" s="34" t="str">
        <x:v>POSCO_KR</x:v>
      </x:c>
      <x:c r="B232" s="34" t="str">
        <x:v>POSCO</x:v>
      </x:c>
      <x:c r="C232" s="34" t="str">
        <x:v>ACCELERATED_15C</x:v>
      </x:c>
      <x:c r="D232" s="34" t="str">
        <x:v>P2</x:v>
      </x:c>
      <x:c r="E232" s="34" t="n">
        <x:v>2031</x:v>
      </x:c>
      <x:c r="F232" s="34" t="n">
        <x:v>1</x:v>
      </x:c>
      <x:c r="G232" s="34" t="n">
        <x:v>6.839998</x:v>
      </x:c>
      <x:c r="H232" s="34" t="n">
        <x:v>16.6</x:v>
      </x:c>
      <x:c r="I232" s="34" t="n">
        <x:v>9.760002</x:v>
      </x:c>
      <x:c r="J232" s="34" t="n">
        <x:v>41.205</x:v>
      </x:c>
      <x:c r="K232" s="34" t="n">
        <x:v>0</x:v>
      </x:c>
      <x:c r="L232" s="34" t="n">
        <x:v>1.08</x:v>
      </x:c>
      <x:c r="M232" s="34" t="n">
        <x:v>1.08</x:v>
      </x:c>
      <x:c r="N232" s="34" t="n">
        <x:v>0</x:v>
      </x:c>
      <x:c r="O232" s="34" t="n">
        <x:v>4.255999</x:v>
      </x:c>
      <x:c r="P232" s="34" t="n">
        <x:v>12</x:v>
      </x:c>
      <x:c r="Q232" s="34" t="n">
        <x:v>7.744001</x:v>
      </x:c>
      <x:c r="R232" s="34" t="n">
        <x:v>35.467</x:v>
      </x:c>
      <x:c r="S232" s="40" t="b">
        <x:v>1</x:v>
      </x:c>
      <x:c r="T232" s="34" t="str">
        <x:v>model_interpolation</x:v>
      </x:c>
      <x:c r="U232" s="34" t="str">
        <x:v>Linear interpolation from 2030 to 2035</x:v>
      </x:c>
      <x:c r="V232" s="34" t="str">
        <x:v>CAND-466C04961ED513</x:v>
      </x:c>
      <x:c r="W232" s="34" t="str">
        <x:v>P2</x:v>
      </x:c>
      <x:c r="X232" s="34" t="str">
        <x:v>PORT-7ED23B40E316</x:v>
      </x:c>
      <x:c r="Y232" s="34" t="n">
        <x:v>1000</x:v>
      </x:c>
      <x:c r="Z232" s="34" t="n">
        <x:v>19.099809</x:v>
      </x:c>
      <x:c r="AA232" s="34" t="n">
        <x:v>11.886727</x:v>
      </x:c>
      <x:c r="AB232" s="34" t="n">
        <x:v>414.904229</x:v>
      </x:c>
      <x:c r="AC232" s="34" t="n">
        <x:v>7402.041</x:v>
      </x:c>
      <x:c r="AD232" s="34" t="n">
        <x:v>17.84036</x:v>
      </x:c>
      <x:c r="AE232" s="40" t="b">
        <x:v>1</x:v>
      </x:c>
      <x:c r="AF232" s="40" t="b">
        <x:v>1</x:v>
      </x:c>
      <x:c r="AG232" s="34" t="str"/>
      <x:c r="AH232" s="34" t="n">
        <x:v>0</x:v>
      </x:c>
      <x:c r="AI232" s="34" t="str">
        <x:v>2.0275124185786808e-05</x:v>
      </x:c>
      <x:c r="AJ232" s="40" t="b">
        <x:v>1</x:v>
      </x:c>
      <x:c r="AK232" s="40" t="b">
        <x:v>1</x:v>
      </x:c>
      <x:c r="AL232" s="40" t="b">
        <x:v>1</x:v>
      </x:c>
      <x:c r="AM232" s="40" t="b">
        <x:v>1</x:v>
      </x:c>
      <x:c r="AN232" s="34" t="str"/>
      <x:c r="AO232" s="34" t="n">
        <x:v>0</x:v>
      </x:c>
      <x:c r="AP232" s="34" t="n">
        <x:v>0</x:v>
      </x:c>
      <x:c r="AQ232" s="34" t="n">
        <x:v>0</x:v>
      </x:c>
      <x:c r="AR232" s="34" t="n">
        <x:v>2</x:v>
      </x:c>
      <x:c r="AS232" s="34" t="n">
        <x:v>3</x:v>
      </x:c>
      <x:c r="AT232" s="34" t="n">
        <x:v>0.3934020479999999</x:v>
      </x:c>
      <x:c r="AU232" s="34" t="n">
        <x:v>0.65</x:v>
      </x:c>
      <x:c r="AV232" s="34" t="n">
        <x:v>1.54</x:v>
      </x:c>
    </x:row>
    <x:row r="233">
      <x:c r="A233" s="34" t="str">
        <x:v>POSCO_KR</x:v>
      </x:c>
      <x:c r="B233" s="34" t="str">
        <x:v>POSCO</x:v>
      </x:c>
      <x:c r="C233" s="34" t="str">
        <x:v>ACCELERATED_15C</x:v>
      </x:c>
      <x:c r="D233" s="34" t="str">
        <x:v>P2</x:v>
      </x:c>
      <x:c r="E233" s="34" t="n">
        <x:v>2032</x:v>
      </x:c>
      <x:c r="F233" s="34" t="n">
        <x:v>2</x:v>
      </x:c>
      <x:c r="G233" s="34" t="n">
        <x:v>12.959999</x:v>
      </x:c>
      <x:c r="H233" s="34" t="n">
        <x:v>18.2</x:v>
      </x:c>
      <x:c r="I233" s="34" t="n">
        <x:v>5.240001</x:v>
      </x:c>
      <x:c r="J233" s="34" t="n">
        <x:v>71.209</x:v>
      </x:c>
      <x:c r="K233" s="34" t="n">
        <x:v>0</x:v>
      </x:c>
      <x:c r="L233" s="34" t="n">
        <x:v>1.36</x:v>
      </x:c>
      <x:c r="M233" s="34" t="n">
        <x:v>1.36</x:v>
      </x:c>
      <x:c r="N233" s="34" t="n">
        <x:v>0</x:v>
      </x:c>
      <x:c r="O233" s="34" t="n">
        <x:v>8.063999</x:v>
      </x:c>
      <x:c r="P233" s="34" t="n">
        <x:v>14</x:v>
      </x:c>
      <x:c r="Q233" s="34" t="n">
        <x:v>5.936001</x:v>
      </x:c>
      <x:c r="R233" s="34" t="n">
        <x:v>57.6</x:v>
      </x:c>
      <x:c r="S233" s="40" t="b">
        <x:v>1</x:v>
      </x:c>
      <x:c r="T233" s="34" t="str">
        <x:v>model_interpolation</x:v>
      </x:c>
      <x:c r="U233" s="34" t="str">
        <x:v>Linear interpolation from 2030 to 2035</x:v>
      </x:c>
      <x:c r="V233" s="34" t="str">
        <x:v>CAND-466C04961ED513</x:v>
      </x:c>
      <x:c r="W233" s="34" t="str">
        <x:v>P2</x:v>
      </x:c>
      <x:c r="X233" s="34" t="str">
        <x:v>PORT-7ED23B40E316</x:v>
      </x:c>
      <x:c r="Y233" s="34" t="n">
        <x:v>1000</x:v>
      </x:c>
      <x:c r="Z233" s="34" t="n">
        <x:v>19.099809</x:v>
      </x:c>
      <x:c r="AA233" s="34" t="n">
        <x:v>11.886727</x:v>
      </x:c>
      <x:c r="AB233" s="34" t="n">
        <x:v>414.904229</x:v>
      </x:c>
      <x:c r="AC233" s="34" t="n">
        <x:v>7402.041</x:v>
      </x:c>
      <x:c r="AD233" s="34" t="n">
        <x:v>17.84036</x:v>
      </x:c>
      <x:c r="AE233" s="40" t="b">
        <x:v>1</x:v>
      </x:c>
      <x:c r="AF233" s="40" t="b">
        <x:v>1</x:v>
      </x:c>
      <x:c r="AG233" s="34" t="str"/>
      <x:c r="AH233" s="34" t="n">
        <x:v>0</x:v>
      </x:c>
      <x:c r="AI233" s="34" t="str">
        <x:v>2.0275124185786808e-05</x:v>
      </x:c>
      <x:c r="AJ233" s="40" t="b">
        <x:v>1</x:v>
      </x:c>
      <x:c r="AK233" s="40" t="b">
        <x:v>1</x:v>
      </x:c>
      <x:c r="AL233" s="40" t="b">
        <x:v>1</x:v>
      </x:c>
      <x:c r="AM233" s="40" t="b">
        <x:v>1</x:v>
      </x:c>
      <x:c r="AN233" s="34" t="str"/>
      <x:c r="AO233" s="34" t="n">
        <x:v>0</x:v>
      </x:c>
      <x:c r="AP233" s="34" t="n">
        <x:v>0</x:v>
      </x:c>
      <x:c r="AQ233" s="34" t="n">
        <x:v>0</x:v>
      </x:c>
      <x:c r="AR233" s="34" t="n">
        <x:v>2</x:v>
      </x:c>
      <x:c r="AS233" s="34" t="n">
        <x:v>3</x:v>
      </x:c>
      <x:c r="AT233" s="34" t="n">
        <x:v>0.3934020479999999</x:v>
      </x:c>
      <x:c r="AU233" s="34" t="n">
        <x:v>0.65</x:v>
      </x:c>
      <x:c r="AV233" s="34" t="n">
        <x:v>1.54</x:v>
      </x:c>
    </x:row>
    <x:row r="234">
      <x:c r="A234" s="34" t="str">
        <x:v>POSCO_KR</x:v>
      </x:c>
      <x:c r="B234" s="34" t="str">
        <x:v>POSCO</x:v>
      </x:c>
      <x:c r="C234" s="34" t="str">
        <x:v>ACCELERATED_15C</x:v>
      </x:c>
      <x:c r="D234" s="34" t="str">
        <x:v>P2</x:v>
      </x:c>
      <x:c r="E234" s="34" t="n">
        <x:v>2033</x:v>
      </x:c>
      <x:c r="F234" s="34" t="n">
        <x:v>3</x:v>
      </x:c>
      <x:c r="G234" s="34" t="n">
        <x:v>13.980599</x:v>
      </x:c>
      <x:c r="H234" s="34" t="n">
        <x:v>19.8</x:v>
      </x:c>
      <x:c r="I234" s="34" t="n">
        <x:v>5.819401</x:v>
      </x:c>
      <x:c r="J234" s="34" t="n">
        <x:v>70.609</x:v>
      </x:c>
      <x:c r="K234" s="34" t="n">
        <x:v>0</x:v>
      </x:c>
      <x:c r="L234" s="34" t="n">
        <x:v>1.6400000000000001</x:v>
      </x:c>
      <x:c r="M234" s="34" t="n">
        <x:v>1.64</x:v>
      </x:c>
      <x:c r="N234" s="34" t="n">
        <x:v>0</x:v>
      </x:c>
      <x:c r="O234" s="34" t="n">
        <x:v>8.132039</x:v>
      </x:c>
      <x:c r="P234" s="34" t="n">
        <x:v>16</x:v>
      </x:c>
      <x:c r="Q234" s="34" t="n">
        <x:v>7.867961</x:v>
      </x:c>
      <x:c r="R234" s="34" t="n">
        <x:v>50.825</x:v>
      </x:c>
      <x:c r="S234" s="40" t="b">
        <x:v>1</x:v>
      </x:c>
      <x:c r="T234" s="34" t="str">
        <x:v>model_interpolation</x:v>
      </x:c>
      <x:c r="U234" s="34" t="str">
        <x:v>Linear interpolation from 2030 to 2035</x:v>
      </x:c>
      <x:c r="V234" s="34" t="str">
        <x:v>CAND-466C04961ED513</x:v>
      </x:c>
      <x:c r="W234" s="34" t="str">
        <x:v>P2</x:v>
      </x:c>
      <x:c r="X234" s="34" t="str">
        <x:v>PORT-7ED23B40E316</x:v>
      </x:c>
      <x:c r="Y234" s="34" t="n">
        <x:v>1000</x:v>
      </x:c>
      <x:c r="Z234" s="34" t="n">
        <x:v>19.099809</x:v>
      </x:c>
      <x:c r="AA234" s="34" t="n">
        <x:v>11.886727</x:v>
      </x:c>
      <x:c r="AB234" s="34" t="n">
        <x:v>414.904229</x:v>
      </x:c>
      <x:c r="AC234" s="34" t="n">
        <x:v>7402.041</x:v>
      </x:c>
      <x:c r="AD234" s="34" t="n">
        <x:v>17.84036</x:v>
      </x:c>
      <x:c r="AE234" s="40" t="b">
        <x:v>1</x:v>
      </x:c>
      <x:c r="AF234" s="40" t="b">
        <x:v>1</x:v>
      </x:c>
      <x:c r="AG234" s="34" t="str"/>
      <x:c r="AH234" s="34" t="n">
        <x:v>0</x:v>
      </x:c>
      <x:c r="AI234" s="34" t="str">
        <x:v>2.0275124185786808e-05</x:v>
      </x:c>
      <x:c r="AJ234" s="40" t="b">
        <x:v>1</x:v>
      </x:c>
      <x:c r="AK234" s="40" t="b">
        <x:v>1</x:v>
      </x:c>
      <x:c r="AL234" s="40" t="b">
        <x:v>1</x:v>
      </x:c>
      <x:c r="AM234" s="40" t="b">
        <x:v>1</x:v>
      </x:c>
      <x:c r="AN234" s="34" t="str"/>
      <x:c r="AO234" s="34" t="n">
        <x:v>0</x:v>
      </x:c>
      <x:c r="AP234" s="34" t="n">
        <x:v>0</x:v>
      </x:c>
      <x:c r="AQ234" s="34" t="n">
        <x:v>0</x:v>
      </x:c>
      <x:c r="AR234" s="34" t="n">
        <x:v>2</x:v>
      </x:c>
      <x:c r="AS234" s="34" t="n">
        <x:v>3</x:v>
      </x:c>
      <x:c r="AT234" s="34" t="n">
        <x:v>0.3934020479999999</x:v>
      </x:c>
      <x:c r="AU234" s="34" t="n">
        <x:v>0.65</x:v>
      </x:c>
      <x:c r="AV234" s="34" t="n">
        <x:v>1.54</x:v>
      </x:c>
    </x:row>
    <x:row r="235">
      <x:c r="A235" s="34" t="str">
        <x:v>POSCO_KR</x:v>
      </x:c>
      <x:c r="B235" s="34" t="str">
        <x:v>POSCO</x:v>
      </x:c>
      <x:c r="C235" s="34" t="str">
        <x:v>ACCELERATED_15C</x:v>
      </x:c>
      <x:c r="D235" s="34" t="str">
        <x:v>P2</x:v>
      </x:c>
      <x:c r="E235" s="34" t="n">
        <x:v>2034</x:v>
      </x:c>
      <x:c r="F235" s="34" t="n">
        <x:v>3</x:v>
      </x:c>
      <x:c r="G235" s="34" t="n">
        <x:v>13.980599</x:v>
      </x:c>
      <x:c r="H235" s="34" t="n">
        <x:v>21.4</x:v>
      </x:c>
      <x:c r="I235" s="34" t="n">
        <x:v>7.419401</x:v>
      </x:c>
      <x:c r="J235" s="34" t="n">
        <x:v>65.33</x:v>
      </x:c>
      <x:c r="K235" s="34" t="n">
        <x:v>0</x:v>
      </x:c>
      <x:c r="L235" s="34" t="n">
        <x:v>1.9200000000000002</x:v>
      </x:c>
      <x:c r="M235" s="34" t="n">
        <x:v>1.92</x:v>
      </x:c>
      <x:c r="N235" s="34" t="n">
        <x:v>0</x:v>
      </x:c>
      <x:c r="O235" s="34" t="n">
        <x:v>8.132039</x:v>
      </x:c>
      <x:c r="P235" s="34" t="n">
        <x:v>18</x:v>
      </x:c>
      <x:c r="Q235" s="34" t="n">
        <x:v>9.867961</x:v>
      </x:c>
      <x:c r="R235" s="34" t="n">
        <x:v>45.178</x:v>
      </x:c>
      <x:c r="S235" s="40" t="b">
        <x:v>1</x:v>
      </x:c>
      <x:c r="T235" s="34" t="str">
        <x:v>model_interpolation</x:v>
      </x:c>
      <x:c r="U235" s="34" t="str">
        <x:v>Linear interpolation from 2030 to 2035</x:v>
      </x:c>
      <x:c r="V235" s="34" t="str">
        <x:v>CAND-466C04961ED513</x:v>
      </x:c>
      <x:c r="W235" s="34" t="str">
        <x:v>P2</x:v>
      </x:c>
      <x:c r="X235" s="34" t="str">
        <x:v>PORT-7ED23B40E316</x:v>
      </x:c>
      <x:c r="Y235" s="34" t="n">
        <x:v>1000</x:v>
      </x:c>
      <x:c r="Z235" s="34" t="n">
        <x:v>19.099809</x:v>
      </x:c>
      <x:c r="AA235" s="34" t="n">
        <x:v>11.886727</x:v>
      </x:c>
      <x:c r="AB235" s="34" t="n">
        <x:v>414.904229</x:v>
      </x:c>
      <x:c r="AC235" s="34" t="n">
        <x:v>7402.041</x:v>
      </x:c>
      <x:c r="AD235" s="34" t="n">
        <x:v>17.84036</x:v>
      </x:c>
      <x:c r="AE235" s="40" t="b">
        <x:v>1</x:v>
      </x:c>
      <x:c r="AF235" s="40" t="b">
        <x:v>1</x:v>
      </x:c>
      <x:c r="AG235" s="34" t="str"/>
      <x:c r="AH235" s="34" t="n">
        <x:v>0</x:v>
      </x:c>
      <x:c r="AI235" s="34" t="str">
        <x:v>2.0275124185786808e-05</x:v>
      </x:c>
      <x:c r="AJ235" s="40" t="b">
        <x:v>1</x:v>
      </x:c>
      <x:c r="AK235" s="40" t="b">
        <x:v>1</x:v>
      </x:c>
      <x:c r="AL235" s="40" t="b">
        <x:v>1</x:v>
      </x:c>
      <x:c r="AM235" s="40" t="b">
        <x:v>1</x:v>
      </x:c>
      <x:c r="AN235" s="34" t="str"/>
      <x:c r="AO235" s="34" t="n">
        <x:v>0</x:v>
      </x:c>
      <x:c r="AP235" s="34" t="n">
        <x:v>0</x:v>
      </x:c>
      <x:c r="AQ235" s="34" t="n">
        <x:v>0</x:v>
      </x:c>
      <x:c r="AR235" s="34" t="n">
        <x:v>2</x:v>
      </x:c>
      <x:c r="AS235" s="34" t="n">
        <x:v>3</x:v>
      </x:c>
      <x:c r="AT235" s="34" t="n">
        <x:v>0.3934020479999999</x:v>
      </x:c>
      <x:c r="AU235" s="34" t="n">
        <x:v>0.65</x:v>
      </x:c>
      <x:c r="AV235" s="34" t="n">
        <x:v>1.54</x:v>
      </x:c>
    </x:row>
    <x:row r="236">
      <x:c r="A236" s="34" t="str">
        <x:v>POSCO_KR</x:v>
      </x:c>
      <x:c r="B236" s="34" t="str">
        <x:v>POSCO</x:v>
      </x:c>
      <x:c r="C236" s="34" t="str">
        <x:v>ACCELERATED_15C</x:v>
      </x:c>
      <x:c r="D236" s="34" t="str">
        <x:v>P2</x:v>
      </x:c>
      <x:c r="E236" s="34" t="n">
        <x:v>2035</x:v>
      </x:c>
      <x:c r="F236" s="34" t="n">
        <x:v>4</x:v>
      </x:c>
      <x:c r="G236" s="34" t="n">
        <x:v>22.530598</x:v>
      </x:c>
      <x:c r="H236" s="34" t="n">
        <x:v>23</x:v>
      </x:c>
      <x:c r="I236" s="34" t="n">
        <x:v>0.469402</x:v>
      </x:c>
      <x:c r="J236" s="34" t="n">
        <x:v>97.959</x:v>
      </x:c>
      <x:c r="K236" s="34" t="n">
        <x:v>0</x:v>
      </x:c>
      <x:c r="L236" s="34" t="n">
        <x:v>2.2</x:v>
      </x:c>
      <x:c r="M236" s="34" t="n">
        <x:v>2.2</x:v>
      </x:c>
      <x:c r="N236" s="34" t="n">
        <x:v>0</x:v>
      </x:c>
      <x:c r="O236" s="34" t="n">
        <x:v>13.547039</x:v>
      </x:c>
      <x:c r="P236" s="34" t="n">
        <x:v>20</x:v>
      </x:c>
      <x:c r="Q236" s="34" t="n">
        <x:v>6.452961</x:v>
      </x:c>
      <x:c r="R236" s="34" t="n">
        <x:v>67.735</x:v>
      </x:c>
      <x:c r="S236" s="40" t="b">
        <x:v>1</x:v>
      </x:c>
      <x:c r="T236" s="34" t="str">
        <x:v>model_interpolation</x:v>
      </x:c>
      <x:c r="U236" s="34" t="str">
        <x:v>Linear interpolation from 2035 to 2040</x:v>
      </x:c>
      <x:c r="V236" s="34" t="str">
        <x:v>CAND-466C04961ED513</x:v>
      </x:c>
      <x:c r="W236" s="34" t="str">
        <x:v>P2</x:v>
      </x:c>
      <x:c r="X236" s="34" t="str">
        <x:v>PORT-7ED23B40E316</x:v>
      </x:c>
      <x:c r="Y236" s="34" t="n">
        <x:v>1000</x:v>
      </x:c>
      <x:c r="Z236" s="34" t="n">
        <x:v>19.099809</x:v>
      </x:c>
      <x:c r="AA236" s="34" t="n">
        <x:v>11.886727</x:v>
      </x:c>
      <x:c r="AB236" s="34" t="n">
        <x:v>414.904229</x:v>
      </x:c>
      <x:c r="AC236" s="34" t="n">
        <x:v>7402.041</x:v>
      </x:c>
      <x:c r="AD236" s="34" t="n">
        <x:v>17.84036</x:v>
      </x:c>
      <x:c r="AE236" s="40" t="b">
        <x:v>1</x:v>
      </x:c>
      <x:c r="AF236" s="40" t="b">
        <x:v>1</x:v>
      </x:c>
      <x:c r="AG236" s="34" t="str"/>
      <x:c r="AH236" s="34" t="n">
        <x:v>0</x:v>
      </x:c>
      <x:c r="AI236" s="34" t="str">
        <x:v>2.0275124185786808e-05</x:v>
      </x:c>
      <x:c r="AJ236" s="40" t="b">
        <x:v>1</x:v>
      </x:c>
      <x:c r="AK236" s="40" t="b">
        <x:v>1</x:v>
      </x:c>
      <x:c r="AL236" s="40" t="b">
        <x:v>1</x:v>
      </x:c>
      <x:c r="AM236" s="40" t="b">
        <x:v>1</x:v>
      </x:c>
      <x:c r="AN236" s="34" t="str"/>
      <x:c r="AO236" s="34" t="n">
        <x:v>0</x:v>
      </x:c>
      <x:c r="AP236" s="34" t="n">
        <x:v>0</x:v>
      </x:c>
      <x:c r="AQ236" s="34" t="n">
        <x:v>0</x:v>
      </x:c>
      <x:c r="AR236" s="34" t="n">
        <x:v>2</x:v>
      </x:c>
      <x:c r="AS236" s="34" t="n">
        <x:v>3</x:v>
      </x:c>
      <x:c r="AT236" s="34" t="n">
        <x:v>0.3934020479999999</x:v>
      </x:c>
      <x:c r="AU236" s="34" t="n">
        <x:v>0.65</x:v>
      </x:c>
      <x:c r="AV236" s="34" t="n">
        <x:v>1.54</x:v>
      </x:c>
    </x:row>
    <x:row r="237">
      <x:c r="A237" s="34" t="str">
        <x:v>POSCO_KR</x:v>
      </x:c>
      <x:c r="B237" s="34" t="str">
        <x:v>POSCO</x:v>
      </x:c>
      <x:c r="C237" s="34" t="str">
        <x:v>ACCELERATED_15C</x:v>
      </x:c>
      <x:c r="D237" s="34" t="str">
        <x:v>P2</x:v>
      </x:c>
      <x:c r="E237" s="34" t="n">
        <x:v>2036</x:v>
      </x:c>
      <x:c r="F237" s="34" t="n">
        <x:v>4</x:v>
      </x:c>
      <x:c r="G237" s="34" t="n">
        <x:v>22.530598</x:v>
      </x:c>
      <x:c r="H237" s="34" t="n">
        <x:v>24.4</x:v>
      </x:c>
      <x:c r="I237" s="34" t="n">
        <x:v>1.869402</x:v>
      </x:c>
      <x:c r="J237" s="34" t="n">
        <x:v>92.339</x:v>
      </x:c>
      <x:c r="K237" s="34" t="n">
        <x:v>0</x:v>
      </x:c>
      <x:c r="L237" s="34" t="n">
        <x:v>2.56</x:v>
      </x:c>
      <x:c r="M237" s="34" t="n">
        <x:v>2.56</x:v>
      </x:c>
      <x:c r="N237" s="34" t="n">
        <x:v>0</x:v>
      </x:c>
      <x:c r="O237" s="34" t="n">
        <x:v>13.547039</x:v>
      </x:c>
      <x:c r="P237" s="34" t="n">
        <x:v>22.4</x:v>
      </x:c>
      <x:c r="Q237" s="34" t="n">
        <x:v>8.852961</x:v>
      </x:c>
      <x:c r="R237" s="34" t="n">
        <x:v>60.478</x:v>
      </x:c>
      <x:c r="S237" s="40" t="b">
        <x:v>1</x:v>
      </x:c>
      <x:c r="T237" s="34" t="str">
        <x:v>model_interpolation</x:v>
      </x:c>
      <x:c r="U237" s="34" t="str">
        <x:v>Linear interpolation from 2035 to 2040</x:v>
      </x:c>
      <x:c r="V237" s="34" t="str">
        <x:v>CAND-466C04961ED513</x:v>
      </x:c>
      <x:c r="W237" s="34" t="str">
        <x:v>P2</x:v>
      </x:c>
      <x:c r="X237" s="34" t="str">
        <x:v>PORT-7ED23B40E316</x:v>
      </x:c>
      <x:c r="Y237" s="34" t="n">
        <x:v>1000</x:v>
      </x:c>
      <x:c r="Z237" s="34" t="n">
        <x:v>19.099809</x:v>
      </x:c>
      <x:c r="AA237" s="34" t="n">
        <x:v>11.886727</x:v>
      </x:c>
      <x:c r="AB237" s="34" t="n">
        <x:v>414.904229</x:v>
      </x:c>
      <x:c r="AC237" s="34" t="n">
        <x:v>7402.041</x:v>
      </x:c>
      <x:c r="AD237" s="34" t="n">
        <x:v>17.84036</x:v>
      </x:c>
      <x:c r="AE237" s="40" t="b">
        <x:v>1</x:v>
      </x:c>
      <x:c r="AF237" s="40" t="b">
        <x:v>1</x:v>
      </x:c>
      <x:c r="AG237" s="34" t="str"/>
      <x:c r="AH237" s="34" t="n">
        <x:v>0</x:v>
      </x:c>
      <x:c r="AI237" s="34" t="str">
        <x:v>2.0275124185786808e-05</x:v>
      </x:c>
      <x:c r="AJ237" s="40" t="b">
        <x:v>1</x:v>
      </x:c>
      <x:c r="AK237" s="40" t="b">
        <x:v>1</x:v>
      </x:c>
      <x:c r="AL237" s="40" t="b">
        <x:v>1</x:v>
      </x:c>
      <x:c r="AM237" s="40" t="b">
        <x:v>1</x:v>
      </x:c>
      <x:c r="AN237" s="34" t="str"/>
      <x:c r="AO237" s="34" t="n">
        <x:v>0</x:v>
      </x:c>
      <x:c r="AP237" s="34" t="n">
        <x:v>0</x:v>
      </x:c>
      <x:c r="AQ237" s="34" t="n">
        <x:v>0</x:v>
      </x:c>
      <x:c r="AR237" s="34" t="n">
        <x:v>2</x:v>
      </x:c>
      <x:c r="AS237" s="34" t="n">
        <x:v>3</x:v>
      </x:c>
      <x:c r="AT237" s="34" t="n">
        <x:v>0.3934020479999999</x:v>
      </x:c>
      <x:c r="AU237" s="34" t="n">
        <x:v>0.65</x:v>
      </x:c>
      <x:c r="AV237" s="34" t="n">
        <x:v>1.54</x:v>
      </x:c>
    </x:row>
    <x:row r="238">
      <x:c r="A238" s="34" t="str">
        <x:v>POSCO_KR</x:v>
      </x:c>
      <x:c r="B238" s="34" t="str">
        <x:v>POSCO</x:v>
      </x:c>
      <x:c r="C238" s="34" t="str">
        <x:v>ACCELERATED_15C</x:v>
      </x:c>
      <x:c r="D238" s="34" t="str">
        <x:v>P2</x:v>
      </x:c>
      <x:c r="E238" s="34" t="n">
        <x:v>2037</x:v>
      </x:c>
      <x:c r="F238" s="34" t="n">
        <x:v>5</x:v>
      </x:c>
      <x:c r="G238" s="34" t="n">
        <x:v>23.956047</x:v>
      </x:c>
      <x:c r="H238" s="34" t="n">
        <x:v>25.8</x:v>
      </x:c>
      <x:c r="I238" s="34" t="n">
        <x:v>1.843953</x:v>
      </x:c>
      <x:c r="J238" s="34" t="n">
        <x:v>92.853</x:v>
      </x:c>
      <x:c r="K238" s="34" t="n">
        <x:v>0.522665</x:v>
      </x:c>
      <x:c r="L238" s="34" t="n">
        <x:v>2.92</x:v>
      </x:c>
      <x:c r="M238" s="34" t="n">
        <x:v>2.397335</x:v>
      </x:c>
      <x:c r="N238" s="34" t="n">
        <x:v>17.899</x:v>
      </x:c>
      <x:c r="O238" s="34" t="n">
        <x:v>18.013447</x:v>
      </x:c>
      <x:c r="P238" s="34" t="n">
        <x:v>24.8</x:v>
      </x:c>
      <x:c r="Q238" s="34" t="n">
        <x:v>6.786553</x:v>
      </x:c>
      <x:c r="R238" s="34" t="n">
        <x:v>72.635</x:v>
      </x:c>
      <x:c r="S238" s="40" t="b">
        <x:v>1</x:v>
      </x:c>
      <x:c r="T238" s="34" t="str">
        <x:v>model_interpolation</x:v>
      </x:c>
      <x:c r="U238" s="34" t="str">
        <x:v>Linear interpolation from 2035 to 2040</x:v>
      </x:c>
      <x:c r="V238" s="34" t="str">
        <x:v>CAND-466C04961ED513</x:v>
      </x:c>
      <x:c r="W238" s="34" t="str">
        <x:v>P2</x:v>
      </x:c>
      <x:c r="X238" s="34" t="str">
        <x:v>PORT-7ED23B40E316</x:v>
      </x:c>
      <x:c r="Y238" s="34" t="n">
        <x:v>1000</x:v>
      </x:c>
      <x:c r="Z238" s="34" t="n">
        <x:v>19.099809</x:v>
      </x:c>
      <x:c r="AA238" s="34" t="n">
        <x:v>11.886727</x:v>
      </x:c>
      <x:c r="AB238" s="34" t="n">
        <x:v>414.904229</x:v>
      </x:c>
      <x:c r="AC238" s="34" t="n">
        <x:v>7402.041</x:v>
      </x:c>
      <x:c r="AD238" s="34" t="n">
        <x:v>17.84036</x:v>
      </x:c>
      <x:c r="AE238" s="40" t="b">
        <x:v>1</x:v>
      </x:c>
      <x:c r="AF238" s="40" t="b">
        <x:v>1</x:v>
      </x:c>
      <x:c r="AG238" s="34" t="str"/>
      <x:c r="AH238" s="34" t="n">
        <x:v>0</x:v>
      </x:c>
      <x:c r="AI238" s="34" t="str">
        <x:v>2.0275124185786808e-05</x:v>
      </x:c>
      <x:c r="AJ238" s="40" t="b">
        <x:v>1</x:v>
      </x:c>
      <x:c r="AK238" s="40" t="b">
        <x:v>1</x:v>
      </x:c>
      <x:c r="AL238" s="40" t="b">
        <x:v>1</x:v>
      </x:c>
      <x:c r="AM238" s="40" t="b">
        <x:v>1</x:v>
      </x:c>
      <x:c r="AN238" s="34" t="str"/>
      <x:c r="AO238" s="34" t="n">
        <x:v>0</x:v>
      </x:c>
      <x:c r="AP238" s="34" t="n">
        <x:v>0</x:v>
      </x:c>
      <x:c r="AQ238" s="34" t="n">
        <x:v>0</x:v>
      </x:c>
      <x:c r="AR238" s="34" t="n">
        <x:v>2</x:v>
      </x:c>
      <x:c r="AS238" s="34" t="n">
        <x:v>3</x:v>
      </x:c>
      <x:c r="AT238" s="34" t="n">
        <x:v>0.3934020479999999</x:v>
      </x:c>
      <x:c r="AU238" s="34" t="n">
        <x:v>0.65</x:v>
      </x:c>
      <x:c r="AV238" s="34" t="n">
        <x:v>1.54</x:v>
      </x:c>
    </x:row>
    <x:row r="239">
      <x:c r="A239" s="34" t="str">
        <x:v>POSCO_KR</x:v>
      </x:c>
      <x:c r="B239" s="34" t="str">
        <x:v>POSCO</x:v>
      </x:c>
      <x:c r="C239" s="34" t="str">
        <x:v>ACCELERATED_15C</x:v>
      </x:c>
      <x:c r="D239" s="34" t="str">
        <x:v>P2</x:v>
      </x:c>
      <x:c r="E239" s="34" t="n">
        <x:v>2038</x:v>
      </x:c>
      <x:c r="F239" s="34" t="n">
        <x:v>5</x:v>
      </x:c>
      <x:c r="G239" s="34" t="n">
        <x:v>23.956047</x:v>
      </x:c>
      <x:c r="H239" s="34" t="n">
        <x:v>27.2</x:v>
      </x:c>
      <x:c r="I239" s="34" t="n">
        <x:v>3.243953</x:v>
      </x:c>
      <x:c r="J239" s="34" t="n">
        <x:v>88.074</x:v>
      </x:c>
      <x:c r="K239" s="34" t="n">
        <x:v>0.522665</x:v>
      </x:c>
      <x:c r="L239" s="34" t="n">
        <x:v>3.2800000000000002</x:v>
      </x:c>
      <x:c r="M239" s="34" t="n">
        <x:v>2.757335</x:v>
      </x:c>
      <x:c r="N239" s="34" t="n">
        <x:v>15.935</x:v>
      </x:c>
      <x:c r="O239" s="34" t="n">
        <x:v>18.013447</x:v>
      </x:c>
      <x:c r="P239" s="34" t="n">
        <x:v>27.2</x:v>
      </x:c>
      <x:c r="Q239" s="34" t="n">
        <x:v>9.186553</x:v>
      </x:c>
      <x:c r="R239" s="34" t="n">
        <x:v>66.226</x:v>
      </x:c>
      <x:c r="S239" s="40" t="b">
        <x:v>1</x:v>
      </x:c>
      <x:c r="T239" s="34" t="str">
        <x:v>model_interpolation</x:v>
      </x:c>
      <x:c r="U239" s="34" t="str">
        <x:v>Linear interpolation from 2035 to 2040</x:v>
      </x:c>
      <x:c r="V239" s="34" t="str">
        <x:v>CAND-466C04961ED513</x:v>
      </x:c>
      <x:c r="W239" s="34" t="str">
        <x:v>P2</x:v>
      </x:c>
      <x:c r="X239" s="34" t="str">
        <x:v>PORT-7ED23B40E316</x:v>
      </x:c>
      <x:c r="Y239" s="34" t="n">
        <x:v>1000</x:v>
      </x:c>
      <x:c r="Z239" s="34" t="n">
        <x:v>19.099809</x:v>
      </x:c>
      <x:c r="AA239" s="34" t="n">
        <x:v>11.886727</x:v>
      </x:c>
      <x:c r="AB239" s="34" t="n">
        <x:v>414.904229</x:v>
      </x:c>
      <x:c r="AC239" s="34" t="n">
        <x:v>7402.041</x:v>
      </x:c>
      <x:c r="AD239" s="34" t="n">
        <x:v>17.84036</x:v>
      </x:c>
      <x:c r="AE239" s="40" t="b">
        <x:v>1</x:v>
      </x:c>
      <x:c r="AF239" s="40" t="b">
        <x:v>1</x:v>
      </x:c>
      <x:c r="AG239" s="34" t="str"/>
      <x:c r="AH239" s="34" t="n">
        <x:v>0</x:v>
      </x:c>
      <x:c r="AI239" s="34" t="str">
        <x:v>2.0275124185786808e-05</x:v>
      </x:c>
      <x:c r="AJ239" s="40" t="b">
        <x:v>1</x:v>
      </x:c>
      <x:c r="AK239" s="40" t="b">
        <x:v>1</x:v>
      </x:c>
      <x:c r="AL239" s="40" t="b">
        <x:v>1</x:v>
      </x:c>
      <x:c r="AM239" s="40" t="b">
        <x:v>1</x:v>
      </x:c>
      <x:c r="AN239" s="34" t="str"/>
      <x:c r="AO239" s="34" t="n">
        <x:v>0</x:v>
      </x:c>
      <x:c r="AP239" s="34" t="n">
        <x:v>0</x:v>
      </x:c>
      <x:c r="AQ239" s="34" t="n">
        <x:v>0</x:v>
      </x:c>
      <x:c r="AR239" s="34" t="n">
        <x:v>2</x:v>
      </x:c>
      <x:c r="AS239" s="34" t="n">
        <x:v>3</x:v>
      </x:c>
      <x:c r="AT239" s="34" t="n">
        <x:v>0.3934020479999999</x:v>
      </x:c>
      <x:c r="AU239" s="34" t="n">
        <x:v>0.65</x:v>
      </x:c>
      <x:c r="AV239" s="34" t="n">
        <x:v>1.54</x:v>
      </x:c>
    </x:row>
    <x:row r="240">
      <x:c r="A240" s="34" t="str">
        <x:v>POSCO_KR</x:v>
      </x:c>
      <x:c r="B240" s="34" t="str">
        <x:v>POSCO</x:v>
      </x:c>
      <x:c r="C240" s="34" t="str">
        <x:v>ACCELERATED_15C</x:v>
      </x:c>
      <x:c r="D240" s="34" t="str">
        <x:v>P2</x:v>
      </x:c>
      <x:c r="E240" s="34" t="n">
        <x:v>2039</x:v>
      </x:c>
      <x:c r="F240" s="34" t="n">
        <x:v>5</x:v>
      </x:c>
      <x:c r="G240" s="34" t="n">
        <x:v>23.956047</x:v>
      </x:c>
      <x:c r="H240" s="34" t="n">
        <x:v>28.6</x:v>
      </x:c>
      <x:c r="I240" s="34" t="n">
        <x:v>4.643953</x:v>
      </x:c>
      <x:c r="J240" s="34" t="n">
        <x:v>83.762</x:v>
      </x:c>
      <x:c r="K240" s="34" t="n">
        <x:v>0.522665</x:v>
      </x:c>
      <x:c r="L240" s="34" t="n">
        <x:v>3.64</x:v>
      </x:c>
      <x:c r="M240" s="34" t="n">
        <x:v>3.117335</x:v>
      </x:c>
      <x:c r="N240" s="34" t="n">
        <x:v>14.359</x:v>
      </x:c>
      <x:c r="O240" s="34" t="n">
        <x:v>18.013447</x:v>
      </x:c>
      <x:c r="P240" s="34" t="n">
        <x:v>29.6</x:v>
      </x:c>
      <x:c r="Q240" s="34" t="n">
        <x:v>11.586553</x:v>
      </x:c>
      <x:c r="R240" s="34" t="n">
        <x:v>60.856</x:v>
      </x:c>
      <x:c r="S240" s="40" t="b">
        <x:v>1</x:v>
      </x:c>
      <x:c r="T240" s="34" t="str">
        <x:v>model_interpolation</x:v>
      </x:c>
      <x:c r="U240" s="34" t="str">
        <x:v>Linear interpolation from 2035 to 2040</x:v>
      </x:c>
      <x:c r="V240" s="34" t="str">
        <x:v>CAND-466C04961ED513</x:v>
      </x:c>
      <x:c r="W240" s="34" t="str">
        <x:v>P2</x:v>
      </x:c>
      <x:c r="X240" s="34" t="str">
        <x:v>PORT-7ED23B40E316</x:v>
      </x:c>
      <x:c r="Y240" s="34" t="n">
        <x:v>1000</x:v>
      </x:c>
      <x:c r="Z240" s="34" t="n">
        <x:v>19.099809</x:v>
      </x:c>
      <x:c r="AA240" s="34" t="n">
        <x:v>11.886727</x:v>
      </x:c>
      <x:c r="AB240" s="34" t="n">
        <x:v>414.904229</x:v>
      </x:c>
      <x:c r="AC240" s="34" t="n">
        <x:v>7402.041</x:v>
      </x:c>
      <x:c r="AD240" s="34" t="n">
        <x:v>17.84036</x:v>
      </x:c>
      <x:c r="AE240" s="40" t="b">
        <x:v>1</x:v>
      </x:c>
      <x:c r="AF240" s="40" t="b">
        <x:v>1</x:v>
      </x:c>
      <x:c r="AG240" s="34" t="str"/>
      <x:c r="AH240" s="34" t="n">
        <x:v>0</x:v>
      </x:c>
      <x:c r="AI240" s="34" t="str">
        <x:v>2.0275124185786808e-05</x:v>
      </x:c>
      <x:c r="AJ240" s="40" t="b">
        <x:v>1</x:v>
      </x:c>
      <x:c r="AK240" s="40" t="b">
        <x:v>1</x:v>
      </x:c>
      <x:c r="AL240" s="40" t="b">
        <x:v>1</x:v>
      </x:c>
      <x:c r="AM240" s="40" t="b">
        <x:v>1</x:v>
      </x:c>
      <x:c r="AN240" s="34" t="str"/>
      <x:c r="AO240" s="34" t="n">
        <x:v>0</x:v>
      </x:c>
      <x:c r="AP240" s="34" t="n">
        <x:v>0</x:v>
      </x:c>
      <x:c r="AQ240" s="34" t="n">
        <x:v>0</x:v>
      </x:c>
      <x:c r="AR240" s="34" t="n">
        <x:v>2</x:v>
      </x:c>
      <x:c r="AS240" s="34" t="n">
        <x:v>3</x:v>
      </x:c>
      <x:c r="AT240" s="34" t="n">
        <x:v>0.3934020479999999</x:v>
      </x:c>
      <x:c r="AU240" s="34" t="n">
        <x:v>0.65</x:v>
      </x:c>
      <x:c r="AV240" s="34" t="n">
        <x:v>1.54</x:v>
      </x:c>
    </x:row>
    <x:row r="241">
      <x:c r="A241" s="34" t="str">
        <x:v>POSCO_KR</x:v>
      </x:c>
      <x:c r="B241" s="34" t="str">
        <x:v>POSCO</x:v>
      </x:c>
      <x:c r="C241" s="34" t="str">
        <x:v>ACCELERATED_15C</x:v>
      </x:c>
      <x:c r="D241" s="34" t="str">
        <x:v>P2</x:v>
      </x:c>
      <x:c r="E241" s="34" t="n">
        <x:v>2040</x:v>
      </x:c>
      <x:c r="F241" s="34" t="n">
        <x:v>5</x:v>
      </x:c>
      <x:c r="G241" s="34" t="n">
        <x:v>23.956047</x:v>
      </x:c>
      <x:c r="H241" s="34" t="n">
        <x:v>30</x:v>
      </x:c>
      <x:c r="I241" s="34" t="n">
        <x:v>6.043953</x:v>
      </x:c>
      <x:c r="J241" s="34" t="n">
        <x:v>79.853</x:v>
      </x:c>
      <x:c r="K241" s="34" t="n">
        <x:v>0.522665</x:v>
      </x:c>
      <x:c r="L241" s="34" t="n">
        <x:v>4</x:v>
      </x:c>
      <x:c r="M241" s="34" t="n">
        <x:v>3.477335</x:v>
      </x:c>
      <x:c r="N241" s="34" t="n">
        <x:v>13.067</x:v>
      </x:c>
      <x:c r="O241" s="34" t="n">
        <x:v>18.013447</x:v>
      </x:c>
      <x:c r="P241" s="34" t="n">
        <x:v>32</x:v>
      </x:c>
      <x:c r="Q241" s="34" t="n">
        <x:v>13.986553</x:v>
      </x:c>
      <x:c r="R241" s="34" t="n">
        <x:v>56.292</x:v>
      </x:c>
      <x:c r="S241" s="40" t="b">
        <x:v>1</x:v>
      </x:c>
      <x:c r="T241" s="34" t="str">
        <x:v>model_estimate</x:v>
      </x:c>
      <x:c r="U241" s="34" t="str">
        <x:v>Illustrative accelerated envelope; not GCAM or an official supply forecast</x:v>
      </x:c>
      <x:c r="V241" s="34" t="str">
        <x:v>CAND-466C04961ED513</x:v>
      </x:c>
      <x:c r="W241" s="34" t="str">
        <x:v>P2</x:v>
      </x:c>
      <x:c r="X241" s="34" t="str">
        <x:v>PORT-7ED23B40E316</x:v>
      </x:c>
      <x:c r="Y241" s="34" t="n">
        <x:v>1000</x:v>
      </x:c>
      <x:c r="Z241" s="34" t="n">
        <x:v>19.099809</x:v>
      </x:c>
      <x:c r="AA241" s="34" t="n">
        <x:v>11.886727</x:v>
      </x:c>
      <x:c r="AB241" s="34" t="n">
        <x:v>414.904229</x:v>
      </x:c>
      <x:c r="AC241" s="34" t="n">
        <x:v>7402.041</x:v>
      </x:c>
      <x:c r="AD241" s="34" t="n">
        <x:v>17.84036</x:v>
      </x:c>
      <x:c r="AE241" s="40" t="b">
        <x:v>1</x:v>
      </x:c>
      <x:c r="AF241" s="40" t="b">
        <x:v>1</x:v>
      </x:c>
      <x:c r="AG241" s="34" t="str"/>
      <x:c r="AH241" s="34" t="n">
        <x:v>0</x:v>
      </x:c>
      <x:c r="AI241" s="34" t="str">
        <x:v>2.0275124185786808e-05</x:v>
      </x:c>
      <x:c r="AJ241" s="40" t="b">
        <x:v>1</x:v>
      </x:c>
      <x:c r="AK241" s="40" t="b">
        <x:v>1</x:v>
      </x:c>
      <x:c r="AL241" s="40" t="b">
        <x:v>1</x:v>
      </x:c>
      <x:c r="AM241" s="40" t="b">
        <x:v>1</x:v>
      </x:c>
      <x:c r="AN241" s="34" t="str"/>
      <x:c r="AO241" s="34" t="n">
        <x:v>0</x:v>
      </x:c>
      <x:c r="AP241" s="34" t="n">
        <x:v>0</x:v>
      </x:c>
      <x:c r="AQ241" s="34" t="n">
        <x:v>0</x:v>
      </x:c>
      <x:c r="AR241" s="34" t="n">
        <x:v>2</x:v>
      </x:c>
      <x:c r="AS241" s="34" t="n">
        <x:v>3</x:v>
      </x:c>
      <x:c r="AT241" s="34" t="n">
        <x:v>0.3934020479999999</x:v>
      </x:c>
      <x:c r="AU241" s="34" t="n">
        <x:v>0.65</x:v>
      </x:c>
      <x:c r="AV241" s="34" t="n">
        <x:v>1.54</x:v>
      </x:c>
    </x:row>
    <x:row r="242">
      <x:c r="A242" s="34" t="str">
        <x:v>KOBE_STEEL_JP</x:v>
      </x:c>
      <x:c r="B242" s="34" t="str">
        <x:v>Kobe Steel</x:v>
      </x:c>
      <x:c r="C242" s="34" t="str">
        <x:v>DISCLOSED_PATH</x:v>
      </x:c>
      <x:c r="D242" s="34" t="str">
        <x:v>P3</x:v>
      </x:c>
      <x:c r="E242" s="34" t="n">
        <x:v>2026</x:v>
      </x:c>
      <x:c r="F242" s="34" t="n">
        <x:v>0</x:v>
      </x:c>
      <x:c r="G242" s="34" t="n">
        <x:v>0</x:v>
      </x:c>
      <x:c r="H242" s="34" t="n">
        <x:v>2</x:v>
      </x:c>
      <x:c r="I242" s="34" t="n">
        <x:v>2</x:v>
      </x:c>
      <x:c r="J242" s="34" t="n">
        <x:v>0</x:v>
      </x:c>
      <x:c r="K242" s="34" t="n">
        <x:v>0</x:v>
      </x:c>
      <x:c r="L242" s="34" t="n">
        <x:v>0</x:v>
      </x:c>
      <x:c r="M242" s="34" t="n">
        <x:v>0</x:v>
      </x:c>
      <x:c r="N242" s="34" t="n">
        <x:v>0</x:v>
      </x:c>
      <x:c r="O242" s="34" t="n">
        <x:v>0</x:v>
      </x:c>
      <x:c r="P242" s="34" t="n">
        <x:v>0.8</x:v>
      </x:c>
      <x:c r="Q242" s="34" t="n">
        <x:v>0.8</x:v>
      </x:c>
      <x:c r="R242" s="34" t="n">
        <x:v>0</x:v>
      </x:c>
      <x:c r="S242" s="40" t="b">
        <x:v>1</x:v>
      </x:c>
      <x:c r="T242" s="34" t="str">
        <x:v>model_interpolation</x:v>
      </x:c>
      <x:c r="U242" s="34" t="str">
        <x:v>Linear interpolation from 2026 to 2030</x:v>
      </x:c>
      <x:c r="V242" s="34" t="str">
        <x:v>CAND-4D158AE8BC3521</x:v>
      </x:c>
      <x:c r="W242" s="34" t="str">
        <x:v>P3</x:v>
      </x:c>
      <x:c r="X242" s="34" t="str">
        <x:v>PORT-1144EBE63B41</x:v>
      </x:c>
      <x:c r="Y242" s="34" t="n">
        <x:v>1000</x:v>
      </x:c>
      <x:c r="Z242" s="34" t="n">
        <x:v>145.802222</x:v>
      </x:c>
      <x:c r="AA242" s="34" t="n">
        <x:v>26.900501</x:v>
      </x:c>
      <x:c r="AB242" s="34" t="n">
        <x:v>102.391093</x:v>
      </x:c>
      <x:c r="AC242" s="34" t="n">
        <x:v>14716.433</x:v>
      </x:c>
      <x:c r="AD242" s="34" t="n">
        <x:v>143.727666</x:v>
      </x:c>
      <x:c r="AE242" s="40" t="b">
        <x:v>1</x:v>
      </x:c>
      <x:c r="AF242" s="40" t="b">
        <x:v>1</x:v>
      </x:c>
      <x:c r="AG242" s="34" t="str"/>
      <x:c r="AH242" s="34" t="n">
        <x:v>0</x:v>
      </x:c>
      <x:c r="AI242" s="34" t="str">
        <x:v>9.990856690045291e-05</x:v>
      </x:c>
      <x:c r="AJ242" s="40" t="b">
        <x:v>1</x:v>
      </x:c>
      <x:c r="AK242" s="40" t="b">
        <x:v>1</x:v>
      </x:c>
      <x:c r="AL242" s="40" t="b">
        <x:v>1</x:v>
      </x:c>
      <x:c r="AM242" s="40" t="b">
        <x:v>1</x:v>
      </x:c>
      <x:c r="AN242" s="34" t="str"/>
      <x:c r="AO242" s="34" t="n">
        <x:v>0</x:v>
      </x:c>
      <x:c r="AP242" s="34" t="n">
        <x:v>0</x:v>
      </x:c>
      <x:c r="AQ242" s="34" t="n">
        <x:v>0</x:v>
      </x:c>
      <x:c r="AR242" s="34" t="n">
        <x:v>1</x:v>
      </x:c>
      <x:c r="AS242" s="34" t="n">
        <x:v>1</x:v>
      </x:c>
      <x:c r="AT242" s="34" t="n">
        <x:v>0.28332</x:v>
      </x:c>
      <x:c r="AU242" s="34" t="n">
        <x:v>0.6</x:v>
      </x:c>
      <x:c r="AV242" s="34" t="n">
        <x:v>1.06</x:v>
      </x:c>
    </x:row>
    <x:row r="243">
      <x:c r="A243" s="34" t="str">
        <x:v>KOBE_STEEL_JP</x:v>
      </x:c>
      <x:c r="B243" s="34" t="str">
        <x:v>Kobe Steel</x:v>
      </x:c>
      <x:c r="C243" s="34" t="str">
        <x:v>DISCLOSED_PATH</x:v>
      </x:c>
      <x:c r="D243" s="34" t="str">
        <x:v>P3</x:v>
      </x:c>
      <x:c r="E243" s="34" t="n">
        <x:v>2027</x:v>
      </x:c>
      <x:c r="F243" s="34" t="n">
        <x:v>0</x:v>
      </x:c>
      <x:c r="G243" s="34" t="n">
        <x:v>0</x:v>
      </x:c>
      <x:c r="H243" s="34" t="n">
        <x:v>2.5</x:v>
      </x:c>
      <x:c r="I243" s="34" t="n">
        <x:v>2.5</x:v>
      </x:c>
      <x:c r="J243" s="34" t="n">
        <x:v>0</x:v>
      </x:c>
      <x:c r="K243" s="34" t="n">
        <x:v>0</x:v>
      </x:c>
      <x:c r="L243" s="34" t="n">
        <x:v>0.075</x:v>
      </x:c>
      <x:c r="M243" s="34" t="n">
        <x:v>0.075</x:v>
      </x:c>
      <x:c r="N243" s="34" t="n">
        <x:v>0</x:v>
      </x:c>
      <x:c r="O243" s="34" t="n">
        <x:v>0</x:v>
      </x:c>
      <x:c r="P243" s="34" t="n">
        <x:v>1.35</x:v>
      </x:c>
      <x:c r="Q243" s="34" t="n">
        <x:v>1.35</x:v>
      </x:c>
      <x:c r="R243" s="34" t="n">
        <x:v>0</x:v>
      </x:c>
      <x:c r="S243" s="40" t="b">
        <x:v>1</x:v>
      </x:c>
      <x:c r="T243" s="34" t="str">
        <x:v>model_interpolation</x:v>
      </x:c>
      <x:c r="U243" s="34" t="str">
        <x:v>Linear interpolation from 2026 to 2030</x:v>
      </x:c>
      <x:c r="V243" s="34" t="str">
        <x:v>CAND-4D158AE8BC3521</x:v>
      </x:c>
      <x:c r="W243" s="34" t="str">
        <x:v>P3</x:v>
      </x:c>
      <x:c r="X243" s="34" t="str">
        <x:v>PORT-1144EBE63B41</x:v>
      </x:c>
      <x:c r="Y243" s="34" t="n">
        <x:v>1000</x:v>
      </x:c>
      <x:c r="Z243" s="34" t="n">
        <x:v>145.802222</x:v>
      </x:c>
      <x:c r="AA243" s="34" t="n">
        <x:v>26.900501</x:v>
      </x:c>
      <x:c r="AB243" s="34" t="n">
        <x:v>102.391093</x:v>
      </x:c>
      <x:c r="AC243" s="34" t="n">
        <x:v>14716.433</x:v>
      </x:c>
      <x:c r="AD243" s="34" t="n">
        <x:v>143.727666</x:v>
      </x:c>
      <x:c r="AE243" s="40" t="b">
        <x:v>1</x:v>
      </x:c>
      <x:c r="AF243" s="40" t="b">
        <x:v>1</x:v>
      </x:c>
      <x:c r="AG243" s="34" t="str"/>
      <x:c r="AH243" s="34" t="n">
        <x:v>0</x:v>
      </x:c>
      <x:c r="AI243" s="34" t="str">
        <x:v>9.990856690045291e-05</x:v>
      </x:c>
      <x:c r="AJ243" s="40" t="b">
        <x:v>1</x:v>
      </x:c>
      <x:c r="AK243" s="40" t="b">
        <x:v>1</x:v>
      </x:c>
      <x:c r="AL243" s="40" t="b">
        <x:v>1</x:v>
      </x:c>
      <x:c r="AM243" s="40" t="b">
        <x:v>1</x:v>
      </x:c>
      <x:c r="AN243" s="34" t="str"/>
      <x:c r="AO243" s="34" t="n">
        <x:v>0</x:v>
      </x:c>
      <x:c r="AP243" s="34" t="n">
        <x:v>0</x:v>
      </x:c>
      <x:c r="AQ243" s="34" t="n">
        <x:v>0</x:v>
      </x:c>
      <x:c r="AR243" s="34" t="n">
        <x:v>1</x:v>
      </x:c>
      <x:c r="AS243" s="34" t="n">
        <x:v>1</x:v>
      </x:c>
      <x:c r="AT243" s="34" t="n">
        <x:v>0.28332</x:v>
      </x:c>
      <x:c r="AU243" s="34" t="n">
        <x:v>0.6</x:v>
      </x:c>
      <x:c r="AV243" s="34" t="n">
        <x:v>1.06</x:v>
      </x:c>
    </x:row>
    <x:row r="244">
      <x:c r="A244" s="34" t="str">
        <x:v>KOBE_STEEL_JP</x:v>
      </x:c>
      <x:c r="B244" s="34" t="str">
        <x:v>Kobe Steel</x:v>
      </x:c>
      <x:c r="C244" s="34" t="str">
        <x:v>DISCLOSED_PATH</x:v>
      </x:c>
      <x:c r="D244" s="34" t="str">
        <x:v>P3</x:v>
      </x:c>
      <x:c r="E244" s="34" t="n">
        <x:v>2028</x:v>
      </x:c>
      <x:c r="F244" s="34" t="n">
        <x:v>0</x:v>
      </x:c>
      <x:c r="G244" s="34" t="n">
        <x:v>0</x:v>
      </x:c>
      <x:c r="H244" s="34" t="n">
        <x:v>3</x:v>
      </x:c>
      <x:c r="I244" s="34" t="n">
        <x:v>3</x:v>
      </x:c>
      <x:c r="J244" s="34" t="n">
        <x:v>0</x:v>
      </x:c>
      <x:c r="K244" s="34" t="n">
        <x:v>0</x:v>
      </x:c>
      <x:c r="L244" s="34" t="n">
        <x:v>0.15</x:v>
      </x:c>
      <x:c r="M244" s="34" t="n">
        <x:v>0.15</x:v>
      </x:c>
      <x:c r="N244" s="34" t="n">
        <x:v>0</x:v>
      </x:c>
      <x:c r="O244" s="34" t="n">
        <x:v>0</x:v>
      </x:c>
      <x:c r="P244" s="34" t="n">
        <x:v>1.9000000000000001</x:v>
      </x:c>
      <x:c r="Q244" s="34" t="n">
        <x:v>1.9</x:v>
      </x:c>
      <x:c r="R244" s="34" t="n">
        <x:v>0</x:v>
      </x:c>
      <x:c r="S244" s="40" t="b">
        <x:v>1</x:v>
      </x:c>
      <x:c r="T244" s="34" t="str">
        <x:v>model_interpolation</x:v>
      </x:c>
      <x:c r="U244" s="34" t="str">
        <x:v>Linear interpolation from 2026 to 2030</x:v>
      </x:c>
      <x:c r="V244" s="34" t="str">
        <x:v>CAND-4D158AE8BC3521</x:v>
      </x:c>
      <x:c r="W244" s="34" t="str">
        <x:v>P3</x:v>
      </x:c>
      <x:c r="X244" s="34" t="str">
        <x:v>PORT-1144EBE63B41</x:v>
      </x:c>
      <x:c r="Y244" s="34" t="n">
        <x:v>1000</x:v>
      </x:c>
      <x:c r="Z244" s="34" t="n">
        <x:v>145.802222</x:v>
      </x:c>
      <x:c r="AA244" s="34" t="n">
        <x:v>26.900501</x:v>
      </x:c>
      <x:c r="AB244" s="34" t="n">
        <x:v>102.391093</x:v>
      </x:c>
      <x:c r="AC244" s="34" t="n">
        <x:v>14716.433</x:v>
      </x:c>
      <x:c r="AD244" s="34" t="n">
        <x:v>143.727666</x:v>
      </x:c>
      <x:c r="AE244" s="40" t="b">
        <x:v>1</x:v>
      </x:c>
      <x:c r="AF244" s="40" t="b">
        <x:v>1</x:v>
      </x:c>
      <x:c r="AG244" s="34" t="str"/>
      <x:c r="AH244" s="34" t="n">
        <x:v>0</x:v>
      </x:c>
      <x:c r="AI244" s="34" t="str">
        <x:v>9.990856690045291e-05</x:v>
      </x:c>
      <x:c r="AJ244" s="40" t="b">
        <x:v>1</x:v>
      </x:c>
      <x:c r="AK244" s="40" t="b">
        <x:v>1</x:v>
      </x:c>
      <x:c r="AL244" s="40" t="b">
        <x:v>1</x:v>
      </x:c>
      <x:c r="AM244" s="40" t="b">
        <x:v>1</x:v>
      </x:c>
      <x:c r="AN244" s="34" t="str"/>
      <x:c r="AO244" s="34" t="n">
        <x:v>0</x:v>
      </x:c>
      <x:c r="AP244" s="34" t="n">
        <x:v>0</x:v>
      </x:c>
      <x:c r="AQ244" s="34" t="n">
        <x:v>0</x:v>
      </x:c>
      <x:c r="AR244" s="34" t="n">
        <x:v>1</x:v>
      </x:c>
      <x:c r="AS244" s="34" t="n">
        <x:v>1</x:v>
      </x:c>
      <x:c r="AT244" s="34" t="n">
        <x:v>0.28332</x:v>
      </x:c>
      <x:c r="AU244" s="34" t="n">
        <x:v>0.6</x:v>
      </x:c>
      <x:c r="AV244" s="34" t="n">
        <x:v>1.06</x:v>
      </x:c>
    </x:row>
    <x:row r="245">
      <x:c r="A245" s="34" t="str">
        <x:v>KOBE_STEEL_JP</x:v>
      </x:c>
      <x:c r="B245" s="34" t="str">
        <x:v>Kobe Steel</x:v>
      </x:c>
      <x:c r="C245" s="34" t="str">
        <x:v>DISCLOSED_PATH</x:v>
      </x:c>
      <x:c r="D245" s="34" t="str">
        <x:v>P3</x:v>
      </x:c>
      <x:c r="E245" s="34" t="n">
        <x:v>2029</x:v>
      </x:c>
      <x:c r="F245" s="34" t="n">
        <x:v>1</x:v>
      </x:c>
      <x:c r="G245" s="34" t="n">
        <x:v>0.4425</x:v>
      </x:c>
      <x:c r="H245" s="34" t="n">
        <x:v>3.5</x:v>
      </x:c>
      <x:c r="I245" s="34" t="n">
        <x:v>3.0575</x:v>
      </x:c>
      <x:c r="J245" s="34" t="n">
        <x:v>12.643</x:v>
      </x:c>
      <x:c r="K245" s="34" t="n">
        <x:v>0.16225</x:v>
      </x:c>
      <x:c r="L245" s="34" t="n">
        <x:v>0.22499999999999998</x:v>
      </x:c>
      <x:c r="M245" s="34" t="n">
        <x:v>0.06275</x:v>
      </x:c>
      <x:c r="N245" s="34" t="n">
        <x:v>72.111</x:v>
      </x:c>
      <x:c r="O245" s="34" t="n">
        <x:v>1.357</x:v>
      </x:c>
      <x:c r="P245" s="34" t="n">
        <x:v>2.45</x:v>
      </x:c>
      <x:c r="Q245" s="34" t="n">
        <x:v>1.093</x:v>
      </x:c>
      <x:c r="R245" s="34" t="n">
        <x:v>55.388</x:v>
      </x:c>
      <x:c r="S245" s="40" t="b">
        <x:v>1</x:v>
      </x:c>
      <x:c r="T245" s="34" t="str">
        <x:v>model_interpolation</x:v>
      </x:c>
      <x:c r="U245" s="34" t="str">
        <x:v>Linear interpolation from 2026 to 2030</x:v>
      </x:c>
      <x:c r="V245" s="34" t="str">
        <x:v>CAND-4D158AE8BC3521</x:v>
      </x:c>
      <x:c r="W245" s="34" t="str">
        <x:v>P3</x:v>
      </x:c>
      <x:c r="X245" s="34" t="str">
        <x:v>PORT-1144EBE63B41</x:v>
      </x:c>
      <x:c r="Y245" s="34" t="n">
        <x:v>1000</x:v>
      </x:c>
      <x:c r="Z245" s="34" t="n">
        <x:v>145.802222</x:v>
      </x:c>
      <x:c r="AA245" s="34" t="n">
        <x:v>26.900501</x:v>
      </x:c>
      <x:c r="AB245" s="34" t="n">
        <x:v>102.391093</x:v>
      </x:c>
      <x:c r="AC245" s="34" t="n">
        <x:v>14716.433</x:v>
      </x:c>
      <x:c r="AD245" s="34" t="n">
        <x:v>143.727666</x:v>
      </x:c>
      <x:c r="AE245" s="40" t="b">
        <x:v>1</x:v>
      </x:c>
      <x:c r="AF245" s="40" t="b">
        <x:v>1</x:v>
      </x:c>
      <x:c r="AG245" s="34" t="str"/>
      <x:c r="AH245" s="34" t="n">
        <x:v>0</x:v>
      </x:c>
      <x:c r="AI245" s="34" t="str">
        <x:v>9.990856690045291e-05</x:v>
      </x:c>
      <x:c r="AJ245" s="40" t="b">
        <x:v>1</x:v>
      </x:c>
      <x:c r="AK245" s="40" t="b">
        <x:v>1</x:v>
      </x:c>
      <x:c r="AL245" s="40" t="b">
        <x:v>1</x:v>
      </x:c>
      <x:c r="AM245" s="40" t="b">
        <x:v>1</x:v>
      </x:c>
      <x:c r="AN245" s="34" t="str"/>
      <x:c r="AO245" s="34" t="n">
        <x:v>0</x:v>
      </x:c>
      <x:c r="AP245" s="34" t="n">
        <x:v>0</x:v>
      </x:c>
      <x:c r="AQ245" s="34" t="n">
        <x:v>0</x:v>
      </x:c>
      <x:c r="AR245" s="34" t="n">
        <x:v>1</x:v>
      </x:c>
      <x:c r="AS245" s="34" t="n">
        <x:v>1</x:v>
      </x:c>
      <x:c r="AT245" s="34" t="n">
        <x:v>0.28332</x:v>
      </x:c>
      <x:c r="AU245" s="34" t="n">
        <x:v>0.6</x:v>
      </x:c>
      <x:c r="AV245" s="34" t="n">
        <x:v>1.06</x:v>
      </x:c>
    </x:row>
    <x:row r="246">
      <x:c r="A246" s="34" t="str">
        <x:v>KOBE_STEEL_JP</x:v>
      </x:c>
      <x:c r="B246" s="34" t="str">
        <x:v>Kobe Steel</x:v>
      </x:c>
      <x:c r="C246" s="34" t="str">
        <x:v>DISCLOSED_PATH</x:v>
      </x:c>
      <x:c r="D246" s="34" t="str">
        <x:v>P3</x:v>
      </x:c>
      <x:c r="E246" s="34" t="n">
        <x:v>2030</x:v>
      </x:c>
      <x:c r="F246" s="34" t="n">
        <x:v>1</x:v>
      </x:c>
      <x:c r="G246" s="34" t="n">
        <x:v>0.4425</x:v>
      </x:c>
      <x:c r="H246" s="34" t="n">
        <x:v>4</x:v>
      </x:c>
      <x:c r="I246" s="34" t="n">
        <x:v>3.5575</x:v>
      </x:c>
      <x:c r="J246" s="34" t="n">
        <x:v>11.063</x:v>
      </x:c>
      <x:c r="K246" s="34" t="n">
        <x:v>0.16225</x:v>
      </x:c>
      <x:c r="L246" s="34" t="n">
        <x:v>0.3</x:v>
      </x:c>
      <x:c r="M246" s="34" t="n">
        <x:v>0.13775</x:v>
      </x:c>
      <x:c r="N246" s="34" t="n">
        <x:v>54.083</x:v>
      </x:c>
      <x:c r="O246" s="34" t="n">
        <x:v>1.357</x:v>
      </x:c>
      <x:c r="P246" s="34" t="n">
        <x:v>3</x:v>
      </x:c>
      <x:c r="Q246" s="34" t="n">
        <x:v>1.643</x:v>
      </x:c>
      <x:c r="R246" s="34" t="n">
        <x:v>45.233</x:v>
      </x:c>
      <x:c r="S246" s="40" t="b">
        <x:v>1</x:v>
      </x:c>
      <x:c r="T246" s="34" t="str">
        <x:v>model_interpolation</x:v>
      </x:c>
      <x:c r="U246" s="34" t="str">
        <x:v>Linear interpolation from 2030 to 2035</x:v>
      </x:c>
      <x:c r="V246" s="34" t="str">
        <x:v>CAND-4D158AE8BC3521</x:v>
      </x:c>
      <x:c r="W246" s="34" t="str">
        <x:v>P3</x:v>
      </x:c>
      <x:c r="X246" s="34" t="str">
        <x:v>PORT-1144EBE63B41</x:v>
      </x:c>
      <x:c r="Y246" s="34" t="n">
        <x:v>1000</x:v>
      </x:c>
      <x:c r="Z246" s="34" t="n">
        <x:v>145.802222</x:v>
      </x:c>
      <x:c r="AA246" s="34" t="n">
        <x:v>26.900501</x:v>
      </x:c>
      <x:c r="AB246" s="34" t="n">
        <x:v>102.391093</x:v>
      </x:c>
      <x:c r="AC246" s="34" t="n">
        <x:v>14716.433</x:v>
      </x:c>
      <x:c r="AD246" s="34" t="n">
        <x:v>143.727666</x:v>
      </x:c>
      <x:c r="AE246" s="40" t="b">
        <x:v>1</x:v>
      </x:c>
      <x:c r="AF246" s="40" t="b">
        <x:v>1</x:v>
      </x:c>
      <x:c r="AG246" s="34" t="str"/>
      <x:c r="AH246" s="34" t="n">
        <x:v>0</x:v>
      </x:c>
      <x:c r="AI246" s="34" t="str">
        <x:v>9.990856690045291e-05</x:v>
      </x:c>
      <x:c r="AJ246" s="40" t="b">
        <x:v>1</x:v>
      </x:c>
      <x:c r="AK246" s="40" t="b">
        <x:v>1</x:v>
      </x:c>
      <x:c r="AL246" s="40" t="b">
        <x:v>1</x:v>
      </x:c>
      <x:c r="AM246" s="40" t="b">
        <x:v>1</x:v>
      </x:c>
      <x:c r="AN246" s="34" t="str"/>
      <x:c r="AO246" s="34" t="n">
        <x:v>0</x:v>
      </x:c>
      <x:c r="AP246" s="34" t="n">
        <x:v>0</x:v>
      </x:c>
      <x:c r="AQ246" s="34" t="n">
        <x:v>0</x:v>
      </x:c>
      <x:c r="AR246" s="34" t="n">
        <x:v>1</x:v>
      </x:c>
      <x:c r="AS246" s="34" t="n">
        <x:v>1</x:v>
      </x:c>
      <x:c r="AT246" s="34" t="n">
        <x:v>0.28332</x:v>
      </x:c>
      <x:c r="AU246" s="34" t="n">
        <x:v>0.6</x:v>
      </x:c>
      <x:c r="AV246" s="34" t="n">
        <x:v>1.06</x:v>
      </x:c>
    </x:row>
    <x:row r="247">
      <x:c r="A247" s="34" t="str">
        <x:v>KOBE_STEEL_JP</x:v>
      </x:c>
      <x:c r="B247" s="34" t="str">
        <x:v>Kobe Steel</x:v>
      </x:c>
      <x:c r="C247" s="34" t="str">
        <x:v>DISCLOSED_PATH</x:v>
      </x:c>
      <x:c r="D247" s="34" t="str">
        <x:v>P3</x:v>
      </x:c>
      <x:c r="E247" s="34" t="n">
        <x:v>2031</x:v>
      </x:c>
      <x:c r="F247" s="34" t="n">
        <x:v>1</x:v>
      </x:c>
      <x:c r="G247" s="34" t="n">
        <x:v>0.4425</x:v>
      </x:c>
      <x:c r="H247" s="34" t="n">
        <x:v>4</x:v>
      </x:c>
      <x:c r="I247" s="34" t="n">
        <x:v>3.5575</x:v>
      </x:c>
      <x:c r="J247" s="34" t="n">
        <x:v>11.063</x:v>
      </x:c>
      <x:c r="K247" s="34" t="n">
        <x:v>0.16225</x:v>
      </x:c>
      <x:c r="L247" s="34" t="n">
        <x:v>0.32</x:v>
      </x:c>
      <x:c r="M247" s="34" t="n">
        <x:v>0.15775</x:v>
      </x:c>
      <x:c r="N247" s="34" t="n">
        <x:v>50.703</x:v>
      </x:c>
      <x:c r="O247" s="34" t="n">
        <x:v>1.357</x:v>
      </x:c>
      <x:c r="P247" s="34" t="n">
        <x:v>3</x:v>
      </x:c>
      <x:c r="Q247" s="34" t="n">
        <x:v>1.643</x:v>
      </x:c>
      <x:c r="R247" s="34" t="n">
        <x:v>45.233</x:v>
      </x:c>
      <x:c r="S247" s="40" t="b">
        <x:v>1</x:v>
      </x:c>
      <x:c r="T247" s="34" t="str">
        <x:v>model_interpolation</x:v>
      </x:c>
      <x:c r="U247" s="34" t="str">
        <x:v>Linear interpolation from 2030 to 2035</x:v>
      </x:c>
      <x:c r="V247" s="34" t="str">
        <x:v>CAND-4D158AE8BC3521</x:v>
      </x:c>
      <x:c r="W247" s="34" t="str">
        <x:v>P3</x:v>
      </x:c>
      <x:c r="X247" s="34" t="str">
        <x:v>PORT-1144EBE63B41</x:v>
      </x:c>
      <x:c r="Y247" s="34" t="n">
        <x:v>1000</x:v>
      </x:c>
      <x:c r="Z247" s="34" t="n">
        <x:v>145.802222</x:v>
      </x:c>
      <x:c r="AA247" s="34" t="n">
        <x:v>26.900501</x:v>
      </x:c>
      <x:c r="AB247" s="34" t="n">
        <x:v>102.391093</x:v>
      </x:c>
      <x:c r="AC247" s="34" t="n">
        <x:v>14716.433</x:v>
      </x:c>
      <x:c r="AD247" s="34" t="n">
        <x:v>143.727666</x:v>
      </x:c>
      <x:c r="AE247" s="40" t="b">
        <x:v>1</x:v>
      </x:c>
      <x:c r="AF247" s="40" t="b">
        <x:v>1</x:v>
      </x:c>
      <x:c r="AG247" s="34" t="str"/>
      <x:c r="AH247" s="34" t="n">
        <x:v>0</x:v>
      </x:c>
      <x:c r="AI247" s="34" t="str">
        <x:v>9.990856690045291e-05</x:v>
      </x:c>
      <x:c r="AJ247" s="40" t="b">
        <x:v>1</x:v>
      </x:c>
      <x:c r="AK247" s="40" t="b">
        <x:v>1</x:v>
      </x:c>
      <x:c r="AL247" s="40" t="b">
        <x:v>1</x:v>
      </x:c>
      <x:c r="AM247" s="40" t="b">
        <x:v>1</x:v>
      </x:c>
      <x:c r="AN247" s="34" t="str"/>
      <x:c r="AO247" s="34" t="n">
        <x:v>0</x:v>
      </x:c>
      <x:c r="AP247" s="34" t="n">
        <x:v>0</x:v>
      </x:c>
      <x:c r="AQ247" s="34" t="n">
        <x:v>0</x:v>
      </x:c>
      <x:c r="AR247" s="34" t="n">
        <x:v>1</x:v>
      </x:c>
      <x:c r="AS247" s="34" t="n">
        <x:v>1</x:v>
      </x:c>
      <x:c r="AT247" s="34" t="n">
        <x:v>0.28332</x:v>
      </x:c>
      <x:c r="AU247" s="34" t="n">
        <x:v>0.6</x:v>
      </x:c>
      <x:c r="AV247" s="34" t="n">
        <x:v>1.06</x:v>
      </x:c>
    </x:row>
    <x:row r="248">
      <x:c r="A248" s="34" t="str">
        <x:v>KOBE_STEEL_JP</x:v>
      </x:c>
      <x:c r="B248" s="34" t="str">
        <x:v>Kobe Steel</x:v>
      </x:c>
      <x:c r="C248" s="34" t="str">
        <x:v>DISCLOSED_PATH</x:v>
      </x:c>
      <x:c r="D248" s="34" t="str">
        <x:v>P3</x:v>
      </x:c>
      <x:c r="E248" s="34" t="n">
        <x:v>2032</x:v>
      </x:c>
      <x:c r="F248" s="34" t="n">
        <x:v>1</x:v>
      </x:c>
      <x:c r="G248" s="34" t="n">
        <x:v>0.4425</x:v>
      </x:c>
      <x:c r="H248" s="34" t="n">
        <x:v>4</x:v>
      </x:c>
      <x:c r="I248" s="34" t="n">
        <x:v>3.5575</x:v>
      </x:c>
      <x:c r="J248" s="34" t="n">
        <x:v>11.063</x:v>
      </x:c>
      <x:c r="K248" s="34" t="n">
        <x:v>0.16225</x:v>
      </x:c>
      <x:c r="L248" s="34" t="n">
        <x:v>0.34</x:v>
      </x:c>
      <x:c r="M248" s="34" t="n">
        <x:v>0.17775</x:v>
      </x:c>
      <x:c r="N248" s="34" t="n">
        <x:v>47.721</x:v>
      </x:c>
      <x:c r="O248" s="34" t="n">
        <x:v>1.357</x:v>
      </x:c>
      <x:c r="P248" s="34" t="n">
        <x:v>3</x:v>
      </x:c>
      <x:c r="Q248" s="34" t="n">
        <x:v>1.643</x:v>
      </x:c>
      <x:c r="R248" s="34" t="n">
        <x:v>45.233</x:v>
      </x:c>
      <x:c r="S248" s="40" t="b">
        <x:v>1</x:v>
      </x:c>
      <x:c r="T248" s="34" t="str">
        <x:v>model_interpolation</x:v>
      </x:c>
      <x:c r="U248" s="34" t="str">
        <x:v>Linear interpolation from 2030 to 2035</x:v>
      </x:c>
      <x:c r="V248" s="34" t="str">
        <x:v>CAND-4D158AE8BC3521</x:v>
      </x:c>
      <x:c r="W248" s="34" t="str">
        <x:v>P3</x:v>
      </x:c>
      <x:c r="X248" s="34" t="str">
        <x:v>PORT-1144EBE63B41</x:v>
      </x:c>
      <x:c r="Y248" s="34" t="n">
        <x:v>1000</x:v>
      </x:c>
      <x:c r="Z248" s="34" t="n">
        <x:v>145.802222</x:v>
      </x:c>
      <x:c r="AA248" s="34" t="n">
        <x:v>26.900501</x:v>
      </x:c>
      <x:c r="AB248" s="34" t="n">
        <x:v>102.391093</x:v>
      </x:c>
      <x:c r="AC248" s="34" t="n">
        <x:v>14716.433</x:v>
      </x:c>
      <x:c r="AD248" s="34" t="n">
        <x:v>143.727666</x:v>
      </x:c>
      <x:c r="AE248" s="40" t="b">
        <x:v>1</x:v>
      </x:c>
      <x:c r="AF248" s="40" t="b">
        <x:v>1</x:v>
      </x:c>
      <x:c r="AG248" s="34" t="str"/>
      <x:c r="AH248" s="34" t="n">
        <x:v>0</x:v>
      </x:c>
      <x:c r="AI248" s="34" t="str">
        <x:v>9.990856690045291e-05</x:v>
      </x:c>
      <x:c r="AJ248" s="40" t="b">
        <x:v>1</x:v>
      </x:c>
      <x:c r="AK248" s="40" t="b">
        <x:v>1</x:v>
      </x:c>
      <x:c r="AL248" s="40" t="b">
        <x:v>1</x:v>
      </x:c>
      <x:c r="AM248" s="40" t="b">
        <x:v>1</x:v>
      </x:c>
      <x:c r="AN248" s="34" t="str"/>
      <x:c r="AO248" s="34" t="n">
        <x:v>0</x:v>
      </x:c>
      <x:c r="AP248" s="34" t="n">
        <x:v>0</x:v>
      </x:c>
      <x:c r="AQ248" s="34" t="n">
        <x:v>0</x:v>
      </x:c>
      <x:c r="AR248" s="34" t="n">
        <x:v>1</x:v>
      </x:c>
      <x:c r="AS248" s="34" t="n">
        <x:v>1</x:v>
      </x:c>
      <x:c r="AT248" s="34" t="n">
        <x:v>0.28332</x:v>
      </x:c>
      <x:c r="AU248" s="34" t="n">
        <x:v>0.6</x:v>
      </x:c>
      <x:c r="AV248" s="34" t="n">
        <x:v>1.06</x:v>
      </x:c>
    </x:row>
    <x:row r="249">
      <x:c r="A249" s="34" t="str">
        <x:v>KOBE_STEEL_JP</x:v>
      </x:c>
      <x:c r="B249" s="34" t="str">
        <x:v>Kobe Steel</x:v>
      </x:c>
      <x:c r="C249" s="34" t="str">
        <x:v>DISCLOSED_PATH</x:v>
      </x:c>
      <x:c r="D249" s="34" t="str">
        <x:v>P3</x:v>
      </x:c>
      <x:c r="E249" s="34" t="n">
        <x:v>2033</x:v>
      </x:c>
      <x:c r="F249" s="34" t="n">
        <x:v>2</x:v>
      </x:c>
      <x:c r="G249" s="34" t="n">
        <x:v>0.5325</x:v>
      </x:c>
      <x:c r="H249" s="34" t="n">
        <x:v>4</x:v>
      </x:c>
      <x:c r="I249" s="34" t="n">
        <x:v>3.4675</x:v>
      </x:c>
      <x:c r="J249" s="34" t="n">
        <x:v>13.313</x:v>
      </x:c>
      <x:c r="K249" s="34" t="n">
        <x:v>0.16225</x:v>
      </x:c>
      <x:c r="L249" s="34" t="n">
        <x:v>0.36</x:v>
      </x:c>
      <x:c r="M249" s="34" t="n">
        <x:v>0.19775</x:v>
      </x:c>
      <x:c r="N249" s="34" t="n">
        <x:v>45.069</x:v>
      </x:c>
      <x:c r="O249" s="34" t="n">
        <x:v>1.359</x:v>
      </x:c>
      <x:c r="P249" s="34" t="n">
        <x:v>3</x:v>
      </x:c>
      <x:c r="Q249" s="34" t="n">
        <x:v>1.641</x:v>
      </x:c>
      <x:c r="R249" s="34" t="n">
        <x:v>45.3</x:v>
      </x:c>
      <x:c r="S249" s="40" t="b">
        <x:v>1</x:v>
      </x:c>
      <x:c r="T249" s="34" t="str">
        <x:v>model_interpolation</x:v>
      </x:c>
      <x:c r="U249" s="34" t="str">
        <x:v>Linear interpolation from 2030 to 2035</x:v>
      </x:c>
      <x:c r="V249" s="34" t="str">
        <x:v>CAND-4D158AE8BC3521</x:v>
      </x:c>
      <x:c r="W249" s="34" t="str">
        <x:v>P3</x:v>
      </x:c>
      <x:c r="X249" s="34" t="str">
        <x:v>PORT-1144EBE63B41</x:v>
      </x:c>
      <x:c r="Y249" s="34" t="n">
        <x:v>1000</x:v>
      </x:c>
      <x:c r="Z249" s="34" t="n">
        <x:v>145.802222</x:v>
      </x:c>
      <x:c r="AA249" s="34" t="n">
        <x:v>26.900501</x:v>
      </x:c>
      <x:c r="AB249" s="34" t="n">
        <x:v>102.391093</x:v>
      </x:c>
      <x:c r="AC249" s="34" t="n">
        <x:v>14716.433</x:v>
      </x:c>
      <x:c r="AD249" s="34" t="n">
        <x:v>143.727666</x:v>
      </x:c>
      <x:c r="AE249" s="40" t="b">
        <x:v>1</x:v>
      </x:c>
      <x:c r="AF249" s="40" t="b">
        <x:v>1</x:v>
      </x:c>
      <x:c r="AG249" s="34" t="str"/>
      <x:c r="AH249" s="34" t="n">
        <x:v>0</x:v>
      </x:c>
      <x:c r="AI249" s="34" t="str">
        <x:v>9.990856690045291e-05</x:v>
      </x:c>
      <x:c r="AJ249" s="40" t="b">
        <x:v>1</x:v>
      </x:c>
      <x:c r="AK249" s="40" t="b">
        <x:v>1</x:v>
      </x:c>
      <x:c r="AL249" s="40" t="b">
        <x:v>1</x:v>
      </x:c>
      <x:c r="AM249" s="40" t="b">
        <x:v>1</x:v>
      </x:c>
      <x:c r="AN249" s="34" t="str"/>
      <x:c r="AO249" s="34" t="n">
        <x:v>0</x:v>
      </x:c>
      <x:c r="AP249" s="34" t="n">
        <x:v>0</x:v>
      </x:c>
      <x:c r="AQ249" s="34" t="n">
        <x:v>0</x:v>
      </x:c>
      <x:c r="AR249" s="34" t="n">
        <x:v>1</x:v>
      </x:c>
      <x:c r="AS249" s="34" t="n">
        <x:v>1</x:v>
      </x:c>
      <x:c r="AT249" s="34" t="n">
        <x:v>0.28332</x:v>
      </x:c>
      <x:c r="AU249" s="34" t="n">
        <x:v>0.6</x:v>
      </x:c>
      <x:c r="AV249" s="34" t="n">
        <x:v>1.06</x:v>
      </x:c>
    </x:row>
    <x:row r="250">
      <x:c r="A250" s="34" t="str">
        <x:v>KOBE_STEEL_JP</x:v>
      </x:c>
      <x:c r="B250" s="34" t="str">
        <x:v>Kobe Steel</x:v>
      </x:c>
      <x:c r="C250" s="34" t="str">
        <x:v>DISCLOSED_PATH</x:v>
      </x:c>
      <x:c r="D250" s="34" t="str">
        <x:v>P3</x:v>
      </x:c>
      <x:c r="E250" s="34" t="n">
        <x:v>2034</x:v>
      </x:c>
      <x:c r="F250" s="34" t="n">
        <x:v>2</x:v>
      </x:c>
      <x:c r="G250" s="34" t="n">
        <x:v>0.5325</x:v>
      </x:c>
      <x:c r="H250" s="34" t="n">
        <x:v>4</x:v>
      </x:c>
      <x:c r="I250" s="34" t="n">
        <x:v>3.4675</x:v>
      </x:c>
      <x:c r="J250" s="34" t="n">
        <x:v>13.313</x:v>
      </x:c>
      <x:c r="K250" s="34" t="n">
        <x:v>0.16225</x:v>
      </x:c>
      <x:c r="L250" s="34" t="n">
        <x:v>0.38</x:v>
      </x:c>
      <x:c r="M250" s="34" t="n">
        <x:v>0.21775</x:v>
      </x:c>
      <x:c r="N250" s="34" t="n">
        <x:v>42.697</x:v>
      </x:c>
      <x:c r="O250" s="34" t="n">
        <x:v>1.359</x:v>
      </x:c>
      <x:c r="P250" s="34" t="n">
        <x:v>3</x:v>
      </x:c>
      <x:c r="Q250" s="34" t="n">
        <x:v>1.641</x:v>
      </x:c>
      <x:c r="R250" s="34" t="n">
        <x:v>45.3</x:v>
      </x:c>
      <x:c r="S250" s="40" t="b">
        <x:v>1</x:v>
      </x:c>
      <x:c r="T250" s="34" t="str">
        <x:v>model_interpolation</x:v>
      </x:c>
      <x:c r="U250" s="34" t="str">
        <x:v>Linear interpolation from 2030 to 2035</x:v>
      </x:c>
      <x:c r="V250" s="34" t="str">
        <x:v>CAND-4D158AE8BC3521</x:v>
      </x:c>
      <x:c r="W250" s="34" t="str">
        <x:v>P3</x:v>
      </x:c>
      <x:c r="X250" s="34" t="str">
        <x:v>PORT-1144EBE63B41</x:v>
      </x:c>
      <x:c r="Y250" s="34" t="n">
        <x:v>1000</x:v>
      </x:c>
      <x:c r="Z250" s="34" t="n">
        <x:v>145.802222</x:v>
      </x:c>
      <x:c r="AA250" s="34" t="n">
        <x:v>26.900501</x:v>
      </x:c>
      <x:c r="AB250" s="34" t="n">
        <x:v>102.391093</x:v>
      </x:c>
      <x:c r="AC250" s="34" t="n">
        <x:v>14716.433</x:v>
      </x:c>
      <x:c r="AD250" s="34" t="n">
        <x:v>143.727666</x:v>
      </x:c>
      <x:c r="AE250" s="40" t="b">
        <x:v>1</x:v>
      </x:c>
      <x:c r="AF250" s="40" t="b">
        <x:v>1</x:v>
      </x:c>
      <x:c r="AG250" s="34" t="str"/>
      <x:c r="AH250" s="34" t="n">
        <x:v>0</x:v>
      </x:c>
      <x:c r="AI250" s="34" t="str">
        <x:v>9.990856690045291e-05</x:v>
      </x:c>
      <x:c r="AJ250" s="40" t="b">
        <x:v>1</x:v>
      </x:c>
      <x:c r="AK250" s="40" t="b">
        <x:v>1</x:v>
      </x:c>
      <x:c r="AL250" s="40" t="b">
        <x:v>1</x:v>
      </x:c>
      <x:c r="AM250" s="40" t="b">
        <x:v>1</x:v>
      </x:c>
      <x:c r="AN250" s="34" t="str"/>
      <x:c r="AO250" s="34" t="n">
        <x:v>0</x:v>
      </x:c>
      <x:c r="AP250" s="34" t="n">
        <x:v>0</x:v>
      </x:c>
      <x:c r="AQ250" s="34" t="n">
        <x:v>0</x:v>
      </x:c>
      <x:c r="AR250" s="34" t="n">
        <x:v>1</x:v>
      </x:c>
      <x:c r="AS250" s="34" t="n">
        <x:v>1</x:v>
      </x:c>
      <x:c r="AT250" s="34" t="n">
        <x:v>0.28332</x:v>
      </x:c>
      <x:c r="AU250" s="34" t="n">
        <x:v>0.6</x:v>
      </x:c>
      <x:c r="AV250" s="34" t="n">
        <x:v>1.06</x:v>
      </x:c>
    </x:row>
    <x:row r="251">
      <x:c r="A251" s="34" t="str">
        <x:v>KOBE_STEEL_JP</x:v>
      </x:c>
      <x:c r="B251" s="34" t="str">
        <x:v>Kobe Steel</x:v>
      </x:c>
      <x:c r="C251" s="34" t="str">
        <x:v>DISCLOSED_PATH</x:v>
      </x:c>
      <x:c r="D251" s="34" t="str">
        <x:v>P3</x:v>
      </x:c>
      <x:c r="E251" s="34" t="n">
        <x:v>2035</x:v>
      </x:c>
      <x:c r="F251" s="34" t="n">
        <x:v>2</x:v>
      </x:c>
      <x:c r="G251" s="34" t="n">
        <x:v>0.5325</x:v>
      </x:c>
      <x:c r="H251" s="34" t="n">
        <x:v>4</x:v>
      </x:c>
      <x:c r="I251" s="34" t="n">
        <x:v>3.4675</x:v>
      </x:c>
      <x:c r="J251" s="34" t="n">
        <x:v>13.313</x:v>
      </x:c>
      <x:c r="K251" s="34" t="n">
        <x:v>0.16225</x:v>
      </x:c>
      <x:c r="L251" s="34" t="n">
        <x:v>0.4</x:v>
      </x:c>
      <x:c r="M251" s="34" t="n">
        <x:v>0.23775</x:v>
      </x:c>
      <x:c r="N251" s="34" t="n">
        <x:v>40.563</x:v>
      </x:c>
      <x:c r="O251" s="34" t="n">
        <x:v>1.359</x:v>
      </x:c>
      <x:c r="P251" s="34" t="n">
        <x:v>3</x:v>
      </x:c>
      <x:c r="Q251" s="34" t="n">
        <x:v>1.641</x:v>
      </x:c>
      <x:c r="R251" s="34" t="n">
        <x:v>45.3</x:v>
      </x:c>
      <x:c r="S251" s="40" t="b">
        <x:v>1</x:v>
      </x:c>
      <x:c r="T251" s="34" t="str">
        <x:v>model_interpolation</x:v>
      </x:c>
      <x:c r="U251" s="34" t="str">
        <x:v>Linear interpolation from 2035 to 2040</x:v>
      </x:c>
      <x:c r="V251" s="34" t="str">
        <x:v>CAND-4D158AE8BC3521</x:v>
      </x:c>
      <x:c r="W251" s="34" t="str">
        <x:v>P3</x:v>
      </x:c>
      <x:c r="X251" s="34" t="str">
        <x:v>PORT-1144EBE63B41</x:v>
      </x:c>
      <x:c r="Y251" s="34" t="n">
        <x:v>1000</x:v>
      </x:c>
      <x:c r="Z251" s="34" t="n">
        <x:v>145.802222</x:v>
      </x:c>
      <x:c r="AA251" s="34" t="n">
        <x:v>26.900501</x:v>
      </x:c>
      <x:c r="AB251" s="34" t="n">
        <x:v>102.391093</x:v>
      </x:c>
      <x:c r="AC251" s="34" t="n">
        <x:v>14716.433</x:v>
      </x:c>
      <x:c r="AD251" s="34" t="n">
        <x:v>143.727666</x:v>
      </x:c>
      <x:c r="AE251" s="40" t="b">
        <x:v>1</x:v>
      </x:c>
      <x:c r="AF251" s="40" t="b">
        <x:v>1</x:v>
      </x:c>
      <x:c r="AG251" s="34" t="str"/>
      <x:c r="AH251" s="34" t="n">
        <x:v>0</x:v>
      </x:c>
      <x:c r="AI251" s="34" t="str">
        <x:v>9.990856690045291e-05</x:v>
      </x:c>
      <x:c r="AJ251" s="40" t="b">
        <x:v>1</x:v>
      </x:c>
      <x:c r="AK251" s="40" t="b">
        <x:v>1</x:v>
      </x:c>
      <x:c r="AL251" s="40" t="b">
        <x:v>1</x:v>
      </x:c>
      <x:c r="AM251" s="40" t="b">
        <x:v>1</x:v>
      </x:c>
      <x:c r="AN251" s="34" t="str"/>
      <x:c r="AO251" s="34" t="n">
        <x:v>0</x:v>
      </x:c>
      <x:c r="AP251" s="34" t="n">
        <x:v>0</x:v>
      </x:c>
      <x:c r="AQ251" s="34" t="n">
        <x:v>0</x:v>
      </x:c>
      <x:c r="AR251" s="34" t="n">
        <x:v>1</x:v>
      </x:c>
      <x:c r="AS251" s="34" t="n">
        <x:v>1</x:v>
      </x:c>
      <x:c r="AT251" s="34" t="n">
        <x:v>0.28332</x:v>
      </x:c>
      <x:c r="AU251" s="34" t="n">
        <x:v>0.6</x:v>
      </x:c>
      <x:c r="AV251" s="34" t="n">
        <x:v>1.06</x:v>
      </x:c>
    </x:row>
    <x:row r="252">
      <x:c r="A252" s="34" t="str">
        <x:v>KOBE_STEEL_JP</x:v>
      </x:c>
      <x:c r="B252" s="34" t="str">
        <x:v>Kobe Steel</x:v>
      </x:c>
      <x:c r="C252" s="34" t="str">
        <x:v>DISCLOSED_PATH</x:v>
      </x:c>
      <x:c r="D252" s="34" t="str">
        <x:v>P3</x:v>
      </x:c>
      <x:c r="E252" s="34" t="n">
        <x:v>2036</x:v>
      </x:c>
      <x:c r="F252" s="34" t="n">
        <x:v>2</x:v>
      </x:c>
      <x:c r="G252" s="34" t="n">
        <x:v>0.5325</x:v>
      </x:c>
      <x:c r="H252" s="34" t="n">
        <x:v>4.2</x:v>
      </x:c>
      <x:c r="I252" s="34" t="n">
        <x:v>3.6675</x:v>
      </x:c>
      <x:c r="J252" s="34" t="n">
        <x:v>12.679</x:v>
      </x:c>
      <x:c r="K252" s="34" t="n">
        <x:v>0.16225</x:v>
      </x:c>
      <x:c r="L252" s="34" t="n">
        <x:v>0.48000000000000004</x:v>
      </x:c>
      <x:c r="M252" s="34" t="n">
        <x:v>0.31775</x:v>
      </x:c>
      <x:c r="N252" s="34" t="n">
        <x:v>33.802</x:v>
      </x:c>
      <x:c r="O252" s="34" t="n">
        <x:v>1.359</x:v>
      </x:c>
      <x:c r="P252" s="34" t="n">
        <x:v>3.4</x:v>
      </x:c>
      <x:c r="Q252" s="34" t="n">
        <x:v>2.041</x:v>
      </x:c>
      <x:c r="R252" s="34" t="n">
        <x:v>39.971</x:v>
      </x:c>
      <x:c r="S252" s="40" t="b">
        <x:v>1</x:v>
      </x:c>
      <x:c r="T252" s="34" t="str">
        <x:v>model_interpolation</x:v>
      </x:c>
      <x:c r="U252" s="34" t="str">
        <x:v>Linear interpolation from 2035 to 2040</x:v>
      </x:c>
      <x:c r="V252" s="34" t="str">
        <x:v>CAND-4D158AE8BC3521</x:v>
      </x:c>
      <x:c r="W252" s="34" t="str">
        <x:v>P3</x:v>
      </x:c>
      <x:c r="X252" s="34" t="str">
        <x:v>PORT-1144EBE63B41</x:v>
      </x:c>
      <x:c r="Y252" s="34" t="n">
        <x:v>1000</x:v>
      </x:c>
      <x:c r="Z252" s="34" t="n">
        <x:v>145.802222</x:v>
      </x:c>
      <x:c r="AA252" s="34" t="n">
        <x:v>26.900501</x:v>
      </x:c>
      <x:c r="AB252" s="34" t="n">
        <x:v>102.391093</x:v>
      </x:c>
      <x:c r="AC252" s="34" t="n">
        <x:v>14716.433</x:v>
      </x:c>
      <x:c r="AD252" s="34" t="n">
        <x:v>143.727666</x:v>
      </x:c>
      <x:c r="AE252" s="40" t="b">
        <x:v>1</x:v>
      </x:c>
      <x:c r="AF252" s="40" t="b">
        <x:v>1</x:v>
      </x:c>
      <x:c r="AG252" s="34" t="str"/>
      <x:c r="AH252" s="34" t="n">
        <x:v>0</x:v>
      </x:c>
      <x:c r="AI252" s="34" t="str">
        <x:v>9.990856690045291e-05</x:v>
      </x:c>
      <x:c r="AJ252" s="40" t="b">
        <x:v>1</x:v>
      </x:c>
      <x:c r="AK252" s="40" t="b">
        <x:v>1</x:v>
      </x:c>
      <x:c r="AL252" s="40" t="b">
        <x:v>1</x:v>
      </x:c>
      <x:c r="AM252" s="40" t="b">
        <x:v>1</x:v>
      </x:c>
      <x:c r="AN252" s="34" t="str"/>
      <x:c r="AO252" s="34" t="n">
        <x:v>0</x:v>
      </x:c>
      <x:c r="AP252" s="34" t="n">
        <x:v>0</x:v>
      </x:c>
      <x:c r="AQ252" s="34" t="n">
        <x:v>0</x:v>
      </x:c>
      <x:c r="AR252" s="34" t="n">
        <x:v>1</x:v>
      </x:c>
      <x:c r="AS252" s="34" t="n">
        <x:v>1</x:v>
      </x:c>
      <x:c r="AT252" s="34" t="n">
        <x:v>0.28332</x:v>
      </x:c>
      <x:c r="AU252" s="34" t="n">
        <x:v>0.6</x:v>
      </x:c>
      <x:c r="AV252" s="34" t="n">
        <x:v>1.06</x:v>
      </x:c>
    </x:row>
    <x:row r="253">
      <x:c r="A253" s="34" t="str">
        <x:v>KOBE_STEEL_JP</x:v>
      </x:c>
      <x:c r="B253" s="34" t="str">
        <x:v>Kobe Steel</x:v>
      </x:c>
      <x:c r="C253" s="34" t="str">
        <x:v>DISCLOSED_PATH</x:v>
      </x:c>
      <x:c r="D253" s="34" t="str">
        <x:v>P3</x:v>
      </x:c>
      <x:c r="E253" s="34" t="n">
        <x:v>2037</x:v>
      </x:c>
      <x:c r="F253" s="34" t="n">
        <x:v>3</x:v>
      </x:c>
      <x:c r="G253" s="34" t="n">
        <x:v>3.151499</x:v>
      </x:c>
      <x:c r="H253" s="34" t="n">
        <x:v>4.4</x:v>
      </x:c>
      <x:c r="I253" s="34" t="n">
        <x:v>1.248501</x:v>
      </x:c>
      <x:c r="J253" s="34" t="n">
        <x:v>71.625</x:v>
      </x:c>
      <x:c r="K253" s="34" t="n">
        <x:v>0.16225</x:v>
      </x:c>
      <x:c r="L253" s="34" t="n">
        <x:v>0.56</x:v>
      </x:c>
      <x:c r="M253" s="34" t="n">
        <x:v>0.39775</x:v>
      </x:c>
      <x:c r="N253" s="34" t="n">
        <x:v>28.973</x:v>
      </x:c>
      <x:c r="O253" s="34" t="n">
        <x:v>2.988599</x:v>
      </x:c>
      <x:c r="P253" s="34" t="n">
        <x:v>3.8</x:v>
      </x:c>
      <x:c r="Q253" s="34" t="n">
        <x:v>0.811401</x:v>
      </x:c>
      <x:c r="R253" s="34" t="n">
        <x:v>78.647</x:v>
      </x:c>
      <x:c r="S253" s="40" t="b">
        <x:v>1</x:v>
      </x:c>
      <x:c r="T253" s="34" t="str">
        <x:v>model_interpolation</x:v>
      </x:c>
      <x:c r="U253" s="34" t="str">
        <x:v>Linear interpolation from 2035 to 2040</x:v>
      </x:c>
      <x:c r="V253" s="34" t="str">
        <x:v>CAND-4D158AE8BC3521</x:v>
      </x:c>
      <x:c r="W253" s="34" t="str">
        <x:v>P3</x:v>
      </x:c>
      <x:c r="X253" s="34" t="str">
        <x:v>PORT-1144EBE63B41</x:v>
      </x:c>
      <x:c r="Y253" s="34" t="n">
        <x:v>1000</x:v>
      </x:c>
      <x:c r="Z253" s="34" t="n">
        <x:v>145.802222</x:v>
      </x:c>
      <x:c r="AA253" s="34" t="n">
        <x:v>26.900501</x:v>
      </x:c>
      <x:c r="AB253" s="34" t="n">
        <x:v>102.391093</x:v>
      </x:c>
      <x:c r="AC253" s="34" t="n">
        <x:v>14716.433</x:v>
      </x:c>
      <x:c r="AD253" s="34" t="n">
        <x:v>143.727666</x:v>
      </x:c>
      <x:c r="AE253" s="40" t="b">
        <x:v>1</x:v>
      </x:c>
      <x:c r="AF253" s="40" t="b">
        <x:v>1</x:v>
      </x:c>
      <x:c r="AG253" s="34" t="str"/>
      <x:c r="AH253" s="34" t="n">
        <x:v>0</x:v>
      </x:c>
      <x:c r="AI253" s="34" t="str">
        <x:v>9.990856690045291e-05</x:v>
      </x:c>
      <x:c r="AJ253" s="40" t="b">
        <x:v>1</x:v>
      </x:c>
      <x:c r="AK253" s="40" t="b">
        <x:v>1</x:v>
      </x:c>
      <x:c r="AL253" s="40" t="b">
        <x:v>1</x:v>
      </x:c>
      <x:c r="AM253" s="40" t="b">
        <x:v>1</x:v>
      </x:c>
      <x:c r="AN253" s="34" t="str"/>
      <x:c r="AO253" s="34" t="n">
        <x:v>0</x:v>
      </x:c>
      <x:c r="AP253" s="34" t="n">
        <x:v>0</x:v>
      </x:c>
      <x:c r="AQ253" s="34" t="n">
        <x:v>0</x:v>
      </x:c>
      <x:c r="AR253" s="34" t="n">
        <x:v>1</x:v>
      </x:c>
      <x:c r="AS253" s="34" t="n">
        <x:v>1</x:v>
      </x:c>
      <x:c r="AT253" s="34" t="n">
        <x:v>0.28332</x:v>
      </x:c>
      <x:c r="AU253" s="34" t="n">
        <x:v>0.6</x:v>
      </x:c>
      <x:c r="AV253" s="34" t="n">
        <x:v>1.06</x:v>
      </x:c>
    </x:row>
    <x:row r="254">
      <x:c r="A254" s="34" t="str">
        <x:v>KOBE_STEEL_JP</x:v>
      </x:c>
      <x:c r="B254" s="34" t="str">
        <x:v>Kobe Steel</x:v>
      </x:c>
      <x:c r="C254" s="34" t="str">
        <x:v>DISCLOSED_PATH</x:v>
      </x:c>
      <x:c r="D254" s="34" t="str">
        <x:v>P3</x:v>
      </x:c>
      <x:c r="E254" s="34" t="n">
        <x:v>2038</x:v>
      </x:c>
      <x:c r="F254" s="34" t="n">
        <x:v>3</x:v>
      </x:c>
      <x:c r="G254" s="34" t="n">
        <x:v>3.151499</x:v>
      </x:c>
      <x:c r="H254" s="34" t="n">
        <x:v>4.6</x:v>
      </x:c>
      <x:c r="I254" s="34" t="n">
        <x:v>1.448501</x:v>
      </x:c>
      <x:c r="J254" s="34" t="n">
        <x:v>68.511</x:v>
      </x:c>
      <x:c r="K254" s="34" t="n">
        <x:v>0.16225</x:v>
      </x:c>
      <x:c r="L254" s="34" t="n">
        <x:v>0.64</x:v>
      </x:c>
      <x:c r="M254" s="34" t="n">
        <x:v>0.47775</x:v>
      </x:c>
      <x:c r="N254" s="34" t="n">
        <x:v>25.352</x:v>
      </x:c>
      <x:c r="O254" s="34" t="n">
        <x:v>2.988599</x:v>
      </x:c>
      <x:c r="P254" s="34" t="n">
        <x:v>4.2</x:v>
      </x:c>
      <x:c r="Q254" s="34" t="n">
        <x:v>1.211401</x:v>
      </x:c>
      <x:c r="R254" s="34" t="n">
        <x:v>71.157</x:v>
      </x:c>
      <x:c r="S254" s="40" t="b">
        <x:v>1</x:v>
      </x:c>
      <x:c r="T254" s="34" t="str">
        <x:v>model_interpolation</x:v>
      </x:c>
      <x:c r="U254" s="34" t="str">
        <x:v>Linear interpolation from 2035 to 2040</x:v>
      </x:c>
      <x:c r="V254" s="34" t="str">
        <x:v>CAND-4D158AE8BC3521</x:v>
      </x:c>
      <x:c r="W254" s="34" t="str">
        <x:v>P3</x:v>
      </x:c>
      <x:c r="X254" s="34" t="str">
        <x:v>PORT-1144EBE63B41</x:v>
      </x:c>
      <x:c r="Y254" s="34" t="n">
        <x:v>1000</x:v>
      </x:c>
      <x:c r="Z254" s="34" t="n">
        <x:v>145.802222</x:v>
      </x:c>
      <x:c r="AA254" s="34" t="n">
        <x:v>26.900501</x:v>
      </x:c>
      <x:c r="AB254" s="34" t="n">
        <x:v>102.391093</x:v>
      </x:c>
      <x:c r="AC254" s="34" t="n">
        <x:v>14716.433</x:v>
      </x:c>
      <x:c r="AD254" s="34" t="n">
        <x:v>143.727666</x:v>
      </x:c>
      <x:c r="AE254" s="40" t="b">
        <x:v>1</x:v>
      </x:c>
      <x:c r="AF254" s="40" t="b">
        <x:v>1</x:v>
      </x:c>
      <x:c r="AG254" s="34" t="str"/>
      <x:c r="AH254" s="34" t="n">
        <x:v>0</x:v>
      </x:c>
      <x:c r="AI254" s="34" t="str">
        <x:v>9.990856690045291e-05</x:v>
      </x:c>
      <x:c r="AJ254" s="40" t="b">
        <x:v>1</x:v>
      </x:c>
      <x:c r="AK254" s="40" t="b">
        <x:v>1</x:v>
      </x:c>
      <x:c r="AL254" s="40" t="b">
        <x:v>1</x:v>
      </x:c>
      <x:c r="AM254" s="40" t="b">
        <x:v>1</x:v>
      </x:c>
      <x:c r="AN254" s="34" t="str"/>
      <x:c r="AO254" s="34" t="n">
        <x:v>0</x:v>
      </x:c>
      <x:c r="AP254" s="34" t="n">
        <x:v>0</x:v>
      </x:c>
      <x:c r="AQ254" s="34" t="n">
        <x:v>0</x:v>
      </x:c>
      <x:c r="AR254" s="34" t="n">
        <x:v>1</x:v>
      </x:c>
      <x:c r="AS254" s="34" t="n">
        <x:v>1</x:v>
      </x:c>
      <x:c r="AT254" s="34" t="n">
        <x:v>0.28332</x:v>
      </x:c>
      <x:c r="AU254" s="34" t="n">
        <x:v>0.6</x:v>
      </x:c>
      <x:c r="AV254" s="34" t="n">
        <x:v>1.06</x:v>
      </x:c>
    </x:row>
    <x:row r="255">
      <x:c r="A255" s="34" t="str">
        <x:v>KOBE_STEEL_JP</x:v>
      </x:c>
      <x:c r="B255" s="34" t="str">
        <x:v>Kobe Steel</x:v>
      </x:c>
      <x:c r="C255" s="34" t="str">
        <x:v>DISCLOSED_PATH</x:v>
      </x:c>
      <x:c r="D255" s="34" t="str">
        <x:v>P3</x:v>
      </x:c>
      <x:c r="E255" s="34" t="n">
        <x:v>2039</x:v>
      </x:c>
      <x:c r="F255" s="34" t="n">
        <x:v>3</x:v>
      </x:c>
      <x:c r="G255" s="34" t="n">
        <x:v>3.151499</x:v>
      </x:c>
      <x:c r="H255" s="34" t="n">
        <x:v>4.8</x:v>
      </x:c>
      <x:c r="I255" s="34" t="n">
        <x:v>1.648501</x:v>
      </x:c>
      <x:c r="J255" s="34" t="n">
        <x:v>65.656</x:v>
      </x:c>
      <x:c r="K255" s="34" t="n">
        <x:v>0.16225</x:v>
      </x:c>
      <x:c r="L255" s="34" t="n">
        <x:v>0.7200000000000001</x:v>
      </x:c>
      <x:c r="M255" s="34" t="n">
        <x:v>0.55775</x:v>
      </x:c>
      <x:c r="N255" s="34" t="n">
        <x:v>22.535</x:v>
      </x:c>
      <x:c r="O255" s="34" t="n">
        <x:v>2.988599</x:v>
      </x:c>
      <x:c r="P255" s="34" t="n">
        <x:v>4.6</x:v>
      </x:c>
      <x:c r="Q255" s="34" t="n">
        <x:v>1.611401</x:v>
      </x:c>
      <x:c r="R255" s="34" t="n">
        <x:v>64.97</x:v>
      </x:c>
      <x:c r="S255" s="40" t="b">
        <x:v>1</x:v>
      </x:c>
      <x:c r="T255" s="34" t="str">
        <x:v>model_interpolation</x:v>
      </x:c>
      <x:c r="U255" s="34" t="str">
        <x:v>Linear interpolation from 2035 to 2040</x:v>
      </x:c>
      <x:c r="V255" s="34" t="str">
        <x:v>CAND-4D158AE8BC3521</x:v>
      </x:c>
      <x:c r="W255" s="34" t="str">
        <x:v>P3</x:v>
      </x:c>
      <x:c r="X255" s="34" t="str">
        <x:v>PORT-1144EBE63B41</x:v>
      </x:c>
      <x:c r="Y255" s="34" t="n">
        <x:v>1000</x:v>
      </x:c>
      <x:c r="Z255" s="34" t="n">
        <x:v>145.802222</x:v>
      </x:c>
      <x:c r="AA255" s="34" t="n">
        <x:v>26.900501</x:v>
      </x:c>
      <x:c r="AB255" s="34" t="n">
        <x:v>102.391093</x:v>
      </x:c>
      <x:c r="AC255" s="34" t="n">
        <x:v>14716.433</x:v>
      </x:c>
      <x:c r="AD255" s="34" t="n">
        <x:v>143.727666</x:v>
      </x:c>
      <x:c r="AE255" s="40" t="b">
        <x:v>1</x:v>
      </x:c>
      <x:c r="AF255" s="40" t="b">
        <x:v>1</x:v>
      </x:c>
      <x:c r="AG255" s="34" t="str"/>
      <x:c r="AH255" s="34" t="n">
        <x:v>0</x:v>
      </x:c>
      <x:c r="AI255" s="34" t="str">
        <x:v>9.990856690045291e-05</x:v>
      </x:c>
      <x:c r="AJ255" s="40" t="b">
        <x:v>1</x:v>
      </x:c>
      <x:c r="AK255" s="40" t="b">
        <x:v>1</x:v>
      </x:c>
      <x:c r="AL255" s="40" t="b">
        <x:v>1</x:v>
      </x:c>
      <x:c r="AM255" s="40" t="b">
        <x:v>1</x:v>
      </x:c>
      <x:c r="AN255" s="34" t="str"/>
      <x:c r="AO255" s="34" t="n">
        <x:v>0</x:v>
      </x:c>
      <x:c r="AP255" s="34" t="n">
        <x:v>0</x:v>
      </x:c>
      <x:c r="AQ255" s="34" t="n">
        <x:v>0</x:v>
      </x:c>
      <x:c r="AR255" s="34" t="n">
        <x:v>1</x:v>
      </x:c>
      <x:c r="AS255" s="34" t="n">
        <x:v>1</x:v>
      </x:c>
      <x:c r="AT255" s="34" t="n">
        <x:v>0.28332</x:v>
      </x:c>
      <x:c r="AU255" s="34" t="n">
        <x:v>0.6</x:v>
      </x:c>
      <x:c r="AV255" s="34" t="n">
        <x:v>1.06</x:v>
      </x:c>
    </x:row>
    <x:row r="256">
      <x:c r="A256" s="34" t="str">
        <x:v>KOBE_STEEL_JP</x:v>
      </x:c>
      <x:c r="B256" s="34" t="str">
        <x:v>Kobe Steel</x:v>
      </x:c>
      <x:c r="C256" s="34" t="str">
        <x:v>DISCLOSED_PATH</x:v>
      </x:c>
      <x:c r="D256" s="34" t="str">
        <x:v>P3</x:v>
      </x:c>
      <x:c r="E256" s="34" t="n">
        <x:v>2040</x:v>
      </x:c>
      <x:c r="F256" s="34" t="n">
        <x:v>3</x:v>
      </x:c>
      <x:c r="G256" s="34" t="n">
        <x:v>3.151499</x:v>
      </x:c>
      <x:c r="H256" s="34" t="n">
        <x:v>5</x:v>
      </x:c>
      <x:c r="I256" s="34" t="n">
        <x:v>1.848501</x:v>
      </x:c>
      <x:c r="J256" s="34" t="n">
        <x:v>63.03</x:v>
      </x:c>
      <x:c r="K256" s="34" t="n">
        <x:v>0.16225</x:v>
      </x:c>
      <x:c r="L256" s="34" t="n">
        <x:v>0.8</x:v>
      </x:c>
      <x:c r="M256" s="34" t="n">
        <x:v>0.63775</x:v>
      </x:c>
      <x:c r="N256" s="34" t="n">
        <x:v>20.281</x:v>
      </x:c>
      <x:c r="O256" s="34" t="n">
        <x:v>2.988599</x:v>
      </x:c>
      <x:c r="P256" s="34" t="n">
        <x:v>5</x:v>
      </x:c>
      <x:c r="Q256" s="34" t="n">
        <x:v>2.011401</x:v>
      </x:c>
      <x:c r="R256" s="34" t="n">
        <x:v>59.772</x:v>
      </x:c>
      <x:c r="S256" s="40" t="b">
        <x:v>1</x:v>
      </x:c>
      <x:c r="T256" s="34" t="str">
        <x:v>model_estimate</x:v>
      </x:c>
      <x:c r="U256" s="34" t="str">
        <x:v>Illustrative screening envelope; not an official supply forecast</x:v>
      </x:c>
      <x:c r="V256" s="34" t="str">
        <x:v>CAND-4D158AE8BC3521</x:v>
      </x:c>
      <x:c r="W256" s="34" t="str">
        <x:v>P3</x:v>
      </x:c>
      <x:c r="X256" s="34" t="str">
        <x:v>PORT-1144EBE63B41</x:v>
      </x:c>
      <x:c r="Y256" s="34" t="n">
        <x:v>1000</x:v>
      </x:c>
      <x:c r="Z256" s="34" t="n">
        <x:v>145.802222</x:v>
      </x:c>
      <x:c r="AA256" s="34" t="n">
        <x:v>26.900501</x:v>
      </x:c>
      <x:c r="AB256" s="34" t="n">
        <x:v>102.391093</x:v>
      </x:c>
      <x:c r="AC256" s="34" t="n">
        <x:v>14716.433</x:v>
      </x:c>
      <x:c r="AD256" s="34" t="n">
        <x:v>143.727666</x:v>
      </x:c>
      <x:c r="AE256" s="40" t="b">
        <x:v>1</x:v>
      </x:c>
      <x:c r="AF256" s="40" t="b">
        <x:v>1</x:v>
      </x:c>
      <x:c r="AG256" s="34" t="str"/>
      <x:c r="AH256" s="34" t="n">
        <x:v>0</x:v>
      </x:c>
      <x:c r="AI256" s="34" t="str">
        <x:v>9.990856690045291e-05</x:v>
      </x:c>
      <x:c r="AJ256" s="40" t="b">
        <x:v>1</x:v>
      </x:c>
      <x:c r="AK256" s="40" t="b">
        <x:v>1</x:v>
      </x:c>
      <x:c r="AL256" s="40" t="b">
        <x:v>1</x:v>
      </x:c>
      <x:c r="AM256" s="40" t="b">
        <x:v>1</x:v>
      </x:c>
      <x:c r="AN256" s="34" t="str"/>
      <x:c r="AO256" s="34" t="n">
        <x:v>0</x:v>
      </x:c>
      <x:c r="AP256" s="34" t="n">
        <x:v>0</x:v>
      </x:c>
      <x:c r="AQ256" s="34" t="n">
        <x:v>0</x:v>
      </x:c>
      <x:c r="AR256" s="34" t="n">
        <x:v>1</x:v>
      </x:c>
      <x:c r="AS256" s="34" t="n">
        <x:v>1</x:v>
      </x:c>
      <x:c r="AT256" s="34" t="n">
        <x:v>0.28332</x:v>
      </x:c>
      <x:c r="AU256" s="34" t="n">
        <x:v>0.6</x:v>
      </x:c>
      <x:c r="AV256" s="34" t="n">
        <x:v>1.06</x:v>
      </x:c>
    </x:row>
    <x:row r="257">
      <x:c r="A257" s="34" t="str">
        <x:v>KOBE_STEEL_JP</x:v>
      </x:c>
      <x:c r="B257" s="34" t="str">
        <x:v>Kobe Steel</x:v>
      </x:c>
      <x:c r="C257" s="34" t="str">
        <x:v>ACCELERATED_15C</x:v>
      </x:c>
      <x:c r="D257" s="34" t="str">
        <x:v>P3</x:v>
      </x:c>
      <x:c r="E257" s="34" t="n">
        <x:v>2026</x:v>
      </x:c>
      <x:c r="F257" s="34" t="n">
        <x:v>0</x:v>
      </x:c>
      <x:c r="G257" s="34" t="n">
        <x:v>0</x:v>
      </x:c>
      <x:c r="H257" s="34" t="n">
        <x:v>2</x:v>
      </x:c>
      <x:c r="I257" s="34" t="n">
        <x:v>2</x:v>
      </x:c>
      <x:c r="J257" s="34" t="n">
        <x:v>0</x:v>
      </x:c>
      <x:c r="K257" s="34" t="n">
        <x:v>0</x:v>
      </x:c>
      <x:c r="L257" s="34" t="n">
        <x:v>0.2</x:v>
      </x:c>
      <x:c r="M257" s="34" t="n">
        <x:v>0.2</x:v>
      </x:c>
      <x:c r="N257" s="34" t="n">
        <x:v>0</x:v>
      </x:c>
      <x:c r="O257" s="34" t="n">
        <x:v>0</x:v>
      </x:c>
      <x:c r="P257" s="34" t="n">
        <x:v>1</x:v>
      </x:c>
      <x:c r="Q257" s="34" t="n">
        <x:v>1</x:v>
      </x:c>
      <x:c r="R257" s="34" t="n">
        <x:v>0</x:v>
      </x:c>
      <x:c r="S257" s="40" t="b">
        <x:v>1</x:v>
      </x:c>
      <x:c r="T257" s="34" t="str">
        <x:v>model_interpolation</x:v>
      </x:c>
      <x:c r="U257" s="34" t="str">
        <x:v>Linear interpolation from 2026 to 2030</x:v>
      </x:c>
      <x:c r="V257" s="34" t="str">
        <x:v>CAND-4D158AE8BC3521</x:v>
      </x:c>
      <x:c r="W257" s="34" t="str">
        <x:v>P3</x:v>
      </x:c>
      <x:c r="X257" s="34" t="str">
        <x:v>PORT-1144EBE63B41</x:v>
      </x:c>
      <x:c r="Y257" s="34" t="n">
        <x:v>1000</x:v>
      </x:c>
      <x:c r="Z257" s="34" t="n">
        <x:v>135.453174</x:v>
      </x:c>
      <x:c r="AA257" s="34" t="n">
        <x:v>27.940397</x:v>
      </x:c>
      <x:c r="AB257" s="34" t="n">
        <x:v>102.391093</x:v>
      </x:c>
      <x:c r="AC257" s="34" t="n">
        <x:v>13664.434</x:v>
      </x:c>
      <x:c r="AD257" s="34" t="n">
        <x:v>133.453347</x:v>
      </x:c>
      <x:c r="AE257" s="40" t="b">
        <x:v>1</x:v>
      </x:c>
      <x:c r="AF257" s="40" t="b">
        <x:v>1</x:v>
      </x:c>
      <x:c r="AG257" s="34" t="str"/>
      <x:c r="AH257" s="34" t="n">
        <x:v>0</x:v>
      </x:c>
      <x:c r="AI257" s="34" t="str">
        <x:v>9.990856690045291e-05</x:v>
      </x:c>
      <x:c r="AJ257" s="40" t="b">
        <x:v>1</x:v>
      </x:c>
      <x:c r="AK257" s="40" t="b">
        <x:v>1</x:v>
      </x:c>
      <x:c r="AL257" s="40" t="b">
        <x:v>1</x:v>
      </x:c>
      <x:c r="AM257" s="40" t="b">
        <x:v>1</x:v>
      </x:c>
      <x:c r="AN257" s="34" t="str"/>
      <x:c r="AO257" s="34" t="n">
        <x:v>0</x:v>
      </x:c>
      <x:c r="AP257" s="34" t="n">
        <x:v>0</x:v>
      </x:c>
      <x:c r="AQ257" s="34" t="n">
        <x:v>0</x:v>
      </x:c>
      <x:c r="AR257" s="34" t="n">
        <x:v>1</x:v>
      </x:c>
      <x:c r="AS257" s="34" t="n">
        <x:v>1</x:v>
      </x:c>
      <x:c r="AT257" s="34" t="n">
        <x:v>0.28332</x:v>
      </x:c>
      <x:c r="AU257" s="34" t="n">
        <x:v>0.6</x:v>
      </x:c>
      <x:c r="AV257" s="34" t="n">
        <x:v>1.06</x:v>
      </x:c>
    </x:row>
    <x:row r="258">
      <x:c r="A258" s="34" t="str">
        <x:v>KOBE_STEEL_JP</x:v>
      </x:c>
      <x:c r="B258" s="34" t="str">
        <x:v>Kobe Steel</x:v>
      </x:c>
      <x:c r="C258" s="34" t="str">
        <x:v>ACCELERATED_15C</x:v>
      </x:c>
      <x:c r="D258" s="34" t="str">
        <x:v>P3</x:v>
      </x:c>
      <x:c r="E258" s="34" t="n">
        <x:v>2027</x:v>
      </x:c>
      <x:c r="F258" s="34" t="n">
        <x:v>0</x:v>
      </x:c>
      <x:c r="G258" s="34" t="n">
        <x:v>0</x:v>
      </x:c>
      <x:c r="H258" s="34" t="n">
        <x:v>2.25</x:v>
      </x:c>
      <x:c r="I258" s="34" t="n">
        <x:v>2.25</x:v>
      </x:c>
      <x:c r="J258" s="34" t="n">
        <x:v>0</x:v>
      </x:c>
      <x:c r="K258" s="34" t="n">
        <x:v>0</x:v>
      </x:c>
      <x:c r="L258" s="34" t="n">
        <x:v>0.25</x:v>
      </x:c>
      <x:c r="M258" s="34" t="n">
        <x:v>0.25</x:v>
      </x:c>
      <x:c r="N258" s="34" t="n">
        <x:v>0</x:v>
      </x:c>
      <x:c r="O258" s="34" t="n">
        <x:v>0</x:v>
      </x:c>
      <x:c r="P258" s="34" t="n">
        <x:v>1.375</x:v>
      </x:c>
      <x:c r="Q258" s="34" t="n">
        <x:v>1.375</x:v>
      </x:c>
      <x:c r="R258" s="34" t="n">
        <x:v>0</x:v>
      </x:c>
      <x:c r="S258" s="40" t="b">
        <x:v>1</x:v>
      </x:c>
      <x:c r="T258" s="34" t="str">
        <x:v>model_interpolation</x:v>
      </x:c>
      <x:c r="U258" s="34" t="str">
        <x:v>Linear interpolation from 2026 to 2030</x:v>
      </x:c>
      <x:c r="V258" s="34" t="str">
        <x:v>CAND-4D158AE8BC3521</x:v>
      </x:c>
      <x:c r="W258" s="34" t="str">
        <x:v>P3</x:v>
      </x:c>
      <x:c r="X258" s="34" t="str">
        <x:v>PORT-1144EBE63B41</x:v>
      </x:c>
      <x:c r="Y258" s="34" t="n">
        <x:v>1000</x:v>
      </x:c>
      <x:c r="Z258" s="34" t="n">
        <x:v>135.453174</x:v>
      </x:c>
      <x:c r="AA258" s="34" t="n">
        <x:v>27.940397</x:v>
      </x:c>
      <x:c r="AB258" s="34" t="n">
        <x:v>102.391093</x:v>
      </x:c>
      <x:c r="AC258" s="34" t="n">
        <x:v>13664.434</x:v>
      </x:c>
      <x:c r="AD258" s="34" t="n">
        <x:v>133.453347</x:v>
      </x:c>
      <x:c r="AE258" s="40" t="b">
        <x:v>1</x:v>
      </x:c>
      <x:c r="AF258" s="40" t="b">
        <x:v>1</x:v>
      </x:c>
      <x:c r="AG258" s="34" t="str"/>
      <x:c r="AH258" s="34" t="n">
        <x:v>0</x:v>
      </x:c>
      <x:c r="AI258" s="34" t="str">
        <x:v>9.990856690045291e-05</x:v>
      </x:c>
      <x:c r="AJ258" s="40" t="b">
        <x:v>1</x:v>
      </x:c>
      <x:c r="AK258" s="40" t="b">
        <x:v>1</x:v>
      </x:c>
      <x:c r="AL258" s="40" t="b">
        <x:v>1</x:v>
      </x:c>
      <x:c r="AM258" s="40" t="b">
        <x:v>1</x:v>
      </x:c>
      <x:c r="AN258" s="34" t="str"/>
      <x:c r="AO258" s="34" t="n">
        <x:v>0</x:v>
      </x:c>
      <x:c r="AP258" s="34" t="n">
        <x:v>0</x:v>
      </x:c>
      <x:c r="AQ258" s="34" t="n">
        <x:v>0</x:v>
      </x:c>
      <x:c r="AR258" s="34" t="n">
        <x:v>1</x:v>
      </x:c>
      <x:c r="AS258" s="34" t="n">
        <x:v>1</x:v>
      </x:c>
      <x:c r="AT258" s="34" t="n">
        <x:v>0.28332</x:v>
      </x:c>
      <x:c r="AU258" s="34" t="n">
        <x:v>0.6</x:v>
      </x:c>
      <x:c r="AV258" s="34" t="n">
        <x:v>1.06</x:v>
      </x:c>
    </x:row>
    <x:row r="259">
      <x:c r="A259" s="34" t="str">
        <x:v>KOBE_STEEL_JP</x:v>
      </x:c>
      <x:c r="B259" s="34" t="str">
        <x:v>Kobe Steel</x:v>
      </x:c>
      <x:c r="C259" s="34" t="str">
        <x:v>ACCELERATED_15C</x:v>
      </x:c>
      <x:c r="D259" s="34" t="str">
        <x:v>P3</x:v>
      </x:c>
      <x:c r="E259" s="34" t="n">
        <x:v>2028</x:v>
      </x:c>
      <x:c r="F259" s="34" t="n">
        <x:v>0</x:v>
      </x:c>
      <x:c r="G259" s="34" t="n">
        <x:v>0</x:v>
      </x:c>
      <x:c r="H259" s="34" t="n">
        <x:v>2.5</x:v>
      </x:c>
      <x:c r="I259" s="34" t="n">
        <x:v>2.5</x:v>
      </x:c>
      <x:c r="J259" s="34" t="n">
        <x:v>0</x:v>
      </x:c>
      <x:c r="K259" s="34" t="n">
        <x:v>0</x:v>
      </x:c>
      <x:c r="L259" s="34" t="n">
        <x:v>0.30000000000000004</x:v>
      </x:c>
      <x:c r="M259" s="34" t="n">
        <x:v>0.3</x:v>
      </x:c>
      <x:c r="N259" s="34" t="n">
        <x:v>0</x:v>
      </x:c>
      <x:c r="O259" s="34" t="n">
        <x:v>0</x:v>
      </x:c>
      <x:c r="P259" s="34" t="n">
        <x:v>1.75</x:v>
      </x:c>
      <x:c r="Q259" s="34" t="n">
        <x:v>1.75</x:v>
      </x:c>
      <x:c r="R259" s="34" t="n">
        <x:v>0</x:v>
      </x:c>
      <x:c r="S259" s="40" t="b">
        <x:v>1</x:v>
      </x:c>
      <x:c r="T259" s="34" t="str">
        <x:v>model_interpolation</x:v>
      </x:c>
      <x:c r="U259" s="34" t="str">
        <x:v>Linear interpolation from 2026 to 2030</x:v>
      </x:c>
      <x:c r="V259" s="34" t="str">
        <x:v>CAND-4D158AE8BC3521</x:v>
      </x:c>
      <x:c r="W259" s="34" t="str">
        <x:v>P3</x:v>
      </x:c>
      <x:c r="X259" s="34" t="str">
        <x:v>PORT-1144EBE63B41</x:v>
      </x:c>
      <x:c r="Y259" s="34" t="n">
        <x:v>1000</x:v>
      </x:c>
      <x:c r="Z259" s="34" t="n">
        <x:v>135.453174</x:v>
      </x:c>
      <x:c r="AA259" s="34" t="n">
        <x:v>27.940397</x:v>
      </x:c>
      <x:c r="AB259" s="34" t="n">
        <x:v>102.391093</x:v>
      </x:c>
      <x:c r="AC259" s="34" t="n">
        <x:v>13664.434</x:v>
      </x:c>
      <x:c r="AD259" s="34" t="n">
        <x:v>133.453347</x:v>
      </x:c>
      <x:c r="AE259" s="40" t="b">
        <x:v>1</x:v>
      </x:c>
      <x:c r="AF259" s="40" t="b">
        <x:v>1</x:v>
      </x:c>
      <x:c r="AG259" s="34" t="str"/>
      <x:c r="AH259" s="34" t="n">
        <x:v>0</x:v>
      </x:c>
      <x:c r="AI259" s="34" t="str">
        <x:v>9.990856690045291e-05</x:v>
      </x:c>
      <x:c r="AJ259" s="40" t="b">
        <x:v>1</x:v>
      </x:c>
      <x:c r="AK259" s="40" t="b">
        <x:v>1</x:v>
      </x:c>
      <x:c r="AL259" s="40" t="b">
        <x:v>1</x:v>
      </x:c>
      <x:c r="AM259" s="40" t="b">
        <x:v>1</x:v>
      </x:c>
      <x:c r="AN259" s="34" t="str"/>
      <x:c r="AO259" s="34" t="n">
        <x:v>0</x:v>
      </x:c>
      <x:c r="AP259" s="34" t="n">
        <x:v>0</x:v>
      </x:c>
      <x:c r="AQ259" s="34" t="n">
        <x:v>0</x:v>
      </x:c>
      <x:c r="AR259" s="34" t="n">
        <x:v>1</x:v>
      </x:c>
      <x:c r="AS259" s="34" t="n">
        <x:v>1</x:v>
      </x:c>
      <x:c r="AT259" s="34" t="n">
        <x:v>0.28332</x:v>
      </x:c>
      <x:c r="AU259" s="34" t="n">
        <x:v>0.6</x:v>
      </x:c>
      <x:c r="AV259" s="34" t="n">
        <x:v>1.06</x:v>
      </x:c>
    </x:row>
    <x:row r="260">
      <x:c r="A260" s="34" t="str">
        <x:v>KOBE_STEEL_JP</x:v>
      </x:c>
      <x:c r="B260" s="34" t="str">
        <x:v>Kobe Steel</x:v>
      </x:c>
      <x:c r="C260" s="34" t="str">
        <x:v>ACCELERATED_15C</x:v>
      </x:c>
      <x:c r="D260" s="34" t="str">
        <x:v>P3</x:v>
      </x:c>
      <x:c r="E260" s="34" t="n">
        <x:v>2029</x:v>
      </x:c>
      <x:c r="F260" s="34" t="n">
        <x:v>1</x:v>
      </x:c>
      <x:c r="G260" s="34" t="n">
        <x:v>0.4425</x:v>
      </x:c>
      <x:c r="H260" s="34" t="n">
        <x:v>2.75</x:v>
      </x:c>
      <x:c r="I260" s="34" t="n">
        <x:v>2.3075</x:v>
      </x:c>
      <x:c r="J260" s="34" t="n">
        <x:v>16.091</x:v>
      </x:c>
      <x:c r="K260" s="34" t="n">
        <x:v>0.16225</x:v>
      </x:c>
      <x:c r="L260" s="34" t="n">
        <x:v>0.35000000000000003</x:v>
      </x:c>
      <x:c r="M260" s="34" t="n">
        <x:v>0.18775</x:v>
      </x:c>
      <x:c r="N260" s="34" t="n">
        <x:v>46.357</x:v>
      </x:c>
      <x:c r="O260" s="34" t="n">
        <x:v>1.357</x:v>
      </x:c>
      <x:c r="P260" s="34" t="n">
        <x:v>2.125</x:v>
      </x:c>
      <x:c r="Q260" s="34" t="n">
        <x:v>0.768</x:v>
      </x:c>
      <x:c r="R260" s="34" t="n">
        <x:v>63.859</x:v>
      </x:c>
      <x:c r="S260" s="40" t="b">
        <x:v>1</x:v>
      </x:c>
      <x:c r="T260" s="34" t="str">
        <x:v>model_interpolation</x:v>
      </x:c>
      <x:c r="U260" s="34" t="str">
        <x:v>Linear interpolation from 2026 to 2030</x:v>
      </x:c>
      <x:c r="V260" s="34" t="str">
        <x:v>CAND-4D158AE8BC3521</x:v>
      </x:c>
      <x:c r="W260" s="34" t="str">
        <x:v>P3</x:v>
      </x:c>
      <x:c r="X260" s="34" t="str">
        <x:v>PORT-1144EBE63B41</x:v>
      </x:c>
      <x:c r="Y260" s="34" t="n">
        <x:v>1000</x:v>
      </x:c>
      <x:c r="Z260" s="34" t="n">
        <x:v>135.453174</x:v>
      </x:c>
      <x:c r="AA260" s="34" t="n">
        <x:v>27.940397</x:v>
      </x:c>
      <x:c r="AB260" s="34" t="n">
        <x:v>102.391093</x:v>
      </x:c>
      <x:c r="AC260" s="34" t="n">
        <x:v>13664.434</x:v>
      </x:c>
      <x:c r="AD260" s="34" t="n">
        <x:v>133.453347</x:v>
      </x:c>
      <x:c r="AE260" s="40" t="b">
        <x:v>1</x:v>
      </x:c>
      <x:c r="AF260" s="40" t="b">
        <x:v>1</x:v>
      </x:c>
      <x:c r="AG260" s="34" t="str"/>
      <x:c r="AH260" s="34" t="n">
        <x:v>0</x:v>
      </x:c>
      <x:c r="AI260" s="34" t="str">
        <x:v>9.990856690045291e-05</x:v>
      </x:c>
      <x:c r="AJ260" s="40" t="b">
        <x:v>1</x:v>
      </x:c>
      <x:c r="AK260" s="40" t="b">
        <x:v>1</x:v>
      </x:c>
      <x:c r="AL260" s="40" t="b">
        <x:v>1</x:v>
      </x:c>
      <x:c r="AM260" s="40" t="b">
        <x:v>1</x:v>
      </x:c>
      <x:c r="AN260" s="34" t="str"/>
      <x:c r="AO260" s="34" t="n">
        <x:v>0</x:v>
      </x:c>
      <x:c r="AP260" s="34" t="n">
        <x:v>0</x:v>
      </x:c>
      <x:c r="AQ260" s="34" t="n">
        <x:v>0</x:v>
      </x:c>
      <x:c r="AR260" s="34" t="n">
        <x:v>1</x:v>
      </x:c>
      <x:c r="AS260" s="34" t="n">
        <x:v>1</x:v>
      </x:c>
      <x:c r="AT260" s="34" t="n">
        <x:v>0.28332</x:v>
      </x:c>
      <x:c r="AU260" s="34" t="n">
        <x:v>0.6</x:v>
      </x:c>
      <x:c r="AV260" s="34" t="n">
        <x:v>1.06</x:v>
      </x:c>
    </x:row>
    <x:row r="261">
      <x:c r="A261" s="34" t="str">
        <x:v>KOBE_STEEL_JP</x:v>
      </x:c>
      <x:c r="B261" s="34" t="str">
        <x:v>Kobe Steel</x:v>
      </x:c>
      <x:c r="C261" s="34" t="str">
        <x:v>ACCELERATED_15C</x:v>
      </x:c>
      <x:c r="D261" s="34" t="str">
        <x:v>P3</x:v>
      </x:c>
      <x:c r="E261" s="34" t="n">
        <x:v>2030</x:v>
      </x:c>
      <x:c r="F261" s="34" t="n">
        <x:v>1</x:v>
      </x:c>
      <x:c r="G261" s="34" t="n">
        <x:v>0.4425</x:v>
      </x:c>
      <x:c r="H261" s="34" t="n">
        <x:v>3</x:v>
      </x:c>
      <x:c r="I261" s="34" t="n">
        <x:v>2.5575</x:v>
      </x:c>
      <x:c r="J261" s="34" t="n">
        <x:v>14.75</x:v>
      </x:c>
      <x:c r="K261" s="34" t="n">
        <x:v>0.16225</x:v>
      </x:c>
      <x:c r="L261" s="34" t="n">
        <x:v>0.4</x:v>
      </x:c>
      <x:c r="M261" s="34" t="n">
        <x:v>0.23775</x:v>
      </x:c>
      <x:c r="N261" s="34" t="n">
        <x:v>40.563</x:v>
      </x:c>
      <x:c r="O261" s="34" t="n">
        <x:v>1.357</x:v>
      </x:c>
      <x:c r="P261" s="34" t="n">
        <x:v>2.5</x:v>
      </x:c>
      <x:c r="Q261" s="34" t="n">
        <x:v>1.143</x:v>
      </x:c>
      <x:c r="R261" s="34" t="n">
        <x:v>54.28</x:v>
      </x:c>
      <x:c r="S261" s="40" t="b">
        <x:v>1</x:v>
      </x:c>
      <x:c r="T261" s="34" t="str">
        <x:v>model_interpolation</x:v>
      </x:c>
      <x:c r="U261" s="34" t="str">
        <x:v>Linear interpolation from 2030 to 2035</x:v>
      </x:c>
      <x:c r="V261" s="34" t="str">
        <x:v>CAND-4D158AE8BC3521</x:v>
      </x:c>
      <x:c r="W261" s="34" t="str">
        <x:v>P3</x:v>
      </x:c>
      <x:c r="X261" s="34" t="str">
        <x:v>PORT-1144EBE63B41</x:v>
      </x:c>
      <x:c r="Y261" s="34" t="n">
        <x:v>1000</x:v>
      </x:c>
      <x:c r="Z261" s="34" t="n">
        <x:v>135.453174</x:v>
      </x:c>
      <x:c r="AA261" s="34" t="n">
        <x:v>27.940397</x:v>
      </x:c>
      <x:c r="AB261" s="34" t="n">
        <x:v>102.391093</x:v>
      </x:c>
      <x:c r="AC261" s="34" t="n">
        <x:v>13664.434</x:v>
      </x:c>
      <x:c r="AD261" s="34" t="n">
        <x:v>133.453347</x:v>
      </x:c>
      <x:c r="AE261" s="40" t="b">
        <x:v>1</x:v>
      </x:c>
      <x:c r="AF261" s="40" t="b">
        <x:v>1</x:v>
      </x:c>
      <x:c r="AG261" s="34" t="str"/>
      <x:c r="AH261" s="34" t="n">
        <x:v>0</x:v>
      </x:c>
      <x:c r="AI261" s="34" t="str">
        <x:v>9.990856690045291e-05</x:v>
      </x:c>
      <x:c r="AJ261" s="40" t="b">
        <x:v>1</x:v>
      </x:c>
      <x:c r="AK261" s="40" t="b">
        <x:v>1</x:v>
      </x:c>
      <x:c r="AL261" s="40" t="b">
        <x:v>1</x:v>
      </x:c>
      <x:c r="AM261" s="40" t="b">
        <x:v>1</x:v>
      </x:c>
      <x:c r="AN261" s="34" t="str"/>
      <x:c r="AO261" s="34" t="n">
        <x:v>0</x:v>
      </x:c>
      <x:c r="AP261" s="34" t="n">
        <x:v>0</x:v>
      </x:c>
      <x:c r="AQ261" s="34" t="n">
        <x:v>0</x:v>
      </x:c>
      <x:c r="AR261" s="34" t="n">
        <x:v>1</x:v>
      </x:c>
      <x:c r="AS261" s="34" t="n">
        <x:v>1</x:v>
      </x:c>
      <x:c r="AT261" s="34" t="n">
        <x:v>0.28332</x:v>
      </x:c>
      <x:c r="AU261" s="34" t="n">
        <x:v>0.6</x:v>
      </x:c>
      <x:c r="AV261" s="34" t="n">
        <x:v>1.06</x:v>
      </x:c>
    </x:row>
    <x:row r="262">
      <x:c r="A262" s="34" t="str">
        <x:v>KOBE_STEEL_JP</x:v>
      </x:c>
      <x:c r="B262" s="34" t="str">
        <x:v>Kobe Steel</x:v>
      </x:c>
      <x:c r="C262" s="34" t="str">
        <x:v>ACCELERATED_15C</x:v>
      </x:c>
      <x:c r="D262" s="34" t="str">
        <x:v>P3</x:v>
      </x:c>
      <x:c r="E262" s="34" t="n">
        <x:v>2031</x:v>
      </x:c>
      <x:c r="F262" s="34" t="n">
        <x:v>1</x:v>
      </x:c>
      <x:c r="G262" s="34" t="n">
        <x:v>0.4425</x:v>
      </x:c>
      <x:c r="H262" s="34" t="n">
        <x:v>3.4</x:v>
      </x:c>
      <x:c r="I262" s="34" t="n">
        <x:v>2.9575</x:v>
      </x:c>
      <x:c r="J262" s="34" t="n">
        <x:v>13.015</x:v>
      </x:c>
      <x:c r="K262" s="34" t="n">
        <x:v>0.16225</x:v>
      </x:c>
      <x:c r="L262" s="34" t="n">
        <x:v>0.44</x:v>
      </x:c>
      <x:c r="M262" s="34" t="n">
        <x:v>0.27775</x:v>
      </x:c>
      <x:c r="N262" s="34" t="n">
        <x:v>36.875</x:v>
      </x:c>
      <x:c r="O262" s="34" t="n">
        <x:v>1.357</x:v>
      </x:c>
      <x:c r="P262" s="34" t="n">
        <x:v>2.8</x:v>
      </x:c>
      <x:c r="Q262" s="34" t="n">
        <x:v>1.443</x:v>
      </x:c>
      <x:c r="R262" s="34" t="n">
        <x:v>48.464</x:v>
      </x:c>
      <x:c r="S262" s="40" t="b">
        <x:v>1</x:v>
      </x:c>
      <x:c r="T262" s="34" t="str">
        <x:v>model_interpolation</x:v>
      </x:c>
      <x:c r="U262" s="34" t="str">
        <x:v>Linear interpolation from 2030 to 2035</x:v>
      </x:c>
      <x:c r="V262" s="34" t="str">
        <x:v>CAND-4D158AE8BC3521</x:v>
      </x:c>
      <x:c r="W262" s="34" t="str">
        <x:v>P3</x:v>
      </x:c>
      <x:c r="X262" s="34" t="str">
        <x:v>PORT-1144EBE63B41</x:v>
      </x:c>
      <x:c r="Y262" s="34" t="n">
        <x:v>1000</x:v>
      </x:c>
      <x:c r="Z262" s="34" t="n">
        <x:v>135.453174</x:v>
      </x:c>
      <x:c r="AA262" s="34" t="n">
        <x:v>27.940397</x:v>
      </x:c>
      <x:c r="AB262" s="34" t="n">
        <x:v>102.391093</x:v>
      </x:c>
      <x:c r="AC262" s="34" t="n">
        <x:v>13664.434</x:v>
      </x:c>
      <x:c r="AD262" s="34" t="n">
        <x:v>133.453347</x:v>
      </x:c>
      <x:c r="AE262" s="40" t="b">
        <x:v>1</x:v>
      </x:c>
      <x:c r="AF262" s="40" t="b">
        <x:v>1</x:v>
      </x:c>
      <x:c r="AG262" s="34" t="str"/>
      <x:c r="AH262" s="34" t="n">
        <x:v>0</x:v>
      </x:c>
      <x:c r="AI262" s="34" t="str">
        <x:v>9.990856690045291e-05</x:v>
      </x:c>
      <x:c r="AJ262" s="40" t="b">
        <x:v>1</x:v>
      </x:c>
      <x:c r="AK262" s="40" t="b">
        <x:v>1</x:v>
      </x:c>
      <x:c r="AL262" s="40" t="b">
        <x:v>1</x:v>
      </x:c>
      <x:c r="AM262" s="40" t="b">
        <x:v>1</x:v>
      </x:c>
      <x:c r="AN262" s="34" t="str"/>
      <x:c r="AO262" s="34" t="n">
        <x:v>0</x:v>
      </x:c>
      <x:c r="AP262" s="34" t="n">
        <x:v>0</x:v>
      </x:c>
      <x:c r="AQ262" s="34" t="n">
        <x:v>0</x:v>
      </x:c>
      <x:c r="AR262" s="34" t="n">
        <x:v>1</x:v>
      </x:c>
      <x:c r="AS262" s="34" t="n">
        <x:v>1</x:v>
      </x:c>
      <x:c r="AT262" s="34" t="n">
        <x:v>0.28332</x:v>
      </x:c>
      <x:c r="AU262" s="34" t="n">
        <x:v>0.6</x:v>
      </x:c>
      <x:c r="AV262" s="34" t="n">
        <x:v>1.06</x:v>
      </x:c>
    </x:row>
    <x:row r="263">
      <x:c r="A263" s="34" t="str">
        <x:v>KOBE_STEEL_JP</x:v>
      </x:c>
      <x:c r="B263" s="34" t="str">
        <x:v>Kobe Steel</x:v>
      </x:c>
      <x:c r="C263" s="34" t="str">
        <x:v>ACCELERATED_15C</x:v>
      </x:c>
      <x:c r="D263" s="34" t="str">
        <x:v>P3</x:v>
      </x:c>
      <x:c r="E263" s="34" t="n">
        <x:v>2032</x:v>
      </x:c>
      <x:c r="F263" s="34" t="n">
        <x:v>1</x:v>
      </x:c>
      <x:c r="G263" s="34" t="n">
        <x:v>0.4425</x:v>
      </x:c>
      <x:c r="H263" s="34" t="n">
        <x:v>3.8</x:v>
      </x:c>
      <x:c r="I263" s="34" t="n">
        <x:v>3.3575</x:v>
      </x:c>
      <x:c r="J263" s="34" t="n">
        <x:v>11.645</x:v>
      </x:c>
      <x:c r="K263" s="34" t="n">
        <x:v>0.16225</x:v>
      </x:c>
      <x:c r="L263" s="34" t="n">
        <x:v>0.48</x:v>
      </x:c>
      <x:c r="M263" s="34" t="n">
        <x:v>0.31775</x:v>
      </x:c>
      <x:c r="N263" s="34" t="n">
        <x:v>33.802</x:v>
      </x:c>
      <x:c r="O263" s="34" t="n">
        <x:v>1.357</x:v>
      </x:c>
      <x:c r="P263" s="34" t="n">
        <x:v>3.1</x:v>
      </x:c>
      <x:c r="Q263" s="34" t="n">
        <x:v>1.743</x:v>
      </x:c>
      <x:c r="R263" s="34" t="n">
        <x:v>43.774</x:v>
      </x:c>
      <x:c r="S263" s="40" t="b">
        <x:v>1</x:v>
      </x:c>
      <x:c r="T263" s="34" t="str">
        <x:v>model_interpolation</x:v>
      </x:c>
      <x:c r="U263" s="34" t="str">
        <x:v>Linear interpolation from 2030 to 2035</x:v>
      </x:c>
      <x:c r="V263" s="34" t="str">
        <x:v>CAND-4D158AE8BC3521</x:v>
      </x:c>
      <x:c r="W263" s="34" t="str">
        <x:v>P3</x:v>
      </x:c>
      <x:c r="X263" s="34" t="str">
        <x:v>PORT-1144EBE63B41</x:v>
      </x:c>
      <x:c r="Y263" s="34" t="n">
        <x:v>1000</x:v>
      </x:c>
      <x:c r="Z263" s="34" t="n">
        <x:v>135.453174</x:v>
      </x:c>
      <x:c r="AA263" s="34" t="n">
        <x:v>27.940397</x:v>
      </x:c>
      <x:c r="AB263" s="34" t="n">
        <x:v>102.391093</x:v>
      </x:c>
      <x:c r="AC263" s="34" t="n">
        <x:v>13664.434</x:v>
      </x:c>
      <x:c r="AD263" s="34" t="n">
        <x:v>133.453347</x:v>
      </x:c>
      <x:c r="AE263" s="40" t="b">
        <x:v>1</x:v>
      </x:c>
      <x:c r="AF263" s="40" t="b">
        <x:v>1</x:v>
      </x:c>
      <x:c r="AG263" s="34" t="str"/>
      <x:c r="AH263" s="34" t="n">
        <x:v>0</x:v>
      </x:c>
      <x:c r="AI263" s="34" t="str">
        <x:v>9.990856690045291e-05</x:v>
      </x:c>
      <x:c r="AJ263" s="40" t="b">
        <x:v>1</x:v>
      </x:c>
      <x:c r="AK263" s="40" t="b">
        <x:v>1</x:v>
      </x:c>
      <x:c r="AL263" s="40" t="b">
        <x:v>1</x:v>
      </x:c>
      <x:c r="AM263" s="40" t="b">
        <x:v>1</x:v>
      </x:c>
      <x:c r="AN263" s="34" t="str"/>
      <x:c r="AO263" s="34" t="n">
        <x:v>0</x:v>
      </x:c>
      <x:c r="AP263" s="34" t="n">
        <x:v>0</x:v>
      </x:c>
      <x:c r="AQ263" s="34" t="n">
        <x:v>0</x:v>
      </x:c>
      <x:c r="AR263" s="34" t="n">
        <x:v>1</x:v>
      </x:c>
      <x:c r="AS263" s="34" t="n">
        <x:v>1</x:v>
      </x:c>
      <x:c r="AT263" s="34" t="n">
        <x:v>0.28332</x:v>
      </x:c>
      <x:c r="AU263" s="34" t="n">
        <x:v>0.6</x:v>
      </x:c>
      <x:c r="AV263" s="34" t="n">
        <x:v>1.06</x:v>
      </x:c>
    </x:row>
    <x:row r="264">
      <x:c r="A264" s="34" t="str">
        <x:v>KOBE_STEEL_JP</x:v>
      </x:c>
      <x:c r="B264" s="34" t="str">
        <x:v>Kobe Steel</x:v>
      </x:c>
      <x:c r="C264" s="34" t="str">
        <x:v>ACCELERATED_15C</x:v>
      </x:c>
      <x:c r="D264" s="34" t="str">
        <x:v>P3</x:v>
      </x:c>
      <x:c r="E264" s="34" t="n">
        <x:v>2033</x:v>
      </x:c>
      <x:c r="F264" s="34" t="n">
        <x:v>2</x:v>
      </x:c>
      <x:c r="G264" s="34" t="n">
        <x:v>0.5325</x:v>
      </x:c>
      <x:c r="H264" s="34" t="n">
        <x:v>4.2</x:v>
      </x:c>
      <x:c r="I264" s="34" t="n">
        <x:v>3.6675</x:v>
      </x:c>
      <x:c r="J264" s="34" t="n">
        <x:v>12.679</x:v>
      </x:c>
      <x:c r="K264" s="34" t="n">
        <x:v>0.16225</x:v>
      </x:c>
      <x:c r="L264" s="34" t="n">
        <x:v>0.52</x:v>
      </x:c>
      <x:c r="M264" s="34" t="n">
        <x:v>0.35775</x:v>
      </x:c>
      <x:c r="N264" s="34" t="n">
        <x:v>31.202</x:v>
      </x:c>
      <x:c r="O264" s="34" t="n">
        <x:v>1.359</x:v>
      </x:c>
      <x:c r="P264" s="34" t="n">
        <x:v>3.4</x:v>
      </x:c>
      <x:c r="Q264" s="34" t="n">
        <x:v>2.041</x:v>
      </x:c>
      <x:c r="R264" s="34" t="n">
        <x:v>39.971</x:v>
      </x:c>
      <x:c r="S264" s="40" t="b">
        <x:v>1</x:v>
      </x:c>
      <x:c r="T264" s="34" t="str">
        <x:v>model_interpolation</x:v>
      </x:c>
      <x:c r="U264" s="34" t="str">
        <x:v>Linear interpolation from 2030 to 2035</x:v>
      </x:c>
      <x:c r="V264" s="34" t="str">
        <x:v>CAND-4D158AE8BC3521</x:v>
      </x:c>
      <x:c r="W264" s="34" t="str">
        <x:v>P3</x:v>
      </x:c>
      <x:c r="X264" s="34" t="str">
        <x:v>PORT-1144EBE63B41</x:v>
      </x:c>
      <x:c r="Y264" s="34" t="n">
        <x:v>1000</x:v>
      </x:c>
      <x:c r="Z264" s="34" t="n">
        <x:v>135.453174</x:v>
      </x:c>
      <x:c r="AA264" s="34" t="n">
        <x:v>27.940397</x:v>
      </x:c>
      <x:c r="AB264" s="34" t="n">
        <x:v>102.391093</x:v>
      </x:c>
      <x:c r="AC264" s="34" t="n">
        <x:v>13664.434</x:v>
      </x:c>
      <x:c r="AD264" s="34" t="n">
        <x:v>133.453347</x:v>
      </x:c>
      <x:c r="AE264" s="40" t="b">
        <x:v>1</x:v>
      </x:c>
      <x:c r="AF264" s="40" t="b">
        <x:v>1</x:v>
      </x:c>
      <x:c r="AG264" s="34" t="str"/>
      <x:c r="AH264" s="34" t="n">
        <x:v>0</x:v>
      </x:c>
      <x:c r="AI264" s="34" t="str">
        <x:v>9.990856690045291e-05</x:v>
      </x:c>
      <x:c r="AJ264" s="40" t="b">
        <x:v>1</x:v>
      </x:c>
      <x:c r="AK264" s="40" t="b">
        <x:v>1</x:v>
      </x:c>
      <x:c r="AL264" s="40" t="b">
        <x:v>1</x:v>
      </x:c>
      <x:c r="AM264" s="40" t="b">
        <x:v>1</x:v>
      </x:c>
      <x:c r="AN264" s="34" t="str"/>
      <x:c r="AO264" s="34" t="n">
        <x:v>0</x:v>
      </x:c>
      <x:c r="AP264" s="34" t="n">
        <x:v>0</x:v>
      </x:c>
      <x:c r="AQ264" s="34" t="n">
        <x:v>0</x:v>
      </x:c>
      <x:c r="AR264" s="34" t="n">
        <x:v>1</x:v>
      </x:c>
      <x:c r="AS264" s="34" t="n">
        <x:v>1</x:v>
      </x:c>
      <x:c r="AT264" s="34" t="n">
        <x:v>0.28332</x:v>
      </x:c>
      <x:c r="AU264" s="34" t="n">
        <x:v>0.6</x:v>
      </x:c>
      <x:c r="AV264" s="34" t="n">
        <x:v>1.06</x:v>
      </x:c>
    </x:row>
    <x:row r="265">
      <x:c r="A265" s="34" t="str">
        <x:v>KOBE_STEEL_JP</x:v>
      </x:c>
      <x:c r="B265" s="34" t="str">
        <x:v>Kobe Steel</x:v>
      </x:c>
      <x:c r="C265" s="34" t="str">
        <x:v>ACCELERATED_15C</x:v>
      </x:c>
      <x:c r="D265" s="34" t="str">
        <x:v>P3</x:v>
      </x:c>
      <x:c r="E265" s="34" t="n">
        <x:v>2034</x:v>
      </x:c>
      <x:c r="F265" s="34" t="n">
        <x:v>2</x:v>
      </x:c>
      <x:c r="G265" s="34" t="n">
        <x:v>0.5325</x:v>
      </x:c>
      <x:c r="H265" s="34" t="n">
        <x:v>4.6</x:v>
      </x:c>
      <x:c r="I265" s="34" t="n">
        <x:v>4.0675</x:v>
      </x:c>
      <x:c r="J265" s="34" t="n">
        <x:v>11.576</x:v>
      </x:c>
      <x:c r="K265" s="34" t="n">
        <x:v>0.16225</x:v>
      </x:c>
      <x:c r="L265" s="34" t="n">
        <x:v>0.56</x:v>
      </x:c>
      <x:c r="M265" s="34" t="n">
        <x:v>0.39775</x:v>
      </x:c>
      <x:c r="N265" s="34" t="n">
        <x:v>28.973</x:v>
      </x:c>
      <x:c r="O265" s="34" t="n">
        <x:v>1.359</x:v>
      </x:c>
      <x:c r="P265" s="34" t="n">
        <x:v>3.7</x:v>
      </x:c>
      <x:c r="Q265" s="34" t="n">
        <x:v>2.341</x:v>
      </x:c>
      <x:c r="R265" s="34" t="n">
        <x:v>36.73</x:v>
      </x:c>
      <x:c r="S265" s="40" t="b">
        <x:v>1</x:v>
      </x:c>
      <x:c r="T265" s="34" t="str">
        <x:v>model_interpolation</x:v>
      </x:c>
      <x:c r="U265" s="34" t="str">
        <x:v>Linear interpolation from 2030 to 2035</x:v>
      </x:c>
      <x:c r="V265" s="34" t="str">
        <x:v>CAND-4D158AE8BC3521</x:v>
      </x:c>
      <x:c r="W265" s="34" t="str">
        <x:v>P3</x:v>
      </x:c>
      <x:c r="X265" s="34" t="str">
        <x:v>PORT-1144EBE63B41</x:v>
      </x:c>
      <x:c r="Y265" s="34" t="n">
        <x:v>1000</x:v>
      </x:c>
      <x:c r="Z265" s="34" t="n">
        <x:v>135.453174</x:v>
      </x:c>
      <x:c r="AA265" s="34" t="n">
        <x:v>27.940397</x:v>
      </x:c>
      <x:c r="AB265" s="34" t="n">
        <x:v>102.391093</x:v>
      </x:c>
      <x:c r="AC265" s="34" t="n">
        <x:v>13664.434</x:v>
      </x:c>
      <x:c r="AD265" s="34" t="n">
        <x:v>133.453347</x:v>
      </x:c>
      <x:c r="AE265" s="40" t="b">
        <x:v>1</x:v>
      </x:c>
      <x:c r="AF265" s="40" t="b">
        <x:v>1</x:v>
      </x:c>
      <x:c r="AG265" s="34" t="str"/>
      <x:c r="AH265" s="34" t="n">
        <x:v>0</x:v>
      </x:c>
      <x:c r="AI265" s="34" t="str">
        <x:v>9.990856690045291e-05</x:v>
      </x:c>
      <x:c r="AJ265" s="40" t="b">
        <x:v>1</x:v>
      </x:c>
      <x:c r="AK265" s="40" t="b">
        <x:v>1</x:v>
      </x:c>
      <x:c r="AL265" s="40" t="b">
        <x:v>1</x:v>
      </x:c>
      <x:c r="AM265" s="40" t="b">
        <x:v>1</x:v>
      </x:c>
      <x:c r="AN265" s="34" t="str"/>
      <x:c r="AO265" s="34" t="n">
        <x:v>0</x:v>
      </x:c>
      <x:c r="AP265" s="34" t="n">
        <x:v>0</x:v>
      </x:c>
      <x:c r="AQ265" s="34" t="n">
        <x:v>0</x:v>
      </x:c>
      <x:c r="AR265" s="34" t="n">
        <x:v>1</x:v>
      </x:c>
      <x:c r="AS265" s="34" t="n">
        <x:v>1</x:v>
      </x:c>
      <x:c r="AT265" s="34" t="n">
        <x:v>0.28332</x:v>
      </x:c>
      <x:c r="AU265" s="34" t="n">
        <x:v>0.6</x:v>
      </x:c>
      <x:c r="AV265" s="34" t="n">
        <x:v>1.06</x:v>
      </x:c>
    </x:row>
    <x:row r="266">
      <x:c r="A266" s="34" t="str">
        <x:v>KOBE_STEEL_JP</x:v>
      </x:c>
      <x:c r="B266" s="34" t="str">
        <x:v>Kobe Steel</x:v>
      </x:c>
      <x:c r="C266" s="34" t="str">
        <x:v>ACCELERATED_15C</x:v>
      </x:c>
      <x:c r="D266" s="34" t="str">
        <x:v>P3</x:v>
      </x:c>
      <x:c r="E266" s="34" t="n">
        <x:v>2035</x:v>
      </x:c>
      <x:c r="F266" s="34" t="n">
        <x:v>2</x:v>
      </x:c>
      <x:c r="G266" s="34" t="n">
        <x:v>0.5325</x:v>
      </x:c>
      <x:c r="H266" s="34" t="n">
        <x:v>5</x:v>
      </x:c>
      <x:c r="I266" s="34" t="n">
        <x:v>4.4675</x:v>
      </x:c>
      <x:c r="J266" s="34" t="n">
        <x:v>10.65</x:v>
      </x:c>
      <x:c r="K266" s="34" t="n">
        <x:v>0.16225</x:v>
      </x:c>
      <x:c r="L266" s="34" t="n">
        <x:v>0.6</x:v>
      </x:c>
      <x:c r="M266" s="34" t="n">
        <x:v>0.43775</x:v>
      </x:c>
      <x:c r="N266" s="34" t="n">
        <x:v>27.042</x:v>
      </x:c>
      <x:c r="O266" s="34" t="n">
        <x:v>1.359</x:v>
      </x:c>
      <x:c r="P266" s="34" t="n">
        <x:v>4</x:v>
      </x:c>
      <x:c r="Q266" s="34" t="n">
        <x:v>2.641</x:v>
      </x:c>
      <x:c r="R266" s="34" t="n">
        <x:v>33.975</x:v>
      </x:c>
      <x:c r="S266" s="40" t="b">
        <x:v>1</x:v>
      </x:c>
      <x:c r="T266" s="34" t="str">
        <x:v>model_interpolation</x:v>
      </x:c>
      <x:c r="U266" s="34" t="str">
        <x:v>Linear interpolation from 2035 to 2040</x:v>
      </x:c>
      <x:c r="V266" s="34" t="str">
        <x:v>CAND-4D158AE8BC3521</x:v>
      </x:c>
      <x:c r="W266" s="34" t="str">
        <x:v>P3</x:v>
      </x:c>
      <x:c r="X266" s="34" t="str">
        <x:v>PORT-1144EBE63B41</x:v>
      </x:c>
      <x:c r="Y266" s="34" t="n">
        <x:v>1000</x:v>
      </x:c>
      <x:c r="Z266" s="34" t="n">
        <x:v>135.453174</x:v>
      </x:c>
      <x:c r="AA266" s="34" t="n">
        <x:v>27.940397</x:v>
      </x:c>
      <x:c r="AB266" s="34" t="n">
        <x:v>102.391093</x:v>
      </x:c>
      <x:c r="AC266" s="34" t="n">
        <x:v>13664.434</x:v>
      </x:c>
      <x:c r="AD266" s="34" t="n">
        <x:v>133.453347</x:v>
      </x:c>
      <x:c r="AE266" s="40" t="b">
        <x:v>1</x:v>
      </x:c>
      <x:c r="AF266" s="40" t="b">
        <x:v>1</x:v>
      </x:c>
      <x:c r="AG266" s="34" t="str"/>
      <x:c r="AH266" s="34" t="n">
        <x:v>0</x:v>
      </x:c>
      <x:c r="AI266" s="34" t="str">
        <x:v>9.990856690045291e-05</x:v>
      </x:c>
      <x:c r="AJ266" s="40" t="b">
        <x:v>1</x:v>
      </x:c>
      <x:c r="AK266" s="40" t="b">
        <x:v>1</x:v>
      </x:c>
      <x:c r="AL266" s="40" t="b">
        <x:v>1</x:v>
      </x:c>
      <x:c r="AM266" s="40" t="b">
        <x:v>1</x:v>
      </x:c>
      <x:c r="AN266" s="34" t="str"/>
      <x:c r="AO266" s="34" t="n">
        <x:v>0</x:v>
      </x:c>
      <x:c r="AP266" s="34" t="n">
        <x:v>0</x:v>
      </x:c>
      <x:c r="AQ266" s="34" t="n">
        <x:v>0</x:v>
      </x:c>
      <x:c r="AR266" s="34" t="n">
        <x:v>1</x:v>
      </x:c>
      <x:c r="AS266" s="34" t="n">
        <x:v>1</x:v>
      </x:c>
      <x:c r="AT266" s="34" t="n">
        <x:v>0.28332</x:v>
      </x:c>
      <x:c r="AU266" s="34" t="n">
        <x:v>0.6</x:v>
      </x:c>
      <x:c r="AV266" s="34" t="n">
        <x:v>1.06</x:v>
      </x:c>
    </x:row>
    <x:row r="267">
      <x:c r="A267" s="34" t="str">
        <x:v>KOBE_STEEL_JP</x:v>
      </x:c>
      <x:c r="B267" s="34" t="str">
        <x:v>Kobe Steel</x:v>
      </x:c>
      <x:c r="C267" s="34" t="str">
        <x:v>ACCELERATED_15C</x:v>
      </x:c>
      <x:c r="D267" s="34" t="str">
        <x:v>P3</x:v>
      </x:c>
      <x:c r="E267" s="34" t="n">
        <x:v>2036</x:v>
      </x:c>
      <x:c r="F267" s="34" t="n">
        <x:v>2</x:v>
      </x:c>
      <x:c r="G267" s="34" t="n">
        <x:v>0.5325</x:v>
      </x:c>
      <x:c r="H267" s="34" t="n">
        <x:v>5.2</x:v>
      </x:c>
      <x:c r="I267" s="34" t="n">
        <x:v>4.6675</x:v>
      </x:c>
      <x:c r="J267" s="34" t="n">
        <x:v>10.24</x:v>
      </x:c>
      <x:c r="K267" s="34" t="n">
        <x:v>0.16225</x:v>
      </x:c>
      <x:c r="L267" s="34" t="n">
        <x:v>0.6799999999999999</x:v>
      </x:c>
      <x:c r="M267" s="34" t="n">
        <x:v>0.51775</x:v>
      </x:c>
      <x:c r="N267" s="34" t="n">
        <x:v>23.86</x:v>
      </x:c>
      <x:c r="O267" s="34" t="n">
        <x:v>1.359</x:v>
      </x:c>
      <x:c r="P267" s="34" t="n">
        <x:v>4.5</x:v>
      </x:c>
      <x:c r="Q267" s="34" t="n">
        <x:v>3.141</x:v>
      </x:c>
      <x:c r="R267" s="34" t="n">
        <x:v>30.2</x:v>
      </x:c>
      <x:c r="S267" s="40" t="b">
        <x:v>1</x:v>
      </x:c>
      <x:c r="T267" s="34" t="str">
        <x:v>model_interpolation</x:v>
      </x:c>
      <x:c r="U267" s="34" t="str">
        <x:v>Linear interpolation from 2035 to 2040</x:v>
      </x:c>
      <x:c r="V267" s="34" t="str">
        <x:v>CAND-4D158AE8BC3521</x:v>
      </x:c>
      <x:c r="W267" s="34" t="str">
        <x:v>P3</x:v>
      </x:c>
      <x:c r="X267" s="34" t="str">
        <x:v>PORT-1144EBE63B41</x:v>
      </x:c>
      <x:c r="Y267" s="34" t="n">
        <x:v>1000</x:v>
      </x:c>
      <x:c r="Z267" s="34" t="n">
        <x:v>135.453174</x:v>
      </x:c>
      <x:c r="AA267" s="34" t="n">
        <x:v>27.940397</x:v>
      </x:c>
      <x:c r="AB267" s="34" t="n">
        <x:v>102.391093</x:v>
      </x:c>
      <x:c r="AC267" s="34" t="n">
        <x:v>13664.434</x:v>
      </x:c>
      <x:c r="AD267" s="34" t="n">
        <x:v>133.453347</x:v>
      </x:c>
      <x:c r="AE267" s="40" t="b">
        <x:v>1</x:v>
      </x:c>
      <x:c r="AF267" s="40" t="b">
        <x:v>1</x:v>
      </x:c>
      <x:c r="AG267" s="34" t="str"/>
      <x:c r="AH267" s="34" t="n">
        <x:v>0</x:v>
      </x:c>
      <x:c r="AI267" s="34" t="str">
        <x:v>9.990856690045291e-05</x:v>
      </x:c>
      <x:c r="AJ267" s="40" t="b">
        <x:v>1</x:v>
      </x:c>
      <x:c r="AK267" s="40" t="b">
        <x:v>1</x:v>
      </x:c>
      <x:c r="AL267" s="40" t="b">
        <x:v>1</x:v>
      </x:c>
      <x:c r="AM267" s="40" t="b">
        <x:v>1</x:v>
      </x:c>
      <x:c r="AN267" s="34" t="str"/>
      <x:c r="AO267" s="34" t="n">
        <x:v>0</x:v>
      </x:c>
      <x:c r="AP267" s="34" t="n">
        <x:v>0</x:v>
      </x:c>
      <x:c r="AQ267" s="34" t="n">
        <x:v>0</x:v>
      </x:c>
      <x:c r="AR267" s="34" t="n">
        <x:v>1</x:v>
      </x:c>
      <x:c r="AS267" s="34" t="n">
        <x:v>1</x:v>
      </x:c>
      <x:c r="AT267" s="34" t="n">
        <x:v>0.28332</x:v>
      </x:c>
      <x:c r="AU267" s="34" t="n">
        <x:v>0.6</x:v>
      </x:c>
      <x:c r="AV267" s="34" t="n">
        <x:v>1.06</x:v>
      </x:c>
    </x:row>
    <x:row r="268">
      <x:c r="A268" s="34" t="str">
        <x:v>KOBE_STEEL_JP</x:v>
      </x:c>
      <x:c r="B268" s="34" t="str">
        <x:v>Kobe Steel</x:v>
      </x:c>
      <x:c r="C268" s="34" t="str">
        <x:v>ACCELERATED_15C</x:v>
      </x:c>
      <x:c r="D268" s="34" t="str">
        <x:v>P3</x:v>
      </x:c>
      <x:c r="E268" s="34" t="n">
        <x:v>2037</x:v>
      </x:c>
      <x:c r="F268" s="34" t="n">
        <x:v>3</x:v>
      </x:c>
      <x:c r="G268" s="34" t="n">
        <x:v>3.151499</x:v>
      </x:c>
      <x:c r="H268" s="34" t="n">
        <x:v>5.4</x:v>
      </x:c>
      <x:c r="I268" s="34" t="n">
        <x:v>2.248501</x:v>
      </x:c>
      <x:c r="J268" s="34" t="n">
        <x:v>58.361</x:v>
      </x:c>
      <x:c r="K268" s="34" t="n">
        <x:v>0.16225</x:v>
      </x:c>
      <x:c r="L268" s="34" t="n">
        <x:v>0.76</x:v>
      </x:c>
      <x:c r="M268" s="34" t="n">
        <x:v>0.59775</x:v>
      </x:c>
      <x:c r="N268" s="34" t="n">
        <x:v>21.349</x:v>
      </x:c>
      <x:c r="O268" s="34" t="n">
        <x:v>2.988599</x:v>
      </x:c>
      <x:c r="P268" s="34" t="n">
        <x:v>5</x:v>
      </x:c>
      <x:c r="Q268" s="34" t="n">
        <x:v>2.011401</x:v>
      </x:c>
      <x:c r="R268" s="34" t="n">
        <x:v>59.772</x:v>
      </x:c>
      <x:c r="S268" s="40" t="b">
        <x:v>1</x:v>
      </x:c>
      <x:c r="T268" s="34" t="str">
        <x:v>model_interpolation</x:v>
      </x:c>
      <x:c r="U268" s="34" t="str">
        <x:v>Linear interpolation from 2035 to 2040</x:v>
      </x:c>
      <x:c r="V268" s="34" t="str">
        <x:v>CAND-4D158AE8BC3521</x:v>
      </x:c>
      <x:c r="W268" s="34" t="str">
        <x:v>P3</x:v>
      </x:c>
      <x:c r="X268" s="34" t="str">
        <x:v>PORT-1144EBE63B41</x:v>
      </x:c>
      <x:c r="Y268" s="34" t="n">
        <x:v>1000</x:v>
      </x:c>
      <x:c r="Z268" s="34" t="n">
        <x:v>135.453174</x:v>
      </x:c>
      <x:c r="AA268" s="34" t="n">
        <x:v>27.940397</x:v>
      </x:c>
      <x:c r="AB268" s="34" t="n">
        <x:v>102.391093</x:v>
      </x:c>
      <x:c r="AC268" s="34" t="n">
        <x:v>13664.434</x:v>
      </x:c>
      <x:c r="AD268" s="34" t="n">
        <x:v>133.453347</x:v>
      </x:c>
      <x:c r="AE268" s="40" t="b">
        <x:v>1</x:v>
      </x:c>
      <x:c r="AF268" s="40" t="b">
        <x:v>1</x:v>
      </x:c>
      <x:c r="AG268" s="34" t="str"/>
      <x:c r="AH268" s="34" t="n">
        <x:v>0</x:v>
      </x:c>
      <x:c r="AI268" s="34" t="str">
        <x:v>9.990856690045291e-05</x:v>
      </x:c>
      <x:c r="AJ268" s="40" t="b">
        <x:v>1</x:v>
      </x:c>
      <x:c r="AK268" s="40" t="b">
        <x:v>1</x:v>
      </x:c>
      <x:c r="AL268" s="40" t="b">
        <x:v>1</x:v>
      </x:c>
      <x:c r="AM268" s="40" t="b">
        <x:v>1</x:v>
      </x:c>
      <x:c r="AN268" s="34" t="str"/>
      <x:c r="AO268" s="34" t="n">
        <x:v>0</x:v>
      </x:c>
      <x:c r="AP268" s="34" t="n">
        <x:v>0</x:v>
      </x:c>
      <x:c r="AQ268" s="34" t="n">
        <x:v>0</x:v>
      </x:c>
      <x:c r="AR268" s="34" t="n">
        <x:v>1</x:v>
      </x:c>
      <x:c r="AS268" s="34" t="n">
        <x:v>1</x:v>
      </x:c>
      <x:c r="AT268" s="34" t="n">
        <x:v>0.28332</x:v>
      </x:c>
      <x:c r="AU268" s="34" t="n">
        <x:v>0.6</x:v>
      </x:c>
      <x:c r="AV268" s="34" t="n">
        <x:v>1.06</x:v>
      </x:c>
    </x:row>
    <x:row r="269">
      <x:c r="A269" s="34" t="str">
        <x:v>KOBE_STEEL_JP</x:v>
      </x:c>
      <x:c r="B269" s="34" t="str">
        <x:v>Kobe Steel</x:v>
      </x:c>
      <x:c r="C269" s="34" t="str">
        <x:v>ACCELERATED_15C</x:v>
      </x:c>
      <x:c r="D269" s="34" t="str">
        <x:v>P3</x:v>
      </x:c>
      <x:c r="E269" s="34" t="n">
        <x:v>2038</x:v>
      </x:c>
      <x:c r="F269" s="34" t="n">
        <x:v>3</x:v>
      </x:c>
      <x:c r="G269" s="34" t="n">
        <x:v>3.151499</x:v>
      </x:c>
      <x:c r="H269" s="34" t="n">
        <x:v>5.6</x:v>
      </x:c>
      <x:c r="I269" s="34" t="n">
        <x:v>2.448501</x:v>
      </x:c>
      <x:c r="J269" s="34" t="n">
        <x:v>56.277</x:v>
      </x:c>
      <x:c r="K269" s="34" t="n">
        <x:v>0.16225</x:v>
      </x:c>
      <x:c r="L269" s="34" t="n">
        <x:v>0.84</x:v>
      </x:c>
      <x:c r="M269" s="34" t="n">
        <x:v>0.67775</x:v>
      </x:c>
      <x:c r="N269" s="34" t="n">
        <x:v>19.315</x:v>
      </x:c>
      <x:c r="O269" s="34" t="n">
        <x:v>2.988599</x:v>
      </x:c>
      <x:c r="P269" s="34" t="n">
        <x:v>5.5</x:v>
      </x:c>
      <x:c r="Q269" s="34" t="n">
        <x:v>2.511401</x:v>
      </x:c>
      <x:c r="R269" s="34" t="n">
        <x:v>54.338</x:v>
      </x:c>
      <x:c r="S269" s="40" t="b">
        <x:v>1</x:v>
      </x:c>
      <x:c r="T269" s="34" t="str">
        <x:v>model_interpolation</x:v>
      </x:c>
      <x:c r="U269" s="34" t="str">
        <x:v>Linear interpolation from 2035 to 2040</x:v>
      </x:c>
      <x:c r="V269" s="34" t="str">
        <x:v>CAND-4D158AE8BC3521</x:v>
      </x:c>
      <x:c r="W269" s="34" t="str">
        <x:v>P3</x:v>
      </x:c>
      <x:c r="X269" s="34" t="str">
        <x:v>PORT-1144EBE63B41</x:v>
      </x:c>
      <x:c r="Y269" s="34" t="n">
        <x:v>1000</x:v>
      </x:c>
      <x:c r="Z269" s="34" t="n">
        <x:v>135.453174</x:v>
      </x:c>
      <x:c r="AA269" s="34" t="n">
        <x:v>27.940397</x:v>
      </x:c>
      <x:c r="AB269" s="34" t="n">
        <x:v>102.391093</x:v>
      </x:c>
      <x:c r="AC269" s="34" t="n">
        <x:v>13664.434</x:v>
      </x:c>
      <x:c r="AD269" s="34" t="n">
        <x:v>133.453347</x:v>
      </x:c>
      <x:c r="AE269" s="40" t="b">
        <x:v>1</x:v>
      </x:c>
      <x:c r="AF269" s="40" t="b">
        <x:v>1</x:v>
      </x:c>
      <x:c r="AG269" s="34" t="str"/>
      <x:c r="AH269" s="34" t="n">
        <x:v>0</x:v>
      </x:c>
      <x:c r="AI269" s="34" t="str">
        <x:v>9.990856690045291e-05</x:v>
      </x:c>
      <x:c r="AJ269" s="40" t="b">
        <x:v>1</x:v>
      </x:c>
      <x:c r="AK269" s="40" t="b">
        <x:v>1</x:v>
      </x:c>
      <x:c r="AL269" s="40" t="b">
        <x:v>1</x:v>
      </x:c>
      <x:c r="AM269" s="40" t="b">
        <x:v>1</x:v>
      </x:c>
      <x:c r="AN269" s="34" t="str"/>
      <x:c r="AO269" s="34" t="n">
        <x:v>0</x:v>
      </x:c>
      <x:c r="AP269" s="34" t="n">
        <x:v>0</x:v>
      </x:c>
      <x:c r="AQ269" s="34" t="n">
        <x:v>0</x:v>
      </x:c>
      <x:c r="AR269" s="34" t="n">
        <x:v>1</x:v>
      </x:c>
      <x:c r="AS269" s="34" t="n">
        <x:v>1</x:v>
      </x:c>
      <x:c r="AT269" s="34" t="n">
        <x:v>0.28332</x:v>
      </x:c>
      <x:c r="AU269" s="34" t="n">
        <x:v>0.6</x:v>
      </x:c>
      <x:c r="AV269" s="34" t="n">
        <x:v>1.06</x:v>
      </x:c>
    </x:row>
    <x:row r="270">
      <x:c r="A270" s="34" t="str">
        <x:v>KOBE_STEEL_JP</x:v>
      </x:c>
      <x:c r="B270" s="34" t="str">
        <x:v>Kobe Steel</x:v>
      </x:c>
      <x:c r="C270" s="34" t="str">
        <x:v>ACCELERATED_15C</x:v>
      </x:c>
      <x:c r="D270" s="34" t="str">
        <x:v>P3</x:v>
      </x:c>
      <x:c r="E270" s="34" t="n">
        <x:v>2039</x:v>
      </x:c>
      <x:c r="F270" s="34" t="n">
        <x:v>3</x:v>
      </x:c>
      <x:c r="G270" s="34" t="n">
        <x:v>3.151499</x:v>
      </x:c>
      <x:c r="H270" s="34" t="n">
        <x:v>5.8</x:v>
      </x:c>
      <x:c r="I270" s="34" t="n">
        <x:v>2.648501</x:v>
      </x:c>
      <x:c r="J270" s="34" t="n">
        <x:v>54.336</x:v>
      </x:c>
      <x:c r="K270" s="34" t="n">
        <x:v>0.16225</x:v>
      </x:c>
      <x:c r="L270" s="34" t="n">
        <x:v>0.92</x:v>
      </x:c>
      <x:c r="M270" s="34" t="n">
        <x:v>0.75775</x:v>
      </x:c>
      <x:c r="N270" s="34" t="n">
        <x:v>17.636</x:v>
      </x:c>
      <x:c r="O270" s="34" t="n">
        <x:v>2.988599</x:v>
      </x:c>
      <x:c r="P270" s="34" t="n">
        <x:v>6</x:v>
      </x:c>
      <x:c r="Q270" s="34" t="n">
        <x:v>3.011401</x:v>
      </x:c>
      <x:c r="R270" s="34" t="n">
        <x:v>49.81</x:v>
      </x:c>
      <x:c r="S270" s="40" t="b">
        <x:v>1</x:v>
      </x:c>
      <x:c r="T270" s="34" t="str">
        <x:v>model_interpolation</x:v>
      </x:c>
      <x:c r="U270" s="34" t="str">
        <x:v>Linear interpolation from 2035 to 2040</x:v>
      </x:c>
      <x:c r="V270" s="34" t="str">
        <x:v>CAND-4D158AE8BC3521</x:v>
      </x:c>
      <x:c r="W270" s="34" t="str">
        <x:v>P3</x:v>
      </x:c>
      <x:c r="X270" s="34" t="str">
        <x:v>PORT-1144EBE63B41</x:v>
      </x:c>
      <x:c r="Y270" s="34" t="n">
        <x:v>1000</x:v>
      </x:c>
      <x:c r="Z270" s="34" t="n">
        <x:v>135.453174</x:v>
      </x:c>
      <x:c r="AA270" s="34" t="n">
        <x:v>27.940397</x:v>
      </x:c>
      <x:c r="AB270" s="34" t="n">
        <x:v>102.391093</x:v>
      </x:c>
      <x:c r="AC270" s="34" t="n">
        <x:v>13664.434</x:v>
      </x:c>
      <x:c r="AD270" s="34" t="n">
        <x:v>133.453347</x:v>
      </x:c>
      <x:c r="AE270" s="40" t="b">
        <x:v>1</x:v>
      </x:c>
      <x:c r="AF270" s="40" t="b">
        <x:v>1</x:v>
      </x:c>
      <x:c r="AG270" s="34" t="str"/>
      <x:c r="AH270" s="34" t="n">
        <x:v>0</x:v>
      </x:c>
      <x:c r="AI270" s="34" t="str">
        <x:v>9.990856690045291e-05</x:v>
      </x:c>
      <x:c r="AJ270" s="40" t="b">
        <x:v>1</x:v>
      </x:c>
      <x:c r="AK270" s="40" t="b">
        <x:v>1</x:v>
      </x:c>
      <x:c r="AL270" s="40" t="b">
        <x:v>1</x:v>
      </x:c>
      <x:c r="AM270" s="40" t="b">
        <x:v>1</x:v>
      </x:c>
      <x:c r="AN270" s="34" t="str"/>
      <x:c r="AO270" s="34" t="n">
        <x:v>0</x:v>
      </x:c>
      <x:c r="AP270" s="34" t="n">
        <x:v>0</x:v>
      </x:c>
      <x:c r="AQ270" s="34" t="n">
        <x:v>0</x:v>
      </x:c>
      <x:c r="AR270" s="34" t="n">
        <x:v>1</x:v>
      </x:c>
      <x:c r="AS270" s="34" t="n">
        <x:v>1</x:v>
      </x:c>
      <x:c r="AT270" s="34" t="n">
        <x:v>0.28332</x:v>
      </x:c>
      <x:c r="AU270" s="34" t="n">
        <x:v>0.6</x:v>
      </x:c>
      <x:c r="AV270" s="34" t="n">
        <x:v>1.06</x:v>
      </x:c>
    </x:row>
    <x:row r="271">
      <x:c r="A271" s="34" t="str">
        <x:v>KOBE_STEEL_JP</x:v>
      </x:c>
      <x:c r="B271" s="34" t="str">
        <x:v>Kobe Steel</x:v>
      </x:c>
      <x:c r="C271" s="34" t="str">
        <x:v>ACCELERATED_15C</x:v>
      </x:c>
      <x:c r="D271" s="34" t="str">
        <x:v>P3</x:v>
      </x:c>
      <x:c r="E271" s="34" t="n">
        <x:v>2040</x:v>
      </x:c>
      <x:c r="F271" s="34" t="n">
        <x:v>3</x:v>
      </x:c>
      <x:c r="G271" s="34" t="n">
        <x:v>3.151499</x:v>
      </x:c>
      <x:c r="H271" s="34" t="n">
        <x:v>6</x:v>
      </x:c>
      <x:c r="I271" s="34" t="n">
        <x:v>2.848501</x:v>
      </x:c>
      <x:c r="J271" s="34" t="n">
        <x:v>52.525</x:v>
      </x:c>
      <x:c r="K271" s="34" t="n">
        <x:v>0.16225</x:v>
      </x:c>
      <x:c r="L271" s="34" t="n">
        <x:v>1</x:v>
      </x:c>
      <x:c r="M271" s="34" t="n">
        <x:v>0.83775</x:v>
      </x:c>
      <x:c r="N271" s="34" t="n">
        <x:v>16.225</x:v>
      </x:c>
      <x:c r="O271" s="34" t="n">
        <x:v>2.988599</x:v>
      </x:c>
      <x:c r="P271" s="34" t="n">
        <x:v>6.5</x:v>
      </x:c>
      <x:c r="Q271" s="34" t="n">
        <x:v>3.511401</x:v>
      </x:c>
      <x:c r="R271" s="34" t="n">
        <x:v>45.978</x:v>
      </x:c>
      <x:c r="S271" s="40" t="b">
        <x:v>1</x:v>
      </x:c>
      <x:c r="T271" s="34" t="str">
        <x:v>model_estimate</x:v>
      </x:c>
      <x:c r="U271" s="34" t="str">
        <x:v>Illustrative accelerated envelope; not GCAM or an official supply forecast</x:v>
      </x:c>
      <x:c r="V271" s="34" t="str">
        <x:v>CAND-4D158AE8BC3521</x:v>
      </x:c>
      <x:c r="W271" s="34" t="str">
        <x:v>P3</x:v>
      </x:c>
      <x:c r="X271" s="34" t="str">
        <x:v>PORT-1144EBE63B41</x:v>
      </x:c>
      <x:c r="Y271" s="34" t="n">
        <x:v>1000</x:v>
      </x:c>
      <x:c r="Z271" s="34" t="n">
        <x:v>135.453174</x:v>
      </x:c>
      <x:c r="AA271" s="34" t="n">
        <x:v>27.940397</x:v>
      </x:c>
      <x:c r="AB271" s="34" t="n">
        <x:v>102.391093</x:v>
      </x:c>
      <x:c r="AC271" s="34" t="n">
        <x:v>13664.434</x:v>
      </x:c>
      <x:c r="AD271" s="34" t="n">
        <x:v>133.453347</x:v>
      </x:c>
      <x:c r="AE271" s="40" t="b">
        <x:v>1</x:v>
      </x:c>
      <x:c r="AF271" s="40" t="b">
        <x:v>1</x:v>
      </x:c>
      <x:c r="AG271" s="34" t="str"/>
      <x:c r="AH271" s="34" t="n">
        <x:v>0</x:v>
      </x:c>
      <x:c r="AI271" s="34" t="str">
        <x:v>9.990856690045291e-05</x:v>
      </x:c>
      <x:c r="AJ271" s="40" t="b">
        <x:v>1</x:v>
      </x:c>
      <x:c r="AK271" s="40" t="b">
        <x:v>1</x:v>
      </x:c>
      <x:c r="AL271" s="40" t="b">
        <x:v>1</x:v>
      </x:c>
      <x:c r="AM271" s="40" t="b">
        <x:v>1</x:v>
      </x:c>
      <x:c r="AN271" s="34" t="str"/>
      <x:c r="AO271" s="34" t="n">
        <x:v>0</x:v>
      </x:c>
      <x:c r="AP271" s="34" t="n">
        <x:v>0</x:v>
      </x:c>
      <x:c r="AQ271" s="34" t="n">
        <x:v>0</x:v>
      </x:c>
      <x:c r="AR271" s="34" t="n">
        <x:v>1</x:v>
      </x:c>
      <x:c r="AS271" s="34" t="n">
        <x:v>1</x:v>
      </x:c>
      <x:c r="AT271" s="34" t="n">
        <x:v>0.28332</x:v>
      </x:c>
      <x:c r="AU271" s="34" t="n">
        <x:v>0.6</x:v>
      </x:c>
      <x:c r="AV271" s="34" t="n">
        <x:v>1.06</x:v>
      </x:c>
    </x:row>
    <x:row r="272">
      <x:c r="A272" s="34" t="str">
        <x:v>POSCO_KR</x:v>
      </x:c>
      <x:c r="B272" s="34" t="str">
        <x:v>POSCO</x:v>
      </x:c>
      <x:c r="C272" s="34" t="str">
        <x:v>DISCLOSED_PATH</x:v>
      </x:c>
      <x:c r="D272" s="34" t="str">
        <x:v>P2</x:v>
      </x:c>
      <x:c r="E272" s="34" t="n">
        <x:v>2026</x:v>
      </x:c>
      <x:c r="F272" s="34" t="n">
        <x:v>0</x:v>
      </x:c>
      <x:c r="G272" s="34" t="n">
        <x:v>0</x:v>
      </x:c>
      <x:c r="H272" s="34" t="n">
        <x:v>8</x:v>
      </x:c>
      <x:c r="I272" s="34" t="n">
        <x:v>8</x:v>
      </x:c>
      <x:c r="J272" s="34" t="n">
        <x:v>0</x:v>
      </x:c>
      <x:c r="K272" s="34" t="n">
        <x:v>0</x:v>
      </x:c>
      <x:c r="L272" s="34" t="n">
        <x:v>0</x:v>
      </x:c>
      <x:c r="M272" s="34" t="n">
        <x:v>0</x:v>
      </x:c>
      <x:c r="N272" s="34" t="n">
        <x:v>0</x:v>
      </x:c>
      <x:c r="O272" s="34" t="n">
        <x:v>0</x:v>
      </x:c>
      <x:c r="P272" s="34" t="n">
        <x:v>2</x:v>
      </x:c>
      <x:c r="Q272" s="34" t="n">
        <x:v>2</x:v>
      </x:c>
      <x:c r="R272" s="34" t="n">
        <x:v>0</x:v>
      </x:c>
      <x:c r="S272" s="40" t="b">
        <x:v>1</x:v>
      </x:c>
      <x:c r="T272" s="34" t="str">
        <x:v>model_interpolation</x:v>
      </x:c>
      <x:c r="U272" s="34" t="str">
        <x:v>Linear interpolation from 2026 to 2030</x:v>
      </x:c>
      <x:c r="V272" s="34" t="str">
        <x:v>CAND-4EF614D30D6D91</x:v>
      </x:c>
      <x:c r="W272" s="34" t="str">
        <x:v>P2</x:v>
      </x:c>
      <x:c r="X272" s="34" t="str">
        <x:v>PORT-96133A6427FE</x:v>
      </x:c>
      <x:c r="Y272" s="34" t="n">
        <x:v>1000</x:v>
      </x:c>
      <x:c r="Z272" s="34" t="n">
        <x:v>69.411812</x:v>
      </x:c>
      <x:c r="AA272" s="34" t="n">
        <x:v>17.809403</x:v>
      </x:c>
      <x:c r="AB272" s="34" t="n">
        <x:v>430.20423</x:v>
      </x:c>
      <x:c r="AC272" s="34" t="n">
        <x:v>29134.516</x:v>
      </x:c>
      <x:c r="AD272" s="34" t="n">
        <x:v>67.722522</x:v>
      </x:c>
      <x:c r="AE272" s="40" t="b">
        <x:v>1</x:v>
      </x:c>
      <x:c r="AF272" s="40" t="b">
        <x:v>1</x:v>
      </x:c>
      <x:c r="AG272" s="34" t="str"/>
      <x:c r="AH272" s="34" t="n">
        <x:v>0</x:v>
      </x:c>
      <x:c r="AI272" s="34" t="str">
        <x:v>2.0275124185786808e-05</x:v>
      </x:c>
      <x:c r="AJ272" s="40" t="b">
        <x:v>1</x:v>
      </x:c>
      <x:c r="AK272" s="40" t="b">
        <x:v>1</x:v>
      </x:c>
      <x:c r="AL272" s="40" t="b">
        <x:v>1</x:v>
      </x:c>
      <x:c r="AM272" s="40" t="b">
        <x:v>1</x:v>
      </x:c>
      <x:c r="AN272" s="34" t="str"/>
      <x:c r="AO272" s="34" t="n">
        <x:v>0</x:v>
      </x:c>
      <x:c r="AP272" s="34" t="n">
        <x:v>0</x:v>
      </x:c>
      <x:c r="AQ272" s="34" t="n">
        <x:v>0</x:v>
      </x:c>
      <x:c r="AR272" s="34" t="n">
        <x:v>2</x:v>
      </x:c>
      <x:c r="AS272" s="34" t="n">
        <x:v>3</x:v>
      </x:c>
      <x:c r="AT272" s="34" t="n">
        <x:v>0.45933660799999987</x:v>
      </x:c>
      <x:c r="AU272" s="34" t="n">
        <x:v>0.65</x:v>
      </x:c>
      <x:c r="AV272" s="34" t="n">
        <x:v>2.02</x:v>
      </x:c>
    </x:row>
    <x:row r="273">
      <x:c r="A273" s="34" t="str">
        <x:v>POSCO_KR</x:v>
      </x:c>
      <x:c r="B273" s="34" t="str">
        <x:v>POSCO</x:v>
      </x:c>
      <x:c r="C273" s="34" t="str">
        <x:v>DISCLOSED_PATH</x:v>
      </x:c>
      <x:c r="D273" s="34" t="str">
        <x:v>P2</x:v>
      </x:c>
      <x:c r="E273" s="34" t="n">
        <x:v>2027</x:v>
      </x:c>
      <x:c r="F273" s="34" t="n">
        <x:v>0</x:v>
      </x:c>
      <x:c r="G273" s="34" t="n">
        <x:v>0</x:v>
      </x:c>
      <x:c r="H273" s="34" t="n">
        <x:v>9</x:v>
      </x:c>
      <x:c r="I273" s="34" t="n">
        <x:v>9</x:v>
      </x:c>
      <x:c r="J273" s="34" t="n">
        <x:v>0</x:v>
      </x:c>
      <x:c r="K273" s="34" t="n">
        <x:v>0</x:v>
      </x:c>
      <x:c r="L273" s="34" t="n">
        <x:v>0.125</x:v>
      </x:c>
      <x:c r="M273" s="34" t="n">
        <x:v>0.125</x:v>
      </x:c>
      <x:c r="N273" s="34" t="n">
        <x:v>0</x:v>
      </x:c>
      <x:c r="O273" s="34" t="n">
        <x:v>0</x:v>
      </x:c>
      <x:c r="P273" s="34" t="n">
        <x:v>3.25</x:v>
      </x:c>
      <x:c r="Q273" s="34" t="n">
        <x:v>3.25</x:v>
      </x:c>
      <x:c r="R273" s="34" t="n">
        <x:v>0</x:v>
      </x:c>
      <x:c r="S273" s="40" t="b">
        <x:v>1</x:v>
      </x:c>
      <x:c r="T273" s="34" t="str">
        <x:v>model_interpolation</x:v>
      </x:c>
      <x:c r="U273" s="34" t="str">
        <x:v>Linear interpolation from 2026 to 2030</x:v>
      </x:c>
      <x:c r="V273" s="34" t="str">
        <x:v>CAND-4EF614D30D6D91</x:v>
      </x:c>
      <x:c r="W273" s="34" t="str">
        <x:v>P2</x:v>
      </x:c>
      <x:c r="X273" s="34" t="str">
        <x:v>PORT-96133A6427FE</x:v>
      </x:c>
      <x:c r="Y273" s="34" t="n">
        <x:v>1000</x:v>
      </x:c>
      <x:c r="Z273" s="34" t="n">
        <x:v>69.411812</x:v>
      </x:c>
      <x:c r="AA273" s="34" t="n">
        <x:v>17.809403</x:v>
      </x:c>
      <x:c r="AB273" s="34" t="n">
        <x:v>430.20423</x:v>
      </x:c>
      <x:c r="AC273" s="34" t="n">
        <x:v>29134.516</x:v>
      </x:c>
      <x:c r="AD273" s="34" t="n">
        <x:v>67.722522</x:v>
      </x:c>
      <x:c r="AE273" s="40" t="b">
        <x:v>1</x:v>
      </x:c>
      <x:c r="AF273" s="40" t="b">
        <x:v>1</x:v>
      </x:c>
      <x:c r="AG273" s="34" t="str"/>
      <x:c r="AH273" s="34" t="n">
        <x:v>0</x:v>
      </x:c>
      <x:c r="AI273" s="34" t="str">
        <x:v>2.0275124185786808e-05</x:v>
      </x:c>
      <x:c r="AJ273" s="40" t="b">
        <x:v>1</x:v>
      </x:c>
      <x:c r="AK273" s="40" t="b">
        <x:v>1</x:v>
      </x:c>
      <x:c r="AL273" s="40" t="b">
        <x:v>1</x:v>
      </x:c>
      <x:c r="AM273" s="40" t="b">
        <x:v>1</x:v>
      </x:c>
      <x:c r="AN273" s="34" t="str"/>
      <x:c r="AO273" s="34" t="n">
        <x:v>0</x:v>
      </x:c>
      <x:c r="AP273" s="34" t="n">
        <x:v>0</x:v>
      </x:c>
      <x:c r="AQ273" s="34" t="n">
        <x:v>0</x:v>
      </x:c>
      <x:c r="AR273" s="34" t="n">
        <x:v>2</x:v>
      </x:c>
      <x:c r="AS273" s="34" t="n">
        <x:v>3</x:v>
      </x:c>
      <x:c r="AT273" s="34" t="n">
        <x:v>0.45933660799999987</x:v>
      </x:c>
      <x:c r="AU273" s="34" t="n">
        <x:v>0.65</x:v>
      </x:c>
      <x:c r="AV273" s="34" t="n">
        <x:v>2.02</x:v>
      </x:c>
    </x:row>
    <x:row r="274">
      <x:c r="A274" s="34" t="str">
        <x:v>POSCO_KR</x:v>
      </x:c>
      <x:c r="B274" s="34" t="str">
        <x:v>POSCO</x:v>
      </x:c>
      <x:c r="C274" s="34" t="str">
        <x:v>DISCLOSED_PATH</x:v>
      </x:c>
      <x:c r="D274" s="34" t="str">
        <x:v>P2</x:v>
      </x:c>
      <x:c r="E274" s="34" t="n">
        <x:v>2028</x:v>
      </x:c>
      <x:c r="F274" s="34" t="n">
        <x:v>0</x:v>
      </x:c>
      <x:c r="G274" s="34" t="n">
        <x:v>0</x:v>
      </x:c>
      <x:c r="H274" s="34" t="n">
        <x:v>10</x:v>
      </x:c>
      <x:c r="I274" s="34" t="n">
        <x:v>10</x:v>
      </x:c>
      <x:c r="J274" s="34" t="n">
        <x:v>0</x:v>
      </x:c>
      <x:c r="K274" s="34" t="n">
        <x:v>0</x:v>
      </x:c>
      <x:c r="L274" s="34" t="n">
        <x:v>0.25</x:v>
      </x:c>
      <x:c r="M274" s="34" t="n">
        <x:v>0.25</x:v>
      </x:c>
      <x:c r="N274" s="34" t="n">
        <x:v>0</x:v>
      </x:c>
      <x:c r="O274" s="34" t="n">
        <x:v>0</x:v>
      </x:c>
      <x:c r="P274" s="34" t="n">
        <x:v>4.5</x:v>
      </x:c>
      <x:c r="Q274" s="34" t="n">
        <x:v>4.5</x:v>
      </x:c>
      <x:c r="R274" s="34" t="n">
        <x:v>0</x:v>
      </x:c>
      <x:c r="S274" s="40" t="b">
        <x:v>1</x:v>
      </x:c>
      <x:c r="T274" s="34" t="str">
        <x:v>model_interpolation</x:v>
      </x:c>
      <x:c r="U274" s="34" t="str">
        <x:v>Linear interpolation from 2026 to 2030</x:v>
      </x:c>
      <x:c r="V274" s="34" t="str">
        <x:v>CAND-4EF614D30D6D91</x:v>
      </x:c>
      <x:c r="W274" s="34" t="str">
        <x:v>P2</x:v>
      </x:c>
      <x:c r="X274" s="34" t="str">
        <x:v>PORT-96133A6427FE</x:v>
      </x:c>
      <x:c r="Y274" s="34" t="n">
        <x:v>1000</x:v>
      </x:c>
      <x:c r="Z274" s="34" t="n">
        <x:v>69.411812</x:v>
      </x:c>
      <x:c r="AA274" s="34" t="n">
        <x:v>17.809403</x:v>
      </x:c>
      <x:c r="AB274" s="34" t="n">
        <x:v>430.20423</x:v>
      </x:c>
      <x:c r="AC274" s="34" t="n">
        <x:v>29134.516</x:v>
      </x:c>
      <x:c r="AD274" s="34" t="n">
        <x:v>67.722522</x:v>
      </x:c>
      <x:c r="AE274" s="40" t="b">
        <x:v>1</x:v>
      </x:c>
      <x:c r="AF274" s="40" t="b">
        <x:v>1</x:v>
      </x:c>
      <x:c r="AG274" s="34" t="str"/>
      <x:c r="AH274" s="34" t="n">
        <x:v>0</x:v>
      </x:c>
      <x:c r="AI274" s="34" t="str">
        <x:v>2.0275124185786808e-05</x:v>
      </x:c>
      <x:c r="AJ274" s="40" t="b">
        <x:v>1</x:v>
      </x:c>
      <x:c r="AK274" s="40" t="b">
        <x:v>1</x:v>
      </x:c>
      <x:c r="AL274" s="40" t="b">
        <x:v>1</x:v>
      </x:c>
      <x:c r="AM274" s="40" t="b">
        <x:v>1</x:v>
      </x:c>
      <x:c r="AN274" s="34" t="str"/>
      <x:c r="AO274" s="34" t="n">
        <x:v>0</x:v>
      </x:c>
      <x:c r="AP274" s="34" t="n">
        <x:v>0</x:v>
      </x:c>
      <x:c r="AQ274" s="34" t="n">
        <x:v>0</x:v>
      </x:c>
      <x:c r="AR274" s="34" t="n">
        <x:v>2</x:v>
      </x:c>
      <x:c r="AS274" s="34" t="n">
        <x:v>3</x:v>
      </x:c>
      <x:c r="AT274" s="34" t="n">
        <x:v>0.45933660799999987</x:v>
      </x:c>
      <x:c r="AU274" s="34" t="n">
        <x:v>0.65</x:v>
      </x:c>
      <x:c r="AV274" s="34" t="n">
        <x:v>2.02</x:v>
      </x:c>
    </x:row>
    <x:row r="275">
      <x:c r="A275" s="34" t="str">
        <x:v>POSCO_KR</x:v>
      </x:c>
      <x:c r="B275" s="34" t="str">
        <x:v>POSCO</x:v>
      </x:c>
      <x:c r="C275" s="34" t="str">
        <x:v>DISCLOSED_PATH</x:v>
      </x:c>
      <x:c r="D275" s="34" t="str">
        <x:v>P2</x:v>
      </x:c>
      <x:c r="E275" s="34" t="n">
        <x:v>2029</x:v>
      </x:c>
      <x:c r="F275" s="34" t="n">
        <x:v>1</x:v>
      </x:c>
      <x:c r="G275" s="34" t="n">
        <x:v>6.839998</x:v>
      </x:c>
      <x:c r="H275" s="34" t="n">
        <x:v>11</x:v>
      </x:c>
      <x:c r="I275" s="34" t="n">
        <x:v>4.160002</x:v>
      </x:c>
      <x:c r="J275" s="34" t="n">
        <x:v>62.182</x:v>
      </x:c>
      <x:c r="K275" s="34" t="n">
        <x:v>0</x:v>
      </x:c>
      <x:c r="L275" s="34" t="n">
        <x:v>0.375</x:v>
      </x:c>
      <x:c r="M275" s="34" t="n">
        <x:v>0.375</x:v>
      </x:c>
      <x:c r="N275" s="34" t="n">
        <x:v>0</x:v>
      </x:c>
      <x:c r="O275" s="34" t="n">
        <x:v>4.255999</x:v>
      </x:c>
      <x:c r="P275" s="34" t="n">
        <x:v>5.75</x:v>
      </x:c>
      <x:c r="Q275" s="34" t="n">
        <x:v>1.494001</x:v>
      </x:c>
      <x:c r="R275" s="34" t="n">
        <x:v>74.017</x:v>
      </x:c>
      <x:c r="S275" s="40" t="b">
        <x:v>1</x:v>
      </x:c>
      <x:c r="T275" s="34" t="str">
        <x:v>model_interpolation</x:v>
      </x:c>
      <x:c r="U275" s="34" t="str">
        <x:v>Linear interpolation from 2026 to 2030</x:v>
      </x:c>
      <x:c r="V275" s="34" t="str">
        <x:v>CAND-4EF614D30D6D91</x:v>
      </x:c>
      <x:c r="W275" s="34" t="str">
        <x:v>P2</x:v>
      </x:c>
      <x:c r="X275" s="34" t="str">
        <x:v>PORT-96133A6427FE</x:v>
      </x:c>
      <x:c r="Y275" s="34" t="n">
        <x:v>1000</x:v>
      </x:c>
      <x:c r="Z275" s="34" t="n">
        <x:v>69.411812</x:v>
      </x:c>
      <x:c r="AA275" s="34" t="n">
        <x:v>17.809403</x:v>
      </x:c>
      <x:c r="AB275" s="34" t="n">
        <x:v>430.20423</x:v>
      </x:c>
      <x:c r="AC275" s="34" t="n">
        <x:v>29134.516</x:v>
      </x:c>
      <x:c r="AD275" s="34" t="n">
        <x:v>67.722522</x:v>
      </x:c>
      <x:c r="AE275" s="40" t="b">
        <x:v>1</x:v>
      </x:c>
      <x:c r="AF275" s="40" t="b">
        <x:v>1</x:v>
      </x:c>
      <x:c r="AG275" s="34" t="str"/>
      <x:c r="AH275" s="34" t="n">
        <x:v>0</x:v>
      </x:c>
      <x:c r="AI275" s="34" t="str">
        <x:v>2.0275124185786808e-05</x:v>
      </x:c>
      <x:c r="AJ275" s="40" t="b">
        <x:v>1</x:v>
      </x:c>
      <x:c r="AK275" s="40" t="b">
        <x:v>1</x:v>
      </x:c>
      <x:c r="AL275" s="40" t="b">
        <x:v>1</x:v>
      </x:c>
      <x:c r="AM275" s="40" t="b">
        <x:v>1</x:v>
      </x:c>
      <x:c r="AN275" s="34" t="str"/>
      <x:c r="AO275" s="34" t="n">
        <x:v>0</x:v>
      </x:c>
      <x:c r="AP275" s="34" t="n">
        <x:v>0</x:v>
      </x:c>
      <x:c r="AQ275" s="34" t="n">
        <x:v>0</x:v>
      </x:c>
      <x:c r="AR275" s="34" t="n">
        <x:v>2</x:v>
      </x:c>
      <x:c r="AS275" s="34" t="n">
        <x:v>3</x:v>
      </x:c>
      <x:c r="AT275" s="34" t="n">
        <x:v>0.45933660799999987</x:v>
      </x:c>
      <x:c r="AU275" s="34" t="n">
        <x:v>0.65</x:v>
      </x:c>
      <x:c r="AV275" s="34" t="n">
        <x:v>2.02</x:v>
      </x:c>
    </x:row>
    <x:row r="276">
      <x:c r="A276" s="34" t="str">
        <x:v>POSCO_KR</x:v>
      </x:c>
      <x:c r="B276" s="34" t="str">
        <x:v>POSCO</x:v>
      </x:c>
      <x:c r="C276" s="34" t="str">
        <x:v>DISCLOSED_PATH</x:v>
      </x:c>
      <x:c r="D276" s="34" t="str">
        <x:v>P2</x:v>
      </x:c>
      <x:c r="E276" s="34" t="n">
        <x:v>2030</x:v>
      </x:c>
      <x:c r="F276" s="34" t="n">
        <x:v>1</x:v>
      </x:c>
      <x:c r="G276" s="34" t="n">
        <x:v>6.839998</x:v>
      </x:c>
      <x:c r="H276" s="34" t="n">
        <x:v>12</x:v>
      </x:c>
      <x:c r="I276" s="34" t="n">
        <x:v>5.160002</x:v>
      </x:c>
      <x:c r="J276" s="34" t="n">
        <x:v>57</x:v>
      </x:c>
      <x:c r="K276" s="34" t="n">
        <x:v>0</x:v>
      </x:c>
      <x:c r="L276" s="34" t="n">
        <x:v>0.5</x:v>
      </x:c>
      <x:c r="M276" s="34" t="n">
        <x:v>0.5</x:v>
      </x:c>
      <x:c r="N276" s="34" t="n">
        <x:v>0</x:v>
      </x:c>
      <x:c r="O276" s="34" t="n">
        <x:v>4.255999</x:v>
      </x:c>
      <x:c r="P276" s="34" t="n">
        <x:v>7</x:v>
      </x:c>
      <x:c r="Q276" s="34" t="n">
        <x:v>2.744001</x:v>
      </x:c>
      <x:c r="R276" s="34" t="n">
        <x:v>60.8</x:v>
      </x:c>
      <x:c r="S276" s="40" t="b">
        <x:v>1</x:v>
      </x:c>
      <x:c r="T276" s="34" t="str">
        <x:v>model_interpolation</x:v>
      </x:c>
      <x:c r="U276" s="34" t="str">
        <x:v>Linear interpolation from 2030 to 2035</x:v>
      </x:c>
      <x:c r="V276" s="34" t="str">
        <x:v>CAND-4EF614D30D6D91</x:v>
      </x:c>
      <x:c r="W276" s="34" t="str">
        <x:v>P2</x:v>
      </x:c>
      <x:c r="X276" s="34" t="str">
        <x:v>PORT-96133A6427FE</x:v>
      </x:c>
      <x:c r="Y276" s="34" t="n">
        <x:v>1000</x:v>
      </x:c>
      <x:c r="Z276" s="34" t="n">
        <x:v>69.411812</x:v>
      </x:c>
      <x:c r="AA276" s="34" t="n">
        <x:v>17.809403</x:v>
      </x:c>
      <x:c r="AB276" s="34" t="n">
        <x:v>430.20423</x:v>
      </x:c>
      <x:c r="AC276" s="34" t="n">
        <x:v>29134.516</x:v>
      </x:c>
      <x:c r="AD276" s="34" t="n">
        <x:v>67.722522</x:v>
      </x:c>
      <x:c r="AE276" s="40" t="b">
        <x:v>1</x:v>
      </x:c>
      <x:c r="AF276" s="40" t="b">
        <x:v>1</x:v>
      </x:c>
      <x:c r="AG276" s="34" t="str"/>
      <x:c r="AH276" s="34" t="n">
        <x:v>0</x:v>
      </x:c>
      <x:c r="AI276" s="34" t="str">
        <x:v>2.0275124185786808e-05</x:v>
      </x:c>
      <x:c r="AJ276" s="40" t="b">
        <x:v>1</x:v>
      </x:c>
      <x:c r="AK276" s="40" t="b">
        <x:v>1</x:v>
      </x:c>
      <x:c r="AL276" s="40" t="b">
        <x:v>1</x:v>
      </x:c>
      <x:c r="AM276" s="40" t="b">
        <x:v>1</x:v>
      </x:c>
      <x:c r="AN276" s="34" t="str"/>
      <x:c r="AO276" s="34" t="n">
        <x:v>0</x:v>
      </x:c>
      <x:c r="AP276" s="34" t="n">
        <x:v>0</x:v>
      </x:c>
      <x:c r="AQ276" s="34" t="n">
        <x:v>0</x:v>
      </x:c>
      <x:c r="AR276" s="34" t="n">
        <x:v>2</x:v>
      </x:c>
      <x:c r="AS276" s="34" t="n">
        <x:v>3</x:v>
      </x:c>
      <x:c r="AT276" s="34" t="n">
        <x:v>0.45933660799999987</x:v>
      </x:c>
      <x:c r="AU276" s="34" t="n">
        <x:v>0.65</x:v>
      </x:c>
      <x:c r="AV276" s="34" t="n">
        <x:v>2.02</x:v>
      </x:c>
    </x:row>
    <x:row r="277">
      <x:c r="A277" s="34" t="str">
        <x:v>POSCO_KR</x:v>
      </x:c>
      <x:c r="B277" s="34" t="str">
        <x:v>POSCO</x:v>
      </x:c>
      <x:c r="C277" s="34" t="str">
        <x:v>DISCLOSED_PATH</x:v>
      </x:c>
      <x:c r="D277" s="34" t="str">
        <x:v>P2</x:v>
      </x:c>
      <x:c r="E277" s="34" t="n">
        <x:v>2031</x:v>
      </x:c>
      <x:c r="F277" s="34" t="n">
        <x:v>1</x:v>
      </x:c>
      <x:c r="G277" s="34" t="n">
        <x:v>6.839998</x:v>
      </x:c>
      <x:c r="H277" s="34" t="n">
        <x:v>13.2</x:v>
      </x:c>
      <x:c r="I277" s="34" t="n">
        <x:v>6.360002</x:v>
      </x:c>
      <x:c r="J277" s="34" t="n">
        <x:v>51.818</x:v>
      </x:c>
      <x:c r="K277" s="34" t="n">
        <x:v>0</x:v>
      </x:c>
      <x:c r="L277" s="34" t="n">
        <x:v>0.7</x:v>
      </x:c>
      <x:c r="M277" s="34" t="n">
        <x:v>0.7</x:v>
      </x:c>
      <x:c r="N277" s="34" t="n">
        <x:v>0</x:v>
      </x:c>
      <x:c r="O277" s="34" t="n">
        <x:v>4.255999</x:v>
      </x:c>
      <x:c r="P277" s="34" t="n">
        <x:v>8.6</x:v>
      </x:c>
      <x:c r="Q277" s="34" t="n">
        <x:v>4.344001</x:v>
      </x:c>
      <x:c r="R277" s="34" t="n">
        <x:v>49.488</x:v>
      </x:c>
      <x:c r="S277" s="40" t="b">
        <x:v>1</x:v>
      </x:c>
      <x:c r="T277" s="34" t="str">
        <x:v>model_interpolation</x:v>
      </x:c>
      <x:c r="U277" s="34" t="str">
        <x:v>Linear interpolation from 2030 to 2035</x:v>
      </x:c>
      <x:c r="V277" s="34" t="str">
        <x:v>CAND-4EF614D30D6D91</x:v>
      </x:c>
      <x:c r="W277" s="34" t="str">
        <x:v>P2</x:v>
      </x:c>
      <x:c r="X277" s="34" t="str">
        <x:v>PORT-96133A6427FE</x:v>
      </x:c>
      <x:c r="Y277" s="34" t="n">
        <x:v>1000</x:v>
      </x:c>
      <x:c r="Z277" s="34" t="n">
        <x:v>69.411812</x:v>
      </x:c>
      <x:c r="AA277" s="34" t="n">
        <x:v>17.809403</x:v>
      </x:c>
      <x:c r="AB277" s="34" t="n">
        <x:v>430.20423</x:v>
      </x:c>
      <x:c r="AC277" s="34" t="n">
        <x:v>29134.516</x:v>
      </x:c>
      <x:c r="AD277" s="34" t="n">
        <x:v>67.722522</x:v>
      </x:c>
      <x:c r="AE277" s="40" t="b">
        <x:v>1</x:v>
      </x:c>
      <x:c r="AF277" s="40" t="b">
        <x:v>1</x:v>
      </x:c>
      <x:c r="AG277" s="34" t="str"/>
      <x:c r="AH277" s="34" t="n">
        <x:v>0</x:v>
      </x:c>
      <x:c r="AI277" s="34" t="str">
        <x:v>2.0275124185786808e-05</x:v>
      </x:c>
      <x:c r="AJ277" s="40" t="b">
        <x:v>1</x:v>
      </x:c>
      <x:c r="AK277" s="40" t="b">
        <x:v>1</x:v>
      </x:c>
      <x:c r="AL277" s="40" t="b">
        <x:v>1</x:v>
      </x:c>
      <x:c r="AM277" s="40" t="b">
        <x:v>1</x:v>
      </x:c>
      <x:c r="AN277" s="34" t="str"/>
      <x:c r="AO277" s="34" t="n">
        <x:v>0</x:v>
      </x:c>
      <x:c r="AP277" s="34" t="n">
        <x:v>0</x:v>
      </x:c>
      <x:c r="AQ277" s="34" t="n">
        <x:v>0</x:v>
      </x:c>
      <x:c r="AR277" s="34" t="n">
        <x:v>2</x:v>
      </x:c>
      <x:c r="AS277" s="34" t="n">
        <x:v>3</x:v>
      </x:c>
      <x:c r="AT277" s="34" t="n">
        <x:v>0.45933660799999987</x:v>
      </x:c>
      <x:c r="AU277" s="34" t="n">
        <x:v>0.65</x:v>
      </x:c>
      <x:c r="AV277" s="34" t="n">
        <x:v>2.02</x:v>
      </x:c>
    </x:row>
    <x:row r="278">
      <x:c r="A278" s="34" t="str">
        <x:v>POSCO_KR</x:v>
      </x:c>
      <x:c r="B278" s="34" t="str">
        <x:v>POSCO</x:v>
      </x:c>
      <x:c r="C278" s="34" t="str">
        <x:v>DISCLOSED_PATH</x:v>
      </x:c>
      <x:c r="D278" s="34" t="str">
        <x:v>P2</x:v>
      </x:c>
      <x:c r="E278" s="34" t="n">
        <x:v>2032</x:v>
      </x:c>
      <x:c r="F278" s="34" t="n">
        <x:v>2</x:v>
      </x:c>
      <x:c r="G278" s="34" t="n">
        <x:v>7.859998</x:v>
      </x:c>
      <x:c r="H278" s="34" t="n">
        <x:v>14.4</x:v>
      </x:c>
      <x:c r="I278" s="34" t="n">
        <x:v>6.540002</x:v>
      </x:c>
      <x:c r="J278" s="34" t="n">
        <x:v>54.583</x:v>
      </x:c>
      <x:c r="K278" s="34" t="n">
        <x:v>0.374</x:v>
      </x:c>
      <x:c r="L278" s="34" t="n">
        <x:v>0.9</x:v>
      </x:c>
      <x:c r="M278" s="34" t="n">
        <x:v>0.526</x:v>
      </x:c>
      <x:c r="N278" s="34" t="n">
        <x:v>41.556</x:v>
      </x:c>
      <x:c r="O278" s="34" t="n">
        <x:v>7.383999</x:v>
      </x:c>
      <x:c r="P278" s="34" t="n">
        <x:v>10.2</x:v>
      </x:c>
      <x:c r="Q278" s="34" t="n">
        <x:v>2.816001</x:v>
      </x:c>
      <x:c r="R278" s="34" t="n">
        <x:v>72.392</x:v>
      </x:c>
      <x:c r="S278" s="40" t="b">
        <x:v>1</x:v>
      </x:c>
      <x:c r="T278" s="34" t="str">
        <x:v>model_interpolation</x:v>
      </x:c>
      <x:c r="U278" s="34" t="str">
        <x:v>Linear interpolation from 2030 to 2035</x:v>
      </x:c>
      <x:c r="V278" s="34" t="str">
        <x:v>CAND-4EF614D30D6D91</x:v>
      </x:c>
      <x:c r="W278" s="34" t="str">
        <x:v>P2</x:v>
      </x:c>
      <x:c r="X278" s="34" t="str">
        <x:v>PORT-96133A6427FE</x:v>
      </x:c>
      <x:c r="Y278" s="34" t="n">
        <x:v>1000</x:v>
      </x:c>
      <x:c r="Z278" s="34" t="n">
        <x:v>69.411812</x:v>
      </x:c>
      <x:c r="AA278" s="34" t="n">
        <x:v>17.809403</x:v>
      </x:c>
      <x:c r="AB278" s="34" t="n">
        <x:v>430.20423</x:v>
      </x:c>
      <x:c r="AC278" s="34" t="n">
        <x:v>29134.516</x:v>
      </x:c>
      <x:c r="AD278" s="34" t="n">
        <x:v>67.722522</x:v>
      </x:c>
      <x:c r="AE278" s="40" t="b">
        <x:v>1</x:v>
      </x:c>
      <x:c r="AF278" s="40" t="b">
        <x:v>1</x:v>
      </x:c>
      <x:c r="AG278" s="34" t="str"/>
      <x:c r="AH278" s="34" t="n">
        <x:v>0</x:v>
      </x:c>
      <x:c r="AI278" s="34" t="str">
        <x:v>2.0275124185786808e-05</x:v>
      </x:c>
      <x:c r="AJ278" s="40" t="b">
        <x:v>1</x:v>
      </x:c>
      <x:c r="AK278" s="40" t="b">
        <x:v>1</x:v>
      </x:c>
      <x:c r="AL278" s="40" t="b">
        <x:v>1</x:v>
      </x:c>
      <x:c r="AM278" s="40" t="b">
        <x:v>1</x:v>
      </x:c>
      <x:c r="AN278" s="34" t="str"/>
      <x:c r="AO278" s="34" t="n">
        <x:v>0</x:v>
      </x:c>
      <x:c r="AP278" s="34" t="n">
        <x:v>0</x:v>
      </x:c>
      <x:c r="AQ278" s="34" t="n">
        <x:v>0</x:v>
      </x:c>
      <x:c r="AR278" s="34" t="n">
        <x:v>2</x:v>
      </x:c>
      <x:c r="AS278" s="34" t="n">
        <x:v>3</x:v>
      </x:c>
      <x:c r="AT278" s="34" t="n">
        <x:v>0.45933660799999987</x:v>
      </x:c>
      <x:c r="AU278" s="34" t="n">
        <x:v>0.65</x:v>
      </x:c>
      <x:c r="AV278" s="34" t="n">
        <x:v>2.02</x:v>
      </x:c>
    </x:row>
    <x:row r="279">
      <x:c r="A279" s="34" t="str">
        <x:v>POSCO_KR</x:v>
      </x:c>
      <x:c r="B279" s="34" t="str">
        <x:v>POSCO</x:v>
      </x:c>
      <x:c r="C279" s="34" t="str">
        <x:v>DISCLOSED_PATH</x:v>
      </x:c>
      <x:c r="D279" s="34" t="str">
        <x:v>P2</x:v>
      </x:c>
      <x:c r="E279" s="34" t="n">
        <x:v>2033</x:v>
      </x:c>
      <x:c r="F279" s="34" t="n">
        <x:v>3</x:v>
      </x:c>
      <x:c r="G279" s="34" t="n">
        <x:v>8.880598</x:v>
      </x:c>
      <x:c r="H279" s="34" t="n">
        <x:v>15.6</x:v>
      </x:c>
      <x:c r="I279" s="34" t="n">
        <x:v>6.719402</x:v>
      </x:c>
      <x:c r="J279" s="34" t="n">
        <x:v>56.927</x:v>
      </x:c>
      <x:c r="K279" s="34" t="n">
        <x:v>0.374</x:v>
      </x:c>
      <x:c r="L279" s="34" t="n">
        <x:v>1.1</x:v>
      </x:c>
      <x:c r="M279" s="34" t="n">
        <x:v>0.726</x:v>
      </x:c>
      <x:c r="N279" s="34" t="n">
        <x:v>34</x:v>
      </x:c>
      <x:c r="O279" s="34" t="n">
        <x:v>7.452039</x:v>
      </x:c>
      <x:c r="P279" s="34" t="n">
        <x:v>11.8</x:v>
      </x:c>
      <x:c r="Q279" s="34" t="n">
        <x:v>4.347961</x:v>
      </x:c>
      <x:c r="R279" s="34" t="n">
        <x:v>63.153</x:v>
      </x:c>
      <x:c r="S279" s="40" t="b">
        <x:v>1</x:v>
      </x:c>
      <x:c r="T279" s="34" t="str">
        <x:v>model_interpolation</x:v>
      </x:c>
      <x:c r="U279" s="34" t="str">
        <x:v>Linear interpolation from 2030 to 2035</x:v>
      </x:c>
      <x:c r="V279" s="34" t="str">
        <x:v>CAND-4EF614D30D6D91</x:v>
      </x:c>
      <x:c r="W279" s="34" t="str">
        <x:v>P2</x:v>
      </x:c>
      <x:c r="X279" s="34" t="str">
        <x:v>PORT-96133A6427FE</x:v>
      </x:c>
      <x:c r="Y279" s="34" t="n">
        <x:v>1000</x:v>
      </x:c>
      <x:c r="Z279" s="34" t="n">
        <x:v>69.411812</x:v>
      </x:c>
      <x:c r="AA279" s="34" t="n">
        <x:v>17.809403</x:v>
      </x:c>
      <x:c r="AB279" s="34" t="n">
        <x:v>430.20423</x:v>
      </x:c>
      <x:c r="AC279" s="34" t="n">
        <x:v>29134.516</x:v>
      </x:c>
      <x:c r="AD279" s="34" t="n">
        <x:v>67.722522</x:v>
      </x:c>
      <x:c r="AE279" s="40" t="b">
        <x:v>1</x:v>
      </x:c>
      <x:c r="AF279" s="40" t="b">
        <x:v>1</x:v>
      </x:c>
      <x:c r="AG279" s="34" t="str"/>
      <x:c r="AH279" s="34" t="n">
        <x:v>0</x:v>
      </x:c>
      <x:c r="AI279" s="34" t="str">
        <x:v>2.0275124185786808e-05</x:v>
      </x:c>
      <x:c r="AJ279" s="40" t="b">
        <x:v>1</x:v>
      </x:c>
      <x:c r="AK279" s="40" t="b">
        <x:v>1</x:v>
      </x:c>
      <x:c r="AL279" s="40" t="b">
        <x:v>1</x:v>
      </x:c>
      <x:c r="AM279" s="40" t="b">
        <x:v>1</x:v>
      </x:c>
      <x:c r="AN279" s="34" t="str"/>
      <x:c r="AO279" s="34" t="n">
        <x:v>0</x:v>
      </x:c>
      <x:c r="AP279" s="34" t="n">
        <x:v>0</x:v>
      </x:c>
      <x:c r="AQ279" s="34" t="n">
        <x:v>0</x:v>
      </x:c>
      <x:c r="AR279" s="34" t="n">
        <x:v>2</x:v>
      </x:c>
      <x:c r="AS279" s="34" t="n">
        <x:v>3</x:v>
      </x:c>
      <x:c r="AT279" s="34" t="n">
        <x:v>0.45933660799999987</x:v>
      </x:c>
      <x:c r="AU279" s="34" t="n">
        <x:v>0.65</x:v>
      </x:c>
      <x:c r="AV279" s="34" t="n">
        <x:v>2.02</x:v>
      </x:c>
    </x:row>
    <x:row r="280">
      <x:c r="A280" s="34" t="str">
        <x:v>POSCO_KR</x:v>
      </x:c>
      <x:c r="B280" s="34" t="str">
        <x:v>POSCO</x:v>
      </x:c>
      <x:c r="C280" s="34" t="str">
        <x:v>DISCLOSED_PATH</x:v>
      </x:c>
      <x:c r="D280" s="34" t="str">
        <x:v>P2</x:v>
      </x:c>
      <x:c r="E280" s="34" t="n">
        <x:v>2034</x:v>
      </x:c>
      <x:c r="F280" s="34" t="n">
        <x:v>3</x:v>
      </x:c>
      <x:c r="G280" s="34" t="n">
        <x:v>8.880598</x:v>
      </x:c>
      <x:c r="H280" s="34" t="n">
        <x:v>16.8</x:v>
      </x:c>
      <x:c r="I280" s="34" t="n">
        <x:v>7.919402</x:v>
      </x:c>
      <x:c r="J280" s="34" t="n">
        <x:v>52.861</x:v>
      </x:c>
      <x:c r="K280" s="34" t="n">
        <x:v>0.374</x:v>
      </x:c>
      <x:c r="L280" s="34" t="n">
        <x:v>1.3</x:v>
      </x:c>
      <x:c r="M280" s="34" t="n">
        <x:v>0.926</x:v>
      </x:c>
      <x:c r="N280" s="34" t="n">
        <x:v>28.769</x:v>
      </x:c>
      <x:c r="O280" s="34" t="n">
        <x:v>7.452039</x:v>
      </x:c>
      <x:c r="P280" s="34" t="n">
        <x:v>13.4</x:v>
      </x:c>
      <x:c r="Q280" s="34" t="n">
        <x:v>5.947961</x:v>
      </x:c>
      <x:c r="R280" s="34" t="n">
        <x:v>55.612</x:v>
      </x:c>
      <x:c r="S280" s="40" t="b">
        <x:v>1</x:v>
      </x:c>
      <x:c r="T280" s="34" t="str">
        <x:v>model_interpolation</x:v>
      </x:c>
      <x:c r="U280" s="34" t="str">
        <x:v>Linear interpolation from 2030 to 2035</x:v>
      </x:c>
      <x:c r="V280" s="34" t="str">
        <x:v>CAND-4EF614D30D6D91</x:v>
      </x:c>
      <x:c r="W280" s="34" t="str">
        <x:v>P2</x:v>
      </x:c>
      <x:c r="X280" s="34" t="str">
        <x:v>PORT-96133A6427FE</x:v>
      </x:c>
      <x:c r="Y280" s="34" t="n">
        <x:v>1000</x:v>
      </x:c>
      <x:c r="Z280" s="34" t="n">
        <x:v>69.411812</x:v>
      </x:c>
      <x:c r="AA280" s="34" t="n">
        <x:v>17.809403</x:v>
      </x:c>
      <x:c r="AB280" s="34" t="n">
        <x:v>430.20423</x:v>
      </x:c>
      <x:c r="AC280" s="34" t="n">
        <x:v>29134.516</x:v>
      </x:c>
      <x:c r="AD280" s="34" t="n">
        <x:v>67.722522</x:v>
      </x:c>
      <x:c r="AE280" s="40" t="b">
        <x:v>1</x:v>
      </x:c>
      <x:c r="AF280" s="40" t="b">
        <x:v>1</x:v>
      </x:c>
      <x:c r="AG280" s="34" t="str"/>
      <x:c r="AH280" s="34" t="n">
        <x:v>0</x:v>
      </x:c>
      <x:c r="AI280" s="34" t="str">
        <x:v>2.0275124185786808e-05</x:v>
      </x:c>
      <x:c r="AJ280" s="40" t="b">
        <x:v>1</x:v>
      </x:c>
      <x:c r="AK280" s="40" t="b">
        <x:v>1</x:v>
      </x:c>
      <x:c r="AL280" s="40" t="b">
        <x:v>1</x:v>
      </x:c>
      <x:c r="AM280" s="40" t="b">
        <x:v>1</x:v>
      </x:c>
      <x:c r="AN280" s="34" t="str"/>
      <x:c r="AO280" s="34" t="n">
        <x:v>0</x:v>
      </x:c>
      <x:c r="AP280" s="34" t="n">
        <x:v>0</x:v>
      </x:c>
      <x:c r="AQ280" s="34" t="n">
        <x:v>0</x:v>
      </x:c>
      <x:c r="AR280" s="34" t="n">
        <x:v>2</x:v>
      </x:c>
      <x:c r="AS280" s="34" t="n">
        <x:v>3</x:v>
      </x:c>
      <x:c r="AT280" s="34" t="n">
        <x:v>0.45933660799999987</x:v>
      </x:c>
      <x:c r="AU280" s="34" t="n">
        <x:v>0.65</x:v>
      </x:c>
      <x:c r="AV280" s="34" t="n">
        <x:v>2.02</x:v>
      </x:c>
    </x:row>
    <x:row r="281">
      <x:c r="A281" s="34" t="str">
        <x:v>POSCO_KR</x:v>
      </x:c>
      <x:c r="B281" s="34" t="str">
        <x:v>POSCO</x:v>
      </x:c>
      <x:c r="C281" s="34" t="str">
        <x:v>DISCLOSED_PATH</x:v>
      </x:c>
      <x:c r="D281" s="34" t="str">
        <x:v>P2</x:v>
      </x:c>
      <x:c r="E281" s="34" t="n">
        <x:v>2035</x:v>
      </x:c>
      <x:c r="F281" s="34" t="n">
        <x:v>4</x:v>
      </x:c>
      <x:c r="G281" s="34" t="n">
        <x:v>17.430597</x:v>
      </x:c>
      <x:c r="H281" s="34" t="n">
        <x:v>18</x:v>
      </x:c>
      <x:c r="I281" s="34" t="n">
        <x:v>0.569403</x:v>
      </x:c>
      <x:c r="J281" s="34" t="n">
        <x:v>96.837</x:v>
      </x:c>
      <x:c r="K281" s="34" t="n">
        <x:v>0.374</x:v>
      </x:c>
      <x:c r="L281" s="34" t="n">
        <x:v>1.5</x:v>
      </x:c>
      <x:c r="M281" s="34" t="n">
        <x:v>1.126</x:v>
      </x:c>
      <x:c r="N281" s="34" t="n">
        <x:v>24.933</x:v>
      </x:c>
      <x:c r="O281" s="34" t="n">
        <x:v>12.867038</x:v>
      </x:c>
      <x:c r="P281" s="34" t="n">
        <x:v>15</x:v>
      </x:c>
      <x:c r="Q281" s="34" t="n">
        <x:v>2.132962</x:v>
      </x:c>
      <x:c r="R281" s="34" t="n">
        <x:v>85.78</x:v>
      </x:c>
      <x:c r="S281" s="40" t="b">
        <x:v>1</x:v>
      </x:c>
      <x:c r="T281" s="34" t="str">
        <x:v>model_interpolation</x:v>
      </x:c>
      <x:c r="U281" s="34" t="str">
        <x:v>Linear interpolation from 2035 to 2040</x:v>
      </x:c>
      <x:c r="V281" s="34" t="str">
        <x:v>CAND-4EF614D30D6D91</x:v>
      </x:c>
      <x:c r="W281" s="34" t="str">
        <x:v>P2</x:v>
      </x:c>
      <x:c r="X281" s="34" t="str">
        <x:v>PORT-96133A6427FE</x:v>
      </x:c>
      <x:c r="Y281" s="34" t="n">
        <x:v>1000</x:v>
      </x:c>
      <x:c r="Z281" s="34" t="n">
        <x:v>69.411812</x:v>
      </x:c>
      <x:c r="AA281" s="34" t="n">
        <x:v>17.809403</x:v>
      </x:c>
      <x:c r="AB281" s="34" t="n">
        <x:v>430.20423</x:v>
      </x:c>
      <x:c r="AC281" s="34" t="n">
        <x:v>29134.516</x:v>
      </x:c>
      <x:c r="AD281" s="34" t="n">
        <x:v>67.722522</x:v>
      </x:c>
      <x:c r="AE281" s="40" t="b">
        <x:v>1</x:v>
      </x:c>
      <x:c r="AF281" s="40" t="b">
        <x:v>1</x:v>
      </x:c>
      <x:c r="AG281" s="34" t="str"/>
      <x:c r="AH281" s="34" t="n">
        <x:v>0</x:v>
      </x:c>
      <x:c r="AI281" s="34" t="str">
        <x:v>2.0275124185786808e-05</x:v>
      </x:c>
      <x:c r="AJ281" s="40" t="b">
        <x:v>1</x:v>
      </x:c>
      <x:c r="AK281" s="40" t="b">
        <x:v>1</x:v>
      </x:c>
      <x:c r="AL281" s="40" t="b">
        <x:v>1</x:v>
      </x:c>
      <x:c r="AM281" s="40" t="b">
        <x:v>1</x:v>
      </x:c>
      <x:c r="AN281" s="34" t="str"/>
      <x:c r="AO281" s="34" t="n">
        <x:v>0</x:v>
      </x:c>
      <x:c r="AP281" s="34" t="n">
        <x:v>0</x:v>
      </x:c>
      <x:c r="AQ281" s="34" t="n">
        <x:v>0</x:v>
      </x:c>
      <x:c r="AR281" s="34" t="n">
        <x:v>2</x:v>
      </x:c>
      <x:c r="AS281" s="34" t="n">
        <x:v>3</x:v>
      </x:c>
      <x:c r="AT281" s="34" t="n">
        <x:v>0.45933660799999987</x:v>
      </x:c>
      <x:c r="AU281" s="34" t="n">
        <x:v>0.65</x:v>
      </x:c>
      <x:c r="AV281" s="34" t="n">
        <x:v>2.02</x:v>
      </x:c>
    </x:row>
    <x:row r="282">
      <x:c r="A282" s="34" t="str">
        <x:v>POSCO_KR</x:v>
      </x:c>
      <x:c r="B282" s="34" t="str">
        <x:v>POSCO</x:v>
      </x:c>
      <x:c r="C282" s="34" t="str">
        <x:v>DISCLOSED_PATH</x:v>
      </x:c>
      <x:c r="D282" s="34" t="str">
        <x:v>P2</x:v>
      </x:c>
      <x:c r="E282" s="34" t="n">
        <x:v>2036</x:v>
      </x:c>
      <x:c r="F282" s="34" t="n">
        <x:v>4</x:v>
      </x:c>
      <x:c r="G282" s="34" t="n">
        <x:v>17.430597</x:v>
      </x:c>
      <x:c r="H282" s="34" t="n">
        <x:v>19.4</x:v>
      </x:c>
      <x:c r="I282" s="34" t="n">
        <x:v>1.969403</x:v>
      </x:c>
      <x:c r="J282" s="34" t="n">
        <x:v>89.848</x:v>
      </x:c>
      <x:c r="K282" s="34" t="n">
        <x:v>0.374</x:v>
      </x:c>
      <x:c r="L282" s="34" t="n">
        <x:v>1.8</x:v>
      </x:c>
      <x:c r="M282" s="34" t="n">
        <x:v>1.426</x:v>
      </x:c>
      <x:c r="N282" s="34" t="n">
        <x:v>20.778</x:v>
      </x:c>
      <x:c r="O282" s="34" t="n">
        <x:v>12.867038</x:v>
      </x:c>
      <x:c r="P282" s="34" t="n">
        <x:v>17</x:v>
      </x:c>
      <x:c r="Q282" s="34" t="n">
        <x:v>4.132962</x:v>
      </x:c>
      <x:c r="R282" s="34" t="n">
        <x:v>75.688</x:v>
      </x:c>
      <x:c r="S282" s="40" t="b">
        <x:v>1</x:v>
      </x:c>
      <x:c r="T282" s="34" t="str">
        <x:v>model_interpolation</x:v>
      </x:c>
      <x:c r="U282" s="34" t="str">
        <x:v>Linear interpolation from 2035 to 2040</x:v>
      </x:c>
      <x:c r="V282" s="34" t="str">
        <x:v>CAND-4EF614D30D6D91</x:v>
      </x:c>
      <x:c r="W282" s="34" t="str">
        <x:v>P2</x:v>
      </x:c>
      <x:c r="X282" s="34" t="str">
        <x:v>PORT-96133A6427FE</x:v>
      </x:c>
      <x:c r="Y282" s="34" t="n">
        <x:v>1000</x:v>
      </x:c>
      <x:c r="Z282" s="34" t="n">
        <x:v>69.411812</x:v>
      </x:c>
      <x:c r="AA282" s="34" t="n">
        <x:v>17.809403</x:v>
      </x:c>
      <x:c r="AB282" s="34" t="n">
        <x:v>430.20423</x:v>
      </x:c>
      <x:c r="AC282" s="34" t="n">
        <x:v>29134.516</x:v>
      </x:c>
      <x:c r="AD282" s="34" t="n">
        <x:v>67.722522</x:v>
      </x:c>
      <x:c r="AE282" s="40" t="b">
        <x:v>1</x:v>
      </x:c>
      <x:c r="AF282" s="40" t="b">
        <x:v>1</x:v>
      </x:c>
      <x:c r="AG282" s="34" t="str"/>
      <x:c r="AH282" s="34" t="n">
        <x:v>0</x:v>
      </x:c>
      <x:c r="AI282" s="34" t="str">
        <x:v>2.0275124185786808e-05</x:v>
      </x:c>
      <x:c r="AJ282" s="40" t="b">
        <x:v>1</x:v>
      </x:c>
      <x:c r="AK282" s="40" t="b">
        <x:v>1</x:v>
      </x:c>
      <x:c r="AL282" s="40" t="b">
        <x:v>1</x:v>
      </x:c>
      <x:c r="AM282" s="40" t="b">
        <x:v>1</x:v>
      </x:c>
      <x:c r="AN282" s="34" t="str"/>
      <x:c r="AO282" s="34" t="n">
        <x:v>0</x:v>
      </x:c>
      <x:c r="AP282" s="34" t="n">
        <x:v>0</x:v>
      </x:c>
      <x:c r="AQ282" s="34" t="n">
        <x:v>0</x:v>
      </x:c>
      <x:c r="AR282" s="34" t="n">
        <x:v>2</x:v>
      </x:c>
      <x:c r="AS282" s="34" t="n">
        <x:v>3</x:v>
      </x:c>
      <x:c r="AT282" s="34" t="n">
        <x:v>0.45933660799999987</x:v>
      </x:c>
      <x:c r="AU282" s="34" t="n">
        <x:v>0.65</x:v>
      </x:c>
      <x:c r="AV282" s="34" t="n">
        <x:v>2.02</x:v>
      </x:c>
    </x:row>
    <x:row r="283">
      <x:c r="A283" s="34" t="str">
        <x:v>POSCO_KR</x:v>
      </x:c>
      <x:c r="B283" s="34" t="str">
        <x:v>POSCO</x:v>
      </x:c>
      <x:c r="C283" s="34" t="str">
        <x:v>DISCLOSED_PATH</x:v>
      </x:c>
      <x:c r="D283" s="34" t="str">
        <x:v>P2</x:v>
      </x:c>
      <x:c r="E283" s="34" t="n">
        <x:v>2037</x:v>
      </x:c>
      <x:c r="F283" s="34" t="n">
        <x:v>5</x:v>
      </x:c>
      <x:c r="G283" s="34" t="n">
        <x:v>18.856047</x:v>
      </x:c>
      <x:c r="H283" s="34" t="n">
        <x:v>20.8</x:v>
      </x:c>
      <x:c r="I283" s="34" t="n">
        <x:v>1.943953</x:v>
      </x:c>
      <x:c r="J283" s="34" t="n">
        <x:v>90.654</x:v>
      </x:c>
      <x:c r="K283" s="34" t="n">
        <x:v>0.896665</x:v>
      </x:c>
      <x:c r="L283" s="34" t="n">
        <x:v>2.1</x:v>
      </x:c>
      <x:c r="M283" s="34" t="n">
        <x:v>1.203335</x:v>
      </x:c>
      <x:c r="N283" s="34" t="n">
        <x:v>42.698</x:v>
      </x:c>
      <x:c r="O283" s="34" t="n">
        <x:v>17.333447</x:v>
      </x:c>
      <x:c r="P283" s="34" t="n">
        <x:v>19</x:v>
      </x:c>
      <x:c r="Q283" s="34" t="n">
        <x:v>1.666553</x:v>
      </x:c>
      <x:c r="R283" s="34" t="n">
        <x:v>91.229</x:v>
      </x:c>
      <x:c r="S283" s="40" t="b">
        <x:v>1</x:v>
      </x:c>
      <x:c r="T283" s="34" t="str">
        <x:v>model_interpolation</x:v>
      </x:c>
      <x:c r="U283" s="34" t="str">
        <x:v>Linear interpolation from 2035 to 2040</x:v>
      </x:c>
      <x:c r="V283" s="34" t="str">
        <x:v>CAND-4EF614D30D6D91</x:v>
      </x:c>
      <x:c r="W283" s="34" t="str">
        <x:v>P2</x:v>
      </x:c>
      <x:c r="X283" s="34" t="str">
        <x:v>PORT-96133A6427FE</x:v>
      </x:c>
      <x:c r="Y283" s="34" t="n">
        <x:v>1000</x:v>
      </x:c>
      <x:c r="Z283" s="34" t="n">
        <x:v>69.411812</x:v>
      </x:c>
      <x:c r="AA283" s="34" t="n">
        <x:v>17.809403</x:v>
      </x:c>
      <x:c r="AB283" s="34" t="n">
        <x:v>430.20423</x:v>
      </x:c>
      <x:c r="AC283" s="34" t="n">
        <x:v>29134.516</x:v>
      </x:c>
      <x:c r="AD283" s="34" t="n">
        <x:v>67.722522</x:v>
      </x:c>
      <x:c r="AE283" s="40" t="b">
        <x:v>1</x:v>
      </x:c>
      <x:c r="AF283" s="40" t="b">
        <x:v>1</x:v>
      </x:c>
      <x:c r="AG283" s="34" t="str"/>
      <x:c r="AH283" s="34" t="n">
        <x:v>0</x:v>
      </x:c>
      <x:c r="AI283" s="34" t="str">
        <x:v>2.0275124185786808e-05</x:v>
      </x:c>
      <x:c r="AJ283" s="40" t="b">
        <x:v>1</x:v>
      </x:c>
      <x:c r="AK283" s="40" t="b">
        <x:v>1</x:v>
      </x:c>
      <x:c r="AL283" s="40" t="b">
        <x:v>1</x:v>
      </x:c>
      <x:c r="AM283" s="40" t="b">
        <x:v>1</x:v>
      </x:c>
      <x:c r="AN283" s="34" t="str"/>
      <x:c r="AO283" s="34" t="n">
        <x:v>0</x:v>
      </x:c>
      <x:c r="AP283" s="34" t="n">
        <x:v>0</x:v>
      </x:c>
      <x:c r="AQ283" s="34" t="n">
        <x:v>0</x:v>
      </x:c>
      <x:c r="AR283" s="34" t="n">
        <x:v>2</x:v>
      </x:c>
      <x:c r="AS283" s="34" t="n">
        <x:v>3</x:v>
      </x:c>
      <x:c r="AT283" s="34" t="n">
        <x:v>0.45933660799999987</x:v>
      </x:c>
      <x:c r="AU283" s="34" t="n">
        <x:v>0.65</x:v>
      </x:c>
      <x:c r="AV283" s="34" t="n">
        <x:v>2.02</x:v>
      </x:c>
    </x:row>
    <x:row r="284">
      <x:c r="A284" s="34" t="str">
        <x:v>POSCO_KR</x:v>
      </x:c>
      <x:c r="B284" s="34" t="str">
        <x:v>POSCO</x:v>
      </x:c>
      <x:c r="C284" s="34" t="str">
        <x:v>DISCLOSED_PATH</x:v>
      </x:c>
      <x:c r="D284" s="34" t="str">
        <x:v>P2</x:v>
      </x:c>
      <x:c r="E284" s="34" t="n">
        <x:v>2038</x:v>
      </x:c>
      <x:c r="F284" s="34" t="n">
        <x:v>5</x:v>
      </x:c>
      <x:c r="G284" s="34" t="n">
        <x:v>18.856047</x:v>
      </x:c>
      <x:c r="H284" s="34" t="n">
        <x:v>22.2</x:v>
      </x:c>
      <x:c r="I284" s="34" t="n">
        <x:v>3.343953</x:v>
      </x:c>
      <x:c r="J284" s="34" t="n">
        <x:v>84.937</x:v>
      </x:c>
      <x:c r="K284" s="34" t="n">
        <x:v>0.896665</x:v>
      </x:c>
      <x:c r="L284" s="34" t="n">
        <x:v>2.4</x:v>
      </x:c>
      <x:c r="M284" s="34" t="n">
        <x:v>1.503335</x:v>
      </x:c>
      <x:c r="N284" s="34" t="n">
        <x:v>37.361</x:v>
      </x:c>
      <x:c r="O284" s="34" t="n">
        <x:v>17.333447</x:v>
      </x:c>
      <x:c r="P284" s="34" t="n">
        <x:v>21</x:v>
      </x:c>
      <x:c r="Q284" s="34" t="n">
        <x:v>3.666553</x:v>
      </x:c>
      <x:c r="R284" s="34" t="n">
        <x:v>82.54</x:v>
      </x:c>
      <x:c r="S284" s="40" t="b">
        <x:v>1</x:v>
      </x:c>
      <x:c r="T284" s="34" t="str">
        <x:v>model_interpolation</x:v>
      </x:c>
      <x:c r="U284" s="34" t="str">
        <x:v>Linear interpolation from 2035 to 2040</x:v>
      </x:c>
      <x:c r="V284" s="34" t="str">
        <x:v>CAND-4EF614D30D6D91</x:v>
      </x:c>
      <x:c r="W284" s="34" t="str">
        <x:v>P2</x:v>
      </x:c>
      <x:c r="X284" s="34" t="str">
        <x:v>PORT-96133A6427FE</x:v>
      </x:c>
      <x:c r="Y284" s="34" t="n">
        <x:v>1000</x:v>
      </x:c>
      <x:c r="Z284" s="34" t="n">
        <x:v>69.411812</x:v>
      </x:c>
      <x:c r="AA284" s="34" t="n">
        <x:v>17.809403</x:v>
      </x:c>
      <x:c r="AB284" s="34" t="n">
        <x:v>430.20423</x:v>
      </x:c>
      <x:c r="AC284" s="34" t="n">
        <x:v>29134.516</x:v>
      </x:c>
      <x:c r="AD284" s="34" t="n">
        <x:v>67.722522</x:v>
      </x:c>
      <x:c r="AE284" s="40" t="b">
        <x:v>1</x:v>
      </x:c>
      <x:c r="AF284" s="40" t="b">
        <x:v>1</x:v>
      </x:c>
      <x:c r="AG284" s="34" t="str"/>
      <x:c r="AH284" s="34" t="n">
        <x:v>0</x:v>
      </x:c>
      <x:c r="AI284" s="34" t="str">
        <x:v>2.0275124185786808e-05</x:v>
      </x:c>
      <x:c r="AJ284" s="40" t="b">
        <x:v>1</x:v>
      </x:c>
      <x:c r="AK284" s="40" t="b">
        <x:v>1</x:v>
      </x:c>
      <x:c r="AL284" s="40" t="b">
        <x:v>1</x:v>
      </x:c>
      <x:c r="AM284" s="40" t="b">
        <x:v>1</x:v>
      </x:c>
      <x:c r="AN284" s="34" t="str"/>
      <x:c r="AO284" s="34" t="n">
        <x:v>0</x:v>
      </x:c>
      <x:c r="AP284" s="34" t="n">
        <x:v>0</x:v>
      </x:c>
      <x:c r="AQ284" s="34" t="n">
        <x:v>0</x:v>
      </x:c>
      <x:c r="AR284" s="34" t="n">
        <x:v>2</x:v>
      </x:c>
      <x:c r="AS284" s="34" t="n">
        <x:v>3</x:v>
      </x:c>
      <x:c r="AT284" s="34" t="n">
        <x:v>0.45933660799999987</x:v>
      </x:c>
      <x:c r="AU284" s="34" t="n">
        <x:v>0.65</x:v>
      </x:c>
      <x:c r="AV284" s="34" t="n">
        <x:v>2.02</x:v>
      </x:c>
    </x:row>
    <x:row r="285">
      <x:c r="A285" s="34" t="str">
        <x:v>POSCO_KR</x:v>
      </x:c>
      <x:c r="B285" s="34" t="str">
        <x:v>POSCO</x:v>
      </x:c>
      <x:c r="C285" s="34" t="str">
        <x:v>DISCLOSED_PATH</x:v>
      </x:c>
      <x:c r="D285" s="34" t="str">
        <x:v>P2</x:v>
      </x:c>
      <x:c r="E285" s="34" t="n">
        <x:v>2039</x:v>
      </x:c>
      <x:c r="F285" s="34" t="n">
        <x:v>5</x:v>
      </x:c>
      <x:c r="G285" s="34" t="n">
        <x:v>18.856047</x:v>
      </x:c>
      <x:c r="H285" s="34" t="n">
        <x:v>23.6</x:v>
      </x:c>
      <x:c r="I285" s="34" t="n">
        <x:v>4.743953</x:v>
      </x:c>
      <x:c r="J285" s="34" t="n">
        <x:v>79.899</x:v>
      </x:c>
      <x:c r="K285" s="34" t="n">
        <x:v>0.896665</x:v>
      </x:c>
      <x:c r="L285" s="34" t="n">
        <x:v>2.7</x:v>
      </x:c>
      <x:c r="M285" s="34" t="n">
        <x:v>1.803335</x:v>
      </x:c>
      <x:c r="N285" s="34" t="n">
        <x:v>33.21</x:v>
      </x:c>
      <x:c r="O285" s="34" t="n">
        <x:v>17.333447</x:v>
      </x:c>
      <x:c r="P285" s="34" t="n">
        <x:v>23</x:v>
      </x:c>
      <x:c r="Q285" s="34" t="n">
        <x:v>5.666553</x:v>
      </x:c>
      <x:c r="R285" s="34" t="n">
        <x:v>75.363</x:v>
      </x:c>
      <x:c r="S285" s="40" t="b">
        <x:v>1</x:v>
      </x:c>
      <x:c r="T285" s="34" t="str">
        <x:v>model_interpolation</x:v>
      </x:c>
      <x:c r="U285" s="34" t="str">
        <x:v>Linear interpolation from 2035 to 2040</x:v>
      </x:c>
      <x:c r="V285" s="34" t="str">
        <x:v>CAND-4EF614D30D6D91</x:v>
      </x:c>
      <x:c r="W285" s="34" t="str">
        <x:v>P2</x:v>
      </x:c>
      <x:c r="X285" s="34" t="str">
        <x:v>PORT-96133A6427FE</x:v>
      </x:c>
      <x:c r="Y285" s="34" t="n">
        <x:v>1000</x:v>
      </x:c>
      <x:c r="Z285" s="34" t="n">
        <x:v>69.411812</x:v>
      </x:c>
      <x:c r="AA285" s="34" t="n">
        <x:v>17.809403</x:v>
      </x:c>
      <x:c r="AB285" s="34" t="n">
        <x:v>430.20423</x:v>
      </x:c>
      <x:c r="AC285" s="34" t="n">
        <x:v>29134.516</x:v>
      </x:c>
      <x:c r="AD285" s="34" t="n">
        <x:v>67.722522</x:v>
      </x:c>
      <x:c r="AE285" s="40" t="b">
        <x:v>1</x:v>
      </x:c>
      <x:c r="AF285" s="40" t="b">
        <x:v>1</x:v>
      </x:c>
      <x:c r="AG285" s="34" t="str"/>
      <x:c r="AH285" s="34" t="n">
        <x:v>0</x:v>
      </x:c>
      <x:c r="AI285" s="34" t="str">
        <x:v>2.0275124185786808e-05</x:v>
      </x:c>
      <x:c r="AJ285" s="40" t="b">
        <x:v>1</x:v>
      </x:c>
      <x:c r="AK285" s="40" t="b">
        <x:v>1</x:v>
      </x:c>
      <x:c r="AL285" s="40" t="b">
        <x:v>1</x:v>
      </x:c>
      <x:c r="AM285" s="40" t="b">
        <x:v>1</x:v>
      </x:c>
      <x:c r="AN285" s="34" t="str"/>
      <x:c r="AO285" s="34" t="n">
        <x:v>0</x:v>
      </x:c>
      <x:c r="AP285" s="34" t="n">
        <x:v>0</x:v>
      </x:c>
      <x:c r="AQ285" s="34" t="n">
        <x:v>0</x:v>
      </x:c>
      <x:c r="AR285" s="34" t="n">
        <x:v>2</x:v>
      </x:c>
      <x:c r="AS285" s="34" t="n">
        <x:v>3</x:v>
      </x:c>
      <x:c r="AT285" s="34" t="n">
        <x:v>0.45933660799999987</x:v>
      </x:c>
      <x:c r="AU285" s="34" t="n">
        <x:v>0.65</x:v>
      </x:c>
      <x:c r="AV285" s="34" t="n">
        <x:v>2.02</x:v>
      </x:c>
    </x:row>
    <x:row r="286">
      <x:c r="A286" s="34" t="str">
        <x:v>POSCO_KR</x:v>
      </x:c>
      <x:c r="B286" s="34" t="str">
        <x:v>POSCO</x:v>
      </x:c>
      <x:c r="C286" s="34" t="str">
        <x:v>DISCLOSED_PATH</x:v>
      </x:c>
      <x:c r="D286" s="34" t="str">
        <x:v>P2</x:v>
      </x:c>
      <x:c r="E286" s="34" t="n">
        <x:v>2040</x:v>
      </x:c>
      <x:c r="F286" s="34" t="n">
        <x:v>5</x:v>
      </x:c>
      <x:c r="G286" s="34" t="n">
        <x:v>18.856047</x:v>
      </x:c>
      <x:c r="H286" s="34" t="n">
        <x:v>25</x:v>
      </x:c>
      <x:c r="I286" s="34" t="n">
        <x:v>6.143953</x:v>
      </x:c>
      <x:c r="J286" s="34" t="n">
        <x:v>75.424</x:v>
      </x:c>
      <x:c r="K286" s="34" t="n">
        <x:v>0.896665</x:v>
      </x:c>
      <x:c r="L286" s="34" t="n">
        <x:v>3</x:v>
      </x:c>
      <x:c r="M286" s="34" t="n">
        <x:v>2.103335</x:v>
      </x:c>
      <x:c r="N286" s="34" t="n">
        <x:v>29.889</x:v>
      </x:c>
      <x:c r="O286" s="34" t="n">
        <x:v>17.333447</x:v>
      </x:c>
      <x:c r="P286" s="34" t="n">
        <x:v>25</x:v>
      </x:c>
      <x:c r="Q286" s="34" t="n">
        <x:v>7.666553</x:v>
      </x:c>
      <x:c r="R286" s="34" t="n">
        <x:v>69.334</x:v>
      </x:c>
      <x:c r="S286" s="40" t="b">
        <x:v>1</x:v>
      </x:c>
      <x:c r="T286" s="34" t="str">
        <x:v>model_estimate</x:v>
      </x:c>
      <x:c r="U286" s="34" t="str">
        <x:v>Illustrative screening envelope; not an official supply forecast</x:v>
      </x:c>
      <x:c r="V286" s="34" t="str">
        <x:v>CAND-4EF614D30D6D91</x:v>
      </x:c>
      <x:c r="W286" s="34" t="str">
        <x:v>P2</x:v>
      </x:c>
      <x:c r="X286" s="34" t="str">
        <x:v>PORT-96133A6427FE</x:v>
      </x:c>
      <x:c r="Y286" s="34" t="n">
        <x:v>1000</x:v>
      </x:c>
      <x:c r="Z286" s="34" t="n">
        <x:v>69.411812</x:v>
      </x:c>
      <x:c r="AA286" s="34" t="n">
        <x:v>17.809403</x:v>
      </x:c>
      <x:c r="AB286" s="34" t="n">
        <x:v>430.20423</x:v>
      </x:c>
      <x:c r="AC286" s="34" t="n">
        <x:v>29134.516</x:v>
      </x:c>
      <x:c r="AD286" s="34" t="n">
        <x:v>67.722522</x:v>
      </x:c>
      <x:c r="AE286" s="40" t="b">
        <x:v>1</x:v>
      </x:c>
      <x:c r="AF286" s="40" t="b">
        <x:v>1</x:v>
      </x:c>
      <x:c r="AG286" s="34" t="str"/>
      <x:c r="AH286" s="34" t="n">
        <x:v>0</x:v>
      </x:c>
      <x:c r="AI286" s="34" t="str">
        <x:v>2.0275124185786808e-05</x:v>
      </x:c>
      <x:c r="AJ286" s="40" t="b">
        <x:v>1</x:v>
      </x:c>
      <x:c r="AK286" s="40" t="b">
        <x:v>1</x:v>
      </x:c>
      <x:c r="AL286" s="40" t="b">
        <x:v>1</x:v>
      </x:c>
      <x:c r="AM286" s="40" t="b">
        <x:v>1</x:v>
      </x:c>
      <x:c r="AN286" s="34" t="str"/>
      <x:c r="AO286" s="34" t="n">
        <x:v>0</x:v>
      </x:c>
      <x:c r="AP286" s="34" t="n">
        <x:v>0</x:v>
      </x:c>
      <x:c r="AQ286" s="34" t="n">
        <x:v>0</x:v>
      </x:c>
      <x:c r="AR286" s="34" t="n">
        <x:v>2</x:v>
      </x:c>
      <x:c r="AS286" s="34" t="n">
        <x:v>3</x:v>
      </x:c>
      <x:c r="AT286" s="34" t="n">
        <x:v>0.45933660799999987</x:v>
      </x:c>
      <x:c r="AU286" s="34" t="n">
        <x:v>0.65</x:v>
      </x:c>
      <x:c r="AV286" s="34" t="n">
        <x:v>2.02</x:v>
      </x:c>
    </x:row>
    <x:row r="287">
      <x:c r="A287" s="34" t="str">
        <x:v>POSCO_KR</x:v>
      </x:c>
      <x:c r="B287" s="34" t="str">
        <x:v>POSCO</x:v>
      </x:c>
      <x:c r="C287" s="34" t="str">
        <x:v>ACCELERATED_15C</x:v>
      </x:c>
      <x:c r="D287" s="34" t="str">
        <x:v>P2</x:v>
      </x:c>
      <x:c r="E287" s="34" t="n">
        <x:v>2026</x:v>
      </x:c>
      <x:c r="F287" s="34" t="n">
        <x:v>0</x:v>
      </x:c>
      <x:c r="G287" s="34" t="n">
        <x:v>0</x:v>
      </x:c>
      <x:c r="H287" s="34" t="n">
        <x:v>8</x:v>
      </x:c>
      <x:c r="I287" s="34" t="n">
        <x:v>8</x:v>
      </x:c>
      <x:c r="J287" s="34" t="n">
        <x:v>0</x:v>
      </x:c>
      <x:c r="K287" s="34" t="n">
        <x:v>0</x:v>
      </x:c>
      <x:c r="L287" s="34" t="n">
        <x:v>0.1</x:v>
      </x:c>
      <x:c r="M287" s="34" t="n">
        <x:v>0.1</x:v>
      </x:c>
      <x:c r="N287" s="34" t="n">
        <x:v>0</x:v>
      </x:c>
      <x:c r="O287" s="34" t="n">
        <x:v>0</x:v>
      </x:c>
      <x:c r="P287" s="34" t="n">
        <x:v>2</x:v>
      </x:c>
      <x:c r="Q287" s="34" t="n">
        <x:v>2</x:v>
      </x:c>
      <x:c r="R287" s="34" t="n">
        <x:v>0</x:v>
      </x:c>
      <x:c r="S287" s="40" t="b">
        <x:v>1</x:v>
      </x:c>
      <x:c r="T287" s="34" t="str">
        <x:v>model_interpolation</x:v>
      </x:c>
      <x:c r="U287" s="34" t="str">
        <x:v>Linear interpolation from 2026 to 2030</x:v>
      </x:c>
      <x:c r="V287" s="34" t="str">
        <x:v>CAND-4EF614D30D6D91</x:v>
      </x:c>
      <x:c r="W287" s="34" t="str">
        <x:v>P2</x:v>
      </x:c>
      <x:c r="X287" s="34" t="str">
        <x:v>PORT-96133A6427FE</x:v>
      </x:c>
      <x:c r="Y287" s="34" t="n">
        <x:v>1000</x:v>
      </x:c>
      <x:c r="Z287" s="34" t="n">
        <x:v>57.715356</x:v>
      </x:c>
      <x:c r="AA287" s="34" t="n">
        <x:v>19.099566</x:v>
      </x:c>
      <x:c r="AB287" s="34" t="n">
        <x:v>430.20423</x:v>
      </x:c>
      <x:c r="AC287" s="34" t="n">
        <x:v>24083.473</x:v>
      </x:c>
      <x:c r="AD287" s="34" t="n">
        <x:v>55.981487</x:v>
      </x:c>
      <x:c r="AE287" s="40" t="b">
        <x:v>1</x:v>
      </x:c>
      <x:c r="AF287" s="40" t="b">
        <x:v>1</x:v>
      </x:c>
      <x:c r="AG287" s="34" t="str"/>
      <x:c r="AH287" s="34" t="n">
        <x:v>0</x:v>
      </x:c>
      <x:c r="AI287" s="34" t="str">
        <x:v>2.0275124185786808e-05</x:v>
      </x:c>
      <x:c r="AJ287" s="40" t="b">
        <x:v>1</x:v>
      </x:c>
      <x:c r="AK287" s="40" t="b">
        <x:v>1</x:v>
      </x:c>
      <x:c r="AL287" s="40" t="b">
        <x:v>1</x:v>
      </x:c>
      <x:c r="AM287" s="40" t="b">
        <x:v>1</x:v>
      </x:c>
      <x:c r="AN287" s="34" t="str"/>
      <x:c r="AO287" s="34" t="n">
        <x:v>0</x:v>
      </x:c>
      <x:c r="AP287" s="34" t="n">
        <x:v>0</x:v>
      </x:c>
      <x:c r="AQ287" s="34" t="n">
        <x:v>0</x:v>
      </x:c>
      <x:c r="AR287" s="34" t="n">
        <x:v>2</x:v>
      </x:c>
      <x:c r="AS287" s="34" t="n">
        <x:v>3</x:v>
      </x:c>
      <x:c r="AT287" s="34" t="n">
        <x:v>0.45933660799999987</x:v>
      </x:c>
      <x:c r="AU287" s="34" t="n">
        <x:v>0.65</x:v>
      </x:c>
      <x:c r="AV287" s="34" t="n">
        <x:v>2.02</x:v>
      </x:c>
    </x:row>
    <x:row r="288">
      <x:c r="A288" s="34" t="str">
        <x:v>POSCO_KR</x:v>
      </x:c>
      <x:c r="B288" s="34" t="str">
        <x:v>POSCO</x:v>
      </x:c>
      <x:c r="C288" s="34" t="str">
        <x:v>ACCELERATED_15C</x:v>
      </x:c>
      <x:c r="D288" s="34" t="str">
        <x:v>P2</x:v>
      </x:c>
      <x:c r="E288" s="34" t="n">
        <x:v>2027</x:v>
      </x:c>
      <x:c r="F288" s="34" t="n">
        <x:v>0</x:v>
      </x:c>
      <x:c r="G288" s="34" t="n">
        <x:v>0</x:v>
      </x:c>
      <x:c r="H288" s="34" t="n">
        <x:v>9.75</x:v>
      </x:c>
      <x:c r="I288" s="34" t="n">
        <x:v>9.75</x:v>
      </x:c>
      <x:c r="J288" s="34" t="n">
        <x:v>0</x:v>
      </x:c>
      <x:c r="K288" s="34" t="n">
        <x:v>0</x:v>
      </x:c>
      <x:c r="L288" s="34" t="n">
        <x:v>0.275</x:v>
      </x:c>
      <x:c r="M288" s="34" t="n">
        <x:v>0.275</x:v>
      </x:c>
      <x:c r="N288" s="34" t="n">
        <x:v>0</x:v>
      </x:c>
      <x:c r="O288" s="34" t="n">
        <x:v>0</x:v>
      </x:c>
      <x:c r="P288" s="34" t="n">
        <x:v>4</x:v>
      </x:c>
      <x:c r="Q288" s="34" t="n">
        <x:v>4</x:v>
      </x:c>
      <x:c r="R288" s="34" t="n">
        <x:v>0</x:v>
      </x:c>
      <x:c r="S288" s="40" t="b">
        <x:v>1</x:v>
      </x:c>
      <x:c r="T288" s="34" t="str">
        <x:v>model_interpolation</x:v>
      </x:c>
      <x:c r="U288" s="34" t="str">
        <x:v>Linear interpolation from 2026 to 2030</x:v>
      </x:c>
      <x:c r="V288" s="34" t="str">
        <x:v>CAND-4EF614D30D6D91</x:v>
      </x:c>
      <x:c r="W288" s="34" t="str">
        <x:v>P2</x:v>
      </x:c>
      <x:c r="X288" s="34" t="str">
        <x:v>PORT-96133A6427FE</x:v>
      </x:c>
      <x:c r="Y288" s="34" t="n">
        <x:v>1000</x:v>
      </x:c>
      <x:c r="Z288" s="34" t="n">
        <x:v>57.715356</x:v>
      </x:c>
      <x:c r="AA288" s="34" t="n">
        <x:v>19.099566</x:v>
      </x:c>
      <x:c r="AB288" s="34" t="n">
        <x:v>430.20423</x:v>
      </x:c>
      <x:c r="AC288" s="34" t="n">
        <x:v>24083.473</x:v>
      </x:c>
      <x:c r="AD288" s="34" t="n">
        <x:v>55.981487</x:v>
      </x:c>
      <x:c r="AE288" s="40" t="b">
        <x:v>1</x:v>
      </x:c>
      <x:c r="AF288" s="40" t="b">
        <x:v>1</x:v>
      </x:c>
      <x:c r="AG288" s="34" t="str"/>
      <x:c r="AH288" s="34" t="n">
        <x:v>0</x:v>
      </x:c>
      <x:c r="AI288" s="34" t="str">
        <x:v>2.0275124185786808e-05</x:v>
      </x:c>
      <x:c r="AJ288" s="40" t="b">
        <x:v>1</x:v>
      </x:c>
      <x:c r="AK288" s="40" t="b">
        <x:v>1</x:v>
      </x:c>
      <x:c r="AL288" s="40" t="b">
        <x:v>1</x:v>
      </x:c>
      <x:c r="AM288" s="40" t="b">
        <x:v>1</x:v>
      </x:c>
      <x:c r="AN288" s="34" t="str"/>
      <x:c r="AO288" s="34" t="n">
        <x:v>0</x:v>
      </x:c>
      <x:c r="AP288" s="34" t="n">
        <x:v>0</x:v>
      </x:c>
      <x:c r="AQ288" s="34" t="n">
        <x:v>0</x:v>
      </x:c>
      <x:c r="AR288" s="34" t="n">
        <x:v>2</x:v>
      </x:c>
      <x:c r="AS288" s="34" t="n">
        <x:v>3</x:v>
      </x:c>
      <x:c r="AT288" s="34" t="n">
        <x:v>0.45933660799999987</x:v>
      </x:c>
      <x:c r="AU288" s="34" t="n">
        <x:v>0.65</x:v>
      </x:c>
      <x:c r="AV288" s="34" t="n">
        <x:v>2.02</x:v>
      </x:c>
    </x:row>
    <x:row r="289">
      <x:c r="A289" s="34" t="str">
        <x:v>POSCO_KR</x:v>
      </x:c>
      <x:c r="B289" s="34" t="str">
        <x:v>POSCO</x:v>
      </x:c>
      <x:c r="C289" s="34" t="str">
        <x:v>ACCELERATED_15C</x:v>
      </x:c>
      <x:c r="D289" s="34" t="str">
        <x:v>P2</x:v>
      </x:c>
      <x:c r="E289" s="34" t="n">
        <x:v>2028</x:v>
      </x:c>
      <x:c r="F289" s="34" t="n">
        <x:v>0</x:v>
      </x:c>
      <x:c r="G289" s="34" t="n">
        <x:v>0</x:v>
      </x:c>
      <x:c r="H289" s="34" t="n">
        <x:v>11.5</x:v>
      </x:c>
      <x:c r="I289" s="34" t="n">
        <x:v>11.5</x:v>
      </x:c>
      <x:c r="J289" s="34" t="n">
        <x:v>0</x:v>
      </x:c>
      <x:c r="K289" s="34" t="n">
        <x:v>0</x:v>
      </x:c>
      <x:c r="L289" s="34" t="n">
        <x:v>0.45000000000000007</x:v>
      </x:c>
      <x:c r="M289" s="34" t="n">
        <x:v>0.45</x:v>
      </x:c>
      <x:c r="N289" s="34" t="n">
        <x:v>0</x:v>
      </x:c>
      <x:c r="O289" s="34" t="n">
        <x:v>0</x:v>
      </x:c>
      <x:c r="P289" s="34" t="n">
        <x:v>6</x:v>
      </x:c>
      <x:c r="Q289" s="34" t="n">
        <x:v>6</x:v>
      </x:c>
      <x:c r="R289" s="34" t="n">
        <x:v>0</x:v>
      </x:c>
      <x:c r="S289" s="40" t="b">
        <x:v>1</x:v>
      </x:c>
      <x:c r="T289" s="34" t="str">
        <x:v>model_interpolation</x:v>
      </x:c>
      <x:c r="U289" s="34" t="str">
        <x:v>Linear interpolation from 2026 to 2030</x:v>
      </x:c>
      <x:c r="V289" s="34" t="str">
        <x:v>CAND-4EF614D30D6D91</x:v>
      </x:c>
      <x:c r="W289" s="34" t="str">
        <x:v>P2</x:v>
      </x:c>
      <x:c r="X289" s="34" t="str">
        <x:v>PORT-96133A6427FE</x:v>
      </x:c>
      <x:c r="Y289" s="34" t="n">
        <x:v>1000</x:v>
      </x:c>
      <x:c r="Z289" s="34" t="n">
        <x:v>57.715356</x:v>
      </x:c>
      <x:c r="AA289" s="34" t="n">
        <x:v>19.099566</x:v>
      </x:c>
      <x:c r="AB289" s="34" t="n">
        <x:v>430.20423</x:v>
      </x:c>
      <x:c r="AC289" s="34" t="n">
        <x:v>24083.473</x:v>
      </x:c>
      <x:c r="AD289" s="34" t="n">
        <x:v>55.981487</x:v>
      </x:c>
      <x:c r="AE289" s="40" t="b">
        <x:v>1</x:v>
      </x:c>
      <x:c r="AF289" s="40" t="b">
        <x:v>1</x:v>
      </x:c>
      <x:c r="AG289" s="34" t="str"/>
      <x:c r="AH289" s="34" t="n">
        <x:v>0</x:v>
      </x:c>
      <x:c r="AI289" s="34" t="str">
        <x:v>2.0275124185786808e-05</x:v>
      </x:c>
      <x:c r="AJ289" s="40" t="b">
        <x:v>1</x:v>
      </x:c>
      <x:c r="AK289" s="40" t="b">
        <x:v>1</x:v>
      </x:c>
      <x:c r="AL289" s="40" t="b">
        <x:v>1</x:v>
      </x:c>
      <x:c r="AM289" s="40" t="b">
        <x:v>1</x:v>
      </x:c>
      <x:c r="AN289" s="34" t="str"/>
      <x:c r="AO289" s="34" t="n">
        <x:v>0</x:v>
      </x:c>
      <x:c r="AP289" s="34" t="n">
        <x:v>0</x:v>
      </x:c>
      <x:c r="AQ289" s="34" t="n">
        <x:v>0</x:v>
      </x:c>
      <x:c r="AR289" s="34" t="n">
        <x:v>2</x:v>
      </x:c>
      <x:c r="AS289" s="34" t="n">
        <x:v>3</x:v>
      </x:c>
      <x:c r="AT289" s="34" t="n">
        <x:v>0.45933660799999987</x:v>
      </x:c>
      <x:c r="AU289" s="34" t="n">
        <x:v>0.65</x:v>
      </x:c>
      <x:c r="AV289" s="34" t="n">
        <x:v>2.02</x:v>
      </x:c>
    </x:row>
    <x:row r="290">
      <x:c r="A290" s="34" t="str">
        <x:v>POSCO_KR</x:v>
      </x:c>
      <x:c r="B290" s="34" t="str">
        <x:v>POSCO</x:v>
      </x:c>
      <x:c r="C290" s="34" t="str">
        <x:v>ACCELERATED_15C</x:v>
      </x:c>
      <x:c r="D290" s="34" t="str">
        <x:v>P2</x:v>
      </x:c>
      <x:c r="E290" s="34" t="n">
        <x:v>2029</x:v>
      </x:c>
      <x:c r="F290" s="34" t="n">
        <x:v>1</x:v>
      </x:c>
      <x:c r="G290" s="34" t="n">
        <x:v>6.839998</x:v>
      </x:c>
      <x:c r="H290" s="34" t="n">
        <x:v>13.25</x:v>
      </x:c>
      <x:c r="I290" s="34" t="n">
        <x:v>6.410002</x:v>
      </x:c>
      <x:c r="J290" s="34" t="n">
        <x:v>51.623</x:v>
      </x:c>
      <x:c r="K290" s="34" t="n">
        <x:v>0</x:v>
      </x:c>
      <x:c r="L290" s="34" t="n">
        <x:v>0.625</x:v>
      </x:c>
      <x:c r="M290" s="34" t="n">
        <x:v>0.625</x:v>
      </x:c>
      <x:c r="N290" s="34" t="n">
        <x:v>0</x:v>
      </x:c>
      <x:c r="O290" s="34" t="n">
        <x:v>4.255999</x:v>
      </x:c>
      <x:c r="P290" s="34" t="n">
        <x:v>8</x:v>
      </x:c>
      <x:c r="Q290" s="34" t="n">
        <x:v>3.744001</x:v>
      </x:c>
      <x:c r="R290" s="34" t="n">
        <x:v>53.2</x:v>
      </x:c>
      <x:c r="S290" s="40" t="b">
        <x:v>1</x:v>
      </x:c>
      <x:c r="T290" s="34" t="str">
        <x:v>model_interpolation</x:v>
      </x:c>
      <x:c r="U290" s="34" t="str">
        <x:v>Linear interpolation from 2026 to 2030</x:v>
      </x:c>
      <x:c r="V290" s="34" t="str">
        <x:v>CAND-4EF614D30D6D91</x:v>
      </x:c>
      <x:c r="W290" s="34" t="str">
        <x:v>P2</x:v>
      </x:c>
      <x:c r="X290" s="34" t="str">
        <x:v>PORT-96133A6427FE</x:v>
      </x:c>
      <x:c r="Y290" s="34" t="n">
        <x:v>1000</x:v>
      </x:c>
      <x:c r="Z290" s="34" t="n">
        <x:v>57.715356</x:v>
      </x:c>
      <x:c r="AA290" s="34" t="n">
        <x:v>19.099566</x:v>
      </x:c>
      <x:c r="AB290" s="34" t="n">
        <x:v>430.20423</x:v>
      </x:c>
      <x:c r="AC290" s="34" t="n">
        <x:v>24083.473</x:v>
      </x:c>
      <x:c r="AD290" s="34" t="n">
        <x:v>55.981487</x:v>
      </x:c>
      <x:c r="AE290" s="40" t="b">
        <x:v>1</x:v>
      </x:c>
      <x:c r="AF290" s="40" t="b">
        <x:v>1</x:v>
      </x:c>
      <x:c r="AG290" s="34" t="str"/>
      <x:c r="AH290" s="34" t="n">
        <x:v>0</x:v>
      </x:c>
      <x:c r="AI290" s="34" t="str">
        <x:v>2.0275124185786808e-05</x:v>
      </x:c>
      <x:c r="AJ290" s="40" t="b">
        <x:v>1</x:v>
      </x:c>
      <x:c r="AK290" s="40" t="b">
        <x:v>1</x:v>
      </x:c>
      <x:c r="AL290" s="40" t="b">
        <x:v>1</x:v>
      </x:c>
      <x:c r="AM290" s="40" t="b">
        <x:v>1</x:v>
      </x:c>
      <x:c r="AN290" s="34" t="str"/>
      <x:c r="AO290" s="34" t="n">
        <x:v>0</x:v>
      </x:c>
      <x:c r="AP290" s="34" t="n">
        <x:v>0</x:v>
      </x:c>
      <x:c r="AQ290" s="34" t="n">
        <x:v>0</x:v>
      </x:c>
      <x:c r="AR290" s="34" t="n">
        <x:v>2</x:v>
      </x:c>
      <x:c r="AS290" s="34" t="n">
        <x:v>3</x:v>
      </x:c>
      <x:c r="AT290" s="34" t="n">
        <x:v>0.45933660799999987</x:v>
      </x:c>
      <x:c r="AU290" s="34" t="n">
        <x:v>0.65</x:v>
      </x:c>
      <x:c r="AV290" s="34" t="n">
        <x:v>2.02</x:v>
      </x:c>
    </x:row>
    <x:row r="291">
      <x:c r="A291" s="34" t="str">
        <x:v>POSCO_KR</x:v>
      </x:c>
      <x:c r="B291" s="34" t="str">
        <x:v>POSCO</x:v>
      </x:c>
      <x:c r="C291" s="34" t="str">
        <x:v>ACCELERATED_15C</x:v>
      </x:c>
      <x:c r="D291" s="34" t="str">
        <x:v>P2</x:v>
      </x:c>
      <x:c r="E291" s="34" t="n">
        <x:v>2030</x:v>
      </x:c>
      <x:c r="F291" s="34" t="n">
        <x:v>1</x:v>
      </x:c>
      <x:c r="G291" s="34" t="n">
        <x:v>6.839998</x:v>
      </x:c>
      <x:c r="H291" s="34" t="n">
        <x:v>15</x:v>
      </x:c>
      <x:c r="I291" s="34" t="n">
        <x:v>8.160002</x:v>
      </x:c>
      <x:c r="J291" s="34" t="n">
        <x:v>45.6</x:v>
      </x:c>
      <x:c r="K291" s="34" t="n">
        <x:v>0</x:v>
      </x:c>
      <x:c r="L291" s="34" t="n">
        <x:v>0.8</x:v>
      </x:c>
      <x:c r="M291" s="34" t="n">
        <x:v>0.8</x:v>
      </x:c>
      <x:c r="N291" s="34" t="n">
        <x:v>0</x:v>
      </x:c>
      <x:c r="O291" s="34" t="n">
        <x:v>4.255999</x:v>
      </x:c>
      <x:c r="P291" s="34" t="n">
        <x:v>10</x:v>
      </x:c>
      <x:c r="Q291" s="34" t="n">
        <x:v>5.744001</x:v>
      </x:c>
      <x:c r="R291" s="34" t="n">
        <x:v>42.56</x:v>
      </x:c>
      <x:c r="S291" s="40" t="b">
        <x:v>1</x:v>
      </x:c>
      <x:c r="T291" s="34" t="str">
        <x:v>model_interpolation</x:v>
      </x:c>
      <x:c r="U291" s="34" t="str">
        <x:v>Linear interpolation from 2030 to 2035</x:v>
      </x:c>
      <x:c r="V291" s="34" t="str">
        <x:v>CAND-4EF614D30D6D91</x:v>
      </x:c>
      <x:c r="W291" s="34" t="str">
        <x:v>P2</x:v>
      </x:c>
      <x:c r="X291" s="34" t="str">
        <x:v>PORT-96133A6427FE</x:v>
      </x:c>
      <x:c r="Y291" s="34" t="n">
        <x:v>1000</x:v>
      </x:c>
      <x:c r="Z291" s="34" t="n">
        <x:v>57.715356</x:v>
      </x:c>
      <x:c r="AA291" s="34" t="n">
        <x:v>19.099566</x:v>
      </x:c>
      <x:c r="AB291" s="34" t="n">
        <x:v>430.20423</x:v>
      </x:c>
      <x:c r="AC291" s="34" t="n">
        <x:v>24083.473</x:v>
      </x:c>
      <x:c r="AD291" s="34" t="n">
        <x:v>55.981487</x:v>
      </x:c>
      <x:c r="AE291" s="40" t="b">
        <x:v>1</x:v>
      </x:c>
      <x:c r="AF291" s="40" t="b">
        <x:v>1</x:v>
      </x:c>
      <x:c r="AG291" s="34" t="str"/>
      <x:c r="AH291" s="34" t="n">
        <x:v>0</x:v>
      </x:c>
      <x:c r="AI291" s="34" t="str">
        <x:v>2.0275124185786808e-05</x:v>
      </x:c>
      <x:c r="AJ291" s="40" t="b">
        <x:v>1</x:v>
      </x:c>
      <x:c r="AK291" s="40" t="b">
        <x:v>1</x:v>
      </x:c>
      <x:c r="AL291" s="40" t="b">
        <x:v>1</x:v>
      </x:c>
      <x:c r="AM291" s="40" t="b">
        <x:v>1</x:v>
      </x:c>
      <x:c r="AN291" s="34" t="str"/>
      <x:c r="AO291" s="34" t="n">
        <x:v>0</x:v>
      </x:c>
      <x:c r="AP291" s="34" t="n">
        <x:v>0</x:v>
      </x:c>
      <x:c r="AQ291" s="34" t="n">
        <x:v>0</x:v>
      </x:c>
      <x:c r="AR291" s="34" t="n">
        <x:v>2</x:v>
      </x:c>
      <x:c r="AS291" s="34" t="n">
        <x:v>3</x:v>
      </x:c>
      <x:c r="AT291" s="34" t="n">
        <x:v>0.45933660799999987</x:v>
      </x:c>
      <x:c r="AU291" s="34" t="n">
        <x:v>0.65</x:v>
      </x:c>
      <x:c r="AV291" s="34" t="n">
        <x:v>2.02</x:v>
      </x:c>
    </x:row>
    <x:row r="292">
      <x:c r="A292" s="34" t="str">
        <x:v>POSCO_KR</x:v>
      </x:c>
      <x:c r="B292" s="34" t="str">
        <x:v>POSCO</x:v>
      </x:c>
      <x:c r="C292" s="34" t="str">
        <x:v>ACCELERATED_15C</x:v>
      </x:c>
      <x:c r="D292" s="34" t="str">
        <x:v>P2</x:v>
      </x:c>
      <x:c r="E292" s="34" t="n">
        <x:v>2031</x:v>
      </x:c>
      <x:c r="F292" s="34" t="n">
        <x:v>1</x:v>
      </x:c>
      <x:c r="G292" s="34" t="n">
        <x:v>6.839998</x:v>
      </x:c>
      <x:c r="H292" s="34" t="n">
        <x:v>16.6</x:v>
      </x:c>
      <x:c r="I292" s="34" t="n">
        <x:v>9.760002</x:v>
      </x:c>
      <x:c r="J292" s="34" t="n">
        <x:v>41.205</x:v>
      </x:c>
      <x:c r="K292" s="34" t="n">
        <x:v>0</x:v>
      </x:c>
      <x:c r="L292" s="34" t="n">
        <x:v>1.08</x:v>
      </x:c>
      <x:c r="M292" s="34" t="n">
        <x:v>1.08</x:v>
      </x:c>
      <x:c r="N292" s="34" t="n">
        <x:v>0</x:v>
      </x:c>
      <x:c r="O292" s="34" t="n">
        <x:v>4.255999</x:v>
      </x:c>
      <x:c r="P292" s="34" t="n">
        <x:v>12</x:v>
      </x:c>
      <x:c r="Q292" s="34" t="n">
        <x:v>7.744001</x:v>
      </x:c>
      <x:c r="R292" s="34" t="n">
        <x:v>35.467</x:v>
      </x:c>
      <x:c r="S292" s="40" t="b">
        <x:v>1</x:v>
      </x:c>
      <x:c r="T292" s="34" t="str">
        <x:v>model_interpolation</x:v>
      </x:c>
      <x:c r="U292" s="34" t="str">
        <x:v>Linear interpolation from 2030 to 2035</x:v>
      </x:c>
      <x:c r="V292" s="34" t="str">
        <x:v>CAND-4EF614D30D6D91</x:v>
      </x:c>
      <x:c r="W292" s="34" t="str">
        <x:v>P2</x:v>
      </x:c>
      <x:c r="X292" s="34" t="str">
        <x:v>PORT-96133A6427FE</x:v>
      </x:c>
      <x:c r="Y292" s="34" t="n">
        <x:v>1000</x:v>
      </x:c>
      <x:c r="Z292" s="34" t="n">
        <x:v>57.715356</x:v>
      </x:c>
      <x:c r="AA292" s="34" t="n">
        <x:v>19.099566</x:v>
      </x:c>
      <x:c r="AB292" s="34" t="n">
        <x:v>430.20423</x:v>
      </x:c>
      <x:c r="AC292" s="34" t="n">
        <x:v>24083.473</x:v>
      </x:c>
      <x:c r="AD292" s="34" t="n">
        <x:v>55.981487</x:v>
      </x:c>
      <x:c r="AE292" s="40" t="b">
        <x:v>1</x:v>
      </x:c>
      <x:c r="AF292" s="40" t="b">
        <x:v>1</x:v>
      </x:c>
      <x:c r="AG292" s="34" t="str"/>
      <x:c r="AH292" s="34" t="n">
        <x:v>0</x:v>
      </x:c>
      <x:c r="AI292" s="34" t="str">
        <x:v>2.0275124185786808e-05</x:v>
      </x:c>
      <x:c r="AJ292" s="40" t="b">
        <x:v>1</x:v>
      </x:c>
      <x:c r="AK292" s="40" t="b">
        <x:v>1</x:v>
      </x:c>
      <x:c r="AL292" s="40" t="b">
        <x:v>1</x:v>
      </x:c>
      <x:c r="AM292" s="40" t="b">
        <x:v>1</x:v>
      </x:c>
      <x:c r="AN292" s="34" t="str"/>
      <x:c r="AO292" s="34" t="n">
        <x:v>0</x:v>
      </x:c>
      <x:c r="AP292" s="34" t="n">
        <x:v>0</x:v>
      </x:c>
      <x:c r="AQ292" s="34" t="n">
        <x:v>0</x:v>
      </x:c>
      <x:c r="AR292" s="34" t="n">
        <x:v>2</x:v>
      </x:c>
      <x:c r="AS292" s="34" t="n">
        <x:v>3</x:v>
      </x:c>
      <x:c r="AT292" s="34" t="n">
        <x:v>0.45933660799999987</x:v>
      </x:c>
      <x:c r="AU292" s="34" t="n">
        <x:v>0.65</x:v>
      </x:c>
      <x:c r="AV292" s="34" t="n">
        <x:v>2.02</x:v>
      </x:c>
    </x:row>
    <x:row r="293">
      <x:c r="A293" s="34" t="str">
        <x:v>POSCO_KR</x:v>
      </x:c>
      <x:c r="B293" s="34" t="str">
        <x:v>POSCO</x:v>
      </x:c>
      <x:c r="C293" s="34" t="str">
        <x:v>ACCELERATED_15C</x:v>
      </x:c>
      <x:c r="D293" s="34" t="str">
        <x:v>P2</x:v>
      </x:c>
      <x:c r="E293" s="34" t="n">
        <x:v>2032</x:v>
      </x:c>
      <x:c r="F293" s="34" t="n">
        <x:v>2</x:v>
      </x:c>
      <x:c r="G293" s="34" t="n">
        <x:v>7.859998</x:v>
      </x:c>
      <x:c r="H293" s="34" t="n">
        <x:v>18.2</x:v>
      </x:c>
      <x:c r="I293" s="34" t="n">
        <x:v>10.340002</x:v>
      </x:c>
      <x:c r="J293" s="34" t="n">
        <x:v>43.187</x:v>
      </x:c>
      <x:c r="K293" s="34" t="n">
        <x:v>0.374</x:v>
      </x:c>
      <x:c r="L293" s="34" t="n">
        <x:v>1.36</x:v>
      </x:c>
      <x:c r="M293" s="34" t="n">
        <x:v>0.986</x:v>
      </x:c>
      <x:c r="N293" s="34" t="n">
        <x:v>27.5</x:v>
      </x:c>
      <x:c r="O293" s="34" t="n">
        <x:v>7.383999</x:v>
      </x:c>
      <x:c r="P293" s="34" t="n">
        <x:v>14</x:v>
      </x:c>
      <x:c r="Q293" s="34" t="n">
        <x:v>6.616001</x:v>
      </x:c>
      <x:c r="R293" s="34" t="n">
        <x:v>52.743</x:v>
      </x:c>
      <x:c r="S293" s="40" t="b">
        <x:v>1</x:v>
      </x:c>
      <x:c r="T293" s="34" t="str">
        <x:v>model_interpolation</x:v>
      </x:c>
      <x:c r="U293" s="34" t="str">
        <x:v>Linear interpolation from 2030 to 2035</x:v>
      </x:c>
      <x:c r="V293" s="34" t="str">
        <x:v>CAND-4EF614D30D6D91</x:v>
      </x:c>
      <x:c r="W293" s="34" t="str">
        <x:v>P2</x:v>
      </x:c>
      <x:c r="X293" s="34" t="str">
        <x:v>PORT-96133A6427FE</x:v>
      </x:c>
      <x:c r="Y293" s="34" t="n">
        <x:v>1000</x:v>
      </x:c>
      <x:c r="Z293" s="34" t="n">
        <x:v>57.715356</x:v>
      </x:c>
      <x:c r="AA293" s="34" t="n">
        <x:v>19.099566</x:v>
      </x:c>
      <x:c r="AB293" s="34" t="n">
        <x:v>430.20423</x:v>
      </x:c>
      <x:c r="AC293" s="34" t="n">
        <x:v>24083.473</x:v>
      </x:c>
      <x:c r="AD293" s="34" t="n">
        <x:v>55.981487</x:v>
      </x:c>
      <x:c r="AE293" s="40" t="b">
        <x:v>1</x:v>
      </x:c>
      <x:c r="AF293" s="40" t="b">
        <x:v>1</x:v>
      </x:c>
      <x:c r="AG293" s="34" t="str"/>
      <x:c r="AH293" s="34" t="n">
        <x:v>0</x:v>
      </x:c>
      <x:c r="AI293" s="34" t="str">
        <x:v>2.0275124185786808e-05</x:v>
      </x:c>
      <x:c r="AJ293" s="40" t="b">
        <x:v>1</x:v>
      </x:c>
      <x:c r="AK293" s="40" t="b">
        <x:v>1</x:v>
      </x:c>
      <x:c r="AL293" s="40" t="b">
        <x:v>1</x:v>
      </x:c>
      <x:c r="AM293" s="40" t="b">
        <x:v>1</x:v>
      </x:c>
      <x:c r="AN293" s="34" t="str"/>
      <x:c r="AO293" s="34" t="n">
        <x:v>0</x:v>
      </x:c>
      <x:c r="AP293" s="34" t="n">
        <x:v>0</x:v>
      </x:c>
      <x:c r="AQ293" s="34" t="n">
        <x:v>0</x:v>
      </x:c>
      <x:c r="AR293" s="34" t="n">
        <x:v>2</x:v>
      </x:c>
      <x:c r="AS293" s="34" t="n">
        <x:v>3</x:v>
      </x:c>
      <x:c r="AT293" s="34" t="n">
        <x:v>0.45933660799999987</x:v>
      </x:c>
      <x:c r="AU293" s="34" t="n">
        <x:v>0.65</x:v>
      </x:c>
      <x:c r="AV293" s="34" t="n">
        <x:v>2.02</x:v>
      </x:c>
    </x:row>
    <x:row r="294">
      <x:c r="A294" s="34" t="str">
        <x:v>POSCO_KR</x:v>
      </x:c>
      <x:c r="B294" s="34" t="str">
        <x:v>POSCO</x:v>
      </x:c>
      <x:c r="C294" s="34" t="str">
        <x:v>ACCELERATED_15C</x:v>
      </x:c>
      <x:c r="D294" s="34" t="str">
        <x:v>P2</x:v>
      </x:c>
      <x:c r="E294" s="34" t="n">
        <x:v>2033</x:v>
      </x:c>
      <x:c r="F294" s="34" t="n">
        <x:v>3</x:v>
      </x:c>
      <x:c r="G294" s="34" t="n">
        <x:v>8.880598</x:v>
      </x:c>
      <x:c r="H294" s="34" t="n">
        <x:v>19.8</x:v>
      </x:c>
      <x:c r="I294" s="34" t="n">
        <x:v>10.919402</x:v>
      </x:c>
      <x:c r="J294" s="34" t="n">
        <x:v>44.852</x:v>
      </x:c>
      <x:c r="K294" s="34" t="n">
        <x:v>0.374</x:v>
      </x:c>
      <x:c r="L294" s="34" t="n">
        <x:v>1.6400000000000001</x:v>
      </x:c>
      <x:c r="M294" s="34" t="n">
        <x:v>1.266</x:v>
      </x:c>
      <x:c r="N294" s="34" t="n">
        <x:v>22.805</x:v>
      </x:c>
      <x:c r="O294" s="34" t="n">
        <x:v>7.452039</x:v>
      </x:c>
      <x:c r="P294" s="34" t="n">
        <x:v>16</x:v>
      </x:c>
      <x:c r="Q294" s="34" t="n">
        <x:v>8.547961</x:v>
      </x:c>
      <x:c r="R294" s="34" t="n">
        <x:v>46.575</x:v>
      </x:c>
      <x:c r="S294" s="40" t="b">
        <x:v>1</x:v>
      </x:c>
      <x:c r="T294" s="34" t="str">
        <x:v>model_interpolation</x:v>
      </x:c>
      <x:c r="U294" s="34" t="str">
        <x:v>Linear interpolation from 2030 to 2035</x:v>
      </x:c>
      <x:c r="V294" s="34" t="str">
        <x:v>CAND-4EF614D30D6D91</x:v>
      </x:c>
      <x:c r="W294" s="34" t="str">
        <x:v>P2</x:v>
      </x:c>
      <x:c r="X294" s="34" t="str">
        <x:v>PORT-96133A6427FE</x:v>
      </x:c>
      <x:c r="Y294" s="34" t="n">
        <x:v>1000</x:v>
      </x:c>
      <x:c r="Z294" s="34" t="n">
        <x:v>57.715356</x:v>
      </x:c>
      <x:c r="AA294" s="34" t="n">
        <x:v>19.099566</x:v>
      </x:c>
      <x:c r="AB294" s="34" t="n">
        <x:v>430.20423</x:v>
      </x:c>
      <x:c r="AC294" s="34" t="n">
        <x:v>24083.473</x:v>
      </x:c>
      <x:c r="AD294" s="34" t="n">
        <x:v>55.981487</x:v>
      </x:c>
      <x:c r="AE294" s="40" t="b">
        <x:v>1</x:v>
      </x:c>
      <x:c r="AF294" s="40" t="b">
        <x:v>1</x:v>
      </x:c>
      <x:c r="AG294" s="34" t="str"/>
      <x:c r="AH294" s="34" t="n">
        <x:v>0</x:v>
      </x:c>
      <x:c r="AI294" s="34" t="str">
        <x:v>2.0275124185786808e-05</x:v>
      </x:c>
      <x:c r="AJ294" s="40" t="b">
        <x:v>1</x:v>
      </x:c>
      <x:c r="AK294" s="40" t="b">
        <x:v>1</x:v>
      </x:c>
      <x:c r="AL294" s="40" t="b">
        <x:v>1</x:v>
      </x:c>
      <x:c r="AM294" s="40" t="b">
        <x:v>1</x:v>
      </x:c>
      <x:c r="AN294" s="34" t="str"/>
      <x:c r="AO294" s="34" t="n">
        <x:v>0</x:v>
      </x:c>
      <x:c r="AP294" s="34" t="n">
        <x:v>0</x:v>
      </x:c>
      <x:c r="AQ294" s="34" t="n">
        <x:v>0</x:v>
      </x:c>
      <x:c r="AR294" s="34" t="n">
        <x:v>2</x:v>
      </x:c>
      <x:c r="AS294" s="34" t="n">
        <x:v>3</x:v>
      </x:c>
      <x:c r="AT294" s="34" t="n">
        <x:v>0.45933660799999987</x:v>
      </x:c>
      <x:c r="AU294" s="34" t="n">
        <x:v>0.65</x:v>
      </x:c>
      <x:c r="AV294" s="34" t="n">
        <x:v>2.02</x:v>
      </x:c>
    </x:row>
    <x:row r="295">
      <x:c r="A295" s="34" t="str">
        <x:v>POSCO_KR</x:v>
      </x:c>
      <x:c r="B295" s="34" t="str">
        <x:v>POSCO</x:v>
      </x:c>
      <x:c r="C295" s="34" t="str">
        <x:v>ACCELERATED_15C</x:v>
      </x:c>
      <x:c r="D295" s="34" t="str">
        <x:v>P2</x:v>
      </x:c>
      <x:c r="E295" s="34" t="n">
        <x:v>2034</x:v>
      </x:c>
      <x:c r="F295" s="34" t="n">
        <x:v>3</x:v>
      </x:c>
      <x:c r="G295" s="34" t="n">
        <x:v>8.880598</x:v>
      </x:c>
      <x:c r="H295" s="34" t="n">
        <x:v>21.4</x:v>
      </x:c>
      <x:c r="I295" s="34" t="n">
        <x:v>12.519402</x:v>
      </x:c>
      <x:c r="J295" s="34" t="n">
        <x:v>41.498</x:v>
      </x:c>
      <x:c r="K295" s="34" t="n">
        <x:v>0.374</x:v>
      </x:c>
      <x:c r="L295" s="34" t="n">
        <x:v>1.9200000000000002</x:v>
      </x:c>
      <x:c r="M295" s="34" t="n">
        <x:v>1.546</x:v>
      </x:c>
      <x:c r="N295" s="34" t="n">
        <x:v>19.479</x:v>
      </x:c>
      <x:c r="O295" s="34" t="n">
        <x:v>7.452039</x:v>
      </x:c>
      <x:c r="P295" s="34" t="n">
        <x:v>18</x:v>
      </x:c>
      <x:c r="Q295" s="34" t="n">
        <x:v>10.547961</x:v>
      </x:c>
      <x:c r="R295" s="34" t="n">
        <x:v>41.4</x:v>
      </x:c>
      <x:c r="S295" s="40" t="b">
        <x:v>1</x:v>
      </x:c>
      <x:c r="T295" s="34" t="str">
        <x:v>model_interpolation</x:v>
      </x:c>
      <x:c r="U295" s="34" t="str">
        <x:v>Linear interpolation from 2030 to 2035</x:v>
      </x:c>
      <x:c r="V295" s="34" t="str">
        <x:v>CAND-4EF614D30D6D91</x:v>
      </x:c>
      <x:c r="W295" s="34" t="str">
        <x:v>P2</x:v>
      </x:c>
      <x:c r="X295" s="34" t="str">
        <x:v>PORT-96133A6427FE</x:v>
      </x:c>
      <x:c r="Y295" s="34" t="n">
        <x:v>1000</x:v>
      </x:c>
      <x:c r="Z295" s="34" t="n">
        <x:v>57.715356</x:v>
      </x:c>
      <x:c r="AA295" s="34" t="n">
        <x:v>19.099566</x:v>
      </x:c>
      <x:c r="AB295" s="34" t="n">
        <x:v>430.20423</x:v>
      </x:c>
      <x:c r="AC295" s="34" t="n">
        <x:v>24083.473</x:v>
      </x:c>
      <x:c r="AD295" s="34" t="n">
        <x:v>55.981487</x:v>
      </x:c>
      <x:c r="AE295" s="40" t="b">
        <x:v>1</x:v>
      </x:c>
      <x:c r="AF295" s="40" t="b">
        <x:v>1</x:v>
      </x:c>
      <x:c r="AG295" s="34" t="str"/>
      <x:c r="AH295" s="34" t="n">
        <x:v>0</x:v>
      </x:c>
      <x:c r="AI295" s="34" t="str">
        <x:v>2.0275124185786808e-05</x:v>
      </x:c>
      <x:c r="AJ295" s="40" t="b">
        <x:v>1</x:v>
      </x:c>
      <x:c r="AK295" s="40" t="b">
        <x:v>1</x:v>
      </x:c>
      <x:c r="AL295" s="40" t="b">
        <x:v>1</x:v>
      </x:c>
      <x:c r="AM295" s="40" t="b">
        <x:v>1</x:v>
      </x:c>
      <x:c r="AN295" s="34" t="str"/>
      <x:c r="AO295" s="34" t="n">
        <x:v>0</x:v>
      </x:c>
      <x:c r="AP295" s="34" t="n">
        <x:v>0</x:v>
      </x:c>
      <x:c r="AQ295" s="34" t="n">
        <x:v>0</x:v>
      </x:c>
      <x:c r="AR295" s="34" t="n">
        <x:v>2</x:v>
      </x:c>
      <x:c r="AS295" s="34" t="n">
        <x:v>3</x:v>
      </x:c>
      <x:c r="AT295" s="34" t="n">
        <x:v>0.45933660799999987</x:v>
      </x:c>
      <x:c r="AU295" s="34" t="n">
        <x:v>0.65</x:v>
      </x:c>
      <x:c r="AV295" s="34" t="n">
        <x:v>2.02</x:v>
      </x:c>
    </x:row>
    <x:row r="296">
      <x:c r="A296" s="34" t="str">
        <x:v>POSCO_KR</x:v>
      </x:c>
      <x:c r="B296" s="34" t="str">
        <x:v>POSCO</x:v>
      </x:c>
      <x:c r="C296" s="34" t="str">
        <x:v>ACCELERATED_15C</x:v>
      </x:c>
      <x:c r="D296" s="34" t="str">
        <x:v>P2</x:v>
      </x:c>
      <x:c r="E296" s="34" t="n">
        <x:v>2035</x:v>
      </x:c>
      <x:c r="F296" s="34" t="n">
        <x:v>4</x:v>
      </x:c>
      <x:c r="G296" s="34" t="n">
        <x:v>17.430597</x:v>
      </x:c>
      <x:c r="H296" s="34" t="n">
        <x:v>23</x:v>
      </x:c>
      <x:c r="I296" s="34" t="n">
        <x:v>5.569403</x:v>
      </x:c>
      <x:c r="J296" s="34" t="n">
        <x:v>75.785</x:v>
      </x:c>
      <x:c r="K296" s="34" t="n">
        <x:v>0.374</x:v>
      </x:c>
      <x:c r="L296" s="34" t="n">
        <x:v>2.2</x:v>
      </x:c>
      <x:c r="M296" s="34" t="n">
        <x:v>1.826</x:v>
      </x:c>
      <x:c r="N296" s="34" t="n">
        <x:v>17</x:v>
      </x:c>
      <x:c r="O296" s="34" t="n">
        <x:v>12.867038</x:v>
      </x:c>
      <x:c r="P296" s="34" t="n">
        <x:v>20</x:v>
      </x:c>
      <x:c r="Q296" s="34" t="n">
        <x:v>7.132962</x:v>
      </x:c>
      <x:c r="R296" s="34" t="n">
        <x:v>64.335</x:v>
      </x:c>
      <x:c r="S296" s="40" t="b">
        <x:v>1</x:v>
      </x:c>
      <x:c r="T296" s="34" t="str">
        <x:v>model_interpolation</x:v>
      </x:c>
      <x:c r="U296" s="34" t="str">
        <x:v>Linear interpolation from 2035 to 2040</x:v>
      </x:c>
      <x:c r="V296" s="34" t="str">
        <x:v>CAND-4EF614D30D6D91</x:v>
      </x:c>
      <x:c r="W296" s="34" t="str">
        <x:v>P2</x:v>
      </x:c>
      <x:c r="X296" s="34" t="str">
        <x:v>PORT-96133A6427FE</x:v>
      </x:c>
      <x:c r="Y296" s="34" t="n">
        <x:v>1000</x:v>
      </x:c>
      <x:c r="Z296" s="34" t="n">
        <x:v>57.715356</x:v>
      </x:c>
      <x:c r="AA296" s="34" t="n">
        <x:v>19.099566</x:v>
      </x:c>
      <x:c r="AB296" s="34" t="n">
        <x:v>430.20423</x:v>
      </x:c>
      <x:c r="AC296" s="34" t="n">
        <x:v>24083.473</x:v>
      </x:c>
      <x:c r="AD296" s="34" t="n">
        <x:v>55.981487</x:v>
      </x:c>
      <x:c r="AE296" s="40" t="b">
        <x:v>1</x:v>
      </x:c>
      <x:c r="AF296" s="40" t="b">
        <x:v>1</x:v>
      </x:c>
      <x:c r="AG296" s="34" t="str"/>
      <x:c r="AH296" s="34" t="n">
        <x:v>0</x:v>
      </x:c>
      <x:c r="AI296" s="34" t="str">
        <x:v>2.0275124185786808e-05</x:v>
      </x:c>
      <x:c r="AJ296" s="40" t="b">
        <x:v>1</x:v>
      </x:c>
      <x:c r="AK296" s="40" t="b">
        <x:v>1</x:v>
      </x:c>
      <x:c r="AL296" s="40" t="b">
        <x:v>1</x:v>
      </x:c>
      <x:c r="AM296" s="40" t="b">
        <x:v>1</x:v>
      </x:c>
      <x:c r="AN296" s="34" t="str"/>
      <x:c r="AO296" s="34" t="n">
        <x:v>0</x:v>
      </x:c>
      <x:c r="AP296" s="34" t="n">
        <x:v>0</x:v>
      </x:c>
      <x:c r="AQ296" s="34" t="n">
        <x:v>0</x:v>
      </x:c>
      <x:c r="AR296" s="34" t="n">
        <x:v>2</x:v>
      </x:c>
      <x:c r="AS296" s="34" t="n">
        <x:v>3</x:v>
      </x:c>
      <x:c r="AT296" s="34" t="n">
        <x:v>0.45933660799999987</x:v>
      </x:c>
      <x:c r="AU296" s="34" t="n">
        <x:v>0.65</x:v>
      </x:c>
      <x:c r="AV296" s="34" t="n">
        <x:v>2.02</x:v>
      </x:c>
    </x:row>
    <x:row r="297">
      <x:c r="A297" s="34" t="str">
        <x:v>POSCO_KR</x:v>
      </x:c>
      <x:c r="B297" s="34" t="str">
        <x:v>POSCO</x:v>
      </x:c>
      <x:c r="C297" s="34" t="str">
        <x:v>ACCELERATED_15C</x:v>
      </x:c>
      <x:c r="D297" s="34" t="str">
        <x:v>P2</x:v>
      </x:c>
      <x:c r="E297" s="34" t="n">
        <x:v>2036</x:v>
      </x:c>
      <x:c r="F297" s="34" t="n">
        <x:v>4</x:v>
      </x:c>
      <x:c r="G297" s="34" t="n">
        <x:v>17.430597</x:v>
      </x:c>
      <x:c r="H297" s="34" t="n">
        <x:v>24.4</x:v>
      </x:c>
      <x:c r="I297" s="34" t="n">
        <x:v>6.969403</x:v>
      </x:c>
      <x:c r="J297" s="34" t="n">
        <x:v>71.437</x:v>
      </x:c>
      <x:c r="K297" s="34" t="n">
        <x:v>0.374</x:v>
      </x:c>
      <x:c r="L297" s="34" t="n">
        <x:v>2.56</x:v>
      </x:c>
      <x:c r="M297" s="34" t="n">
        <x:v>2.186</x:v>
      </x:c>
      <x:c r="N297" s="34" t="n">
        <x:v>14.609</x:v>
      </x:c>
      <x:c r="O297" s="34" t="n">
        <x:v>12.867038</x:v>
      </x:c>
      <x:c r="P297" s="34" t="n">
        <x:v>22.4</x:v>
      </x:c>
      <x:c r="Q297" s="34" t="n">
        <x:v>9.532962</x:v>
      </x:c>
      <x:c r="R297" s="34" t="n">
        <x:v>57.442</x:v>
      </x:c>
      <x:c r="S297" s="40" t="b">
        <x:v>1</x:v>
      </x:c>
      <x:c r="T297" s="34" t="str">
        <x:v>model_interpolation</x:v>
      </x:c>
      <x:c r="U297" s="34" t="str">
        <x:v>Linear interpolation from 2035 to 2040</x:v>
      </x:c>
      <x:c r="V297" s="34" t="str">
        <x:v>CAND-4EF614D30D6D91</x:v>
      </x:c>
      <x:c r="W297" s="34" t="str">
        <x:v>P2</x:v>
      </x:c>
      <x:c r="X297" s="34" t="str">
        <x:v>PORT-96133A6427FE</x:v>
      </x:c>
      <x:c r="Y297" s="34" t="n">
        <x:v>1000</x:v>
      </x:c>
      <x:c r="Z297" s="34" t="n">
        <x:v>57.715356</x:v>
      </x:c>
      <x:c r="AA297" s="34" t="n">
        <x:v>19.099566</x:v>
      </x:c>
      <x:c r="AB297" s="34" t="n">
        <x:v>430.20423</x:v>
      </x:c>
      <x:c r="AC297" s="34" t="n">
        <x:v>24083.473</x:v>
      </x:c>
      <x:c r="AD297" s="34" t="n">
        <x:v>55.981487</x:v>
      </x:c>
      <x:c r="AE297" s="40" t="b">
        <x:v>1</x:v>
      </x:c>
      <x:c r="AF297" s="40" t="b">
        <x:v>1</x:v>
      </x:c>
      <x:c r="AG297" s="34" t="str"/>
      <x:c r="AH297" s="34" t="n">
        <x:v>0</x:v>
      </x:c>
      <x:c r="AI297" s="34" t="str">
        <x:v>2.0275124185786808e-05</x:v>
      </x:c>
      <x:c r="AJ297" s="40" t="b">
        <x:v>1</x:v>
      </x:c>
      <x:c r="AK297" s="40" t="b">
        <x:v>1</x:v>
      </x:c>
      <x:c r="AL297" s="40" t="b">
        <x:v>1</x:v>
      </x:c>
      <x:c r="AM297" s="40" t="b">
        <x:v>1</x:v>
      </x:c>
      <x:c r="AN297" s="34" t="str"/>
      <x:c r="AO297" s="34" t="n">
        <x:v>0</x:v>
      </x:c>
      <x:c r="AP297" s="34" t="n">
        <x:v>0</x:v>
      </x:c>
      <x:c r="AQ297" s="34" t="n">
        <x:v>0</x:v>
      </x:c>
      <x:c r="AR297" s="34" t="n">
        <x:v>2</x:v>
      </x:c>
      <x:c r="AS297" s="34" t="n">
        <x:v>3</x:v>
      </x:c>
      <x:c r="AT297" s="34" t="n">
        <x:v>0.45933660799999987</x:v>
      </x:c>
      <x:c r="AU297" s="34" t="n">
        <x:v>0.65</x:v>
      </x:c>
      <x:c r="AV297" s="34" t="n">
        <x:v>2.02</x:v>
      </x:c>
    </x:row>
    <x:row r="298">
      <x:c r="A298" s="34" t="str">
        <x:v>POSCO_KR</x:v>
      </x:c>
      <x:c r="B298" s="34" t="str">
        <x:v>POSCO</x:v>
      </x:c>
      <x:c r="C298" s="34" t="str">
        <x:v>ACCELERATED_15C</x:v>
      </x:c>
      <x:c r="D298" s="34" t="str">
        <x:v>P2</x:v>
      </x:c>
      <x:c r="E298" s="34" t="n">
        <x:v>2037</x:v>
      </x:c>
      <x:c r="F298" s="34" t="n">
        <x:v>5</x:v>
      </x:c>
      <x:c r="G298" s="34" t="n">
        <x:v>18.856047</x:v>
      </x:c>
      <x:c r="H298" s="34" t="n">
        <x:v>25.8</x:v>
      </x:c>
      <x:c r="I298" s="34" t="n">
        <x:v>6.943953</x:v>
      </x:c>
      <x:c r="J298" s="34" t="n">
        <x:v>73.085</x:v>
      </x:c>
      <x:c r="K298" s="34" t="n">
        <x:v>0.896665</x:v>
      </x:c>
      <x:c r="L298" s="34" t="n">
        <x:v>2.92</x:v>
      </x:c>
      <x:c r="M298" s="34" t="n">
        <x:v>2.023335</x:v>
      </x:c>
      <x:c r="N298" s="34" t="n">
        <x:v>30.708</x:v>
      </x:c>
      <x:c r="O298" s="34" t="n">
        <x:v>17.333447</x:v>
      </x:c>
      <x:c r="P298" s="34" t="n">
        <x:v>24.8</x:v>
      </x:c>
      <x:c r="Q298" s="34" t="n">
        <x:v>7.466553</x:v>
      </x:c>
      <x:c r="R298" s="34" t="n">
        <x:v>69.893</x:v>
      </x:c>
      <x:c r="S298" s="40" t="b">
        <x:v>1</x:v>
      </x:c>
      <x:c r="T298" s="34" t="str">
        <x:v>model_interpolation</x:v>
      </x:c>
      <x:c r="U298" s="34" t="str">
        <x:v>Linear interpolation from 2035 to 2040</x:v>
      </x:c>
      <x:c r="V298" s="34" t="str">
        <x:v>CAND-4EF614D30D6D91</x:v>
      </x:c>
      <x:c r="W298" s="34" t="str">
        <x:v>P2</x:v>
      </x:c>
      <x:c r="X298" s="34" t="str">
        <x:v>PORT-96133A6427FE</x:v>
      </x:c>
      <x:c r="Y298" s="34" t="n">
        <x:v>1000</x:v>
      </x:c>
      <x:c r="Z298" s="34" t="n">
        <x:v>57.715356</x:v>
      </x:c>
      <x:c r="AA298" s="34" t="n">
        <x:v>19.099566</x:v>
      </x:c>
      <x:c r="AB298" s="34" t="n">
        <x:v>430.20423</x:v>
      </x:c>
      <x:c r="AC298" s="34" t="n">
        <x:v>24083.473</x:v>
      </x:c>
      <x:c r="AD298" s="34" t="n">
        <x:v>55.981487</x:v>
      </x:c>
      <x:c r="AE298" s="40" t="b">
        <x:v>1</x:v>
      </x:c>
      <x:c r="AF298" s="40" t="b">
        <x:v>1</x:v>
      </x:c>
      <x:c r="AG298" s="34" t="str"/>
      <x:c r="AH298" s="34" t="n">
        <x:v>0</x:v>
      </x:c>
      <x:c r="AI298" s="34" t="str">
        <x:v>2.0275124185786808e-05</x:v>
      </x:c>
      <x:c r="AJ298" s="40" t="b">
        <x:v>1</x:v>
      </x:c>
      <x:c r="AK298" s="40" t="b">
        <x:v>1</x:v>
      </x:c>
      <x:c r="AL298" s="40" t="b">
        <x:v>1</x:v>
      </x:c>
      <x:c r="AM298" s="40" t="b">
        <x:v>1</x:v>
      </x:c>
      <x:c r="AN298" s="34" t="str"/>
      <x:c r="AO298" s="34" t="n">
        <x:v>0</x:v>
      </x:c>
      <x:c r="AP298" s="34" t="n">
        <x:v>0</x:v>
      </x:c>
      <x:c r="AQ298" s="34" t="n">
        <x:v>0</x:v>
      </x:c>
      <x:c r="AR298" s="34" t="n">
        <x:v>2</x:v>
      </x:c>
      <x:c r="AS298" s="34" t="n">
        <x:v>3</x:v>
      </x:c>
      <x:c r="AT298" s="34" t="n">
        <x:v>0.45933660799999987</x:v>
      </x:c>
      <x:c r="AU298" s="34" t="n">
        <x:v>0.65</x:v>
      </x:c>
      <x:c r="AV298" s="34" t="n">
        <x:v>2.02</x:v>
      </x:c>
    </x:row>
    <x:row r="299">
      <x:c r="A299" s="34" t="str">
        <x:v>POSCO_KR</x:v>
      </x:c>
      <x:c r="B299" s="34" t="str">
        <x:v>POSCO</x:v>
      </x:c>
      <x:c r="C299" s="34" t="str">
        <x:v>ACCELERATED_15C</x:v>
      </x:c>
      <x:c r="D299" s="34" t="str">
        <x:v>P2</x:v>
      </x:c>
      <x:c r="E299" s="34" t="n">
        <x:v>2038</x:v>
      </x:c>
      <x:c r="F299" s="34" t="n">
        <x:v>5</x:v>
      </x:c>
      <x:c r="G299" s="34" t="n">
        <x:v>18.856047</x:v>
      </x:c>
      <x:c r="H299" s="34" t="n">
        <x:v>27.2</x:v>
      </x:c>
      <x:c r="I299" s="34" t="n">
        <x:v>8.343953</x:v>
      </x:c>
      <x:c r="J299" s="34" t="n">
        <x:v>69.324</x:v>
      </x:c>
      <x:c r="K299" s="34" t="n">
        <x:v>0.896665</x:v>
      </x:c>
      <x:c r="L299" s="34" t="n">
        <x:v>3.2800000000000002</x:v>
      </x:c>
      <x:c r="M299" s="34" t="n">
        <x:v>2.383335</x:v>
      </x:c>
      <x:c r="N299" s="34" t="n">
        <x:v>27.337</x:v>
      </x:c>
      <x:c r="O299" s="34" t="n">
        <x:v>17.333447</x:v>
      </x:c>
      <x:c r="P299" s="34" t="n">
        <x:v>27.2</x:v>
      </x:c>
      <x:c r="Q299" s="34" t="n">
        <x:v>9.866553</x:v>
      </x:c>
      <x:c r="R299" s="34" t="n">
        <x:v>63.726</x:v>
      </x:c>
      <x:c r="S299" s="40" t="b">
        <x:v>1</x:v>
      </x:c>
      <x:c r="T299" s="34" t="str">
        <x:v>model_interpolation</x:v>
      </x:c>
      <x:c r="U299" s="34" t="str">
        <x:v>Linear interpolation from 2035 to 2040</x:v>
      </x:c>
      <x:c r="V299" s="34" t="str">
        <x:v>CAND-4EF614D30D6D91</x:v>
      </x:c>
      <x:c r="W299" s="34" t="str">
        <x:v>P2</x:v>
      </x:c>
      <x:c r="X299" s="34" t="str">
        <x:v>PORT-96133A6427FE</x:v>
      </x:c>
      <x:c r="Y299" s="34" t="n">
        <x:v>1000</x:v>
      </x:c>
      <x:c r="Z299" s="34" t="n">
        <x:v>57.715356</x:v>
      </x:c>
      <x:c r="AA299" s="34" t="n">
        <x:v>19.099566</x:v>
      </x:c>
      <x:c r="AB299" s="34" t="n">
        <x:v>430.20423</x:v>
      </x:c>
      <x:c r="AC299" s="34" t="n">
        <x:v>24083.473</x:v>
      </x:c>
      <x:c r="AD299" s="34" t="n">
        <x:v>55.981487</x:v>
      </x:c>
      <x:c r="AE299" s="40" t="b">
        <x:v>1</x:v>
      </x:c>
      <x:c r="AF299" s="40" t="b">
        <x:v>1</x:v>
      </x:c>
      <x:c r="AG299" s="34" t="str"/>
      <x:c r="AH299" s="34" t="n">
        <x:v>0</x:v>
      </x:c>
      <x:c r="AI299" s="34" t="str">
        <x:v>2.0275124185786808e-05</x:v>
      </x:c>
      <x:c r="AJ299" s="40" t="b">
        <x:v>1</x:v>
      </x:c>
      <x:c r="AK299" s="40" t="b">
        <x:v>1</x:v>
      </x:c>
      <x:c r="AL299" s="40" t="b">
        <x:v>1</x:v>
      </x:c>
      <x:c r="AM299" s="40" t="b">
        <x:v>1</x:v>
      </x:c>
      <x:c r="AN299" s="34" t="str"/>
      <x:c r="AO299" s="34" t="n">
        <x:v>0</x:v>
      </x:c>
      <x:c r="AP299" s="34" t="n">
        <x:v>0</x:v>
      </x:c>
      <x:c r="AQ299" s="34" t="n">
        <x:v>0</x:v>
      </x:c>
      <x:c r="AR299" s="34" t="n">
        <x:v>2</x:v>
      </x:c>
      <x:c r="AS299" s="34" t="n">
        <x:v>3</x:v>
      </x:c>
      <x:c r="AT299" s="34" t="n">
        <x:v>0.45933660799999987</x:v>
      </x:c>
      <x:c r="AU299" s="34" t="n">
        <x:v>0.65</x:v>
      </x:c>
      <x:c r="AV299" s="34" t="n">
        <x:v>2.02</x:v>
      </x:c>
    </x:row>
    <x:row r="300">
      <x:c r="A300" s="34" t="str">
        <x:v>POSCO_KR</x:v>
      </x:c>
      <x:c r="B300" s="34" t="str">
        <x:v>POSCO</x:v>
      </x:c>
      <x:c r="C300" s="34" t="str">
        <x:v>ACCELERATED_15C</x:v>
      </x:c>
      <x:c r="D300" s="34" t="str">
        <x:v>P2</x:v>
      </x:c>
      <x:c r="E300" s="34" t="n">
        <x:v>2039</x:v>
      </x:c>
      <x:c r="F300" s="34" t="n">
        <x:v>5</x:v>
      </x:c>
      <x:c r="G300" s="34" t="n">
        <x:v>18.856047</x:v>
      </x:c>
      <x:c r="H300" s="34" t="n">
        <x:v>28.6</x:v>
      </x:c>
      <x:c r="I300" s="34" t="n">
        <x:v>9.743953</x:v>
      </x:c>
      <x:c r="J300" s="34" t="n">
        <x:v>65.93</x:v>
      </x:c>
      <x:c r="K300" s="34" t="n">
        <x:v>0.896665</x:v>
      </x:c>
      <x:c r="L300" s="34" t="n">
        <x:v>3.64</x:v>
      </x:c>
      <x:c r="M300" s="34" t="n">
        <x:v>2.743335</x:v>
      </x:c>
      <x:c r="N300" s="34" t="n">
        <x:v>24.634</x:v>
      </x:c>
      <x:c r="O300" s="34" t="n">
        <x:v>17.333447</x:v>
      </x:c>
      <x:c r="P300" s="34" t="n">
        <x:v>29.6</x:v>
      </x:c>
      <x:c r="Q300" s="34" t="n">
        <x:v>12.266553</x:v>
      </x:c>
      <x:c r="R300" s="34" t="n">
        <x:v>58.559</x:v>
      </x:c>
      <x:c r="S300" s="40" t="b">
        <x:v>1</x:v>
      </x:c>
      <x:c r="T300" s="34" t="str">
        <x:v>model_interpolation</x:v>
      </x:c>
      <x:c r="U300" s="34" t="str">
        <x:v>Linear interpolation from 2035 to 2040</x:v>
      </x:c>
      <x:c r="V300" s="34" t="str">
        <x:v>CAND-4EF614D30D6D91</x:v>
      </x:c>
      <x:c r="W300" s="34" t="str">
        <x:v>P2</x:v>
      </x:c>
      <x:c r="X300" s="34" t="str">
        <x:v>PORT-96133A6427FE</x:v>
      </x:c>
      <x:c r="Y300" s="34" t="n">
        <x:v>1000</x:v>
      </x:c>
      <x:c r="Z300" s="34" t="n">
        <x:v>57.715356</x:v>
      </x:c>
      <x:c r="AA300" s="34" t="n">
        <x:v>19.099566</x:v>
      </x:c>
      <x:c r="AB300" s="34" t="n">
        <x:v>430.20423</x:v>
      </x:c>
      <x:c r="AC300" s="34" t="n">
        <x:v>24083.473</x:v>
      </x:c>
      <x:c r="AD300" s="34" t="n">
        <x:v>55.981487</x:v>
      </x:c>
      <x:c r="AE300" s="40" t="b">
        <x:v>1</x:v>
      </x:c>
      <x:c r="AF300" s="40" t="b">
        <x:v>1</x:v>
      </x:c>
      <x:c r="AG300" s="34" t="str"/>
      <x:c r="AH300" s="34" t="n">
        <x:v>0</x:v>
      </x:c>
      <x:c r="AI300" s="34" t="str">
        <x:v>2.0275124185786808e-05</x:v>
      </x:c>
      <x:c r="AJ300" s="40" t="b">
        <x:v>1</x:v>
      </x:c>
      <x:c r="AK300" s="40" t="b">
        <x:v>1</x:v>
      </x:c>
      <x:c r="AL300" s="40" t="b">
        <x:v>1</x:v>
      </x:c>
      <x:c r="AM300" s="40" t="b">
        <x:v>1</x:v>
      </x:c>
      <x:c r="AN300" s="34" t="str"/>
      <x:c r="AO300" s="34" t="n">
        <x:v>0</x:v>
      </x:c>
      <x:c r="AP300" s="34" t="n">
        <x:v>0</x:v>
      </x:c>
      <x:c r="AQ300" s="34" t="n">
        <x:v>0</x:v>
      </x:c>
      <x:c r="AR300" s="34" t="n">
        <x:v>2</x:v>
      </x:c>
      <x:c r="AS300" s="34" t="n">
        <x:v>3</x:v>
      </x:c>
      <x:c r="AT300" s="34" t="n">
        <x:v>0.45933660799999987</x:v>
      </x:c>
      <x:c r="AU300" s="34" t="n">
        <x:v>0.65</x:v>
      </x:c>
      <x:c r="AV300" s="34" t="n">
        <x:v>2.02</x:v>
      </x:c>
    </x:row>
    <x:row r="301">
      <x:c r="A301" s="34" t="str">
        <x:v>POSCO_KR</x:v>
      </x:c>
      <x:c r="B301" s="34" t="str">
        <x:v>POSCO</x:v>
      </x:c>
      <x:c r="C301" s="34" t="str">
        <x:v>ACCELERATED_15C</x:v>
      </x:c>
      <x:c r="D301" s="34" t="str">
        <x:v>P2</x:v>
      </x:c>
      <x:c r="E301" s="34" t="n">
        <x:v>2040</x:v>
      </x:c>
      <x:c r="F301" s="34" t="n">
        <x:v>5</x:v>
      </x:c>
      <x:c r="G301" s="34" t="n">
        <x:v>18.856047</x:v>
      </x:c>
      <x:c r="H301" s="34" t="n">
        <x:v>30</x:v>
      </x:c>
      <x:c r="I301" s="34" t="n">
        <x:v>11.143953</x:v>
      </x:c>
      <x:c r="J301" s="34" t="n">
        <x:v>62.853</x:v>
      </x:c>
      <x:c r="K301" s="34" t="n">
        <x:v>0.896665</x:v>
      </x:c>
      <x:c r="L301" s="34" t="n">
        <x:v>4</x:v>
      </x:c>
      <x:c r="M301" s="34" t="n">
        <x:v>3.103335</x:v>
      </x:c>
      <x:c r="N301" s="34" t="n">
        <x:v>22.417</x:v>
      </x:c>
      <x:c r="O301" s="34" t="n">
        <x:v>17.333447</x:v>
      </x:c>
      <x:c r="P301" s="34" t="n">
        <x:v>32</x:v>
      </x:c>
      <x:c r="Q301" s="34" t="n">
        <x:v>14.666553</x:v>
      </x:c>
      <x:c r="R301" s="34" t="n">
        <x:v>54.167</x:v>
      </x:c>
      <x:c r="S301" s="40" t="b">
        <x:v>1</x:v>
      </x:c>
      <x:c r="T301" s="34" t="str">
        <x:v>model_estimate</x:v>
      </x:c>
      <x:c r="U301" s="34" t="str">
        <x:v>Illustrative accelerated envelope; not GCAM or an official supply forecast</x:v>
      </x:c>
      <x:c r="V301" s="34" t="str">
        <x:v>CAND-4EF614D30D6D91</x:v>
      </x:c>
      <x:c r="W301" s="34" t="str">
        <x:v>P2</x:v>
      </x:c>
      <x:c r="X301" s="34" t="str">
        <x:v>PORT-96133A6427FE</x:v>
      </x:c>
      <x:c r="Y301" s="34" t="n">
        <x:v>1000</x:v>
      </x:c>
      <x:c r="Z301" s="34" t="n">
        <x:v>57.715356</x:v>
      </x:c>
      <x:c r="AA301" s="34" t="n">
        <x:v>19.099566</x:v>
      </x:c>
      <x:c r="AB301" s="34" t="n">
        <x:v>430.20423</x:v>
      </x:c>
      <x:c r="AC301" s="34" t="n">
        <x:v>24083.473</x:v>
      </x:c>
      <x:c r="AD301" s="34" t="n">
        <x:v>55.981487</x:v>
      </x:c>
      <x:c r="AE301" s="40" t="b">
        <x:v>1</x:v>
      </x:c>
      <x:c r="AF301" s="40" t="b">
        <x:v>1</x:v>
      </x:c>
      <x:c r="AG301" s="34" t="str"/>
      <x:c r="AH301" s="34" t="n">
        <x:v>0</x:v>
      </x:c>
      <x:c r="AI301" s="34" t="str">
        <x:v>2.0275124185786808e-05</x:v>
      </x:c>
      <x:c r="AJ301" s="40" t="b">
        <x:v>1</x:v>
      </x:c>
      <x:c r="AK301" s="40" t="b">
        <x:v>1</x:v>
      </x:c>
      <x:c r="AL301" s="40" t="b">
        <x:v>1</x:v>
      </x:c>
      <x:c r="AM301" s="40" t="b">
        <x:v>1</x:v>
      </x:c>
      <x:c r="AN301" s="34" t="str"/>
      <x:c r="AO301" s="34" t="n">
        <x:v>0</x:v>
      </x:c>
      <x:c r="AP301" s="34" t="n">
        <x:v>0</x:v>
      </x:c>
      <x:c r="AQ301" s="34" t="n">
        <x:v>0</x:v>
      </x:c>
      <x:c r="AR301" s="34" t="n">
        <x:v>2</x:v>
      </x:c>
      <x:c r="AS301" s="34" t="n">
        <x:v>3</x:v>
      </x:c>
      <x:c r="AT301" s="34" t="n">
        <x:v>0.45933660799999987</x:v>
      </x:c>
      <x:c r="AU301" s="34" t="n">
        <x:v>0.65</x:v>
      </x:c>
      <x:c r="AV301" s="34" t="n">
        <x:v>2.02</x:v>
      </x:c>
    </x:row>
    <x:row r="302">
      <x:c r="A302" s="34" t="str">
        <x:v>POSCO_KR</x:v>
      </x:c>
      <x:c r="B302" s="34" t="str">
        <x:v>POSCO</x:v>
      </x:c>
      <x:c r="C302" s="34" t="str">
        <x:v>DISCLOSED_PATH</x:v>
      </x:c>
      <x:c r="D302" s="34" t="str">
        <x:v>P3</x:v>
      </x:c>
      <x:c r="E302" s="34" t="n">
        <x:v>2026</x:v>
      </x:c>
      <x:c r="F302" s="34" t="n">
        <x:v>0</x:v>
      </x:c>
      <x:c r="G302" s="34" t="n">
        <x:v>0</x:v>
      </x:c>
      <x:c r="H302" s="34" t="n">
        <x:v>8</x:v>
      </x:c>
      <x:c r="I302" s="34" t="n">
        <x:v>8</x:v>
      </x:c>
      <x:c r="J302" s="34" t="n">
        <x:v>0</x:v>
      </x:c>
      <x:c r="K302" s="34" t="n">
        <x:v>0</x:v>
      </x:c>
      <x:c r="L302" s="34" t="n">
        <x:v>0</x:v>
      </x:c>
      <x:c r="M302" s="34" t="n">
        <x:v>0</x:v>
      </x:c>
      <x:c r="N302" s="34" t="n">
        <x:v>0</x:v>
      </x:c>
      <x:c r="O302" s="34" t="n">
        <x:v>0</x:v>
      </x:c>
      <x:c r="P302" s="34" t="n">
        <x:v>2</x:v>
      </x:c>
      <x:c r="Q302" s="34" t="n">
        <x:v>2</x:v>
      </x:c>
      <x:c r="R302" s="34" t="n">
        <x:v>0</x:v>
      </x:c>
      <x:c r="S302" s="40" t="b">
        <x:v>1</x:v>
      </x:c>
      <x:c r="T302" s="34" t="str">
        <x:v>model_interpolation</x:v>
      </x:c>
      <x:c r="U302" s="34" t="str">
        <x:v>Linear interpolation from 2026 to 2030</x:v>
      </x:c>
      <x:c r="V302" s="34" t="str">
        <x:v>CAND-6339E6B83A8408</x:v>
      </x:c>
      <x:c r="W302" s="34" t="str">
        <x:v>P3</x:v>
      </x:c>
      <x:c r="X302" s="34" t="str">
        <x:v>PORT-8826D0B469EE</x:v>
      </x:c>
      <x:c r="Y302" s="34" t="n">
        <x:v>1000</x:v>
      </x:c>
      <x:c r="Z302" s="34" t="n">
        <x:v>63.190087</x:v>
      </x:c>
      <x:c r="AA302" s="34" t="n">
        <x:v>13.913035</x:v>
      </x:c>
      <x:c r="AB302" s="34" t="n">
        <x:v>429.154227</x:v>
      </x:c>
      <x:c r="AC302" s="34" t="n">
        <x:v>26569.752</x:v>
      </x:c>
      <x:c r="AD302" s="34" t="n">
        <x:v>61.911896</x:v>
      </x:c>
      <x:c r="AE302" s="40" t="b">
        <x:v>1</x:v>
      </x:c>
      <x:c r="AF302" s="40" t="b">
        <x:v>1</x:v>
      </x:c>
      <x:c r="AG302" s="34" t="str"/>
      <x:c r="AH302" s="34" t="n">
        <x:v>0</x:v>
      </x:c>
      <x:c r="AI302" s="34" t="str">
        <x:v>2.0275124185786808e-05</x:v>
      </x:c>
      <x:c r="AJ302" s="40" t="b">
        <x:v>1</x:v>
      </x:c>
      <x:c r="AK302" s="40" t="b">
        <x:v>1</x:v>
      </x:c>
      <x:c r="AL302" s="40" t="b">
        <x:v>1</x:v>
      </x:c>
      <x:c r="AM302" s="40" t="b">
        <x:v>1</x:v>
      </x:c>
      <x:c r="AN302" s="34" t="str"/>
      <x:c r="AO302" s="34" t="n">
        <x:v>0</x:v>
      </x:c>
      <x:c r="AP302" s="34" t="n">
        <x:v>0</x:v>
      </x:c>
      <x:c r="AQ302" s="34" t="n">
        <x:v>0</x:v>
      </x:c>
      <x:c r="AR302" s="34" t="n">
        <x:v>3</x:v>
      </x:c>
      <x:c r="AS302" s="34" t="n">
        <x:v>3</x:v>
      </x:c>
      <x:c r="AT302" s="34" t="n">
        <x:v>0.459336608</x:v>
      </x:c>
      <x:c r="AU302" s="34" t="n">
        <x:v>0.65</x:v>
      </x:c>
      <x:c r="AV302" s="34" t="n">
        <x:v>2.02</x:v>
      </x:c>
    </x:row>
    <x:row r="303">
      <x:c r="A303" s="34" t="str">
        <x:v>POSCO_KR</x:v>
      </x:c>
      <x:c r="B303" s="34" t="str">
        <x:v>POSCO</x:v>
      </x:c>
      <x:c r="C303" s="34" t="str">
        <x:v>DISCLOSED_PATH</x:v>
      </x:c>
      <x:c r="D303" s="34" t="str">
        <x:v>P3</x:v>
      </x:c>
      <x:c r="E303" s="34" t="n">
        <x:v>2027</x:v>
      </x:c>
      <x:c r="F303" s="34" t="n">
        <x:v>0</x:v>
      </x:c>
      <x:c r="G303" s="34" t="n">
        <x:v>0</x:v>
      </x:c>
      <x:c r="H303" s="34" t="n">
        <x:v>9</x:v>
      </x:c>
      <x:c r="I303" s="34" t="n">
        <x:v>9</x:v>
      </x:c>
      <x:c r="J303" s="34" t="n">
        <x:v>0</x:v>
      </x:c>
      <x:c r="K303" s="34" t="n">
        <x:v>0</x:v>
      </x:c>
      <x:c r="L303" s="34" t="n">
        <x:v>0.125</x:v>
      </x:c>
      <x:c r="M303" s="34" t="n">
        <x:v>0.125</x:v>
      </x:c>
      <x:c r="N303" s="34" t="n">
        <x:v>0</x:v>
      </x:c>
      <x:c r="O303" s="34" t="n">
        <x:v>0</x:v>
      </x:c>
      <x:c r="P303" s="34" t="n">
        <x:v>3.25</x:v>
      </x:c>
      <x:c r="Q303" s="34" t="n">
        <x:v>3.25</x:v>
      </x:c>
      <x:c r="R303" s="34" t="n">
        <x:v>0</x:v>
      </x:c>
      <x:c r="S303" s="40" t="b">
        <x:v>1</x:v>
      </x:c>
      <x:c r="T303" s="34" t="str">
        <x:v>model_interpolation</x:v>
      </x:c>
      <x:c r="U303" s="34" t="str">
        <x:v>Linear interpolation from 2026 to 2030</x:v>
      </x:c>
      <x:c r="V303" s="34" t="str">
        <x:v>CAND-6339E6B83A8408</x:v>
      </x:c>
      <x:c r="W303" s="34" t="str">
        <x:v>P3</x:v>
      </x:c>
      <x:c r="X303" s="34" t="str">
        <x:v>PORT-8826D0B469EE</x:v>
      </x:c>
      <x:c r="Y303" s="34" t="n">
        <x:v>1000</x:v>
      </x:c>
      <x:c r="Z303" s="34" t="n">
        <x:v>63.190087</x:v>
      </x:c>
      <x:c r="AA303" s="34" t="n">
        <x:v>13.913035</x:v>
      </x:c>
      <x:c r="AB303" s="34" t="n">
        <x:v>429.154227</x:v>
      </x:c>
      <x:c r="AC303" s="34" t="n">
        <x:v>26569.752</x:v>
      </x:c>
      <x:c r="AD303" s="34" t="n">
        <x:v>61.911896</x:v>
      </x:c>
      <x:c r="AE303" s="40" t="b">
        <x:v>1</x:v>
      </x:c>
      <x:c r="AF303" s="40" t="b">
        <x:v>1</x:v>
      </x:c>
      <x:c r="AG303" s="34" t="str"/>
      <x:c r="AH303" s="34" t="n">
        <x:v>0</x:v>
      </x:c>
      <x:c r="AI303" s="34" t="str">
        <x:v>2.0275124185786808e-05</x:v>
      </x:c>
      <x:c r="AJ303" s="40" t="b">
        <x:v>1</x:v>
      </x:c>
      <x:c r="AK303" s="40" t="b">
        <x:v>1</x:v>
      </x:c>
      <x:c r="AL303" s="40" t="b">
        <x:v>1</x:v>
      </x:c>
      <x:c r="AM303" s="40" t="b">
        <x:v>1</x:v>
      </x:c>
      <x:c r="AN303" s="34" t="str"/>
      <x:c r="AO303" s="34" t="n">
        <x:v>0</x:v>
      </x:c>
      <x:c r="AP303" s="34" t="n">
        <x:v>0</x:v>
      </x:c>
      <x:c r="AQ303" s="34" t="n">
        <x:v>0</x:v>
      </x:c>
      <x:c r="AR303" s="34" t="n">
        <x:v>3</x:v>
      </x:c>
      <x:c r="AS303" s="34" t="n">
        <x:v>3</x:v>
      </x:c>
      <x:c r="AT303" s="34" t="n">
        <x:v>0.459336608</x:v>
      </x:c>
      <x:c r="AU303" s="34" t="n">
        <x:v>0.65</x:v>
      </x:c>
      <x:c r="AV303" s="34" t="n">
        <x:v>2.02</x:v>
      </x:c>
    </x:row>
    <x:row r="304">
      <x:c r="A304" s="34" t="str">
        <x:v>POSCO_KR</x:v>
      </x:c>
      <x:c r="B304" s="34" t="str">
        <x:v>POSCO</x:v>
      </x:c>
      <x:c r="C304" s="34" t="str">
        <x:v>DISCLOSED_PATH</x:v>
      </x:c>
      <x:c r="D304" s="34" t="str">
        <x:v>P3</x:v>
      </x:c>
      <x:c r="E304" s="34" t="n">
        <x:v>2028</x:v>
      </x:c>
      <x:c r="F304" s="34" t="n">
        <x:v>0</x:v>
      </x:c>
      <x:c r="G304" s="34" t="n">
        <x:v>0</x:v>
      </x:c>
      <x:c r="H304" s="34" t="n">
        <x:v>10</x:v>
      </x:c>
      <x:c r="I304" s="34" t="n">
        <x:v>10</x:v>
      </x:c>
      <x:c r="J304" s="34" t="n">
        <x:v>0</x:v>
      </x:c>
      <x:c r="K304" s="34" t="n">
        <x:v>0</x:v>
      </x:c>
      <x:c r="L304" s="34" t="n">
        <x:v>0.25</x:v>
      </x:c>
      <x:c r="M304" s="34" t="n">
        <x:v>0.25</x:v>
      </x:c>
      <x:c r="N304" s="34" t="n">
        <x:v>0</x:v>
      </x:c>
      <x:c r="O304" s="34" t="n">
        <x:v>0</x:v>
      </x:c>
      <x:c r="P304" s="34" t="n">
        <x:v>4.5</x:v>
      </x:c>
      <x:c r="Q304" s="34" t="n">
        <x:v>4.5</x:v>
      </x:c>
      <x:c r="R304" s="34" t="n">
        <x:v>0</x:v>
      </x:c>
      <x:c r="S304" s="40" t="b">
        <x:v>1</x:v>
      </x:c>
      <x:c r="T304" s="34" t="str">
        <x:v>model_interpolation</x:v>
      </x:c>
      <x:c r="U304" s="34" t="str">
        <x:v>Linear interpolation from 2026 to 2030</x:v>
      </x:c>
      <x:c r="V304" s="34" t="str">
        <x:v>CAND-6339E6B83A8408</x:v>
      </x:c>
      <x:c r="W304" s="34" t="str">
        <x:v>P3</x:v>
      </x:c>
      <x:c r="X304" s="34" t="str">
        <x:v>PORT-8826D0B469EE</x:v>
      </x:c>
      <x:c r="Y304" s="34" t="n">
        <x:v>1000</x:v>
      </x:c>
      <x:c r="Z304" s="34" t="n">
        <x:v>63.190087</x:v>
      </x:c>
      <x:c r="AA304" s="34" t="n">
        <x:v>13.913035</x:v>
      </x:c>
      <x:c r="AB304" s="34" t="n">
        <x:v>429.154227</x:v>
      </x:c>
      <x:c r="AC304" s="34" t="n">
        <x:v>26569.752</x:v>
      </x:c>
      <x:c r="AD304" s="34" t="n">
        <x:v>61.911896</x:v>
      </x:c>
      <x:c r="AE304" s="40" t="b">
        <x:v>1</x:v>
      </x:c>
      <x:c r="AF304" s="40" t="b">
        <x:v>1</x:v>
      </x:c>
      <x:c r="AG304" s="34" t="str"/>
      <x:c r="AH304" s="34" t="n">
        <x:v>0</x:v>
      </x:c>
      <x:c r="AI304" s="34" t="str">
        <x:v>2.0275124185786808e-05</x:v>
      </x:c>
      <x:c r="AJ304" s="40" t="b">
        <x:v>1</x:v>
      </x:c>
      <x:c r="AK304" s="40" t="b">
        <x:v>1</x:v>
      </x:c>
      <x:c r="AL304" s="40" t="b">
        <x:v>1</x:v>
      </x:c>
      <x:c r="AM304" s="40" t="b">
        <x:v>1</x:v>
      </x:c>
      <x:c r="AN304" s="34" t="str"/>
      <x:c r="AO304" s="34" t="n">
        <x:v>0</x:v>
      </x:c>
      <x:c r="AP304" s="34" t="n">
        <x:v>0</x:v>
      </x:c>
      <x:c r="AQ304" s="34" t="n">
        <x:v>0</x:v>
      </x:c>
      <x:c r="AR304" s="34" t="n">
        <x:v>3</x:v>
      </x:c>
      <x:c r="AS304" s="34" t="n">
        <x:v>3</x:v>
      </x:c>
      <x:c r="AT304" s="34" t="n">
        <x:v>0.459336608</x:v>
      </x:c>
      <x:c r="AU304" s="34" t="n">
        <x:v>0.65</x:v>
      </x:c>
      <x:c r="AV304" s="34" t="n">
        <x:v>2.02</x:v>
      </x:c>
    </x:row>
    <x:row r="305">
      <x:c r="A305" s="34" t="str">
        <x:v>POSCO_KR</x:v>
      </x:c>
      <x:c r="B305" s="34" t="str">
        <x:v>POSCO</x:v>
      </x:c>
      <x:c r="C305" s="34" t="str">
        <x:v>DISCLOSED_PATH</x:v>
      </x:c>
      <x:c r="D305" s="34" t="str">
        <x:v>P3</x:v>
      </x:c>
      <x:c r="E305" s="34" t="n">
        <x:v>2029</x:v>
      </x:c>
      <x:c r="F305" s="34" t="n">
        <x:v>1</x:v>
      </x:c>
      <x:c r="G305" s="34" t="n">
        <x:v>6.839998</x:v>
      </x:c>
      <x:c r="H305" s="34" t="n">
        <x:v>11</x:v>
      </x:c>
      <x:c r="I305" s="34" t="n">
        <x:v>4.160002</x:v>
      </x:c>
      <x:c r="J305" s="34" t="n">
        <x:v>62.182</x:v>
      </x:c>
      <x:c r="K305" s="34" t="n">
        <x:v>0</x:v>
      </x:c>
      <x:c r="L305" s="34" t="n">
        <x:v>0.375</x:v>
      </x:c>
      <x:c r="M305" s="34" t="n">
        <x:v>0.375</x:v>
      </x:c>
      <x:c r="N305" s="34" t="n">
        <x:v>0</x:v>
      </x:c>
      <x:c r="O305" s="34" t="n">
        <x:v>4.255999</x:v>
      </x:c>
      <x:c r="P305" s="34" t="n">
        <x:v>5.75</x:v>
      </x:c>
      <x:c r="Q305" s="34" t="n">
        <x:v>1.494001</x:v>
      </x:c>
      <x:c r="R305" s="34" t="n">
        <x:v>74.017</x:v>
      </x:c>
      <x:c r="S305" s="40" t="b">
        <x:v>1</x:v>
      </x:c>
      <x:c r="T305" s="34" t="str">
        <x:v>model_interpolation</x:v>
      </x:c>
      <x:c r="U305" s="34" t="str">
        <x:v>Linear interpolation from 2026 to 2030</x:v>
      </x:c>
      <x:c r="V305" s="34" t="str">
        <x:v>CAND-6339E6B83A8408</x:v>
      </x:c>
      <x:c r="W305" s="34" t="str">
        <x:v>P3</x:v>
      </x:c>
      <x:c r="X305" s="34" t="str">
        <x:v>PORT-8826D0B469EE</x:v>
      </x:c>
      <x:c r="Y305" s="34" t="n">
        <x:v>1000</x:v>
      </x:c>
      <x:c r="Z305" s="34" t="n">
        <x:v>63.190087</x:v>
      </x:c>
      <x:c r="AA305" s="34" t="n">
        <x:v>13.913035</x:v>
      </x:c>
      <x:c r="AB305" s="34" t="n">
        <x:v>429.154227</x:v>
      </x:c>
      <x:c r="AC305" s="34" t="n">
        <x:v>26569.752</x:v>
      </x:c>
      <x:c r="AD305" s="34" t="n">
        <x:v>61.911896</x:v>
      </x:c>
      <x:c r="AE305" s="40" t="b">
        <x:v>1</x:v>
      </x:c>
      <x:c r="AF305" s="40" t="b">
        <x:v>1</x:v>
      </x:c>
      <x:c r="AG305" s="34" t="str"/>
      <x:c r="AH305" s="34" t="n">
        <x:v>0</x:v>
      </x:c>
      <x:c r="AI305" s="34" t="str">
        <x:v>2.0275124185786808e-05</x:v>
      </x:c>
      <x:c r="AJ305" s="40" t="b">
        <x:v>1</x:v>
      </x:c>
      <x:c r="AK305" s="40" t="b">
        <x:v>1</x:v>
      </x:c>
      <x:c r="AL305" s="40" t="b">
        <x:v>1</x:v>
      </x:c>
      <x:c r="AM305" s="40" t="b">
        <x:v>1</x:v>
      </x:c>
      <x:c r="AN305" s="34" t="str"/>
      <x:c r="AO305" s="34" t="n">
        <x:v>0</x:v>
      </x:c>
      <x:c r="AP305" s="34" t="n">
        <x:v>0</x:v>
      </x:c>
      <x:c r="AQ305" s="34" t="n">
        <x:v>0</x:v>
      </x:c>
      <x:c r="AR305" s="34" t="n">
        <x:v>3</x:v>
      </x:c>
      <x:c r="AS305" s="34" t="n">
        <x:v>3</x:v>
      </x:c>
      <x:c r="AT305" s="34" t="n">
        <x:v>0.459336608</x:v>
      </x:c>
      <x:c r="AU305" s="34" t="n">
        <x:v>0.65</x:v>
      </x:c>
      <x:c r="AV305" s="34" t="n">
        <x:v>2.02</x:v>
      </x:c>
    </x:row>
    <x:row r="306">
      <x:c r="A306" s="34" t="str">
        <x:v>POSCO_KR</x:v>
      </x:c>
      <x:c r="B306" s="34" t="str">
        <x:v>POSCO</x:v>
      </x:c>
      <x:c r="C306" s="34" t="str">
        <x:v>DISCLOSED_PATH</x:v>
      </x:c>
      <x:c r="D306" s="34" t="str">
        <x:v>P3</x:v>
      </x:c>
      <x:c r="E306" s="34" t="n">
        <x:v>2030</x:v>
      </x:c>
      <x:c r="F306" s="34" t="n">
        <x:v>1</x:v>
      </x:c>
      <x:c r="G306" s="34" t="n">
        <x:v>6.839998</x:v>
      </x:c>
      <x:c r="H306" s="34" t="n">
        <x:v>12</x:v>
      </x:c>
      <x:c r="I306" s="34" t="n">
        <x:v>5.160002</x:v>
      </x:c>
      <x:c r="J306" s="34" t="n">
        <x:v>57</x:v>
      </x:c>
      <x:c r="K306" s="34" t="n">
        <x:v>0</x:v>
      </x:c>
      <x:c r="L306" s="34" t="n">
        <x:v>0.5</x:v>
      </x:c>
      <x:c r="M306" s="34" t="n">
        <x:v>0.5</x:v>
      </x:c>
      <x:c r="N306" s="34" t="n">
        <x:v>0</x:v>
      </x:c>
      <x:c r="O306" s="34" t="n">
        <x:v>4.255999</x:v>
      </x:c>
      <x:c r="P306" s="34" t="n">
        <x:v>7</x:v>
      </x:c>
      <x:c r="Q306" s="34" t="n">
        <x:v>2.744001</x:v>
      </x:c>
      <x:c r="R306" s="34" t="n">
        <x:v>60.8</x:v>
      </x:c>
      <x:c r="S306" s="40" t="b">
        <x:v>1</x:v>
      </x:c>
      <x:c r="T306" s="34" t="str">
        <x:v>model_interpolation</x:v>
      </x:c>
      <x:c r="U306" s="34" t="str">
        <x:v>Linear interpolation from 2030 to 2035</x:v>
      </x:c>
      <x:c r="V306" s="34" t="str">
        <x:v>CAND-6339E6B83A8408</x:v>
      </x:c>
      <x:c r="W306" s="34" t="str">
        <x:v>P3</x:v>
      </x:c>
      <x:c r="X306" s="34" t="str">
        <x:v>PORT-8826D0B469EE</x:v>
      </x:c>
      <x:c r="Y306" s="34" t="n">
        <x:v>1000</x:v>
      </x:c>
      <x:c r="Z306" s="34" t="n">
        <x:v>63.190087</x:v>
      </x:c>
      <x:c r="AA306" s="34" t="n">
        <x:v>13.913035</x:v>
      </x:c>
      <x:c r="AB306" s="34" t="n">
        <x:v>429.154227</x:v>
      </x:c>
      <x:c r="AC306" s="34" t="n">
        <x:v>26569.752</x:v>
      </x:c>
      <x:c r="AD306" s="34" t="n">
        <x:v>61.911896</x:v>
      </x:c>
      <x:c r="AE306" s="40" t="b">
        <x:v>1</x:v>
      </x:c>
      <x:c r="AF306" s="40" t="b">
        <x:v>1</x:v>
      </x:c>
      <x:c r="AG306" s="34" t="str"/>
      <x:c r="AH306" s="34" t="n">
        <x:v>0</x:v>
      </x:c>
      <x:c r="AI306" s="34" t="str">
        <x:v>2.0275124185786808e-05</x:v>
      </x:c>
      <x:c r="AJ306" s="40" t="b">
        <x:v>1</x:v>
      </x:c>
      <x:c r="AK306" s="40" t="b">
        <x:v>1</x:v>
      </x:c>
      <x:c r="AL306" s="40" t="b">
        <x:v>1</x:v>
      </x:c>
      <x:c r="AM306" s="40" t="b">
        <x:v>1</x:v>
      </x:c>
      <x:c r="AN306" s="34" t="str"/>
      <x:c r="AO306" s="34" t="n">
        <x:v>0</x:v>
      </x:c>
      <x:c r="AP306" s="34" t="n">
        <x:v>0</x:v>
      </x:c>
      <x:c r="AQ306" s="34" t="n">
        <x:v>0</x:v>
      </x:c>
      <x:c r="AR306" s="34" t="n">
        <x:v>3</x:v>
      </x:c>
      <x:c r="AS306" s="34" t="n">
        <x:v>3</x:v>
      </x:c>
      <x:c r="AT306" s="34" t="n">
        <x:v>0.459336608</x:v>
      </x:c>
      <x:c r="AU306" s="34" t="n">
        <x:v>0.65</x:v>
      </x:c>
      <x:c r="AV306" s="34" t="n">
        <x:v>2.02</x:v>
      </x:c>
    </x:row>
    <x:row r="307">
      <x:c r="A307" s="34" t="str">
        <x:v>POSCO_KR</x:v>
      </x:c>
      <x:c r="B307" s="34" t="str">
        <x:v>POSCO</x:v>
      </x:c>
      <x:c r="C307" s="34" t="str">
        <x:v>DISCLOSED_PATH</x:v>
      </x:c>
      <x:c r="D307" s="34" t="str">
        <x:v>P3</x:v>
      </x:c>
      <x:c r="E307" s="34" t="n">
        <x:v>2031</x:v>
      </x:c>
      <x:c r="F307" s="34" t="n">
        <x:v>1</x:v>
      </x:c>
      <x:c r="G307" s="34" t="n">
        <x:v>6.839998</x:v>
      </x:c>
      <x:c r="H307" s="34" t="n">
        <x:v>13.2</x:v>
      </x:c>
      <x:c r="I307" s="34" t="n">
        <x:v>6.360002</x:v>
      </x:c>
      <x:c r="J307" s="34" t="n">
        <x:v>51.818</x:v>
      </x:c>
      <x:c r="K307" s="34" t="n">
        <x:v>0</x:v>
      </x:c>
      <x:c r="L307" s="34" t="n">
        <x:v>0.7</x:v>
      </x:c>
      <x:c r="M307" s="34" t="n">
        <x:v>0.7</x:v>
      </x:c>
      <x:c r="N307" s="34" t="n">
        <x:v>0</x:v>
      </x:c>
      <x:c r="O307" s="34" t="n">
        <x:v>4.255999</x:v>
      </x:c>
      <x:c r="P307" s="34" t="n">
        <x:v>8.6</x:v>
      </x:c>
      <x:c r="Q307" s="34" t="n">
        <x:v>4.344001</x:v>
      </x:c>
      <x:c r="R307" s="34" t="n">
        <x:v>49.488</x:v>
      </x:c>
      <x:c r="S307" s="40" t="b">
        <x:v>1</x:v>
      </x:c>
      <x:c r="T307" s="34" t="str">
        <x:v>model_interpolation</x:v>
      </x:c>
      <x:c r="U307" s="34" t="str">
        <x:v>Linear interpolation from 2030 to 2035</x:v>
      </x:c>
      <x:c r="V307" s="34" t="str">
        <x:v>CAND-6339E6B83A8408</x:v>
      </x:c>
      <x:c r="W307" s="34" t="str">
        <x:v>P3</x:v>
      </x:c>
      <x:c r="X307" s="34" t="str">
        <x:v>PORT-8826D0B469EE</x:v>
      </x:c>
      <x:c r="Y307" s="34" t="n">
        <x:v>1000</x:v>
      </x:c>
      <x:c r="Z307" s="34" t="n">
        <x:v>63.190087</x:v>
      </x:c>
      <x:c r="AA307" s="34" t="n">
        <x:v>13.913035</x:v>
      </x:c>
      <x:c r="AB307" s="34" t="n">
        <x:v>429.154227</x:v>
      </x:c>
      <x:c r="AC307" s="34" t="n">
        <x:v>26569.752</x:v>
      </x:c>
      <x:c r="AD307" s="34" t="n">
        <x:v>61.911896</x:v>
      </x:c>
      <x:c r="AE307" s="40" t="b">
        <x:v>1</x:v>
      </x:c>
      <x:c r="AF307" s="40" t="b">
        <x:v>1</x:v>
      </x:c>
      <x:c r="AG307" s="34" t="str"/>
      <x:c r="AH307" s="34" t="n">
        <x:v>0</x:v>
      </x:c>
      <x:c r="AI307" s="34" t="str">
        <x:v>2.0275124185786808e-05</x:v>
      </x:c>
      <x:c r="AJ307" s="40" t="b">
        <x:v>1</x:v>
      </x:c>
      <x:c r="AK307" s="40" t="b">
        <x:v>1</x:v>
      </x:c>
      <x:c r="AL307" s="40" t="b">
        <x:v>1</x:v>
      </x:c>
      <x:c r="AM307" s="40" t="b">
        <x:v>1</x:v>
      </x:c>
      <x:c r="AN307" s="34" t="str"/>
      <x:c r="AO307" s="34" t="n">
        <x:v>0</x:v>
      </x:c>
      <x:c r="AP307" s="34" t="n">
        <x:v>0</x:v>
      </x:c>
      <x:c r="AQ307" s="34" t="n">
        <x:v>0</x:v>
      </x:c>
      <x:c r="AR307" s="34" t="n">
        <x:v>3</x:v>
      </x:c>
      <x:c r="AS307" s="34" t="n">
        <x:v>3</x:v>
      </x:c>
      <x:c r="AT307" s="34" t="n">
        <x:v>0.459336608</x:v>
      </x:c>
      <x:c r="AU307" s="34" t="n">
        <x:v>0.65</x:v>
      </x:c>
      <x:c r="AV307" s="34" t="n">
        <x:v>2.02</x:v>
      </x:c>
    </x:row>
    <x:row r="308">
      <x:c r="A308" s="34" t="str">
        <x:v>POSCO_KR</x:v>
      </x:c>
      <x:c r="B308" s="34" t="str">
        <x:v>POSCO</x:v>
      </x:c>
      <x:c r="C308" s="34" t="str">
        <x:v>DISCLOSED_PATH</x:v>
      </x:c>
      <x:c r="D308" s="34" t="str">
        <x:v>P3</x:v>
      </x:c>
      <x:c r="E308" s="34" t="n">
        <x:v>2032</x:v>
      </x:c>
      <x:c r="F308" s="34" t="n">
        <x:v>2</x:v>
      </x:c>
      <x:c r="G308" s="34" t="n">
        <x:v>12.959999</x:v>
      </x:c>
      <x:c r="H308" s="34" t="n">
        <x:v>14.4</x:v>
      </x:c>
      <x:c r="I308" s="34" t="n">
        <x:v>1.440001</x:v>
      </x:c>
      <x:c r="J308" s="34" t="n">
        <x:v>90</x:v>
      </x:c>
      <x:c r="K308" s="34" t="n">
        <x:v>0</x:v>
      </x:c>
      <x:c r="L308" s="34" t="n">
        <x:v>0.9</x:v>
      </x:c>
      <x:c r="M308" s="34" t="n">
        <x:v>0.9</x:v>
      </x:c>
      <x:c r="N308" s="34" t="n">
        <x:v>0</x:v>
      </x:c>
      <x:c r="O308" s="34" t="n">
        <x:v>8.063999</x:v>
      </x:c>
      <x:c r="P308" s="34" t="n">
        <x:v>10.2</x:v>
      </x:c>
      <x:c r="Q308" s="34" t="n">
        <x:v>2.136001</x:v>
      </x:c>
      <x:c r="R308" s="34" t="n">
        <x:v>79.059</x:v>
      </x:c>
      <x:c r="S308" s="40" t="b">
        <x:v>1</x:v>
      </x:c>
      <x:c r="T308" s="34" t="str">
        <x:v>model_interpolation</x:v>
      </x:c>
      <x:c r="U308" s="34" t="str">
        <x:v>Linear interpolation from 2030 to 2035</x:v>
      </x:c>
      <x:c r="V308" s="34" t="str">
        <x:v>CAND-6339E6B83A8408</x:v>
      </x:c>
      <x:c r="W308" s="34" t="str">
        <x:v>P3</x:v>
      </x:c>
      <x:c r="X308" s="34" t="str">
        <x:v>PORT-8826D0B469EE</x:v>
      </x:c>
      <x:c r="Y308" s="34" t="n">
        <x:v>1000</x:v>
      </x:c>
      <x:c r="Z308" s="34" t="n">
        <x:v>63.190087</x:v>
      </x:c>
      <x:c r="AA308" s="34" t="n">
        <x:v>13.913035</x:v>
      </x:c>
      <x:c r="AB308" s="34" t="n">
        <x:v>429.154227</x:v>
      </x:c>
      <x:c r="AC308" s="34" t="n">
        <x:v>26569.752</x:v>
      </x:c>
      <x:c r="AD308" s="34" t="n">
        <x:v>61.911896</x:v>
      </x:c>
      <x:c r="AE308" s="40" t="b">
        <x:v>1</x:v>
      </x:c>
      <x:c r="AF308" s="40" t="b">
        <x:v>1</x:v>
      </x:c>
      <x:c r="AG308" s="34" t="str"/>
      <x:c r="AH308" s="34" t="n">
        <x:v>0</x:v>
      </x:c>
      <x:c r="AI308" s="34" t="str">
        <x:v>2.0275124185786808e-05</x:v>
      </x:c>
      <x:c r="AJ308" s="40" t="b">
        <x:v>1</x:v>
      </x:c>
      <x:c r="AK308" s="40" t="b">
        <x:v>1</x:v>
      </x:c>
      <x:c r="AL308" s="40" t="b">
        <x:v>1</x:v>
      </x:c>
      <x:c r="AM308" s="40" t="b">
        <x:v>1</x:v>
      </x:c>
      <x:c r="AN308" s="34" t="str"/>
      <x:c r="AO308" s="34" t="n">
        <x:v>0</x:v>
      </x:c>
      <x:c r="AP308" s="34" t="n">
        <x:v>0</x:v>
      </x:c>
      <x:c r="AQ308" s="34" t="n">
        <x:v>0</x:v>
      </x:c>
      <x:c r="AR308" s="34" t="n">
        <x:v>3</x:v>
      </x:c>
      <x:c r="AS308" s="34" t="n">
        <x:v>3</x:v>
      </x:c>
      <x:c r="AT308" s="34" t="n">
        <x:v>0.459336608</x:v>
      </x:c>
      <x:c r="AU308" s="34" t="n">
        <x:v>0.65</x:v>
      </x:c>
      <x:c r="AV308" s="34" t="n">
        <x:v>2.02</x:v>
      </x:c>
    </x:row>
    <x:row r="309">
      <x:c r="A309" s="34" t="str">
        <x:v>POSCO_KR</x:v>
      </x:c>
      <x:c r="B309" s="34" t="str">
        <x:v>POSCO</x:v>
      </x:c>
      <x:c r="C309" s="34" t="str">
        <x:v>DISCLOSED_PATH</x:v>
      </x:c>
      <x:c r="D309" s="34" t="str">
        <x:v>P3</x:v>
      </x:c>
      <x:c r="E309" s="34" t="n">
        <x:v>2033</x:v>
      </x:c>
      <x:c r="F309" s="34" t="n">
        <x:v>3</x:v>
      </x:c>
      <x:c r="G309" s="34" t="n">
        <x:v>13.980599</x:v>
      </x:c>
      <x:c r="H309" s="34" t="n">
        <x:v>15.6</x:v>
      </x:c>
      <x:c r="I309" s="34" t="n">
        <x:v>1.619401</x:v>
      </x:c>
      <x:c r="J309" s="34" t="n">
        <x:v>89.619</x:v>
      </x:c>
      <x:c r="K309" s="34" t="n">
        <x:v>0</x:v>
      </x:c>
      <x:c r="L309" s="34" t="n">
        <x:v>1.1</x:v>
      </x:c>
      <x:c r="M309" s="34" t="n">
        <x:v>1.1</x:v>
      </x:c>
      <x:c r="N309" s="34" t="n">
        <x:v>0</x:v>
      </x:c>
      <x:c r="O309" s="34" t="n">
        <x:v>8.132039</x:v>
      </x:c>
      <x:c r="P309" s="34" t="n">
        <x:v>11.8</x:v>
      </x:c>
      <x:c r="Q309" s="34" t="n">
        <x:v>3.667961</x:v>
      </x:c>
      <x:c r="R309" s="34" t="n">
        <x:v>68.916</x:v>
      </x:c>
      <x:c r="S309" s="40" t="b">
        <x:v>1</x:v>
      </x:c>
      <x:c r="T309" s="34" t="str">
        <x:v>model_interpolation</x:v>
      </x:c>
      <x:c r="U309" s="34" t="str">
        <x:v>Linear interpolation from 2030 to 2035</x:v>
      </x:c>
      <x:c r="V309" s="34" t="str">
        <x:v>CAND-6339E6B83A8408</x:v>
      </x:c>
      <x:c r="W309" s="34" t="str">
        <x:v>P3</x:v>
      </x:c>
      <x:c r="X309" s="34" t="str">
        <x:v>PORT-8826D0B469EE</x:v>
      </x:c>
      <x:c r="Y309" s="34" t="n">
        <x:v>1000</x:v>
      </x:c>
      <x:c r="Z309" s="34" t="n">
        <x:v>63.190087</x:v>
      </x:c>
      <x:c r="AA309" s="34" t="n">
        <x:v>13.913035</x:v>
      </x:c>
      <x:c r="AB309" s="34" t="n">
        <x:v>429.154227</x:v>
      </x:c>
      <x:c r="AC309" s="34" t="n">
        <x:v>26569.752</x:v>
      </x:c>
      <x:c r="AD309" s="34" t="n">
        <x:v>61.911896</x:v>
      </x:c>
      <x:c r="AE309" s="40" t="b">
        <x:v>1</x:v>
      </x:c>
      <x:c r="AF309" s="40" t="b">
        <x:v>1</x:v>
      </x:c>
      <x:c r="AG309" s="34" t="str"/>
      <x:c r="AH309" s="34" t="n">
        <x:v>0</x:v>
      </x:c>
      <x:c r="AI309" s="34" t="str">
        <x:v>2.0275124185786808e-05</x:v>
      </x:c>
      <x:c r="AJ309" s="40" t="b">
        <x:v>1</x:v>
      </x:c>
      <x:c r="AK309" s="40" t="b">
        <x:v>1</x:v>
      </x:c>
      <x:c r="AL309" s="40" t="b">
        <x:v>1</x:v>
      </x:c>
      <x:c r="AM309" s="40" t="b">
        <x:v>1</x:v>
      </x:c>
      <x:c r="AN309" s="34" t="str"/>
      <x:c r="AO309" s="34" t="n">
        <x:v>0</x:v>
      </x:c>
      <x:c r="AP309" s="34" t="n">
        <x:v>0</x:v>
      </x:c>
      <x:c r="AQ309" s="34" t="n">
        <x:v>0</x:v>
      </x:c>
      <x:c r="AR309" s="34" t="n">
        <x:v>3</x:v>
      </x:c>
      <x:c r="AS309" s="34" t="n">
        <x:v>3</x:v>
      </x:c>
      <x:c r="AT309" s="34" t="n">
        <x:v>0.459336608</x:v>
      </x:c>
      <x:c r="AU309" s="34" t="n">
        <x:v>0.65</x:v>
      </x:c>
      <x:c r="AV309" s="34" t="n">
        <x:v>2.02</x:v>
      </x:c>
    </x:row>
    <x:row r="310">
      <x:c r="A310" s="34" t="str">
        <x:v>POSCO_KR</x:v>
      </x:c>
      <x:c r="B310" s="34" t="str">
        <x:v>POSCO</x:v>
      </x:c>
      <x:c r="C310" s="34" t="str">
        <x:v>DISCLOSED_PATH</x:v>
      </x:c>
      <x:c r="D310" s="34" t="str">
        <x:v>P3</x:v>
      </x:c>
      <x:c r="E310" s="34" t="n">
        <x:v>2034</x:v>
      </x:c>
      <x:c r="F310" s="34" t="n">
        <x:v>3</x:v>
      </x:c>
      <x:c r="G310" s="34" t="n">
        <x:v>13.980599</x:v>
      </x:c>
      <x:c r="H310" s="34" t="n">
        <x:v>16.8</x:v>
      </x:c>
      <x:c r="I310" s="34" t="n">
        <x:v>2.819401</x:v>
      </x:c>
      <x:c r="J310" s="34" t="n">
        <x:v>83.218</x:v>
      </x:c>
      <x:c r="K310" s="34" t="n">
        <x:v>0</x:v>
      </x:c>
      <x:c r="L310" s="34" t="n">
        <x:v>1.3</x:v>
      </x:c>
      <x:c r="M310" s="34" t="n">
        <x:v>1.3</x:v>
      </x:c>
      <x:c r="N310" s="34" t="n">
        <x:v>0</x:v>
      </x:c>
      <x:c r="O310" s="34" t="n">
        <x:v>8.132039</x:v>
      </x:c>
      <x:c r="P310" s="34" t="n">
        <x:v>13.4</x:v>
      </x:c>
      <x:c r="Q310" s="34" t="n">
        <x:v>5.267961</x:v>
      </x:c>
      <x:c r="R310" s="34" t="n">
        <x:v>60.687</x:v>
      </x:c>
      <x:c r="S310" s="40" t="b">
        <x:v>1</x:v>
      </x:c>
      <x:c r="T310" s="34" t="str">
        <x:v>model_interpolation</x:v>
      </x:c>
      <x:c r="U310" s="34" t="str">
        <x:v>Linear interpolation from 2030 to 2035</x:v>
      </x:c>
      <x:c r="V310" s="34" t="str">
        <x:v>CAND-6339E6B83A8408</x:v>
      </x:c>
      <x:c r="W310" s="34" t="str">
        <x:v>P3</x:v>
      </x:c>
      <x:c r="X310" s="34" t="str">
        <x:v>PORT-8826D0B469EE</x:v>
      </x:c>
      <x:c r="Y310" s="34" t="n">
        <x:v>1000</x:v>
      </x:c>
      <x:c r="Z310" s="34" t="n">
        <x:v>63.190087</x:v>
      </x:c>
      <x:c r="AA310" s="34" t="n">
        <x:v>13.913035</x:v>
      </x:c>
      <x:c r="AB310" s="34" t="n">
        <x:v>429.154227</x:v>
      </x:c>
      <x:c r="AC310" s="34" t="n">
        <x:v>26569.752</x:v>
      </x:c>
      <x:c r="AD310" s="34" t="n">
        <x:v>61.911896</x:v>
      </x:c>
      <x:c r="AE310" s="40" t="b">
        <x:v>1</x:v>
      </x:c>
      <x:c r="AF310" s="40" t="b">
        <x:v>1</x:v>
      </x:c>
      <x:c r="AG310" s="34" t="str"/>
      <x:c r="AH310" s="34" t="n">
        <x:v>0</x:v>
      </x:c>
      <x:c r="AI310" s="34" t="str">
        <x:v>2.0275124185786808e-05</x:v>
      </x:c>
      <x:c r="AJ310" s="40" t="b">
        <x:v>1</x:v>
      </x:c>
      <x:c r="AK310" s="40" t="b">
        <x:v>1</x:v>
      </x:c>
      <x:c r="AL310" s="40" t="b">
        <x:v>1</x:v>
      </x:c>
      <x:c r="AM310" s="40" t="b">
        <x:v>1</x:v>
      </x:c>
      <x:c r="AN310" s="34" t="str"/>
      <x:c r="AO310" s="34" t="n">
        <x:v>0</x:v>
      </x:c>
      <x:c r="AP310" s="34" t="n">
        <x:v>0</x:v>
      </x:c>
      <x:c r="AQ310" s="34" t="n">
        <x:v>0</x:v>
      </x:c>
      <x:c r="AR310" s="34" t="n">
        <x:v>3</x:v>
      </x:c>
      <x:c r="AS310" s="34" t="n">
        <x:v>3</x:v>
      </x:c>
      <x:c r="AT310" s="34" t="n">
        <x:v>0.459336608</x:v>
      </x:c>
      <x:c r="AU310" s="34" t="n">
        <x:v>0.65</x:v>
      </x:c>
      <x:c r="AV310" s="34" t="n">
        <x:v>2.02</x:v>
      </x:c>
    </x:row>
    <x:row r="311">
      <x:c r="A311" s="34" t="str">
        <x:v>POSCO_KR</x:v>
      </x:c>
      <x:c r="B311" s="34" t="str">
        <x:v>POSCO</x:v>
      </x:c>
      <x:c r="C311" s="34" t="str">
        <x:v>DISCLOSED_PATH</x:v>
      </x:c>
      <x:c r="D311" s="34" t="str">
        <x:v>P3</x:v>
      </x:c>
      <x:c r="E311" s="34" t="n">
        <x:v>2035</x:v>
      </x:c>
      <x:c r="F311" s="34" t="n">
        <x:v>4</x:v>
      </x:c>
      <x:c r="G311" s="34" t="n">
        <x:v>15.405598</x:v>
      </x:c>
      <x:c r="H311" s="34" t="n">
        <x:v>18</x:v>
      </x:c>
      <x:c r="I311" s="34" t="n">
        <x:v>2.594402</x:v>
      </x:c>
      <x:c r="J311" s="34" t="n">
        <x:v>85.587</x:v>
      </x:c>
      <x:c r="K311" s="34" t="n">
        <x:v>0.5225</x:v>
      </x:c>
      <x:c r="L311" s="34" t="n">
        <x:v>1.5</x:v>
      </x:c>
      <x:c r="M311" s="34" t="n">
        <x:v>0.9775</x:v>
      </x:c>
      <x:c r="N311" s="34" t="n">
        <x:v>34.833</x:v>
      </x:c>
      <x:c r="O311" s="34" t="n">
        <x:v>12.597039</x:v>
      </x:c>
      <x:c r="P311" s="34" t="n">
        <x:v>15</x:v>
      </x:c>
      <x:c r="Q311" s="34" t="n">
        <x:v>2.402961</x:v>
      </x:c>
      <x:c r="R311" s="34" t="n">
        <x:v>83.98</x:v>
      </x:c>
      <x:c r="S311" s="40" t="b">
        <x:v>1</x:v>
      </x:c>
      <x:c r="T311" s="34" t="str">
        <x:v>model_interpolation</x:v>
      </x:c>
      <x:c r="U311" s="34" t="str">
        <x:v>Linear interpolation from 2035 to 2040</x:v>
      </x:c>
      <x:c r="V311" s="34" t="str">
        <x:v>CAND-6339E6B83A8408</x:v>
      </x:c>
      <x:c r="W311" s="34" t="str">
        <x:v>P3</x:v>
      </x:c>
      <x:c r="X311" s="34" t="str">
        <x:v>PORT-8826D0B469EE</x:v>
      </x:c>
      <x:c r="Y311" s="34" t="n">
        <x:v>1000</x:v>
      </x:c>
      <x:c r="Z311" s="34" t="n">
        <x:v>63.190087</x:v>
      </x:c>
      <x:c r="AA311" s="34" t="n">
        <x:v>13.913035</x:v>
      </x:c>
      <x:c r="AB311" s="34" t="n">
        <x:v>429.154227</x:v>
      </x:c>
      <x:c r="AC311" s="34" t="n">
        <x:v>26569.752</x:v>
      </x:c>
      <x:c r="AD311" s="34" t="n">
        <x:v>61.911896</x:v>
      </x:c>
      <x:c r="AE311" s="40" t="b">
        <x:v>1</x:v>
      </x:c>
      <x:c r="AF311" s="40" t="b">
        <x:v>1</x:v>
      </x:c>
      <x:c r="AG311" s="34" t="str"/>
      <x:c r="AH311" s="34" t="n">
        <x:v>0</x:v>
      </x:c>
      <x:c r="AI311" s="34" t="str">
        <x:v>2.0275124185786808e-05</x:v>
      </x:c>
      <x:c r="AJ311" s="40" t="b">
        <x:v>1</x:v>
      </x:c>
      <x:c r="AK311" s="40" t="b">
        <x:v>1</x:v>
      </x:c>
      <x:c r="AL311" s="40" t="b">
        <x:v>1</x:v>
      </x:c>
      <x:c r="AM311" s="40" t="b">
        <x:v>1</x:v>
      </x:c>
      <x:c r="AN311" s="34" t="str"/>
      <x:c r="AO311" s="34" t="n">
        <x:v>0</x:v>
      </x:c>
      <x:c r="AP311" s="34" t="n">
        <x:v>0</x:v>
      </x:c>
      <x:c r="AQ311" s="34" t="n">
        <x:v>0</x:v>
      </x:c>
      <x:c r="AR311" s="34" t="n">
        <x:v>3</x:v>
      </x:c>
      <x:c r="AS311" s="34" t="n">
        <x:v>3</x:v>
      </x:c>
      <x:c r="AT311" s="34" t="n">
        <x:v>0.459336608</x:v>
      </x:c>
      <x:c r="AU311" s="34" t="n">
        <x:v>0.65</x:v>
      </x:c>
      <x:c r="AV311" s="34" t="n">
        <x:v>2.02</x:v>
      </x:c>
    </x:row>
    <x:row r="312">
      <x:c r="A312" s="34" t="str">
        <x:v>POSCO_KR</x:v>
      </x:c>
      <x:c r="B312" s="34" t="str">
        <x:v>POSCO</x:v>
      </x:c>
      <x:c r="C312" s="34" t="str">
        <x:v>DISCLOSED_PATH</x:v>
      </x:c>
      <x:c r="D312" s="34" t="str">
        <x:v>P3</x:v>
      </x:c>
      <x:c r="E312" s="34" t="n">
        <x:v>2036</x:v>
      </x:c>
      <x:c r="F312" s="34" t="n">
        <x:v>4</x:v>
      </x:c>
      <x:c r="G312" s="34" t="n">
        <x:v>15.405598</x:v>
      </x:c>
      <x:c r="H312" s="34" t="n">
        <x:v>19.4</x:v>
      </x:c>
      <x:c r="I312" s="34" t="n">
        <x:v>3.994402</x:v>
      </x:c>
      <x:c r="J312" s="34" t="n">
        <x:v>79.41</x:v>
      </x:c>
      <x:c r="K312" s="34" t="n">
        <x:v>0.5225</x:v>
      </x:c>
      <x:c r="L312" s="34" t="n">
        <x:v>1.8</x:v>
      </x:c>
      <x:c r="M312" s="34" t="n">
        <x:v>1.2775</x:v>
      </x:c>
      <x:c r="N312" s="34" t="n">
        <x:v>29.028</x:v>
      </x:c>
      <x:c r="O312" s="34" t="n">
        <x:v>12.597039</x:v>
      </x:c>
      <x:c r="P312" s="34" t="n">
        <x:v>17</x:v>
      </x:c>
      <x:c r="Q312" s="34" t="n">
        <x:v>4.402961</x:v>
      </x:c>
      <x:c r="R312" s="34" t="n">
        <x:v>74.1</x:v>
      </x:c>
      <x:c r="S312" s="40" t="b">
        <x:v>1</x:v>
      </x:c>
      <x:c r="T312" s="34" t="str">
        <x:v>model_interpolation</x:v>
      </x:c>
      <x:c r="U312" s="34" t="str">
        <x:v>Linear interpolation from 2035 to 2040</x:v>
      </x:c>
      <x:c r="V312" s="34" t="str">
        <x:v>CAND-6339E6B83A8408</x:v>
      </x:c>
      <x:c r="W312" s="34" t="str">
        <x:v>P3</x:v>
      </x:c>
      <x:c r="X312" s="34" t="str">
        <x:v>PORT-8826D0B469EE</x:v>
      </x:c>
      <x:c r="Y312" s="34" t="n">
        <x:v>1000</x:v>
      </x:c>
      <x:c r="Z312" s="34" t="n">
        <x:v>63.190087</x:v>
      </x:c>
      <x:c r="AA312" s="34" t="n">
        <x:v>13.913035</x:v>
      </x:c>
      <x:c r="AB312" s="34" t="n">
        <x:v>429.154227</x:v>
      </x:c>
      <x:c r="AC312" s="34" t="n">
        <x:v>26569.752</x:v>
      </x:c>
      <x:c r="AD312" s="34" t="n">
        <x:v>61.911896</x:v>
      </x:c>
      <x:c r="AE312" s="40" t="b">
        <x:v>1</x:v>
      </x:c>
      <x:c r="AF312" s="40" t="b">
        <x:v>1</x:v>
      </x:c>
      <x:c r="AG312" s="34" t="str"/>
      <x:c r="AH312" s="34" t="n">
        <x:v>0</x:v>
      </x:c>
      <x:c r="AI312" s="34" t="str">
        <x:v>2.0275124185786808e-05</x:v>
      </x:c>
      <x:c r="AJ312" s="40" t="b">
        <x:v>1</x:v>
      </x:c>
      <x:c r="AK312" s="40" t="b">
        <x:v>1</x:v>
      </x:c>
      <x:c r="AL312" s="40" t="b">
        <x:v>1</x:v>
      </x:c>
      <x:c r="AM312" s="40" t="b">
        <x:v>1</x:v>
      </x:c>
      <x:c r="AN312" s="34" t="str"/>
      <x:c r="AO312" s="34" t="n">
        <x:v>0</x:v>
      </x:c>
      <x:c r="AP312" s="34" t="n">
        <x:v>0</x:v>
      </x:c>
      <x:c r="AQ312" s="34" t="n">
        <x:v>0</x:v>
      </x:c>
      <x:c r="AR312" s="34" t="n">
        <x:v>3</x:v>
      </x:c>
      <x:c r="AS312" s="34" t="n">
        <x:v>3</x:v>
      </x:c>
      <x:c r="AT312" s="34" t="n">
        <x:v>0.459336608</x:v>
      </x:c>
      <x:c r="AU312" s="34" t="n">
        <x:v>0.65</x:v>
      </x:c>
      <x:c r="AV312" s="34" t="n">
        <x:v>2.02</x:v>
      </x:c>
    </x:row>
    <x:row r="313">
      <x:c r="A313" s="34" t="str">
        <x:v>POSCO_KR</x:v>
      </x:c>
      <x:c r="B313" s="34" t="str">
        <x:v>POSCO</x:v>
      </x:c>
      <x:c r="C313" s="34" t="str">
        <x:v>DISCLOSED_PATH</x:v>
      </x:c>
      <x:c r="D313" s="34" t="str">
        <x:v>P3</x:v>
      </x:c>
      <x:c r="E313" s="34" t="n">
        <x:v>2037</x:v>
      </x:c>
      <x:c r="F313" s="34" t="n">
        <x:v>5</x:v>
      </x:c>
      <x:c r="G313" s="34" t="n">
        <x:v>16.831048</x:v>
      </x:c>
      <x:c r="H313" s="34" t="n">
        <x:v>20.8</x:v>
      </x:c>
      <x:c r="I313" s="34" t="n">
        <x:v>3.968952</x:v>
      </x:c>
      <x:c r="J313" s="34" t="n">
        <x:v>80.918</x:v>
      </x:c>
      <x:c r="K313" s="34" t="n">
        <x:v>1.045165</x:v>
      </x:c>
      <x:c r="L313" s="34" t="n">
        <x:v>2.1</x:v>
      </x:c>
      <x:c r="M313" s="34" t="n">
        <x:v>1.054835</x:v>
      </x:c>
      <x:c r="N313" s="34" t="n">
        <x:v>49.77</x:v>
      </x:c>
      <x:c r="O313" s="34" t="n">
        <x:v>17.063447</x:v>
      </x:c>
      <x:c r="P313" s="34" t="n">
        <x:v>19</x:v>
      </x:c>
      <x:c r="Q313" s="34" t="n">
        <x:v>1.936553</x:v>
      </x:c>
      <x:c r="R313" s="34" t="n">
        <x:v>89.808</x:v>
      </x:c>
      <x:c r="S313" s="40" t="b">
        <x:v>1</x:v>
      </x:c>
      <x:c r="T313" s="34" t="str">
        <x:v>model_interpolation</x:v>
      </x:c>
      <x:c r="U313" s="34" t="str">
        <x:v>Linear interpolation from 2035 to 2040</x:v>
      </x:c>
      <x:c r="V313" s="34" t="str">
        <x:v>CAND-6339E6B83A8408</x:v>
      </x:c>
      <x:c r="W313" s="34" t="str">
        <x:v>P3</x:v>
      </x:c>
      <x:c r="X313" s="34" t="str">
        <x:v>PORT-8826D0B469EE</x:v>
      </x:c>
      <x:c r="Y313" s="34" t="n">
        <x:v>1000</x:v>
      </x:c>
      <x:c r="Z313" s="34" t="n">
        <x:v>63.190087</x:v>
      </x:c>
      <x:c r="AA313" s="34" t="n">
        <x:v>13.913035</x:v>
      </x:c>
      <x:c r="AB313" s="34" t="n">
        <x:v>429.154227</x:v>
      </x:c>
      <x:c r="AC313" s="34" t="n">
        <x:v>26569.752</x:v>
      </x:c>
      <x:c r="AD313" s="34" t="n">
        <x:v>61.911896</x:v>
      </x:c>
      <x:c r="AE313" s="40" t="b">
        <x:v>1</x:v>
      </x:c>
      <x:c r="AF313" s="40" t="b">
        <x:v>1</x:v>
      </x:c>
      <x:c r="AG313" s="34" t="str"/>
      <x:c r="AH313" s="34" t="n">
        <x:v>0</x:v>
      </x:c>
      <x:c r="AI313" s="34" t="str">
        <x:v>2.0275124185786808e-05</x:v>
      </x:c>
      <x:c r="AJ313" s="40" t="b">
        <x:v>1</x:v>
      </x:c>
      <x:c r="AK313" s="40" t="b">
        <x:v>1</x:v>
      </x:c>
      <x:c r="AL313" s="40" t="b">
        <x:v>1</x:v>
      </x:c>
      <x:c r="AM313" s="40" t="b">
        <x:v>1</x:v>
      </x:c>
      <x:c r="AN313" s="34" t="str"/>
      <x:c r="AO313" s="34" t="n">
        <x:v>0</x:v>
      </x:c>
      <x:c r="AP313" s="34" t="n">
        <x:v>0</x:v>
      </x:c>
      <x:c r="AQ313" s="34" t="n">
        <x:v>0</x:v>
      </x:c>
      <x:c r="AR313" s="34" t="n">
        <x:v>3</x:v>
      </x:c>
      <x:c r="AS313" s="34" t="n">
        <x:v>3</x:v>
      </x:c>
      <x:c r="AT313" s="34" t="n">
        <x:v>0.459336608</x:v>
      </x:c>
      <x:c r="AU313" s="34" t="n">
        <x:v>0.65</x:v>
      </x:c>
      <x:c r="AV313" s="34" t="n">
        <x:v>2.02</x:v>
      </x:c>
    </x:row>
    <x:row r="314">
      <x:c r="A314" s="34" t="str">
        <x:v>POSCO_KR</x:v>
      </x:c>
      <x:c r="B314" s="34" t="str">
        <x:v>POSCO</x:v>
      </x:c>
      <x:c r="C314" s="34" t="str">
        <x:v>DISCLOSED_PATH</x:v>
      </x:c>
      <x:c r="D314" s="34" t="str">
        <x:v>P3</x:v>
      </x:c>
      <x:c r="E314" s="34" t="n">
        <x:v>2038</x:v>
      </x:c>
      <x:c r="F314" s="34" t="n">
        <x:v>5</x:v>
      </x:c>
      <x:c r="G314" s="34" t="n">
        <x:v>16.831048</x:v>
      </x:c>
      <x:c r="H314" s="34" t="n">
        <x:v>22.2</x:v>
      </x:c>
      <x:c r="I314" s="34" t="n">
        <x:v>5.368952</x:v>
      </x:c>
      <x:c r="J314" s="34" t="n">
        <x:v>75.816</x:v>
      </x:c>
      <x:c r="K314" s="34" t="n">
        <x:v>1.045165</x:v>
      </x:c>
      <x:c r="L314" s="34" t="n">
        <x:v>2.4</x:v>
      </x:c>
      <x:c r="M314" s="34" t="n">
        <x:v>1.354835</x:v>
      </x:c>
      <x:c r="N314" s="34" t="n">
        <x:v>43.549</x:v>
      </x:c>
      <x:c r="O314" s="34" t="n">
        <x:v>17.063447</x:v>
      </x:c>
      <x:c r="P314" s="34" t="n">
        <x:v>21</x:v>
      </x:c>
      <x:c r="Q314" s="34" t="n">
        <x:v>3.936553</x:v>
      </x:c>
      <x:c r="R314" s="34" t="n">
        <x:v>81.255</x:v>
      </x:c>
      <x:c r="S314" s="40" t="b">
        <x:v>1</x:v>
      </x:c>
      <x:c r="T314" s="34" t="str">
        <x:v>model_interpolation</x:v>
      </x:c>
      <x:c r="U314" s="34" t="str">
        <x:v>Linear interpolation from 2035 to 2040</x:v>
      </x:c>
      <x:c r="V314" s="34" t="str">
        <x:v>CAND-6339E6B83A8408</x:v>
      </x:c>
      <x:c r="W314" s="34" t="str">
        <x:v>P3</x:v>
      </x:c>
      <x:c r="X314" s="34" t="str">
        <x:v>PORT-8826D0B469EE</x:v>
      </x:c>
      <x:c r="Y314" s="34" t="n">
        <x:v>1000</x:v>
      </x:c>
      <x:c r="Z314" s="34" t="n">
        <x:v>63.190087</x:v>
      </x:c>
      <x:c r="AA314" s="34" t="n">
        <x:v>13.913035</x:v>
      </x:c>
      <x:c r="AB314" s="34" t="n">
        <x:v>429.154227</x:v>
      </x:c>
      <x:c r="AC314" s="34" t="n">
        <x:v>26569.752</x:v>
      </x:c>
      <x:c r="AD314" s="34" t="n">
        <x:v>61.911896</x:v>
      </x:c>
      <x:c r="AE314" s="40" t="b">
        <x:v>1</x:v>
      </x:c>
      <x:c r="AF314" s="40" t="b">
        <x:v>1</x:v>
      </x:c>
      <x:c r="AG314" s="34" t="str"/>
      <x:c r="AH314" s="34" t="n">
        <x:v>0</x:v>
      </x:c>
      <x:c r="AI314" s="34" t="str">
        <x:v>2.0275124185786808e-05</x:v>
      </x:c>
      <x:c r="AJ314" s="40" t="b">
        <x:v>1</x:v>
      </x:c>
      <x:c r="AK314" s="40" t="b">
        <x:v>1</x:v>
      </x:c>
      <x:c r="AL314" s="40" t="b">
        <x:v>1</x:v>
      </x:c>
      <x:c r="AM314" s="40" t="b">
        <x:v>1</x:v>
      </x:c>
      <x:c r="AN314" s="34" t="str"/>
      <x:c r="AO314" s="34" t="n">
        <x:v>0</x:v>
      </x:c>
      <x:c r="AP314" s="34" t="n">
        <x:v>0</x:v>
      </x:c>
      <x:c r="AQ314" s="34" t="n">
        <x:v>0</x:v>
      </x:c>
      <x:c r="AR314" s="34" t="n">
        <x:v>3</x:v>
      </x:c>
      <x:c r="AS314" s="34" t="n">
        <x:v>3</x:v>
      </x:c>
      <x:c r="AT314" s="34" t="n">
        <x:v>0.459336608</x:v>
      </x:c>
      <x:c r="AU314" s="34" t="n">
        <x:v>0.65</x:v>
      </x:c>
      <x:c r="AV314" s="34" t="n">
        <x:v>2.02</x:v>
      </x:c>
    </x:row>
    <x:row r="315">
      <x:c r="A315" s="34" t="str">
        <x:v>POSCO_KR</x:v>
      </x:c>
      <x:c r="B315" s="34" t="str">
        <x:v>POSCO</x:v>
      </x:c>
      <x:c r="C315" s="34" t="str">
        <x:v>DISCLOSED_PATH</x:v>
      </x:c>
      <x:c r="D315" s="34" t="str">
        <x:v>P3</x:v>
      </x:c>
      <x:c r="E315" s="34" t="n">
        <x:v>2039</x:v>
      </x:c>
      <x:c r="F315" s="34" t="n">
        <x:v>5</x:v>
      </x:c>
      <x:c r="G315" s="34" t="n">
        <x:v>16.831048</x:v>
      </x:c>
      <x:c r="H315" s="34" t="n">
        <x:v>23.6</x:v>
      </x:c>
      <x:c r="I315" s="34" t="n">
        <x:v>6.768952</x:v>
      </x:c>
      <x:c r="J315" s="34" t="n">
        <x:v>71.318</x:v>
      </x:c>
      <x:c r="K315" s="34" t="n">
        <x:v>1.045165</x:v>
      </x:c>
      <x:c r="L315" s="34" t="n">
        <x:v>2.7</x:v>
      </x:c>
      <x:c r="M315" s="34" t="n">
        <x:v>1.654835</x:v>
      </x:c>
      <x:c r="N315" s="34" t="n">
        <x:v>38.71</x:v>
      </x:c>
      <x:c r="O315" s="34" t="n">
        <x:v>17.063447</x:v>
      </x:c>
      <x:c r="P315" s="34" t="n">
        <x:v>23</x:v>
      </x:c>
      <x:c r="Q315" s="34" t="n">
        <x:v>5.936553</x:v>
      </x:c>
      <x:c r="R315" s="34" t="n">
        <x:v>74.189</x:v>
      </x:c>
      <x:c r="S315" s="40" t="b">
        <x:v>1</x:v>
      </x:c>
      <x:c r="T315" s="34" t="str">
        <x:v>model_interpolation</x:v>
      </x:c>
      <x:c r="U315" s="34" t="str">
        <x:v>Linear interpolation from 2035 to 2040</x:v>
      </x:c>
      <x:c r="V315" s="34" t="str">
        <x:v>CAND-6339E6B83A8408</x:v>
      </x:c>
      <x:c r="W315" s="34" t="str">
        <x:v>P3</x:v>
      </x:c>
      <x:c r="X315" s="34" t="str">
        <x:v>PORT-8826D0B469EE</x:v>
      </x:c>
      <x:c r="Y315" s="34" t="n">
        <x:v>1000</x:v>
      </x:c>
      <x:c r="Z315" s="34" t="n">
        <x:v>63.190087</x:v>
      </x:c>
      <x:c r="AA315" s="34" t="n">
        <x:v>13.913035</x:v>
      </x:c>
      <x:c r="AB315" s="34" t="n">
        <x:v>429.154227</x:v>
      </x:c>
      <x:c r="AC315" s="34" t="n">
        <x:v>26569.752</x:v>
      </x:c>
      <x:c r="AD315" s="34" t="n">
        <x:v>61.911896</x:v>
      </x:c>
      <x:c r="AE315" s="40" t="b">
        <x:v>1</x:v>
      </x:c>
      <x:c r="AF315" s="40" t="b">
        <x:v>1</x:v>
      </x:c>
      <x:c r="AG315" s="34" t="str"/>
      <x:c r="AH315" s="34" t="n">
        <x:v>0</x:v>
      </x:c>
      <x:c r="AI315" s="34" t="str">
        <x:v>2.0275124185786808e-05</x:v>
      </x:c>
      <x:c r="AJ315" s="40" t="b">
        <x:v>1</x:v>
      </x:c>
      <x:c r="AK315" s="40" t="b">
        <x:v>1</x:v>
      </x:c>
      <x:c r="AL315" s="40" t="b">
        <x:v>1</x:v>
      </x:c>
      <x:c r="AM315" s="40" t="b">
        <x:v>1</x:v>
      </x:c>
      <x:c r="AN315" s="34" t="str"/>
      <x:c r="AO315" s="34" t="n">
        <x:v>0</x:v>
      </x:c>
      <x:c r="AP315" s="34" t="n">
        <x:v>0</x:v>
      </x:c>
      <x:c r="AQ315" s="34" t="n">
        <x:v>0</x:v>
      </x:c>
      <x:c r="AR315" s="34" t="n">
        <x:v>3</x:v>
      </x:c>
      <x:c r="AS315" s="34" t="n">
        <x:v>3</x:v>
      </x:c>
      <x:c r="AT315" s="34" t="n">
        <x:v>0.459336608</x:v>
      </x:c>
      <x:c r="AU315" s="34" t="n">
        <x:v>0.65</x:v>
      </x:c>
      <x:c r="AV315" s="34" t="n">
        <x:v>2.02</x:v>
      </x:c>
    </x:row>
    <x:row r="316">
      <x:c r="A316" s="34" t="str">
        <x:v>POSCO_KR</x:v>
      </x:c>
      <x:c r="B316" s="34" t="str">
        <x:v>POSCO</x:v>
      </x:c>
      <x:c r="C316" s="34" t="str">
        <x:v>DISCLOSED_PATH</x:v>
      </x:c>
      <x:c r="D316" s="34" t="str">
        <x:v>P3</x:v>
      </x:c>
      <x:c r="E316" s="34" t="n">
        <x:v>2040</x:v>
      </x:c>
      <x:c r="F316" s="34" t="n">
        <x:v>5</x:v>
      </x:c>
      <x:c r="G316" s="34" t="n">
        <x:v>16.831048</x:v>
      </x:c>
      <x:c r="H316" s="34" t="n">
        <x:v>25</x:v>
      </x:c>
      <x:c r="I316" s="34" t="n">
        <x:v>8.168952</x:v>
      </x:c>
      <x:c r="J316" s="34" t="n">
        <x:v>67.324</x:v>
      </x:c>
      <x:c r="K316" s="34" t="n">
        <x:v>1.045165</x:v>
      </x:c>
      <x:c r="L316" s="34" t="n">
        <x:v>3</x:v>
      </x:c>
      <x:c r="M316" s="34" t="n">
        <x:v>1.954835</x:v>
      </x:c>
      <x:c r="N316" s="34" t="n">
        <x:v>34.839</x:v>
      </x:c>
      <x:c r="O316" s="34" t="n">
        <x:v>17.063447</x:v>
      </x:c>
      <x:c r="P316" s="34" t="n">
        <x:v>25</x:v>
      </x:c>
      <x:c r="Q316" s="34" t="n">
        <x:v>7.936553</x:v>
      </x:c>
      <x:c r="R316" s="34" t="n">
        <x:v>68.254</x:v>
      </x:c>
      <x:c r="S316" s="40" t="b">
        <x:v>1</x:v>
      </x:c>
      <x:c r="T316" s="34" t="str">
        <x:v>model_estimate</x:v>
      </x:c>
      <x:c r="U316" s="34" t="str">
        <x:v>Illustrative screening envelope; not an official supply forecast</x:v>
      </x:c>
      <x:c r="V316" s="34" t="str">
        <x:v>CAND-6339E6B83A8408</x:v>
      </x:c>
      <x:c r="W316" s="34" t="str">
        <x:v>P3</x:v>
      </x:c>
      <x:c r="X316" s="34" t="str">
        <x:v>PORT-8826D0B469EE</x:v>
      </x:c>
      <x:c r="Y316" s="34" t="n">
        <x:v>1000</x:v>
      </x:c>
      <x:c r="Z316" s="34" t="n">
        <x:v>63.190087</x:v>
      </x:c>
      <x:c r="AA316" s="34" t="n">
        <x:v>13.913035</x:v>
      </x:c>
      <x:c r="AB316" s="34" t="n">
        <x:v>429.154227</x:v>
      </x:c>
      <x:c r="AC316" s="34" t="n">
        <x:v>26569.752</x:v>
      </x:c>
      <x:c r="AD316" s="34" t="n">
        <x:v>61.911896</x:v>
      </x:c>
      <x:c r="AE316" s="40" t="b">
        <x:v>1</x:v>
      </x:c>
      <x:c r="AF316" s="40" t="b">
        <x:v>1</x:v>
      </x:c>
      <x:c r="AG316" s="34" t="str"/>
      <x:c r="AH316" s="34" t="n">
        <x:v>0</x:v>
      </x:c>
      <x:c r="AI316" s="34" t="str">
        <x:v>2.0275124185786808e-05</x:v>
      </x:c>
      <x:c r="AJ316" s="40" t="b">
        <x:v>1</x:v>
      </x:c>
      <x:c r="AK316" s="40" t="b">
        <x:v>1</x:v>
      </x:c>
      <x:c r="AL316" s="40" t="b">
        <x:v>1</x:v>
      </x:c>
      <x:c r="AM316" s="40" t="b">
        <x:v>1</x:v>
      </x:c>
      <x:c r="AN316" s="34" t="str"/>
      <x:c r="AO316" s="34" t="n">
        <x:v>0</x:v>
      </x:c>
      <x:c r="AP316" s="34" t="n">
        <x:v>0</x:v>
      </x:c>
      <x:c r="AQ316" s="34" t="n">
        <x:v>0</x:v>
      </x:c>
      <x:c r="AR316" s="34" t="n">
        <x:v>3</x:v>
      </x:c>
      <x:c r="AS316" s="34" t="n">
        <x:v>3</x:v>
      </x:c>
      <x:c r="AT316" s="34" t="n">
        <x:v>0.459336608</x:v>
      </x:c>
      <x:c r="AU316" s="34" t="n">
        <x:v>0.65</x:v>
      </x:c>
      <x:c r="AV316" s="34" t="n">
        <x:v>2.02</x:v>
      </x:c>
    </x:row>
    <x:row r="317">
      <x:c r="A317" s="34" t="str">
        <x:v>POSCO_KR</x:v>
      </x:c>
      <x:c r="B317" s="34" t="str">
        <x:v>POSCO</x:v>
      </x:c>
      <x:c r="C317" s="34" t="str">
        <x:v>ACCELERATED_15C</x:v>
      </x:c>
      <x:c r="D317" s="34" t="str">
        <x:v>P3</x:v>
      </x:c>
      <x:c r="E317" s="34" t="n">
        <x:v>2026</x:v>
      </x:c>
      <x:c r="F317" s="34" t="n">
        <x:v>0</x:v>
      </x:c>
      <x:c r="G317" s="34" t="n">
        <x:v>0</x:v>
      </x:c>
      <x:c r="H317" s="34" t="n">
        <x:v>8</x:v>
      </x:c>
      <x:c r="I317" s="34" t="n">
        <x:v>8</x:v>
      </x:c>
      <x:c r="J317" s="34" t="n">
        <x:v>0</x:v>
      </x:c>
      <x:c r="K317" s="34" t="n">
        <x:v>0</x:v>
      </x:c>
      <x:c r="L317" s="34" t="n">
        <x:v>0.1</x:v>
      </x:c>
      <x:c r="M317" s="34" t="n">
        <x:v>0.1</x:v>
      </x:c>
      <x:c r="N317" s="34" t="n">
        <x:v>0</x:v>
      </x:c>
      <x:c r="O317" s="34" t="n">
        <x:v>0</x:v>
      </x:c>
      <x:c r="P317" s="34" t="n">
        <x:v>2</x:v>
      </x:c>
      <x:c r="Q317" s="34" t="n">
        <x:v>2</x:v>
      </x:c>
      <x:c r="R317" s="34" t="n">
        <x:v>0</x:v>
      </x:c>
      <x:c r="S317" s="40" t="b">
        <x:v>1</x:v>
      </x:c>
      <x:c r="T317" s="34" t="str">
        <x:v>model_interpolation</x:v>
      </x:c>
      <x:c r="U317" s="34" t="str">
        <x:v>Linear interpolation from 2026 to 2030</x:v>
      </x:c>
      <x:c r="V317" s="34" t="str">
        <x:v>CAND-6339E6B83A8408</x:v>
      </x:c>
      <x:c r="W317" s="34" t="str">
        <x:v>P3</x:v>
      </x:c>
      <x:c r="X317" s="34" t="str">
        <x:v>PORT-8826D0B469EE</x:v>
      </x:c>
      <x:c r="Y317" s="34" t="n">
        <x:v>1000</x:v>
      </x:c>
      <x:c r="Z317" s="34" t="n">
        <x:v>50.471707</x:v>
      </x:c>
      <x:c r="AA317" s="34" t="n">
        <x:v>14.689844</x:v>
      </x:c>
      <x:c r="AB317" s="34" t="n">
        <x:v>429.154227</x:v>
      </x:c>
      <x:c r="AC317" s="34" t="n">
        <x:v>21116.24</x:v>
      </x:c>
      <x:c r="AD317" s="34" t="n">
        <x:v>49.204315</x:v>
      </x:c>
      <x:c r="AE317" s="40" t="b">
        <x:v>1</x:v>
      </x:c>
      <x:c r="AF317" s="40" t="b">
        <x:v>1</x:v>
      </x:c>
      <x:c r="AG317" s="34" t="str"/>
      <x:c r="AH317" s="34" t="n">
        <x:v>0</x:v>
      </x:c>
      <x:c r="AI317" s="34" t="str">
        <x:v>2.0275124185786808e-05</x:v>
      </x:c>
      <x:c r="AJ317" s="40" t="b">
        <x:v>1</x:v>
      </x:c>
      <x:c r="AK317" s="40" t="b">
        <x:v>1</x:v>
      </x:c>
      <x:c r="AL317" s="40" t="b">
        <x:v>1</x:v>
      </x:c>
      <x:c r="AM317" s="40" t="b">
        <x:v>1</x:v>
      </x:c>
      <x:c r="AN317" s="34" t="str"/>
      <x:c r="AO317" s="34" t="n">
        <x:v>0</x:v>
      </x:c>
      <x:c r="AP317" s="34" t="n">
        <x:v>0</x:v>
      </x:c>
      <x:c r="AQ317" s="34" t="n">
        <x:v>0</x:v>
      </x:c>
      <x:c r="AR317" s="34" t="n">
        <x:v>3</x:v>
      </x:c>
      <x:c r="AS317" s="34" t="n">
        <x:v>3</x:v>
      </x:c>
      <x:c r="AT317" s="34" t="n">
        <x:v>0.459336608</x:v>
      </x:c>
      <x:c r="AU317" s="34" t="n">
        <x:v>0.65</x:v>
      </x:c>
      <x:c r="AV317" s="34" t="n">
        <x:v>2.02</x:v>
      </x:c>
    </x:row>
    <x:row r="318">
      <x:c r="A318" s="34" t="str">
        <x:v>POSCO_KR</x:v>
      </x:c>
      <x:c r="B318" s="34" t="str">
        <x:v>POSCO</x:v>
      </x:c>
      <x:c r="C318" s="34" t="str">
        <x:v>ACCELERATED_15C</x:v>
      </x:c>
      <x:c r="D318" s="34" t="str">
        <x:v>P3</x:v>
      </x:c>
      <x:c r="E318" s="34" t="n">
        <x:v>2027</x:v>
      </x:c>
      <x:c r="F318" s="34" t="n">
        <x:v>0</x:v>
      </x:c>
      <x:c r="G318" s="34" t="n">
        <x:v>0</x:v>
      </x:c>
      <x:c r="H318" s="34" t="n">
        <x:v>9.75</x:v>
      </x:c>
      <x:c r="I318" s="34" t="n">
        <x:v>9.75</x:v>
      </x:c>
      <x:c r="J318" s="34" t="n">
        <x:v>0</x:v>
      </x:c>
      <x:c r="K318" s="34" t="n">
        <x:v>0</x:v>
      </x:c>
      <x:c r="L318" s="34" t="n">
        <x:v>0.275</x:v>
      </x:c>
      <x:c r="M318" s="34" t="n">
        <x:v>0.275</x:v>
      </x:c>
      <x:c r="N318" s="34" t="n">
        <x:v>0</x:v>
      </x:c>
      <x:c r="O318" s="34" t="n">
        <x:v>0</x:v>
      </x:c>
      <x:c r="P318" s="34" t="n">
        <x:v>4</x:v>
      </x:c>
      <x:c r="Q318" s="34" t="n">
        <x:v>4</x:v>
      </x:c>
      <x:c r="R318" s="34" t="n">
        <x:v>0</x:v>
      </x:c>
      <x:c r="S318" s="40" t="b">
        <x:v>1</x:v>
      </x:c>
      <x:c r="T318" s="34" t="str">
        <x:v>model_interpolation</x:v>
      </x:c>
      <x:c r="U318" s="34" t="str">
        <x:v>Linear interpolation from 2026 to 2030</x:v>
      </x:c>
      <x:c r="V318" s="34" t="str">
        <x:v>CAND-6339E6B83A8408</x:v>
      </x:c>
      <x:c r="W318" s="34" t="str">
        <x:v>P3</x:v>
      </x:c>
      <x:c r="X318" s="34" t="str">
        <x:v>PORT-8826D0B469EE</x:v>
      </x:c>
      <x:c r="Y318" s="34" t="n">
        <x:v>1000</x:v>
      </x:c>
      <x:c r="Z318" s="34" t="n">
        <x:v>50.471707</x:v>
      </x:c>
      <x:c r="AA318" s="34" t="n">
        <x:v>14.689844</x:v>
      </x:c>
      <x:c r="AB318" s="34" t="n">
        <x:v>429.154227</x:v>
      </x:c>
      <x:c r="AC318" s="34" t="n">
        <x:v>21116.24</x:v>
      </x:c>
      <x:c r="AD318" s="34" t="n">
        <x:v>49.204315</x:v>
      </x:c>
      <x:c r="AE318" s="40" t="b">
        <x:v>1</x:v>
      </x:c>
      <x:c r="AF318" s="40" t="b">
        <x:v>1</x:v>
      </x:c>
      <x:c r="AG318" s="34" t="str"/>
      <x:c r="AH318" s="34" t="n">
        <x:v>0</x:v>
      </x:c>
      <x:c r="AI318" s="34" t="str">
        <x:v>2.0275124185786808e-05</x:v>
      </x:c>
      <x:c r="AJ318" s="40" t="b">
        <x:v>1</x:v>
      </x:c>
      <x:c r="AK318" s="40" t="b">
        <x:v>1</x:v>
      </x:c>
      <x:c r="AL318" s="40" t="b">
        <x:v>1</x:v>
      </x:c>
      <x:c r="AM318" s="40" t="b">
        <x:v>1</x:v>
      </x:c>
      <x:c r="AN318" s="34" t="str"/>
      <x:c r="AO318" s="34" t="n">
        <x:v>0</x:v>
      </x:c>
      <x:c r="AP318" s="34" t="n">
        <x:v>0</x:v>
      </x:c>
      <x:c r="AQ318" s="34" t="n">
        <x:v>0</x:v>
      </x:c>
      <x:c r="AR318" s="34" t="n">
        <x:v>3</x:v>
      </x:c>
      <x:c r="AS318" s="34" t="n">
        <x:v>3</x:v>
      </x:c>
      <x:c r="AT318" s="34" t="n">
        <x:v>0.459336608</x:v>
      </x:c>
      <x:c r="AU318" s="34" t="n">
        <x:v>0.65</x:v>
      </x:c>
      <x:c r="AV318" s="34" t="n">
        <x:v>2.02</x:v>
      </x:c>
    </x:row>
    <x:row r="319">
      <x:c r="A319" s="34" t="str">
        <x:v>POSCO_KR</x:v>
      </x:c>
      <x:c r="B319" s="34" t="str">
        <x:v>POSCO</x:v>
      </x:c>
      <x:c r="C319" s="34" t="str">
        <x:v>ACCELERATED_15C</x:v>
      </x:c>
      <x:c r="D319" s="34" t="str">
        <x:v>P3</x:v>
      </x:c>
      <x:c r="E319" s="34" t="n">
        <x:v>2028</x:v>
      </x:c>
      <x:c r="F319" s="34" t="n">
        <x:v>0</x:v>
      </x:c>
      <x:c r="G319" s="34" t="n">
        <x:v>0</x:v>
      </x:c>
      <x:c r="H319" s="34" t="n">
        <x:v>11.5</x:v>
      </x:c>
      <x:c r="I319" s="34" t="n">
        <x:v>11.5</x:v>
      </x:c>
      <x:c r="J319" s="34" t="n">
        <x:v>0</x:v>
      </x:c>
      <x:c r="K319" s="34" t="n">
        <x:v>0</x:v>
      </x:c>
      <x:c r="L319" s="34" t="n">
        <x:v>0.45000000000000007</x:v>
      </x:c>
      <x:c r="M319" s="34" t="n">
        <x:v>0.45</x:v>
      </x:c>
      <x:c r="N319" s="34" t="n">
        <x:v>0</x:v>
      </x:c>
      <x:c r="O319" s="34" t="n">
        <x:v>0</x:v>
      </x:c>
      <x:c r="P319" s="34" t="n">
        <x:v>6</x:v>
      </x:c>
      <x:c r="Q319" s="34" t="n">
        <x:v>6</x:v>
      </x:c>
      <x:c r="R319" s="34" t="n">
        <x:v>0</x:v>
      </x:c>
      <x:c r="S319" s="40" t="b">
        <x:v>1</x:v>
      </x:c>
      <x:c r="T319" s="34" t="str">
        <x:v>model_interpolation</x:v>
      </x:c>
      <x:c r="U319" s="34" t="str">
        <x:v>Linear interpolation from 2026 to 2030</x:v>
      </x:c>
      <x:c r="V319" s="34" t="str">
        <x:v>CAND-6339E6B83A8408</x:v>
      </x:c>
      <x:c r="W319" s="34" t="str">
        <x:v>P3</x:v>
      </x:c>
      <x:c r="X319" s="34" t="str">
        <x:v>PORT-8826D0B469EE</x:v>
      </x:c>
      <x:c r="Y319" s="34" t="n">
        <x:v>1000</x:v>
      </x:c>
      <x:c r="Z319" s="34" t="n">
        <x:v>50.471707</x:v>
      </x:c>
      <x:c r="AA319" s="34" t="n">
        <x:v>14.689844</x:v>
      </x:c>
      <x:c r="AB319" s="34" t="n">
        <x:v>429.154227</x:v>
      </x:c>
      <x:c r="AC319" s="34" t="n">
        <x:v>21116.24</x:v>
      </x:c>
      <x:c r="AD319" s="34" t="n">
        <x:v>49.204315</x:v>
      </x:c>
      <x:c r="AE319" s="40" t="b">
        <x:v>1</x:v>
      </x:c>
      <x:c r="AF319" s="40" t="b">
        <x:v>1</x:v>
      </x:c>
      <x:c r="AG319" s="34" t="str"/>
      <x:c r="AH319" s="34" t="n">
        <x:v>0</x:v>
      </x:c>
      <x:c r="AI319" s="34" t="str">
        <x:v>2.0275124185786808e-05</x:v>
      </x:c>
      <x:c r="AJ319" s="40" t="b">
        <x:v>1</x:v>
      </x:c>
      <x:c r="AK319" s="40" t="b">
        <x:v>1</x:v>
      </x:c>
      <x:c r="AL319" s="40" t="b">
        <x:v>1</x:v>
      </x:c>
      <x:c r="AM319" s="40" t="b">
        <x:v>1</x:v>
      </x:c>
      <x:c r="AN319" s="34" t="str"/>
      <x:c r="AO319" s="34" t="n">
        <x:v>0</x:v>
      </x:c>
      <x:c r="AP319" s="34" t="n">
        <x:v>0</x:v>
      </x:c>
      <x:c r="AQ319" s="34" t="n">
        <x:v>0</x:v>
      </x:c>
      <x:c r="AR319" s="34" t="n">
        <x:v>3</x:v>
      </x:c>
      <x:c r="AS319" s="34" t="n">
        <x:v>3</x:v>
      </x:c>
      <x:c r="AT319" s="34" t="n">
        <x:v>0.459336608</x:v>
      </x:c>
      <x:c r="AU319" s="34" t="n">
        <x:v>0.65</x:v>
      </x:c>
      <x:c r="AV319" s="34" t="n">
        <x:v>2.02</x:v>
      </x:c>
    </x:row>
    <x:row r="320">
      <x:c r="A320" s="34" t="str">
        <x:v>POSCO_KR</x:v>
      </x:c>
      <x:c r="B320" s="34" t="str">
        <x:v>POSCO</x:v>
      </x:c>
      <x:c r="C320" s="34" t="str">
        <x:v>ACCELERATED_15C</x:v>
      </x:c>
      <x:c r="D320" s="34" t="str">
        <x:v>P3</x:v>
      </x:c>
      <x:c r="E320" s="34" t="n">
        <x:v>2029</x:v>
      </x:c>
      <x:c r="F320" s="34" t="n">
        <x:v>1</x:v>
      </x:c>
      <x:c r="G320" s="34" t="n">
        <x:v>6.839998</x:v>
      </x:c>
      <x:c r="H320" s="34" t="n">
        <x:v>13.25</x:v>
      </x:c>
      <x:c r="I320" s="34" t="n">
        <x:v>6.410002</x:v>
      </x:c>
      <x:c r="J320" s="34" t="n">
        <x:v>51.623</x:v>
      </x:c>
      <x:c r="K320" s="34" t="n">
        <x:v>0</x:v>
      </x:c>
      <x:c r="L320" s="34" t="n">
        <x:v>0.625</x:v>
      </x:c>
      <x:c r="M320" s="34" t="n">
        <x:v>0.625</x:v>
      </x:c>
      <x:c r="N320" s="34" t="n">
        <x:v>0</x:v>
      </x:c>
      <x:c r="O320" s="34" t="n">
        <x:v>4.255999</x:v>
      </x:c>
      <x:c r="P320" s="34" t="n">
        <x:v>8</x:v>
      </x:c>
      <x:c r="Q320" s="34" t="n">
        <x:v>3.744001</x:v>
      </x:c>
      <x:c r="R320" s="34" t="n">
        <x:v>53.2</x:v>
      </x:c>
      <x:c r="S320" s="40" t="b">
        <x:v>1</x:v>
      </x:c>
      <x:c r="T320" s="34" t="str">
        <x:v>model_interpolation</x:v>
      </x:c>
      <x:c r="U320" s="34" t="str">
        <x:v>Linear interpolation from 2026 to 2030</x:v>
      </x:c>
      <x:c r="V320" s="34" t="str">
        <x:v>CAND-6339E6B83A8408</x:v>
      </x:c>
      <x:c r="W320" s="34" t="str">
        <x:v>P3</x:v>
      </x:c>
      <x:c r="X320" s="34" t="str">
        <x:v>PORT-8826D0B469EE</x:v>
      </x:c>
      <x:c r="Y320" s="34" t="n">
        <x:v>1000</x:v>
      </x:c>
      <x:c r="Z320" s="34" t="n">
        <x:v>50.471707</x:v>
      </x:c>
      <x:c r="AA320" s="34" t="n">
        <x:v>14.689844</x:v>
      </x:c>
      <x:c r="AB320" s="34" t="n">
        <x:v>429.154227</x:v>
      </x:c>
      <x:c r="AC320" s="34" t="n">
        <x:v>21116.24</x:v>
      </x:c>
      <x:c r="AD320" s="34" t="n">
        <x:v>49.204315</x:v>
      </x:c>
      <x:c r="AE320" s="40" t="b">
        <x:v>1</x:v>
      </x:c>
      <x:c r="AF320" s="40" t="b">
        <x:v>1</x:v>
      </x:c>
      <x:c r="AG320" s="34" t="str"/>
      <x:c r="AH320" s="34" t="n">
        <x:v>0</x:v>
      </x:c>
      <x:c r="AI320" s="34" t="str">
        <x:v>2.0275124185786808e-05</x:v>
      </x:c>
      <x:c r="AJ320" s="40" t="b">
        <x:v>1</x:v>
      </x:c>
      <x:c r="AK320" s="40" t="b">
        <x:v>1</x:v>
      </x:c>
      <x:c r="AL320" s="40" t="b">
        <x:v>1</x:v>
      </x:c>
      <x:c r="AM320" s="40" t="b">
        <x:v>1</x:v>
      </x:c>
      <x:c r="AN320" s="34" t="str"/>
      <x:c r="AO320" s="34" t="n">
        <x:v>0</x:v>
      </x:c>
      <x:c r="AP320" s="34" t="n">
        <x:v>0</x:v>
      </x:c>
      <x:c r="AQ320" s="34" t="n">
        <x:v>0</x:v>
      </x:c>
      <x:c r="AR320" s="34" t="n">
        <x:v>3</x:v>
      </x:c>
      <x:c r="AS320" s="34" t="n">
        <x:v>3</x:v>
      </x:c>
      <x:c r="AT320" s="34" t="n">
        <x:v>0.459336608</x:v>
      </x:c>
      <x:c r="AU320" s="34" t="n">
        <x:v>0.65</x:v>
      </x:c>
      <x:c r="AV320" s="34" t="n">
        <x:v>2.02</x:v>
      </x:c>
    </x:row>
    <x:row r="321">
      <x:c r="A321" s="34" t="str">
        <x:v>POSCO_KR</x:v>
      </x:c>
      <x:c r="B321" s="34" t="str">
        <x:v>POSCO</x:v>
      </x:c>
      <x:c r="C321" s="34" t="str">
        <x:v>ACCELERATED_15C</x:v>
      </x:c>
      <x:c r="D321" s="34" t="str">
        <x:v>P3</x:v>
      </x:c>
      <x:c r="E321" s="34" t="n">
        <x:v>2030</x:v>
      </x:c>
      <x:c r="F321" s="34" t="n">
        <x:v>1</x:v>
      </x:c>
      <x:c r="G321" s="34" t="n">
        <x:v>6.839998</x:v>
      </x:c>
      <x:c r="H321" s="34" t="n">
        <x:v>15</x:v>
      </x:c>
      <x:c r="I321" s="34" t="n">
        <x:v>8.160002</x:v>
      </x:c>
      <x:c r="J321" s="34" t="n">
        <x:v>45.6</x:v>
      </x:c>
      <x:c r="K321" s="34" t="n">
        <x:v>0</x:v>
      </x:c>
      <x:c r="L321" s="34" t="n">
        <x:v>0.8</x:v>
      </x:c>
      <x:c r="M321" s="34" t="n">
        <x:v>0.8</x:v>
      </x:c>
      <x:c r="N321" s="34" t="n">
        <x:v>0</x:v>
      </x:c>
      <x:c r="O321" s="34" t="n">
        <x:v>4.255999</x:v>
      </x:c>
      <x:c r="P321" s="34" t="n">
        <x:v>10</x:v>
      </x:c>
      <x:c r="Q321" s="34" t="n">
        <x:v>5.744001</x:v>
      </x:c>
      <x:c r="R321" s="34" t="n">
        <x:v>42.56</x:v>
      </x:c>
      <x:c r="S321" s="40" t="b">
        <x:v>1</x:v>
      </x:c>
      <x:c r="T321" s="34" t="str">
        <x:v>model_interpolation</x:v>
      </x:c>
      <x:c r="U321" s="34" t="str">
        <x:v>Linear interpolation from 2030 to 2035</x:v>
      </x:c>
      <x:c r="V321" s="34" t="str">
        <x:v>CAND-6339E6B83A8408</x:v>
      </x:c>
      <x:c r="W321" s="34" t="str">
        <x:v>P3</x:v>
      </x:c>
      <x:c r="X321" s="34" t="str">
        <x:v>PORT-8826D0B469EE</x:v>
      </x:c>
      <x:c r="Y321" s="34" t="n">
        <x:v>1000</x:v>
      </x:c>
      <x:c r="Z321" s="34" t="n">
        <x:v>50.471707</x:v>
      </x:c>
      <x:c r="AA321" s="34" t="n">
        <x:v>14.689844</x:v>
      </x:c>
      <x:c r="AB321" s="34" t="n">
        <x:v>429.154227</x:v>
      </x:c>
      <x:c r="AC321" s="34" t="n">
        <x:v>21116.24</x:v>
      </x:c>
      <x:c r="AD321" s="34" t="n">
        <x:v>49.204315</x:v>
      </x:c>
      <x:c r="AE321" s="40" t="b">
        <x:v>1</x:v>
      </x:c>
      <x:c r="AF321" s="40" t="b">
        <x:v>1</x:v>
      </x:c>
      <x:c r="AG321" s="34" t="str"/>
      <x:c r="AH321" s="34" t="n">
        <x:v>0</x:v>
      </x:c>
      <x:c r="AI321" s="34" t="str">
        <x:v>2.0275124185786808e-05</x:v>
      </x:c>
      <x:c r="AJ321" s="40" t="b">
        <x:v>1</x:v>
      </x:c>
      <x:c r="AK321" s="40" t="b">
        <x:v>1</x:v>
      </x:c>
      <x:c r="AL321" s="40" t="b">
        <x:v>1</x:v>
      </x:c>
      <x:c r="AM321" s="40" t="b">
        <x:v>1</x:v>
      </x:c>
      <x:c r="AN321" s="34" t="str"/>
      <x:c r="AO321" s="34" t="n">
        <x:v>0</x:v>
      </x:c>
      <x:c r="AP321" s="34" t="n">
        <x:v>0</x:v>
      </x:c>
      <x:c r="AQ321" s="34" t="n">
        <x:v>0</x:v>
      </x:c>
      <x:c r="AR321" s="34" t="n">
        <x:v>3</x:v>
      </x:c>
      <x:c r="AS321" s="34" t="n">
        <x:v>3</x:v>
      </x:c>
      <x:c r="AT321" s="34" t="n">
        <x:v>0.459336608</x:v>
      </x:c>
      <x:c r="AU321" s="34" t="n">
        <x:v>0.65</x:v>
      </x:c>
      <x:c r="AV321" s="34" t="n">
        <x:v>2.02</x:v>
      </x:c>
    </x:row>
    <x:row r="322">
      <x:c r="A322" s="34" t="str">
        <x:v>POSCO_KR</x:v>
      </x:c>
      <x:c r="B322" s="34" t="str">
        <x:v>POSCO</x:v>
      </x:c>
      <x:c r="C322" s="34" t="str">
        <x:v>ACCELERATED_15C</x:v>
      </x:c>
      <x:c r="D322" s="34" t="str">
        <x:v>P3</x:v>
      </x:c>
      <x:c r="E322" s="34" t="n">
        <x:v>2031</x:v>
      </x:c>
      <x:c r="F322" s="34" t="n">
        <x:v>1</x:v>
      </x:c>
      <x:c r="G322" s="34" t="n">
        <x:v>6.839998</x:v>
      </x:c>
      <x:c r="H322" s="34" t="n">
        <x:v>16.6</x:v>
      </x:c>
      <x:c r="I322" s="34" t="n">
        <x:v>9.760002</x:v>
      </x:c>
      <x:c r="J322" s="34" t="n">
        <x:v>41.205</x:v>
      </x:c>
      <x:c r="K322" s="34" t="n">
        <x:v>0</x:v>
      </x:c>
      <x:c r="L322" s="34" t="n">
        <x:v>1.08</x:v>
      </x:c>
      <x:c r="M322" s="34" t="n">
        <x:v>1.08</x:v>
      </x:c>
      <x:c r="N322" s="34" t="n">
        <x:v>0</x:v>
      </x:c>
      <x:c r="O322" s="34" t="n">
        <x:v>4.255999</x:v>
      </x:c>
      <x:c r="P322" s="34" t="n">
        <x:v>12</x:v>
      </x:c>
      <x:c r="Q322" s="34" t="n">
        <x:v>7.744001</x:v>
      </x:c>
      <x:c r="R322" s="34" t="n">
        <x:v>35.467</x:v>
      </x:c>
      <x:c r="S322" s="40" t="b">
        <x:v>1</x:v>
      </x:c>
      <x:c r="T322" s="34" t="str">
        <x:v>model_interpolation</x:v>
      </x:c>
      <x:c r="U322" s="34" t="str">
        <x:v>Linear interpolation from 2030 to 2035</x:v>
      </x:c>
      <x:c r="V322" s="34" t="str">
        <x:v>CAND-6339E6B83A8408</x:v>
      </x:c>
      <x:c r="W322" s="34" t="str">
        <x:v>P3</x:v>
      </x:c>
      <x:c r="X322" s="34" t="str">
        <x:v>PORT-8826D0B469EE</x:v>
      </x:c>
      <x:c r="Y322" s="34" t="n">
        <x:v>1000</x:v>
      </x:c>
      <x:c r="Z322" s="34" t="n">
        <x:v>50.471707</x:v>
      </x:c>
      <x:c r="AA322" s="34" t="n">
        <x:v>14.689844</x:v>
      </x:c>
      <x:c r="AB322" s="34" t="n">
        <x:v>429.154227</x:v>
      </x:c>
      <x:c r="AC322" s="34" t="n">
        <x:v>21116.24</x:v>
      </x:c>
      <x:c r="AD322" s="34" t="n">
        <x:v>49.204315</x:v>
      </x:c>
      <x:c r="AE322" s="40" t="b">
        <x:v>1</x:v>
      </x:c>
      <x:c r="AF322" s="40" t="b">
        <x:v>1</x:v>
      </x:c>
      <x:c r="AG322" s="34" t="str"/>
      <x:c r="AH322" s="34" t="n">
        <x:v>0</x:v>
      </x:c>
      <x:c r="AI322" s="34" t="str">
        <x:v>2.0275124185786808e-05</x:v>
      </x:c>
      <x:c r="AJ322" s="40" t="b">
        <x:v>1</x:v>
      </x:c>
      <x:c r="AK322" s="40" t="b">
        <x:v>1</x:v>
      </x:c>
      <x:c r="AL322" s="40" t="b">
        <x:v>1</x:v>
      </x:c>
      <x:c r="AM322" s="40" t="b">
        <x:v>1</x:v>
      </x:c>
      <x:c r="AN322" s="34" t="str"/>
      <x:c r="AO322" s="34" t="n">
        <x:v>0</x:v>
      </x:c>
      <x:c r="AP322" s="34" t="n">
        <x:v>0</x:v>
      </x:c>
      <x:c r="AQ322" s="34" t="n">
        <x:v>0</x:v>
      </x:c>
      <x:c r="AR322" s="34" t="n">
        <x:v>3</x:v>
      </x:c>
      <x:c r="AS322" s="34" t="n">
        <x:v>3</x:v>
      </x:c>
      <x:c r="AT322" s="34" t="n">
        <x:v>0.459336608</x:v>
      </x:c>
      <x:c r="AU322" s="34" t="n">
        <x:v>0.65</x:v>
      </x:c>
      <x:c r="AV322" s="34" t="n">
        <x:v>2.02</x:v>
      </x:c>
    </x:row>
    <x:row r="323">
      <x:c r="A323" s="34" t="str">
        <x:v>POSCO_KR</x:v>
      </x:c>
      <x:c r="B323" s="34" t="str">
        <x:v>POSCO</x:v>
      </x:c>
      <x:c r="C323" s="34" t="str">
        <x:v>ACCELERATED_15C</x:v>
      </x:c>
      <x:c r="D323" s="34" t="str">
        <x:v>P3</x:v>
      </x:c>
      <x:c r="E323" s="34" t="n">
        <x:v>2032</x:v>
      </x:c>
      <x:c r="F323" s="34" t="n">
        <x:v>2</x:v>
      </x:c>
      <x:c r="G323" s="34" t="n">
        <x:v>12.959999</x:v>
      </x:c>
      <x:c r="H323" s="34" t="n">
        <x:v>18.2</x:v>
      </x:c>
      <x:c r="I323" s="34" t="n">
        <x:v>5.240001</x:v>
      </x:c>
      <x:c r="J323" s="34" t="n">
        <x:v>71.209</x:v>
      </x:c>
      <x:c r="K323" s="34" t="n">
        <x:v>0</x:v>
      </x:c>
      <x:c r="L323" s="34" t="n">
        <x:v>1.36</x:v>
      </x:c>
      <x:c r="M323" s="34" t="n">
        <x:v>1.36</x:v>
      </x:c>
      <x:c r="N323" s="34" t="n">
        <x:v>0</x:v>
      </x:c>
      <x:c r="O323" s="34" t="n">
        <x:v>8.063999</x:v>
      </x:c>
      <x:c r="P323" s="34" t="n">
        <x:v>14</x:v>
      </x:c>
      <x:c r="Q323" s="34" t="n">
        <x:v>5.936001</x:v>
      </x:c>
      <x:c r="R323" s="34" t="n">
        <x:v>57.6</x:v>
      </x:c>
      <x:c r="S323" s="40" t="b">
        <x:v>1</x:v>
      </x:c>
      <x:c r="T323" s="34" t="str">
        <x:v>model_interpolation</x:v>
      </x:c>
      <x:c r="U323" s="34" t="str">
        <x:v>Linear interpolation from 2030 to 2035</x:v>
      </x:c>
      <x:c r="V323" s="34" t="str">
        <x:v>CAND-6339E6B83A8408</x:v>
      </x:c>
      <x:c r="W323" s="34" t="str">
        <x:v>P3</x:v>
      </x:c>
      <x:c r="X323" s="34" t="str">
        <x:v>PORT-8826D0B469EE</x:v>
      </x:c>
      <x:c r="Y323" s="34" t="n">
        <x:v>1000</x:v>
      </x:c>
      <x:c r="Z323" s="34" t="n">
        <x:v>50.471707</x:v>
      </x:c>
      <x:c r="AA323" s="34" t="n">
        <x:v>14.689844</x:v>
      </x:c>
      <x:c r="AB323" s="34" t="n">
        <x:v>429.154227</x:v>
      </x:c>
      <x:c r="AC323" s="34" t="n">
        <x:v>21116.24</x:v>
      </x:c>
      <x:c r="AD323" s="34" t="n">
        <x:v>49.204315</x:v>
      </x:c>
      <x:c r="AE323" s="40" t="b">
        <x:v>1</x:v>
      </x:c>
      <x:c r="AF323" s="40" t="b">
        <x:v>1</x:v>
      </x:c>
      <x:c r="AG323" s="34" t="str"/>
      <x:c r="AH323" s="34" t="n">
        <x:v>0</x:v>
      </x:c>
      <x:c r="AI323" s="34" t="str">
        <x:v>2.0275124185786808e-05</x:v>
      </x:c>
      <x:c r="AJ323" s="40" t="b">
        <x:v>1</x:v>
      </x:c>
      <x:c r="AK323" s="40" t="b">
        <x:v>1</x:v>
      </x:c>
      <x:c r="AL323" s="40" t="b">
        <x:v>1</x:v>
      </x:c>
      <x:c r="AM323" s="40" t="b">
        <x:v>1</x:v>
      </x:c>
      <x:c r="AN323" s="34" t="str"/>
      <x:c r="AO323" s="34" t="n">
        <x:v>0</x:v>
      </x:c>
      <x:c r="AP323" s="34" t="n">
        <x:v>0</x:v>
      </x:c>
      <x:c r="AQ323" s="34" t="n">
        <x:v>0</x:v>
      </x:c>
      <x:c r="AR323" s="34" t="n">
        <x:v>3</x:v>
      </x:c>
      <x:c r="AS323" s="34" t="n">
        <x:v>3</x:v>
      </x:c>
      <x:c r="AT323" s="34" t="n">
        <x:v>0.459336608</x:v>
      </x:c>
      <x:c r="AU323" s="34" t="n">
        <x:v>0.65</x:v>
      </x:c>
      <x:c r="AV323" s="34" t="n">
        <x:v>2.02</x:v>
      </x:c>
    </x:row>
    <x:row r="324">
      <x:c r="A324" s="34" t="str">
        <x:v>POSCO_KR</x:v>
      </x:c>
      <x:c r="B324" s="34" t="str">
        <x:v>POSCO</x:v>
      </x:c>
      <x:c r="C324" s="34" t="str">
        <x:v>ACCELERATED_15C</x:v>
      </x:c>
      <x:c r="D324" s="34" t="str">
        <x:v>P3</x:v>
      </x:c>
      <x:c r="E324" s="34" t="n">
        <x:v>2033</x:v>
      </x:c>
      <x:c r="F324" s="34" t="n">
        <x:v>3</x:v>
      </x:c>
      <x:c r="G324" s="34" t="n">
        <x:v>13.980599</x:v>
      </x:c>
      <x:c r="H324" s="34" t="n">
        <x:v>19.8</x:v>
      </x:c>
      <x:c r="I324" s="34" t="n">
        <x:v>5.819401</x:v>
      </x:c>
      <x:c r="J324" s="34" t="n">
        <x:v>70.609</x:v>
      </x:c>
      <x:c r="K324" s="34" t="n">
        <x:v>0</x:v>
      </x:c>
      <x:c r="L324" s="34" t="n">
        <x:v>1.6400000000000001</x:v>
      </x:c>
      <x:c r="M324" s="34" t="n">
        <x:v>1.64</x:v>
      </x:c>
      <x:c r="N324" s="34" t="n">
        <x:v>0</x:v>
      </x:c>
      <x:c r="O324" s="34" t="n">
        <x:v>8.132039</x:v>
      </x:c>
      <x:c r="P324" s="34" t="n">
        <x:v>16</x:v>
      </x:c>
      <x:c r="Q324" s="34" t="n">
        <x:v>7.867961</x:v>
      </x:c>
      <x:c r="R324" s="34" t="n">
        <x:v>50.825</x:v>
      </x:c>
      <x:c r="S324" s="40" t="b">
        <x:v>1</x:v>
      </x:c>
      <x:c r="T324" s="34" t="str">
        <x:v>model_interpolation</x:v>
      </x:c>
      <x:c r="U324" s="34" t="str">
        <x:v>Linear interpolation from 2030 to 2035</x:v>
      </x:c>
      <x:c r="V324" s="34" t="str">
        <x:v>CAND-6339E6B83A8408</x:v>
      </x:c>
      <x:c r="W324" s="34" t="str">
        <x:v>P3</x:v>
      </x:c>
      <x:c r="X324" s="34" t="str">
        <x:v>PORT-8826D0B469EE</x:v>
      </x:c>
      <x:c r="Y324" s="34" t="n">
        <x:v>1000</x:v>
      </x:c>
      <x:c r="Z324" s="34" t="n">
        <x:v>50.471707</x:v>
      </x:c>
      <x:c r="AA324" s="34" t="n">
        <x:v>14.689844</x:v>
      </x:c>
      <x:c r="AB324" s="34" t="n">
        <x:v>429.154227</x:v>
      </x:c>
      <x:c r="AC324" s="34" t="n">
        <x:v>21116.24</x:v>
      </x:c>
      <x:c r="AD324" s="34" t="n">
        <x:v>49.204315</x:v>
      </x:c>
      <x:c r="AE324" s="40" t="b">
        <x:v>1</x:v>
      </x:c>
      <x:c r="AF324" s="40" t="b">
        <x:v>1</x:v>
      </x:c>
      <x:c r="AG324" s="34" t="str"/>
      <x:c r="AH324" s="34" t="n">
        <x:v>0</x:v>
      </x:c>
      <x:c r="AI324" s="34" t="str">
        <x:v>2.0275124185786808e-05</x:v>
      </x:c>
      <x:c r="AJ324" s="40" t="b">
        <x:v>1</x:v>
      </x:c>
      <x:c r="AK324" s="40" t="b">
        <x:v>1</x:v>
      </x:c>
      <x:c r="AL324" s="40" t="b">
        <x:v>1</x:v>
      </x:c>
      <x:c r="AM324" s="40" t="b">
        <x:v>1</x:v>
      </x:c>
      <x:c r="AN324" s="34" t="str"/>
      <x:c r="AO324" s="34" t="n">
        <x:v>0</x:v>
      </x:c>
      <x:c r="AP324" s="34" t="n">
        <x:v>0</x:v>
      </x:c>
      <x:c r="AQ324" s="34" t="n">
        <x:v>0</x:v>
      </x:c>
      <x:c r="AR324" s="34" t="n">
        <x:v>3</x:v>
      </x:c>
      <x:c r="AS324" s="34" t="n">
        <x:v>3</x:v>
      </x:c>
      <x:c r="AT324" s="34" t="n">
        <x:v>0.459336608</x:v>
      </x:c>
      <x:c r="AU324" s="34" t="n">
        <x:v>0.65</x:v>
      </x:c>
      <x:c r="AV324" s="34" t="n">
        <x:v>2.02</x:v>
      </x:c>
    </x:row>
    <x:row r="325">
      <x:c r="A325" s="34" t="str">
        <x:v>POSCO_KR</x:v>
      </x:c>
      <x:c r="B325" s="34" t="str">
        <x:v>POSCO</x:v>
      </x:c>
      <x:c r="C325" s="34" t="str">
        <x:v>ACCELERATED_15C</x:v>
      </x:c>
      <x:c r="D325" s="34" t="str">
        <x:v>P3</x:v>
      </x:c>
      <x:c r="E325" s="34" t="n">
        <x:v>2034</x:v>
      </x:c>
      <x:c r="F325" s="34" t="n">
        <x:v>3</x:v>
      </x:c>
      <x:c r="G325" s="34" t="n">
        <x:v>13.980599</x:v>
      </x:c>
      <x:c r="H325" s="34" t="n">
        <x:v>21.4</x:v>
      </x:c>
      <x:c r="I325" s="34" t="n">
        <x:v>7.419401</x:v>
      </x:c>
      <x:c r="J325" s="34" t="n">
        <x:v>65.33</x:v>
      </x:c>
      <x:c r="K325" s="34" t="n">
        <x:v>0</x:v>
      </x:c>
      <x:c r="L325" s="34" t="n">
        <x:v>1.9200000000000002</x:v>
      </x:c>
      <x:c r="M325" s="34" t="n">
        <x:v>1.92</x:v>
      </x:c>
      <x:c r="N325" s="34" t="n">
        <x:v>0</x:v>
      </x:c>
      <x:c r="O325" s="34" t="n">
        <x:v>8.132039</x:v>
      </x:c>
      <x:c r="P325" s="34" t="n">
        <x:v>18</x:v>
      </x:c>
      <x:c r="Q325" s="34" t="n">
        <x:v>9.867961</x:v>
      </x:c>
      <x:c r="R325" s="34" t="n">
        <x:v>45.178</x:v>
      </x:c>
      <x:c r="S325" s="40" t="b">
        <x:v>1</x:v>
      </x:c>
      <x:c r="T325" s="34" t="str">
        <x:v>model_interpolation</x:v>
      </x:c>
      <x:c r="U325" s="34" t="str">
        <x:v>Linear interpolation from 2030 to 2035</x:v>
      </x:c>
      <x:c r="V325" s="34" t="str">
        <x:v>CAND-6339E6B83A8408</x:v>
      </x:c>
      <x:c r="W325" s="34" t="str">
        <x:v>P3</x:v>
      </x:c>
      <x:c r="X325" s="34" t="str">
        <x:v>PORT-8826D0B469EE</x:v>
      </x:c>
      <x:c r="Y325" s="34" t="n">
        <x:v>1000</x:v>
      </x:c>
      <x:c r="Z325" s="34" t="n">
        <x:v>50.471707</x:v>
      </x:c>
      <x:c r="AA325" s="34" t="n">
        <x:v>14.689844</x:v>
      </x:c>
      <x:c r="AB325" s="34" t="n">
        <x:v>429.154227</x:v>
      </x:c>
      <x:c r="AC325" s="34" t="n">
        <x:v>21116.24</x:v>
      </x:c>
      <x:c r="AD325" s="34" t="n">
        <x:v>49.204315</x:v>
      </x:c>
      <x:c r="AE325" s="40" t="b">
        <x:v>1</x:v>
      </x:c>
      <x:c r="AF325" s="40" t="b">
        <x:v>1</x:v>
      </x:c>
      <x:c r="AG325" s="34" t="str"/>
      <x:c r="AH325" s="34" t="n">
        <x:v>0</x:v>
      </x:c>
      <x:c r="AI325" s="34" t="str">
        <x:v>2.0275124185786808e-05</x:v>
      </x:c>
      <x:c r="AJ325" s="40" t="b">
        <x:v>1</x:v>
      </x:c>
      <x:c r="AK325" s="40" t="b">
        <x:v>1</x:v>
      </x:c>
      <x:c r="AL325" s="40" t="b">
        <x:v>1</x:v>
      </x:c>
      <x:c r="AM325" s="40" t="b">
        <x:v>1</x:v>
      </x:c>
      <x:c r="AN325" s="34" t="str"/>
      <x:c r="AO325" s="34" t="n">
        <x:v>0</x:v>
      </x:c>
      <x:c r="AP325" s="34" t="n">
        <x:v>0</x:v>
      </x:c>
      <x:c r="AQ325" s="34" t="n">
        <x:v>0</x:v>
      </x:c>
      <x:c r="AR325" s="34" t="n">
        <x:v>3</x:v>
      </x:c>
      <x:c r="AS325" s="34" t="n">
        <x:v>3</x:v>
      </x:c>
      <x:c r="AT325" s="34" t="n">
        <x:v>0.459336608</x:v>
      </x:c>
      <x:c r="AU325" s="34" t="n">
        <x:v>0.65</x:v>
      </x:c>
      <x:c r="AV325" s="34" t="n">
        <x:v>2.02</x:v>
      </x:c>
    </x:row>
    <x:row r="326">
      <x:c r="A326" s="34" t="str">
        <x:v>POSCO_KR</x:v>
      </x:c>
      <x:c r="B326" s="34" t="str">
        <x:v>POSCO</x:v>
      </x:c>
      <x:c r="C326" s="34" t="str">
        <x:v>ACCELERATED_15C</x:v>
      </x:c>
      <x:c r="D326" s="34" t="str">
        <x:v>P3</x:v>
      </x:c>
      <x:c r="E326" s="34" t="n">
        <x:v>2035</x:v>
      </x:c>
      <x:c r="F326" s="34" t="n">
        <x:v>4</x:v>
      </x:c>
      <x:c r="G326" s="34" t="n">
        <x:v>15.405598</x:v>
      </x:c>
      <x:c r="H326" s="34" t="n">
        <x:v>23</x:v>
      </x:c>
      <x:c r="I326" s="34" t="n">
        <x:v>7.594402</x:v>
      </x:c>
      <x:c r="J326" s="34" t="n">
        <x:v>66.981</x:v>
      </x:c>
      <x:c r="K326" s="34" t="n">
        <x:v>0.5225</x:v>
      </x:c>
      <x:c r="L326" s="34" t="n">
        <x:v>2.2</x:v>
      </x:c>
      <x:c r="M326" s="34" t="n">
        <x:v>1.6775</x:v>
      </x:c>
      <x:c r="N326" s="34" t="n">
        <x:v>23.75</x:v>
      </x:c>
      <x:c r="O326" s="34" t="n">
        <x:v>12.597039</x:v>
      </x:c>
      <x:c r="P326" s="34" t="n">
        <x:v>20</x:v>
      </x:c>
      <x:c r="Q326" s="34" t="n">
        <x:v>7.402961</x:v>
      </x:c>
      <x:c r="R326" s="34" t="n">
        <x:v>62.985</x:v>
      </x:c>
      <x:c r="S326" s="40" t="b">
        <x:v>1</x:v>
      </x:c>
      <x:c r="T326" s="34" t="str">
        <x:v>model_interpolation</x:v>
      </x:c>
      <x:c r="U326" s="34" t="str">
        <x:v>Linear interpolation from 2035 to 2040</x:v>
      </x:c>
      <x:c r="V326" s="34" t="str">
        <x:v>CAND-6339E6B83A8408</x:v>
      </x:c>
      <x:c r="W326" s="34" t="str">
        <x:v>P3</x:v>
      </x:c>
      <x:c r="X326" s="34" t="str">
        <x:v>PORT-8826D0B469EE</x:v>
      </x:c>
      <x:c r="Y326" s="34" t="n">
        <x:v>1000</x:v>
      </x:c>
      <x:c r="Z326" s="34" t="n">
        <x:v>50.471707</x:v>
      </x:c>
      <x:c r="AA326" s="34" t="n">
        <x:v>14.689844</x:v>
      </x:c>
      <x:c r="AB326" s="34" t="n">
        <x:v>429.154227</x:v>
      </x:c>
      <x:c r="AC326" s="34" t="n">
        <x:v>21116.24</x:v>
      </x:c>
      <x:c r="AD326" s="34" t="n">
        <x:v>49.204315</x:v>
      </x:c>
      <x:c r="AE326" s="40" t="b">
        <x:v>1</x:v>
      </x:c>
      <x:c r="AF326" s="40" t="b">
        <x:v>1</x:v>
      </x:c>
      <x:c r="AG326" s="34" t="str"/>
      <x:c r="AH326" s="34" t="n">
        <x:v>0</x:v>
      </x:c>
      <x:c r="AI326" s="34" t="str">
        <x:v>2.0275124185786808e-05</x:v>
      </x:c>
      <x:c r="AJ326" s="40" t="b">
        <x:v>1</x:v>
      </x:c>
      <x:c r="AK326" s="40" t="b">
        <x:v>1</x:v>
      </x:c>
      <x:c r="AL326" s="40" t="b">
        <x:v>1</x:v>
      </x:c>
      <x:c r="AM326" s="40" t="b">
        <x:v>1</x:v>
      </x:c>
      <x:c r="AN326" s="34" t="str"/>
      <x:c r="AO326" s="34" t="n">
        <x:v>0</x:v>
      </x:c>
      <x:c r="AP326" s="34" t="n">
        <x:v>0</x:v>
      </x:c>
      <x:c r="AQ326" s="34" t="n">
        <x:v>0</x:v>
      </x:c>
      <x:c r="AR326" s="34" t="n">
        <x:v>3</x:v>
      </x:c>
      <x:c r="AS326" s="34" t="n">
        <x:v>3</x:v>
      </x:c>
      <x:c r="AT326" s="34" t="n">
        <x:v>0.459336608</x:v>
      </x:c>
      <x:c r="AU326" s="34" t="n">
        <x:v>0.65</x:v>
      </x:c>
      <x:c r="AV326" s="34" t="n">
        <x:v>2.02</x:v>
      </x:c>
    </x:row>
    <x:row r="327">
      <x:c r="A327" s="34" t="str">
        <x:v>POSCO_KR</x:v>
      </x:c>
      <x:c r="B327" s="34" t="str">
        <x:v>POSCO</x:v>
      </x:c>
      <x:c r="C327" s="34" t="str">
        <x:v>ACCELERATED_15C</x:v>
      </x:c>
      <x:c r="D327" s="34" t="str">
        <x:v>P3</x:v>
      </x:c>
      <x:c r="E327" s="34" t="n">
        <x:v>2036</x:v>
      </x:c>
      <x:c r="F327" s="34" t="n">
        <x:v>4</x:v>
      </x:c>
      <x:c r="G327" s="34" t="n">
        <x:v>15.405598</x:v>
      </x:c>
      <x:c r="H327" s="34" t="n">
        <x:v>24.4</x:v>
      </x:c>
      <x:c r="I327" s="34" t="n">
        <x:v>8.994402</x:v>
      </x:c>
      <x:c r="J327" s="34" t="n">
        <x:v>63.138</x:v>
      </x:c>
      <x:c r="K327" s="34" t="n">
        <x:v>0.5225</x:v>
      </x:c>
      <x:c r="L327" s="34" t="n">
        <x:v>2.56</x:v>
      </x:c>
      <x:c r="M327" s="34" t="n">
        <x:v>2.0375</x:v>
      </x:c>
      <x:c r="N327" s="34" t="n">
        <x:v>20.41</x:v>
      </x:c>
      <x:c r="O327" s="34" t="n">
        <x:v>12.597039</x:v>
      </x:c>
      <x:c r="P327" s="34" t="n">
        <x:v>22.4</x:v>
      </x:c>
      <x:c r="Q327" s="34" t="n">
        <x:v>9.802961</x:v>
      </x:c>
      <x:c r="R327" s="34" t="n">
        <x:v>56.237</x:v>
      </x:c>
      <x:c r="S327" s="40" t="b">
        <x:v>1</x:v>
      </x:c>
      <x:c r="T327" s="34" t="str">
        <x:v>model_interpolation</x:v>
      </x:c>
      <x:c r="U327" s="34" t="str">
        <x:v>Linear interpolation from 2035 to 2040</x:v>
      </x:c>
      <x:c r="V327" s="34" t="str">
        <x:v>CAND-6339E6B83A8408</x:v>
      </x:c>
      <x:c r="W327" s="34" t="str">
        <x:v>P3</x:v>
      </x:c>
      <x:c r="X327" s="34" t="str">
        <x:v>PORT-8826D0B469EE</x:v>
      </x:c>
      <x:c r="Y327" s="34" t="n">
        <x:v>1000</x:v>
      </x:c>
      <x:c r="Z327" s="34" t="n">
        <x:v>50.471707</x:v>
      </x:c>
      <x:c r="AA327" s="34" t="n">
        <x:v>14.689844</x:v>
      </x:c>
      <x:c r="AB327" s="34" t="n">
        <x:v>429.154227</x:v>
      </x:c>
      <x:c r="AC327" s="34" t="n">
        <x:v>21116.24</x:v>
      </x:c>
      <x:c r="AD327" s="34" t="n">
        <x:v>49.204315</x:v>
      </x:c>
      <x:c r="AE327" s="40" t="b">
        <x:v>1</x:v>
      </x:c>
      <x:c r="AF327" s="40" t="b">
        <x:v>1</x:v>
      </x:c>
      <x:c r="AG327" s="34" t="str"/>
      <x:c r="AH327" s="34" t="n">
        <x:v>0</x:v>
      </x:c>
      <x:c r="AI327" s="34" t="str">
        <x:v>2.0275124185786808e-05</x:v>
      </x:c>
      <x:c r="AJ327" s="40" t="b">
        <x:v>1</x:v>
      </x:c>
      <x:c r="AK327" s="40" t="b">
        <x:v>1</x:v>
      </x:c>
      <x:c r="AL327" s="40" t="b">
        <x:v>1</x:v>
      </x:c>
      <x:c r="AM327" s="40" t="b">
        <x:v>1</x:v>
      </x:c>
      <x:c r="AN327" s="34" t="str"/>
      <x:c r="AO327" s="34" t="n">
        <x:v>0</x:v>
      </x:c>
      <x:c r="AP327" s="34" t="n">
        <x:v>0</x:v>
      </x:c>
      <x:c r="AQ327" s="34" t="n">
        <x:v>0</x:v>
      </x:c>
      <x:c r="AR327" s="34" t="n">
        <x:v>3</x:v>
      </x:c>
      <x:c r="AS327" s="34" t="n">
        <x:v>3</x:v>
      </x:c>
      <x:c r="AT327" s="34" t="n">
        <x:v>0.459336608</x:v>
      </x:c>
      <x:c r="AU327" s="34" t="n">
        <x:v>0.65</x:v>
      </x:c>
      <x:c r="AV327" s="34" t="n">
        <x:v>2.02</x:v>
      </x:c>
    </x:row>
    <x:row r="328">
      <x:c r="A328" s="34" t="str">
        <x:v>POSCO_KR</x:v>
      </x:c>
      <x:c r="B328" s="34" t="str">
        <x:v>POSCO</x:v>
      </x:c>
      <x:c r="C328" s="34" t="str">
        <x:v>ACCELERATED_15C</x:v>
      </x:c>
      <x:c r="D328" s="34" t="str">
        <x:v>P3</x:v>
      </x:c>
      <x:c r="E328" s="34" t="n">
        <x:v>2037</x:v>
      </x:c>
      <x:c r="F328" s="34" t="n">
        <x:v>5</x:v>
      </x:c>
      <x:c r="G328" s="34" t="n">
        <x:v>16.831048</x:v>
      </x:c>
      <x:c r="H328" s="34" t="n">
        <x:v>25.8</x:v>
      </x:c>
      <x:c r="I328" s="34" t="n">
        <x:v>8.968952</x:v>
      </x:c>
      <x:c r="J328" s="34" t="n">
        <x:v>65.237</x:v>
      </x:c>
      <x:c r="K328" s="34" t="n">
        <x:v>1.045165</x:v>
      </x:c>
      <x:c r="L328" s="34" t="n">
        <x:v>2.92</x:v>
      </x:c>
      <x:c r="M328" s="34" t="n">
        <x:v>1.874835</x:v>
      </x:c>
      <x:c r="N328" s="34" t="n">
        <x:v>35.793</x:v>
      </x:c>
      <x:c r="O328" s="34" t="n">
        <x:v>17.063447</x:v>
      </x:c>
      <x:c r="P328" s="34" t="n">
        <x:v>24.8</x:v>
      </x:c>
      <x:c r="Q328" s="34" t="n">
        <x:v>7.736553</x:v>
      </x:c>
      <x:c r="R328" s="34" t="n">
        <x:v>68.804</x:v>
      </x:c>
      <x:c r="S328" s="40" t="b">
        <x:v>1</x:v>
      </x:c>
      <x:c r="T328" s="34" t="str">
        <x:v>model_interpolation</x:v>
      </x:c>
      <x:c r="U328" s="34" t="str">
        <x:v>Linear interpolation from 2035 to 2040</x:v>
      </x:c>
      <x:c r="V328" s="34" t="str">
        <x:v>CAND-6339E6B83A8408</x:v>
      </x:c>
      <x:c r="W328" s="34" t="str">
        <x:v>P3</x:v>
      </x:c>
      <x:c r="X328" s="34" t="str">
        <x:v>PORT-8826D0B469EE</x:v>
      </x:c>
      <x:c r="Y328" s="34" t="n">
        <x:v>1000</x:v>
      </x:c>
      <x:c r="Z328" s="34" t="n">
        <x:v>50.471707</x:v>
      </x:c>
      <x:c r="AA328" s="34" t="n">
        <x:v>14.689844</x:v>
      </x:c>
      <x:c r="AB328" s="34" t="n">
        <x:v>429.154227</x:v>
      </x:c>
      <x:c r="AC328" s="34" t="n">
        <x:v>21116.24</x:v>
      </x:c>
      <x:c r="AD328" s="34" t="n">
        <x:v>49.204315</x:v>
      </x:c>
      <x:c r="AE328" s="40" t="b">
        <x:v>1</x:v>
      </x:c>
      <x:c r="AF328" s="40" t="b">
        <x:v>1</x:v>
      </x:c>
      <x:c r="AG328" s="34" t="str"/>
      <x:c r="AH328" s="34" t="n">
        <x:v>0</x:v>
      </x:c>
      <x:c r="AI328" s="34" t="str">
        <x:v>2.0275124185786808e-05</x:v>
      </x:c>
      <x:c r="AJ328" s="40" t="b">
        <x:v>1</x:v>
      </x:c>
      <x:c r="AK328" s="40" t="b">
        <x:v>1</x:v>
      </x:c>
      <x:c r="AL328" s="40" t="b">
        <x:v>1</x:v>
      </x:c>
      <x:c r="AM328" s="40" t="b">
        <x:v>1</x:v>
      </x:c>
      <x:c r="AN328" s="34" t="str"/>
      <x:c r="AO328" s="34" t="n">
        <x:v>0</x:v>
      </x:c>
      <x:c r="AP328" s="34" t="n">
        <x:v>0</x:v>
      </x:c>
      <x:c r="AQ328" s="34" t="n">
        <x:v>0</x:v>
      </x:c>
      <x:c r="AR328" s="34" t="n">
        <x:v>3</x:v>
      </x:c>
      <x:c r="AS328" s="34" t="n">
        <x:v>3</x:v>
      </x:c>
      <x:c r="AT328" s="34" t="n">
        <x:v>0.459336608</x:v>
      </x:c>
      <x:c r="AU328" s="34" t="n">
        <x:v>0.65</x:v>
      </x:c>
      <x:c r="AV328" s="34" t="n">
        <x:v>2.02</x:v>
      </x:c>
    </x:row>
    <x:row r="329">
      <x:c r="A329" s="34" t="str">
        <x:v>POSCO_KR</x:v>
      </x:c>
      <x:c r="B329" s="34" t="str">
        <x:v>POSCO</x:v>
      </x:c>
      <x:c r="C329" s="34" t="str">
        <x:v>ACCELERATED_15C</x:v>
      </x:c>
      <x:c r="D329" s="34" t="str">
        <x:v>P3</x:v>
      </x:c>
      <x:c r="E329" s="34" t="n">
        <x:v>2038</x:v>
      </x:c>
      <x:c r="F329" s="34" t="n">
        <x:v>5</x:v>
      </x:c>
      <x:c r="G329" s="34" t="n">
        <x:v>16.831048</x:v>
      </x:c>
      <x:c r="H329" s="34" t="n">
        <x:v>27.2</x:v>
      </x:c>
      <x:c r="I329" s="34" t="n">
        <x:v>10.368952</x:v>
      </x:c>
      <x:c r="J329" s="34" t="n">
        <x:v>61.879</x:v>
      </x:c>
      <x:c r="K329" s="34" t="n">
        <x:v>1.045165</x:v>
      </x:c>
      <x:c r="L329" s="34" t="n">
        <x:v>3.2800000000000002</x:v>
      </x:c>
      <x:c r="M329" s="34" t="n">
        <x:v>2.234835</x:v>
      </x:c>
      <x:c r="N329" s="34" t="n">
        <x:v>31.865</x:v>
      </x:c>
      <x:c r="O329" s="34" t="n">
        <x:v>17.063447</x:v>
      </x:c>
      <x:c r="P329" s="34" t="n">
        <x:v>27.2</x:v>
      </x:c>
      <x:c r="Q329" s="34" t="n">
        <x:v>10.136553</x:v>
      </x:c>
      <x:c r="R329" s="34" t="n">
        <x:v>62.733</x:v>
      </x:c>
      <x:c r="S329" s="40" t="b">
        <x:v>1</x:v>
      </x:c>
      <x:c r="T329" s="34" t="str">
        <x:v>model_interpolation</x:v>
      </x:c>
      <x:c r="U329" s="34" t="str">
        <x:v>Linear interpolation from 2035 to 2040</x:v>
      </x:c>
      <x:c r="V329" s="34" t="str">
        <x:v>CAND-6339E6B83A8408</x:v>
      </x:c>
      <x:c r="W329" s="34" t="str">
        <x:v>P3</x:v>
      </x:c>
      <x:c r="X329" s="34" t="str">
        <x:v>PORT-8826D0B469EE</x:v>
      </x:c>
      <x:c r="Y329" s="34" t="n">
        <x:v>1000</x:v>
      </x:c>
      <x:c r="Z329" s="34" t="n">
        <x:v>50.471707</x:v>
      </x:c>
      <x:c r="AA329" s="34" t="n">
        <x:v>14.689844</x:v>
      </x:c>
      <x:c r="AB329" s="34" t="n">
        <x:v>429.154227</x:v>
      </x:c>
      <x:c r="AC329" s="34" t="n">
        <x:v>21116.24</x:v>
      </x:c>
      <x:c r="AD329" s="34" t="n">
        <x:v>49.204315</x:v>
      </x:c>
      <x:c r="AE329" s="40" t="b">
        <x:v>1</x:v>
      </x:c>
      <x:c r="AF329" s="40" t="b">
        <x:v>1</x:v>
      </x:c>
      <x:c r="AG329" s="34" t="str"/>
      <x:c r="AH329" s="34" t="n">
        <x:v>0</x:v>
      </x:c>
      <x:c r="AI329" s="34" t="str">
        <x:v>2.0275124185786808e-05</x:v>
      </x:c>
      <x:c r="AJ329" s="40" t="b">
        <x:v>1</x:v>
      </x:c>
      <x:c r="AK329" s="40" t="b">
        <x:v>1</x:v>
      </x:c>
      <x:c r="AL329" s="40" t="b">
        <x:v>1</x:v>
      </x:c>
      <x:c r="AM329" s="40" t="b">
        <x:v>1</x:v>
      </x:c>
      <x:c r="AN329" s="34" t="str"/>
      <x:c r="AO329" s="34" t="n">
        <x:v>0</x:v>
      </x:c>
      <x:c r="AP329" s="34" t="n">
        <x:v>0</x:v>
      </x:c>
      <x:c r="AQ329" s="34" t="n">
        <x:v>0</x:v>
      </x:c>
      <x:c r="AR329" s="34" t="n">
        <x:v>3</x:v>
      </x:c>
      <x:c r="AS329" s="34" t="n">
        <x:v>3</x:v>
      </x:c>
      <x:c r="AT329" s="34" t="n">
        <x:v>0.459336608</x:v>
      </x:c>
      <x:c r="AU329" s="34" t="n">
        <x:v>0.65</x:v>
      </x:c>
      <x:c r="AV329" s="34" t="n">
        <x:v>2.02</x:v>
      </x:c>
    </x:row>
    <x:row r="330">
      <x:c r="A330" s="34" t="str">
        <x:v>POSCO_KR</x:v>
      </x:c>
      <x:c r="B330" s="34" t="str">
        <x:v>POSCO</x:v>
      </x:c>
      <x:c r="C330" s="34" t="str">
        <x:v>ACCELERATED_15C</x:v>
      </x:c>
      <x:c r="D330" s="34" t="str">
        <x:v>P3</x:v>
      </x:c>
      <x:c r="E330" s="34" t="n">
        <x:v>2039</x:v>
      </x:c>
      <x:c r="F330" s="34" t="n">
        <x:v>5</x:v>
      </x:c>
      <x:c r="G330" s="34" t="n">
        <x:v>16.831048</x:v>
      </x:c>
      <x:c r="H330" s="34" t="n">
        <x:v>28.6</x:v>
      </x:c>
      <x:c r="I330" s="34" t="n">
        <x:v>11.768952</x:v>
      </x:c>
      <x:c r="J330" s="34" t="n">
        <x:v>58.85</x:v>
      </x:c>
      <x:c r="K330" s="34" t="n">
        <x:v>1.045165</x:v>
      </x:c>
      <x:c r="L330" s="34" t="n">
        <x:v>3.64</x:v>
      </x:c>
      <x:c r="M330" s="34" t="n">
        <x:v>2.594835</x:v>
      </x:c>
      <x:c r="N330" s="34" t="n">
        <x:v>28.713</x:v>
      </x:c>
      <x:c r="O330" s="34" t="n">
        <x:v>17.063447</x:v>
      </x:c>
      <x:c r="P330" s="34" t="n">
        <x:v>29.6</x:v>
      </x:c>
      <x:c r="Q330" s="34" t="n">
        <x:v>12.536553</x:v>
      </x:c>
      <x:c r="R330" s="34" t="n">
        <x:v>57.647</x:v>
      </x:c>
      <x:c r="S330" s="40" t="b">
        <x:v>1</x:v>
      </x:c>
      <x:c r="T330" s="34" t="str">
        <x:v>model_interpolation</x:v>
      </x:c>
      <x:c r="U330" s="34" t="str">
        <x:v>Linear interpolation from 2035 to 2040</x:v>
      </x:c>
      <x:c r="V330" s="34" t="str">
        <x:v>CAND-6339E6B83A8408</x:v>
      </x:c>
      <x:c r="W330" s="34" t="str">
        <x:v>P3</x:v>
      </x:c>
      <x:c r="X330" s="34" t="str">
        <x:v>PORT-8826D0B469EE</x:v>
      </x:c>
      <x:c r="Y330" s="34" t="n">
        <x:v>1000</x:v>
      </x:c>
      <x:c r="Z330" s="34" t="n">
        <x:v>50.471707</x:v>
      </x:c>
      <x:c r="AA330" s="34" t="n">
        <x:v>14.689844</x:v>
      </x:c>
      <x:c r="AB330" s="34" t="n">
        <x:v>429.154227</x:v>
      </x:c>
      <x:c r="AC330" s="34" t="n">
        <x:v>21116.24</x:v>
      </x:c>
      <x:c r="AD330" s="34" t="n">
        <x:v>49.204315</x:v>
      </x:c>
      <x:c r="AE330" s="40" t="b">
        <x:v>1</x:v>
      </x:c>
      <x:c r="AF330" s="40" t="b">
        <x:v>1</x:v>
      </x:c>
      <x:c r="AG330" s="34" t="str"/>
      <x:c r="AH330" s="34" t="n">
        <x:v>0</x:v>
      </x:c>
      <x:c r="AI330" s="34" t="str">
        <x:v>2.0275124185786808e-05</x:v>
      </x:c>
      <x:c r="AJ330" s="40" t="b">
        <x:v>1</x:v>
      </x:c>
      <x:c r="AK330" s="40" t="b">
        <x:v>1</x:v>
      </x:c>
      <x:c r="AL330" s="40" t="b">
        <x:v>1</x:v>
      </x:c>
      <x:c r="AM330" s="40" t="b">
        <x:v>1</x:v>
      </x:c>
      <x:c r="AN330" s="34" t="str"/>
      <x:c r="AO330" s="34" t="n">
        <x:v>0</x:v>
      </x:c>
      <x:c r="AP330" s="34" t="n">
        <x:v>0</x:v>
      </x:c>
      <x:c r="AQ330" s="34" t="n">
        <x:v>0</x:v>
      </x:c>
      <x:c r="AR330" s="34" t="n">
        <x:v>3</x:v>
      </x:c>
      <x:c r="AS330" s="34" t="n">
        <x:v>3</x:v>
      </x:c>
      <x:c r="AT330" s="34" t="n">
        <x:v>0.459336608</x:v>
      </x:c>
      <x:c r="AU330" s="34" t="n">
        <x:v>0.65</x:v>
      </x:c>
      <x:c r="AV330" s="34" t="n">
        <x:v>2.02</x:v>
      </x:c>
    </x:row>
    <x:row r="331">
      <x:c r="A331" s="34" t="str">
        <x:v>POSCO_KR</x:v>
      </x:c>
      <x:c r="B331" s="34" t="str">
        <x:v>POSCO</x:v>
      </x:c>
      <x:c r="C331" s="34" t="str">
        <x:v>ACCELERATED_15C</x:v>
      </x:c>
      <x:c r="D331" s="34" t="str">
        <x:v>P3</x:v>
      </x:c>
      <x:c r="E331" s="34" t="n">
        <x:v>2040</x:v>
      </x:c>
      <x:c r="F331" s="34" t="n">
        <x:v>5</x:v>
      </x:c>
      <x:c r="G331" s="34" t="n">
        <x:v>16.831048</x:v>
      </x:c>
      <x:c r="H331" s="34" t="n">
        <x:v>30</x:v>
      </x:c>
      <x:c r="I331" s="34" t="n">
        <x:v>13.168952</x:v>
      </x:c>
      <x:c r="J331" s="34" t="n">
        <x:v>56.103</x:v>
      </x:c>
      <x:c r="K331" s="34" t="n">
        <x:v>1.045165</x:v>
      </x:c>
      <x:c r="L331" s="34" t="n">
        <x:v>4</x:v>
      </x:c>
      <x:c r="M331" s="34" t="n">
        <x:v>2.954835</x:v>
      </x:c>
      <x:c r="N331" s="34" t="n">
        <x:v>26.129</x:v>
      </x:c>
      <x:c r="O331" s="34" t="n">
        <x:v>17.063447</x:v>
      </x:c>
      <x:c r="P331" s="34" t="n">
        <x:v>32</x:v>
      </x:c>
      <x:c r="Q331" s="34" t="n">
        <x:v>14.936553</x:v>
      </x:c>
      <x:c r="R331" s="34" t="n">
        <x:v>53.323</x:v>
      </x:c>
      <x:c r="S331" s="40" t="b">
        <x:v>1</x:v>
      </x:c>
      <x:c r="T331" s="34" t="str">
        <x:v>model_estimate</x:v>
      </x:c>
      <x:c r="U331" s="34" t="str">
        <x:v>Illustrative accelerated envelope; not GCAM or an official supply forecast</x:v>
      </x:c>
      <x:c r="V331" s="34" t="str">
        <x:v>CAND-6339E6B83A8408</x:v>
      </x:c>
      <x:c r="W331" s="34" t="str">
        <x:v>P3</x:v>
      </x:c>
      <x:c r="X331" s="34" t="str">
        <x:v>PORT-8826D0B469EE</x:v>
      </x:c>
      <x:c r="Y331" s="34" t="n">
        <x:v>1000</x:v>
      </x:c>
      <x:c r="Z331" s="34" t="n">
        <x:v>50.471707</x:v>
      </x:c>
      <x:c r="AA331" s="34" t="n">
        <x:v>14.689844</x:v>
      </x:c>
      <x:c r="AB331" s="34" t="n">
        <x:v>429.154227</x:v>
      </x:c>
      <x:c r="AC331" s="34" t="n">
        <x:v>21116.24</x:v>
      </x:c>
      <x:c r="AD331" s="34" t="n">
        <x:v>49.204315</x:v>
      </x:c>
      <x:c r="AE331" s="40" t="b">
        <x:v>1</x:v>
      </x:c>
      <x:c r="AF331" s="40" t="b">
        <x:v>1</x:v>
      </x:c>
      <x:c r="AG331" s="34" t="str"/>
      <x:c r="AH331" s="34" t="n">
        <x:v>0</x:v>
      </x:c>
      <x:c r="AI331" s="34" t="str">
        <x:v>2.0275124185786808e-05</x:v>
      </x:c>
      <x:c r="AJ331" s="40" t="b">
        <x:v>1</x:v>
      </x:c>
      <x:c r="AK331" s="40" t="b">
        <x:v>1</x:v>
      </x:c>
      <x:c r="AL331" s="40" t="b">
        <x:v>1</x:v>
      </x:c>
      <x:c r="AM331" s="40" t="b">
        <x:v>1</x:v>
      </x:c>
      <x:c r="AN331" s="34" t="str"/>
      <x:c r="AO331" s="34" t="n">
        <x:v>0</x:v>
      </x:c>
      <x:c r="AP331" s="34" t="n">
        <x:v>0</x:v>
      </x:c>
      <x:c r="AQ331" s="34" t="n">
        <x:v>0</x:v>
      </x:c>
      <x:c r="AR331" s="34" t="n">
        <x:v>3</x:v>
      </x:c>
      <x:c r="AS331" s="34" t="n">
        <x:v>3</x:v>
      </x:c>
      <x:c r="AT331" s="34" t="n">
        <x:v>0.459336608</x:v>
      </x:c>
      <x:c r="AU331" s="34" t="n">
        <x:v>0.65</x:v>
      </x:c>
      <x:c r="AV331" s="34" t="n">
        <x:v>2.02</x:v>
      </x:c>
    </x:row>
    <x:row r="332">
      <x:c r="A332" s="34" t="str">
        <x:v>POSCO_KR</x:v>
      </x:c>
      <x:c r="B332" s="34" t="str">
        <x:v>POSCO</x:v>
      </x:c>
      <x:c r="C332" s="34" t="str">
        <x:v>DISCLOSED_PATH</x:v>
      </x:c>
      <x:c r="D332" s="34" t="str">
        <x:v>P1</x:v>
      </x:c>
      <x:c r="E332" s="34" t="n">
        <x:v>2026</x:v>
      </x:c>
      <x:c r="F332" s="34" t="n">
        <x:v>0</x:v>
      </x:c>
      <x:c r="G332" s="34" t="n">
        <x:v>0</x:v>
      </x:c>
      <x:c r="H332" s="34" t="n">
        <x:v>8</x:v>
      </x:c>
      <x:c r="I332" s="34" t="n">
        <x:v>8</x:v>
      </x:c>
      <x:c r="J332" s="34" t="n">
        <x:v>0</x:v>
      </x:c>
      <x:c r="K332" s="34" t="n">
        <x:v>0</x:v>
      </x:c>
      <x:c r="L332" s="34" t="n">
        <x:v>0</x:v>
      </x:c>
      <x:c r="M332" s="34" t="n">
        <x:v>0</x:v>
      </x:c>
      <x:c r="N332" s="34" t="n">
        <x:v>0</x:v>
      </x:c>
      <x:c r="O332" s="34" t="n">
        <x:v>0</x:v>
      </x:c>
      <x:c r="P332" s="34" t="n">
        <x:v>2</x:v>
      </x:c>
      <x:c r="Q332" s="34" t="n">
        <x:v>2</x:v>
      </x:c>
      <x:c r="R332" s="34" t="n">
        <x:v>0</x:v>
      </x:c>
      <x:c r="S332" s="40" t="b">
        <x:v>1</x:v>
      </x:c>
      <x:c r="T332" s="34" t="str">
        <x:v>model_interpolation</x:v>
      </x:c>
      <x:c r="U332" s="34" t="str">
        <x:v>Linear interpolation from 2026 to 2030</x:v>
      </x:c>
      <x:c r="V332" s="34" t="str">
        <x:v>CAND-63781C106D5099</x:v>
      </x:c>
      <x:c r="W332" s="34" t="str">
        <x:v>P1</x:v>
      </x:c>
      <x:c r="X332" s="34" t="str">
        <x:v>PORT-41705C04BF44</x:v>
      </x:c>
      <x:c r="Y332" s="34" t="n">
        <x:v>1000</x:v>
      </x:c>
      <x:c r="Z332" s="34" t="n">
        <x:v>10.11264</x:v>
      </x:c>
      <x:c r="AA332" s="34" t="n">
        <x:v>7.784491</x:v>
      </x:c>
      <x:c r="AB332" s="34" t="n">
        <x:v>234.011233</x:v>
      </x:c>
      <x:c r="AC332" s="34" t="n">
        <x:v>2160.761</x:v>
      </x:c>
      <x:c r="AD332" s="34" t="n">
        <x:v>9.233578</x:v>
      </x:c>
      <x:c r="AE332" s="40" t="b">
        <x:v>1</x:v>
      </x:c>
      <x:c r="AF332" s="40" t="b">
        <x:v>1</x:v>
      </x:c>
      <x:c r="AG332" s="34" t="str"/>
      <x:c r="AH332" s="34" t="n">
        <x:v>0</x:v>
      </x:c>
      <x:c r="AI332" s="34" t="str">
        <x:v>2.0275124185786808e-05</x:v>
      </x:c>
      <x:c r="AJ332" s="40" t="b">
        <x:v>1</x:v>
      </x:c>
      <x:c r="AK332" s="40" t="b">
        <x:v>1</x:v>
      </x:c>
      <x:c r="AL332" s="40" t="b">
        <x:v>1</x:v>
      </x:c>
      <x:c r="AM332" s="40" t="b">
        <x:v>1</x:v>
      </x:c>
      <x:c r="AN332" s="34" t="str"/>
      <x:c r="AO332" s="34" t="n">
        <x:v>0</x:v>
      </x:c>
      <x:c r="AP332" s="34" t="n">
        <x:v>0</x:v>
      </x:c>
      <x:c r="AQ332" s="34" t="n">
        <x:v>0</x:v>
      </x:c>
      <x:c r="AR332" s="34" t="n">
        <x:v>2</x:v>
      </x:c>
      <x:c r="AS332" s="34" t="n">
        <x:v>3</x:v>
      </x:c>
      <x:c r="AT332" s="34" t="n">
        <x:v>0.2589598719999999</x:v>
      </x:c>
      <x:c r="AU332" s="34" t="n">
        <x:v>0.65</x:v>
      </x:c>
      <x:c r="AV332" s="34" t="n">
        <x:v>0.7399999999999999</x:v>
      </x:c>
    </x:row>
    <x:row r="333">
      <x:c r="A333" s="34" t="str">
        <x:v>POSCO_KR</x:v>
      </x:c>
      <x:c r="B333" s="34" t="str">
        <x:v>POSCO</x:v>
      </x:c>
      <x:c r="C333" s="34" t="str">
        <x:v>DISCLOSED_PATH</x:v>
      </x:c>
      <x:c r="D333" s="34" t="str">
        <x:v>P1</x:v>
      </x:c>
      <x:c r="E333" s="34" t="n">
        <x:v>2027</x:v>
      </x:c>
      <x:c r="F333" s="34" t="n">
        <x:v>0</x:v>
      </x:c>
      <x:c r="G333" s="34" t="n">
        <x:v>0</x:v>
      </x:c>
      <x:c r="H333" s="34" t="n">
        <x:v>9</x:v>
      </x:c>
      <x:c r="I333" s="34" t="n">
        <x:v>9</x:v>
      </x:c>
      <x:c r="J333" s="34" t="n">
        <x:v>0</x:v>
      </x:c>
      <x:c r="K333" s="34" t="n">
        <x:v>0</x:v>
      </x:c>
      <x:c r="L333" s="34" t="n">
        <x:v>0.125</x:v>
      </x:c>
      <x:c r="M333" s="34" t="n">
        <x:v>0.125</x:v>
      </x:c>
      <x:c r="N333" s="34" t="n">
        <x:v>0</x:v>
      </x:c>
      <x:c r="O333" s="34" t="n">
        <x:v>0</x:v>
      </x:c>
      <x:c r="P333" s="34" t="n">
        <x:v>3.25</x:v>
      </x:c>
      <x:c r="Q333" s="34" t="n">
        <x:v>3.25</x:v>
      </x:c>
      <x:c r="R333" s="34" t="n">
        <x:v>0</x:v>
      </x:c>
      <x:c r="S333" s="40" t="b">
        <x:v>1</x:v>
      </x:c>
      <x:c r="T333" s="34" t="str">
        <x:v>model_interpolation</x:v>
      </x:c>
      <x:c r="U333" s="34" t="str">
        <x:v>Linear interpolation from 2026 to 2030</x:v>
      </x:c>
      <x:c r="V333" s="34" t="str">
        <x:v>CAND-63781C106D5099</x:v>
      </x:c>
      <x:c r="W333" s="34" t="str">
        <x:v>P1</x:v>
      </x:c>
      <x:c r="X333" s="34" t="str">
        <x:v>PORT-41705C04BF44</x:v>
      </x:c>
      <x:c r="Y333" s="34" t="n">
        <x:v>1000</x:v>
      </x:c>
      <x:c r="Z333" s="34" t="n">
        <x:v>10.11264</x:v>
      </x:c>
      <x:c r="AA333" s="34" t="n">
        <x:v>7.784491</x:v>
      </x:c>
      <x:c r="AB333" s="34" t="n">
        <x:v>234.011233</x:v>
      </x:c>
      <x:c r="AC333" s="34" t="n">
        <x:v>2160.761</x:v>
      </x:c>
      <x:c r="AD333" s="34" t="n">
        <x:v>9.233578</x:v>
      </x:c>
      <x:c r="AE333" s="40" t="b">
        <x:v>1</x:v>
      </x:c>
      <x:c r="AF333" s="40" t="b">
        <x:v>1</x:v>
      </x:c>
      <x:c r="AG333" s="34" t="str"/>
      <x:c r="AH333" s="34" t="n">
        <x:v>0</x:v>
      </x:c>
      <x:c r="AI333" s="34" t="str">
        <x:v>2.0275124185786808e-05</x:v>
      </x:c>
      <x:c r="AJ333" s="40" t="b">
        <x:v>1</x:v>
      </x:c>
      <x:c r="AK333" s="40" t="b">
        <x:v>1</x:v>
      </x:c>
      <x:c r="AL333" s="40" t="b">
        <x:v>1</x:v>
      </x:c>
      <x:c r="AM333" s="40" t="b">
        <x:v>1</x:v>
      </x:c>
      <x:c r="AN333" s="34" t="str"/>
      <x:c r="AO333" s="34" t="n">
        <x:v>0</x:v>
      </x:c>
      <x:c r="AP333" s="34" t="n">
        <x:v>0</x:v>
      </x:c>
      <x:c r="AQ333" s="34" t="n">
        <x:v>0</x:v>
      </x:c>
      <x:c r="AR333" s="34" t="n">
        <x:v>2</x:v>
      </x:c>
      <x:c r="AS333" s="34" t="n">
        <x:v>3</x:v>
      </x:c>
      <x:c r="AT333" s="34" t="n">
        <x:v>0.2589598719999999</x:v>
      </x:c>
      <x:c r="AU333" s="34" t="n">
        <x:v>0.65</x:v>
      </x:c>
      <x:c r="AV333" s="34" t="n">
        <x:v>0.7399999999999999</x:v>
      </x:c>
    </x:row>
    <x:row r="334">
      <x:c r="A334" s="34" t="str">
        <x:v>POSCO_KR</x:v>
      </x:c>
      <x:c r="B334" s="34" t="str">
        <x:v>POSCO</x:v>
      </x:c>
      <x:c r="C334" s="34" t="str">
        <x:v>DISCLOSED_PATH</x:v>
      </x:c>
      <x:c r="D334" s="34" t="str">
        <x:v>P1</x:v>
      </x:c>
      <x:c r="E334" s="34" t="n">
        <x:v>2028</x:v>
      </x:c>
      <x:c r="F334" s="34" t="n">
        <x:v>0</x:v>
      </x:c>
      <x:c r="G334" s="34" t="n">
        <x:v>0</x:v>
      </x:c>
      <x:c r="H334" s="34" t="n">
        <x:v>10</x:v>
      </x:c>
      <x:c r="I334" s="34" t="n">
        <x:v>10</x:v>
      </x:c>
      <x:c r="J334" s="34" t="n">
        <x:v>0</x:v>
      </x:c>
      <x:c r="K334" s="34" t="n">
        <x:v>0</x:v>
      </x:c>
      <x:c r="L334" s="34" t="n">
        <x:v>0.25</x:v>
      </x:c>
      <x:c r="M334" s="34" t="n">
        <x:v>0.25</x:v>
      </x:c>
      <x:c r="N334" s="34" t="n">
        <x:v>0</x:v>
      </x:c>
      <x:c r="O334" s="34" t="n">
        <x:v>0</x:v>
      </x:c>
      <x:c r="P334" s="34" t="n">
        <x:v>4.5</x:v>
      </x:c>
      <x:c r="Q334" s="34" t="n">
        <x:v>4.5</x:v>
      </x:c>
      <x:c r="R334" s="34" t="n">
        <x:v>0</x:v>
      </x:c>
      <x:c r="S334" s="40" t="b">
        <x:v>1</x:v>
      </x:c>
      <x:c r="T334" s="34" t="str">
        <x:v>model_interpolation</x:v>
      </x:c>
      <x:c r="U334" s="34" t="str">
        <x:v>Linear interpolation from 2026 to 2030</x:v>
      </x:c>
      <x:c r="V334" s="34" t="str">
        <x:v>CAND-63781C106D5099</x:v>
      </x:c>
      <x:c r="W334" s="34" t="str">
        <x:v>P1</x:v>
      </x:c>
      <x:c r="X334" s="34" t="str">
        <x:v>PORT-41705C04BF44</x:v>
      </x:c>
      <x:c r="Y334" s="34" t="n">
        <x:v>1000</x:v>
      </x:c>
      <x:c r="Z334" s="34" t="n">
        <x:v>10.11264</x:v>
      </x:c>
      <x:c r="AA334" s="34" t="n">
        <x:v>7.784491</x:v>
      </x:c>
      <x:c r="AB334" s="34" t="n">
        <x:v>234.011233</x:v>
      </x:c>
      <x:c r="AC334" s="34" t="n">
        <x:v>2160.761</x:v>
      </x:c>
      <x:c r="AD334" s="34" t="n">
        <x:v>9.233578</x:v>
      </x:c>
      <x:c r="AE334" s="40" t="b">
        <x:v>1</x:v>
      </x:c>
      <x:c r="AF334" s="40" t="b">
        <x:v>1</x:v>
      </x:c>
      <x:c r="AG334" s="34" t="str"/>
      <x:c r="AH334" s="34" t="n">
        <x:v>0</x:v>
      </x:c>
      <x:c r="AI334" s="34" t="str">
        <x:v>2.0275124185786808e-05</x:v>
      </x:c>
      <x:c r="AJ334" s="40" t="b">
        <x:v>1</x:v>
      </x:c>
      <x:c r="AK334" s="40" t="b">
        <x:v>1</x:v>
      </x:c>
      <x:c r="AL334" s="40" t="b">
        <x:v>1</x:v>
      </x:c>
      <x:c r="AM334" s="40" t="b">
        <x:v>1</x:v>
      </x:c>
      <x:c r="AN334" s="34" t="str"/>
      <x:c r="AO334" s="34" t="n">
        <x:v>0</x:v>
      </x:c>
      <x:c r="AP334" s="34" t="n">
        <x:v>0</x:v>
      </x:c>
      <x:c r="AQ334" s="34" t="n">
        <x:v>0</x:v>
      </x:c>
      <x:c r="AR334" s="34" t="n">
        <x:v>2</x:v>
      </x:c>
      <x:c r="AS334" s="34" t="n">
        <x:v>3</x:v>
      </x:c>
      <x:c r="AT334" s="34" t="n">
        <x:v>0.2589598719999999</x:v>
      </x:c>
      <x:c r="AU334" s="34" t="n">
        <x:v>0.65</x:v>
      </x:c>
      <x:c r="AV334" s="34" t="n">
        <x:v>0.7399999999999999</x:v>
      </x:c>
    </x:row>
    <x:row r="335">
      <x:c r="A335" s="34" t="str">
        <x:v>POSCO_KR</x:v>
      </x:c>
      <x:c r="B335" s="34" t="str">
        <x:v>POSCO</x:v>
      </x:c>
      <x:c r="C335" s="34" t="str">
        <x:v>DISCLOSED_PATH</x:v>
      </x:c>
      <x:c r="D335" s="34" t="str">
        <x:v>P1</x:v>
      </x:c>
      <x:c r="E335" s="34" t="n">
        <x:v>2029</x:v>
      </x:c>
      <x:c r="F335" s="34" t="n">
        <x:v>1</x:v>
      </x:c>
      <x:c r="G335" s="34" t="n">
        <x:v>6.839998</x:v>
      </x:c>
      <x:c r="H335" s="34" t="n">
        <x:v>11</x:v>
      </x:c>
      <x:c r="I335" s="34" t="n">
        <x:v>4.160002</x:v>
      </x:c>
      <x:c r="J335" s="34" t="n">
        <x:v>62.182</x:v>
      </x:c>
      <x:c r="K335" s="34" t="n">
        <x:v>0</x:v>
      </x:c>
      <x:c r="L335" s="34" t="n">
        <x:v>0.375</x:v>
      </x:c>
      <x:c r="M335" s="34" t="n">
        <x:v>0.375</x:v>
      </x:c>
      <x:c r="N335" s="34" t="n">
        <x:v>0</x:v>
      </x:c>
      <x:c r="O335" s="34" t="n">
        <x:v>4.255999</x:v>
      </x:c>
      <x:c r="P335" s="34" t="n">
        <x:v>5.75</x:v>
      </x:c>
      <x:c r="Q335" s="34" t="n">
        <x:v>1.494001</x:v>
      </x:c>
      <x:c r="R335" s="34" t="n">
        <x:v>74.017</x:v>
      </x:c>
      <x:c r="S335" s="40" t="b">
        <x:v>1</x:v>
      </x:c>
      <x:c r="T335" s="34" t="str">
        <x:v>model_interpolation</x:v>
      </x:c>
      <x:c r="U335" s="34" t="str">
        <x:v>Linear interpolation from 2026 to 2030</x:v>
      </x:c>
      <x:c r="V335" s="34" t="str">
        <x:v>CAND-63781C106D5099</x:v>
      </x:c>
      <x:c r="W335" s="34" t="str">
        <x:v>P1</x:v>
      </x:c>
      <x:c r="X335" s="34" t="str">
        <x:v>PORT-41705C04BF44</x:v>
      </x:c>
      <x:c r="Y335" s="34" t="n">
        <x:v>1000</x:v>
      </x:c>
      <x:c r="Z335" s="34" t="n">
        <x:v>10.11264</x:v>
      </x:c>
      <x:c r="AA335" s="34" t="n">
        <x:v>7.784491</x:v>
      </x:c>
      <x:c r="AB335" s="34" t="n">
        <x:v>234.011233</x:v>
      </x:c>
      <x:c r="AC335" s="34" t="n">
        <x:v>2160.761</x:v>
      </x:c>
      <x:c r="AD335" s="34" t="n">
        <x:v>9.233578</x:v>
      </x:c>
      <x:c r="AE335" s="40" t="b">
        <x:v>1</x:v>
      </x:c>
      <x:c r="AF335" s="40" t="b">
        <x:v>1</x:v>
      </x:c>
      <x:c r="AG335" s="34" t="str"/>
      <x:c r="AH335" s="34" t="n">
        <x:v>0</x:v>
      </x:c>
      <x:c r="AI335" s="34" t="str">
        <x:v>2.0275124185786808e-05</x:v>
      </x:c>
      <x:c r="AJ335" s="40" t="b">
        <x:v>1</x:v>
      </x:c>
      <x:c r="AK335" s="40" t="b">
        <x:v>1</x:v>
      </x:c>
      <x:c r="AL335" s="40" t="b">
        <x:v>1</x:v>
      </x:c>
      <x:c r="AM335" s="40" t="b">
        <x:v>1</x:v>
      </x:c>
      <x:c r="AN335" s="34" t="str"/>
      <x:c r="AO335" s="34" t="n">
        <x:v>0</x:v>
      </x:c>
      <x:c r="AP335" s="34" t="n">
        <x:v>0</x:v>
      </x:c>
      <x:c r="AQ335" s="34" t="n">
        <x:v>0</x:v>
      </x:c>
      <x:c r="AR335" s="34" t="n">
        <x:v>2</x:v>
      </x:c>
      <x:c r="AS335" s="34" t="n">
        <x:v>3</x:v>
      </x:c>
      <x:c r="AT335" s="34" t="n">
        <x:v>0.2589598719999999</x:v>
      </x:c>
      <x:c r="AU335" s="34" t="n">
        <x:v>0.65</x:v>
      </x:c>
      <x:c r="AV335" s="34" t="n">
        <x:v>0.7399999999999999</x:v>
      </x:c>
    </x:row>
    <x:row r="336">
      <x:c r="A336" s="34" t="str">
        <x:v>POSCO_KR</x:v>
      </x:c>
      <x:c r="B336" s="34" t="str">
        <x:v>POSCO</x:v>
      </x:c>
      <x:c r="C336" s="34" t="str">
        <x:v>DISCLOSED_PATH</x:v>
      </x:c>
      <x:c r="D336" s="34" t="str">
        <x:v>P1</x:v>
      </x:c>
      <x:c r="E336" s="34" t="n">
        <x:v>2030</x:v>
      </x:c>
      <x:c r="F336" s="34" t="n">
        <x:v>1</x:v>
      </x:c>
      <x:c r="G336" s="34" t="n">
        <x:v>6.839998</x:v>
      </x:c>
      <x:c r="H336" s="34" t="n">
        <x:v>12</x:v>
      </x:c>
      <x:c r="I336" s="34" t="n">
        <x:v>5.160002</x:v>
      </x:c>
      <x:c r="J336" s="34" t="n">
        <x:v>57</x:v>
      </x:c>
      <x:c r="K336" s="34" t="n">
        <x:v>0</x:v>
      </x:c>
      <x:c r="L336" s="34" t="n">
        <x:v>0.5</x:v>
      </x:c>
      <x:c r="M336" s="34" t="n">
        <x:v>0.5</x:v>
      </x:c>
      <x:c r="N336" s="34" t="n">
        <x:v>0</x:v>
      </x:c>
      <x:c r="O336" s="34" t="n">
        <x:v>4.255999</x:v>
      </x:c>
      <x:c r="P336" s="34" t="n">
        <x:v>7</x:v>
      </x:c>
      <x:c r="Q336" s="34" t="n">
        <x:v>2.744001</x:v>
      </x:c>
      <x:c r="R336" s="34" t="n">
        <x:v>60.8</x:v>
      </x:c>
      <x:c r="S336" s="40" t="b">
        <x:v>1</x:v>
      </x:c>
      <x:c r="T336" s="34" t="str">
        <x:v>model_interpolation</x:v>
      </x:c>
      <x:c r="U336" s="34" t="str">
        <x:v>Linear interpolation from 2030 to 2035</x:v>
      </x:c>
      <x:c r="V336" s="34" t="str">
        <x:v>CAND-63781C106D5099</x:v>
      </x:c>
      <x:c r="W336" s="34" t="str">
        <x:v>P1</x:v>
      </x:c>
      <x:c r="X336" s="34" t="str">
        <x:v>PORT-41705C04BF44</x:v>
      </x:c>
      <x:c r="Y336" s="34" t="n">
        <x:v>1000</x:v>
      </x:c>
      <x:c r="Z336" s="34" t="n">
        <x:v>10.11264</x:v>
      </x:c>
      <x:c r="AA336" s="34" t="n">
        <x:v>7.784491</x:v>
      </x:c>
      <x:c r="AB336" s="34" t="n">
        <x:v>234.011233</x:v>
      </x:c>
      <x:c r="AC336" s="34" t="n">
        <x:v>2160.761</x:v>
      </x:c>
      <x:c r="AD336" s="34" t="n">
        <x:v>9.233578</x:v>
      </x:c>
      <x:c r="AE336" s="40" t="b">
        <x:v>1</x:v>
      </x:c>
      <x:c r="AF336" s="40" t="b">
        <x:v>1</x:v>
      </x:c>
      <x:c r="AG336" s="34" t="str"/>
      <x:c r="AH336" s="34" t="n">
        <x:v>0</x:v>
      </x:c>
      <x:c r="AI336" s="34" t="str">
        <x:v>2.0275124185786808e-05</x:v>
      </x:c>
      <x:c r="AJ336" s="40" t="b">
        <x:v>1</x:v>
      </x:c>
      <x:c r="AK336" s="40" t="b">
        <x:v>1</x:v>
      </x:c>
      <x:c r="AL336" s="40" t="b">
        <x:v>1</x:v>
      </x:c>
      <x:c r="AM336" s="40" t="b">
        <x:v>1</x:v>
      </x:c>
      <x:c r="AN336" s="34" t="str"/>
      <x:c r="AO336" s="34" t="n">
        <x:v>0</x:v>
      </x:c>
      <x:c r="AP336" s="34" t="n">
        <x:v>0</x:v>
      </x:c>
      <x:c r="AQ336" s="34" t="n">
        <x:v>0</x:v>
      </x:c>
      <x:c r="AR336" s="34" t="n">
        <x:v>2</x:v>
      </x:c>
      <x:c r="AS336" s="34" t="n">
        <x:v>3</x:v>
      </x:c>
      <x:c r="AT336" s="34" t="n">
        <x:v>0.2589598719999999</x:v>
      </x:c>
      <x:c r="AU336" s="34" t="n">
        <x:v>0.65</x:v>
      </x:c>
      <x:c r="AV336" s="34" t="n">
        <x:v>0.7399999999999999</x:v>
      </x:c>
    </x:row>
    <x:row r="337">
      <x:c r="A337" s="34" t="str">
        <x:v>POSCO_KR</x:v>
      </x:c>
      <x:c r="B337" s="34" t="str">
        <x:v>POSCO</x:v>
      </x:c>
      <x:c r="C337" s="34" t="str">
        <x:v>DISCLOSED_PATH</x:v>
      </x:c>
      <x:c r="D337" s="34" t="str">
        <x:v>P1</x:v>
      </x:c>
      <x:c r="E337" s="34" t="n">
        <x:v>2031</x:v>
      </x:c>
      <x:c r="F337" s="34" t="n">
        <x:v>1</x:v>
      </x:c>
      <x:c r="G337" s="34" t="n">
        <x:v>6.839998</x:v>
      </x:c>
      <x:c r="H337" s="34" t="n">
        <x:v>13.2</x:v>
      </x:c>
      <x:c r="I337" s="34" t="n">
        <x:v>6.360002</x:v>
      </x:c>
      <x:c r="J337" s="34" t="n">
        <x:v>51.818</x:v>
      </x:c>
      <x:c r="K337" s="34" t="n">
        <x:v>0</x:v>
      </x:c>
      <x:c r="L337" s="34" t="n">
        <x:v>0.7</x:v>
      </x:c>
      <x:c r="M337" s="34" t="n">
        <x:v>0.7</x:v>
      </x:c>
      <x:c r="N337" s="34" t="n">
        <x:v>0</x:v>
      </x:c>
      <x:c r="O337" s="34" t="n">
        <x:v>4.255999</x:v>
      </x:c>
      <x:c r="P337" s="34" t="n">
        <x:v>8.6</x:v>
      </x:c>
      <x:c r="Q337" s="34" t="n">
        <x:v>4.344001</x:v>
      </x:c>
      <x:c r="R337" s="34" t="n">
        <x:v>49.488</x:v>
      </x:c>
      <x:c r="S337" s="40" t="b">
        <x:v>1</x:v>
      </x:c>
      <x:c r="T337" s="34" t="str">
        <x:v>model_interpolation</x:v>
      </x:c>
      <x:c r="U337" s="34" t="str">
        <x:v>Linear interpolation from 2030 to 2035</x:v>
      </x:c>
      <x:c r="V337" s="34" t="str">
        <x:v>CAND-63781C106D5099</x:v>
      </x:c>
      <x:c r="W337" s="34" t="str">
        <x:v>P1</x:v>
      </x:c>
      <x:c r="X337" s="34" t="str">
        <x:v>PORT-41705C04BF44</x:v>
      </x:c>
      <x:c r="Y337" s="34" t="n">
        <x:v>1000</x:v>
      </x:c>
      <x:c r="Z337" s="34" t="n">
        <x:v>10.11264</x:v>
      </x:c>
      <x:c r="AA337" s="34" t="n">
        <x:v>7.784491</x:v>
      </x:c>
      <x:c r="AB337" s="34" t="n">
        <x:v>234.011233</x:v>
      </x:c>
      <x:c r="AC337" s="34" t="n">
        <x:v>2160.761</x:v>
      </x:c>
      <x:c r="AD337" s="34" t="n">
        <x:v>9.233578</x:v>
      </x:c>
      <x:c r="AE337" s="40" t="b">
        <x:v>1</x:v>
      </x:c>
      <x:c r="AF337" s="40" t="b">
        <x:v>1</x:v>
      </x:c>
      <x:c r="AG337" s="34" t="str"/>
      <x:c r="AH337" s="34" t="n">
        <x:v>0</x:v>
      </x:c>
      <x:c r="AI337" s="34" t="str">
        <x:v>2.0275124185786808e-05</x:v>
      </x:c>
      <x:c r="AJ337" s="40" t="b">
        <x:v>1</x:v>
      </x:c>
      <x:c r="AK337" s="40" t="b">
        <x:v>1</x:v>
      </x:c>
      <x:c r="AL337" s="40" t="b">
        <x:v>1</x:v>
      </x:c>
      <x:c r="AM337" s="40" t="b">
        <x:v>1</x:v>
      </x:c>
      <x:c r="AN337" s="34" t="str"/>
      <x:c r="AO337" s="34" t="n">
        <x:v>0</x:v>
      </x:c>
      <x:c r="AP337" s="34" t="n">
        <x:v>0</x:v>
      </x:c>
      <x:c r="AQ337" s="34" t="n">
        <x:v>0</x:v>
      </x:c>
      <x:c r="AR337" s="34" t="n">
        <x:v>2</x:v>
      </x:c>
      <x:c r="AS337" s="34" t="n">
        <x:v>3</x:v>
      </x:c>
      <x:c r="AT337" s="34" t="n">
        <x:v>0.2589598719999999</x:v>
      </x:c>
      <x:c r="AU337" s="34" t="n">
        <x:v>0.65</x:v>
      </x:c>
      <x:c r="AV337" s="34" t="n">
        <x:v>0.7399999999999999</x:v>
      </x:c>
    </x:row>
    <x:row r="338">
      <x:c r="A338" s="34" t="str">
        <x:v>POSCO_KR</x:v>
      </x:c>
      <x:c r="B338" s="34" t="str">
        <x:v>POSCO</x:v>
      </x:c>
      <x:c r="C338" s="34" t="str">
        <x:v>DISCLOSED_PATH</x:v>
      </x:c>
      <x:c r="D338" s="34" t="str">
        <x:v>P1</x:v>
      </x:c>
      <x:c r="E338" s="34" t="n">
        <x:v>2032</x:v>
      </x:c>
      <x:c r="F338" s="34" t="n">
        <x:v>2</x:v>
      </x:c>
      <x:c r="G338" s="34" t="n">
        <x:v>7.859998</x:v>
      </x:c>
      <x:c r="H338" s="34" t="n">
        <x:v>14.4</x:v>
      </x:c>
      <x:c r="I338" s="34" t="n">
        <x:v>6.540002</x:v>
      </x:c>
      <x:c r="J338" s="34" t="n">
        <x:v>54.583</x:v>
      </x:c>
      <x:c r="K338" s="34" t="n">
        <x:v>0</x:v>
      </x:c>
      <x:c r="L338" s="34" t="n">
        <x:v>0.9</x:v>
      </x:c>
      <x:c r="M338" s="34" t="n">
        <x:v>0.9</x:v>
      </x:c>
      <x:c r="N338" s="34" t="n">
        <x:v>0</x:v>
      </x:c>
      <x:c r="O338" s="34" t="n">
        <x:v>4.323999</x:v>
      </x:c>
      <x:c r="P338" s="34" t="n">
        <x:v>10.2</x:v>
      </x:c>
      <x:c r="Q338" s="34" t="n">
        <x:v>5.876001</x:v>
      </x:c>
      <x:c r="R338" s="34" t="n">
        <x:v>42.392</x:v>
      </x:c>
      <x:c r="S338" s="40" t="b">
        <x:v>1</x:v>
      </x:c>
      <x:c r="T338" s="34" t="str">
        <x:v>model_interpolation</x:v>
      </x:c>
      <x:c r="U338" s="34" t="str">
        <x:v>Linear interpolation from 2030 to 2035</x:v>
      </x:c>
      <x:c r="V338" s="34" t="str">
        <x:v>CAND-63781C106D5099</x:v>
      </x:c>
      <x:c r="W338" s="34" t="str">
        <x:v>P1</x:v>
      </x:c>
      <x:c r="X338" s="34" t="str">
        <x:v>PORT-41705C04BF44</x:v>
      </x:c>
      <x:c r="Y338" s="34" t="n">
        <x:v>1000</x:v>
      </x:c>
      <x:c r="Z338" s="34" t="n">
        <x:v>10.11264</x:v>
      </x:c>
      <x:c r="AA338" s="34" t="n">
        <x:v>7.784491</x:v>
      </x:c>
      <x:c r="AB338" s="34" t="n">
        <x:v>234.011233</x:v>
      </x:c>
      <x:c r="AC338" s="34" t="n">
        <x:v>2160.761</x:v>
      </x:c>
      <x:c r="AD338" s="34" t="n">
        <x:v>9.233578</x:v>
      </x:c>
      <x:c r="AE338" s="40" t="b">
        <x:v>1</x:v>
      </x:c>
      <x:c r="AF338" s="40" t="b">
        <x:v>1</x:v>
      </x:c>
      <x:c r="AG338" s="34" t="str"/>
      <x:c r="AH338" s="34" t="n">
        <x:v>0</x:v>
      </x:c>
      <x:c r="AI338" s="34" t="str">
        <x:v>2.0275124185786808e-05</x:v>
      </x:c>
      <x:c r="AJ338" s="40" t="b">
        <x:v>1</x:v>
      </x:c>
      <x:c r="AK338" s="40" t="b">
        <x:v>1</x:v>
      </x:c>
      <x:c r="AL338" s="40" t="b">
        <x:v>1</x:v>
      </x:c>
      <x:c r="AM338" s="40" t="b">
        <x:v>1</x:v>
      </x:c>
      <x:c r="AN338" s="34" t="str"/>
      <x:c r="AO338" s="34" t="n">
        <x:v>0</x:v>
      </x:c>
      <x:c r="AP338" s="34" t="n">
        <x:v>0</x:v>
      </x:c>
      <x:c r="AQ338" s="34" t="n">
        <x:v>0</x:v>
      </x:c>
      <x:c r="AR338" s="34" t="n">
        <x:v>2</x:v>
      </x:c>
      <x:c r="AS338" s="34" t="n">
        <x:v>3</x:v>
      </x:c>
      <x:c r="AT338" s="34" t="n">
        <x:v>0.2589598719999999</x:v>
      </x:c>
      <x:c r="AU338" s="34" t="n">
        <x:v>0.65</x:v>
      </x:c>
      <x:c r="AV338" s="34" t="n">
        <x:v>0.7399999999999999</x:v>
      </x:c>
    </x:row>
    <x:row r="339">
      <x:c r="A339" s="34" t="str">
        <x:v>POSCO_KR</x:v>
      </x:c>
      <x:c r="B339" s="34" t="str">
        <x:v>POSCO</x:v>
      </x:c>
      <x:c r="C339" s="34" t="str">
        <x:v>DISCLOSED_PATH</x:v>
      </x:c>
      <x:c r="D339" s="34" t="str">
        <x:v>P1</x:v>
      </x:c>
      <x:c r="E339" s="34" t="n">
        <x:v>2033</x:v>
      </x:c>
      <x:c r="F339" s="34" t="n">
        <x:v>3</x:v>
      </x:c>
      <x:c r="G339" s="34" t="n">
        <x:v>8.880598</x:v>
      </x:c>
      <x:c r="H339" s="34" t="n">
        <x:v>15.6</x:v>
      </x:c>
      <x:c r="I339" s="34" t="n">
        <x:v>6.719402</x:v>
      </x:c>
      <x:c r="J339" s="34" t="n">
        <x:v>56.927</x:v>
      </x:c>
      <x:c r="K339" s="34" t="n">
        <x:v>0</x:v>
      </x:c>
      <x:c r="L339" s="34" t="n">
        <x:v>1.1</x:v>
      </x:c>
      <x:c r="M339" s="34" t="n">
        <x:v>1.1</x:v>
      </x:c>
      <x:c r="N339" s="34" t="n">
        <x:v>0</x:v>
      </x:c>
      <x:c r="O339" s="34" t="n">
        <x:v>4.392039</x:v>
      </x:c>
      <x:c r="P339" s="34" t="n">
        <x:v>11.8</x:v>
      </x:c>
      <x:c r="Q339" s="34" t="n">
        <x:v>7.407961</x:v>
      </x:c>
      <x:c r="R339" s="34" t="n">
        <x:v>37.221</x:v>
      </x:c>
      <x:c r="S339" s="40" t="b">
        <x:v>1</x:v>
      </x:c>
      <x:c r="T339" s="34" t="str">
        <x:v>model_interpolation</x:v>
      </x:c>
      <x:c r="U339" s="34" t="str">
        <x:v>Linear interpolation from 2030 to 2035</x:v>
      </x:c>
      <x:c r="V339" s="34" t="str">
        <x:v>CAND-63781C106D5099</x:v>
      </x:c>
      <x:c r="W339" s="34" t="str">
        <x:v>P1</x:v>
      </x:c>
      <x:c r="X339" s="34" t="str">
        <x:v>PORT-41705C04BF44</x:v>
      </x:c>
      <x:c r="Y339" s="34" t="n">
        <x:v>1000</x:v>
      </x:c>
      <x:c r="Z339" s="34" t="n">
        <x:v>10.11264</x:v>
      </x:c>
      <x:c r="AA339" s="34" t="n">
        <x:v>7.784491</x:v>
      </x:c>
      <x:c r="AB339" s="34" t="n">
        <x:v>234.011233</x:v>
      </x:c>
      <x:c r="AC339" s="34" t="n">
        <x:v>2160.761</x:v>
      </x:c>
      <x:c r="AD339" s="34" t="n">
        <x:v>9.233578</x:v>
      </x:c>
      <x:c r="AE339" s="40" t="b">
        <x:v>1</x:v>
      </x:c>
      <x:c r="AF339" s="40" t="b">
        <x:v>1</x:v>
      </x:c>
      <x:c r="AG339" s="34" t="str"/>
      <x:c r="AH339" s="34" t="n">
        <x:v>0</x:v>
      </x:c>
      <x:c r="AI339" s="34" t="str">
        <x:v>2.0275124185786808e-05</x:v>
      </x:c>
      <x:c r="AJ339" s="40" t="b">
        <x:v>1</x:v>
      </x:c>
      <x:c r="AK339" s="40" t="b">
        <x:v>1</x:v>
      </x:c>
      <x:c r="AL339" s="40" t="b">
        <x:v>1</x:v>
      </x:c>
      <x:c r="AM339" s="40" t="b">
        <x:v>1</x:v>
      </x:c>
      <x:c r="AN339" s="34" t="str"/>
      <x:c r="AO339" s="34" t="n">
        <x:v>0</x:v>
      </x:c>
      <x:c r="AP339" s="34" t="n">
        <x:v>0</x:v>
      </x:c>
      <x:c r="AQ339" s="34" t="n">
        <x:v>0</x:v>
      </x:c>
      <x:c r="AR339" s="34" t="n">
        <x:v>2</x:v>
      </x:c>
      <x:c r="AS339" s="34" t="n">
        <x:v>3</x:v>
      </x:c>
      <x:c r="AT339" s="34" t="n">
        <x:v>0.2589598719999999</x:v>
      </x:c>
      <x:c r="AU339" s="34" t="n">
        <x:v>0.65</x:v>
      </x:c>
      <x:c r="AV339" s="34" t="n">
        <x:v>0.7399999999999999</x:v>
      </x:c>
    </x:row>
    <x:row r="340">
      <x:c r="A340" s="34" t="str">
        <x:v>POSCO_KR</x:v>
      </x:c>
      <x:c r="B340" s="34" t="str">
        <x:v>POSCO</x:v>
      </x:c>
      <x:c r="C340" s="34" t="str">
        <x:v>DISCLOSED_PATH</x:v>
      </x:c>
      <x:c r="D340" s="34" t="str">
        <x:v>P1</x:v>
      </x:c>
      <x:c r="E340" s="34" t="n">
        <x:v>2034</x:v>
      </x:c>
      <x:c r="F340" s="34" t="n">
        <x:v>3</x:v>
      </x:c>
      <x:c r="G340" s="34" t="n">
        <x:v>8.880598</x:v>
      </x:c>
      <x:c r="H340" s="34" t="n">
        <x:v>16.8</x:v>
      </x:c>
      <x:c r="I340" s="34" t="n">
        <x:v>7.919402</x:v>
      </x:c>
      <x:c r="J340" s="34" t="n">
        <x:v>52.861</x:v>
      </x:c>
      <x:c r="K340" s="34" t="n">
        <x:v>0</x:v>
      </x:c>
      <x:c r="L340" s="34" t="n">
        <x:v>1.3</x:v>
      </x:c>
      <x:c r="M340" s="34" t="n">
        <x:v>1.3</x:v>
      </x:c>
      <x:c r="N340" s="34" t="n">
        <x:v>0</x:v>
      </x:c>
      <x:c r="O340" s="34" t="n">
        <x:v>4.392039</x:v>
      </x:c>
      <x:c r="P340" s="34" t="n">
        <x:v>13.4</x:v>
      </x:c>
      <x:c r="Q340" s="34" t="n">
        <x:v>9.007961</x:v>
      </x:c>
      <x:c r="R340" s="34" t="n">
        <x:v>32.776</x:v>
      </x:c>
      <x:c r="S340" s="40" t="b">
        <x:v>1</x:v>
      </x:c>
      <x:c r="T340" s="34" t="str">
        <x:v>model_interpolation</x:v>
      </x:c>
      <x:c r="U340" s="34" t="str">
        <x:v>Linear interpolation from 2030 to 2035</x:v>
      </x:c>
      <x:c r="V340" s="34" t="str">
        <x:v>CAND-63781C106D5099</x:v>
      </x:c>
      <x:c r="W340" s="34" t="str">
        <x:v>P1</x:v>
      </x:c>
      <x:c r="X340" s="34" t="str">
        <x:v>PORT-41705C04BF44</x:v>
      </x:c>
      <x:c r="Y340" s="34" t="n">
        <x:v>1000</x:v>
      </x:c>
      <x:c r="Z340" s="34" t="n">
        <x:v>10.11264</x:v>
      </x:c>
      <x:c r="AA340" s="34" t="n">
        <x:v>7.784491</x:v>
      </x:c>
      <x:c r="AB340" s="34" t="n">
        <x:v>234.011233</x:v>
      </x:c>
      <x:c r="AC340" s="34" t="n">
        <x:v>2160.761</x:v>
      </x:c>
      <x:c r="AD340" s="34" t="n">
        <x:v>9.233578</x:v>
      </x:c>
      <x:c r="AE340" s="40" t="b">
        <x:v>1</x:v>
      </x:c>
      <x:c r="AF340" s="40" t="b">
        <x:v>1</x:v>
      </x:c>
      <x:c r="AG340" s="34" t="str"/>
      <x:c r="AH340" s="34" t="n">
        <x:v>0</x:v>
      </x:c>
      <x:c r="AI340" s="34" t="str">
        <x:v>2.0275124185786808e-05</x:v>
      </x:c>
      <x:c r="AJ340" s="40" t="b">
        <x:v>1</x:v>
      </x:c>
      <x:c r="AK340" s="40" t="b">
        <x:v>1</x:v>
      </x:c>
      <x:c r="AL340" s="40" t="b">
        <x:v>1</x:v>
      </x:c>
      <x:c r="AM340" s="40" t="b">
        <x:v>1</x:v>
      </x:c>
      <x:c r="AN340" s="34" t="str"/>
      <x:c r="AO340" s="34" t="n">
        <x:v>0</x:v>
      </x:c>
      <x:c r="AP340" s="34" t="n">
        <x:v>0</x:v>
      </x:c>
      <x:c r="AQ340" s="34" t="n">
        <x:v>0</x:v>
      </x:c>
      <x:c r="AR340" s="34" t="n">
        <x:v>2</x:v>
      </x:c>
      <x:c r="AS340" s="34" t="n">
        <x:v>3</x:v>
      </x:c>
      <x:c r="AT340" s="34" t="n">
        <x:v>0.2589598719999999</x:v>
      </x:c>
      <x:c r="AU340" s="34" t="n">
        <x:v>0.65</x:v>
      </x:c>
      <x:c r="AV340" s="34" t="n">
        <x:v>0.7399999999999999</x:v>
      </x:c>
    </x:row>
    <x:row r="341">
      <x:c r="A341" s="34" t="str">
        <x:v>POSCO_KR</x:v>
      </x:c>
      <x:c r="B341" s="34" t="str">
        <x:v>POSCO</x:v>
      </x:c>
      <x:c r="C341" s="34" t="str">
        <x:v>DISCLOSED_PATH</x:v>
      </x:c>
      <x:c r="D341" s="34" t="str">
        <x:v>P1</x:v>
      </x:c>
      <x:c r="E341" s="34" t="n">
        <x:v>2035</x:v>
      </x:c>
      <x:c r="F341" s="34" t="n">
        <x:v>4</x:v>
      </x:c>
      <x:c r="G341" s="34" t="n">
        <x:v>10.305598</x:v>
      </x:c>
      <x:c r="H341" s="34" t="n">
        <x:v>18</x:v>
      </x:c>
      <x:c r="I341" s="34" t="n">
        <x:v>7.694402</x:v>
      </x:c>
      <x:c r="J341" s="34" t="n">
        <x:v>57.253</x:v>
      </x:c>
      <x:c r="K341" s="34" t="n">
        <x:v>0</x:v>
      </x:c>
      <x:c r="L341" s="34" t="n">
        <x:v>1.5</x:v>
      </x:c>
      <x:c r="M341" s="34" t="n">
        <x:v>1.5</x:v>
      </x:c>
      <x:c r="N341" s="34" t="n">
        <x:v>0</x:v>
      </x:c>
      <x:c r="O341" s="34" t="n">
        <x:v>4.582039</x:v>
      </x:c>
      <x:c r="P341" s="34" t="n">
        <x:v>15</x:v>
      </x:c>
      <x:c r="Q341" s="34" t="n">
        <x:v>10.417961</x:v>
      </x:c>
      <x:c r="R341" s="34" t="n">
        <x:v>30.547</x:v>
      </x:c>
      <x:c r="S341" s="40" t="b">
        <x:v>1</x:v>
      </x:c>
      <x:c r="T341" s="34" t="str">
        <x:v>model_interpolation</x:v>
      </x:c>
      <x:c r="U341" s="34" t="str">
        <x:v>Linear interpolation from 2035 to 2040</x:v>
      </x:c>
      <x:c r="V341" s="34" t="str">
        <x:v>CAND-63781C106D5099</x:v>
      </x:c>
      <x:c r="W341" s="34" t="str">
        <x:v>P1</x:v>
      </x:c>
      <x:c r="X341" s="34" t="str">
        <x:v>PORT-41705C04BF44</x:v>
      </x:c>
      <x:c r="Y341" s="34" t="n">
        <x:v>1000</x:v>
      </x:c>
      <x:c r="Z341" s="34" t="n">
        <x:v>10.11264</x:v>
      </x:c>
      <x:c r="AA341" s="34" t="n">
        <x:v>7.784491</x:v>
      </x:c>
      <x:c r="AB341" s="34" t="n">
        <x:v>234.011233</x:v>
      </x:c>
      <x:c r="AC341" s="34" t="n">
        <x:v>2160.761</x:v>
      </x:c>
      <x:c r="AD341" s="34" t="n">
        <x:v>9.233578</x:v>
      </x:c>
      <x:c r="AE341" s="40" t="b">
        <x:v>1</x:v>
      </x:c>
      <x:c r="AF341" s="40" t="b">
        <x:v>1</x:v>
      </x:c>
      <x:c r="AG341" s="34" t="str"/>
      <x:c r="AH341" s="34" t="n">
        <x:v>0</x:v>
      </x:c>
      <x:c r="AI341" s="34" t="str">
        <x:v>2.0275124185786808e-05</x:v>
      </x:c>
      <x:c r="AJ341" s="40" t="b">
        <x:v>1</x:v>
      </x:c>
      <x:c r="AK341" s="40" t="b">
        <x:v>1</x:v>
      </x:c>
      <x:c r="AL341" s="40" t="b">
        <x:v>1</x:v>
      </x:c>
      <x:c r="AM341" s="40" t="b">
        <x:v>1</x:v>
      </x:c>
      <x:c r="AN341" s="34" t="str"/>
      <x:c r="AO341" s="34" t="n">
        <x:v>0</x:v>
      </x:c>
      <x:c r="AP341" s="34" t="n">
        <x:v>0</x:v>
      </x:c>
      <x:c r="AQ341" s="34" t="n">
        <x:v>0</x:v>
      </x:c>
      <x:c r="AR341" s="34" t="n">
        <x:v>2</x:v>
      </x:c>
      <x:c r="AS341" s="34" t="n">
        <x:v>3</x:v>
      </x:c>
      <x:c r="AT341" s="34" t="n">
        <x:v>0.2589598719999999</x:v>
      </x:c>
      <x:c r="AU341" s="34" t="n">
        <x:v>0.65</x:v>
      </x:c>
      <x:c r="AV341" s="34" t="n">
        <x:v>0.7399999999999999</x:v>
      </x:c>
    </x:row>
    <x:row r="342">
      <x:c r="A342" s="34" t="str">
        <x:v>POSCO_KR</x:v>
      </x:c>
      <x:c r="B342" s="34" t="str">
        <x:v>POSCO</x:v>
      </x:c>
      <x:c r="C342" s="34" t="str">
        <x:v>DISCLOSED_PATH</x:v>
      </x:c>
      <x:c r="D342" s="34" t="str">
        <x:v>P1</x:v>
      </x:c>
      <x:c r="E342" s="34" t="n">
        <x:v>2036</x:v>
      </x:c>
      <x:c r="F342" s="34" t="n">
        <x:v>4</x:v>
      </x:c>
      <x:c r="G342" s="34" t="n">
        <x:v>10.305598</x:v>
      </x:c>
      <x:c r="H342" s="34" t="n">
        <x:v>19.4</x:v>
      </x:c>
      <x:c r="I342" s="34" t="n">
        <x:v>9.094402</x:v>
      </x:c>
      <x:c r="J342" s="34" t="n">
        <x:v>53.122</x:v>
      </x:c>
      <x:c r="K342" s="34" t="n">
        <x:v>0</x:v>
      </x:c>
      <x:c r="L342" s="34" t="n">
        <x:v>1.8</x:v>
      </x:c>
      <x:c r="M342" s="34" t="n">
        <x:v>1.8</x:v>
      </x:c>
      <x:c r="N342" s="34" t="n">
        <x:v>0</x:v>
      </x:c>
      <x:c r="O342" s="34" t="n">
        <x:v>4.582039</x:v>
      </x:c>
      <x:c r="P342" s="34" t="n">
        <x:v>17</x:v>
      </x:c>
      <x:c r="Q342" s="34" t="n">
        <x:v>12.417961</x:v>
      </x:c>
      <x:c r="R342" s="34" t="n">
        <x:v>26.953</x:v>
      </x:c>
      <x:c r="S342" s="40" t="b">
        <x:v>1</x:v>
      </x:c>
      <x:c r="T342" s="34" t="str">
        <x:v>model_interpolation</x:v>
      </x:c>
      <x:c r="U342" s="34" t="str">
        <x:v>Linear interpolation from 2035 to 2040</x:v>
      </x:c>
      <x:c r="V342" s="34" t="str">
        <x:v>CAND-63781C106D5099</x:v>
      </x:c>
      <x:c r="W342" s="34" t="str">
        <x:v>P1</x:v>
      </x:c>
      <x:c r="X342" s="34" t="str">
        <x:v>PORT-41705C04BF44</x:v>
      </x:c>
      <x:c r="Y342" s="34" t="n">
        <x:v>1000</x:v>
      </x:c>
      <x:c r="Z342" s="34" t="n">
        <x:v>10.11264</x:v>
      </x:c>
      <x:c r="AA342" s="34" t="n">
        <x:v>7.784491</x:v>
      </x:c>
      <x:c r="AB342" s="34" t="n">
        <x:v>234.011233</x:v>
      </x:c>
      <x:c r="AC342" s="34" t="n">
        <x:v>2160.761</x:v>
      </x:c>
      <x:c r="AD342" s="34" t="n">
        <x:v>9.233578</x:v>
      </x:c>
      <x:c r="AE342" s="40" t="b">
        <x:v>1</x:v>
      </x:c>
      <x:c r="AF342" s="40" t="b">
        <x:v>1</x:v>
      </x:c>
      <x:c r="AG342" s="34" t="str"/>
      <x:c r="AH342" s="34" t="n">
        <x:v>0</x:v>
      </x:c>
      <x:c r="AI342" s="34" t="str">
        <x:v>2.0275124185786808e-05</x:v>
      </x:c>
      <x:c r="AJ342" s="40" t="b">
        <x:v>1</x:v>
      </x:c>
      <x:c r="AK342" s="40" t="b">
        <x:v>1</x:v>
      </x:c>
      <x:c r="AL342" s="40" t="b">
        <x:v>1</x:v>
      </x:c>
      <x:c r="AM342" s="40" t="b">
        <x:v>1</x:v>
      </x:c>
      <x:c r="AN342" s="34" t="str"/>
      <x:c r="AO342" s="34" t="n">
        <x:v>0</x:v>
      </x:c>
      <x:c r="AP342" s="34" t="n">
        <x:v>0</x:v>
      </x:c>
      <x:c r="AQ342" s="34" t="n">
        <x:v>0</x:v>
      </x:c>
      <x:c r="AR342" s="34" t="n">
        <x:v>2</x:v>
      </x:c>
      <x:c r="AS342" s="34" t="n">
        <x:v>3</x:v>
      </x:c>
      <x:c r="AT342" s="34" t="n">
        <x:v>0.2589598719999999</x:v>
      </x:c>
      <x:c r="AU342" s="34" t="n">
        <x:v>0.65</x:v>
      </x:c>
      <x:c r="AV342" s="34" t="n">
        <x:v>0.7399999999999999</x:v>
      </x:c>
    </x:row>
    <x:row r="343">
      <x:c r="A343" s="34" t="str">
        <x:v>POSCO_KR</x:v>
      </x:c>
      <x:c r="B343" s="34" t="str">
        <x:v>POSCO</x:v>
      </x:c>
      <x:c r="C343" s="34" t="str">
        <x:v>DISCLOSED_PATH</x:v>
      </x:c>
      <x:c r="D343" s="34" t="str">
        <x:v>P1</x:v>
      </x:c>
      <x:c r="E343" s="34" t="n">
        <x:v>2037</x:v>
      </x:c>
      <x:c r="F343" s="34" t="n">
        <x:v>5</x:v>
      </x:c>
      <x:c r="G343" s="34" t="n">
        <x:v>18.858295</x:v>
      </x:c>
      <x:c r="H343" s="34" t="n">
        <x:v>20.8</x:v>
      </x:c>
      <x:c r="I343" s="34" t="n">
        <x:v>1.941705</x:v>
      </x:c>
      <x:c r="J343" s="34" t="n">
        <x:v>90.665</x:v>
      </x:c>
      <x:c r="K343" s="34" t="n">
        <x:v>0</x:v>
      </x:c>
      <x:c r="L343" s="34" t="n">
        <x:v>2.1</x:v>
      </x:c>
      <x:c r="M343" s="34" t="n">
        <x:v>2.1</x:v>
      </x:c>
      <x:c r="N343" s="34" t="n">
        <x:v>0</x:v>
      </x:c>
      <x:c r="O343" s="34" t="n">
        <x:v>9.998747</x:v>
      </x:c>
      <x:c r="P343" s="34" t="n">
        <x:v>19</x:v>
      </x:c>
      <x:c r="Q343" s="34" t="n">
        <x:v>9.001253</x:v>
      </x:c>
      <x:c r="R343" s="34" t="n">
        <x:v>52.625</x:v>
      </x:c>
      <x:c r="S343" s="40" t="b">
        <x:v>1</x:v>
      </x:c>
      <x:c r="T343" s="34" t="str">
        <x:v>model_interpolation</x:v>
      </x:c>
      <x:c r="U343" s="34" t="str">
        <x:v>Linear interpolation from 2035 to 2040</x:v>
      </x:c>
      <x:c r="V343" s="34" t="str">
        <x:v>CAND-63781C106D5099</x:v>
      </x:c>
      <x:c r="W343" s="34" t="str">
        <x:v>P1</x:v>
      </x:c>
      <x:c r="X343" s="34" t="str">
        <x:v>PORT-41705C04BF44</x:v>
      </x:c>
      <x:c r="Y343" s="34" t="n">
        <x:v>1000</x:v>
      </x:c>
      <x:c r="Z343" s="34" t="n">
        <x:v>10.11264</x:v>
      </x:c>
      <x:c r="AA343" s="34" t="n">
        <x:v>7.784491</x:v>
      </x:c>
      <x:c r="AB343" s="34" t="n">
        <x:v>234.011233</x:v>
      </x:c>
      <x:c r="AC343" s="34" t="n">
        <x:v>2160.761</x:v>
      </x:c>
      <x:c r="AD343" s="34" t="n">
        <x:v>9.233578</x:v>
      </x:c>
      <x:c r="AE343" s="40" t="b">
        <x:v>1</x:v>
      </x:c>
      <x:c r="AF343" s="40" t="b">
        <x:v>1</x:v>
      </x:c>
      <x:c r="AG343" s="34" t="str"/>
      <x:c r="AH343" s="34" t="n">
        <x:v>0</x:v>
      </x:c>
      <x:c r="AI343" s="34" t="str">
        <x:v>2.0275124185786808e-05</x:v>
      </x:c>
      <x:c r="AJ343" s="40" t="b">
        <x:v>1</x:v>
      </x:c>
      <x:c r="AK343" s="40" t="b">
        <x:v>1</x:v>
      </x:c>
      <x:c r="AL343" s="40" t="b">
        <x:v>1</x:v>
      </x:c>
      <x:c r="AM343" s="40" t="b">
        <x:v>1</x:v>
      </x:c>
      <x:c r="AN343" s="34" t="str"/>
      <x:c r="AO343" s="34" t="n">
        <x:v>0</x:v>
      </x:c>
      <x:c r="AP343" s="34" t="n">
        <x:v>0</x:v>
      </x:c>
      <x:c r="AQ343" s="34" t="n">
        <x:v>0</x:v>
      </x:c>
      <x:c r="AR343" s="34" t="n">
        <x:v>2</x:v>
      </x:c>
      <x:c r="AS343" s="34" t="n">
        <x:v>3</x:v>
      </x:c>
      <x:c r="AT343" s="34" t="n">
        <x:v>0.2589598719999999</x:v>
      </x:c>
      <x:c r="AU343" s="34" t="n">
        <x:v>0.65</x:v>
      </x:c>
      <x:c r="AV343" s="34" t="n">
        <x:v>0.7399999999999999</x:v>
      </x:c>
    </x:row>
    <x:row r="344">
      <x:c r="A344" s="34" t="str">
        <x:v>POSCO_KR</x:v>
      </x:c>
      <x:c r="B344" s="34" t="str">
        <x:v>POSCO</x:v>
      </x:c>
      <x:c r="C344" s="34" t="str">
        <x:v>DISCLOSED_PATH</x:v>
      </x:c>
      <x:c r="D344" s="34" t="str">
        <x:v>P1</x:v>
      </x:c>
      <x:c r="E344" s="34" t="n">
        <x:v>2038</x:v>
      </x:c>
      <x:c r="F344" s="34" t="n">
        <x:v>5</x:v>
      </x:c>
      <x:c r="G344" s="34" t="n">
        <x:v>18.858295</x:v>
      </x:c>
      <x:c r="H344" s="34" t="n">
        <x:v>22.2</x:v>
      </x:c>
      <x:c r="I344" s="34" t="n">
        <x:v>3.341705</x:v>
      </x:c>
      <x:c r="J344" s="34" t="n">
        <x:v>84.947</x:v>
      </x:c>
      <x:c r="K344" s="34" t="n">
        <x:v>0</x:v>
      </x:c>
      <x:c r="L344" s="34" t="n">
        <x:v>2.4</x:v>
      </x:c>
      <x:c r="M344" s="34" t="n">
        <x:v>2.4</x:v>
      </x:c>
      <x:c r="N344" s="34" t="n">
        <x:v>0</x:v>
      </x:c>
      <x:c r="O344" s="34" t="n">
        <x:v>9.998747</x:v>
      </x:c>
      <x:c r="P344" s="34" t="n">
        <x:v>21</x:v>
      </x:c>
      <x:c r="Q344" s="34" t="n">
        <x:v>11.001253</x:v>
      </x:c>
      <x:c r="R344" s="34" t="n">
        <x:v>47.613</x:v>
      </x:c>
      <x:c r="S344" s="40" t="b">
        <x:v>1</x:v>
      </x:c>
      <x:c r="T344" s="34" t="str">
        <x:v>model_interpolation</x:v>
      </x:c>
      <x:c r="U344" s="34" t="str">
        <x:v>Linear interpolation from 2035 to 2040</x:v>
      </x:c>
      <x:c r="V344" s="34" t="str">
        <x:v>CAND-63781C106D5099</x:v>
      </x:c>
      <x:c r="W344" s="34" t="str">
        <x:v>P1</x:v>
      </x:c>
      <x:c r="X344" s="34" t="str">
        <x:v>PORT-41705C04BF44</x:v>
      </x:c>
      <x:c r="Y344" s="34" t="n">
        <x:v>1000</x:v>
      </x:c>
      <x:c r="Z344" s="34" t="n">
        <x:v>10.11264</x:v>
      </x:c>
      <x:c r="AA344" s="34" t="n">
        <x:v>7.784491</x:v>
      </x:c>
      <x:c r="AB344" s="34" t="n">
        <x:v>234.011233</x:v>
      </x:c>
      <x:c r="AC344" s="34" t="n">
        <x:v>2160.761</x:v>
      </x:c>
      <x:c r="AD344" s="34" t="n">
        <x:v>9.233578</x:v>
      </x:c>
      <x:c r="AE344" s="40" t="b">
        <x:v>1</x:v>
      </x:c>
      <x:c r="AF344" s="40" t="b">
        <x:v>1</x:v>
      </x:c>
      <x:c r="AG344" s="34" t="str"/>
      <x:c r="AH344" s="34" t="n">
        <x:v>0</x:v>
      </x:c>
      <x:c r="AI344" s="34" t="str">
        <x:v>2.0275124185786808e-05</x:v>
      </x:c>
      <x:c r="AJ344" s="40" t="b">
        <x:v>1</x:v>
      </x:c>
      <x:c r="AK344" s="40" t="b">
        <x:v>1</x:v>
      </x:c>
      <x:c r="AL344" s="40" t="b">
        <x:v>1</x:v>
      </x:c>
      <x:c r="AM344" s="40" t="b">
        <x:v>1</x:v>
      </x:c>
      <x:c r="AN344" s="34" t="str"/>
      <x:c r="AO344" s="34" t="n">
        <x:v>0</x:v>
      </x:c>
      <x:c r="AP344" s="34" t="n">
        <x:v>0</x:v>
      </x:c>
      <x:c r="AQ344" s="34" t="n">
        <x:v>0</x:v>
      </x:c>
      <x:c r="AR344" s="34" t="n">
        <x:v>2</x:v>
      </x:c>
      <x:c r="AS344" s="34" t="n">
        <x:v>3</x:v>
      </x:c>
      <x:c r="AT344" s="34" t="n">
        <x:v>0.2589598719999999</x:v>
      </x:c>
      <x:c r="AU344" s="34" t="n">
        <x:v>0.65</x:v>
      </x:c>
      <x:c r="AV344" s="34" t="n">
        <x:v>0.7399999999999999</x:v>
      </x:c>
    </x:row>
    <x:row r="345">
      <x:c r="A345" s="34" t="str">
        <x:v>POSCO_KR</x:v>
      </x:c>
      <x:c r="B345" s="34" t="str">
        <x:v>POSCO</x:v>
      </x:c>
      <x:c r="C345" s="34" t="str">
        <x:v>DISCLOSED_PATH</x:v>
      </x:c>
      <x:c r="D345" s="34" t="str">
        <x:v>P1</x:v>
      </x:c>
      <x:c r="E345" s="34" t="n">
        <x:v>2039</x:v>
      </x:c>
      <x:c r="F345" s="34" t="n">
        <x:v>5</x:v>
      </x:c>
      <x:c r="G345" s="34" t="n">
        <x:v>18.858295</x:v>
      </x:c>
      <x:c r="H345" s="34" t="n">
        <x:v>23.6</x:v>
      </x:c>
      <x:c r="I345" s="34" t="n">
        <x:v>4.741705</x:v>
      </x:c>
      <x:c r="J345" s="34" t="n">
        <x:v>79.908</x:v>
      </x:c>
      <x:c r="K345" s="34" t="n">
        <x:v>0</x:v>
      </x:c>
      <x:c r="L345" s="34" t="n">
        <x:v>2.7</x:v>
      </x:c>
      <x:c r="M345" s="34" t="n">
        <x:v>2.7</x:v>
      </x:c>
      <x:c r="N345" s="34" t="n">
        <x:v>0</x:v>
      </x:c>
      <x:c r="O345" s="34" t="n">
        <x:v>9.998747</x:v>
      </x:c>
      <x:c r="P345" s="34" t="n">
        <x:v>23</x:v>
      </x:c>
      <x:c r="Q345" s="34" t="n">
        <x:v>13.001253</x:v>
      </x:c>
      <x:c r="R345" s="34" t="n">
        <x:v>43.473</x:v>
      </x:c>
      <x:c r="S345" s="40" t="b">
        <x:v>1</x:v>
      </x:c>
      <x:c r="T345" s="34" t="str">
        <x:v>model_interpolation</x:v>
      </x:c>
      <x:c r="U345" s="34" t="str">
        <x:v>Linear interpolation from 2035 to 2040</x:v>
      </x:c>
      <x:c r="V345" s="34" t="str">
        <x:v>CAND-63781C106D5099</x:v>
      </x:c>
      <x:c r="W345" s="34" t="str">
        <x:v>P1</x:v>
      </x:c>
      <x:c r="X345" s="34" t="str">
        <x:v>PORT-41705C04BF44</x:v>
      </x:c>
      <x:c r="Y345" s="34" t="n">
        <x:v>1000</x:v>
      </x:c>
      <x:c r="Z345" s="34" t="n">
        <x:v>10.11264</x:v>
      </x:c>
      <x:c r="AA345" s="34" t="n">
        <x:v>7.784491</x:v>
      </x:c>
      <x:c r="AB345" s="34" t="n">
        <x:v>234.011233</x:v>
      </x:c>
      <x:c r="AC345" s="34" t="n">
        <x:v>2160.761</x:v>
      </x:c>
      <x:c r="AD345" s="34" t="n">
        <x:v>9.233578</x:v>
      </x:c>
      <x:c r="AE345" s="40" t="b">
        <x:v>1</x:v>
      </x:c>
      <x:c r="AF345" s="40" t="b">
        <x:v>1</x:v>
      </x:c>
      <x:c r="AG345" s="34" t="str"/>
      <x:c r="AH345" s="34" t="n">
        <x:v>0</x:v>
      </x:c>
      <x:c r="AI345" s="34" t="str">
        <x:v>2.0275124185786808e-05</x:v>
      </x:c>
      <x:c r="AJ345" s="40" t="b">
        <x:v>1</x:v>
      </x:c>
      <x:c r="AK345" s="40" t="b">
        <x:v>1</x:v>
      </x:c>
      <x:c r="AL345" s="40" t="b">
        <x:v>1</x:v>
      </x:c>
      <x:c r="AM345" s="40" t="b">
        <x:v>1</x:v>
      </x:c>
      <x:c r="AN345" s="34" t="str"/>
      <x:c r="AO345" s="34" t="n">
        <x:v>0</x:v>
      </x:c>
      <x:c r="AP345" s="34" t="n">
        <x:v>0</x:v>
      </x:c>
      <x:c r="AQ345" s="34" t="n">
        <x:v>0</x:v>
      </x:c>
      <x:c r="AR345" s="34" t="n">
        <x:v>2</x:v>
      </x:c>
      <x:c r="AS345" s="34" t="n">
        <x:v>3</x:v>
      </x:c>
      <x:c r="AT345" s="34" t="n">
        <x:v>0.2589598719999999</x:v>
      </x:c>
      <x:c r="AU345" s="34" t="n">
        <x:v>0.65</x:v>
      </x:c>
      <x:c r="AV345" s="34" t="n">
        <x:v>0.7399999999999999</x:v>
      </x:c>
    </x:row>
    <x:row r="346">
      <x:c r="A346" s="34" t="str">
        <x:v>POSCO_KR</x:v>
      </x:c>
      <x:c r="B346" s="34" t="str">
        <x:v>POSCO</x:v>
      </x:c>
      <x:c r="C346" s="34" t="str">
        <x:v>DISCLOSED_PATH</x:v>
      </x:c>
      <x:c r="D346" s="34" t="str">
        <x:v>P1</x:v>
      </x:c>
      <x:c r="E346" s="34" t="n">
        <x:v>2040</x:v>
      </x:c>
      <x:c r="F346" s="34" t="n">
        <x:v>5</x:v>
      </x:c>
      <x:c r="G346" s="34" t="n">
        <x:v>18.858295</x:v>
      </x:c>
      <x:c r="H346" s="34" t="n">
        <x:v>25</x:v>
      </x:c>
      <x:c r="I346" s="34" t="n">
        <x:v>6.141705</x:v>
      </x:c>
      <x:c r="J346" s="34" t="n">
        <x:v>75.433</x:v>
      </x:c>
      <x:c r="K346" s="34" t="n">
        <x:v>0</x:v>
      </x:c>
      <x:c r="L346" s="34" t="n">
        <x:v>3</x:v>
      </x:c>
      <x:c r="M346" s="34" t="n">
        <x:v>3</x:v>
      </x:c>
      <x:c r="N346" s="34" t="n">
        <x:v>0</x:v>
      </x:c>
      <x:c r="O346" s="34" t="n">
        <x:v>9.998747</x:v>
      </x:c>
      <x:c r="P346" s="34" t="n">
        <x:v>25</x:v>
      </x:c>
      <x:c r="Q346" s="34" t="n">
        <x:v>15.001253</x:v>
      </x:c>
      <x:c r="R346" s="34" t="n">
        <x:v>39.995</x:v>
      </x:c>
      <x:c r="S346" s="40" t="b">
        <x:v>1</x:v>
      </x:c>
      <x:c r="T346" s="34" t="str">
        <x:v>model_estimate</x:v>
      </x:c>
      <x:c r="U346" s="34" t="str">
        <x:v>Illustrative screening envelope; not an official supply forecast</x:v>
      </x:c>
      <x:c r="V346" s="34" t="str">
        <x:v>CAND-63781C106D5099</x:v>
      </x:c>
      <x:c r="W346" s="34" t="str">
        <x:v>P1</x:v>
      </x:c>
      <x:c r="X346" s="34" t="str">
        <x:v>PORT-41705C04BF44</x:v>
      </x:c>
      <x:c r="Y346" s="34" t="n">
        <x:v>1000</x:v>
      </x:c>
      <x:c r="Z346" s="34" t="n">
        <x:v>10.11264</x:v>
      </x:c>
      <x:c r="AA346" s="34" t="n">
        <x:v>7.784491</x:v>
      </x:c>
      <x:c r="AB346" s="34" t="n">
        <x:v>234.011233</x:v>
      </x:c>
      <x:c r="AC346" s="34" t="n">
        <x:v>2160.761</x:v>
      </x:c>
      <x:c r="AD346" s="34" t="n">
        <x:v>9.233578</x:v>
      </x:c>
      <x:c r="AE346" s="40" t="b">
        <x:v>1</x:v>
      </x:c>
      <x:c r="AF346" s="40" t="b">
        <x:v>1</x:v>
      </x:c>
      <x:c r="AG346" s="34" t="str"/>
      <x:c r="AH346" s="34" t="n">
        <x:v>0</x:v>
      </x:c>
      <x:c r="AI346" s="34" t="str">
        <x:v>2.0275124185786808e-05</x:v>
      </x:c>
      <x:c r="AJ346" s="40" t="b">
        <x:v>1</x:v>
      </x:c>
      <x:c r="AK346" s="40" t="b">
        <x:v>1</x:v>
      </x:c>
      <x:c r="AL346" s="40" t="b">
        <x:v>1</x:v>
      </x:c>
      <x:c r="AM346" s="40" t="b">
        <x:v>1</x:v>
      </x:c>
      <x:c r="AN346" s="34" t="str"/>
      <x:c r="AO346" s="34" t="n">
        <x:v>0</x:v>
      </x:c>
      <x:c r="AP346" s="34" t="n">
        <x:v>0</x:v>
      </x:c>
      <x:c r="AQ346" s="34" t="n">
        <x:v>0</x:v>
      </x:c>
      <x:c r="AR346" s="34" t="n">
        <x:v>2</x:v>
      </x:c>
      <x:c r="AS346" s="34" t="n">
        <x:v>3</x:v>
      </x:c>
      <x:c r="AT346" s="34" t="n">
        <x:v>0.2589598719999999</x:v>
      </x:c>
      <x:c r="AU346" s="34" t="n">
        <x:v>0.65</x:v>
      </x:c>
      <x:c r="AV346" s="34" t="n">
        <x:v>0.7399999999999999</x:v>
      </x:c>
    </x:row>
    <x:row r="347">
      <x:c r="A347" s="34" t="str">
        <x:v>POSCO_KR</x:v>
      </x:c>
      <x:c r="B347" s="34" t="str">
        <x:v>POSCO</x:v>
      </x:c>
      <x:c r="C347" s="34" t="str">
        <x:v>ACCELERATED_15C</x:v>
      </x:c>
      <x:c r="D347" s="34" t="str">
        <x:v>P1</x:v>
      </x:c>
      <x:c r="E347" s="34" t="n">
        <x:v>2026</x:v>
      </x:c>
      <x:c r="F347" s="34" t="n">
        <x:v>0</x:v>
      </x:c>
      <x:c r="G347" s="34" t="n">
        <x:v>0</x:v>
      </x:c>
      <x:c r="H347" s="34" t="n">
        <x:v>8</x:v>
      </x:c>
      <x:c r="I347" s="34" t="n">
        <x:v>8</x:v>
      </x:c>
      <x:c r="J347" s="34" t="n">
        <x:v>0</x:v>
      </x:c>
      <x:c r="K347" s="34" t="n">
        <x:v>0</x:v>
      </x:c>
      <x:c r="L347" s="34" t="n">
        <x:v>0.1</x:v>
      </x:c>
      <x:c r="M347" s="34" t="n">
        <x:v>0.1</x:v>
      </x:c>
      <x:c r="N347" s="34" t="n">
        <x:v>0</x:v>
      </x:c>
      <x:c r="O347" s="34" t="n">
        <x:v>0</x:v>
      </x:c>
      <x:c r="P347" s="34" t="n">
        <x:v>2</x:v>
      </x:c>
      <x:c r="Q347" s="34" t="n">
        <x:v>2</x:v>
      </x:c>
      <x:c r="R347" s="34" t="n">
        <x:v>0</x:v>
      </x:c>
      <x:c r="S347" s="40" t="b">
        <x:v>1</x:v>
      </x:c>
      <x:c r="T347" s="34" t="str">
        <x:v>model_interpolation</x:v>
      </x:c>
      <x:c r="U347" s="34" t="str">
        <x:v>Linear interpolation from 2026 to 2030</x:v>
      </x:c>
      <x:c r="V347" s="34" t="str">
        <x:v>CAND-63781C106D5099</x:v>
      </x:c>
      <x:c r="W347" s="34" t="str">
        <x:v>P1</x:v>
      </x:c>
      <x:c r="X347" s="34" t="str">
        <x:v>PORT-41705C04BF44</x:v>
      </x:c>
      <x:c r="Y347" s="34" t="n">
        <x:v>1000</x:v>
      </x:c>
      <x:c r="Z347" s="34" t="n">
        <x:v>-4.634224</x:v>
      </x:c>
      <x:c r="AA347" s="34" t="n">
        <x:v>8.247921</x:v>
      </x:c>
      <x:c r="AB347" s="34" t="n">
        <x:v>234.011233</x:v>
      </x:c>
      <x:c r="AC347" s="34" t="n">
        <x:v>-1300.659</x:v>
      </x:c>
      <x:c r="AD347" s="34" t="n">
        <x:v>-5.558105</x:v>
      </x:c>
      <x:c r="AE347" s="40" t="b">
        <x:v>0</x:v>
      </x:c>
      <x:c r="AF347" s="40" t="b">
        <x:v>0</x:v>
      </x:c>
      <x:c r="AG347" s="34" t="n">
        <x:v>2035</x:v>
      </x:c>
      <x:c r="AH347" s="34" t="n">
        <x:v>19.079746585000006</x:v>
      </x:c>
      <x:c r="AI347" s="34" t="n">
        <x:v>-19.079746585000006</x:v>
      </x:c>
      <x:c r="AJ347" s="40" t="b">
        <x:v>1</x:v>
      </x:c>
      <x:c r="AK347" s="40" t="b">
        <x:v>1</x:v>
      </x:c>
      <x:c r="AL347" s="40" t="b">
        <x:v>1</x:v>
      </x:c>
      <x:c r="AM347" s="40" t="b">
        <x:v>1</x:v>
      </x:c>
      <x:c r="AN347" s="34" t="str"/>
      <x:c r="AO347" s="34" t="n">
        <x:v>0</x:v>
      </x:c>
      <x:c r="AP347" s="34" t="n">
        <x:v>0</x:v>
      </x:c>
      <x:c r="AQ347" s="34" t="n">
        <x:v>0</x:v>
      </x:c>
      <x:c r="AR347" s="34" t="n">
        <x:v>2</x:v>
      </x:c>
      <x:c r="AS347" s="34" t="n">
        <x:v>3</x:v>
      </x:c>
      <x:c r="AT347" s="34" t="n">
        <x:v>0.2589598719999999</x:v>
      </x:c>
      <x:c r="AU347" s="34" t="n">
        <x:v>0.65</x:v>
      </x:c>
      <x:c r="AV347" s="34" t="n">
        <x:v>0.7399999999999999</x:v>
      </x:c>
    </x:row>
    <x:row r="348">
      <x:c r="A348" s="34" t="str">
        <x:v>POSCO_KR</x:v>
      </x:c>
      <x:c r="B348" s="34" t="str">
        <x:v>POSCO</x:v>
      </x:c>
      <x:c r="C348" s="34" t="str">
        <x:v>ACCELERATED_15C</x:v>
      </x:c>
      <x:c r="D348" s="34" t="str">
        <x:v>P1</x:v>
      </x:c>
      <x:c r="E348" s="34" t="n">
        <x:v>2027</x:v>
      </x:c>
      <x:c r="F348" s="34" t="n">
        <x:v>0</x:v>
      </x:c>
      <x:c r="G348" s="34" t="n">
        <x:v>0</x:v>
      </x:c>
      <x:c r="H348" s="34" t="n">
        <x:v>9.75</x:v>
      </x:c>
      <x:c r="I348" s="34" t="n">
        <x:v>9.75</x:v>
      </x:c>
      <x:c r="J348" s="34" t="n">
        <x:v>0</x:v>
      </x:c>
      <x:c r="K348" s="34" t="n">
        <x:v>0</x:v>
      </x:c>
      <x:c r="L348" s="34" t="n">
        <x:v>0.275</x:v>
      </x:c>
      <x:c r="M348" s="34" t="n">
        <x:v>0.275</x:v>
      </x:c>
      <x:c r="N348" s="34" t="n">
        <x:v>0</x:v>
      </x:c>
      <x:c r="O348" s="34" t="n">
        <x:v>0</x:v>
      </x:c>
      <x:c r="P348" s="34" t="n">
        <x:v>4</x:v>
      </x:c>
      <x:c r="Q348" s="34" t="n">
        <x:v>4</x:v>
      </x:c>
      <x:c r="R348" s="34" t="n">
        <x:v>0</x:v>
      </x:c>
      <x:c r="S348" s="40" t="b">
        <x:v>1</x:v>
      </x:c>
      <x:c r="T348" s="34" t="str">
        <x:v>model_interpolation</x:v>
      </x:c>
      <x:c r="U348" s="34" t="str">
        <x:v>Linear interpolation from 2026 to 2030</x:v>
      </x:c>
      <x:c r="V348" s="34" t="str">
        <x:v>CAND-63781C106D5099</x:v>
      </x:c>
      <x:c r="W348" s="34" t="str">
        <x:v>P1</x:v>
      </x:c>
      <x:c r="X348" s="34" t="str">
        <x:v>PORT-41705C04BF44</x:v>
      </x:c>
      <x:c r="Y348" s="34" t="n">
        <x:v>1000</x:v>
      </x:c>
      <x:c r="Z348" s="34" t="n">
        <x:v>-4.634224</x:v>
      </x:c>
      <x:c r="AA348" s="34" t="n">
        <x:v>8.247921</x:v>
      </x:c>
      <x:c r="AB348" s="34" t="n">
        <x:v>234.011233</x:v>
      </x:c>
      <x:c r="AC348" s="34" t="n">
        <x:v>-1300.659</x:v>
      </x:c>
      <x:c r="AD348" s="34" t="n">
        <x:v>-5.558105</x:v>
      </x:c>
      <x:c r="AE348" s="40" t="b">
        <x:v>0</x:v>
      </x:c>
      <x:c r="AF348" s="40" t="b">
        <x:v>0</x:v>
      </x:c>
      <x:c r="AG348" s="34" t="n">
        <x:v>2035</x:v>
      </x:c>
      <x:c r="AH348" s="34" t="n">
        <x:v>19.079746585000006</x:v>
      </x:c>
      <x:c r="AI348" s="34" t="n">
        <x:v>-19.079746585000006</x:v>
      </x:c>
      <x:c r="AJ348" s="40" t="b">
        <x:v>1</x:v>
      </x:c>
      <x:c r="AK348" s="40" t="b">
        <x:v>1</x:v>
      </x:c>
      <x:c r="AL348" s="40" t="b">
        <x:v>1</x:v>
      </x:c>
      <x:c r="AM348" s="40" t="b">
        <x:v>1</x:v>
      </x:c>
      <x:c r="AN348" s="34" t="str"/>
      <x:c r="AO348" s="34" t="n">
        <x:v>0</x:v>
      </x:c>
      <x:c r="AP348" s="34" t="n">
        <x:v>0</x:v>
      </x:c>
      <x:c r="AQ348" s="34" t="n">
        <x:v>0</x:v>
      </x:c>
      <x:c r="AR348" s="34" t="n">
        <x:v>2</x:v>
      </x:c>
      <x:c r="AS348" s="34" t="n">
        <x:v>3</x:v>
      </x:c>
      <x:c r="AT348" s="34" t="n">
        <x:v>0.2589598719999999</x:v>
      </x:c>
      <x:c r="AU348" s="34" t="n">
        <x:v>0.65</x:v>
      </x:c>
      <x:c r="AV348" s="34" t="n">
        <x:v>0.7399999999999999</x:v>
      </x:c>
    </x:row>
    <x:row r="349">
      <x:c r="A349" s="34" t="str">
        <x:v>POSCO_KR</x:v>
      </x:c>
      <x:c r="B349" s="34" t="str">
        <x:v>POSCO</x:v>
      </x:c>
      <x:c r="C349" s="34" t="str">
        <x:v>ACCELERATED_15C</x:v>
      </x:c>
      <x:c r="D349" s="34" t="str">
        <x:v>P1</x:v>
      </x:c>
      <x:c r="E349" s="34" t="n">
        <x:v>2028</x:v>
      </x:c>
      <x:c r="F349" s="34" t="n">
        <x:v>0</x:v>
      </x:c>
      <x:c r="G349" s="34" t="n">
        <x:v>0</x:v>
      </x:c>
      <x:c r="H349" s="34" t="n">
        <x:v>11.5</x:v>
      </x:c>
      <x:c r="I349" s="34" t="n">
        <x:v>11.5</x:v>
      </x:c>
      <x:c r="J349" s="34" t="n">
        <x:v>0</x:v>
      </x:c>
      <x:c r="K349" s="34" t="n">
        <x:v>0</x:v>
      </x:c>
      <x:c r="L349" s="34" t="n">
        <x:v>0.45000000000000007</x:v>
      </x:c>
      <x:c r="M349" s="34" t="n">
        <x:v>0.45</x:v>
      </x:c>
      <x:c r="N349" s="34" t="n">
        <x:v>0</x:v>
      </x:c>
      <x:c r="O349" s="34" t="n">
        <x:v>0</x:v>
      </x:c>
      <x:c r="P349" s="34" t="n">
        <x:v>6</x:v>
      </x:c>
      <x:c r="Q349" s="34" t="n">
        <x:v>6</x:v>
      </x:c>
      <x:c r="R349" s="34" t="n">
        <x:v>0</x:v>
      </x:c>
      <x:c r="S349" s="40" t="b">
        <x:v>1</x:v>
      </x:c>
      <x:c r="T349" s="34" t="str">
        <x:v>model_interpolation</x:v>
      </x:c>
      <x:c r="U349" s="34" t="str">
        <x:v>Linear interpolation from 2026 to 2030</x:v>
      </x:c>
      <x:c r="V349" s="34" t="str">
        <x:v>CAND-63781C106D5099</x:v>
      </x:c>
      <x:c r="W349" s="34" t="str">
        <x:v>P1</x:v>
      </x:c>
      <x:c r="X349" s="34" t="str">
        <x:v>PORT-41705C04BF44</x:v>
      </x:c>
      <x:c r="Y349" s="34" t="n">
        <x:v>1000</x:v>
      </x:c>
      <x:c r="Z349" s="34" t="n">
        <x:v>-4.634224</x:v>
      </x:c>
      <x:c r="AA349" s="34" t="n">
        <x:v>8.247921</x:v>
      </x:c>
      <x:c r="AB349" s="34" t="n">
        <x:v>234.011233</x:v>
      </x:c>
      <x:c r="AC349" s="34" t="n">
        <x:v>-1300.659</x:v>
      </x:c>
      <x:c r="AD349" s="34" t="n">
        <x:v>-5.558105</x:v>
      </x:c>
      <x:c r="AE349" s="40" t="b">
        <x:v>0</x:v>
      </x:c>
      <x:c r="AF349" s="40" t="b">
        <x:v>0</x:v>
      </x:c>
      <x:c r="AG349" s="34" t="n">
        <x:v>2035</x:v>
      </x:c>
      <x:c r="AH349" s="34" t="n">
        <x:v>19.079746585000006</x:v>
      </x:c>
      <x:c r="AI349" s="34" t="n">
        <x:v>-19.079746585000006</x:v>
      </x:c>
      <x:c r="AJ349" s="40" t="b">
        <x:v>1</x:v>
      </x:c>
      <x:c r="AK349" s="40" t="b">
        <x:v>1</x:v>
      </x:c>
      <x:c r="AL349" s="40" t="b">
        <x:v>1</x:v>
      </x:c>
      <x:c r="AM349" s="40" t="b">
        <x:v>1</x:v>
      </x:c>
      <x:c r="AN349" s="34" t="str"/>
      <x:c r="AO349" s="34" t="n">
        <x:v>0</x:v>
      </x:c>
      <x:c r="AP349" s="34" t="n">
        <x:v>0</x:v>
      </x:c>
      <x:c r="AQ349" s="34" t="n">
        <x:v>0</x:v>
      </x:c>
      <x:c r="AR349" s="34" t="n">
        <x:v>2</x:v>
      </x:c>
      <x:c r="AS349" s="34" t="n">
        <x:v>3</x:v>
      </x:c>
      <x:c r="AT349" s="34" t="n">
        <x:v>0.2589598719999999</x:v>
      </x:c>
      <x:c r="AU349" s="34" t="n">
        <x:v>0.65</x:v>
      </x:c>
      <x:c r="AV349" s="34" t="n">
        <x:v>0.7399999999999999</x:v>
      </x:c>
    </x:row>
    <x:row r="350">
      <x:c r="A350" s="34" t="str">
        <x:v>POSCO_KR</x:v>
      </x:c>
      <x:c r="B350" s="34" t="str">
        <x:v>POSCO</x:v>
      </x:c>
      <x:c r="C350" s="34" t="str">
        <x:v>ACCELERATED_15C</x:v>
      </x:c>
      <x:c r="D350" s="34" t="str">
        <x:v>P1</x:v>
      </x:c>
      <x:c r="E350" s="34" t="n">
        <x:v>2029</x:v>
      </x:c>
      <x:c r="F350" s="34" t="n">
        <x:v>1</x:v>
      </x:c>
      <x:c r="G350" s="34" t="n">
        <x:v>6.839998</x:v>
      </x:c>
      <x:c r="H350" s="34" t="n">
        <x:v>13.25</x:v>
      </x:c>
      <x:c r="I350" s="34" t="n">
        <x:v>6.410002</x:v>
      </x:c>
      <x:c r="J350" s="34" t="n">
        <x:v>51.623</x:v>
      </x:c>
      <x:c r="K350" s="34" t="n">
        <x:v>0</x:v>
      </x:c>
      <x:c r="L350" s="34" t="n">
        <x:v>0.625</x:v>
      </x:c>
      <x:c r="M350" s="34" t="n">
        <x:v>0.625</x:v>
      </x:c>
      <x:c r="N350" s="34" t="n">
        <x:v>0</x:v>
      </x:c>
      <x:c r="O350" s="34" t="n">
        <x:v>4.255999</x:v>
      </x:c>
      <x:c r="P350" s="34" t="n">
        <x:v>8</x:v>
      </x:c>
      <x:c r="Q350" s="34" t="n">
        <x:v>3.744001</x:v>
      </x:c>
      <x:c r="R350" s="34" t="n">
        <x:v>53.2</x:v>
      </x:c>
      <x:c r="S350" s="40" t="b">
        <x:v>1</x:v>
      </x:c>
      <x:c r="T350" s="34" t="str">
        <x:v>model_interpolation</x:v>
      </x:c>
      <x:c r="U350" s="34" t="str">
        <x:v>Linear interpolation from 2026 to 2030</x:v>
      </x:c>
      <x:c r="V350" s="34" t="str">
        <x:v>CAND-63781C106D5099</x:v>
      </x:c>
      <x:c r="W350" s="34" t="str">
        <x:v>P1</x:v>
      </x:c>
      <x:c r="X350" s="34" t="str">
        <x:v>PORT-41705C04BF44</x:v>
      </x:c>
      <x:c r="Y350" s="34" t="n">
        <x:v>1000</x:v>
      </x:c>
      <x:c r="Z350" s="34" t="n">
        <x:v>-4.634224</x:v>
      </x:c>
      <x:c r="AA350" s="34" t="n">
        <x:v>8.247921</x:v>
      </x:c>
      <x:c r="AB350" s="34" t="n">
        <x:v>234.011233</x:v>
      </x:c>
      <x:c r="AC350" s="34" t="n">
        <x:v>-1300.659</x:v>
      </x:c>
      <x:c r="AD350" s="34" t="n">
        <x:v>-5.558105</x:v>
      </x:c>
      <x:c r="AE350" s="40" t="b">
        <x:v>0</x:v>
      </x:c>
      <x:c r="AF350" s="40" t="b">
        <x:v>0</x:v>
      </x:c>
      <x:c r="AG350" s="34" t="n">
        <x:v>2035</x:v>
      </x:c>
      <x:c r="AH350" s="34" t="n">
        <x:v>19.079746585000006</x:v>
      </x:c>
      <x:c r="AI350" s="34" t="n">
        <x:v>-19.079746585000006</x:v>
      </x:c>
      <x:c r="AJ350" s="40" t="b">
        <x:v>1</x:v>
      </x:c>
      <x:c r="AK350" s="40" t="b">
        <x:v>1</x:v>
      </x:c>
      <x:c r="AL350" s="40" t="b">
        <x:v>1</x:v>
      </x:c>
      <x:c r="AM350" s="40" t="b">
        <x:v>1</x:v>
      </x:c>
      <x:c r="AN350" s="34" t="str"/>
      <x:c r="AO350" s="34" t="n">
        <x:v>0</x:v>
      </x:c>
      <x:c r="AP350" s="34" t="n">
        <x:v>0</x:v>
      </x:c>
      <x:c r="AQ350" s="34" t="n">
        <x:v>0</x:v>
      </x:c>
      <x:c r="AR350" s="34" t="n">
        <x:v>2</x:v>
      </x:c>
      <x:c r="AS350" s="34" t="n">
        <x:v>3</x:v>
      </x:c>
      <x:c r="AT350" s="34" t="n">
        <x:v>0.2589598719999999</x:v>
      </x:c>
      <x:c r="AU350" s="34" t="n">
        <x:v>0.65</x:v>
      </x:c>
      <x:c r="AV350" s="34" t="n">
        <x:v>0.7399999999999999</x:v>
      </x:c>
    </x:row>
    <x:row r="351">
      <x:c r="A351" s="34" t="str">
        <x:v>POSCO_KR</x:v>
      </x:c>
      <x:c r="B351" s="34" t="str">
        <x:v>POSCO</x:v>
      </x:c>
      <x:c r="C351" s="34" t="str">
        <x:v>ACCELERATED_15C</x:v>
      </x:c>
      <x:c r="D351" s="34" t="str">
        <x:v>P1</x:v>
      </x:c>
      <x:c r="E351" s="34" t="n">
        <x:v>2030</x:v>
      </x:c>
      <x:c r="F351" s="34" t="n">
        <x:v>1</x:v>
      </x:c>
      <x:c r="G351" s="34" t="n">
        <x:v>6.839998</x:v>
      </x:c>
      <x:c r="H351" s="34" t="n">
        <x:v>15</x:v>
      </x:c>
      <x:c r="I351" s="34" t="n">
        <x:v>8.160002</x:v>
      </x:c>
      <x:c r="J351" s="34" t="n">
        <x:v>45.6</x:v>
      </x:c>
      <x:c r="K351" s="34" t="n">
        <x:v>0</x:v>
      </x:c>
      <x:c r="L351" s="34" t="n">
        <x:v>0.8</x:v>
      </x:c>
      <x:c r="M351" s="34" t="n">
        <x:v>0.8</x:v>
      </x:c>
      <x:c r="N351" s="34" t="n">
        <x:v>0</x:v>
      </x:c>
      <x:c r="O351" s="34" t="n">
        <x:v>4.255999</x:v>
      </x:c>
      <x:c r="P351" s="34" t="n">
        <x:v>10</x:v>
      </x:c>
      <x:c r="Q351" s="34" t="n">
        <x:v>5.744001</x:v>
      </x:c>
      <x:c r="R351" s="34" t="n">
        <x:v>42.56</x:v>
      </x:c>
      <x:c r="S351" s="40" t="b">
        <x:v>1</x:v>
      </x:c>
      <x:c r="T351" s="34" t="str">
        <x:v>model_interpolation</x:v>
      </x:c>
      <x:c r="U351" s="34" t="str">
        <x:v>Linear interpolation from 2030 to 2035</x:v>
      </x:c>
      <x:c r="V351" s="34" t="str">
        <x:v>CAND-63781C106D5099</x:v>
      </x:c>
      <x:c r="W351" s="34" t="str">
        <x:v>P1</x:v>
      </x:c>
      <x:c r="X351" s="34" t="str">
        <x:v>PORT-41705C04BF44</x:v>
      </x:c>
      <x:c r="Y351" s="34" t="n">
        <x:v>1000</x:v>
      </x:c>
      <x:c r="Z351" s="34" t="n">
        <x:v>-4.634224</x:v>
      </x:c>
      <x:c r="AA351" s="34" t="n">
        <x:v>8.247921</x:v>
      </x:c>
      <x:c r="AB351" s="34" t="n">
        <x:v>234.011233</x:v>
      </x:c>
      <x:c r="AC351" s="34" t="n">
        <x:v>-1300.659</x:v>
      </x:c>
      <x:c r="AD351" s="34" t="n">
        <x:v>-5.558105</x:v>
      </x:c>
      <x:c r="AE351" s="40" t="b">
        <x:v>0</x:v>
      </x:c>
      <x:c r="AF351" s="40" t="b">
        <x:v>0</x:v>
      </x:c>
      <x:c r="AG351" s="34" t="n">
        <x:v>2035</x:v>
      </x:c>
      <x:c r="AH351" s="34" t="n">
        <x:v>19.079746585000006</x:v>
      </x:c>
      <x:c r="AI351" s="34" t="n">
        <x:v>-19.079746585000006</x:v>
      </x:c>
      <x:c r="AJ351" s="40" t="b">
        <x:v>1</x:v>
      </x:c>
      <x:c r="AK351" s="40" t="b">
        <x:v>1</x:v>
      </x:c>
      <x:c r="AL351" s="40" t="b">
        <x:v>1</x:v>
      </x:c>
      <x:c r="AM351" s="40" t="b">
        <x:v>1</x:v>
      </x:c>
      <x:c r="AN351" s="34" t="str"/>
      <x:c r="AO351" s="34" t="n">
        <x:v>0</x:v>
      </x:c>
      <x:c r="AP351" s="34" t="n">
        <x:v>0</x:v>
      </x:c>
      <x:c r="AQ351" s="34" t="n">
        <x:v>0</x:v>
      </x:c>
      <x:c r="AR351" s="34" t="n">
        <x:v>2</x:v>
      </x:c>
      <x:c r="AS351" s="34" t="n">
        <x:v>3</x:v>
      </x:c>
      <x:c r="AT351" s="34" t="n">
        <x:v>0.2589598719999999</x:v>
      </x:c>
      <x:c r="AU351" s="34" t="n">
        <x:v>0.65</x:v>
      </x:c>
      <x:c r="AV351" s="34" t="n">
        <x:v>0.7399999999999999</x:v>
      </x:c>
    </x:row>
    <x:row r="352">
      <x:c r="A352" s="34" t="str">
        <x:v>POSCO_KR</x:v>
      </x:c>
      <x:c r="B352" s="34" t="str">
        <x:v>POSCO</x:v>
      </x:c>
      <x:c r="C352" s="34" t="str">
        <x:v>ACCELERATED_15C</x:v>
      </x:c>
      <x:c r="D352" s="34" t="str">
        <x:v>P1</x:v>
      </x:c>
      <x:c r="E352" s="34" t="n">
        <x:v>2031</x:v>
      </x:c>
      <x:c r="F352" s="34" t="n">
        <x:v>1</x:v>
      </x:c>
      <x:c r="G352" s="34" t="n">
        <x:v>6.839998</x:v>
      </x:c>
      <x:c r="H352" s="34" t="n">
        <x:v>16.6</x:v>
      </x:c>
      <x:c r="I352" s="34" t="n">
        <x:v>9.760002</x:v>
      </x:c>
      <x:c r="J352" s="34" t="n">
        <x:v>41.205</x:v>
      </x:c>
      <x:c r="K352" s="34" t="n">
        <x:v>0</x:v>
      </x:c>
      <x:c r="L352" s="34" t="n">
        <x:v>1.08</x:v>
      </x:c>
      <x:c r="M352" s="34" t="n">
        <x:v>1.08</x:v>
      </x:c>
      <x:c r="N352" s="34" t="n">
        <x:v>0</x:v>
      </x:c>
      <x:c r="O352" s="34" t="n">
        <x:v>4.255999</x:v>
      </x:c>
      <x:c r="P352" s="34" t="n">
        <x:v>12</x:v>
      </x:c>
      <x:c r="Q352" s="34" t="n">
        <x:v>7.744001</x:v>
      </x:c>
      <x:c r="R352" s="34" t="n">
        <x:v>35.467</x:v>
      </x:c>
      <x:c r="S352" s="40" t="b">
        <x:v>1</x:v>
      </x:c>
      <x:c r="T352" s="34" t="str">
        <x:v>model_interpolation</x:v>
      </x:c>
      <x:c r="U352" s="34" t="str">
        <x:v>Linear interpolation from 2030 to 2035</x:v>
      </x:c>
      <x:c r="V352" s="34" t="str">
        <x:v>CAND-63781C106D5099</x:v>
      </x:c>
      <x:c r="W352" s="34" t="str">
        <x:v>P1</x:v>
      </x:c>
      <x:c r="X352" s="34" t="str">
        <x:v>PORT-41705C04BF44</x:v>
      </x:c>
      <x:c r="Y352" s="34" t="n">
        <x:v>1000</x:v>
      </x:c>
      <x:c r="Z352" s="34" t="n">
        <x:v>-4.634224</x:v>
      </x:c>
      <x:c r="AA352" s="34" t="n">
        <x:v>8.247921</x:v>
      </x:c>
      <x:c r="AB352" s="34" t="n">
        <x:v>234.011233</x:v>
      </x:c>
      <x:c r="AC352" s="34" t="n">
        <x:v>-1300.659</x:v>
      </x:c>
      <x:c r="AD352" s="34" t="n">
        <x:v>-5.558105</x:v>
      </x:c>
      <x:c r="AE352" s="40" t="b">
        <x:v>0</x:v>
      </x:c>
      <x:c r="AF352" s="40" t="b">
        <x:v>0</x:v>
      </x:c>
      <x:c r="AG352" s="34" t="n">
        <x:v>2035</x:v>
      </x:c>
      <x:c r="AH352" s="34" t="n">
        <x:v>19.079746585000006</x:v>
      </x:c>
      <x:c r="AI352" s="34" t="n">
        <x:v>-19.079746585000006</x:v>
      </x:c>
      <x:c r="AJ352" s="40" t="b">
        <x:v>1</x:v>
      </x:c>
      <x:c r="AK352" s="40" t="b">
        <x:v>1</x:v>
      </x:c>
      <x:c r="AL352" s="40" t="b">
        <x:v>1</x:v>
      </x:c>
      <x:c r="AM352" s="40" t="b">
        <x:v>1</x:v>
      </x:c>
      <x:c r="AN352" s="34" t="str"/>
      <x:c r="AO352" s="34" t="n">
        <x:v>0</x:v>
      </x:c>
      <x:c r="AP352" s="34" t="n">
        <x:v>0</x:v>
      </x:c>
      <x:c r="AQ352" s="34" t="n">
        <x:v>0</x:v>
      </x:c>
      <x:c r="AR352" s="34" t="n">
        <x:v>2</x:v>
      </x:c>
      <x:c r="AS352" s="34" t="n">
        <x:v>3</x:v>
      </x:c>
      <x:c r="AT352" s="34" t="n">
        <x:v>0.2589598719999999</x:v>
      </x:c>
      <x:c r="AU352" s="34" t="n">
        <x:v>0.65</x:v>
      </x:c>
      <x:c r="AV352" s="34" t="n">
        <x:v>0.7399999999999999</x:v>
      </x:c>
    </x:row>
    <x:row r="353">
      <x:c r="A353" s="34" t="str">
        <x:v>POSCO_KR</x:v>
      </x:c>
      <x:c r="B353" s="34" t="str">
        <x:v>POSCO</x:v>
      </x:c>
      <x:c r="C353" s="34" t="str">
        <x:v>ACCELERATED_15C</x:v>
      </x:c>
      <x:c r="D353" s="34" t="str">
        <x:v>P1</x:v>
      </x:c>
      <x:c r="E353" s="34" t="n">
        <x:v>2032</x:v>
      </x:c>
      <x:c r="F353" s="34" t="n">
        <x:v>2</x:v>
      </x:c>
      <x:c r="G353" s="34" t="n">
        <x:v>7.859998</x:v>
      </x:c>
      <x:c r="H353" s="34" t="n">
        <x:v>18.2</x:v>
      </x:c>
      <x:c r="I353" s="34" t="n">
        <x:v>10.340002</x:v>
      </x:c>
      <x:c r="J353" s="34" t="n">
        <x:v>43.187</x:v>
      </x:c>
      <x:c r="K353" s="34" t="n">
        <x:v>0</x:v>
      </x:c>
      <x:c r="L353" s="34" t="n">
        <x:v>1.36</x:v>
      </x:c>
      <x:c r="M353" s="34" t="n">
        <x:v>1.36</x:v>
      </x:c>
      <x:c r="N353" s="34" t="n">
        <x:v>0</x:v>
      </x:c>
      <x:c r="O353" s="34" t="n">
        <x:v>4.323999</x:v>
      </x:c>
      <x:c r="P353" s="34" t="n">
        <x:v>14</x:v>
      </x:c>
      <x:c r="Q353" s="34" t="n">
        <x:v>9.676001</x:v>
      </x:c>
      <x:c r="R353" s="34" t="n">
        <x:v>30.886</x:v>
      </x:c>
      <x:c r="S353" s="40" t="b">
        <x:v>1</x:v>
      </x:c>
      <x:c r="T353" s="34" t="str">
        <x:v>model_interpolation</x:v>
      </x:c>
      <x:c r="U353" s="34" t="str">
        <x:v>Linear interpolation from 2030 to 2035</x:v>
      </x:c>
      <x:c r="V353" s="34" t="str">
        <x:v>CAND-63781C106D5099</x:v>
      </x:c>
      <x:c r="W353" s="34" t="str">
        <x:v>P1</x:v>
      </x:c>
      <x:c r="X353" s="34" t="str">
        <x:v>PORT-41705C04BF44</x:v>
      </x:c>
      <x:c r="Y353" s="34" t="n">
        <x:v>1000</x:v>
      </x:c>
      <x:c r="Z353" s="34" t="n">
        <x:v>-4.634224</x:v>
      </x:c>
      <x:c r="AA353" s="34" t="n">
        <x:v>8.247921</x:v>
      </x:c>
      <x:c r="AB353" s="34" t="n">
        <x:v>234.011233</x:v>
      </x:c>
      <x:c r="AC353" s="34" t="n">
        <x:v>-1300.659</x:v>
      </x:c>
      <x:c r="AD353" s="34" t="n">
        <x:v>-5.558105</x:v>
      </x:c>
      <x:c r="AE353" s="40" t="b">
        <x:v>0</x:v>
      </x:c>
      <x:c r="AF353" s="40" t="b">
        <x:v>0</x:v>
      </x:c>
      <x:c r="AG353" s="34" t="n">
        <x:v>2035</x:v>
      </x:c>
      <x:c r="AH353" s="34" t="n">
        <x:v>19.079746585000006</x:v>
      </x:c>
      <x:c r="AI353" s="34" t="n">
        <x:v>-19.079746585000006</x:v>
      </x:c>
      <x:c r="AJ353" s="40" t="b">
        <x:v>1</x:v>
      </x:c>
      <x:c r="AK353" s="40" t="b">
        <x:v>1</x:v>
      </x:c>
      <x:c r="AL353" s="40" t="b">
        <x:v>1</x:v>
      </x:c>
      <x:c r="AM353" s="40" t="b">
        <x:v>1</x:v>
      </x:c>
      <x:c r="AN353" s="34" t="str"/>
      <x:c r="AO353" s="34" t="n">
        <x:v>0</x:v>
      </x:c>
      <x:c r="AP353" s="34" t="n">
        <x:v>0</x:v>
      </x:c>
      <x:c r="AQ353" s="34" t="n">
        <x:v>0</x:v>
      </x:c>
      <x:c r="AR353" s="34" t="n">
        <x:v>2</x:v>
      </x:c>
      <x:c r="AS353" s="34" t="n">
        <x:v>3</x:v>
      </x:c>
      <x:c r="AT353" s="34" t="n">
        <x:v>0.2589598719999999</x:v>
      </x:c>
      <x:c r="AU353" s="34" t="n">
        <x:v>0.65</x:v>
      </x:c>
      <x:c r="AV353" s="34" t="n">
        <x:v>0.7399999999999999</x:v>
      </x:c>
    </x:row>
    <x:row r="354">
      <x:c r="A354" s="34" t="str">
        <x:v>POSCO_KR</x:v>
      </x:c>
      <x:c r="B354" s="34" t="str">
        <x:v>POSCO</x:v>
      </x:c>
      <x:c r="C354" s="34" t="str">
        <x:v>ACCELERATED_15C</x:v>
      </x:c>
      <x:c r="D354" s="34" t="str">
        <x:v>P1</x:v>
      </x:c>
      <x:c r="E354" s="34" t="n">
        <x:v>2033</x:v>
      </x:c>
      <x:c r="F354" s="34" t="n">
        <x:v>3</x:v>
      </x:c>
      <x:c r="G354" s="34" t="n">
        <x:v>8.880598</x:v>
      </x:c>
      <x:c r="H354" s="34" t="n">
        <x:v>19.8</x:v>
      </x:c>
      <x:c r="I354" s="34" t="n">
        <x:v>10.919402</x:v>
      </x:c>
      <x:c r="J354" s="34" t="n">
        <x:v>44.852</x:v>
      </x:c>
      <x:c r="K354" s="34" t="n">
        <x:v>0</x:v>
      </x:c>
      <x:c r="L354" s="34" t="n">
        <x:v>1.6400000000000001</x:v>
      </x:c>
      <x:c r="M354" s="34" t="n">
        <x:v>1.64</x:v>
      </x:c>
      <x:c r="N354" s="34" t="n">
        <x:v>0</x:v>
      </x:c>
      <x:c r="O354" s="34" t="n">
        <x:v>4.392039</x:v>
      </x:c>
      <x:c r="P354" s="34" t="n">
        <x:v>16</x:v>
      </x:c>
      <x:c r="Q354" s="34" t="n">
        <x:v>11.607961</x:v>
      </x:c>
      <x:c r="R354" s="34" t="n">
        <x:v>27.45</x:v>
      </x:c>
      <x:c r="S354" s="40" t="b">
        <x:v>1</x:v>
      </x:c>
      <x:c r="T354" s="34" t="str">
        <x:v>model_interpolation</x:v>
      </x:c>
      <x:c r="U354" s="34" t="str">
        <x:v>Linear interpolation from 2030 to 2035</x:v>
      </x:c>
      <x:c r="V354" s="34" t="str">
        <x:v>CAND-63781C106D5099</x:v>
      </x:c>
      <x:c r="W354" s="34" t="str">
        <x:v>P1</x:v>
      </x:c>
      <x:c r="X354" s="34" t="str">
        <x:v>PORT-41705C04BF44</x:v>
      </x:c>
      <x:c r="Y354" s="34" t="n">
        <x:v>1000</x:v>
      </x:c>
      <x:c r="Z354" s="34" t="n">
        <x:v>-4.634224</x:v>
      </x:c>
      <x:c r="AA354" s="34" t="n">
        <x:v>8.247921</x:v>
      </x:c>
      <x:c r="AB354" s="34" t="n">
        <x:v>234.011233</x:v>
      </x:c>
      <x:c r="AC354" s="34" t="n">
        <x:v>-1300.659</x:v>
      </x:c>
      <x:c r="AD354" s="34" t="n">
        <x:v>-5.558105</x:v>
      </x:c>
      <x:c r="AE354" s="40" t="b">
        <x:v>0</x:v>
      </x:c>
      <x:c r="AF354" s="40" t="b">
        <x:v>0</x:v>
      </x:c>
      <x:c r="AG354" s="34" t="n">
        <x:v>2035</x:v>
      </x:c>
      <x:c r="AH354" s="34" t="n">
        <x:v>19.079746585000006</x:v>
      </x:c>
      <x:c r="AI354" s="34" t="n">
        <x:v>-19.079746585000006</x:v>
      </x:c>
      <x:c r="AJ354" s="40" t="b">
        <x:v>1</x:v>
      </x:c>
      <x:c r="AK354" s="40" t="b">
        <x:v>1</x:v>
      </x:c>
      <x:c r="AL354" s="40" t="b">
        <x:v>1</x:v>
      </x:c>
      <x:c r="AM354" s="40" t="b">
        <x:v>1</x:v>
      </x:c>
      <x:c r="AN354" s="34" t="str"/>
      <x:c r="AO354" s="34" t="n">
        <x:v>0</x:v>
      </x:c>
      <x:c r="AP354" s="34" t="n">
        <x:v>0</x:v>
      </x:c>
      <x:c r="AQ354" s="34" t="n">
        <x:v>0</x:v>
      </x:c>
      <x:c r="AR354" s="34" t="n">
        <x:v>2</x:v>
      </x:c>
      <x:c r="AS354" s="34" t="n">
        <x:v>3</x:v>
      </x:c>
      <x:c r="AT354" s="34" t="n">
        <x:v>0.2589598719999999</x:v>
      </x:c>
      <x:c r="AU354" s="34" t="n">
        <x:v>0.65</x:v>
      </x:c>
      <x:c r="AV354" s="34" t="n">
        <x:v>0.7399999999999999</x:v>
      </x:c>
    </x:row>
    <x:row r="355">
      <x:c r="A355" s="34" t="str">
        <x:v>POSCO_KR</x:v>
      </x:c>
      <x:c r="B355" s="34" t="str">
        <x:v>POSCO</x:v>
      </x:c>
      <x:c r="C355" s="34" t="str">
        <x:v>ACCELERATED_15C</x:v>
      </x:c>
      <x:c r="D355" s="34" t="str">
        <x:v>P1</x:v>
      </x:c>
      <x:c r="E355" s="34" t="n">
        <x:v>2034</x:v>
      </x:c>
      <x:c r="F355" s="34" t="n">
        <x:v>3</x:v>
      </x:c>
      <x:c r="G355" s="34" t="n">
        <x:v>8.880598</x:v>
      </x:c>
      <x:c r="H355" s="34" t="n">
        <x:v>21.4</x:v>
      </x:c>
      <x:c r="I355" s="34" t="n">
        <x:v>12.519402</x:v>
      </x:c>
      <x:c r="J355" s="34" t="n">
        <x:v>41.498</x:v>
      </x:c>
      <x:c r="K355" s="34" t="n">
        <x:v>0</x:v>
      </x:c>
      <x:c r="L355" s="34" t="n">
        <x:v>1.9200000000000002</x:v>
      </x:c>
      <x:c r="M355" s="34" t="n">
        <x:v>1.92</x:v>
      </x:c>
      <x:c r="N355" s="34" t="n">
        <x:v>0</x:v>
      </x:c>
      <x:c r="O355" s="34" t="n">
        <x:v>4.392039</x:v>
      </x:c>
      <x:c r="P355" s="34" t="n">
        <x:v>18</x:v>
      </x:c>
      <x:c r="Q355" s="34" t="n">
        <x:v>13.607961</x:v>
      </x:c>
      <x:c r="R355" s="34" t="n">
        <x:v>24.4</x:v>
      </x:c>
      <x:c r="S355" s="40" t="b">
        <x:v>1</x:v>
      </x:c>
      <x:c r="T355" s="34" t="str">
        <x:v>model_interpolation</x:v>
      </x:c>
      <x:c r="U355" s="34" t="str">
        <x:v>Linear interpolation from 2030 to 2035</x:v>
      </x:c>
      <x:c r="V355" s="34" t="str">
        <x:v>CAND-63781C106D5099</x:v>
      </x:c>
      <x:c r="W355" s="34" t="str">
        <x:v>P1</x:v>
      </x:c>
      <x:c r="X355" s="34" t="str">
        <x:v>PORT-41705C04BF44</x:v>
      </x:c>
      <x:c r="Y355" s="34" t="n">
        <x:v>1000</x:v>
      </x:c>
      <x:c r="Z355" s="34" t="n">
        <x:v>-4.634224</x:v>
      </x:c>
      <x:c r="AA355" s="34" t="n">
        <x:v>8.247921</x:v>
      </x:c>
      <x:c r="AB355" s="34" t="n">
        <x:v>234.011233</x:v>
      </x:c>
      <x:c r="AC355" s="34" t="n">
        <x:v>-1300.659</x:v>
      </x:c>
      <x:c r="AD355" s="34" t="n">
        <x:v>-5.558105</x:v>
      </x:c>
      <x:c r="AE355" s="40" t="b">
        <x:v>0</x:v>
      </x:c>
      <x:c r="AF355" s="40" t="b">
        <x:v>0</x:v>
      </x:c>
      <x:c r="AG355" s="34" t="n">
        <x:v>2035</x:v>
      </x:c>
      <x:c r="AH355" s="34" t="n">
        <x:v>19.079746585000006</x:v>
      </x:c>
      <x:c r="AI355" s="34" t="n">
        <x:v>-19.079746585000006</x:v>
      </x:c>
      <x:c r="AJ355" s="40" t="b">
        <x:v>1</x:v>
      </x:c>
      <x:c r="AK355" s="40" t="b">
        <x:v>1</x:v>
      </x:c>
      <x:c r="AL355" s="40" t="b">
        <x:v>1</x:v>
      </x:c>
      <x:c r="AM355" s="40" t="b">
        <x:v>1</x:v>
      </x:c>
      <x:c r="AN355" s="34" t="str"/>
      <x:c r="AO355" s="34" t="n">
        <x:v>0</x:v>
      </x:c>
      <x:c r="AP355" s="34" t="n">
        <x:v>0</x:v>
      </x:c>
      <x:c r="AQ355" s="34" t="n">
        <x:v>0</x:v>
      </x:c>
      <x:c r="AR355" s="34" t="n">
        <x:v>2</x:v>
      </x:c>
      <x:c r="AS355" s="34" t="n">
        <x:v>3</x:v>
      </x:c>
      <x:c r="AT355" s="34" t="n">
        <x:v>0.2589598719999999</x:v>
      </x:c>
      <x:c r="AU355" s="34" t="n">
        <x:v>0.65</x:v>
      </x:c>
      <x:c r="AV355" s="34" t="n">
        <x:v>0.7399999999999999</x:v>
      </x:c>
    </x:row>
    <x:row r="356">
      <x:c r="A356" s="34" t="str">
        <x:v>POSCO_KR</x:v>
      </x:c>
      <x:c r="B356" s="34" t="str">
        <x:v>POSCO</x:v>
      </x:c>
      <x:c r="C356" s="34" t="str">
        <x:v>ACCELERATED_15C</x:v>
      </x:c>
      <x:c r="D356" s="34" t="str">
        <x:v>P1</x:v>
      </x:c>
      <x:c r="E356" s="34" t="n">
        <x:v>2035</x:v>
      </x:c>
      <x:c r="F356" s="34" t="n">
        <x:v>4</x:v>
      </x:c>
      <x:c r="G356" s="34" t="n">
        <x:v>10.305598</x:v>
      </x:c>
      <x:c r="H356" s="34" t="n">
        <x:v>23</x:v>
      </x:c>
      <x:c r="I356" s="34" t="n">
        <x:v>12.694402</x:v>
      </x:c>
      <x:c r="J356" s="34" t="n">
        <x:v>44.807</x:v>
      </x:c>
      <x:c r="K356" s="34" t="n">
        <x:v>0</x:v>
      </x:c>
      <x:c r="L356" s="34" t="n">
        <x:v>2.2</x:v>
      </x:c>
      <x:c r="M356" s="34" t="n">
        <x:v>2.2</x:v>
      </x:c>
      <x:c r="N356" s="34" t="n">
        <x:v>0</x:v>
      </x:c>
      <x:c r="O356" s="34" t="n">
        <x:v>4.582039</x:v>
      </x:c>
      <x:c r="P356" s="34" t="n">
        <x:v>20</x:v>
      </x:c>
      <x:c r="Q356" s="34" t="n">
        <x:v>15.417961</x:v>
      </x:c>
      <x:c r="R356" s="34" t="n">
        <x:v>22.91</x:v>
      </x:c>
      <x:c r="S356" s="40" t="b">
        <x:v>1</x:v>
      </x:c>
      <x:c r="T356" s="34" t="str">
        <x:v>model_interpolation</x:v>
      </x:c>
      <x:c r="U356" s="34" t="str">
        <x:v>Linear interpolation from 2035 to 2040</x:v>
      </x:c>
      <x:c r="V356" s="34" t="str">
        <x:v>CAND-63781C106D5099</x:v>
      </x:c>
      <x:c r="W356" s="34" t="str">
        <x:v>P1</x:v>
      </x:c>
      <x:c r="X356" s="34" t="str">
        <x:v>PORT-41705C04BF44</x:v>
      </x:c>
      <x:c r="Y356" s="34" t="n">
        <x:v>1000</x:v>
      </x:c>
      <x:c r="Z356" s="34" t="n">
        <x:v>-4.634224</x:v>
      </x:c>
      <x:c r="AA356" s="34" t="n">
        <x:v>8.247921</x:v>
      </x:c>
      <x:c r="AB356" s="34" t="n">
        <x:v>234.011233</x:v>
      </x:c>
      <x:c r="AC356" s="34" t="n">
        <x:v>-1300.659</x:v>
      </x:c>
      <x:c r="AD356" s="34" t="n">
        <x:v>-5.558105</x:v>
      </x:c>
      <x:c r="AE356" s="40" t="b">
        <x:v>0</x:v>
      </x:c>
      <x:c r="AF356" s="40" t="b">
        <x:v>0</x:v>
      </x:c>
      <x:c r="AG356" s="34" t="n">
        <x:v>2035</x:v>
      </x:c>
      <x:c r="AH356" s="34" t="n">
        <x:v>19.079746585000006</x:v>
      </x:c>
      <x:c r="AI356" s="34" t="n">
        <x:v>-19.079746585000006</x:v>
      </x:c>
      <x:c r="AJ356" s="40" t="b">
        <x:v>1</x:v>
      </x:c>
      <x:c r="AK356" s="40" t="b">
        <x:v>1</x:v>
      </x:c>
      <x:c r="AL356" s="40" t="b">
        <x:v>1</x:v>
      </x:c>
      <x:c r="AM356" s="40" t="b">
        <x:v>1</x:v>
      </x:c>
      <x:c r="AN356" s="34" t="str"/>
      <x:c r="AO356" s="34" t="n">
        <x:v>0</x:v>
      </x:c>
      <x:c r="AP356" s="34" t="n">
        <x:v>0</x:v>
      </x:c>
      <x:c r="AQ356" s="34" t="n">
        <x:v>0</x:v>
      </x:c>
      <x:c r="AR356" s="34" t="n">
        <x:v>2</x:v>
      </x:c>
      <x:c r="AS356" s="34" t="n">
        <x:v>3</x:v>
      </x:c>
      <x:c r="AT356" s="34" t="n">
        <x:v>0.2589598719999999</x:v>
      </x:c>
      <x:c r="AU356" s="34" t="n">
        <x:v>0.65</x:v>
      </x:c>
      <x:c r="AV356" s="34" t="n">
        <x:v>0.7399999999999999</x:v>
      </x:c>
    </x:row>
    <x:row r="357">
      <x:c r="A357" s="34" t="str">
        <x:v>POSCO_KR</x:v>
      </x:c>
      <x:c r="B357" s="34" t="str">
        <x:v>POSCO</x:v>
      </x:c>
      <x:c r="C357" s="34" t="str">
        <x:v>ACCELERATED_15C</x:v>
      </x:c>
      <x:c r="D357" s="34" t="str">
        <x:v>P1</x:v>
      </x:c>
      <x:c r="E357" s="34" t="n">
        <x:v>2036</x:v>
      </x:c>
      <x:c r="F357" s="34" t="n">
        <x:v>4</x:v>
      </x:c>
      <x:c r="G357" s="34" t="n">
        <x:v>10.305598</x:v>
      </x:c>
      <x:c r="H357" s="34" t="n">
        <x:v>24.4</x:v>
      </x:c>
      <x:c r="I357" s="34" t="n">
        <x:v>14.094402</x:v>
      </x:c>
      <x:c r="J357" s="34" t="n">
        <x:v>42.236</x:v>
      </x:c>
      <x:c r="K357" s="34" t="n">
        <x:v>0</x:v>
      </x:c>
      <x:c r="L357" s="34" t="n">
        <x:v>2.56</x:v>
      </x:c>
      <x:c r="M357" s="34" t="n">
        <x:v>2.56</x:v>
      </x:c>
      <x:c r="N357" s="34" t="n">
        <x:v>0</x:v>
      </x:c>
      <x:c r="O357" s="34" t="n">
        <x:v>4.582039</x:v>
      </x:c>
      <x:c r="P357" s="34" t="n">
        <x:v>22.4</x:v>
      </x:c>
      <x:c r="Q357" s="34" t="n">
        <x:v>17.817961</x:v>
      </x:c>
      <x:c r="R357" s="34" t="n">
        <x:v>20.456</x:v>
      </x:c>
      <x:c r="S357" s="40" t="b">
        <x:v>1</x:v>
      </x:c>
      <x:c r="T357" s="34" t="str">
        <x:v>model_interpolation</x:v>
      </x:c>
      <x:c r="U357" s="34" t="str">
        <x:v>Linear interpolation from 2035 to 2040</x:v>
      </x:c>
      <x:c r="V357" s="34" t="str">
        <x:v>CAND-63781C106D5099</x:v>
      </x:c>
      <x:c r="W357" s="34" t="str">
        <x:v>P1</x:v>
      </x:c>
      <x:c r="X357" s="34" t="str">
        <x:v>PORT-41705C04BF44</x:v>
      </x:c>
      <x:c r="Y357" s="34" t="n">
        <x:v>1000</x:v>
      </x:c>
      <x:c r="Z357" s="34" t="n">
        <x:v>-4.634224</x:v>
      </x:c>
      <x:c r="AA357" s="34" t="n">
        <x:v>8.247921</x:v>
      </x:c>
      <x:c r="AB357" s="34" t="n">
        <x:v>234.011233</x:v>
      </x:c>
      <x:c r="AC357" s="34" t="n">
        <x:v>-1300.659</x:v>
      </x:c>
      <x:c r="AD357" s="34" t="n">
        <x:v>-5.558105</x:v>
      </x:c>
      <x:c r="AE357" s="40" t="b">
        <x:v>0</x:v>
      </x:c>
      <x:c r="AF357" s="40" t="b">
        <x:v>0</x:v>
      </x:c>
      <x:c r="AG357" s="34" t="n">
        <x:v>2035</x:v>
      </x:c>
      <x:c r="AH357" s="34" t="n">
        <x:v>19.079746585000006</x:v>
      </x:c>
      <x:c r="AI357" s="34" t="n">
        <x:v>-19.079746585000006</x:v>
      </x:c>
      <x:c r="AJ357" s="40" t="b">
        <x:v>1</x:v>
      </x:c>
      <x:c r="AK357" s="40" t="b">
        <x:v>1</x:v>
      </x:c>
      <x:c r="AL357" s="40" t="b">
        <x:v>1</x:v>
      </x:c>
      <x:c r="AM357" s="40" t="b">
        <x:v>1</x:v>
      </x:c>
      <x:c r="AN357" s="34" t="str"/>
      <x:c r="AO357" s="34" t="n">
        <x:v>0</x:v>
      </x:c>
      <x:c r="AP357" s="34" t="n">
        <x:v>0</x:v>
      </x:c>
      <x:c r="AQ357" s="34" t="n">
        <x:v>0</x:v>
      </x:c>
      <x:c r="AR357" s="34" t="n">
        <x:v>2</x:v>
      </x:c>
      <x:c r="AS357" s="34" t="n">
        <x:v>3</x:v>
      </x:c>
      <x:c r="AT357" s="34" t="n">
        <x:v>0.2589598719999999</x:v>
      </x:c>
      <x:c r="AU357" s="34" t="n">
        <x:v>0.65</x:v>
      </x:c>
      <x:c r="AV357" s="34" t="n">
        <x:v>0.7399999999999999</x:v>
      </x:c>
    </x:row>
    <x:row r="358">
      <x:c r="A358" s="34" t="str">
        <x:v>POSCO_KR</x:v>
      </x:c>
      <x:c r="B358" s="34" t="str">
        <x:v>POSCO</x:v>
      </x:c>
      <x:c r="C358" s="34" t="str">
        <x:v>ACCELERATED_15C</x:v>
      </x:c>
      <x:c r="D358" s="34" t="str">
        <x:v>P1</x:v>
      </x:c>
      <x:c r="E358" s="34" t="n">
        <x:v>2037</x:v>
      </x:c>
      <x:c r="F358" s="34" t="n">
        <x:v>5</x:v>
      </x:c>
      <x:c r="G358" s="34" t="n">
        <x:v>18.858295</x:v>
      </x:c>
      <x:c r="H358" s="34" t="n">
        <x:v>25.8</x:v>
      </x:c>
      <x:c r="I358" s="34" t="n">
        <x:v>6.941705</x:v>
      </x:c>
      <x:c r="J358" s="34" t="n">
        <x:v>73.094</x:v>
      </x:c>
      <x:c r="K358" s="34" t="n">
        <x:v>0</x:v>
      </x:c>
      <x:c r="L358" s="34" t="n">
        <x:v>2.92</x:v>
      </x:c>
      <x:c r="M358" s="34" t="n">
        <x:v>2.92</x:v>
      </x:c>
      <x:c r="N358" s="34" t="n">
        <x:v>0</x:v>
      </x:c>
      <x:c r="O358" s="34" t="n">
        <x:v>9.998747</x:v>
      </x:c>
      <x:c r="P358" s="34" t="n">
        <x:v>24.8</x:v>
      </x:c>
      <x:c r="Q358" s="34" t="n">
        <x:v>14.801253</x:v>
      </x:c>
      <x:c r="R358" s="34" t="n">
        <x:v>40.318</x:v>
      </x:c>
      <x:c r="S358" s="40" t="b">
        <x:v>1</x:v>
      </x:c>
      <x:c r="T358" s="34" t="str">
        <x:v>model_interpolation</x:v>
      </x:c>
      <x:c r="U358" s="34" t="str">
        <x:v>Linear interpolation from 2035 to 2040</x:v>
      </x:c>
      <x:c r="V358" s="34" t="str">
        <x:v>CAND-63781C106D5099</x:v>
      </x:c>
      <x:c r="W358" s="34" t="str">
        <x:v>P1</x:v>
      </x:c>
      <x:c r="X358" s="34" t="str">
        <x:v>PORT-41705C04BF44</x:v>
      </x:c>
      <x:c r="Y358" s="34" t="n">
        <x:v>1000</x:v>
      </x:c>
      <x:c r="Z358" s="34" t="n">
        <x:v>-4.634224</x:v>
      </x:c>
      <x:c r="AA358" s="34" t="n">
        <x:v>8.247921</x:v>
      </x:c>
      <x:c r="AB358" s="34" t="n">
        <x:v>234.011233</x:v>
      </x:c>
      <x:c r="AC358" s="34" t="n">
        <x:v>-1300.659</x:v>
      </x:c>
      <x:c r="AD358" s="34" t="n">
        <x:v>-5.558105</x:v>
      </x:c>
      <x:c r="AE358" s="40" t="b">
        <x:v>0</x:v>
      </x:c>
      <x:c r="AF358" s="40" t="b">
        <x:v>0</x:v>
      </x:c>
      <x:c r="AG358" s="34" t="n">
        <x:v>2035</x:v>
      </x:c>
      <x:c r="AH358" s="34" t="n">
        <x:v>19.079746585000006</x:v>
      </x:c>
      <x:c r="AI358" s="34" t="n">
        <x:v>-19.079746585000006</x:v>
      </x:c>
      <x:c r="AJ358" s="40" t="b">
        <x:v>1</x:v>
      </x:c>
      <x:c r="AK358" s="40" t="b">
        <x:v>1</x:v>
      </x:c>
      <x:c r="AL358" s="40" t="b">
        <x:v>1</x:v>
      </x:c>
      <x:c r="AM358" s="40" t="b">
        <x:v>1</x:v>
      </x:c>
      <x:c r="AN358" s="34" t="str"/>
      <x:c r="AO358" s="34" t="n">
        <x:v>0</x:v>
      </x:c>
      <x:c r="AP358" s="34" t="n">
        <x:v>0</x:v>
      </x:c>
      <x:c r="AQ358" s="34" t="n">
        <x:v>0</x:v>
      </x:c>
      <x:c r="AR358" s="34" t="n">
        <x:v>2</x:v>
      </x:c>
      <x:c r="AS358" s="34" t="n">
        <x:v>3</x:v>
      </x:c>
      <x:c r="AT358" s="34" t="n">
        <x:v>0.2589598719999999</x:v>
      </x:c>
      <x:c r="AU358" s="34" t="n">
        <x:v>0.65</x:v>
      </x:c>
      <x:c r="AV358" s="34" t="n">
        <x:v>0.7399999999999999</x:v>
      </x:c>
    </x:row>
    <x:row r="359">
      <x:c r="A359" s="34" t="str">
        <x:v>POSCO_KR</x:v>
      </x:c>
      <x:c r="B359" s="34" t="str">
        <x:v>POSCO</x:v>
      </x:c>
      <x:c r="C359" s="34" t="str">
        <x:v>ACCELERATED_15C</x:v>
      </x:c>
      <x:c r="D359" s="34" t="str">
        <x:v>P1</x:v>
      </x:c>
      <x:c r="E359" s="34" t="n">
        <x:v>2038</x:v>
      </x:c>
      <x:c r="F359" s="34" t="n">
        <x:v>5</x:v>
      </x:c>
      <x:c r="G359" s="34" t="n">
        <x:v>18.858295</x:v>
      </x:c>
      <x:c r="H359" s="34" t="n">
        <x:v>27.2</x:v>
      </x:c>
      <x:c r="I359" s="34" t="n">
        <x:v>8.341705</x:v>
      </x:c>
      <x:c r="J359" s="34" t="n">
        <x:v>69.332</x:v>
      </x:c>
      <x:c r="K359" s="34" t="n">
        <x:v>0</x:v>
      </x:c>
      <x:c r="L359" s="34" t="n">
        <x:v>3.2800000000000002</x:v>
      </x:c>
      <x:c r="M359" s="34" t="n">
        <x:v>3.28</x:v>
      </x:c>
      <x:c r="N359" s="34" t="n">
        <x:v>0</x:v>
      </x:c>
      <x:c r="O359" s="34" t="n">
        <x:v>9.998747</x:v>
      </x:c>
      <x:c r="P359" s="34" t="n">
        <x:v>27.2</x:v>
      </x:c>
      <x:c r="Q359" s="34" t="n">
        <x:v>17.201253</x:v>
      </x:c>
      <x:c r="R359" s="34" t="n">
        <x:v>36.76</x:v>
      </x:c>
      <x:c r="S359" s="40" t="b">
        <x:v>1</x:v>
      </x:c>
      <x:c r="T359" s="34" t="str">
        <x:v>model_interpolation</x:v>
      </x:c>
      <x:c r="U359" s="34" t="str">
        <x:v>Linear interpolation from 2035 to 2040</x:v>
      </x:c>
      <x:c r="V359" s="34" t="str">
        <x:v>CAND-63781C106D5099</x:v>
      </x:c>
      <x:c r="W359" s="34" t="str">
        <x:v>P1</x:v>
      </x:c>
      <x:c r="X359" s="34" t="str">
        <x:v>PORT-41705C04BF44</x:v>
      </x:c>
      <x:c r="Y359" s="34" t="n">
        <x:v>1000</x:v>
      </x:c>
      <x:c r="Z359" s="34" t="n">
        <x:v>-4.634224</x:v>
      </x:c>
      <x:c r="AA359" s="34" t="n">
        <x:v>8.247921</x:v>
      </x:c>
      <x:c r="AB359" s="34" t="n">
        <x:v>234.011233</x:v>
      </x:c>
      <x:c r="AC359" s="34" t="n">
        <x:v>-1300.659</x:v>
      </x:c>
      <x:c r="AD359" s="34" t="n">
        <x:v>-5.558105</x:v>
      </x:c>
      <x:c r="AE359" s="40" t="b">
        <x:v>0</x:v>
      </x:c>
      <x:c r="AF359" s="40" t="b">
        <x:v>0</x:v>
      </x:c>
      <x:c r="AG359" s="34" t="n">
        <x:v>2035</x:v>
      </x:c>
      <x:c r="AH359" s="34" t="n">
        <x:v>19.079746585000006</x:v>
      </x:c>
      <x:c r="AI359" s="34" t="n">
        <x:v>-19.079746585000006</x:v>
      </x:c>
      <x:c r="AJ359" s="40" t="b">
        <x:v>1</x:v>
      </x:c>
      <x:c r="AK359" s="40" t="b">
        <x:v>1</x:v>
      </x:c>
      <x:c r="AL359" s="40" t="b">
        <x:v>1</x:v>
      </x:c>
      <x:c r="AM359" s="40" t="b">
        <x:v>1</x:v>
      </x:c>
      <x:c r="AN359" s="34" t="str"/>
      <x:c r="AO359" s="34" t="n">
        <x:v>0</x:v>
      </x:c>
      <x:c r="AP359" s="34" t="n">
        <x:v>0</x:v>
      </x:c>
      <x:c r="AQ359" s="34" t="n">
        <x:v>0</x:v>
      </x:c>
      <x:c r="AR359" s="34" t="n">
        <x:v>2</x:v>
      </x:c>
      <x:c r="AS359" s="34" t="n">
        <x:v>3</x:v>
      </x:c>
      <x:c r="AT359" s="34" t="n">
        <x:v>0.2589598719999999</x:v>
      </x:c>
      <x:c r="AU359" s="34" t="n">
        <x:v>0.65</x:v>
      </x:c>
      <x:c r="AV359" s="34" t="n">
        <x:v>0.7399999999999999</x:v>
      </x:c>
    </x:row>
    <x:row r="360">
      <x:c r="A360" s="34" t="str">
        <x:v>POSCO_KR</x:v>
      </x:c>
      <x:c r="B360" s="34" t="str">
        <x:v>POSCO</x:v>
      </x:c>
      <x:c r="C360" s="34" t="str">
        <x:v>ACCELERATED_15C</x:v>
      </x:c>
      <x:c r="D360" s="34" t="str">
        <x:v>P1</x:v>
      </x:c>
      <x:c r="E360" s="34" t="n">
        <x:v>2039</x:v>
      </x:c>
      <x:c r="F360" s="34" t="n">
        <x:v>5</x:v>
      </x:c>
      <x:c r="G360" s="34" t="n">
        <x:v>18.858295</x:v>
      </x:c>
      <x:c r="H360" s="34" t="n">
        <x:v>28.6</x:v>
      </x:c>
      <x:c r="I360" s="34" t="n">
        <x:v>9.741705</x:v>
      </x:c>
      <x:c r="J360" s="34" t="n">
        <x:v>65.938</x:v>
      </x:c>
      <x:c r="K360" s="34" t="n">
        <x:v>0</x:v>
      </x:c>
      <x:c r="L360" s="34" t="n">
        <x:v>3.64</x:v>
      </x:c>
      <x:c r="M360" s="34" t="n">
        <x:v>3.64</x:v>
      </x:c>
      <x:c r="N360" s="34" t="n">
        <x:v>0</x:v>
      </x:c>
      <x:c r="O360" s="34" t="n">
        <x:v>9.998747</x:v>
      </x:c>
      <x:c r="P360" s="34" t="n">
        <x:v>29.6</x:v>
      </x:c>
      <x:c r="Q360" s="34" t="n">
        <x:v>19.601253</x:v>
      </x:c>
      <x:c r="R360" s="34" t="n">
        <x:v>33.78</x:v>
      </x:c>
      <x:c r="S360" s="40" t="b">
        <x:v>1</x:v>
      </x:c>
      <x:c r="T360" s="34" t="str">
        <x:v>model_interpolation</x:v>
      </x:c>
      <x:c r="U360" s="34" t="str">
        <x:v>Linear interpolation from 2035 to 2040</x:v>
      </x:c>
      <x:c r="V360" s="34" t="str">
        <x:v>CAND-63781C106D5099</x:v>
      </x:c>
      <x:c r="W360" s="34" t="str">
        <x:v>P1</x:v>
      </x:c>
      <x:c r="X360" s="34" t="str">
        <x:v>PORT-41705C04BF44</x:v>
      </x:c>
      <x:c r="Y360" s="34" t="n">
        <x:v>1000</x:v>
      </x:c>
      <x:c r="Z360" s="34" t="n">
        <x:v>-4.634224</x:v>
      </x:c>
      <x:c r="AA360" s="34" t="n">
        <x:v>8.247921</x:v>
      </x:c>
      <x:c r="AB360" s="34" t="n">
        <x:v>234.011233</x:v>
      </x:c>
      <x:c r="AC360" s="34" t="n">
        <x:v>-1300.659</x:v>
      </x:c>
      <x:c r="AD360" s="34" t="n">
        <x:v>-5.558105</x:v>
      </x:c>
      <x:c r="AE360" s="40" t="b">
        <x:v>0</x:v>
      </x:c>
      <x:c r="AF360" s="40" t="b">
        <x:v>0</x:v>
      </x:c>
      <x:c r="AG360" s="34" t="n">
        <x:v>2035</x:v>
      </x:c>
      <x:c r="AH360" s="34" t="n">
        <x:v>19.079746585000006</x:v>
      </x:c>
      <x:c r="AI360" s="34" t="n">
        <x:v>-19.079746585000006</x:v>
      </x:c>
      <x:c r="AJ360" s="40" t="b">
        <x:v>1</x:v>
      </x:c>
      <x:c r="AK360" s="40" t="b">
        <x:v>1</x:v>
      </x:c>
      <x:c r="AL360" s="40" t="b">
        <x:v>1</x:v>
      </x:c>
      <x:c r="AM360" s="40" t="b">
        <x:v>1</x:v>
      </x:c>
      <x:c r="AN360" s="34" t="str"/>
      <x:c r="AO360" s="34" t="n">
        <x:v>0</x:v>
      </x:c>
      <x:c r="AP360" s="34" t="n">
        <x:v>0</x:v>
      </x:c>
      <x:c r="AQ360" s="34" t="n">
        <x:v>0</x:v>
      </x:c>
      <x:c r="AR360" s="34" t="n">
        <x:v>2</x:v>
      </x:c>
      <x:c r="AS360" s="34" t="n">
        <x:v>3</x:v>
      </x:c>
      <x:c r="AT360" s="34" t="n">
        <x:v>0.2589598719999999</x:v>
      </x:c>
      <x:c r="AU360" s="34" t="n">
        <x:v>0.65</x:v>
      </x:c>
      <x:c r="AV360" s="34" t="n">
        <x:v>0.7399999999999999</x:v>
      </x:c>
    </x:row>
    <x:row r="361">
      <x:c r="A361" s="34" t="str">
        <x:v>POSCO_KR</x:v>
      </x:c>
      <x:c r="B361" s="34" t="str">
        <x:v>POSCO</x:v>
      </x:c>
      <x:c r="C361" s="34" t="str">
        <x:v>ACCELERATED_15C</x:v>
      </x:c>
      <x:c r="D361" s="34" t="str">
        <x:v>P1</x:v>
      </x:c>
      <x:c r="E361" s="34" t="n">
        <x:v>2040</x:v>
      </x:c>
      <x:c r="F361" s="34" t="n">
        <x:v>5</x:v>
      </x:c>
      <x:c r="G361" s="34" t="n">
        <x:v>18.858295</x:v>
      </x:c>
      <x:c r="H361" s="34" t="n">
        <x:v>30</x:v>
      </x:c>
      <x:c r="I361" s="34" t="n">
        <x:v>11.141705</x:v>
      </x:c>
      <x:c r="J361" s="34" t="n">
        <x:v>62.861</x:v>
      </x:c>
      <x:c r="K361" s="34" t="n">
        <x:v>0</x:v>
      </x:c>
      <x:c r="L361" s="34" t="n">
        <x:v>4</x:v>
      </x:c>
      <x:c r="M361" s="34" t="n">
        <x:v>4</x:v>
      </x:c>
      <x:c r="N361" s="34" t="n">
        <x:v>0</x:v>
      </x:c>
      <x:c r="O361" s="34" t="n">
        <x:v>9.998747</x:v>
      </x:c>
      <x:c r="P361" s="34" t="n">
        <x:v>32</x:v>
      </x:c>
      <x:c r="Q361" s="34" t="n">
        <x:v>22.001253</x:v>
      </x:c>
      <x:c r="R361" s="34" t="n">
        <x:v>31.246</x:v>
      </x:c>
      <x:c r="S361" s="40" t="b">
        <x:v>1</x:v>
      </x:c>
      <x:c r="T361" s="34" t="str">
        <x:v>model_estimate</x:v>
      </x:c>
      <x:c r="U361" s="34" t="str">
        <x:v>Illustrative accelerated envelope; not GCAM or an official supply forecast</x:v>
      </x:c>
      <x:c r="V361" s="34" t="str">
        <x:v>CAND-63781C106D5099</x:v>
      </x:c>
      <x:c r="W361" s="34" t="str">
        <x:v>P1</x:v>
      </x:c>
      <x:c r="X361" s="34" t="str">
        <x:v>PORT-41705C04BF44</x:v>
      </x:c>
      <x:c r="Y361" s="34" t="n">
        <x:v>1000</x:v>
      </x:c>
      <x:c r="Z361" s="34" t="n">
        <x:v>-4.634224</x:v>
      </x:c>
      <x:c r="AA361" s="34" t="n">
        <x:v>8.247921</x:v>
      </x:c>
      <x:c r="AB361" s="34" t="n">
        <x:v>234.011233</x:v>
      </x:c>
      <x:c r="AC361" s="34" t="n">
        <x:v>-1300.659</x:v>
      </x:c>
      <x:c r="AD361" s="34" t="n">
        <x:v>-5.558105</x:v>
      </x:c>
      <x:c r="AE361" s="40" t="b">
        <x:v>0</x:v>
      </x:c>
      <x:c r="AF361" s="40" t="b">
        <x:v>0</x:v>
      </x:c>
      <x:c r="AG361" s="34" t="n">
        <x:v>2035</x:v>
      </x:c>
      <x:c r="AH361" s="34" t="n">
        <x:v>19.079746585000006</x:v>
      </x:c>
      <x:c r="AI361" s="34" t="n">
        <x:v>-19.079746585000006</x:v>
      </x:c>
      <x:c r="AJ361" s="40" t="b">
        <x:v>1</x:v>
      </x:c>
      <x:c r="AK361" s="40" t="b">
        <x:v>1</x:v>
      </x:c>
      <x:c r="AL361" s="40" t="b">
        <x:v>1</x:v>
      </x:c>
      <x:c r="AM361" s="40" t="b">
        <x:v>1</x:v>
      </x:c>
      <x:c r="AN361" s="34" t="str"/>
      <x:c r="AO361" s="34" t="n">
        <x:v>0</x:v>
      </x:c>
      <x:c r="AP361" s="34" t="n">
        <x:v>0</x:v>
      </x:c>
      <x:c r="AQ361" s="34" t="n">
        <x:v>0</x:v>
      </x:c>
      <x:c r="AR361" s="34" t="n">
        <x:v>2</x:v>
      </x:c>
      <x:c r="AS361" s="34" t="n">
        <x:v>3</x:v>
      </x:c>
      <x:c r="AT361" s="34" t="n">
        <x:v>0.2589598719999999</x:v>
      </x:c>
      <x:c r="AU361" s="34" t="n">
        <x:v>0.65</x:v>
      </x:c>
      <x:c r="AV361" s="34" t="n">
        <x:v>0.7399999999999999</x:v>
      </x:c>
    </x:row>
    <x:row r="362">
      <x:c r="A362" s="34" t="str">
        <x:v>NIPPON_STEEL_JP</x:v>
      </x:c>
      <x:c r="B362" s="34" t="str">
        <x:v>Nippon Steel</x:v>
      </x:c>
      <x:c r="C362" s="34" t="str">
        <x:v>DISCLOSED_PATH</x:v>
      </x:c>
      <x:c r="D362" s="34" t="str">
        <x:v>P3</x:v>
      </x:c>
      <x:c r="E362" s="34" t="n">
        <x:v>2026</x:v>
      </x:c>
      <x:c r="F362" s="34" t="n">
        <x:v>0</x:v>
      </x:c>
      <x:c r="G362" s="34" t="n">
        <x:v>0</x:v>
      </x:c>
      <x:c r="H362" s="34" t="n">
        <x:v>8</x:v>
      </x:c>
      <x:c r="I362" s="34" t="n">
        <x:v>8</x:v>
      </x:c>
      <x:c r="J362" s="34" t="n">
        <x:v>0</x:v>
      </x:c>
      <x:c r="K362" s="34" t="n">
        <x:v>0</x:v>
      </x:c>
      <x:c r="L362" s="34" t="n">
        <x:v>0</x:v>
      </x:c>
      <x:c r="M362" s="34" t="n">
        <x:v>0</x:v>
      </x:c>
      <x:c r="N362" s="34" t="n">
        <x:v>0</x:v>
      </x:c>
      <x:c r="O362" s="34" t="n">
        <x:v>0</x:v>
      </x:c>
      <x:c r="P362" s="34" t="n">
        <x:v>2</x:v>
      </x:c>
      <x:c r="Q362" s="34" t="n">
        <x:v>2</x:v>
      </x:c>
      <x:c r="R362" s="34" t="n">
        <x:v>0</x:v>
      </x:c>
      <x:c r="S362" s="40" t="b">
        <x:v>1</x:v>
      </x:c>
      <x:c r="T362" s="34" t="str">
        <x:v>model_interpolation</x:v>
      </x:c>
      <x:c r="U362" s="34" t="str">
        <x:v>Linear interpolation from 2026 to 2030</x:v>
      </x:c>
      <x:c r="V362" s="34" t="str">
        <x:v>CAND-7400D0EA735D98</x:v>
      </x:c>
      <x:c r="W362" s="34" t="str">
        <x:v>P3</x:v>
      </x:c>
      <x:c r="X362" s="34" t="str">
        <x:v>PORT-6742936593A9</x:v>
      </x:c>
      <x:c r="Y362" s="34" t="n">
        <x:v>1000</x:v>
      </x:c>
      <x:c r="Z362" s="34" t="n">
        <x:v>81.267325</x:v>
      </x:c>
      <x:c r="AA362" s="34" t="n">
        <x:v>17.588613</x:v>
      </x:c>
      <x:c r="AB362" s="34" t="n">
        <x:v>454.753949</x:v>
      </x:c>
      <x:c r="AC362" s="34" t="n">
        <x:v>36270.549</x:v>
      </x:c>
      <x:c r="AD362" s="34" t="n">
        <x:v>79.758623</x:v>
      </x:c>
      <x:c r="AE362" s="40" t="b">
        <x:v>1</x:v>
      </x:c>
      <x:c r="AF362" s="40" t="b">
        <x:v>1</x:v>
      </x:c>
      <x:c r="AG362" s="34" t="str"/>
      <x:c r="AH362" s="34" t="n">
        <x:v>0</x:v>
      </x:c>
      <x:c r="AI362" s="34" t="str">
        <x:v>3.446647212967946e-06</x:v>
      </x:c>
      <x:c r="AJ362" s="40" t="b">
        <x:v>1</x:v>
      </x:c>
      <x:c r="AK362" s="40" t="b">
        <x:v>1</x:v>
      </x:c>
      <x:c r="AL362" s="40" t="b">
        <x:v>1</x:v>
      </x:c>
      <x:c r="AM362" s="40" t="b">
        <x:v>1</x:v>
      </x:c>
      <x:c r="AN362" s="34" t="str"/>
      <x:c r="AO362" s="34" t="n">
        <x:v>0</x:v>
      </x:c>
      <x:c r="AP362" s="34" t="n">
        <x:v>0</x:v>
      </x:c>
      <x:c r="AQ362" s="34" t="n">
        <x:v>0</x:v>
      </x:c>
      <x:c r="AR362" s="34" t="n">
        <x:v>2</x:v>
      </x:c>
      <x:c r="AS362" s="34" t="n">
        <x:v>2</x:v>
      </x:c>
      <x:c r="AT362" s="34" t="n">
        <x:v>0.47641018879999986</x:v>
      </x:c>
      <x:c r="AU362" s="34" t="n">
        <x:v>0.65</x:v>
      </x:c>
      <x:c r="AV362" s="34" t="n">
        <x:v>2.16</x:v>
      </x:c>
    </x:row>
    <x:row r="363">
      <x:c r="A363" s="34" t="str">
        <x:v>NIPPON_STEEL_JP</x:v>
      </x:c>
      <x:c r="B363" s="34" t="str">
        <x:v>Nippon Steel</x:v>
      </x:c>
      <x:c r="C363" s="34" t="str">
        <x:v>DISCLOSED_PATH</x:v>
      </x:c>
      <x:c r="D363" s="34" t="str">
        <x:v>P3</x:v>
      </x:c>
      <x:c r="E363" s="34" t="n">
        <x:v>2027</x:v>
      </x:c>
      <x:c r="F363" s="34" t="n">
        <x:v>0</x:v>
      </x:c>
      <x:c r="G363" s="34" t="n">
        <x:v>0</x:v>
      </x:c>
      <x:c r="H363" s="34" t="n">
        <x:v>9</x:v>
      </x:c>
      <x:c r="I363" s="34" t="n">
        <x:v>9</x:v>
      </x:c>
      <x:c r="J363" s="34" t="n">
        <x:v>0</x:v>
      </x:c>
      <x:c r="K363" s="34" t="n">
        <x:v>0</x:v>
      </x:c>
      <x:c r="L363" s="34" t="n">
        <x:v>0.15</x:v>
      </x:c>
      <x:c r="M363" s="34" t="n">
        <x:v>0.15</x:v>
      </x:c>
      <x:c r="N363" s="34" t="n">
        <x:v>0</x:v>
      </x:c>
      <x:c r="O363" s="34" t="n">
        <x:v>0</x:v>
      </x:c>
      <x:c r="P363" s="34" t="n">
        <x:v>3.25</x:v>
      </x:c>
      <x:c r="Q363" s="34" t="n">
        <x:v>3.25</x:v>
      </x:c>
      <x:c r="R363" s="34" t="n">
        <x:v>0</x:v>
      </x:c>
      <x:c r="S363" s="40" t="b">
        <x:v>1</x:v>
      </x:c>
      <x:c r="T363" s="34" t="str">
        <x:v>model_interpolation</x:v>
      </x:c>
      <x:c r="U363" s="34" t="str">
        <x:v>Linear interpolation from 2026 to 2030</x:v>
      </x:c>
      <x:c r="V363" s="34" t="str">
        <x:v>CAND-7400D0EA735D98</x:v>
      </x:c>
      <x:c r="W363" s="34" t="str">
        <x:v>P3</x:v>
      </x:c>
      <x:c r="X363" s="34" t="str">
        <x:v>PORT-6742936593A9</x:v>
      </x:c>
      <x:c r="Y363" s="34" t="n">
        <x:v>1000</x:v>
      </x:c>
      <x:c r="Z363" s="34" t="n">
        <x:v>81.267325</x:v>
      </x:c>
      <x:c r="AA363" s="34" t="n">
        <x:v>17.588613</x:v>
      </x:c>
      <x:c r="AB363" s="34" t="n">
        <x:v>454.753949</x:v>
      </x:c>
      <x:c r="AC363" s="34" t="n">
        <x:v>36270.549</x:v>
      </x:c>
      <x:c r="AD363" s="34" t="n">
        <x:v>79.758623</x:v>
      </x:c>
      <x:c r="AE363" s="40" t="b">
        <x:v>1</x:v>
      </x:c>
      <x:c r="AF363" s="40" t="b">
        <x:v>1</x:v>
      </x:c>
      <x:c r="AG363" s="34" t="str"/>
      <x:c r="AH363" s="34" t="n">
        <x:v>0</x:v>
      </x:c>
      <x:c r="AI363" s="34" t="str">
        <x:v>3.446647212967946e-06</x:v>
      </x:c>
      <x:c r="AJ363" s="40" t="b">
        <x:v>1</x:v>
      </x:c>
      <x:c r="AK363" s="40" t="b">
        <x:v>1</x:v>
      </x:c>
      <x:c r="AL363" s="40" t="b">
        <x:v>1</x:v>
      </x:c>
      <x:c r="AM363" s="40" t="b">
        <x:v>1</x:v>
      </x:c>
      <x:c r="AN363" s="34" t="str"/>
      <x:c r="AO363" s="34" t="n">
        <x:v>0</x:v>
      </x:c>
      <x:c r="AP363" s="34" t="n">
        <x:v>0</x:v>
      </x:c>
      <x:c r="AQ363" s="34" t="n">
        <x:v>0</x:v>
      </x:c>
      <x:c r="AR363" s="34" t="n">
        <x:v>2</x:v>
      </x:c>
      <x:c r="AS363" s="34" t="n">
        <x:v>2</x:v>
      </x:c>
      <x:c r="AT363" s="34" t="n">
        <x:v>0.47641018879999986</x:v>
      </x:c>
      <x:c r="AU363" s="34" t="n">
        <x:v>0.65</x:v>
      </x:c>
      <x:c r="AV363" s="34" t="n">
        <x:v>2.16</x:v>
      </x:c>
    </x:row>
    <x:row r="364">
      <x:c r="A364" s="34" t="str">
        <x:v>NIPPON_STEEL_JP</x:v>
      </x:c>
      <x:c r="B364" s="34" t="str">
        <x:v>Nippon Steel</x:v>
      </x:c>
      <x:c r="C364" s="34" t="str">
        <x:v>DISCLOSED_PATH</x:v>
      </x:c>
      <x:c r="D364" s="34" t="str">
        <x:v>P3</x:v>
      </x:c>
      <x:c r="E364" s="34" t="n">
        <x:v>2028</x:v>
      </x:c>
      <x:c r="F364" s="34" t="n">
        <x:v>0</x:v>
      </x:c>
      <x:c r="G364" s="34" t="n">
        <x:v>0</x:v>
      </x:c>
      <x:c r="H364" s="34" t="n">
        <x:v>10</x:v>
      </x:c>
      <x:c r="I364" s="34" t="n">
        <x:v>10</x:v>
      </x:c>
      <x:c r="J364" s="34" t="n">
        <x:v>0</x:v>
      </x:c>
      <x:c r="K364" s="34" t="n">
        <x:v>0</x:v>
      </x:c>
      <x:c r="L364" s="34" t="n">
        <x:v>0.3</x:v>
      </x:c>
      <x:c r="M364" s="34" t="n">
        <x:v>0.3</x:v>
      </x:c>
      <x:c r="N364" s="34" t="n">
        <x:v>0</x:v>
      </x:c>
      <x:c r="O364" s="34" t="n">
        <x:v>0</x:v>
      </x:c>
      <x:c r="P364" s="34" t="n">
        <x:v>4.5</x:v>
      </x:c>
      <x:c r="Q364" s="34" t="n">
        <x:v>4.5</x:v>
      </x:c>
      <x:c r="R364" s="34" t="n">
        <x:v>0</x:v>
      </x:c>
      <x:c r="S364" s="40" t="b">
        <x:v>1</x:v>
      </x:c>
      <x:c r="T364" s="34" t="str">
        <x:v>model_interpolation</x:v>
      </x:c>
      <x:c r="U364" s="34" t="str">
        <x:v>Linear interpolation from 2026 to 2030</x:v>
      </x:c>
      <x:c r="V364" s="34" t="str">
        <x:v>CAND-7400D0EA735D98</x:v>
      </x:c>
      <x:c r="W364" s="34" t="str">
        <x:v>P3</x:v>
      </x:c>
      <x:c r="X364" s="34" t="str">
        <x:v>PORT-6742936593A9</x:v>
      </x:c>
      <x:c r="Y364" s="34" t="n">
        <x:v>1000</x:v>
      </x:c>
      <x:c r="Z364" s="34" t="n">
        <x:v>81.267325</x:v>
      </x:c>
      <x:c r="AA364" s="34" t="n">
        <x:v>17.588613</x:v>
      </x:c>
      <x:c r="AB364" s="34" t="n">
        <x:v>454.753949</x:v>
      </x:c>
      <x:c r="AC364" s="34" t="n">
        <x:v>36270.549</x:v>
      </x:c>
      <x:c r="AD364" s="34" t="n">
        <x:v>79.758623</x:v>
      </x:c>
      <x:c r="AE364" s="40" t="b">
        <x:v>1</x:v>
      </x:c>
      <x:c r="AF364" s="40" t="b">
        <x:v>1</x:v>
      </x:c>
      <x:c r="AG364" s="34" t="str"/>
      <x:c r="AH364" s="34" t="n">
        <x:v>0</x:v>
      </x:c>
      <x:c r="AI364" s="34" t="str">
        <x:v>3.446647212967946e-06</x:v>
      </x:c>
      <x:c r="AJ364" s="40" t="b">
        <x:v>1</x:v>
      </x:c>
      <x:c r="AK364" s="40" t="b">
        <x:v>1</x:v>
      </x:c>
      <x:c r="AL364" s="40" t="b">
        <x:v>1</x:v>
      </x:c>
      <x:c r="AM364" s="40" t="b">
        <x:v>1</x:v>
      </x:c>
      <x:c r="AN364" s="34" t="str"/>
      <x:c r="AO364" s="34" t="n">
        <x:v>0</x:v>
      </x:c>
      <x:c r="AP364" s="34" t="n">
        <x:v>0</x:v>
      </x:c>
      <x:c r="AQ364" s="34" t="n">
        <x:v>0</x:v>
      </x:c>
      <x:c r="AR364" s="34" t="n">
        <x:v>2</x:v>
      </x:c>
      <x:c r="AS364" s="34" t="n">
        <x:v>2</x:v>
      </x:c>
      <x:c r="AT364" s="34" t="n">
        <x:v>0.47641018879999986</x:v>
      </x:c>
      <x:c r="AU364" s="34" t="n">
        <x:v>0.65</x:v>
      </x:c>
      <x:c r="AV364" s="34" t="n">
        <x:v>2.16</x:v>
      </x:c>
    </x:row>
    <x:row r="365">
      <x:c r="A365" s="34" t="str">
        <x:v>NIPPON_STEEL_JP</x:v>
      </x:c>
      <x:c r="B365" s="34" t="str">
        <x:v>Nippon Steel</x:v>
      </x:c>
      <x:c r="C365" s="34" t="str">
        <x:v>DISCLOSED_PATH</x:v>
      </x:c>
      <x:c r="D365" s="34" t="str">
        <x:v>P3</x:v>
      </x:c>
      <x:c r="E365" s="34" t="n">
        <x:v>2029</x:v>
      </x:c>
      <x:c r="F365" s="34" t="n">
        <x:v>1</x:v>
      </x:c>
      <x:c r="G365" s="34" t="n">
        <x:v>8.1</x:v>
      </x:c>
      <x:c r="H365" s="34" t="n">
        <x:v>11</x:v>
      </x:c>
      <x:c r="I365" s="34" t="n">
        <x:v>2.9</x:v>
      </x:c>
      <x:c r="J365" s="34" t="n">
        <x:v>73.636</x:v>
      </x:c>
      <x:c r="K365" s="34" t="n">
        <x:v>0</x:v>
      </x:c>
      <x:c r="L365" s="34" t="n">
        <x:v>0.44999999999999996</x:v>
      </x:c>
      <x:c r="M365" s="34" t="n">
        <x:v>0.45</x:v>
      </x:c>
      <x:c r="N365" s="34" t="n">
        <x:v>0</x:v>
      </x:c>
      <x:c r="O365" s="34" t="n">
        <x:v>5.04</x:v>
      </x:c>
      <x:c r="P365" s="34" t="n">
        <x:v>5.75</x:v>
      </x:c>
      <x:c r="Q365" s="34" t="n">
        <x:v>0.71</x:v>
      </x:c>
      <x:c r="R365" s="34" t="n">
        <x:v>87.652</x:v>
      </x:c>
      <x:c r="S365" s="40" t="b">
        <x:v>1</x:v>
      </x:c>
      <x:c r="T365" s="34" t="str">
        <x:v>model_interpolation</x:v>
      </x:c>
      <x:c r="U365" s="34" t="str">
        <x:v>Linear interpolation from 2026 to 2030</x:v>
      </x:c>
      <x:c r="V365" s="34" t="str">
        <x:v>CAND-7400D0EA735D98</x:v>
      </x:c>
      <x:c r="W365" s="34" t="str">
        <x:v>P3</x:v>
      </x:c>
      <x:c r="X365" s="34" t="str">
        <x:v>PORT-6742936593A9</x:v>
      </x:c>
      <x:c r="Y365" s="34" t="n">
        <x:v>1000</x:v>
      </x:c>
      <x:c r="Z365" s="34" t="n">
        <x:v>81.267325</x:v>
      </x:c>
      <x:c r="AA365" s="34" t="n">
        <x:v>17.588613</x:v>
      </x:c>
      <x:c r="AB365" s="34" t="n">
        <x:v>454.753949</x:v>
      </x:c>
      <x:c r="AC365" s="34" t="n">
        <x:v>36270.549</x:v>
      </x:c>
      <x:c r="AD365" s="34" t="n">
        <x:v>79.758623</x:v>
      </x:c>
      <x:c r="AE365" s="40" t="b">
        <x:v>1</x:v>
      </x:c>
      <x:c r="AF365" s="40" t="b">
        <x:v>1</x:v>
      </x:c>
      <x:c r="AG365" s="34" t="str"/>
      <x:c r="AH365" s="34" t="n">
        <x:v>0</x:v>
      </x:c>
      <x:c r="AI365" s="34" t="str">
        <x:v>3.446647212967946e-06</x:v>
      </x:c>
      <x:c r="AJ365" s="40" t="b">
        <x:v>1</x:v>
      </x:c>
      <x:c r="AK365" s="40" t="b">
        <x:v>1</x:v>
      </x:c>
      <x:c r="AL365" s="40" t="b">
        <x:v>1</x:v>
      </x:c>
      <x:c r="AM365" s="40" t="b">
        <x:v>1</x:v>
      </x:c>
      <x:c r="AN365" s="34" t="str"/>
      <x:c r="AO365" s="34" t="n">
        <x:v>0</x:v>
      </x:c>
      <x:c r="AP365" s="34" t="n">
        <x:v>0</x:v>
      </x:c>
      <x:c r="AQ365" s="34" t="n">
        <x:v>0</x:v>
      </x:c>
      <x:c r="AR365" s="34" t="n">
        <x:v>2</x:v>
      </x:c>
      <x:c r="AS365" s="34" t="n">
        <x:v>2</x:v>
      </x:c>
      <x:c r="AT365" s="34" t="n">
        <x:v>0.47641018879999986</x:v>
      </x:c>
      <x:c r="AU365" s="34" t="n">
        <x:v>0.65</x:v>
      </x:c>
      <x:c r="AV365" s="34" t="n">
        <x:v>2.16</x:v>
      </x:c>
    </x:row>
    <x:row r="366">
      <x:c r="A366" s="34" t="str">
        <x:v>NIPPON_STEEL_JP</x:v>
      </x:c>
      <x:c r="B366" s="34" t="str">
        <x:v>Nippon Steel</x:v>
      </x:c>
      <x:c r="C366" s="34" t="str">
        <x:v>DISCLOSED_PATH</x:v>
      </x:c>
      <x:c r="D366" s="34" t="str">
        <x:v>P3</x:v>
      </x:c>
      <x:c r="E366" s="34" t="n">
        <x:v>2030</x:v>
      </x:c>
      <x:c r="F366" s="34" t="n">
        <x:v>1</x:v>
      </x:c>
      <x:c r="G366" s="34" t="n">
        <x:v>8.1</x:v>
      </x:c>
      <x:c r="H366" s="34" t="n">
        <x:v>12</x:v>
      </x:c>
      <x:c r="I366" s="34" t="n">
        <x:v>3.9</x:v>
      </x:c>
      <x:c r="J366" s="34" t="n">
        <x:v>67.5</x:v>
      </x:c>
      <x:c r="K366" s="34" t="n">
        <x:v>0</x:v>
      </x:c>
      <x:c r="L366" s="34" t="n">
        <x:v>0.6</x:v>
      </x:c>
      <x:c r="M366" s="34" t="n">
        <x:v>0.6</x:v>
      </x:c>
      <x:c r="N366" s="34" t="n">
        <x:v>0</x:v>
      </x:c>
      <x:c r="O366" s="34" t="n">
        <x:v>5.04</x:v>
      </x:c>
      <x:c r="P366" s="34" t="n">
        <x:v>7</x:v>
      </x:c>
      <x:c r="Q366" s="34" t="n">
        <x:v>1.96</x:v>
      </x:c>
      <x:c r="R366" s="34" t="n">
        <x:v>72</x:v>
      </x:c>
      <x:c r="S366" s="40" t="b">
        <x:v>1</x:v>
      </x:c>
      <x:c r="T366" s="34" t="str">
        <x:v>model_interpolation</x:v>
      </x:c>
      <x:c r="U366" s="34" t="str">
        <x:v>Linear interpolation from 2030 to 2035</x:v>
      </x:c>
      <x:c r="V366" s="34" t="str">
        <x:v>CAND-7400D0EA735D98</x:v>
      </x:c>
      <x:c r="W366" s="34" t="str">
        <x:v>P3</x:v>
      </x:c>
      <x:c r="X366" s="34" t="str">
        <x:v>PORT-6742936593A9</x:v>
      </x:c>
      <x:c r="Y366" s="34" t="n">
        <x:v>1000</x:v>
      </x:c>
      <x:c r="Z366" s="34" t="n">
        <x:v>81.267325</x:v>
      </x:c>
      <x:c r="AA366" s="34" t="n">
        <x:v>17.588613</x:v>
      </x:c>
      <x:c r="AB366" s="34" t="n">
        <x:v>454.753949</x:v>
      </x:c>
      <x:c r="AC366" s="34" t="n">
        <x:v>36270.549</x:v>
      </x:c>
      <x:c r="AD366" s="34" t="n">
        <x:v>79.758623</x:v>
      </x:c>
      <x:c r="AE366" s="40" t="b">
        <x:v>1</x:v>
      </x:c>
      <x:c r="AF366" s="40" t="b">
        <x:v>1</x:v>
      </x:c>
      <x:c r="AG366" s="34" t="str"/>
      <x:c r="AH366" s="34" t="n">
        <x:v>0</x:v>
      </x:c>
      <x:c r="AI366" s="34" t="str">
        <x:v>3.446647212967946e-06</x:v>
      </x:c>
      <x:c r="AJ366" s="40" t="b">
        <x:v>1</x:v>
      </x:c>
      <x:c r="AK366" s="40" t="b">
        <x:v>1</x:v>
      </x:c>
      <x:c r="AL366" s="40" t="b">
        <x:v>1</x:v>
      </x:c>
      <x:c r="AM366" s="40" t="b">
        <x:v>1</x:v>
      </x:c>
      <x:c r="AN366" s="34" t="str"/>
      <x:c r="AO366" s="34" t="n">
        <x:v>0</x:v>
      </x:c>
      <x:c r="AP366" s="34" t="n">
        <x:v>0</x:v>
      </x:c>
      <x:c r="AQ366" s="34" t="n">
        <x:v>0</x:v>
      </x:c>
      <x:c r="AR366" s="34" t="n">
        <x:v>2</x:v>
      </x:c>
      <x:c r="AS366" s="34" t="n">
        <x:v>2</x:v>
      </x:c>
      <x:c r="AT366" s="34" t="n">
        <x:v>0.47641018879999986</x:v>
      </x:c>
      <x:c r="AU366" s="34" t="n">
        <x:v>0.65</x:v>
      </x:c>
      <x:c r="AV366" s="34" t="n">
        <x:v>2.16</x:v>
      </x:c>
    </x:row>
    <x:row r="367">
      <x:c r="A367" s="34" t="str">
        <x:v>NIPPON_STEEL_JP</x:v>
      </x:c>
      <x:c r="B367" s="34" t="str">
        <x:v>Nippon Steel</x:v>
      </x:c>
      <x:c r="C367" s="34" t="str">
        <x:v>DISCLOSED_PATH</x:v>
      </x:c>
      <x:c r="D367" s="34" t="str">
        <x:v>P3</x:v>
      </x:c>
      <x:c r="E367" s="34" t="n">
        <x:v>2031</x:v>
      </x:c>
      <x:c r="F367" s="34" t="n">
        <x:v>1</x:v>
      </x:c>
      <x:c r="G367" s="34" t="n">
        <x:v>8.1</x:v>
      </x:c>
      <x:c r="H367" s="34" t="n">
        <x:v>13.2</x:v>
      </x:c>
      <x:c r="I367" s="34" t="n">
        <x:v>5.1</x:v>
      </x:c>
      <x:c r="J367" s="34" t="n">
        <x:v>61.364</x:v>
      </x:c>
      <x:c r="K367" s="34" t="n">
        <x:v>0</x:v>
      </x:c>
      <x:c r="L367" s="34" t="n">
        <x:v>0.8400000000000001</x:v>
      </x:c>
      <x:c r="M367" s="34" t="n">
        <x:v>0.84</x:v>
      </x:c>
      <x:c r="N367" s="34" t="n">
        <x:v>0</x:v>
      </x:c>
      <x:c r="O367" s="34" t="n">
        <x:v>5.04</x:v>
      </x:c>
      <x:c r="P367" s="34" t="n">
        <x:v>8.6</x:v>
      </x:c>
      <x:c r="Q367" s="34" t="n">
        <x:v>3.56</x:v>
      </x:c>
      <x:c r="R367" s="34" t="n">
        <x:v>58.605</x:v>
      </x:c>
      <x:c r="S367" s="40" t="b">
        <x:v>1</x:v>
      </x:c>
      <x:c r="T367" s="34" t="str">
        <x:v>model_interpolation</x:v>
      </x:c>
      <x:c r="U367" s="34" t="str">
        <x:v>Linear interpolation from 2030 to 2035</x:v>
      </x:c>
      <x:c r="V367" s="34" t="str">
        <x:v>CAND-7400D0EA735D98</x:v>
      </x:c>
      <x:c r="W367" s="34" t="str">
        <x:v>P3</x:v>
      </x:c>
      <x:c r="X367" s="34" t="str">
        <x:v>PORT-6742936593A9</x:v>
      </x:c>
      <x:c r="Y367" s="34" t="n">
        <x:v>1000</x:v>
      </x:c>
      <x:c r="Z367" s="34" t="n">
        <x:v>81.267325</x:v>
      </x:c>
      <x:c r="AA367" s="34" t="n">
        <x:v>17.588613</x:v>
      </x:c>
      <x:c r="AB367" s="34" t="n">
        <x:v>454.753949</x:v>
      </x:c>
      <x:c r="AC367" s="34" t="n">
        <x:v>36270.549</x:v>
      </x:c>
      <x:c r="AD367" s="34" t="n">
        <x:v>79.758623</x:v>
      </x:c>
      <x:c r="AE367" s="40" t="b">
        <x:v>1</x:v>
      </x:c>
      <x:c r="AF367" s="40" t="b">
        <x:v>1</x:v>
      </x:c>
      <x:c r="AG367" s="34" t="str"/>
      <x:c r="AH367" s="34" t="n">
        <x:v>0</x:v>
      </x:c>
      <x:c r="AI367" s="34" t="str">
        <x:v>3.446647212967946e-06</x:v>
      </x:c>
      <x:c r="AJ367" s="40" t="b">
        <x:v>1</x:v>
      </x:c>
      <x:c r="AK367" s="40" t="b">
        <x:v>1</x:v>
      </x:c>
      <x:c r="AL367" s="40" t="b">
        <x:v>1</x:v>
      </x:c>
      <x:c r="AM367" s="40" t="b">
        <x:v>1</x:v>
      </x:c>
      <x:c r="AN367" s="34" t="str"/>
      <x:c r="AO367" s="34" t="n">
        <x:v>0</x:v>
      </x:c>
      <x:c r="AP367" s="34" t="n">
        <x:v>0</x:v>
      </x:c>
      <x:c r="AQ367" s="34" t="n">
        <x:v>0</x:v>
      </x:c>
      <x:c r="AR367" s="34" t="n">
        <x:v>2</x:v>
      </x:c>
      <x:c r="AS367" s="34" t="n">
        <x:v>2</x:v>
      </x:c>
      <x:c r="AT367" s="34" t="n">
        <x:v>0.47641018879999986</x:v>
      </x:c>
      <x:c r="AU367" s="34" t="n">
        <x:v>0.65</x:v>
      </x:c>
      <x:c r="AV367" s="34" t="n">
        <x:v>2.16</x:v>
      </x:c>
    </x:row>
    <x:row r="368">
      <x:c r="A368" s="34" t="str">
        <x:v>NIPPON_STEEL_JP</x:v>
      </x:c>
      <x:c r="B368" s="34" t="str">
        <x:v>Nippon Steel</x:v>
      </x:c>
      <x:c r="C368" s="34" t="str">
        <x:v>DISCLOSED_PATH</x:v>
      </x:c>
      <x:c r="D368" s="34" t="str">
        <x:v>P3</x:v>
      </x:c>
      <x:c r="E368" s="34" t="n">
        <x:v>2032</x:v>
      </x:c>
      <x:c r="F368" s="34" t="n">
        <x:v>2</x:v>
      </x:c>
      <x:c r="G368" s="34" t="n">
        <x:v>13.679998</x:v>
      </x:c>
      <x:c r="H368" s="34" t="n">
        <x:v>14.4</x:v>
      </x:c>
      <x:c r="I368" s="34" t="n">
        <x:v>0.720002</x:v>
      </x:c>
      <x:c r="J368" s="34" t="n">
        <x:v>95</x:v>
      </x:c>
      <x:c r="K368" s="34" t="n">
        <x:v>0</x:v>
      </x:c>
      <x:c r="L368" s="34" t="n">
        <x:v>1.08</x:v>
      </x:c>
      <x:c r="M368" s="34" t="n">
        <x:v>1.08</x:v>
      </x:c>
      <x:c r="N368" s="34" t="n">
        <x:v>0</x:v>
      </x:c>
      <x:c r="O368" s="34" t="n">
        <x:v>8.511999</x:v>
      </x:c>
      <x:c r="P368" s="34" t="n">
        <x:v>10.2</x:v>
      </x:c>
      <x:c r="Q368" s="34" t="n">
        <x:v>1.688001</x:v>
      </x:c>
      <x:c r="R368" s="34" t="n">
        <x:v>83.451</x:v>
      </x:c>
      <x:c r="S368" s="40" t="b">
        <x:v>1</x:v>
      </x:c>
      <x:c r="T368" s="34" t="str">
        <x:v>model_interpolation</x:v>
      </x:c>
      <x:c r="U368" s="34" t="str">
        <x:v>Linear interpolation from 2030 to 2035</x:v>
      </x:c>
      <x:c r="V368" s="34" t="str">
        <x:v>CAND-7400D0EA735D98</x:v>
      </x:c>
      <x:c r="W368" s="34" t="str">
        <x:v>P3</x:v>
      </x:c>
      <x:c r="X368" s="34" t="str">
        <x:v>PORT-6742936593A9</x:v>
      </x:c>
      <x:c r="Y368" s="34" t="n">
        <x:v>1000</x:v>
      </x:c>
      <x:c r="Z368" s="34" t="n">
        <x:v>81.267325</x:v>
      </x:c>
      <x:c r="AA368" s="34" t="n">
        <x:v>17.588613</x:v>
      </x:c>
      <x:c r="AB368" s="34" t="n">
        <x:v>454.753949</x:v>
      </x:c>
      <x:c r="AC368" s="34" t="n">
        <x:v>36270.549</x:v>
      </x:c>
      <x:c r="AD368" s="34" t="n">
        <x:v>79.758623</x:v>
      </x:c>
      <x:c r="AE368" s="40" t="b">
        <x:v>1</x:v>
      </x:c>
      <x:c r="AF368" s="40" t="b">
        <x:v>1</x:v>
      </x:c>
      <x:c r="AG368" s="34" t="str"/>
      <x:c r="AH368" s="34" t="n">
        <x:v>0</x:v>
      </x:c>
      <x:c r="AI368" s="34" t="str">
        <x:v>3.446647212967946e-06</x:v>
      </x:c>
      <x:c r="AJ368" s="40" t="b">
        <x:v>1</x:v>
      </x:c>
      <x:c r="AK368" s="40" t="b">
        <x:v>1</x:v>
      </x:c>
      <x:c r="AL368" s="40" t="b">
        <x:v>1</x:v>
      </x:c>
      <x:c r="AM368" s="40" t="b">
        <x:v>1</x:v>
      </x:c>
      <x:c r="AN368" s="34" t="str"/>
      <x:c r="AO368" s="34" t="n">
        <x:v>0</x:v>
      </x:c>
      <x:c r="AP368" s="34" t="n">
        <x:v>0</x:v>
      </x:c>
      <x:c r="AQ368" s="34" t="n">
        <x:v>0</x:v>
      </x:c>
      <x:c r="AR368" s="34" t="n">
        <x:v>2</x:v>
      </x:c>
      <x:c r="AS368" s="34" t="n">
        <x:v>2</x:v>
      </x:c>
      <x:c r="AT368" s="34" t="n">
        <x:v>0.47641018879999986</x:v>
      </x:c>
      <x:c r="AU368" s="34" t="n">
        <x:v>0.65</x:v>
      </x:c>
      <x:c r="AV368" s="34" t="n">
        <x:v>2.16</x:v>
      </x:c>
    </x:row>
    <x:row r="369">
      <x:c r="A369" s="34" t="str">
        <x:v>NIPPON_STEEL_JP</x:v>
      </x:c>
      <x:c r="B369" s="34" t="str">
        <x:v>Nippon Steel</x:v>
      </x:c>
      <x:c r="C369" s="34" t="str">
        <x:v>DISCLOSED_PATH</x:v>
      </x:c>
      <x:c r="D369" s="34" t="str">
        <x:v>P3</x:v>
      </x:c>
      <x:c r="E369" s="34" t="n">
        <x:v>2033</x:v>
      </x:c>
      <x:c r="F369" s="34" t="n">
        <x:v>2</x:v>
      </x:c>
      <x:c r="G369" s="34" t="n">
        <x:v>13.679998</x:v>
      </x:c>
      <x:c r="H369" s="34" t="n">
        <x:v>15.6</x:v>
      </x:c>
      <x:c r="I369" s="34" t="n">
        <x:v>1.920002</x:v>
      </x:c>
      <x:c r="J369" s="34" t="n">
        <x:v>87.692</x:v>
      </x:c>
      <x:c r="K369" s="34" t="n">
        <x:v>0</x:v>
      </x:c>
      <x:c r="L369" s="34" t="n">
        <x:v>1.32</x:v>
      </x:c>
      <x:c r="M369" s="34" t="n">
        <x:v>1.32</x:v>
      </x:c>
      <x:c r="N369" s="34" t="n">
        <x:v>0</x:v>
      </x:c>
      <x:c r="O369" s="34" t="n">
        <x:v>8.511999</x:v>
      </x:c>
      <x:c r="P369" s="34" t="n">
        <x:v>11.8</x:v>
      </x:c>
      <x:c r="Q369" s="34" t="n">
        <x:v>3.288001</x:v>
      </x:c>
      <x:c r="R369" s="34" t="n">
        <x:v>72.136</x:v>
      </x:c>
      <x:c r="S369" s="40" t="b">
        <x:v>1</x:v>
      </x:c>
      <x:c r="T369" s="34" t="str">
        <x:v>model_interpolation</x:v>
      </x:c>
      <x:c r="U369" s="34" t="str">
        <x:v>Linear interpolation from 2030 to 2035</x:v>
      </x:c>
      <x:c r="V369" s="34" t="str">
        <x:v>CAND-7400D0EA735D98</x:v>
      </x:c>
      <x:c r="W369" s="34" t="str">
        <x:v>P3</x:v>
      </x:c>
      <x:c r="X369" s="34" t="str">
        <x:v>PORT-6742936593A9</x:v>
      </x:c>
      <x:c r="Y369" s="34" t="n">
        <x:v>1000</x:v>
      </x:c>
      <x:c r="Z369" s="34" t="n">
        <x:v>81.267325</x:v>
      </x:c>
      <x:c r="AA369" s="34" t="n">
        <x:v>17.588613</x:v>
      </x:c>
      <x:c r="AB369" s="34" t="n">
        <x:v>454.753949</x:v>
      </x:c>
      <x:c r="AC369" s="34" t="n">
        <x:v>36270.549</x:v>
      </x:c>
      <x:c r="AD369" s="34" t="n">
        <x:v>79.758623</x:v>
      </x:c>
      <x:c r="AE369" s="40" t="b">
        <x:v>1</x:v>
      </x:c>
      <x:c r="AF369" s="40" t="b">
        <x:v>1</x:v>
      </x:c>
      <x:c r="AG369" s="34" t="str"/>
      <x:c r="AH369" s="34" t="n">
        <x:v>0</x:v>
      </x:c>
      <x:c r="AI369" s="34" t="str">
        <x:v>3.446647212967946e-06</x:v>
      </x:c>
      <x:c r="AJ369" s="40" t="b">
        <x:v>1</x:v>
      </x:c>
      <x:c r="AK369" s="40" t="b">
        <x:v>1</x:v>
      </x:c>
      <x:c r="AL369" s="40" t="b">
        <x:v>1</x:v>
      </x:c>
      <x:c r="AM369" s="40" t="b">
        <x:v>1</x:v>
      </x:c>
      <x:c r="AN369" s="34" t="str"/>
      <x:c r="AO369" s="34" t="n">
        <x:v>0</x:v>
      </x:c>
      <x:c r="AP369" s="34" t="n">
        <x:v>0</x:v>
      </x:c>
      <x:c r="AQ369" s="34" t="n">
        <x:v>0</x:v>
      </x:c>
      <x:c r="AR369" s="34" t="n">
        <x:v>2</x:v>
      </x:c>
      <x:c r="AS369" s="34" t="n">
        <x:v>2</x:v>
      </x:c>
      <x:c r="AT369" s="34" t="n">
        <x:v>0.47641018879999986</x:v>
      </x:c>
      <x:c r="AU369" s="34" t="n">
        <x:v>0.65</x:v>
      </x:c>
      <x:c r="AV369" s="34" t="n">
        <x:v>2.16</x:v>
      </x:c>
    </x:row>
    <x:row r="370">
      <x:c r="A370" s="34" t="str">
        <x:v>NIPPON_STEEL_JP</x:v>
      </x:c>
      <x:c r="B370" s="34" t="str">
        <x:v>Nippon Steel</x:v>
      </x:c>
      <x:c r="C370" s="34" t="str">
        <x:v>DISCLOSED_PATH</x:v>
      </x:c>
      <x:c r="D370" s="34" t="str">
        <x:v>P3</x:v>
      </x:c>
      <x:c r="E370" s="34" t="n">
        <x:v>2034</x:v>
      </x:c>
      <x:c r="F370" s="34" t="n">
        <x:v>3</x:v>
      </x:c>
      <x:c r="G370" s="34" t="n">
        <x:v>14.759998</x:v>
      </x:c>
      <x:c r="H370" s="34" t="n">
        <x:v>16.8</x:v>
      </x:c>
      <x:c r="I370" s="34" t="n">
        <x:v>2.040002</x:v>
      </x:c>
      <x:c r="J370" s="34" t="n">
        <x:v>87.857</x:v>
      </x:c>
      <x:c r="K370" s="34" t="n">
        <x:v>0.396</x:v>
      </x:c>
      <x:c r="L370" s="34" t="n">
        <x:v>1.56</x:v>
      </x:c>
      <x:c r="M370" s="34" t="n">
        <x:v>1.164</x:v>
      </x:c>
      <x:c r="N370" s="34" t="n">
        <x:v>25.385</x:v>
      </x:c>
      <x:c r="O370" s="34" t="n">
        <x:v>11.823999</x:v>
      </x:c>
      <x:c r="P370" s="34" t="n">
        <x:v>13.4</x:v>
      </x:c>
      <x:c r="Q370" s="34" t="n">
        <x:v>1.576001</x:v>
      </x:c>
      <x:c r="R370" s="34" t="n">
        <x:v>88.239</x:v>
      </x:c>
      <x:c r="S370" s="40" t="b">
        <x:v>1</x:v>
      </x:c>
      <x:c r="T370" s="34" t="str">
        <x:v>model_interpolation</x:v>
      </x:c>
      <x:c r="U370" s="34" t="str">
        <x:v>Linear interpolation from 2030 to 2035</x:v>
      </x:c>
      <x:c r="V370" s="34" t="str">
        <x:v>CAND-7400D0EA735D98</x:v>
      </x:c>
      <x:c r="W370" s="34" t="str">
        <x:v>P3</x:v>
      </x:c>
      <x:c r="X370" s="34" t="str">
        <x:v>PORT-6742936593A9</x:v>
      </x:c>
      <x:c r="Y370" s="34" t="n">
        <x:v>1000</x:v>
      </x:c>
      <x:c r="Z370" s="34" t="n">
        <x:v>81.267325</x:v>
      </x:c>
      <x:c r="AA370" s="34" t="n">
        <x:v>17.588613</x:v>
      </x:c>
      <x:c r="AB370" s="34" t="n">
        <x:v>454.753949</x:v>
      </x:c>
      <x:c r="AC370" s="34" t="n">
        <x:v>36270.549</x:v>
      </x:c>
      <x:c r="AD370" s="34" t="n">
        <x:v>79.758623</x:v>
      </x:c>
      <x:c r="AE370" s="40" t="b">
        <x:v>1</x:v>
      </x:c>
      <x:c r="AF370" s="40" t="b">
        <x:v>1</x:v>
      </x:c>
      <x:c r="AG370" s="34" t="str"/>
      <x:c r="AH370" s="34" t="n">
        <x:v>0</x:v>
      </x:c>
      <x:c r="AI370" s="34" t="str">
        <x:v>3.446647212967946e-06</x:v>
      </x:c>
      <x:c r="AJ370" s="40" t="b">
        <x:v>1</x:v>
      </x:c>
      <x:c r="AK370" s="40" t="b">
        <x:v>1</x:v>
      </x:c>
      <x:c r="AL370" s="40" t="b">
        <x:v>1</x:v>
      </x:c>
      <x:c r="AM370" s="40" t="b">
        <x:v>1</x:v>
      </x:c>
      <x:c r="AN370" s="34" t="str"/>
      <x:c r="AO370" s="34" t="n">
        <x:v>0</x:v>
      </x:c>
      <x:c r="AP370" s="34" t="n">
        <x:v>0</x:v>
      </x:c>
      <x:c r="AQ370" s="34" t="n">
        <x:v>0</x:v>
      </x:c>
      <x:c r="AR370" s="34" t="n">
        <x:v>2</x:v>
      </x:c>
      <x:c r="AS370" s="34" t="n">
        <x:v>2</x:v>
      </x:c>
      <x:c r="AT370" s="34" t="n">
        <x:v>0.47641018879999986</x:v>
      </x:c>
      <x:c r="AU370" s="34" t="n">
        <x:v>0.65</x:v>
      </x:c>
      <x:c r="AV370" s="34" t="n">
        <x:v>2.16</x:v>
      </x:c>
    </x:row>
    <x:row r="371">
      <x:c r="A371" s="34" t="str">
        <x:v>NIPPON_STEEL_JP</x:v>
      </x:c>
      <x:c r="B371" s="34" t="str">
        <x:v>Nippon Steel</x:v>
      </x:c>
      <x:c r="C371" s="34" t="str">
        <x:v>DISCLOSED_PATH</x:v>
      </x:c>
      <x:c r="D371" s="34" t="str">
        <x:v>P3</x:v>
      </x:c>
      <x:c r="E371" s="34" t="n">
        <x:v>2035</x:v>
      </x:c>
      <x:c r="F371" s="34" t="n">
        <x:v>3</x:v>
      </x:c>
      <x:c r="G371" s="34" t="n">
        <x:v>14.759998</x:v>
      </x:c>
      <x:c r="H371" s="34" t="n">
        <x:v>18</x:v>
      </x:c>
      <x:c r="I371" s="34" t="n">
        <x:v>3.240002</x:v>
      </x:c>
      <x:c r="J371" s="34" t="n">
        <x:v>82</x:v>
      </x:c>
      <x:c r="K371" s="34" t="n">
        <x:v>0.396</x:v>
      </x:c>
      <x:c r="L371" s="34" t="n">
        <x:v>1.8</x:v>
      </x:c>
      <x:c r="M371" s="34" t="n">
        <x:v>1.404</x:v>
      </x:c>
      <x:c r="N371" s="34" t="n">
        <x:v>22</x:v>
      </x:c>
      <x:c r="O371" s="34" t="n">
        <x:v>11.823999</x:v>
      </x:c>
      <x:c r="P371" s="34" t="n">
        <x:v>15</x:v>
      </x:c>
      <x:c r="Q371" s="34" t="n">
        <x:v>3.176001</x:v>
      </x:c>
      <x:c r="R371" s="34" t="n">
        <x:v>78.827</x:v>
      </x:c>
      <x:c r="S371" s="40" t="b">
        <x:v>1</x:v>
      </x:c>
      <x:c r="T371" s="34" t="str">
        <x:v>model_interpolation</x:v>
      </x:c>
      <x:c r="U371" s="34" t="str">
        <x:v>Linear interpolation from 2035 to 2040</x:v>
      </x:c>
      <x:c r="V371" s="34" t="str">
        <x:v>CAND-7400D0EA735D98</x:v>
      </x:c>
      <x:c r="W371" s="34" t="str">
        <x:v>P3</x:v>
      </x:c>
      <x:c r="X371" s="34" t="str">
        <x:v>PORT-6742936593A9</x:v>
      </x:c>
      <x:c r="Y371" s="34" t="n">
        <x:v>1000</x:v>
      </x:c>
      <x:c r="Z371" s="34" t="n">
        <x:v>81.267325</x:v>
      </x:c>
      <x:c r="AA371" s="34" t="n">
        <x:v>17.588613</x:v>
      </x:c>
      <x:c r="AB371" s="34" t="n">
        <x:v>454.753949</x:v>
      </x:c>
      <x:c r="AC371" s="34" t="n">
        <x:v>36270.549</x:v>
      </x:c>
      <x:c r="AD371" s="34" t="n">
        <x:v>79.758623</x:v>
      </x:c>
      <x:c r="AE371" s="40" t="b">
        <x:v>1</x:v>
      </x:c>
      <x:c r="AF371" s="40" t="b">
        <x:v>1</x:v>
      </x:c>
      <x:c r="AG371" s="34" t="str"/>
      <x:c r="AH371" s="34" t="n">
        <x:v>0</x:v>
      </x:c>
      <x:c r="AI371" s="34" t="str">
        <x:v>3.446647212967946e-06</x:v>
      </x:c>
      <x:c r="AJ371" s="40" t="b">
        <x:v>1</x:v>
      </x:c>
      <x:c r="AK371" s="40" t="b">
        <x:v>1</x:v>
      </x:c>
      <x:c r="AL371" s="40" t="b">
        <x:v>1</x:v>
      </x:c>
      <x:c r="AM371" s="40" t="b">
        <x:v>1</x:v>
      </x:c>
      <x:c r="AN371" s="34" t="str"/>
      <x:c r="AO371" s="34" t="n">
        <x:v>0</x:v>
      </x:c>
      <x:c r="AP371" s="34" t="n">
        <x:v>0</x:v>
      </x:c>
      <x:c r="AQ371" s="34" t="n">
        <x:v>0</x:v>
      </x:c>
      <x:c r="AR371" s="34" t="n">
        <x:v>2</x:v>
      </x:c>
      <x:c r="AS371" s="34" t="n">
        <x:v>2</x:v>
      </x:c>
      <x:c r="AT371" s="34" t="n">
        <x:v>0.47641018879999986</x:v>
      </x:c>
      <x:c r="AU371" s="34" t="n">
        <x:v>0.65</x:v>
      </x:c>
      <x:c r="AV371" s="34" t="n">
        <x:v>2.16</x:v>
      </x:c>
    </x:row>
    <x:row r="372">
      <x:c r="A372" s="34" t="str">
        <x:v>NIPPON_STEEL_JP</x:v>
      </x:c>
      <x:c r="B372" s="34" t="str">
        <x:v>Nippon Steel</x:v>
      </x:c>
      <x:c r="C372" s="34" t="str">
        <x:v>DISCLOSED_PATH</x:v>
      </x:c>
      <x:c r="D372" s="34" t="str">
        <x:v>P3</x:v>
      </x:c>
      <x:c r="E372" s="34" t="n">
        <x:v>2036</x:v>
      </x:c>
      <x:c r="F372" s="34" t="n">
        <x:v>4</x:v>
      </x:c>
      <x:c r="G372" s="34" t="n">
        <x:v>15.599998</x:v>
      </x:c>
      <x:c r="H372" s="34" t="n">
        <x:v>19.4</x:v>
      </x:c>
      <x:c r="I372" s="34" t="n">
        <x:v>3.800002</x:v>
      </x:c>
      <x:c r="J372" s="34" t="n">
        <x:v>80.412</x:v>
      </x:c>
      <x:c r="K372" s="34" t="n">
        <x:v>0.704</x:v>
      </x:c>
      <x:c r="L372" s="34" t="n">
        <x:v>2.08</x:v>
      </x:c>
      <x:c r="M372" s="34" t="n">
        <x:v>1.376</x:v>
      </x:c>
      <x:c r="N372" s="34" t="n">
        <x:v>33.846</x:v>
      </x:c>
      <x:c r="O372" s="34" t="n">
        <x:v>14.4</x:v>
      </x:c>
      <x:c r="P372" s="34" t="n">
        <x:v>17</x:v>
      </x:c>
      <x:c r="Q372" s="34" t="n">
        <x:v>2.6</x:v>
      </x:c>
      <x:c r="R372" s="34" t="n">
        <x:v>84.706</x:v>
      </x:c>
      <x:c r="S372" s="40" t="b">
        <x:v>1</x:v>
      </x:c>
      <x:c r="T372" s="34" t="str">
        <x:v>model_interpolation</x:v>
      </x:c>
      <x:c r="U372" s="34" t="str">
        <x:v>Linear interpolation from 2035 to 2040</x:v>
      </x:c>
      <x:c r="V372" s="34" t="str">
        <x:v>CAND-7400D0EA735D98</x:v>
      </x:c>
      <x:c r="W372" s="34" t="str">
        <x:v>P3</x:v>
      </x:c>
      <x:c r="X372" s="34" t="str">
        <x:v>PORT-6742936593A9</x:v>
      </x:c>
      <x:c r="Y372" s="34" t="n">
        <x:v>1000</x:v>
      </x:c>
      <x:c r="Z372" s="34" t="n">
        <x:v>81.267325</x:v>
      </x:c>
      <x:c r="AA372" s="34" t="n">
        <x:v>17.588613</x:v>
      </x:c>
      <x:c r="AB372" s="34" t="n">
        <x:v>454.753949</x:v>
      </x:c>
      <x:c r="AC372" s="34" t="n">
        <x:v>36270.549</x:v>
      </x:c>
      <x:c r="AD372" s="34" t="n">
        <x:v>79.758623</x:v>
      </x:c>
      <x:c r="AE372" s="40" t="b">
        <x:v>1</x:v>
      </x:c>
      <x:c r="AF372" s="40" t="b">
        <x:v>1</x:v>
      </x:c>
      <x:c r="AG372" s="34" t="str"/>
      <x:c r="AH372" s="34" t="n">
        <x:v>0</x:v>
      </x:c>
      <x:c r="AI372" s="34" t="str">
        <x:v>3.446647212967946e-06</x:v>
      </x:c>
      <x:c r="AJ372" s="40" t="b">
        <x:v>1</x:v>
      </x:c>
      <x:c r="AK372" s="40" t="b">
        <x:v>1</x:v>
      </x:c>
      <x:c r="AL372" s="40" t="b">
        <x:v>1</x:v>
      </x:c>
      <x:c r="AM372" s="40" t="b">
        <x:v>1</x:v>
      </x:c>
      <x:c r="AN372" s="34" t="str"/>
      <x:c r="AO372" s="34" t="n">
        <x:v>0</x:v>
      </x:c>
      <x:c r="AP372" s="34" t="n">
        <x:v>0</x:v>
      </x:c>
      <x:c r="AQ372" s="34" t="n">
        <x:v>0</x:v>
      </x:c>
      <x:c r="AR372" s="34" t="n">
        <x:v>2</x:v>
      </x:c>
      <x:c r="AS372" s="34" t="n">
        <x:v>2</x:v>
      </x:c>
      <x:c r="AT372" s="34" t="n">
        <x:v>0.47641018879999986</x:v>
      </x:c>
      <x:c r="AU372" s="34" t="n">
        <x:v>0.65</x:v>
      </x:c>
      <x:c r="AV372" s="34" t="n">
        <x:v>2.16</x:v>
      </x:c>
    </x:row>
    <x:row r="373">
      <x:c r="A373" s="34" t="str">
        <x:v>NIPPON_STEEL_JP</x:v>
      </x:c>
      <x:c r="B373" s="34" t="str">
        <x:v>Nippon Steel</x:v>
      </x:c>
      <x:c r="C373" s="34" t="str">
        <x:v>DISCLOSED_PATH</x:v>
      </x:c>
      <x:c r="D373" s="34" t="str">
        <x:v>P3</x:v>
      </x:c>
      <x:c r="E373" s="34" t="n">
        <x:v>2037</x:v>
      </x:c>
      <x:c r="F373" s="34" t="n">
        <x:v>4</x:v>
      </x:c>
      <x:c r="G373" s="34" t="n">
        <x:v>15.599998</x:v>
      </x:c>
      <x:c r="H373" s="34" t="n">
        <x:v>20.8</x:v>
      </x:c>
      <x:c r="I373" s="34" t="n">
        <x:v>5.200002</x:v>
      </x:c>
      <x:c r="J373" s="34" t="n">
        <x:v>75</x:v>
      </x:c>
      <x:c r="K373" s="34" t="n">
        <x:v>0.704</x:v>
      </x:c>
      <x:c r="L373" s="34" t="n">
        <x:v>2.3600000000000003</x:v>
      </x:c>
      <x:c r="M373" s="34" t="n">
        <x:v>1.656</x:v>
      </x:c>
      <x:c r="N373" s="34" t="n">
        <x:v>29.831</x:v>
      </x:c>
      <x:c r="O373" s="34" t="n">
        <x:v>14.4</x:v>
      </x:c>
      <x:c r="P373" s="34" t="n">
        <x:v>19</x:v>
      </x:c>
      <x:c r="Q373" s="34" t="n">
        <x:v>4.6</x:v>
      </x:c>
      <x:c r="R373" s="34" t="n">
        <x:v>75.789</x:v>
      </x:c>
      <x:c r="S373" s="40" t="b">
        <x:v>1</x:v>
      </x:c>
      <x:c r="T373" s="34" t="str">
        <x:v>model_interpolation</x:v>
      </x:c>
      <x:c r="U373" s="34" t="str">
        <x:v>Linear interpolation from 2035 to 2040</x:v>
      </x:c>
      <x:c r="V373" s="34" t="str">
        <x:v>CAND-7400D0EA735D98</x:v>
      </x:c>
      <x:c r="W373" s="34" t="str">
        <x:v>P3</x:v>
      </x:c>
      <x:c r="X373" s="34" t="str">
        <x:v>PORT-6742936593A9</x:v>
      </x:c>
      <x:c r="Y373" s="34" t="n">
        <x:v>1000</x:v>
      </x:c>
      <x:c r="Z373" s="34" t="n">
        <x:v>81.267325</x:v>
      </x:c>
      <x:c r="AA373" s="34" t="n">
        <x:v>17.588613</x:v>
      </x:c>
      <x:c r="AB373" s="34" t="n">
        <x:v>454.753949</x:v>
      </x:c>
      <x:c r="AC373" s="34" t="n">
        <x:v>36270.549</x:v>
      </x:c>
      <x:c r="AD373" s="34" t="n">
        <x:v>79.758623</x:v>
      </x:c>
      <x:c r="AE373" s="40" t="b">
        <x:v>1</x:v>
      </x:c>
      <x:c r="AF373" s="40" t="b">
        <x:v>1</x:v>
      </x:c>
      <x:c r="AG373" s="34" t="str"/>
      <x:c r="AH373" s="34" t="n">
        <x:v>0</x:v>
      </x:c>
      <x:c r="AI373" s="34" t="str">
        <x:v>3.446647212967946e-06</x:v>
      </x:c>
      <x:c r="AJ373" s="40" t="b">
        <x:v>1</x:v>
      </x:c>
      <x:c r="AK373" s="40" t="b">
        <x:v>1</x:v>
      </x:c>
      <x:c r="AL373" s="40" t="b">
        <x:v>1</x:v>
      </x:c>
      <x:c r="AM373" s="40" t="b">
        <x:v>1</x:v>
      </x:c>
      <x:c r="AN373" s="34" t="str"/>
      <x:c r="AO373" s="34" t="n">
        <x:v>0</x:v>
      </x:c>
      <x:c r="AP373" s="34" t="n">
        <x:v>0</x:v>
      </x:c>
      <x:c r="AQ373" s="34" t="n">
        <x:v>0</x:v>
      </x:c>
      <x:c r="AR373" s="34" t="n">
        <x:v>2</x:v>
      </x:c>
      <x:c r="AS373" s="34" t="n">
        <x:v>2</x:v>
      </x:c>
      <x:c r="AT373" s="34" t="n">
        <x:v>0.47641018879999986</x:v>
      </x:c>
      <x:c r="AU373" s="34" t="n">
        <x:v>0.65</x:v>
      </x:c>
      <x:c r="AV373" s="34" t="n">
        <x:v>2.16</x:v>
      </x:c>
    </x:row>
    <x:row r="374">
      <x:c r="A374" s="34" t="str">
        <x:v>NIPPON_STEEL_JP</x:v>
      </x:c>
      <x:c r="B374" s="34" t="str">
        <x:v>Nippon Steel</x:v>
      </x:c>
      <x:c r="C374" s="34" t="str">
        <x:v>DISCLOSED_PATH</x:v>
      </x:c>
      <x:c r="D374" s="34" t="str">
        <x:v>P3</x:v>
      </x:c>
      <x:c r="E374" s="34" t="n">
        <x:v>2038</x:v>
      </x:c>
      <x:c r="F374" s="34" t="n">
        <x:v>5</x:v>
      </x:c>
      <x:c r="G374" s="34" t="n">
        <x:v>21.269998</x:v>
      </x:c>
      <x:c r="H374" s="34" t="n">
        <x:v>22.2</x:v>
      </x:c>
      <x:c r="I374" s="34" t="n">
        <x:v>0.930002</x:v>
      </x:c>
      <x:c r="J374" s="34" t="n">
        <x:v>95.811</x:v>
      </x:c>
      <x:c r="K374" s="34" t="n">
        <x:v>0.704</x:v>
      </x:c>
      <x:c r="L374" s="34" t="n">
        <x:v>2.64</x:v>
      </x:c>
      <x:c r="M374" s="34" t="n">
        <x:v>1.936</x:v>
      </x:c>
      <x:c r="N374" s="34" t="n">
        <x:v>26.667</x:v>
      </x:c>
      <x:c r="O374" s="34" t="n">
        <x:v>17.928</x:v>
      </x:c>
      <x:c r="P374" s="34" t="n">
        <x:v>21</x:v>
      </x:c>
      <x:c r="Q374" s="34" t="n">
        <x:v>3.072</x:v>
      </x:c>
      <x:c r="R374" s="34" t="n">
        <x:v>85.371</x:v>
      </x:c>
      <x:c r="S374" s="40" t="b">
        <x:v>1</x:v>
      </x:c>
      <x:c r="T374" s="34" t="str">
        <x:v>model_interpolation</x:v>
      </x:c>
      <x:c r="U374" s="34" t="str">
        <x:v>Linear interpolation from 2035 to 2040</x:v>
      </x:c>
      <x:c r="V374" s="34" t="str">
        <x:v>CAND-7400D0EA735D98</x:v>
      </x:c>
      <x:c r="W374" s="34" t="str">
        <x:v>P3</x:v>
      </x:c>
      <x:c r="X374" s="34" t="str">
        <x:v>PORT-6742936593A9</x:v>
      </x:c>
      <x:c r="Y374" s="34" t="n">
        <x:v>1000</x:v>
      </x:c>
      <x:c r="Z374" s="34" t="n">
        <x:v>81.267325</x:v>
      </x:c>
      <x:c r="AA374" s="34" t="n">
        <x:v>17.588613</x:v>
      </x:c>
      <x:c r="AB374" s="34" t="n">
        <x:v>454.753949</x:v>
      </x:c>
      <x:c r="AC374" s="34" t="n">
        <x:v>36270.549</x:v>
      </x:c>
      <x:c r="AD374" s="34" t="n">
        <x:v>79.758623</x:v>
      </x:c>
      <x:c r="AE374" s="40" t="b">
        <x:v>1</x:v>
      </x:c>
      <x:c r="AF374" s="40" t="b">
        <x:v>1</x:v>
      </x:c>
      <x:c r="AG374" s="34" t="str"/>
      <x:c r="AH374" s="34" t="n">
        <x:v>0</x:v>
      </x:c>
      <x:c r="AI374" s="34" t="str">
        <x:v>3.446647212967946e-06</x:v>
      </x:c>
      <x:c r="AJ374" s="40" t="b">
        <x:v>1</x:v>
      </x:c>
      <x:c r="AK374" s="40" t="b">
        <x:v>1</x:v>
      </x:c>
      <x:c r="AL374" s="40" t="b">
        <x:v>1</x:v>
      </x:c>
      <x:c r="AM374" s="40" t="b">
        <x:v>1</x:v>
      </x:c>
      <x:c r="AN374" s="34" t="str"/>
      <x:c r="AO374" s="34" t="n">
        <x:v>0</x:v>
      </x:c>
      <x:c r="AP374" s="34" t="n">
        <x:v>0</x:v>
      </x:c>
      <x:c r="AQ374" s="34" t="n">
        <x:v>0</x:v>
      </x:c>
      <x:c r="AR374" s="34" t="n">
        <x:v>2</x:v>
      </x:c>
      <x:c r="AS374" s="34" t="n">
        <x:v>2</x:v>
      </x:c>
      <x:c r="AT374" s="34" t="n">
        <x:v>0.47641018879999986</x:v>
      </x:c>
      <x:c r="AU374" s="34" t="n">
        <x:v>0.65</x:v>
      </x:c>
      <x:c r="AV374" s="34" t="n">
        <x:v>2.16</x:v>
      </x:c>
    </x:row>
    <x:row r="375">
      <x:c r="A375" s="34" t="str">
        <x:v>NIPPON_STEEL_JP</x:v>
      </x:c>
      <x:c r="B375" s="34" t="str">
        <x:v>Nippon Steel</x:v>
      </x:c>
      <x:c r="C375" s="34" t="str">
        <x:v>DISCLOSED_PATH</x:v>
      </x:c>
      <x:c r="D375" s="34" t="str">
        <x:v>P3</x:v>
      </x:c>
      <x:c r="E375" s="34" t="n">
        <x:v>2039</x:v>
      </x:c>
      <x:c r="F375" s="34" t="n">
        <x:v>5</x:v>
      </x:c>
      <x:c r="G375" s="34" t="n">
        <x:v>21.269998</x:v>
      </x:c>
      <x:c r="H375" s="34" t="n">
        <x:v>23.6</x:v>
      </x:c>
      <x:c r="I375" s="34" t="n">
        <x:v>2.330002</x:v>
      </x:c>
      <x:c r="J375" s="34" t="n">
        <x:v>90.127</x:v>
      </x:c>
      <x:c r="K375" s="34" t="n">
        <x:v>0.704</x:v>
      </x:c>
      <x:c r="L375" s="34" t="n">
        <x:v>2.92</x:v>
      </x:c>
      <x:c r="M375" s="34" t="n">
        <x:v>2.216</x:v>
      </x:c>
      <x:c r="N375" s="34" t="n">
        <x:v>24.11</x:v>
      </x:c>
      <x:c r="O375" s="34" t="n">
        <x:v>17.928</x:v>
      </x:c>
      <x:c r="P375" s="34" t="n">
        <x:v>23</x:v>
      </x:c>
      <x:c r="Q375" s="34" t="n">
        <x:v>5.072</x:v>
      </x:c>
      <x:c r="R375" s="34" t="n">
        <x:v>77.948</x:v>
      </x:c>
      <x:c r="S375" s="40" t="b">
        <x:v>1</x:v>
      </x:c>
      <x:c r="T375" s="34" t="str">
        <x:v>model_interpolation</x:v>
      </x:c>
      <x:c r="U375" s="34" t="str">
        <x:v>Linear interpolation from 2035 to 2040</x:v>
      </x:c>
      <x:c r="V375" s="34" t="str">
        <x:v>CAND-7400D0EA735D98</x:v>
      </x:c>
      <x:c r="W375" s="34" t="str">
        <x:v>P3</x:v>
      </x:c>
      <x:c r="X375" s="34" t="str">
        <x:v>PORT-6742936593A9</x:v>
      </x:c>
      <x:c r="Y375" s="34" t="n">
        <x:v>1000</x:v>
      </x:c>
      <x:c r="Z375" s="34" t="n">
        <x:v>81.267325</x:v>
      </x:c>
      <x:c r="AA375" s="34" t="n">
        <x:v>17.588613</x:v>
      </x:c>
      <x:c r="AB375" s="34" t="n">
        <x:v>454.753949</x:v>
      </x:c>
      <x:c r="AC375" s="34" t="n">
        <x:v>36270.549</x:v>
      </x:c>
      <x:c r="AD375" s="34" t="n">
        <x:v>79.758623</x:v>
      </x:c>
      <x:c r="AE375" s="40" t="b">
        <x:v>1</x:v>
      </x:c>
      <x:c r="AF375" s="40" t="b">
        <x:v>1</x:v>
      </x:c>
      <x:c r="AG375" s="34" t="str"/>
      <x:c r="AH375" s="34" t="n">
        <x:v>0</x:v>
      </x:c>
      <x:c r="AI375" s="34" t="str">
        <x:v>3.446647212967946e-06</x:v>
      </x:c>
      <x:c r="AJ375" s="40" t="b">
        <x:v>1</x:v>
      </x:c>
      <x:c r="AK375" s="40" t="b">
        <x:v>1</x:v>
      </x:c>
      <x:c r="AL375" s="40" t="b">
        <x:v>1</x:v>
      </x:c>
      <x:c r="AM375" s="40" t="b">
        <x:v>1</x:v>
      </x:c>
      <x:c r="AN375" s="34" t="str"/>
      <x:c r="AO375" s="34" t="n">
        <x:v>0</x:v>
      </x:c>
      <x:c r="AP375" s="34" t="n">
        <x:v>0</x:v>
      </x:c>
      <x:c r="AQ375" s="34" t="n">
        <x:v>0</x:v>
      </x:c>
      <x:c r="AR375" s="34" t="n">
        <x:v>2</x:v>
      </x:c>
      <x:c r="AS375" s="34" t="n">
        <x:v>2</x:v>
      </x:c>
      <x:c r="AT375" s="34" t="n">
        <x:v>0.47641018879999986</x:v>
      </x:c>
      <x:c r="AU375" s="34" t="n">
        <x:v>0.65</x:v>
      </x:c>
      <x:c r="AV375" s="34" t="n">
        <x:v>2.16</x:v>
      </x:c>
    </x:row>
    <x:row r="376">
      <x:c r="A376" s="34" t="str">
        <x:v>NIPPON_STEEL_JP</x:v>
      </x:c>
      <x:c r="B376" s="34" t="str">
        <x:v>Nippon Steel</x:v>
      </x:c>
      <x:c r="C376" s="34" t="str">
        <x:v>DISCLOSED_PATH</x:v>
      </x:c>
      <x:c r="D376" s="34" t="str">
        <x:v>P3</x:v>
      </x:c>
      <x:c r="E376" s="34" t="n">
        <x:v>2040</x:v>
      </x:c>
      <x:c r="F376" s="34" t="n">
        <x:v>5</x:v>
      </x:c>
      <x:c r="G376" s="34" t="n">
        <x:v>21.269998</x:v>
      </x:c>
      <x:c r="H376" s="34" t="n">
        <x:v>25</x:v>
      </x:c>
      <x:c r="I376" s="34" t="n">
        <x:v>3.730002</x:v>
      </x:c>
      <x:c r="J376" s="34" t="n">
        <x:v>85.08</x:v>
      </x:c>
      <x:c r="K376" s="34" t="n">
        <x:v>0.704</x:v>
      </x:c>
      <x:c r="L376" s="34" t="n">
        <x:v>3.2</x:v>
      </x:c>
      <x:c r="M376" s="34" t="n">
        <x:v>2.496</x:v>
      </x:c>
      <x:c r="N376" s="34" t="n">
        <x:v>22</x:v>
      </x:c>
      <x:c r="O376" s="34" t="n">
        <x:v>17.928</x:v>
      </x:c>
      <x:c r="P376" s="34" t="n">
        <x:v>25</x:v>
      </x:c>
      <x:c r="Q376" s="34" t="n">
        <x:v>7.072</x:v>
      </x:c>
      <x:c r="R376" s="34" t="n">
        <x:v>71.712</x:v>
      </x:c>
      <x:c r="S376" s="40" t="b">
        <x:v>1</x:v>
      </x:c>
      <x:c r="T376" s="34" t="str">
        <x:v>model_estimate</x:v>
      </x:c>
      <x:c r="U376" s="34" t="str">
        <x:v>Illustrative screening envelope; not an official supply forecast</x:v>
      </x:c>
      <x:c r="V376" s="34" t="str">
        <x:v>CAND-7400D0EA735D98</x:v>
      </x:c>
      <x:c r="W376" s="34" t="str">
        <x:v>P3</x:v>
      </x:c>
      <x:c r="X376" s="34" t="str">
        <x:v>PORT-6742936593A9</x:v>
      </x:c>
      <x:c r="Y376" s="34" t="n">
        <x:v>1000</x:v>
      </x:c>
      <x:c r="Z376" s="34" t="n">
        <x:v>81.267325</x:v>
      </x:c>
      <x:c r="AA376" s="34" t="n">
        <x:v>17.588613</x:v>
      </x:c>
      <x:c r="AB376" s="34" t="n">
        <x:v>454.753949</x:v>
      </x:c>
      <x:c r="AC376" s="34" t="n">
        <x:v>36270.549</x:v>
      </x:c>
      <x:c r="AD376" s="34" t="n">
        <x:v>79.758623</x:v>
      </x:c>
      <x:c r="AE376" s="40" t="b">
        <x:v>1</x:v>
      </x:c>
      <x:c r="AF376" s="40" t="b">
        <x:v>1</x:v>
      </x:c>
      <x:c r="AG376" s="34" t="str"/>
      <x:c r="AH376" s="34" t="n">
        <x:v>0</x:v>
      </x:c>
      <x:c r="AI376" s="34" t="str">
        <x:v>3.446647212967946e-06</x:v>
      </x:c>
      <x:c r="AJ376" s="40" t="b">
        <x:v>1</x:v>
      </x:c>
      <x:c r="AK376" s="40" t="b">
        <x:v>1</x:v>
      </x:c>
      <x:c r="AL376" s="40" t="b">
        <x:v>1</x:v>
      </x:c>
      <x:c r="AM376" s="40" t="b">
        <x:v>1</x:v>
      </x:c>
      <x:c r="AN376" s="34" t="str"/>
      <x:c r="AO376" s="34" t="n">
        <x:v>0</x:v>
      </x:c>
      <x:c r="AP376" s="34" t="n">
        <x:v>0</x:v>
      </x:c>
      <x:c r="AQ376" s="34" t="n">
        <x:v>0</x:v>
      </x:c>
      <x:c r="AR376" s="34" t="n">
        <x:v>2</x:v>
      </x:c>
      <x:c r="AS376" s="34" t="n">
        <x:v>2</x:v>
      </x:c>
      <x:c r="AT376" s="34" t="n">
        <x:v>0.47641018879999986</x:v>
      </x:c>
      <x:c r="AU376" s="34" t="n">
        <x:v>0.65</x:v>
      </x:c>
      <x:c r="AV376" s="34" t="n">
        <x:v>2.16</x:v>
      </x:c>
    </x:row>
    <x:row r="377">
      <x:c r="A377" s="34" t="str">
        <x:v>NIPPON_STEEL_JP</x:v>
      </x:c>
      <x:c r="B377" s="34" t="str">
        <x:v>Nippon Steel</x:v>
      </x:c>
      <x:c r="C377" s="34" t="str">
        <x:v>ACCELERATED_15C</x:v>
      </x:c>
      <x:c r="D377" s="34" t="str">
        <x:v>P3</x:v>
      </x:c>
      <x:c r="E377" s="34" t="n">
        <x:v>2026</x:v>
      </x:c>
      <x:c r="F377" s="34" t="n">
        <x:v>0</x:v>
      </x:c>
      <x:c r="G377" s="34" t="n">
        <x:v>0</x:v>
      </x:c>
      <x:c r="H377" s="34" t="n">
        <x:v>8</x:v>
      </x:c>
      <x:c r="I377" s="34" t="n">
        <x:v>8</x:v>
      </x:c>
      <x:c r="J377" s="34" t="n">
        <x:v>0</x:v>
      </x:c>
      <x:c r="K377" s="34" t="n">
        <x:v>0</x:v>
      </x:c>
      <x:c r="L377" s="34" t="n">
        <x:v>0.1</x:v>
      </x:c>
      <x:c r="M377" s="34" t="n">
        <x:v>0.1</x:v>
      </x:c>
      <x:c r="N377" s="34" t="n">
        <x:v>0</x:v>
      </x:c>
      <x:c r="O377" s="34" t="n">
        <x:v>0</x:v>
      </x:c>
      <x:c r="P377" s="34" t="n">
        <x:v>2</x:v>
      </x:c>
      <x:c r="Q377" s="34" t="n">
        <x:v>2</x:v>
      </x:c>
      <x:c r="R377" s="34" t="n">
        <x:v>0</x:v>
      </x:c>
      <x:c r="S377" s="40" t="b">
        <x:v>1</x:v>
      </x:c>
      <x:c r="T377" s="34" t="str">
        <x:v>model_interpolation</x:v>
      </x:c>
      <x:c r="U377" s="34" t="str">
        <x:v>Linear interpolation from 2026 to 2030</x:v>
      </x:c>
      <x:c r="V377" s="34" t="str">
        <x:v>CAND-7400D0EA735D98</x:v>
      </x:c>
      <x:c r="W377" s="34" t="str">
        <x:v>P3</x:v>
      </x:c>
      <x:c r="X377" s="34" t="str">
        <x:v>PORT-6742936593A9</x:v>
      </x:c>
      <x:c r="Y377" s="34" t="n">
        <x:v>1000</x:v>
      </x:c>
      <x:c r="Z377" s="34" t="n">
        <x:v>69.771797</x:v>
      </x:c>
      <x:c r="AA377" s="34" t="n">
        <x:v>18.74197</x:v>
      </x:c>
      <x:c r="AB377" s="34" t="n">
        <x:v>454.753949</x:v>
      </x:c>
      <x:c r="AC377" s="34" t="n">
        <x:v>31092.014</x:v>
      </x:c>
      <x:c r="AD377" s="34" t="n">
        <x:v>68.371069</x:v>
      </x:c>
      <x:c r="AE377" s="40" t="b">
        <x:v>1</x:v>
      </x:c>
      <x:c r="AF377" s="40" t="b">
        <x:v>1</x:v>
      </x:c>
      <x:c r="AG377" s="34" t="str"/>
      <x:c r="AH377" s="34" t="n">
        <x:v>0</x:v>
      </x:c>
      <x:c r="AI377" s="34" t="str">
        <x:v>3.446647212967946e-06</x:v>
      </x:c>
      <x:c r="AJ377" s="40" t="b">
        <x:v>1</x:v>
      </x:c>
      <x:c r="AK377" s="40" t="b">
        <x:v>1</x:v>
      </x:c>
      <x:c r="AL377" s="40" t="b">
        <x:v>1</x:v>
      </x:c>
      <x:c r="AM377" s="40" t="b">
        <x:v>1</x:v>
      </x:c>
      <x:c r="AN377" s="34" t="str"/>
      <x:c r="AO377" s="34" t="n">
        <x:v>0</x:v>
      </x:c>
      <x:c r="AP377" s="34" t="n">
        <x:v>0</x:v>
      </x:c>
      <x:c r="AQ377" s="34" t="n">
        <x:v>0</x:v>
      </x:c>
      <x:c r="AR377" s="34" t="n">
        <x:v>2</x:v>
      </x:c>
      <x:c r="AS377" s="34" t="n">
        <x:v>2</x:v>
      </x:c>
      <x:c r="AT377" s="34" t="n">
        <x:v>0.47641018879999986</x:v>
      </x:c>
      <x:c r="AU377" s="34" t="n">
        <x:v>0.65</x:v>
      </x:c>
      <x:c r="AV377" s="34" t="n">
        <x:v>2.16</x:v>
      </x:c>
    </x:row>
    <x:row r="378">
      <x:c r="A378" s="34" t="str">
        <x:v>NIPPON_STEEL_JP</x:v>
      </x:c>
      <x:c r="B378" s="34" t="str">
        <x:v>Nippon Steel</x:v>
      </x:c>
      <x:c r="C378" s="34" t="str">
        <x:v>ACCELERATED_15C</x:v>
      </x:c>
      <x:c r="D378" s="34" t="str">
        <x:v>P3</x:v>
      </x:c>
      <x:c r="E378" s="34" t="n">
        <x:v>2027</x:v>
      </x:c>
      <x:c r="F378" s="34" t="n">
        <x:v>0</x:v>
      </x:c>
      <x:c r="G378" s="34" t="n">
        <x:v>0</x:v>
      </x:c>
      <x:c r="H378" s="34" t="n">
        <x:v>9.75</x:v>
      </x:c>
      <x:c r="I378" s="34" t="n">
        <x:v>9.75</x:v>
      </x:c>
      <x:c r="J378" s="34" t="n">
        <x:v>0</x:v>
      </x:c>
      <x:c r="K378" s="34" t="n">
        <x:v>0</x:v>
      </x:c>
      <x:c r="L378" s="34" t="n">
        <x:v>0.30000000000000004</x:v>
      </x:c>
      <x:c r="M378" s="34" t="n">
        <x:v>0.3</x:v>
      </x:c>
      <x:c r="N378" s="34" t="n">
        <x:v>0</x:v>
      </x:c>
      <x:c r="O378" s="34" t="n">
        <x:v>0</x:v>
      </x:c>
      <x:c r="P378" s="34" t="n">
        <x:v>4</x:v>
      </x:c>
      <x:c r="Q378" s="34" t="n">
        <x:v>4</x:v>
      </x:c>
      <x:c r="R378" s="34" t="n">
        <x:v>0</x:v>
      </x:c>
      <x:c r="S378" s="40" t="b">
        <x:v>1</x:v>
      </x:c>
      <x:c r="T378" s="34" t="str">
        <x:v>model_interpolation</x:v>
      </x:c>
      <x:c r="U378" s="34" t="str">
        <x:v>Linear interpolation from 2026 to 2030</x:v>
      </x:c>
      <x:c r="V378" s="34" t="str">
        <x:v>CAND-7400D0EA735D98</x:v>
      </x:c>
      <x:c r="W378" s="34" t="str">
        <x:v>P3</x:v>
      </x:c>
      <x:c r="X378" s="34" t="str">
        <x:v>PORT-6742936593A9</x:v>
      </x:c>
      <x:c r="Y378" s="34" t="n">
        <x:v>1000</x:v>
      </x:c>
      <x:c r="Z378" s="34" t="n">
        <x:v>69.771797</x:v>
      </x:c>
      <x:c r="AA378" s="34" t="n">
        <x:v>18.74197</x:v>
      </x:c>
      <x:c r="AB378" s="34" t="n">
        <x:v>454.753949</x:v>
      </x:c>
      <x:c r="AC378" s="34" t="n">
        <x:v>31092.014</x:v>
      </x:c>
      <x:c r="AD378" s="34" t="n">
        <x:v>68.371069</x:v>
      </x:c>
      <x:c r="AE378" s="40" t="b">
        <x:v>1</x:v>
      </x:c>
      <x:c r="AF378" s="40" t="b">
        <x:v>1</x:v>
      </x:c>
      <x:c r="AG378" s="34" t="str"/>
      <x:c r="AH378" s="34" t="n">
        <x:v>0</x:v>
      </x:c>
      <x:c r="AI378" s="34" t="str">
        <x:v>3.446647212967946e-06</x:v>
      </x:c>
      <x:c r="AJ378" s="40" t="b">
        <x:v>1</x:v>
      </x:c>
      <x:c r="AK378" s="40" t="b">
        <x:v>1</x:v>
      </x:c>
      <x:c r="AL378" s="40" t="b">
        <x:v>1</x:v>
      </x:c>
      <x:c r="AM378" s="40" t="b">
        <x:v>1</x:v>
      </x:c>
      <x:c r="AN378" s="34" t="str"/>
      <x:c r="AO378" s="34" t="n">
        <x:v>0</x:v>
      </x:c>
      <x:c r="AP378" s="34" t="n">
        <x:v>0</x:v>
      </x:c>
      <x:c r="AQ378" s="34" t="n">
        <x:v>0</x:v>
      </x:c>
      <x:c r="AR378" s="34" t="n">
        <x:v>2</x:v>
      </x:c>
      <x:c r="AS378" s="34" t="n">
        <x:v>2</x:v>
      </x:c>
      <x:c r="AT378" s="34" t="n">
        <x:v>0.47641018879999986</x:v>
      </x:c>
      <x:c r="AU378" s="34" t="n">
        <x:v>0.65</x:v>
      </x:c>
      <x:c r="AV378" s="34" t="n">
        <x:v>2.16</x:v>
      </x:c>
    </x:row>
    <x:row r="379">
      <x:c r="A379" s="34" t="str">
        <x:v>NIPPON_STEEL_JP</x:v>
      </x:c>
      <x:c r="B379" s="34" t="str">
        <x:v>Nippon Steel</x:v>
      </x:c>
      <x:c r="C379" s="34" t="str">
        <x:v>ACCELERATED_15C</x:v>
      </x:c>
      <x:c r="D379" s="34" t="str">
        <x:v>P3</x:v>
      </x:c>
      <x:c r="E379" s="34" t="n">
        <x:v>2028</x:v>
      </x:c>
      <x:c r="F379" s="34" t="n">
        <x:v>0</x:v>
      </x:c>
      <x:c r="G379" s="34" t="n">
        <x:v>0</x:v>
      </x:c>
      <x:c r="H379" s="34" t="n">
        <x:v>11.5</x:v>
      </x:c>
      <x:c r="I379" s="34" t="n">
        <x:v>11.5</x:v>
      </x:c>
      <x:c r="J379" s="34" t="n">
        <x:v>0</x:v>
      </x:c>
      <x:c r="K379" s="34" t="n">
        <x:v>0</x:v>
      </x:c>
      <x:c r="L379" s="34" t="n">
        <x:v>0.5</x:v>
      </x:c>
      <x:c r="M379" s="34" t="n">
        <x:v>0.5</x:v>
      </x:c>
      <x:c r="N379" s="34" t="n">
        <x:v>0</x:v>
      </x:c>
      <x:c r="O379" s="34" t="n">
        <x:v>0</x:v>
      </x:c>
      <x:c r="P379" s="34" t="n">
        <x:v>6</x:v>
      </x:c>
      <x:c r="Q379" s="34" t="n">
        <x:v>6</x:v>
      </x:c>
      <x:c r="R379" s="34" t="n">
        <x:v>0</x:v>
      </x:c>
      <x:c r="S379" s="40" t="b">
        <x:v>1</x:v>
      </x:c>
      <x:c r="T379" s="34" t="str">
        <x:v>model_interpolation</x:v>
      </x:c>
      <x:c r="U379" s="34" t="str">
        <x:v>Linear interpolation from 2026 to 2030</x:v>
      </x:c>
      <x:c r="V379" s="34" t="str">
        <x:v>CAND-7400D0EA735D98</x:v>
      </x:c>
      <x:c r="W379" s="34" t="str">
        <x:v>P3</x:v>
      </x:c>
      <x:c r="X379" s="34" t="str">
        <x:v>PORT-6742936593A9</x:v>
      </x:c>
      <x:c r="Y379" s="34" t="n">
        <x:v>1000</x:v>
      </x:c>
      <x:c r="Z379" s="34" t="n">
        <x:v>69.771797</x:v>
      </x:c>
      <x:c r="AA379" s="34" t="n">
        <x:v>18.74197</x:v>
      </x:c>
      <x:c r="AB379" s="34" t="n">
        <x:v>454.753949</x:v>
      </x:c>
      <x:c r="AC379" s="34" t="n">
        <x:v>31092.014</x:v>
      </x:c>
      <x:c r="AD379" s="34" t="n">
        <x:v>68.371069</x:v>
      </x:c>
      <x:c r="AE379" s="40" t="b">
        <x:v>1</x:v>
      </x:c>
      <x:c r="AF379" s="40" t="b">
        <x:v>1</x:v>
      </x:c>
      <x:c r="AG379" s="34" t="str"/>
      <x:c r="AH379" s="34" t="n">
        <x:v>0</x:v>
      </x:c>
      <x:c r="AI379" s="34" t="str">
        <x:v>3.446647212967946e-06</x:v>
      </x:c>
      <x:c r="AJ379" s="40" t="b">
        <x:v>1</x:v>
      </x:c>
      <x:c r="AK379" s="40" t="b">
        <x:v>1</x:v>
      </x:c>
      <x:c r="AL379" s="40" t="b">
        <x:v>1</x:v>
      </x:c>
      <x:c r="AM379" s="40" t="b">
        <x:v>1</x:v>
      </x:c>
      <x:c r="AN379" s="34" t="str"/>
      <x:c r="AO379" s="34" t="n">
        <x:v>0</x:v>
      </x:c>
      <x:c r="AP379" s="34" t="n">
        <x:v>0</x:v>
      </x:c>
      <x:c r="AQ379" s="34" t="n">
        <x:v>0</x:v>
      </x:c>
      <x:c r="AR379" s="34" t="n">
        <x:v>2</x:v>
      </x:c>
      <x:c r="AS379" s="34" t="n">
        <x:v>2</x:v>
      </x:c>
      <x:c r="AT379" s="34" t="n">
        <x:v>0.47641018879999986</x:v>
      </x:c>
      <x:c r="AU379" s="34" t="n">
        <x:v>0.65</x:v>
      </x:c>
      <x:c r="AV379" s="34" t="n">
        <x:v>2.16</x:v>
      </x:c>
    </x:row>
    <x:row r="380">
      <x:c r="A380" s="34" t="str">
        <x:v>NIPPON_STEEL_JP</x:v>
      </x:c>
      <x:c r="B380" s="34" t="str">
        <x:v>Nippon Steel</x:v>
      </x:c>
      <x:c r="C380" s="34" t="str">
        <x:v>ACCELERATED_15C</x:v>
      </x:c>
      <x:c r="D380" s="34" t="str">
        <x:v>P3</x:v>
      </x:c>
      <x:c r="E380" s="34" t="n">
        <x:v>2029</x:v>
      </x:c>
      <x:c r="F380" s="34" t="n">
        <x:v>1</x:v>
      </x:c>
      <x:c r="G380" s="34" t="n">
        <x:v>8.1</x:v>
      </x:c>
      <x:c r="H380" s="34" t="n">
        <x:v>13.25</x:v>
      </x:c>
      <x:c r="I380" s="34" t="n">
        <x:v>5.15</x:v>
      </x:c>
      <x:c r="J380" s="34" t="n">
        <x:v>61.132</x:v>
      </x:c>
      <x:c r="K380" s="34" t="n">
        <x:v>0</x:v>
      </x:c>
      <x:c r="L380" s="34" t="n">
        <x:v>0.7000000000000001</x:v>
      </x:c>
      <x:c r="M380" s="34" t="n">
        <x:v>0.7</x:v>
      </x:c>
      <x:c r="N380" s="34" t="n">
        <x:v>0</x:v>
      </x:c>
      <x:c r="O380" s="34" t="n">
        <x:v>5.04</x:v>
      </x:c>
      <x:c r="P380" s="34" t="n">
        <x:v>8</x:v>
      </x:c>
      <x:c r="Q380" s="34" t="n">
        <x:v>2.96</x:v>
      </x:c>
      <x:c r="R380" s="34" t="n">
        <x:v>63</x:v>
      </x:c>
      <x:c r="S380" s="40" t="b">
        <x:v>1</x:v>
      </x:c>
      <x:c r="T380" s="34" t="str">
        <x:v>model_interpolation</x:v>
      </x:c>
      <x:c r="U380" s="34" t="str">
        <x:v>Linear interpolation from 2026 to 2030</x:v>
      </x:c>
      <x:c r="V380" s="34" t="str">
        <x:v>CAND-7400D0EA735D98</x:v>
      </x:c>
      <x:c r="W380" s="34" t="str">
        <x:v>P3</x:v>
      </x:c>
      <x:c r="X380" s="34" t="str">
        <x:v>PORT-6742936593A9</x:v>
      </x:c>
      <x:c r="Y380" s="34" t="n">
        <x:v>1000</x:v>
      </x:c>
      <x:c r="Z380" s="34" t="n">
        <x:v>69.771797</x:v>
      </x:c>
      <x:c r="AA380" s="34" t="n">
        <x:v>18.74197</x:v>
      </x:c>
      <x:c r="AB380" s="34" t="n">
        <x:v>454.753949</x:v>
      </x:c>
      <x:c r="AC380" s="34" t="n">
        <x:v>31092.014</x:v>
      </x:c>
      <x:c r="AD380" s="34" t="n">
        <x:v>68.371069</x:v>
      </x:c>
      <x:c r="AE380" s="40" t="b">
        <x:v>1</x:v>
      </x:c>
      <x:c r="AF380" s="40" t="b">
        <x:v>1</x:v>
      </x:c>
      <x:c r="AG380" s="34" t="str"/>
      <x:c r="AH380" s="34" t="n">
        <x:v>0</x:v>
      </x:c>
      <x:c r="AI380" s="34" t="str">
        <x:v>3.446647212967946e-06</x:v>
      </x:c>
      <x:c r="AJ380" s="40" t="b">
        <x:v>1</x:v>
      </x:c>
      <x:c r="AK380" s="40" t="b">
        <x:v>1</x:v>
      </x:c>
      <x:c r="AL380" s="40" t="b">
        <x:v>1</x:v>
      </x:c>
      <x:c r="AM380" s="40" t="b">
        <x:v>1</x:v>
      </x:c>
      <x:c r="AN380" s="34" t="str"/>
      <x:c r="AO380" s="34" t="n">
        <x:v>0</x:v>
      </x:c>
      <x:c r="AP380" s="34" t="n">
        <x:v>0</x:v>
      </x:c>
      <x:c r="AQ380" s="34" t="n">
        <x:v>0</x:v>
      </x:c>
      <x:c r="AR380" s="34" t="n">
        <x:v>2</x:v>
      </x:c>
      <x:c r="AS380" s="34" t="n">
        <x:v>2</x:v>
      </x:c>
      <x:c r="AT380" s="34" t="n">
        <x:v>0.47641018879999986</x:v>
      </x:c>
      <x:c r="AU380" s="34" t="n">
        <x:v>0.65</x:v>
      </x:c>
      <x:c r="AV380" s="34" t="n">
        <x:v>2.16</x:v>
      </x:c>
    </x:row>
    <x:row r="381">
      <x:c r="A381" s="34" t="str">
        <x:v>NIPPON_STEEL_JP</x:v>
      </x:c>
      <x:c r="B381" s="34" t="str">
        <x:v>Nippon Steel</x:v>
      </x:c>
      <x:c r="C381" s="34" t="str">
        <x:v>ACCELERATED_15C</x:v>
      </x:c>
      <x:c r="D381" s="34" t="str">
        <x:v>P3</x:v>
      </x:c>
      <x:c r="E381" s="34" t="n">
        <x:v>2030</x:v>
      </x:c>
      <x:c r="F381" s="34" t="n">
        <x:v>1</x:v>
      </x:c>
      <x:c r="G381" s="34" t="n">
        <x:v>8.1</x:v>
      </x:c>
      <x:c r="H381" s="34" t="n">
        <x:v>15</x:v>
      </x:c>
      <x:c r="I381" s="34" t="n">
        <x:v>6.9</x:v>
      </x:c>
      <x:c r="J381" s="34" t="n">
        <x:v>54</x:v>
      </x:c>
      <x:c r="K381" s="34" t="n">
        <x:v>0</x:v>
      </x:c>
      <x:c r="L381" s="34" t="n">
        <x:v>0.9</x:v>
      </x:c>
      <x:c r="M381" s="34" t="n">
        <x:v>0.9</x:v>
      </x:c>
      <x:c r="N381" s="34" t="n">
        <x:v>0</x:v>
      </x:c>
      <x:c r="O381" s="34" t="n">
        <x:v>5.04</x:v>
      </x:c>
      <x:c r="P381" s="34" t="n">
        <x:v>10</x:v>
      </x:c>
      <x:c r="Q381" s="34" t="n">
        <x:v>4.96</x:v>
      </x:c>
      <x:c r="R381" s="34" t="n">
        <x:v>50.4</x:v>
      </x:c>
      <x:c r="S381" s="40" t="b">
        <x:v>1</x:v>
      </x:c>
      <x:c r="T381" s="34" t="str">
        <x:v>model_interpolation</x:v>
      </x:c>
      <x:c r="U381" s="34" t="str">
        <x:v>Linear interpolation from 2030 to 2035</x:v>
      </x:c>
      <x:c r="V381" s="34" t="str">
        <x:v>CAND-7400D0EA735D98</x:v>
      </x:c>
      <x:c r="W381" s="34" t="str">
        <x:v>P3</x:v>
      </x:c>
      <x:c r="X381" s="34" t="str">
        <x:v>PORT-6742936593A9</x:v>
      </x:c>
      <x:c r="Y381" s="34" t="n">
        <x:v>1000</x:v>
      </x:c>
      <x:c r="Z381" s="34" t="n">
        <x:v>69.771797</x:v>
      </x:c>
      <x:c r="AA381" s="34" t="n">
        <x:v>18.74197</x:v>
      </x:c>
      <x:c r="AB381" s="34" t="n">
        <x:v>454.753949</x:v>
      </x:c>
      <x:c r="AC381" s="34" t="n">
        <x:v>31092.014</x:v>
      </x:c>
      <x:c r="AD381" s="34" t="n">
        <x:v>68.371069</x:v>
      </x:c>
      <x:c r="AE381" s="40" t="b">
        <x:v>1</x:v>
      </x:c>
      <x:c r="AF381" s="40" t="b">
        <x:v>1</x:v>
      </x:c>
      <x:c r="AG381" s="34" t="str"/>
      <x:c r="AH381" s="34" t="n">
        <x:v>0</x:v>
      </x:c>
      <x:c r="AI381" s="34" t="str">
        <x:v>3.446647212967946e-06</x:v>
      </x:c>
      <x:c r="AJ381" s="40" t="b">
        <x:v>1</x:v>
      </x:c>
      <x:c r="AK381" s="40" t="b">
        <x:v>1</x:v>
      </x:c>
      <x:c r="AL381" s="40" t="b">
        <x:v>1</x:v>
      </x:c>
      <x:c r="AM381" s="40" t="b">
        <x:v>1</x:v>
      </x:c>
      <x:c r="AN381" s="34" t="str"/>
      <x:c r="AO381" s="34" t="n">
        <x:v>0</x:v>
      </x:c>
      <x:c r="AP381" s="34" t="n">
        <x:v>0</x:v>
      </x:c>
      <x:c r="AQ381" s="34" t="n">
        <x:v>0</x:v>
      </x:c>
      <x:c r="AR381" s="34" t="n">
        <x:v>2</x:v>
      </x:c>
      <x:c r="AS381" s="34" t="n">
        <x:v>2</x:v>
      </x:c>
      <x:c r="AT381" s="34" t="n">
        <x:v>0.47641018879999986</x:v>
      </x:c>
      <x:c r="AU381" s="34" t="n">
        <x:v>0.65</x:v>
      </x:c>
      <x:c r="AV381" s="34" t="n">
        <x:v>2.16</x:v>
      </x:c>
    </x:row>
    <x:row r="382">
      <x:c r="A382" s="34" t="str">
        <x:v>NIPPON_STEEL_JP</x:v>
      </x:c>
      <x:c r="B382" s="34" t="str">
        <x:v>Nippon Steel</x:v>
      </x:c>
      <x:c r="C382" s="34" t="str">
        <x:v>ACCELERATED_15C</x:v>
      </x:c>
      <x:c r="D382" s="34" t="str">
        <x:v>P3</x:v>
      </x:c>
      <x:c r="E382" s="34" t="n">
        <x:v>2031</x:v>
      </x:c>
      <x:c r="F382" s="34" t="n">
        <x:v>1</x:v>
      </x:c>
      <x:c r="G382" s="34" t="n">
        <x:v>8.1</x:v>
      </x:c>
      <x:c r="H382" s="34" t="n">
        <x:v>16.6</x:v>
      </x:c>
      <x:c r="I382" s="34" t="n">
        <x:v>8.5</x:v>
      </x:c>
      <x:c r="J382" s="34" t="n">
        <x:v>48.795</x:v>
      </x:c>
      <x:c r="K382" s="34" t="n">
        <x:v>0</x:v>
      </x:c>
      <x:c r="L382" s="34" t="n">
        <x:v>1.2200000000000002</x:v>
      </x:c>
      <x:c r="M382" s="34" t="n">
        <x:v>1.22</x:v>
      </x:c>
      <x:c r="N382" s="34" t="n">
        <x:v>0</x:v>
      </x:c>
      <x:c r="O382" s="34" t="n">
        <x:v>5.04</x:v>
      </x:c>
      <x:c r="P382" s="34" t="n">
        <x:v>12</x:v>
      </x:c>
      <x:c r="Q382" s="34" t="n">
        <x:v>6.96</x:v>
      </x:c>
      <x:c r="R382" s="34" t="n">
        <x:v>42</x:v>
      </x:c>
      <x:c r="S382" s="40" t="b">
        <x:v>1</x:v>
      </x:c>
      <x:c r="T382" s="34" t="str">
        <x:v>model_interpolation</x:v>
      </x:c>
      <x:c r="U382" s="34" t="str">
        <x:v>Linear interpolation from 2030 to 2035</x:v>
      </x:c>
      <x:c r="V382" s="34" t="str">
        <x:v>CAND-7400D0EA735D98</x:v>
      </x:c>
      <x:c r="W382" s="34" t="str">
        <x:v>P3</x:v>
      </x:c>
      <x:c r="X382" s="34" t="str">
        <x:v>PORT-6742936593A9</x:v>
      </x:c>
      <x:c r="Y382" s="34" t="n">
        <x:v>1000</x:v>
      </x:c>
      <x:c r="Z382" s="34" t="n">
        <x:v>69.771797</x:v>
      </x:c>
      <x:c r="AA382" s="34" t="n">
        <x:v>18.74197</x:v>
      </x:c>
      <x:c r="AB382" s="34" t="n">
        <x:v>454.753949</x:v>
      </x:c>
      <x:c r="AC382" s="34" t="n">
        <x:v>31092.014</x:v>
      </x:c>
      <x:c r="AD382" s="34" t="n">
        <x:v>68.371069</x:v>
      </x:c>
      <x:c r="AE382" s="40" t="b">
        <x:v>1</x:v>
      </x:c>
      <x:c r="AF382" s="40" t="b">
        <x:v>1</x:v>
      </x:c>
      <x:c r="AG382" s="34" t="str"/>
      <x:c r="AH382" s="34" t="n">
        <x:v>0</x:v>
      </x:c>
      <x:c r="AI382" s="34" t="str">
        <x:v>3.446647212967946e-06</x:v>
      </x:c>
      <x:c r="AJ382" s="40" t="b">
        <x:v>1</x:v>
      </x:c>
      <x:c r="AK382" s="40" t="b">
        <x:v>1</x:v>
      </x:c>
      <x:c r="AL382" s="40" t="b">
        <x:v>1</x:v>
      </x:c>
      <x:c r="AM382" s="40" t="b">
        <x:v>1</x:v>
      </x:c>
      <x:c r="AN382" s="34" t="str"/>
      <x:c r="AO382" s="34" t="n">
        <x:v>0</x:v>
      </x:c>
      <x:c r="AP382" s="34" t="n">
        <x:v>0</x:v>
      </x:c>
      <x:c r="AQ382" s="34" t="n">
        <x:v>0</x:v>
      </x:c>
      <x:c r="AR382" s="34" t="n">
        <x:v>2</x:v>
      </x:c>
      <x:c r="AS382" s="34" t="n">
        <x:v>2</x:v>
      </x:c>
      <x:c r="AT382" s="34" t="n">
        <x:v>0.47641018879999986</x:v>
      </x:c>
      <x:c r="AU382" s="34" t="n">
        <x:v>0.65</x:v>
      </x:c>
      <x:c r="AV382" s="34" t="n">
        <x:v>2.16</x:v>
      </x:c>
    </x:row>
    <x:row r="383">
      <x:c r="A383" s="34" t="str">
        <x:v>NIPPON_STEEL_JP</x:v>
      </x:c>
      <x:c r="B383" s="34" t="str">
        <x:v>Nippon Steel</x:v>
      </x:c>
      <x:c r="C383" s="34" t="str">
        <x:v>ACCELERATED_15C</x:v>
      </x:c>
      <x:c r="D383" s="34" t="str">
        <x:v>P3</x:v>
      </x:c>
      <x:c r="E383" s="34" t="n">
        <x:v>2032</x:v>
      </x:c>
      <x:c r="F383" s="34" t="n">
        <x:v>2</x:v>
      </x:c>
      <x:c r="G383" s="34" t="n">
        <x:v>13.679998</x:v>
      </x:c>
      <x:c r="H383" s="34" t="n">
        <x:v>18.2</x:v>
      </x:c>
      <x:c r="I383" s="34" t="n">
        <x:v>4.520002</x:v>
      </x:c>
      <x:c r="J383" s="34" t="n">
        <x:v>75.165</x:v>
      </x:c>
      <x:c r="K383" s="34" t="n">
        <x:v>0</x:v>
      </x:c>
      <x:c r="L383" s="34" t="n">
        <x:v>1.54</x:v>
      </x:c>
      <x:c r="M383" s="34" t="n">
        <x:v>1.54</x:v>
      </x:c>
      <x:c r="N383" s="34" t="n">
        <x:v>0</x:v>
      </x:c>
      <x:c r="O383" s="34" t="n">
        <x:v>8.511999</x:v>
      </x:c>
      <x:c r="P383" s="34" t="n">
        <x:v>14</x:v>
      </x:c>
      <x:c r="Q383" s="34" t="n">
        <x:v>5.488001</x:v>
      </x:c>
      <x:c r="R383" s="34" t="n">
        <x:v>60.8</x:v>
      </x:c>
      <x:c r="S383" s="40" t="b">
        <x:v>1</x:v>
      </x:c>
      <x:c r="T383" s="34" t="str">
        <x:v>model_interpolation</x:v>
      </x:c>
      <x:c r="U383" s="34" t="str">
        <x:v>Linear interpolation from 2030 to 2035</x:v>
      </x:c>
      <x:c r="V383" s="34" t="str">
        <x:v>CAND-7400D0EA735D98</x:v>
      </x:c>
      <x:c r="W383" s="34" t="str">
        <x:v>P3</x:v>
      </x:c>
      <x:c r="X383" s="34" t="str">
        <x:v>PORT-6742936593A9</x:v>
      </x:c>
      <x:c r="Y383" s="34" t="n">
        <x:v>1000</x:v>
      </x:c>
      <x:c r="Z383" s="34" t="n">
        <x:v>69.771797</x:v>
      </x:c>
      <x:c r="AA383" s="34" t="n">
        <x:v>18.74197</x:v>
      </x:c>
      <x:c r="AB383" s="34" t="n">
        <x:v>454.753949</x:v>
      </x:c>
      <x:c r="AC383" s="34" t="n">
        <x:v>31092.014</x:v>
      </x:c>
      <x:c r="AD383" s="34" t="n">
        <x:v>68.371069</x:v>
      </x:c>
      <x:c r="AE383" s="40" t="b">
        <x:v>1</x:v>
      </x:c>
      <x:c r="AF383" s="40" t="b">
        <x:v>1</x:v>
      </x:c>
      <x:c r="AG383" s="34" t="str"/>
      <x:c r="AH383" s="34" t="n">
        <x:v>0</x:v>
      </x:c>
      <x:c r="AI383" s="34" t="str">
        <x:v>3.446647212967946e-06</x:v>
      </x:c>
      <x:c r="AJ383" s="40" t="b">
        <x:v>1</x:v>
      </x:c>
      <x:c r="AK383" s="40" t="b">
        <x:v>1</x:v>
      </x:c>
      <x:c r="AL383" s="40" t="b">
        <x:v>1</x:v>
      </x:c>
      <x:c r="AM383" s="40" t="b">
        <x:v>1</x:v>
      </x:c>
      <x:c r="AN383" s="34" t="str"/>
      <x:c r="AO383" s="34" t="n">
        <x:v>0</x:v>
      </x:c>
      <x:c r="AP383" s="34" t="n">
        <x:v>0</x:v>
      </x:c>
      <x:c r="AQ383" s="34" t="n">
        <x:v>0</x:v>
      </x:c>
      <x:c r="AR383" s="34" t="n">
        <x:v>2</x:v>
      </x:c>
      <x:c r="AS383" s="34" t="n">
        <x:v>2</x:v>
      </x:c>
      <x:c r="AT383" s="34" t="n">
        <x:v>0.47641018879999986</x:v>
      </x:c>
      <x:c r="AU383" s="34" t="n">
        <x:v>0.65</x:v>
      </x:c>
      <x:c r="AV383" s="34" t="n">
        <x:v>2.16</x:v>
      </x:c>
    </x:row>
    <x:row r="384">
      <x:c r="A384" s="34" t="str">
        <x:v>NIPPON_STEEL_JP</x:v>
      </x:c>
      <x:c r="B384" s="34" t="str">
        <x:v>Nippon Steel</x:v>
      </x:c>
      <x:c r="C384" s="34" t="str">
        <x:v>ACCELERATED_15C</x:v>
      </x:c>
      <x:c r="D384" s="34" t="str">
        <x:v>P3</x:v>
      </x:c>
      <x:c r="E384" s="34" t="n">
        <x:v>2033</x:v>
      </x:c>
      <x:c r="F384" s="34" t="n">
        <x:v>2</x:v>
      </x:c>
      <x:c r="G384" s="34" t="n">
        <x:v>13.679998</x:v>
      </x:c>
      <x:c r="H384" s="34" t="n">
        <x:v>19.8</x:v>
      </x:c>
      <x:c r="I384" s="34" t="n">
        <x:v>6.120002</x:v>
      </x:c>
      <x:c r="J384" s="34" t="n">
        <x:v>69.091</x:v>
      </x:c>
      <x:c r="K384" s="34" t="n">
        <x:v>0</x:v>
      </x:c>
      <x:c r="L384" s="34" t="n">
        <x:v>1.8599999999999999</x:v>
      </x:c>
      <x:c r="M384" s="34" t="n">
        <x:v>1.86</x:v>
      </x:c>
      <x:c r="N384" s="34" t="n">
        <x:v>0</x:v>
      </x:c>
      <x:c r="O384" s="34" t="n">
        <x:v>8.511999</x:v>
      </x:c>
      <x:c r="P384" s="34" t="n">
        <x:v>16</x:v>
      </x:c>
      <x:c r="Q384" s="34" t="n">
        <x:v>7.488001</x:v>
      </x:c>
      <x:c r="R384" s="34" t="n">
        <x:v>53.2</x:v>
      </x:c>
      <x:c r="S384" s="40" t="b">
        <x:v>1</x:v>
      </x:c>
      <x:c r="T384" s="34" t="str">
        <x:v>model_interpolation</x:v>
      </x:c>
      <x:c r="U384" s="34" t="str">
        <x:v>Linear interpolation from 2030 to 2035</x:v>
      </x:c>
      <x:c r="V384" s="34" t="str">
        <x:v>CAND-7400D0EA735D98</x:v>
      </x:c>
      <x:c r="W384" s="34" t="str">
        <x:v>P3</x:v>
      </x:c>
      <x:c r="X384" s="34" t="str">
        <x:v>PORT-6742936593A9</x:v>
      </x:c>
      <x:c r="Y384" s="34" t="n">
        <x:v>1000</x:v>
      </x:c>
      <x:c r="Z384" s="34" t="n">
        <x:v>69.771797</x:v>
      </x:c>
      <x:c r="AA384" s="34" t="n">
        <x:v>18.74197</x:v>
      </x:c>
      <x:c r="AB384" s="34" t="n">
        <x:v>454.753949</x:v>
      </x:c>
      <x:c r="AC384" s="34" t="n">
        <x:v>31092.014</x:v>
      </x:c>
      <x:c r="AD384" s="34" t="n">
        <x:v>68.371069</x:v>
      </x:c>
      <x:c r="AE384" s="40" t="b">
        <x:v>1</x:v>
      </x:c>
      <x:c r="AF384" s="40" t="b">
        <x:v>1</x:v>
      </x:c>
      <x:c r="AG384" s="34" t="str"/>
      <x:c r="AH384" s="34" t="n">
        <x:v>0</x:v>
      </x:c>
      <x:c r="AI384" s="34" t="str">
        <x:v>3.446647212967946e-06</x:v>
      </x:c>
      <x:c r="AJ384" s="40" t="b">
        <x:v>1</x:v>
      </x:c>
      <x:c r="AK384" s="40" t="b">
        <x:v>1</x:v>
      </x:c>
      <x:c r="AL384" s="40" t="b">
        <x:v>1</x:v>
      </x:c>
      <x:c r="AM384" s="40" t="b">
        <x:v>1</x:v>
      </x:c>
      <x:c r="AN384" s="34" t="str"/>
      <x:c r="AO384" s="34" t="n">
        <x:v>0</x:v>
      </x:c>
      <x:c r="AP384" s="34" t="n">
        <x:v>0</x:v>
      </x:c>
      <x:c r="AQ384" s="34" t="n">
        <x:v>0</x:v>
      </x:c>
      <x:c r="AR384" s="34" t="n">
        <x:v>2</x:v>
      </x:c>
      <x:c r="AS384" s="34" t="n">
        <x:v>2</x:v>
      </x:c>
      <x:c r="AT384" s="34" t="n">
        <x:v>0.47641018879999986</x:v>
      </x:c>
      <x:c r="AU384" s="34" t="n">
        <x:v>0.65</x:v>
      </x:c>
      <x:c r="AV384" s="34" t="n">
        <x:v>2.16</x:v>
      </x:c>
    </x:row>
    <x:row r="385">
      <x:c r="A385" s="34" t="str">
        <x:v>NIPPON_STEEL_JP</x:v>
      </x:c>
      <x:c r="B385" s="34" t="str">
        <x:v>Nippon Steel</x:v>
      </x:c>
      <x:c r="C385" s="34" t="str">
        <x:v>ACCELERATED_15C</x:v>
      </x:c>
      <x:c r="D385" s="34" t="str">
        <x:v>P3</x:v>
      </x:c>
      <x:c r="E385" s="34" t="n">
        <x:v>2034</x:v>
      </x:c>
      <x:c r="F385" s="34" t="n">
        <x:v>3</x:v>
      </x:c>
      <x:c r="G385" s="34" t="n">
        <x:v>14.759998</x:v>
      </x:c>
      <x:c r="H385" s="34" t="n">
        <x:v>21.4</x:v>
      </x:c>
      <x:c r="I385" s="34" t="n">
        <x:v>6.640002</x:v>
      </x:c>
      <x:c r="J385" s="34" t="n">
        <x:v>68.972</x:v>
      </x:c>
      <x:c r="K385" s="34" t="n">
        <x:v>0.396</x:v>
      </x:c>
      <x:c r="L385" s="34" t="n">
        <x:v>2.18</x:v>
      </x:c>
      <x:c r="M385" s="34" t="n">
        <x:v>1.784</x:v>
      </x:c>
      <x:c r="N385" s="34" t="n">
        <x:v>18.165</x:v>
      </x:c>
      <x:c r="O385" s="34" t="n">
        <x:v>11.823999</x:v>
      </x:c>
      <x:c r="P385" s="34" t="n">
        <x:v>18</x:v>
      </x:c>
      <x:c r="Q385" s="34" t="n">
        <x:v>6.176001</x:v>
      </x:c>
      <x:c r="R385" s="34" t="n">
        <x:v>65.689</x:v>
      </x:c>
      <x:c r="S385" s="40" t="b">
        <x:v>1</x:v>
      </x:c>
      <x:c r="T385" s="34" t="str">
        <x:v>model_interpolation</x:v>
      </x:c>
      <x:c r="U385" s="34" t="str">
        <x:v>Linear interpolation from 2030 to 2035</x:v>
      </x:c>
      <x:c r="V385" s="34" t="str">
        <x:v>CAND-7400D0EA735D98</x:v>
      </x:c>
      <x:c r="W385" s="34" t="str">
        <x:v>P3</x:v>
      </x:c>
      <x:c r="X385" s="34" t="str">
        <x:v>PORT-6742936593A9</x:v>
      </x:c>
      <x:c r="Y385" s="34" t="n">
        <x:v>1000</x:v>
      </x:c>
      <x:c r="Z385" s="34" t="n">
        <x:v>69.771797</x:v>
      </x:c>
      <x:c r="AA385" s="34" t="n">
        <x:v>18.74197</x:v>
      </x:c>
      <x:c r="AB385" s="34" t="n">
        <x:v>454.753949</x:v>
      </x:c>
      <x:c r="AC385" s="34" t="n">
        <x:v>31092.014</x:v>
      </x:c>
      <x:c r="AD385" s="34" t="n">
        <x:v>68.371069</x:v>
      </x:c>
      <x:c r="AE385" s="40" t="b">
        <x:v>1</x:v>
      </x:c>
      <x:c r="AF385" s="40" t="b">
        <x:v>1</x:v>
      </x:c>
      <x:c r="AG385" s="34" t="str"/>
      <x:c r="AH385" s="34" t="n">
        <x:v>0</x:v>
      </x:c>
      <x:c r="AI385" s="34" t="str">
        <x:v>3.446647212967946e-06</x:v>
      </x:c>
      <x:c r="AJ385" s="40" t="b">
        <x:v>1</x:v>
      </x:c>
      <x:c r="AK385" s="40" t="b">
        <x:v>1</x:v>
      </x:c>
      <x:c r="AL385" s="40" t="b">
        <x:v>1</x:v>
      </x:c>
      <x:c r="AM385" s="40" t="b">
        <x:v>1</x:v>
      </x:c>
      <x:c r="AN385" s="34" t="str"/>
      <x:c r="AO385" s="34" t="n">
        <x:v>0</x:v>
      </x:c>
      <x:c r="AP385" s="34" t="n">
        <x:v>0</x:v>
      </x:c>
      <x:c r="AQ385" s="34" t="n">
        <x:v>0</x:v>
      </x:c>
      <x:c r="AR385" s="34" t="n">
        <x:v>2</x:v>
      </x:c>
      <x:c r="AS385" s="34" t="n">
        <x:v>2</x:v>
      </x:c>
      <x:c r="AT385" s="34" t="n">
        <x:v>0.47641018879999986</x:v>
      </x:c>
      <x:c r="AU385" s="34" t="n">
        <x:v>0.65</x:v>
      </x:c>
      <x:c r="AV385" s="34" t="n">
        <x:v>2.16</x:v>
      </x:c>
    </x:row>
    <x:row r="386">
      <x:c r="A386" s="34" t="str">
        <x:v>NIPPON_STEEL_JP</x:v>
      </x:c>
      <x:c r="B386" s="34" t="str">
        <x:v>Nippon Steel</x:v>
      </x:c>
      <x:c r="C386" s="34" t="str">
        <x:v>ACCELERATED_15C</x:v>
      </x:c>
      <x:c r="D386" s="34" t="str">
        <x:v>P3</x:v>
      </x:c>
      <x:c r="E386" s="34" t="n">
        <x:v>2035</x:v>
      </x:c>
      <x:c r="F386" s="34" t="n">
        <x:v>3</x:v>
      </x:c>
      <x:c r="G386" s="34" t="n">
        <x:v>14.759998</x:v>
      </x:c>
      <x:c r="H386" s="34" t="n">
        <x:v>23</x:v>
      </x:c>
      <x:c r="I386" s="34" t="n">
        <x:v>8.240002</x:v>
      </x:c>
      <x:c r="J386" s="34" t="n">
        <x:v>64.174</x:v>
      </x:c>
      <x:c r="K386" s="34" t="n">
        <x:v>0.396</x:v>
      </x:c>
      <x:c r="L386" s="34" t="n">
        <x:v>2.5</x:v>
      </x:c>
      <x:c r="M386" s="34" t="n">
        <x:v>2.104</x:v>
      </x:c>
      <x:c r="N386" s="34" t="n">
        <x:v>15.84</x:v>
      </x:c>
      <x:c r="O386" s="34" t="n">
        <x:v>11.823999</x:v>
      </x:c>
      <x:c r="P386" s="34" t="n">
        <x:v>20</x:v>
      </x:c>
      <x:c r="Q386" s="34" t="n">
        <x:v>8.176001</x:v>
      </x:c>
      <x:c r="R386" s="34" t="n">
        <x:v>59.12</x:v>
      </x:c>
      <x:c r="S386" s="40" t="b">
        <x:v>1</x:v>
      </x:c>
      <x:c r="T386" s="34" t="str">
        <x:v>model_interpolation</x:v>
      </x:c>
      <x:c r="U386" s="34" t="str">
        <x:v>Linear interpolation from 2035 to 2040</x:v>
      </x:c>
      <x:c r="V386" s="34" t="str">
        <x:v>CAND-7400D0EA735D98</x:v>
      </x:c>
      <x:c r="W386" s="34" t="str">
        <x:v>P3</x:v>
      </x:c>
      <x:c r="X386" s="34" t="str">
        <x:v>PORT-6742936593A9</x:v>
      </x:c>
      <x:c r="Y386" s="34" t="n">
        <x:v>1000</x:v>
      </x:c>
      <x:c r="Z386" s="34" t="n">
        <x:v>69.771797</x:v>
      </x:c>
      <x:c r="AA386" s="34" t="n">
        <x:v>18.74197</x:v>
      </x:c>
      <x:c r="AB386" s="34" t="n">
        <x:v>454.753949</x:v>
      </x:c>
      <x:c r="AC386" s="34" t="n">
        <x:v>31092.014</x:v>
      </x:c>
      <x:c r="AD386" s="34" t="n">
        <x:v>68.371069</x:v>
      </x:c>
      <x:c r="AE386" s="40" t="b">
        <x:v>1</x:v>
      </x:c>
      <x:c r="AF386" s="40" t="b">
        <x:v>1</x:v>
      </x:c>
      <x:c r="AG386" s="34" t="str"/>
      <x:c r="AH386" s="34" t="n">
        <x:v>0</x:v>
      </x:c>
      <x:c r="AI386" s="34" t="str">
        <x:v>3.446647212967946e-06</x:v>
      </x:c>
      <x:c r="AJ386" s="40" t="b">
        <x:v>1</x:v>
      </x:c>
      <x:c r="AK386" s="40" t="b">
        <x:v>1</x:v>
      </x:c>
      <x:c r="AL386" s="40" t="b">
        <x:v>1</x:v>
      </x:c>
      <x:c r="AM386" s="40" t="b">
        <x:v>1</x:v>
      </x:c>
      <x:c r="AN386" s="34" t="str"/>
      <x:c r="AO386" s="34" t="n">
        <x:v>0</x:v>
      </x:c>
      <x:c r="AP386" s="34" t="n">
        <x:v>0</x:v>
      </x:c>
      <x:c r="AQ386" s="34" t="n">
        <x:v>0</x:v>
      </x:c>
      <x:c r="AR386" s="34" t="n">
        <x:v>2</x:v>
      </x:c>
      <x:c r="AS386" s="34" t="n">
        <x:v>2</x:v>
      </x:c>
      <x:c r="AT386" s="34" t="n">
        <x:v>0.47641018879999986</x:v>
      </x:c>
      <x:c r="AU386" s="34" t="n">
        <x:v>0.65</x:v>
      </x:c>
      <x:c r="AV386" s="34" t="n">
        <x:v>2.16</x:v>
      </x:c>
    </x:row>
    <x:row r="387">
      <x:c r="A387" s="34" t="str">
        <x:v>NIPPON_STEEL_JP</x:v>
      </x:c>
      <x:c r="B387" s="34" t="str">
        <x:v>Nippon Steel</x:v>
      </x:c>
      <x:c r="C387" s="34" t="str">
        <x:v>ACCELERATED_15C</x:v>
      </x:c>
      <x:c r="D387" s="34" t="str">
        <x:v>P3</x:v>
      </x:c>
      <x:c r="E387" s="34" t="n">
        <x:v>2036</x:v>
      </x:c>
      <x:c r="F387" s="34" t="n">
        <x:v>4</x:v>
      </x:c>
      <x:c r="G387" s="34" t="n">
        <x:v>15.599998</x:v>
      </x:c>
      <x:c r="H387" s="34" t="n">
        <x:v>24.4</x:v>
      </x:c>
      <x:c r="I387" s="34" t="n">
        <x:v>8.800002</x:v>
      </x:c>
      <x:c r="J387" s="34" t="n">
        <x:v>63.934</x:v>
      </x:c>
      <x:c r="K387" s="34" t="n">
        <x:v>0.704</x:v>
      </x:c>
      <x:c r="L387" s="34" t="n">
        <x:v>2.9</x:v>
      </x:c>
      <x:c r="M387" s="34" t="n">
        <x:v>2.196</x:v>
      </x:c>
      <x:c r="N387" s="34" t="n">
        <x:v>24.276</x:v>
      </x:c>
      <x:c r="O387" s="34" t="n">
        <x:v>14.4</x:v>
      </x:c>
      <x:c r="P387" s="34" t="n">
        <x:v>22.4</x:v>
      </x:c>
      <x:c r="Q387" s="34" t="n">
        <x:v>8</x:v>
      </x:c>
      <x:c r="R387" s="34" t="n">
        <x:v>64.286</x:v>
      </x:c>
      <x:c r="S387" s="40" t="b">
        <x:v>1</x:v>
      </x:c>
      <x:c r="T387" s="34" t="str">
        <x:v>model_interpolation</x:v>
      </x:c>
      <x:c r="U387" s="34" t="str">
        <x:v>Linear interpolation from 2035 to 2040</x:v>
      </x:c>
      <x:c r="V387" s="34" t="str">
        <x:v>CAND-7400D0EA735D98</x:v>
      </x:c>
      <x:c r="W387" s="34" t="str">
        <x:v>P3</x:v>
      </x:c>
      <x:c r="X387" s="34" t="str">
        <x:v>PORT-6742936593A9</x:v>
      </x:c>
      <x:c r="Y387" s="34" t="n">
        <x:v>1000</x:v>
      </x:c>
      <x:c r="Z387" s="34" t="n">
        <x:v>69.771797</x:v>
      </x:c>
      <x:c r="AA387" s="34" t="n">
        <x:v>18.74197</x:v>
      </x:c>
      <x:c r="AB387" s="34" t="n">
        <x:v>454.753949</x:v>
      </x:c>
      <x:c r="AC387" s="34" t="n">
        <x:v>31092.014</x:v>
      </x:c>
      <x:c r="AD387" s="34" t="n">
        <x:v>68.371069</x:v>
      </x:c>
      <x:c r="AE387" s="40" t="b">
        <x:v>1</x:v>
      </x:c>
      <x:c r="AF387" s="40" t="b">
        <x:v>1</x:v>
      </x:c>
      <x:c r="AG387" s="34" t="str"/>
      <x:c r="AH387" s="34" t="n">
        <x:v>0</x:v>
      </x:c>
      <x:c r="AI387" s="34" t="str">
        <x:v>3.446647212967946e-06</x:v>
      </x:c>
      <x:c r="AJ387" s="40" t="b">
        <x:v>1</x:v>
      </x:c>
      <x:c r="AK387" s="40" t="b">
        <x:v>1</x:v>
      </x:c>
      <x:c r="AL387" s="40" t="b">
        <x:v>1</x:v>
      </x:c>
      <x:c r="AM387" s="40" t="b">
        <x:v>1</x:v>
      </x:c>
      <x:c r="AN387" s="34" t="str"/>
      <x:c r="AO387" s="34" t="n">
        <x:v>0</x:v>
      </x:c>
      <x:c r="AP387" s="34" t="n">
        <x:v>0</x:v>
      </x:c>
      <x:c r="AQ387" s="34" t="n">
        <x:v>0</x:v>
      </x:c>
      <x:c r="AR387" s="34" t="n">
        <x:v>2</x:v>
      </x:c>
      <x:c r="AS387" s="34" t="n">
        <x:v>2</x:v>
      </x:c>
      <x:c r="AT387" s="34" t="n">
        <x:v>0.47641018879999986</x:v>
      </x:c>
      <x:c r="AU387" s="34" t="n">
        <x:v>0.65</x:v>
      </x:c>
      <x:c r="AV387" s="34" t="n">
        <x:v>2.16</x:v>
      </x:c>
    </x:row>
    <x:row r="388">
      <x:c r="A388" s="34" t="str">
        <x:v>NIPPON_STEEL_JP</x:v>
      </x:c>
      <x:c r="B388" s="34" t="str">
        <x:v>Nippon Steel</x:v>
      </x:c>
      <x:c r="C388" s="34" t="str">
        <x:v>ACCELERATED_15C</x:v>
      </x:c>
      <x:c r="D388" s="34" t="str">
        <x:v>P3</x:v>
      </x:c>
      <x:c r="E388" s="34" t="n">
        <x:v>2037</x:v>
      </x:c>
      <x:c r="F388" s="34" t="n">
        <x:v>4</x:v>
      </x:c>
      <x:c r="G388" s="34" t="n">
        <x:v>15.599998</x:v>
      </x:c>
      <x:c r="H388" s="34" t="n">
        <x:v>25.8</x:v>
      </x:c>
      <x:c r="I388" s="34" t="n">
        <x:v>10.200002</x:v>
      </x:c>
      <x:c r="J388" s="34" t="n">
        <x:v>60.465</x:v>
      </x:c>
      <x:c r="K388" s="34" t="n">
        <x:v>0.704</x:v>
      </x:c>
      <x:c r="L388" s="34" t="n">
        <x:v>3.3</x:v>
      </x:c>
      <x:c r="M388" s="34" t="n">
        <x:v>2.596</x:v>
      </x:c>
      <x:c r="N388" s="34" t="n">
        <x:v>21.333</x:v>
      </x:c>
      <x:c r="O388" s="34" t="n">
        <x:v>14.4</x:v>
      </x:c>
      <x:c r="P388" s="34" t="n">
        <x:v>24.8</x:v>
      </x:c>
      <x:c r="Q388" s="34" t="n">
        <x:v>10.4</x:v>
      </x:c>
      <x:c r="R388" s="34" t="n">
        <x:v>58.065</x:v>
      </x:c>
      <x:c r="S388" s="40" t="b">
        <x:v>1</x:v>
      </x:c>
      <x:c r="T388" s="34" t="str">
        <x:v>model_interpolation</x:v>
      </x:c>
      <x:c r="U388" s="34" t="str">
        <x:v>Linear interpolation from 2035 to 2040</x:v>
      </x:c>
      <x:c r="V388" s="34" t="str">
        <x:v>CAND-7400D0EA735D98</x:v>
      </x:c>
      <x:c r="W388" s="34" t="str">
        <x:v>P3</x:v>
      </x:c>
      <x:c r="X388" s="34" t="str">
        <x:v>PORT-6742936593A9</x:v>
      </x:c>
      <x:c r="Y388" s="34" t="n">
        <x:v>1000</x:v>
      </x:c>
      <x:c r="Z388" s="34" t="n">
        <x:v>69.771797</x:v>
      </x:c>
      <x:c r="AA388" s="34" t="n">
        <x:v>18.74197</x:v>
      </x:c>
      <x:c r="AB388" s="34" t="n">
        <x:v>454.753949</x:v>
      </x:c>
      <x:c r="AC388" s="34" t="n">
        <x:v>31092.014</x:v>
      </x:c>
      <x:c r="AD388" s="34" t="n">
        <x:v>68.371069</x:v>
      </x:c>
      <x:c r="AE388" s="40" t="b">
        <x:v>1</x:v>
      </x:c>
      <x:c r="AF388" s="40" t="b">
        <x:v>1</x:v>
      </x:c>
      <x:c r="AG388" s="34" t="str"/>
      <x:c r="AH388" s="34" t="n">
        <x:v>0</x:v>
      </x:c>
      <x:c r="AI388" s="34" t="str">
        <x:v>3.446647212967946e-06</x:v>
      </x:c>
      <x:c r="AJ388" s="40" t="b">
        <x:v>1</x:v>
      </x:c>
      <x:c r="AK388" s="40" t="b">
        <x:v>1</x:v>
      </x:c>
      <x:c r="AL388" s="40" t="b">
        <x:v>1</x:v>
      </x:c>
      <x:c r="AM388" s="40" t="b">
        <x:v>1</x:v>
      </x:c>
      <x:c r="AN388" s="34" t="str"/>
      <x:c r="AO388" s="34" t="n">
        <x:v>0</x:v>
      </x:c>
      <x:c r="AP388" s="34" t="n">
        <x:v>0</x:v>
      </x:c>
      <x:c r="AQ388" s="34" t="n">
        <x:v>0</x:v>
      </x:c>
      <x:c r="AR388" s="34" t="n">
        <x:v>2</x:v>
      </x:c>
      <x:c r="AS388" s="34" t="n">
        <x:v>2</x:v>
      </x:c>
      <x:c r="AT388" s="34" t="n">
        <x:v>0.47641018879999986</x:v>
      </x:c>
      <x:c r="AU388" s="34" t="n">
        <x:v>0.65</x:v>
      </x:c>
      <x:c r="AV388" s="34" t="n">
        <x:v>2.16</x:v>
      </x:c>
    </x:row>
    <x:row r="389">
      <x:c r="A389" s="34" t="str">
        <x:v>NIPPON_STEEL_JP</x:v>
      </x:c>
      <x:c r="B389" s="34" t="str">
        <x:v>Nippon Steel</x:v>
      </x:c>
      <x:c r="C389" s="34" t="str">
        <x:v>ACCELERATED_15C</x:v>
      </x:c>
      <x:c r="D389" s="34" t="str">
        <x:v>P3</x:v>
      </x:c>
      <x:c r="E389" s="34" t="n">
        <x:v>2038</x:v>
      </x:c>
      <x:c r="F389" s="34" t="n">
        <x:v>5</x:v>
      </x:c>
      <x:c r="G389" s="34" t="n">
        <x:v>21.269998</x:v>
      </x:c>
      <x:c r="H389" s="34" t="n">
        <x:v>27.2</x:v>
      </x:c>
      <x:c r="I389" s="34" t="n">
        <x:v>5.930002</x:v>
      </x:c>
      <x:c r="J389" s="34" t="n">
        <x:v>78.199</x:v>
      </x:c>
      <x:c r="K389" s="34" t="n">
        <x:v>0.704</x:v>
      </x:c>
      <x:c r="L389" s="34" t="n">
        <x:v>3.7</x:v>
      </x:c>
      <x:c r="M389" s="34" t="n">
        <x:v>2.996</x:v>
      </x:c>
      <x:c r="N389" s="34" t="n">
        <x:v>19.027</x:v>
      </x:c>
      <x:c r="O389" s="34" t="n">
        <x:v>17.928</x:v>
      </x:c>
      <x:c r="P389" s="34" t="n">
        <x:v>27.2</x:v>
      </x:c>
      <x:c r="Q389" s="34" t="n">
        <x:v>9.272</x:v>
      </x:c>
      <x:c r="R389" s="34" t="n">
        <x:v>65.912</x:v>
      </x:c>
      <x:c r="S389" s="40" t="b">
        <x:v>1</x:v>
      </x:c>
      <x:c r="T389" s="34" t="str">
        <x:v>model_interpolation</x:v>
      </x:c>
      <x:c r="U389" s="34" t="str">
        <x:v>Linear interpolation from 2035 to 2040</x:v>
      </x:c>
      <x:c r="V389" s="34" t="str">
        <x:v>CAND-7400D0EA735D98</x:v>
      </x:c>
      <x:c r="W389" s="34" t="str">
        <x:v>P3</x:v>
      </x:c>
      <x:c r="X389" s="34" t="str">
        <x:v>PORT-6742936593A9</x:v>
      </x:c>
      <x:c r="Y389" s="34" t="n">
        <x:v>1000</x:v>
      </x:c>
      <x:c r="Z389" s="34" t="n">
        <x:v>69.771797</x:v>
      </x:c>
      <x:c r="AA389" s="34" t="n">
        <x:v>18.74197</x:v>
      </x:c>
      <x:c r="AB389" s="34" t="n">
        <x:v>454.753949</x:v>
      </x:c>
      <x:c r="AC389" s="34" t="n">
        <x:v>31092.014</x:v>
      </x:c>
      <x:c r="AD389" s="34" t="n">
        <x:v>68.371069</x:v>
      </x:c>
      <x:c r="AE389" s="40" t="b">
        <x:v>1</x:v>
      </x:c>
      <x:c r="AF389" s="40" t="b">
        <x:v>1</x:v>
      </x:c>
      <x:c r="AG389" s="34" t="str"/>
      <x:c r="AH389" s="34" t="n">
        <x:v>0</x:v>
      </x:c>
      <x:c r="AI389" s="34" t="str">
        <x:v>3.446647212967946e-06</x:v>
      </x:c>
      <x:c r="AJ389" s="40" t="b">
        <x:v>1</x:v>
      </x:c>
      <x:c r="AK389" s="40" t="b">
        <x:v>1</x:v>
      </x:c>
      <x:c r="AL389" s="40" t="b">
        <x:v>1</x:v>
      </x:c>
      <x:c r="AM389" s="40" t="b">
        <x:v>1</x:v>
      </x:c>
      <x:c r="AN389" s="34" t="str"/>
      <x:c r="AO389" s="34" t="n">
        <x:v>0</x:v>
      </x:c>
      <x:c r="AP389" s="34" t="n">
        <x:v>0</x:v>
      </x:c>
      <x:c r="AQ389" s="34" t="n">
        <x:v>0</x:v>
      </x:c>
      <x:c r="AR389" s="34" t="n">
        <x:v>2</x:v>
      </x:c>
      <x:c r="AS389" s="34" t="n">
        <x:v>2</x:v>
      </x:c>
      <x:c r="AT389" s="34" t="n">
        <x:v>0.47641018879999986</x:v>
      </x:c>
      <x:c r="AU389" s="34" t="n">
        <x:v>0.65</x:v>
      </x:c>
      <x:c r="AV389" s="34" t="n">
        <x:v>2.16</x:v>
      </x:c>
    </x:row>
    <x:row r="390">
      <x:c r="A390" s="34" t="str">
        <x:v>NIPPON_STEEL_JP</x:v>
      </x:c>
      <x:c r="B390" s="34" t="str">
        <x:v>Nippon Steel</x:v>
      </x:c>
      <x:c r="C390" s="34" t="str">
        <x:v>ACCELERATED_15C</x:v>
      </x:c>
      <x:c r="D390" s="34" t="str">
        <x:v>P3</x:v>
      </x:c>
      <x:c r="E390" s="34" t="n">
        <x:v>2039</x:v>
      </x:c>
      <x:c r="F390" s="34" t="n">
        <x:v>5</x:v>
      </x:c>
      <x:c r="G390" s="34" t="n">
        <x:v>21.269998</x:v>
      </x:c>
      <x:c r="H390" s="34" t="n">
        <x:v>28.6</x:v>
      </x:c>
      <x:c r="I390" s="34" t="n">
        <x:v>7.330002</x:v>
      </x:c>
      <x:c r="J390" s="34" t="n">
        <x:v>74.371</x:v>
      </x:c>
      <x:c r="K390" s="34" t="n">
        <x:v>0.704</x:v>
      </x:c>
      <x:c r="L390" s="34" t="n">
        <x:v>4.1</x:v>
      </x:c>
      <x:c r="M390" s="34" t="n">
        <x:v>3.396</x:v>
      </x:c>
      <x:c r="N390" s="34" t="n">
        <x:v>17.171</x:v>
      </x:c>
      <x:c r="O390" s="34" t="n">
        <x:v>17.928</x:v>
      </x:c>
      <x:c r="P390" s="34" t="n">
        <x:v>29.6</x:v>
      </x:c>
      <x:c r="Q390" s="34" t="n">
        <x:v>11.672</x:v>
      </x:c>
      <x:c r="R390" s="34" t="n">
        <x:v>60.568</x:v>
      </x:c>
      <x:c r="S390" s="40" t="b">
        <x:v>1</x:v>
      </x:c>
      <x:c r="T390" s="34" t="str">
        <x:v>model_interpolation</x:v>
      </x:c>
      <x:c r="U390" s="34" t="str">
        <x:v>Linear interpolation from 2035 to 2040</x:v>
      </x:c>
      <x:c r="V390" s="34" t="str">
        <x:v>CAND-7400D0EA735D98</x:v>
      </x:c>
      <x:c r="W390" s="34" t="str">
        <x:v>P3</x:v>
      </x:c>
      <x:c r="X390" s="34" t="str">
        <x:v>PORT-6742936593A9</x:v>
      </x:c>
      <x:c r="Y390" s="34" t="n">
        <x:v>1000</x:v>
      </x:c>
      <x:c r="Z390" s="34" t="n">
        <x:v>69.771797</x:v>
      </x:c>
      <x:c r="AA390" s="34" t="n">
        <x:v>18.74197</x:v>
      </x:c>
      <x:c r="AB390" s="34" t="n">
        <x:v>454.753949</x:v>
      </x:c>
      <x:c r="AC390" s="34" t="n">
        <x:v>31092.014</x:v>
      </x:c>
      <x:c r="AD390" s="34" t="n">
        <x:v>68.371069</x:v>
      </x:c>
      <x:c r="AE390" s="40" t="b">
        <x:v>1</x:v>
      </x:c>
      <x:c r="AF390" s="40" t="b">
        <x:v>1</x:v>
      </x:c>
      <x:c r="AG390" s="34" t="str"/>
      <x:c r="AH390" s="34" t="n">
        <x:v>0</x:v>
      </x:c>
      <x:c r="AI390" s="34" t="str">
        <x:v>3.446647212967946e-06</x:v>
      </x:c>
      <x:c r="AJ390" s="40" t="b">
        <x:v>1</x:v>
      </x:c>
      <x:c r="AK390" s="40" t="b">
        <x:v>1</x:v>
      </x:c>
      <x:c r="AL390" s="40" t="b">
        <x:v>1</x:v>
      </x:c>
      <x:c r="AM390" s="40" t="b">
        <x:v>1</x:v>
      </x:c>
      <x:c r="AN390" s="34" t="str"/>
      <x:c r="AO390" s="34" t="n">
        <x:v>0</x:v>
      </x:c>
      <x:c r="AP390" s="34" t="n">
        <x:v>0</x:v>
      </x:c>
      <x:c r="AQ390" s="34" t="n">
        <x:v>0</x:v>
      </x:c>
      <x:c r="AR390" s="34" t="n">
        <x:v>2</x:v>
      </x:c>
      <x:c r="AS390" s="34" t="n">
        <x:v>2</x:v>
      </x:c>
      <x:c r="AT390" s="34" t="n">
        <x:v>0.47641018879999986</x:v>
      </x:c>
      <x:c r="AU390" s="34" t="n">
        <x:v>0.65</x:v>
      </x:c>
      <x:c r="AV390" s="34" t="n">
        <x:v>2.16</x:v>
      </x:c>
    </x:row>
    <x:row r="391">
      <x:c r="A391" s="34" t="str">
        <x:v>NIPPON_STEEL_JP</x:v>
      </x:c>
      <x:c r="B391" s="34" t="str">
        <x:v>Nippon Steel</x:v>
      </x:c>
      <x:c r="C391" s="34" t="str">
        <x:v>ACCELERATED_15C</x:v>
      </x:c>
      <x:c r="D391" s="34" t="str">
        <x:v>P3</x:v>
      </x:c>
      <x:c r="E391" s="34" t="n">
        <x:v>2040</x:v>
      </x:c>
      <x:c r="F391" s="34" t="n">
        <x:v>5</x:v>
      </x:c>
      <x:c r="G391" s="34" t="n">
        <x:v>21.269998</x:v>
      </x:c>
      <x:c r="H391" s="34" t="n">
        <x:v>30</x:v>
      </x:c>
      <x:c r="I391" s="34" t="n">
        <x:v>8.730002</x:v>
      </x:c>
      <x:c r="J391" s="34" t="n">
        <x:v>70.9</x:v>
      </x:c>
      <x:c r="K391" s="34" t="n">
        <x:v>0.704</x:v>
      </x:c>
      <x:c r="L391" s="34" t="n">
        <x:v>4.5</x:v>
      </x:c>
      <x:c r="M391" s="34" t="n">
        <x:v>3.796</x:v>
      </x:c>
      <x:c r="N391" s="34" t="n">
        <x:v>15.644</x:v>
      </x:c>
      <x:c r="O391" s="34" t="n">
        <x:v>17.928</x:v>
      </x:c>
      <x:c r="P391" s="34" t="n">
        <x:v>32</x:v>
      </x:c>
      <x:c r="Q391" s="34" t="n">
        <x:v>14.072</x:v>
      </x:c>
      <x:c r="R391" s="34" t="n">
        <x:v>56.025</x:v>
      </x:c>
      <x:c r="S391" s="40" t="b">
        <x:v>1</x:v>
      </x:c>
      <x:c r="T391" s="34" t="str">
        <x:v>model_estimate</x:v>
      </x:c>
      <x:c r="U391" s="34" t="str">
        <x:v>Illustrative accelerated envelope; not GCAM or an official supply forecast</x:v>
      </x:c>
      <x:c r="V391" s="34" t="str">
        <x:v>CAND-7400D0EA735D98</x:v>
      </x:c>
      <x:c r="W391" s="34" t="str">
        <x:v>P3</x:v>
      </x:c>
      <x:c r="X391" s="34" t="str">
        <x:v>PORT-6742936593A9</x:v>
      </x:c>
      <x:c r="Y391" s="34" t="n">
        <x:v>1000</x:v>
      </x:c>
      <x:c r="Z391" s="34" t="n">
        <x:v>69.771797</x:v>
      </x:c>
      <x:c r="AA391" s="34" t="n">
        <x:v>18.74197</x:v>
      </x:c>
      <x:c r="AB391" s="34" t="n">
        <x:v>454.753949</x:v>
      </x:c>
      <x:c r="AC391" s="34" t="n">
        <x:v>31092.014</x:v>
      </x:c>
      <x:c r="AD391" s="34" t="n">
        <x:v>68.371069</x:v>
      </x:c>
      <x:c r="AE391" s="40" t="b">
        <x:v>1</x:v>
      </x:c>
      <x:c r="AF391" s="40" t="b">
        <x:v>1</x:v>
      </x:c>
      <x:c r="AG391" s="34" t="str"/>
      <x:c r="AH391" s="34" t="n">
        <x:v>0</x:v>
      </x:c>
      <x:c r="AI391" s="34" t="str">
        <x:v>3.446647212967946e-06</x:v>
      </x:c>
      <x:c r="AJ391" s="40" t="b">
        <x:v>1</x:v>
      </x:c>
      <x:c r="AK391" s="40" t="b">
        <x:v>1</x:v>
      </x:c>
      <x:c r="AL391" s="40" t="b">
        <x:v>1</x:v>
      </x:c>
      <x:c r="AM391" s="40" t="b">
        <x:v>1</x:v>
      </x:c>
      <x:c r="AN391" s="34" t="str"/>
      <x:c r="AO391" s="34" t="n">
        <x:v>0</x:v>
      </x:c>
      <x:c r="AP391" s="34" t="n">
        <x:v>0</x:v>
      </x:c>
      <x:c r="AQ391" s="34" t="n">
        <x:v>0</x:v>
      </x:c>
      <x:c r="AR391" s="34" t="n">
        <x:v>2</x:v>
      </x:c>
      <x:c r="AS391" s="34" t="n">
        <x:v>2</x:v>
      </x:c>
      <x:c r="AT391" s="34" t="n">
        <x:v>0.47641018879999986</x:v>
      </x:c>
      <x:c r="AU391" s="34" t="n">
        <x:v>0.65</x:v>
      </x:c>
      <x:c r="AV391" s="34" t="n">
        <x:v>2.16</x:v>
      </x:c>
    </x:row>
    <x:row r="392">
      <x:c r="A392" s="34" t="str">
        <x:v>POSCO_KR</x:v>
      </x:c>
      <x:c r="B392" s="34" t="str">
        <x:v>POSCO</x:v>
      </x:c>
      <x:c r="C392" s="34" t="str">
        <x:v>DISCLOSED_PATH</x:v>
      </x:c>
      <x:c r="D392" s="34" t="str">
        <x:v>P1</x:v>
      </x:c>
      <x:c r="E392" s="34" t="n">
        <x:v>2026</x:v>
      </x:c>
      <x:c r="F392" s="34" t="n">
        <x:v>0</x:v>
      </x:c>
      <x:c r="G392" s="34" t="n">
        <x:v>0</x:v>
      </x:c>
      <x:c r="H392" s="34" t="n">
        <x:v>8</x:v>
      </x:c>
      <x:c r="I392" s="34" t="n">
        <x:v>8</x:v>
      </x:c>
      <x:c r="J392" s="34" t="n">
        <x:v>0</x:v>
      </x:c>
      <x:c r="K392" s="34" t="n">
        <x:v>0</x:v>
      </x:c>
      <x:c r="L392" s="34" t="n">
        <x:v>0</x:v>
      </x:c>
      <x:c r="M392" s="34" t="n">
        <x:v>0</x:v>
      </x:c>
      <x:c r="N392" s="34" t="n">
        <x:v>0</x:v>
      </x:c>
      <x:c r="O392" s="34" t="n">
        <x:v>0</x:v>
      </x:c>
      <x:c r="P392" s="34" t="n">
        <x:v>2</x:v>
      </x:c>
      <x:c r="Q392" s="34" t="n">
        <x:v>2</x:v>
      </x:c>
      <x:c r="R392" s="34" t="n">
        <x:v>0</x:v>
      </x:c>
      <x:c r="S392" s="40" t="b">
        <x:v>1</x:v>
      </x:c>
      <x:c r="T392" s="34" t="str">
        <x:v>model_interpolation</x:v>
      </x:c>
      <x:c r="U392" s="34" t="str">
        <x:v>Linear interpolation from 2026 to 2030</x:v>
      </x:c>
      <x:c r="V392" s="34" t="str">
        <x:v>CAND-7BC738434560A6</x:v>
      </x:c>
      <x:c r="W392" s="34" t="str">
        <x:v>P1</x:v>
      </x:c>
      <x:c r="X392" s="34" t="str">
        <x:v>PORT-7ED23B40E316</x:v>
      </x:c>
      <x:c r="Y392" s="34" t="n">
        <x:v>1000</x:v>
      </x:c>
      <x:c r="Z392" s="34" t="n">
        <x:v>33.399682</x:v>
      </x:c>
      <x:c r="AA392" s="34" t="n">
        <x:v>12.620628</x:v>
      </x:c>
      <x:c r="AB392" s="34" t="n">
        <x:v>414.904229</x:v>
      </x:c>
      <x:c r="AC392" s="34" t="n">
        <x:v>13238.755</x:v>
      </x:c>
      <x:c r="AD392" s="34" t="n">
        <x:v>31.907979</x:v>
      </x:c>
      <x:c r="AE392" s="40" t="b">
        <x:v>1</x:v>
      </x:c>
      <x:c r="AF392" s="40" t="b">
        <x:v>0</x:v>
      </x:c>
      <x:c r="AG392" s="34" t="str"/>
      <x:c r="AH392" s="34" t="n">
        <x:v>0</x:v>
      </x:c>
      <x:c r="AI392" s="34" t="str">
        <x:v>2.0275124185786808e-05</x:v>
      </x:c>
      <x:c r="AJ392" s="40" t="b">
        <x:v>0</x:v>
      </x:c>
      <x:c r="AK392" s="40" t="b">
        <x:v>0</x:v>
      </x:c>
      <x:c r="AL392" s="40" t="b">
        <x:v>1</x:v>
      </x:c>
      <x:c r="AM392" s="40" t="b">
        <x:v>1</x:v>
      </x:c>
      <x:c r="AN392" s="34" t="n">
        <x:v>2035</x:v>
      </x:c>
      <x:c r="AO392" s="34" t="n">
        <x:v>4.530597659999998</x:v>
      </x:c>
      <x:c r="AP392" s="34" t="n">
        <x:v>0</x:v>
      </x:c>
      <x:c r="AQ392" s="34" t="n">
        <x:v>0</x:v>
      </x:c>
      <x:c r="AR392" s="34" t="n">
        <x:v>2</x:v>
      </x:c>
      <x:c r="AS392" s="34" t="n">
        <x:v>3</x:v>
      </x:c>
      <x:c r="AT392" s="34" t="n">
        <x:v>0.3934020479999999</x:v>
      </x:c>
      <x:c r="AU392" s="34" t="n">
        <x:v>0.65</x:v>
      </x:c>
      <x:c r="AV392" s="34" t="n">
        <x:v>1.54</x:v>
      </x:c>
    </x:row>
    <x:row r="393">
      <x:c r="A393" s="34" t="str">
        <x:v>POSCO_KR</x:v>
      </x:c>
      <x:c r="B393" s="34" t="str">
        <x:v>POSCO</x:v>
      </x:c>
      <x:c r="C393" s="34" t="str">
        <x:v>DISCLOSED_PATH</x:v>
      </x:c>
      <x:c r="D393" s="34" t="str">
        <x:v>P1</x:v>
      </x:c>
      <x:c r="E393" s="34" t="n">
        <x:v>2027</x:v>
      </x:c>
      <x:c r="F393" s="34" t="n">
        <x:v>0</x:v>
      </x:c>
      <x:c r="G393" s="34" t="n">
        <x:v>0</x:v>
      </x:c>
      <x:c r="H393" s="34" t="n">
        <x:v>9</x:v>
      </x:c>
      <x:c r="I393" s="34" t="n">
        <x:v>9</x:v>
      </x:c>
      <x:c r="J393" s="34" t="n">
        <x:v>0</x:v>
      </x:c>
      <x:c r="K393" s="34" t="n">
        <x:v>0</x:v>
      </x:c>
      <x:c r="L393" s="34" t="n">
        <x:v>0.125</x:v>
      </x:c>
      <x:c r="M393" s="34" t="n">
        <x:v>0.125</x:v>
      </x:c>
      <x:c r="N393" s="34" t="n">
        <x:v>0</x:v>
      </x:c>
      <x:c r="O393" s="34" t="n">
        <x:v>0</x:v>
      </x:c>
      <x:c r="P393" s="34" t="n">
        <x:v>3.25</x:v>
      </x:c>
      <x:c r="Q393" s="34" t="n">
        <x:v>3.25</x:v>
      </x:c>
      <x:c r="R393" s="34" t="n">
        <x:v>0</x:v>
      </x:c>
      <x:c r="S393" s="40" t="b">
        <x:v>1</x:v>
      </x:c>
      <x:c r="T393" s="34" t="str">
        <x:v>model_interpolation</x:v>
      </x:c>
      <x:c r="U393" s="34" t="str">
        <x:v>Linear interpolation from 2026 to 2030</x:v>
      </x:c>
      <x:c r="V393" s="34" t="str">
        <x:v>CAND-7BC738434560A6</x:v>
      </x:c>
      <x:c r="W393" s="34" t="str">
        <x:v>P1</x:v>
      </x:c>
      <x:c r="X393" s="34" t="str">
        <x:v>PORT-7ED23B40E316</x:v>
      </x:c>
      <x:c r="Y393" s="34" t="n">
        <x:v>1000</x:v>
      </x:c>
      <x:c r="Z393" s="34" t="n">
        <x:v>33.399682</x:v>
      </x:c>
      <x:c r="AA393" s="34" t="n">
        <x:v>12.620628</x:v>
      </x:c>
      <x:c r="AB393" s="34" t="n">
        <x:v>414.904229</x:v>
      </x:c>
      <x:c r="AC393" s="34" t="n">
        <x:v>13238.755</x:v>
      </x:c>
      <x:c r="AD393" s="34" t="n">
        <x:v>31.907979</x:v>
      </x:c>
      <x:c r="AE393" s="40" t="b">
        <x:v>1</x:v>
      </x:c>
      <x:c r="AF393" s="40" t="b">
        <x:v>0</x:v>
      </x:c>
      <x:c r="AG393" s="34" t="str"/>
      <x:c r="AH393" s="34" t="n">
        <x:v>0</x:v>
      </x:c>
      <x:c r="AI393" s="34" t="str">
        <x:v>2.0275124185786808e-05</x:v>
      </x:c>
      <x:c r="AJ393" s="40" t="b">
        <x:v>0</x:v>
      </x:c>
      <x:c r="AK393" s="40" t="b">
        <x:v>0</x:v>
      </x:c>
      <x:c r="AL393" s="40" t="b">
        <x:v>1</x:v>
      </x:c>
      <x:c r="AM393" s="40" t="b">
        <x:v>1</x:v>
      </x:c>
      <x:c r="AN393" s="34" t="n">
        <x:v>2035</x:v>
      </x:c>
      <x:c r="AO393" s="34" t="n">
        <x:v>4.530597659999998</x:v>
      </x:c>
      <x:c r="AP393" s="34" t="n">
        <x:v>0</x:v>
      </x:c>
      <x:c r="AQ393" s="34" t="n">
        <x:v>0</x:v>
      </x:c>
      <x:c r="AR393" s="34" t="n">
        <x:v>2</x:v>
      </x:c>
      <x:c r="AS393" s="34" t="n">
        <x:v>3</x:v>
      </x:c>
      <x:c r="AT393" s="34" t="n">
        <x:v>0.3934020479999999</x:v>
      </x:c>
      <x:c r="AU393" s="34" t="n">
        <x:v>0.65</x:v>
      </x:c>
      <x:c r="AV393" s="34" t="n">
        <x:v>1.54</x:v>
      </x:c>
    </x:row>
    <x:row r="394">
      <x:c r="A394" s="34" t="str">
        <x:v>POSCO_KR</x:v>
      </x:c>
      <x:c r="B394" s="34" t="str">
        <x:v>POSCO</x:v>
      </x:c>
      <x:c r="C394" s="34" t="str">
        <x:v>DISCLOSED_PATH</x:v>
      </x:c>
      <x:c r="D394" s="34" t="str">
        <x:v>P1</x:v>
      </x:c>
      <x:c r="E394" s="34" t="n">
        <x:v>2028</x:v>
      </x:c>
      <x:c r="F394" s="34" t="n">
        <x:v>0</x:v>
      </x:c>
      <x:c r="G394" s="34" t="n">
        <x:v>0</x:v>
      </x:c>
      <x:c r="H394" s="34" t="n">
        <x:v>10</x:v>
      </x:c>
      <x:c r="I394" s="34" t="n">
        <x:v>10</x:v>
      </x:c>
      <x:c r="J394" s="34" t="n">
        <x:v>0</x:v>
      </x:c>
      <x:c r="K394" s="34" t="n">
        <x:v>0</x:v>
      </x:c>
      <x:c r="L394" s="34" t="n">
        <x:v>0.25</x:v>
      </x:c>
      <x:c r="M394" s="34" t="n">
        <x:v>0.25</x:v>
      </x:c>
      <x:c r="N394" s="34" t="n">
        <x:v>0</x:v>
      </x:c>
      <x:c r="O394" s="34" t="n">
        <x:v>0</x:v>
      </x:c>
      <x:c r="P394" s="34" t="n">
        <x:v>4.5</x:v>
      </x:c>
      <x:c r="Q394" s="34" t="n">
        <x:v>4.5</x:v>
      </x:c>
      <x:c r="R394" s="34" t="n">
        <x:v>0</x:v>
      </x:c>
      <x:c r="S394" s="40" t="b">
        <x:v>1</x:v>
      </x:c>
      <x:c r="T394" s="34" t="str">
        <x:v>model_interpolation</x:v>
      </x:c>
      <x:c r="U394" s="34" t="str">
        <x:v>Linear interpolation from 2026 to 2030</x:v>
      </x:c>
      <x:c r="V394" s="34" t="str">
        <x:v>CAND-7BC738434560A6</x:v>
      </x:c>
      <x:c r="W394" s="34" t="str">
        <x:v>P1</x:v>
      </x:c>
      <x:c r="X394" s="34" t="str">
        <x:v>PORT-7ED23B40E316</x:v>
      </x:c>
      <x:c r="Y394" s="34" t="n">
        <x:v>1000</x:v>
      </x:c>
      <x:c r="Z394" s="34" t="n">
        <x:v>33.399682</x:v>
      </x:c>
      <x:c r="AA394" s="34" t="n">
        <x:v>12.620628</x:v>
      </x:c>
      <x:c r="AB394" s="34" t="n">
        <x:v>414.904229</x:v>
      </x:c>
      <x:c r="AC394" s="34" t="n">
        <x:v>13238.755</x:v>
      </x:c>
      <x:c r="AD394" s="34" t="n">
        <x:v>31.907979</x:v>
      </x:c>
      <x:c r="AE394" s="40" t="b">
        <x:v>1</x:v>
      </x:c>
      <x:c r="AF394" s="40" t="b">
        <x:v>0</x:v>
      </x:c>
      <x:c r="AG394" s="34" t="str"/>
      <x:c r="AH394" s="34" t="n">
        <x:v>0</x:v>
      </x:c>
      <x:c r="AI394" s="34" t="str">
        <x:v>2.0275124185786808e-05</x:v>
      </x:c>
      <x:c r="AJ394" s="40" t="b">
        <x:v>0</x:v>
      </x:c>
      <x:c r="AK394" s="40" t="b">
        <x:v>0</x:v>
      </x:c>
      <x:c r="AL394" s="40" t="b">
        <x:v>1</x:v>
      </x:c>
      <x:c r="AM394" s="40" t="b">
        <x:v>1</x:v>
      </x:c>
      <x:c r="AN394" s="34" t="n">
        <x:v>2035</x:v>
      </x:c>
      <x:c r="AO394" s="34" t="n">
        <x:v>4.530597659999998</x:v>
      </x:c>
      <x:c r="AP394" s="34" t="n">
        <x:v>0</x:v>
      </x:c>
      <x:c r="AQ394" s="34" t="n">
        <x:v>0</x:v>
      </x:c>
      <x:c r="AR394" s="34" t="n">
        <x:v>2</x:v>
      </x:c>
      <x:c r="AS394" s="34" t="n">
        <x:v>3</x:v>
      </x:c>
      <x:c r="AT394" s="34" t="n">
        <x:v>0.3934020479999999</x:v>
      </x:c>
      <x:c r="AU394" s="34" t="n">
        <x:v>0.65</x:v>
      </x:c>
      <x:c r="AV394" s="34" t="n">
        <x:v>1.54</x:v>
      </x:c>
    </x:row>
    <x:row r="395">
      <x:c r="A395" s="34" t="str">
        <x:v>POSCO_KR</x:v>
      </x:c>
      <x:c r="B395" s="34" t="str">
        <x:v>POSCO</x:v>
      </x:c>
      <x:c r="C395" s="34" t="str">
        <x:v>DISCLOSED_PATH</x:v>
      </x:c>
      <x:c r="D395" s="34" t="str">
        <x:v>P1</x:v>
      </x:c>
      <x:c r="E395" s="34" t="n">
        <x:v>2029</x:v>
      </x:c>
      <x:c r="F395" s="34" t="n">
        <x:v>1</x:v>
      </x:c>
      <x:c r="G395" s="34" t="n">
        <x:v>6.839998</x:v>
      </x:c>
      <x:c r="H395" s="34" t="n">
        <x:v>11</x:v>
      </x:c>
      <x:c r="I395" s="34" t="n">
        <x:v>4.160002</x:v>
      </x:c>
      <x:c r="J395" s="34" t="n">
        <x:v>62.182</x:v>
      </x:c>
      <x:c r="K395" s="34" t="n">
        <x:v>0</x:v>
      </x:c>
      <x:c r="L395" s="34" t="n">
        <x:v>0.375</x:v>
      </x:c>
      <x:c r="M395" s="34" t="n">
        <x:v>0.375</x:v>
      </x:c>
      <x:c r="N395" s="34" t="n">
        <x:v>0</x:v>
      </x:c>
      <x:c r="O395" s="34" t="n">
        <x:v>4.255999</x:v>
      </x:c>
      <x:c r="P395" s="34" t="n">
        <x:v>5.75</x:v>
      </x:c>
      <x:c r="Q395" s="34" t="n">
        <x:v>1.494001</x:v>
      </x:c>
      <x:c r="R395" s="34" t="n">
        <x:v>74.017</x:v>
      </x:c>
      <x:c r="S395" s="40" t="b">
        <x:v>1</x:v>
      </x:c>
      <x:c r="T395" s="34" t="str">
        <x:v>model_interpolation</x:v>
      </x:c>
      <x:c r="U395" s="34" t="str">
        <x:v>Linear interpolation from 2026 to 2030</x:v>
      </x:c>
      <x:c r="V395" s="34" t="str">
        <x:v>CAND-7BC738434560A6</x:v>
      </x:c>
      <x:c r="W395" s="34" t="str">
        <x:v>P1</x:v>
      </x:c>
      <x:c r="X395" s="34" t="str">
        <x:v>PORT-7ED23B40E316</x:v>
      </x:c>
      <x:c r="Y395" s="34" t="n">
        <x:v>1000</x:v>
      </x:c>
      <x:c r="Z395" s="34" t="n">
        <x:v>33.399682</x:v>
      </x:c>
      <x:c r="AA395" s="34" t="n">
        <x:v>12.620628</x:v>
      </x:c>
      <x:c r="AB395" s="34" t="n">
        <x:v>414.904229</x:v>
      </x:c>
      <x:c r="AC395" s="34" t="n">
        <x:v>13238.755</x:v>
      </x:c>
      <x:c r="AD395" s="34" t="n">
        <x:v>31.907979</x:v>
      </x:c>
      <x:c r="AE395" s="40" t="b">
        <x:v>1</x:v>
      </x:c>
      <x:c r="AF395" s="40" t="b">
        <x:v>0</x:v>
      </x:c>
      <x:c r="AG395" s="34" t="str"/>
      <x:c r="AH395" s="34" t="n">
        <x:v>0</x:v>
      </x:c>
      <x:c r="AI395" s="34" t="str">
        <x:v>2.0275124185786808e-05</x:v>
      </x:c>
      <x:c r="AJ395" s="40" t="b">
        <x:v>0</x:v>
      </x:c>
      <x:c r="AK395" s="40" t="b">
        <x:v>0</x:v>
      </x:c>
      <x:c r="AL395" s="40" t="b">
        <x:v>1</x:v>
      </x:c>
      <x:c r="AM395" s="40" t="b">
        <x:v>1</x:v>
      </x:c>
      <x:c r="AN395" s="34" t="n">
        <x:v>2035</x:v>
      </x:c>
      <x:c r="AO395" s="34" t="n">
        <x:v>4.530597659999998</x:v>
      </x:c>
      <x:c r="AP395" s="34" t="n">
        <x:v>0</x:v>
      </x:c>
      <x:c r="AQ395" s="34" t="n">
        <x:v>0</x:v>
      </x:c>
      <x:c r="AR395" s="34" t="n">
        <x:v>2</x:v>
      </x:c>
      <x:c r="AS395" s="34" t="n">
        <x:v>3</x:v>
      </x:c>
      <x:c r="AT395" s="34" t="n">
        <x:v>0.3934020479999999</x:v>
      </x:c>
      <x:c r="AU395" s="34" t="n">
        <x:v>0.65</x:v>
      </x:c>
      <x:c r="AV395" s="34" t="n">
        <x:v>1.54</x:v>
      </x:c>
    </x:row>
    <x:row r="396">
      <x:c r="A396" s="34" t="str">
        <x:v>POSCO_KR</x:v>
      </x:c>
      <x:c r="B396" s="34" t="str">
        <x:v>POSCO</x:v>
      </x:c>
      <x:c r="C396" s="34" t="str">
        <x:v>DISCLOSED_PATH</x:v>
      </x:c>
      <x:c r="D396" s="34" t="str">
        <x:v>P1</x:v>
      </x:c>
      <x:c r="E396" s="34" t="n">
        <x:v>2030</x:v>
      </x:c>
      <x:c r="F396" s="34" t="n">
        <x:v>1</x:v>
      </x:c>
      <x:c r="G396" s="34" t="n">
        <x:v>6.839998</x:v>
      </x:c>
      <x:c r="H396" s="34" t="n">
        <x:v>12</x:v>
      </x:c>
      <x:c r="I396" s="34" t="n">
        <x:v>5.160002</x:v>
      </x:c>
      <x:c r="J396" s="34" t="n">
        <x:v>57</x:v>
      </x:c>
      <x:c r="K396" s="34" t="n">
        <x:v>0</x:v>
      </x:c>
      <x:c r="L396" s="34" t="n">
        <x:v>0.5</x:v>
      </x:c>
      <x:c r="M396" s="34" t="n">
        <x:v>0.5</x:v>
      </x:c>
      <x:c r="N396" s="34" t="n">
        <x:v>0</x:v>
      </x:c>
      <x:c r="O396" s="34" t="n">
        <x:v>4.255999</x:v>
      </x:c>
      <x:c r="P396" s="34" t="n">
        <x:v>7</x:v>
      </x:c>
      <x:c r="Q396" s="34" t="n">
        <x:v>2.744001</x:v>
      </x:c>
      <x:c r="R396" s="34" t="n">
        <x:v>60.8</x:v>
      </x:c>
      <x:c r="S396" s="40" t="b">
        <x:v>1</x:v>
      </x:c>
      <x:c r="T396" s="34" t="str">
        <x:v>model_interpolation</x:v>
      </x:c>
      <x:c r="U396" s="34" t="str">
        <x:v>Linear interpolation from 2030 to 2035</x:v>
      </x:c>
      <x:c r="V396" s="34" t="str">
        <x:v>CAND-7BC738434560A6</x:v>
      </x:c>
      <x:c r="W396" s="34" t="str">
        <x:v>P1</x:v>
      </x:c>
      <x:c r="X396" s="34" t="str">
        <x:v>PORT-7ED23B40E316</x:v>
      </x:c>
      <x:c r="Y396" s="34" t="n">
        <x:v>1000</x:v>
      </x:c>
      <x:c r="Z396" s="34" t="n">
        <x:v>33.399682</x:v>
      </x:c>
      <x:c r="AA396" s="34" t="n">
        <x:v>12.620628</x:v>
      </x:c>
      <x:c r="AB396" s="34" t="n">
        <x:v>414.904229</x:v>
      </x:c>
      <x:c r="AC396" s="34" t="n">
        <x:v>13238.755</x:v>
      </x:c>
      <x:c r="AD396" s="34" t="n">
        <x:v>31.907979</x:v>
      </x:c>
      <x:c r="AE396" s="40" t="b">
        <x:v>1</x:v>
      </x:c>
      <x:c r="AF396" s="40" t="b">
        <x:v>0</x:v>
      </x:c>
      <x:c r="AG396" s="34" t="str"/>
      <x:c r="AH396" s="34" t="n">
        <x:v>0</x:v>
      </x:c>
      <x:c r="AI396" s="34" t="str">
        <x:v>2.0275124185786808e-05</x:v>
      </x:c>
      <x:c r="AJ396" s="40" t="b">
        <x:v>0</x:v>
      </x:c>
      <x:c r="AK396" s="40" t="b">
        <x:v>0</x:v>
      </x:c>
      <x:c r="AL396" s="40" t="b">
        <x:v>1</x:v>
      </x:c>
      <x:c r="AM396" s="40" t="b">
        <x:v>1</x:v>
      </x:c>
      <x:c r="AN396" s="34" t="n">
        <x:v>2035</x:v>
      </x:c>
      <x:c r="AO396" s="34" t="n">
        <x:v>4.530597659999998</x:v>
      </x:c>
      <x:c r="AP396" s="34" t="n">
        <x:v>0</x:v>
      </x:c>
      <x:c r="AQ396" s="34" t="n">
        <x:v>0</x:v>
      </x:c>
      <x:c r="AR396" s="34" t="n">
        <x:v>2</x:v>
      </x:c>
      <x:c r="AS396" s="34" t="n">
        <x:v>3</x:v>
      </x:c>
      <x:c r="AT396" s="34" t="n">
        <x:v>0.3934020479999999</x:v>
      </x:c>
      <x:c r="AU396" s="34" t="n">
        <x:v>0.65</x:v>
      </x:c>
      <x:c r="AV396" s="34" t="n">
        <x:v>1.54</x:v>
      </x:c>
    </x:row>
    <x:row r="397">
      <x:c r="A397" s="34" t="str">
        <x:v>POSCO_KR</x:v>
      </x:c>
      <x:c r="B397" s="34" t="str">
        <x:v>POSCO</x:v>
      </x:c>
      <x:c r="C397" s="34" t="str">
        <x:v>DISCLOSED_PATH</x:v>
      </x:c>
      <x:c r="D397" s="34" t="str">
        <x:v>P1</x:v>
      </x:c>
      <x:c r="E397" s="34" t="n">
        <x:v>2031</x:v>
      </x:c>
      <x:c r="F397" s="34" t="n">
        <x:v>1</x:v>
      </x:c>
      <x:c r="G397" s="34" t="n">
        <x:v>6.839998</x:v>
      </x:c>
      <x:c r="H397" s="34" t="n">
        <x:v>13.2</x:v>
      </x:c>
      <x:c r="I397" s="34" t="n">
        <x:v>6.360002</x:v>
      </x:c>
      <x:c r="J397" s="34" t="n">
        <x:v>51.818</x:v>
      </x:c>
      <x:c r="K397" s="34" t="n">
        <x:v>0</x:v>
      </x:c>
      <x:c r="L397" s="34" t="n">
        <x:v>0.7</x:v>
      </x:c>
      <x:c r="M397" s="34" t="n">
        <x:v>0.7</x:v>
      </x:c>
      <x:c r="N397" s="34" t="n">
        <x:v>0</x:v>
      </x:c>
      <x:c r="O397" s="34" t="n">
        <x:v>4.255999</x:v>
      </x:c>
      <x:c r="P397" s="34" t="n">
        <x:v>8.6</x:v>
      </x:c>
      <x:c r="Q397" s="34" t="n">
        <x:v>4.344001</x:v>
      </x:c>
      <x:c r="R397" s="34" t="n">
        <x:v>49.488</x:v>
      </x:c>
      <x:c r="S397" s="40" t="b">
        <x:v>1</x:v>
      </x:c>
      <x:c r="T397" s="34" t="str">
        <x:v>model_interpolation</x:v>
      </x:c>
      <x:c r="U397" s="34" t="str">
        <x:v>Linear interpolation from 2030 to 2035</x:v>
      </x:c>
      <x:c r="V397" s="34" t="str">
        <x:v>CAND-7BC738434560A6</x:v>
      </x:c>
      <x:c r="W397" s="34" t="str">
        <x:v>P1</x:v>
      </x:c>
      <x:c r="X397" s="34" t="str">
        <x:v>PORT-7ED23B40E316</x:v>
      </x:c>
      <x:c r="Y397" s="34" t="n">
        <x:v>1000</x:v>
      </x:c>
      <x:c r="Z397" s="34" t="n">
        <x:v>33.399682</x:v>
      </x:c>
      <x:c r="AA397" s="34" t="n">
        <x:v>12.620628</x:v>
      </x:c>
      <x:c r="AB397" s="34" t="n">
        <x:v>414.904229</x:v>
      </x:c>
      <x:c r="AC397" s="34" t="n">
        <x:v>13238.755</x:v>
      </x:c>
      <x:c r="AD397" s="34" t="n">
        <x:v>31.907979</x:v>
      </x:c>
      <x:c r="AE397" s="40" t="b">
        <x:v>1</x:v>
      </x:c>
      <x:c r="AF397" s="40" t="b">
        <x:v>0</x:v>
      </x:c>
      <x:c r="AG397" s="34" t="str"/>
      <x:c r="AH397" s="34" t="n">
        <x:v>0</x:v>
      </x:c>
      <x:c r="AI397" s="34" t="str">
        <x:v>2.0275124185786808e-05</x:v>
      </x:c>
      <x:c r="AJ397" s="40" t="b">
        <x:v>0</x:v>
      </x:c>
      <x:c r="AK397" s="40" t="b">
        <x:v>0</x:v>
      </x:c>
      <x:c r="AL397" s="40" t="b">
        <x:v>1</x:v>
      </x:c>
      <x:c r="AM397" s="40" t="b">
        <x:v>1</x:v>
      </x:c>
      <x:c r="AN397" s="34" t="n">
        <x:v>2035</x:v>
      </x:c>
      <x:c r="AO397" s="34" t="n">
        <x:v>4.530597659999998</x:v>
      </x:c>
      <x:c r="AP397" s="34" t="n">
        <x:v>0</x:v>
      </x:c>
      <x:c r="AQ397" s="34" t="n">
        <x:v>0</x:v>
      </x:c>
      <x:c r="AR397" s="34" t="n">
        <x:v>2</x:v>
      </x:c>
      <x:c r="AS397" s="34" t="n">
        <x:v>3</x:v>
      </x:c>
      <x:c r="AT397" s="34" t="n">
        <x:v>0.3934020479999999</x:v>
      </x:c>
      <x:c r="AU397" s="34" t="n">
        <x:v>0.65</x:v>
      </x:c>
      <x:c r="AV397" s="34" t="n">
        <x:v>1.54</x:v>
      </x:c>
    </x:row>
    <x:row r="398">
      <x:c r="A398" s="34" t="str">
        <x:v>POSCO_KR</x:v>
      </x:c>
      <x:c r="B398" s="34" t="str">
        <x:v>POSCO</x:v>
      </x:c>
      <x:c r="C398" s="34" t="str">
        <x:v>DISCLOSED_PATH</x:v>
      </x:c>
      <x:c r="D398" s="34" t="str">
        <x:v>P1</x:v>
      </x:c>
      <x:c r="E398" s="34" t="n">
        <x:v>2032</x:v>
      </x:c>
      <x:c r="F398" s="34" t="n">
        <x:v>2</x:v>
      </x:c>
      <x:c r="G398" s="34" t="n">
        <x:v>12.959999</x:v>
      </x:c>
      <x:c r="H398" s="34" t="n">
        <x:v>14.4</x:v>
      </x:c>
      <x:c r="I398" s="34" t="n">
        <x:v>1.440001</x:v>
      </x:c>
      <x:c r="J398" s="34" t="n">
        <x:v>90</x:v>
      </x:c>
      <x:c r="K398" s="34" t="n">
        <x:v>0</x:v>
      </x:c>
      <x:c r="L398" s="34" t="n">
        <x:v>0.9</x:v>
      </x:c>
      <x:c r="M398" s="34" t="n">
        <x:v>0.9</x:v>
      </x:c>
      <x:c r="N398" s="34" t="n">
        <x:v>0</x:v>
      </x:c>
      <x:c r="O398" s="34" t="n">
        <x:v>8.063999</x:v>
      </x:c>
      <x:c r="P398" s="34" t="n">
        <x:v>10.2</x:v>
      </x:c>
      <x:c r="Q398" s="34" t="n">
        <x:v>2.136001</x:v>
      </x:c>
      <x:c r="R398" s="34" t="n">
        <x:v>79.059</x:v>
      </x:c>
      <x:c r="S398" s="40" t="b">
        <x:v>1</x:v>
      </x:c>
      <x:c r="T398" s="34" t="str">
        <x:v>model_interpolation</x:v>
      </x:c>
      <x:c r="U398" s="34" t="str">
        <x:v>Linear interpolation from 2030 to 2035</x:v>
      </x:c>
      <x:c r="V398" s="34" t="str">
        <x:v>CAND-7BC738434560A6</x:v>
      </x:c>
      <x:c r="W398" s="34" t="str">
        <x:v>P1</x:v>
      </x:c>
      <x:c r="X398" s="34" t="str">
        <x:v>PORT-7ED23B40E316</x:v>
      </x:c>
      <x:c r="Y398" s="34" t="n">
        <x:v>1000</x:v>
      </x:c>
      <x:c r="Z398" s="34" t="n">
        <x:v>33.399682</x:v>
      </x:c>
      <x:c r="AA398" s="34" t="n">
        <x:v>12.620628</x:v>
      </x:c>
      <x:c r="AB398" s="34" t="n">
        <x:v>414.904229</x:v>
      </x:c>
      <x:c r="AC398" s="34" t="n">
        <x:v>13238.755</x:v>
      </x:c>
      <x:c r="AD398" s="34" t="n">
        <x:v>31.907979</x:v>
      </x:c>
      <x:c r="AE398" s="40" t="b">
        <x:v>1</x:v>
      </x:c>
      <x:c r="AF398" s="40" t="b">
        <x:v>0</x:v>
      </x:c>
      <x:c r="AG398" s="34" t="str"/>
      <x:c r="AH398" s="34" t="n">
        <x:v>0</x:v>
      </x:c>
      <x:c r="AI398" s="34" t="str">
        <x:v>2.0275124185786808e-05</x:v>
      </x:c>
      <x:c r="AJ398" s="40" t="b">
        <x:v>0</x:v>
      </x:c>
      <x:c r="AK398" s="40" t="b">
        <x:v>0</x:v>
      </x:c>
      <x:c r="AL398" s="40" t="b">
        <x:v>1</x:v>
      </x:c>
      <x:c r="AM398" s="40" t="b">
        <x:v>1</x:v>
      </x:c>
      <x:c r="AN398" s="34" t="n">
        <x:v>2035</x:v>
      </x:c>
      <x:c r="AO398" s="34" t="n">
        <x:v>4.530597659999998</x:v>
      </x:c>
      <x:c r="AP398" s="34" t="n">
        <x:v>0</x:v>
      </x:c>
      <x:c r="AQ398" s="34" t="n">
        <x:v>0</x:v>
      </x:c>
      <x:c r="AR398" s="34" t="n">
        <x:v>2</x:v>
      </x:c>
      <x:c r="AS398" s="34" t="n">
        <x:v>3</x:v>
      </x:c>
      <x:c r="AT398" s="34" t="n">
        <x:v>0.3934020479999999</x:v>
      </x:c>
      <x:c r="AU398" s="34" t="n">
        <x:v>0.65</x:v>
      </x:c>
      <x:c r="AV398" s="34" t="n">
        <x:v>1.54</x:v>
      </x:c>
    </x:row>
    <x:row r="399">
      <x:c r="A399" s="34" t="str">
        <x:v>POSCO_KR</x:v>
      </x:c>
      <x:c r="B399" s="34" t="str">
        <x:v>POSCO</x:v>
      </x:c>
      <x:c r="C399" s="34" t="str">
        <x:v>DISCLOSED_PATH</x:v>
      </x:c>
      <x:c r="D399" s="34" t="str">
        <x:v>P1</x:v>
      </x:c>
      <x:c r="E399" s="34" t="n">
        <x:v>2033</x:v>
      </x:c>
      <x:c r="F399" s="34" t="n">
        <x:v>3</x:v>
      </x:c>
      <x:c r="G399" s="34" t="n">
        <x:v>13.980599</x:v>
      </x:c>
      <x:c r="H399" s="34" t="n">
        <x:v>15.6</x:v>
      </x:c>
      <x:c r="I399" s="34" t="n">
        <x:v>1.619401</x:v>
      </x:c>
      <x:c r="J399" s="34" t="n">
        <x:v>89.619</x:v>
      </x:c>
      <x:c r="K399" s="34" t="n">
        <x:v>0</x:v>
      </x:c>
      <x:c r="L399" s="34" t="n">
        <x:v>1.1</x:v>
      </x:c>
      <x:c r="M399" s="34" t="n">
        <x:v>1.1</x:v>
      </x:c>
      <x:c r="N399" s="34" t="n">
        <x:v>0</x:v>
      </x:c>
      <x:c r="O399" s="34" t="n">
        <x:v>8.132039</x:v>
      </x:c>
      <x:c r="P399" s="34" t="n">
        <x:v>11.8</x:v>
      </x:c>
      <x:c r="Q399" s="34" t="n">
        <x:v>3.667961</x:v>
      </x:c>
      <x:c r="R399" s="34" t="n">
        <x:v>68.916</x:v>
      </x:c>
      <x:c r="S399" s="40" t="b">
        <x:v>1</x:v>
      </x:c>
      <x:c r="T399" s="34" t="str">
        <x:v>model_interpolation</x:v>
      </x:c>
      <x:c r="U399" s="34" t="str">
        <x:v>Linear interpolation from 2030 to 2035</x:v>
      </x:c>
      <x:c r="V399" s="34" t="str">
        <x:v>CAND-7BC738434560A6</x:v>
      </x:c>
      <x:c r="W399" s="34" t="str">
        <x:v>P1</x:v>
      </x:c>
      <x:c r="X399" s="34" t="str">
        <x:v>PORT-7ED23B40E316</x:v>
      </x:c>
      <x:c r="Y399" s="34" t="n">
        <x:v>1000</x:v>
      </x:c>
      <x:c r="Z399" s="34" t="n">
        <x:v>33.399682</x:v>
      </x:c>
      <x:c r="AA399" s="34" t="n">
        <x:v>12.620628</x:v>
      </x:c>
      <x:c r="AB399" s="34" t="n">
        <x:v>414.904229</x:v>
      </x:c>
      <x:c r="AC399" s="34" t="n">
        <x:v>13238.755</x:v>
      </x:c>
      <x:c r="AD399" s="34" t="n">
        <x:v>31.907979</x:v>
      </x:c>
      <x:c r="AE399" s="40" t="b">
        <x:v>1</x:v>
      </x:c>
      <x:c r="AF399" s="40" t="b">
        <x:v>0</x:v>
      </x:c>
      <x:c r="AG399" s="34" t="str"/>
      <x:c r="AH399" s="34" t="n">
        <x:v>0</x:v>
      </x:c>
      <x:c r="AI399" s="34" t="str">
        <x:v>2.0275124185786808e-05</x:v>
      </x:c>
      <x:c r="AJ399" s="40" t="b">
        <x:v>0</x:v>
      </x:c>
      <x:c r="AK399" s="40" t="b">
        <x:v>0</x:v>
      </x:c>
      <x:c r="AL399" s="40" t="b">
        <x:v>1</x:v>
      </x:c>
      <x:c r="AM399" s="40" t="b">
        <x:v>1</x:v>
      </x:c>
      <x:c r="AN399" s="34" t="n">
        <x:v>2035</x:v>
      </x:c>
      <x:c r="AO399" s="34" t="n">
        <x:v>4.530597659999998</x:v>
      </x:c>
      <x:c r="AP399" s="34" t="n">
        <x:v>0</x:v>
      </x:c>
      <x:c r="AQ399" s="34" t="n">
        <x:v>0</x:v>
      </x:c>
      <x:c r="AR399" s="34" t="n">
        <x:v>2</x:v>
      </x:c>
      <x:c r="AS399" s="34" t="n">
        <x:v>3</x:v>
      </x:c>
      <x:c r="AT399" s="34" t="n">
        <x:v>0.3934020479999999</x:v>
      </x:c>
      <x:c r="AU399" s="34" t="n">
        <x:v>0.65</x:v>
      </x:c>
      <x:c r="AV399" s="34" t="n">
        <x:v>1.54</x:v>
      </x:c>
    </x:row>
    <x:row r="400">
      <x:c r="A400" s="34" t="str">
        <x:v>POSCO_KR</x:v>
      </x:c>
      <x:c r="B400" s="34" t="str">
        <x:v>POSCO</x:v>
      </x:c>
      <x:c r="C400" s="34" t="str">
        <x:v>DISCLOSED_PATH</x:v>
      </x:c>
      <x:c r="D400" s="34" t="str">
        <x:v>P1</x:v>
      </x:c>
      <x:c r="E400" s="34" t="n">
        <x:v>2034</x:v>
      </x:c>
      <x:c r="F400" s="34" t="n">
        <x:v>3</x:v>
      </x:c>
      <x:c r="G400" s="34" t="n">
        <x:v>13.980599</x:v>
      </x:c>
      <x:c r="H400" s="34" t="n">
        <x:v>16.8</x:v>
      </x:c>
      <x:c r="I400" s="34" t="n">
        <x:v>2.819401</x:v>
      </x:c>
      <x:c r="J400" s="34" t="n">
        <x:v>83.218</x:v>
      </x:c>
      <x:c r="K400" s="34" t="n">
        <x:v>0</x:v>
      </x:c>
      <x:c r="L400" s="34" t="n">
        <x:v>1.3</x:v>
      </x:c>
      <x:c r="M400" s="34" t="n">
        <x:v>1.3</x:v>
      </x:c>
      <x:c r="N400" s="34" t="n">
        <x:v>0</x:v>
      </x:c>
      <x:c r="O400" s="34" t="n">
        <x:v>8.132039</x:v>
      </x:c>
      <x:c r="P400" s="34" t="n">
        <x:v>13.4</x:v>
      </x:c>
      <x:c r="Q400" s="34" t="n">
        <x:v>5.267961</x:v>
      </x:c>
      <x:c r="R400" s="34" t="n">
        <x:v>60.687</x:v>
      </x:c>
      <x:c r="S400" s="40" t="b">
        <x:v>1</x:v>
      </x:c>
      <x:c r="T400" s="34" t="str">
        <x:v>model_interpolation</x:v>
      </x:c>
      <x:c r="U400" s="34" t="str">
        <x:v>Linear interpolation from 2030 to 2035</x:v>
      </x:c>
      <x:c r="V400" s="34" t="str">
        <x:v>CAND-7BC738434560A6</x:v>
      </x:c>
      <x:c r="W400" s="34" t="str">
        <x:v>P1</x:v>
      </x:c>
      <x:c r="X400" s="34" t="str">
        <x:v>PORT-7ED23B40E316</x:v>
      </x:c>
      <x:c r="Y400" s="34" t="n">
        <x:v>1000</x:v>
      </x:c>
      <x:c r="Z400" s="34" t="n">
        <x:v>33.399682</x:v>
      </x:c>
      <x:c r="AA400" s="34" t="n">
        <x:v>12.620628</x:v>
      </x:c>
      <x:c r="AB400" s="34" t="n">
        <x:v>414.904229</x:v>
      </x:c>
      <x:c r="AC400" s="34" t="n">
        <x:v>13238.755</x:v>
      </x:c>
      <x:c r="AD400" s="34" t="n">
        <x:v>31.907979</x:v>
      </x:c>
      <x:c r="AE400" s="40" t="b">
        <x:v>1</x:v>
      </x:c>
      <x:c r="AF400" s="40" t="b">
        <x:v>0</x:v>
      </x:c>
      <x:c r="AG400" s="34" t="str"/>
      <x:c r="AH400" s="34" t="n">
        <x:v>0</x:v>
      </x:c>
      <x:c r="AI400" s="34" t="str">
        <x:v>2.0275124185786808e-05</x:v>
      </x:c>
      <x:c r="AJ400" s="40" t="b">
        <x:v>0</x:v>
      </x:c>
      <x:c r="AK400" s="40" t="b">
        <x:v>0</x:v>
      </x:c>
      <x:c r="AL400" s="40" t="b">
        <x:v>1</x:v>
      </x:c>
      <x:c r="AM400" s="40" t="b">
        <x:v>1</x:v>
      </x:c>
      <x:c r="AN400" s="34" t="n">
        <x:v>2035</x:v>
      </x:c>
      <x:c r="AO400" s="34" t="n">
        <x:v>4.530597659999998</x:v>
      </x:c>
      <x:c r="AP400" s="34" t="n">
        <x:v>0</x:v>
      </x:c>
      <x:c r="AQ400" s="34" t="n">
        <x:v>0</x:v>
      </x:c>
      <x:c r="AR400" s="34" t="n">
        <x:v>2</x:v>
      </x:c>
      <x:c r="AS400" s="34" t="n">
        <x:v>3</x:v>
      </x:c>
      <x:c r="AT400" s="34" t="n">
        <x:v>0.3934020479999999</x:v>
      </x:c>
      <x:c r="AU400" s="34" t="n">
        <x:v>0.65</x:v>
      </x:c>
      <x:c r="AV400" s="34" t="n">
        <x:v>1.54</x:v>
      </x:c>
    </x:row>
    <x:row r="401">
      <x:c r="A401" s="34" t="str">
        <x:v>POSCO_KR</x:v>
      </x:c>
      <x:c r="B401" s="34" t="str">
        <x:v>POSCO</x:v>
      </x:c>
      <x:c r="C401" s="34" t="str">
        <x:v>DISCLOSED_PATH</x:v>
      </x:c>
      <x:c r="D401" s="34" t="str">
        <x:v>P1</x:v>
      </x:c>
      <x:c r="E401" s="34" t="n">
        <x:v>2035</x:v>
      </x:c>
      <x:c r="F401" s="34" t="n">
        <x:v>4</x:v>
      </x:c>
      <x:c r="G401" s="34" t="n">
        <x:v>22.530598</x:v>
      </x:c>
      <x:c r="H401" s="34" t="n">
        <x:v>18</x:v>
      </x:c>
      <x:c r="I401" s="34" t="n">
        <x:v>-4.530598</x:v>
      </x:c>
      <x:c r="J401" s="34" t="n">
        <x:v>125.17</x:v>
      </x:c>
      <x:c r="K401" s="34" t="n">
        <x:v>0</x:v>
      </x:c>
      <x:c r="L401" s="34" t="n">
        <x:v>1.5</x:v>
      </x:c>
      <x:c r="M401" s="34" t="n">
        <x:v>1.5</x:v>
      </x:c>
      <x:c r="N401" s="34" t="n">
        <x:v>0</x:v>
      </x:c>
      <x:c r="O401" s="34" t="n">
        <x:v>13.547039</x:v>
      </x:c>
      <x:c r="P401" s="34" t="n">
        <x:v>15</x:v>
      </x:c>
      <x:c r="Q401" s="34" t="n">
        <x:v>1.452961</x:v>
      </x:c>
      <x:c r="R401" s="34" t="n">
        <x:v>90.314</x:v>
      </x:c>
      <x:c r="S401" s="40" t="b">
        <x:v>0</x:v>
      </x:c>
      <x:c r="T401" s="34" t="str">
        <x:v>model_interpolation</x:v>
      </x:c>
      <x:c r="U401" s="34" t="str">
        <x:v>Linear interpolation from 2035 to 2040</x:v>
      </x:c>
      <x:c r="V401" s="34" t="str">
        <x:v>CAND-7BC738434560A6</x:v>
      </x:c>
      <x:c r="W401" s="34" t="str">
        <x:v>P1</x:v>
      </x:c>
      <x:c r="X401" s="34" t="str">
        <x:v>PORT-7ED23B40E316</x:v>
      </x:c>
      <x:c r="Y401" s="34" t="n">
        <x:v>1000</x:v>
      </x:c>
      <x:c r="Z401" s="34" t="n">
        <x:v>33.399682</x:v>
      </x:c>
      <x:c r="AA401" s="34" t="n">
        <x:v>12.620628</x:v>
      </x:c>
      <x:c r="AB401" s="34" t="n">
        <x:v>414.904229</x:v>
      </x:c>
      <x:c r="AC401" s="34" t="n">
        <x:v>13238.755</x:v>
      </x:c>
      <x:c r="AD401" s="34" t="n">
        <x:v>31.907979</x:v>
      </x:c>
      <x:c r="AE401" s="40" t="b">
        <x:v>1</x:v>
      </x:c>
      <x:c r="AF401" s="40" t="b">
        <x:v>0</x:v>
      </x:c>
      <x:c r="AG401" s="34" t="str"/>
      <x:c r="AH401" s="34" t="n">
        <x:v>0</x:v>
      </x:c>
      <x:c r="AI401" s="34" t="str">
        <x:v>2.0275124185786808e-05</x:v>
      </x:c>
      <x:c r="AJ401" s="40" t="b">
        <x:v>0</x:v>
      </x:c>
      <x:c r="AK401" s="40" t="b">
        <x:v>0</x:v>
      </x:c>
      <x:c r="AL401" s="40" t="b">
        <x:v>1</x:v>
      </x:c>
      <x:c r="AM401" s="40" t="b">
        <x:v>1</x:v>
      </x:c>
      <x:c r="AN401" s="34" t="n">
        <x:v>2035</x:v>
      </x:c>
      <x:c r="AO401" s="34" t="n">
        <x:v>4.530597659999998</x:v>
      </x:c>
      <x:c r="AP401" s="34" t="n">
        <x:v>0</x:v>
      </x:c>
      <x:c r="AQ401" s="34" t="n">
        <x:v>0</x:v>
      </x:c>
      <x:c r="AR401" s="34" t="n">
        <x:v>2</x:v>
      </x:c>
      <x:c r="AS401" s="34" t="n">
        <x:v>3</x:v>
      </x:c>
      <x:c r="AT401" s="34" t="n">
        <x:v>0.3934020479999999</x:v>
      </x:c>
      <x:c r="AU401" s="34" t="n">
        <x:v>0.65</x:v>
      </x:c>
      <x:c r="AV401" s="34" t="n">
        <x:v>1.54</x:v>
      </x:c>
    </x:row>
    <x:row r="402">
      <x:c r="A402" s="34" t="str">
        <x:v>POSCO_KR</x:v>
      </x:c>
      <x:c r="B402" s="34" t="str">
        <x:v>POSCO</x:v>
      </x:c>
      <x:c r="C402" s="34" t="str">
        <x:v>DISCLOSED_PATH</x:v>
      </x:c>
      <x:c r="D402" s="34" t="str">
        <x:v>P1</x:v>
      </x:c>
      <x:c r="E402" s="34" t="n">
        <x:v>2036</x:v>
      </x:c>
      <x:c r="F402" s="34" t="n">
        <x:v>4</x:v>
      </x:c>
      <x:c r="G402" s="34" t="n">
        <x:v>22.530598</x:v>
      </x:c>
      <x:c r="H402" s="34" t="n">
        <x:v>19.4</x:v>
      </x:c>
      <x:c r="I402" s="34" t="n">
        <x:v>-3.130598</x:v>
      </x:c>
      <x:c r="J402" s="34" t="n">
        <x:v>116.137</x:v>
      </x:c>
      <x:c r="K402" s="34" t="n">
        <x:v>0</x:v>
      </x:c>
      <x:c r="L402" s="34" t="n">
        <x:v>1.8</x:v>
      </x:c>
      <x:c r="M402" s="34" t="n">
        <x:v>1.8</x:v>
      </x:c>
      <x:c r="N402" s="34" t="n">
        <x:v>0</x:v>
      </x:c>
      <x:c r="O402" s="34" t="n">
        <x:v>13.547039</x:v>
      </x:c>
      <x:c r="P402" s="34" t="n">
        <x:v>17</x:v>
      </x:c>
      <x:c r="Q402" s="34" t="n">
        <x:v>3.452961</x:v>
      </x:c>
      <x:c r="R402" s="34" t="n">
        <x:v>79.688</x:v>
      </x:c>
      <x:c r="S402" s="40" t="b">
        <x:v>0</x:v>
      </x:c>
      <x:c r="T402" s="34" t="str">
        <x:v>model_interpolation</x:v>
      </x:c>
      <x:c r="U402" s="34" t="str">
        <x:v>Linear interpolation from 2035 to 2040</x:v>
      </x:c>
      <x:c r="V402" s="34" t="str">
        <x:v>CAND-7BC738434560A6</x:v>
      </x:c>
      <x:c r="W402" s="34" t="str">
        <x:v>P1</x:v>
      </x:c>
      <x:c r="X402" s="34" t="str">
        <x:v>PORT-7ED23B40E316</x:v>
      </x:c>
      <x:c r="Y402" s="34" t="n">
        <x:v>1000</x:v>
      </x:c>
      <x:c r="Z402" s="34" t="n">
        <x:v>33.399682</x:v>
      </x:c>
      <x:c r="AA402" s="34" t="n">
        <x:v>12.620628</x:v>
      </x:c>
      <x:c r="AB402" s="34" t="n">
        <x:v>414.904229</x:v>
      </x:c>
      <x:c r="AC402" s="34" t="n">
        <x:v>13238.755</x:v>
      </x:c>
      <x:c r="AD402" s="34" t="n">
        <x:v>31.907979</x:v>
      </x:c>
      <x:c r="AE402" s="40" t="b">
        <x:v>1</x:v>
      </x:c>
      <x:c r="AF402" s="40" t="b">
        <x:v>0</x:v>
      </x:c>
      <x:c r="AG402" s="34" t="str"/>
      <x:c r="AH402" s="34" t="n">
        <x:v>0</x:v>
      </x:c>
      <x:c r="AI402" s="34" t="str">
        <x:v>2.0275124185786808e-05</x:v>
      </x:c>
      <x:c r="AJ402" s="40" t="b">
        <x:v>0</x:v>
      </x:c>
      <x:c r="AK402" s="40" t="b">
        <x:v>0</x:v>
      </x:c>
      <x:c r="AL402" s="40" t="b">
        <x:v>1</x:v>
      </x:c>
      <x:c r="AM402" s="40" t="b">
        <x:v>1</x:v>
      </x:c>
      <x:c r="AN402" s="34" t="n">
        <x:v>2035</x:v>
      </x:c>
      <x:c r="AO402" s="34" t="n">
        <x:v>4.530597659999998</x:v>
      </x:c>
      <x:c r="AP402" s="34" t="n">
        <x:v>0</x:v>
      </x:c>
      <x:c r="AQ402" s="34" t="n">
        <x:v>0</x:v>
      </x:c>
      <x:c r="AR402" s="34" t="n">
        <x:v>2</x:v>
      </x:c>
      <x:c r="AS402" s="34" t="n">
        <x:v>3</x:v>
      </x:c>
      <x:c r="AT402" s="34" t="n">
        <x:v>0.3934020479999999</x:v>
      </x:c>
      <x:c r="AU402" s="34" t="n">
        <x:v>0.65</x:v>
      </x:c>
      <x:c r="AV402" s="34" t="n">
        <x:v>1.54</x:v>
      </x:c>
    </x:row>
    <x:row r="403">
      <x:c r="A403" s="34" t="str">
        <x:v>POSCO_KR</x:v>
      </x:c>
      <x:c r="B403" s="34" t="str">
        <x:v>POSCO</x:v>
      </x:c>
      <x:c r="C403" s="34" t="str">
        <x:v>DISCLOSED_PATH</x:v>
      </x:c>
      <x:c r="D403" s="34" t="str">
        <x:v>P1</x:v>
      </x:c>
      <x:c r="E403" s="34" t="n">
        <x:v>2037</x:v>
      </x:c>
      <x:c r="F403" s="34" t="n">
        <x:v>5</x:v>
      </x:c>
      <x:c r="G403" s="34" t="n">
        <x:v>23.956047</x:v>
      </x:c>
      <x:c r="H403" s="34" t="n">
        <x:v>20.8</x:v>
      </x:c>
      <x:c r="I403" s="34" t="n">
        <x:v>-3.156047</x:v>
      </x:c>
      <x:c r="J403" s="34" t="n">
        <x:v>115.173</x:v>
      </x:c>
      <x:c r="K403" s="34" t="n">
        <x:v>0.522665</x:v>
      </x:c>
      <x:c r="L403" s="34" t="n">
        <x:v>2.1</x:v>
      </x:c>
      <x:c r="M403" s="34" t="n">
        <x:v>1.577335</x:v>
      </x:c>
      <x:c r="N403" s="34" t="n">
        <x:v>24.889</x:v>
      </x:c>
      <x:c r="O403" s="34" t="n">
        <x:v>18.013447</x:v>
      </x:c>
      <x:c r="P403" s="34" t="n">
        <x:v>19</x:v>
      </x:c>
      <x:c r="Q403" s="34" t="n">
        <x:v>0.986553</x:v>
      </x:c>
      <x:c r="R403" s="34" t="n">
        <x:v>94.808</x:v>
      </x:c>
      <x:c r="S403" s="40" t="b">
        <x:v>0</x:v>
      </x:c>
      <x:c r="T403" s="34" t="str">
        <x:v>model_interpolation</x:v>
      </x:c>
      <x:c r="U403" s="34" t="str">
        <x:v>Linear interpolation from 2035 to 2040</x:v>
      </x:c>
      <x:c r="V403" s="34" t="str">
        <x:v>CAND-7BC738434560A6</x:v>
      </x:c>
      <x:c r="W403" s="34" t="str">
        <x:v>P1</x:v>
      </x:c>
      <x:c r="X403" s="34" t="str">
        <x:v>PORT-7ED23B40E316</x:v>
      </x:c>
      <x:c r="Y403" s="34" t="n">
        <x:v>1000</x:v>
      </x:c>
      <x:c r="Z403" s="34" t="n">
        <x:v>33.399682</x:v>
      </x:c>
      <x:c r="AA403" s="34" t="n">
        <x:v>12.620628</x:v>
      </x:c>
      <x:c r="AB403" s="34" t="n">
        <x:v>414.904229</x:v>
      </x:c>
      <x:c r="AC403" s="34" t="n">
        <x:v>13238.755</x:v>
      </x:c>
      <x:c r="AD403" s="34" t="n">
        <x:v>31.907979</x:v>
      </x:c>
      <x:c r="AE403" s="40" t="b">
        <x:v>1</x:v>
      </x:c>
      <x:c r="AF403" s="40" t="b">
        <x:v>0</x:v>
      </x:c>
      <x:c r="AG403" s="34" t="str"/>
      <x:c r="AH403" s="34" t="n">
        <x:v>0</x:v>
      </x:c>
      <x:c r="AI403" s="34" t="str">
        <x:v>2.0275124185786808e-05</x:v>
      </x:c>
      <x:c r="AJ403" s="40" t="b">
        <x:v>0</x:v>
      </x:c>
      <x:c r="AK403" s="40" t="b">
        <x:v>0</x:v>
      </x:c>
      <x:c r="AL403" s="40" t="b">
        <x:v>1</x:v>
      </x:c>
      <x:c r="AM403" s="40" t="b">
        <x:v>1</x:v>
      </x:c>
      <x:c r="AN403" s="34" t="n">
        <x:v>2035</x:v>
      </x:c>
      <x:c r="AO403" s="34" t="n">
        <x:v>4.530597659999998</x:v>
      </x:c>
      <x:c r="AP403" s="34" t="n">
        <x:v>0</x:v>
      </x:c>
      <x:c r="AQ403" s="34" t="n">
        <x:v>0</x:v>
      </x:c>
      <x:c r="AR403" s="34" t="n">
        <x:v>2</x:v>
      </x:c>
      <x:c r="AS403" s="34" t="n">
        <x:v>3</x:v>
      </x:c>
      <x:c r="AT403" s="34" t="n">
        <x:v>0.3934020479999999</x:v>
      </x:c>
      <x:c r="AU403" s="34" t="n">
        <x:v>0.65</x:v>
      </x:c>
      <x:c r="AV403" s="34" t="n">
        <x:v>1.54</x:v>
      </x:c>
    </x:row>
    <x:row r="404">
      <x:c r="A404" s="34" t="str">
        <x:v>POSCO_KR</x:v>
      </x:c>
      <x:c r="B404" s="34" t="str">
        <x:v>POSCO</x:v>
      </x:c>
      <x:c r="C404" s="34" t="str">
        <x:v>DISCLOSED_PATH</x:v>
      </x:c>
      <x:c r="D404" s="34" t="str">
        <x:v>P1</x:v>
      </x:c>
      <x:c r="E404" s="34" t="n">
        <x:v>2038</x:v>
      </x:c>
      <x:c r="F404" s="34" t="n">
        <x:v>5</x:v>
      </x:c>
      <x:c r="G404" s="34" t="n">
        <x:v>23.956047</x:v>
      </x:c>
      <x:c r="H404" s="34" t="n">
        <x:v>22.2</x:v>
      </x:c>
      <x:c r="I404" s="34" t="n">
        <x:v>-1.756047</x:v>
      </x:c>
      <x:c r="J404" s="34" t="n">
        <x:v>107.91</x:v>
      </x:c>
      <x:c r="K404" s="34" t="n">
        <x:v>0.522665</x:v>
      </x:c>
      <x:c r="L404" s="34" t="n">
        <x:v>2.4</x:v>
      </x:c>
      <x:c r="M404" s="34" t="n">
        <x:v>1.877335</x:v>
      </x:c>
      <x:c r="N404" s="34" t="n">
        <x:v>21.778</x:v>
      </x:c>
      <x:c r="O404" s="34" t="n">
        <x:v>18.013447</x:v>
      </x:c>
      <x:c r="P404" s="34" t="n">
        <x:v>21</x:v>
      </x:c>
      <x:c r="Q404" s="34" t="n">
        <x:v>2.986553</x:v>
      </x:c>
      <x:c r="R404" s="34" t="n">
        <x:v>85.778</x:v>
      </x:c>
      <x:c r="S404" s="40" t="b">
        <x:v>0</x:v>
      </x:c>
      <x:c r="T404" s="34" t="str">
        <x:v>model_interpolation</x:v>
      </x:c>
      <x:c r="U404" s="34" t="str">
        <x:v>Linear interpolation from 2035 to 2040</x:v>
      </x:c>
      <x:c r="V404" s="34" t="str">
        <x:v>CAND-7BC738434560A6</x:v>
      </x:c>
      <x:c r="W404" s="34" t="str">
        <x:v>P1</x:v>
      </x:c>
      <x:c r="X404" s="34" t="str">
        <x:v>PORT-7ED23B40E316</x:v>
      </x:c>
      <x:c r="Y404" s="34" t="n">
        <x:v>1000</x:v>
      </x:c>
      <x:c r="Z404" s="34" t="n">
        <x:v>33.399682</x:v>
      </x:c>
      <x:c r="AA404" s="34" t="n">
        <x:v>12.620628</x:v>
      </x:c>
      <x:c r="AB404" s="34" t="n">
        <x:v>414.904229</x:v>
      </x:c>
      <x:c r="AC404" s="34" t="n">
        <x:v>13238.755</x:v>
      </x:c>
      <x:c r="AD404" s="34" t="n">
        <x:v>31.907979</x:v>
      </x:c>
      <x:c r="AE404" s="40" t="b">
        <x:v>1</x:v>
      </x:c>
      <x:c r="AF404" s="40" t="b">
        <x:v>0</x:v>
      </x:c>
      <x:c r="AG404" s="34" t="str"/>
      <x:c r="AH404" s="34" t="n">
        <x:v>0</x:v>
      </x:c>
      <x:c r="AI404" s="34" t="str">
        <x:v>2.0275124185786808e-05</x:v>
      </x:c>
      <x:c r="AJ404" s="40" t="b">
        <x:v>0</x:v>
      </x:c>
      <x:c r="AK404" s="40" t="b">
        <x:v>0</x:v>
      </x:c>
      <x:c r="AL404" s="40" t="b">
        <x:v>1</x:v>
      </x:c>
      <x:c r="AM404" s="40" t="b">
        <x:v>1</x:v>
      </x:c>
      <x:c r="AN404" s="34" t="n">
        <x:v>2035</x:v>
      </x:c>
      <x:c r="AO404" s="34" t="n">
        <x:v>4.530597659999998</x:v>
      </x:c>
      <x:c r="AP404" s="34" t="n">
        <x:v>0</x:v>
      </x:c>
      <x:c r="AQ404" s="34" t="n">
        <x:v>0</x:v>
      </x:c>
      <x:c r="AR404" s="34" t="n">
        <x:v>2</x:v>
      </x:c>
      <x:c r="AS404" s="34" t="n">
        <x:v>3</x:v>
      </x:c>
      <x:c r="AT404" s="34" t="n">
        <x:v>0.3934020479999999</x:v>
      </x:c>
      <x:c r="AU404" s="34" t="n">
        <x:v>0.65</x:v>
      </x:c>
      <x:c r="AV404" s="34" t="n">
        <x:v>1.54</x:v>
      </x:c>
    </x:row>
    <x:row r="405">
      <x:c r="A405" s="34" t="str">
        <x:v>POSCO_KR</x:v>
      </x:c>
      <x:c r="B405" s="34" t="str">
        <x:v>POSCO</x:v>
      </x:c>
      <x:c r="C405" s="34" t="str">
        <x:v>DISCLOSED_PATH</x:v>
      </x:c>
      <x:c r="D405" s="34" t="str">
        <x:v>P1</x:v>
      </x:c>
      <x:c r="E405" s="34" t="n">
        <x:v>2039</x:v>
      </x:c>
      <x:c r="F405" s="34" t="n">
        <x:v>5</x:v>
      </x:c>
      <x:c r="G405" s="34" t="n">
        <x:v>23.956047</x:v>
      </x:c>
      <x:c r="H405" s="34" t="n">
        <x:v>23.6</x:v>
      </x:c>
      <x:c r="I405" s="34" t="n">
        <x:v>-0.356047</x:v>
      </x:c>
      <x:c r="J405" s="34" t="n">
        <x:v>101.509</x:v>
      </x:c>
      <x:c r="K405" s="34" t="n">
        <x:v>0.522665</x:v>
      </x:c>
      <x:c r="L405" s="34" t="n">
        <x:v>2.7</x:v>
      </x:c>
      <x:c r="M405" s="34" t="n">
        <x:v>2.177335</x:v>
      </x:c>
      <x:c r="N405" s="34" t="n">
        <x:v>19.358</x:v>
      </x:c>
      <x:c r="O405" s="34" t="n">
        <x:v>18.013447</x:v>
      </x:c>
      <x:c r="P405" s="34" t="n">
        <x:v>23</x:v>
      </x:c>
      <x:c r="Q405" s="34" t="n">
        <x:v>4.986553</x:v>
      </x:c>
      <x:c r="R405" s="34" t="n">
        <x:v>78.319</x:v>
      </x:c>
      <x:c r="S405" s="40" t="b">
        <x:v>0</x:v>
      </x:c>
      <x:c r="T405" s="34" t="str">
        <x:v>model_interpolation</x:v>
      </x:c>
      <x:c r="U405" s="34" t="str">
        <x:v>Linear interpolation from 2035 to 2040</x:v>
      </x:c>
      <x:c r="V405" s="34" t="str">
        <x:v>CAND-7BC738434560A6</x:v>
      </x:c>
      <x:c r="W405" s="34" t="str">
        <x:v>P1</x:v>
      </x:c>
      <x:c r="X405" s="34" t="str">
        <x:v>PORT-7ED23B40E316</x:v>
      </x:c>
      <x:c r="Y405" s="34" t="n">
        <x:v>1000</x:v>
      </x:c>
      <x:c r="Z405" s="34" t="n">
        <x:v>33.399682</x:v>
      </x:c>
      <x:c r="AA405" s="34" t="n">
        <x:v>12.620628</x:v>
      </x:c>
      <x:c r="AB405" s="34" t="n">
        <x:v>414.904229</x:v>
      </x:c>
      <x:c r="AC405" s="34" t="n">
        <x:v>13238.755</x:v>
      </x:c>
      <x:c r="AD405" s="34" t="n">
        <x:v>31.907979</x:v>
      </x:c>
      <x:c r="AE405" s="40" t="b">
        <x:v>1</x:v>
      </x:c>
      <x:c r="AF405" s="40" t="b">
        <x:v>0</x:v>
      </x:c>
      <x:c r="AG405" s="34" t="str"/>
      <x:c r="AH405" s="34" t="n">
        <x:v>0</x:v>
      </x:c>
      <x:c r="AI405" s="34" t="str">
        <x:v>2.0275124185786808e-05</x:v>
      </x:c>
      <x:c r="AJ405" s="40" t="b">
        <x:v>0</x:v>
      </x:c>
      <x:c r="AK405" s="40" t="b">
        <x:v>0</x:v>
      </x:c>
      <x:c r="AL405" s="40" t="b">
        <x:v>1</x:v>
      </x:c>
      <x:c r="AM405" s="40" t="b">
        <x:v>1</x:v>
      </x:c>
      <x:c r="AN405" s="34" t="n">
        <x:v>2035</x:v>
      </x:c>
      <x:c r="AO405" s="34" t="n">
        <x:v>4.530597659999998</x:v>
      </x:c>
      <x:c r="AP405" s="34" t="n">
        <x:v>0</x:v>
      </x:c>
      <x:c r="AQ405" s="34" t="n">
        <x:v>0</x:v>
      </x:c>
      <x:c r="AR405" s="34" t="n">
        <x:v>2</x:v>
      </x:c>
      <x:c r="AS405" s="34" t="n">
        <x:v>3</x:v>
      </x:c>
      <x:c r="AT405" s="34" t="n">
        <x:v>0.3934020479999999</x:v>
      </x:c>
      <x:c r="AU405" s="34" t="n">
        <x:v>0.65</x:v>
      </x:c>
      <x:c r="AV405" s="34" t="n">
        <x:v>1.54</x:v>
      </x:c>
    </x:row>
    <x:row r="406">
      <x:c r="A406" s="34" t="str">
        <x:v>POSCO_KR</x:v>
      </x:c>
      <x:c r="B406" s="34" t="str">
        <x:v>POSCO</x:v>
      </x:c>
      <x:c r="C406" s="34" t="str">
        <x:v>DISCLOSED_PATH</x:v>
      </x:c>
      <x:c r="D406" s="34" t="str">
        <x:v>P1</x:v>
      </x:c>
      <x:c r="E406" s="34" t="n">
        <x:v>2040</x:v>
      </x:c>
      <x:c r="F406" s="34" t="n">
        <x:v>5</x:v>
      </x:c>
      <x:c r="G406" s="34" t="n">
        <x:v>23.956047</x:v>
      </x:c>
      <x:c r="H406" s="34" t="n">
        <x:v>25</x:v>
      </x:c>
      <x:c r="I406" s="34" t="n">
        <x:v>1.043953</x:v>
      </x:c>
      <x:c r="J406" s="34" t="n">
        <x:v>95.824</x:v>
      </x:c>
      <x:c r="K406" s="34" t="n">
        <x:v>0.522665</x:v>
      </x:c>
      <x:c r="L406" s="34" t="n">
        <x:v>3</x:v>
      </x:c>
      <x:c r="M406" s="34" t="n">
        <x:v>2.477335</x:v>
      </x:c>
      <x:c r="N406" s="34" t="n">
        <x:v>17.422</x:v>
      </x:c>
      <x:c r="O406" s="34" t="n">
        <x:v>18.013447</x:v>
      </x:c>
      <x:c r="P406" s="34" t="n">
        <x:v>25</x:v>
      </x:c>
      <x:c r="Q406" s="34" t="n">
        <x:v>6.986553</x:v>
      </x:c>
      <x:c r="R406" s="34" t="n">
        <x:v>72.054</x:v>
      </x:c>
      <x:c r="S406" s="40" t="b">
        <x:v>1</x:v>
      </x:c>
      <x:c r="T406" s="34" t="str">
        <x:v>model_estimate</x:v>
      </x:c>
      <x:c r="U406" s="34" t="str">
        <x:v>Illustrative screening envelope; not an official supply forecast</x:v>
      </x:c>
      <x:c r="V406" s="34" t="str">
        <x:v>CAND-7BC738434560A6</x:v>
      </x:c>
      <x:c r="W406" s="34" t="str">
        <x:v>P1</x:v>
      </x:c>
      <x:c r="X406" s="34" t="str">
        <x:v>PORT-7ED23B40E316</x:v>
      </x:c>
      <x:c r="Y406" s="34" t="n">
        <x:v>1000</x:v>
      </x:c>
      <x:c r="Z406" s="34" t="n">
        <x:v>33.399682</x:v>
      </x:c>
      <x:c r="AA406" s="34" t="n">
        <x:v>12.620628</x:v>
      </x:c>
      <x:c r="AB406" s="34" t="n">
        <x:v>414.904229</x:v>
      </x:c>
      <x:c r="AC406" s="34" t="n">
        <x:v>13238.755</x:v>
      </x:c>
      <x:c r="AD406" s="34" t="n">
        <x:v>31.907979</x:v>
      </x:c>
      <x:c r="AE406" s="40" t="b">
        <x:v>1</x:v>
      </x:c>
      <x:c r="AF406" s="40" t="b">
        <x:v>0</x:v>
      </x:c>
      <x:c r="AG406" s="34" t="str"/>
      <x:c r="AH406" s="34" t="n">
        <x:v>0</x:v>
      </x:c>
      <x:c r="AI406" s="34" t="str">
        <x:v>2.0275124185786808e-05</x:v>
      </x:c>
      <x:c r="AJ406" s="40" t="b">
        <x:v>0</x:v>
      </x:c>
      <x:c r="AK406" s="40" t="b">
        <x:v>0</x:v>
      </x:c>
      <x:c r="AL406" s="40" t="b">
        <x:v>1</x:v>
      </x:c>
      <x:c r="AM406" s="40" t="b">
        <x:v>1</x:v>
      </x:c>
      <x:c r="AN406" s="34" t="n">
        <x:v>2035</x:v>
      </x:c>
      <x:c r="AO406" s="34" t="n">
        <x:v>4.530597659999998</x:v>
      </x:c>
      <x:c r="AP406" s="34" t="n">
        <x:v>0</x:v>
      </x:c>
      <x:c r="AQ406" s="34" t="n">
        <x:v>0</x:v>
      </x:c>
      <x:c r="AR406" s="34" t="n">
        <x:v>2</x:v>
      </x:c>
      <x:c r="AS406" s="34" t="n">
        <x:v>3</x:v>
      </x:c>
      <x:c r="AT406" s="34" t="n">
        <x:v>0.3934020479999999</x:v>
      </x:c>
      <x:c r="AU406" s="34" t="n">
        <x:v>0.65</x:v>
      </x:c>
      <x:c r="AV406" s="34" t="n">
        <x:v>1.54</x:v>
      </x:c>
    </x:row>
    <x:row r="407">
      <x:c r="A407" s="34" t="str">
        <x:v>POSCO_KR</x:v>
      </x:c>
      <x:c r="B407" s="34" t="str">
        <x:v>POSCO</x:v>
      </x:c>
      <x:c r="C407" s="34" t="str">
        <x:v>ACCELERATED_15C</x:v>
      </x:c>
      <x:c r="D407" s="34" t="str">
        <x:v>P1</x:v>
      </x:c>
      <x:c r="E407" s="34" t="n">
        <x:v>2026</x:v>
      </x:c>
      <x:c r="F407" s="34" t="n">
        <x:v>0</x:v>
      </x:c>
      <x:c r="G407" s="34" t="n">
        <x:v>0</x:v>
      </x:c>
      <x:c r="H407" s="34" t="n">
        <x:v>8</x:v>
      </x:c>
      <x:c r="I407" s="34" t="n">
        <x:v>8</x:v>
      </x:c>
      <x:c r="J407" s="34" t="n">
        <x:v>0</x:v>
      </x:c>
      <x:c r="K407" s="34" t="n">
        <x:v>0</x:v>
      </x:c>
      <x:c r="L407" s="34" t="n">
        <x:v>0.1</x:v>
      </x:c>
      <x:c r="M407" s="34" t="n">
        <x:v>0.1</x:v>
      </x:c>
      <x:c r="N407" s="34" t="n">
        <x:v>0</x:v>
      </x:c>
      <x:c r="O407" s="34" t="n">
        <x:v>0</x:v>
      </x:c>
      <x:c r="P407" s="34" t="n">
        <x:v>2</x:v>
      </x:c>
      <x:c r="Q407" s="34" t="n">
        <x:v>2</x:v>
      </x:c>
      <x:c r="R407" s="34" t="n">
        <x:v>0</x:v>
      </x:c>
      <x:c r="S407" s="40" t="b">
        <x:v>1</x:v>
      </x:c>
      <x:c r="T407" s="34" t="str">
        <x:v>model_interpolation</x:v>
      </x:c>
      <x:c r="U407" s="34" t="str">
        <x:v>Linear interpolation from 2026 to 2030</x:v>
      </x:c>
      <x:c r="V407" s="34" t="str">
        <x:v>CAND-7BC738434560A6</x:v>
      </x:c>
      <x:c r="W407" s="34" t="str">
        <x:v>P1</x:v>
      </x:c>
      <x:c r="X407" s="34" t="str">
        <x:v>PORT-7ED23B40E316</x:v>
      </x:c>
      <x:c r="Y407" s="34" t="n">
        <x:v>1000</x:v>
      </x:c>
      <x:c r="Z407" s="34" t="n">
        <x:v>19.912146</x:v>
      </x:c>
      <x:c r="AA407" s="34" t="n">
        <x:v>13.917368</x:v>
      </x:c>
      <x:c r="AB407" s="34" t="n">
        <x:v>414.904229</x:v>
      </x:c>
      <x:c r="AC407" s="34" t="n">
        <x:v>7673.246</x:v>
      </x:c>
      <x:c r="AD407" s="34" t="n">
        <x:v>18.494018</x:v>
      </x:c>
      <x:c r="AE407" s="40" t="b">
        <x:v>1</x:v>
      </x:c>
      <x:c r="AF407" s="40" t="b">
        <x:v>1</x:v>
      </x:c>
      <x:c r="AG407" s="34" t="str"/>
      <x:c r="AH407" s="34" t="n">
        <x:v>0</x:v>
      </x:c>
      <x:c r="AI407" s="34" t="str">
        <x:v>2.0275124185786808e-05</x:v>
      </x:c>
      <x:c r="AJ407" s="40" t="b">
        <x:v>1</x:v>
      </x:c>
      <x:c r="AK407" s="40" t="b">
        <x:v>1</x:v>
      </x:c>
      <x:c r="AL407" s="40" t="b">
        <x:v>1</x:v>
      </x:c>
      <x:c r="AM407" s="40" t="b">
        <x:v>1</x:v>
      </x:c>
      <x:c r="AN407" s="34" t="str"/>
      <x:c r="AO407" s="34" t="n">
        <x:v>0</x:v>
      </x:c>
      <x:c r="AP407" s="34" t="n">
        <x:v>0</x:v>
      </x:c>
      <x:c r="AQ407" s="34" t="n">
        <x:v>0</x:v>
      </x:c>
      <x:c r="AR407" s="34" t="n">
        <x:v>2</x:v>
      </x:c>
      <x:c r="AS407" s="34" t="n">
        <x:v>3</x:v>
      </x:c>
      <x:c r="AT407" s="34" t="n">
        <x:v>0.3934020479999999</x:v>
      </x:c>
      <x:c r="AU407" s="34" t="n">
        <x:v>0.65</x:v>
      </x:c>
      <x:c r="AV407" s="34" t="n">
        <x:v>1.54</x:v>
      </x:c>
    </x:row>
    <x:row r="408">
      <x:c r="A408" s="34" t="str">
        <x:v>POSCO_KR</x:v>
      </x:c>
      <x:c r="B408" s="34" t="str">
        <x:v>POSCO</x:v>
      </x:c>
      <x:c r="C408" s="34" t="str">
        <x:v>ACCELERATED_15C</x:v>
      </x:c>
      <x:c r="D408" s="34" t="str">
        <x:v>P1</x:v>
      </x:c>
      <x:c r="E408" s="34" t="n">
        <x:v>2027</x:v>
      </x:c>
      <x:c r="F408" s="34" t="n">
        <x:v>0</x:v>
      </x:c>
      <x:c r="G408" s="34" t="n">
        <x:v>0</x:v>
      </x:c>
      <x:c r="H408" s="34" t="n">
        <x:v>9.75</x:v>
      </x:c>
      <x:c r="I408" s="34" t="n">
        <x:v>9.75</x:v>
      </x:c>
      <x:c r="J408" s="34" t="n">
        <x:v>0</x:v>
      </x:c>
      <x:c r="K408" s="34" t="n">
        <x:v>0</x:v>
      </x:c>
      <x:c r="L408" s="34" t="n">
        <x:v>0.275</x:v>
      </x:c>
      <x:c r="M408" s="34" t="n">
        <x:v>0.275</x:v>
      </x:c>
      <x:c r="N408" s="34" t="n">
        <x:v>0</x:v>
      </x:c>
      <x:c r="O408" s="34" t="n">
        <x:v>0</x:v>
      </x:c>
      <x:c r="P408" s="34" t="n">
        <x:v>4</x:v>
      </x:c>
      <x:c r="Q408" s="34" t="n">
        <x:v>4</x:v>
      </x:c>
      <x:c r="R408" s="34" t="n">
        <x:v>0</x:v>
      </x:c>
      <x:c r="S408" s="40" t="b">
        <x:v>1</x:v>
      </x:c>
      <x:c r="T408" s="34" t="str">
        <x:v>model_interpolation</x:v>
      </x:c>
      <x:c r="U408" s="34" t="str">
        <x:v>Linear interpolation from 2026 to 2030</x:v>
      </x:c>
      <x:c r="V408" s="34" t="str">
        <x:v>CAND-7BC738434560A6</x:v>
      </x:c>
      <x:c r="W408" s="34" t="str">
        <x:v>P1</x:v>
      </x:c>
      <x:c r="X408" s="34" t="str">
        <x:v>PORT-7ED23B40E316</x:v>
      </x:c>
      <x:c r="Y408" s="34" t="n">
        <x:v>1000</x:v>
      </x:c>
      <x:c r="Z408" s="34" t="n">
        <x:v>19.912146</x:v>
      </x:c>
      <x:c r="AA408" s="34" t="n">
        <x:v>13.917368</x:v>
      </x:c>
      <x:c r="AB408" s="34" t="n">
        <x:v>414.904229</x:v>
      </x:c>
      <x:c r="AC408" s="34" t="n">
        <x:v>7673.246</x:v>
      </x:c>
      <x:c r="AD408" s="34" t="n">
        <x:v>18.494018</x:v>
      </x:c>
      <x:c r="AE408" s="40" t="b">
        <x:v>1</x:v>
      </x:c>
      <x:c r="AF408" s="40" t="b">
        <x:v>1</x:v>
      </x:c>
      <x:c r="AG408" s="34" t="str"/>
      <x:c r="AH408" s="34" t="n">
        <x:v>0</x:v>
      </x:c>
      <x:c r="AI408" s="34" t="str">
        <x:v>2.0275124185786808e-05</x:v>
      </x:c>
      <x:c r="AJ408" s="40" t="b">
        <x:v>1</x:v>
      </x:c>
      <x:c r="AK408" s="40" t="b">
        <x:v>1</x:v>
      </x:c>
      <x:c r="AL408" s="40" t="b">
        <x:v>1</x:v>
      </x:c>
      <x:c r="AM408" s="40" t="b">
        <x:v>1</x:v>
      </x:c>
      <x:c r="AN408" s="34" t="str"/>
      <x:c r="AO408" s="34" t="n">
        <x:v>0</x:v>
      </x:c>
      <x:c r="AP408" s="34" t="n">
        <x:v>0</x:v>
      </x:c>
      <x:c r="AQ408" s="34" t="n">
        <x:v>0</x:v>
      </x:c>
      <x:c r="AR408" s="34" t="n">
        <x:v>2</x:v>
      </x:c>
      <x:c r="AS408" s="34" t="n">
        <x:v>3</x:v>
      </x:c>
      <x:c r="AT408" s="34" t="n">
        <x:v>0.3934020479999999</x:v>
      </x:c>
      <x:c r="AU408" s="34" t="n">
        <x:v>0.65</x:v>
      </x:c>
      <x:c r="AV408" s="34" t="n">
        <x:v>1.54</x:v>
      </x:c>
    </x:row>
    <x:row r="409">
      <x:c r="A409" s="34" t="str">
        <x:v>POSCO_KR</x:v>
      </x:c>
      <x:c r="B409" s="34" t="str">
        <x:v>POSCO</x:v>
      </x:c>
      <x:c r="C409" s="34" t="str">
        <x:v>ACCELERATED_15C</x:v>
      </x:c>
      <x:c r="D409" s="34" t="str">
        <x:v>P1</x:v>
      </x:c>
      <x:c r="E409" s="34" t="n">
        <x:v>2028</x:v>
      </x:c>
      <x:c r="F409" s="34" t="n">
        <x:v>0</x:v>
      </x:c>
      <x:c r="G409" s="34" t="n">
        <x:v>0</x:v>
      </x:c>
      <x:c r="H409" s="34" t="n">
        <x:v>11.5</x:v>
      </x:c>
      <x:c r="I409" s="34" t="n">
        <x:v>11.5</x:v>
      </x:c>
      <x:c r="J409" s="34" t="n">
        <x:v>0</x:v>
      </x:c>
      <x:c r="K409" s="34" t="n">
        <x:v>0</x:v>
      </x:c>
      <x:c r="L409" s="34" t="n">
        <x:v>0.45000000000000007</x:v>
      </x:c>
      <x:c r="M409" s="34" t="n">
        <x:v>0.45</x:v>
      </x:c>
      <x:c r="N409" s="34" t="n">
        <x:v>0</x:v>
      </x:c>
      <x:c r="O409" s="34" t="n">
        <x:v>0</x:v>
      </x:c>
      <x:c r="P409" s="34" t="n">
        <x:v>6</x:v>
      </x:c>
      <x:c r="Q409" s="34" t="n">
        <x:v>6</x:v>
      </x:c>
      <x:c r="R409" s="34" t="n">
        <x:v>0</x:v>
      </x:c>
      <x:c r="S409" s="40" t="b">
        <x:v>1</x:v>
      </x:c>
      <x:c r="T409" s="34" t="str">
        <x:v>model_interpolation</x:v>
      </x:c>
      <x:c r="U409" s="34" t="str">
        <x:v>Linear interpolation from 2026 to 2030</x:v>
      </x:c>
      <x:c r="V409" s="34" t="str">
        <x:v>CAND-7BC738434560A6</x:v>
      </x:c>
      <x:c r="W409" s="34" t="str">
        <x:v>P1</x:v>
      </x:c>
      <x:c r="X409" s="34" t="str">
        <x:v>PORT-7ED23B40E316</x:v>
      </x:c>
      <x:c r="Y409" s="34" t="n">
        <x:v>1000</x:v>
      </x:c>
      <x:c r="Z409" s="34" t="n">
        <x:v>19.912146</x:v>
      </x:c>
      <x:c r="AA409" s="34" t="n">
        <x:v>13.917368</x:v>
      </x:c>
      <x:c r="AB409" s="34" t="n">
        <x:v>414.904229</x:v>
      </x:c>
      <x:c r="AC409" s="34" t="n">
        <x:v>7673.246</x:v>
      </x:c>
      <x:c r="AD409" s="34" t="n">
        <x:v>18.494018</x:v>
      </x:c>
      <x:c r="AE409" s="40" t="b">
        <x:v>1</x:v>
      </x:c>
      <x:c r="AF409" s="40" t="b">
        <x:v>1</x:v>
      </x:c>
      <x:c r="AG409" s="34" t="str"/>
      <x:c r="AH409" s="34" t="n">
        <x:v>0</x:v>
      </x:c>
      <x:c r="AI409" s="34" t="str">
        <x:v>2.0275124185786808e-05</x:v>
      </x:c>
      <x:c r="AJ409" s="40" t="b">
        <x:v>1</x:v>
      </x:c>
      <x:c r="AK409" s="40" t="b">
        <x:v>1</x:v>
      </x:c>
      <x:c r="AL409" s="40" t="b">
        <x:v>1</x:v>
      </x:c>
      <x:c r="AM409" s="40" t="b">
        <x:v>1</x:v>
      </x:c>
      <x:c r="AN409" s="34" t="str"/>
      <x:c r="AO409" s="34" t="n">
        <x:v>0</x:v>
      </x:c>
      <x:c r="AP409" s="34" t="n">
        <x:v>0</x:v>
      </x:c>
      <x:c r="AQ409" s="34" t="n">
        <x:v>0</x:v>
      </x:c>
      <x:c r="AR409" s="34" t="n">
        <x:v>2</x:v>
      </x:c>
      <x:c r="AS409" s="34" t="n">
        <x:v>3</x:v>
      </x:c>
      <x:c r="AT409" s="34" t="n">
        <x:v>0.3934020479999999</x:v>
      </x:c>
      <x:c r="AU409" s="34" t="n">
        <x:v>0.65</x:v>
      </x:c>
      <x:c r="AV409" s="34" t="n">
        <x:v>1.54</x:v>
      </x:c>
    </x:row>
    <x:row r="410">
      <x:c r="A410" s="34" t="str">
        <x:v>POSCO_KR</x:v>
      </x:c>
      <x:c r="B410" s="34" t="str">
        <x:v>POSCO</x:v>
      </x:c>
      <x:c r="C410" s="34" t="str">
        <x:v>ACCELERATED_15C</x:v>
      </x:c>
      <x:c r="D410" s="34" t="str">
        <x:v>P1</x:v>
      </x:c>
      <x:c r="E410" s="34" t="n">
        <x:v>2029</x:v>
      </x:c>
      <x:c r="F410" s="34" t="n">
        <x:v>1</x:v>
      </x:c>
      <x:c r="G410" s="34" t="n">
        <x:v>6.839998</x:v>
      </x:c>
      <x:c r="H410" s="34" t="n">
        <x:v>13.25</x:v>
      </x:c>
      <x:c r="I410" s="34" t="n">
        <x:v>6.410002</x:v>
      </x:c>
      <x:c r="J410" s="34" t="n">
        <x:v>51.623</x:v>
      </x:c>
      <x:c r="K410" s="34" t="n">
        <x:v>0</x:v>
      </x:c>
      <x:c r="L410" s="34" t="n">
        <x:v>0.625</x:v>
      </x:c>
      <x:c r="M410" s="34" t="n">
        <x:v>0.625</x:v>
      </x:c>
      <x:c r="N410" s="34" t="n">
        <x:v>0</x:v>
      </x:c>
      <x:c r="O410" s="34" t="n">
        <x:v>4.255999</x:v>
      </x:c>
      <x:c r="P410" s="34" t="n">
        <x:v>8</x:v>
      </x:c>
      <x:c r="Q410" s="34" t="n">
        <x:v>3.744001</x:v>
      </x:c>
      <x:c r="R410" s="34" t="n">
        <x:v>53.2</x:v>
      </x:c>
      <x:c r="S410" s="40" t="b">
        <x:v>1</x:v>
      </x:c>
      <x:c r="T410" s="34" t="str">
        <x:v>model_interpolation</x:v>
      </x:c>
      <x:c r="U410" s="34" t="str">
        <x:v>Linear interpolation from 2026 to 2030</x:v>
      </x:c>
      <x:c r="V410" s="34" t="str">
        <x:v>CAND-7BC738434560A6</x:v>
      </x:c>
      <x:c r="W410" s="34" t="str">
        <x:v>P1</x:v>
      </x:c>
      <x:c r="X410" s="34" t="str">
        <x:v>PORT-7ED23B40E316</x:v>
      </x:c>
      <x:c r="Y410" s="34" t="n">
        <x:v>1000</x:v>
      </x:c>
      <x:c r="Z410" s="34" t="n">
        <x:v>19.912146</x:v>
      </x:c>
      <x:c r="AA410" s="34" t="n">
        <x:v>13.917368</x:v>
      </x:c>
      <x:c r="AB410" s="34" t="n">
        <x:v>414.904229</x:v>
      </x:c>
      <x:c r="AC410" s="34" t="n">
        <x:v>7673.246</x:v>
      </x:c>
      <x:c r="AD410" s="34" t="n">
        <x:v>18.494018</x:v>
      </x:c>
      <x:c r="AE410" s="40" t="b">
        <x:v>1</x:v>
      </x:c>
      <x:c r="AF410" s="40" t="b">
        <x:v>1</x:v>
      </x:c>
      <x:c r="AG410" s="34" t="str"/>
      <x:c r="AH410" s="34" t="n">
        <x:v>0</x:v>
      </x:c>
      <x:c r="AI410" s="34" t="str">
        <x:v>2.0275124185786808e-05</x:v>
      </x:c>
      <x:c r="AJ410" s="40" t="b">
        <x:v>1</x:v>
      </x:c>
      <x:c r="AK410" s="40" t="b">
        <x:v>1</x:v>
      </x:c>
      <x:c r="AL410" s="40" t="b">
        <x:v>1</x:v>
      </x:c>
      <x:c r="AM410" s="40" t="b">
        <x:v>1</x:v>
      </x:c>
      <x:c r="AN410" s="34" t="str"/>
      <x:c r="AO410" s="34" t="n">
        <x:v>0</x:v>
      </x:c>
      <x:c r="AP410" s="34" t="n">
        <x:v>0</x:v>
      </x:c>
      <x:c r="AQ410" s="34" t="n">
        <x:v>0</x:v>
      </x:c>
      <x:c r="AR410" s="34" t="n">
        <x:v>2</x:v>
      </x:c>
      <x:c r="AS410" s="34" t="n">
        <x:v>3</x:v>
      </x:c>
      <x:c r="AT410" s="34" t="n">
        <x:v>0.3934020479999999</x:v>
      </x:c>
      <x:c r="AU410" s="34" t="n">
        <x:v>0.65</x:v>
      </x:c>
      <x:c r="AV410" s="34" t="n">
        <x:v>1.54</x:v>
      </x:c>
    </x:row>
    <x:row r="411">
      <x:c r="A411" s="34" t="str">
        <x:v>POSCO_KR</x:v>
      </x:c>
      <x:c r="B411" s="34" t="str">
        <x:v>POSCO</x:v>
      </x:c>
      <x:c r="C411" s="34" t="str">
        <x:v>ACCELERATED_15C</x:v>
      </x:c>
      <x:c r="D411" s="34" t="str">
        <x:v>P1</x:v>
      </x:c>
      <x:c r="E411" s="34" t="n">
        <x:v>2030</x:v>
      </x:c>
      <x:c r="F411" s="34" t="n">
        <x:v>1</x:v>
      </x:c>
      <x:c r="G411" s="34" t="n">
        <x:v>6.839998</x:v>
      </x:c>
      <x:c r="H411" s="34" t="n">
        <x:v>15</x:v>
      </x:c>
      <x:c r="I411" s="34" t="n">
        <x:v>8.160002</x:v>
      </x:c>
      <x:c r="J411" s="34" t="n">
        <x:v>45.6</x:v>
      </x:c>
      <x:c r="K411" s="34" t="n">
        <x:v>0</x:v>
      </x:c>
      <x:c r="L411" s="34" t="n">
        <x:v>0.8</x:v>
      </x:c>
      <x:c r="M411" s="34" t="n">
        <x:v>0.8</x:v>
      </x:c>
      <x:c r="N411" s="34" t="n">
        <x:v>0</x:v>
      </x:c>
      <x:c r="O411" s="34" t="n">
        <x:v>4.255999</x:v>
      </x:c>
      <x:c r="P411" s="34" t="n">
        <x:v>10</x:v>
      </x:c>
      <x:c r="Q411" s="34" t="n">
        <x:v>5.744001</x:v>
      </x:c>
      <x:c r="R411" s="34" t="n">
        <x:v>42.56</x:v>
      </x:c>
      <x:c r="S411" s="40" t="b">
        <x:v>1</x:v>
      </x:c>
      <x:c r="T411" s="34" t="str">
        <x:v>model_interpolation</x:v>
      </x:c>
      <x:c r="U411" s="34" t="str">
        <x:v>Linear interpolation from 2030 to 2035</x:v>
      </x:c>
      <x:c r="V411" s="34" t="str">
        <x:v>CAND-7BC738434560A6</x:v>
      </x:c>
      <x:c r="W411" s="34" t="str">
        <x:v>P1</x:v>
      </x:c>
      <x:c r="X411" s="34" t="str">
        <x:v>PORT-7ED23B40E316</x:v>
      </x:c>
      <x:c r="Y411" s="34" t="n">
        <x:v>1000</x:v>
      </x:c>
      <x:c r="Z411" s="34" t="n">
        <x:v>19.912146</x:v>
      </x:c>
      <x:c r="AA411" s="34" t="n">
        <x:v>13.917368</x:v>
      </x:c>
      <x:c r="AB411" s="34" t="n">
        <x:v>414.904229</x:v>
      </x:c>
      <x:c r="AC411" s="34" t="n">
        <x:v>7673.246</x:v>
      </x:c>
      <x:c r="AD411" s="34" t="n">
        <x:v>18.494018</x:v>
      </x:c>
      <x:c r="AE411" s="40" t="b">
        <x:v>1</x:v>
      </x:c>
      <x:c r="AF411" s="40" t="b">
        <x:v>1</x:v>
      </x:c>
      <x:c r="AG411" s="34" t="str"/>
      <x:c r="AH411" s="34" t="n">
        <x:v>0</x:v>
      </x:c>
      <x:c r="AI411" s="34" t="str">
        <x:v>2.0275124185786808e-05</x:v>
      </x:c>
      <x:c r="AJ411" s="40" t="b">
        <x:v>1</x:v>
      </x:c>
      <x:c r="AK411" s="40" t="b">
        <x:v>1</x:v>
      </x:c>
      <x:c r="AL411" s="40" t="b">
        <x:v>1</x:v>
      </x:c>
      <x:c r="AM411" s="40" t="b">
        <x:v>1</x:v>
      </x:c>
      <x:c r="AN411" s="34" t="str"/>
      <x:c r="AO411" s="34" t="n">
        <x:v>0</x:v>
      </x:c>
      <x:c r="AP411" s="34" t="n">
        <x:v>0</x:v>
      </x:c>
      <x:c r="AQ411" s="34" t="n">
        <x:v>0</x:v>
      </x:c>
      <x:c r="AR411" s="34" t="n">
        <x:v>2</x:v>
      </x:c>
      <x:c r="AS411" s="34" t="n">
        <x:v>3</x:v>
      </x:c>
      <x:c r="AT411" s="34" t="n">
        <x:v>0.3934020479999999</x:v>
      </x:c>
      <x:c r="AU411" s="34" t="n">
        <x:v>0.65</x:v>
      </x:c>
      <x:c r="AV411" s="34" t="n">
        <x:v>1.54</x:v>
      </x:c>
    </x:row>
    <x:row r="412">
      <x:c r="A412" s="34" t="str">
        <x:v>POSCO_KR</x:v>
      </x:c>
      <x:c r="B412" s="34" t="str">
        <x:v>POSCO</x:v>
      </x:c>
      <x:c r="C412" s="34" t="str">
        <x:v>ACCELERATED_15C</x:v>
      </x:c>
      <x:c r="D412" s="34" t="str">
        <x:v>P1</x:v>
      </x:c>
      <x:c r="E412" s="34" t="n">
        <x:v>2031</x:v>
      </x:c>
      <x:c r="F412" s="34" t="n">
        <x:v>1</x:v>
      </x:c>
      <x:c r="G412" s="34" t="n">
        <x:v>6.839998</x:v>
      </x:c>
      <x:c r="H412" s="34" t="n">
        <x:v>16.6</x:v>
      </x:c>
      <x:c r="I412" s="34" t="n">
        <x:v>9.760002</x:v>
      </x:c>
      <x:c r="J412" s="34" t="n">
        <x:v>41.205</x:v>
      </x:c>
      <x:c r="K412" s="34" t="n">
        <x:v>0</x:v>
      </x:c>
      <x:c r="L412" s="34" t="n">
        <x:v>1.08</x:v>
      </x:c>
      <x:c r="M412" s="34" t="n">
        <x:v>1.08</x:v>
      </x:c>
      <x:c r="N412" s="34" t="n">
        <x:v>0</x:v>
      </x:c>
      <x:c r="O412" s="34" t="n">
        <x:v>4.255999</x:v>
      </x:c>
      <x:c r="P412" s="34" t="n">
        <x:v>12</x:v>
      </x:c>
      <x:c r="Q412" s="34" t="n">
        <x:v>7.744001</x:v>
      </x:c>
      <x:c r="R412" s="34" t="n">
        <x:v>35.467</x:v>
      </x:c>
      <x:c r="S412" s="40" t="b">
        <x:v>1</x:v>
      </x:c>
      <x:c r="T412" s="34" t="str">
        <x:v>model_interpolation</x:v>
      </x:c>
      <x:c r="U412" s="34" t="str">
        <x:v>Linear interpolation from 2030 to 2035</x:v>
      </x:c>
      <x:c r="V412" s="34" t="str">
        <x:v>CAND-7BC738434560A6</x:v>
      </x:c>
      <x:c r="W412" s="34" t="str">
        <x:v>P1</x:v>
      </x:c>
      <x:c r="X412" s="34" t="str">
        <x:v>PORT-7ED23B40E316</x:v>
      </x:c>
      <x:c r="Y412" s="34" t="n">
        <x:v>1000</x:v>
      </x:c>
      <x:c r="Z412" s="34" t="n">
        <x:v>19.912146</x:v>
      </x:c>
      <x:c r="AA412" s="34" t="n">
        <x:v>13.917368</x:v>
      </x:c>
      <x:c r="AB412" s="34" t="n">
        <x:v>414.904229</x:v>
      </x:c>
      <x:c r="AC412" s="34" t="n">
        <x:v>7673.246</x:v>
      </x:c>
      <x:c r="AD412" s="34" t="n">
        <x:v>18.494018</x:v>
      </x:c>
      <x:c r="AE412" s="40" t="b">
        <x:v>1</x:v>
      </x:c>
      <x:c r="AF412" s="40" t="b">
        <x:v>1</x:v>
      </x:c>
      <x:c r="AG412" s="34" t="str"/>
      <x:c r="AH412" s="34" t="n">
        <x:v>0</x:v>
      </x:c>
      <x:c r="AI412" s="34" t="str">
        <x:v>2.0275124185786808e-05</x:v>
      </x:c>
      <x:c r="AJ412" s="40" t="b">
        <x:v>1</x:v>
      </x:c>
      <x:c r="AK412" s="40" t="b">
        <x:v>1</x:v>
      </x:c>
      <x:c r="AL412" s="40" t="b">
        <x:v>1</x:v>
      </x:c>
      <x:c r="AM412" s="40" t="b">
        <x:v>1</x:v>
      </x:c>
      <x:c r="AN412" s="34" t="str"/>
      <x:c r="AO412" s="34" t="n">
        <x:v>0</x:v>
      </x:c>
      <x:c r="AP412" s="34" t="n">
        <x:v>0</x:v>
      </x:c>
      <x:c r="AQ412" s="34" t="n">
        <x:v>0</x:v>
      </x:c>
      <x:c r="AR412" s="34" t="n">
        <x:v>2</x:v>
      </x:c>
      <x:c r="AS412" s="34" t="n">
        <x:v>3</x:v>
      </x:c>
      <x:c r="AT412" s="34" t="n">
        <x:v>0.3934020479999999</x:v>
      </x:c>
      <x:c r="AU412" s="34" t="n">
        <x:v>0.65</x:v>
      </x:c>
      <x:c r="AV412" s="34" t="n">
        <x:v>1.54</x:v>
      </x:c>
    </x:row>
    <x:row r="413">
      <x:c r="A413" s="34" t="str">
        <x:v>POSCO_KR</x:v>
      </x:c>
      <x:c r="B413" s="34" t="str">
        <x:v>POSCO</x:v>
      </x:c>
      <x:c r="C413" s="34" t="str">
        <x:v>ACCELERATED_15C</x:v>
      </x:c>
      <x:c r="D413" s="34" t="str">
        <x:v>P1</x:v>
      </x:c>
      <x:c r="E413" s="34" t="n">
        <x:v>2032</x:v>
      </x:c>
      <x:c r="F413" s="34" t="n">
        <x:v>2</x:v>
      </x:c>
      <x:c r="G413" s="34" t="n">
        <x:v>12.959999</x:v>
      </x:c>
      <x:c r="H413" s="34" t="n">
        <x:v>18.2</x:v>
      </x:c>
      <x:c r="I413" s="34" t="n">
        <x:v>5.240001</x:v>
      </x:c>
      <x:c r="J413" s="34" t="n">
        <x:v>71.209</x:v>
      </x:c>
      <x:c r="K413" s="34" t="n">
        <x:v>0</x:v>
      </x:c>
      <x:c r="L413" s="34" t="n">
        <x:v>1.36</x:v>
      </x:c>
      <x:c r="M413" s="34" t="n">
        <x:v>1.36</x:v>
      </x:c>
      <x:c r="N413" s="34" t="n">
        <x:v>0</x:v>
      </x:c>
      <x:c r="O413" s="34" t="n">
        <x:v>8.063999</x:v>
      </x:c>
      <x:c r="P413" s="34" t="n">
        <x:v>14</x:v>
      </x:c>
      <x:c r="Q413" s="34" t="n">
        <x:v>5.936001</x:v>
      </x:c>
      <x:c r="R413" s="34" t="n">
        <x:v>57.6</x:v>
      </x:c>
      <x:c r="S413" s="40" t="b">
        <x:v>1</x:v>
      </x:c>
      <x:c r="T413" s="34" t="str">
        <x:v>model_interpolation</x:v>
      </x:c>
      <x:c r="U413" s="34" t="str">
        <x:v>Linear interpolation from 2030 to 2035</x:v>
      </x:c>
      <x:c r="V413" s="34" t="str">
        <x:v>CAND-7BC738434560A6</x:v>
      </x:c>
      <x:c r="W413" s="34" t="str">
        <x:v>P1</x:v>
      </x:c>
      <x:c r="X413" s="34" t="str">
        <x:v>PORT-7ED23B40E316</x:v>
      </x:c>
      <x:c r="Y413" s="34" t="n">
        <x:v>1000</x:v>
      </x:c>
      <x:c r="Z413" s="34" t="n">
        <x:v>19.912146</x:v>
      </x:c>
      <x:c r="AA413" s="34" t="n">
        <x:v>13.917368</x:v>
      </x:c>
      <x:c r="AB413" s="34" t="n">
        <x:v>414.904229</x:v>
      </x:c>
      <x:c r="AC413" s="34" t="n">
        <x:v>7673.246</x:v>
      </x:c>
      <x:c r="AD413" s="34" t="n">
        <x:v>18.494018</x:v>
      </x:c>
      <x:c r="AE413" s="40" t="b">
        <x:v>1</x:v>
      </x:c>
      <x:c r="AF413" s="40" t="b">
        <x:v>1</x:v>
      </x:c>
      <x:c r="AG413" s="34" t="str"/>
      <x:c r="AH413" s="34" t="n">
        <x:v>0</x:v>
      </x:c>
      <x:c r="AI413" s="34" t="str">
        <x:v>2.0275124185786808e-05</x:v>
      </x:c>
      <x:c r="AJ413" s="40" t="b">
        <x:v>1</x:v>
      </x:c>
      <x:c r="AK413" s="40" t="b">
        <x:v>1</x:v>
      </x:c>
      <x:c r="AL413" s="40" t="b">
        <x:v>1</x:v>
      </x:c>
      <x:c r="AM413" s="40" t="b">
        <x:v>1</x:v>
      </x:c>
      <x:c r="AN413" s="34" t="str"/>
      <x:c r="AO413" s="34" t="n">
        <x:v>0</x:v>
      </x:c>
      <x:c r="AP413" s="34" t="n">
        <x:v>0</x:v>
      </x:c>
      <x:c r="AQ413" s="34" t="n">
        <x:v>0</x:v>
      </x:c>
      <x:c r="AR413" s="34" t="n">
        <x:v>2</x:v>
      </x:c>
      <x:c r="AS413" s="34" t="n">
        <x:v>3</x:v>
      </x:c>
      <x:c r="AT413" s="34" t="n">
        <x:v>0.3934020479999999</x:v>
      </x:c>
      <x:c r="AU413" s="34" t="n">
        <x:v>0.65</x:v>
      </x:c>
      <x:c r="AV413" s="34" t="n">
        <x:v>1.54</x:v>
      </x:c>
    </x:row>
    <x:row r="414">
      <x:c r="A414" s="34" t="str">
        <x:v>POSCO_KR</x:v>
      </x:c>
      <x:c r="B414" s="34" t="str">
        <x:v>POSCO</x:v>
      </x:c>
      <x:c r="C414" s="34" t="str">
        <x:v>ACCELERATED_15C</x:v>
      </x:c>
      <x:c r="D414" s="34" t="str">
        <x:v>P1</x:v>
      </x:c>
      <x:c r="E414" s="34" t="n">
        <x:v>2033</x:v>
      </x:c>
      <x:c r="F414" s="34" t="n">
        <x:v>3</x:v>
      </x:c>
      <x:c r="G414" s="34" t="n">
        <x:v>13.980599</x:v>
      </x:c>
      <x:c r="H414" s="34" t="n">
        <x:v>19.8</x:v>
      </x:c>
      <x:c r="I414" s="34" t="n">
        <x:v>5.819401</x:v>
      </x:c>
      <x:c r="J414" s="34" t="n">
        <x:v>70.609</x:v>
      </x:c>
      <x:c r="K414" s="34" t="n">
        <x:v>0</x:v>
      </x:c>
      <x:c r="L414" s="34" t="n">
        <x:v>1.6400000000000001</x:v>
      </x:c>
      <x:c r="M414" s="34" t="n">
        <x:v>1.64</x:v>
      </x:c>
      <x:c r="N414" s="34" t="n">
        <x:v>0</x:v>
      </x:c>
      <x:c r="O414" s="34" t="n">
        <x:v>8.132039</x:v>
      </x:c>
      <x:c r="P414" s="34" t="n">
        <x:v>16</x:v>
      </x:c>
      <x:c r="Q414" s="34" t="n">
        <x:v>7.867961</x:v>
      </x:c>
      <x:c r="R414" s="34" t="n">
        <x:v>50.825</x:v>
      </x:c>
      <x:c r="S414" s="40" t="b">
        <x:v>1</x:v>
      </x:c>
      <x:c r="T414" s="34" t="str">
        <x:v>model_interpolation</x:v>
      </x:c>
      <x:c r="U414" s="34" t="str">
        <x:v>Linear interpolation from 2030 to 2035</x:v>
      </x:c>
      <x:c r="V414" s="34" t="str">
        <x:v>CAND-7BC738434560A6</x:v>
      </x:c>
      <x:c r="W414" s="34" t="str">
        <x:v>P1</x:v>
      </x:c>
      <x:c r="X414" s="34" t="str">
        <x:v>PORT-7ED23B40E316</x:v>
      </x:c>
      <x:c r="Y414" s="34" t="n">
        <x:v>1000</x:v>
      </x:c>
      <x:c r="Z414" s="34" t="n">
        <x:v>19.912146</x:v>
      </x:c>
      <x:c r="AA414" s="34" t="n">
        <x:v>13.917368</x:v>
      </x:c>
      <x:c r="AB414" s="34" t="n">
        <x:v>414.904229</x:v>
      </x:c>
      <x:c r="AC414" s="34" t="n">
        <x:v>7673.246</x:v>
      </x:c>
      <x:c r="AD414" s="34" t="n">
        <x:v>18.494018</x:v>
      </x:c>
      <x:c r="AE414" s="40" t="b">
        <x:v>1</x:v>
      </x:c>
      <x:c r="AF414" s="40" t="b">
        <x:v>1</x:v>
      </x:c>
      <x:c r="AG414" s="34" t="str"/>
      <x:c r="AH414" s="34" t="n">
        <x:v>0</x:v>
      </x:c>
      <x:c r="AI414" s="34" t="str">
        <x:v>2.0275124185786808e-05</x:v>
      </x:c>
      <x:c r="AJ414" s="40" t="b">
        <x:v>1</x:v>
      </x:c>
      <x:c r="AK414" s="40" t="b">
        <x:v>1</x:v>
      </x:c>
      <x:c r="AL414" s="40" t="b">
        <x:v>1</x:v>
      </x:c>
      <x:c r="AM414" s="40" t="b">
        <x:v>1</x:v>
      </x:c>
      <x:c r="AN414" s="34" t="str"/>
      <x:c r="AO414" s="34" t="n">
        <x:v>0</x:v>
      </x:c>
      <x:c r="AP414" s="34" t="n">
        <x:v>0</x:v>
      </x:c>
      <x:c r="AQ414" s="34" t="n">
        <x:v>0</x:v>
      </x:c>
      <x:c r="AR414" s="34" t="n">
        <x:v>2</x:v>
      </x:c>
      <x:c r="AS414" s="34" t="n">
        <x:v>3</x:v>
      </x:c>
      <x:c r="AT414" s="34" t="n">
        <x:v>0.3934020479999999</x:v>
      </x:c>
      <x:c r="AU414" s="34" t="n">
        <x:v>0.65</x:v>
      </x:c>
      <x:c r="AV414" s="34" t="n">
        <x:v>1.54</x:v>
      </x:c>
    </x:row>
    <x:row r="415">
      <x:c r="A415" s="34" t="str">
        <x:v>POSCO_KR</x:v>
      </x:c>
      <x:c r="B415" s="34" t="str">
        <x:v>POSCO</x:v>
      </x:c>
      <x:c r="C415" s="34" t="str">
        <x:v>ACCELERATED_15C</x:v>
      </x:c>
      <x:c r="D415" s="34" t="str">
        <x:v>P1</x:v>
      </x:c>
      <x:c r="E415" s="34" t="n">
        <x:v>2034</x:v>
      </x:c>
      <x:c r="F415" s="34" t="n">
        <x:v>3</x:v>
      </x:c>
      <x:c r="G415" s="34" t="n">
        <x:v>13.980599</x:v>
      </x:c>
      <x:c r="H415" s="34" t="n">
        <x:v>21.4</x:v>
      </x:c>
      <x:c r="I415" s="34" t="n">
        <x:v>7.419401</x:v>
      </x:c>
      <x:c r="J415" s="34" t="n">
        <x:v>65.33</x:v>
      </x:c>
      <x:c r="K415" s="34" t="n">
        <x:v>0</x:v>
      </x:c>
      <x:c r="L415" s="34" t="n">
        <x:v>1.9200000000000002</x:v>
      </x:c>
      <x:c r="M415" s="34" t="n">
        <x:v>1.92</x:v>
      </x:c>
      <x:c r="N415" s="34" t="n">
        <x:v>0</x:v>
      </x:c>
      <x:c r="O415" s="34" t="n">
        <x:v>8.132039</x:v>
      </x:c>
      <x:c r="P415" s="34" t="n">
        <x:v>18</x:v>
      </x:c>
      <x:c r="Q415" s="34" t="n">
        <x:v>9.867961</x:v>
      </x:c>
      <x:c r="R415" s="34" t="n">
        <x:v>45.178</x:v>
      </x:c>
      <x:c r="S415" s="40" t="b">
        <x:v>1</x:v>
      </x:c>
      <x:c r="T415" s="34" t="str">
        <x:v>model_interpolation</x:v>
      </x:c>
      <x:c r="U415" s="34" t="str">
        <x:v>Linear interpolation from 2030 to 2035</x:v>
      </x:c>
      <x:c r="V415" s="34" t="str">
        <x:v>CAND-7BC738434560A6</x:v>
      </x:c>
      <x:c r="W415" s="34" t="str">
        <x:v>P1</x:v>
      </x:c>
      <x:c r="X415" s="34" t="str">
        <x:v>PORT-7ED23B40E316</x:v>
      </x:c>
      <x:c r="Y415" s="34" t="n">
        <x:v>1000</x:v>
      </x:c>
      <x:c r="Z415" s="34" t="n">
        <x:v>19.912146</x:v>
      </x:c>
      <x:c r="AA415" s="34" t="n">
        <x:v>13.917368</x:v>
      </x:c>
      <x:c r="AB415" s="34" t="n">
        <x:v>414.904229</x:v>
      </x:c>
      <x:c r="AC415" s="34" t="n">
        <x:v>7673.246</x:v>
      </x:c>
      <x:c r="AD415" s="34" t="n">
        <x:v>18.494018</x:v>
      </x:c>
      <x:c r="AE415" s="40" t="b">
        <x:v>1</x:v>
      </x:c>
      <x:c r="AF415" s="40" t="b">
        <x:v>1</x:v>
      </x:c>
      <x:c r="AG415" s="34" t="str"/>
      <x:c r="AH415" s="34" t="n">
        <x:v>0</x:v>
      </x:c>
      <x:c r="AI415" s="34" t="str">
        <x:v>2.0275124185786808e-05</x:v>
      </x:c>
      <x:c r="AJ415" s="40" t="b">
        <x:v>1</x:v>
      </x:c>
      <x:c r="AK415" s="40" t="b">
        <x:v>1</x:v>
      </x:c>
      <x:c r="AL415" s="40" t="b">
        <x:v>1</x:v>
      </x:c>
      <x:c r="AM415" s="40" t="b">
        <x:v>1</x:v>
      </x:c>
      <x:c r="AN415" s="34" t="str"/>
      <x:c r="AO415" s="34" t="n">
        <x:v>0</x:v>
      </x:c>
      <x:c r="AP415" s="34" t="n">
        <x:v>0</x:v>
      </x:c>
      <x:c r="AQ415" s="34" t="n">
        <x:v>0</x:v>
      </x:c>
      <x:c r="AR415" s="34" t="n">
        <x:v>2</x:v>
      </x:c>
      <x:c r="AS415" s="34" t="n">
        <x:v>3</x:v>
      </x:c>
      <x:c r="AT415" s="34" t="n">
        <x:v>0.3934020479999999</x:v>
      </x:c>
      <x:c r="AU415" s="34" t="n">
        <x:v>0.65</x:v>
      </x:c>
      <x:c r="AV415" s="34" t="n">
        <x:v>1.54</x:v>
      </x:c>
    </x:row>
    <x:row r="416">
      <x:c r="A416" s="34" t="str">
        <x:v>POSCO_KR</x:v>
      </x:c>
      <x:c r="B416" s="34" t="str">
        <x:v>POSCO</x:v>
      </x:c>
      <x:c r="C416" s="34" t="str">
        <x:v>ACCELERATED_15C</x:v>
      </x:c>
      <x:c r="D416" s="34" t="str">
        <x:v>P1</x:v>
      </x:c>
      <x:c r="E416" s="34" t="n">
        <x:v>2035</x:v>
      </x:c>
      <x:c r="F416" s="34" t="n">
        <x:v>4</x:v>
      </x:c>
      <x:c r="G416" s="34" t="n">
        <x:v>22.530598</x:v>
      </x:c>
      <x:c r="H416" s="34" t="n">
        <x:v>23</x:v>
      </x:c>
      <x:c r="I416" s="34" t="n">
        <x:v>0.469402</x:v>
      </x:c>
      <x:c r="J416" s="34" t="n">
        <x:v>97.959</x:v>
      </x:c>
      <x:c r="K416" s="34" t="n">
        <x:v>0</x:v>
      </x:c>
      <x:c r="L416" s="34" t="n">
        <x:v>2.2</x:v>
      </x:c>
      <x:c r="M416" s="34" t="n">
        <x:v>2.2</x:v>
      </x:c>
      <x:c r="N416" s="34" t="n">
        <x:v>0</x:v>
      </x:c>
      <x:c r="O416" s="34" t="n">
        <x:v>13.547039</x:v>
      </x:c>
      <x:c r="P416" s="34" t="n">
        <x:v>20</x:v>
      </x:c>
      <x:c r="Q416" s="34" t="n">
        <x:v>6.452961</x:v>
      </x:c>
      <x:c r="R416" s="34" t="n">
        <x:v>67.735</x:v>
      </x:c>
      <x:c r="S416" s="40" t="b">
        <x:v>1</x:v>
      </x:c>
      <x:c r="T416" s="34" t="str">
        <x:v>model_interpolation</x:v>
      </x:c>
      <x:c r="U416" s="34" t="str">
        <x:v>Linear interpolation from 2035 to 2040</x:v>
      </x:c>
      <x:c r="V416" s="34" t="str">
        <x:v>CAND-7BC738434560A6</x:v>
      </x:c>
      <x:c r="W416" s="34" t="str">
        <x:v>P1</x:v>
      </x:c>
      <x:c r="X416" s="34" t="str">
        <x:v>PORT-7ED23B40E316</x:v>
      </x:c>
      <x:c r="Y416" s="34" t="n">
        <x:v>1000</x:v>
      </x:c>
      <x:c r="Z416" s="34" t="n">
        <x:v>19.912146</x:v>
      </x:c>
      <x:c r="AA416" s="34" t="n">
        <x:v>13.917368</x:v>
      </x:c>
      <x:c r="AB416" s="34" t="n">
        <x:v>414.904229</x:v>
      </x:c>
      <x:c r="AC416" s="34" t="n">
        <x:v>7673.246</x:v>
      </x:c>
      <x:c r="AD416" s="34" t="n">
        <x:v>18.494018</x:v>
      </x:c>
      <x:c r="AE416" s="40" t="b">
        <x:v>1</x:v>
      </x:c>
      <x:c r="AF416" s="40" t="b">
        <x:v>1</x:v>
      </x:c>
      <x:c r="AG416" s="34" t="str"/>
      <x:c r="AH416" s="34" t="n">
        <x:v>0</x:v>
      </x:c>
      <x:c r="AI416" s="34" t="str">
        <x:v>2.0275124185786808e-05</x:v>
      </x:c>
      <x:c r="AJ416" s="40" t="b">
        <x:v>1</x:v>
      </x:c>
      <x:c r="AK416" s="40" t="b">
        <x:v>1</x:v>
      </x:c>
      <x:c r="AL416" s="40" t="b">
        <x:v>1</x:v>
      </x:c>
      <x:c r="AM416" s="40" t="b">
        <x:v>1</x:v>
      </x:c>
      <x:c r="AN416" s="34" t="str"/>
      <x:c r="AO416" s="34" t="n">
        <x:v>0</x:v>
      </x:c>
      <x:c r="AP416" s="34" t="n">
        <x:v>0</x:v>
      </x:c>
      <x:c r="AQ416" s="34" t="n">
        <x:v>0</x:v>
      </x:c>
      <x:c r="AR416" s="34" t="n">
        <x:v>2</x:v>
      </x:c>
      <x:c r="AS416" s="34" t="n">
        <x:v>3</x:v>
      </x:c>
      <x:c r="AT416" s="34" t="n">
        <x:v>0.3934020479999999</x:v>
      </x:c>
      <x:c r="AU416" s="34" t="n">
        <x:v>0.65</x:v>
      </x:c>
      <x:c r="AV416" s="34" t="n">
        <x:v>1.54</x:v>
      </x:c>
    </x:row>
    <x:row r="417">
      <x:c r="A417" s="34" t="str">
        <x:v>POSCO_KR</x:v>
      </x:c>
      <x:c r="B417" s="34" t="str">
        <x:v>POSCO</x:v>
      </x:c>
      <x:c r="C417" s="34" t="str">
        <x:v>ACCELERATED_15C</x:v>
      </x:c>
      <x:c r="D417" s="34" t="str">
        <x:v>P1</x:v>
      </x:c>
      <x:c r="E417" s="34" t="n">
        <x:v>2036</x:v>
      </x:c>
      <x:c r="F417" s="34" t="n">
        <x:v>4</x:v>
      </x:c>
      <x:c r="G417" s="34" t="n">
        <x:v>22.530598</x:v>
      </x:c>
      <x:c r="H417" s="34" t="n">
        <x:v>24.4</x:v>
      </x:c>
      <x:c r="I417" s="34" t="n">
        <x:v>1.869402</x:v>
      </x:c>
      <x:c r="J417" s="34" t="n">
        <x:v>92.339</x:v>
      </x:c>
      <x:c r="K417" s="34" t="n">
        <x:v>0</x:v>
      </x:c>
      <x:c r="L417" s="34" t="n">
        <x:v>2.56</x:v>
      </x:c>
      <x:c r="M417" s="34" t="n">
        <x:v>2.56</x:v>
      </x:c>
      <x:c r="N417" s="34" t="n">
        <x:v>0</x:v>
      </x:c>
      <x:c r="O417" s="34" t="n">
        <x:v>13.547039</x:v>
      </x:c>
      <x:c r="P417" s="34" t="n">
        <x:v>22.4</x:v>
      </x:c>
      <x:c r="Q417" s="34" t="n">
        <x:v>8.852961</x:v>
      </x:c>
      <x:c r="R417" s="34" t="n">
        <x:v>60.478</x:v>
      </x:c>
      <x:c r="S417" s="40" t="b">
        <x:v>1</x:v>
      </x:c>
      <x:c r="T417" s="34" t="str">
        <x:v>model_interpolation</x:v>
      </x:c>
      <x:c r="U417" s="34" t="str">
        <x:v>Linear interpolation from 2035 to 2040</x:v>
      </x:c>
      <x:c r="V417" s="34" t="str">
        <x:v>CAND-7BC738434560A6</x:v>
      </x:c>
      <x:c r="W417" s="34" t="str">
        <x:v>P1</x:v>
      </x:c>
      <x:c r="X417" s="34" t="str">
        <x:v>PORT-7ED23B40E316</x:v>
      </x:c>
      <x:c r="Y417" s="34" t="n">
        <x:v>1000</x:v>
      </x:c>
      <x:c r="Z417" s="34" t="n">
        <x:v>19.912146</x:v>
      </x:c>
      <x:c r="AA417" s="34" t="n">
        <x:v>13.917368</x:v>
      </x:c>
      <x:c r="AB417" s="34" t="n">
        <x:v>414.904229</x:v>
      </x:c>
      <x:c r="AC417" s="34" t="n">
        <x:v>7673.246</x:v>
      </x:c>
      <x:c r="AD417" s="34" t="n">
        <x:v>18.494018</x:v>
      </x:c>
      <x:c r="AE417" s="40" t="b">
        <x:v>1</x:v>
      </x:c>
      <x:c r="AF417" s="40" t="b">
        <x:v>1</x:v>
      </x:c>
      <x:c r="AG417" s="34" t="str"/>
      <x:c r="AH417" s="34" t="n">
        <x:v>0</x:v>
      </x:c>
      <x:c r="AI417" s="34" t="str">
        <x:v>2.0275124185786808e-05</x:v>
      </x:c>
      <x:c r="AJ417" s="40" t="b">
        <x:v>1</x:v>
      </x:c>
      <x:c r="AK417" s="40" t="b">
        <x:v>1</x:v>
      </x:c>
      <x:c r="AL417" s="40" t="b">
        <x:v>1</x:v>
      </x:c>
      <x:c r="AM417" s="40" t="b">
        <x:v>1</x:v>
      </x:c>
      <x:c r="AN417" s="34" t="str"/>
      <x:c r="AO417" s="34" t="n">
        <x:v>0</x:v>
      </x:c>
      <x:c r="AP417" s="34" t="n">
        <x:v>0</x:v>
      </x:c>
      <x:c r="AQ417" s="34" t="n">
        <x:v>0</x:v>
      </x:c>
      <x:c r="AR417" s="34" t="n">
        <x:v>2</x:v>
      </x:c>
      <x:c r="AS417" s="34" t="n">
        <x:v>3</x:v>
      </x:c>
      <x:c r="AT417" s="34" t="n">
        <x:v>0.3934020479999999</x:v>
      </x:c>
      <x:c r="AU417" s="34" t="n">
        <x:v>0.65</x:v>
      </x:c>
      <x:c r="AV417" s="34" t="n">
        <x:v>1.54</x:v>
      </x:c>
    </x:row>
    <x:row r="418">
      <x:c r="A418" s="34" t="str">
        <x:v>POSCO_KR</x:v>
      </x:c>
      <x:c r="B418" s="34" t="str">
        <x:v>POSCO</x:v>
      </x:c>
      <x:c r="C418" s="34" t="str">
        <x:v>ACCELERATED_15C</x:v>
      </x:c>
      <x:c r="D418" s="34" t="str">
        <x:v>P1</x:v>
      </x:c>
      <x:c r="E418" s="34" t="n">
        <x:v>2037</x:v>
      </x:c>
      <x:c r="F418" s="34" t="n">
        <x:v>5</x:v>
      </x:c>
      <x:c r="G418" s="34" t="n">
        <x:v>23.956047</x:v>
      </x:c>
      <x:c r="H418" s="34" t="n">
        <x:v>25.8</x:v>
      </x:c>
      <x:c r="I418" s="34" t="n">
        <x:v>1.843953</x:v>
      </x:c>
      <x:c r="J418" s="34" t="n">
        <x:v>92.853</x:v>
      </x:c>
      <x:c r="K418" s="34" t="n">
        <x:v>0.522665</x:v>
      </x:c>
      <x:c r="L418" s="34" t="n">
        <x:v>2.92</x:v>
      </x:c>
      <x:c r="M418" s="34" t="n">
        <x:v>2.397335</x:v>
      </x:c>
      <x:c r="N418" s="34" t="n">
        <x:v>17.899</x:v>
      </x:c>
      <x:c r="O418" s="34" t="n">
        <x:v>18.013447</x:v>
      </x:c>
      <x:c r="P418" s="34" t="n">
        <x:v>24.8</x:v>
      </x:c>
      <x:c r="Q418" s="34" t="n">
        <x:v>6.786553</x:v>
      </x:c>
      <x:c r="R418" s="34" t="n">
        <x:v>72.635</x:v>
      </x:c>
      <x:c r="S418" s="40" t="b">
        <x:v>1</x:v>
      </x:c>
      <x:c r="T418" s="34" t="str">
        <x:v>model_interpolation</x:v>
      </x:c>
      <x:c r="U418" s="34" t="str">
        <x:v>Linear interpolation from 2035 to 2040</x:v>
      </x:c>
      <x:c r="V418" s="34" t="str">
        <x:v>CAND-7BC738434560A6</x:v>
      </x:c>
      <x:c r="W418" s="34" t="str">
        <x:v>P1</x:v>
      </x:c>
      <x:c r="X418" s="34" t="str">
        <x:v>PORT-7ED23B40E316</x:v>
      </x:c>
      <x:c r="Y418" s="34" t="n">
        <x:v>1000</x:v>
      </x:c>
      <x:c r="Z418" s="34" t="n">
        <x:v>19.912146</x:v>
      </x:c>
      <x:c r="AA418" s="34" t="n">
        <x:v>13.917368</x:v>
      </x:c>
      <x:c r="AB418" s="34" t="n">
        <x:v>414.904229</x:v>
      </x:c>
      <x:c r="AC418" s="34" t="n">
        <x:v>7673.246</x:v>
      </x:c>
      <x:c r="AD418" s="34" t="n">
        <x:v>18.494018</x:v>
      </x:c>
      <x:c r="AE418" s="40" t="b">
        <x:v>1</x:v>
      </x:c>
      <x:c r="AF418" s="40" t="b">
        <x:v>1</x:v>
      </x:c>
      <x:c r="AG418" s="34" t="str"/>
      <x:c r="AH418" s="34" t="n">
        <x:v>0</x:v>
      </x:c>
      <x:c r="AI418" s="34" t="str">
        <x:v>2.0275124185786808e-05</x:v>
      </x:c>
      <x:c r="AJ418" s="40" t="b">
        <x:v>1</x:v>
      </x:c>
      <x:c r="AK418" s="40" t="b">
        <x:v>1</x:v>
      </x:c>
      <x:c r="AL418" s="40" t="b">
        <x:v>1</x:v>
      </x:c>
      <x:c r="AM418" s="40" t="b">
        <x:v>1</x:v>
      </x:c>
      <x:c r="AN418" s="34" t="str"/>
      <x:c r="AO418" s="34" t="n">
        <x:v>0</x:v>
      </x:c>
      <x:c r="AP418" s="34" t="n">
        <x:v>0</x:v>
      </x:c>
      <x:c r="AQ418" s="34" t="n">
        <x:v>0</x:v>
      </x:c>
      <x:c r="AR418" s="34" t="n">
        <x:v>2</x:v>
      </x:c>
      <x:c r="AS418" s="34" t="n">
        <x:v>3</x:v>
      </x:c>
      <x:c r="AT418" s="34" t="n">
        <x:v>0.3934020479999999</x:v>
      </x:c>
      <x:c r="AU418" s="34" t="n">
        <x:v>0.65</x:v>
      </x:c>
      <x:c r="AV418" s="34" t="n">
        <x:v>1.54</x:v>
      </x:c>
    </x:row>
    <x:row r="419">
      <x:c r="A419" s="34" t="str">
        <x:v>POSCO_KR</x:v>
      </x:c>
      <x:c r="B419" s="34" t="str">
        <x:v>POSCO</x:v>
      </x:c>
      <x:c r="C419" s="34" t="str">
        <x:v>ACCELERATED_15C</x:v>
      </x:c>
      <x:c r="D419" s="34" t="str">
        <x:v>P1</x:v>
      </x:c>
      <x:c r="E419" s="34" t="n">
        <x:v>2038</x:v>
      </x:c>
      <x:c r="F419" s="34" t="n">
        <x:v>5</x:v>
      </x:c>
      <x:c r="G419" s="34" t="n">
        <x:v>23.956047</x:v>
      </x:c>
      <x:c r="H419" s="34" t="n">
        <x:v>27.2</x:v>
      </x:c>
      <x:c r="I419" s="34" t="n">
        <x:v>3.243953</x:v>
      </x:c>
      <x:c r="J419" s="34" t="n">
        <x:v>88.074</x:v>
      </x:c>
      <x:c r="K419" s="34" t="n">
        <x:v>0.522665</x:v>
      </x:c>
      <x:c r="L419" s="34" t="n">
        <x:v>3.2800000000000002</x:v>
      </x:c>
      <x:c r="M419" s="34" t="n">
        <x:v>2.757335</x:v>
      </x:c>
      <x:c r="N419" s="34" t="n">
        <x:v>15.935</x:v>
      </x:c>
      <x:c r="O419" s="34" t="n">
        <x:v>18.013447</x:v>
      </x:c>
      <x:c r="P419" s="34" t="n">
        <x:v>27.2</x:v>
      </x:c>
      <x:c r="Q419" s="34" t="n">
        <x:v>9.186553</x:v>
      </x:c>
      <x:c r="R419" s="34" t="n">
        <x:v>66.226</x:v>
      </x:c>
      <x:c r="S419" s="40" t="b">
        <x:v>1</x:v>
      </x:c>
      <x:c r="T419" s="34" t="str">
        <x:v>model_interpolation</x:v>
      </x:c>
      <x:c r="U419" s="34" t="str">
        <x:v>Linear interpolation from 2035 to 2040</x:v>
      </x:c>
      <x:c r="V419" s="34" t="str">
        <x:v>CAND-7BC738434560A6</x:v>
      </x:c>
      <x:c r="W419" s="34" t="str">
        <x:v>P1</x:v>
      </x:c>
      <x:c r="X419" s="34" t="str">
        <x:v>PORT-7ED23B40E316</x:v>
      </x:c>
      <x:c r="Y419" s="34" t="n">
        <x:v>1000</x:v>
      </x:c>
      <x:c r="Z419" s="34" t="n">
        <x:v>19.912146</x:v>
      </x:c>
      <x:c r="AA419" s="34" t="n">
        <x:v>13.917368</x:v>
      </x:c>
      <x:c r="AB419" s="34" t="n">
        <x:v>414.904229</x:v>
      </x:c>
      <x:c r="AC419" s="34" t="n">
        <x:v>7673.246</x:v>
      </x:c>
      <x:c r="AD419" s="34" t="n">
        <x:v>18.494018</x:v>
      </x:c>
      <x:c r="AE419" s="40" t="b">
        <x:v>1</x:v>
      </x:c>
      <x:c r="AF419" s="40" t="b">
        <x:v>1</x:v>
      </x:c>
      <x:c r="AG419" s="34" t="str"/>
      <x:c r="AH419" s="34" t="n">
        <x:v>0</x:v>
      </x:c>
      <x:c r="AI419" s="34" t="str">
        <x:v>2.0275124185786808e-05</x:v>
      </x:c>
      <x:c r="AJ419" s="40" t="b">
        <x:v>1</x:v>
      </x:c>
      <x:c r="AK419" s="40" t="b">
        <x:v>1</x:v>
      </x:c>
      <x:c r="AL419" s="40" t="b">
        <x:v>1</x:v>
      </x:c>
      <x:c r="AM419" s="40" t="b">
        <x:v>1</x:v>
      </x:c>
      <x:c r="AN419" s="34" t="str"/>
      <x:c r="AO419" s="34" t="n">
        <x:v>0</x:v>
      </x:c>
      <x:c r="AP419" s="34" t="n">
        <x:v>0</x:v>
      </x:c>
      <x:c r="AQ419" s="34" t="n">
        <x:v>0</x:v>
      </x:c>
      <x:c r="AR419" s="34" t="n">
        <x:v>2</x:v>
      </x:c>
      <x:c r="AS419" s="34" t="n">
        <x:v>3</x:v>
      </x:c>
      <x:c r="AT419" s="34" t="n">
        <x:v>0.3934020479999999</x:v>
      </x:c>
      <x:c r="AU419" s="34" t="n">
        <x:v>0.65</x:v>
      </x:c>
      <x:c r="AV419" s="34" t="n">
        <x:v>1.54</x:v>
      </x:c>
    </x:row>
    <x:row r="420">
      <x:c r="A420" s="34" t="str">
        <x:v>POSCO_KR</x:v>
      </x:c>
      <x:c r="B420" s="34" t="str">
        <x:v>POSCO</x:v>
      </x:c>
      <x:c r="C420" s="34" t="str">
        <x:v>ACCELERATED_15C</x:v>
      </x:c>
      <x:c r="D420" s="34" t="str">
        <x:v>P1</x:v>
      </x:c>
      <x:c r="E420" s="34" t="n">
        <x:v>2039</x:v>
      </x:c>
      <x:c r="F420" s="34" t="n">
        <x:v>5</x:v>
      </x:c>
      <x:c r="G420" s="34" t="n">
        <x:v>23.956047</x:v>
      </x:c>
      <x:c r="H420" s="34" t="n">
        <x:v>28.6</x:v>
      </x:c>
      <x:c r="I420" s="34" t="n">
        <x:v>4.643953</x:v>
      </x:c>
      <x:c r="J420" s="34" t="n">
        <x:v>83.762</x:v>
      </x:c>
      <x:c r="K420" s="34" t="n">
        <x:v>0.522665</x:v>
      </x:c>
      <x:c r="L420" s="34" t="n">
        <x:v>3.64</x:v>
      </x:c>
      <x:c r="M420" s="34" t="n">
        <x:v>3.117335</x:v>
      </x:c>
      <x:c r="N420" s="34" t="n">
        <x:v>14.359</x:v>
      </x:c>
      <x:c r="O420" s="34" t="n">
        <x:v>18.013447</x:v>
      </x:c>
      <x:c r="P420" s="34" t="n">
        <x:v>29.6</x:v>
      </x:c>
      <x:c r="Q420" s="34" t="n">
        <x:v>11.586553</x:v>
      </x:c>
      <x:c r="R420" s="34" t="n">
        <x:v>60.856</x:v>
      </x:c>
      <x:c r="S420" s="40" t="b">
        <x:v>1</x:v>
      </x:c>
      <x:c r="T420" s="34" t="str">
        <x:v>model_interpolation</x:v>
      </x:c>
      <x:c r="U420" s="34" t="str">
        <x:v>Linear interpolation from 2035 to 2040</x:v>
      </x:c>
      <x:c r="V420" s="34" t="str">
        <x:v>CAND-7BC738434560A6</x:v>
      </x:c>
      <x:c r="W420" s="34" t="str">
        <x:v>P1</x:v>
      </x:c>
      <x:c r="X420" s="34" t="str">
        <x:v>PORT-7ED23B40E316</x:v>
      </x:c>
      <x:c r="Y420" s="34" t="n">
        <x:v>1000</x:v>
      </x:c>
      <x:c r="Z420" s="34" t="n">
        <x:v>19.912146</x:v>
      </x:c>
      <x:c r="AA420" s="34" t="n">
        <x:v>13.917368</x:v>
      </x:c>
      <x:c r="AB420" s="34" t="n">
        <x:v>414.904229</x:v>
      </x:c>
      <x:c r="AC420" s="34" t="n">
        <x:v>7673.246</x:v>
      </x:c>
      <x:c r="AD420" s="34" t="n">
        <x:v>18.494018</x:v>
      </x:c>
      <x:c r="AE420" s="40" t="b">
        <x:v>1</x:v>
      </x:c>
      <x:c r="AF420" s="40" t="b">
        <x:v>1</x:v>
      </x:c>
      <x:c r="AG420" s="34" t="str"/>
      <x:c r="AH420" s="34" t="n">
        <x:v>0</x:v>
      </x:c>
      <x:c r="AI420" s="34" t="str">
        <x:v>2.0275124185786808e-05</x:v>
      </x:c>
      <x:c r="AJ420" s="40" t="b">
        <x:v>1</x:v>
      </x:c>
      <x:c r="AK420" s="40" t="b">
        <x:v>1</x:v>
      </x:c>
      <x:c r="AL420" s="40" t="b">
        <x:v>1</x:v>
      </x:c>
      <x:c r="AM420" s="40" t="b">
        <x:v>1</x:v>
      </x:c>
      <x:c r="AN420" s="34" t="str"/>
      <x:c r="AO420" s="34" t="n">
        <x:v>0</x:v>
      </x:c>
      <x:c r="AP420" s="34" t="n">
        <x:v>0</x:v>
      </x:c>
      <x:c r="AQ420" s="34" t="n">
        <x:v>0</x:v>
      </x:c>
      <x:c r="AR420" s="34" t="n">
        <x:v>2</x:v>
      </x:c>
      <x:c r="AS420" s="34" t="n">
        <x:v>3</x:v>
      </x:c>
      <x:c r="AT420" s="34" t="n">
        <x:v>0.3934020479999999</x:v>
      </x:c>
      <x:c r="AU420" s="34" t="n">
        <x:v>0.65</x:v>
      </x:c>
      <x:c r="AV420" s="34" t="n">
        <x:v>1.54</x:v>
      </x:c>
    </x:row>
    <x:row r="421">
      <x:c r="A421" s="34" t="str">
        <x:v>POSCO_KR</x:v>
      </x:c>
      <x:c r="B421" s="34" t="str">
        <x:v>POSCO</x:v>
      </x:c>
      <x:c r="C421" s="34" t="str">
        <x:v>ACCELERATED_15C</x:v>
      </x:c>
      <x:c r="D421" s="34" t="str">
        <x:v>P1</x:v>
      </x:c>
      <x:c r="E421" s="34" t="n">
        <x:v>2040</x:v>
      </x:c>
      <x:c r="F421" s="34" t="n">
        <x:v>5</x:v>
      </x:c>
      <x:c r="G421" s="34" t="n">
        <x:v>23.956047</x:v>
      </x:c>
      <x:c r="H421" s="34" t="n">
        <x:v>30</x:v>
      </x:c>
      <x:c r="I421" s="34" t="n">
        <x:v>6.043953</x:v>
      </x:c>
      <x:c r="J421" s="34" t="n">
        <x:v>79.853</x:v>
      </x:c>
      <x:c r="K421" s="34" t="n">
        <x:v>0.522665</x:v>
      </x:c>
      <x:c r="L421" s="34" t="n">
        <x:v>4</x:v>
      </x:c>
      <x:c r="M421" s="34" t="n">
        <x:v>3.477335</x:v>
      </x:c>
      <x:c r="N421" s="34" t="n">
        <x:v>13.067</x:v>
      </x:c>
      <x:c r="O421" s="34" t="n">
        <x:v>18.013447</x:v>
      </x:c>
      <x:c r="P421" s="34" t="n">
        <x:v>32</x:v>
      </x:c>
      <x:c r="Q421" s="34" t="n">
        <x:v>13.986553</x:v>
      </x:c>
      <x:c r="R421" s="34" t="n">
        <x:v>56.292</x:v>
      </x:c>
      <x:c r="S421" s="40" t="b">
        <x:v>1</x:v>
      </x:c>
      <x:c r="T421" s="34" t="str">
        <x:v>model_estimate</x:v>
      </x:c>
      <x:c r="U421" s="34" t="str">
        <x:v>Illustrative accelerated envelope; not GCAM or an official supply forecast</x:v>
      </x:c>
      <x:c r="V421" s="34" t="str">
        <x:v>CAND-7BC738434560A6</x:v>
      </x:c>
      <x:c r="W421" s="34" t="str">
        <x:v>P1</x:v>
      </x:c>
      <x:c r="X421" s="34" t="str">
        <x:v>PORT-7ED23B40E316</x:v>
      </x:c>
      <x:c r="Y421" s="34" t="n">
        <x:v>1000</x:v>
      </x:c>
      <x:c r="Z421" s="34" t="n">
        <x:v>19.912146</x:v>
      </x:c>
      <x:c r="AA421" s="34" t="n">
        <x:v>13.917368</x:v>
      </x:c>
      <x:c r="AB421" s="34" t="n">
        <x:v>414.904229</x:v>
      </x:c>
      <x:c r="AC421" s="34" t="n">
        <x:v>7673.246</x:v>
      </x:c>
      <x:c r="AD421" s="34" t="n">
        <x:v>18.494018</x:v>
      </x:c>
      <x:c r="AE421" s="40" t="b">
        <x:v>1</x:v>
      </x:c>
      <x:c r="AF421" s="40" t="b">
        <x:v>1</x:v>
      </x:c>
      <x:c r="AG421" s="34" t="str"/>
      <x:c r="AH421" s="34" t="n">
        <x:v>0</x:v>
      </x:c>
      <x:c r="AI421" s="34" t="str">
        <x:v>2.0275124185786808e-05</x:v>
      </x:c>
      <x:c r="AJ421" s="40" t="b">
        <x:v>1</x:v>
      </x:c>
      <x:c r="AK421" s="40" t="b">
        <x:v>1</x:v>
      </x:c>
      <x:c r="AL421" s="40" t="b">
        <x:v>1</x:v>
      </x:c>
      <x:c r="AM421" s="40" t="b">
        <x:v>1</x:v>
      </x:c>
      <x:c r="AN421" s="34" t="str"/>
      <x:c r="AO421" s="34" t="n">
        <x:v>0</x:v>
      </x:c>
      <x:c r="AP421" s="34" t="n">
        <x:v>0</x:v>
      </x:c>
      <x:c r="AQ421" s="34" t="n">
        <x:v>0</x:v>
      </x:c>
      <x:c r="AR421" s="34" t="n">
        <x:v>2</x:v>
      </x:c>
      <x:c r="AS421" s="34" t="n">
        <x:v>3</x:v>
      </x:c>
      <x:c r="AT421" s="34" t="n">
        <x:v>0.3934020479999999</x:v>
      </x:c>
      <x:c r="AU421" s="34" t="n">
        <x:v>0.65</x:v>
      </x:c>
      <x:c r="AV421" s="34" t="n">
        <x:v>1.54</x:v>
      </x:c>
    </x:row>
    <x:row r="422">
      <x:c r="A422" s="34" t="str">
        <x:v>KOBE_STEEL_JP</x:v>
      </x:c>
      <x:c r="B422" s="34" t="str">
        <x:v>Kobe Steel</x:v>
      </x:c>
      <x:c r="C422" s="34" t="str">
        <x:v>DISCLOSED_PATH</x:v>
      </x:c>
      <x:c r="D422" s="34" t="str">
        <x:v>P2</x:v>
      </x:c>
      <x:c r="E422" s="34" t="n">
        <x:v>2026</x:v>
      </x:c>
      <x:c r="F422" s="34" t="n">
        <x:v>0</x:v>
      </x:c>
      <x:c r="G422" s="34" t="n">
        <x:v>0</x:v>
      </x:c>
      <x:c r="H422" s="34" t="n">
        <x:v>2</x:v>
      </x:c>
      <x:c r="I422" s="34" t="n">
        <x:v>2</x:v>
      </x:c>
      <x:c r="J422" s="34" t="n">
        <x:v>0</x:v>
      </x:c>
      <x:c r="K422" s="34" t="n">
        <x:v>0</x:v>
      </x:c>
      <x:c r="L422" s="34" t="n">
        <x:v>0</x:v>
      </x:c>
      <x:c r="M422" s="34" t="n">
        <x:v>0</x:v>
      </x:c>
      <x:c r="N422" s="34" t="n">
        <x:v>0</x:v>
      </x:c>
      <x:c r="O422" s="34" t="n">
        <x:v>0</x:v>
      </x:c>
      <x:c r="P422" s="34" t="n">
        <x:v>0.8</x:v>
      </x:c>
      <x:c r="Q422" s="34" t="n">
        <x:v>0.8</x:v>
      </x:c>
      <x:c r="R422" s="34" t="n">
        <x:v>0</x:v>
      </x:c>
      <x:c r="S422" s="40" t="b">
        <x:v>1</x:v>
      </x:c>
      <x:c r="T422" s="34" t="str">
        <x:v>model_interpolation</x:v>
      </x:c>
      <x:c r="U422" s="34" t="str">
        <x:v>Linear interpolation from 2026 to 2030</x:v>
      </x:c>
      <x:c r="V422" s="34" t="str">
        <x:v>CAND-7F0A690E87B72D</x:v>
      </x:c>
      <x:c r="W422" s="34" t="str">
        <x:v>P2</x:v>
      </x:c>
      <x:c r="X422" s="34" t="str">
        <x:v>PORT-8384667F6B8E</x:v>
      </x:c>
      <x:c r="Y422" s="34" t="n">
        <x:v>1000</x:v>
      </x:c>
      <x:c r="Z422" s="34" t="n">
        <x:v>54.341279</x:v>
      </x:c>
      <x:c r="AA422" s="34" t="n">
        <x:v>16.535826</x:v>
      </x:c>
      <x:c r="AB422" s="34" t="n">
        <x:v>96.451092</x:v>
      </x:c>
      <x:c r="AC422" s="34" t="n">
        <x:v>5119.663</x:v>
      </x:c>
      <x:c r="AD422" s="34" t="n">
        <x:v>53.080408</x:v>
      </x:c>
      <x:c r="AE422" s="40" t="b">
        <x:v>1</x:v>
      </x:c>
      <x:c r="AF422" s="40" t="b">
        <x:v>1</x:v>
      </x:c>
      <x:c r="AG422" s="34" t="str"/>
      <x:c r="AH422" s="34" t="n">
        <x:v>0</x:v>
      </x:c>
      <x:c r="AI422" s="34" t="str">
        <x:v>9.990856690045291e-05</x:v>
      </x:c>
      <x:c r="AJ422" s="40" t="b">
        <x:v>1</x:v>
      </x:c>
      <x:c r="AK422" s="40" t="b">
        <x:v>1</x:v>
      </x:c>
      <x:c r="AL422" s="40" t="b">
        <x:v>1</x:v>
      </x:c>
      <x:c r="AM422" s="40" t="b">
        <x:v>1</x:v>
      </x:c>
      <x:c r="AN422" s="34" t="str"/>
      <x:c r="AO422" s="34" t="n">
        <x:v>0</x:v>
      </x:c>
      <x:c r="AP422" s="34" t="n">
        <x:v>0</x:v>
      </x:c>
      <x:c r="AQ422" s="34" t="n">
        <x:v>0</x:v>
      </x:c>
      <x:c r="AR422" s="34" t="n">
        <x:v>1</x:v>
      </x:c>
      <x:c r="AS422" s="34" t="n">
        <x:v>1</x:v>
      </x:c>
      <x:c r="AT422" s="34" t="n">
        <x:v>0.28332</x:v>
      </x:c>
      <x:c r="AU422" s="34" t="n">
        <x:v>0.6</x:v>
      </x:c>
      <x:c r="AV422" s="34" t="n">
        <x:v>1.06</x:v>
      </x:c>
    </x:row>
    <x:row r="423">
      <x:c r="A423" s="34" t="str">
        <x:v>KOBE_STEEL_JP</x:v>
      </x:c>
      <x:c r="B423" s="34" t="str">
        <x:v>Kobe Steel</x:v>
      </x:c>
      <x:c r="C423" s="34" t="str">
        <x:v>DISCLOSED_PATH</x:v>
      </x:c>
      <x:c r="D423" s="34" t="str">
        <x:v>P2</x:v>
      </x:c>
      <x:c r="E423" s="34" t="n">
        <x:v>2027</x:v>
      </x:c>
      <x:c r="F423" s="34" t="n">
        <x:v>0</x:v>
      </x:c>
      <x:c r="G423" s="34" t="n">
        <x:v>0</x:v>
      </x:c>
      <x:c r="H423" s="34" t="n">
        <x:v>2.5</x:v>
      </x:c>
      <x:c r="I423" s="34" t="n">
        <x:v>2.5</x:v>
      </x:c>
      <x:c r="J423" s="34" t="n">
        <x:v>0</x:v>
      </x:c>
      <x:c r="K423" s="34" t="n">
        <x:v>0</x:v>
      </x:c>
      <x:c r="L423" s="34" t="n">
        <x:v>0.075</x:v>
      </x:c>
      <x:c r="M423" s="34" t="n">
        <x:v>0.075</x:v>
      </x:c>
      <x:c r="N423" s="34" t="n">
        <x:v>0</x:v>
      </x:c>
      <x:c r="O423" s="34" t="n">
        <x:v>0</x:v>
      </x:c>
      <x:c r="P423" s="34" t="n">
        <x:v>1.35</x:v>
      </x:c>
      <x:c r="Q423" s="34" t="n">
        <x:v>1.35</x:v>
      </x:c>
      <x:c r="R423" s="34" t="n">
        <x:v>0</x:v>
      </x:c>
      <x:c r="S423" s="40" t="b">
        <x:v>1</x:v>
      </x:c>
      <x:c r="T423" s="34" t="str">
        <x:v>model_interpolation</x:v>
      </x:c>
      <x:c r="U423" s="34" t="str">
        <x:v>Linear interpolation from 2026 to 2030</x:v>
      </x:c>
      <x:c r="V423" s="34" t="str">
        <x:v>CAND-7F0A690E87B72D</x:v>
      </x:c>
      <x:c r="W423" s="34" t="str">
        <x:v>P2</x:v>
      </x:c>
      <x:c r="X423" s="34" t="str">
        <x:v>PORT-8384667F6B8E</x:v>
      </x:c>
      <x:c r="Y423" s="34" t="n">
        <x:v>1000</x:v>
      </x:c>
      <x:c r="Z423" s="34" t="n">
        <x:v>54.341279</x:v>
      </x:c>
      <x:c r="AA423" s="34" t="n">
        <x:v>16.535826</x:v>
      </x:c>
      <x:c r="AB423" s="34" t="n">
        <x:v>96.451092</x:v>
      </x:c>
      <x:c r="AC423" s="34" t="n">
        <x:v>5119.663</x:v>
      </x:c>
      <x:c r="AD423" s="34" t="n">
        <x:v>53.080408</x:v>
      </x:c>
      <x:c r="AE423" s="40" t="b">
        <x:v>1</x:v>
      </x:c>
      <x:c r="AF423" s="40" t="b">
        <x:v>1</x:v>
      </x:c>
      <x:c r="AG423" s="34" t="str"/>
      <x:c r="AH423" s="34" t="n">
        <x:v>0</x:v>
      </x:c>
      <x:c r="AI423" s="34" t="str">
        <x:v>9.990856690045291e-05</x:v>
      </x:c>
      <x:c r="AJ423" s="40" t="b">
        <x:v>1</x:v>
      </x:c>
      <x:c r="AK423" s="40" t="b">
        <x:v>1</x:v>
      </x:c>
      <x:c r="AL423" s="40" t="b">
        <x:v>1</x:v>
      </x:c>
      <x:c r="AM423" s="40" t="b">
        <x:v>1</x:v>
      </x:c>
      <x:c r="AN423" s="34" t="str"/>
      <x:c r="AO423" s="34" t="n">
        <x:v>0</x:v>
      </x:c>
      <x:c r="AP423" s="34" t="n">
        <x:v>0</x:v>
      </x:c>
      <x:c r="AQ423" s="34" t="n">
        <x:v>0</x:v>
      </x:c>
      <x:c r="AR423" s="34" t="n">
        <x:v>1</x:v>
      </x:c>
      <x:c r="AS423" s="34" t="n">
        <x:v>1</x:v>
      </x:c>
      <x:c r="AT423" s="34" t="n">
        <x:v>0.28332</x:v>
      </x:c>
      <x:c r="AU423" s="34" t="n">
        <x:v>0.6</x:v>
      </x:c>
      <x:c r="AV423" s="34" t="n">
        <x:v>1.06</x:v>
      </x:c>
    </x:row>
    <x:row r="424">
      <x:c r="A424" s="34" t="str">
        <x:v>KOBE_STEEL_JP</x:v>
      </x:c>
      <x:c r="B424" s="34" t="str">
        <x:v>Kobe Steel</x:v>
      </x:c>
      <x:c r="C424" s="34" t="str">
        <x:v>DISCLOSED_PATH</x:v>
      </x:c>
      <x:c r="D424" s="34" t="str">
        <x:v>P2</x:v>
      </x:c>
      <x:c r="E424" s="34" t="n">
        <x:v>2028</x:v>
      </x:c>
      <x:c r="F424" s="34" t="n">
        <x:v>0</x:v>
      </x:c>
      <x:c r="G424" s="34" t="n">
        <x:v>0</x:v>
      </x:c>
      <x:c r="H424" s="34" t="n">
        <x:v>3</x:v>
      </x:c>
      <x:c r="I424" s="34" t="n">
        <x:v>3</x:v>
      </x:c>
      <x:c r="J424" s="34" t="n">
        <x:v>0</x:v>
      </x:c>
      <x:c r="K424" s="34" t="n">
        <x:v>0</x:v>
      </x:c>
      <x:c r="L424" s="34" t="n">
        <x:v>0.15</x:v>
      </x:c>
      <x:c r="M424" s="34" t="n">
        <x:v>0.15</x:v>
      </x:c>
      <x:c r="N424" s="34" t="n">
        <x:v>0</x:v>
      </x:c>
      <x:c r="O424" s="34" t="n">
        <x:v>0</x:v>
      </x:c>
      <x:c r="P424" s="34" t="n">
        <x:v>1.9000000000000001</x:v>
      </x:c>
      <x:c r="Q424" s="34" t="n">
        <x:v>1.9</x:v>
      </x:c>
      <x:c r="R424" s="34" t="n">
        <x:v>0</x:v>
      </x:c>
      <x:c r="S424" s="40" t="b">
        <x:v>1</x:v>
      </x:c>
      <x:c r="T424" s="34" t="str">
        <x:v>model_interpolation</x:v>
      </x:c>
      <x:c r="U424" s="34" t="str">
        <x:v>Linear interpolation from 2026 to 2030</x:v>
      </x:c>
      <x:c r="V424" s="34" t="str">
        <x:v>CAND-7F0A690E87B72D</x:v>
      </x:c>
      <x:c r="W424" s="34" t="str">
        <x:v>P2</x:v>
      </x:c>
      <x:c r="X424" s="34" t="str">
        <x:v>PORT-8384667F6B8E</x:v>
      </x:c>
      <x:c r="Y424" s="34" t="n">
        <x:v>1000</x:v>
      </x:c>
      <x:c r="Z424" s="34" t="n">
        <x:v>54.341279</x:v>
      </x:c>
      <x:c r="AA424" s="34" t="n">
        <x:v>16.535826</x:v>
      </x:c>
      <x:c r="AB424" s="34" t="n">
        <x:v>96.451092</x:v>
      </x:c>
      <x:c r="AC424" s="34" t="n">
        <x:v>5119.663</x:v>
      </x:c>
      <x:c r="AD424" s="34" t="n">
        <x:v>53.080408</x:v>
      </x:c>
      <x:c r="AE424" s="40" t="b">
        <x:v>1</x:v>
      </x:c>
      <x:c r="AF424" s="40" t="b">
        <x:v>1</x:v>
      </x:c>
      <x:c r="AG424" s="34" t="str"/>
      <x:c r="AH424" s="34" t="n">
        <x:v>0</x:v>
      </x:c>
      <x:c r="AI424" s="34" t="str">
        <x:v>9.990856690045291e-05</x:v>
      </x:c>
      <x:c r="AJ424" s="40" t="b">
        <x:v>1</x:v>
      </x:c>
      <x:c r="AK424" s="40" t="b">
        <x:v>1</x:v>
      </x:c>
      <x:c r="AL424" s="40" t="b">
        <x:v>1</x:v>
      </x:c>
      <x:c r="AM424" s="40" t="b">
        <x:v>1</x:v>
      </x:c>
      <x:c r="AN424" s="34" t="str"/>
      <x:c r="AO424" s="34" t="n">
        <x:v>0</x:v>
      </x:c>
      <x:c r="AP424" s="34" t="n">
        <x:v>0</x:v>
      </x:c>
      <x:c r="AQ424" s="34" t="n">
        <x:v>0</x:v>
      </x:c>
      <x:c r="AR424" s="34" t="n">
        <x:v>1</x:v>
      </x:c>
      <x:c r="AS424" s="34" t="n">
        <x:v>1</x:v>
      </x:c>
      <x:c r="AT424" s="34" t="n">
        <x:v>0.28332</x:v>
      </x:c>
      <x:c r="AU424" s="34" t="n">
        <x:v>0.6</x:v>
      </x:c>
      <x:c r="AV424" s="34" t="n">
        <x:v>1.06</x:v>
      </x:c>
    </x:row>
    <x:row r="425">
      <x:c r="A425" s="34" t="str">
        <x:v>KOBE_STEEL_JP</x:v>
      </x:c>
      <x:c r="B425" s="34" t="str">
        <x:v>Kobe Steel</x:v>
      </x:c>
      <x:c r="C425" s="34" t="str">
        <x:v>DISCLOSED_PATH</x:v>
      </x:c>
      <x:c r="D425" s="34" t="str">
        <x:v>P2</x:v>
      </x:c>
      <x:c r="E425" s="34" t="n">
        <x:v>2029</x:v>
      </x:c>
      <x:c r="F425" s="34" t="n">
        <x:v>1</x:v>
      </x:c>
      <x:c r="G425" s="34" t="n">
        <x:v>2.655</x:v>
      </x:c>
      <x:c r="H425" s="34" t="n">
        <x:v>3.5</x:v>
      </x:c>
      <x:c r="I425" s="34" t="n">
        <x:v>0.845</x:v>
      </x:c>
      <x:c r="J425" s="34" t="n">
        <x:v>75.857</x:v>
      </x:c>
      <x:c r="K425" s="34" t="n">
        <x:v>0</x:v>
      </x:c>
      <x:c r="L425" s="34" t="n">
        <x:v>0.22499999999999998</x:v>
      </x:c>
      <x:c r="M425" s="34" t="n">
        <x:v>0.225</x:v>
      </x:c>
      <x:c r="N425" s="34" t="n">
        <x:v>0</x:v>
      </x:c>
      <x:c r="O425" s="34" t="n">
        <x:v>1.652</x:v>
      </x:c>
      <x:c r="P425" s="34" t="n">
        <x:v>2.45</x:v>
      </x:c>
      <x:c r="Q425" s="34" t="n">
        <x:v>0.798</x:v>
      </x:c>
      <x:c r="R425" s="34" t="n">
        <x:v>67.429</x:v>
      </x:c>
      <x:c r="S425" s="40" t="b">
        <x:v>1</x:v>
      </x:c>
      <x:c r="T425" s="34" t="str">
        <x:v>model_interpolation</x:v>
      </x:c>
      <x:c r="U425" s="34" t="str">
        <x:v>Linear interpolation from 2026 to 2030</x:v>
      </x:c>
      <x:c r="V425" s="34" t="str">
        <x:v>CAND-7F0A690E87B72D</x:v>
      </x:c>
      <x:c r="W425" s="34" t="str">
        <x:v>P2</x:v>
      </x:c>
      <x:c r="X425" s="34" t="str">
        <x:v>PORT-8384667F6B8E</x:v>
      </x:c>
      <x:c r="Y425" s="34" t="n">
        <x:v>1000</x:v>
      </x:c>
      <x:c r="Z425" s="34" t="n">
        <x:v>54.341279</x:v>
      </x:c>
      <x:c r="AA425" s="34" t="n">
        <x:v>16.535826</x:v>
      </x:c>
      <x:c r="AB425" s="34" t="n">
        <x:v>96.451092</x:v>
      </x:c>
      <x:c r="AC425" s="34" t="n">
        <x:v>5119.663</x:v>
      </x:c>
      <x:c r="AD425" s="34" t="n">
        <x:v>53.080408</x:v>
      </x:c>
      <x:c r="AE425" s="40" t="b">
        <x:v>1</x:v>
      </x:c>
      <x:c r="AF425" s="40" t="b">
        <x:v>1</x:v>
      </x:c>
      <x:c r="AG425" s="34" t="str"/>
      <x:c r="AH425" s="34" t="n">
        <x:v>0</x:v>
      </x:c>
      <x:c r="AI425" s="34" t="str">
        <x:v>9.990856690045291e-05</x:v>
      </x:c>
      <x:c r="AJ425" s="40" t="b">
        <x:v>1</x:v>
      </x:c>
      <x:c r="AK425" s="40" t="b">
        <x:v>1</x:v>
      </x:c>
      <x:c r="AL425" s="40" t="b">
        <x:v>1</x:v>
      </x:c>
      <x:c r="AM425" s="40" t="b">
        <x:v>1</x:v>
      </x:c>
      <x:c r="AN425" s="34" t="str"/>
      <x:c r="AO425" s="34" t="n">
        <x:v>0</x:v>
      </x:c>
      <x:c r="AP425" s="34" t="n">
        <x:v>0</x:v>
      </x:c>
      <x:c r="AQ425" s="34" t="n">
        <x:v>0</x:v>
      </x:c>
      <x:c r="AR425" s="34" t="n">
        <x:v>1</x:v>
      </x:c>
      <x:c r="AS425" s="34" t="n">
        <x:v>1</x:v>
      </x:c>
      <x:c r="AT425" s="34" t="n">
        <x:v>0.28332</x:v>
      </x:c>
      <x:c r="AU425" s="34" t="n">
        <x:v>0.6</x:v>
      </x:c>
      <x:c r="AV425" s="34" t="n">
        <x:v>1.06</x:v>
      </x:c>
    </x:row>
    <x:row r="426">
      <x:c r="A426" s="34" t="str">
        <x:v>KOBE_STEEL_JP</x:v>
      </x:c>
      <x:c r="B426" s="34" t="str">
        <x:v>Kobe Steel</x:v>
      </x:c>
      <x:c r="C426" s="34" t="str">
        <x:v>DISCLOSED_PATH</x:v>
      </x:c>
      <x:c r="D426" s="34" t="str">
        <x:v>P2</x:v>
      </x:c>
      <x:c r="E426" s="34" t="n">
        <x:v>2030</x:v>
      </x:c>
      <x:c r="F426" s="34" t="n">
        <x:v>1</x:v>
      </x:c>
      <x:c r="G426" s="34" t="n">
        <x:v>2.655</x:v>
      </x:c>
      <x:c r="H426" s="34" t="n">
        <x:v>4</x:v>
      </x:c>
      <x:c r="I426" s="34" t="n">
        <x:v>1.345</x:v>
      </x:c>
      <x:c r="J426" s="34" t="n">
        <x:v>66.375</x:v>
      </x:c>
      <x:c r="K426" s="34" t="n">
        <x:v>0</x:v>
      </x:c>
      <x:c r="L426" s="34" t="n">
        <x:v>0.3</x:v>
      </x:c>
      <x:c r="M426" s="34" t="n">
        <x:v>0.3</x:v>
      </x:c>
      <x:c r="N426" s="34" t="n">
        <x:v>0</x:v>
      </x:c>
      <x:c r="O426" s="34" t="n">
        <x:v>1.652</x:v>
      </x:c>
      <x:c r="P426" s="34" t="n">
        <x:v>3</x:v>
      </x:c>
      <x:c r="Q426" s="34" t="n">
        <x:v>1.348</x:v>
      </x:c>
      <x:c r="R426" s="34" t="n">
        <x:v>55.067</x:v>
      </x:c>
      <x:c r="S426" s="40" t="b">
        <x:v>1</x:v>
      </x:c>
      <x:c r="T426" s="34" t="str">
        <x:v>model_interpolation</x:v>
      </x:c>
      <x:c r="U426" s="34" t="str">
        <x:v>Linear interpolation from 2030 to 2035</x:v>
      </x:c>
      <x:c r="V426" s="34" t="str">
        <x:v>CAND-7F0A690E87B72D</x:v>
      </x:c>
      <x:c r="W426" s="34" t="str">
        <x:v>P2</x:v>
      </x:c>
      <x:c r="X426" s="34" t="str">
        <x:v>PORT-8384667F6B8E</x:v>
      </x:c>
      <x:c r="Y426" s="34" t="n">
        <x:v>1000</x:v>
      </x:c>
      <x:c r="Z426" s="34" t="n">
        <x:v>54.341279</x:v>
      </x:c>
      <x:c r="AA426" s="34" t="n">
        <x:v>16.535826</x:v>
      </x:c>
      <x:c r="AB426" s="34" t="n">
        <x:v>96.451092</x:v>
      </x:c>
      <x:c r="AC426" s="34" t="n">
        <x:v>5119.663</x:v>
      </x:c>
      <x:c r="AD426" s="34" t="n">
        <x:v>53.080408</x:v>
      </x:c>
      <x:c r="AE426" s="40" t="b">
        <x:v>1</x:v>
      </x:c>
      <x:c r="AF426" s="40" t="b">
        <x:v>1</x:v>
      </x:c>
      <x:c r="AG426" s="34" t="str"/>
      <x:c r="AH426" s="34" t="n">
        <x:v>0</x:v>
      </x:c>
      <x:c r="AI426" s="34" t="str">
        <x:v>9.990856690045291e-05</x:v>
      </x:c>
      <x:c r="AJ426" s="40" t="b">
        <x:v>1</x:v>
      </x:c>
      <x:c r="AK426" s="40" t="b">
        <x:v>1</x:v>
      </x:c>
      <x:c r="AL426" s="40" t="b">
        <x:v>1</x:v>
      </x:c>
      <x:c r="AM426" s="40" t="b">
        <x:v>1</x:v>
      </x:c>
      <x:c r="AN426" s="34" t="str"/>
      <x:c r="AO426" s="34" t="n">
        <x:v>0</x:v>
      </x:c>
      <x:c r="AP426" s="34" t="n">
        <x:v>0</x:v>
      </x:c>
      <x:c r="AQ426" s="34" t="n">
        <x:v>0</x:v>
      </x:c>
      <x:c r="AR426" s="34" t="n">
        <x:v>1</x:v>
      </x:c>
      <x:c r="AS426" s="34" t="n">
        <x:v>1</x:v>
      </x:c>
      <x:c r="AT426" s="34" t="n">
        <x:v>0.28332</x:v>
      </x:c>
      <x:c r="AU426" s="34" t="n">
        <x:v>0.6</x:v>
      </x:c>
      <x:c r="AV426" s="34" t="n">
        <x:v>1.06</x:v>
      </x:c>
    </x:row>
    <x:row r="427">
      <x:c r="A427" s="34" t="str">
        <x:v>KOBE_STEEL_JP</x:v>
      </x:c>
      <x:c r="B427" s="34" t="str">
        <x:v>Kobe Steel</x:v>
      </x:c>
      <x:c r="C427" s="34" t="str">
        <x:v>DISCLOSED_PATH</x:v>
      </x:c>
      <x:c r="D427" s="34" t="str">
        <x:v>P2</x:v>
      </x:c>
      <x:c r="E427" s="34" t="n">
        <x:v>2031</x:v>
      </x:c>
      <x:c r="F427" s="34" t="n">
        <x:v>1</x:v>
      </x:c>
      <x:c r="G427" s="34" t="n">
        <x:v>2.655</x:v>
      </x:c>
      <x:c r="H427" s="34" t="n">
        <x:v>4</x:v>
      </x:c>
      <x:c r="I427" s="34" t="n">
        <x:v>1.345</x:v>
      </x:c>
      <x:c r="J427" s="34" t="n">
        <x:v>66.375</x:v>
      </x:c>
      <x:c r="K427" s="34" t="n">
        <x:v>0</x:v>
      </x:c>
      <x:c r="L427" s="34" t="n">
        <x:v>0.32</x:v>
      </x:c>
      <x:c r="M427" s="34" t="n">
        <x:v>0.32</x:v>
      </x:c>
      <x:c r="N427" s="34" t="n">
        <x:v>0</x:v>
      </x:c>
      <x:c r="O427" s="34" t="n">
        <x:v>1.652</x:v>
      </x:c>
      <x:c r="P427" s="34" t="n">
        <x:v>3</x:v>
      </x:c>
      <x:c r="Q427" s="34" t="n">
        <x:v>1.348</x:v>
      </x:c>
      <x:c r="R427" s="34" t="n">
        <x:v>55.067</x:v>
      </x:c>
      <x:c r="S427" s="40" t="b">
        <x:v>1</x:v>
      </x:c>
      <x:c r="T427" s="34" t="str">
        <x:v>model_interpolation</x:v>
      </x:c>
      <x:c r="U427" s="34" t="str">
        <x:v>Linear interpolation from 2030 to 2035</x:v>
      </x:c>
      <x:c r="V427" s="34" t="str">
        <x:v>CAND-7F0A690E87B72D</x:v>
      </x:c>
      <x:c r="W427" s="34" t="str">
        <x:v>P2</x:v>
      </x:c>
      <x:c r="X427" s="34" t="str">
        <x:v>PORT-8384667F6B8E</x:v>
      </x:c>
      <x:c r="Y427" s="34" t="n">
        <x:v>1000</x:v>
      </x:c>
      <x:c r="Z427" s="34" t="n">
        <x:v>54.341279</x:v>
      </x:c>
      <x:c r="AA427" s="34" t="n">
        <x:v>16.535826</x:v>
      </x:c>
      <x:c r="AB427" s="34" t="n">
        <x:v>96.451092</x:v>
      </x:c>
      <x:c r="AC427" s="34" t="n">
        <x:v>5119.663</x:v>
      </x:c>
      <x:c r="AD427" s="34" t="n">
        <x:v>53.080408</x:v>
      </x:c>
      <x:c r="AE427" s="40" t="b">
        <x:v>1</x:v>
      </x:c>
      <x:c r="AF427" s="40" t="b">
        <x:v>1</x:v>
      </x:c>
      <x:c r="AG427" s="34" t="str"/>
      <x:c r="AH427" s="34" t="n">
        <x:v>0</x:v>
      </x:c>
      <x:c r="AI427" s="34" t="str">
        <x:v>9.990856690045291e-05</x:v>
      </x:c>
      <x:c r="AJ427" s="40" t="b">
        <x:v>1</x:v>
      </x:c>
      <x:c r="AK427" s="40" t="b">
        <x:v>1</x:v>
      </x:c>
      <x:c r="AL427" s="40" t="b">
        <x:v>1</x:v>
      </x:c>
      <x:c r="AM427" s="40" t="b">
        <x:v>1</x:v>
      </x:c>
      <x:c r="AN427" s="34" t="str"/>
      <x:c r="AO427" s="34" t="n">
        <x:v>0</x:v>
      </x:c>
      <x:c r="AP427" s="34" t="n">
        <x:v>0</x:v>
      </x:c>
      <x:c r="AQ427" s="34" t="n">
        <x:v>0</x:v>
      </x:c>
      <x:c r="AR427" s="34" t="n">
        <x:v>1</x:v>
      </x:c>
      <x:c r="AS427" s="34" t="n">
        <x:v>1</x:v>
      </x:c>
      <x:c r="AT427" s="34" t="n">
        <x:v>0.28332</x:v>
      </x:c>
      <x:c r="AU427" s="34" t="n">
        <x:v>0.6</x:v>
      </x:c>
      <x:c r="AV427" s="34" t="n">
        <x:v>1.06</x:v>
      </x:c>
    </x:row>
    <x:row r="428">
      <x:c r="A428" s="34" t="str">
        <x:v>KOBE_STEEL_JP</x:v>
      </x:c>
      <x:c r="B428" s="34" t="str">
        <x:v>Kobe Steel</x:v>
      </x:c>
      <x:c r="C428" s="34" t="str">
        <x:v>DISCLOSED_PATH</x:v>
      </x:c>
      <x:c r="D428" s="34" t="str">
        <x:v>P2</x:v>
      </x:c>
      <x:c r="E428" s="34" t="n">
        <x:v>2032</x:v>
      </x:c>
      <x:c r="F428" s="34" t="n">
        <x:v>1</x:v>
      </x:c>
      <x:c r="G428" s="34" t="n">
        <x:v>2.655</x:v>
      </x:c>
      <x:c r="H428" s="34" t="n">
        <x:v>4</x:v>
      </x:c>
      <x:c r="I428" s="34" t="n">
        <x:v>1.345</x:v>
      </x:c>
      <x:c r="J428" s="34" t="n">
        <x:v>66.375</x:v>
      </x:c>
      <x:c r="K428" s="34" t="n">
        <x:v>0</x:v>
      </x:c>
      <x:c r="L428" s="34" t="n">
        <x:v>0.34</x:v>
      </x:c>
      <x:c r="M428" s="34" t="n">
        <x:v>0.34</x:v>
      </x:c>
      <x:c r="N428" s="34" t="n">
        <x:v>0</x:v>
      </x:c>
      <x:c r="O428" s="34" t="n">
        <x:v>1.652</x:v>
      </x:c>
      <x:c r="P428" s="34" t="n">
        <x:v>3</x:v>
      </x:c>
      <x:c r="Q428" s="34" t="n">
        <x:v>1.348</x:v>
      </x:c>
      <x:c r="R428" s="34" t="n">
        <x:v>55.067</x:v>
      </x:c>
      <x:c r="S428" s="40" t="b">
        <x:v>1</x:v>
      </x:c>
      <x:c r="T428" s="34" t="str">
        <x:v>model_interpolation</x:v>
      </x:c>
      <x:c r="U428" s="34" t="str">
        <x:v>Linear interpolation from 2030 to 2035</x:v>
      </x:c>
      <x:c r="V428" s="34" t="str">
        <x:v>CAND-7F0A690E87B72D</x:v>
      </x:c>
      <x:c r="W428" s="34" t="str">
        <x:v>P2</x:v>
      </x:c>
      <x:c r="X428" s="34" t="str">
        <x:v>PORT-8384667F6B8E</x:v>
      </x:c>
      <x:c r="Y428" s="34" t="n">
        <x:v>1000</x:v>
      </x:c>
      <x:c r="Z428" s="34" t="n">
        <x:v>54.341279</x:v>
      </x:c>
      <x:c r="AA428" s="34" t="n">
        <x:v>16.535826</x:v>
      </x:c>
      <x:c r="AB428" s="34" t="n">
        <x:v>96.451092</x:v>
      </x:c>
      <x:c r="AC428" s="34" t="n">
        <x:v>5119.663</x:v>
      </x:c>
      <x:c r="AD428" s="34" t="n">
        <x:v>53.080408</x:v>
      </x:c>
      <x:c r="AE428" s="40" t="b">
        <x:v>1</x:v>
      </x:c>
      <x:c r="AF428" s="40" t="b">
        <x:v>1</x:v>
      </x:c>
      <x:c r="AG428" s="34" t="str"/>
      <x:c r="AH428" s="34" t="n">
        <x:v>0</x:v>
      </x:c>
      <x:c r="AI428" s="34" t="str">
        <x:v>9.990856690045291e-05</x:v>
      </x:c>
      <x:c r="AJ428" s="40" t="b">
        <x:v>1</x:v>
      </x:c>
      <x:c r="AK428" s="40" t="b">
        <x:v>1</x:v>
      </x:c>
      <x:c r="AL428" s="40" t="b">
        <x:v>1</x:v>
      </x:c>
      <x:c r="AM428" s="40" t="b">
        <x:v>1</x:v>
      </x:c>
      <x:c r="AN428" s="34" t="str"/>
      <x:c r="AO428" s="34" t="n">
        <x:v>0</x:v>
      </x:c>
      <x:c r="AP428" s="34" t="n">
        <x:v>0</x:v>
      </x:c>
      <x:c r="AQ428" s="34" t="n">
        <x:v>0</x:v>
      </x:c>
      <x:c r="AR428" s="34" t="n">
        <x:v>1</x:v>
      </x:c>
      <x:c r="AS428" s="34" t="n">
        <x:v>1</x:v>
      </x:c>
      <x:c r="AT428" s="34" t="n">
        <x:v>0.28332</x:v>
      </x:c>
      <x:c r="AU428" s="34" t="n">
        <x:v>0.6</x:v>
      </x:c>
      <x:c r="AV428" s="34" t="n">
        <x:v>1.06</x:v>
      </x:c>
    </x:row>
    <x:row r="429">
      <x:c r="A429" s="34" t="str">
        <x:v>KOBE_STEEL_JP</x:v>
      </x:c>
      <x:c r="B429" s="34" t="str">
        <x:v>Kobe Steel</x:v>
      </x:c>
      <x:c r="C429" s="34" t="str">
        <x:v>DISCLOSED_PATH</x:v>
      </x:c>
      <x:c r="D429" s="34" t="str">
        <x:v>P2</x:v>
      </x:c>
      <x:c r="E429" s="34" t="n">
        <x:v>2033</x:v>
      </x:c>
      <x:c r="F429" s="34" t="n">
        <x:v>2</x:v>
      </x:c>
      <x:c r="G429" s="34" t="n">
        <x:v>2.745</x:v>
      </x:c>
      <x:c r="H429" s="34" t="n">
        <x:v>4</x:v>
      </x:c>
      <x:c r="I429" s="34" t="n">
        <x:v>1.255</x:v>
      </x:c>
      <x:c r="J429" s="34" t="n">
        <x:v>68.625</x:v>
      </x:c>
      <x:c r="K429" s="34" t="n">
        <x:v>0</x:v>
      </x:c>
      <x:c r="L429" s="34" t="n">
        <x:v>0.36</x:v>
      </x:c>
      <x:c r="M429" s="34" t="n">
        <x:v>0.36</x:v>
      </x:c>
      <x:c r="N429" s="34" t="n">
        <x:v>0</x:v>
      </x:c>
      <x:c r="O429" s="34" t="n">
        <x:v>1.654</x:v>
      </x:c>
      <x:c r="P429" s="34" t="n">
        <x:v>3</x:v>
      </x:c>
      <x:c r="Q429" s="34" t="n">
        <x:v>1.346</x:v>
      </x:c>
      <x:c r="R429" s="34" t="n">
        <x:v>55.133</x:v>
      </x:c>
      <x:c r="S429" s="40" t="b">
        <x:v>1</x:v>
      </x:c>
      <x:c r="T429" s="34" t="str">
        <x:v>model_interpolation</x:v>
      </x:c>
      <x:c r="U429" s="34" t="str">
        <x:v>Linear interpolation from 2030 to 2035</x:v>
      </x:c>
      <x:c r="V429" s="34" t="str">
        <x:v>CAND-7F0A690E87B72D</x:v>
      </x:c>
      <x:c r="W429" s="34" t="str">
        <x:v>P2</x:v>
      </x:c>
      <x:c r="X429" s="34" t="str">
        <x:v>PORT-8384667F6B8E</x:v>
      </x:c>
      <x:c r="Y429" s="34" t="n">
        <x:v>1000</x:v>
      </x:c>
      <x:c r="Z429" s="34" t="n">
        <x:v>54.341279</x:v>
      </x:c>
      <x:c r="AA429" s="34" t="n">
        <x:v>16.535826</x:v>
      </x:c>
      <x:c r="AB429" s="34" t="n">
        <x:v>96.451092</x:v>
      </x:c>
      <x:c r="AC429" s="34" t="n">
        <x:v>5119.663</x:v>
      </x:c>
      <x:c r="AD429" s="34" t="n">
        <x:v>53.080408</x:v>
      </x:c>
      <x:c r="AE429" s="40" t="b">
        <x:v>1</x:v>
      </x:c>
      <x:c r="AF429" s="40" t="b">
        <x:v>1</x:v>
      </x:c>
      <x:c r="AG429" s="34" t="str"/>
      <x:c r="AH429" s="34" t="n">
        <x:v>0</x:v>
      </x:c>
      <x:c r="AI429" s="34" t="str">
        <x:v>9.990856690045291e-05</x:v>
      </x:c>
      <x:c r="AJ429" s="40" t="b">
        <x:v>1</x:v>
      </x:c>
      <x:c r="AK429" s="40" t="b">
        <x:v>1</x:v>
      </x:c>
      <x:c r="AL429" s="40" t="b">
        <x:v>1</x:v>
      </x:c>
      <x:c r="AM429" s="40" t="b">
        <x:v>1</x:v>
      </x:c>
      <x:c r="AN429" s="34" t="str"/>
      <x:c r="AO429" s="34" t="n">
        <x:v>0</x:v>
      </x:c>
      <x:c r="AP429" s="34" t="n">
        <x:v>0</x:v>
      </x:c>
      <x:c r="AQ429" s="34" t="n">
        <x:v>0</x:v>
      </x:c>
      <x:c r="AR429" s="34" t="n">
        <x:v>1</x:v>
      </x:c>
      <x:c r="AS429" s="34" t="n">
        <x:v>1</x:v>
      </x:c>
      <x:c r="AT429" s="34" t="n">
        <x:v>0.28332</x:v>
      </x:c>
      <x:c r="AU429" s="34" t="n">
        <x:v>0.6</x:v>
      </x:c>
      <x:c r="AV429" s="34" t="n">
        <x:v>1.06</x:v>
      </x:c>
    </x:row>
    <x:row r="430">
      <x:c r="A430" s="34" t="str">
        <x:v>KOBE_STEEL_JP</x:v>
      </x:c>
      <x:c r="B430" s="34" t="str">
        <x:v>Kobe Steel</x:v>
      </x:c>
      <x:c r="C430" s="34" t="str">
        <x:v>DISCLOSED_PATH</x:v>
      </x:c>
      <x:c r="D430" s="34" t="str">
        <x:v>P2</x:v>
      </x:c>
      <x:c r="E430" s="34" t="n">
        <x:v>2034</x:v>
      </x:c>
      <x:c r="F430" s="34" t="n">
        <x:v>2</x:v>
      </x:c>
      <x:c r="G430" s="34" t="n">
        <x:v>2.745</x:v>
      </x:c>
      <x:c r="H430" s="34" t="n">
        <x:v>4</x:v>
      </x:c>
      <x:c r="I430" s="34" t="n">
        <x:v>1.255</x:v>
      </x:c>
      <x:c r="J430" s="34" t="n">
        <x:v>68.625</x:v>
      </x:c>
      <x:c r="K430" s="34" t="n">
        <x:v>0</x:v>
      </x:c>
      <x:c r="L430" s="34" t="n">
        <x:v>0.38</x:v>
      </x:c>
      <x:c r="M430" s="34" t="n">
        <x:v>0.38</x:v>
      </x:c>
      <x:c r="N430" s="34" t="n">
        <x:v>0</x:v>
      </x:c>
      <x:c r="O430" s="34" t="n">
        <x:v>1.654</x:v>
      </x:c>
      <x:c r="P430" s="34" t="n">
        <x:v>3</x:v>
      </x:c>
      <x:c r="Q430" s="34" t="n">
        <x:v>1.346</x:v>
      </x:c>
      <x:c r="R430" s="34" t="n">
        <x:v>55.133</x:v>
      </x:c>
      <x:c r="S430" s="40" t="b">
        <x:v>1</x:v>
      </x:c>
      <x:c r="T430" s="34" t="str">
        <x:v>model_interpolation</x:v>
      </x:c>
      <x:c r="U430" s="34" t="str">
        <x:v>Linear interpolation from 2030 to 2035</x:v>
      </x:c>
      <x:c r="V430" s="34" t="str">
        <x:v>CAND-7F0A690E87B72D</x:v>
      </x:c>
      <x:c r="W430" s="34" t="str">
        <x:v>P2</x:v>
      </x:c>
      <x:c r="X430" s="34" t="str">
        <x:v>PORT-8384667F6B8E</x:v>
      </x:c>
      <x:c r="Y430" s="34" t="n">
        <x:v>1000</x:v>
      </x:c>
      <x:c r="Z430" s="34" t="n">
        <x:v>54.341279</x:v>
      </x:c>
      <x:c r="AA430" s="34" t="n">
        <x:v>16.535826</x:v>
      </x:c>
      <x:c r="AB430" s="34" t="n">
        <x:v>96.451092</x:v>
      </x:c>
      <x:c r="AC430" s="34" t="n">
        <x:v>5119.663</x:v>
      </x:c>
      <x:c r="AD430" s="34" t="n">
        <x:v>53.080408</x:v>
      </x:c>
      <x:c r="AE430" s="40" t="b">
        <x:v>1</x:v>
      </x:c>
      <x:c r="AF430" s="40" t="b">
        <x:v>1</x:v>
      </x:c>
      <x:c r="AG430" s="34" t="str"/>
      <x:c r="AH430" s="34" t="n">
        <x:v>0</x:v>
      </x:c>
      <x:c r="AI430" s="34" t="str">
        <x:v>9.990856690045291e-05</x:v>
      </x:c>
      <x:c r="AJ430" s="40" t="b">
        <x:v>1</x:v>
      </x:c>
      <x:c r="AK430" s="40" t="b">
        <x:v>1</x:v>
      </x:c>
      <x:c r="AL430" s="40" t="b">
        <x:v>1</x:v>
      </x:c>
      <x:c r="AM430" s="40" t="b">
        <x:v>1</x:v>
      </x:c>
      <x:c r="AN430" s="34" t="str"/>
      <x:c r="AO430" s="34" t="n">
        <x:v>0</x:v>
      </x:c>
      <x:c r="AP430" s="34" t="n">
        <x:v>0</x:v>
      </x:c>
      <x:c r="AQ430" s="34" t="n">
        <x:v>0</x:v>
      </x:c>
      <x:c r="AR430" s="34" t="n">
        <x:v>1</x:v>
      </x:c>
      <x:c r="AS430" s="34" t="n">
        <x:v>1</x:v>
      </x:c>
      <x:c r="AT430" s="34" t="n">
        <x:v>0.28332</x:v>
      </x:c>
      <x:c r="AU430" s="34" t="n">
        <x:v>0.6</x:v>
      </x:c>
      <x:c r="AV430" s="34" t="n">
        <x:v>1.06</x:v>
      </x:c>
    </x:row>
    <x:row r="431">
      <x:c r="A431" s="34" t="str">
        <x:v>KOBE_STEEL_JP</x:v>
      </x:c>
      <x:c r="B431" s="34" t="str">
        <x:v>Kobe Steel</x:v>
      </x:c>
      <x:c r="C431" s="34" t="str">
        <x:v>DISCLOSED_PATH</x:v>
      </x:c>
      <x:c r="D431" s="34" t="str">
        <x:v>P2</x:v>
      </x:c>
      <x:c r="E431" s="34" t="n">
        <x:v>2035</x:v>
      </x:c>
      <x:c r="F431" s="34" t="n">
        <x:v>2</x:v>
      </x:c>
      <x:c r="G431" s="34" t="n">
        <x:v>2.745</x:v>
      </x:c>
      <x:c r="H431" s="34" t="n">
        <x:v>4</x:v>
      </x:c>
      <x:c r="I431" s="34" t="n">
        <x:v>1.255</x:v>
      </x:c>
      <x:c r="J431" s="34" t="n">
        <x:v>68.625</x:v>
      </x:c>
      <x:c r="K431" s="34" t="n">
        <x:v>0</x:v>
      </x:c>
      <x:c r="L431" s="34" t="n">
        <x:v>0.4</x:v>
      </x:c>
      <x:c r="M431" s="34" t="n">
        <x:v>0.4</x:v>
      </x:c>
      <x:c r="N431" s="34" t="n">
        <x:v>0</x:v>
      </x:c>
      <x:c r="O431" s="34" t="n">
        <x:v>1.654</x:v>
      </x:c>
      <x:c r="P431" s="34" t="n">
        <x:v>3</x:v>
      </x:c>
      <x:c r="Q431" s="34" t="n">
        <x:v>1.346</x:v>
      </x:c>
      <x:c r="R431" s="34" t="n">
        <x:v>55.133</x:v>
      </x:c>
      <x:c r="S431" s="40" t="b">
        <x:v>1</x:v>
      </x:c>
      <x:c r="T431" s="34" t="str">
        <x:v>model_interpolation</x:v>
      </x:c>
      <x:c r="U431" s="34" t="str">
        <x:v>Linear interpolation from 2035 to 2040</x:v>
      </x:c>
      <x:c r="V431" s="34" t="str">
        <x:v>CAND-7F0A690E87B72D</x:v>
      </x:c>
      <x:c r="W431" s="34" t="str">
        <x:v>P2</x:v>
      </x:c>
      <x:c r="X431" s="34" t="str">
        <x:v>PORT-8384667F6B8E</x:v>
      </x:c>
      <x:c r="Y431" s="34" t="n">
        <x:v>1000</x:v>
      </x:c>
      <x:c r="Z431" s="34" t="n">
        <x:v>54.341279</x:v>
      </x:c>
      <x:c r="AA431" s="34" t="n">
        <x:v>16.535826</x:v>
      </x:c>
      <x:c r="AB431" s="34" t="n">
        <x:v>96.451092</x:v>
      </x:c>
      <x:c r="AC431" s="34" t="n">
        <x:v>5119.663</x:v>
      </x:c>
      <x:c r="AD431" s="34" t="n">
        <x:v>53.080408</x:v>
      </x:c>
      <x:c r="AE431" s="40" t="b">
        <x:v>1</x:v>
      </x:c>
      <x:c r="AF431" s="40" t="b">
        <x:v>1</x:v>
      </x:c>
      <x:c r="AG431" s="34" t="str"/>
      <x:c r="AH431" s="34" t="n">
        <x:v>0</x:v>
      </x:c>
      <x:c r="AI431" s="34" t="str">
        <x:v>9.990856690045291e-05</x:v>
      </x:c>
      <x:c r="AJ431" s="40" t="b">
        <x:v>1</x:v>
      </x:c>
      <x:c r="AK431" s="40" t="b">
        <x:v>1</x:v>
      </x:c>
      <x:c r="AL431" s="40" t="b">
        <x:v>1</x:v>
      </x:c>
      <x:c r="AM431" s="40" t="b">
        <x:v>1</x:v>
      </x:c>
      <x:c r="AN431" s="34" t="str"/>
      <x:c r="AO431" s="34" t="n">
        <x:v>0</x:v>
      </x:c>
      <x:c r="AP431" s="34" t="n">
        <x:v>0</x:v>
      </x:c>
      <x:c r="AQ431" s="34" t="n">
        <x:v>0</x:v>
      </x:c>
      <x:c r="AR431" s="34" t="n">
        <x:v>1</x:v>
      </x:c>
      <x:c r="AS431" s="34" t="n">
        <x:v>1</x:v>
      </x:c>
      <x:c r="AT431" s="34" t="n">
        <x:v>0.28332</x:v>
      </x:c>
      <x:c r="AU431" s="34" t="n">
        <x:v>0.6</x:v>
      </x:c>
      <x:c r="AV431" s="34" t="n">
        <x:v>1.06</x:v>
      </x:c>
    </x:row>
    <x:row r="432">
      <x:c r="A432" s="34" t="str">
        <x:v>KOBE_STEEL_JP</x:v>
      </x:c>
      <x:c r="B432" s="34" t="str">
        <x:v>Kobe Steel</x:v>
      </x:c>
      <x:c r="C432" s="34" t="str">
        <x:v>DISCLOSED_PATH</x:v>
      </x:c>
      <x:c r="D432" s="34" t="str">
        <x:v>P2</x:v>
      </x:c>
      <x:c r="E432" s="34" t="n">
        <x:v>2036</x:v>
      </x:c>
      <x:c r="F432" s="34" t="n">
        <x:v>2</x:v>
      </x:c>
      <x:c r="G432" s="34" t="n">
        <x:v>2.745</x:v>
      </x:c>
      <x:c r="H432" s="34" t="n">
        <x:v>4.2</x:v>
      </x:c>
      <x:c r="I432" s="34" t="n">
        <x:v>1.455</x:v>
      </x:c>
      <x:c r="J432" s="34" t="n">
        <x:v>65.357</x:v>
      </x:c>
      <x:c r="K432" s="34" t="n">
        <x:v>0</x:v>
      </x:c>
      <x:c r="L432" s="34" t="n">
        <x:v>0.48000000000000004</x:v>
      </x:c>
      <x:c r="M432" s="34" t="n">
        <x:v>0.48</x:v>
      </x:c>
      <x:c r="N432" s="34" t="n">
        <x:v>0</x:v>
      </x:c>
      <x:c r="O432" s="34" t="n">
        <x:v>1.654</x:v>
      </x:c>
      <x:c r="P432" s="34" t="n">
        <x:v>3.4</x:v>
      </x:c>
      <x:c r="Q432" s="34" t="n">
        <x:v>1.746</x:v>
      </x:c>
      <x:c r="R432" s="34" t="n">
        <x:v>48.647</x:v>
      </x:c>
      <x:c r="S432" s="40" t="b">
        <x:v>1</x:v>
      </x:c>
      <x:c r="T432" s="34" t="str">
        <x:v>model_interpolation</x:v>
      </x:c>
      <x:c r="U432" s="34" t="str">
        <x:v>Linear interpolation from 2035 to 2040</x:v>
      </x:c>
      <x:c r="V432" s="34" t="str">
        <x:v>CAND-7F0A690E87B72D</x:v>
      </x:c>
      <x:c r="W432" s="34" t="str">
        <x:v>P2</x:v>
      </x:c>
      <x:c r="X432" s="34" t="str">
        <x:v>PORT-8384667F6B8E</x:v>
      </x:c>
      <x:c r="Y432" s="34" t="n">
        <x:v>1000</x:v>
      </x:c>
      <x:c r="Z432" s="34" t="n">
        <x:v>54.341279</x:v>
      </x:c>
      <x:c r="AA432" s="34" t="n">
        <x:v>16.535826</x:v>
      </x:c>
      <x:c r="AB432" s="34" t="n">
        <x:v>96.451092</x:v>
      </x:c>
      <x:c r="AC432" s="34" t="n">
        <x:v>5119.663</x:v>
      </x:c>
      <x:c r="AD432" s="34" t="n">
        <x:v>53.080408</x:v>
      </x:c>
      <x:c r="AE432" s="40" t="b">
        <x:v>1</x:v>
      </x:c>
      <x:c r="AF432" s="40" t="b">
        <x:v>1</x:v>
      </x:c>
      <x:c r="AG432" s="34" t="str"/>
      <x:c r="AH432" s="34" t="n">
        <x:v>0</x:v>
      </x:c>
      <x:c r="AI432" s="34" t="str">
        <x:v>9.990856690045291e-05</x:v>
      </x:c>
      <x:c r="AJ432" s="40" t="b">
        <x:v>1</x:v>
      </x:c>
      <x:c r="AK432" s="40" t="b">
        <x:v>1</x:v>
      </x:c>
      <x:c r="AL432" s="40" t="b">
        <x:v>1</x:v>
      </x:c>
      <x:c r="AM432" s="40" t="b">
        <x:v>1</x:v>
      </x:c>
      <x:c r="AN432" s="34" t="str"/>
      <x:c r="AO432" s="34" t="n">
        <x:v>0</x:v>
      </x:c>
      <x:c r="AP432" s="34" t="n">
        <x:v>0</x:v>
      </x:c>
      <x:c r="AQ432" s="34" t="n">
        <x:v>0</x:v>
      </x:c>
      <x:c r="AR432" s="34" t="n">
        <x:v>1</x:v>
      </x:c>
      <x:c r="AS432" s="34" t="n">
        <x:v>1</x:v>
      </x:c>
      <x:c r="AT432" s="34" t="n">
        <x:v>0.28332</x:v>
      </x:c>
      <x:c r="AU432" s="34" t="n">
        <x:v>0.6</x:v>
      </x:c>
      <x:c r="AV432" s="34" t="n">
        <x:v>1.06</x:v>
      </x:c>
    </x:row>
    <x:row r="433">
      <x:c r="A433" s="34" t="str">
        <x:v>KOBE_STEEL_JP</x:v>
      </x:c>
      <x:c r="B433" s="34" t="str">
        <x:v>Kobe Steel</x:v>
      </x:c>
      <x:c r="C433" s="34" t="str">
        <x:v>DISCLOSED_PATH</x:v>
      </x:c>
      <x:c r="D433" s="34" t="str">
        <x:v>P2</x:v>
      </x:c>
      <x:c r="E433" s="34" t="n">
        <x:v>2037</x:v>
      </x:c>
      <x:c r="F433" s="34" t="n">
        <x:v>3</x:v>
      </x:c>
      <x:c r="G433" s="34" t="n">
        <x:v>3.1815</x:v>
      </x:c>
      <x:c r="H433" s="34" t="n">
        <x:v>4.4</x:v>
      </x:c>
      <x:c r="I433" s="34" t="n">
        <x:v>1.2185</x:v>
      </x:c>
      <x:c r="J433" s="34" t="n">
        <x:v>72.307</x:v>
      </x:c>
      <x:c r="K433" s="34" t="n">
        <x:v>0.16005</x:v>
      </x:c>
      <x:c r="L433" s="34" t="n">
        <x:v>0.56</x:v>
      </x:c>
      <x:c r="M433" s="34" t="n">
        <x:v>0.39995</x:v>
      </x:c>
      <x:c r="N433" s="34" t="n">
        <x:v>28.58</x:v>
      </x:c>
      <x:c r="O433" s="34" t="n">
        <x:v>2.9926</x:v>
      </x:c>
      <x:c r="P433" s="34" t="n">
        <x:v>3.8</x:v>
      </x:c>
      <x:c r="Q433" s="34" t="n">
        <x:v>0.8074</x:v>
      </x:c>
      <x:c r="R433" s="34" t="n">
        <x:v>78.753</x:v>
      </x:c>
      <x:c r="S433" s="40" t="b">
        <x:v>1</x:v>
      </x:c>
      <x:c r="T433" s="34" t="str">
        <x:v>model_interpolation</x:v>
      </x:c>
      <x:c r="U433" s="34" t="str">
        <x:v>Linear interpolation from 2035 to 2040</x:v>
      </x:c>
      <x:c r="V433" s="34" t="str">
        <x:v>CAND-7F0A690E87B72D</x:v>
      </x:c>
      <x:c r="W433" s="34" t="str">
        <x:v>P2</x:v>
      </x:c>
      <x:c r="X433" s="34" t="str">
        <x:v>PORT-8384667F6B8E</x:v>
      </x:c>
      <x:c r="Y433" s="34" t="n">
        <x:v>1000</x:v>
      </x:c>
      <x:c r="Z433" s="34" t="n">
        <x:v>54.341279</x:v>
      </x:c>
      <x:c r="AA433" s="34" t="n">
        <x:v>16.535826</x:v>
      </x:c>
      <x:c r="AB433" s="34" t="n">
        <x:v>96.451092</x:v>
      </x:c>
      <x:c r="AC433" s="34" t="n">
        <x:v>5119.663</x:v>
      </x:c>
      <x:c r="AD433" s="34" t="n">
        <x:v>53.080408</x:v>
      </x:c>
      <x:c r="AE433" s="40" t="b">
        <x:v>1</x:v>
      </x:c>
      <x:c r="AF433" s="40" t="b">
        <x:v>1</x:v>
      </x:c>
      <x:c r="AG433" s="34" t="str"/>
      <x:c r="AH433" s="34" t="n">
        <x:v>0</x:v>
      </x:c>
      <x:c r="AI433" s="34" t="str">
        <x:v>9.990856690045291e-05</x:v>
      </x:c>
      <x:c r="AJ433" s="40" t="b">
        <x:v>1</x:v>
      </x:c>
      <x:c r="AK433" s="40" t="b">
        <x:v>1</x:v>
      </x:c>
      <x:c r="AL433" s="40" t="b">
        <x:v>1</x:v>
      </x:c>
      <x:c r="AM433" s="40" t="b">
        <x:v>1</x:v>
      </x:c>
      <x:c r="AN433" s="34" t="str"/>
      <x:c r="AO433" s="34" t="n">
        <x:v>0</x:v>
      </x:c>
      <x:c r="AP433" s="34" t="n">
        <x:v>0</x:v>
      </x:c>
      <x:c r="AQ433" s="34" t="n">
        <x:v>0</x:v>
      </x:c>
      <x:c r="AR433" s="34" t="n">
        <x:v>1</x:v>
      </x:c>
      <x:c r="AS433" s="34" t="n">
        <x:v>1</x:v>
      </x:c>
      <x:c r="AT433" s="34" t="n">
        <x:v>0.28332</x:v>
      </x:c>
      <x:c r="AU433" s="34" t="n">
        <x:v>0.6</x:v>
      </x:c>
      <x:c r="AV433" s="34" t="n">
        <x:v>1.06</x:v>
      </x:c>
    </x:row>
    <x:row r="434">
      <x:c r="A434" s="34" t="str">
        <x:v>KOBE_STEEL_JP</x:v>
      </x:c>
      <x:c r="B434" s="34" t="str">
        <x:v>Kobe Steel</x:v>
      </x:c>
      <x:c r="C434" s="34" t="str">
        <x:v>DISCLOSED_PATH</x:v>
      </x:c>
      <x:c r="D434" s="34" t="str">
        <x:v>P2</x:v>
      </x:c>
      <x:c r="E434" s="34" t="n">
        <x:v>2038</x:v>
      </x:c>
      <x:c r="F434" s="34" t="n">
        <x:v>3</x:v>
      </x:c>
      <x:c r="G434" s="34" t="n">
        <x:v>3.1815</x:v>
      </x:c>
      <x:c r="H434" s="34" t="n">
        <x:v>4.6</x:v>
      </x:c>
      <x:c r="I434" s="34" t="n">
        <x:v>1.4185</x:v>
      </x:c>
      <x:c r="J434" s="34" t="n">
        <x:v>69.163</x:v>
      </x:c>
      <x:c r="K434" s="34" t="n">
        <x:v>0.16005</x:v>
      </x:c>
      <x:c r="L434" s="34" t="n">
        <x:v>0.64</x:v>
      </x:c>
      <x:c r="M434" s="34" t="n">
        <x:v>0.47995</x:v>
      </x:c>
      <x:c r="N434" s="34" t="n">
        <x:v>25.008</x:v>
      </x:c>
      <x:c r="O434" s="34" t="n">
        <x:v>2.9926</x:v>
      </x:c>
      <x:c r="P434" s="34" t="n">
        <x:v>4.2</x:v>
      </x:c>
      <x:c r="Q434" s="34" t="n">
        <x:v>1.2074</x:v>
      </x:c>
      <x:c r="R434" s="34" t="n">
        <x:v>71.252</x:v>
      </x:c>
      <x:c r="S434" s="40" t="b">
        <x:v>1</x:v>
      </x:c>
      <x:c r="T434" s="34" t="str">
        <x:v>model_interpolation</x:v>
      </x:c>
      <x:c r="U434" s="34" t="str">
        <x:v>Linear interpolation from 2035 to 2040</x:v>
      </x:c>
      <x:c r="V434" s="34" t="str">
        <x:v>CAND-7F0A690E87B72D</x:v>
      </x:c>
      <x:c r="W434" s="34" t="str">
        <x:v>P2</x:v>
      </x:c>
      <x:c r="X434" s="34" t="str">
        <x:v>PORT-8384667F6B8E</x:v>
      </x:c>
      <x:c r="Y434" s="34" t="n">
        <x:v>1000</x:v>
      </x:c>
      <x:c r="Z434" s="34" t="n">
        <x:v>54.341279</x:v>
      </x:c>
      <x:c r="AA434" s="34" t="n">
        <x:v>16.535826</x:v>
      </x:c>
      <x:c r="AB434" s="34" t="n">
        <x:v>96.451092</x:v>
      </x:c>
      <x:c r="AC434" s="34" t="n">
        <x:v>5119.663</x:v>
      </x:c>
      <x:c r="AD434" s="34" t="n">
        <x:v>53.080408</x:v>
      </x:c>
      <x:c r="AE434" s="40" t="b">
        <x:v>1</x:v>
      </x:c>
      <x:c r="AF434" s="40" t="b">
        <x:v>1</x:v>
      </x:c>
      <x:c r="AG434" s="34" t="str"/>
      <x:c r="AH434" s="34" t="n">
        <x:v>0</x:v>
      </x:c>
      <x:c r="AI434" s="34" t="str">
        <x:v>9.990856690045291e-05</x:v>
      </x:c>
      <x:c r="AJ434" s="40" t="b">
        <x:v>1</x:v>
      </x:c>
      <x:c r="AK434" s="40" t="b">
        <x:v>1</x:v>
      </x:c>
      <x:c r="AL434" s="40" t="b">
        <x:v>1</x:v>
      </x:c>
      <x:c r="AM434" s="40" t="b">
        <x:v>1</x:v>
      </x:c>
      <x:c r="AN434" s="34" t="str"/>
      <x:c r="AO434" s="34" t="n">
        <x:v>0</x:v>
      </x:c>
      <x:c r="AP434" s="34" t="n">
        <x:v>0</x:v>
      </x:c>
      <x:c r="AQ434" s="34" t="n">
        <x:v>0</x:v>
      </x:c>
      <x:c r="AR434" s="34" t="n">
        <x:v>1</x:v>
      </x:c>
      <x:c r="AS434" s="34" t="n">
        <x:v>1</x:v>
      </x:c>
      <x:c r="AT434" s="34" t="n">
        <x:v>0.28332</x:v>
      </x:c>
      <x:c r="AU434" s="34" t="n">
        <x:v>0.6</x:v>
      </x:c>
      <x:c r="AV434" s="34" t="n">
        <x:v>1.06</x:v>
      </x:c>
    </x:row>
    <x:row r="435">
      <x:c r="A435" s="34" t="str">
        <x:v>KOBE_STEEL_JP</x:v>
      </x:c>
      <x:c r="B435" s="34" t="str">
        <x:v>Kobe Steel</x:v>
      </x:c>
      <x:c r="C435" s="34" t="str">
        <x:v>DISCLOSED_PATH</x:v>
      </x:c>
      <x:c r="D435" s="34" t="str">
        <x:v>P2</x:v>
      </x:c>
      <x:c r="E435" s="34" t="n">
        <x:v>2039</x:v>
      </x:c>
      <x:c r="F435" s="34" t="n">
        <x:v>3</x:v>
      </x:c>
      <x:c r="G435" s="34" t="n">
        <x:v>3.1815</x:v>
      </x:c>
      <x:c r="H435" s="34" t="n">
        <x:v>4.8</x:v>
      </x:c>
      <x:c r="I435" s="34" t="n">
        <x:v>1.6185</x:v>
      </x:c>
      <x:c r="J435" s="34" t="n">
        <x:v>66.281</x:v>
      </x:c>
      <x:c r="K435" s="34" t="n">
        <x:v>0.16005</x:v>
      </x:c>
      <x:c r="L435" s="34" t="n">
        <x:v>0.7200000000000001</x:v>
      </x:c>
      <x:c r="M435" s="34" t="n">
        <x:v>0.55995</x:v>
      </x:c>
      <x:c r="N435" s="34" t="n">
        <x:v>22.229</x:v>
      </x:c>
      <x:c r="O435" s="34" t="n">
        <x:v>2.9926</x:v>
      </x:c>
      <x:c r="P435" s="34" t="n">
        <x:v>4.6</x:v>
      </x:c>
      <x:c r="Q435" s="34" t="n">
        <x:v>1.6074</x:v>
      </x:c>
      <x:c r="R435" s="34" t="n">
        <x:v>65.057</x:v>
      </x:c>
      <x:c r="S435" s="40" t="b">
        <x:v>1</x:v>
      </x:c>
      <x:c r="T435" s="34" t="str">
        <x:v>model_interpolation</x:v>
      </x:c>
      <x:c r="U435" s="34" t="str">
        <x:v>Linear interpolation from 2035 to 2040</x:v>
      </x:c>
      <x:c r="V435" s="34" t="str">
        <x:v>CAND-7F0A690E87B72D</x:v>
      </x:c>
      <x:c r="W435" s="34" t="str">
        <x:v>P2</x:v>
      </x:c>
      <x:c r="X435" s="34" t="str">
        <x:v>PORT-8384667F6B8E</x:v>
      </x:c>
      <x:c r="Y435" s="34" t="n">
        <x:v>1000</x:v>
      </x:c>
      <x:c r="Z435" s="34" t="n">
        <x:v>54.341279</x:v>
      </x:c>
      <x:c r="AA435" s="34" t="n">
        <x:v>16.535826</x:v>
      </x:c>
      <x:c r="AB435" s="34" t="n">
        <x:v>96.451092</x:v>
      </x:c>
      <x:c r="AC435" s="34" t="n">
        <x:v>5119.663</x:v>
      </x:c>
      <x:c r="AD435" s="34" t="n">
        <x:v>53.080408</x:v>
      </x:c>
      <x:c r="AE435" s="40" t="b">
        <x:v>1</x:v>
      </x:c>
      <x:c r="AF435" s="40" t="b">
        <x:v>1</x:v>
      </x:c>
      <x:c r="AG435" s="34" t="str"/>
      <x:c r="AH435" s="34" t="n">
        <x:v>0</x:v>
      </x:c>
      <x:c r="AI435" s="34" t="str">
        <x:v>9.990856690045291e-05</x:v>
      </x:c>
      <x:c r="AJ435" s="40" t="b">
        <x:v>1</x:v>
      </x:c>
      <x:c r="AK435" s="40" t="b">
        <x:v>1</x:v>
      </x:c>
      <x:c r="AL435" s="40" t="b">
        <x:v>1</x:v>
      </x:c>
      <x:c r="AM435" s="40" t="b">
        <x:v>1</x:v>
      </x:c>
      <x:c r="AN435" s="34" t="str"/>
      <x:c r="AO435" s="34" t="n">
        <x:v>0</x:v>
      </x:c>
      <x:c r="AP435" s="34" t="n">
        <x:v>0</x:v>
      </x:c>
      <x:c r="AQ435" s="34" t="n">
        <x:v>0</x:v>
      </x:c>
      <x:c r="AR435" s="34" t="n">
        <x:v>1</x:v>
      </x:c>
      <x:c r="AS435" s="34" t="n">
        <x:v>1</x:v>
      </x:c>
      <x:c r="AT435" s="34" t="n">
        <x:v>0.28332</x:v>
      </x:c>
      <x:c r="AU435" s="34" t="n">
        <x:v>0.6</x:v>
      </x:c>
      <x:c r="AV435" s="34" t="n">
        <x:v>1.06</x:v>
      </x:c>
    </x:row>
    <x:row r="436">
      <x:c r="A436" s="34" t="str">
        <x:v>KOBE_STEEL_JP</x:v>
      </x:c>
      <x:c r="B436" s="34" t="str">
        <x:v>Kobe Steel</x:v>
      </x:c>
      <x:c r="C436" s="34" t="str">
        <x:v>DISCLOSED_PATH</x:v>
      </x:c>
      <x:c r="D436" s="34" t="str">
        <x:v>P2</x:v>
      </x:c>
      <x:c r="E436" s="34" t="n">
        <x:v>2040</x:v>
      </x:c>
      <x:c r="F436" s="34" t="n">
        <x:v>3</x:v>
      </x:c>
      <x:c r="G436" s="34" t="n">
        <x:v>3.1815</x:v>
      </x:c>
      <x:c r="H436" s="34" t="n">
        <x:v>5</x:v>
      </x:c>
      <x:c r="I436" s="34" t="n">
        <x:v>1.8185</x:v>
      </x:c>
      <x:c r="J436" s="34" t="n">
        <x:v>63.63</x:v>
      </x:c>
      <x:c r="K436" s="34" t="n">
        <x:v>0.16005</x:v>
      </x:c>
      <x:c r="L436" s="34" t="n">
        <x:v>0.8</x:v>
      </x:c>
      <x:c r="M436" s="34" t="n">
        <x:v>0.63995</x:v>
      </x:c>
      <x:c r="N436" s="34" t="n">
        <x:v>20.006</x:v>
      </x:c>
      <x:c r="O436" s="34" t="n">
        <x:v>2.9926</x:v>
      </x:c>
      <x:c r="P436" s="34" t="n">
        <x:v>5</x:v>
      </x:c>
      <x:c r="Q436" s="34" t="n">
        <x:v>2.0074</x:v>
      </x:c>
      <x:c r="R436" s="34" t="n">
        <x:v>59.852</x:v>
      </x:c>
      <x:c r="S436" s="40" t="b">
        <x:v>1</x:v>
      </x:c>
      <x:c r="T436" s="34" t="str">
        <x:v>model_estimate</x:v>
      </x:c>
      <x:c r="U436" s="34" t="str">
        <x:v>Illustrative screening envelope; not an official supply forecast</x:v>
      </x:c>
      <x:c r="V436" s="34" t="str">
        <x:v>CAND-7F0A690E87B72D</x:v>
      </x:c>
      <x:c r="W436" s="34" t="str">
        <x:v>P2</x:v>
      </x:c>
      <x:c r="X436" s="34" t="str">
        <x:v>PORT-8384667F6B8E</x:v>
      </x:c>
      <x:c r="Y436" s="34" t="n">
        <x:v>1000</x:v>
      </x:c>
      <x:c r="Z436" s="34" t="n">
        <x:v>54.341279</x:v>
      </x:c>
      <x:c r="AA436" s="34" t="n">
        <x:v>16.535826</x:v>
      </x:c>
      <x:c r="AB436" s="34" t="n">
        <x:v>96.451092</x:v>
      </x:c>
      <x:c r="AC436" s="34" t="n">
        <x:v>5119.663</x:v>
      </x:c>
      <x:c r="AD436" s="34" t="n">
        <x:v>53.080408</x:v>
      </x:c>
      <x:c r="AE436" s="40" t="b">
        <x:v>1</x:v>
      </x:c>
      <x:c r="AF436" s="40" t="b">
        <x:v>1</x:v>
      </x:c>
      <x:c r="AG436" s="34" t="str"/>
      <x:c r="AH436" s="34" t="n">
        <x:v>0</x:v>
      </x:c>
      <x:c r="AI436" s="34" t="str">
        <x:v>9.990856690045291e-05</x:v>
      </x:c>
      <x:c r="AJ436" s="40" t="b">
        <x:v>1</x:v>
      </x:c>
      <x:c r="AK436" s="40" t="b">
        <x:v>1</x:v>
      </x:c>
      <x:c r="AL436" s="40" t="b">
        <x:v>1</x:v>
      </x:c>
      <x:c r="AM436" s="40" t="b">
        <x:v>1</x:v>
      </x:c>
      <x:c r="AN436" s="34" t="str"/>
      <x:c r="AO436" s="34" t="n">
        <x:v>0</x:v>
      </x:c>
      <x:c r="AP436" s="34" t="n">
        <x:v>0</x:v>
      </x:c>
      <x:c r="AQ436" s="34" t="n">
        <x:v>0</x:v>
      </x:c>
      <x:c r="AR436" s="34" t="n">
        <x:v>1</x:v>
      </x:c>
      <x:c r="AS436" s="34" t="n">
        <x:v>1</x:v>
      </x:c>
      <x:c r="AT436" s="34" t="n">
        <x:v>0.28332</x:v>
      </x:c>
      <x:c r="AU436" s="34" t="n">
        <x:v>0.6</x:v>
      </x:c>
      <x:c r="AV436" s="34" t="n">
        <x:v>1.06</x:v>
      </x:c>
    </x:row>
    <x:row r="437">
      <x:c r="A437" s="34" t="str">
        <x:v>KOBE_STEEL_JP</x:v>
      </x:c>
      <x:c r="B437" s="34" t="str">
        <x:v>Kobe Steel</x:v>
      </x:c>
      <x:c r="C437" s="34" t="str">
        <x:v>ACCELERATED_15C</x:v>
      </x:c>
      <x:c r="D437" s="34" t="str">
        <x:v>P2</x:v>
      </x:c>
      <x:c r="E437" s="34" t="n">
        <x:v>2026</x:v>
      </x:c>
      <x:c r="F437" s="34" t="n">
        <x:v>0</x:v>
      </x:c>
      <x:c r="G437" s="34" t="n">
        <x:v>0</x:v>
      </x:c>
      <x:c r="H437" s="34" t="n">
        <x:v>2</x:v>
      </x:c>
      <x:c r="I437" s="34" t="n">
        <x:v>2</x:v>
      </x:c>
      <x:c r="J437" s="34" t="n">
        <x:v>0</x:v>
      </x:c>
      <x:c r="K437" s="34" t="n">
        <x:v>0</x:v>
      </x:c>
      <x:c r="L437" s="34" t="n">
        <x:v>0.2</x:v>
      </x:c>
      <x:c r="M437" s="34" t="n">
        <x:v>0.2</x:v>
      </x:c>
      <x:c r="N437" s="34" t="n">
        <x:v>0</x:v>
      </x:c>
      <x:c r="O437" s="34" t="n">
        <x:v>0</x:v>
      </x:c>
      <x:c r="P437" s="34" t="n">
        <x:v>1</x:v>
      </x:c>
      <x:c r="Q437" s="34" t="n">
        <x:v>1</x:v>
      </x:c>
      <x:c r="R437" s="34" t="n">
        <x:v>0</x:v>
      </x:c>
      <x:c r="S437" s="40" t="b">
        <x:v>1</x:v>
      </x:c>
      <x:c r="T437" s="34" t="str">
        <x:v>model_interpolation</x:v>
      </x:c>
      <x:c r="U437" s="34" t="str">
        <x:v>Linear interpolation from 2026 to 2030</x:v>
      </x:c>
      <x:c r="V437" s="34" t="str">
        <x:v>CAND-7F0A690E87B72D</x:v>
      </x:c>
      <x:c r="W437" s="34" t="str">
        <x:v>P2</x:v>
      </x:c>
      <x:c r="X437" s="34" t="str">
        <x:v>PORT-8384667F6B8E</x:v>
      </x:c>
      <x:c r="Y437" s="34" t="n">
        <x:v>1000</x:v>
      </x:c>
      <x:c r="Z437" s="34" t="n">
        <x:v>42.993617</x:v>
      </x:c>
      <x:c r="AA437" s="34" t="n">
        <x:v>17.888931</x:v>
      </x:c>
      <x:c r="AB437" s="34" t="n">
        <x:v>96.451092</x:v>
      </x:c>
      <x:c r="AC437" s="34" t="n">
        <x:v>4027.512</x:v>
      </x:c>
      <x:c r="AD437" s="34" t="n">
        <x:v>41.757041</x:v>
      </x:c>
      <x:c r="AE437" s="40" t="b">
        <x:v>0</x:v>
      </x:c>
      <x:c r="AF437" s="40" t="b">
        <x:v>0</x:v>
      </x:c>
      <x:c r="AG437" s="34" t="n">
        <x:v>2035</x:v>
      </x:c>
      <x:c r="AH437" s="34" t="n">
        <x:v>0.6138637290849003</x:v>
      </x:c>
      <x:c r="AI437" s="34" t="n">
        <x:v>-0.6138637290849003</x:v>
      </x:c>
      <x:c r="AJ437" s="40" t="b">
        <x:v>1</x:v>
      </x:c>
      <x:c r="AK437" s="40" t="b">
        <x:v>1</x:v>
      </x:c>
      <x:c r="AL437" s="40" t="b">
        <x:v>1</x:v>
      </x:c>
      <x:c r="AM437" s="40" t="b">
        <x:v>1</x:v>
      </x:c>
      <x:c r="AN437" s="34" t="str"/>
      <x:c r="AO437" s="34" t="n">
        <x:v>0</x:v>
      </x:c>
      <x:c r="AP437" s="34" t="n">
        <x:v>0</x:v>
      </x:c>
      <x:c r="AQ437" s="34" t="n">
        <x:v>0</x:v>
      </x:c>
      <x:c r="AR437" s="34" t="n">
        <x:v>1</x:v>
      </x:c>
      <x:c r="AS437" s="34" t="n">
        <x:v>1</x:v>
      </x:c>
      <x:c r="AT437" s="34" t="n">
        <x:v>0.28332</x:v>
      </x:c>
      <x:c r="AU437" s="34" t="n">
        <x:v>0.6</x:v>
      </x:c>
      <x:c r="AV437" s="34" t="n">
        <x:v>1.06</x:v>
      </x:c>
    </x:row>
    <x:row r="438">
      <x:c r="A438" s="34" t="str">
        <x:v>KOBE_STEEL_JP</x:v>
      </x:c>
      <x:c r="B438" s="34" t="str">
        <x:v>Kobe Steel</x:v>
      </x:c>
      <x:c r="C438" s="34" t="str">
        <x:v>ACCELERATED_15C</x:v>
      </x:c>
      <x:c r="D438" s="34" t="str">
        <x:v>P2</x:v>
      </x:c>
      <x:c r="E438" s="34" t="n">
        <x:v>2027</x:v>
      </x:c>
      <x:c r="F438" s="34" t="n">
        <x:v>0</x:v>
      </x:c>
      <x:c r="G438" s="34" t="n">
        <x:v>0</x:v>
      </x:c>
      <x:c r="H438" s="34" t="n">
        <x:v>2.25</x:v>
      </x:c>
      <x:c r="I438" s="34" t="n">
        <x:v>2.25</x:v>
      </x:c>
      <x:c r="J438" s="34" t="n">
        <x:v>0</x:v>
      </x:c>
      <x:c r="K438" s="34" t="n">
        <x:v>0</x:v>
      </x:c>
      <x:c r="L438" s="34" t="n">
        <x:v>0.25</x:v>
      </x:c>
      <x:c r="M438" s="34" t="n">
        <x:v>0.25</x:v>
      </x:c>
      <x:c r="N438" s="34" t="n">
        <x:v>0</x:v>
      </x:c>
      <x:c r="O438" s="34" t="n">
        <x:v>0</x:v>
      </x:c>
      <x:c r="P438" s="34" t="n">
        <x:v>1.375</x:v>
      </x:c>
      <x:c r="Q438" s="34" t="n">
        <x:v>1.375</x:v>
      </x:c>
      <x:c r="R438" s="34" t="n">
        <x:v>0</x:v>
      </x:c>
      <x:c r="S438" s="40" t="b">
        <x:v>1</x:v>
      </x:c>
      <x:c r="T438" s="34" t="str">
        <x:v>model_interpolation</x:v>
      </x:c>
      <x:c r="U438" s="34" t="str">
        <x:v>Linear interpolation from 2026 to 2030</x:v>
      </x:c>
      <x:c r="V438" s="34" t="str">
        <x:v>CAND-7F0A690E87B72D</x:v>
      </x:c>
      <x:c r="W438" s="34" t="str">
        <x:v>P2</x:v>
      </x:c>
      <x:c r="X438" s="34" t="str">
        <x:v>PORT-8384667F6B8E</x:v>
      </x:c>
      <x:c r="Y438" s="34" t="n">
        <x:v>1000</x:v>
      </x:c>
      <x:c r="Z438" s="34" t="n">
        <x:v>42.993617</x:v>
      </x:c>
      <x:c r="AA438" s="34" t="n">
        <x:v>17.888931</x:v>
      </x:c>
      <x:c r="AB438" s="34" t="n">
        <x:v>96.451092</x:v>
      </x:c>
      <x:c r="AC438" s="34" t="n">
        <x:v>4027.512</x:v>
      </x:c>
      <x:c r="AD438" s="34" t="n">
        <x:v>41.757041</x:v>
      </x:c>
      <x:c r="AE438" s="40" t="b">
        <x:v>0</x:v>
      </x:c>
      <x:c r="AF438" s="40" t="b">
        <x:v>0</x:v>
      </x:c>
      <x:c r="AG438" s="34" t="n">
        <x:v>2035</x:v>
      </x:c>
      <x:c r="AH438" s="34" t="n">
        <x:v>0.6138637290849003</x:v>
      </x:c>
      <x:c r="AI438" s="34" t="n">
        <x:v>-0.6138637290849003</x:v>
      </x:c>
      <x:c r="AJ438" s="40" t="b">
        <x:v>1</x:v>
      </x:c>
      <x:c r="AK438" s="40" t="b">
        <x:v>1</x:v>
      </x:c>
      <x:c r="AL438" s="40" t="b">
        <x:v>1</x:v>
      </x:c>
      <x:c r="AM438" s="40" t="b">
        <x:v>1</x:v>
      </x:c>
      <x:c r="AN438" s="34" t="str"/>
      <x:c r="AO438" s="34" t="n">
        <x:v>0</x:v>
      </x:c>
      <x:c r="AP438" s="34" t="n">
        <x:v>0</x:v>
      </x:c>
      <x:c r="AQ438" s="34" t="n">
        <x:v>0</x:v>
      </x:c>
      <x:c r="AR438" s="34" t="n">
        <x:v>1</x:v>
      </x:c>
      <x:c r="AS438" s="34" t="n">
        <x:v>1</x:v>
      </x:c>
      <x:c r="AT438" s="34" t="n">
        <x:v>0.28332</x:v>
      </x:c>
      <x:c r="AU438" s="34" t="n">
        <x:v>0.6</x:v>
      </x:c>
      <x:c r="AV438" s="34" t="n">
        <x:v>1.06</x:v>
      </x:c>
    </x:row>
    <x:row r="439">
      <x:c r="A439" s="34" t="str">
        <x:v>KOBE_STEEL_JP</x:v>
      </x:c>
      <x:c r="B439" s="34" t="str">
        <x:v>Kobe Steel</x:v>
      </x:c>
      <x:c r="C439" s="34" t="str">
        <x:v>ACCELERATED_15C</x:v>
      </x:c>
      <x:c r="D439" s="34" t="str">
        <x:v>P2</x:v>
      </x:c>
      <x:c r="E439" s="34" t="n">
        <x:v>2028</x:v>
      </x:c>
      <x:c r="F439" s="34" t="n">
        <x:v>0</x:v>
      </x:c>
      <x:c r="G439" s="34" t="n">
        <x:v>0</x:v>
      </x:c>
      <x:c r="H439" s="34" t="n">
        <x:v>2.5</x:v>
      </x:c>
      <x:c r="I439" s="34" t="n">
        <x:v>2.5</x:v>
      </x:c>
      <x:c r="J439" s="34" t="n">
        <x:v>0</x:v>
      </x:c>
      <x:c r="K439" s="34" t="n">
        <x:v>0</x:v>
      </x:c>
      <x:c r="L439" s="34" t="n">
        <x:v>0.30000000000000004</x:v>
      </x:c>
      <x:c r="M439" s="34" t="n">
        <x:v>0.3</x:v>
      </x:c>
      <x:c r="N439" s="34" t="n">
        <x:v>0</x:v>
      </x:c>
      <x:c r="O439" s="34" t="n">
        <x:v>0</x:v>
      </x:c>
      <x:c r="P439" s="34" t="n">
        <x:v>1.75</x:v>
      </x:c>
      <x:c r="Q439" s="34" t="n">
        <x:v>1.75</x:v>
      </x:c>
      <x:c r="R439" s="34" t="n">
        <x:v>0</x:v>
      </x:c>
      <x:c r="S439" s="40" t="b">
        <x:v>1</x:v>
      </x:c>
      <x:c r="T439" s="34" t="str">
        <x:v>model_interpolation</x:v>
      </x:c>
      <x:c r="U439" s="34" t="str">
        <x:v>Linear interpolation from 2026 to 2030</x:v>
      </x:c>
      <x:c r="V439" s="34" t="str">
        <x:v>CAND-7F0A690E87B72D</x:v>
      </x:c>
      <x:c r="W439" s="34" t="str">
        <x:v>P2</x:v>
      </x:c>
      <x:c r="X439" s="34" t="str">
        <x:v>PORT-8384667F6B8E</x:v>
      </x:c>
      <x:c r="Y439" s="34" t="n">
        <x:v>1000</x:v>
      </x:c>
      <x:c r="Z439" s="34" t="n">
        <x:v>42.993617</x:v>
      </x:c>
      <x:c r="AA439" s="34" t="n">
        <x:v>17.888931</x:v>
      </x:c>
      <x:c r="AB439" s="34" t="n">
        <x:v>96.451092</x:v>
      </x:c>
      <x:c r="AC439" s="34" t="n">
        <x:v>4027.512</x:v>
      </x:c>
      <x:c r="AD439" s="34" t="n">
        <x:v>41.757041</x:v>
      </x:c>
      <x:c r="AE439" s="40" t="b">
        <x:v>0</x:v>
      </x:c>
      <x:c r="AF439" s="40" t="b">
        <x:v>0</x:v>
      </x:c>
      <x:c r="AG439" s="34" t="n">
        <x:v>2035</x:v>
      </x:c>
      <x:c r="AH439" s="34" t="n">
        <x:v>0.6138637290849003</x:v>
      </x:c>
      <x:c r="AI439" s="34" t="n">
        <x:v>-0.6138637290849003</x:v>
      </x:c>
      <x:c r="AJ439" s="40" t="b">
        <x:v>1</x:v>
      </x:c>
      <x:c r="AK439" s="40" t="b">
        <x:v>1</x:v>
      </x:c>
      <x:c r="AL439" s="40" t="b">
        <x:v>1</x:v>
      </x:c>
      <x:c r="AM439" s="40" t="b">
        <x:v>1</x:v>
      </x:c>
      <x:c r="AN439" s="34" t="str"/>
      <x:c r="AO439" s="34" t="n">
        <x:v>0</x:v>
      </x:c>
      <x:c r="AP439" s="34" t="n">
        <x:v>0</x:v>
      </x:c>
      <x:c r="AQ439" s="34" t="n">
        <x:v>0</x:v>
      </x:c>
      <x:c r="AR439" s="34" t="n">
        <x:v>1</x:v>
      </x:c>
      <x:c r="AS439" s="34" t="n">
        <x:v>1</x:v>
      </x:c>
      <x:c r="AT439" s="34" t="n">
        <x:v>0.28332</x:v>
      </x:c>
      <x:c r="AU439" s="34" t="n">
        <x:v>0.6</x:v>
      </x:c>
      <x:c r="AV439" s="34" t="n">
        <x:v>1.06</x:v>
      </x:c>
    </x:row>
    <x:row r="440">
      <x:c r="A440" s="34" t="str">
        <x:v>KOBE_STEEL_JP</x:v>
      </x:c>
      <x:c r="B440" s="34" t="str">
        <x:v>Kobe Steel</x:v>
      </x:c>
      <x:c r="C440" s="34" t="str">
        <x:v>ACCELERATED_15C</x:v>
      </x:c>
      <x:c r="D440" s="34" t="str">
        <x:v>P2</x:v>
      </x:c>
      <x:c r="E440" s="34" t="n">
        <x:v>2029</x:v>
      </x:c>
      <x:c r="F440" s="34" t="n">
        <x:v>1</x:v>
      </x:c>
      <x:c r="G440" s="34" t="n">
        <x:v>2.655</x:v>
      </x:c>
      <x:c r="H440" s="34" t="n">
        <x:v>2.75</x:v>
      </x:c>
      <x:c r="I440" s="34" t="n">
        <x:v>0.095</x:v>
      </x:c>
      <x:c r="J440" s="34" t="n">
        <x:v>96.545</x:v>
      </x:c>
      <x:c r="K440" s="34" t="n">
        <x:v>0</x:v>
      </x:c>
      <x:c r="L440" s="34" t="n">
        <x:v>0.35000000000000003</x:v>
      </x:c>
      <x:c r="M440" s="34" t="n">
        <x:v>0.35</x:v>
      </x:c>
      <x:c r="N440" s="34" t="n">
        <x:v>0</x:v>
      </x:c>
      <x:c r="O440" s="34" t="n">
        <x:v>1.652</x:v>
      </x:c>
      <x:c r="P440" s="34" t="n">
        <x:v>2.125</x:v>
      </x:c>
      <x:c r="Q440" s="34" t="n">
        <x:v>0.473</x:v>
      </x:c>
      <x:c r="R440" s="34" t="n">
        <x:v>77.741</x:v>
      </x:c>
      <x:c r="S440" s="40" t="b">
        <x:v>1</x:v>
      </x:c>
      <x:c r="T440" s="34" t="str">
        <x:v>model_interpolation</x:v>
      </x:c>
      <x:c r="U440" s="34" t="str">
        <x:v>Linear interpolation from 2026 to 2030</x:v>
      </x:c>
      <x:c r="V440" s="34" t="str">
        <x:v>CAND-7F0A690E87B72D</x:v>
      </x:c>
      <x:c r="W440" s="34" t="str">
        <x:v>P2</x:v>
      </x:c>
      <x:c r="X440" s="34" t="str">
        <x:v>PORT-8384667F6B8E</x:v>
      </x:c>
      <x:c r="Y440" s="34" t="n">
        <x:v>1000</x:v>
      </x:c>
      <x:c r="Z440" s="34" t="n">
        <x:v>42.993617</x:v>
      </x:c>
      <x:c r="AA440" s="34" t="n">
        <x:v>17.888931</x:v>
      </x:c>
      <x:c r="AB440" s="34" t="n">
        <x:v>96.451092</x:v>
      </x:c>
      <x:c r="AC440" s="34" t="n">
        <x:v>4027.512</x:v>
      </x:c>
      <x:c r="AD440" s="34" t="n">
        <x:v>41.757041</x:v>
      </x:c>
      <x:c r="AE440" s="40" t="b">
        <x:v>0</x:v>
      </x:c>
      <x:c r="AF440" s="40" t="b">
        <x:v>0</x:v>
      </x:c>
      <x:c r="AG440" s="34" t="n">
        <x:v>2035</x:v>
      </x:c>
      <x:c r="AH440" s="34" t="n">
        <x:v>0.6138637290849003</x:v>
      </x:c>
      <x:c r="AI440" s="34" t="n">
        <x:v>-0.6138637290849003</x:v>
      </x:c>
      <x:c r="AJ440" s="40" t="b">
        <x:v>1</x:v>
      </x:c>
      <x:c r="AK440" s="40" t="b">
        <x:v>1</x:v>
      </x:c>
      <x:c r="AL440" s="40" t="b">
        <x:v>1</x:v>
      </x:c>
      <x:c r="AM440" s="40" t="b">
        <x:v>1</x:v>
      </x:c>
      <x:c r="AN440" s="34" t="str"/>
      <x:c r="AO440" s="34" t="n">
        <x:v>0</x:v>
      </x:c>
      <x:c r="AP440" s="34" t="n">
        <x:v>0</x:v>
      </x:c>
      <x:c r="AQ440" s="34" t="n">
        <x:v>0</x:v>
      </x:c>
      <x:c r="AR440" s="34" t="n">
        <x:v>1</x:v>
      </x:c>
      <x:c r="AS440" s="34" t="n">
        <x:v>1</x:v>
      </x:c>
      <x:c r="AT440" s="34" t="n">
        <x:v>0.28332</x:v>
      </x:c>
      <x:c r="AU440" s="34" t="n">
        <x:v>0.6</x:v>
      </x:c>
      <x:c r="AV440" s="34" t="n">
        <x:v>1.06</x:v>
      </x:c>
    </x:row>
    <x:row r="441">
      <x:c r="A441" s="34" t="str">
        <x:v>KOBE_STEEL_JP</x:v>
      </x:c>
      <x:c r="B441" s="34" t="str">
        <x:v>Kobe Steel</x:v>
      </x:c>
      <x:c r="C441" s="34" t="str">
        <x:v>ACCELERATED_15C</x:v>
      </x:c>
      <x:c r="D441" s="34" t="str">
        <x:v>P2</x:v>
      </x:c>
      <x:c r="E441" s="34" t="n">
        <x:v>2030</x:v>
      </x:c>
      <x:c r="F441" s="34" t="n">
        <x:v>1</x:v>
      </x:c>
      <x:c r="G441" s="34" t="n">
        <x:v>2.655</x:v>
      </x:c>
      <x:c r="H441" s="34" t="n">
        <x:v>3</x:v>
      </x:c>
      <x:c r="I441" s="34" t="n">
        <x:v>0.345</x:v>
      </x:c>
      <x:c r="J441" s="34" t="n">
        <x:v>88.5</x:v>
      </x:c>
      <x:c r="K441" s="34" t="n">
        <x:v>0</x:v>
      </x:c>
      <x:c r="L441" s="34" t="n">
        <x:v>0.4</x:v>
      </x:c>
      <x:c r="M441" s="34" t="n">
        <x:v>0.4</x:v>
      </x:c>
      <x:c r="N441" s="34" t="n">
        <x:v>0</x:v>
      </x:c>
      <x:c r="O441" s="34" t="n">
        <x:v>1.652</x:v>
      </x:c>
      <x:c r="P441" s="34" t="n">
        <x:v>2.5</x:v>
      </x:c>
      <x:c r="Q441" s="34" t="n">
        <x:v>0.848</x:v>
      </x:c>
      <x:c r="R441" s="34" t="n">
        <x:v>66.08</x:v>
      </x:c>
      <x:c r="S441" s="40" t="b">
        <x:v>1</x:v>
      </x:c>
      <x:c r="T441" s="34" t="str">
        <x:v>model_interpolation</x:v>
      </x:c>
      <x:c r="U441" s="34" t="str">
        <x:v>Linear interpolation from 2030 to 2035</x:v>
      </x:c>
      <x:c r="V441" s="34" t="str">
        <x:v>CAND-7F0A690E87B72D</x:v>
      </x:c>
      <x:c r="W441" s="34" t="str">
        <x:v>P2</x:v>
      </x:c>
      <x:c r="X441" s="34" t="str">
        <x:v>PORT-8384667F6B8E</x:v>
      </x:c>
      <x:c r="Y441" s="34" t="n">
        <x:v>1000</x:v>
      </x:c>
      <x:c r="Z441" s="34" t="n">
        <x:v>42.993617</x:v>
      </x:c>
      <x:c r="AA441" s="34" t="n">
        <x:v>17.888931</x:v>
      </x:c>
      <x:c r="AB441" s="34" t="n">
        <x:v>96.451092</x:v>
      </x:c>
      <x:c r="AC441" s="34" t="n">
        <x:v>4027.512</x:v>
      </x:c>
      <x:c r="AD441" s="34" t="n">
        <x:v>41.757041</x:v>
      </x:c>
      <x:c r="AE441" s="40" t="b">
        <x:v>0</x:v>
      </x:c>
      <x:c r="AF441" s="40" t="b">
        <x:v>0</x:v>
      </x:c>
      <x:c r="AG441" s="34" t="n">
        <x:v>2035</x:v>
      </x:c>
      <x:c r="AH441" s="34" t="n">
        <x:v>0.6138637290849003</x:v>
      </x:c>
      <x:c r="AI441" s="34" t="n">
        <x:v>-0.6138637290849003</x:v>
      </x:c>
      <x:c r="AJ441" s="40" t="b">
        <x:v>1</x:v>
      </x:c>
      <x:c r="AK441" s="40" t="b">
        <x:v>1</x:v>
      </x:c>
      <x:c r="AL441" s="40" t="b">
        <x:v>1</x:v>
      </x:c>
      <x:c r="AM441" s="40" t="b">
        <x:v>1</x:v>
      </x:c>
      <x:c r="AN441" s="34" t="str"/>
      <x:c r="AO441" s="34" t="n">
        <x:v>0</x:v>
      </x:c>
      <x:c r="AP441" s="34" t="n">
        <x:v>0</x:v>
      </x:c>
      <x:c r="AQ441" s="34" t="n">
        <x:v>0</x:v>
      </x:c>
      <x:c r="AR441" s="34" t="n">
        <x:v>1</x:v>
      </x:c>
      <x:c r="AS441" s="34" t="n">
        <x:v>1</x:v>
      </x:c>
      <x:c r="AT441" s="34" t="n">
        <x:v>0.28332</x:v>
      </x:c>
      <x:c r="AU441" s="34" t="n">
        <x:v>0.6</x:v>
      </x:c>
      <x:c r="AV441" s="34" t="n">
        <x:v>1.06</x:v>
      </x:c>
    </x:row>
    <x:row r="442">
      <x:c r="A442" s="34" t="str">
        <x:v>KOBE_STEEL_JP</x:v>
      </x:c>
      <x:c r="B442" s="34" t="str">
        <x:v>Kobe Steel</x:v>
      </x:c>
      <x:c r="C442" s="34" t="str">
        <x:v>ACCELERATED_15C</x:v>
      </x:c>
      <x:c r="D442" s="34" t="str">
        <x:v>P2</x:v>
      </x:c>
      <x:c r="E442" s="34" t="n">
        <x:v>2031</x:v>
      </x:c>
      <x:c r="F442" s="34" t="n">
        <x:v>1</x:v>
      </x:c>
      <x:c r="G442" s="34" t="n">
        <x:v>2.655</x:v>
      </x:c>
      <x:c r="H442" s="34" t="n">
        <x:v>3.4</x:v>
      </x:c>
      <x:c r="I442" s="34" t="n">
        <x:v>0.745</x:v>
      </x:c>
      <x:c r="J442" s="34" t="n">
        <x:v>78.088</x:v>
      </x:c>
      <x:c r="K442" s="34" t="n">
        <x:v>0</x:v>
      </x:c>
      <x:c r="L442" s="34" t="n">
        <x:v>0.44</x:v>
      </x:c>
      <x:c r="M442" s="34" t="n">
        <x:v>0.44</x:v>
      </x:c>
      <x:c r="N442" s="34" t="n">
        <x:v>0</x:v>
      </x:c>
      <x:c r="O442" s="34" t="n">
        <x:v>1.652</x:v>
      </x:c>
      <x:c r="P442" s="34" t="n">
        <x:v>2.8</x:v>
      </x:c>
      <x:c r="Q442" s="34" t="n">
        <x:v>1.148</x:v>
      </x:c>
      <x:c r="R442" s="34" t="n">
        <x:v>59</x:v>
      </x:c>
      <x:c r="S442" s="40" t="b">
        <x:v>1</x:v>
      </x:c>
      <x:c r="T442" s="34" t="str">
        <x:v>model_interpolation</x:v>
      </x:c>
      <x:c r="U442" s="34" t="str">
        <x:v>Linear interpolation from 2030 to 2035</x:v>
      </x:c>
      <x:c r="V442" s="34" t="str">
        <x:v>CAND-7F0A690E87B72D</x:v>
      </x:c>
      <x:c r="W442" s="34" t="str">
        <x:v>P2</x:v>
      </x:c>
      <x:c r="X442" s="34" t="str">
        <x:v>PORT-8384667F6B8E</x:v>
      </x:c>
      <x:c r="Y442" s="34" t="n">
        <x:v>1000</x:v>
      </x:c>
      <x:c r="Z442" s="34" t="n">
        <x:v>42.993617</x:v>
      </x:c>
      <x:c r="AA442" s="34" t="n">
        <x:v>17.888931</x:v>
      </x:c>
      <x:c r="AB442" s="34" t="n">
        <x:v>96.451092</x:v>
      </x:c>
      <x:c r="AC442" s="34" t="n">
        <x:v>4027.512</x:v>
      </x:c>
      <x:c r="AD442" s="34" t="n">
        <x:v>41.757041</x:v>
      </x:c>
      <x:c r="AE442" s="40" t="b">
        <x:v>0</x:v>
      </x:c>
      <x:c r="AF442" s="40" t="b">
        <x:v>0</x:v>
      </x:c>
      <x:c r="AG442" s="34" t="n">
        <x:v>2035</x:v>
      </x:c>
      <x:c r="AH442" s="34" t="n">
        <x:v>0.6138637290849003</x:v>
      </x:c>
      <x:c r="AI442" s="34" t="n">
        <x:v>-0.6138637290849003</x:v>
      </x:c>
      <x:c r="AJ442" s="40" t="b">
        <x:v>1</x:v>
      </x:c>
      <x:c r="AK442" s="40" t="b">
        <x:v>1</x:v>
      </x:c>
      <x:c r="AL442" s="40" t="b">
        <x:v>1</x:v>
      </x:c>
      <x:c r="AM442" s="40" t="b">
        <x:v>1</x:v>
      </x:c>
      <x:c r="AN442" s="34" t="str"/>
      <x:c r="AO442" s="34" t="n">
        <x:v>0</x:v>
      </x:c>
      <x:c r="AP442" s="34" t="n">
        <x:v>0</x:v>
      </x:c>
      <x:c r="AQ442" s="34" t="n">
        <x:v>0</x:v>
      </x:c>
      <x:c r="AR442" s="34" t="n">
        <x:v>1</x:v>
      </x:c>
      <x:c r="AS442" s="34" t="n">
        <x:v>1</x:v>
      </x:c>
      <x:c r="AT442" s="34" t="n">
        <x:v>0.28332</x:v>
      </x:c>
      <x:c r="AU442" s="34" t="n">
        <x:v>0.6</x:v>
      </x:c>
      <x:c r="AV442" s="34" t="n">
        <x:v>1.06</x:v>
      </x:c>
    </x:row>
    <x:row r="443">
      <x:c r="A443" s="34" t="str">
        <x:v>KOBE_STEEL_JP</x:v>
      </x:c>
      <x:c r="B443" s="34" t="str">
        <x:v>Kobe Steel</x:v>
      </x:c>
      <x:c r="C443" s="34" t="str">
        <x:v>ACCELERATED_15C</x:v>
      </x:c>
      <x:c r="D443" s="34" t="str">
        <x:v>P2</x:v>
      </x:c>
      <x:c r="E443" s="34" t="n">
        <x:v>2032</x:v>
      </x:c>
      <x:c r="F443" s="34" t="n">
        <x:v>1</x:v>
      </x:c>
      <x:c r="G443" s="34" t="n">
        <x:v>2.655</x:v>
      </x:c>
      <x:c r="H443" s="34" t="n">
        <x:v>3.8</x:v>
      </x:c>
      <x:c r="I443" s="34" t="n">
        <x:v>1.145</x:v>
      </x:c>
      <x:c r="J443" s="34" t="n">
        <x:v>69.868</x:v>
      </x:c>
      <x:c r="K443" s="34" t="n">
        <x:v>0</x:v>
      </x:c>
      <x:c r="L443" s="34" t="n">
        <x:v>0.48</x:v>
      </x:c>
      <x:c r="M443" s="34" t="n">
        <x:v>0.48</x:v>
      </x:c>
      <x:c r="N443" s="34" t="n">
        <x:v>0</x:v>
      </x:c>
      <x:c r="O443" s="34" t="n">
        <x:v>1.652</x:v>
      </x:c>
      <x:c r="P443" s="34" t="n">
        <x:v>3.1</x:v>
      </x:c>
      <x:c r="Q443" s="34" t="n">
        <x:v>1.448</x:v>
      </x:c>
      <x:c r="R443" s="34" t="n">
        <x:v>53.29</x:v>
      </x:c>
      <x:c r="S443" s="40" t="b">
        <x:v>1</x:v>
      </x:c>
      <x:c r="T443" s="34" t="str">
        <x:v>model_interpolation</x:v>
      </x:c>
      <x:c r="U443" s="34" t="str">
        <x:v>Linear interpolation from 2030 to 2035</x:v>
      </x:c>
      <x:c r="V443" s="34" t="str">
        <x:v>CAND-7F0A690E87B72D</x:v>
      </x:c>
      <x:c r="W443" s="34" t="str">
        <x:v>P2</x:v>
      </x:c>
      <x:c r="X443" s="34" t="str">
        <x:v>PORT-8384667F6B8E</x:v>
      </x:c>
      <x:c r="Y443" s="34" t="n">
        <x:v>1000</x:v>
      </x:c>
      <x:c r="Z443" s="34" t="n">
        <x:v>42.993617</x:v>
      </x:c>
      <x:c r="AA443" s="34" t="n">
        <x:v>17.888931</x:v>
      </x:c>
      <x:c r="AB443" s="34" t="n">
        <x:v>96.451092</x:v>
      </x:c>
      <x:c r="AC443" s="34" t="n">
        <x:v>4027.512</x:v>
      </x:c>
      <x:c r="AD443" s="34" t="n">
        <x:v>41.757041</x:v>
      </x:c>
      <x:c r="AE443" s="40" t="b">
        <x:v>0</x:v>
      </x:c>
      <x:c r="AF443" s="40" t="b">
        <x:v>0</x:v>
      </x:c>
      <x:c r="AG443" s="34" t="n">
        <x:v>2035</x:v>
      </x:c>
      <x:c r="AH443" s="34" t="n">
        <x:v>0.6138637290849003</x:v>
      </x:c>
      <x:c r="AI443" s="34" t="n">
        <x:v>-0.6138637290849003</x:v>
      </x:c>
      <x:c r="AJ443" s="40" t="b">
        <x:v>1</x:v>
      </x:c>
      <x:c r="AK443" s="40" t="b">
        <x:v>1</x:v>
      </x:c>
      <x:c r="AL443" s="40" t="b">
        <x:v>1</x:v>
      </x:c>
      <x:c r="AM443" s="40" t="b">
        <x:v>1</x:v>
      </x:c>
      <x:c r="AN443" s="34" t="str"/>
      <x:c r="AO443" s="34" t="n">
        <x:v>0</x:v>
      </x:c>
      <x:c r="AP443" s="34" t="n">
        <x:v>0</x:v>
      </x:c>
      <x:c r="AQ443" s="34" t="n">
        <x:v>0</x:v>
      </x:c>
      <x:c r="AR443" s="34" t="n">
        <x:v>1</x:v>
      </x:c>
      <x:c r="AS443" s="34" t="n">
        <x:v>1</x:v>
      </x:c>
      <x:c r="AT443" s="34" t="n">
        <x:v>0.28332</x:v>
      </x:c>
      <x:c r="AU443" s="34" t="n">
        <x:v>0.6</x:v>
      </x:c>
      <x:c r="AV443" s="34" t="n">
        <x:v>1.06</x:v>
      </x:c>
    </x:row>
    <x:row r="444">
      <x:c r="A444" s="34" t="str">
        <x:v>KOBE_STEEL_JP</x:v>
      </x:c>
      <x:c r="B444" s="34" t="str">
        <x:v>Kobe Steel</x:v>
      </x:c>
      <x:c r="C444" s="34" t="str">
        <x:v>ACCELERATED_15C</x:v>
      </x:c>
      <x:c r="D444" s="34" t="str">
        <x:v>P2</x:v>
      </x:c>
      <x:c r="E444" s="34" t="n">
        <x:v>2033</x:v>
      </x:c>
      <x:c r="F444" s="34" t="n">
        <x:v>2</x:v>
      </x:c>
      <x:c r="G444" s="34" t="n">
        <x:v>2.745</x:v>
      </x:c>
      <x:c r="H444" s="34" t="n">
        <x:v>4.2</x:v>
      </x:c>
      <x:c r="I444" s="34" t="n">
        <x:v>1.455</x:v>
      </x:c>
      <x:c r="J444" s="34" t="n">
        <x:v>65.357</x:v>
      </x:c>
      <x:c r="K444" s="34" t="n">
        <x:v>0</x:v>
      </x:c>
      <x:c r="L444" s="34" t="n">
        <x:v>0.52</x:v>
      </x:c>
      <x:c r="M444" s="34" t="n">
        <x:v>0.52</x:v>
      </x:c>
      <x:c r="N444" s="34" t="n">
        <x:v>0</x:v>
      </x:c>
      <x:c r="O444" s="34" t="n">
        <x:v>1.654</x:v>
      </x:c>
      <x:c r="P444" s="34" t="n">
        <x:v>3.4</x:v>
      </x:c>
      <x:c r="Q444" s="34" t="n">
        <x:v>1.746</x:v>
      </x:c>
      <x:c r="R444" s="34" t="n">
        <x:v>48.647</x:v>
      </x:c>
      <x:c r="S444" s="40" t="b">
        <x:v>1</x:v>
      </x:c>
      <x:c r="T444" s="34" t="str">
        <x:v>model_interpolation</x:v>
      </x:c>
      <x:c r="U444" s="34" t="str">
        <x:v>Linear interpolation from 2030 to 2035</x:v>
      </x:c>
      <x:c r="V444" s="34" t="str">
        <x:v>CAND-7F0A690E87B72D</x:v>
      </x:c>
      <x:c r="W444" s="34" t="str">
        <x:v>P2</x:v>
      </x:c>
      <x:c r="X444" s="34" t="str">
        <x:v>PORT-8384667F6B8E</x:v>
      </x:c>
      <x:c r="Y444" s="34" t="n">
        <x:v>1000</x:v>
      </x:c>
      <x:c r="Z444" s="34" t="n">
        <x:v>42.993617</x:v>
      </x:c>
      <x:c r="AA444" s="34" t="n">
        <x:v>17.888931</x:v>
      </x:c>
      <x:c r="AB444" s="34" t="n">
        <x:v>96.451092</x:v>
      </x:c>
      <x:c r="AC444" s="34" t="n">
        <x:v>4027.512</x:v>
      </x:c>
      <x:c r="AD444" s="34" t="n">
        <x:v>41.757041</x:v>
      </x:c>
      <x:c r="AE444" s="40" t="b">
        <x:v>0</x:v>
      </x:c>
      <x:c r="AF444" s="40" t="b">
        <x:v>0</x:v>
      </x:c>
      <x:c r="AG444" s="34" t="n">
        <x:v>2035</x:v>
      </x:c>
      <x:c r="AH444" s="34" t="n">
        <x:v>0.6138637290849003</x:v>
      </x:c>
      <x:c r="AI444" s="34" t="n">
        <x:v>-0.6138637290849003</x:v>
      </x:c>
      <x:c r="AJ444" s="40" t="b">
        <x:v>1</x:v>
      </x:c>
      <x:c r="AK444" s="40" t="b">
        <x:v>1</x:v>
      </x:c>
      <x:c r="AL444" s="40" t="b">
        <x:v>1</x:v>
      </x:c>
      <x:c r="AM444" s="40" t="b">
        <x:v>1</x:v>
      </x:c>
      <x:c r="AN444" s="34" t="str"/>
      <x:c r="AO444" s="34" t="n">
        <x:v>0</x:v>
      </x:c>
      <x:c r="AP444" s="34" t="n">
        <x:v>0</x:v>
      </x:c>
      <x:c r="AQ444" s="34" t="n">
        <x:v>0</x:v>
      </x:c>
      <x:c r="AR444" s="34" t="n">
        <x:v>1</x:v>
      </x:c>
      <x:c r="AS444" s="34" t="n">
        <x:v>1</x:v>
      </x:c>
      <x:c r="AT444" s="34" t="n">
        <x:v>0.28332</x:v>
      </x:c>
      <x:c r="AU444" s="34" t="n">
        <x:v>0.6</x:v>
      </x:c>
      <x:c r="AV444" s="34" t="n">
        <x:v>1.06</x:v>
      </x:c>
    </x:row>
    <x:row r="445">
      <x:c r="A445" s="34" t="str">
        <x:v>KOBE_STEEL_JP</x:v>
      </x:c>
      <x:c r="B445" s="34" t="str">
        <x:v>Kobe Steel</x:v>
      </x:c>
      <x:c r="C445" s="34" t="str">
        <x:v>ACCELERATED_15C</x:v>
      </x:c>
      <x:c r="D445" s="34" t="str">
        <x:v>P2</x:v>
      </x:c>
      <x:c r="E445" s="34" t="n">
        <x:v>2034</x:v>
      </x:c>
      <x:c r="F445" s="34" t="n">
        <x:v>2</x:v>
      </x:c>
      <x:c r="G445" s="34" t="n">
        <x:v>2.745</x:v>
      </x:c>
      <x:c r="H445" s="34" t="n">
        <x:v>4.6</x:v>
      </x:c>
      <x:c r="I445" s="34" t="n">
        <x:v>1.855</x:v>
      </x:c>
      <x:c r="J445" s="34" t="n">
        <x:v>59.674</x:v>
      </x:c>
      <x:c r="K445" s="34" t="n">
        <x:v>0</x:v>
      </x:c>
      <x:c r="L445" s="34" t="n">
        <x:v>0.56</x:v>
      </x:c>
      <x:c r="M445" s="34" t="n">
        <x:v>0.56</x:v>
      </x:c>
      <x:c r="N445" s="34" t="n">
        <x:v>0</x:v>
      </x:c>
      <x:c r="O445" s="34" t="n">
        <x:v>1.654</x:v>
      </x:c>
      <x:c r="P445" s="34" t="n">
        <x:v>3.7</x:v>
      </x:c>
      <x:c r="Q445" s="34" t="n">
        <x:v>2.046</x:v>
      </x:c>
      <x:c r="R445" s="34" t="n">
        <x:v>44.703</x:v>
      </x:c>
      <x:c r="S445" s="40" t="b">
        <x:v>1</x:v>
      </x:c>
      <x:c r="T445" s="34" t="str">
        <x:v>model_interpolation</x:v>
      </x:c>
      <x:c r="U445" s="34" t="str">
        <x:v>Linear interpolation from 2030 to 2035</x:v>
      </x:c>
      <x:c r="V445" s="34" t="str">
        <x:v>CAND-7F0A690E87B72D</x:v>
      </x:c>
      <x:c r="W445" s="34" t="str">
        <x:v>P2</x:v>
      </x:c>
      <x:c r="X445" s="34" t="str">
        <x:v>PORT-8384667F6B8E</x:v>
      </x:c>
      <x:c r="Y445" s="34" t="n">
        <x:v>1000</x:v>
      </x:c>
      <x:c r="Z445" s="34" t="n">
        <x:v>42.993617</x:v>
      </x:c>
      <x:c r="AA445" s="34" t="n">
        <x:v>17.888931</x:v>
      </x:c>
      <x:c r="AB445" s="34" t="n">
        <x:v>96.451092</x:v>
      </x:c>
      <x:c r="AC445" s="34" t="n">
        <x:v>4027.512</x:v>
      </x:c>
      <x:c r="AD445" s="34" t="n">
        <x:v>41.757041</x:v>
      </x:c>
      <x:c r="AE445" s="40" t="b">
        <x:v>0</x:v>
      </x:c>
      <x:c r="AF445" s="40" t="b">
        <x:v>0</x:v>
      </x:c>
      <x:c r="AG445" s="34" t="n">
        <x:v>2035</x:v>
      </x:c>
      <x:c r="AH445" s="34" t="n">
        <x:v>0.6138637290849003</x:v>
      </x:c>
      <x:c r="AI445" s="34" t="n">
        <x:v>-0.6138637290849003</x:v>
      </x:c>
      <x:c r="AJ445" s="40" t="b">
        <x:v>1</x:v>
      </x:c>
      <x:c r="AK445" s="40" t="b">
        <x:v>1</x:v>
      </x:c>
      <x:c r="AL445" s="40" t="b">
        <x:v>1</x:v>
      </x:c>
      <x:c r="AM445" s="40" t="b">
        <x:v>1</x:v>
      </x:c>
      <x:c r="AN445" s="34" t="str"/>
      <x:c r="AO445" s="34" t="n">
        <x:v>0</x:v>
      </x:c>
      <x:c r="AP445" s="34" t="n">
        <x:v>0</x:v>
      </x:c>
      <x:c r="AQ445" s="34" t="n">
        <x:v>0</x:v>
      </x:c>
      <x:c r="AR445" s="34" t="n">
        <x:v>1</x:v>
      </x:c>
      <x:c r="AS445" s="34" t="n">
        <x:v>1</x:v>
      </x:c>
      <x:c r="AT445" s="34" t="n">
        <x:v>0.28332</x:v>
      </x:c>
      <x:c r="AU445" s="34" t="n">
        <x:v>0.6</x:v>
      </x:c>
      <x:c r="AV445" s="34" t="n">
        <x:v>1.06</x:v>
      </x:c>
    </x:row>
    <x:row r="446">
      <x:c r="A446" s="34" t="str">
        <x:v>KOBE_STEEL_JP</x:v>
      </x:c>
      <x:c r="B446" s="34" t="str">
        <x:v>Kobe Steel</x:v>
      </x:c>
      <x:c r="C446" s="34" t="str">
        <x:v>ACCELERATED_15C</x:v>
      </x:c>
      <x:c r="D446" s="34" t="str">
        <x:v>P2</x:v>
      </x:c>
      <x:c r="E446" s="34" t="n">
        <x:v>2035</x:v>
      </x:c>
      <x:c r="F446" s="34" t="n">
        <x:v>2</x:v>
      </x:c>
      <x:c r="G446" s="34" t="n">
        <x:v>2.745</x:v>
      </x:c>
      <x:c r="H446" s="34" t="n">
        <x:v>5</x:v>
      </x:c>
      <x:c r="I446" s="34" t="n">
        <x:v>2.255</x:v>
      </x:c>
      <x:c r="J446" s="34" t="n">
        <x:v>54.9</x:v>
      </x:c>
      <x:c r="K446" s="34" t="n">
        <x:v>0</x:v>
      </x:c>
      <x:c r="L446" s="34" t="n">
        <x:v>0.6</x:v>
      </x:c>
      <x:c r="M446" s="34" t="n">
        <x:v>0.6</x:v>
      </x:c>
      <x:c r="N446" s="34" t="n">
        <x:v>0</x:v>
      </x:c>
      <x:c r="O446" s="34" t="n">
        <x:v>1.654</x:v>
      </x:c>
      <x:c r="P446" s="34" t="n">
        <x:v>4</x:v>
      </x:c>
      <x:c r="Q446" s="34" t="n">
        <x:v>2.346</x:v>
      </x:c>
      <x:c r="R446" s="34" t="n">
        <x:v>41.35</x:v>
      </x:c>
      <x:c r="S446" s="40" t="b">
        <x:v>1</x:v>
      </x:c>
      <x:c r="T446" s="34" t="str">
        <x:v>model_interpolation</x:v>
      </x:c>
      <x:c r="U446" s="34" t="str">
        <x:v>Linear interpolation from 2035 to 2040</x:v>
      </x:c>
      <x:c r="V446" s="34" t="str">
        <x:v>CAND-7F0A690E87B72D</x:v>
      </x:c>
      <x:c r="W446" s="34" t="str">
        <x:v>P2</x:v>
      </x:c>
      <x:c r="X446" s="34" t="str">
        <x:v>PORT-8384667F6B8E</x:v>
      </x:c>
      <x:c r="Y446" s="34" t="n">
        <x:v>1000</x:v>
      </x:c>
      <x:c r="Z446" s="34" t="n">
        <x:v>42.993617</x:v>
      </x:c>
      <x:c r="AA446" s="34" t="n">
        <x:v>17.888931</x:v>
      </x:c>
      <x:c r="AB446" s="34" t="n">
        <x:v>96.451092</x:v>
      </x:c>
      <x:c r="AC446" s="34" t="n">
        <x:v>4027.512</x:v>
      </x:c>
      <x:c r="AD446" s="34" t="n">
        <x:v>41.757041</x:v>
      </x:c>
      <x:c r="AE446" s="40" t="b">
        <x:v>0</x:v>
      </x:c>
      <x:c r="AF446" s="40" t="b">
        <x:v>0</x:v>
      </x:c>
      <x:c r="AG446" s="34" t="n">
        <x:v>2035</x:v>
      </x:c>
      <x:c r="AH446" s="34" t="n">
        <x:v>0.6138637290849003</x:v>
      </x:c>
      <x:c r="AI446" s="34" t="n">
        <x:v>-0.6138637290849003</x:v>
      </x:c>
      <x:c r="AJ446" s="40" t="b">
        <x:v>1</x:v>
      </x:c>
      <x:c r="AK446" s="40" t="b">
        <x:v>1</x:v>
      </x:c>
      <x:c r="AL446" s="40" t="b">
        <x:v>1</x:v>
      </x:c>
      <x:c r="AM446" s="40" t="b">
        <x:v>1</x:v>
      </x:c>
      <x:c r="AN446" s="34" t="str"/>
      <x:c r="AO446" s="34" t="n">
        <x:v>0</x:v>
      </x:c>
      <x:c r="AP446" s="34" t="n">
        <x:v>0</x:v>
      </x:c>
      <x:c r="AQ446" s="34" t="n">
        <x:v>0</x:v>
      </x:c>
      <x:c r="AR446" s="34" t="n">
        <x:v>1</x:v>
      </x:c>
      <x:c r="AS446" s="34" t="n">
        <x:v>1</x:v>
      </x:c>
      <x:c r="AT446" s="34" t="n">
        <x:v>0.28332</x:v>
      </x:c>
      <x:c r="AU446" s="34" t="n">
        <x:v>0.6</x:v>
      </x:c>
      <x:c r="AV446" s="34" t="n">
        <x:v>1.06</x:v>
      </x:c>
    </x:row>
    <x:row r="447">
      <x:c r="A447" s="34" t="str">
        <x:v>KOBE_STEEL_JP</x:v>
      </x:c>
      <x:c r="B447" s="34" t="str">
        <x:v>Kobe Steel</x:v>
      </x:c>
      <x:c r="C447" s="34" t="str">
        <x:v>ACCELERATED_15C</x:v>
      </x:c>
      <x:c r="D447" s="34" t="str">
        <x:v>P2</x:v>
      </x:c>
      <x:c r="E447" s="34" t="n">
        <x:v>2036</x:v>
      </x:c>
      <x:c r="F447" s="34" t="n">
        <x:v>2</x:v>
      </x:c>
      <x:c r="G447" s="34" t="n">
        <x:v>2.745</x:v>
      </x:c>
      <x:c r="H447" s="34" t="n">
        <x:v>5.2</x:v>
      </x:c>
      <x:c r="I447" s="34" t="n">
        <x:v>2.455</x:v>
      </x:c>
      <x:c r="J447" s="34" t="n">
        <x:v>52.788</x:v>
      </x:c>
      <x:c r="K447" s="34" t="n">
        <x:v>0</x:v>
      </x:c>
      <x:c r="L447" s="34" t="n">
        <x:v>0.6799999999999999</x:v>
      </x:c>
      <x:c r="M447" s="34" t="n">
        <x:v>0.68</x:v>
      </x:c>
      <x:c r="N447" s="34" t="n">
        <x:v>0</x:v>
      </x:c>
      <x:c r="O447" s="34" t="n">
        <x:v>1.654</x:v>
      </x:c>
      <x:c r="P447" s="34" t="n">
        <x:v>4.5</x:v>
      </x:c>
      <x:c r="Q447" s="34" t="n">
        <x:v>2.846</x:v>
      </x:c>
      <x:c r="R447" s="34" t="n">
        <x:v>36.756</x:v>
      </x:c>
      <x:c r="S447" s="40" t="b">
        <x:v>1</x:v>
      </x:c>
      <x:c r="T447" s="34" t="str">
        <x:v>model_interpolation</x:v>
      </x:c>
      <x:c r="U447" s="34" t="str">
        <x:v>Linear interpolation from 2035 to 2040</x:v>
      </x:c>
      <x:c r="V447" s="34" t="str">
        <x:v>CAND-7F0A690E87B72D</x:v>
      </x:c>
      <x:c r="W447" s="34" t="str">
        <x:v>P2</x:v>
      </x:c>
      <x:c r="X447" s="34" t="str">
        <x:v>PORT-8384667F6B8E</x:v>
      </x:c>
      <x:c r="Y447" s="34" t="n">
        <x:v>1000</x:v>
      </x:c>
      <x:c r="Z447" s="34" t="n">
        <x:v>42.993617</x:v>
      </x:c>
      <x:c r="AA447" s="34" t="n">
        <x:v>17.888931</x:v>
      </x:c>
      <x:c r="AB447" s="34" t="n">
        <x:v>96.451092</x:v>
      </x:c>
      <x:c r="AC447" s="34" t="n">
        <x:v>4027.512</x:v>
      </x:c>
      <x:c r="AD447" s="34" t="n">
        <x:v>41.757041</x:v>
      </x:c>
      <x:c r="AE447" s="40" t="b">
        <x:v>0</x:v>
      </x:c>
      <x:c r="AF447" s="40" t="b">
        <x:v>0</x:v>
      </x:c>
      <x:c r="AG447" s="34" t="n">
        <x:v>2035</x:v>
      </x:c>
      <x:c r="AH447" s="34" t="n">
        <x:v>0.6138637290849003</x:v>
      </x:c>
      <x:c r="AI447" s="34" t="n">
        <x:v>-0.6138637290849003</x:v>
      </x:c>
      <x:c r="AJ447" s="40" t="b">
        <x:v>1</x:v>
      </x:c>
      <x:c r="AK447" s="40" t="b">
        <x:v>1</x:v>
      </x:c>
      <x:c r="AL447" s="40" t="b">
        <x:v>1</x:v>
      </x:c>
      <x:c r="AM447" s="40" t="b">
        <x:v>1</x:v>
      </x:c>
      <x:c r="AN447" s="34" t="str"/>
      <x:c r="AO447" s="34" t="n">
        <x:v>0</x:v>
      </x:c>
      <x:c r="AP447" s="34" t="n">
        <x:v>0</x:v>
      </x:c>
      <x:c r="AQ447" s="34" t="n">
        <x:v>0</x:v>
      </x:c>
      <x:c r="AR447" s="34" t="n">
        <x:v>1</x:v>
      </x:c>
      <x:c r="AS447" s="34" t="n">
        <x:v>1</x:v>
      </x:c>
      <x:c r="AT447" s="34" t="n">
        <x:v>0.28332</x:v>
      </x:c>
      <x:c r="AU447" s="34" t="n">
        <x:v>0.6</x:v>
      </x:c>
      <x:c r="AV447" s="34" t="n">
        <x:v>1.06</x:v>
      </x:c>
    </x:row>
    <x:row r="448">
      <x:c r="A448" s="34" t="str">
        <x:v>KOBE_STEEL_JP</x:v>
      </x:c>
      <x:c r="B448" s="34" t="str">
        <x:v>Kobe Steel</x:v>
      </x:c>
      <x:c r="C448" s="34" t="str">
        <x:v>ACCELERATED_15C</x:v>
      </x:c>
      <x:c r="D448" s="34" t="str">
        <x:v>P2</x:v>
      </x:c>
      <x:c r="E448" s="34" t="n">
        <x:v>2037</x:v>
      </x:c>
      <x:c r="F448" s="34" t="n">
        <x:v>3</x:v>
      </x:c>
      <x:c r="G448" s="34" t="n">
        <x:v>3.1815</x:v>
      </x:c>
      <x:c r="H448" s="34" t="n">
        <x:v>5.4</x:v>
      </x:c>
      <x:c r="I448" s="34" t="n">
        <x:v>2.2185</x:v>
      </x:c>
      <x:c r="J448" s="34" t="n">
        <x:v>58.917</x:v>
      </x:c>
      <x:c r="K448" s="34" t="n">
        <x:v>0.16005</x:v>
      </x:c>
      <x:c r="L448" s="34" t="n">
        <x:v>0.76</x:v>
      </x:c>
      <x:c r="M448" s="34" t="n">
        <x:v>0.59995</x:v>
      </x:c>
      <x:c r="N448" s="34" t="n">
        <x:v>21.059</x:v>
      </x:c>
      <x:c r="O448" s="34" t="n">
        <x:v>2.9926</x:v>
      </x:c>
      <x:c r="P448" s="34" t="n">
        <x:v>5</x:v>
      </x:c>
      <x:c r="Q448" s="34" t="n">
        <x:v>2.0074</x:v>
      </x:c>
      <x:c r="R448" s="34" t="n">
        <x:v>59.852</x:v>
      </x:c>
      <x:c r="S448" s="40" t="b">
        <x:v>1</x:v>
      </x:c>
      <x:c r="T448" s="34" t="str">
        <x:v>model_interpolation</x:v>
      </x:c>
      <x:c r="U448" s="34" t="str">
        <x:v>Linear interpolation from 2035 to 2040</x:v>
      </x:c>
      <x:c r="V448" s="34" t="str">
        <x:v>CAND-7F0A690E87B72D</x:v>
      </x:c>
      <x:c r="W448" s="34" t="str">
        <x:v>P2</x:v>
      </x:c>
      <x:c r="X448" s="34" t="str">
        <x:v>PORT-8384667F6B8E</x:v>
      </x:c>
      <x:c r="Y448" s="34" t="n">
        <x:v>1000</x:v>
      </x:c>
      <x:c r="Z448" s="34" t="n">
        <x:v>42.993617</x:v>
      </x:c>
      <x:c r="AA448" s="34" t="n">
        <x:v>17.888931</x:v>
      </x:c>
      <x:c r="AB448" s="34" t="n">
        <x:v>96.451092</x:v>
      </x:c>
      <x:c r="AC448" s="34" t="n">
        <x:v>4027.512</x:v>
      </x:c>
      <x:c r="AD448" s="34" t="n">
        <x:v>41.757041</x:v>
      </x:c>
      <x:c r="AE448" s="40" t="b">
        <x:v>0</x:v>
      </x:c>
      <x:c r="AF448" s="40" t="b">
        <x:v>0</x:v>
      </x:c>
      <x:c r="AG448" s="34" t="n">
        <x:v>2035</x:v>
      </x:c>
      <x:c r="AH448" s="34" t="n">
        <x:v>0.6138637290849003</x:v>
      </x:c>
      <x:c r="AI448" s="34" t="n">
        <x:v>-0.6138637290849003</x:v>
      </x:c>
      <x:c r="AJ448" s="40" t="b">
        <x:v>1</x:v>
      </x:c>
      <x:c r="AK448" s="40" t="b">
        <x:v>1</x:v>
      </x:c>
      <x:c r="AL448" s="40" t="b">
        <x:v>1</x:v>
      </x:c>
      <x:c r="AM448" s="40" t="b">
        <x:v>1</x:v>
      </x:c>
      <x:c r="AN448" s="34" t="str"/>
      <x:c r="AO448" s="34" t="n">
        <x:v>0</x:v>
      </x:c>
      <x:c r="AP448" s="34" t="n">
        <x:v>0</x:v>
      </x:c>
      <x:c r="AQ448" s="34" t="n">
        <x:v>0</x:v>
      </x:c>
      <x:c r="AR448" s="34" t="n">
        <x:v>1</x:v>
      </x:c>
      <x:c r="AS448" s="34" t="n">
        <x:v>1</x:v>
      </x:c>
      <x:c r="AT448" s="34" t="n">
        <x:v>0.28332</x:v>
      </x:c>
      <x:c r="AU448" s="34" t="n">
        <x:v>0.6</x:v>
      </x:c>
      <x:c r="AV448" s="34" t="n">
        <x:v>1.06</x:v>
      </x:c>
    </x:row>
    <x:row r="449">
      <x:c r="A449" s="34" t="str">
        <x:v>KOBE_STEEL_JP</x:v>
      </x:c>
      <x:c r="B449" s="34" t="str">
        <x:v>Kobe Steel</x:v>
      </x:c>
      <x:c r="C449" s="34" t="str">
        <x:v>ACCELERATED_15C</x:v>
      </x:c>
      <x:c r="D449" s="34" t="str">
        <x:v>P2</x:v>
      </x:c>
      <x:c r="E449" s="34" t="n">
        <x:v>2038</x:v>
      </x:c>
      <x:c r="F449" s="34" t="n">
        <x:v>3</x:v>
      </x:c>
      <x:c r="G449" s="34" t="n">
        <x:v>3.1815</x:v>
      </x:c>
      <x:c r="H449" s="34" t="n">
        <x:v>5.6</x:v>
      </x:c>
      <x:c r="I449" s="34" t="n">
        <x:v>2.4185</x:v>
      </x:c>
      <x:c r="J449" s="34" t="n">
        <x:v>56.813</x:v>
      </x:c>
      <x:c r="K449" s="34" t="n">
        <x:v>0.16005</x:v>
      </x:c>
      <x:c r="L449" s="34" t="n">
        <x:v>0.84</x:v>
      </x:c>
      <x:c r="M449" s="34" t="n">
        <x:v>0.67995</x:v>
      </x:c>
      <x:c r="N449" s="34" t="n">
        <x:v>19.054</x:v>
      </x:c>
      <x:c r="O449" s="34" t="n">
        <x:v>2.9926</x:v>
      </x:c>
      <x:c r="P449" s="34" t="n">
        <x:v>5.5</x:v>
      </x:c>
      <x:c r="Q449" s="34" t="n">
        <x:v>2.5074</x:v>
      </x:c>
      <x:c r="R449" s="34" t="n">
        <x:v>54.411</x:v>
      </x:c>
      <x:c r="S449" s="40" t="b">
        <x:v>1</x:v>
      </x:c>
      <x:c r="T449" s="34" t="str">
        <x:v>model_interpolation</x:v>
      </x:c>
      <x:c r="U449" s="34" t="str">
        <x:v>Linear interpolation from 2035 to 2040</x:v>
      </x:c>
      <x:c r="V449" s="34" t="str">
        <x:v>CAND-7F0A690E87B72D</x:v>
      </x:c>
      <x:c r="W449" s="34" t="str">
        <x:v>P2</x:v>
      </x:c>
      <x:c r="X449" s="34" t="str">
        <x:v>PORT-8384667F6B8E</x:v>
      </x:c>
      <x:c r="Y449" s="34" t="n">
        <x:v>1000</x:v>
      </x:c>
      <x:c r="Z449" s="34" t="n">
        <x:v>42.993617</x:v>
      </x:c>
      <x:c r="AA449" s="34" t="n">
        <x:v>17.888931</x:v>
      </x:c>
      <x:c r="AB449" s="34" t="n">
        <x:v>96.451092</x:v>
      </x:c>
      <x:c r="AC449" s="34" t="n">
        <x:v>4027.512</x:v>
      </x:c>
      <x:c r="AD449" s="34" t="n">
        <x:v>41.757041</x:v>
      </x:c>
      <x:c r="AE449" s="40" t="b">
        <x:v>0</x:v>
      </x:c>
      <x:c r="AF449" s="40" t="b">
        <x:v>0</x:v>
      </x:c>
      <x:c r="AG449" s="34" t="n">
        <x:v>2035</x:v>
      </x:c>
      <x:c r="AH449" s="34" t="n">
        <x:v>0.6138637290849003</x:v>
      </x:c>
      <x:c r="AI449" s="34" t="n">
        <x:v>-0.6138637290849003</x:v>
      </x:c>
      <x:c r="AJ449" s="40" t="b">
        <x:v>1</x:v>
      </x:c>
      <x:c r="AK449" s="40" t="b">
        <x:v>1</x:v>
      </x:c>
      <x:c r="AL449" s="40" t="b">
        <x:v>1</x:v>
      </x:c>
      <x:c r="AM449" s="40" t="b">
        <x:v>1</x:v>
      </x:c>
      <x:c r="AN449" s="34" t="str"/>
      <x:c r="AO449" s="34" t="n">
        <x:v>0</x:v>
      </x:c>
      <x:c r="AP449" s="34" t="n">
        <x:v>0</x:v>
      </x:c>
      <x:c r="AQ449" s="34" t="n">
        <x:v>0</x:v>
      </x:c>
      <x:c r="AR449" s="34" t="n">
        <x:v>1</x:v>
      </x:c>
      <x:c r="AS449" s="34" t="n">
        <x:v>1</x:v>
      </x:c>
      <x:c r="AT449" s="34" t="n">
        <x:v>0.28332</x:v>
      </x:c>
      <x:c r="AU449" s="34" t="n">
        <x:v>0.6</x:v>
      </x:c>
      <x:c r="AV449" s="34" t="n">
        <x:v>1.06</x:v>
      </x:c>
    </x:row>
    <x:row r="450">
      <x:c r="A450" s="34" t="str">
        <x:v>KOBE_STEEL_JP</x:v>
      </x:c>
      <x:c r="B450" s="34" t="str">
        <x:v>Kobe Steel</x:v>
      </x:c>
      <x:c r="C450" s="34" t="str">
        <x:v>ACCELERATED_15C</x:v>
      </x:c>
      <x:c r="D450" s="34" t="str">
        <x:v>P2</x:v>
      </x:c>
      <x:c r="E450" s="34" t="n">
        <x:v>2039</x:v>
      </x:c>
      <x:c r="F450" s="34" t="n">
        <x:v>3</x:v>
      </x:c>
      <x:c r="G450" s="34" t="n">
        <x:v>3.1815</x:v>
      </x:c>
      <x:c r="H450" s="34" t="n">
        <x:v>5.8</x:v>
      </x:c>
      <x:c r="I450" s="34" t="n">
        <x:v>2.6185</x:v>
      </x:c>
      <x:c r="J450" s="34" t="n">
        <x:v>54.853</x:v>
      </x:c>
      <x:c r="K450" s="34" t="n">
        <x:v>0.16005</x:v>
      </x:c>
      <x:c r="L450" s="34" t="n">
        <x:v>0.92</x:v>
      </x:c>
      <x:c r="M450" s="34" t="n">
        <x:v>0.75995</x:v>
      </x:c>
      <x:c r="N450" s="34" t="n">
        <x:v>17.397</x:v>
      </x:c>
      <x:c r="O450" s="34" t="n">
        <x:v>2.9926</x:v>
      </x:c>
      <x:c r="P450" s="34" t="n">
        <x:v>6</x:v>
      </x:c>
      <x:c r="Q450" s="34" t="n">
        <x:v>3.0074</x:v>
      </x:c>
      <x:c r="R450" s="34" t="n">
        <x:v>49.877</x:v>
      </x:c>
      <x:c r="S450" s="40" t="b">
        <x:v>1</x:v>
      </x:c>
      <x:c r="T450" s="34" t="str">
        <x:v>model_interpolation</x:v>
      </x:c>
      <x:c r="U450" s="34" t="str">
        <x:v>Linear interpolation from 2035 to 2040</x:v>
      </x:c>
      <x:c r="V450" s="34" t="str">
        <x:v>CAND-7F0A690E87B72D</x:v>
      </x:c>
      <x:c r="W450" s="34" t="str">
        <x:v>P2</x:v>
      </x:c>
      <x:c r="X450" s="34" t="str">
        <x:v>PORT-8384667F6B8E</x:v>
      </x:c>
      <x:c r="Y450" s="34" t="n">
        <x:v>1000</x:v>
      </x:c>
      <x:c r="Z450" s="34" t="n">
        <x:v>42.993617</x:v>
      </x:c>
      <x:c r="AA450" s="34" t="n">
        <x:v>17.888931</x:v>
      </x:c>
      <x:c r="AB450" s="34" t="n">
        <x:v>96.451092</x:v>
      </x:c>
      <x:c r="AC450" s="34" t="n">
        <x:v>4027.512</x:v>
      </x:c>
      <x:c r="AD450" s="34" t="n">
        <x:v>41.757041</x:v>
      </x:c>
      <x:c r="AE450" s="40" t="b">
        <x:v>0</x:v>
      </x:c>
      <x:c r="AF450" s="40" t="b">
        <x:v>0</x:v>
      </x:c>
      <x:c r="AG450" s="34" t="n">
        <x:v>2035</x:v>
      </x:c>
      <x:c r="AH450" s="34" t="n">
        <x:v>0.6138637290849003</x:v>
      </x:c>
      <x:c r="AI450" s="34" t="n">
        <x:v>-0.6138637290849003</x:v>
      </x:c>
      <x:c r="AJ450" s="40" t="b">
        <x:v>1</x:v>
      </x:c>
      <x:c r="AK450" s="40" t="b">
        <x:v>1</x:v>
      </x:c>
      <x:c r="AL450" s="40" t="b">
        <x:v>1</x:v>
      </x:c>
      <x:c r="AM450" s="40" t="b">
        <x:v>1</x:v>
      </x:c>
      <x:c r="AN450" s="34" t="str"/>
      <x:c r="AO450" s="34" t="n">
        <x:v>0</x:v>
      </x:c>
      <x:c r="AP450" s="34" t="n">
        <x:v>0</x:v>
      </x:c>
      <x:c r="AQ450" s="34" t="n">
        <x:v>0</x:v>
      </x:c>
      <x:c r="AR450" s="34" t="n">
        <x:v>1</x:v>
      </x:c>
      <x:c r="AS450" s="34" t="n">
        <x:v>1</x:v>
      </x:c>
      <x:c r="AT450" s="34" t="n">
        <x:v>0.28332</x:v>
      </x:c>
      <x:c r="AU450" s="34" t="n">
        <x:v>0.6</x:v>
      </x:c>
      <x:c r="AV450" s="34" t="n">
        <x:v>1.06</x:v>
      </x:c>
    </x:row>
    <x:row r="451">
      <x:c r="A451" s="34" t="str">
        <x:v>KOBE_STEEL_JP</x:v>
      </x:c>
      <x:c r="B451" s="34" t="str">
        <x:v>Kobe Steel</x:v>
      </x:c>
      <x:c r="C451" s="34" t="str">
        <x:v>ACCELERATED_15C</x:v>
      </x:c>
      <x:c r="D451" s="34" t="str">
        <x:v>P2</x:v>
      </x:c>
      <x:c r="E451" s="34" t="n">
        <x:v>2040</x:v>
      </x:c>
      <x:c r="F451" s="34" t="n">
        <x:v>3</x:v>
      </x:c>
      <x:c r="G451" s="34" t="n">
        <x:v>3.1815</x:v>
      </x:c>
      <x:c r="H451" s="34" t="n">
        <x:v>6</x:v>
      </x:c>
      <x:c r="I451" s="34" t="n">
        <x:v>2.8185</x:v>
      </x:c>
      <x:c r="J451" s="34" t="n">
        <x:v>53.025</x:v>
      </x:c>
      <x:c r="K451" s="34" t="n">
        <x:v>0.16005</x:v>
      </x:c>
      <x:c r="L451" s="34" t="n">
        <x:v>1</x:v>
      </x:c>
      <x:c r="M451" s="34" t="n">
        <x:v>0.83995</x:v>
      </x:c>
      <x:c r="N451" s="34" t="n">
        <x:v>16.005</x:v>
      </x:c>
      <x:c r="O451" s="34" t="n">
        <x:v>2.9926</x:v>
      </x:c>
      <x:c r="P451" s="34" t="n">
        <x:v>6.5</x:v>
      </x:c>
      <x:c r="Q451" s="34" t="n">
        <x:v>3.5074</x:v>
      </x:c>
      <x:c r="R451" s="34" t="n">
        <x:v>46.04</x:v>
      </x:c>
      <x:c r="S451" s="40" t="b">
        <x:v>1</x:v>
      </x:c>
      <x:c r="T451" s="34" t="str">
        <x:v>model_estimate</x:v>
      </x:c>
      <x:c r="U451" s="34" t="str">
        <x:v>Illustrative accelerated envelope; not GCAM or an official supply forecast</x:v>
      </x:c>
      <x:c r="V451" s="34" t="str">
        <x:v>CAND-7F0A690E87B72D</x:v>
      </x:c>
      <x:c r="W451" s="34" t="str">
        <x:v>P2</x:v>
      </x:c>
      <x:c r="X451" s="34" t="str">
        <x:v>PORT-8384667F6B8E</x:v>
      </x:c>
      <x:c r="Y451" s="34" t="n">
        <x:v>1000</x:v>
      </x:c>
      <x:c r="Z451" s="34" t="n">
        <x:v>42.993617</x:v>
      </x:c>
      <x:c r="AA451" s="34" t="n">
        <x:v>17.888931</x:v>
      </x:c>
      <x:c r="AB451" s="34" t="n">
        <x:v>96.451092</x:v>
      </x:c>
      <x:c r="AC451" s="34" t="n">
        <x:v>4027.512</x:v>
      </x:c>
      <x:c r="AD451" s="34" t="n">
        <x:v>41.757041</x:v>
      </x:c>
      <x:c r="AE451" s="40" t="b">
        <x:v>0</x:v>
      </x:c>
      <x:c r="AF451" s="40" t="b">
        <x:v>0</x:v>
      </x:c>
      <x:c r="AG451" s="34" t="n">
        <x:v>2035</x:v>
      </x:c>
      <x:c r="AH451" s="34" t="n">
        <x:v>0.6138637290849003</x:v>
      </x:c>
      <x:c r="AI451" s="34" t="n">
        <x:v>-0.6138637290849003</x:v>
      </x:c>
      <x:c r="AJ451" s="40" t="b">
        <x:v>1</x:v>
      </x:c>
      <x:c r="AK451" s="40" t="b">
        <x:v>1</x:v>
      </x:c>
      <x:c r="AL451" s="40" t="b">
        <x:v>1</x:v>
      </x:c>
      <x:c r="AM451" s="40" t="b">
        <x:v>1</x:v>
      </x:c>
      <x:c r="AN451" s="34" t="str"/>
      <x:c r="AO451" s="34" t="n">
        <x:v>0</x:v>
      </x:c>
      <x:c r="AP451" s="34" t="n">
        <x:v>0</x:v>
      </x:c>
      <x:c r="AQ451" s="34" t="n">
        <x:v>0</x:v>
      </x:c>
      <x:c r="AR451" s="34" t="n">
        <x:v>1</x:v>
      </x:c>
      <x:c r="AS451" s="34" t="n">
        <x:v>1</x:v>
      </x:c>
      <x:c r="AT451" s="34" t="n">
        <x:v>0.28332</x:v>
      </x:c>
      <x:c r="AU451" s="34" t="n">
        <x:v>0.6</x:v>
      </x:c>
      <x:c r="AV451" s="34" t="n">
        <x:v>1.06</x:v>
      </x:c>
    </x:row>
    <x:row r="452">
      <x:c r="A452" s="34" t="str">
        <x:v>POSCO_KR</x:v>
      </x:c>
      <x:c r="B452" s="34" t="str">
        <x:v>POSCO</x:v>
      </x:c>
      <x:c r="C452" s="34" t="str">
        <x:v>DISCLOSED_PATH</x:v>
      </x:c>
      <x:c r="D452" s="34" t="str">
        <x:v>P2</x:v>
      </x:c>
      <x:c r="E452" s="34" t="n">
        <x:v>2026</x:v>
      </x:c>
      <x:c r="F452" s="34" t="n">
        <x:v>0</x:v>
      </x:c>
      <x:c r="G452" s="34" t="n">
        <x:v>0</x:v>
      </x:c>
      <x:c r="H452" s="34" t="n">
        <x:v>8</x:v>
      </x:c>
      <x:c r="I452" s="34" t="n">
        <x:v>8</x:v>
      </x:c>
      <x:c r="J452" s="34" t="n">
        <x:v>0</x:v>
      </x:c>
      <x:c r="K452" s="34" t="n">
        <x:v>0</x:v>
      </x:c>
      <x:c r="L452" s="34" t="n">
        <x:v>0</x:v>
      </x:c>
      <x:c r="M452" s="34" t="n">
        <x:v>0</x:v>
      </x:c>
      <x:c r="N452" s="34" t="n">
        <x:v>0</x:v>
      </x:c>
      <x:c r="O452" s="34" t="n">
        <x:v>0</x:v>
      </x:c>
      <x:c r="P452" s="34" t="n">
        <x:v>2</x:v>
      </x:c>
      <x:c r="Q452" s="34" t="n">
        <x:v>2</x:v>
      </x:c>
      <x:c r="R452" s="34" t="n">
        <x:v>0</x:v>
      </x:c>
      <x:c r="S452" s="40" t="b">
        <x:v>1</x:v>
      </x:c>
      <x:c r="T452" s="34" t="str">
        <x:v>model_interpolation</x:v>
      </x:c>
      <x:c r="U452" s="34" t="str">
        <x:v>Linear interpolation from 2026 to 2030</x:v>
      </x:c>
      <x:c r="V452" s="34" t="str">
        <x:v>CAND-82FF2AA13BA34C</x:v>
      </x:c>
      <x:c r="W452" s="34" t="str">
        <x:v>P2</x:v>
      </x:c>
      <x:c r="X452" s="34" t="str">
        <x:v>PORT-8826D0B469EE</x:v>
      </x:c>
      <x:c r="Y452" s="34" t="n">
        <x:v>1000</x:v>
      </x:c>
      <x:c r="Z452" s="34" t="n">
        <x:v>65.127613</x:v>
      </x:c>
      <x:c r="AA452" s="34" t="n">
        <x:v>17.340078</x:v>
      </x:c>
      <x:c r="AB452" s="34" t="n">
        <x:v>429.154227</x:v>
      </x:c>
      <x:c r="AC452" s="34" t="n">
        <x:v>27287.38</x:v>
      </x:c>
      <x:c r="AD452" s="34" t="n">
        <x:v>63.584089</x:v>
      </x:c>
      <x:c r="AE452" s="40" t="b">
        <x:v>1</x:v>
      </x:c>
      <x:c r="AF452" s="40" t="b">
        <x:v>1</x:v>
      </x:c>
      <x:c r="AG452" s="34" t="str"/>
      <x:c r="AH452" s="34" t="n">
        <x:v>0</x:v>
      </x:c>
      <x:c r="AI452" s="34" t="str">
        <x:v>2.0275124185786808e-05</x:v>
      </x:c>
      <x:c r="AJ452" s="40" t="b">
        <x:v>1</x:v>
      </x:c>
      <x:c r="AK452" s="40" t="b">
        <x:v>1</x:v>
      </x:c>
      <x:c r="AL452" s="40" t="b">
        <x:v>1</x:v>
      </x:c>
      <x:c r="AM452" s="40" t="b">
        <x:v>1</x:v>
      </x:c>
      <x:c r="AN452" s="34" t="str"/>
      <x:c r="AO452" s="34" t="n">
        <x:v>0</x:v>
      </x:c>
      <x:c r="AP452" s="34" t="n">
        <x:v>0</x:v>
      </x:c>
      <x:c r="AQ452" s="34" t="n">
        <x:v>0</x:v>
      </x:c>
      <x:c r="AR452" s="34" t="n">
        <x:v>3</x:v>
      </x:c>
      <x:c r="AS452" s="34" t="n">
        <x:v>3</x:v>
      </x:c>
      <x:c r="AT452" s="34" t="n">
        <x:v>0.459336608</x:v>
      </x:c>
      <x:c r="AU452" s="34" t="n">
        <x:v>0.65</x:v>
      </x:c>
      <x:c r="AV452" s="34" t="n">
        <x:v>2.02</x:v>
      </x:c>
    </x:row>
    <x:row r="453">
      <x:c r="A453" s="34" t="str">
        <x:v>POSCO_KR</x:v>
      </x:c>
      <x:c r="B453" s="34" t="str">
        <x:v>POSCO</x:v>
      </x:c>
      <x:c r="C453" s="34" t="str">
        <x:v>DISCLOSED_PATH</x:v>
      </x:c>
      <x:c r="D453" s="34" t="str">
        <x:v>P2</x:v>
      </x:c>
      <x:c r="E453" s="34" t="n">
        <x:v>2027</x:v>
      </x:c>
      <x:c r="F453" s="34" t="n">
        <x:v>0</x:v>
      </x:c>
      <x:c r="G453" s="34" t="n">
        <x:v>0</x:v>
      </x:c>
      <x:c r="H453" s="34" t="n">
        <x:v>9</x:v>
      </x:c>
      <x:c r="I453" s="34" t="n">
        <x:v>9</x:v>
      </x:c>
      <x:c r="J453" s="34" t="n">
        <x:v>0</x:v>
      </x:c>
      <x:c r="K453" s="34" t="n">
        <x:v>0</x:v>
      </x:c>
      <x:c r="L453" s="34" t="n">
        <x:v>0.125</x:v>
      </x:c>
      <x:c r="M453" s="34" t="n">
        <x:v>0.125</x:v>
      </x:c>
      <x:c r="N453" s="34" t="n">
        <x:v>0</x:v>
      </x:c>
      <x:c r="O453" s="34" t="n">
        <x:v>0</x:v>
      </x:c>
      <x:c r="P453" s="34" t="n">
        <x:v>3.25</x:v>
      </x:c>
      <x:c r="Q453" s="34" t="n">
        <x:v>3.25</x:v>
      </x:c>
      <x:c r="R453" s="34" t="n">
        <x:v>0</x:v>
      </x:c>
      <x:c r="S453" s="40" t="b">
        <x:v>1</x:v>
      </x:c>
      <x:c r="T453" s="34" t="str">
        <x:v>model_interpolation</x:v>
      </x:c>
      <x:c r="U453" s="34" t="str">
        <x:v>Linear interpolation from 2026 to 2030</x:v>
      </x:c>
      <x:c r="V453" s="34" t="str">
        <x:v>CAND-82FF2AA13BA34C</x:v>
      </x:c>
      <x:c r="W453" s="34" t="str">
        <x:v>P2</x:v>
      </x:c>
      <x:c r="X453" s="34" t="str">
        <x:v>PORT-8826D0B469EE</x:v>
      </x:c>
      <x:c r="Y453" s="34" t="n">
        <x:v>1000</x:v>
      </x:c>
      <x:c r="Z453" s="34" t="n">
        <x:v>65.127613</x:v>
      </x:c>
      <x:c r="AA453" s="34" t="n">
        <x:v>17.340078</x:v>
      </x:c>
      <x:c r="AB453" s="34" t="n">
        <x:v>429.154227</x:v>
      </x:c>
      <x:c r="AC453" s="34" t="n">
        <x:v>27287.38</x:v>
      </x:c>
      <x:c r="AD453" s="34" t="n">
        <x:v>63.584089</x:v>
      </x:c>
      <x:c r="AE453" s="40" t="b">
        <x:v>1</x:v>
      </x:c>
      <x:c r="AF453" s="40" t="b">
        <x:v>1</x:v>
      </x:c>
      <x:c r="AG453" s="34" t="str"/>
      <x:c r="AH453" s="34" t="n">
        <x:v>0</x:v>
      </x:c>
      <x:c r="AI453" s="34" t="str">
        <x:v>2.0275124185786808e-05</x:v>
      </x:c>
      <x:c r="AJ453" s="40" t="b">
        <x:v>1</x:v>
      </x:c>
      <x:c r="AK453" s="40" t="b">
        <x:v>1</x:v>
      </x:c>
      <x:c r="AL453" s="40" t="b">
        <x:v>1</x:v>
      </x:c>
      <x:c r="AM453" s="40" t="b">
        <x:v>1</x:v>
      </x:c>
      <x:c r="AN453" s="34" t="str"/>
      <x:c r="AO453" s="34" t="n">
        <x:v>0</x:v>
      </x:c>
      <x:c r="AP453" s="34" t="n">
        <x:v>0</x:v>
      </x:c>
      <x:c r="AQ453" s="34" t="n">
        <x:v>0</x:v>
      </x:c>
      <x:c r="AR453" s="34" t="n">
        <x:v>3</x:v>
      </x:c>
      <x:c r="AS453" s="34" t="n">
        <x:v>3</x:v>
      </x:c>
      <x:c r="AT453" s="34" t="n">
        <x:v>0.459336608</x:v>
      </x:c>
      <x:c r="AU453" s="34" t="n">
        <x:v>0.65</x:v>
      </x:c>
      <x:c r="AV453" s="34" t="n">
        <x:v>2.02</x:v>
      </x:c>
    </x:row>
    <x:row r="454">
      <x:c r="A454" s="34" t="str">
        <x:v>POSCO_KR</x:v>
      </x:c>
      <x:c r="B454" s="34" t="str">
        <x:v>POSCO</x:v>
      </x:c>
      <x:c r="C454" s="34" t="str">
        <x:v>DISCLOSED_PATH</x:v>
      </x:c>
      <x:c r="D454" s="34" t="str">
        <x:v>P2</x:v>
      </x:c>
      <x:c r="E454" s="34" t="n">
        <x:v>2028</x:v>
      </x:c>
      <x:c r="F454" s="34" t="n">
        <x:v>0</x:v>
      </x:c>
      <x:c r="G454" s="34" t="n">
        <x:v>0</x:v>
      </x:c>
      <x:c r="H454" s="34" t="n">
        <x:v>10</x:v>
      </x:c>
      <x:c r="I454" s="34" t="n">
        <x:v>10</x:v>
      </x:c>
      <x:c r="J454" s="34" t="n">
        <x:v>0</x:v>
      </x:c>
      <x:c r="K454" s="34" t="n">
        <x:v>0</x:v>
      </x:c>
      <x:c r="L454" s="34" t="n">
        <x:v>0.25</x:v>
      </x:c>
      <x:c r="M454" s="34" t="n">
        <x:v>0.25</x:v>
      </x:c>
      <x:c r="N454" s="34" t="n">
        <x:v>0</x:v>
      </x:c>
      <x:c r="O454" s="34" t="n">
        <x:v>0</x:v>
      </x:c>
      <x:c r="P454" s="34" t="n">
        <x:v>4.5</x:v>
      </x:c>
      <x:c r="Q454" s="34" t="n">
        <x:v>4.5</x:v>
      </x:c>
      <x:c r="R454" s="34" t="n">
        <x:v>0</x:v>
      </x:c>
      <x:c r="S454" s="40" t="b">
        <x:v>1</x:v>
      </x:c>
      <x:c r="T454" s="34" t="str">
        <x:v>model_interpolation</x:v>
      </x:c>
      <x:c r="U454" s="34" t="str">
        <x:v>Linear interpolation from 2026 to 2030</x:v>
      </x:c>
      <x:c r="V454" s="34" t="str">
        <x:v>CAND-82FF2AA13BA34C</x:v>
      </x:c>
      <x:c r="W454" s="34" t="str">
        <x:v>P2</x:v>
      </x:c>
      <x:c r="X454" s="34" t="str">
        <x:v>PORT-8826D0B469EE</x:v>
      </x:c>
      <x:c r="Y454" s="34" t="n">
        <x:v>1000</x:v>
      </x:c>
      <x:c r="Z454" s="34" t="n">
        <x:v>65.127613</x:v>
      </x:c>
      <x:c r="AA454" s="34" t="n">
        <x:v>17.340078</x:v>
      </x:c>
      <x:c r="AB454" s="34" t="n">
        <x:v>429.154227</x:v>
      </x:c>
      <x:c r="AC454" s="34" t="n">
        <x:v>27287.38</x:v>
      </x:c>
      <x:c r="AD454" s="34" t="n">
        <x:v>63.584089</x:v>
      </x:c>
      <x:c r="AE454" s="40" t="b">
        <x:v>1</x:v>
      </x:c>
      <x:c r="AF454" s="40" t="b">
        <x:v>1</x:v>
      </x:c>
      <x:c r="AG454" s="34" t="str"/>
      <x:c r="AH454" s="34" t="n">
        <x:v>0</x:v>
      </x:c>
      <x:c r="AI454" s="34" t="str">
        <x:v>2.0275124185786808e-05</x:v>
      </x:c>
      <x:c r="AJ454" s="40" t="b">
        <x:v>1</x:v>
      </x:c>
      <x:c r="AK454" s="40" t="b">
        <x:v>1</x:v>
      </x:c>
      <x:c r="AL454" s="40" t="b">
        <x:v>1</x:v>
      </x:c>
      <x:c r="AM454" s="40" t="b">
        <x:v>1</x:v>
      </x:c>
      <x:c r="AN454" s="34" t="str"/>
      <x:c r="AO454" s="34" t="n">
        <x:v>0</x:v>
      </x:c>
      <x:c r="AP454" s="34" t="n">
        <x:v>0</x:v>
      </x:c>
      <x:c r="AQ454" s="34" t="n">
        <x:v>0</x:v>
      </x:c>
      <x:c r="AR454" s="34" t="n">
        <x:v>3</x:v>
      </x:c>
      <x:c r="AS454" s="34" t="n">
        <x:v>3</x:v>
      </x:c>
      <x:c r="AT454" s="34" t="n">
        <x:v>0.459336608</x:v>
      </x:c>
      <x:c r="AU454" s="34" t="n">
        <x:v>0.65</x:v>
      </x:c>
      <x:c r="AV454" s="34" t="n">
        <x:v>2.02</x:v>
      </x:c>
    </x:row>
    <x:row r="455">
      <x:c r="A455" s="34" t="str">
        <x:v>POSCO_KR</x:v>
      </x:c>
      <x:c r="B455" s="34" t="str">
        <x:v>POSCO</x:v>
      </x:c>
      <x:c r="C455" s="34" t="str">
        <x:v>DISCLOSED_PATH</x:v>
      </x:c>
      <x:c r="D455" s="34" t="str">
        <x:v>P2</x:v>
      </x:c>
      <x:c r="E455" s="34" t="n">
        <x:v>2029</x:v>
      </x:c>
      <x:c r="F455" s="34" t="n">
        <x:v>1</x:v>
      </x:c>
      <x:c r="G455" s="34" t="n">
        <x:v>6.839998</x:v>
      </x:c>
      <x:c r="H455" s="34" t="n">
        <x:v>11</x:v>
      </x:c>
      <x:c r="I455" s="34" t="n">
        <x:v>4.160002</x:v>
      </x:c>
      <x:c r="J455" s="34" t="n">
        <x:v>62.182</x:v>
      </x:c>
      <x:c r="K455" s="34" t="n">
        <x:v>0</x:v>
      </x:c>
      <x:c r="L455" s="34" t="n">
        <x:v>0.375</x:v>
      </x:c>
      <x:c r="M455" s="34" t="n">
        <x:v>0.375</x:v>
      </x:c>
      <x:c r="N455" s="34" t="n">
        <x:v>0</x:v>
      </x:c>
      <x:c r="O455" s="34" t="n">
        <x:v>4.255999</x:v>
      </x:c>
      <x:c r="P455" s="34" t="n">
        <x:v>5.75</x:v>
      </x:c>
      <x:c r="Q455" s="34" t="n">
        <x:v>1.494001</x:v>
      </x:c>
      <x:c r="R455" s="34" t="n">
        <x:v>74.017</x:v>
      </x:c>
      <x:c r="S455" s="40" t="b">
        <x:v>1</x:v>
      </x:c>
      <x:c r="T455" s="34" t="str">
        <x:v>model_interpolation</x:v>
      </x:c>
      <x:c r="U455" s="34" t="str">
        <x:v>Linear interpolation from 2026 to 2030</x:v>
      </x:c>
      <x:c r="V455" s="34" t="str">
        <x:v>CAND-82FF2AA13BA34C</x:v>
      </x:c>
      <x:c r="W455" s="34" t="str">
        <x:v>P2</x:v>
      </x:c>
      <x:c r="X455" s="34" t="str">
        <x:v>PORT-8826D0B469EE</x:v>
      </x:c>
      <x:c r="Y455" s="34" t="n">
        <x:v>1000</x:v>
      </x:c>
      <x:c r="Z455" s="34" t="n">
        <x:v>65.127613</x:v>
      </x:c>
      <x:c r="AA455" s="34" t="n">
        <x:v>17.340078</x:v>
      </x:c>
      <x:c r="AB455" s="34" t="n">
        <x:v>429.154227</x:v>
      </x:c>
      <x:c r="AC455" s="34" t="n">
        <x:v>27287.38</x:v>
      </x:c>
      <x:c r="AD455" s="34" t="n">
        <x:v>63.584089</x:v>
      </x:c>
      <x:c r="AE455" s="40" t="b">
        <x:v>1</x:v>
      </x:c>
      <x:c r="AF455" s="40" t="b">
        <x:v>1</x:v>
      </x:c>
      <x:c r="AG455" s="34" t="str"/>
      <x:c r="AH455" s="34" t="n">
        <x:v>0</x:v>
      </x:c>
      <x:c r="AI455" s="34" t="str">
        <x:v>2.0275124185786808e-05</x:v>
      </x:c>
      <x:c r="AJ455" s="40" t="b">
        <x:v>1</x:v>
      </x:c>
      <x:c r="AK455" s="40" t="b">
        <x:v>1</x:v>
      </x:c>
      <x:c r="AL455" s="40" t="b">
        <x:v>1</x:v>
      </x:c>
      <x:c r="AM455" s="40" t="b">
        <x:v>1</x:v>
      </x:c>
      <x:c r="AN455" s="34" t="str"/>
      <x:c r="AO455" s="34" t="n">
        <x:v>0</x:v>
      </x:c>
      <x:c r="AP455" s="34" t="n">
        <x:v>0</x:v>
      </x:c>
      <x:c r="AQ455" s="34" t="n">
        <x:v>0</x:v>
      </x:c>
      <x:c r="AR455" s="34" t="n">
        <x:v>3</x:v>
      </x:c>
      <x:c r="AS455" s="34" t="n">
        <x:v>3</x:v>
      </x:c>
      <x:c r="AT455" s="34" t="n">
        <x:v>0.459336608</x:v>
      </x:c>
      <x:c r="AU455" s="34" t="n">
        <x:v>0.65</x:v>
      </x:c>
      <x:c r="AV455" s="34" t="n">
        <x:v>2.02</x:v>
      </x:c>
    </x:row>
    <x:row r="456">
      <x:c r="A456" s="34" t="str">
        <x:v>POSCO_KR</x:v>
      </x:c>
      <x:c r="B456" s="34" t="str">
        <x:v>POSCO</x:v>
      </x:c>
      <x:c r="C456" s="34" t="str">
        <x:v>DISCLOSED_PATH</x:v>
      </x:c>
      <x:c r="D456" s="34" t="str">
        <x:v>P2</x:v>
      </x:c>
      <x:c r="E456" s="34" t="n">
        <x:v>2030</x:v>
      </x:c>
      <x:c r="F456" s="34" t="n">
        <x:v>1</x:v>
      </x:c>
      <x:c r="G456" s="34" t="n">
        <x:v>6.839998</x:v>
      </x:c>
      <x:c r="H456" s="34" t="n">
        <x:v>12</x:v>
      </x:c>
      <x:c r="I456" s="34" t="n">
        <x:v>5.160002</x:v>
      </x:c>
      <x:c r="J456" s="34" t="n">
        <x:v>57</x:v>
      </x:c>
      <x:c r="K456" s="34" t="n">
        <x:v>0</x:v>
      </x:c>
      <x:c r="L456" s="34" t="n">
        <x:v>0.5</x:v>
      </x:c>
      <x:c r="M456" s="34" t="n">
        <x:v>0.5</x:v>
      </x:c>
      <x:c r="N456" s="34" t="n">
        <x:v>0</x:v>
      </x:c>
      <x:c r="O456" s="34" t="n">
        <x:v>4.255999</x:v>
      </x:c>
      <x:c r="P456" s="34" t="n">
        <x:v>7</x:v>
      </x:c>
      <x:c r="Q456" s="34" t="n">
        <x:v>2.744001</x:v>
      </x:c>
      <x:c r="R456" s="34" t="n">
        <x:v>60.8</x:v>
      </x:c>
      <x:c r="S456" s="40" t="b">
        <x:v>1</x:v>
      </x:c>
      <x:c r="T456" s="34" t="str">
        <x:v>model_interpolation</x:v>
      </x:c>
      <x:c r="U456" s="34" t="str">
        <x:v>Linear interpolation from 2030 to 2035</x:v>
      </x:c>
      <x:c r="V456" s="34" t="str">
        <x:v>CAND-82FF2AA13BA34C</x:v>
      </x:c>
      <x:c r="W456" s="34" t="str">
        <x:v>P2</x:v>
      </x:c>
      <x:c r="X456" s="34" t="str">
        <x:v>PORT-8826D0B469EE</x:v>
      </x:c>
      <x:c r="Y456" s="34" t="n">
        <x:v>1000</x:v>
      </x:c>
      <x:c r="Z456" s="34" t="n">
        <x:v>65.127613</x:v>
      </x:c>
      <x:c r="AA456" s="34" t="n">
        <x:v>17.340078</x:v>
      </x:c>
      <x:c r="AB456" s="34" t="n">
        <x:v>429.154227</x:v>
      </x:c>
      <x:c r="AC456" s="34" t="n">
        <x:v>27287.38</x:v>
      </x:c>
      <x:c r="AD456" s="34" t="n">
        <x:v>63.584089</x:v>
      </x:c>
      <x:c r="AE456" s="40" t="b">
        <x:v>1</x:v>
      </x:c>
      <x:c r="AF456" s="40" t="b">
        <x:v>1</x:v>
      </x:c>
      <x:c r="AG456" s="34" t="str"/>
      <x:c r="AH456" s="34" t="n">
        <x:v>0</x:v>
      </x:c>
      <x:c r="AI456" s="34" t="str">
        <x:v>2.0275124185786808e-05</x:v>
      </x:c>
      <x:c r="AJ456" s="40" t="b">
        <x:v>1</x:v>
      </x:c>
      <x:c r="AK456" s="40" t="b">
        <x:v>1</x:v>
      </x:c>
      <x:c r="AL456" s="40" t="b">
        <x:v>1</x:v>
      </x:c>
      <x:c r="AM456" s="40" t="b">
        <x:v>1</x:v>
      </x:c>
      <x:c r="AN456" s="34" t="str"/>
      <x:c r="AO456" s="34" t="n">
        <x:v>0</x:v>
      </x:c>
      <x:c r="AP456" s="34" t="n">
        <x:v>0</x:v>
      </x:c>
      <x:c r="AQ456" s="34" t="n">
        <x:v>0</x:v>
      </x:c>
      <x:c r="AR456" s="34" t="n">
        <x:v>3</x:v>
      </x:c>
      <x:c r="AS456" s="34" t="n">
        <x:v>3</x:v>
      </x:c>
      <x:c r="AT456" s="34" t="n">
        <x:v>0.459336608</x:v>
      </x:c>
      <x:c r="AU456" s="34" t="n">
        <x:v>0.65</x:v>
      </x:c>
      <x:c r="AV456" s="34" t="n">
        <x:v>2.02</x:v>
      </x:c>
    </x:row>
    <x:row r="457">
      <x:c r="A457" s="34" t="str">
        <x:v>POSCO_KR</x:v>
      </x:c>
      <x:c r="B457" s="34" t="str">
        <x:v>POSCO</x:v>
      </x:c>
      <x:c r="C457" s="34" t="str">
        <x:v>DISCLOSED_PATH</x:v>
      </x:c>
      <x:c r="D457" s="34" t="str">
        <x:v>P2</x:v>
      </x:c>
      <x:c r="E457" s="34" t="n">
        <x:v>2031</x:v>
      </x:c>
      <x:c r="F457" s="34" t="n">
        <x:v>1</x:v>
      </x:c>
      <x:c r="G457" s="34" t="n">
        <x:v>6.839998</x:v>
      </x:c>
      <x:c r="H457" s="34" t="n">
        <x:v>13.2</x:v>
      </x:c>
      <x:c r="I457" s="34" t="n">
        <x:v>6.360002</x:v>
      </x:c>
      <x:c r="J457" s="34" t="n">
        <x:v>51.818</x:v>
      </x:c>
      <x:c r="K457" s="34" t="n">
        <x:v>0</x:v>
      </x:c>
      <x:c r="L457" s="34" t="n">
        <x:v>0.7</x:v>
      </x:c>
      <x:c r="M457" s="34" t="n">
        <x:v>0.7</x:v>
      </x:c>
      <x:c r="N457" s="34" t="n">
        <x:v>0</x:v>
      </x:c>
      <x:c r="O457" s="34" t="n">
        <x:v>4.255999</x:v>
      </x:c>
      <x:c r="P457" s="34" t="n">
        <x:v>8.6</x:v>
      </x:c>
      <x:c r="Q457" s="34" t="n">
        <x:v>4.344001</x:v>
      </x:c>
      <x:c r="R457" s="34" t="n">
        <x:v>49.488</x:v>
      </x:c>
      <x:c r="S457" s="40" t="b">
        <x:v>1</x:v>
      </x:c>
      <x:c r="T457" s="34" t="str">
        <x:v>model_interpolation</x:v>
      </x:c>
      <x:c r="U457" s="34" t="str">
        <x:v>Linear interpolation from 2030 to 2035</x:v>
      </x:c>
      <x:c r="V457" s="34" t="str">
        <x:v>CAND-82FF2AA13BA34C</x:v>
      </x:c>
      <x:c r="W457" s="34" t="str">
        <x:v>P2</x:v>
      </x:c>
      <x:c r="X457" s="34" t="str">
        <x:v>PORT-8826D0B469EE</x:v>
      </x:c>
      <x:c r="Y457" s="34" t="n">
        <x:v>1000</x:v>
      </x:c>
      <x:c r="Z457" s="34" t="n">
        <x:v>65.127613</x:v>
      </x:c>
      <x:c r="AA457" s="34" t="n">
        <x:v>17.340078</x:v>
      </x:c>
      <x:c r="AB457" s="34" t="n">
        <x:v>429.154227</x:v>
      </x:c>
      <x:c r="AC457" s="34" t="n">
        <x:v>27287.38</x:v>
      </x:c>
      <x:c r="AD457" s="34" t="n">
        <x:v>63.584089</x:v>
      </x:c>
      <x:c r="AE457" s="40" t="b">
        <x:v>1</x:v>
      </x:c>
      <x:c r="AF457" s="40" t="b">
        <x:v>1</x:v>
      </x:c>
      <x:c r="AG457" s="34" t="str"/>
      <x:c r="AH457" s="34" t="n">
        <x:v>0</x:v>
      </x:c>
      <x:c r="AI457" s="34" t="str">
        <x:v>2.0275124185786808e-05</x:v>
      </x:c>
      <x:c r="AJ457" s="40" t="b">
        <x:v>1</x:v>
      </x:c>
      <x:c r="AK457" s="40" t="b">
        <x:v>1</x:v>
      </x:c>
      <x:c r="AL457" s="40" t="b">
        <x:v>1</x:v>
      </x:c>
      <x:c r="AM457" s="40" t="b">
        <x:v>1</x:v>
      </x:c>
      <x:c r="AN457" s="34" t="str"/>
      <x:c r="AO457" s="34" t="n">
        <x:v>0</x:v>
      </x:c>
      <x:c r="AP457" s="34" t="n">
        <x:v>0</x:v>
      </x:c>
      <x:c r="AQ457" s="34" t="n">
        <x:v>0</x:v>
      </x:c>
      <x:c r="AR457" s="34" t="n">
        <x:v>3</x:v>
      </x:c>
      <x:c r="AS457" s="34" t="n">
        <x:v>3</x:v>
      </x:c>
      <x:c r="AT457" s="34" t="n">
        <x:v>0.459336608</x:v>
      </x:c>
      <x:c r="AU457" s="34" t="n">
        <x:v>0.65</x:v>
      </x:c>
      <x:c r="AV457" s="34" t="n">
        <x:v>2.02</x:v>
      </x:c>
    </x:row>
    <x:row r="458">
      <x:c r="A458" s="34" t="str">
        <x:v>POSCO_KR</x:v>
      </x:c>
      <x:c r="B458" s="34" t="str">
        <x:v>POSCO</x:v>
      </x:c>
      <x:c r="C458" s="34" t="str">
        <x:v>DISCLOSED_PATH</x:v>
      </x:c>
      <x:c r="D458" s="34" t="str">
        <x:v>P2</x:v>
      </x:c>
      <x:c r="E458" s="34" t="n">
        <x:v>2032</x:v>
      </x:c>
      <x:c r="F458" s="34" t="n">
        <x:v>2</x:v>
      </x:c>
      <x:c r="G458" s="34" t="n">
        <x:v>12.959999</x:v>
      </x:c>
      <x:c r="H458" s="34" t="n">
        <x:v>14.4</x:v>
      </x:c>
      <x:c r="I458" s="34" t="n">
        <x:v>1.440001</x:v>
      </x:c>
      <x:c r="J458" s="34" t="n">
        <x:v>90</x:v>
      </x:c>
      <x:c r="K458" s="34" t="n">
        <x:v>0</x:v>
      </x:c>
      <x:c r="L458" s="34" t="n">
        <x:v>0.9</x:v>
      </x:c>
      <x:c r="M458" s="34" t="n">
        <x:v>0.9</x:v>
      </x:c>
      <x:c r="N458" s="34" t="n">
        <x:v>0</x:v>
      </x:c>
      <x:c r="O458" s="34" t="n">
        <x:v>8.063999</x:v>
      </x:c>
      <x:c r="P458" s="34" t="n">
        <x:v>10.2</x:v>
      </x:c>
      <x:c r="Q458" s="34" t="n">
        <x:v>2.136001</x:v>
      </x:c>
      <x:c r="R458" s="34" t="n">
        <x:v>79.059</x:v>
      </x:c>
      <x:c r="S458" s="40" t="b">
        <x:v>1</x:v>
      </x:c>
      <x:c r="T458" s="34" t="str">
        <x:v>model_interpolation</x:v>
      </x:c>
      <x:c r="U458" s="34" t="str">
        <x:v>Linear interpolation from 2030 to 2035</x:v>
      </x:c>
      <x:c r="V458" s="34" t="str">
        <x:v>CAND-82FF2AA13BA34C</x:v>
      </x:c>
      <x:c r="W458" s="34" t="str">
        <x:v>P2</x:v>
      </x:c>
      <x:c r="X458" s="34" t="str">
        <x:v>PORT-8826D0B469EE</x:v>
      </x:c>
      <x:c r="Y458" s="34" t="n">
        <x:v>1000</x:v>
      </x:c>
      <x:c r="Z458" s="34" t="n">
        <x:v>65.127613</x:v>
      </x:c>
      <x:c r="AA458" s="34" t="n">
        <x:v>17.340078</x:v>
      </x:c>
      <x:c r="AB458" s="34" t="n">
        <x:v>429.154227</x:v>
      </x:c>
      <x:c r="AC458" s="34" t="n">
        <x:v>27287.38</x:v>
      </x:c>
      <x:c r="AD458" s="34" t="n">
        <x:v>63.584089</x:v>
      </x:c>
      <x:c r="AE458" s="40" t="b">
        <x:v>1</x:v>
      </x:c>
      <x:c r="AF458" s="40" t="b">
        <x:v>1</x:v>
      </x:c>
      <x:c r="AG458" s="34" t="str"/>
      <x:c r="AH458" s="34" t="n">
        <x:v>0</x:v>
      </x:c>
      <x:c r="AI458" s="34" t="str">
        <x:v>2.0275124185786808e-05</x:v>
      </x:c>
      <x:c r="AJ458" s="40" t="b">
        <x:v>1</x:v>
      </x:c>
      <x:c r="AK458" s="40" t="b">
        <x:v>1</x:v>
      </x:c>
      <x:c r="AL458" s="40" t="b">
        <x:v>1</x:v>
      </x:c>
      <x:c r="AM458" s="40" t="b">
        <x:v>1</x:v>
      </x:c>
      <x:c r="AN458" s="34" t="str"/>
      <x:c r="AO458" s="34" t="n">
        <x:v>0</x:v>
      </x:c>
      <x:c r="AP458" s="34" t="n">
        <x:v>0</x:v>
      </x:c>
      <x:c r="AQ458" s="34" t="n">
        <x:v>0</x:v>
      </x:c>
      <x:c r="AR458" s="34" t="n">
        <x:v>3</x:v>
      </x:c>
      <x:c r="AS458" s="34" t="n">
        <x:v>3</x:v>
      </x:c>
      <x:c r="AT458" s="34" t="n">
        <x:v>0.459336608</x:v>
      </x:c>
      <x:c r="AU458" s="34" t="n">
        <x:v>0.65</x:v>
      </x:c>
      <x:c r="AV458" s="34" t="n">
        <x:v>2.02</x:v>
      </x:c>
    </x:row>
    <x:row r="459">
      <x:c r="A459" s="34" t="str">
        <x:v>POSCO_KR</x:v>
      </x:c>
      <x:c r="B459" s="34" t="str">
        <x:v>POSCO</x:v>
      </x:c>
      <x:c r="C459" s="34" t="str">
        <x:v>DISCLOSED_PATH</x:v>
      </x:c>
      <x:c r="D459" s="34" t="str">
        <x:v>P2</x:v>
      </x:c>
      <x:c r="E459" s="34" t="n">
        <x:v>2033</x:v>
      </x:c>
      <x:c r="F459" s="34" t="n">
        <x:v>3</x:v>
      </x:c>
      <x:c r="G459" s="34" t="n">
        <x:v>13.980599</x:v>
      </x:c>
      <x:c r="H459" s="34" t="n">
        <x:v>15.6</x:v>
      </x:c>
      <x:c r="I459" s="34" t="n">
        <x:v>1.619401</x:v>
      </x:c>
      <x:c r="J459" s="34" t="n">
        <x:v>89.619</x:v>
      </x:c>
      <x:c r="K459" s="34" t="n">
        <x:v>0</x:v>
      </x:c>
      <x:c r="L459" s="34" t="n">
        <x:v>1.1</x:v>
      </x:c>
      <x:c r="M459" s="34" t="n">
        <x:v>1.1</x:v>
      </x:c>
      <x:c r="N459" s="34" t="n">
        <x:v>0</x:v>
      </x:c>
      <x:c r="O459" s="34" t="n">
        <x:v>8.132039</x:v>
      </x:c>
      <x:c r="P459" s="34" t="n">
        <x:v>11.8</x:v>
      </x:c>
      <x:c r="Q459" s="34" t="n">
        <x:v>3.667961</x:v>
      </x:c>
      <x:c r="R459" s="34" t="n">
        <x:v>68.916</x:v>
      </x:c>
      <x:c r="S459" s="40" t="b">
        <x:v>1</x:v>
      </x:c>
      <x:c r="T459" s="34" t="str">
        <x:v>model_interpolation</x:v>
      </x:c>
      <x:c r="U459" s="34" t="str">
        <x:v>Linear interpolation from 2030 to 2035</x:v>
      </x:c>
      <x:c r="V459" s="34" t="str">
        <x:v>CAND-82FF2AA13BA34C</x:v>
      </x:c>
      <x:c r="W459" s="34" t="str">
        <x:v>P2</x:v>
      </x:c>
      <x:c r="X459" s="34" t="str">
        <x:v>PORT-8826D0B469EE</x:v>
      </x:c>
      <x:c r="Y459" s="34" t="n">
        <x:v>1000</x:v>
      </x:c>
      <x:c r="Z459" s="34" t="n">
        <x:v>65.127613</x:v>
      </x:c>
      <x:c r="AA459" s="34" t="n">
        <x:v>17.340078</x:v>
      </x:c>
      <x:c r="AB459" s="34" t="n">
        <x:v>429.154227</x:v>
      </x:c>
      <x:c r="AC459" s="34" t="n">
        <x:v>27287.38</x:v>
      </x:c>
      <x:c r="AD459" s="34" t="n">
        <x:v>63.584089</x:v>
      </x:c>
      <x:c r="AE459" s="40" t="b">
        <x:v>1</x:v>
      </x:c>
      <x:c r="AF459" s="40" t="b">
        <x:v>1</x:v>
      </x:c>
      <x:c r="AG459" s="34" t="str"/>
      <x:c r="AH459" s="34" t="n">
        <x:v>0</x:v>
      </x:c>
      <x:c r="AI459" s="34" t="str">
        <x:v>2.0275124185786808e-05</x:v>
      </x:c>
      <x:c r="AJ459" s="40" t="b">
        <x:v>1</x:v>
      </x:c>
      <x:c r="AK459" s="40" t="b">
        <x:v>1</x:v>
      </x:c>
      <x:c r="AL459" s="40" t="b">
        <x:v>1</x:v>
      </x:c>
      <x:c r="AM459" s="40" t="b">
        <x:v>1</x:v>
      </x:c>
      <x:c r="AN459" s="34" t="str"/>
      <x:c r="AO459" s="34" t="n">
        <x:v>0</x:v>
      </x:c>
      <x:c r="AP459" s="34" t="n">
        <x:v>0</x:v>
      </x:c>
      <x:c r="AQ459" s="34" t="n">
        <x:v>0</x:v>
      </x:c>
      <x:c r="AR459" s="34" t="n">
        <x:v>3</x:v>
      </x:c>
      <x:c r="AS459" s="34" t="n">
        <x:v>3</x:v>
      </x:c>
      <x:c r="AT459" s="34" t="n">
        <x:v>0.459336608</x:v>
      </x:c>
      <x:c r="AU459" s="34" t="n">
        <x:v>0.65</x:v>
      </x:c>
      <x:c r="AV459" s="34" t="n">
        <x:v>2.02</x:v>
      </x:c>
    </x:row>
    <x:row r="460">
      <x:c r="A460" s="34" t="str">
        <x:v>POSCO_KR</x:v>
      </x:c>
      <x:c r="B460" s="34" t="str">
        <x:v>POSCO</x:v>
      </x:c>
      <x:c r="C460" s="34" t="str">
        <x:v>DISCLOSED_PATH</x:v>
      </x:c>
      <x:c r="D460" s="34" t="str">
        <x:v>P2</x:v>
      </x:c>
      <x:c r="E460" s="34" t="n">
        <x:v>2034</x:v>
      </x:c>
      <x:c r="F460" s="34" t="n">
        <x:v>3</x:v>
      </x:c>
      <x:c r="G460" s="34" t="n">
        <x:v>13.980599</x:v>
      </x:c>
      <x:c r="H460" s="34" t="n">
        <x:v>16.8</x:v>
      </x:c>
      <x:c r="I460" s="34" t="n">
        <x:v>2.819401</x:v>
      </x:c>
      <x:c r="J460" s="34" t="n">
        <x:v>83.218</x:v>
      </x:c>
      <x:c r="K460" s="34" t="n">
        <x:v>0</x:v>
      </x:c>
      <x:c r="L460" s="34" t="n">
        <x:v>1.3</x:v>
      </x:c>
      <x:c r="M460" s="34" t="n">
        <x:v>1.3</x:v>
      </x:c>
      <x:c r="N460" s="34" t="n">
        <x:v>0</x:v>
      </x:c>
      <x:c r="O460" s="34" t="n">
        <x:v>8.132039</x:v>
      </x:c>
      <x:c r="P460" s="34" t="n">
        <x:v>13.4</x:v>
      </x:c>
      <x:c r="Q460" s="34" t="n">
        <x:v>5.267961</x:v>
      </x:c>
      <x:c r="R460" s="34" t="n">
        <x:v>60.687</x:v>
      </x:c>
      <x:c r="S460" s="40" t="b">
        <x:v>1</x:v>
      </x:c>
      <x:c r="T460" s="34" t="str">
        <x:v>model_interpolation</x:v>
      </x:c>
      <x:c r="U460" s="34" t="str">
        <x:v>Linear interpolation from 2030 to 2035</x:v>
      </x:c>
      <x:c r="V460" s="34" t="str">
        <x:v>CAND-82FF2AA13BA34C</x:v>
      </x:c>
      <x:c r="W460" s="34" t="str">
        <x:v>P2</x:v>
      </x:c>
      <x:c r="X460" s="34" t="str">
        <x:v>PORT-8826D0B469EE</x:v>
      </x:c>
      <x:c r="Y460" s="34" t="n">
        <x:v>1000</x:v>
      </x:c>
      <x:c r="Z460" s="34" t="n">
        <x:v>65.127613</x:v>
      </x:c>
      <x:c r="AA460" s="34" t="n">
        <x:v>17.340078</x:v>
      </x:c>
      <x:c r="AB460" s="34" t="n">
        <x:v>429.154227</x:v>
      </x:c>
      <x:c r="AC460" s="34" t="n">
        <x:v>27287.38</x:v>
      </x:c>
      <x:c r="AD460" s="34" t="n">
        <x:v>63.584089</x:v>
      </x:c>
      <x:c r="AE460" s="40" t="b">
        <x:v>1</x:v>
      </x:c>
      <x:c r="AF460" s="40" t="b">
        <x:v>1</x:v>
      </x:c>
      <x:c r="AG460" s="34" t="str"/>
      <x:c r="AH460" s="34" t="n">
        <x:v>0</x:v>
      </x:c>
      <x:c r="AI460" s="34" t="str">
        <x:v>2.0275124185786808e-05</x:v>
      </x:c>
      <x:c r="AJ460" s="40" t="b">
        <x:v>1</x:v>
      </x:c>
      <x:c r="AK460" s="40" t="b">
        <x:v>1</x:v>
      </x:c>
      <x:c r="AL460" s="40" t="b">
        <x:v>1</x:v>
      </x:c>
      <x:c r="AM460" s="40" t="b">
        <x:v>1</x:v>
      </x:c>
      <x:c r="AN460" s="34" t="str"/>
      <x:c r="AO460" s="34" t="n">
        <x:v>0</x:v>
      </x:c>
      <x:c r="AP460" s="34" t="n">
        <x:v>0</x:v>
      </x:c>
      <x:c r="AQ460" s="34" t="n">
        <x:v>0</x:v>
      </x:c>
      <x:c r="AR460" s="34" t="n">
        <x:v>3</x:v>
      </x:c>
      <x:c r="AS460" s="34" t="n">
        <x:v>3</x:v>
      </x:c>
      <x:c r="AT460" s="34" t="n">
        <x:v>0.459336608</x:v>
      </x:c>
      <x:c r="AU460" s="34" t="n">
        <x:v>0.65</x:v>
      </x:c>
      <x:c r="AV460" s="34" t="n">
        <x:v>2.02</x:v>
      </x:c>
    </x:row>
    <x:row r="461">
      <x:c r="A461" s="34" t="str">
        <x:v>POSCO_KR</x:v>
      </x:c>
      <x:c r="B461" s="34" t="str">
        <x:v>POSCO</x:v>
      </x:c>
      <x:c r="C461" s="34" t="str">
        <x:v>DISCLOSED_PATH</x:v>
      </x:c>
      <x:c r="D461" s="34" t="str">
        <x:v>P2</x:v>
      </x:c>
      <x:c r="E461" s="34" t="n">
        <x:v>2035</x:v>
      </x:c>
      <x:c r="F461" s="34" t="n">
        <x:v>4</x:v>
      </x:c>
      <x:c r="G461" s="34" t="n">
        <x:v>15.405598</x:v>
      </x:c>
      <x:c r="H461" s="34" t="n">
        <x:v>18</x:v>
      </x:c>
      <x:c r="I461" s="34" t="n">
        <x:v>2.594402</x:v>
      </x:c>
      <x:c r="J461" s="34" t="n">
        <x:v>85.587</x:v>
      </x:c>
      <x:c r="K461" s="34" t="n">
        <x:v>0.5225</x:v>
      </x:c>
      <x:c r="L461" s="34" t="n">
        <x:v>1.5</x:v>
      </x:c>
      <x:c r="M461" s="34" t="n">
        <x:v>0.9775</x:v>
      </x:c>
      <x:c r="N461" s="34" t="n">
        <x:v>34.833</x:v>
      </x:c>
      <x:c r="O461" s="34" t="n">
        <x:v>12.597039</x:v>
      </x:c>
      <x:c r="P461" s="34" t="n">
        <x:v>15</x:v>
      </x:c>
      <x:c r="Q461" s="34" t="n">
        <x:v>2.402961</x:v>
      </x:c>
      <x:c r="R461" s="34" t="n">
        <x:v>83.98</x:v>
      </x:c>
      <x:c r="S461" s="40" t="b">
        <x:v>1</x:v>
      </x:c>
      <x:c r="T461" s="34" t="str">
        <x:v>model_interpolation</x:v>
      </x:c>
      <x:c r="U461" s="34" t="str">
        <x:v>Linear interpolation from 2035 to 2040</x:v>
      </x:c>
      <x:c r="V461" s="34" t="str">
        <x:v>CAND-82FF2AA13BA34C</x:v>
      </x:c>
      <x:c r="W461" s="34" t="str">
        <x:v>P2</x:v>
      </x:c>
      <x:c r="X461" s="34" t="str">
        <x:v>PORT-8826D0B469EE</x:v>
      </x:c>
      <x:c r="Y461" s="34" t="n">
        <x:v>1000</x:v>
      </x:c>
      <x:c r="Z461" s="34" t="n">
        <x:v>65.127613</x:v>
      </x:c>
      <x:c r="AA461" s="34" t="n">
        <x:v>17.340078</x:v>
      </x:c>
      <x:c r="AB461" s="34" t="n">
        <x:v>429.154227</x:v>
      </x:c>
      <x:c r="AC461" s="34" t="n">
        <x:v>27287.38</x:v>
      </x:c>
      <x:c r="AD461" s="34" t="n">
        <x:v>63.584089</x:v>
      </x:c>
      <x:c r="AE461" s="40" t="b">
        <x:v>1</x:v>
      </x:c>
      <x:c r="AF461" s="40" t="b">
        <x:v>1</x:v>
      </x:c>
      <x:c r="AG461" s="34" t="str"/>
      <x:c r="AH461" s="34" t="n">
        <x:v>0</x:v>
      </x:c>
      <x:c r="AI461" s="34" t="str">
        <x:v>2.0275124185786808e-05</x:v>
      </x:c>
      <x:c r="AJ461" s="40" t="b">
        <x:v>1</x:v>
      </x:c>
      <x:c r="AK461" s="40" t="b">
        <x:v>1</x:v>
      </x:c>
      <x:c r="AL461" s="40" t="b">
        <x:v>1</x:v>
      </x:c>
      <x:c r="AM461" s="40" t="b">
        <x:v>1</x:v>
      </x:c>
      <x:c r="AN461" s="34" t="str"/>
      <x:c r="AO461" s="34" t="n">
        <x:v>0</x:v>
      </x:c>
      <x:c r="AP461" s="34" t="n">
        <x:v>0</x:v>
      </x:c>
      <x:c r="AQ461" s="34" t="n">
        <x:v>0</x:v>
      </x:c>
      <x:c r="AR461" s="34" t="n">
        <x:v>3</x:v>
      </x:c>
      <x:c r="AS461" s="34" t="n">
        <x:v>3</x:v>
      </x:c>
      <x:c r="AT461" s="34" t="n">
        <x:v>0.459336608</x:v>
      </x:c>
      <x:c r="AU461" s="34" t="n">
        <x:v>0.65</x:v>
      </x:c>
      <x:c r="AV461" s="34" t="n">
        <x:v>2.02</x:v>
      </x:c>
    </x:row>
    <x:row r="462">
      <x:c r="A462" s="34" t="str">
        <x:v>POSCO_KR</x:v>
      </x:c>
      <x:c r="B462" s="34" t="str">
        <x:v>POSCO</x:v>
      </x:c>
      <x:c r="C462" s="34" t="str">
        <x:v>DISCLOSED_PATH</x:v>
      </x:c>
      <x:c r="D462" s="34" t="str">
        <x:v>P2</x:v>
      </x:c>
      <x:c r="E462" s="34" t="n">
        <x:v>2036</x:v>
      </x:c>
      <x:c r="F462" s="34" t="n">
        <x:v>4</x:v>
      </x:c>
      <x:c r="G462" s="34" t="n">
        <x:v>15.405598</x:v>
      </x:c>
      <x:c r="H462" s="34" t="n">
        <x:v>19.4</x:v>
      </x:c>
      <x:c r="I462" s="34" t="n">
        <x:v>3.994402</x:v>
      </x:c>
      <x:c r="J462" s="34" t="n">
        <x:v>79.41</x:v>
      </x:c>
      <x:c r="K462" s="34" t="n">
        <x:v>0.5225</x:v>
      </x:c>
      <x:c r="L462" s="34" t="n">
        <x:v>1.8</x:v>
      </x:c>
      <x:c r="M462" s="34" t="n">
        <x:v>1.2775</x:v>
      </x:c>
      <x:c r="N462" s="34" t="n">
        <x:v>29.028</x:v>
      </x:c>
      <x:c r="O462" s="34" t="n">
        <x:v>12.597039</x:v>
      </x:c>
      <x:c r="P462" s="34" t="n">
        <x:v>17</x:v>
      </x:c>
      <x:c r="Q462" s="34" t="n">
        <x:v>4.402961</x:v>
      </x:c>
      <x:c r="R462" s="34" t="n">
        <x:v>74.1</x:v>
      </x:c>
      <x:c r="S462" s="40" t="b">
        <x:v>1</x:v>
      </x:c>
      <x:c r="T462" s="34" t="str">
        <x:v>model_interpolation</x:v>
      </x:c>
      <x:c r="U462" s="34" t="str">
        <x:v>Linear interpolation from 2035 to 2040</x:v>
      </x:c>
      <x:c r="V462" s="34" t="str">
        <x:v>CAND-82FF2AA13BA34C</x:v>
      </x:c>
      <x:c r="W462" s="34" t="str">
        <x:v>P2</x:v>
      </x:c>
      <x:c r="X462" s="34" t="str">
        <x:v>PORT-8826D0B469EE</x:v>
      </x:c>
      <x:c r="Y462" s="34" t="n">
        <x:v>1000</x:v>
      </x:c>
      <x:c r="Z462" s="34" t="n">
        <x:v>65.127613</x:v>
      </x:c>
      <x:c r="AA462" s="34" t="n">
        <x:v>17.340078</x:v>
      </x:c>
      <x:c r="AB462" s="34" t="n">
        <x:v>429.154227</x:v>
      </x:c>
      <x:c r="AC462" s="34" t="n">
        <x:v>27287.38</x:v>
      </x:c>
      <x:c r="AD462" s="34" t="n">
        <x:v>63.584089</x:v>
      </x:c>
      <x:c r="AE462" s="40" t="b">
        <x:v>1</x:v>
      </x:c>
      <x:c r="AF462" s="40" t="b">
        <x:v>1</x:v>
      </x:c>
      <x:c r="AG462" s="34" t="str"/>
      <x:c r="AH462" s="34" t="n">
        <x:v>0</x:v>
      </x:c>
      <x:c r="AI462" s="34" t="str">
        <x:v>2.0275124185786808e-05</x:v>
      </x:c>
      <x:c r="AJ462" s="40" t="b">
        <x:v>1</x:v>
      </x:c>
      <x:c r="AK462" s="40" t="b">
        <x:v>1</x:v>
      </x:c>
      <x:c r="AL462" s="40" t="b">
        <x:v>1</x:v>
      </x:c>
      <x:c r="AM462" s="40" t="b">
        <x:v>1</x:v>
      </x:c>
      <x:c r="AN462" s="34" t="str"/>
      <x:c r="AO462" s="34" t="n">
        <x:v>0</x:v>
      </x:c>
      <x:c r="AP462" s="34" t="n">
        <x:v>0</x:v>
      </x:c>
      <x:c r="AQ462" s="34" t="n">
        <x:v>0</x:v>
      </x:c>
      <x:c r="AR462" s="34" t="n">
        <x:v>3</x:v>
      </x:c>
      <x:c r="AS462" s="34" t="n">
        <x:v>3</x:v>
      </x:c>
      <x:c r="AT462" s="34" t="n">
        <x:v>0.459336608</x:v>
      </x:c>
      <x:c r="AU462" s="34" t="n">
        <x:v>0.65</x:v>
      </x:c>
      <x:c r="AV462" s="34" t="n">
        <x:v>2.02</x:v>
      </x:c>
    </x:row>
    <x:row r="463">
      <x:c r="A463" s="34" t="str">
        <x:v>POSCO_KR</x:v>
      </x:c>
      <x:c r="B463" s="34" t="str">
        <x:v>POSCO</x:v>
      </x:c>
      <x:c r="C463" s="34" t="str">
        <x:v>DISCLOSED_PATH</x:v>
      </x:c>
      <x:c r="D463" s="34" t="str">
        <x:v>P2</x:v>
      </x:c>
      <x:c r="E463" s="34" t="n">
        <x:v>2037</x:v>
      </x:c>
      <x:c r="F463" s="34" t="n">
        <x:v>5</x:v>
      </x:c>
      <x:c r="G463" s="34" t="n">
        <x:v>16.831048</x:v>
      </x:c>
      <x:c r="H463" s="34" t="n">
        <x:v>20.8</x:v>
      </x:c>
      <x:c r="I463" s="34" t="n">
        <x:v>3.968952</x:v>
      </x:c>
      <x:c r="J463" s="34" t="n">
        <x:v>80.918</x:v>
      </x:c>
      <x:c r="K463" s="34" t="n">
        <x:v>1.045165</x:v>
      </x:c>
      <x:c r="L463" s="34" t="n">
        <x:v>2.1</x:v>
      </x:c>
      <x:c r="M463" s="34" t="n">
        <x:v>1.054835</x:v>
      </x:c>
      <x:c r="N463" s="34" t="n">
        <x:v>49.77</x:v>
      </x:c>
      <x:c r="O463" s="34" t="n">
        <x:v>17.063447</x:v>
      </x:c>
      <x:c r="P463" s="34" t="n">
        <x:v>19</x:v>
      </x:c>
      <x:c r="Q463" s="34" t="n">
        <x:v>1.936553</x:v>
      </x:c>
      <x:c r="R463" s="34" t="n">
        <x:v>89.808</x:v>
      </x:c>
      <x:c r="S463" s="40" t="b">
        <x:v>1</x:v>
      </x:c>
      <x:c r="T463" s="34" t="str">
        <x:v>model_interpolation</x:v>
      </x:c>
      <x:c r="U463" s="34" t="str">
        <x:v>Linear interpolation from 2035 to 2040</x:v>
      </x:c>
      <x:c r="V463" s="34" t="str">
        <x:v>CAND-82FF2AA13BA34C</x:v>
      </x:c>
      <x:c r="W463" s="34" t="str">
        <x:v>P2</x:v>
      </x:c>
      <x:c r="X463" s="34" t="str">
        <x:v>PORT-8826D0B469EE</x:v>
      </x:c>
      <x:c r="Y463" s="34" t="n">
        <x:v>1000</x:v>
      </x:c>
      <x:c r="Z463" s="34" t="n">
        <x:v>65.127613</x:v>
      </x:c>
      <x:c r="AA463" s="34" t="n">
        <x:v>17.340078</x:v>
      </x:c>
      <x:c r="AB463" s="34" t="n">
        <x:v>429.154227</x:v>
      </x:c>
      <x:c r="AC463" s="34" t="n">
        <x:v>27287.38</x:v>
      </x:c>
      <x:c r="AD463" s="34" t="n">
        <x:v>63.584089</x:v>
      </x:c>
      <x:c r="AE463" s="40" t="b">
        <x:v>1</x:v>
      </x:c>
      <x:c r="AF463" s="40" t="b">
        <x:v>1</x:v>
      </x:c>
      <x:c r="AG463" s="34" t="str"/>
      <x:c r="AH463" s="34" t="n">
        <x:v>0</x:v>
      </x:c>
      <x:c r="AI463" s="34" t="str">
        <x:v>2.0275124185786808e-05</x:v>
      </x:c>
      <x:c r="AJ463" s="40" t="b">
        <x:v>1</x:v>
      </x:c>
      <x:c r="AK463" s="40" t="b">
        <x:v>1</x:v>
      </x:c>
      <x:c r="AL463" s="40" t="b">
        <x:v>1</x:v>
      </x:c>
      <x:c r="AM463" s="40" t="b">
        <x:v>1</x:v>
      </x:c>
      <x:c r="AN463" s="34" t="str"/>
      <x:c r="AO463" s="34" t="n">
        <x:v>0</x:v>
      </x:c>
      <x:c r="AP463" s="34" t="n">
        <x:v>0</x:v>
      </x:c>
      <x:c r="AQ463" s="34" t="n">
        <x:v>0</x:v>
      </x:c>
      <x:c r="AR463" s="34" t="n">
        <x:v>3</x:v>
      </x:c>
      <x:c r="AS463" s="34" t="n">
        <x:v>3</x:v>
      </x:c>
      <x:c r="AT463" s="34" t="n">
        <x:v>0.459336608</x:v>
      </x:c>
      <x:c r="AU463" s="34" t="n">
        <x:v>0.65</x:v>
      </x:c>
      <x:c r="AV463" s="34" t="n">
        <x:v>2.02</x:v>
      </x:c>
    </x:row>
    <x:row r="464">
      <x:c r="A464" s="34" t="str">
        <x:v>POSCO_KR</x:v>
      </x:c>
      <x:c r="B464" s="34" t="str">
        <x:v>POSCO</x:v>
      </x:c>
      <x:c r="C464" s="34" t="str">
        <x:v>DISCLOSED_PATH</x:v>
      </x:c>
      <x:c r="D464" s="34" t="str">
        <x:v>P2</x:v>
      </x:c>
      <x:c r="E464" s="34" t="n">
        <x:v>2038</x:v>
      </x:c>
      <x:c r="F464" s="34" t="n">
        <x:v>5</x:v>
      </x:c>
      <x:c r="G464" s="34" t="n">
        <x:v>16.831048</x:v>
      </x:c>
      <x:c r="H464" s="34" t="n">
        <x:v>22.2</x:v>
      </x:c>
      <x:c r="I464" s="34" t="n">
        <x:v>5.368952</x:v>
      </x:c>
      <x:c r="J464" s="34" t="n">
        <x:v>75.816</x:v>
      </x:c>
      <x:c r="K464" s="34" t="n">
        <x:v>1.045165</x:v>
      </x:c>
      <x:c r="L464" s="34" t="n">
        <x:v>2.4</x:v>
      </x:c>
      <x:c r="M464" s="34" t="n">
        <x:v>1.354835</x:v>
      </x:c>
      <x:c r="N464" s="34" t="n">
        <x:v>43.549</x:v>
      </x:c>
      <x:c r="O464" s="34" t="n">
        <x:v>17.063447</x:v>
      </x:c>
      <x:c r="P464" s="34" t="n">
        <x:v>21</x:v>
      </x:c>
      <x:c r="Q464" s="34" t="n">
        <x:v>3.936553</x:v>
      </x:c>
      <x:c r="R464" s="34" t="n">
        <x:v>81.255</x:v>
      </x:c>
      <x:c r="S464" s="40" t="b">
        <x:v>1</x:v>
      </x:c>
      <x:c r="T464" s="34" t="str">
        <x:v>model_interpolation</x:v>
      </x:c>
      <x:c r="U464" s="34" t="str">
        <x:v>Linear interpolation from 2035 to 2040</x:v>
      </x:c>
      <x:c r="V464" s="34" t="str">
        <x:v>CAND-82FF2AA13BA34C</x:v>
      </x:c>
      <x:c r="W464" s="34" t="str">
        <x:v>P2</x:v>
      </x:c>
      <x:c r="X464" s="34" t="str">
        <x:v>PORT-8826D0B469EE</x:v>
      </x:c>
      <x:c r="Y464" s="34" t="n">
        <x:v>1000</x:v>
      </x:c>
      <x:c r="Z464" s="34" t="n">
        <x:v>65.127613</x:v>
      </x:c>
      <x:c r="AA464" s="34" t="n">
        <x:v>17.340078</x:v>
      </x:c>
      <x:c r="AB464" s="34" t="n">
        <x:v>429.154227</x:v>
      </x:c>
      <x:c r="AC464" s="34" t="n">
        <x:v>27287.38</x:v>
      </x:c>
      <x:c r="AD464" s="34" t="n">
        <x:v>63.584089</x:v>
      </x:c>
      <x:c r="AE464" s="40" t="b">
        <x:v>1</x:v>
      </x:c>
      <x:c r="AF464" s="40" t="b">
        <x:v>1</x:v>
      </x:c>
      <x:c r="AG464" s="34" t="str"/>
      <x:c r="AH464" s="34" t="n">
        <x:v>0</x:v>
      </x:c>
      <x:c r="AI464" s="34" t="str">
        <x:v>2.0275124185786808e-05</x:v>
      </x:c>
      <x:c r="AJ464" s="40" t="b">
        <x:v>1</x:v>
      </x:c>
      <x:c r="AK464" s="40" t="b">
        <x:v>1</x:v>
      </x:c>
      <x:c r="AL464" s="40" t="b">
        <x:v>1</x:v>
      </x:c>
      <x:c r="AM464" s="40" t="b">
        <x:v>1</x:v>
      </x:c>
      <x:c r="AN464" s="34" t="str"/>
      <x:c r="AO464" s="34" t="n">
        <x:v>0</x:v>
      </x:c>
      <x:c r="AP464" s="34" t="n">
        <x:v>0</x:v>
      </x:c>
      <x:c r="AQ464" s="34" t="n">
        <x:v>0</x:v>
      </x:c>
      <x:c r="AR464" s="34" t="n">
        <x:v>3</x:v>
      </x:c>
      <x:c r="AS464" s="34" t="n">
        <x:v>3</x:v>
      </x:c>
      <x:c r="AT464" s="34" t="n">
        <x:v>0.459336608</x:v>
      </x:c>
      <x:c r="AU464" s="34" t="n">
        <x:v>0.65</x:v>
      </x:c>
      <x:c r="AV464" s="34" t="n">
        <x:v>2.02</x:v>
      </x:c>
    </x:row>
    <x:row r="465">
      <x:c r="A465" s="34" t="str">
        <x:v>POSCO_KR</x:v>
      </x:c>
      <x:c r="B465" s="34" t="str">
        <x:v>POSCO</x:v>
      </x:c>
      <x:c r="C465" s="34" t="str">
        <x:v>DISCLOSED_PATH</x:v>
      </x:c>
      <x:c r="D465" s="34" t="str">
        <x:v>P2</x:v>
      </x:c>
      <x:c r="E465" s="34" t="n">
        <x:v>2039</x:v>
      </x:c>
      <x:c r="F465" s="34" t="n">
        <x:v>5</x:v>
      </x:c>
      <x:c r="G465" s="34" t="n">
        <x:v>16.831048</x:v>
      </x:c>
      <x:c r="H465" s="34" t="n">
        <x:v>23.6</x:v>
      </x:c>
      <x:c r="I465" s="34" t="n">
        <x:v>6.768952</x:v>
      </x:c>
      <x:c r="J465" s="34" t="n">
        <x:v>71.318</x:v>
      </x:c>
      <x:c r="K465" s="34" t="n">
        <x:v>1.045165</x:v>
      </x:c>
      <x:c r="L465" s="34" t="n">
        <x:v>2.7</x:v>
      </x:c>
      <x:c r="M465" s="34" t="n">
        <x:v>1.654835</x:v>
      </x:c>
      <x:c r="N465" s="34" t="n">
        <x:v>38.71</x:v>
      </x:c>
      <x:c r="O465" s="34" t="n">
        <x:v>17.063447</x:v>
      </x:c>
      <x:c r="P465" s="34" t="n">
        <x:v>23</x:v>
      </x:c>
      <x:c r="Q465" s="34" t="n">
        <x:v>5.936553</x:v>
      </x:c>
      <x:c r="R465" s="34" t="n">
        <x:v>74.189</x:v>
      </x:c>
      <x:c r="S465" s="40" t="b">
        <x:v>1</x:v>
      </x:c>
      <x:c r="T465" s="34" t="str">
        <x:v>model_interpolation</x:v>
      </x:c>
      <x:c r="U465" s="34" t="str">
        <x:v>Linear interpolation from 2035 to 2040</x:v>
      </x:c>
      <x:c r="V465" s="34" t="str">
        <x:v>CAND-82FF2AA13BA34C</x:v>
      </x:c>
      <x:c r="W465" s="34" t="str">
        <x:v>P2</x:v>
      </x:c>
      <x:c r="X465" s="34" t="str">
        <x:v>PORT-8826D0B469EE</x:v>
      </x:c>
      <x:c r="Y465" s="34" t="n">
        <x:v>1000</x:v>
      </x:c>
      <x:c r="Z465" s="34" t="n">
        <x:v>65.127613</x:v>
      </x:c>
      <x:c r="AA465" s="34" t="n">
        <x:v>17.340078</x:v>
      </x:c>
      <x:c r="AB465" s="34" t="n">
        <x:v>429.154227</x:v>
      </x:c>
      <x:c r="AC465" s="34" t="n">
        <x:v>27287.38</x:v>
      </x:c>
      <x:c r="AD465" s="34" t="n">
        <x:v>63.584089</x:v>
      </x:c>
      <x:c r="AE465" s="40" t="b">
        <x:v>1</x:v>
      </x:c>
      <x:c r="AF465" s="40" t="b">
        <x:v>1</x:v>
      </x:c>
      <x:c r="AG465" s="34" t="str"/>
      <x:c r="AH465" s="34" t="n">
        <x:v>0</x:v>
      </x:c>
      <x:c r="AI465" s="34" t="str">
        <x:v>2.0275124185786808e-05</x:v>
      </x:c>
      <x:c r="AJ465" s="40" t="b">
        <x:v>1</x:v>
      </x:c>
      <x:c r="AK465" s="40" t="b">
        <x:v>1</x:v>
      </x:c>
      <x:c r="AL465" s="40" t="b">
        <x:v>1</x:v>
      </x:c>
      <x:c r="AM465" s="40" t="b">
        <x:v>1</x:v>
      </x:c>
      <x:c r="AN465" s="34" t="str"/>
      <x:c r="AO465" s="34" t="n">
        <x:v>0</x:v>
      </x:c>
      <x:c r="AP465" s="34" t="n">
        <x:v>0</x:v>
      </x:c>
      <x:c r="AQ465" s="34" t="n">
        <x:v>0</x:v>
      </x:c>
      <x:c r="AR465" s="34" t="n">
        <x:v>3</x:v>
      </x:c>
      <x:c r="AS465" s="34" t="n">
        <x:v>3</x:v>
      </x:c>
      <x:c r="AT465" s="34" t="n">
        <x:v>0.459336608</x:v>
      </x:c>
      <x:c r="AU465" s="34" t="n">
        <x:v>0.65</x:v>
      </x:c>
      <x:c r="AV465" s="34" t="n">
        <x:v>2.02</x:v>
      </x:c>
    </x:row>
    <x:row r="466">
      <x:c r="A466" s="34" t="str">
        <x:v>POSCO_KR</x:v>
      </x:c>
      <x:c r="B466" s="34" t="str">
        <x:v>POSCO</x:v>
      </x:c>
      <x:c r="C466" s="34" t="str">
        <x:v>DISCLOSED_PATH</x:v>
      </x:c>
      <x:c r="D466" s="34" t="str">
        <x:v>P2</x:v>
      </x:c>
      <x:c r="E466" s="34" t="n">
        <x:v>2040</x:v>
      </x:c>
      <x:c r="F466" s="34" t="n">
        <x:v>5</x:v>
      </x:c>
      <x:c r="G466" s="34" t="n">
        <x:v>16.831048</x:v>
      </x:c>
      <x:c r="H466" s="34" t="n">
        <x:v>25</x:v>
      </x:c>
      <x:c r="I466" s="34" t="n">
        <x:v>8.168952</x:v>
      </x:c>
      <x:c r="J466" s="34" t="n">
        <x:v>67.324</x:v>
      </x:c>
      <x:c r="K466" s="34" t="n">
        <x:v>1.045165</x:v>
      </x:c>
      <x:c r="L466" s="34" t="n">
        <x:v>3</x:v>
      </x:c>
      <x:c r="M466" s="34" t="n">
        <x:v>1.954835</x:v>
      </x:c>
      <x:c r="N466" s="34" t="n">
        <x:v>34.839</x:v>
      </x:c>
      <x:c r="O466" s="34" t="n">
        <x:v>17.063447</x:v>
      </x:c>
      <x:c r="P466" s="34" t="n">
        <x:v>25</x:v>
      </x:c>
      <x:c r="Q466" s="34" t="n">
        <x:v>7.936553</x:v>
      </x:c>
      <x:c r="R466" s="34" t="n">
        <x:v>68.254</x:v>
      </x:c>
      <x:c r="S466" s="40" t="b">
        <x:v>1</x:v>
      </x:c>
      <x:c r="T466" s="34" t="str">
        <x:v>model_estimate</x:v>
      </x:c>
      <x:c r="U466" s="34" t="str">
        <x:v>Illustrative screening envelope; not an official supply forecast</x:v>
      </x:c>
      <x:c r="V466" s="34" t="str">
        <x:v>CAND-82FF2AA13BA34C</x:v>
      </x:c>
      <x:c r="W466" s="34" t="str">
        <x:v>P2</x:v>
      </x:c>
      <x:c r="X466" s="34" t="str">
        <x:v>PORT-8826D0B469EE</x:v>
      </x:c>
      <x:c r="Y466" s="34" t="n">
        <x:v>1000</x:v>
      </x:c>
      <x:c r="Z466" s="34" t="n">
        <x:v>65.127613</x:v>
      </x:c>
      <x:c r="AA466" s="34" t="n">
        <x:v>17.340078</x:v>
      </x:c>
      <x:c r="AB466" s="34" t="n">
        <x:v>429.154227</x:v>
      </x:c>
      <x:c r="AC466" s="34" t="n">
        <x:v>27287.38</x:v>
      </x:c>
      <x:c r="AD466" s="34" t="n">
        <x:v>63.584089</x:v>
      </x:c>
      <x:c r="AE466" s="40" t="b">
        <x:v>1</x:v>
      </x:c>
      <x:c r="AF466" s="40" t="b">
        <x:v>1</x:v>
      </x:c>
      <x:c r="AG466" s="34" t="str"/>
      <x:c r="AH466" s="34" t="n">
        <x:v>0</x:v>
      </x:c>
      <x:c r="AI466" s="34" t="str">
        <x:v>2.0275124185786808e-05</x:v>
      </x:c>
      <x:c r="AJ466" s="40" t="b">
        <x:v>1</x:v>
      </x:c>
      <x:c r="AK466" s="40" t="b">
        <x:v>1</x:v>
      </x:c>
      <x:c r="AL466" s="40" t="b">
        <x:v>1</x:v>
      </x:c>
      <x:c r="AM466" s="40" t="b">
        <x:v>1</x:v>
      </x:c>
      <x:c r="AN466" s="34" t="str"/>
      <x:c r="AO466" s="34" t="n">
        <x:v>0</x:v>
      </x:c>
      <x:c r="AP466" s="34" t="n">
        <x:v>0</x:v>
      </x:c>
      <x:c r="AQ466" s="34" t="n">
        <x:v>0</x:v>
      </x:c>
      <x:c r="AR466" s="34" t="n">
        <x:v>3</x:v>
      </x:c>
      <x:c r="AS466" s="34" t="n">
        <x:v>3</x:v>
      </x:c>
      <x:c r="AT466" s="34" t="n">
        <x:v>0.459336608</x:v>
      </x:c>
      <x:c r="AU466" s="34" t="n">
        <x:v>0.65</x:v>
      </x:c>
      <x:c r="AV466" s="34" t="n">
        <x:v>2.02</x:v>
      </x:c>
    </x:row>
    <x:row r="467">
      <x:c r="A467" s="34" t="str">
        <x:v>POSCO_KR</x:v>
      </x:c>
      <x:c r="B467" s="34" t="str">
        <x:v>POSCO</x:v>
      </x:c>
      <x:c r="C467" s="34" t="str">
        <x:v>ACCELERATED_15C</x:v>
      </x:c>
      <x:c r="D467" s="34" t="str">
        <x:v>P2</x:v>
      </x:c>
      <x:c r="E467" s="34" t="n">
        <x:v>2026</x:v>
      </x:c>
      <x:c r="F467" s="34" t="n">
        <x:v>0</x:v>
      </x:c>
      <x:c r="G467" s="34" t="n">
        <x:v>0</x:v>
      </x:c>
      <x:c r="H467" s="34" t="n">
        <x:v>8</x:v>
      </x:c>
      <x:c r="I467" s="34" t="n">
        <x:v>8</x:v>
      </x:c>
      <x:c r="J467" s="34" t="n">
        <x:v>0</x:v>
      </x:c>
      <x:c r="K467" s="34" t="n">
        <x:v>0</x:v>
      </x:c>
      <x:c r="L467" s="34" t="n">
        <x:v>0.1</x:v>
      </x:c>
      <x:c r="M467" s="34" t="n">
        <x:v>0.1</x:v>
      </x:c>
      <x:c r="N467" s="34" t="n">
        <x:v>0</x:v>
      </x:c>
      <x:c r="O467" s="34" t="n">
        <x:v>0</x:v>
      </x:c>
      <x:c r="P467" s="34" t="n">
        <x:v>2</x:v>
      </x:c>
      <x:c r="Q467" s="34" t="n">
        <x:v>2</x:v>
      </x:c>
      <x:c r="R467" s="34" t="n">
        <x:v>0</x:v>
      </x:c>
      <x:c r="S467" s="40" t="b">
        <x:v>1</x:v>
      </x:c>
      <x:c r="T467" s="34" t="str">
        <x:v>model_interpolation</x:v>
      </x:c>
      <x:c r="U467" s="34" t="str">
        <x:v>Linear interpolation from 2026 to 2030</x:v>
      </x:c>
      <x:c r="V467" s="34" t="str">
        <x:v>CAND-82FF2AA13BA34C</x:v>
      </x:c>
      <x:c r="W467" s="34" t="str">
        <x:v>P2</x:v>
      </x:c>
      <x:c r="X467" s="34" t="str">
        <x:v>PORT-8826D0B469EE</x:v>
      </x:c>
      <x:c r="Y467" s="34" t="n">
        <x:v>1000</x:v>
      </x:c>
      <x:c r="Z467" s="34" t="n">
        <x:v>53.31947</x:v>
      </x:c>
      <x:c r="AA467" s="34" t="n">
        <x:v>18.559119</x:v>
      </x:c>
      <x:c r="AB467" s="34" t="n">
        <x:v>429.154227</x:v>
      </x:c>
      <x:c r="AC467" s="34" t="n">
        <x:v>22213.621</x:v>
      </x:c>
      <x:c r="AD467" s="34" t="n">
        <x:v>51.761393</x:v>
      </x:c>
      <x:c r="AE467" s="40" t="b">
        <x:v>1</x:v>
      </x:c>
      <x:c r="AF467" s="40" t="b">
        <x:v>1</x:v>
      </x:c>
      <x:c r="AG467" s="34" t="str"/>
      <x:c r="AH467" s="34" t="n">
        <x:v>0</x:v>
      </x:c>
      <x:c r="AI467" s="34" t="str">
        <x:v>2.0275124185786808e-05</x:v>
      </x:c>
      <x:c r="AJ467" s="40" t="b">
        <x:v>1</x:v>
      </x:c>
      <x:c r="AK467" s="40" t="b">
        <x:v>1</x:v>
      </x:c>
      <x:c r="AL467" s="40" t="b">
        <x:v>1</x:v>
      </x:c>
      <x:c r="AM467" s="40" t="b">
        <x:v>1</x:v>
      </x:c>
      <x:c r="AN467" s="34" t="str"/>
      <x:c r="AO467" s="34" t="n">
        <x:v>0</x:v>
      </x:c>
      <x:c r="AP467" s="34" t="n">
        <x:v>0</x:v>
      </x:c>
      <x:c r="AQ467" s="34" t="n">
        <x:v>0</x:v>
      </x:c>
      <x:c r="AR467" s="34" t="n">
        <x:v>3</x:v>
      </x:c>
      <x:c r="AS467" s="34" t="n">
        <x:v>3</x:v>
      </x:c>
      <x:c r="AT467" s="34" t="n">
        <x:v>0.459336608</x:v>
      </x:c>
      <x:c r="AU467" s="34" t="n">
        <x:v>0.65</x:v>
      </x:c>
      <x:c r="AV467" s="34" t="n">
        <x:v>2.02</x:v>
      </x:c>
    </x:row>
    <x:row r="468">
      <x:c r="A468" s="34" t="str">
        <x:v>POSCO_KR</x:v>
      </x:c>
      <x:c r="B468" s="34" t="str">
        <x:v>POSCO</x:v>
      </x:c>
      <x:c r="C468" s="34" t="str">
        <x:v>ACCELERATED_15C</x:v>
      </x:c>
      <x:c r="D468" s="34" t="str">
        <x:v>P2</x:v>
      </x:c>
      <x:c r="E468" s="34" t="n">
        <x:v>2027</x:v>
      </x:c>
      <x:c r="F468" s="34" t="n">
        <x:v>0</x:v>
      </x:c>
      <x:c r="G468" s="34" t="n">
        <x:v>0</x:v>
      </x:c>
      <x:c r="H468" s="34" t="n">
        <x:v>9.75</x:v>
      </x:c>
      <x:c r="I468" s="34" t="n">
        <x:v>9.75</x:v>
      </x:c>
      <x:c r="J468" s="34" t="n">
        <x:v>0</x:v>
      </x:c>
      <x:c r="K468" s="34" t="n">
        <x:v>0</x:v>
      </x:c>
      <x:c r="L468" s="34" t="n">
        <x:v>0.275</x:v>
      </x:c>
      <x:c r="M468" s="34" t="n">
        <x:v>0.275</x:v>
      </x:c>
      <x:c r="N468" s="34" t="n">
        <x:v>0</x:v>
      </x:c>
      <x:c r="O468" s="34" t="n">
        <x:v>0</x:v>
      </x:c>
      <x:c r="P468" s="34" t="n">
        <x:v>4</x:v>
      </x:c>
      <x:c r="Q468" s="34" t="n">
        <x:v>4</x:v>
      </x:c>
      <x:c r="R468" s="34" t="n">
        <x:v>0</x:v>
      </x:c>
      <x:c r="S468" s="40" t="b">
        <x:v>1</x:v>
      </x:c>
      <x:c r="T468" s="34" t="str">
        <x:v>model_interpolation</x:v>
      </x:c>
      <x:c r="U468" s="34" t="str">
        <x:v>Linear interpolation from 2026 to 2030</x:v>
      </x:c>
      <x:c r="V468" s="34" t="str">
        <x:v>CAND-82FF2AA13BA34C</x:v>
      </x:c>
      <x:c r="W468" s="34" t="str">
        <x:v>P2</x:v>
      </x:c>
      <x:c r="X468" s="34" t="str">
        <x:v>PORT-8826D0B469EE</x:v>
      </x:c>
      <x:c r="Y468" s="34" t="n">
        <x:v>1000</x:v>
      </x:c>
      <x:c r="Z468" s="34" t="n">
        <x:v>53.31947</x:v>
      </x:c>
      <x:c r="AA468" s="34" t="n">
        <x:v>18.559119</x:v>
      </x:c>
      <x:c r="AB468" s="34" t="n">
        <x:v>429.154227</x:v>
      </x:c>
      <x:c r="AC468" s="34" t="n">
        <x:v>22213.621</x:v>
      </x:c>
      <x:c r="AD468" s="34" t="n">
        <x:v>51.761393</x:v>
      </x:c>
      <x:c r="AE468" s="40" t="b">
        <x:v>1</x:v>
      </x:c>
      <x:c r="AF468" s="40" t="b">
        <x:v>1</x:v>
      </x:c>
      <x:c r="AG468" s="34" t="str"/>
      <x:c r="AH468" s="34" t="n">
        <x:v>0</x:v>
      </x:c>
      <x:c r="AI468" s="34" t="str">
        <x:v>2.0275124185786808e-05</x:v>
      </x:c>
      <x:c r="AJ468" s="40" t="b">
        <x:v>1</x:v>
      </x:c>
      <x:c r="AK468" s="40" t="b">
        <x:v>1</x:v>
      </x:c>
      <x:c r="AL468" s="40" t="b">
        <x:v>1</x:v>
      </x:c>
      <x:c r="AM468" s="40" t="b">
        <x:v>1</x:v>
      </x:c>
      <x:c r="AN468" s="34" t="str"/>
      <x:c r="AO468" s="34" t="n">
        <x:v>0</x:v>
      </x:c>
      <x:c r="AP468" s="34" t="n">
        <x:v>0</x:v>
      </x:c>
      <x:c r="AQ468" s="34" t="n">
        <x:v>0</x:v>
      </x:c>
      <x:c r="AR468" s="34" t="n">
        <x:v>3</x:v>
      </x:c>
      <x:c r="AS468" s="34" t="n">
        <x:v>3</x:v>
      </x:c>
      <x:c r="AT468" s="34" t="n">
        <x:v>0.459336608</x:v>
      </x:c>
      <x:c r="AU468" s="34" t="n">
        <x:v>0.65</x:v>
      </x:c>
      <x:c r="AV468" s="34" t="n">
        <x:v>2.02</x:v>
      </x:c>
    </x:row>
    <x:row r="469">
      <x:c r="A469" s="34" t="str">
        <x:v>POSCO_KR</x:v>
      </x:c>
      <x:c r="B469" s="34" t="str">
        <x:v>POSCO</x:v>
      </x:c>
      <x:c r="C469" s="34" t="str">
        <x:v>ACCELERATED_15C</x:v>
      </x:c>
      <x:c r="D469" s="34" t="str">
        <x:v>P2</x:v>
      </x:c>
      <x:c r="E469" s="34" t="n">
        <x:v>2028</x:v>
      </x:c>
      <x:c r="F469" s="34" t="n">
        <x:v>0</x:v>
      </x:c>
      <x:c r="G469" s="34" t="n">
        <x:v>0</x:v>
      </x:c>
      <x:c r="H469" s="34" t="n">
        <x:v>11.5</x:v>
      </x:c>
      <x:c r="I469" s="34" t="n">
        <x:v>11.5</x:v>
      </x:c>
      <x:c r="J469" s="34" t="n">
        <x:v>0</x:v>
      </x:c>
      <x:c r="K469" s="34" t="n">
        <x:v>0</x:v>
      </x:c>
      <x:c r="L469" s="34" t="n">
        <x:v>0.45000000000000007</x:v>
      </x:c>
      <x:c r="M469" s="34" t="n">
        <x:v>0.45</x:v>
      </x:c>
      <x:c r="N469" s="34" t="n">
        <x:v>0</x:v>
      </x:c>
      <x:c r="O469" s="34" t="n">
        <x:v>0</x:v>
      </x:c>
      <x:c r="P469" s="34" t="n">
        <x:v>6</x:v>
      </x:c>
      <x:c r="Q469" s="34" t="n">
        <x:v>6</x:v>
      </x:c>
      <x:c r="R469" s="34" t="n">
        <x:v>0</x:v>
      </x:c>
      <x:c r="S469" s="40" t="b">
        <x:v>1</x:v>
      </x:c>
      <x:c r="T469" s="34" t="str">
        <x:v>model_interpolation</x:v>
      </x:c>
      <x:c r="U469" s="34" t="str">
        <x:v>Linear interpolation from 2026 to 2030</x:v>
      </x:c>
      <x:c r="V469" s="34" t="str">
        <x:v>CAND-82FF2AA13BA34C</x:v>
      </x:c>
      <x:c r="W469" s="34" t="str">
        <x:v>P2</x:v>
      </x:c>
      <x:c r="X469" s="34" t="str">
        <x:v>PORT-8826D0B469EE</x:v>
      </x:c>
      <x:c r="Y469" s="34" t="n">
        <x:v>1000</x:v>
      </x:c>
      <x:c r="Z469" s="34" t="n">
        <x:v>53.31947</x:v>
      </x:c>
      <x:c r="AA469" s="34" t="n">
        <x:v>18.559119</x:v>
      </x:c>
      <x:c r="AB469" s="34" t="n">
        <x:v>429.154227</x:v>
      </x:c>
      <x:c r="AC469" s="34" t="n">
        <x:v>22213.621</x:v>
      </x:c>
      <x:c r="AD469" s="34" t="n">
        <x:v>51.761393</x:v>
      </x:c>
      <x:c r="AE469" s="40" t="b">
        <x:v>1</x:v>
      </x:c>
      <x:c r="AF469" s="40" t="b">
        <x:v>1</x:v>
      </x:c>
      <x:c r="AG469" s="34" t="str"/>
      <x:c r="AH469" s="34" t="n">
        <x:v>0</x:v>
      </x:c>
      <x:c r="AI469" s="34" t="str">
        <x:v>2.0275124185786808e-05</x:v>
      </x:c>
      <x:c r="AJ469" s="40" t="b">
        <x:v>1</x:v>
      </x:c>
      <x:c r="AK469" s="40" t="b">
        <x:v>1</x:v>
      </x:c>
      <x:c r="AL469" s="40" t="b">
        <x:v>1</x:v>
      </x:c>
      <x:c r="AM469" s="40" t="b">
        <x:v>1</x:v>
      </x:c>
      <x:c r="AN469" s="34" t="str"/>
      <x:c r="AO469" s="34" t="n">
        <x:v>0</x:v>
      </x:c>
      <x:c r="AP469" s="34" t="n">
        <x:v>0</x:v>
      </x:c>
      <x:c r="AQ469" s="34" t="n">
        <x:v>0</x:v>
      </x:c>
      <x:c r="AR469" s="34" t="n">
        <x:v>3</x:v>
      </x:c>
      <x:c r="AS469" s="34" t="n">
        <x:v>3</x:v>
      </x:c>
      <x:c r="AT469" s="34" t="n">
        <x:v>0.459336608</x:v>
      </x:c>
      <x:c r="AU469" s="34" t="n">
        <x:v>0.65</x:v>
      </x:c>
      <x:c r="AV469" s="34" t="n">
        <x:v>2.02</x:v>
      </x:c>
    </x:row>
    <x:row r="470">
      <x:c r="A470" s="34" t="str">
        <x:v>POSCO_KR</x:v>
      </x:c>
      <x:c r="B470" s="34" t="str">
        <x:v>POSCO</x:v>
      </x:c>
      <x:c r="C470" s="34" t="str">
        <x:v>ACCELERATED_15C</x:v>
      </x:c>
      <x:c r="D470" s="34" t="str">
        <x:v>P2</x:v>
      </x:c>
      <x:c r="E470" s="34" t="n">
        <x:v>2029</x:v>
      </x:c>
      <x:c r="F470" s="34" t="n">
        <x:v>1</x:v>
      </x:c>
      <x:c r="G470" s="34" t="n">
        <x:v>6.839998</x:v>
      </x:c>
      <x:c r="H470" s="34" t="n">
        <x:v>13.25</x:v>
      </x:c>
      <x:c r="I470" s="34" t="n">
        <x:v>6.410002</x:v>
      </x:c>
      <x:c r="J470" s="34" t="n">
        <x:v>51.623</x:v>
      </x:c>
      <x:c r="K470" s="34" t="n">
        <x:v>0</x:v>
      </x:c>
      <x:c r="L470" s="34" t="n">
        <x:v>0.625</x:v>
      </x:c>
      <x:c r="M470" s="34" t="n">
        <x:v>0.625</x:v>
      </x:c>
      <x:c r="N470" s="34" t="n">
        <x:v>0</x:v>
      </x:c>
      <x:c r="O470" s="34" t="n">
        <x:v>4.255999</x:v>
      </x:c>
      <x:c r="P470" s="34" t="n">
        <x:v>8</x:v>
      </x:c>
      <x:c r="Q470" s="34" t="n">
        <x:v>3.744001</x:v>
      </x:c>
      <x:c r="R470" s="34" t="n">
        <x:v>53.2</x:v>
      </x:c>
      <x:c r="S470" s="40" t="b">
        <x:v>1</x:v>
      </x:c>
      <x:c r="T470" s="34" t="str">
        <x:v>model_interpolation</x:v>
      </x:c>
      <x:c r="U470" s="34" t="str">
        <x:v>Linear interpolation from 2026 to 2030</x:v>
      </x:c>
      <x:c r="V470" s="34" t="str">
        <x:v>CAND-82FF2AA13BA34C</x:v>
      </x:c>
      <x:c r="W470" s="34" t="str">
        <x:v>P2</x:v>
      </x:c>
      <x:c r="X470" s="34" t="str">
        <x:v>PORT-8826D0B469EE</x:v>
      </x:c>
      <x:c r="Y470" s="34" t="n">
        <x:v>1000</x:v>
      </x:c>
      <x:c r="Z470" s="34" t="n">
        <x:v>53.31947</x:v>
      </x:c>
      <x:c r="AA470" s="34" t="n">
        <x:v>18.559119</x:v>
      </x:c>
      <x:c r="AB470" s="34" t="n">
        <x:v>429.154227</x:v>
      </x:c>
      <x:c r="AC470" s="34" t="n">
        <x:v>22213.621</x:v>
      </x:c>
      <x:c r="AD470" s="34" t="n">
        <x:v>51.761393</x:v>
      </x:c>
      <x:c r="AE470" s="40" t="b">
        <x:v>1</x:v>
      </x:c>
      <x:c r="AF470" s="40" t="b">
        <x:v>1</x:v>
      </x:c>
      <x:c r="AG470" s="34" t="str"/>
      <x:c r="AH470" s="34" t="n">
        <x:v>0</x:v>
      </x:c>
      <x:c r="AI470" s="34" t="str">
        <x:v>2.0275124185786808e-05</x:v>
      </x:c>
      <x:c r="AJ470" s="40" t="b">
        <x:v>1</x:v>
      </x:c>
      <x:c r="AK470" s="40" t="b">
        <x:v>1</x:v>
      </x:c>
      <x:c r="AL470" s="40" t="b">
        <x:v>1</x:v>
      </x:c>
      <x:c r="AM470" s="40" t="b">
        <x:v>1</x:v>
      </x:c>
      <x:c r="AN470" s="34" t="str"/>
      <x:c r="AO470" s="34" t="n">
        <x:v>0</x:v>
      </x:c>
      <x:c r="AP470" s="34" t="n">
        <x:v>0</x:v>
      </x:c>
      <x:c r="AQ470" s="34" t="n">
        <x:v>0</x:v>
      </x:c>
      <x:c r="AR470" s="34" t="n">
        <x:v>3</x:v>
      </x:c>
      <x:c r="AS470" s="34" t="n">
        <x:v>3</x:v>
      </x:c>
      <x:c r="AT470" s="34" t="n">
        <x:v>0.459336608</x:v>
      </x:c>
      <x:c r="AU470" s="34" t="n">
        <x:v>0.65</x:v>
      </x:c>
      <x:c r="AV470" s="34" t="n">
        <x:v>2.02</x:v>
      </x:c>
    </x:row>
    <x:row r="471">
      <x:c r="A471" s="34" t="str">
        <x:v>POSCO_KR</x:v>
      </x:c>
      <x:c r="B471" s="34" t="str">
        <x:v>POSCO</x:v>
      </x:c>
      <x:c r="C471" s="34" t="str">
        <x:v>ACCELERATED_15C</x:v>
      </x:c>
      <x:c r="D471" s="34" t="str">
        <x:v>P2</x:v>
      </x:c>
      <x:c r="E471" s="34" t="n">
        <x:v>2030</x:v>
      </x:c>
      <x:c r="F471" s="34" t="n">
        <x:v>1</x:v>
      </x:c>
      <x:c r="G471" s="34" t="n">
        <x:v>6.839998</x:v>
      </x:c>
      <x:c r="H471" s="34" t="n">
        <x:v>15</x:v>
      </x:c>
      <x:c r="I471" s="34" t="n">
        <x:v>8.160002</x:v>
      </x:c>
      <x:c r="J471" s="34" t="n">
        <x:v>45.6</x:v>
      </x:c>
      <x:c r="K471" s="34" t="n">
        <x:v>0</x:v>
      </x:c>
      <x:c r="L471" s="34" t="n">
        <x:v>0.8</x:v>
      </x:c>
      <x:c r="M471" s="34" t="n">
        <x:v>0.8</x:v>
      </x:c>
      <x:c r="N471" s="34" t="n">
        <x:v>0</x:v>
      </x:c>
      <x:c r="O471" s="34" t="n">
        <x:v>4.255999</x:v>
      </x:c>
      <x:c r="P471" s="34" t="n">
        <x:v>10</x:v>
      </x:c>
      <x:c r="Q471" s="34" t="n">
        <x:v>5.744001</x:v>
      </x:c>
      <x:c r="R471" s="34" t="n">
        <x:v>42.56</x:v>
      </x:c>
      <x:c r="S471" s="40" t="b">
        <x:v>1</x:v>
      </x:c>
      <x:c r="T471" s="34" t="str">
        <x:v>model_interpolation</x:v>
      </x:c>
      <x:c r="U471" s="34" t="str">
        <x:v>Linear interpolation from 2030 to 2035</x:v>
      </x:c>
      <x:c r="V471" s="34" t="str">
        <x:v>CAND-82FF2AA13BA34C</x:v>
      </x:c>
      <x:c r="W471" s="34" t="str">
        <x:v>P2</x:v>
      </x:c>
      <x:c r="X471" s="34" t="str">
        <x:v>PORT-8826D0B469EE</x:v>
      </x:c>
      <x:c r="Y471" s="34" t="n">
        <x:v>1000</x:v>
      </x:c>
      <x:c r="Z471" s="34" t="n">
        <x:v>53.31947</x:v>
      </x:c>
      <x:c r="AA471" s="34" t="n">
        <x:v>18.559119</x:v>
      </x:c>
      <x:c r="AB471" s="34" t="n">
        <x:v>429.154227</x:v>
      </x:c>
      <x:c r="AC471" s="34" t="n">
        <x:v>22213.621</x:v>
      </x:c>
      <x:c r="AD471" s="34" t="n">
        <x:v>51.761393</x:v>
      </x:c>
      <x:c r="AE471" s="40" t="b">
        <x:v>1</x:v>
      </x:c>
      <x:c r="AF471" s="40" t="b">
        <x:v>1</x:v>
      </x:c>
      <x:c r="AG471" s="34" t="str"/>
      <x:c r="AH471" s="34" t="n">
        <x:v>0</x:v>
      </x:c>
      <x:c r="AI471" s="34" t="str">
        <x:v>2.0275124185786808e-05</x:v>
      </x:c>
      <x:c r="AJ471" s="40" t="b">
        <x:v>1</x:v>
      </x:c>
      <x:c r="AK471" s="40" t="b">
        <x:v>1</x:v>
      </x:c>
      <x:c r="AL471" s="40" t="b">
        <x:v>1</x:v>
      </x:c>
      <x:c r="AM471" s="40" t="b">
        <x:v>1</x:v>
      </x:c>
      <x:c r="AN471" s="34" t="str"/>
      <x:c r="AO471" s="34" t="n">
        <x:v>0</x:v>
      </x:c>
      <x:c r="AP471" s="34" t="n">
        <x:v>0</x:v>
      </x:c>
      <x:c r="AQ471" s="34" t="n">
        <x:v>0</x:v>
      </x:c>
      <x:c r="AR471" s="34" t="n">
        <x:v>3</x:v>
      </x:c>
      <x:c r="AS471" s="34" t="n">
        <x:v>3</x:v>
      </x:c>
      <x:c r="AT471" s="34" t="n">
        <x:v>0.459336608</x:v>
      </x:c>
      <x:c r="AU471" s="34" t="n">
        <x:v>0.65</x:v>
      </x:c>
      <x:c r="AV471" s="34" t="n">
        <x:v>2.02</x:v>
      </x:c>
    </x:row>
    <x:row r="472">
      <x:c r="A472" s="34" t="str">
        <x:v>POSCO_KR</x:v>
      </x:c>
      <x:c r="B472" s="34" t="str">
        <x:v>POSCO</x:v>
      </x:c>
      <x:c r="C472" s="34" t="str">
        <x:v>ACCELERATED_15C</x:v>
      </x:c>
      <x:c r="D472" s="34" t="str">
        <x:v>P2</x:v>
      </x:c>
      <x:c r="E472" s="34" t="n">
        <x:v>2031</x:v>
      </x:c>
      <x:c r="F472" s="34" t="n">
        <x:v>1</x:v>
      </x:c>
      <x:c r="G472" s="34" t="n">
        <x:v>6.839998</x:v>
      </x:c>
      <x:c r="H472" s="34" t="n">
        <x:v>16.6</x:v>
      </x:c>
      <x:c r="I472" s="34" t="n">
        <x:v>9.760002</x:v>
      </x:c>
      <x:c r="J472" s="34" t="n">
        <x:v>41.205</x:v>
      </x:c>
      <x:c r="K472" s="34" t="n">
        <x:v>0</x:v>
      </x:c>
      <x:c r="L472" s="34" t="n">
        <x:v>1.08</x:v>
      </x:c>
      <x:c r="M472" s="34" t="n">
        <x:v>1.08</x:v>
      </x:c>
      <x:c r="N472" s="34" t="n">
        <x:v>0</x:v>
      </x:c>
      <x:c r="O472" s="34" t="n">
        <x:v>4.255999</x:v>
      </x:c>
      <x:c r="P472" s="34" t="n">
        <x:v>12</x:v>
      </x:c>
      <x:c r="Q472" s="34" t="n">
        <x:v>7.744001</x:v>
      </x:c>
      <x:c r="R472" s="34" t="n">
        <x:v>35.467</x:v>
      </x:c>
      <x:c r="S472" s="40" t="b">
        <x:v>1</x:v>
      </x:c>
      <x:c r="T472" s="34" t="str">
        <x:v>model_interpolation</x:v>
      </x:c>
      <x:c r="U472" s="34" t="str">
        <x:v>Linear interpolation from 2030 to 2035</x:v>
      </x:c>
      <x:c r="V472" s="34" t="str">
        <x:v>CAND-82FF2AA13BA34C</x:v>
      </x:c>
      <x:c r="W472" s="34" t="str">
        <x:v>P2</x:v>
      </x:c>
      <x:c r="X472" s="34" t="str">
        <x:v>PORT-8826D0B469EE</x:v>
      </x:c>
      <x:c r="Y472" s="34" t="n">
        <x:v>1000</x:v>
      </x:c>
      <x:c r="Z472" s="34" t="n">
        <x:v>53.31947</x:v>
      </x:c>
      <x:c r="AA472" s="34" t="n">
        <x:v>18.559119</x:v>
      </x:c>
      <x:c r="AB472" s="34" t="n">
        <x:v>429.154227</x:v>
      </x:c>
      <x:c r="AC472" s="34" t="n">
        <x:v>22213.621</x:v>
      </x:c>
      <x:c r="AD472" s="34" t="n">
        <x:v>51.761393</x:v>
      </x:c>
      <x:c r="AE472" s="40" t="b">
        <x:v>1</x:v>
      </x:c>
      <x:c r="AF472" s="40" t="b">
        <x:v>1</x:v>
      </x:c>
      <x:c r="AG472" s="34" t="str"/>
      <x:c r="AH472" s="34" t="n">
        <x:v>0</x:v>
      </x:c>
      <x:c r="AI472" s="34" t="str">
        <x:v>2.0275124185786808e-05</x:v>
      </x:c>
      <x:c r="AJ472" s="40" t="b">
        <x:v>1</x:v>
      </x:c>
      <x:c r="AK472" s="40" t="b">
        <x:v>1</x:v>
      </x:c>
      <x:c r="AL472" s="40" t="b">
        <x:v>1</x:v>
      </x:c>
      <x:c r="AM472" s="40" t="b">
        <x:v>1</x:v>
      </x:c>
      <x:c r="AN472" s="34" t="str"/>
      <x:c r="AO472" s="34" t="n">
        <x:v>0</x:v>
      </x:c>
      <x:c r="AP472" s="34" t="n">
        <x:v>0</x:v>
      </x:c>
      <x:c r="AQ472" s="34" t="n">
        <x:v>0</x:v>
      </x:c>
      <x:c r="AR472" s="34" t="n">
        <x:v>3</x:v>
      </x:c>
      <x:c r="AS472" s="34" t="n">
        <x:v>3</x:v>
      </x:c>
      <x:c r="AT472" s="34" t="n">
        <x:v>0.459336608</x:v>
      </x:c>
      <x:c r="AU472" s="34" t="n">
        <x:v>0.65</x:v>
      </x:c>
      <x:c r="AV472" s="34" t="n">
        <x:v>2.02</x:v>
      </x:c>
    </x:row>
    <x:row r="473">
      <x:c r="A473" s="34" t="str">
        <x:v>POSCO_KR</x:v>
      </x:c>
      <x:c r="B473" s="34" t="str">
        <x:v>POSCO</x:v>
      </x:c>
      <x:c r="C473" s="34" t="str">
        <x:v>ACCELERATED_15C</x:v>
      </x:c>
      <x:c r="D473" s="34" t="str">
        <x:v>P2</x:v>
      </x:c>
      <x:c r="E473" s="34" t="n">
        <x:v>2032</x:v>
      </x:c>
      <x:c r="F473" s="34" t="n">
        <x:v>2</x:v>
      </x:c>
      <x:c r="G473" s="34" t="n">
        <x:v>12.959999</x:v>
      </x:c>
      <x:c r="H473" s="34" t="n">
        <x:v>18.2</x:v>
      </x:c>
      <x:c r="I473" s="34" t="n">
        <x:v>5.240001</x:v>
      </x:c>
      <x:c r="J473" s="34" t="n">
        <x:v>71.209</x:v>
      </x:c>
      <x:c r="K473" s="34" t="n">
        <x:v>0</x:v>
      </x:c>
      <x:c r="L473" s="34" t="n">
        <x:v>1.36</x:v>
      </x:c>
      <x:c r="M473" s="34" t="n">
        <x:v>1.36</x:v>
      </x:c>
      <x:c r="N473" s="34" t="n">
        <x:v>0</x:v>
      </x:c>
      <x:c r="O473" s="34" t="n">
        <x:v>8.063999</x:v>
      </x:c>
      <x:c r="P473" s="34" t="n">
        <x:v>14</x:v>
      </x:c>
      <x:c r="Q473" s="34" t="n">
        <x:v>5.936001</x:v>
      </x:c>
      <x:c r="R473" s="34" t="n">
        <x:v>57.6</x:v>
      </x:c>
      <x:c r="S473" s="40" t="b">
        <x:v>1</x:v>
      </x:c>
      <x:c r="T473" s="34" t="str">
        <x:v>model_interpolation</x:v>
      </x:c>
      <x:c r="U473" s="34" t="str">
        <x:v>Linear interpolation from 2030 to 2035</x:v>
      </x:c>
      <x:c r="V473" s="34" t="str">
        <x:v>CAND-82FF2AA13BA34C</x:v>
      </x:c>
      <x:c r="W473" s="34" t="str">
        <x:v>P2</x:v>
      </x:c>
      <x:c r="X473" s="34" t="str">
        <x:v>PORT-8826D0B469EE</x:v>
      </x:c>
      <x:c r="Y473" s="34" t="n">
        <x:v>1000</x:v>
      </x:c>
      <x:c r="Z473" s="34" t="n">
        <x:v>53.31947</x:v>
      </x:c>
      <x:c r="AA473" s="34" t="n">
        <x:v>18.559119</x:v>
      </x:c>
      <x:c r="AB473" s="34" t="n">
        <x:v>429.154227</x:v>
      </x:c>
      <x:c r="AC473" s="34" t="n">
        <x:v>22213.621</x:v>
      </x:c>
      <x:c r="AD473" s="34" t="n">
        <x:v>51.761393</x:v>
      </x:c>
      <x:c r="AE473" s="40" t="b">
        <x:v>1</x:v>
      </x:c>
      <x:c r="AF473" s="40" t="b">
        <x:v>1</x:v>
      </x:c>
      <x:c r="AG473" s="34" t="str"/>
      <x:c r="AH473" s="34" t="n">
        <x:v>0</x:v>
      </x:c>
      <x:c r="AI473" s="34" t="str">
        <x:v>2.0275124185786808e-05</x:v>
      </x:c>
      <x:c r="AJ473" s="40" t="b">
        <x:v>1</x:v>
      </x:c>
      <x:c r="AK473" s="40" t="b">
        <x:v>1</x:v>
      </x:c>
      <x:c r="AL473" s="40" t="b">
        <x:v>1</x:v>
      </x:c>
      <x:c r="AM473" s="40" t="b">
        <x:v>1</x:v>
      </x:c>
      <x:c r="AN473" s="34" t="str"/>
      <x:c r="AO473" s="34" t="n">
        <x:v>0</x:v>
      </x:c>
      <x:c r="AP473" s="34" t="n">
        <x:v>0</x:v>
      </x:c>
      <x:c r="AQ473" s="34" t="n">
        <x:v>0</x:v>
      </x:c>
      <x:c r="AR473" s="34" t="n">
        <x:v>3</x:v>
      </x:c>
      <x:c r="AS473" s="34" t="n">
        <x:v>3</x:v>
      </x:c>
      <x:c r="AT473" s="34" t="n">
        <x:v>0.459336608</x:v>
      </x:c>
      <x:c r="AU473" s="34" t="n">
        <x:v>0.65</x:v>
      </x:c>
      <x:c r="AV473" s="34" t="n">
        <x:v>2.02</x:v>
      </x:c>
    </x:row>
    <x:row r="474">
      <x:c r="A474" s="34" t="str">
        <x:v>POSCO_KR</x:v>
      </x:c>
      <x:c r="B474" s="34" t="str">
        <x:v>POSCO</x:v>
      </x:c>
      <x:c r="C474" s="34" t="str">
        <x:v>ACCELERATED_15C</x:v>
      </x:c>
      <x:c r="D474" s="34" t="str">
        <x:v>P2</x:v>
      </x:c>
      <x:c r="E474" s="34" t="n">
        <x:v>2033</x:v>
      </x:c>
      <x:c r="F474" s="34" t="n">
        <x:v>3</x:v>
      </x:c>
      <x:c r="G474" s="34" t="n">
        <x:v>13.980599</x:v>
      </x:c>
      <x:c r="H474" s="34" t="n">
        <x:v>19.8</x:v>
      </x:c>
      <x:c r="I474" s="34" t="n">
        <x:v>5.819401</x:v>
      </x:c>
      <x:c r="J474" s="34" t="n">
        <x:v>70.609</x:v>
      </x:c>
      <x:c r="K474" s="34" t="n">
        <x:v>0</x:v>
      </x:c>
      <x:c r="L474" s="34" t="n">
        <x:v>1.6400000000000001</x:v>
      </x:c>
      <x:c r="M474" s="34" t="n">
        <x:v>1.64</x:v>
      </x:c>
      <x:c r="N474" s="34" t="n">
        <x:v>0</x:v>
      </x:c>
      <x:c r="O474" s="34" t="n">
        <x:v>8.132039</x:v>
      </x:c>
      <x:c r="P474" s="34" t="n">
        <x:v>16</x:v>
      </x:c>
      <x:c r="Q474" s="34" t="n">
        <x:v>7.867961</x:v>
      </x:c>
      <x:c r="R474" s="34" t="n">
        <x:v>50.825</x:v>
      </x:c>
      <x:c r="S474" s="40" t="b">
        <x:v>1</x:v>
      </x:c>
      <x:c r="T474" s="34" t="str">
        <x:v>model_interpolation</x:v>
      </x:c>
      <x:c r="U474" s="34" t="str">
        <x:v>Linear interpolation from 2030 to 2035</x:v>
      </x:c>
      <x:c r="V474" s="34" t="str">
        <x:v>CAND-82FF2AA13BA34C</x:v>
      </x:c>
      <x:c r="W474" s="34" t="str">
        <x:v>P2</x:v>
      </x:c>
      <x:c r="X474" s="34" t="str">
        <x:v>PORT-8826D0B469EE</x:v>
      </x:c>
      <x:c r="Y474" s="34" t="n">
        <x:v>1000</x:v>
      </x:c>
      <x:c r="Z474" s="34" t="n">
        <x:v>53.31947</x:v>
      </x:c>
      <x:c r="AA474" s="34" t="n">
        <x:v>18.559119</x:v>
      </x:c>
      <x:c r="AB474" s="34" t="n">
        <x:v>429.154227</x:v>
      </x:c>
      <x:c r="AC474" s="34" t="n">
        <x:v>22213.621</x:v>
      </x:c>
      <x:c r="AD474" s="34" t="n">
        <x:v>51.761393</x:v>
      </x:c>
      <x:c r="AE474" s="40" t="b">
        <x:v>1</x:v>
      </x:c>
      <x:c r="AF474" s="40" t="b">
        <x:v>1</x:v>
      </x:c>
      <x:c r="AG474" s="34" t="str"/>
      <x:c r="AH474" s="34" t="n">
        <x:v>0</x:v>
      </x:c>
      <x:c r="AI474" s="34" t="str">
        <x:v>2.0275124185786808e-05</x:v>
      </x:c>
      <x:c r="AJ474" s="40" t="b">
        <x:v>1</x:v>
      </x:c>
      <x:c r="AK474" s="40" t="b">
        <x:v>1</x:v>
      </x:c>
      <x:c r="AL474" s="40" t="b">
        <x:v>1</x:v>
      </x:c>
      <x:c r="AM474" s="40" t="b">
        <x:v>1</x:v>
      </x:c>
      <x:c r="AN474" s="34" t="str"/>
      <x:c r="AO474" s="34" t="n">
        <x:v>0</x:v>
      </x:c>
      <x:c r="AP474" s="34" t="n">
        <x:v>0</x:v>
      </x:c>
      <x:c r="AQ474" s="34" t="n">
        <x:v>0</x:v>
      </x:c>
      <x:c r="AR474" s="34" t="n">
        <x:v>3</x:v>
      </x:c>
      <x:c r="AS474" s="34" t="n">
        <x:v>3</x:v>
      </x:c>
      <x:c r="AT474" s="34" t="n">
        <x:v>0.459336608</x:v>
      </x:c>
      <x:c r="AU474" s="34" t="n">
        <x:v>0.65</x:v>
      </x:c>
      <x:c r="AV474" s="34" t="n">
        <x:v>2.02</x:v>
      </x:c>
    </x:row>
    <x:row r="475">
      <x:c r="A475" s="34" t="str">
        <x:v>POSCO_KR</x:v>
      </x:c>
      <x:c r="B475" s="34" t="str">
        <x:v>POSCO</x:v>
      </x:c>
      <x:c r="C475" s="34" t="str">
        <x:v>ACCELERATED_15C</x:v>
      </x:c>
      <x:c r="D475" s="34" t="str">
        <x:v>P2</x:v>
      </x:c>
      <x:c r="E475" s="34" t="n">
        <x:v>2034</x:v>
      </x:c>
      <x:c r="F475" s="34" t="n">
        <x:v>3</x:v>
      </x:c>
      <x:c r="G475" s="34" t="n">
        <x:v>13.980599</x:v>
      </x:c>
      <x:c r="H475" s="34" t="n">
        <x:v>21.4</x:v>
      </x:c>
      <x:c r="I475" s="34" t="n">
        <x:v>7.419401</x:v>
      </x:c>
      <x:c r="J475" s="34" t="n">
        <x:v>65.33</x:v>
      </x:c>
      <x:c r="K475" s="34" t="n">
        <x:v>0</x:v>
      </x:c>
      <x:c r="L475" s="34" t="n">
        <x:v>1.9200000000000002</x:v>
      </x:c>
      <x:c r="M475" s="34" t="n">
        <x:v>1.92</x:v>
      </x:c>
      <x:c r="N475" s="34" t="n">
        <x:v>0</x:v>
      </x:c>
      <x:c r="O475" s="34" t="n">
        <x:v>8.132039</x:v>
      </x:c>
      <x:c r="P475" s="34" t="n">
        <x:v>18</x:v>
      </x:c>
      <x:c r="Q475" s="34" t="n">
        <x:v>9.867961</x:v>
      </x:c>
      <x:c r="R475" s="34" t="n">
        <x:v>45.178</x:v>
      </x:c>
      <x:c r="S475" s="40" t="b">
        <x:v>1</x:v>
      </x:c>
      <x:c r="T475" s="34" t="str">
        <x:v>model_interpolation</x:v>
      </x:c>
      <x:c r="U475" s="34" t="str">
        <x:v>Linear interpolation from 2030 to 2035</x:v>
      </x:c>
      <x:c r="V475" s="34" t="str">
        <x:v>CAND-82FF2AA13BA34C</x:v>
      </x:c>
      <x:c r="W475" s="34" t="str">
        <x:v>P2</x:v>
      </x:c>
      <x:c r="X475" s="34" t="str">
        <x:v>PORT-8826D0B469EE</x:v>
      </x:c>
      <x:c r="Y475" s="34" t="n">
        <x:v>1000</x:v>
      </x:c>
      <x:c r="Z475" s="34" t="n">
        <x:v>53.31947</x:v>
      </x:c>
      <x:c r="AA475" s="34" t="n">
        <x:v>18.559119</x:v>
      </x:c>
      <x:c r="AB475" s="34" t="n">
        <x:v>429.154227</x:v>
      </x:c>
      <x:c r="AC475" s="34" t="n">
        <x:v>22213.621</x:v>
      </x:c>
      <x:c r="AD475" s="34" t="n">
        <x:v>51.761393</x:v>
      </x:c>
      <x:c r="AE475" s="40" t="b">
        <x:v>1</x:v>
      </x:c>
      <x:c r="AF475" s="40" t="b">
        <x:v>1</x:v>
      </x:c>
      <x:c r="AG475" s="34" t="str"/>
      <x:c r="AH475" s="34" t="n">
        <x:v>0</x:v>
      </x:c>
      <x:c r="AI475" s="34" t="str">
        <x:v>2.0275124185786808e-05</x:v>
      </x:c>
      <x:c r="AJ475" s="40" t="b">
        <x:v>1</x:v>
      </x:c>
      <x:c r="AK475" s="40" t="b">
        <x:v>1</x:v>
      </x:c>
      <x:c r="AL475" s="40" t="b">
        <x:v>1</x:v>
      </x:c>
      <x:c r="AM475" s="40" t="b">
        <x:v>1</x:v>
      </x:c>
      <x:c r="AN475" s="34" t="str"/>
      <x:c r="AO475" s="34" t="n">
        <x:v>0</x:v>
      </x:c>
      <x:c r="AP475" s="34" t="n">
        <x:v>0</x:v>
      </x:c>
      <x:c r="AQ475" s="34" t="n">
        <x:v>0</x:v>
      </x:c>
      <x:c r="AR475" s="34" t="n">
        <x:v>3</x:v>
      </x:c>
      <x:c r="AS475" s="34" t="n">
        <x:v>3</x:v>
      </x:c>
      <x:c r="AT475" s="34" t="n">
        <x:v>0.459336608</x:v>
      </x:c>
      <x:c r="AU475" s="34" t="n">
        <x:v>0.65</x:v>
      </x:c>
      <x:c r="AV475" s="34" t="n">
        <x:v>2.02</x:v>
      </x:c>
    </x:row>
    <x:row r="476">
      <x:c r="A476" s="34" t="str">
        <x:v>POSCO_KR</x:v>
      </x:c>
      <x:c r="B476" s="34" t="str">
        <x:v>POSCO</x:v>
      </x:c>
      <x:c r="C476" s="34" t="str">
        <x:v>ACCELERATED_15C</x:v>
      </x:c>
      <x:c r="D476" s="34" t="str">
        <x:v>P2</x:v>
      </x:c>
      <x:c r="E476" s="34" t="n">
        <x:v>2035</x:v>
      </x:c>
      <x:c r="F476" s="34" t="n">
        <x:v>4</x:v>
      </x:c>
      <x:c r="G476" s="34" t="n">
        <x:v>15.405598</x:v>
      </x:c>
      <x:c r="H476" s="34" t="n">
        <x:v>23</x:v>
      </x:c>
      <x:c r="I476" s="34" t="n">
        <x:v>7.594402</x:v>
      </x:c>
      <x:c r="J476" s="34" t="n">
        <x:v>66.981</x:v>
      </x:c>
      <x:c r="K476" s="34" t="n">
        <x:v>0.5225</x:v>
      </x:c>
      <x:c r="L476" s="34" t="n">
        <x:v>2.2</x:v>
      </x:c>
      <x:c r="M476" s="34" t="n">
        <x:v>1.6775</x:v>
      </x:c>
      <x:c r="N476" s="34" t="n">
        <x:v>23.75</x:v>
      </x:c>
      <x:c r="O476" s="34" t="n">
        <x:v>12.597039</x:v>
      </x:c>
      <x:c r="P476" s="34" t="n">
        <x:v>20</x:v>
      </x:c>
      <x:c r="Q476" s="34" t="n">
        <x:v>7.402961</x:v>
      </x:c>
      <x:c r="R476" s="34" t="n">
        <x:v>62.985</x:v>
      </x:c>
      <x:c r="S476" s="40" t="b">
        <x:v>1</x:v>
      </x:c>
      <x:c r="T476" s="34" t="str">
        <x:v>model_interpolation</x:v>
      </x:c>
      <x:c r="U476" s="34" t="str">
        <x:v>Linear interpolation from 2035 to 2040</x:v>
      </x:c>
      <x:c r="V476" s="34" t="str">
        <x:v>CAND-82FF2AA13BA34C</x:v>
      </x:c>
      <x:c r="W476" s="34" t="str">
        <x:v>P2</x:v>
      </x:c>
      <x:c r="X476" s="34" t="str">
        <x:v>PORT-8826D0B469EE</x:v>
      </x:c>
      <x:c r="Y476" s="34" t="n">
        <x:v>1000</x:v>
      </x:c>
      <x:c r="Z476" s="34" t="n">
        <x:v>53.31947</x:v>
      </x:c>
      <x:c r="AA476" s="34" t="n">
        <x:v>18.559119</x:v>
      </x:c>
      <x:c r="AB476" s="34" t="n">
        <x:v>429.154227</x:v>
      </x:c>
      <x:c r="AC476" s="34" t="n">
        <x:v>22213.621</x:v>
      </x:c>
      <x:c r="AD476" s="34" t="n">
        <x:v>51.761393</x:v>
      </x:c>
      <x:c r="AE476" s="40" t="b">
        <x:v>1</x:v>
      </x:c>
      <x:c r="AF476" s="40" t="b">
        <x:v>1</x:v>
      </x:c>
      <x:c r="AG476" s="34" t="str"/>
      <x:c r="AH476" s="34" t="n">
        <x:v>0</x:v>
      </x:c>
      <x:c r="AI476" s="34" t="str">
        <x:v>2.0275124185786808e-05</x:v>
      </x:c>
      <x:c r="AJ476" s="40" t="b">
        <x:v>1</x:v>
      </x:c>
      <x:c r="AK476" s="40" t="b">
        <x:v>1</x:v>
      </x:c>
      <x:c r="AL476" s="40" t="b">
        <x:v>1</x:v>
      </x:c>
      <x:c r="AM476" s="40" t="b">
        <x:v>1</x:v>
      </x:c>
      <x:c r="AN476" s="34" t="str"/>
      <x:c r="AO476" s="34" t="n">
        <x:v>0</x:v>
      </x:c>
      <x:c r="AP476" s="34" t="n">
        <x:v>0</x:v>
      </x:c>
      <x:c r="AQ476" s="34" t="n">
        <x:v>0</x:v>
      </x:c>
      <x:c r="AR476" s="34" t="n">
        <x:v>3</x:v>
      </x:c>
      <x:c r="AS476" s="34" t="n">
        <x:v>3</x:v>
      </x:c>
      <x:c r="AT476" s="34" t="n">
        <x:v>0.459336608</x:v>
      </x:c>
      <x:c r="AU476" s="34" t="n">
        <x:v>0.65</x:v>
      </x:c>
      <x:c r="AV476" s="34" t="n">
        <x:v>2.02</x:v>
      </x:c>
    </x:row>
    <x:row r="477">
      <x:c r="A477" s="34" t="str">
        <x:v>POSCO_KR</x:v>
      </x:c>
      <x:c r="B477" s="34" t="str">
        <x:v>POSCO</x:v>
      </x:c>
      <x:c r="C477" s="34" t="str">
        <x:v>ACCELERATED_15C</x:v>
      </x:c>
      <x:c r="D477" s="34" t="str">
        <x:v>P2</x:v>
      </x:c>
      <x:c r="E477" s="34" t="n">
        <x:v>2036</x:v>
      </x:c>
      <x:c r="F477" s="34" t="n">
        <x:v>4</x:v>
      </x:c>
      <x:c r="G477" s="34" t="n">
        <x:v>15.405598</x:v>
      </x:c>
      <x:c r="H477" s="34" t="n">
        <x:v>24.4</x:v>
      </x:c>
      <x:c r="I477" s="34" t="n">
        <x:v>8.994402</x:v>
      </x:c>
      <x:c r="J477" s="34" t="n">
        <x:v>63.138</x:v>
      </x:c>
      <x:c r="K477" s="34" t="n">
        <x:v>0.5225</x:v>
      </x:c>
      <x:c r="L477" s="34" t="n">
        <x:v>2.56</x:v>
      </x:c>
      <x:c r="M477" s="34" t="n">
        <x:v>2.0375</x:v>
      </x:c>
      <x:c r="N477" s="34" t="n">
        <x:v>20.41</x:v>
      </x:c>
      <x:c r="O477" s="34" t="n">
        <x:v>12.597039</x:v>
      </x:c>
      <x:c r="P477" s="34" t="n">
        <x:v>22.4</x:v>
      </x:c>
      <x:c r="Q477" s="34" t="n">
        <x:v>9.802961</x:v>
      </x:c>
      <x:c r="R477" s="34" t="n">
        <x:v>56.237</x:v>
      </x:c>
      <x:c r="S477" s="40" t="b">
        <x:v>1</x:v>
      </x:c>
      <x:c r="T477" s="34" t="str">
        <x:v>model_interpolation</x:v>
      </x:c>
      <x:c r="U477" s="34" t="str">
        <x:v>Linear interpolation from 2035 to 2040</x:v>
      </x:c>
      <x:c r="V477" s="34" t="str">
        <x:v>CAND-82FF2AA13BA34C</x:v>
      </x:c>
      <x:c r="W477" s="34" t="str">
        <x:v>P2</x:v>
      </x:c>
      <x:c r="X477" s="34" t="str">
        <x:v>PORT-8826D0B469EE</x:v>
      </x:c>
      <x:c r="Y477" s="34" t="n">
        <x:v>1000</x:v>
      </x:c>
      <x:c r="Z477" s="34" t="n">
        <x:v>53.31947</x:v>
      </x:c>
      <x:c r="AA477" s="34" t="n">
        <x:v>18.559119</x:v>
      </x:c>
      <x:c r="AB477" s="34" t="n">
        <x:v>429.154227</x:v>
      </x:c>
      <x:c r="AC477" s="34" t="n">
        <x:v>22213.621</x:v>
      </x:c>
      <x:c r="AD477" s="34" t="n">
        <x:v>51.761393</x:v>
      </x:c>
      <x:c r="AE477" s="40" t="b">
        <x:v>1</x:v>
      </x:c>
      <x:c r="AF477" s="40" t="b">
        <x:v>1</x:v>
      </x:c>
      <x:c r="AG477" s="34" t="str"/>
      <x:c r="AH477" s="34" t="n">
        <x:v>0</x:v>
      </x:c>
      <x:c r="AI477" s="34" t="str">
        <x:v>2.0275124185786808e-05</x:v>
      </x:c>
      <x:c r="AJ477" s="40" t="b">
        <x:v>1</x:v>
      </x:c>
      <x:c r="AK477" s="40" t="b">
        <x:v>1</x:v>
      </x:c>
      <x:c r="AL477" s="40" t="b">
        <x:v>1</x:v>
      </x:c>
      <x:c r="AM477" s="40" t="b">
        <x:v>1</x:v>
      </x:c>
      <x:c r="AN477" s="34" t="str"/>
      <x:c r="AO477" s="34" t="n">
        <x:v>0</x:v>
      </x:c>
      <x:c r="AP477" s="34" t="n">
        <x:v>0</x:v>
      </x:c>
      <x:c r="AQ477" s="34" t="n">
        <x:v>0</x:v>
      </x:c>
      <x:c r="AR477" s="34" t="n">
        <x:v>3</x:v>
      </x:c>
      <x:c r="AS477" s="34" t="n">
        <x:v>3</x:v>
      </x:c>
      <x:c r="AT477" s="34" t="n">
        <x:v>0.459336608</x:v>
      </x:c>
      <x:c r="AU477" s="34" t="n">
        <x:v>0.65</x:v>
      </x:c>
      <x:c r="AV477" s="34" t="n">
        <x:v>2.02</x:v>
      </x:c>
    </x:row>
    <x:row r="478">
      <x:c r="A478" s="34" t="str">
        <x:v>POSCO_KR</x:v>
      </x:c>
      <x:c r="B478" s="34" t="str">
        <x:v>POSCO</x:v>
      </x:c>
      <x:c r="C478" s="34" t="str">
        <x:v>ACCELERATED_15C</x:v>
      </x:c>
      <x:c r="D478" s="34" t="str">
        <x:v>P2</x:v>
      </x:c>
      <x:c r="E478" s="34" t="n">
        <x:v>2037</x:v>
      </x:c>
      <x:c r="F478" s="34" t="n">
        <x:v>5</x:v>
      </x:c>
      <x:c r="G478" s="34" t="n">
        <x:v>16.831048</x:v>
      </x:c>
      <x:c r="H478" s="34" t="n">
        <x:v>25.8</x:v>
      </x:c>
      <x:c r="I478" s="34" t="n">
        <x:v>8.968952</x:v>
      </x:c>
      <x:c r="J478" s="34" t="n">
        <x:v>65.237</x:v>
      </x:c>
      <x:c r="K478" s="34" t="n">
        <x:v>1.045165</x:v>
      </x:c>
      <x:c r="L478" s="34" t="n">
        <x:v>2.92</x:v>
      </x:c>
      <x:c r="M478" s="34" t="n">
        <x:v>1.874835</x:v>
      </x:c>
      <x:c r="N478" s="34" t="n">
        <x:v>35.793</x:v>
      </x:c>
      <x:c r="O478" s="34" t="n">
        <x:v>17.063447</x:v>
      </x:c>
      <x:c r="P478" s="34" t="n">
        <x:v>24.8</x:v>
      </x:c>
      <x:c r="Q478" s="34" t="n">
        <x:v>7.736553</x:v>
      </x:c>
      <x:c r="R478" s="34" t="n">
        <x:v>68.804</x:v>
      </x:c>
      <x:c r="S478" s="40" t="b">
        <x:v>1</x:v>
      </x:c>
      <x:c r="T478" s="34" t="str">
        <x:v>model_interpolation</x:v>
      </x:c>
      <x:c r="U478" s="34" t="str">
        <x:v>Linear interpolation from 2035 to 2040</x:v>
      </x:c>
      <x:c r="V478" s="34" t="str">
        <x:v>CAND-82FF2AA13BA34C</x:v>
      </x:c>
      <x:c r="W478" s="34" t="str">
        <x:v>P2</x:v>
      </x:c>
      <x:c r="X478" s="34" t="str">
        <x:v>PORT-8826D0B469EE</x:v>
      </x:c>
      <x:c r="Y478" s="34" t="n">
        <x:v>1000</x:v>
      </x:c>
      <x:c r="Z478" s="34" t="n">
        <x:v>53.31947</x:v>
      </x:c>
      <x:c r="AA478" s="34" t="n">
        <x:v>18.559119</x:v>
      </x:c>
      <x:c r="AB478" s="34" t="n">
        <x:v>429.154227</x:v>
      </x:c>
      <x:c r="AC478" s="34" t="n">
        <x:v>22213.621</x:v>
      </x:c>
      <x:c r="AD478" s="34" t="n">
        <x:v>51.761393</x:v>
      </x:c>
      <x:c r="AE478" s="40" t="b">
        <x:v>1</x:v>
      </x:c>
      <x:c r="AF478" s="40" t="b">
        <x:v>1</x:v>
      </x:c>
      <x:c r="AG478" s="34" t="str"/>
      <x:c r="AH478" s="34" t="n">
        <x:v>0</x:v>
      </x:c>
      <x:c r="AI478" s="34" t="str">
        <x:v>2.0275124185786808e-05</x:v>
      </x:c>
      <x:c r="AJ478" s="40" t="b">
        <x:v>1</x:v>
      </x:c>
      <x:c r="AK478" s="40" t="b">
        <x:v>1</x:v>
      </x:c>
      <x:c r="AL478" s="40" t="b">
        <x:v>1</x:v>
      </x:c>
      <x:c r="AM478" s="40" t="b">
        <x:v>1</x:v>
      </x:c>
      <x:c r="AN478" s="34" t="str"/>
      <x:c r="AO478" s="34" t="n">
        <x:v>0</x:v>
      </x:c>
      <x:c r="AP478" s="34" t="n">
        <x:v>0</x:v>
      </x:c>
      <x:c r="AQ478" s="34" t="n">
        <x:v>0</x:v>
      </x:c>
      <x:c r="AR478" s="34" t="n">
        <x:v>3</x:v>
      </x:c>
      <x:c r="AS478" s="34" t="n">
        <x:v>3</x:v>
      </x:c>
      <x:c r="AT478" s="34" t="n">
        <x:v>0.459336608</x:v>
      </x:c>
      <x:c r="AU478" s="34" t="n">
        <x:v>0.65</x:v>
      </x:c>
      <x:c r="AV478" s="34" t="n">
        <x:v>2.02</x:v>
      </x:c>
    </x:row>
    <x:row r="479">
      <x:c r="A479" s="34" t="str">
        <x:v>POSCO_KR</x:v>
      </x:c>
      <x:c r="B479" s="34" t="str">
        <x:v>POSCO</x:v>
      </x:c>
      <x:c r="C479" s="34" t="str">
        <x:v>ACCELERATED_15C</x:v>
      </x:c>
      <x:c r="D479" s="34" t="str">
        <x:v>P2</x:v>
      </x:c>
      <x:c r="E479" s="34" t="n">
        <x:v>2038</x:v>
      </x:c>
      <x:c r="F479" s="34" t="n">
        <x:v>5</x:v>
      </x:c>
      <x:c r="G479" s="34" t="n">
        <x:v>16.831048</x:v>
      </x:c>
      <x:c r="H479" s="34" t="n">
        <x:v>27.2</x:v>
      </x:c>
      <x:c r="I479" s="34" t="n">
        <x:v>10.368952</x:v>
      </x:c>
      <x:c r="J479" s="34" t="n">
        <x:v>61.879</x:v>
      </x:c>
      <x:c r="K479" s="34" t="n">
        <x:v>1.045165</x:v>
      </x:c>
      <x:c r="L479" s="34" t="n">
        <x:v>3.2800000000000002</x:v>
      </x:c>
      <x:c r="M479" s="34" t="n">
        <x:v>2.234835</x:v>
      </x:c>
      <x:c r="N479" s="34" t="n">
        <x:v>31.865</x:v>
      </x:c>
      <x:c r="O479" s="34" t="n">
        <x:v>17.063447</x:v>
      </x:c>
      <x:c r="P479" s="34" t="n">
        <x:v>27.2</x:v>
      </x:c>
      <x:c r="Q479" s="34" t="n">
        <x:v>10.136553</x:v>
      </x:c>
      <x:c r="R479" s="34" t="n">
        <x:v>62.733</x:v>
      </x:c>
      <x:c r="S479" s="40" t="b">
        <x:v>1</x:v>
      </x:c>
      <x:c r="T479" s="34" t="str">
        <x:v>model_interpolation</x:v>
      </x:c>
      <x:c r="U479" s="34" t="str">
        <x:v>Linear interpolation from 2035 to 2040</x:v>
      </x:c>
      <x:c r="V479" s="34" t="str">
        <x:v>CAND-82FF2AA13BA34C</x:v>
      </x:c>
      <x:c r="W479" s="34" t="str">
        <x:v>P2</x:v>
      </x:c>
      <x:c r="X479" s="34" t="str">
        <x:v>PORT-8826D0B469EE</x:v>
      </x:c>
      <x:c r="Y479" s="34" t="n">
        <x:v>1000</x:v>
      </x:c>
      <x:c r="Z479" s="34" t="n">
        <x:v>53.31947</x:v>
      </x:c>
      <x:c r="AA479" s="34" t="n">
        <x:v>18.559119</x:v>
      </x:c>
      <x:c r="AB479" s="34" t="n">
        <x:v>429.154227</x:v>
      </x:c>
      <x:c r="AC479" s="34" t="n">
        <x:v>22213.621</x:v>
      </x:c>
      <x:c r="AD479" s="34" t="n">
        <x:v>51.761393</x:v>
      </x:c>
      <x:c r="AE479" s="40" t="b">
        <x:v>1</x:v>
      </x:c>
      <x:c r="AF479" s="40" t="b">
        <x:v>1</x:v>
      </x:c>
      <x:c r="AG479" s="34" t="str"/>
      <x:c r="AH479" s="34" t="n">
        <x:v>0</x:v>
      </x:c>
      <x:c r="AI479" s="34" t="str">
        <x:v>2.0275124185786808e-05</x:v>
      </x:c>
      <x:c r="AJ479" s="40" t="b">
        <x:v>1</x:v>
      </x:c>
      <x:c r="AK479" s="40" t="b">
        <x:v>1</x:v>
      </x:c>
      <x:c r="AL479" s="40" t="b">
        <x:v>1</x:v>
      </x:c>
      <x:c r="AM479" s="40" t="b">
        <x:v>1</x:v>
      </x:c>
      <x:c r="AN479" s="34" t="str"/>
      <x:c r="AO479" s="34" t="n">
        <x:v>0</x:v>
      </x:c>
      <x:c r="AP479" s="34" t="n">
        <x:v>0</x:v>
      </x:c>
      <x:c r="AQ479" s="34" t="n">
        <x:v>0</x:v>
      </x:c>
      <x:c r="AR479" s="34" t="n">
        <x:v>3</x:v>
      </x:c>
      <x:c r="AS479" s="34" t="n">
        <x:v>3</x:v>
      </x:c>
      <x:c r="AT479" s="34" t="n">
        <x:v>0.459336608</x:v>
      </x:c>
      <x:c r="AU479" s="34" t="n">
        <x:v>0.65</x:v>
      </x:c>
      <x:c r="AV479" s="34" t="n">
        <x:v>2.02</x:v>
      </x:c>
    </x:row>
    <x:row r="480">
      <x:c r="A480" s="34" t="str">
        <x:v>POSCO_KR</x:v>
      </x:c>
      <x:c r="B480" s="34" t="str">
        <x:v>POSCO</x:v>
      </x:c>
      <x:c r="C480" s="34" t="str">
        <x:v>ACCELERATED_15C</x:v>
      </x:c>
      <x:c r="D480" s="34" t="str">
        <x:v>P2</x:v>
      </x:c>
      <x:c r="E480" s="34" t="n">
        <x:v>2039</x:v>
      </x:c>
      <x:c r="F480" s="34" t="n">
        <x:v>5</x:v>
      </x:c>
      <x:c r="G480" s="34" t="n">
        <x:v>16.831048</x:v>
      </x:c>
      <x:c r="H480" s="34" t="n">
        <x:v>28.6</x:v>
      </x:c>
      <x:c r="I480" s="34" t="n">
        <x:v>11.768952</x:v>
      </x:c>
      <x:c r="J480" s="34" t="n">
        <x:v>58.85</x:v>
      </x:c>
      <x:c r="K480" s="34" t="n">
        <x:v>1.045165</x:v>
      </x:c>
      <x:c r="L480" s="34" t="n">
        <x:v>3.64</x:v>
      </x:c>
      <x:c r="M480" s="34" t="n">
        <x:v>2.594835</x:v>
      </x:c>
      <x:c r="N480" s="34" t="n">
        <x:v>28.713</x:v>
      </x:c>
      <x:c r="O480" s="34" t="n">
        <x:v>17.063447</x:v>
      </x:c>
      <x:c r="P480" s="34" t="n">
        <x:v>29.6</x:v>
      </x:c>
      <x:c r="Q480" s="34" t="n">
        <x:v>12.536553</x:v>
      </x:c>
      <x:c r="R480" s="34" t="n">
        <x:v>57.647</x:v>
      </x:c>
      <x:c r="S480" s="40" t="b">
        <x:v>1</x:v>
      </x:c>
      <x:c r="T480" s="34" t="str">
        <x:v>model_interpolation</x:v>
      </x:c>
      <x:c r="U480" s="34" t="str">
        <x:v>Linear interpolation from 2035 to 2040</x:v>
      </x:c>
      <x:c r="V480" s="34" t="str">
        <x:v>CAND-82FF2AA13BA34C</x:v>
      </x:c>
      <x:c r="W480" s="34" t="str">
        <x:v>P2</x:v>
      </x:c>
      <x:c r="X480" s="34" t="str">
        <x:v>PORT-8826D0B469EE</x:v>
      </x:c>
      <x:c r="Y480" s="34" t="n">
        <x:v>1000</x:v>
      </x:c>
      <x:c r="Z480" s="34" t="n">
        <x:v>53.31947</x:v>
      </x:c>
      <x:c r="AA480" s="34" t="n">
        <x:v>18.559119</x:v>
      </x:c>
      <x:c r="AB480" s="34" t="n">
        <x:v>429.154227</x:v>
      </x:c>
      <x:c r="AC480" s="34" t="n">
        <x:v>22213.621</x:v>
      </x:c>
      <x:c r="AD480" s="34" t="n">
        <x:v>51.761393</x:v>
      </x:c>
      <x:c r="AE480" s="40" t="b">
        <x:v>1</x:v>
      </x:c>
      <x:c r="AF480" s="40" t="b">
        <x:v>1</x:v>
      </x:c>
      <x:c r="AG480" s="34" t="str"/>
      <x:c r="AH480" s="34" t="n">
        <x:v>0</x:v>
      </x:c>
      <x:c r="AI480" s="34" t="str">
        <x:v>2.0275124185786808e-05</x:v>
      </x:c>
      <x:c r="AJ480" s="40" t="b">
        <x:v>1</x:v>
      </x:c>
      <x:c r="AK480" s="40" t="b">
        <x:v>1</x:v>
      </x:c>
      <x:c r="AL480" s="40" t="b">
        <x:v>1</x:v>
      </x:c>
      <x:c r="AM480" s="40" t="b">
        <x:v>1</x:v>
      </x:c>
      <x:c r="AN480" s="34" t="str"/>
      <x:c r="AO480" s="34" t="n">
        <x:v>0</x:v>
      </x:c>
      <x:c r="AP480" s="34" t="n">
        <x:v>0</x:v>
      </x:c>
      <x:c r="AQ480" s="34" t="n">
        <x:v>0</x:v>
      </x:c>
      <x:c r="AR480" s="34" t="n">
        <x:v>3</x:v>
      </x:c>
      <x:c r="AS480" s="34" t="n">
        <x:v>3</x:v>
      </x:c>
      <x:c r="AT480" s="34" t="n">
        <x:v>0.459336608</x:v>
      </x:c>
      <x:c r="AU480" s="34" t="n">
        <x:v>0.65</x:v>
      </x:c>
      <x:c r="AV480" s="34" t="n">
        <x:v>2.02</x:v>
      </x:c>
    </x:row>
    <x:row r="481">
      <x:c r="A481" s="34" t="str">
        <x:v>POSCO_KR</x:v>
      </x:c>
      <x:c r="B481" s="34" t="str">
        <x:v>POSCO</x:v>
      </x:c>
      <x:c r="C481" s="34" t="str">
        <x:v>ACCELERATED_15C</x:v>
      </x:c>
      <x:c r="D481" s="34" t="str">
        <x:v>P2</x:v>
      </x:c>
      <x:c r="E481" s="34" t="n">
        <x:v>2040</x:v>
      </x:c>
      <x:c r="F481" s="34" t="n">
        <x:v>5</x:v>
      </x:c>
      <x:c r="G481" s="34" t="n">
        <x:v>16.831048</x:v>
      </x:c>
      <x:c r="H481" s="34" t="n">
        <x:v>30</x:v>
      </x:c>
      <x:c r="I481" s="34" t="n">
        <x:v>13.168952</x:v>
      </x:c>
      <x:c r="J481" s="34" t="n">
        <x:v>56.103</x:v>
      </x:c>
      <x:c r="K481" s="34" t="n">
        <x:v>1.045165</x:v>
      </x:c>
      <x:c r="L481" s="34" t="n">
        <x:v>4</x:v>
      </x:c>
      <x:c r="M481" s="34" t="n">
        <x:v>2.954835</x:v>
      </x:c>
      <x:c r="N481" s="34" t="n">
        <x:v>26.129</x:v>
      </x:c>
      <x:c r="O481" s="34" t="n">
        <x:v>17.063447</x:v>
      </x:c>
      <x:c r="P481" s="34" t="n">
        <x:v>32</x:v>
      </x:c>
      <x:c r="Q481" s="34" t="n">
        <x:v>14.936553</x:v>
      </x:c>
      <x:c r="R481" s="34" t="n">
        <x:v>53.323</x:v>
      </x:c>
      <x:c r="S481" s="40" t="b">
        <x:v>1</x:v>
      </x:c>
      <x:c r="T481" s="34" t="str">
        <x:v>model_estimate</x:v>
      </x:c>
      <x:c r="U481" s="34" t="str">
        <x:v>Illustrative accelerated envelope; not GCAM or an official supply forecast</x:v>
      </x:c>
      <x:c r="V481" s="34" t="str">
        <x:v>CAND-82FF2AA13BA34C</x:v>
      </x:c>
      <x:c r="W481" s="34" t="str">
        <x:v>P2</x:v>
      </x:c>
      <x:c r="X481" s="34" t="str">
        <x:v>PORT-8826D0B469EE</x:v>
      </x:c>
      <x:c r="Y481" s="34" t="n">
        <x:v>1000</x:v>
      </x:c>
      <x:c r="Z481" s="34" t="n">
        <x:v>53.31947</x:v>
      </x:c>
      <x:c r="AA481" s="34" t="n">
        <x:v>18.559119</x:v>
      </x:c>
      <x:c r="AB481" s="34" t="n">
        <x:v>429.154227</x:v>
      </x:c>
      <x:c r="AC481" s="34" t="n">
        <x:v>22213.621</x:v>
      </x:c>
      <x:c r="AD481" s="34" t="n">
        <x:v>51.761393</x:v>
      </x:c>
      <x:c r="AE481" s="40" t="b">
        <x:v>1</x:v>
      </x:c>
      <x:c r="AF481" s="40" t="b">
        <x:v>1</x:v>
      </x:c>
      <x:c r="AG481" s="34" t="str"/>
      <x:c r="AH481" s="34" t="n">
        <x:v>0</x:v>
      </x:c>
      <x:c r="AI481" s="34" t="str">
        <x:v>2.0275124185786808e-05</x:v>
      </x:c>
      <x:c r="AJ481" s="40" t="b">
        <x:v>1</x:v>
      </x:c>
      <x:c r="AK481" s="40" t="b">
        <x:v>1</x:v>
      </x:c>
      <x:c r="AL481" s="40" t="b">
        <x:v>1</x:v>
      </x:c>
      <x:c r="AM481" s="40" t="b">
        <x:v>1</x:v>
      </x:c>
      <x:c r="AN481" s="34" t="str"/>
      <x:c r="AO481" s="34" t="n">
        <x:v>0</x:v>
      </x:c>
      <x:c r="AP481" s="34" t="n">
        <x:v>0</x:v>
      </x:c>
      <x:c r="AQ481" s="34" t="n">
        <x:v>0</x:v>
      </x:c>
      <x:c r="AR481" s="34" t="n">
        <x:v>3</x:v>
      </x:c>
      <x:c r="AS481" s="34" t="n">
        <x:v>3</x:v>
      </x:c>
      <x:c r="AT481" s="34" t="n">
        <x:v>0.459336608</x:v>
      </x:c>
      <x:c r="AU481" s="34" t="n">
        <x:v>0.65</x:v>
      </x:c>
      <x:c r="AV481" s="34" t="n">
        <x:v>2.02</x:v>
      </x:c>
    </x:row>
    <x:row r="482">
      <x:c r="A482" s="34" t="str">
        <x:v>NIPPON_STEEL_JP</x:v>
      </x:c>
      <x:c r="B482" s="34" t="str">
        <x:v>Nippon Steel</x:v>
      </x:c>
      <x:c r="C482" s="34" t="str">
        <x:v>DISCLOSED_PATH</x:v>
      </x:c>
      <x:c r="D482" s="34" t="str">
        <x:v>P1</x:v>
      </x:c>
      <x:c r="E482" s="34" t="n">
        <x:v>2026</x:v>
      </x:c>
      <x:c r="F482" s="34" t="n">
        <x:v>0</x:v>
      </x:c>
      <x:c r="G482" s="34" t="n">
        <x:v>0</x:v>
      </x:c>
      <x:c r="H482" s="34" t="n">
        <x:v>8</x:v>
      </x:c>
      <x:c r="I482" s="34" t="n">
        <x:v>8</x:v>
      </x:c>
      <x:c r="J482" s="34" t="n">
        <x:v>0</x:v>
      </x:c>
      <x:c r="K482" s="34" t="n">
        <x:v>0</x:v>
      </x:c>
      <x:c r="L482" s="34" t="n">
        <x:v>0</x:v>
      </x:c>
      <x:c r="M482" s="34" t="n">
        <x:v>0</x:v>
      </x:c>
      <x:c r="N482" s="34" t="n">
        <x:v>0</x:v>
      </x:c>
      <x:c r="O482" s="34" t="n">
        <x:v>0</x:v>
      </x:c>
      <x:c r="P482" s="34" t="n">
        <x:v>2</x:v>
      </x:c>
      <x:c r="Q482" s="34" t="n">
        <x:v>2</x:v>
      </x:c>
      <x:c r="R482" s="34" t="n">
        <x:v>0</x:v>
      </x:c>
      <x:c r="S482" s="40" t="b">
        <x:v>1</x:v>
      </x:c>
      <x:c r="T482" s="34" t="str">
        <x:v>model_interpolation</x:v>
      </x:c>
      <x:c r="U482" s="34" t="str">
        <x:v>Linear interpolation from 2026 to 2030</x:v>
      </x:c>
      <x:c r="V482" s="34" t="str">
        <x:v>CAND-87B9435721978E</x:v>
      </x:c>
      <x:c r="W482" s="34" t="str">
        <x:v>P1</x:v>
      </x:c>
      <x:c r="X482" s="34" t="str">
        <x:v>PORT-5CFD50239439</x:v>
      </x:c>
      <x:c r="Y482" s="34" t="n">
        <x:v>1000</x:v>
      </x:c>
      <x:c r="Z482" s="34" t="n">
        <x:v>22.435988</x:v>
      </x:c>
      <x:c r="AA482" s="34" t="n">
        <x:v>11.154754</x:v>
      </x:c>
      <x:c r="AB482" s="34" t="n">
        <x:v>321.473932</x:v>
      </x:c>
      <x:c r="AC482" s="34" t="n">
        <x:v>6865.237</x:v>
      </x:c>
      <x:c r="AD482" s="34" t="n">
        <x:v>21.355503</x:v>
      </x:c>
      <x:c r="AE482" s="40" t="b">
        <x:v>1</x:v>
      </x:c>
      <x:c r="AF482" s="40" t="b">
        <x:v>1</x:v>
      </x:c>
      <x:c r="AG482" s="34" t="str"/>
      <x:c r="AH482" s="34" t="n">
        <x:v>0</x:v>
      </x:c>
      <x:c r="AI482" s="34" t="str">
        <x:v>3.446647212967946e-06</x:v>
      </x:c>
      <x:c r="AJ482" s="40" t="b">
        <x:v>1</x:v>
      </x:c>
      <x:c r="AK482" s="40" t="b">
        <x:v>1</x:v>
      </x:c>
      <x:c r="AL482" s="40" t="b">
        <x:v>1</x:v>
      </x:c>
      <x:c r="AM482" s="40" t="b">
        <x:v>1</x:v>
      </x:c>
      <x:c r="AN482" s="34" t="str"/>
      <x:c r="AO482" s="34" t="n">
        <x:v>0</x:v>
      </x:c>
      <x:c r="AP482" s="34" t="n">
        <x:v>0</x:v>
      </x:c>
      <x:c r="AQ482" s="34" t="n">
        <x:v>0</x:v>
      </x:c>
      <x:c r="AR482" s="34" t="n">
        <x:v>2</x:v>
      </x:c>
      <x:c r="AS482" s="34" t="n">
        <x:v>2</x:v>
      </x:c>
      <x:c r="AT482" s="34" t="n">
        <x:v>0.28236113919999994</x:v>
      </x:c>
      <x:c r="AU482" s="34" t="n">
        <x:v>0.65</x:v>
      </x:c>
      <x:c r="AV482" s="34" t="n">
        <x:v>0.88</x:v>
      </x:c>
    </x:row>
    <x:row r="483">
      <x:c r="A483" s="34" t="str">
        <x:v>NIPPON_STEEL_JP</x:v>
      </x:c>
      <x:c r="B483" s="34" t="str">
        <x:v>Nippon Steel</x:v>
      </x:c>
      <x:c r="C483" s="34" t="str">
        <x:v>DISCLOSED_PATH</x:v>
      </x:c>
      <x:c r="D483" s="34" t="str">
        <x:v>P1</x:v>
      </x:c>
      <x:c r="E483" s="34" t="n">
        <x:v>2027</x:v>
      </x:c>
      <x:c r="F483" s="34" t="n">
        <x:v>0</x:v>
      </x:c>
      <x:c r="G483" s="34" t="n">
        <x:v>0</x:v>
      </x:c>
      <x:c r="H483" s="34" t="n">
        <x:v>9</x:v>
      </x:c>
      <x:c r="I483" s="34" t="n">
        <x:v>9</x:v>
      </x:c>
      <x:c r="J483" s="34" t="n">
        <x:v>0</x:v>
      </x:c>
      <x:c r="K483" s="34" t="n">
        <x:v>0</x:v>
      </x:c>
      <x:c r="L483" s="34" t="n">
        <x:v>0.15</x:v>
      </x:c>
      <x:c r="M483" s="34" t="n">
        <x:v>0.15</x:v>
      </x:c>
      <x:c r="N483" s="34" t="n">
        <x:v>0</x:v>
      </x:c>
      <x:c r="O483" s="34" t="n">
        <x:v>0</x:v>
      </x:c>
      <x:c r="P483" s="34" t="n">
        <x:v>3.25</x:v>
      </x:c>
      <x:c r="Q483" s="34" t="n">
        <x:v>3.25</x:v>
      </x:c>
      <x:c r="R483" s="34" t="n">
        <x:v>0</x:v>
      </x:c>
      <x:c r="S483" s="40" t="b">
        <x:v>1</x:v>
      </x:c>
      <x:c r="T483" s="34" t="str">
        <x:v>model_interpolation</x:v>
      </x:c>
      <x:c r="U483" s="34" t="str">
        <x:v>Linear interpolation from 2026 to 2030</x:v>
      </x:c>
      <x:c r="V483" s="34" t="str">
        <x:v>CAND-87B9435721978E</x:v>
      </x:c>
      <x:c r="W483" s="34" t="str">
        <x:v>P1</x:v>
      </x:c>
      <x:c r="X483" s="34" t="str">
        <x:v>PORT-5CFD50239439</x:v>
      </x:c>
      <x:c r="Y483" s="34" t="n">
        <x:v>1000</x:v>
      </x:c>
      <x:c r="Z483" s="34" t="n">
        <x:v>22.435988</x:v>
      </x:c>
      <x:c r="AA483" s="34" t="n">
        <x:v>11.154754</x:v>
      </x:c>
      <x:c r="AB483" s="34" t="n">
        <x:v>321.473932</x:v>
      </x:c>
      <x:c r="AC483" s="34" t="n">
        <x:v>6865.237</x:v>
      </x:c>
      <x:c r="AD483" s="34" t="n">
        <x:v>21.355503</x:v>
      </x:c>
      <x:c r="AE483" s="40" t="b">
        <x:v>1</x:v>
      </x:c>
      <x:c r="AF483" s="40" t="b">
        <x:v>1</x:v>
      </x:c>
      <x:c r="AG483" s="34" t="str"/>
      <x:c r="AH483" s="34" t="n">
        <x:v>0</x:v>
      </x:c>
      <x:c r="AI483" s="34" t="str">
        <x:v>3.446647212967946e-06</x:v>
      </x:c>
      <x:c r="AJ483" s="40" t="b">
        <x:v>1</x:v>
      </x:c>
      <x:c r="AK483" s="40" t="b">
        <x:v>1</x:v>
      </x:c>
      <x:c r="AL483" s="40" t="b">
        <x:v>1</x:v>
      </x:c>
      <x:c r="AM483" s="40" t="b">
        <x:v>1</x:v>
      </x:c>
      <x:c r="AN483" s="34" t="str"/>
      <x:c r="AO483" s="34" t="n">
        <x:v>0</x:v>
      </x:c>
      <x:c r="AP483" s="34" t="n">
        <x:v>0</x:v>
      </x:c>
      <x:c r="AQ483" s="34" t="n">
        <x:v>0</x:v>
      </x:c>
      <x:c r="AR483" s="34" t="n">
        <x:v>2</x:v>
      </x:c>
      <x:c r="AS483" s="34" t="n">
        <x:v>2</x:v>
      </x:c>
      <x:c r="AT483" s="34" t="n">
        <x:v>0.28236113919999994</x:v>
      </x:c>
      <x:c r="AU483" s="34" t="n">
        <x:v>0.65</x:v>
      </x:c>
      <x:c r="AV483" s="34" t="n">
        <x:v>0.88</x:v>
      </x:c>
    </x:row>
    <x:row r="484">
      <x:c r="A484" s="34" t="str">
        <x:v>NIPPON_STEEL_JP</x:v>
      </x:c>
      <x:c r="B484" s="34" t="str">
        <x:v>Nippon Steel</x:v>
      </x:c>
      <x:c r="C484" s="34" t="str">
        <x:v>DISCLOSED_PATH</x:v>
      </x:c>
      <x:c r="D484" s="34" t="str">
        <x:v>P1</x:v>
      </x:c>
      <x:c r="E484" s="34" t="n">
        <x:v>2028</x:v>
      </x:c>
      <x:c r="F484" s="34" t="n">
        <x:v>0</x:v>
      </x:c>
      <x:c r="G484" s="34" t="n">
        <x:v>0</x:v>
      </x:c>
      <x:c r="H484" s="34" t="n">
        <x:v>10</x:v>
      </x:c>
      <x:c r="I484" s="34" t="n">
        <x:v>10</x:v>
      </x:c>
      <x:c r="J484" s="34" t="n">
        <x:v>0</x:v>
      </x:c>
      <x:c r="K484" s="34" t="n">
        <x:v>0</x:v>
      </x:c>
      <x:c r="L484" s="34" t="n">
        <x:v>0.3</x:v>
      </x:c>
      <x:c r="M484" s="34" t="n">
        <x:v>0.3</x:v>
      </x:c>
      <x:c r="N484" s="34" t="n">
        <x:v>0</x:v>
      </x:c>
      <x:c r="O484" s="34" t="n">
        <x:v>0</x:v>
      </x:c>
      <x:c r="P484" s="34" t="n">
        <x:v>4.5</x:v>
      </x:c>
      <x:c r="Q484" s="34" t="n">
        <x:v>4.5</x:v>
      </x:c>
      <x:c r="R484" s="34" t="n">
        <x:v>0</x:v>
      </x:c>
      <x:c r="S484" s="40" t="b">
        <x:v>1</x:v>
      </x:c>
      <x:c r="T484" s="34" t="str">
        <x:v>model_interpolation</x:v>
      </x:c>
      <x:c r="U484" s="34" t="str">
        <x:v>Linear interpolation from 2026 to 2030</x:v>
      </x:c>
      <x:c r="V484" s="34" t="str">
        <x:v>CAND-87B9435721978E</x:v>
      </x:c>
      <x:c r="W484" s="34" t="str">
        <x:v>P1</x:v>
      </x:c>
      <x:c r="X484" s="34" t="str">
        <x:v>PORT-5CFD50239439</x:v>
      </x:c>
      <x:c r="Y484" s="34" t="n">
        <x:v>1000</x:v>
      </x:c>
      <x:c r="Z484" s="34" t="n">
        <x:v>22.435988</x:v>
      </x:c>
      <x:c r="AA484" s="34" t="n">
        <x:v>11.154754</x:v>
      </x:c>
      <x:c r="AB484" s="34" t="n">
        <x:v>321.473932</x:v>
      </x:c>
      <x:c r="AC484" s="34" t="n">
        <x:v>6865.237</x:v>
      </x:c>
      <x:c r="AD484" s="34" t="n">
        <x:v>21.355503</x:v>
      </x:c>
      <x:c r="AE484" s="40" t="b">
        <x:v>1</x:v>
      </x:c>
      <x:c r="AF484" s="40" t="b">
        <x:v>1</x:v>
      </x:c>
      <x:c r="AG484" s="34" t="str"/>
      <x:c r="AH484" s="34" t="n">
        <x:v>0</x:v>
      </x:c>
      <x:c r="AI484" s="34" t="str">
        <x:v>3.446647212967946e-06</x:v>
      </x:c>
      <x:c r="AJ484" s="40" t="b">
        <x:v>1</x:v>
      </x:c>
      <x:c r="AK484" s="40" t="b">
        <x:v>1</x:v>
      </x:c>
      <x:c r="AL484" s="40" t="b">
        <x:v>1</x:v>
      </x:c>
      <x:c r="AM484" s="40" t="b">
        <x:v>1</x:v>
      </x:c>
      <x:c r="AN484" s="34" t="str"/>
      <x:c r="AO484" s="34" t="n">
        <x:v>0</x:v>
      </x:c>
      <x:c r="AP484" s="34" t="n">
        <x:v>0</x:v>
      </x:c>
      <x:c r="AQ484" s="34" t="n">
        <x:v>0</x:v>
      </x:c>
      <x:c r="AR484" s="34" t="n">
        <x:v>2</x:v>
      </x:c>
      <x:c r="AS484" s="34" t="n">
        <x:v>2</x:v>
      </x:c>
      <x:c r="AT484" s="34" t="n">
        <x:v>0.28236113919999994</x:v>
      </x:c>
      <x:c r="AU484" s="34" t="n">
        <x:v>0.65</x:v>
      </x:c>
      <x:c r="AV484" s="34" t="n">
        <x:v>0.88</x:v>
      </x:c>
    </x:row>
    <x:row r="485">
      <x:c r="A485" s="34" t="str">
        <x:v>NIPPON_STEEL_JP</x:v>
      </x:c>
      <x:c r="B485" s="34" t="str">
        <x:v>Nippon Steel</x:v>
      </x:c>
      <x:c r="C485" s="34" t="str">
        <x:v>DISCLOSED_PATH</x:v>
      </x:c>
      <x:c r="D485" s="34" t="str">
        <x:v>P1</x:v>
      </x:c>
      <x:c r="E485" s="34" t="n">
        <x:v>2029</x:v>
      </x:c>
      <x:c r="F485" s="34" t="n">
        <x:v>1</x:v>
      </x:c>
      <x:c r="G485" s="34" t="n">
        <x:v>8.1</x:v>
      </x:c>
      <x:c r="H485" s="34" t="n">
        <x:v>11</x:v>
      </x:c>
      <x:c r="I485" s="34" t="n">
        <x:v>2.9</x:v>
      </x:c>
      <x:c r="J485" s="34" t="n">
        <x:v>73.636</x:v>
      </x:c>
      <x:c r="K485" s="34" t="n">
        <x:v>0</x:v>
      </x:c>
      <x:c r="L485" s="34" t="n">
        <x:v>0.44999999999999996</x:v>
      </x:c>
      <x:c r="M485" s="34" t="n">
        <x:v>0.45</x:v>
      </x:c>
      <x:c r="N485" s="34" t="n">
        <x:v>0</x:v>
      </x:c>
      <x:c r="O485" s="34" t="n">
        <x:v>5.04</x:v>
      </x:c>
      <x:c r="P485" s="34" t="n">
        <x:v>5.75</x:v>
      </x:c>
      <x:c r="Q485" s="34" t="n">
        <x:v>0.71</x:v>
      </x:c>
      <x:c r="R485" s="34" t="n">
        <x:v>87.652</x:v>
      </x:c>
      <x:c r="S485" s="40" t="b">
        <x:v>1</x:v>
      </x:c>
      <x:c r="T485" s="34" t="str">
        <x:v>model_interpolation</x:v>
      </x:c>
      <x:c r="U485" s="34" t="str">
        <x:v>Linear interpolation from 2026 to 2030</x:v>
      </x:c>
      <x:c r="V485" s="34" t="str">
        <x:v>CAND-87B9435721978E</x:v>
      </x:c>
      <x:c r="W485" s="34" t="str">
        <x:v>P1</x:v>
      </x:c>
      <x:c r="X485" s="34" t="str">
        <x:v>PORT-5CFD50239439</x:v>
      </x:c>
      <x:c r="Y485" s="34" t="n">
        <x:v>1000</x:v>
      </x:c>
      <x:c r="Z485" s="34" t="n">
        <x:v>22.435988</x:v>
      </x:c>
      <x:c r="AA485" s="34" t="n">
        <x:v>11.154754</x:v>
      </x:c>
      <x:c r="AB485" s="34" t="n">
        <x:v>321.473932</x:v>
      </x:c>
      <x:c r="AC485" s="34" t="n">
        <x:v>6865.237</x:v>
      </x:c>
      <x:c r="AD485" s="34" t="n">
        <x:v>21.355503</x:v>
      </x:c>
      <x:c r="AE485" s="40" t="b">
        <x:v>1</x:v>
      </x:c>
      <x:c r="AF485" s="40" t="b">
        <x:v>1</x:v>
      </x:c>
      <x:c r="AG485" s="34" t="str"/>
      <x:c r="AH485" s="34" t="n">
        <x:v>0</x:v>
      </x:c>
      <x:c r="AI485" s="34" t="str">
        <x:v>3.446647212967946e-06</x:v>
      </x:c>
      <x:c r="AJ485" s="40" t="b">
        <x:v>1</x:v>
      </x:c>
      <x:c r="AK485" s="40" t="b">
        <x:v>1</x:v>
      </x:c>
      <x:c r="AL485" s="40" t="b">
        <x:v>1</x:v>
      </x:c>
      <x:c r="AM485" s="40" t="b">
        <x:v>1</x:v>
      </x:c>
      <x:c r="AN485" s="34" t="str"/>
      <x:c r="AO485" s="34" t="n">
        <x:v>0</x:v>
      </x:c>
      <x:c r="AP485" s="34" t="n">
        <x:v>0</x:v>
      </x:c>
      <x:c r="AQ485" s="34" t="n">
        <x:v>0</x:v>
      </x:c>
      <x:c r="AR485" s="34" t="n">
        <x:v>2</x:v>
      </x:c>
      <x:c r="AS485" s="34" t="n">
        <x:v>2</x:v>
      </x:c>
      <x:c r="AT485" s="34" t="n">
        <x:v>0.28236113919999994</x:v>
      </x:c>
      <x:c r="AU485" s="34" t="n">
        <x:v>0.65</x:v>
      </x:c>
      <x:c r="AV485" s="34" t="n">
        <x:v>0.88</x:v>
      </x:c>
    </x:row>
    <x:row r="486">
      <x:c r="A486" s="34" t="str">
        <x:v>NIPPON_STEEL_JP</x:v>
      </x:c>
      <x:c r="B486" s="34" t="str">
        <x:v>Nippon Steel</x:v>
      </x:c>
      <x:c r="C486" s="34" t="str">
        <x:v>DISCLOSED_PATH</x:v>
      </x:c>
      <x:c r="D486" s="34" t="str">
        <x:v>P1</x:v>
      </x:c>
      <x:c r="E486" s="34" t="n">
        <x:v>2030</x:v>
      </x:c>
      <x:c r="F486" s="34" t="n">
        <x:v>1</x:v>
      </x:c>
      <x:c r="G486" s="34" t="n">
        <x:v>8.1</x:v>
      </x:c>
      <x:c r="H486" s="34" t="n">
        <x:v>12</x:v>
      </x:c>
      <x:c r="I486" s="34" t="n">
        <x:v>3.9</x:v>
      </x:c>
      <x:c r="J486" s="34" t="n">
        <x:v>67.5</x:v>
      </x:c>
      <x:c r="K486" s="34" t="n">
        <x:v>0</x:v>
      </x:c>
      <x:c r="L486" s="34" t="n">
        <x:v>0.6</x:v>
      </x:c>
      <x:c r="M486" s="34" t="n">
        <x:v>0.6</x:v>
      </x:c>
      <x:c r="N486" s="34" t="n">
        <x:v>0</x:v>
      </x:c>
      <x:c r="O486" s="34" t="n">
        <x:v>5.04</x:v>
      </x:c>
      <x:c r="P486" s="34" t="n">
        <x:v>7</x:v>
      </x:c>
      <x:c r="Q486" s="34" t="n">
        <x:v>1.96</x:v>
      </x:c>
      <x:c r="R486" s="34" t="n">
        <x:v>72</x:v>
      </x:c>
      <x:c r="S486" s="40" t="b">
        <x:v>1</x:v>
      </x:c>
      <x:c r="T486" s="34" t="str">
        <x:v>model_interpolation</x:v>
      </x:c>
      <x:c r="U486" s="34" t="str">
        <x:v>Linear interpolation from 2030 to 2035</x:v>
      </x:c>
      <x:c r="V486" s="34" t="str">
        <x:v>CAND-87B9435721978E</x:v>
      </x:c>
      <x:c r="W486" s="34" t="str">
        <x:v>P1</x:v>
      </x:c>
      <x:c r="X486" s="34" t="str">
        <x:v>PORT-5CFD50239439</x:v>
      </x:c>
      <x:c r="Y486" s="34" t="n">
        <x:v>1000</x:v>
      </x:c>
      <x:c r="Z486" s="34" t="n">
        <x:v>22.435988</x:v>
      </x:c>
      <x:c r="AA486" s="34" t="n">
        <x:v>11.154754</x:v>
      </x:c>
      <x:c r="AB486" s="34" t="n">
        <x:v>321.473932</x:v>
      </x:c>
      <x:c r="AC486" s="34" t="n">
        <x:v>6865.237</x:v>
      </x:c>
      <x:c r="AD486" s="34" t="n">
        <x:v>21.355503</x:v>
      </x:c>
      <x:c r="AE486" s="40" t="b">
        <x:v>1</x:v>
      </x:c>
      <x:c r="AF486" s="40" t="b">
        <x:v>1</x:v>
      </x:c>
      <x:c r="AG486" s="34" t="str"/>
      <x:c r="AH486" s="34" t="n">
        <x:v>0</x:v>
      </x:c>
      <x:c r="AI486" s="34" t="str">
        <x:v>3.446647212967946e-06</x:v>
      </x:c>
      <x:c r="AJ486" s="40" t="b">
        <x:v>1</x:v>
      </x:c>
      <x:c r="AK486" s="40" t="b">
        <x:v>1</x:v>
      </x:c>
      <x:c r="AL486" s="40" t="b">
        <x:v>1</x:v>
      </x:c>
      <x:c r="AM486" s="40" t="b">
        <x:v>1</x:v>
      </x:c>
      <x:c r="AN486" s="34" t="str"/>
      <x:c r="AO486" s="34" t="n">
        <x:v>0</x:v>
      </x:c>
      <x:c r="AP486" s="34" t="n">
        <x:v>0</x:v>
      </x:c>
      <x:c r="AQ486" s="34" t="n">
        <x:v>0</x:v>
      </x:c>
      <x:c r="AR486" s="34" t="n">
        <x:v>2</x:v>
      </x:c>
      <x:c r="AS486" s="34" t="n">
        <x:v>2</x:v>
      </x:c>
      <x:c r="AT486" s="34" t="n">
        <x:v>0.28236113919999994</x:v>
      </x:c>
      <x:c r="AU486" s="34" t="n">
        <x:v>0.65</x:v>
      </x:c>
      <x:c r="AV486" s="34" t="n">
        <x:v>0.88</x:v>
      </x:c>
    </x:row>
    <x:row r="487">
      <x:c r="A487" s="34" t="str">
        <x:v>NIPPON_STEEL_JP</x:v>
      </x:c>
      <x:c r="B487" s="34" t="str">
        <x:v>Nippon Steel</x:v>
      </x:c>
      <x:c r="C487" s="34" t="str">
        <x:v>DISCLOSED_PATH</x:v>
      </x:c>
      <x:c r="D487" s="34" t="str">
        <x:v>P1</x:v>
      </x:c>
      <x:c r="E487" s="34" t="n">
        <x:v>2031</x:v>
      </x:c>
      <x:c r="F487" s="34" t="n">
        <x:v>1</x:v>
      </x:c>
      <x:c r="G487" s="34" t="n">
        <x:v>8.1</x:v>
      </x:c>
      <x:c r="H487" s="34" t="n">
        <x:v>13.2</x:v>
      </x:c>
      <x:c r="I487" s="34" t="n">
        <x:v>5.1</x:v>
      </x:c>
      <x:c r="J487" s="34" t="n">
        <x:v>61.364</x:v>
      </x:c>
      <x:c r="K487" s="34" t="n">
        <x:v>0</x:v>
      </x:c>
      <x:c r="L487" s="34" t="n">
        <x:v>0.8400000000000001</x:v>
      </x:c>
      <x:c r="M487" s="34" t="n">
        <x:v>0.84</x:v>
      </x:c>
      <x:c r="N487" s="34" t="n">
        <x:v>0</x:v>
      </x:c>
      <x:c r="O487" s="34" t="n">
        <x:v>5.04</x:v>
      </x:c>
      <x:c r="P487" s="34" t="n">
        <x:v>8.6</x:v>
      </x:c>
      <x:c r="Q487" s="34" t="n">
        <x:v>3.56</x:v>
      </x:c>
      <x:c r="R487" s="34" t="n">
        <x:v>58.605</x:v>
      </x:c>
      <x:c r="S487" s="40" t="b">
        <x:v>1</x:v>
      </x:c>
      <x:c r="T487" s="34" t="str">
        <x:v>model_interpolation</x:v>
      </x:c>
      <x:c r="U487" s="34" t="str">
        <x:v>Linear interpolation from 2030 to 2035</x:v>
      </x:c>
      <x:c r="V487" s="34" t="str">
        <x:v>CAND-87B9435721978E</x:v>
      </x:c>
      <x:c r="W487" s="34" t="str">
        <x:v>P1</x:v>
      </x:c>
      <x:c r="X487" s="34" t="str">
        <x:v>PORT-5CFD50239439</x:v>
      </x:c>
      <x:c r="Y487" s="34" t="n">
        <x:v>1000</x:v>
      </x:c>
      <x:c r="Z487" s="34" t="n">
        <x:v>22.435988</x:v>
      </x:c>
      <x:c r="AA487" s="34" t="n">
        <x:v>11.154754</x:v>
      </x:c>
      <x:c r="AB487" s="34" t="n">
        <x:v>321.473932</x:v>
      </x:c>
      <x:c r="AC487" s="34" t="n">
        <x:v>6865.237</x:v>
      </x:c>
      <x:c r="AD487" s="34" t="n">
        <x:v>21.355503</x:v>
      </x:c>
      <x:c r="AE487" s="40" t="b">
        <x:v>1</x:v>
      </x:c>
      <x:c r="AF487" s="40" t="b">
        <x:v>1</x:v>
      </x:c>
      <x:c r="AG487" s="34" t="str"/>
      <x:c r="AH487" s="34" t="n">
        <x:v>0</x:v>
      </x:c>
      <x:c r="AI487" s="34" t="str">
        <x:v>3.446647212967946e-06</x:v>
      </x:c>
      <x:c r="AJ487" s="40" t="b">
        <x:v>1</x:v>
      </x:c>
      <x:c r="AK487" s="40" t="b">
        <x:v>1</x:v>
      </x:c>
      <x:c r="AL487" s="40" t="b">
        <x:v>1</x:v>
      </x:c>
      <x:c r="AM487" s="40" t="b">
        <x:v>1</x:v>
      </x:c>
      <x:c r="AN487" s="34" t="str"/>
      <x:c r="AO487" s="34" t="n">
        <x:v>0</x:v>
      </x:c>
      <x:c r="AP487" s="34" t="n">
        <x:v>0</x:v>
      </x:c>
      <x:c r="AQ487" s="34" t="n">
        <x:v>0</x:v>
      </x:c>
      <x:c r="AR487" s="34" t="n">
        <x:v>2</x:v>
      </x:c>
      <x:c r="AS487" s="34" t="n">
        <x:v>2</x:v>
      </x:c>
      <x:c r="AT487" s="34" t="n">
        <x:v>0.28236113919999994</x:v>
      </x:c>
      <x:c r="AU487" s="34" t="n">
        <x:v>0.65</x:v>
      </x:c>
      <x:c r="AV487" s="34" t="n">
        <x:v>0.88</x:v>
      </x:c>
    </x:row>
    <x:row r="488">
      <x:c r="A488" s="34" t="str">
        <x:v>NIPPON_STEEL_JP</x:v>
      </x:c>
      <x:c r="B488" s="34" t="str">
        <x:v>Nippon Steel</x:v>
      </x:c>
      <x:c r="C488" s="34" t="str">
        <x:v>DISCLOSED_PATH</x:v>
      </x:c>
      <x:c r="D488" s="34" t="str">
        <x:v>P1</x:v>
      </x:c>
      <x:c r="E488" s="34" t="n">
        <x:v>2032</x:v>
      </x:c>
      <x:c r="F488" s="34" t="n">
        <x:v>2</x:v>
      </x:c>
      <x:c r="G488" s="34" t="n">
        <x:v>13.679998</x:v>
      </x:c>
      <x:c r="H488" s="34" t="n">
        <x:v>14.4</x:v>
      </x:c>
      <x:c r="I488" s="34" t="n">
        <x:v>0.720002</x:v>
      </x:c>
      <x:c r="J488" s="34" t="n">
        <x:v>95</x:v>
      </x:c>
      <x:c r="K488" s="34" t="n">
        <x:v>0</x:v>
      </x:c>
      <x:c r="L488" s="34" t="n">
        <x:v>1.08</x:v>
      </x:c>
      <x:c r="M488" s="34" t="n">
        <x:v>1.08</x:v>
      </x:c>
      <x:c r="N488" s="34" t="n">
        <x:v>0</x:v>
      </x:c>
      <x:c r="O488" s="34" t="n">
        <x:v>8.511999</x:v>
      </x:c>
      <x:c r="P488" s="34" t="n">
        <x:v>10.2</x:v>
      </x:c>
      <x:c r="Q488" s="34" t="n">
        <x:v>1.688001</x:v>
      </x:c>
      <x:c r="R488" s="34" t="n">
        <x:v>83.451</x:v>
      </x:c>
      <x:c r="S488" s="40" t="b">
        <x:v>1</x:v>
      </x:c>
      <x:c r="T488" s="34" t="str">
        <x:v>model_interpolation</x:v>
      </x:c>
      <x:c r="U488" s="34" t="str">
        <x:v>Linear interpolation from 2030 to 2035</x:v>
      </x:c>
      <x:c r="V488" s="34" t="str">
        <x:v>CAND-87B9435721978E</x:v>
      </x:c>
      <x:c r="W488" s="34" t="str">
        <x:v>P1</x:v>
      </x:c>
      <x:c r="X488" s="34" t="str">
        <x:v>PORT-5CFD50239439</x:v>
      </x:c>
      <x:c r="Y488" s="34" t="n">
        <x:v>1000</x:v>
      </x:c>
      <x:c r="Z488" s="34" t="n">
        <x:v>22.435988</x:v>
      </x:c>
      <x:c r="AA488" s="34" t="n">
        <x:v>11.154754</x:v>
      </x:c>
      <x:c r="AB488" s="34" t="n">
        <x:v>321.473932</x:v>
      </x:c>
      <x:c r="AC488" s="34" t="n">
        <x:v>6865.237</x:v>
      </x:c>
      <x:c r="AD488" s="34" t="n">
        <x:v>21.355503</x:v>
      </x:c>
      <x:c r="AE488" s="40" t="b">
        <x:v>1</x:v>
      </x:c>
      <x:c r="AF488" s="40" t="b">
        <x:v>1</x:v>
      </x:c>
      <x:c r="AG488" s="34" t="str"/>
      <x:c r="AH488" s="34" t="n">
        <x:v>0</x:v>
      </x:c>
      <x:c r="AI488" s="34" t="str">
        <x:v>3.446647212967946e-06</x:v>
      </x:c>
      <x:c r="AJ488" s="40" t="b">
        <x:v>1</x:v>
      </x:c>
      <x:c r="AK488" s="40" t="b">
        <x:v>1</x:v>
      </x:c>
      <x:c r="AL488" s="40" t="b">
        <x:v>1</x:v>
      </x:c>
      <x:c r="AM488" s="40" t="b">
        <x:v>1</x:v>
      </x:c>
      <x:c r="AN488" s="34" t="str"/>
      <x:c r="AO488" s="34" t="n">
        <x:v>0</x:v>
      </x:c>
      <x:c r="AP488" s="34" t="n">
        <x:v>0</x:v>
      </x:c>
      <x:c r="AQ488" s="34" t="n">
        <x:v>0</x:v>
      </x:c>
      <x:c r="AR488" s="34" t="n">
        <x:v>2</x:v>
      </x:c>
      <x:c r="AS488" s="34" t="n">
        <x:v>2</x:v>
      </x:c>
      <x:c r="AT488" s="34" t="n">
        <x:v>0.28236113919999994</x:v>
      </x:c>
      <x:c r="AU488" s="34" t="n">
        <x:v>0.65</x:v>
      </x:c>
      <x:c r="AV488" s="34" t="n">
        <x:v>0.88</x:v>
      </x:c>
    </x:row>
    <x:row r="489">
      <x:c r="A489" s="34" t="str">
        <x:v>NIPPON_STEEL_JP</x:v>
      </x:c>
      <x:c r="B489" s="34" t="str">
        <x:v>Nippon Steel</x:v>
      </x:c>
      <x:c r="C489" s="34" t="str">
        <x:v>DISCLOSED_PATH</x:v>
      </x:c>
      <x:c r="D489" s="34" t="str">
        <x:v>P1</x:v>
      </x:c>
      <x:c r="E489" s="34" t="n">
        <x:v>2033</x:v>
      </x:c>
      <x:c r="F489" s="34" t="n">
        <x:v>2</x:v>
      </x:c>
      <x:c r="G489" s="34" t="n">
        <x:v>13.679998</x:v>
      </x:c>
      <x:c r="H489" s="34" t="n">
        <x:v>15.6</x:v>
      </x:c>
      <x:c r="I489" s="34" t="n">
        <x:v>1.920002</x:v>
      </x:c>
      <x:c r="J489" s="34" t="n">
        <x:v>87.692</x:v>
      </x:c>
      <x:c r="K489" s="34" t="n">
        <x:v>0</x:v>
      </x:c>
      <x:c r="L489" s="34" t="n">
        <x:v>1.32</x:v>
      </x:c>
      <x:c r="M489" s="34" t="n">
        <x:v>1.32</x:v>
      </x:c>
      <x:c r="N489" s="34" t="n">
        <x:v>0</x:v>
      </x:c>
      <x:c r="O489" s="34" t="n">
        <x:v>8.511999</x:v>
      </x:c>
      <x:c r="P489" s="34" t="n">
        <x:v>11.8</x:v>
      </x:c>
      <x:c r="Q489" s="34" t="n">
        <x:v>3.288001</x:v>
      </x:c>
      <x:c r="R489" s="34" t="n">
        <x:v>72.136</x:v>
      </x:c>
      <x:c r="S489" s="40" t="b">
        <x:v>1</x:v>
      </x:c>
      <x:c r="T489" s="34" t="str">
        <x:v>model_interpolation</x:v>
      </x:c>
      <x:c r="U489" s="34" t="str">
        <x:v>Linear interpolation from 2030 to 2035</x:v>
      </x:c>
      <x:c r="V489" s="34" t="str">
        <x:v>CAND-87B9435721978E</x:v>
      </x:c>
      <x:c r="W489" s="34" t="str">
        <x:v>P1</x:v>
      </x:c>
      <x:c r="X489" s="34" t="str">
        <x:v>PORT-5CFD50239439</x:v>
      </x:c>
      <x:c r="Y489" s="34" t="n">
        <x:v>1000</x:v>
      </x:c>
      <x:c r="Z489" s="34" t="n">
        <x:v>22.435988</x:v>
      </x:c>
      <x:c r="AA489" s="34" t="n">
        <x:v>11.154754</x:v>
      </x:c>
      <x:c r="AB489" s="34" t="n">
        <x:v>321.473932</x:v>
      </x:c>
      <x:c r="AC489" s="34" t="n">
        <x:v>6865.237</x:v>
      </x:c>
      <x:c r="AD489" s="34" t="n">
        <x:v>21.355503</x:v>
      </x:c>
      <x:c r="AE489" s="40" t="b">
        <x:v>1</x:v>
      </x:c>
      <x:c r="AF489" s="40" t="b">
        <x:v>1</x:v>
      </x:c>
      <x:c r="AG489" s="34" t="str"/>
      <x:c r="AH489" s="34" t="n">
        <x:v>0</x:v>
      </x:c>
      <x:c r="AI489" s="34" t="str">
        <x:v>3.446647212967946e-06</x:v>
      </x:c>
      <x:c r="AJ489" s="40" t="b">
        <x:v>1</x:v>
      </x:c>
      <x:c r="AK489" s="40" t="b">
        <x:v>1</x:v>
      </x:c>
      <x:c r="AL489" s="40" t="b">
        <x:v>1</x:v>
      </x:c>
      <x:c r="AM489" s="40" t="b">
        <x:v>1</x:v>
      </x:c>
      <x:c r="AN489" s="34" t="str"/>
      <x:c r="AO489" s="34" t="n">
        <x:v>0</x:v>
      </x:c>
      <x:c r="AP489" s="34" t="n">
        <x:v>0</x:v>
      </x:c>
      <x:c r="AQ489" s="34" t="n">
        <x:v>0</x:v>
      </x:c>
      <x:c r="AR489" s="34" t="n">
        <x:v>2</x:v>
      </x:c>
      <x:c r="AS489" s="34" t="n">
        <x:v>2</x:v>
      </x:c>
      <x:c r="AT489" s="34" t="n">
        <x:v>0.28236113919999994</x:v>
      </x:c>
      <x:c r="AU489" s="34" t="n">
        <x:v>0.65</x:v>
      </x:c>
      <x:c r="AV489" s="34" t="n">
        <x:v>0.88</x:v>
      </x:c>
    </x:row>
    <x:row r="490">
      <x:c r="A490" s="34" t="str">
        <x:v>NIPPON_STEEL_JP</x:v>
      </x:c>
      <x:c r="B490" s="34" t="str">
        <x:v>Nippon Steel</x:v>
      </x:c>
      <x:c r="C490" s="34" t="str">
        <x:v>DISCLOSED_PATH</x:v>
      </x:c>
      <x:c r="D490" s="34" t="str">
        <x:v>P1</x:v>
      </x:c>
      <x:c r="E490" s="34" t="n">
        <x:v>2034</x:v>
      </x:c>
      <x:c r="F490" s="34" t="n">
        <x:v>3</x:v>
      </x:c>
      <x:c r="G490" s="34" t="n">
        <x:v>14.759998</x:v>
      </x:c>
      <x:c r="H490" s="34" t="n">
        <x:v>16.8</x:v>
      </x:c>
      <x:c r="I490" s="34" t="n">
        <x:v>2.040002</x:v>
      </x:c>
      <x:c r="J490" s="34" t="n">
        <x:v>87.857</x:v>
      </x:c>
      <x:c r="K490" s="34" t="n">
        <x:v>0</x:v>
      </x:c>
      <x:c r="L490" s="34" t="n">
        <x:v>1.56</x:v>
      </x:c>
      <x:c r="M490" s="34" t="n">
        <x:v>1.56</x:v>
      </x:c>
      <x:c r="N490" s="34" t="n">
        <x:v>0</x:v>
      </x:c>
      <x:c r="O490" s="34" t="n">
        <x:v>8.583999</x:v>
      </x:c>
      <x:c r="P490" s="34" t="n">
        <x:v>13.4</x:v>
      </x:c>
      <x:c r="Q490" s="34" t="n">
        <x:v>4.816001</x:v>
      </x:c>
      <x:c r="R490" s="34" t="n">
        <x:v>64.06</x:v>
      </x:c>
      <x:c r="S490" s="40" t="b">
        <x:v>1</x:v>
      </x:c>
      <x:c r="T490" s="34" t="str">
        <x:v>model_interpolation</x:v>
      </x:c>
      <x:c r="U490" s="34" t="str">
        <x:v>Linear interpolation from 2030 to 2035</x:v>
      </x:c>
      <x:c r="V490" s="34" t="str">
        <x:v>CAND-87B9435721978E</x:v>
      </x:c>
      <x:c r="W490" s="34" t="str">
        <x:v>P1</x:v>
      </x:c>
      <x:c r="X490" s="34" t="str">
        <x:v>PORT-5CFD50239439</x:v>
      </x:c>
      <x:c r="Y490" s="34" t="n">
        <x:v>1000</x:v>
      </x:c>
      <x:c r="Z490" s="34" t="n">
        <x:v>22.435988</x:v>
      </x:c>
      <x:c r="AA490" s="34" t="n">
        <x:v>11.154754</x:v>
      </x:c>
      <x:c r="AB490" s="34" t="n">
        <x:v>321.473932</x:v>
      </x:c>
      <x:c r="AC490" s="34" t="n">
        <x:v>6865.237</x:v>
      </x:c>
      <x:c r="AD490" s="34" t="n">
        <x:v>21.355503</x:v>
      </x:c>
      <x:c r="AE490" s="40" t="b">
        <x:v>1</x:v>
      </x:c>
      <x:c r="AF490" s="40" t="b">
        <x:v>1</x:v>
      </x:c>
      <x:c r="AG490" s="34" t="str"/>
      <x:c r="AH490" s="34" t="n">
        <x:v>0</x:v>
      </x:c>
      <x:c r="AI490" s="34" t="str">
        <x:v>3.446647212967946e-06</x:v>
      </x:c>
      <x:c r="AJ490" s="40" t="b">
        <x:v>1</x:v>
      </x:c>
      <x:c r="AK490" s="40" t="b">
        <x:v>1</x:v>
      </x:c>
      <x:c r="AL490" s="40" t="b">
        <x:v>1</x:v>
      </x:c>
      <x:c r="AM490" s="40" t="b">
        <x:v>1</x:v>
      </x:c>
      <x:c r="AN490" s="34" t="str"/>
      <x:c r="AO490" s="34" t="n">
        <x:v>0</x:v>
      </x:c>
      <x:c r="AP490" s="34" t="n">
        <x:v>0</x:v>
      </x:c>
      <x:c r="AQ490" s="34" t="n">
        <x:v>0</x:v>
      </x:c>
      <x:c r="AR490" s="34" t="n">
        <x:v>2</x:v>
      </x:c>
      <x:c r="AS490" s="34" t="n">
        <x:v>2</x:v>
      </x:c>
      <x:c r="AT490" s="34" t="n">
        <x:v>0.28236113919999994</x:v>
      </x:c>
      <x:c r="AU490" s="34" t="n">
        <x:v>0.65</x:v>
      </x:c>
      <x:c r="AV490" s="34" t="n">
        <x:v>0.88</x:v>
      </x:c>
    </x:row>
    <x:row r="491">
      <x:c r="A491" s="34" t="str">
        <x:v>NIPPON_STEEL_JP</x:v>
      </x:c>
      <x:c r="B491" s="34" t="str">
        <x:v>Nippon Steel</x:v>
      </x:c>
      <x:c r="C491" s="34" t="str">
        <x:v>DISCLOSED_PATH</x:v>
      </x:c>
      <x:c r="D491" s="34" t="str">
        <x:v>P1</x:v>
      </x:c>
      <x:c r="E491" s="34" t="n">
        <x:v>2035</x:v>
      </x:c>
      <x:c r="F491" s="34" t="n">
        <x:v>3</x:v>
      </x:c>
      <x:c r="G491" s="34" t="n">
        <x:v>14.759998</x:v>
      </x:c>
      <x:c r="H491" s="34" t="n">
        <x:v>18</x:v>
      </x:c>
      <x:c r="I491" s="34" t="n">
        <x:v>3.240002</x:v>
      </x:c>
      <x:c r="J491" s="34" t="n">
        <x:v>82</x:v>
      </x:c>
      <x:c r="K491" s="34" t="n">
        <x:v>0</x:v>
      </x:c>
      <x:c r="L491" s="34" t="n">
        <x:v>1.8</x:v>
      </x:c>
      <x:c r="M491" s="34" t="n">
        <x:v>1.8</x:v>
      </x:c>
      <x:c r="N491" s="34" t="n">
        <x:v>0</x:v>
      </x:c>
      <x:c r="O491" s="34" t="n">
        <x:v>8.583999</x:v>
      </x:c>
      <x:c r="P491" s="34" t="n">
        <x:v>15</x:v>
      </x:c>
      <x:c r="Q491" s="34" t="n">
        <x:v>6.416001</x:v>
      </x:c>
      <x:c r="R491" s="34" t="n">
        <x:v>57.227</x:v>
      </x:c>
      <x:c r="S491" s="40" t="b">
        <x:v>1</x:v>
      </x:c>
      <x:c r="T491" s="34" t="str">
        <x:v>model_interpolation</x:v>
      </x:c>
      <x:c r="U491" s="34" t="str">
        <x:v>Linear interpolation from 2035 to 2040</x:v>
      </x:c>
      <x:c r="V491" s="34" t="str">
        <x:v>CAND-87B9435721978E</x:v>
      </x:c>
      <x:c r="W491" s="34" t="str">
        <x:v>P1</x:v>
      </x:c>
      <x:c r="X491" s="34" t="str">
        <x:v>PORT-5CFD50239439</x:v>
      </x:c>
      <x:c r="Y491" s="34" t="n">
        <x:v>1000</x:v>
      </x:c>
      <x:c r="Z491" s="34" t="n">
        <x:v>22.435988</x:v>
      </x:c>
      <x:c r="AA491" s="34" t="n">
        <x:v>11.154754</x:v>
      </x:c>
      <x:c r="AB491" s="34" t="n">
        <x:v>321.473932</x:v>
      </x:c>
      <x:c r="AC491" s="34" t="n">
        <x:v>6865.237</x:v>
      </x:c>
      <x:c r="AD491" s="34" t="n">
        <x:v>21.355503</x:v>
      </x:c>
      <x:c r="AE491" s="40" t="b">
        <x:v>1</x:v>
      </x:c>
      <x:c r="AF491" s="40" t="b">
        <x:v>1</x:v>
      </x:c>
      <x:c r="AG491" s="34" t="str"/>
      <x:c r="AH491" s="34" t="n">
        <x:v>0</x:v>
      </x:c>
      <x:c r="AI491" s="34" t="str">
        <x:v>3.446647212967946e-06</x:v>
      </x:c>
      <x:c r="AJ491" s="40" t="b">
        <x:v>1</x:v>
      </x:c>
      <x:c r="AK491" s="40" t="b">
        <x:v>1</x:v>
      </x:c>
      <x:c r="AL491" s="40" t="b">
        <x:v>1</x:v>
      </x:c>
      <x:c r="AM491" s="40" t="b">
        <x:v>1</x:v>
      </x:c>
      <x:c r="AN491" s="34" t="str"/>
      <x:c r="AO491" s="34" t="n">
        <x:v>0</x:v>
      </x:c>
      <x:c r="AP491" s="34" t="n">
        <x:v>0</x:v>
      </x:c>
      <x:c r="AQ491" s="34" t="n">
        <x:v>0</x:v>
      </x:c>
      <x:c r="AR491" s="34" t="n">
        <x:v>2</x:v>
      </x:c>
      <x:c r="AS491" s="34" t="n">
        <x:v>2</x:v>
      </x:c>
      <x:c r="AT491" s="34" t="n">
        <x:v>0.28236113919999994</x:v>
      </x:c>
      <x:c r="AU491" s="34" t="n">
        <x:v>0.65</x:v>
      </x:c>
      <x:c r="AV491" s="34" t="n">
        <x:v>0.88</x:v>
      </x:c>
    </x:row>
    <x:row r="492">
      <x:c r="A492" s="34" t="str">
        <x:v>NIPPON_STEEL_JP</x:v>
      </x:c>
      <x:c r="B492" s="34" t="str">
        <x:v>Nippon Steel</x:v>
      </x:c>
      <x:c r="C492" s="34" t="str">
        <x:v>DISCLOSED_PATH</x:v>
      </x:c>
      <x:c r="D492" s="34" t="str">
        <x:v>P1</x:v>
      </x:c>
      <x:c r="E492" s="34" t="n">
        <x:v>2036</x:v>
      </x:c>
      <x:c r="F492" s="34" t="n">
        <x:v>4</x:v>
      </x:c>
      <x:c r="G492" s="34" t="n">
        <x:v>15.599998</x:v>
      </x:c>
      <x:c r="H492" s="34" t="n">
        <x:v>19.4</x:v>
      </x:c>
      <x:c r="I492" s="34" t="n">
        <x:v>3.800002</x:v>
      </x:c>
      <x:c r="J492" s="34" t="n">
        <x:v>80.412</x:v>
      </x:c>
      <x:c r="K492" s="34" t="n">
        <x:v>0</x:v>
      </x:c>
      <x:c r="L492" s="34" t="n">
        <x:v>2.08</x:v>
      </x:c>
      <x:c r="M492" s="34" t="n">
        <x:v>2.08</x:v>
      </x:c>
      <x:c r="N492" s="34" t="n">
        <x:v>0</x:v>
      </x:c>
      <x:c r="O492" s="34" t="n">
        <x:v>8.639999</x:v>
      </x:c>
      <x:c r="P492" s="34" t="n">
        <x:v>17</x:v>
      </x:c>
      <x:c r="Q492" s="34" t="n">
        <x:v>8.360001</x:v>
      </x:c>
      <x:c r="R492" s="34" t="n">
        <x:v>50.824</x:v>
      </x:c>
      <x:c r="S492" s="40" t="b">
        <x:v>1</x:v>
      </x:c>
      <x:c r="T492" s="34" t="str">
        <x:v>model_interpolation</x:v>
      </x:c>
      <x:c r="U492" s="34" t="str">
        <x:v>Linear interpolation from 2035 to 2040</x:v>
      </x:c>
      <x:c r="V492" s="34" t="str">
        <x:v>CAND-87B9435721978E</x:v>
      </x:c>
      <x:c r="W492" s="34" t="str">
        <x:v>P1</x:v>
      </x:c>
      <x:c r="X492" s="34" t="str">
        <x:v>PORT-5CFD50239439</x:v>
      </x:c>
      <x:c r="Y492" s="34" t="n">
        <x:v>1000</x:v>
      </x:c>
      <x:c r="Z492" s="34" t="n">
        <x:v>22.435988</x:v>
      </x:c>
      <x:c r="AA492" s="34" t="n">
        <x:v>11.154754</x:v>
      </x:c>
      <x:c r="AB492" s="34" t="n">
        <x:v>321.473932</x:v>
      </x:c>
      <x:c r="AC492" s="34" t="n">
        <x:v>6865.237</x:v>
      </x:c>
      <x:c r="AD492" s="34" t="n">
        <x:v>21.355503</x:v>
      </x:c>
      <x:c r="AE492" s="40" t="b">
        <x:v>1</x:v>
      </x:c>
      <x:c r="AF492" s="40" t="b">
        <x:v>1</x:v>
      </x:c>
      <x:c r="AG492" s="34" t="str"/>
      <x:c r="AH492" s="34" t="n">
        <x:v>0</x:v>
      </x:c>
      <x:c r="AI492" s="34" t="str">
        <x:v>3.446647212967946e-06</x:v>
      </x:c>
      <x:c r="AJ492" s="40" t="b">
        <x:v>1</x:v>
      </x:c>
      <x:c r="AK492" s="40" t="b">
        <x:v>1</x:v>
      </x:c>
      <x:c r="AL492" s="40" t="b">
        <x:v>1</x:v>
      </x:c>
      <x:c r="AM492" s="40" t="b">
        <x:v>1</x:v>
      </x:c>
      <x:c r="AN492" s="34" t="str"/>
      <x:c r="AO492" s="34" t="n">
        <x:v>0</x:v>
      </x:c>
      <x:c r="AP492" s="34" t="n">
        <x:v>0</x:v>
      </x:c>
      <x:c r="AQ492" s="34" t="n">
        <x:v>0</x:v>
      </x:c>
      <x:c r="AR492" s="34" t="n">
        <x:v>2</x:v>
      </x:c>
      <x:c r="AS492" s="34" t="n">
        <x:v>2</x:v>
      </x:c>
      <x:c r="AT492" s="34" t="n">
        <x:v>0.28236113919999994</x:v>
      </x:c>
      <x:c r="AU492" s="34" t="n">
        <x:v>0.65</x:v>
      </x:c>
      <x:c r="AV492" s="34" t="n">
        <x:v>0.88</x:v>
      </x:c>
    </x:row>
    <x:row r="493">
      <x:c r="A493" s="34" t="str">
        <x:v>NIPPON_STEEL_JP</x:v>
      </x:c>
      <x:c r="B493" s="34" t="str">
        <x:v>Nippon Steel</x:v>
      </x:c>
      <x:c r="C493" s="34" t="str">
        <x:v>DISCLOSED_PATH</x:v>
      </x:c>
      <x:c r="D493" s="34" t="str">
        <x:v>P1</x:v>
      </x:c>
      <x:c r="E493" s="34" t="n">
        <x:v>2037</x:v>
      </x:c>
      <x:c r="F493" s="34" t="n">
        <x:v>4</x:v>
      </x:c>
      <x:c r="G493" s="34" t="n">
        <x:v>15.599998</x:v>
      </x:c>
      <x:c r="H493" s="34" t="n">
        <x:v>20.8</x:v>
      </x:c>
      <x:c r="I493" s="34" t="n">
        <x:v>5.200002</x:v>
      </x:c>
      <x:c r="J493" s="34" t="n">
        <x:v>75</x:v>
      </x:c>
      <x:c r="K493" s="34" t="n">
        <x:v>0</x:v>
      </x:c>
      <x:c r="L493" s="34" t="n">
        <x:v>2.3600000000000003</x:v>
      </x:c>
      <x:c r="M493" s="34" t="n">
        <x:v>2.36</x:v>
      </x:c>
      <x:c r="N493" s="34" t="n">
        <x:v>0</x:v>
      </x:c>
      <x:c r="O493" s="34" t="n">
        <x:v>8.639999</x:v>
      </x:c>
      <x:c r="P493" s="34" t="n">
        <x:v>19</x:v>
      </x:c>
      <x:c r="Q493" s="34" t="n">
        <x:v>10.360001</x:v>
      </x:c>
      <x:c r="R493" s="34" t="n">
        <x:v>45.474</x:v>
      </x:c>
      <x:c r="S493" s="40" t="b">
        <x:v>1</x:v>
      </x:c>
      <x:c r="T493" s="34" t="str">
        <x:v>model_interpolation</x:v>
      </x:c>
      <x:c r="U493" s="34" t="str">
        <x:v>Linear interpolation from 2035 to 2040</x:v>
      </x:c>
      <x:c r="V493" s="34" t="str">
        <x:v>CAND-87B9435721978E</x:v>
      </x:c>
      <x:c r="W493" s="34" t="str">
        <x:v>P1</x:v>
      </x:c>
      <x:c r="X493" s="34" t="str">
        <x:v>PORT-5CFD50239439</x:v>
      </x:c>
      <x:c r="Y493" s="34" t="n">
        <x:v>1000</x:v>
      </x:c>
      <x:c r="Z493" s="34" t="n">
        <x:v>22.435988</x:v>
      </x:c>
      <x:c r="AA493" s="34" t="n">
        <x:v>11.154754</x:v>
      </x:c>
      <x:c r="AB493" s="34" t="n">
        <x:v>321.473932</x:v>
      </x:c>
      <x:c r="AC493" s="34" t="n">
        <x:v>6865.237</x:v>
      </x:c>
      <x:c r="AD493" s="34" t="n">
        <x:v>21.355503</x:v>
      </x:c>
      <x:c r="AE493" s="40" t="b">
        <x:v>1</x:v>
      </x:c>
      <x:c r="AF493" s="40" t="b">
        <x:v>1</x:v>
      </x:c>
      <x:c r="AG493" s="34" t="str"/>
      <x:c r="AH493" s="34" t="n">
        <x:v>0</x:v>
      </x:c>
      <x:c r="AI493" s="34" t="str">
        <x:v>3.446647212967946e-06</x:v>
      </x:c>
      <x:c r="AJ493" s="40" t="b">
        <x:v>1</x:v>
      </x:c>
      <x:c r="AK493" s="40" t="b">
        <x:v>1</x:v>
      </x:c>
      <x:c r="AL493" s="40" t="b">
        <x:v>1</x:v>
      </x:c>
      <x:c r="AM493" s="40" t="b">
        <x:v>1</x:v>
      </x:c>
      <x:c r="AN493" s="34" t="str"/>
      <x:c r="AO493" s="34" t="n">
        <x:v>0</x:v>
      </x:c>
      <x:c r="AP493" s="34" t="n">
        <x:v>0</x:v>
      </x:c>
      <x:c r="AQ493" s="34" t="n">
        <x:v>0</x:v>
      </x:c>
      <x:c r="AR493" s="34" t="n">
        <x:v>2</x:v>
      </x:c>
      <x:c r="AS493" s="34" t="n">
        <x:v>2</x:v>
      </x:c>
      <x:c r="AT493" s="34" t="n">
        <x:v>0.28236113919999994</x:v>
      </x:c>
      <x:c r="AU493" s="34" t="n">
        <x:v>0.65</x:v>
      </x:c>
      <x:c r="AV493" s="34" t="n">
        <x:v>0.88</x:v>
      </x:c>
    </x:row>
    <x:row r="494">
      <x:c r="A494" s="34" t="str">
        <x:v>NIPPON_STEEL_JP</x:v>
      </x:c>
      <x:c r="B494" s="34" t="str">
        <x:v>Nippon Steel</x:v>
      </x:c>
      <x:c r="C494" s="34" t="str">
        <x:v>DISCLOSED_PATH</x:v>
      </x:c>
      <x:c r="D494" s="34" t="str">
        <x:v>P1</x:v>
      </x:c>
      <x:c r="E494" s="34" t="n">
        <x:v>2038</x:v>
      </x:c>
      <x:c r="F494" s="34" t="n">
        <x:v>5</x:v>
      </x:c>
      <x:c r="G494" s="34" t="n">
        <x:v>21.269998</x:v>
      </x:c>
      <x:c r="H494" s="34" t="n">
        <x:v>22.2</x:v>
      </x:c>
      <x:c r="I494" s="34" t="n">
        <x:v>0.930002</x:v>
      </x:c>
      <x:c r="J494" s="34" t="n">
        <x:v>95.811</x:v>
      </x:c>
      <x:c r="K494" s="34" t="n">
        <x:v>0</x:v>
      </x:c>
      <x:c r="L494" s="34" t="n">
        <x:v>2.64</x:v>
      </x:c>
      <x:c r="M494" s="34" t="n">
        <x:v>2.64</x:v>
      </x:c>
      <x:c r="N494" s="34" t="n">
        <x:v>0</x:v>
      </x:c>
      <x:c r="O494" s="34" t="n">
        <x:v>12.167999</x:v>
      </x:c>
      <x:c r="P494" s="34" t="n">
        <x:v>21</x:v>
      </x:c>
      <x:c r="Q494" s="34" t="n">
        <x:v>8.832001</x:v>
      </x:c>
      <x:c r="R494" s="34" t="n">
        <x:v>57.943</x:v>
      </x:c>
      <x:c r="S494" s="40" t="b">
        <x:v>1</x:v>
      </x:c>
      <x:c r="T494" s="34" t="str">
        <x:v>model_interpolation</x:v>
      </x:c>
      <x:c r="U494" s="34" t="str">
        <x:v>Linear interpolation from 2035 to 2040</x:v>
      </x:c>
      <x:c r="V494" s="34" t="str">
        <x:v>CAND-87B9435721978E</x:v>
      </x:c>
      <x:c r="W494" s="34" t="str">
        <x:v>P1</x:v>
      </x:c>
      <x:c r="X494" s="34" t="str">
        <x:v>PORT-5CFD50239439</x:v>
      </x:c>
      <x:c r="Y494" s="34" t="n">
        <x:v>1000</x:v>
      </x:c>
      <x:c r="Z494" s="34" t="n">
        <x:v>22.435988</x:v>
      </x:c>
      <x:c r="AA494" s="34" t="n">
        <x:v>11.154754</x:v>
      </x:c>
      <x:c r="AB494" s="34" t="n">
        <x:v>321.473932</x:v>
      </x:c>
      <x:c r="AC494" s="34" t="n">
        <x:v>6865.237</x:v>
      </x:c>
      <x:c r="AD494" s="34" t="n">
        <x:v>21.355503</x:v>
      </x:c>
      <x:c r="AE494" s="40" t="b">
        <x:v>1</x:v>
      </x:c>
      <x:c r="AF494" s="40" t="b">
        <x:v>1</x:v>
      </x:c>
      <x:c r="AG494" s="34" t="str"/>
      <x:c r="AH494" s="34" t="n">
        <x:v>0</x:v>
      </x:c>
      <x:c r="AI494" s="34" t="str">
        <x:v>3.446647212967946e-06</x:v>
      </x:c>
      <x:c r="AJ494" s="40" t="b">
        <x:v>1</x:v>
      </x:c>
      <x:c r="AK494" s="40" t="b">
        <x:v>1</x:v>
      </x:c>
      <x:c r="AL494" s="40" t="b">
        <x:v>1</x:v>
      </x:c>
      <x:c r="AM494" s="40" t="b">
        <x:v>1</x:v>
      </x:c>
      <x:c r="AN494" s="34" t="str"/>
      <x:c r="AO494" s="34" t="n">
        <x:v>0</x:v>
      </x:c>
      <x:c r="AP494" s="34" t="n">
        <x:v>0</x:v>
      </x:c>
      <x:c r="AQ494" s="34" t="n">
        <x:v>0</x:v>
      </x:c>
      <x:c r="AR494" s="34" t="n">
        <x:v>2</x:v>
      </x:c>
      <x:c r="AS494" s="34" t="n">
        <x:v>2</x:v>
      </x:c>
      <x:c r="AT494" s="34" t="n">
        <x:v>0.28236113919999994</x:v>
      </x:c>
      <x:c r="AU494" s="34" t="n">
        <x:v>0.65</x:v>
      </x:c>
      <x:c r="AV494" s="34" t="n">
        <x:v>0.88</x:v>
      </x:c>
    </x:row>
    <x:row r="495">
      <x:c r="A495" s="34" t="str">
        <x:v>NIPPON_STEEL_JP</x:v>
      </x:c>
      <x:c r="B495" s="34" t="str">
        <x:v>Nippon Steel</x:v>
      </x:c>
      <x:c r="C495" s="34" t="str">
        <x:v>DISCLOSED_PATH</x:v>
      </x:c>
      <x:c r="D495" s="34" t="str">
        <x:v>P1</x:v>
      </x:c>
      <x:c r="E495" s="34" t="n">
        <x:v>2039</x:v>
      </x:c>
      <x:c r="F495" s="34" t="n">
        <x:v>5</x:v>
      </x:c>
      <x:c r="G495" s="34" t="n">
        <x:v>21.269998</x:v>
      </x:c>
      <x:c r="H495" s="34" t="n">
        <x:v>23.6</x:v>
      </x:c>
      <x:c r="I495" s="34" t="n">
        <x:v>2.330002</x:v>
      </x:c>
      <x:c r="J495" s="34" t="n">
        <x:v>90.127</x:v>
      </x:c>
      <x:c r="K495" s="34" t="n">
        <x:v>0</x:v>
      </x:c>
      <x:c r="L495" s="34" t="n">
        <x:v>2.92</x:v>
      </x:c>
      <x:c r="M495" s="34" t="n">
        <x:v>2.92</x:v>
      </x:c>
      <x:c r="N495" s="34" t="n">
        <x:v>0</x:v>
      </x:c>
      <x:c r="O495" s="34" t="n">
        <x:v>12.167999</x:v>
      </x:c>
      <x:c r="P495" s="34" t="n">
        <x:v>23</x:v>
      </x:c>
      <x:c r="Q495" s="34" t="n">
        <x:v>10.832001</x:v>
      </x:c>
      <x:c r="R495" s="34" t="n">
        <x:v>52.904</x:v>
      </x:c>
      <x:c r="S495" s="40" t="b">
        <x:v>1</x:v>
      </x:c>
      <x:c r="T495" s="34" t="str">
        <x:v>model_interpolation</x:v>
      </x:c>
      <x:c r="U495" s="34" t="str">
        <x:v>Linear interpolation from 2035 to 2040</x:v>
      </x:c>
      <x:c r="V495" s="34" t="str">
        <x:v>CAND-87B9435721978E</x:v>
      </x:c>
      <x:c r="W495" s="34" t="str">
        <x:v>P1</x:v>
      </x:c>
      <x:c r="X495" s="34" t="str">
        <x:v>PORT-5CFD50239439</x:v>
      </x:c>
      <x:c r="Y495" s="34" t="n">
        <x:v>1000</x:v>
      </x:c>
      <x:c r="Z495" s="34" t="n">
        <x:v>22.435988</x:v>
      </x:c>
      <x:c r="AA495" s="34" t="n">
        <x:v>11.154754</x:v>
      </x:c>
      <x:c r="AB495" s="34" t="n">
        <x:v>321.473932</x:v>
      </x:c>
      <x:c r="AC495" s="34" t="n">
        <x:v>6865.237</x:v>
      </x:c>
      <x:c r="AD495" s="34" t="n">
        <x:v>21.355503</x:v>
      </x:c>
      <x:c r="AE495" s="40" t="b">
        <x:v>1</x:v>
      </x:c>
      <x:c r="AF495" s="40" t="b">
        <x:v>1</x:v>
      </x:c>
      <x:c r="AG495" s="34" t="str"/>
      <x:c r="AH495" s="34" t="n">
        <x:v>0</x:v>
      </x:c>
      <x:c r="AI495" s="34" t="str">
        <x:v>3.446647212967946e-06</x:v>
      </x:c>
      <x:c r="AJ495" s="40" t="b">
        <x:v>1</x:v>
      </x:c>
      <x:c r="AK495" s="40" t="b">
        <x:v>1</x:v>
      </x:c>
      <x:c r="AL495" s="40" t="b">
        <x:v>1</x:v>
      </x:c>
      <x:c r="AM495" s="40" t="b">
        <x:v>1</x:v>
      </x:c>
      <x:c r="AN495" s="34" t="str"/>
      <x:c r="AO495" s="34" t="n">
        <x:v>0</x:v>
      </x:c>
      <x:c r="AP495" s="34" t="n">
        <x:v>0</x:v>
      </x:c>
      <x:c r="AQ495" s="34" t="n">
        <x:v>0</x:v>
      </x:c>
      <x:c r="AR495" s="34" t="n">
        <x:v>2</x:v>
      </x:c>
      <x:c r="AS495" s="34" t="n">
        <x:v>2</x:v>
      </x:c>
      <x:c r="AT495" s="34" t="n">
        <x:v>0.28236113919999994</x:v>
      </x:c>
      <x:c r="AU495" s="34" t="n">
        <x:v>0.65</x:v>
      </x:c>
      <x:c r="AV495" s="34" t="n">
        <x:v>0.88</x:v>
      </x:c>
    </x:row>
    <x:row r="496">
      <x:c r="A496" s="34" t="str">
        <x:v>NIPPON_STEEL_JP</x:v>
      </x:c>
      <x:c r="B496" s="34" t="str">
        <x:v>Nippon Steel</x:v>
      </x:c>
      <x:c r="C496" s="34" t="str">
        <x:v>DISCLOSED_PATH</x:v>
      </x:c>
      <x:c r="D496" s="34" t="str">
        <x:v>P1</x:v>
      </x:c>
      <x:c r="E496" s="34" t="n">
        <x:v>2040</x:v>
      </x:c>
      <x:c r="F496" s="34" t="n">
        <x:v>5</x:v>
      </x:c>
      <x:c r="G496" s="34" t="n">
        <x:v>21.269998</x:v>
      </x:c>
      <x:c r="H496" s="34" t="n">
        <x:v>25</x:v>
      </x:c>
      <x:c r="I496" s="34" t="n">
        <x:v>3.730002</x:v>
      </x:c>
      <x:c r="J496" s="34" t="n">
        <x:v>85.08</x:v>
      </x:c>
      <x:c r="K496" s="34" t="n">
        <x:v>0</x:v>
      </x:c>
      <x:c r="L496" s="34" t="n">
        <x:v>3.2</x:v>
      </x:c>
      <x:c r="M496" s="34" t="n">
        <x:v>3.2</x:v>
      </x:c>
      <x:c r="N496" s="34" t="n">
        <x:v>0</x:v>
      </x:c>
      <x:c r="O496" s="34" t="n">
        <x:v>12.167999</x:v>
      </x:c>
      <x:c r="P496" s="34" t="n">
        <x:v>25</x:v>
      </x:c>
      <x:c r="Q496" s="34" t="n">
        <x:v>12.832001</x:v>
      </x:c>
      <x:c r="R496" s="34" t="n">
        <x:v>48.672</x:v>
      </x:c>
      <x:c r="S496" s="40" t="b">
        <x:v>1</x:v>
      </x:c>
      <x:c r="T496" s="34" t="str">
        <x:v>model_estimate</x:v>
      </x:c>
      <x:c r="U496" s="34" t="str">
        <x:v>Illustrative screening envelope; not an official supply forecast</x:v>
      </x:c>
      <x:c r="V496" s="34" t="str">
        <x:v>CAND-87B9435721978E</x:v>
      </x:c>
      <x:c r="W496" s="34" t="str">
        <x:v>P1</x:v>
      </x:c>
      <x:c r="X496" s="34" t="str">
        <x:v>PORT-5CFD50239439</x:v>
      </x:c>
      <x:c r="Y496" s="34" t="n">
        <x:v>1000</x:v>
      </x:c>
      <x:c r="Z496" s="34" t="n">
        <x:v>22.435988</x:v>
      </x:c>
      <x:c r="AA496" s="34" t="n">
        <x:v>11.154754</x:v>
      </x:c>
      <x:c r="AB496" s="34" t="n">
        <x:v>321.473932</x:v>
      </x:c>
      <x:c r="AC496" s="34" t="n">
        <x:v>6865.237</x:v>
      </x:c>
      <x:c r="AD496" s="34" t="n">
        <x:v>21.355503</x:v>
      </x:c>
      <x:c r="AE496" s="40" t="b">
        <x:v>1</x:v>
      </x:c>
      <x:c r="AF496" s="40" t="b">
        <x:v>1</x:v>
      </x:c>
      <x:c r="AG496" s="34" t="str"/>
      <x:c r="AH496" s="34" t="n">
        <x:v>0</x:v>
      </x:c>
      <x:c r="AI496" s="34" t="str">
        <x:v>3.446647212967946e-06</x:v>
      </x:c>
      <x:c r="AJ496" s="40" t="b">
        <x:v>1</x:v>
      </x:c>
      <x:c r="AK496" s="40" t="b">
        <x:v>1</x:v>
      </x:c>
      <x:c r="AL496" s="40" t="b">
        <x:v>1</x:v>
      </x:c>
      <x:c r="AM496" s="40" t="b">
        <x:v>1</x:v>
      </x:c>
      <x:c r="AN496" s="34" t="str"/>
      <x:c r="AO496" s="34" t="n">
        <x:v>0</x:v>
      </x:c>
      <x:c r="AP496" s="34" t="n">
        <x:v>0</x:v>
      </x:c>
      <x:c r="AQ496" s="34" t="n">
        <x:v>0</x:v>
      </x:c>
      <x:c r="AR496" s="34" t="n">
        <x:v>2</x:v>
      </x:c>
      <x:c r="AS496" s="34" t="n">
        <x:v>2</x:v>
      </x:c>
      <x:c r="AT496" s="34" t="n">
        <x:v>0.28236113919999994</x:v>
      </x:c>
      <x:c r="AU496" s="34" t="n">
        <x:v>0.65</x:v>
      </x:c>
      <x:c r="AV496" s="34" t="n">
        <x:v>0.88</x:v>
      </x:c>
    </x:row>
    <x:row r="497">
      <x:c r="A497" s="34" t="str">
        <x:v>NIPPON_STEEL_JP</x:v>
      </x:c>
      <x:c r="B497" s="34" t="str">
        <x:v>Nippon Steel</x:v>
      </x:c>
      <x:c r="C497" s="34" t="str">
        <x:v>ACCELERATED_15C</x:v>
      </x:c>
      <x:c r="D497" s="34" t="str">
        <x:v>P1</x:v>
      </x:c>
      <x:c r="E497" s="34" t="n">
        <x:v>2026</x:v>
      </x:c>
      <x:c r="F497" s="34" t="n">
        <x:v>0</x:v>
      </x:c>
      <x:c r="G497" s="34" t="n">
        <x:v>0</x:v>
      </x:c>
      <x:c r="H497" s="34" t="n">
        <x:v>8</x:v>
      </x:c>
      <x:c r="I497" s="34" t="n">
        <x:v>8</x:v>
      </x:c>
      <x:c r="J497" s="34" t="n">
        <x:v>0</x:v>
      </x:c>
      <x:c r="K497" s="34" t="n">
        <x:v>0</x:v>
      </x:c>
      <x:c r="L497" s="34" t="n">
        <x:v>0.1</x:v>
      </x:c>
      <x:c r="M497" s="34" t="n">
        <x:v>0.1</x:v>
      </x:c>
      <x:c r="N497" s="34" t="n">
        <x:v>0</x:v>
      </x:c>
      <x:c r="O497" s="34" t="n">
        <x:v>0</x:v>
      </x:c>
      <x:c r="P497" s="34" t="n">
        <x:v>2</x:v>
      </x:c>
      <x:c r="Q497" s="34" t="n">
        <x:v>2</x:v>
      </x:c>
      <x:c r="R497" s="34" t="n">
        <x:v>0</x:v>
      </x:c>
      <x:c r="S497" s="40" t="b">
        <x:v>1</x:v>
      </x:c>
      <x:c r="T497" s="34" t="str">
        <x:v>model_interpolation</x:v>
      </x:c>
      <x:c r="U497" s="34" t="str">
        <x:v>Linear interpolation from 2026 to 2030</x:v>
      </x:c>
      <x:c r="V497" s="34" t="str">
        <x:v>CAND-87B9435721978E</x:v>
      </x:c>
      <x:c r="W497" s="34" t="str">
        <x:v>P1</x:v>
      </x:c>
      <x:c r="X497" s="34" t="str">
        <x:v>PORT-5CFD50239439</x:v>
      </x:c>
      <x:c r="Y497" s="34" t="n">
        <x:v>1000</x:v>
      </x:c>
      <x:c r="Z497" s="34" t="n">
        <x:v>8.626353</x:v>
      </x:c>
      <x:c r="AA497" s="34" t="n">
        <x:v>12.076235</x:v>
      </x:c>
      <x:c r="AB497" s="34" t="n">
        <x:v>321.473932</x:v>
      </x:c>
      <x:c r="AC497" s="34" t="n">
        <x:v>2434.553</x:v>
      </x:c>
      <x:c r="AD497" s="34" t="n">
        <x:v>7.573095</x:v>
      </x:c>
      <x:c r="AE497" s="40" t="b">
        <x:v>0</x:v>
      </x:c>
      <x:c r="AF497" s="40" t="b">
        <x:v>0</x:v>
      </x:c>
      <x:c r="AG497" s="34" t="n">
        <x:v>2035</x:v>
      </x:c>
      <x:c r="AH497" s="34" t="n">
        <x:v>15.995002139999997</x:v>
      </x:c>
      <x:c r="AI497" s="34" t="n">
        <x:v>-15.995002139999997</x:v>
      </x:c>
      <x:c r="AJ497" s="40" t="b">
        <x:v>1</x:v>
      </x:c>
      <x:c r="AK497" s="40" t="b">
        <x:v>1</x:v>
      </x:c>
      <x:c r="AL497" s="40" t="b">
        <x:v>1</x:v>
      </x:c>
      <x:c r="AM497" s="40" t="b">
        <x:v>1</x:v>
      </x:c>
      <x:c r="AN497" s="34" t="str"/>
      <x:c r="AO497" s="34" t="n">
        <x:v>0</x:v>
      </x:c>
      <x:c r="AP497" s="34" t="n">
        <x:v>0</x:v>
      </x:c>
      <x:c r="AQ497" s="34" t="n">
        <x:v>0</x:v>
      </x:c>
      <x:c r="AR497" s="34" t="n">
        <x:v>2</x:v>
      </x:c>
      <x:c r="AS497" s="34" t="n">
        <x:v>2</x:v>
      </x:c>
      <x:c r="AT497" s="34" t="n">
        <x:v>0.28236113919999994</x:v>
      </x:c>
      <x:c r="AU497" s="34" t="n">
        <x:v>0.65</x:v>
      </x:c>
      <x:c r="AV497" s="34" t="n">
        <x:v>0.88</x:v>
      </x:c>
    </x:row>
    <x:row r="498">
      <x:c r="A498" s="34" t="str">
        <x:v>NIPPON_STEEL_JP</x:v>
      </x:c>
      <x:c r="B498" s="34" t="str">
        <x:v>Nippon Steel</x:v>
      </x:c>
      <x:c r="C498" s="34" t="str">
        <x:v>ACCELERATED_15C</x:v>
      </x:c>
      <x:c r="D498" s="34" t="str">
        <x:v>P1</x:v>
      </x:c>
      <x:c r="E498" s="34" t="n">
        <x:v>2027</x:v>
      </x:c>
      <x:c r="F498" s="34" t="n">
        <x:v>0</x:v>
      </x:c>
      <x:c r="G498" s="34" t="n">
        <x:v>0</x:v>
      </x:c>
      <x:c r="H498" s="34" t="n">
        <x:v>9.75</x:v>
      </x:c>
      <x:c r="I498" s="34" t="n">
        <x:v>9.75</x:v>
      </x:c>
      <x:c r="J498" s="34" t="n">
        <x:v>0</x:v>
      </x:c>
      <x:c r="K498" s="34" t="n">
        <x:v>0</x:v>
      </x:c>
      <x:c r="L498" s="34" t="n">
        <x:v>0.30000000000000004</x:v>
      </x:c>
      <x:c r="M498" s="34" t="n">
        <x:v>0.3</x:v>
      </x:c>
      <x:c r="N498" s="34" t="n">
        <x:v>0</x:v>
      </x:c>
      <x:c r="O498" s="34" t="n">
        <x:v>0</x:v>
      </x:c>
      <x:c r="P498" s="34" t="n">
        <x:v>4</x:v>
      </x:c>
      <x:c r="Q498" s="34" t="n">
        <x:v>4</x:v>
      </x:c>
      <x:c r="R498" s="34" t="n">
        <x:v>0</x:v>
      </x:c>
      <x:c r="S498" s="40" t="b">
        <x:v>1</x:v>
      </x:c>
      <x:c r="T498" s="34" t="str">
        <x:v>model_interpolation</x:v>
      </x:c>
      <x:c r="U498" s="34" t="str">
        <x:v>Linear interpolation from 2026 to 2030</x:v>
      </x:c>
      <x:c r="V498" s="34" t="str">
        <x:v>CAND-87B9435721978E</x:v>
      </x:c>
      <x:c r="W498" s="34" t="str">
        <x:v>P1</x:v>
      </x:c>
      <x:c r="X498" s="34" t="str">
        <x:v>PORT-5CFD50239439</x:v>
      </x:c>
      <x:c r="Y498" s="34" t="n">
        <x:v>1000</x:v>
      </x:c>
      <x:c r="Z498" s="34" t="n">
        <x:v>8.626353</x:v>
      </x:c>
      <x:c r="AA498" s="34" t="n">
        <x:v>12.076235</x:v>
      </x:c>
      <x:c r="AB498" s="34" t="n">
        <x:v>321.473932</x:v>
      </x:c>
      <x:c r="AC498" s="34" t="n">
        <x:v>2434.553</x:v>
      </x:c>
      <x:c r="AD498" s="34" t="n">
        <x:v>7.573095</x:v>
      </x:c>
      <x:c r="AE498" s="40" t="b">
        <x:v>0</x:v>
      </x:c>
      <x:c r="AF498" s="40" t="b">
        <x:v>0</x:v>
      </x:c>
      <x:c r="AG498" s="34" t="n">
        <x:v>2035</x:v>
      </x:c>
      <x:c r="AH498" s="34" t="n">
        <x:v>15.995002139999997</x:v>
      </x:c>
      <x:c r="AI498" s="34" t="n">
        <x:v>-15.995002139999997</x:v>
      </x:c>
      <x:c r="AJ498" s="40" t="b">
        <x:v>1</x:v>
      </x:c>
      <x:c r="AK498" s="40" t="b">
        <x:v>1</x:v>
      </x:c>
      <x:c r="AL498" s="40" t="b">
        <x:v>1</x:v>
      </x:c>
      <x:c r="AM498" s="40" t="b">
        <x:v>1</x:v>
      </x:c>
      <x:c r="AN498" s="34" t="str"/>
      <x:c r="AO498" s="34" t="n">
        <x:v>0</x:v>
      </x:c>
      <x:c r="AP498" s="34" t="n">
        <x:v>0</x:v>
      </x:c>
      <x:c r="AQ498" s="34" t="n">
        <x:v>0</x:v>
      </x:c>
      <x:c r="AR498" s="34" t="n">
        <x:v>2</x:v>
      </x:c>
      <x:c r="AS498" s="34" t="n">
        <x:v>2</x:v>
      </x:c>
      <x:c r="AT498" s="34" t="n">
        <x:v>0.28236113919999994</x:v>
      </x:c>
      <x:c r="AU498" s="34" t="n">
        <x:v>0.65</x:v>
      </x:c>
      <x:c r="AV498" s="34" t="n">
        <x:v>0.88</x:v>
      </x:c>
    </x:row>
    <x:row r="499">
      <x:c r="A499" s="34" t="str">
        <x:v>NIPPON_STEEL_JP</x:v>
      </x:c>
      <x:c r="B499" s="34" t="str">
        <x:v>Nippon Steel</x:v>
      </x:c>
      <x:c r="C499" s="34" t="str">
        <x:v>ACCELERATED_15C</x:v>
      </x:c>
      <x:c r="D499" s="34" t="str">
        <x:v>P1</x:v>
      </x:c>
      <x:c r="E499" s="34" t="n">
        <x:v>2028</x:v>
      </x:c>
      <x:c r="F499" s="34" t="n">
        <x:v>0</x:v>
      </x:c>
      <x:c r="G499" s="34" t="n">
        <x:v>0</x:v>
      </x:c>
      <x:c r="H499" s="34" t="n">
        <x:v>11.5</x:v>
      </x:c>
      <x:c r="I499" s="34" t="n">
        <x:v>11.5</x:v>
      </x:c>
      <x:c r="J499" s="34" t="n">
        <x:v>0</x:v>
      </x:c>
      <x:c r="K499" s="34" t="n">
        <x:v>0</x:v>
      </x:c>
      <x:c r="L499" s="34" t="n">
        <x:v>0.5</x:v>
      </x:c>
      <x:c r="M499" s="34" t="n">
        <x:v>0.5</x:v>
      </x:c>
      <x:c r="N499" s="34" t="n">
        <x:v>0</x:v>
      </x:c>
      <x:c r="O499" s="34" t="n">
        <x:v>0</x:v>
      </x:c>
      <x:c r="P499" s="34" t="n">
        <x:v>6</x:v>
      </x:c>
      <x:c r="Q499" s="34" t="n">
        <x:v>6</x:v>
      </x:c>
      <x:c r="R499" s="34" t="n">
        <x:v>0</x:v>
      </x:c>
      <x:c r="S499" s="40" t="b">
        <x:v>1</x:v>
      </x:c>
      <x:c r="T499" s="34" t="str">
        <x:v>model_interpolation</x:v>
      </x:c>
      <x:c r="U499" s="34" t="str">
        <x:v>Linear interpolation from 2026 to 2030</x:v>
      </x:c>
      <x:c r="V499" s="34" t="str">
        <x:v>CAND-87B9435721978E</x:v>
      </x:c>
      <x:c r="W499" s="34" t="str">
        <x:v>P1</x:v>
      </x:c>
      <x:c r="X499" s="34" t="str">
        <x:v>PORT-5CFD50239439</x:v>
      </x:c>
      <x:c r="Y499" s="34" t="n">
        <x:v>1000</x:v>
      </x:c>
      <x:c r="Z499" s="34" t="n">
        <x:v>8.626353</x:v>
      </x:c>
      <x:c r="AA499" s="34" t="n">
        <x:v>12.076235</x:v>
      </x:c>
      <x:c r="AB499" s="34" t="n">
        <x:v>321.473932</x:v>
      </x:c>
      <x:c r="AC499" s="34" t="n">
        <x:v>2434.553</x:v>
      </x:c>
      <x:c r="AD499" s="34" t="n">
        <x:v>7.573095</x:v>
      </x:c>
      <x:c r="AE499" s="40" t="b">
        <x:v>0</x:v>
      </x:c>
      <x:c r="AF499" s="40" t="b">
        <x:v>0</x:v>
      </x:c>
      <x:c r="AG499" s="34" t="n">
        <x:v>2035</x:v>
      </x:c>
      <x:c r="AH499" s="34" t="n">
        <x:v>15.995002139999997</x:v>
      </x:c>
      <x:c r="AI499" s="34" t="n">
        <x:v>-15.995002139999997</x:v>
      </x:c>
      <x:c r="AJ499" s="40" t="b">
        <x:v>1</x:v>
      </x:c>
      <x:c r="AK499" s="40" t="b">
        <x:v>1</x:v>
      </x:c>
      <x:c r="AL499" s="40" t="b">
        <x:v>1</x:v>
      </x:c>
      <x:c r="AM499" s="40" t="b">
        <x:v>1</x:v>
      </x:c>
      <x:c r="AN499" s="34" t="str"/>
      <x:c r="AO499" s="34" t="n">
        <x:v>0</x:v>
      </x:c>
      <x:c r="AP499" s="34" t="n">
        <x:v>0</x:v>
      </x:c>
      <x:c r="AQ499" s="34" t="n">
        <x:v>0</x:v>
      </x:c>
      <x:c r="AR499" s="34" t="n">
        <x:v>2</x:v>
      </x:c>
      <x:c r="AS499" s="34" t="n">
        <x:v>2</x:v>
      </x:c>
      <x:c r="AT499" s="34" t="n">
        <x:v>0.28236113919999994</x:v>
      </x:c>
      <x:c r="AU499" s="34" t="n">
        <x:v>0.65</x:v>
      </x:c>
      <x:c r="AV499" s="34" t="n">
        <x:v>0.88</x:v>
      </x:c>
    </x:row>
    <x:row r="500">
      <x:c r="A500" s="34" t="str">
        <x:v>NIPPON_STEEL_JP</x:v>
      </x:c>
      <x:c r="B500" s="34" t="str">
        <x:v>Nippon Steel</x:v>
      </x:c>
      <x:c r="C500" s="34" t="str">
        <x:v>ACCELERATED_15C</x:v>
      </x:c>
      <x:c r="D500" s="34" t="str">
        <x:v>P1</x:v>
      </x:c>
      <x:c r="E500" s="34" t="n">
        <x:v>2029</x:v>
      </x:c>
      <x:c r="F500" s="34" t="n">
        <x:v>1</x:v>
      </x:c>
      <x:c r="G500" s="34" t="n">
        <x:v>8.1</x:v>
      </x:c>
      <x:c r="H500" s="34" t="n">
        <x:v>13.25</x:v>
      </x:c>
      <x:c r="I500" s="34" t="n">
        <x:v>5.15</x:v>
      </x:c>
      <x:c r="J500" s="34" t="n">
        <x:v>61.132</x:v>
      </x:c>
      <x:c r="K500" s="34" t="n">
        <x:v>0</x:v>
      </x:c>
      <x:c r="L500" s="34" t="n">
        <x:v>0.7000000000000001</x:v>
      </x:c>
      <x:c r="M500" s="34" t="n">
        <x:v>0.7</x:v>
      </x:c>
      <x:c r="N500" s="34" t="n">
        <x:v>0</x:v>
      </x:c>
      <x:c r="O500" s="34" t="n">
        <x:v>5.04</x:v>
      </x:c>
      <x:c r="P500" s="34" t="n">
        <x:v>8</x:v>
      </x:c>
      <x:c r="Q500" s="34" t="n">
        <x:v>2.96</x:v>
      </x:c>
      <x:c r="R500" s="34" t="n">
        <x:v>63</x:v>
      </x:c>
      <x:c r="S500" s="40" t="b">
        <x:v>1</x:v>
      </x:c>
      <x:c r="T500" s="34" t="str">
        <x:v>model_interpolation</x:v>
      </x:c>
      <x:c r="U500" s="34" t="str">
        <x:v>Linear interpolation from 2026 to 2030</x:v>
      </x:c>
      <x:c r="V500" s="34" t="str">
        <x:v>CAND-87B9435721978E</x:v>
      </x:c>
      <x:c r="W500" s="34" t="str">
        <x:v>P1</x:v>
      </x:c>
      <x:c r="X500" s="34" t="str">
        <x:v>PORT-5CFD50239439</x:v>
      </x:c>
      <x:c r="Y500" s="34" t="n">
        <x:v>1000</x:v>
      </x:c>
      <x:c r="Z500" s="34" t="n">
        <x:v>8.626353</x:v>
      </x:c>
      <x:c r="AA500" s="34" t="n">
        <x:v>12.076235</x:v>
      </x:c>
      <x:c r="AB500" s="34" t="n">
        <x:v>321.473932</x:v>
      </x:c>
      <x:c r="AC500" s="34" t="n">
        <x:v>2434.553</x:v>
      </x:c>
      <x:c r="AD500" s="34" t="n">
        <x:v>7.573095</x:v>
      </x:c>
      <x:c r="AE500" s="40" t="b">
        <x:v>0</x:v>
      </x:c>
      <x:c r="AF500" s="40" t="b">
        <x:v>0</x:v>
      </x:c>
      <x:c r="AG500" s="34" t="n">
        <x:v>2035</x:v>
      </x:c>
      <x:c r="AH500" s="34" t="n">
        <x:v>15.995002139999997</x:v>
      </x:c>
      <x:c r="AI500" s="34" t="n">
        <x:v>-15.995002139999997</x:v>
      </x:c>
      <x:c r="AJ500" s="40" t="b">
        <x:v>1</x:v>
      </x:c>
      <x:c r="AK500" s="40" t="b">
        <x:v>1</x:v>
      </x:c>
      <x:c r="AL500" s="40" t="b">
        <x:v>1</x:v>
      </x:c>
      <x:c r="AM500" s="40" t="b">
        <x:v>1</x:v>
      </x:c>
      <x:c r="AN500" s="34" t="str"/>
      <x:c r="AO500" s="34" t="n">
        <x:v>0</x:v>
      </x:c>
      <x:c r="AP500" s="34" t="n">
        <x:v>0</x:v>
      </x:c>
      <x:c r="AQ500" s="34" t="n">
        <x:v>0</x:v>
      </x:c>
      <x:c r="AR500" s="34" t="n">
        <x:v>2</x:v>
      </x:c>
      <x:c r="AS500" s="34" t="n">
        <x:v>2</x:v>
      </x:c>
      <x:c r="AT500" s="34" t="n">
        <x:v>0.28236113919999994</x:v>
      </x:c>
      <x:c r="AU500" s="34" t="n">
        <x:v>0.65</x:v>
      </x:c>
      <x:c r="AV500" s="34" t="n">
        <x:v>0.88</x:v>
      </x:c>
    </x:row>
    <x:row r="501">
      <x:c r="A501" s="34" t="str">
        <x:v>NIPPON_STEEL_JP</x:v>
      </x:c>
      <x:c r="B501" s="34" t="str">
        <x:v>Nippon Steel</x:v>
      </x:c>
      <x:c r="C501" s="34" t="str">
        <x:v>ACCELERATED_15C</x:v>
      </x:c>
      <x:c r="D501" s="34" t="str">
        <x:v>P1</x:v>
      </x:c>
      <x:c r="E501" s="34" t="n">
        <x:v>2030</x:v>
      </x:c>
      <x:c r="F501" s="34" t="n">
        <x:v>1</x:v>
      </x:c>
      <x:c r="G501" s="34" t="n">
        <x:v>8.1</x:v>
      </x:c>
      <x:c r="H501" s="34" t="n">
        <x:v>15</x:v>
      </x:c>
      <x:c r="I501" s="34" t="n">
        <x:v>6.9</x:v>
      </x:c>
      <x:c r="J501" s="34" t="n">
        <x:v>54</x:v>
      </x:c>
      <x:c r="K501" s="34" t="n">
        <x:v>0</x:v>
      </x:c>
      <x:c r="L501" s="34" t="n">
        <x:v>0.9</x:v>
      </x:c>
      <x:c r="M501" s="34" t="n">
        <x:v>0.9</x:v>
      </x:c>
      <x:c r="N501" s="34" t="n">
        <x:v>0</x:v>
      </x:c>
      <x:c r="O501" s="34" t="n">
        <x:v>5.04</x:v>
      </x:c>
      <x:c r="P501" s="34" t="n">
        <x:v>10</x:v>
      </x:c>
      <x:c r="Q501" s="34" t="n">
        <x:v>4.96</x:v>
      </x:c>
      <x:c r="R501" s="34" t="n">
        <x:v>50.4</x:v>
      </x:c>
      <x:c r="S501" s="40" t="b">
        <x:v>1</x:v>
      </x:c>
      <x:c r="T501" s="34" t="str">
        <x:v>model_interpolation</x:v>
      </x:c>
      <x:c r="U501" s="34" t="str">
        <x:v>Linear interpolation from 2030 to 2035</x:v>
      </x:c>
      <x:c r="V501" s="34" t="str">
        <x:v>CAND-87B9435721978E</x:v>
      </x:c>
      <x:c r="W501" s="34" t="str">
        <x:v>P1</x:v>
      </x:c>
      <x:c r="X501" s="34" t="str">
        <x:v>PORT-5CFD50239439</x:v>
      </x:c>
      <x:c r="Y501" s="34" t="n">
        <x:v>1000</x:v>
      </x:c>
      <x:c r="Z501" s="34" t="n">
        <x:v>8.626353</x:v>
      </x:c>
      <x:c r="AA501" s="34" t="n">
        <x:v>12.076235</x:v>
      </x:c>
      <x:c r="AB501" s="34" t="n">
        <x:v>321.473932</x:v>
      </x:c>
      <x:c r="AC501" s="34" t="n">
        <x:v>2434.553</x:v>
      </x:c>
      <x:c r="AD501" s="34" t="n">
        <x:v>7.573095</x:v>
      </x:c>
      <x:c r="AE501" s="40" t="b">
        <x:v>0</x:v>
      </x:c>
      <x:c r="AF501" s="40" t="b">
        <x:v>0</x:v>
      </x:c>
      <x:c r="AG501" s="34" t="n">
        <x:v>2035</x:v>
      </x:c>
      <x:c r="AH501" s="34" t="n">
        <x:v>15.995002139999997</x:v>
      </x:c>
      <x:c r="AI501" s="34" t="n">
        <x:v>-15.995002139999997</x:v>
      </x:c>
      <x:c r="AJ501" s="40" t="b">
        <x:v>1</x:v>
      </x:c>
      <x:c r="AK501" s="40" t="b">
        <x:v>1</x:v>
      </x:c>
      <x:c r="AL501" s="40" t="b">
        <x:v>1</x:v>
      </x:c>
      <x:c r="AM501" s="40" t="b">
        <x:v>1</x:v>
      </x:c>
      <x:c r="AN501" s="34" t="str"/>
      <x:c r="AO501" s="34" t="n">
        <x:v>0</x:v>
      </x:c>
      <x:c r="AP501" s="34" t="n">
        <x:v>0</x:v>
      </x:c>
      <x:c r="AQ501" s="34" t="n">
        <x:v>0</x:v>
      </x:c>
      <x:c r="AR501" s="34" t="n">
        <x:v>2</x:v>
      </x:c>
      <x:c r="AS501" s="34" t="n">
        <x:v>2</x:v>
      </x:c>
      <x:c r="AT501" s="34" t="n">
        <x:v>0.28236113919999994</x:v>
      </x:c>
      <x:c r="AU501" s="34" t="n">
        <x:v>0.65</x:v>
      </x:c>
      <x:c r="AV501" s="34" t="n">
        <x:v>0.88</x:v>
      </x:c>
    </x:row>
    <x:row r="502">
      <x:c r="A502" s="34" t="str">
        <x:v>NIPPON_STEEL_JP</x:v>
      </x:c>
      <x:c r="B502" s="34" t="str">
        <x:v>Nippon Steel</x:v>
      </x:c>
      <x:c r="C502" s="34" t="str">
        <x:v>ACCELERATED_15C</x:v>
      </x:c>
      <x:c r="D502" s="34" t="str">
        <x:v>P1</x:v>
      </x:c>
      <x:c r="E502" s="34" t="n">
        <x:v>2031</x:v>
      </x:c>
      <x:c r="F502" s="34" t="n">
        <x:v>1</x:v>
      </x:c>
      <x:c r="G502" s="34" t="n">
        <x:v>8.1</x:v>
      </x:c>
      <x:c r="H502" s="34" t="n">
        <x:v>16.6</x:v>
      </x:c>
      <x:c r="I502" s="34" t="n">
        <x:v>8.5</x:v>
      </x:c>
      <x:c r="J502" s="34" t="n">
        <x:v>48.795</x:v>
      </x:c>
      <x:c r="K502" s="34" t="n">
        <x:v>0</x:v>
      </x:c>
      <x:c r="L502" s="34" t="n">
        <x:v>1.2200000000000002</x:v>
      </x:c>
      <x:c r="M502" s="34" t="n">
        <x:v>1.22</x:v>
      </x:c>
      <x:c r="N502" s="34" t="n">
        <x:v>0</x:v>
      </x:c>
      <x:c r="O502" s="34" t="n">
        <x:v>5.04</x:v>
      </x:c>
      <x:c r="P502" s="34" t="n">
        <x:v>12</x:v>
      </x:c>
      <x:c r="Q502" s="34" t="n">
        <x:v>6.96</x:v>
      </x:c>
      <x:c r="R502" s="34" t="n">
        <x:v>42</x:v>
      </x:c>
      <x:c r="S502" s="40" t="b">
        <x:v>1</x:v>
      </x:c>
      <x:c r="T502" s="34" t="str">
        <x:v>model_interpolation</x:v>
      </x:c>
      <x:c r="U502" s="34" t="str">
        <x:v>Linear interpolation from 2030 to 2035</x:v>
      </x:c>
      <x:c r="V502" s="34" t="str">
        <x:v>CAND-87B9435721978E</x:v>
      </x:c>
      <x:c r="W502" s="34" t="str">
        <x:v>P1</x:v>
      </x:c>
      <x:c r="X502" s="34" t="str">
        <x:v>PORT-5CFD50239439</x:v>
      </x:c>
      <x:c r="Y502" s="34" t="n">
        <x:v>1000</x:v>
      </x:c>
      <x:c r="Z502" s="34" t="n">
        <x:v>8.626353</x:v>
      </x:c>
      <x:c r="AA502" s="34" t="n">
        <x:v>12.076235</x:v>
      </x:c>
      <x:c r="AB502" s="34" t="n">
        <x:v>321.473932</x:v>
      </x:c>
      <x:c r="AC502" s="34" t="n">
        <x:v>2434.553</x:v>
      </x:c>
      <x:c r="AD502" s="34" t="n">
        <x:v>7.573095</x:v>
      </x:c>
      <x:c r="AE502" s="40" t="b">
        <x:v>0</x:v>
      </x:c>
      <x:c r="AF502" s="40" t="b">
        <x:v>0</x:v>
      </x:c>
      <x:c r="AG502" s="34" t="n">
        <x:v>2035</x:v>
      </x:c>
      <x:c r="AH502" s="34" t="n">
        <x:v>15.995002139999997</x:v>
      </x:c>
      <x:c r="AI502" s="34" t="n">
        <x:v>-15.995002139999997</x:v>
      </x:c>
      <x:c r="AJ502" s="40" t="b">
        <x:v>1</x:v>
      </x:c>
      <x:c r="AK502" s="40" t="b">
        <x:v>1</x:v>
      </x:c>
      <x:c r="AL502" s="40" t="b">
        <x:v>1</x:v>
      </x:c>
      <x:c r="AM502" s="40" t="b">
        <x:v>1</x:v>
      </x:c>
      <x:c r="AN502" s="34" t="str"/>
      <x:c r="AO502" s="34" t="n">
        <x:v>0</x:v>
      </x:c>
      <x:c r="AP502" s="34" t="n">
        <x:v>0</x:v>
      </x:c>
      <x:c r="AQ502" s="34" t="n">
        <x:v>0</x:v>
      </x:c>
      <x:c r="AR502" s="34" t="n">
        <x:v>2</x:v>
      </x:c>
      <x:c r="AS502" s="34" t="n">
        <x:v>2</x:v>
      </x:c>
      <x:c r="AT502" s="34" t="n">
        <x:v>0.28236113919999994</x:v>
      </x:c>
      <x:c r="AU502" s="34" t="n">
        <x:v>0.65</x:v>
      </x:c>
      <x:c r="AV502" s="34" t="n">
        <x:v>0.88</x:v>
      </x:c>
    </x:row>
    <x:row r="503">
      <x:c r="A503" s="34" t="str">
        <x:v>NIPPON_STEEL_JP</x:v>
      </x:c>
      <x:c r="B503" s="34" t="str">
        <x:v>Nippon Steel</x:v>
      </x:c>
      <x:c r="C503" s="34" t="str">
        <x:v>ACCELERATED_15C</x:v>
      </x:c>
      <x:c r="D503" s="34" t="str">
        <x:v>P1</x:v>
      </x:c>
      <x:c r="E503" s="34" t="n">
        <x:v>2032</x:v>
      </x:c>
      <x:c r="F503" s="34" t="n">
        <x:v>2</x:v>
      </x:c>
      <x:c r="G503" s="34" t="n">
        <x:v>13.679998</x:v>
      </x:c>
      <x:c r="H503" s="34" t="n">
        <x:v>18.2</x:v>
      </x:c>
      <x:c r="I503" s="34" t="n">
        <x:v>4.520002</x:v>
      </x:c>
      <x:c r="J503" s="34" t="n">
        <x:v>75.165</x:v>
      </x:c>
      <x:c r="K503" s="34" t="n">
        <x:v>0</x:v>
      </x:c>
      <x:c r="L503" s="34" t="n">
        <x:v>1.54</x:v>
      </x:c>
      <x:c r="M503" s="34" t="n">
        <x:v>1.54</x:v>
      </x:c>
      <x:c r="N503" s="34" t="n">
        <x:v>0</x:v>
      </x:c>
      <x:c r="O503" s="34" t="n">
        <x:v>8.511999</x:v>
      </x:c>
      <x:c r="P503" s="34" t="n">
        <x:v>14</x:v>
      </x:c>
      <x:c r="Q503" s="34" t="n">
        <x:v>5.488001</x:v>
      </x:c>
      <x:c r="R503" s="34" t="n">
        <x:v>60.8</x:v>
      </x:c>
      <x:c r="S503" s="40" t="b">
        <x:v>1</x:v>
      </x:c>
      <x:c r="T503" s="34" t="str">
        <x:v>model_interpolation</x:v>
      </x:c>
      <x:c r="U503" s="34" t="str">
        <x:v>Linear interpolation from 2030 to 2035</x:v>
      </x:c>
      <x:c r="V503" s="34" t="str">
        <x:v>CAND-87B9435721978E</x:v>
      </x:c>
      <x:c r="W503" s="34" t="str">
        <x:v>P1</x:v>
      </x:c>
      <x:c r="X503" s="34" t="str">
        <x:v>PORT-5CFD50239439</x:v>
      </x:c>
      <x:c r="Y503" s="34" t="n">
        <x:v>1000</x:v>
      </x:c>
      <x:c r="Z503" s="34" t="n">
        <x:v>8.626353</x:v>
      </x:c>
      <x:c r="AA503" s="34" t="n">
        <x:v>12.076235</x:v>
      </x:c>
      <x:c r="AB503" s="34" t="n">
        <x:v>321.473932</x:v>
      </x:c>
      <x:c r="AC503" s="34" t="n">
        <x:v>2434.553</x:v>
      </x:c>
      <x:c r="AD503" s="34" t="n">
        <x:v>7.573095</x:v>
      </x:c>
      <x:c r="AE503" s="40" t="b">
        <x:v>0</x:v>
      </x:c>
      <x:c r="AF503" s="40" t="b">
        <x:v>0</x:v>
      </x:c>
      <x:c r="AG503" s="34" t="n">
        <x:v>2035</x:v>
      </x:c>
      <x:c r="AH503" s="34" t="n">
        <x:v>15.995002139999997</x:v>
      </x:c>
      <x:c r="AI503" s="34" t="n">
        <x:v>-15.995002139999997</x:v>
      </x:c>
      <x:c r="AJ503" s="40" t="b">
        <x:v>1</x:v>
      </x:c>
      <x:c r="AK503" s="40" t="b">
        <x:v>1</x:v>
      </x:c>
      <x:c r="AL503" s="40" t="b">
        <x:v>1</x:v>
      </x:c>
      <x:c r="AM503" s="40" t="b">
        <x:v>1</x:v>
      </x:c>
      <x:c r="AN503" s="34" t="str"/>
      <x:c r="AO503" s="34" t="n">
        <x:v>0</x:v>
      </x:c>
      <x:c r="AP503" s="34" t="n">
        <x:v>0</x:v>
      </x:c>
      <x:c r="AQ503" s="34" t="n">
        <x:v>0</x:v>
      </x:c>
      <x:c r="AR503" s="34" t="n">
        <x:v>2</x:v>
      </x:c>
      <x:c r="AS503" s="34" t="n">
        <x:v>2</x:v>
      </x:c>
      <x:c r="AT503" s="34" t="n">
        <x:v>0.28236113919999994</x:v>
      </x:c>
      <x:c r="AU503" s="34" t="n">
        <x:v>0.65</x:v>
      </x:c>
      <x:c r="AV503" s="34" t="n">
        <x:v>0.88</x:v>
      </x:c>
    </x:row>
    <x:row r="504">
      <x:c r="A504" s="34" t="str">
        <x:v>NIPPON_STEEL_JP</x:v>
      </x:c>
      <x:c r="B504" s="34" t="str">
        <x:v>Nippon Steel</x:v>
      </x:c>
      <x:c r="C504" s="34" t="str">
        <x:v>ACCELERATED_15C</x:v>
      </x:c>
      <x:c r="D504" s="34" t="str">
        <x:v>P1</x:v>
      </x:c>
      <x:c r="E504" s="34" t="n">
        <x:v>2033</x:v>
      </x:c>
      <x:c r="F504" s="34" t="n">
        <x:v>2</x:v>
      </x:c>
      <x:c r="G504" s="34" t="n">
        <x:v>13.679998</x:v>
      </x:c>
      <x:c r="H504" s="34" t="n">
        <x:v>19.8</x:v>
      </x:c>
      <x:c r="I504" s="34" t="n">
        <x:v>6.120002</x:v>
      </x:c>
      <x:c r="J504" s="34" t="n">
        <x:v>69.091</x:v>
      </x:c>
      <x:c r="K504" s="34" t="n">
        <x:v>0</x:v>
      </x:c>
      <x:c r="L504" s="34" t="n">
        <x:v>1.8599999999999999</x:v>
      </x:c>
      <x:c r="M504" s="34" t="n">
        <x:v>1.86</x:v>
      </x:c>
      <x:c r="N504" s="34" t="n">
        <x:v>0</x:v>
      </x:c>
      <x:c r="O504" s="34" t="n">
        <x:v>8.511999</x:v>
      </x:c>
      <x:c r="P504" s="34" t="n">
        <x:v>16</x:v>
      </x:c>
      <x:c r="Q504" s="34" t="n">
        <x:v>7.488001</x:v>
      </x:c>
      <x:c r="R504" s="34" t="n">
        <x:v>53.2</x:v>
      </x:c>
      <x:c r="S504" s="40" t="b">
        <x:v>1</x:v>
      </x:c>
      <x:c r="T504" s="34" t="str">
        <x:v>model_interpolation</x:v>
      </x:c>
      <x:c r="U504" s="34" t="str">
        <x:v>Linear interpolation from 2030 to 2035</x:v>
      </x:c>
      <x:c r="V504" s="34" t="str">
        <x:v>CAND-87B9435721978E</x:v>
      </x:c>
      <x:c r="W504" s="34" t="str">
        <x:v>P1</x:v>
      </x:c>
      <x:c r="X504" s="34" t="str">
        <x:v>PORT-5CFD50239439</x:v>
      </x:c>
      <x:c r="Y504" s="34" t="n">
        <x:v>1000</x:v>
      </x:c>
      <x:c r="Z504" s="34" t="n">
        <x:v>8.626353</x:v>
      </x:c>
      <x:c r="AA504" s="34" t="n">
        <x:v>12.076235</x:v>
      </x:c>
      <x:c r="AB504" s="34" t="n">
        <x:v>321.473932</x:v>
      </x:c>
      <x:c r="AC504" s="34" t="n">
        <x:v>2434.553</x:v>
      </x:c>
      <x:c r="AD504" s="34" t="n">
        <x:v>7.573095</x:v>
      </x:c>
      <x:c r="AE504" s="40" t="b">
        <x:v>0</x:v>
      </x:c>
      <x:c r="AF504" s="40" t="b">
        <x:v>0</x:v>
      </x:c>
      <x:c r="AG504" s="34" t="n">
        <x:v>2035</x:v>
      </x:c>
      <x:c r="AH504" s="34" t="n">
        <x:v>15.995002139999997</x:v>
      </x:c>
      <x:c r="AI504" s="34" t="n">
        <x:v>-15.995002139999997</x:v>
      </x:c>
      <x:c r="AJ504" s="40" t="b">
        <x:v>1</x:v>
      </x:c>
      <x:c r="AK504" s="40" t="b">
        <x:v>1</x:v>
      </x:c>
      <x:c r="AL504" s="40" t="b">
        <x:v>1</x:v>
      </x:c>
      <x:c r="AM504" s="40" t="b">
        <x:v>1</x:v>
      </x:c>
      <x:c r="AN504" s="34" t="str"/>
      <x:c r="AO504" s="34" t="n">
        <x:v>0</x:v>
      </x:c>
      <x:c r="AP504" s="34" t="n">
        <x:v>0</x:v>
      </x:c>
      <x:c r="AQ504" s="34" t="n">
        <x:v>0</x:v>
      </x:c>
      <x:c r="AR504" s="34" t="n">
        <x:v>2</x:v>
      </x:c>
      <x:c r="AS504" s="34" t="n">
        <x:v>2</x:v>
      </x:c>
      <x:c r="AT504" s="34" t="n">
        <x:v>0.28236113919999994</x:v>
      </x:c>
      <x:c r="AU504" s="34" t="n">
        <x:v>0.65</x:v>
      </x:c>
      <x:c r="AV504" s="34" t="n">
        <x:v>0.88</x:v>
      </x:c>
    </x:row>
    <x:row r="505">
      <x:c r="A505" s="34" t="str">
        <x:v>NIPPON_STEEL_JP</x:v>
      </x:c>
      <x:c r="B505" s="34" t="str">
        <x:v>Nippon Steel</x:v>
      </x:c>
      <x:c r="C505" s="34" t="str">
        <x:v>ACCELERATED_15C</x:v>
      </x:c>
      <x:c r="D505" s="34" t="str">
        <x:v>P1</x:v>
      </x:c>
      <x:c r="E505" s="34" t="n">
        <x:v>2034</x:v>
      </x:c>
      <x:c r="F505" s="34" t="n">
        <x:v>3</x:v>
      </x:c>
      <x:c r="G505" s="34" t="n">
        <x:v>14.759998</x:v>
      </x:c>
      <x:c r="H505" s="34" t="n">
        <x:v>21.4</x:v>
      </x:c>
      <x:c r="I505" s="34" t="n">
        <x:v>6.640002</x:v>
      </x:c>
      <x:c r="J505" s="34" t="n">
        <x:v>68.972</x:v>
      </x:c>
      <x:c r="K505" s="34" t="n">
        <x:v>0</x:v>
      </x:c>
      <x:c r="L505" s="34" t="n">
        <x:v>2.18</x:v>
      </x:c>
      <x:c r="M505" s="34" t="n">
        <x:v>2.18</x:v>
      </x:c>
      <x:c r="N505" s="34" t="n">
        <x:v>0</x:v>
      </x:c>
      <x:c r="O505" s="34" t="n">
        <x:v>8.583999</x:v>
      </x:c>
      <x:c r="P505" s="34" t="n">
        <x:v>18</x:v>
      </x:c>
      <x:c r="Q505" s="34" t="n">
        <x:v>9.416001</x:v>
      </x:c>
      <x:c r="R505" s="34" t="n">
        <x:v>47.689</x:v>
      </x:c>
      <x:c r="S505" s="40" t="b">
        <x:v>1</x:v>
      </x:c>
      <x:c r="T505" s="34" t="str">
        <x:v>model_interpolation</x:v>
      </x:c>
      <x:c r="U505" s="34" t="str">
        <x:v>Linear interpolation from 2030 to 2035</x:v>
      </x:c>
      <x:c r="V505" s="34" t="str">
        <x:v>CAND-87B9435721978E</x:v>
      </x:c>
      <x:c r="W505" s="34" t="str">
        <x:v>P1</x:v>
      </x:c>
      <x:c r="X505" s="34" t="str">
        <x:v>PORT-5CFD50239439</x:v>
      </x:c>
      <x:c r="Y505" s="34" t="n">
        <x:v>1000</x:v>
      </x:c>
      <x:c r="Z505" s="34" t="n">
        <x:v>8.626353</x:v>
      </x:c>
      <x:c r="AA505" s="34" t="n">
        <x:v>12.076235</x:v>
      </x:c>
      <x:c r="AB505" s="34" t="n">
        <x:v>321.473932</x:v>
      </x:c>
      <x:c r="AC505" s="34" t="n">
        <x:v>2434.553</x:v>
      </x:c>
      <x:c r="AD505" s="34" t="n">
        <x:v>7.573095</x:v>
      </x:c>
      <x:c r="AE505" s="40" t="b">
        <x:v>0</x:v>
      </x:c>
      <x:c r="AF505" s="40" t="b">
        <x:v>0</x:v>
      </x:c>
      <x:c r="AG505" s="34" t="n">
        <x:v>2035</x:v>
      </x:c>
      <x:c r="AH505" s="34" t="n">
        <x:v>15.995002139999997</x:v>
      </x:c>
      <x:c r="AI505" s="34" t="n">
        <x:v>-15.995002139999997</x:v>
      </x:c>
      <x:c r="AJ505" s="40" t="b">
        <x:v>1</x:v>
      </x:c>
      <x:c r="AK505" s="40" t="b">
        <x:v>1</x:v>
      </x:c>
      <x:c r="AL505" s="40" t="b">
        <x:v>1</x:v>
      </x:c>
      <x:c r="AM505" s="40" t="b">
        <x:v>1</x:v>
      </x:c>
      <x:c r="AN505" s="34" t="str"/>
      <x:c r="AO505" s="34" t="n">
        <x:v>0</x:v>
      </x:c>
      <x:c r="AP505" s="34" t="n">
        <x:v>0</x:v>
      </x:c>
      <x:c r="AQ505" s="34" t="n">
        <x:v>0</x:v>
      </x:c>
      <x:c r="AR505" s="34" t="n">
        <x:v>2</x:v>
      </x:c>
      <x:c r="AS505" s="34" t="n">
        <x:v>2</x:v>
      </x:c>
      <x:c r="AT505" s="34" t="n">
        <x:v>0.28236113919999994</x:v>
      </x:c>
      <x:c r="AU505" s="34" t="n">
        <x:v>0.65</x:v>
      </x:c>
      <x:c r="AV505" s="34" t="n">
        <x:v>0.88</x:v>
      </x:c>
    </x:row>
    <x:row r="506">
      <x:c r="A506" s="34" t="str">
        <x:v>NIPPON_STEEL_JP</x:v>
      </x:c>
      <x:c r="B506" s="34" t="str">
        <x:v>Nippon Steel</x:v>
      </x:c>
      <x:c r="C506" s="34" t="str">
        <x:v>ACCELERATED_15C</x:v>
      </x:c>
      <x:c r="D506" s="34" t="str">
        <x:v>P1</x:v>
      </x:c>
      <x:c r="E506" s="34" t="n">
        <x:v>2035</x:v>
      </x:c>
      <x:c r="F506" s="34" t="n">
        <x:v>3</x:v>
      </x:c>
      <x:c r="G506" s="34" t="n">
        <x:v>14.759998</x:v>
      </x:c>
      <x:c r="H506" s="34" t="n">
        <x:v>23</x:v>
      </x:c>
      <x:c r="I506" s="34" t="n">
        <x:v>8.240002</x:v>
      </x:c>
      <x:c r="J506" s="34" t="n">
        <x:v>64.174</x:v>
      </x:c>
      <x:c r="K506" s="34" t="n">
        <x:v>0</x:v>
      </x:c>
      <x:c r="L506" s="34" t="n">
        <x:v>2.5</x:v>
      </x:c>
      <x:c r="M506" s="34" t="n">
        <x:v>2.5</x:v>
      </x:c>
      <x:c r="N506" s="34" t="n">
        <x:v>0</x:v>
      </x:c>
      <x:c r="O506" s="34" t="n">
        <x:v>8.583999</x:v>
      </x:c>
      <x:c r="P506" s="34" t="n">
        <x:v>20</x:v>
      </x:c>
      <x:c r="Q506" s="34" t="n">
        <x:v>11.416001</x:v>
      </x:c>
      <x:c r="R506" s="34" t="n">
        <x:v>42.92</x:v>
      </x:c>
      <x:c r="S506" s="40" t="b">
        <x:v>1</x:v>
      </x:c>
      <x:c r="T506" s="34" t="str">
        <x:v>model_interpolation</x:v>
      </x:c>
      <x:c r="U506" s="34" t="str">
        <x:v>Linear interpolation from 2035 to 2040</x:v>
      </x:c>
      <x:c r="V506" s="34" t="str">
        <x:v>CAND-87B9435721978E</x:v>
      </x:c>
      <x:c r="W506" s="34" t="str">
        <x:v>P1</x:v>
      </x:c>
      <x:c r="X506" s="34" t="str">
        <x:v>PORT-5CFD50239439</x:v>
      </x:c>
      <x:c r="Y506" s="34" t="n">
        <x:v>1000</x:v>
      </x:c>
      <x:c r="Z506" s="34" t="n">
        <x:v>8.626353</x:v>
      </x:c>
      <x:c r="AA506" s="34" t="n">
        <x:v>12.076235</x:v>
      </x:c>
      <x:c r="AB506" s="34" t="n">
        <x:v>321.473932</x:v>
      </x:c>
      <x:c r="AC506" s="34" t="n">
        <x:v>2434.553</x:v>
      </x:c>
      <x:c r="AD506" s="34" t="n">
        <x:v>7.573095</x:v>
      </x:c>
      <x:c r="AE506" s="40" t="b">
        <x:v>0</x:v>
      </x:c>
      <x:c r="AF506" s="40" t="b">
        <x:v>0</x:v>
      </x:c>
      <x:c r="AG506" s="34" t="n">
        <x:v>2035</x:v>
      </x:c>
      <x:c r="AH506" s="34" t="n">
        <x:v>15.995002139999997</x:v>
      </x:c>
      <x:c r="AI506" s="34" t="n">
        <x:v>-15.995002139999997</x:v>
      </x:c>
      <x:c r="AJ506" s="40" t="b">
        <x:v>1</x:v>
      </x:c>
      <x:c r="AK506" s="40" t="b">
        <x:v>1</x:v>
      </x:c>
      <x:c r="AL506" s="40" t="b">
        <x:v>1</x:v>
      </x:c>
      <x:c r="AM506" s="40" t="b">
        <x:v>1</x:v>
      </x:c>
      <x:c r="AN506" s="34" t="str"/>
      <x:c r="AO506" s="34" t="n">
        <x:v>0</x:v>
      </x:c>
      <x:c r="AP506" s="34" t="n">
        <x:v>0</x:v>
      </x:c>
      <x:c r="AQ506" s="34" t="n">
        <x:v>0</x:v>
      </x:c>
      <x:c r="AR506" s="34" t="n">
        <x:v>2</x:v>
      </x:c>
      <x:c r="AS506" s="34" t="n">
        <x:v>2</x:v>
      </x:c>
      <x:c r="AT506" s="34" t="n">
        <x:v>0.28236113919999994</x:v>
      </x:c>
      <x:c r="AU506" s="34" t="n">
        <x:v>0.65</x:v>
      </x:c>
      <x:c r="AV506" s="34" t="n">
        <x:v>0.88</x:v>
      </x:c>
    </x:row>
    <x:row r="507">
      <x:c r="A507" s="34" t="str">
        <x:v>NIPPON_STEEL_JP</x:v>
      </x:c>
      <x:c r="B507" s="34" t="str">
        <x:v>Nippon Steel</x:v>
      </x:c>
      <x:c r="C507" s="34" t="str">
        <x:v>ACCELERATED_15C</x:v>
      </x:c>
      <x:c r="D507" s="34" t="str">
        <x:v>P1</x:v>
      </x:c>
      <x:c r="E507" s="34" t="n">
        <x:v>2036</x:v>
      </x:c>
      <x:c r="F507" s="34" t="n">
        <x:v>4</x:v>
      </x:c>
      <x:c r="G507" s="34" t="n">
        <x:v>15.599998</x:v>
      </x:c>
      <x:c r="H507" s="34" t="n">
        <x:v>24.4</x:v>
      </x:c>
      <x:c r="I507" s="34" t="n">
        <x:v>8.800002</x:v>
      </x:c>
      <x:c r="J507" s="34" t="n">
        <x:v>63.934</x:v>
      </x:c>
      <x:c r="K507" s="34" t="n">
        <x:v>0</x:v>
      </x:c>
      <x:c r="L507" s="34" t="n">
        <x:v>2.9</x:v>
      </x:c>
      <x:c r="M507" s="34" t="n">
        <x:v>2.9</x:v>
      </x:c>
      <x:c r="N507" s="34" t="n">
        <x:v>0</x:v>
      </x:c>
      <x:c r="O507" s="34" t="n">
        <x:v>8.639999</x:v>
      </x:c>
      <x:c r="P507" s="34" t="n">
        <x:v>22.4</x:v>
      </x:c>
      <x:c r="Q507" s="34" t="n">
        <x:v>13.760001</x:v>
      </x:c>
      <x:c r="R507" s="34" t="n">
        <x:v>38.571</x:v>
      </x:c>
      <x:c r="S507" s="40" t="b">
        <x:v>1</x:v>
      </x:c>
      <x:c r="T507" s="34" t="str">
        <x:v>model_interpolation</x:v>
      </x:c>
      <x:c r="U507" s="34" t="str">
        <x:v>Linear interpolation from 2035 to 2040</x:v>
      </x:c>
      <x:c r="V507" s="34" t="str">
        <x:v>CAND-87B9435721978E</x:v>
      </x:c>
      <x:c r="W507" s="34" t="str">
        <x:v>P1</x:v>
      </x:c>
      <x:c r="X507" s="34" t="str">
        <x:v>PORT-5CFD50239439</x:v>
      </x:c>
      <x:c r="Y507" s="34" t="n">
        <x:v>1000</x:v>
      </x:c>
      <x:c r="Z507" s="34" t="n">
        <x:v>8.626353</x:v>
      </x:c>
      <x:c r="AA507" s="34" t="n">
        <x:v>12.076235</x:v>
      </x:c>
      <x:c r="AB507" s="34" t="n">
        <x:v>321.473932</x:v>
      </x:c>
      <x:c r="AC507" s="34" t="n">
        <x:v>2434.553</x:v>
      </x:c>
      <x:c r="AD507" s="34" t="n">
        <x:v>7.573095</x:v>
      </x:c>
      <x:c r="AE507" s="40" t="b">
        <x:v>0</x:v>
      </x:c>
      <x:c r="AF507" s="40" t="b">
        <x:v>0</x:v>
      </x:c>
      <x:c r="AG507" s="34" t="n">
        <x:v>2035</x:v>
      </x:c>
      <x:c r="AH507" s="34" t="n">
        <x:v>15.995002139999997</x:v>
      </x:c>
      <x:c r="AI507" s="34" t="n">
        <x:v>-15.995002139999997</x:v>
      </x:c>
      <x:c r="AJ507" s="40" t="b">
        <x:v>1</x:v>
      </x:c>
      <x:c r="AK507" s="40" t="b">
        <x:v>1</x:v>
      </x:c>
      <x:c r="AL507" s="40" t="b">
        <x:v>1</x:v>
      </x:c>
      <x:c r="AM507" s="40" t="b">
        <x:v>1</x:v>
      </x:c>
      <x:c r="AN507" s="34" t="str"/>
      <x:c r="AO507" s="34" t="n">
        <x:v>0</x:v>
      </x:c>
      <x:c r="AP507" s="34" t="n">
        <x:v>0</x:v>
      </x:c>
      <x:c r="AQ507" s="34" t="n">
        <x:v>0</x:v>
      </x:c>
      <x:c r="AR507" s="34" t="n">
        <x:v>2</x:v>
      </x:c>
      <x:c r="AS507" s="34" t="n">
        <x:v>2</x:v>
      </x:c>
      <x:c r="AT507" s="34" t="n">
        <x:v>0.28236113919999994</x:v>
      </x:c>
      <x:c r="AU507" s="34" t="n">
        <x:v>0.65</x:v>
      </x:c>
      <x:c r="AV507" s="34" t="n">
        <x:v>0.88</x:v>
      </x:c>
    </x:row>
    <x:row r="508">
      <x:c r="A508" s="34" t="str">
        <x:v>NIPPON_STEEL_JP</x:v>
      </x:c>
      <x:c r="B508" s="34" t="str">
        <x:v>Nippon Steel</x:v>
      </x:c>
      <x:c r="C508" s="34" t="str">
        <x:v>ACCELERATED_15C</x:v>
      </x:c>
      <x:c r="D508" s="34" t="str">
        <x:v>P1</x:v>
      </x:c>
      <x:c r="E508" s="34" t="n">
        <x:v>2037</x:v>
      </x:c>
      <x:c r="F508" s="34" t="n">
        <x:v>4</x:v>
      </x:c>
      <x:c r="G508" s="34" t="n">
        <x:v>15.599998</x:v>
      </x:c>
      <x:c r="H508" s="34" t="n">
        <x:v>25.8</x:v>
      </x:c>
      <x:c r="I508" s="34" t="n">
        <x:v>10.200002</x:v>
      </x:c>
      <x:c r="J508" s="34" t="n">
        <x:v>60.465</x:v>
      </x:c>
      <x:c r="K508" s="34" t="n">
        <x:v>0</x:v>
      </x:c>
      <x:c r="L508" s="34" t="n">
        <x:v>3.3</x:v>
      </x:c>
      <x:c r="M508" s="34" t="n">
        <x:v>3.3</x:v>
      </x:c>
      <x:c r="N508" s="34" t="n">
        <x:v>0</x:v>
      </x:c>
      <x:c r="O508" s="34" t="n">
        <x:v>8.639999</x:v>
      </x:c>
      <x:c r="P508" s="34" t="n">
        <x:v>24.8</x:v>
      </x:c>
      <x:c r="Q508" s="34" t="n">
        <x:v>16.160001</x:v>
      </x:c>
      <x:c r="R508" s="34" t="n">
        <x:v>34.839</x:v>
      </x:c>
      <x:c r="S508" s="40" t="b">
        <x:v>1</x:v>
      </x:c>
      <x:c r="T508" s="34" t="str">
        <x:v>model_interpolation</x:v>
      </x:c>
      <x:c r="U508" s="34" t="str">
        <x:v>Linear interpolation from 2035 to 2040</x:v>
      </x:c>
      <x:c r="V508" s="34" t="str">
        <x:v>CAND-87B9435721978E</x:v>
      </x:c>
      <x:c r="W508" s="34" t="str">
        <x:v>P1</x:v>
      </x:c>
      <x:c r="X508" s="34" t="str">
        <x:v>PORT-5CFD50239439</x:v>
      </x:c>
      <x:c r="Y508" s="34" t="n">
        <x:v>1000</x:v>
      </x:c>
      <x:c r="Z508" s="34" t="n">
        <x:v>8.626353</x:v>
      </x:c>
      <x:c r="AA508" s="34" t="n">
        <x:v>12.076235</x:v>
      </x:c>
      <x:c r="AB508" s="34" t="n">
        <x:v>321.473932</x:v>
      </x:c>
      <x:c r="AC508" s="34" t="n">
        <x:v>2434.553</x:v>
      </x:c>
      <x:c r="AD508" s="34" t="n">
        <x:v>7.573095</x:v>
      </x:c>
      <x:c r="AE508" s="40" t="b">
        <x:v>0</x:v>
      </x:c>
      <x:c r="AF508" s="40" t="b">
        <x:v>0</x:v>
      </x:c>
      <x:c r="AG508" s="34" t="n">
        <x:v>2035</x:v>
      </x:c>
      <x:c r="AH508" s="34" t="n">
        <x:v>15.995002139999997</x:v>
      </x:c>
      <x:c r="AI508" s="34" t="n">
        <x:v>-15.995002139999997</x:v>
      </x:c>
      <x:c r="AJ508" s="40" t="b">
        <x:v>1</x:v>
      </x:c>
      <x:c r="AK508" s="40" t="b">
        <x:v>1</x:v>
      </x:c>
      <x:c r="AL508" s="40" t="b">
        <x:v>1</x:v>
      </x:c>
      <x:c r="AM508" s="40" t="b">
        <x:v>1</x:v>
      </x:c>
      <x:c r="AN508" s="34" t="str"/>
      <x:c r="AO508" s="34" t="n">
        <x:v>0</x:v>
      </x:c>
      <x:c r="AP508" s="34" t="n">
        <x:v>0</x:v>
      </x:c>
      <x:c r="AQ508" s="34" t="n">
        <x:v>0</x:v>
      </x:c>
      <x:c r="AR508" s="34" t="n">
        <x:v>2</x:v>
      </x:c>
      <x:c r="AS508" s="34" t="n">
        <x:v>2</x:v>
      </x:c>
      <x:c r="AT508" s="34" t="n">
        <x:v>0.28236113919999994</x:v>
      </x:c>
      <x:c r="AU508" s="34" t="n">
        <x:v>0.65</x:v>
      </x:c>
      <x:c r="AV508" s="34" t="n">
        <x:v>0.88</x:v>
      </x:c>
    </x:row>
    <x:row r="509">
      <x:c r="A509" s="34" t="str">
        <x:v>NIPPON_STEEL_JP</x:v>
      </x:c>
      <x:c r="B509" s="34" t="str">
        <x:v>Nippon Steel</x:v>
      </x:c>
      <x:c r="C509" s="34" t="str">
        <x:v>ACCELERATED_15C</x:v>
      </x:c>
      <x:c r="D509" s="34" t="str">
        <x:v>P1</x:v>
      </x:c>
      <x:c r="E509" s="34" t="n">
        <x:v>2038</x:v>
      </x:c>
      <x:c r="F509" s="34" t="n">
        <x:v>5</x:v>
      </x:c>
      <x:c r="G509" s="34" t="n">
        <x:v>21.269998</x:v>
      </x:c>
      <x:c r="H509" s="34" t="n">
        <x:v>27.2</x:v>
      </x:c>
      <x:c r="I509" s="34" t="n">
        <x:v>5.930002</x:v>
      </x:c>
      <x:c r="J509" s="34" t="n">
        <x:v>78.199</x:v>
      </x:c>
      <x:c r="K509" s="34" t="n">
        <x:v>0</x:v>
      </x:c>
      <x:c r="L509" s="34" t="n">
        <x:v>3.7</x:v>
      </x:c>
      <x:c r="M509" s="34" t="n">
        <x:v>3.7</x:v>
      </x:c>
      <x:c r="N509" s="34" t="n">
        <x:v>0</x:v>
      </x:c>
      <x:c r="O509" s="34" t="n">
        <x:v>12.167999</x:v>
      </x:c>
      <x:c r="P509" s="34" t="n">
        <x:v>27.2</x:v>
      </x:c>
      <x:c r="Q509" s="34" t="n">
        <x:v>15.032001</x:v>
      </x:c>
      <x:c r="R509" s="34" t="n">
        <x:v>44.735</x:v>
      </x:c>
      <x:c r="S509" s="40" t="b">
        <x:v>1</x:v>
      </x:c>
      <x:c r="T509" s="34" t="str">
        <x:v>model_interpolation</x:v>
      </x:c>
      <x:c r="U509" s="34" t="str">
        <x:v>Linear interpolation from 2035 to 2040</x:v>
      </x:c>
      <x:c r="V509" s="34" t="str">
        <x:v>CAND-87B9435721978E</x:v>
      </x:c>
      <x:c r="W509" s="34" t="str">
        <x:v>P1</x:v>
      </x:c>
      <x:c r="X509" s="34" t="str">
        <x:v>PORT-5CFD50239439</x:v>
      </x:c>
      <x:c r="Y509" s="34" t="n">
        <x:v>1000</x:v>
      </x:c>
      <x:c r="Z509" s="34" t="n">
        <x:v>8.626353</x:v>
      </x:c>
      <x:c r="AA509" s="34" t="n">
        <x:v>12.076235</x:v>
      </x:c>
      <x:c r="AB509" s="34" t="n">
        <x:v>321.473932</x:v>
      </x:c>
      <x:c r="AC509" s="34" t="n">
        <x:v>2434.553</x:v>
      </x:c>
      <x:c r="AD509" s="34" t="n">
        <x:v>7.573095</x:v>
      </x:c>
      <x:c r="AE509" s="40" t="b">
        <x:v>0</x:v>
      </x:c>
      <x:c r="AF509" s="40" t="b">
        <x:v>0</x:v>
      </x:c>
      <x:c r="AG509" s="34" t="n">
        <x:v>2035</x:v>
      </x:c>
      <x:c r="AH509" s="34" t="n">
        <x:v>15.995002139999997</x:v>
      </x:c>
      <x:c r="AI509" s="34" t="n">
        <x:v>-15.995002139999997</x:v>
      </x:c>
      <x:c r="AJ509" s="40" t="b">
        <x:v>1</x:v>
      </x:c>
      <x:c r="AK509" s="40" t="b">
        <x:v>1</x:v>
      </x:c>
      <x:c r="AL509" s="40" t="b">
        <x:v>1</x:v>
      </x:c>
      <x:c r="AM509" s="40" t="b">
        <x:v>1</x:v>
      </x:c>
      <x:c r="AN509" s="34" t="str"/>
      <x:c r="AO509" s="34" t="n">
        <x:v>0</x:v>
      </x:c>
      <x:c r="AP509" s="34" t="n">
        <x:v>0</x:v>
      </x:c>
      <x:c r="AQ509" s="34" t="n">
        <x:v>0</x:v>
      </x:c>
      <x:c r="AR509" s="34" t="n">
        <x:v>2</x:v>
      </x:c>
      <x:c r="AS509" s="34" t="n">
        <x:v>2</x:v>
      </x:c>
      <x:c r="AT509" s="34" t="n">
        <x:v>0.28236113919999994</x:v>
      </x:c>
      <x:c r="AU509" s="34" t="n">
        <x:v>0.65</x:v>
      </x:c>
      <x:c r="AV509" s="34" t="n">
        <x:v>0.88</x:v>
      </x:c>
    </x:row>
    <x:row r="510">
      <x:c r="A510" s="34" t="str">
        <x:v>NIPPON_STEEL_JP</x:v>
      </x:c>
      <x:c r="B510" s="34" t="str">
        <x:v>Nippon Steel</x:v>
      </x:c>
      <x:c r="C510" s="34" t="str">
        <x:v>ACCELERATED_15C</x:v>
      </x:c>
      <x:c r="D510" s="34" t="str">
        <x:v>P1</x:v>
      </x:c>
      <x:c r="E510" s="34" t="n">
        <x:v>2039</x:v>
      </x:c>
      <x:c r="F510" s="34" t="n">
        <x:v>5</x:v>
      </x:c>
      <x:c r="G510" s="34" t="n">
        <x:v>21.269998</x:v>
      </x:c>
      <x:c r="H510" s="34" t="n">
        <x:v>28.6</x:v>
      </x:c>
      <x:c r="I510" s="34" t="n">
        <x:v>7.330002</x:v>
      </x:c>
      <x:c r="J510" s="34" t="n">
        <x:v>74.371</x:v>
      </x:c>
      <x:c r="K510" s="34" t="n">
        <x:v>0</x:v>
      </x:c>
      <x:c r="L510" s="34" t="n">
        <x:v>4.1</x:v>
      </x:c>
      <x:c r="M510" s="34" t="n">
        <x:v>4.1</x:v>
      </x:c>
      <x:c r="N510" s="34" t="n">
        <x:v>0</x:v>
      </x:c>
      <x:c r="O510" s="34" t="n">
        <x:v>12.167999</x:v>
      </x:c>
      <x:c r="P510" s="34" t="n">
        <x:v>29.6</x:v>
      </x:c>
      <x:c r="Q510" s="34" t="n">
        <x:v>17.432001</x:v>
      </x:c>
      <x:c r="R510" s="34" t="n">
        <x:v>41.108</x:v>
      </x:c>
      <x:c r="S510" s="40" t="b">
        <x:v>1</x:v>
      </x:c>
      <x:c r="T510" s="34" t="str">
        <x:v>model_interpolation</x:v>
      </x:c>
      <x:c r="U510" s="34" t="str">
        <x:v>Linear interpolation from 2035 to 2040</x:v>
      </x:c>
      <x:c r="V510" s="34" t="str">
        <x:v>CAND-87B9435721978E</x:v>
      </x:c>
      <x:c r="W510" s="34" t="str">
        <x:v>P1</x:v>
      </x:c>
      <x:c r="X510" s="34" t="str">
        <x:v>PORT-5CFD50239439</x:v>
      </x:c>
      <x:c r="Y510" s="34" t="n">
        <x:v>1000</x:v>
      </x:c>
      <x:c r="Z510" s="34" t="n">
        <x:v>8.626353</x:v>
      </x:c>
      <x:c r="AA510" s="34" t="n">
        <x:v>12.076235</x:v>
      </x:c>
      <x:c r="AB510" s="34" t="n">
        <x:v>321.473932</x:v>
      </x:c>
      <x:c r="AC510" s="34" t="n">
        <x:v>2434.553</x:v>
      </x:c>
      <x:c r="AD510" s="34" t="n">
        <x:v>7.573095</x:v>
      </x:c>
      <x:c r="AE510" s="40" t="b">
        <x:v>0</x:v>
      </x:c>
      <x:c r="AF510" s="40" t="b">
        <x:v>0</x:v>
      </x:c>
      <x:c r="AG510" s="34" t="n">
        <x:v>2035</x:v>
      </x:c>
      <x:c r="AH510" s="34" t="n">
        <x:v>15.995002139999997</x:v>
      </x:c>
      <x:c r="AI510" s="34" t="n">
        <x:v>-15.995002139999997</x:v>
      </x:c>
      <x:c r="AJ510" s="40" t="b">
        <x:v>1</x:v>
      </x:c>
      <x:c r="AK510" s="40" t="b">
        <x:v>1</x:v>
      </x:c>
      <x:c r="AL510" s="40" t="b">
        <x:v>1</x:v>
      </x:c>
      <x:c r="AM510" s="40" t="b">
        <x:v>1</x:v>
      </x:c>
      <x:c r="AN510" s="34" t="str"/>
      <x:c r="AO510" s="34" t="n">
        <x:v>0</x:v>
      </x:c>
      <x:c r="AP510" s="34" t="n">
        <x:v>0</x:v>
      </x:c>
      <x:c r="AQ510" s="34" t="n">
        <x:v>0</x:v>
      </x:c>
      <x:c r="AR510" s="34" t="n">
        <x:v>2</x:v>
      </x:c>
      <x:c r="AS510" s="34" t="n">
        <x:v>2</x:v>
      </x:c>
      <x:c r="AT510" s="34" t="n">
        <x:v>0.28236113919999994</x:v>
      </x:c>
      <x:c r="AU510" s="34" t="n">
        <x:v>0.65</x:v>
      </x:c>
      <x:c r="AV510" s="34" t="n">
        <x:v>0.88</x:v>
      </x:c>
    </x:row>
    <x:row r="511">
      <x:c r="A511" s="34" t="str">
        <x:v>NIPPON_STEEL_JP</x:v>
      </x:c>
      <x:c r="B511" s="34" t="str">
        <x:v>Nippon Steel</x:v>
      </x:c>
      <x:c r="C511" s="34" t="str">
        <x:v>ACCELERATED_15C</x:v>
      </x:c>
      <x:c r="D511" s="34" t="str">
        <x:v>P1</x:v>
      </x:c>
      <x:c r="E511" s="34" t="n">
        <x:v>2040</x:v>
      </x:c>
      <x:c r="F511" s="34" t="n">
        <x:v>5</x:v>
      </x:c>
      <x:c r="G511" s="34" t="n">
        <x:v>21.269998</x:v>
      </x:c>
      <x:c r="H511" s="34" t="n">
        <x:v>30</x:v>
      </x:c>
      <x:c r="I511" s="34" t="n">
        <x:v>8.730002</x:v>
      </x:c>
      <x:c r="J511" s="34" t="n">
        <x:v>70.9</x:v>
      </x:c>
      <x:c r="K511" s="34" t="n">
        <x:v>0</x:v>
      </x:c>
      <x:c r="L511" s="34" t="n">
        <x:v>4.5</x:v>
      </x:c>
      <x:c r="M511" s="34" t="n">
        <x:v>4.5</x:v>
      </x:c>
      <x:c r="N511" s="34" t="n">
        <x:v>0</x:v>
      </x:c>
      <x:c r="O511" s="34" t="n">
        <x:v>12.167999</x:v>
      </x:c>
      <x:c r="P511" s="34" t="n">
        <x:v>32</x:v>
      </x:c>
      <x:c r="Q511" s="34" t="n">
        <x:v>19.832001</x:v>
      </x:c>
      <x:c r="R511" s="34" t="n">
        <x:v>38.025</x:v>
      </x:c>
      <x:c r="S511" s="40" t="b">
        <x:v>1</x:v>
      </x:c>
      <x:c r="T511" s="34" t="str">
        <x:v>model_estimate</x:v>
      </x:c>
      <x:c r="U511" s="34" t="str">
        <x:v>Illustrative accelerated envelope; not GCAM or an official supply forecast</x:v>
      </x:c>
      <x:c r="V511" s="34" t="str">
        <x:v>CAND-87B9435721978E</x:v>
      </x:c>
      <x:c r="W511" s="34" t="str">
        <x:v>P1</x:v>
      </x:c>
      <x:c r="X511" s="34" t="str">
        <x:v>PORT-5CFD50239439</x:v>
      </x:c>
      <x:c r="Y511" s="34" t="n">
        <x:v>1000</x:v>
      </x:c>
      <x:c r="Z511" s="34" t="n">
        <x:v>8.626353</x:v>
      </x:c>
      <x:c r="AA511" s="34" t="n">
        <x:v>12.076235</x:v>
      </x:c>
      <x:c r="AB511" s="34" t="n">
        <x:v>321.473932</x:v>
      </x:c>
      <x:c r="AC511" s="34" t="n">
        <x:v>2434.553</x:v>
      </x:c>
      <x:c r="AD511" s="34" t="n">
        <x:v>7.573095</x:v>
      </x:c>
      <x:c r="AE511" s="40" t="b">
        <x:v>0</x:v>
      </x:c>
      <x:c r="AF511" s="40" t="b">
        <x:v>0</x:v>
      </x:c>
      <x:c r="AG511" s="34" t="n">
        <x:v>2035</x:v>
      </x:c>
      <x:c r="AH511" s="34" t="n">
        <x:v>15.995002139999997</x:v>
      </x:c>
      <x:c r="AI511" s="34" t="n">
        <x:v>-15.995002139999997</x:v>
      </x:c>
      <x:c r="AJ511" s="40" t="b">
        <x:v>1</x:v>
      </x:c>
      <x:c r="AK511" s="40" t="b">
        <x:v>1</x:v>
      </x:c>
      <x:c r="AL511" s="40" t="b">
        <x:v>1</x:v>
      </x:c>
      <x:c r="AM511" s="40" t="b">
        <x:v>1</x:v>
      </x:c>
      <x:c r="AN511" s="34" t="str"/>
      <x:c r="AO511" s="34" t="n">
        <x:v>0</x:v>
      </x:c>
      <x:c r="AP511" s="34" t="n">
        <x:v>0</x:v>
      </x:c>
      <x:c r="AQ511" s="34" t="n">
        <x:v>0</x:v>
      </x:c>
      <x:c r="AR511" s="34" t="n">
        <x:v>2</x:v>
      </x:c>
      <x:c r="AS511" s="34" t="n">
        <x:v>2</x:v>
      </x:c>
      <x:c r="AT511" s="34" t="n">
        <x:v>0.28236113919999994</x:v>
      </x:c>
      <x:c r="AU511" s="34" t="n">
        <x:v>0.65</x:v>
      </x:c>
      <x:c r="AV511" s="34" t="n">
        <x:v>0.88</x:v>
      </x:c>
    </x:row>
    <x:row r="512">
      <x:c r="A512" s="34" t="str">
        <x:v>POSCO_KR</x:v>
      </x:c>
      <x:c r="B512" s="34" t="str">
        <x:v>POSCO</x:v>
      </x:c>
      <x:c r="C512" s="34" t="str">
        <x:v>DISCLOSED_PATH</x:v>
      </x:c>
      <x:c r="D512" s="34" t="str">
        <x:v>P3</x:v>
      </x:c>
      <x:c r="E512" s="34" t="n">
        <x:v>2026</x:v>
      </x:c>
      <x:c r="F512" s="34" t="n">
        <x:v>0</x:v>
      </x:c>
      <x:c r="G512" s="34" t="n">
        <x:v>0</x:v>
      </x:c>
      <x:c r="H512" s="34" t="n">
        <x:v>8</x:v>
      </x:c>
      <x:c r="I512" s="34" t="n">
        <x:v>8</x:v>
      </x:c>
      <x:c r="J512" s="34" t="n">
        <x:v>0</x:v>
      </x:c>
      <x:c r="K512" s="34" t="n">
        <x:v>0</x:v>
      </x:c>
      <x:c r="L512" s="34" t="n">
        <x:v>0</x:v>
      </x:c>
      <x:c r="M512" s="34" t="n">
        <x:v>0</x:v>
      </x:c>
      <x:c r="N512" s="34" t="n">
        <x:v>0</x:v>
      </x:c>
      <x:c r="O512" s="34" t="n">
        <x:v>0</x:v>
      </x:c>
      <x:c r="P512" s="34" t="n">
        <x:v>2</x:v>
      </x:c>
      <x:c r="Q512" s="34" t="n">
        <x:v>2</x:v>
      </x:c>
      <x:c r="R512" s="34" t="n">
        <x:v>0</x:v>
      </x:c>
      <x:c r="S512" s="40" t="b">
        <x:v>1</x:v>
      </x:c>
      <x:c r="T512" s="34" t="str">
        <x:v>model_interpolation</x:v>
      </x:c>
      <x:c r="U512" s="34" t="str">
        <x:v>Linear interpolation from 2026 to 2030</x:v>
      </x:c>
      <x:c r="V512" s="34" t="str">
        <x:v>CAND-921D50D4015721</x:v>
      </x:c>
      <x:c r="W512" s="34" t="str">
        <x:v>P3</x:v>
      </x:c>
      <x:c r="X512" s="34" t="str">
        <x:v>PORT-96133A6427FE</x:v>
      </x:c>
      <x:c r="Y512" s="34" t="n">
        <x:v>1000</x:v>
      </x:c>
      <x:c r="Z512" s="34" t="n">
        <x:v>67.203768</x:v>
      </x:c>
      <x:c r="AA512" s="34" t="n">
        <x:v>14.314542</x:v>
      </x:c>
      <x:c r="AB512" s="34" t="n">
        <x:v>430.20423</x:v>
      </x:c>
      <x:c r="AC512" s="34" t="n">
        <x:v>28331.133</x:v>
      </x:c>
      <x:c r="AD512" s="34" t="n">
        <x:v>65.855078</x:v>
      </x:c>
      <x:c r="AE512" s="40" t="b">
        <x:v>1</x:v>
      </x:c>
      <x:c r="AF512" s="40" t="b">
        <x:v>1</x:v>
      </x:c>
      <x:c r="AG512" s="34" t="str"/>
      <x:c r="AH512" s="34" t="n">
        <x:v>0</x:v>
      </x:c>
      <x:c r="AI512" s="34" t="str">
        <x:v>2.0275124185786808e-05</x:v>
      </x:c>
      <x:c r="AJ512" s="40" t="b">
        <x:v>1</x:v>
      </x:c>
      <x:c r="AK512" s="40" t="b">
        <x:v>1</x:v>
      </x:c>
      <x:c r="AL512" s="40" t="b">
        <x:v>1</x:v>
      </x:c>
      <x:c r="AM512" s="40" t="b">
        <x:v>1</x:v>
      </x:c>
      <x:c r="AN512" s="34" t="str"/>
      <x:c r="AO512" s="34" t="n">
        <x:v>0</x:v>
      </x:c>
      <x:c r="AP512" s="34" t="n">
        <x:v>0</x:v>
      </x:c>
      <x:c r="AQ512" s="34" t="n">
        <x:v>0</x:v>
      </x:c>
      <x:c r="AR512" s="34" t="n">
        <x:v>2</x:v>
      </x:c>
      <x:c r="AS512" s="34" t="n">
        <x:v>3</x:v>
      </x:c>
      <x:c r="AT512" s="34" t="n">
        <x:v>0.45933660799999987</x:v>
      </x:c>
      <x:c r="AU512" s="34" t="n">
        <x:v>0.65</x:v>
      </x:c>
      <x:c r="AV512" s="34" t="n">
        <x:v>2.02</x:v>
      </x:c>
    </x:row>
    <x:row r="513">
      <x:c r="A513" s="34" t="str">
        <x:v>POSCO_KR</x:v>
      </x:c>
      <x:c r="B513" s="34" t="str">
        <x:v>POSCO</x:v>
      </x:c>
      <x:c r="C513" s="34" t="str">
        <x:v>DISCLOSED_PATH</x:v>
      </x:c>
      <x:c r="D513" s="34" t="str">
        <x:v>P3</x:v>
      </x:c>
      <x:c r="E513" s="34" t="n">
        <x:v>2027</x:v>
      </x:c>
      <x:c r="F513" s="34" t="n">
        <x:v>0</x:v>
      </x:c>
      <x:c r="G513" s="34" t="n">
        <x:v>0</x:v>
      </x:c>
      <x:c r="H513" s="34" t="n">
        <x:v>9</x:v>
      </x:c>
      <x:c r="I513" s="34" t="n">
        <x:v>9</x:v>
      </x:c>
      <x:c r="J513" s="34" t="n">
        <x:v>0</x:v>
      </x:c>
      <x:c r="K513" s="34" t="n">
        <x:v>0</x:v>
      </x:c>
      <x:c r="L513" s="34" t="n">
        <x:v>0.125</x:v>
      </x:c>
      <x:c r="M513" s="34" t="n">
        <x:v>0.125</x:v>
      </x:c>
      <x:c r="N513" s="34" t="n">
        <x:v>0</x:v>
      </x:c>
      <x:c r="O513" s="34" t="n">
        <x:v>0</x:v>
      </x:c>
      <x:c r="P513" s="34" t="n">
        <x:v>3.25</x:v>
      </x:c>
      <x:c r="Q513" s="34" t="n">
        <x:v>3.25</x:v>
      </x:c>
      <x:c r="R513" s="34" t="n">
        <x:v>0</x:v>
      </x:c>
      <x:c r="S513" s="40" t="b">
        <x:v>1</x:v>
      </x:c>
      <x:c r="T513" s="34" t="str">
        <x:v>model_interpolation</x:v>
      </x:c>
      <x:c r="U513" s="34" t="str">
        <x:v>Linear interpolation from 2026 to 2030</x:v>
      </x:c>
      <x:c r="V513" s="34" t="str">
        <x:v>CAND-921D50D4015721</x:v>
      </x:c>
      <x:c r="W513" s="34" t="str">
        <x:v>P3</x:v>
      </x:c>
      <x:c r="X513" s="34" t="str">
        <x:v>PORT-96133A6427FE</x:v>
      </x:c>
      <x:c r="Y513" s="34" t="n">
        <x:v>1000</x:v>
      </x:c>
      <x:c r="Z513" s="34" t="n">
        <x:v>67.203768</x:v>
      </x:c>
      <x:c r="AA513" s="34" t="n">
        <x:v>14.314542</x:v>
      </x:c>
      <x:c r="AB513" s="34" t="n">
        <x:v>430.20423</x:v>
      </x:c>
      <x:c r="AC513" s="34" t="n">
        <x:v>28331.133</x:v>
      </x:c>
      <x:c r="AD513" s="34" t="n">
        <x:v>65.855078</x:v>
      </x:c>
      <x:c r="AE513" s="40" t="b">
        <x:v>1</x:v>
      </x:c>
      <x:c r="AF513" s="40" t="b">
        <x:v>1</x:v>
      </x:c>
      <x:c r="AG513" s="34" t="str"/>
      <x:c r="AH513" s="34" t="n">
        <x:v>0</x:v>
      </x:c>
      <x:c r="AI513" s="34" t="str">
        <x:v>2.0275124185786808e-05</x:v>
      </x:c>
      <x:c r="AJ513" s="40" t="b">
        <x:v>1</x:v>
      </x:c>
      <x:c r="AK513" s="40" t="b">
        <x:v>1</x:v>
      </x:c>
      <x:c r="AL513" s="40" t="b">
        <x:v>1</x:v>
      </x:c>
      <x:c r="AM513" s="40" t="b">
        <x:v>1</x:v>
      </x:c>
      <x:c r="AN513" s="34" t="str"/>
      <x:c r="AO513" s="34" t="n">
        <x:v>0</x:v>
      </x:c>
      <x:c r="AP513" s="34" t="n">
        <x:v>0</x:v>
      </x:c>
      <x:c r="AQ513" s="34" t="n">
        <x:v>0</x:v>
      </x:c>
      <x:c r="AR513" s="34" t="n">
        <x:v>2</x:v>
      </x:c>
      <x:c r="AS513" s="34" t="n">
        <x:v>3</x:v>
      </x:c>
      <x:c r="AT513" s="34" t="n">
        <x:v>0.45933660799999987</x:v>
      </x:c>
      <x:c r="AU513" s="34" t="n">
        <x:v>0.65</x:v>
      </x:c>
      <x:c r="AV513" s="34" t="n">
        <x:v>2.02</x:v>
      </x:c>
    </x:row>
    <x:row r="514">
      <x:c r="A514" s="34" t="str">
        <x:v>POSCO_KR</x:v>
      </x:c>
      <x:c r="B514" s="34" t="str">
        <x:v>POSCO</x:v>
      </x:c>
      <x:c r="C514" s="34" t="str">
        <x:v>DISCLOSED_PATH</x:v>
      </x:c>
      <x:c r="D514" s="34" t="str">
        <x:v>P3</x:v>
      </x:c>
      <x:c r="E514" s="34" t="n">
        <x:v>2028</x:v>
      </x:c>
      <x:c r="F514" s="34" t="n">
        <x:v>0</x:v>
      </x:c>
      <x:c r="G514" s="34" t="n">
        <x:v>0</x:v>
      </x:c>
      <x:c r="H514" s="34" t="n">
        <x:v>10</x:v>
      </x:c>
      <x:c r="I514" s="34" t="n">
        <x:v>10</x:v>
      </x:c>
      <x:c r="J514" s="34" t="n">
        <x:v>0</x:v>
      </x:c>
      <x:c r="K514" s="34" t="n">
        <x:v>0</x:v>
      </x:c>
      <x:c r="L514" s="34" t="n">
        <x:v>0.25</x:v>
      </x:c>
      <x:c r="M514" s="34" t="n">
        <x:v>0.25</x:v>
      </x:c>
      <x:c r="N514" s="34" t="n">
        <x:v>0</x:v>
      </x:c>
      <x:c r="O514" s="34" t="n">
        <x:v>0</x:v>
      </x:c>
      <x:c r="P514" s="34" t="n">
        <x:v>4.5</x:v>
      </x:c>
      <x:c r="Q514" s="34" t="n">
        <x:v>4.5</x:v>
      </x:c>
      <x:c r="R514" s="34" t="n">
        <x:v>0</x:v>
      </x:c>
      <x:c r="S514" s="40" t="b">
        <x:v>1</x:v>
      </x:c>
      <x:c r="T514" s="34" t="str">
        <x:v>model_interpolation</x:v>
      </x:c>
      <x:c r="U514" s="34" t="str">
        <x:v>Linear interpolation from 2026 to 2030</x:v>
      </x:c>
      <x:c r="V514" s="34" t="str">
        <x:v>CAND-921D50D4015721</x:v>
      </x:c>
      <x:c r="W514" s="34" t="str">
        <x:v>P3</x:v>
      </x:c>
      <x:c r="X514" s="34" t="str">
        <x:v>PORT-96133A6427FE</x:v>
      </x:c>
      <x:c r="Y514" s="34" t="n">
        <x:v>1000</x:v>
      </x:c>
      <x:c r="Z514" s="34" t="n">
        <x:v>67.203768</x:v>
      </x:c>
      <x:c r="AA514" s="34" t="n">
        <x:v>14.314542</x:v>
      </x:c>
      <x:c r="AB514" s="34" t="n">
        <x:v>430.20423</x:v>
      </x:c>
      <x:c r="AC514" s="34" t="n">
        <x:v>28331.133</x:v>
      </x:c>
      <x:c r="AD514" s="34" t="n">
        <x:v>65.855078</x:v>
      </x:c>
      <x:c r="AE514" s="40" t="b">
        <x:v>1</x:v>
      </x:c>
      <x:c r="AF514" s="40" t="b">
        <x:v>1</x:v>
      </x:c>
      <x:c r="AG514" s="34" t="str"/>
      <x:c r="AH514" s="34" t="n">
        <x:v>0</x:v>
      </x:c>
      <x:c r="AI514" s="34" t="str">
        <x:v>2.0275124185786808e-05</x:v>
      </x:c>
      <x:c r="AJ514" s="40" t="b">
        <x:v>1</x:v>
      </x:c>
      <x:c r="AK514" s="40" t="b">
        <x:v>1</x:v>
      </x:c>
      <x:c r="AL514" s="40" t="b">
        <x:v>1</x:v>
      </x:c>
      <x:c r="AM514" s="40" t="b">
        <x:v>1</x:v>
      </x:c>
      <x:c r="AN514" s="34" t="str"/>
      <x:c r="AO514" s="34" t="n">
        <x:v>0</x:v>
      </x:c>
      <x:c r="AP514" s="34" t="n">
        <x:v>0</x:v>
      </x:c>
      <x:c r="AQ514" s="34" t="n">
        <x:v>0</x:v>
      </x:c>
      <x:c r="AR514" s="34" t="n">
        <x:v>2</x:v>
      </x:c>
      <x:c r="AS514" s="34" t="n">
        <x:v>3</x:v>
      </x:c>
      <x:c r="AT514" s="34" t="n">
        <x:v>0.45933660799999987</x:v>
      </x:c>
      <x:c r="AU514" s="34" t="n">
        <x:v>0.65</x:v>
      </x:c>
      <x:c r="AV514" s="34" t="n">
        <x:v>2.02</x:v>
      </x:c>
    </x:row>
    <x:row r="515">
      <x:c r="A515" s="34" t="str">
        <x:v>POSCO_KR</x:v>
      </x:c>
      <x:c r="B515" s="34" t="str">
        <x:v>POSCO</x:v>
      </x:c>
      <x:c r="C515" s="34" t="str">
        <x:v>DISCLOSED_PATH</x:v>
      </x:c>
      <x:c r="D515" s="34" t="str">
        <x:v>P3</x:v>
      </x:c>
      <x:c r="E515" s="34" t="n">
        <x:v>2029</x:v>
      </x:c>
      <x:c r="F515" s="34" t="n">
        <x:v>1</x:v>
      </x:c>
      <x:c r="G515" s="34" t="n">
        <x:v>6.839998</x:v>
      </x:c>
      <x:c r="H515" s="34" t="n">
        <x:v>11</x:v>
      </x:c>
      <x:c r="I515" s="34" t="n">
        <x:v>4.160002</x:v>
      </x:c>
      <x:c r="J515" s="34" t="n">
        <x:v>62.182</x:v>
      </x:c>
      <x:c r="K515" s="34" t="n">
        <x:v>0</x:v>
      </x:c>
      <x:c r="L515" s="34" t="n">
        <x:v>0.375</x:v>
      </x:c>
      <x:c r="M515" s="34" t="n">
        <x:v>0.375</x:v>
      </x:c>
      <x:c r="N515" s="34" t="n">
        <x:v>0</x:v>
      </x:c>
      <x:c r="O515" s="34" t="n">
        <x:v>4.255999</x:v>
      </x:c>
      <x:c r="P515" s="34" t="n">
        <x:v>5.75</x:v>
      </x:c>
      <x:c r="Q515" s="34" t="n">
        <x:v>1.494001</x:v>
      </x:c>
      <x:c r="R515" s="34" t="n">
        <x:v>74.017</x:v>
      </x:c>
      <x:c r="S515" s="40" t="b">
        <x:v>1</x:v>
      </x:c>
      <x:c r="T515" s="34" t="str">
        <x:v>model_interpolation</x:v>
      </x:c>
      <x:c r="U515" s="34" t="str">
        <x:v>Linear interpolation from 2026 to 2030</x:v>
      </x:c>
      <x:c r="V515" s="34" t="str">
        <x:v>CAND-921D50D4015721</x:v>
      </x:c>
      <x:c r="W515" s="34" t="str">
        <x:v>P3</x:v>
      </x:c>
      <x:c r="X515" s="34" t="str">
        <x:v>PORT-96133A6427FE</x:v>
      </x:c>
      <x:c r="Y515" s="34" t="n">
        <x:v>1000</x:v>
      </x:c>
      <x:c r="Z515" s="34" t="n">
        <x:v>67.203768</x:v>
      </x:c>
      <x:c r="AA515" s="34" t="n">
        <x:v>14.314542</x:v>
      </x:c>
      <x:c r="AB515" s="34" t="n">
        <x:v>430.20423</x:v>
      </x:c>
      <x:c r="AC515" s="34" t="n">
        <x:v>28331.133</x:v>
      </x:c>
      <x:c r="AD515" s="34" t="n">
        <x:v>65.855078</x:v>
      </x:c>
      <x:c r="AE515" s="40" t="b">
        <x:v>1</x:v>
      </x:c>
      <x:c r="AF515" s="40" t="b">
        <x:v>1</x:v>
      </x:c>
      <x:c r="AG515" s="34" t="str"/>
      <x:c r="AH515" s="34" t="n">
        <x:v>0</x:v>
      </x:c>
      <x:c r="AI515" s="34" t="str">
        <x:v>2.0275124185786808e-05</x:v>
      </x:c>
      <x:c r="AJ515" s="40" t="b">
        <x:v>1</x:v>
      </x:c>
      <x:c r="AK515" s="40" t="b">
        <x:v>1</x:v>
      </x:c>
      <x:c r="AL515" s="40" t="b">
        <x:v>1</x:v>
      </x:c>
      <x:c r="AM515" s="40" t="b">
        <x:v>1</x:v>
      </x:c>
      <x:c r="AN515" s="34" t="str"/>
      <x:c r="AO515" s="34" t="n">
        <x:v>0</x:v>
      </x:c>
      <x:c r="AP515" s="34" t="n">
        <x:v>0</x:v>
      </x:c>
      <x:c r="AQ515" s="34" t="n">
        <x:v>0</x:v>
      </x:c>
      <x:c r="AR515" s="34" t="n">
        <x:v>2</x:v>
      </x:c>
      <x:c r="AS515" s="34" t="n">
        <x:v>3</x:v>
      </x:c>
      <x:c r="AT515" s="34" t="n">
        <x:v>0.45933660799999987</x:v>
      </x:c>
      <x:c r="AU515" s="34" t="n">
        <x:v>0.65</x:v>
      </x:c>
      <x:c r="AV515" s="34" t="n">
        <x:v>2.02</x:v>
      </x:c>
    </x:row>
    <x:row r="516">
      <x:c r="A516" s="34" t="str">
        <x:v>POSCO_KR</x:v>
      </x:c>
      <x:c r="B516" s="34" t="str">
        <x:v>POSCO</x:v>
      </x:c>
      <x:c r="C516" s="34" t="str">
        <x:v>DISCLOSED_PATH</x:v>
      </x:c>
      <x:c r="D516" s="34" t="str">
        <x:v>P3</x:v>
      </x:c>
      <x:c r="E516" s="34" t="n">
        <x:v>2030</x:v>
      </x:c>
      <x:c r="F516" s="34" t="n">
        <x:v>1</x:v>
      </x:c>
      <x:c r="G516" s="34" t="n">
        <x:v>6.839998</x:v>
      </x:c>
      <x:c r="H516" s="34" t="n">
        <x:v>12</x:v>
      </x:c>
      <x:c r="I516" s="34" t="n">
        <x:v>5.160002</x:v>
      </x:c>
      <x:c r="J516" s="34" t="n">
        <x:v>57</x:v>
      </x:c>
      <x:c r="K516" s="34" t="n">
        <x:v>0</x:v>
      </x:c>
      <x:c r="L516" s="34" t="n">
        <x:v>0.5</x:v>
      </x:c>
      <x:c r="M516" s="34" t="n">
        <x:v>0.5</x:v>
      </x:c>
      <x:c r="N516" s="34" t="n">
        <x:v>0</x:v>
      </x:c>
      <x:c r="O516" s="34" t="n">
        <x:v>4.255999</x:v>
      </x:c>
      <x:c r="P516" s="34" t="n">
        <x:v>7</x:v>
      </x:c>
      <x:c r="Q516" s="34" t="n">
        <x:v>2.744001</x:v>
      </x:c>
      <x:c r="R516" s="34" t="n">
        <x:v>60.8</x:v>
      </x:c>
      <x:c r="S516" s="40" t="b">
        <x:v>1</x:v>
      </x:c>
      <x:c r="T516" s="34" t="str">
        <x:v>model_interpolation</x:v>
      </x:c>
      <x:c r="U516" s="34" t="str">
        <x:v>Linear interpolation from 2030 to 2035</x:v>
      </x:c>
      <x:c r="V516" s="34" t="str">
        <x:v>CAND-921D50D4015721</x:v>
      </x:c>
      <x:c r="W516" s="34" t="str">
        <x:v>P3</x:v>
      </x:c>
      <x:c r="X516" s="34" t="str">
        <x:v>PORT-96133A6427FE</x:v>
      </x:c>
      <x:c r="Y516" s="34" t="n">
        <x:v>1000</x:v>
      </x:c>
      <x:c r="Z516" s="34" t="n">
        <x:v>67.203768</x:v>
      </x:c>
      <x:c r="AA516" s="34" t="n">
        <x:v>14.314542</x:v>
      </x:c>
      <x:c r="AB516" s="34" t="n">
        <x:v>430.20423</x:v>
      </x:c>
      <x:c r="AC516" s="34" t="n">
        <x:v>28331.133</x:v>
      </x:c>
      <x:c r="AD516" s="34" t="n">
        <x:v>65.855078</x:v>
      </x:c>
      <x:c r="AE516" s="40" t="b">
        <x:v>1</x:v>
      </x:c>
      <x:c r="AF516" s="40" t="b">
        <x:v>1</x:v>
      </x:c>
      <x:c r="AG516" s="34" t="str"/>
      <x:c r="AH516" s="34" t="n">
        <x:v>0</x:v>
      </x:c>
      <x:c r="AI516" s="34" t="str">
        <x:v>2.0275124185786808e-05</x:v>
      </x:c>
      <x:c r="AJ516" s="40" t="b">
        <x:v>1</x:v>
      </x:c>
      <x:c r="AK516" s="40" t="b">
        <x:v>1</x:v>
      </x:c>
      <x:c r="AL516" s="40" t="b">
        <x:v>1</x:v>
      </x:c>
      <x:c r="AM516" s="40" t="b">
        <x:v>1</x:v>
      </x:c>
      <x:c r="AN516" s="34" t="str"/>
      <x:c r="AO516" s="34" t="n">
        <x:v>0</x:v>
      </x:c>
      <x:c r="AP516" s="34" t="n">
        <x:v>0</x:v>
      </x:c>
      <x:c r="AQ516" s="34" t="n">
        <x:v>0</x:v>
      </x:c>
      <x:c r="AR516" s="34" t="n">
        <x:v>2</x:v>
      </x:c>
      <x:c r="AS516" s="34" t="n">
        <x:v>3</x:v>
      </x:c>
      <x:c r="AT516" s="34" t="n">
        <x:v>0.45933660799999987</x:v>
      </x:c>
      <x:c r="AU516" s="34" t="n">
        <x:v>0.65</x:v>
      </x:c>
      <x:c r="AV516" s="34" t="n">
        <x:v>2.02</x:v>
      </x:c>
    </x:row>
    <x:row r="517">
      <x:c r="A517" s="34" t="str">
        <x:v>POSCO_KR</x:v>
      </x:c>
      <x:c r="B517" s="34" t="str">
        <x:v>POSCO</x:v>
      </x:c>
      <x:c r="C517" s="34" t="str">
        <x:v>DISCLOSED_PATH</x:v>
      </x:c>
      <x:c r="D517" s="34" t="str">
        <x:v>P3</x:v>
      </x:c>
      <x:c r="E517" s="34" t="n">
        <x:v>2031</x:v>
      </x:c>
      <x:c r="F517" s="34" t="n">
        <x:v>1</x:v>
      </x:c>
      <x:c r="G517" s="34" t="n">
        <x:v>6.839998</x:v>
      </x:c>
      <x:c r="H517" s="34" t="n">
        <x:v>13.2</x:v>
      </x:c>
      <x:c r="I517" s="34" t="n">
        <x:v>6.360002</x:v>
      </x:c>
      <x:c r="J517" s="34" t="n">
        <x:v>51.818</x:v>
      </x:c>
      <x:c r="K517" s="34" t="n">
        <x:v>0</x:v>
      </x:c>
      <x:c r="L517" s="34" t="n">
        <x:v>0.7</x:v>
      </x:c>
      <x:c r="M517" s="34" t="n">
        <x:v>0.7</x:v>
      </x:c>
      <x:c r="N517" s="34" t="n">
        <x:v>0</x:v>
      </x:c>
      <x:c r="O517" s="34" t="n">
        <x:v>4.255999</x:v>
      </x:c>
      <x:c r="P517" s="34" t="n">
        <x:v>8.6</x:v>
      </x:c>
      <x:c r="Q517" s="34" t="n">
        <x:v>4.344001</x:v>
      </x:c>
      <x:c r="R517" s="34" t="n">
        <x:v>49.488</x:v>
      </x:c>
      <x:c r="S517" s="40" t="b">
        <x:v>1</x:v>
      </x:c>
      <x:c r="T517" s="34" t="str">
        <x:v>model_interpolation</x:v>
      </x:c>
      <x:c r="U517" s="34" t="str">
        <x:v>Linear interpolation from 2030 to 2035</x:v>
      </x:c>
      <x:c r="V517" s="34" t="str">
        <x:v>CAND-921D50D4015721</x:v>
      </x:c>
      <x:c r="W517" s="34" t="str">
        <x:v>P3</x:v>
      </x:c>
      <x:c r="X517" s="34" t="str">
        <x:v>PORT-96133A6427FE</x:v>
      </x:c>
      <x:c r="Y517" s="34" t="n">
        <x:v>1000</x:v>
      </x:c>
      <x:c r="Z517" s="34" t="n">
        <x:v>67.203768</x:v>
      </x:c>
      <x:c r="AA517" s="34" t="n">
        <x:v>14.314542</x:v>
      </x:c>
      <x:c r="AB517" s="34" t="n">
        <x:v>430.20423</x:v>
      </x:c>
      <x:c r="AC517" s="34" t="n">
        <x:v>28331.133</x:v>
      </x:c>
      <x:c r="AD517" s="34" t="n">
        <x:v>65.855078</x:v>
      </x:c>
      <x:c r="AE517" s="40" t="b">
        <x:v>1</x:v>
      </x:c>
      <x:c r="AF517" s="40" t="b">
        <x:v>1</x:v>
      </x:c>
      <x:c r="AG517" s="34" t="str"/>
      <x:c r="AH517" s="34" t="n">
        <x:v>0</x:v>
      </x:c>
      <x:c r="AI517" s="34" t="str">
        <x:v>2.0275124185786808e-05</x:v>
      </x:c>
      <x:c r="AJ517" s="40" t="b">
        <x:v>1</x:v>
      </x:c>
      <x:c r="AK517" s="40" t="b">
        <x:v>1</x:v>
      </x:c>
      <x:c r="AL517" s="40" t="b">
        <x:v>1</x:v>
      </x:c>
      <x:c r="AM517" s="40" t="b">
        <x:v>1</x:v>
      </x:c>
      <x:c r="AN517" s="34" t="str"/>
      <x:c r="AO517" s="34" t="n">
        <x:v>0</x:v>
      </x:c>
      <x:c r="AP517" s="34" t="n">
        <x:v>0</x:v>
      </x:c>
      <x:c r="AQ517" s="34" t="n">
        <x:v>0</x:v>
      </x:c>
      <x:c r="AR517" s="34" t="n">
        <x:v>2</x:v>
      </x:c>
      <x:c r="AS517" s="34" t="n">
        <x:v>3</x:v>
      </x:c>
      <x:c r="AT517" s="34" t="n">
        <x:v>0.45933660799999987</x:v>
      </x:c>
      <x:c r="AU517" s="34" t="n">
        <x:v>0.65</x:v>
      </x:c>
      <x:c r="AV517" s="34" t="n">
        <x:v>2.02</x:v>
      </x:c>
    </x:row>
    <x:row r="518">
      <x:c r="A518" s="34" t="str">
        <x:v>POSCO_KR</x:v>
      </x:c>
      <x:c r="B518" s="34" t="str">
        <x:v>POSCO</x:v>
      </x:c>
      <x:c r="C518" s="34" t="str">
        <x:v>DISCLOSED_PATH</x:v>
      </x:c>
      <x:c r="D518" s="34" t="str">
        <x:v>P3</x:v>
      </x:c>
      <x:c r="E518" s="34" t="n">
        <x:v>2032</x:v>
      </x:c>
      <x:c r="F518" s="34" t="n">
        <x:v>2</x:v>
      </x:c>
      <x:c r="G518" s="34" t="n">
        <x:v>7.859998</x:v>
      </x:c>
      <x:c r="H518" s="34" t="n">
        <x:v>14.4</x:v>
      </x:c>
      <x:c r="I518" s="34" t="n">
        <x:v>6.540002</x:v>
      </x:c>
      <x:c r="J518" s="34" t="n">
        <x:v>54.583</x:v>
      </x:c>
      <x:c r="K518" s="34" t="n">
        <x:v>0.374</x:v>
      </x:c>
      <x:c r="L518" s="34" t="n">
        <x:v>0.9</x:v>
      </x:c>
      <x:c r="M518" s="34" t="n">
        <x:v>0.526</x:v>
      </x:c>
      <x:c r="N518" s="34" t="n">
        <x:v>41.556</x:v>
      </x:c>
      <x:c r="O518" s="34" t="n">
        <x:v>7.383999</x:v>
      </x:c>
      <x:c r="P518" s="34" t="n">
        <x:v>10.2</x:v>
      </x:c>
      <x:c r="Q518" s="34" t="n">
        <x:v>2.816001</x:v>
      </x:c>
      <x:c r="R518" s="34" t="n">
        <x:v>72.392</x:v>
      </x:c>
      <x:c r="S518" s="40" t="b">
        <x:v>1</x:v>
      </x:c>
      <x:c r="T518" s="34" t="str">
        <x:v>model_interpolation</x:v>
      </x:c>
      <x:c r="U518" s="34" t="str">
        <x:v>Linear interpolation from 2030 to 2035</x:v>
      </x:c>
      <x:c r="V518" s="34" t="str">
        <x:v>CAND-921D50D4015721</x:v>
      </x:c>
      <x:c r="W518" s="34" t="str">
        <x:v>P3</x:v>
      </x:c>
      <x:c r="X518" s="34" t="str">
        <x:v>PORT-96133A6427FE</x:v>
      </x:c>
      <x:c r="Y518" s="34" t="n">
        <x:v>1000</x:v>
      </x:c>
      <x:c r="Z518" s="34" t="n">
        <x:v>67.203768</x:v>
      </x:c>
      <x:c r="AA518" s="34" t="n">
        <x:v>14.314542</x:v>
      </x:c>
      <x:c r="AB518" s="34" t="n">
        <x:v>430.20423</x:v>
      </x:c>
      <x:c r="AC518" s="34" t="n">
        <x:v>28331.133</x:v>
      </x:c>
      <x:c r="AD518" s="34" t="n">
        <x:v>65.855078</x:v>
      </x:c>
      <x:c r="AE518" s="40" t="b">
        <x:v>1</x:v>
      </x:c>
      <x:c r="AF518" s="40" t="b">
        <x:v>1</x:v>
      </x:c>
      <x:c r="AG518" s="34" t="str"/>
      <x:c r="AH518" s="34" t="n">
        <x:v>0</x:v>
      </x:c>
      <x:c r="AI518" s="34" t="str">
        <x:v>2.0275124185786808e-05</x:v>
      </x:c>
      <x:c r="AJ518" s="40" t="b">
        <x:v>1</x:v>
      </x:c>
      <x:c r="AK518" s="40" t="b">
        <x:v>1</x:v>
      </x:c>
      <x:c r="AL518" s="40" t="b">
        <x:v>1</x:v>
      </x:c>
      <x:c r="AM518" s="40" t="b">
        <x:v>1</x:v>
      </x:c>
      <x:c r="AN518" s="34" t="str"/>
      <x:c r="AO518" s="34" t="n">
        <x:v>0</x:v>
      </x:c>
      <x:c r="AP518" s="34" t="n">
        <x:v>0</x:v>
      </x:c>
      <x:c r="AQ518" s="34" t="n">
        <x:v>0</x:v>
      </x:c>
      <x:c r="AR518" s="34" t="n">
        <x:v>2</x:v>
      </x:c>
      <x:c r="AS518" s="34" t="n">
        <x:v>3</x:v>
      </x:c>
      <x:c r="AT518" s="34" t="n">
        <x:v>0.45933660799999987</x:v>
      </x:c>
      <x:c r="AU518" s="34" t="n">
        <x:v>0.65</x:v>
      </x:c>
      <x:c r="AV518" s="34" t="n">
        <x:v>2.02</x:v>
      </x:c>
    </x:row>
    <x:row r="519">
      <x:c r="A519" s="34" t="str">
        <x:v>POSCO_KR</x:v>
      </x:c>
      <x:c r="B519" s="34" t="str">
        <x:v>POSCO</x:v>
      </x:c>
      <x:c r="C519" s="34" t="str">
        <x:v>DISCLOSED_PATH</x:v>
      </x:c>
      <x:c r="D519" s="34" t="str">
        <x:v>P3</x:v>
      </x:c>
      <x:c r="E519" s="34" t="n">
        <x:v>2033</x:v>
      </x:c>
      <x:c r="F519" s="34" t="n">
        <x:v>3</x:v>
      </x:c>
      <x:c r="G519" s="34" t="n">
        <x:v>8.880598</x:v>
      </x:c>
      <x:c r="H519" s="34" t="n">
        <x:v>15.6</x:v>
      </x:c>
      <x:c r="I519" s="34" t="n">
        <x:v>6.719402</x:v>
      </x:c>
      <x:c r="J519" s="34" t="n">
        <x:v>56.927</x:v>
      </x:c>
      <x:c r="K519" s="34" t="n">
        <x:v>0.374</x:v>
      </x:c>
      <x:c r="L519" s="34" t="n">
        <x:v>1.1</x:v>
      </x:c>
      <x:c r="M519" s="34" t="n">
        <x:v>0.726</x:v>
      </x:c>
      <x:c r="N519" s="34" t="n">
        <x:v>34</x:v>
      </x:c>
      <x:c r="O519" s="34" t="n">
        <x:v>7.452039</x:v>
      </x:c>
      <x:c r="P519" s="34" t="n">
        <x:v>11.8</x:v>
      </x:c>
      <x:c r="Q519" s="34" t="n">
        <x:v>4.347961</x:v>
      </x:c>
      <x:c r="R519" s="34" t="n">
        <x:v>63.153</x:v>
      </x:c>
      <x:c r="S519" s="40" t="b">
        <x:v>1</x:v>
      </x:c>
      <x:c r="T519" s="34" t="str">
        <x:v>model_interpolation</x:v>
      </x:c>
      <x:c r="U519" s="34" t="str">
        <x:v>Linear interpolation from 2030 to 2035</x:v>
      </x:c>
      <x:c r="V519" s="34" t="str">
        <x:v>CAND-921D50D4015721</x:v>
      </x:c>
      <x:c r="W519" s="34" t="str">
        <x:v>P3</x:v>
      </x:c>
      <x:c r="X519" s="34" t="str">
        <x:v>PORT-96133A6427FE</x:v>
      </x:c>
      <x:c r="Y519" s="34" t="n">
        <x:v>1000</x:v>
      </x:c>
      <x:c r="Z519" s="34" t="n">
        <x:v>67.203768</x:v>
      </x:c>
      <x:c r="AA519" s="34" t="n">
        <x:v>14.314542</x:v>
      </x:c>
      <x:c r="AB519" s="34" t="n">
        <x:v>430.20423</x:v>
      </x:c>
      <x:c r="AC519" s="34" t="n">
        <x:v>28331.133</x:v>
      </x:c>
      <x:c r="AD519" s="34" t="n">
        <x:v>65.855078</x:v>
      </x:c>
      <x:c r="AE519" s="40" t="b">
        <x:v>1</x:v>
      </x:c>
      <x:c r="AF519" s="40" t="b">
        <x:v>1</x:v>
      </x:c>
      <x:c r="AG519" s="34" t="str"/>
      <x:c r="AH519" s="34" t="n">
        <x:v>0</x:v>
      </x:c>
      <x:c r="AI519" s="34" t="str">
        <x:v>2.0275124185786808e-05</x:v>
      </x:c>
      <x:c r="AJ519" s="40" t="b">
        <x:v>1</x:v>
      </x:c>
      <x:c r="AK519" s="40" t="b">
        <x:v>1</x:v>
      </x:c>
      <x:c r="AL519" s="40" t="b">
        <x:v>1</x:v>
      </x:c>
      <x:c r="AM519" s="40" t="b">
        <x:v>1</x:v>
      </x:c>
      <x:c r="AN519" s="34" t="str"/>
      <x:c r="AO519" s="34" t="n">
        <x:v>0</x:v>
      </x:c>
      <x:c r="AP519" s="34" t="n">
        <x:v>0</x:v>
      </x:c>
      <x:c r="AQ519" s="34" t="n">
        <x:v>0</x:v>
      </x:c>
      <x:c r="AR519" s="34" t="n">
        <x:v>2</x:v>
      </x:c>
      <x:c r="AS519" s="34" t="n">
        <x:v>3</x:v>
      </x:c>
      <x:c r="AT519" s="34" t="n">
        <x:v>0.45933660799999987</x:v>
      </x:c>
      <x:c r="AU519" s="34" t="n">
        <x:v>0.65</x:v>
      </x:c>
      <x:c r="AV519" s="34" t="n">
        <x:v>2.02</x:v>
      </x:c>
    </x:row>
    <x:row r="520">
      <x:c r="A520" s="34" t="str">
        <x:v>POSCO_KR</x:v>
      </x:c>
      <x:c r="B520" s="34" t="str">
        <x:v>POSCO</x:v>
      </x:c>
      <x:c r="C520" s="34" t="str">
        <x:v>DISCLOSED_PATH</x:v>
      </x:c>
      <x:c r="D520" s="34" t="str">
        <x:v>P3</x:v>
      </x:c>
      <x:c r="E520" s="34" t="n">
        <x:v>2034</x:v>
      </x:c>
      <x:c r="F520" s="34" t="n">
        <x:v>3</x:v>
      </x:c>
      <x:c r="G520" s="34" t="n">
        <x:v>8.880598</x:v>
      </x:c>
      <x:c r="H520" s="34" t="n">
        <x:v>16.8</x:v>
      </x:c>
      <x:c r="I520" s="34" t="n">
        <x:v>7.919402</x:v>
      </x:c>
      <x:c r="J520" s="34" t="n">
        <x:v>52.861</x:v>
      </x:c>
      <x:c r="K520" s="34" t="n">
        <x:v>0.374</x:v>
      </x:c>
      <x:c r="L520" s="34" t="n">
        <x:v>1.3</x:v>
      </x:c>
      <x:c r="M520" s="34" t="n">
        <x:v>0.926</x:v>
      </x:c>
      <x:c r="N520" s="34" t="n">
        <x:v>28.769</x:v>
      </x:c>
      <x:c r="O520" s="34" t="n">
        <x:v>7.452039</x:v>
      </x:c>
      <x:c r="P520" s="34" t="n">
        <x:v>13.4</x:v>
      </x:c>
      <x:c r="Q520" s="34" t="n">
        <x:v>5.947961</x:v>
      </x:c>
      <x:c r="R520" s="34" t="n">
        <x:v>55.612</x:v>
      </x:c>
      <x:c r="S520" s="40" t="b">
        <x:v>1</x:v>
      </x:c>
      <x:c r="T520" s="34" t="str">
        <x:v>model_interpolation</x:v>
      </x:c>
      <x:c r="U520" s="34" t="str">
        <x:v>Linear interpolation from 2030 to 2035</x:v>
      </x:c>
      <x:c r="V520" s="34" t="str">
        <x:v>CAND-921D50D4015721</x:v>
      </x:c>
      <x:c r="W520" s="34" t="str">
        <x:v>P3</x:v>
      </x:c>
      <x:c r="X520" s="34" t="str">
        <x:v>PORT-96133A6427FE</x:v>
      </x:c>
      <x:c r="Y520" s="34" t="n">
        <x:v>1000</x:v>
      </x:c>
      <x:c r="Z520" s="34" t="n">
        <x:v>67.203768</x:v>
      </x:c>
      <x:c r="AA520" s="34" t="n">
        <x:v>14.314542</x:v>
      </x:c>
      <x:c r="AB520" s="34" t="n">
        <x:v>430.20423</x:v>
      </x:c>
      <x:c r="AC520" s="34" t="n">
        <x:v>28331.133</x:v>
      </x:c>
      <x:c r="AD520" s="34" t="n">
        <x:v>65.855078</x:v>
      </x:c>
      <x:c r="AE520" s="40" t="b">
        <x:v>1</x:v>
      </x:c>
      <x:c r="AF520" s="40" t="b">
        <x:v>1</x:v>
      </x:c>
      <x:c r="AG520" s="34" t="str"/>
      <x:c r="AH520" s="34" t="n">
        <x:v>0</x:v>
      </x:c>
      <x:c r="AI520" s="34" t="str">
        <x:v>2.0275124185786808e-05</x:v>
      </x:c>
      <x:c r="AJ520" s="40" t="b">
        <x:v>1</x:v>
      </x:c>
      <x:c r="AK520" s="40" t="b">
        <x:v>1</x:v>
      </x:c>
      <x:c r="AL520" s="40" t="b">
        <x:v>1</x:v>
      </x:c>
      <x:c r="AM520" s="40" t="b">
        <x:v>1</x:v>
      </x:c>
      <x:c r="AN520" s="34" t="str"/>
      <x:c r="AO520" s="34" t="n">
        <x:v>0</x:v>
      </x:c>
      <x:c r="AP520" s="34" t="n">
        <x:v>0</x:v>
      </x:c>
      <x:c r="AQ520" s="34" t="n">
        <x:v>0</x:v>
      </x:c>
      <x:c r="AR520" s="34" t="n">
        <x:v>2</x:v>
      </x:c>
      <x:c r="AS520" s="34" t="n">
        <x:v>3</x:v>
      </x:c>
      <x:c r="AT520" s="34" t="n">
        <x:v>0.45933660799999987</x:v>
      </x:c>
      <x:c r="AU520" s="34" t="n">
        <x:v>0.65</x:v>
      </x:c>
      <x:c r="AV520" s="34" t="n">
        <x:v>2.02</x:v>
      </x:c>
    </x:row>
    <x:row r="521">
      <x:c r="A521" s="34" t="str">
        <x:v>POSCO_KR</x:v>
      </x:c>
      <x:c r="B521" s="34" t="str">
        <x:v>POSCO</x:v>
      </x:c>
      <x:c r="C521" s="34" t="str">
        <x:v>DISCLOSED_PATH</x:v>
      </x:c>
      <x:c r="D521" s="34" t="str">
        <x:v>P3</x:v>
      </x:c>
      <x:c r="E521" s="34" t="n">
        <x:v>2035</x:v>
      </x:c>
      <x:c r="F521" s="34" t="n">
        <x:v>4</x:v>
      </x:c>
      <x:c r="G521" s="34" t="n">
        <x:v>17.430597</x:v>
      </x:c>
      <x:c r="H521" s="34" t="n">
        <x:v>18</x:v>
      </x:c>
      <x:c r="I521" s="34" t="n">
        <x:v>0.569403</x:v>
      </x:c>
      <x:c r="J521" s="34" t="n">
        <x:v>96.837</x:v>
      </x:c>
      <x:c r="K521" s="34" t="n">
        <x:v>0.374</x:v>
      </x:c>
      <x:c r="L521" s="34" t="n">
        <x:v>1.5</x:v>
      </x:c>
      <x:c r="M521" s="34" t="n">
        <x:v>1.126</x:v>
      </x:c>
      <x:c r="N521" s="34" t="n">
        <x:v>24.933</x:v>
      </x:c>
      <x:c r="O521" s="34" t="n">
        <x:v>12.867038</x:v>
      </x:c>
      <x:c r="P521" s="34" t="n">
        <x:v>15</x:v>
      </x:c>
      <x:c r="Q521" s="34" t="n">
        <x:v>2.132962</x:v>
      </x:c>
      <x:c r="R521" s="34" t="n">
        <x:v>85.78</x:v>
      </x:c>
      <x:c r="S521" s="40" t="b">
        <x:v>1</x:v>
      </x:c>
      <x:c r="T521" s="34" t="str">
        <x:v>model_interpolation</x:v>
      </x:c>
      <x:c r="U521" s="34" t="str">
        <x:v>Linear interpolation from 2035 to 2040</x:v>
      </x:c>
      <x:c r="V521" s="34" t="str">
        <x:v>CAND-921D50D4015721</x:v>
      </x:c>
      <x:c r="W521" s="34" t="str">
        <x:v>P3</x:v>
      </x:c>
      <x:c r="X521" s="34" t="str">
        <x:v>PORT-96133A6427FE</x:v>
      </x:c>
      <x:c r="Y521" s="34" t="n">
        <x:v>1000</x:v>
      </x:c>
      <x:c r="Z521" s="34" t="n">
        <x:v>67.203768</x:v>
      </x:c>
      <x:c r="AA521" s="34" t="n">
        <x:v>14.314542</x:v>
      </x:c>
      <x:c r="AB521" s="34" t="n">
        <x:v>430.20423</x:v>
      </x:c>
      <x:c r="AC521" s="34" t="n">
        <x:v>28331.133</x:v>
      </x:c>
      <x:c r="AD521" s="34" t="n">
        <x:v>65.855078</x:v>
      </x:c>
      <x:c r="AE521" s="40" t="b">
        <x:v>1</x:v>
      </x:c>
      <x:c r="AF521" s="40" t="b">
        <x:v>1</x:v>
      </x:c>
      <x:c r="AG521" s="34" t="str"/>
      <x:c r="AH521" s="34" t="n">
        <x:v>0</x:v>
      </x:c>
      <x:c r="AI521" s="34" t="str">
        <x:v>2.0275124185786808e-05</x:v>
      </x:c>
      <x:c r="AJ521" s="40" t="b">
        <x:v>1</x:v>
      </x:c>
      <x:c r="AK521" s="40" t="b">
        <x:v>1</x:v>
      </x:c>
      <x:c r="AL521" s="40" t="b">
        <x:v>1</x:v>
      </x:c>
      <x:c r="AM521" s="40" t="b">
        <x:v>1</x:v>
      </x:c>
      <x:c r="AN521" s="34" t="str"/>
      <x:c r="AO521" s="34" t="n">
        <x:v>0</x:v>
      </x:c>
      <x:c r="AP521" s="34" t="n">
        <x:v>0</x:v>
      </x:c>
      <x:c r="AQ521" s="34" t="n">
        <x:v>0</x:v>
      </x:c>
      <x:c r="AR521" s="34" t="n">
        <x:v>2</x:v>
      </x:c>
      <x:c r="AS521" s="34" t="n">
        <x:v>3</x:v>
      </x:c>
      <x:c r="AT521" s="34" t="n">
        <x:v>0.45933660799999987</x:v>
      </x:c>
      <x:c r="AU521" s="34" t="n">
        <x:v>0.65</x:v>
      </x:c>
      <x:c r="AV521" s="34" t="n">
        <x:v>2.02</x:v>
      </x:c>
    </x:row>
    <x:row r="522">
      <x:c r="A522" s="34" t="str">
        <x:v>POSCO_KR</x:v>
      </x:c>
      <x:c r="B522" s="34" t="str">
        <x:v>POSCO</x:v>
      </x:c>
      <x:c r="C522" s="34" t="str">
        <x:v>DISCLOSED_PATH</x:v>
      </x:c>
      <x:c r="D522" s="34" t="str">
        <x:v>P3</x:v>
      </x:c>
      <x:c r="E522" s="34" t="n">
        <x:v>2036</x:v>
      </x:c>
      <x:c r="F522" s="34" t="n">
        <x:v>4</x:v>
      </x:c>
      <x:c r="G522" s="34" t="n">
        <x:v>17.430597</x:v>
      </x:c>
      <x:c r="H522" s="34" t="n">
        <x:v>19.4</x:v>
      </x:c>
      <x:c r="I522" s="34" t="n">
        <x:v>1.969403</x:v>
      </x:c>
      <x:c r="J522" s="34" t="n">
        <x:v>89.848</x:v>
      </x:c>
      <x:c r="K522" s="34" t="n">
        <x:v>0.374</x:v>
      </x:c>
      <x:c r="L522" s="34" t="n">
        <x:v>1.8</x:v>
      </x:c>
      <x:c r="M522" s="34" t="n">
        <x:v>1.426</x:v>
      </x:c>
      <x:c r="N522" s="34" t="n">
        <x:v>20.778</x:v>
      </x:c>
      <x:c r="O522" s="34" t="n">
        <x:v>12.867038</x:v>
      </x:c>
      <x:c r="P522" s="34" t="n">
        <x:v>17</x:v>
      </x:c>
      <x:c r="Q522" s="34" t="n">
        <x:v>4.132962</x:v>
      </x:c>
      <x:c r="R522" s="34" t="n">
        <x:v>75.688</x:v>
      </x:c>
      <x:c r="S522" s="40" t="b">
        <x:v>1</x:v>
      </x:c>
      <x:c r="T522" s="34" t="str">
        <x:v>model_interpolation</x:v>
      </x:c>
      <x:c r="U522" s="34" t="str">
        <x:v>Linear interpolation from 2035 to 2040</x:v>
      </x:c>
      <x:c r="V522" s="34" t="str">
        <x:v>CAND-921D50D4015721</x:v>
      </x:c>
      <x:c r="W522" s="34" t="str">
        <x:v>P3</x:v>
      </x:c>
      <x:c r="X522" s="34" t="str">
        <x:v>PORT-96133A6427FE</x:v>
      </x:c>
      <x:c r="Y522" s="34" t="n">
        <x:v>1000</x:v>
      </x:c>
      <x:c r="Z522" s="34" t="n">
        <x:v>67.203768</x:v>
      </x:c>
      <x:c r="AA522" s="34" t="n">
        <x:v>14.314542</x:v>
      </x:c>
      <x:c r="AB522" s="34" t="n">
        <x:v>430.20423</x:v>
      </x:c>
      <x:c r="AC522" s="34" t="n">
        <x:v>28331.133</x:v>
      </x:c>
      <x:c r="AD522" s="34" t="n">
        <x:v>65.855078</x:v>
      </x:c>
      <x:c r="AE522" s="40" t="b">
        <x:v>1</x:v>
      </x:c>
      <x:c r="AF522" s="40" t="b">
        <x:v>1</x:v>
      </x:c>
      <x:c r="AG522" s="34" t="str"/>
      <x:c r="AH522" s="34" t="n">
        <x:v>0</x:v>
      </x:c>
      <x:c r="AI522" s="34" t="str">
        <x:v>2.0275124185786808e-05</x:v>
      </x:c>
      <x:c r="AJ522" s="40" t="b">
        <x:v>1</x:v>
      </x:c>
      <x:c r="AK522" s="40" t="b">
        <x:v>1</x:v>
      </x:c>
      <x:c r="AL522" s="40" t="b">
        <x:v>1</x:v>
      </x:c>
      <x:c r="AM522" s="40" t="b">
        <x:v>1</x:v>
      </x:c>
      <x:c r="AN522" s="34" t="str"/>
      <x:c r="AO522" s="34" t="n">
        <x:v>0</x:v>
      </x:c>
      <x:c r="AP522" s="34" t="n">
        <x:v>0</x:v>
      </x:c>
      <x:c r="AQ522" s="34" t="n">
        <x:v>0</x:v>
      </x:c>
      <x:c r="AR522" s="34" t="n">
        <x:v>2</x:v>
      </x:c>
      <x:c r="AS522" s="34" t="n">
        <x:v>3</x:v>
      </x:c>
      <x:c r="AT522" s="34" t="n">
        <x:v>0.45933660799999987</x:v>
      </x:c>
      <x:c r="AU522" s="34" t="n">
        <x:v>0.65</x:v>
      </x:c>
      <x:c r="AV522" s="34" t="n">
        <x:v>2.02</x:v>
      </x:c>
    </x:row>
    <x:row r="523">
      <x:c r="A523" s="34" t="str">
        <x:v>POSCO_KR</x:v>
      </x:c>
      <x:c r="B523" s="34" t="str">
        <x:v>POSCO</x:v>
      </x:c>
      <x:c r="C523" s="34" t="str">
        <x:v>DISCLOSED_PATH</x:v>
      </x:c>
      <x:c r="D523" s="34" t="str">
        <x:v>P3</x:v>
      </x:c>
      <x:c r="E523" s="34" t="n">
        <x:v>2037</x:v>
      </x:c>
      <x:c r="F523" s="34" t="n">
        <x:v>5</x:v>
      </x:c>
      <x:c r="G523" s="34" t="n">
        <x:v>18.856047</x:v>
      </x:c>
      <x:c r="H523" s="34" t="n">
        <x:v>20.8</x:v>
      </x:c>
      <x:c r="I523" s="34" t="n">
        <x:v>1.943953</x:v>
      </x:c>
      <x:c r="J523" s="34" t="n">
        <x:v>90.654</x:v>
      </x:c>
      <x:c r="K523" s="34" t="n">
        <x:v>0.896665</x:v>
      </x:c>
      <x:c r="L523" s="34" t="n">
        <x:v>2.1</x:v>
      </x:c>
      <x:c r="M523" s="34" t="n">
        <x:v>1.203335</x:v>
      </x:c>
      <x:c r="N523" s="34" t="n">
        <x:v>42.698</x:v>
      </x:c>
      <x:c r="O523" s="34" t="n">
        <x:v>17.333447</x:v>
      </x:c>
      <x:c r="P523" s="34" t="n">
        <x:v>19</x:v>
      </x:c>
      <x:c r="Q523" s="34" t="n">
        <x:v>1.666553</x:v>
      </x:c>
      <x:c r="R523" s="34" t="n">
        <x:v>91.229</x:v>
      </x:c>
      <x:c r="S523" s="40" t="b">
        <x:v>1</x:v>
      </x:c>
      <x:c r="T523" s="34" t="str">
        <x:v>model_interpolation</x:v>
      </x:c>
      <x:c r="U523" s="34" t="str">
        <x:v>Linear interpolation from 2035 to 2040</x:v>
      </x:c>
      <x:c r="V523" s="34" t="str">
        <x:v>CAND-921D50D4015721</x:v>
      </x:c>
      <x:c r="W523" s="34" t="str">
        <x:v>P3</x:v>
      </x:c>
      <x:c r="X523" s="34" t="str">
        <x:v>PORT-96133A6427FE</x:v>
      </x:c>
      <x:c r="Y523" s="34" t="n">
        <x:v>1000</x:v>
      </x:c>
      <x:c r="Z523" s="34" t="n">
        <x:v>67.203768</x:v>
      </x:c>
      <x:c r="AA523" s="34" t="n">
        <x:v>14.314542</x:v>
      </x:c>
      <x:c r="AB523" s="34" t="n">
        <x:v>430.20423</x:v>
      </x:c>
      <x:c r="AC523" s="34" t="n">
        <x:v>28331.133</x:v>
      </x:c>
      <x:c r="AD523" s="34" t="n">
        <x:v>65.855078</x:v>
      </x:c>
      <x:c r="AE523" s="40" t="b">
        <x:v>1</x:v>
      </x:c>
      <x:c r="AF523" s="40" t="b">
        <x:v>1</x:v>
      </x:c>
      <x:c r="AG523" s="34" t="str"/>
      <x:c r="AH523" s="34" t="n">
        <x:v>0</x:v>
      </x:c>
      <x:c r="AI523" s="34" t="str">
        <x:v>2.0275124185786808e-05</x:v>
      </x:c>
      <x:c r="AJ523" s="40" t="b">
        <x:v>1</x:v>
      </x:c>
      <x:c r="AK523" s="40" t="b">
        <x:v>1</x:v>
      </x:c>
      <x:c r="AL523" s="40" t="b">
        <x:v>1</x:v>
      </x:c>
      <x:c r="AM523" s="40" t="b">
        <x:v>1</x:v>
      </x:c>
      <x:c r="AN523" s="34" t="str"/>
      <x:c r="AO523" s="34" t="n">
        <x:v>0</x:v>
      </x:c>
      <x:c r="AP523" s="34" t="n">
        <x:v>0</x:v>
      </x:c>
      <x:c r="AQ523" s="34" t="n">
        <x:v>0</x:v>
      </x:c>
      <x:c r="AR523" s="34" t="n">
        <x:v>2</x:v>
      </x:c>
      <x:c r="AS523" s="34" t="n">
        <x:v>3</x:v>
      </x:c>
      <x:c r="AT523" s="34" t="n">
        <x:v>0.45933660799999987</x:v>
      </x:c>
      <x:c r="AU523" s="34" t="n">
        <x:v>0.65</x:v>
      </x:c>
      <x:c r="AV523" s="34" t="n">
        <x:v>2.02</x:v>
      </x:c>
    </x:row>
    <x:row r="524">
      <x:c r="A524" s="34" t="str">
        <x:v>POSCO_KR</x:v>
      </x:c>
      <x:c r="B524" s="34" t="str">
        <x:v>POSCO</x:v>
      </x:c>
      <x:c r="C524" s="34" t="str">
        <x:v>DISCLOSED_PATH</x:v>
      </x:c>
      <x:c r="D524" s="34" t="str">
        <x:v>P3</x:v>
      </x:c>
      <x:c r="E524" s="34" t="n">
        <x:v>2038</x:v>
      </x:c>
      <x:c r="F524" s="34" t="n">
        <x:v>5</x:v>
      </x:c>
      <x:c r="G524" s="34" t="n">
        <x:v>18.856047</x:v>
      </x:c>
      <x:c r="H524" s="34" t="n">
        <x:v>22.2</x:v>
      </x:c>
      <x:c r="I524" s="34" t="n">
        <x:v>3.343953</x:v>
      </x:c>
      <x:c r="J524" s="34" t="n">
        <x:v>84.937</x:v>
      </x:c>
      <x:c r="K524" s="34" t="n">
        <x:v>0.896665</x:v>
      </x:c>
      <x:c r="L524" s="34" t="n">
        <x:v>2.4</x:v>
      </x:c>
      <x:c r="M524" s="34" t="n">
        <x:v>1.503335</x:v>
      </x:c>
      <x:c r="N524" s="34" t="n">
        <x:v>37.361</x:v>
      </x:c>
      <x:c r="O524" s="34" t="n">
        <x:v>17.333447</x:v>
      </x:c>
      <x:c r="P524" s="34" t="n">
        <x:v>21</x:v>
      </x:c>
      <x:c r="Q524" s="34" t="n">
        <x:v>3.666553</x:v>
      </x:c>
      <x:c r="R524" s="34" t="n">
        <x:v>82.54</x:v>
      </x:c>
      <x:c r="S524" s="40" t="b">
        <x:v>1</x:v>
      </x:c>
      <x:c r="T524" s="34" t="str">
        <x:v>model_interpolation</x:v>
      </x:c>
      <x:c r="U524" s="34" t="str">
        <x:v>Linear interpolation from 2035 to 2040</x:v>
      </x:c>
      <x:c r="V524" s="34" t="str">
        <x:v>CAND-921D50D4015721</x:v>
      </x:c>
      <x:c r="W524" s="34" t="str">
        <x:v>P3</x:v>
      </x:c>
      <x:c r="X524" s="34" t="str">
        <x:v>PORT-96133A6427FE</x:v>
      </x:c>
      <x:c r="Y524" s="34" t="n">
        <x:v>1000</x:v>
      </x:c>
      <x:c r="Z524" s="34" t="n">
        <x:v>67.203768</x:v>
      </x:c>
      <x:c r="AA524" s="34" t="n">
        <x:v>14.314542</x:v>
      </x:c>
      <x:c r="AB524" s="34" t="n">
        <x:v>430.20423</x:v>
      </x:c>
      <x:c r="AC524" s="34" t="n">
        <x:v>28331.133</x:v>
      </x:c>
      <x:c r="AD524" s="34" t="n">
        <x:v>65.855078</x:v>
      </x:c>
      <x:c r="AE524" s="40" t="b">
        <x:v>1</x:v>
      </x:c>
      <x:c r="AF524" s="40" t="b">
        <x:v>1</x:v>
      </x:c>
      <x:c r="AG524" s="34" t="str"/>
      <x:c r="AH524" s="34" t="n">
        <x:v>0</x:v>
      </x:c>
      <x:c r="AI524" s="34" t="str">
        <x:v>2.0275124185786808e-05</x:v>
      </x:c>
      <x:c r="AJ524" s="40" t="b">
        <x:v>1</x:v>
      </x:c>
      <x:c r="AK524" s="40" t="b">
        <x:v>1</x:v>
      </x:c>
      <x:c r="AL524" s="40" t="b">
        <x:v>1</x:v>
      </x:c>
      <x:c r="AM524" s="40" t="b">
        <x:v>1</x:v>
      </x:c>
      <x:c r="AN524" s="34" t="str"/>
      <x:c r="AO524" s="34" t="n">
        <x:v>0</x:v>
      </x:c>
      <x:c r="AP524" s="34" t="n">
        <x:v>0</x:v>
      </x:c>
      <x:c r="AQ524" s="34" t="n">
        <x:v>0</x:v>
      </x:c>
      <x:c r="AR524" s="34" t="n">
        <x:v>2</x:v>
      </x:c>
      <x:c r="AS524" s="34" t="n">
        <x:v>3</x:v>
      </x:c>
      <x:c r="AT524" s="34" t="n">
        <x:v>0.45933660799999987</x:v>
      </x:c>
      <x:c r="AU524" s="34" t="n">
        <x:v>0.65</x:v>
      </x:c>
      <x:c r="AV524" s="34" t="n">
        <x:v>2.02</x:v>
      </x:c>
    </x:row>
    <x:row r="525">
      <x:c r="A525" s="34" t="str">
        <x:v>POSCO_KR</x:v>
      </x:c>
      <x:c r="B525" s="34" t="str">
        <x:v>POSCO</x:v>
      </x:c>
      <x:c r="C525" s="34" t="str">
        <x:v>DISCLOSED_PATH</x:v>
      </x:c>
      <x:c r="D525" s="34" t="str">
        <x:v>P3</x:v>
      </x:c>
      <x:c r="E525" s="34" t="n">
        <x:v>2039</x:v>
      </x:c>
      <x:c r="F525" s="34" t="n">
        <x:v>5</x:v>
      </x:c>
      <x:c r="G525" s="34" t="n">
        <x:v>18.856047</x:v>
      </x:c>
      <x:c r="H525" s="34" t="n">
        <x:v>23.6</x:v>
      </x:c>
      <x:c r="I525" s="34" t="n">
        <x:v>4.743953</x:v>
      </x:c>
      <x:c r="J525" s="34" t="n">
        <x:v>79.899</x:v>
      </x:c>
      <x:c r="K525" s="34" t="n">
        <x:v>0.896665</x:v>
      </x:c>
      <x:c r="L525" s="34" t="n">
        <x:v>2.7</x:v>
      </x:c>
      <x:c r="M525" s="34" t="n">
        <x:v>1.803335</x:v>
      </x:c>
      <x:c r="N525" s="34" t="n">
        <x:v>33.21</x:v>
      </x:c>
      <x:c r="O525" s="34" t="n">
        <x:v>17.333447</x:v>
      </x:c>
      <x:c r="P525" s="34" t="n">
        <x:v>23</x:v>
      </x:c>
      <x:c r="Q525" s="34" t="n">
        <x:v>5.666553</x:v>
      </x:c>
      <x:c r="R525" s="34" t="n">
        <x:v>75.363</x:v>
      </x:c>
      <x:c r="S525" s="40" t="b">
        <x:v>1</x:v>
      </x:c>
      <x:c r="T525" s="34" t="str">
        <x:v>model_interpolation</x:v>
      </x:c>
      <x:c r="U525" s="34" t="str">
        <x:v>Linear interpolation from 2035 to 2040</x:v>
      </x:c>
      <x:c r="V525" s="34" t="str">
        <x:v>CAND-921D50D4015721</x:v>
      </x:c>
      <x:c r="W525" s="34" t="str">
        <x:v>P3</x:v>
      </x:c>
      <x:c r="X525" s="34" t="str">
        <x:v>PORT-96133A6427FE</x:v>
      </x:c>
      <x:c r="Y525" s="34" t="n">
        <x:v>1000</x:v>
      </x:c>
      <x:c r="Z525" s="34" t="n">
        <x:v>67.203768</x:v>
      </x:c>
      <x:c r="AA525" s="34" t="n">
        <x:v>14.314542</x:v>
      </x:c>
      <x:c r="AB525" s="34" t="n">
        <x:v>430.20423</x:v>
      </x:c>
      <x:c r="AC525" s="34" t="n">
        <x:v>28331.133</x:v>
      </x:c>
      <x:c r="AD525" s="34" t="n">
        <x:v>65.855078</x:v>
      </x:c>
      <x:c r="AE525" s="40" t="b">
        <x:v>1</x:v>
      </x:c>
      <x:c r="AF525" s="40" t="b">
        <x:v>1</x:v>
      </x:c>
      <x:c r="AG525" s="34" t="str"/>
      <x:c r="AH525" s="34" t="n">
        <x:v>0</x:v>
      </x:c>
      <x:c r="AI525" s="34" t="str">
        <x:v>2.0275124185786808e-05</x:v>
      </x:c>
      <x:c r="AJ525" s="40" t="b">
        <x:v>1</x:v>
      </x:c>
      <x:c r="AK525" s="40" t="b">
        <x:v>1</x:v>
      </x:c>
      <x:c r="AL525" s="40" t="b">
        <x:v>1</x:v>
      </x:c>
      <x:c r="AM525" s="40" t="b">
        <x:v>1</x:v>
      </x:c>
      <x:c r="AN525" s="34" t="str"/>
      <x:c r="AO525" s="34" t="n">
        <x:v>0</x:v>
      </x:c>
      <x:c r="AP525" s="34" t="n">
        <x:v>0</x:v>
      </x:c>
      <x:c r="AQ525" s="34" t="n">
        <x:v>0</x:v>
      </x:c>
      <x:c r="AR525" s="34" t="n">
        <x:v>2</x:v>
      </x:c>
      <x:c r="AS525" s="34" t="n">
        <x:v>3</x:v>
      </x:c>
      <x:c r="AT525" s="34" t="n">
        <x:v>0.45933660799999987</x:v>
      </x:c>
      <x:c r="AU525" s="34" t="n">
        <x:v>0.65</x:v>
      </x:c>
      <x:c r="AV525" s="34" t="n">
        <x:v>2.02</x:v>
      </x:c>
    </x:row>
    <x:row r="526">
      <x:c r="A526" s="34" t="str">
        <x:v>POSCO_KR</x:v>
      </x:c>
      <x:c r="B526" s="34" t="str">
        <x:v>POSCO</x:v>
      </x:c>
      <x:c r="C526" s="34" t="str">
        <x:v>DISCLOSED_PATH</x:v>
      </x:c>
      <x:c r="D526" s="34" t="str">
        <x:v>P3</x:v>
      </x:c>
      <x:c r="E526" s="34" t="n">
        <x:v>2040</x:v>
      </x:c>
      <x:c r="F526" s="34" t="n">
        <x:v>5</x:v>
      </x:c>
      <x:c r="G526" s="34" t="n">
        <x:v>18.856047</x:v>
      </x:c>
      <x:c r="H526" s="34" t="n">
        <x:v>25</x:v>
      </x:c>
      <x:c r="I526" s="34" t="n">
        <x:v>6.143953</x:v>
      </x:c>
      <x:c r="J526" s="34" t="n">
        <x:v>75.424</x:v>
      </x:c>
      <x:c r="K526" s="34" t="n">
        <x:v>0.896665</x:v>
      </x:c>
      <x:c r="L526" s="34" t="n">
        <x:v>3</x:v>
      </x:c>
      <x:c r="M526" s="34" t="n">
        <x:v>2.103335</x:v>
      </x:c>
      <x:c r="N526" s="34" t="n">
        <x:v>29.889</x:v>
      </x:c>
      <x:c r="O526" s="34" t="n">
        <x:v>17.333447</x:v>
      </x:c>
      <x:c r="P526" s="34" t="n">
        <x:v>25</x:v>
      </x:c>
      <x:c r="Q526" s="34" t="n">
        <x:v>7.666553</x:v>
      </x:c>
      <x:c r="R526" s="34" t="n">
        <x:v>69.334</x:v>
      </x:c>
      <x:c r="S526" s="40" t="b">
        <x:v>1</x:v>
      </x:c>
      <x:c r="T526" s="34" t="str">
        <x:v>model_estimate</x:v>
      </x:c>
      <x:c r="U526" s="34" t="str">
        <x:v>Illustrative screening envelope; not an official supply forecast</x:v>
      </x:c>
      <x:c r="V526" s="34" t="str">
        <x:v>CAND-921D50D4015721</x:v>
      </x:c>
      <x:c r="W526" s="34" t="str">
        <x:v>P3</x:v>
      </x:c>
      <x:c r="X526" s="34" t="str">
        <x:v>PORT-96133A6427FE</x:v>
      </x:c>
      <x:c r="Y526" s="34" t="n">
        <x:v>1000</x:v>
      </x:c>
      <x:c r="Z526" s="34" t="n">
        <x:v>67.203768</x:v>
      </x:c>
      <x:c r="AA526" s="34" t="n">
        <x:v>14.314542</x:v>
      </x:c>
      <x:c r="AB526" s="34" t="n">
        <x:v>430.20423</x:v>
      </x:c>
      <x:c r="AC526" s="34" t="n">
        <x:v>28331.133</x:v>
      </x:c>
      <x:c r="AD526" s="34" t="n">
        <x:v>65.855078</x:v>
      </x:c>
      <x:c r="AE526" s="40" t="b">
        <x:v>1</x:v>
      </x:c>
      <x:c r="AF526" s="40" t="b">
        <x:v>1</x:v>
      </x:c>
      <x:c r="AG526" s="34" t="str"/>
      <x:c r="AH526" s="34" t="n">
        <x:v>0</x:v>
      </x:c>
      <x:c r="AI526" s="34" t="str">
        <x:v>2.0275124185786808e-05</x:v>
      </x:c>
      <x:c r="AJ526" s="40" t="b">
        <x:v>1</x:v>
      </x:c>
      <x:c r="AK526" s="40" t="b">
        <x:v>1</x:v>
      </x:c>
      <x:c r="AL526" s="40" t="b">
        <x:v>1</x:v>
      </x:c>
      <x:c r="AM526" s="40" t="b">
        <x:v>1</x:v>
      </x:c>
      <x:c r="AN526" s="34" t="str"/>
      <x:c r="AO526" s="34" t="n">
        <x:v>0</x:v>
      </x:c>
      <x:c r="AP526" s="34" t="n">
        <x:v>0</x:v>
      </x:c>
      <x:c r="AQ526" s="34" t="n">
        <x:v>0</x:v>
      </x:c>
      <x:c r="AR526" s="34" t="n">
        <x:v>2</x:v>
      </x:c>
      <x:c r="AS526" s="34" t="n">
        <x:v>3</x:v>
      </x:c>
      <x:c r="AT526" s="34" t="n">
        <x:v>0.45933660799999987</x:v>
      </x:c>
      <x:c r="AU526" s="34" t="n">
        <x:v>0.65</x:v>
      </x:c>
      <x:c r="AV526" s="34" t="n">
        <x:v>2.02</x:v>
      </x:c>
    </x:row>
    <x:row r="527">
      <x:c r="A527" s="34" t="str">
        <x:v>POSCO_KR</x:v>
      </x:c>
      <x:c r="B527" s="34" t="str">
        <x:v>POSCO</x:v>
      </x:c>
      <x:c r="C527" s="34" t="str">
        <x:v>ACCELERATED_15C</x:v>
      </x:c>
      <x:c r="D527" s="34" t="str">
        <x:v>P3</x:v>
      </x:c>
      <x:c r="E527" s="34" t="n">
        <x:v>2026</x:v>
      </x:c>
      <x:c r="F527" s="34" t="n">
        <x:v>0</x:v>
      </x:c>
      <x:c r="G527" s="34" t="n">
        <x:v>0</x:v>
      </x:c>
      <x:c r="H527" s="34" t="n">
        <x:v>8</x:v>
      </x:c>
      <x:c r="I527" s="34" t="n">
        <x:v>8</x:v>
      </x:c>
      <x:c r="J527" s="34" t="n">
        <x:v>0</x:v>
      </x:c>
      <x:c r="K527" s="34" t="n">
        <x:v>0</x:v>
      </x:c>
      <x:c r="L527" s="34" t="n">
        <x:v>0.1</x:v>
      </x:c>
      <x:c r="M527" s="34" t="n">
        <x:v>0.1</x:v>
      </x:c>
      <x:c r="N527" s="34" t="n">
        <x:v>0</x:v>
      </x:c>
      <x:c r="O527" s="34" t="n">
        <x:v>0</x:v>
      </x:c>
      <x:c r="P527" s="34" t="n">
        <x:v>2</x:v>
      </x:c>
      <x:c r="Q527" s="34" t="n">
        <x:v>2</x:v>
      </x:c>
      <x:c r="R527" s="34" t="n">
        <x:v>0</x:v>
      </x:c>
      <x:c r="S527" s="40" t="b">
        <x:v>1</x:v>
      </x:c>
      <x:c r="T527" s="34" t="str">
        <x:v>model_interpolation</x:v>
      </x:c>
      <x:c r="U527" s="34" t="str">
        <x:v>Linear interpolation from 2026 to 2030</x:v>
      </x:c>
      <x:c r="V527" s="34" t="str">
        <x:v>CAND-921D50D4015721</x:v>
      </x:c>
      <x:c r="W527" s="34" t="str">
        <x:v>P3</x:v>
      </x:c>
      <x:c r="X527" s="34" t="str">
        <x:v>PORT-96133A6427FE</x:v>
      </x:c>
      <x:c r="Y527" s="34" t="n">
        <x:v>1000</x:v>
      </x:c>
      <x:c r="Z527" s="34" t="n">
        <x:v>54.526789</x:v>
      </x:c>
      <x:c r="AA527" s="34" t="n">
        <x:v>15.066699</x:v>
      </x:c>
      <x:c r="AB527" s="34" t="n">
        <x:v>430.20423</x:v>
      </x:c>
      <x:c r="AC527" s="34" t="n">
        <x:v>22859.063</x:v>
      </x:c>
      <x:c r="AD527" s="34" t="n">
        <x:v>53.135375</x:v>
      </x:c>
      <x:c r="AE527" s="40" t="b">
        <x:v>1</x:v>
      </x:c>
      <x:c r="AF527" s="40" t="b">
        <x:v>1</x:v>
      </x:c>
      <x:c r="AG527" s="34" t="str"/>
      <x:c r="AH527" s="34" t="n">
        <x:v>0</x:v>
      </x:c>
      <x:c r="AI527" s="34" t="str">
        <x:v>2.0275124185786808e-05</x:v>
      </x:c>
      <x:c r="AJ527" s="40" t="b">
        <x:v>1</x:v>
      </x:c>
      <x:c r="AK527" s="40" t="b">
        <x:v>1</x:v>
      </x:c>
      <x:c r="AL527" s="40" t="b">
        <x:v>1</x:v>
      </x:c>
      <x:c r="AM527" s="40" t="b">
        <x:v>1</x:v>
      </x:c>
      <x:c r="AN527" s="34" t="str"/>
      <x:c r="AO527" s="34" t="n">
        <x:v>0</x:v>
      </x:c>
      <x:c r="AP527" s="34" t="n">
        <x:v>0</x:v>
      </x:c>
      <x:c r="AQ527" s="34" t="n">
        <x:v>0</x:v>
      </x:c>
      <x:c r="AR527" s="34" t="n">
        <x:v>2</x:v>
      </x:c>
      <x:c r="AS527" s="34" t="n">
        <x:v>3</x:v>
      </x:c>
      <x:c r="AT527" s="34" t="n">
        <x:v>0.45933660799999987</x:v>
      </x:c>
      <x:c r="AU527" s="34" t="n">
        <x:v>0.65</x:v>
      </x:c>
      <x:c r="AV527" s="34" t="n">
        <x:v>2.02</x:v>
      </x:c>
    </x:row>
    <x:row r="528">
      <x:c r="A528" s="34" t="str">
        <x:v>POSCO_KR</x:v>
      </x:c>
      <x:c r="B528" s="34" t="str">
        <x:v>POSCO</x:v>
      </x:c>
      <x:c r="C528" s="34" t="str">
        <x:v>ACCELERATED_15C</x:v>
      </x:c>
      <x:c r="D528" s="34" t="str">
        <x:v>P3</x:v>
      </x:c>
      <x:c r="E528" s="34" t="n">
        <x:v>2027</x:v>
      </x:c>
      <x:c r="F528" s="34" t="n">
        <x:v>0</x:v>
      </x:c>
      <x:c r="G528" s="34" t="n">
        <x:v>0</x:v>
      </x:c>
      <x:c r="H528" s="34" t="n">
        <x:v>9.75</x:v>
      </x:c>
      <x:c r="I528" s="34" t="n">
        <x:v>9.75</x:v>
      </x:c>
      <x:c r="J528" s="34" t="n">
        <x:v>0</x:v>
      </x:c>
      <x:c r="K528" s="34" t="n">
        <x:v>0</x:v>
      </x:c>
      <x:c r="L528" s="34" t="n">
        <x:v>0.275</x:v>
      </x:c>
      <x:c r="M528" s="34" t="n">
        <x:v>0.275</x:v>
      </x:c>
      <x:c r="N528" s="34" t="n">
        <x:v>0</x:v>
      </x:c>
      <x:c r="O528" s="34" t="n">
        <x:v>0</x:v>
      </x:c>
      <x:c r="P528" s="34" t="n">
        <x:v>4</x:v>
      </x:c>
      <x:c r="Q528" s="34" t="n">
        <x:v>4</x:v>
      </x:c>
      <x:c r="R528" s="34" t="n">
        <x:v>0</x:v>
      </x:c>
      <x:c r="S528" s="40" t="b">
        <x:v>1</x:v>
      </x:c>
      <x:c r="T528" s="34" t="str">
        <x:v>model_interpolation</x:v>
      </x:c>
      <x:c r="U528" s="34" t="str">
        <x:v>Linear interpolation from 2026 to 2030</x:v>
      </x:c>
      <x:c r="V528" s="34" t="str">
        <x:v>CAND-921D50D4015721</x:v>
      </x:c>
      <x:c r="W528" s="34" t="str">
        <x:v>P3</x:v>
      </x:c>
      <x:c r="X528" s="34" t="str">
        <x:v>PORT-96133A6427FE</x:v>
      </x:c>
      <x:c r="Y528" s="34" t="n">
        <x:v>1000</x:v>
      </x:c>
      <x:c r="Z528" s="34" t="n">
        <x:v>54.526789</x:v>
      </x:c>
      <x:c r="AA528" s="34" t="n">
        <x:v>15.066699</x:v>
      </x:c>
      <x:c r="AB528" s="34" t="n">
        <x:v>430.20423</x:v>
      </x:c>
      <x:c r="AC528" s="34" t="n">
        <x:v>22859.063</x:v>
      </x:c>
      <x:c r="AD528" s="34" t="n">
        <x:v>53.135375</x:v>
      </x:c>
      <x:c r="AE528" s="40" t="b">
        <x:v>1</x:v>
      </x:c>
      <x:c r="AF528" s="40" t="b">
        <x:v>1</x:v>
      </x:c>
      <x:c r="AG528" s="34" t="str"/>
      <x:c r="AH528" s="34" t="n">
        <x:v>0</x:v>
      </x:c>
      <x:c r="AI528" s="34" t="str">
        <x:v>2.0275124185786808e-05</x:v>
      </x:c>
      <x:c r="AJ528" s="40" t="b">
        <x:v>1</x:v>
      </x:c>
      <x:c r="AK528" s="40" t="b">
        <x:v>1</x:v>
      </x:c>
      <x:c r="AL528" s="40" t="b">
        <x:v>1</x:v>
      </x:c>
      <x:c r="AM528" s="40" t="b">
        <x:v>1</x:v>
      </x:c>
      <x:c r="AN528" s="34" t="str"/>
      <x:c r="AO528" s="34" t="n">
        <x:v>0</x:v>
      </x:c>
      <x:c r="AP528" s="34" t="n">
        <x:v>0</x:v>
      </x:c>
      <x:c r="AQ528" s="34" t="n">
        <x:v>0</x:v>
      </x:c>
      <x:c r="AR528" s="34" t="n">
        <x:v>2</x:v>
      </x:c>
      <x:c r="AS528" s="34" t="n">
        <x:v>3</x:v>
      </x:c>
      <x:c r="AT528" s="34" t="n">
        <x:v>0.45933660799999987</x:v>
      </x:c>
      <x:c r="AU528" s="34" t="n">
        <x:v>0.65</x:v>
      </x:c>
      <x:c r="AV528" s="34" t="n">
        <x:v>2.02</x:v>
      </x:c>
    </x:row>
    <x:row r="529">
      <x:c r="A529" s="34" t="str">
        <x:v>POSCO_KR</x:v>
      </x:c>
      <x:c r="B529" s="34" t="str">
        <x:v>POSCO</x:v>
      </x:c>
      <x:c r="C529" s="34" t="str">
        <x:v>ACCELERATED_15C</x:v>
      </x:c>
      <x:c r="D529" s="34" t="str">
        <x:v>P3</x:v>
      </x:c>
      <x:c r="E529" s="34" t="n">
        <x:v>2028</x:v>
      </x:c>
      <x:c r="F529" s="34" t="n">
        <x:v>0</x:v>
      </x:c>
      <x:c r="G529" s="34" t="n">
        <x:v>0</x:v>
      </x:c>
      <x:c r="H529" s="34" t="n">
        <x:v>11.5</x:v>
      </x:c>
      <x:c r="I529" s="34" t="n">
        <x:v>11.5</x:v>
      </x:c>
      <x:c r="J529" s="34" t="n">
        <x:v>0</x:v>
      </x:c>
      <x:c r="K529" s="34" t="n">
        <x:v>0</x:v>
      </x:c>
      <x:c r="L529" s="34" t="n">
        <x:v>0.45000000000000007</x:v>
      </x:c>
      <x:c r="M529" s="34" t="n">
        <x:v>0.45</x:v>
      </x:c>
      <x:c r="N529" s="34" t="n">
        <x:v>0</x:v>
      </x:c>
      <x:c r="O529" s="34" t="n">
        <x:v>0</x:v>
      </x:c>
      <x:c r="P529" s="34" t="n">
        <x:v>6</x:v>
      </x:c>
      <x:c r="Q529" s="34" t="n">
        <x:v>6</x:v>
      </x:c>
      <x:c r="R529" s="34" t="n">
        <x:v>0</x:v>
      </x:c>
      <x:c r="S529" s="40" t="b">
        <x:v>1</x:v>
      </x:c>
      <x:c r="T529" s="34" t="str">
        <x:v>model_interpolation</x:v>
      </x:c>
      <x:c r="U529" s="34" t="str">
        <x:v>Linear interpolation from 2026 to 2030</x:v>
      </x:c>
      <x:c r="V529" s="34" t="str">
        <x:v>CAND-921D50D4015721</x:v>
      </x:c>
      <x:c r="W529" s="34" t="str">
        <x:v>P3</x:v>
      </x:c>
      <x:c r="X529" s="34" t="str">
        <x:v>PORT-96133A6427FE</x:v>
      </x:c>
      <x:c r="Y529" s="34" t="n">
        <x:v>1000</x:v>
      </x:c>
      <x:c r="Z529" s="34" t="n">
        <x:v>54.526789</x:v>
      </x:c>
      <x:c r="AA529" s="34" t="n">
        <x:v>15.066699</x:v>
      </x:c>
      <x:c r="AB529" s="34" t="n">
        <x:v>430.20423</x:v>
      </x:c>
      <x:c r="AC529" s="34" t="n">
        <x:v>22859.063</x:v>
      </x:c>
      <x:c r="AD529" s="34" t="n">
        <x:v>53.135375</x:v>
      </x:c>
      <x:c r="AE529" s="40" t="b">
        <x:v>1</x:v>
      </x:c>
      <x:c r="AF529" s="40" t="b">
        <x:v>1</x:v>
      </x:c>
      <x:c r="AG529" s="34" t="str"/>
      <x:c r="AH529" s="34" t="n">
        <x:v>0</x:v>
      </x:c>
      <x:c r="AI529" s="34" t="str">
        <x:v>2.0275124185786808e-05</x:v>
      </x:c>
      <x:c r="AJ529" s="40" t="b">
        <x:v>1</x:v>
      </x:c>
      <x:c r="AK529" s="40" t="b">
        <x:v>1</x:v>
      </x:c>
      <x:c r="AL529" s="40" t="b">
        <x:v>1</x:v>
      </x:c>
      <x:c r="AM529" s="40" t="b">
        <x:v>1</x:v>
      </x:c>
      <x:c r="AN529" s="34" t="str"/>
      <x:c r="AO529" s="34" t="n">
        <x:v>0</x:v>
      </x:c>
      <x:c r="AP529" s="34" t="n">
        <x:v>0</x:v>
      </x:c>
      <x:c r="AQ529" s="34" t="n">
        <x:v>0</x:v>
      </x:c>
      <x:c r="AR529" s="34" t="n">
        <x:v>2</x:v>
      </x:c>
      <x:c r="AS529" s="34" t="n">
        <x:v>3</x:v>
      </x:c>
      <x:c r="AT529" s="34" t="n">
        <x:v>0.45933660799999987</x:v>
      </x:c>
      <x:c r="AU529" s="34" t="n">
        <x:v>0.65</x:v>
      </x:c>
      <x:c r="AV529" s="34" t="n">
        <x:v>2.02</x:v>
      </x:c>
    </x:row>
    <x:row r="530">
      <x:c r="A530" s="34" t="str">
        <x:v>POSCO_KR</x:v>
      </x:c>
      <x:c r="B530" s="34" t="str">
        <x:v>POSCO</x:v>
      </x:c>
      <x:c r="C530" s="34" t="str">
        <x:v>ACCELERATED_15C</x:v>
      </x:c>
      <x:c r="D530" s="34" t="str">
        <x:v>P3</x:v>
      </x:c>
      <x:c r="E530" s="34" t="n">
        <x:v>2029</x:v>
      </x:c>
      <x:c r="F530" s="34" t="n">
        <x:v>1</x:v>
      </x:c>
      <x:c r="G530" s="34" t="n">
        <x:v>6.839998</x:v>
      </x:c>
      <x:c r="H530" s="34" t="n">
        <x:v>13.25</x:v>
      </x:c>
      <x:c r="I530" s="34" t="n">
        <x:v>6.410002</x:v>
      </x:c>
      <x:c r="J530" s="34" t="n">
        <x:v>51.623</x:v>
      </x:c>
      <x:c r="K530" s="34" t="n">
        <x:v>0</x:v>
      </x:c>
      <x:c r="L530" s="34" t="n">
        <x:v>0.625</x:v>
      </x:c>
      <x:c r="M530" s="34" t="n">
        <x:v>0.625</x:v>
      </x:c>
      <x:c r="N530" s="34" t="n">
        <x:v>0</x:v>
      </x:c>
      <x:c r="O530" s="34" t="n">
        <x:v>4.255999</x:v>
      </x:c>
      <x:c r="P530" s="34" t="n">
        <x:v>8</x:v>
      </x:c>
      <x:c r="Q530" s="34" t="n">
        <x:v>3.744001</x:v>
      </x:c>
      <x:c r="R530" s="34" t="n">
        <x:v>53.2</x:v>
      </x:c>
      <x:c r="S530" s="40" t="b">
        <x:v>1</x:v>
      </x:c>
      <x:c r="T530" s="34" t="str">
        <x:v>model_interpolation</x:v>
      </x:c>
      <x:c r="U530" s="34" t="str">
        <x:v>Linear interpolation from 2026 to 2030</x:v>
      </x:c>
      <x:c r="V530" s="34" t="str">
        <x:v>CAND-921D50D4015721</x:v>
      </x:c>
      <x:c r="W530" s="34" t="str">
        <x:v>P3</x:v>
      </x:c>
      <x:c r="X530" s="34" t="str">
        <x:v>PORT-96133A6427FE</x:v>
      </x:c>
      <x:c r="Y530" s="34" t="n">
        <x:v>1000</x:v>
      </x:c>
      <x:c r="Z530" s="34" t="n">
        <x:v>54.526789</x:v>
      </x:c>
      <x:c r="AA530" s="34" t="n">
        <x:v>15.066699</x:v>
      </x:c>
      <x:c r="AB530" s="34" t="n">
        <x:v>430.20423</x:v>
      </x:c>
      <x:c r="AC530" s="34" t="n">
        <x:v>22859.063</x:v>
      </x:c>
      <x:c r="AD530" s="34" t="n">
        <x:v>53.135375</x:v>
      </x:c>
      <x:c r="AE530" s="40" t="b">
        <x:v>1</x:v>
      </x:c>
      <x:c r="AF530" s="40" t="b">
        <x:v>1</x:v>
      </x:c>
      <x:c r="AG530" s="34" t="str"/>
      <x:c r="AH530" s="34" t="n">
        <x:v>0</x:v>
      </x:c>
      <x:c r="AI530" s="34" t="str">
        <x:v>2.0275124185786808e-05</x:v>
      </x:c>
      <x:c r="AJ530" s="40" t="b">
        <x:v>1</x:v>
      </x:c>
      <x:c r="AK530" s="40" t="b">
        <x:v>1</x:v>
      </x:c>
      <x:c r="AL530" s="40" t="b">
        <x:v>1</x:v>
      </x:c>
      <x:c r="AM530" s="40" t="b">
        <x:v>1</x:v>
      </x:c>
      <x:c r="AN530" s="34" t="str"/>
      <x:c r="AO530" s="34" t="n">
        <x:v>0</x:v>
      </x:c>
      <x:c r="AP530" s="34" t="n">
        <x:v>0</x:v>
      </x:c>
      <x:c r="AQ530" s="34" t="n">
        <x:v>0</x:v>
      </x:c>
      <x:c r="AR530" s="34" t="n">
        <x:v>2</x:v>
      </x:c>
      <x:c r="AS530" s="34" t="n">
        <x:v>3</x:v>
      </x:c>
      <x:c r="AT530" s="34" t="n">
        <x:v>0.45933660799999987</x:v>
      </x:c>
      <x:c r="AU530" s="34" t="n">
        <x:v>0.65</x:v>
      </x:c>
      <x:c r="AV530" s="34" t="n">
        <x:v>2.02</x:v>
      </x:c>
    </x:row>
    <x:row r="531">
      <x:c r="A531" s="34" t="str">
        <x:v>POSCO_KR</x:v>
      </x:c>
      <x:c r="B531" s="34" t="str">
        <x:v>POSCO</x:v>
      </x:c>
      <x:c r="C531" s="34" t="str">
        <x:v>ACCELERATED_15C</x:v>
      </x:c>
      <x:c r="D531" s="34" t="str">
        <x:v>P3</x:v>
      </x:c>
      <x:c r="E531" s="34" t="n">
        <x:v>2030</x:v>
      </x:c>
      <x:c r="F531" s="34" t="n">
        <x:v>1</x:v>
      </x:c>
      <x:c r="G531" s="34" t="n">
        <x:v>6.839998</x:v>
      </x:c>
      <x:c r="H531" s="34" t="n">
        <x:v>15</x:v>
      </x:c>
      <x:c r="I531" s="34" t="n">
        <x:v>8.160002</x:v>
      </x:c>
      <x:c r="J531" s="34" t="n">
        <x:v>45.6</x:v>
      </x:c>
      <x:c r="K531" s="34" t="n">
        <x:v>0</x:v>
      </x:c>
      <x:c r="L531" s="34" t="n">
        <x:v>0.8</x:v>
      </x:c>
      <x:c r="M531" s="34" t="n">
        <x:v>0.8</x:v>
      </x:c>
      <x:c r="N531" s="34" t="n">
        <x:v>0</x:v>
      </x:c>
      <x:c r="O531" s="34" t="n">
        <x:v>4.255999</x:v>
      </x:c>
      <x:c r="P531" s="34" t="n">
        <x:v>10</x:v>
      </x:c>
      <x:c r="Q531" s="34" t="n">
        <x:v>5.744001</x:v>
      </x:c>
      <x:c r="R531" s="34" t="n">
        <x:v>42.56</x:v>
      </x:c>
      <x:c r="S531" s="40" t="b">
        <x:v>1</x:v>
      </x:c>
      <x:c r="T531" s="34" t="str">
        <x:v>model_interpolation</x:v>
      </x:c>
      <x:c r="U531" s="34" t="str">
        <x:v>Linear interpolation from 2030 to 2035</x:v>
      </x:c>
      <x:c r="V531" s="34" t="str">
        <x:v>CAND-921D50D4015721</x:v>
      </x:c>
      <x:c r="W531" s="34" t="str">
        <x:v>P3</x:v>
      </x:c>
      <x:c r="X531" s="34" t="str">
        <x:v>PORT-96133A6427FE</x:v>
      </x:c>
      <x:c r="Y531" s="34" t="n">
        <x:v>1000</x:v>
      </x:c>
      <x:c r="Z531" s="34" t="n">
        <x:v>54.526789</x:v>
      </x:c>
      <x:c r="AA531" s="34" t="n">
        <x:v>15.066699</x:v>
      </x:c>
      <x:c r="AB531" s="34" t="n">
        <x:v>430.20423</x:v>
      </x:c>
      <x:c r="AC531" s="34" t="n">
        <x:v>22859.063</x:v>
      </x:c>
      <x:c r="AD531" s="34" t="n">
        <x:v>53.135375</x:v>
      </x:c>
      <x:c r="AE531" s="40" t="b">
        <x:v>1</x:v>
      </x:c>
      <x:c r="AF531" s="40" t="b">
        <x:v>1</x:v>
      </x:c>
      <x:c r="AG531" s="34" t="str"/>
      <x:c r="AH531" s="34" t="n">
        <x:v>0</x:v>
      </x:c>
      <x:c r="AI531" s="34" t="str">
        <x:v>2.0275124185786808e-05</x:v>
      </x:c>
      <x:c r="AJ531" s="40" t="b">
        <x:v>1</x:v>
      </x:c>
      <x:c r="AK531" s="40" t="b">
        <x:v>1</x:v>
      </x:c>
      <x:c r="AL531" s="40" t="b">
        <x:v>1</x:v>
      </x:c>
      <x:c r="AM531" s="40" t="b">
        <x:v>1</x:v>
      </x:c>
      <x:c r="AN531" s="34" t="str"/>
      <x:c r="AO531" s="34" t="n">
        <x:v>0</x:v>
      </x:c>
      <x:c r="AP531" s="34" t="n">
        <x:v>0</x:v>
      </x:c>
      <x:c r="AQ531" s="34" t="n">
        <x:v>0</x:v>
      </x:c>
      <x:c r="AR531" s="34" t="n">
        <x:v>2</x:v>
      </x:c>
      <x:c r="AS531" s="34" t="n">
        <x:v>3</x:v>
      </x:c>
      <x:c r="AT531" s="34" t="n">
        <x:v>0.45933660799999987</x:v>
      </x:c>
      <x:c r="AU531" s="34" t="n">
        <x:v>0.65</x:v>
      </x:c>
      <x:c r="AV531" s="34" t="n">
        <x:v>2.02</x:v>
      </x:c>
    </x:row>
    <x:row r="532">
      <x:c r="A532" s="34" t="str">
        <x:v>POSCO_KR</x:v>
      </x:c>
      <x:c r="B532" s="34" t="str">
        <x:v>POSCO</x:v>
      </x:c>
      <x:c r="C532" s="34" t="str">
        <x:v>ACCELERATED_15C</x:v>
      </x:c>
      <x:c r="D532" s="34" t="str">
        <x:v>P3</x:v>
      </x:c>
      <x:c r="E532" s="34" t="n">
        <x:v>2031</x:v>
      </x:c>
      <x:c r="F532" s="34" t="n">
        <x:v>1</x:v>
      </x:c>
      <x:c r="G532" s="34" t="n">
        <x:v>6.839998</x:v>
      </x:c>
      <x:c r="H532" s="34" t="n">
        <x:v>16.6</x:v>
      </x:c>
      <x:c r="I532" s="34" t="n">
        <x:v>9.760002</x:v>
      </x:c>
      <x:c r="J532" s="34" t="n">
        <x:v>41.205</x:v>
      </x:c>
      <x:c r="K532" s="34" t="n">
        <x:v>0</x:v>
      </x:c>
      <x:c r="L532" s="34" t="n">
        <x:v>1.08</x:v>
      </x:c>
      <x:c r="M532" s="34" t="n">
        <x:v>1.08</x:v>
      </x:c>
      <x:c r="N532" s="34" t="n">
        <x:v>0</x:v>
      </x:c>
      <x:c r="O532" s="34" t="n">
        <x:v>4.255999</x:v>
      </x:c>
      <x:c r="P532" s="34" t="n">
        <x:v>12</x:v>
      </x:c>
      <x:c r="Q532" s="34" t="n">
        <x:v>7.744001</x:v>
      </x:c>
      <x:c r="R532" s="34" t="n">
        <x:v>35.467</x:v>
      </x:c>
      <x:c r="S532" s="40" t="b">
        <x:v>1</x:v>
      </x:c>
      <x:c r="T532" s="34" t="str">
        <x:v>model_interpolation</x:v>
      </x:c>
      <x:c r="U532" s="34" t="str">
        <x:v>Linear interpolation from 2030 to 2035</x:v>
      </x:c>
      <x:c r="V532" s="34" t="str">
        <x:v>CAND-921D50D4015721</x:v>
      </x:c>
      <x:c r="W532" s="34" t="str">
        <x:v>P3</x:v>
      </x:c>
      <x:c r="X532" s="34" t="str">
        <x:v>PORT-96133A6427FE</x:v>
      </x:c>
      <x:c r="Y532" s="34" t="n">
        <x:v>1000</x:v>
      </x:c>
      <x:c r="Z532" s="34" t="n">
        <x:v>54.526789</x:v>
      </x:c>
      <x:c r="AA532" s="34" t="n">
        <x:v>15.066699</x:v>
      </x:c>
      <x:c r="AB532" s="34" t="n">
        <x:v>430.20423</x:v>
      </x:c>
      <x:c r="AC532" s="34" t="n">
        <x:v>22859.063</x:v>
      </x:c>
      <x:c r="AD532" s="34" t="n">
        <x:v>53.135375</x:v>
      </x:c>
      <x:c r="AE532" s="40" t="b">
        <x:v>1</x:v>
      </x:c>
      <x:c r="AF532" s="40" t="b">
        <x:v>1</x:v>
      </x:c>
      <x:c r="AG532" s="34" t="str"/>
      <x:c r="AH532" s="34" t="n">
        <x:v>0</x:v>
      </x:c>
      <x:c r="AI532" s="34" t="str">
        <x:v>2.0275124185786808e-05</x:v>
      </x:c>
      <x:c r="AJ532" s="40" t="b">
        <x:v>1</x:v>
      </x:c>
      <x:c r="AK532" s="40" t="b">
        <x:v>1</x:v>
      </x:c>
      <x:c r="AL532" s="40" t="b">
        <x:v>1</x:v>
      </x:c>
      <x:c r="AM532" s="40" t="b">
        <x:v>1</x:v>
      </x:c>
      <x:c r="AN532" s="34" t="str"/>
      <x:c r="AO532" s="34" t="n">
        <x:v>0</x:v>
      </x:c>
      <x:c r="AP532" s="34" t="n">
        <x:v>0</x:v>
      </x:c>
      <x:c r="AQ532" s="34" t="n">
        <x:v>0</x:v>
      </x:c>
      <x:c r="AR532" s="34" t="n">
        <x:v>2</x:v>
      </x:c>
      <x:c r="AS532" s="34" t="n">
        <x:v>3</x:v>
      </x:c>
      <x:c r="AT532" s="34" t="n">
        <x:v>0.45933660799999987</x:v>
      </x:c>
      <x:c r="AU532" s="34" t="n">
        <x:v>0.65</x:v>
      </x:c>
      <x:c r="AV532" s="34" t="n">
        <x:v>2.02</x:v>
      </x:c>
    </x:row>
    <x:row r="533">
      <x:c r="A533" s="34" t="str">
        <x:v>POSCO_KR</x:v>
      </x:c>
      <x:c r="B533" s="34" t="str">
        <x:v>POSCO</x:v>
      </x:c>
      <x:c r="C533" s="34" t="str">
        <x:v>ACCELERATED_15C</x:v>
      </x:c>
      <x:c r="D533" s="34" t="str">
        <x:v>P3</x:v>
      </x:c>
      <x:c r="E533" s="34" t="n">
        <x:v>2032</x:v>
      </x:c>
      <x:c r="F533" s="34" t="n">
        <x:v>2</x:v>
      </x:c>
      <x:c r="G533" s="34" t="n">
        <x:v>7.859998</x:v>
      </x:c>
      <x:c r="H533" s="34" t="n">
        <x:v>18.2</x:v>
      </x:c>
      <x:c r="I533" s="34" t="n">
        <x:v>10.340002</x:v>
      </x:c>
      <x:c r="J533" s="34" t="n">
        <x:v>43.187</x:v>
      </x:c>
      <x:c r="K533" s="34" t="n">
        <x:v>0.374</x:v>
      </x:c>
      <x:c r="L533" s="34" t="n">
        <x:v>1.36</x:v>
      </x:c>
      <x:c r="M533" s="34" t="n">
        <x:v>0.986</x:v>
      </x:c>
      <x:c r="N533" s="34" t="n">
        <x:v>27.5</x:v>
      </x:c>
      <x:c r="O533" s="34" t="n">
        <x:v>7.383999</x:v>
      </x:c>
      <x:c r="P533" s="34" t="n">
        <x:v>14</x:v>
      </x:c>
      <x:c r="Q533" s="34" t="n">
        <x:v>6.616001</x:v>
      </x:c>
      <x:c r="R533" s="34" t="n">
        <x:v>52.743</x:v>
      </x:c>
      <x:c r="S533" s="40" t="b">
        <x:v>1</x:v>
      </x:c>
      <x:c r="T533" s="34" t="str">
        <x:v>model_interpolation</x:v>
      </x:c>
      <x:c r="U533" s="34" t="str">
        <x:v>Linear interpolation from 2030 to 2035</x:v>
      </x:c>
      <x:c r="V533" s="34" t="str">
        <x:v>CAND-921D50D4015721</x:v>
      </x:c>
      <x:c r="W533" s="34" t="str">
        <x:v>P3</x:v>
      </x:c>
      <x:c r="X533" s="34" t="str">
        <x:v>PORT-96133A6427FE</x:v>
      </x:c>
      <x:c r="Y533" s="34" t="n">
        <x:v>1000</x:v>
      </x:c>
      <x:c r="Z533" s="34" t="n">
        <x:v>54.526789</x:v>
      </x:c>
      <x:c r="AA533" s="34" t="n">
        <x:v>15.066699</x:v>
      </x:c>
      <x:c r="AB533" s="34" t="n">
        <x:v>430.20423</x:v>
      </x:c>
      <x:c r="AC533" s="34" t="n">
        <x:v>22859.063</x:v>
      </x:c>
      <x:c r="AD533" s="34" t="n">
        <x:v>53.135375</x:v>
      </x:c>
      <x:c r="AE533" s="40" t="b">
        <x:v>1</x:v>
      </x:c>
      <x:c r="AF533" s="40" t="b">
        <x:v>1</x:v>
      </x:c>
      <x:c r="AG533" s="34" t="str"/>
      <x:c r="AH533" s="34" t="n">
        <x:v>0</x:v>
      </x:c>
      <x:c r="AI533" s="34" t="str">
        <x:v>2.0275124185786808e-05</x:v>
      </x:c>
      <x:c r="AJ533" s="40" t="b">
        <x:v>1</x:v>
      </x:c>
      <x:c r="AK533" s="40" t="b">
        <x:v>1</x:v>
      </x:c>
      <x:c r="AL533" s="40" t="b">
        <x:v>1</x:v>
      </x:c>
      <x:c r="AM533" s="40" t="b">
        <x:v>1</x:v>
      </x:c>
      <x:c r="AN533" s="34" t="str"/>
      <x:c r="AO533" s="34" t="n">
        <x:v>0</x:v>
      </x:c>
      <x:c r="AP533" s="34" t="n">
        <x:v>0</x:v>
      </x:c>
      <x:c r="AQ533" s="34" t="n">
        <x:v>0</x:v>
      </x:c>
      <x:c r="AR533" s="34" t="n">
        <x:v>2</x:v>
      </x:c>
      <x:c r="AS533" s="34" t="n">
        <x:v>3</x:v>
      </x:c>
      <x:c r="AT533" s="34" t="n">
        <x:v>0.45933660799999987</x:v>
      </x:c>
      <x:c r="AU533" s="34" t="n">
        <x:v>0.65</x:v>
      </x:c>
      <x:c r="AV533" s="34" t="n">
        <x:v>2.02</x:v>
      </x:c>
    </x:row>
    <x:row r="534">
      <x:c r="A534" s="34" t="str">
        <x:v>POSCO_KR</x:v>
      </x:c>
      <x:c r="B534" s="34" t="str">
        <x:v>POSCO</x:v>
      </x:c>
      <x:c r="C534" s="34" t="str">
        <x:v>ACCELERATED_15C</x:v>
      </x:c>
      <x:c r="D534" s="34" t="str">
        <x:v>P3</x:v>
      </x:c>
      <x:c r="E534" s="34" t="n">
        <x:v>2033</x:v>
      </x:c>
      <x:c r="F534" s="34" t="n">
        <x:v>3</x:v>
      </x:c>
      <x:c r="G534" s="34" t="n">
        <x:v>8.880598</x:v>
      </x:c>
      <x:c r="H534" s="34" t="n">
        <x:v>19.8</x:v>
      </x:c>
      <x:c r="I534" s="34" t="n">
        <x:v>10.919402</x:v>
      </x:c>
      <x:c r="J534" s="34" t="n">
        <x:v>44.852</x:v>
      </x:c>
      <x:c r="K534" s="34" t="n">
        <x:v>0.374</x:v>
      </x:c>
      <x:c r="L534" s="34" t="n">
        <x:v>1.6400000000000001</x:v>
      </x:c>
      <x:c r="M534" s="34" t="n">
        <x:v>1.266</x:v>
      </x:c>
      <x:c r="N534" s="34" t="n">
        <x:v>22.805</x:v>
      </x:c>
      <x:c r="O534" s="34" t="n">
        <x:v>7.452039</x:v>
      </x:c>
      <x:c r="P534" s="34" t="n">
        <x:v>16</x:v>
      </x:c>
      <x:c r="Q534" s="34" t="n">
        <x:v>8.547961</x:v>
      </x:c>
      <x:c r="R534" s="34" t="n">
        <x:v>46.575</x:v>
      </x:c>
      <x:c r="S534" s="40" t="b">
        <x:v>1</x:v>
      </x:c>
      <x:c r="T534" s="34" t="str">
        <x:v>model_interpolation</x:v>
      </x:c>
      <x:c r="U534" s="34" t="str">
        <x:v>Linear interpolation from 2030 to 2035</x:v>
      </x:c>
      <x:c r="V534" s="34" t="str">
        <x:v>CAND-921D50D4015721</x:v>
      </x:c>
      <x:c r="W534" s="34" t="str">
        <x:v>P3</x:v>
      </x:c>
      <x:c r="X534" s="34" t="str">
        <x:v>PORT-96133A6427FE</x:v>
      </x:c>
      <x:c r="Y534" s="34" t="n">
        <x:v>1000</x:v>
      </x:c>
      <x:c r="Z534" s="34" t="n">
        <x:v>54.526789</x:v>
      </x:c>
      <x:c r="AA534" s="34" t="n">
        <x:v>15.066699</x:v>
      </x:c>
      <x:c r="AB534" s="34" t="n">
        <x:v>430.20423</x:v>
      </x:c>
      <x:c r="AC534" s="34" t="n">
        <x:v>22859.063</x:v>
      </x:c>
      <x:c r="AD534" s="34" t="n">
        <x:v>53.135375</x:v>
      </x:c>
      <x:c r="AE534" s="40" t="b">
        <x:v>1</x:v>
      </x:c>
      <x:c r="AF534" s="40" t="b">
        <x:v>1</x:v>
      </x:c>
      <x:c r="AG534" s="34" t="str"/>
      <x:c r="AH534" s="34" t="n">
        <x:v>0</x:v>
      </x:c>
      <x:c r="AI534" s="34" t="str">
        <x:v>2.0275124185786808e-05</x:v>
      </x:c>
      <x:c r="AJ534" s="40" t="b">
        <x:v>1</x:v>
      </x:c>
      <x:c r="AK534" s="40" t="b">
        <x:v>1</x:v>
      </x:c>
      <x:c r="AL534" s="40" t="b">
        <x:v>1</x:v>
      </x:c>
      <x:c r="AM534" s="40" t="b">
        <x:v>1</x:v>
      </x:c>
      <x:c r="AN534" s="34" t="str"/>
      <x:c r="AO534" s="34" t="n">
        <x:v>0</x:v>
      </x:c>
      <x:c r="AP534" s="34" t="n">
        <x:v>0</x:v>
      </x:c>
      <x:c r="AQ534" s="34" t="n">
        <x:v>0</x:v>
      </x:c>
      <x:c r="AR534" s="34" t="n">
        <x:v>2</x:v>
      </x:c>
      <x:c r="AS534" s="34" t="n">
        <x:v>3</x:v>
      </x:c>
      <x:c r="AT534" s="34" t="n">
        <x:v>0.45933660799999987</x:v>
      </x:c>
      <x:c r="AU534" s="34" t="n">
        <x:v>0.65</x:v>
      </x:c>
      <x:c r="AV534" s="34" t="n">
        <x:v>2.02</x:v>
      </x:c>
    </x:row>
    <x:row r="535">
      <x:c r="A535" s="34" t="str">
        <x:v>POSCO_KR</x:v>
      </x:c>
      <x:c r="B535" s="34" t="str">
        <x:v>POSCO</x:v>
      </x:c>
      <x:c r="C535" s="34" t="str">
        <x:v>ACCELERATED_15C</x:v>
      </x:c>
      <x:c r="D535" s="34" t="str">
        <x:v>P3</x:v>
      </x:c>
      <x:c r="E535" s="34" t="n">
        <x:v>2034</x:v>
      </x:c>
      <x:c r="F535" s="34" t="n">
        <x:v>3</x:v>
      </x:c>
      <x:c r="G535" s="34" t="n">
        <x:v>8.880598</x:v>
      </x:c>
      <x:c r="H535" s="34" t="n">
        <x:v>21.4</x:v>
      </x:c>
      <x:c r="I535" s="34" t="n">
        <x:v>12.519402</x:v>
      </x:c>
      <x:c r="J535" s="34" t="n">
        <x:v>41.498</x:v>
      </x:c>
      <x:c r="K535" s="34" t="n">
        <x:v>0.374</x:v>
      </x:c>
      <x:c r="L535" s="34" t="n">
        <x:v>1.9200000000000002</x:v>
      </x:c>
      <x:c r="M535" s="34" t="n">
        <x:v>1.546</x:v>
      </x:c>
      <x:c r="N535" s="34" t="n">
        <x:v>19.479</x:v>
      </x:c>
      <x:c r="O535" s="34" t="n">
        <x:v>7.452039</x:v>
      </x:c>
      <x:c r="P535" s="34" t="n">
        <x:v>18</x:v>
      </x:c>
      <x:c r="Q535" s="34" t="n">
        <x:v>10.547961</x:v>
      </x:c>
      <x:c r="R535" s="34" t="n">
        <x:v>41.4</x:v>
      </x:c>
      <x:c r="S535" s="40" t="b">
        <x:v>1</x:v>
      </x:c>
      <x:c r="T535" s="34" t="str">
        <x:v>model_interpolation</x:v>
      </x:c>
      <x:c r="U535" s="34" t="str">
        <x:v>Linear interpolation from 2030 to 2035</x:v>
      </x:c>
      <x:c r="V535" s="34" t="str">
        <x:v>CAND-921D50D4015721</x:v>
      </x:c>
      <x:c r="W535" s="34" t="str">
        <x:v>P3</x:v>
      </x:c>
      <x:c r="X535" s="34" t="str">
        <x:v>PORT-96133A6427FE</x:v>
      </x:c>
      <x:c r="Y535" s="34" t="n">
        <x:v>1000</x:v>
      </x:c>
      <x:c r="Z535" s="34" t="n">
        <x:v>54.526789</x:v>
      </x:c>
      <x:c r="AA535" s="34" t="n">
        <x:v>15.066699</x:v>
      </x:c>
      <x:c r="AB535" s="34" t="n">
        <x:v>430.20423</x:v>
      </x:c>
      <x:c r="AC535" s="34" t="n">
        <x:v>22859.063</x:v>
      </x:c>
      <x:c r="AD535" s="34" t="n">
        <x:v>53.135375</x:v>
      </x:c>
      <x:c r="AE535" s="40" t="b">
        <x:v>1</x:v>
      </x:c>
      <x:c r="AF535" s="40" t="b">
        <x:v>1</x:v>
      </x:c>
      <x:c r="AG535" s="34" t="str"/>
      <x:c r="AH535" s="34" t="n">
        <x:v>0</x:v>
      </x:c>
      <x:c r="AI535" s="34" t="str">
        <x:v>2.0275124185786808e-05</x:v>
      </x:c>
      <x:c r="AJ535" s="40" t="b">
        <x:v>1</x:v>
      </x:c>
      <x:c r="AK535" s="40" t="b">
        <x:v>1</x:v>
      </x:c>
      <x:c r="AL535" s="40" t="b">
        <x:v>1</x:v>
      </x:c>
      <x:c r="AM535" s="40" t="b">
        <x:v>1</x:v>
      </x:c>
      <x:c r="AN535" s="34" t="str"/>
      <x:c r="AO535" s="34" t="n">
        <x:v>0</x:v>
      </x:c>
      <x:c r="AP535" s="34" t="n">
        <x:v>0</x:v>
      </x:c>
      <x:c r="AQ535" s="34" t="n">
        <x:v>0</x:v>
      </x:c>
      <x:c r="AR535" s="34" t="n">
        <x:v>2</x:v>
      </x:c>
      <x:c r="AS535" s="34" t="n">
        <x:v>3</x:v>
      </x:c>
      <x:c r="AT535" s="34" t="n">
        <x:v>0.45933660799999987</x:v>
      </x:c>
      <x:c r="AU535" s="34" t="n">
        <x:v>0.65</x:v>
      </x:c>
      <x:c r="AV535" s="34" t="n">
        <x:v>2.02</x:v>
      </x:c>
    </x:row>
    <x:row r="536">
      <x:c r="A536" s="34" t="str">
        <x:v>POSCO_KR</x:v>
      </x:c>
      <x:c r="B536" s="34" t="str">
        <x:v>POSCO</x:v>
      </x:c>
      <x:c r="C536" s="34" t="str">
        <x:v>ACCELERATED_15C</x:v>
      </x:c>
      <x:c r="D536" s="34" t="str">
        <x:v>P3</x:v>
      </x:c>
      <x:c r="E536" s="34" t="n">
        <x:v>2035</x:v>
      </x:c>
      <x:c r="F536" s="34" t="n">
        <x:v>4</x:v>
      </x:c>
      <x:c r="G536" s="34" t="n">
        <x:v>17.430597</x:v>
      </x:c>
      <x:c r="H536" s="34" t="n">
        <x:v>23</x:v>
      </x:c>
      <x:c r="I536" s="34" t="n">
        <x:v>5.569403</x:v>
      </x:c>
      <x:c r="J536" s="34" t="n">
        <x:v>75.785</x:v>
      </x:c>
      <x:c r="K536" s="34" t="n">
        <x:v>0.374</x:v>
      </x:c>
      <x:c r="L536" s="34" t="n">
        <x:v>2.2</x:v>
      </x:c>
      <x:c r="M536" s="34" t="n">
        <x:v>1.826</x:v>
      </x:c>
      <x:c r="N536" s="34" t="n">
        <x:v>17</x:v>
      </x:c>
      <x:c r="O536" s="34" t="n">
        <x:v>12.867038</x:v>
      </x:c>
      <x:c r="P536" s="34" t="n">
        <x:v>20</x:v>
      </x:c>
      <x:c r="Q536" s="34" t="n">
        <x:v>7.132962</x:v>
      </x:c>
      <x:c r="R536" s="34" t="n">
        <x:v>64.335</x:v>
      </x:c>
      <x:c r="S536" s="40" t="b">
        <x:v>1</x:v>
      </x:c>
      <x:c r="T536" s="34" t="str">
        <x:v>model_interpolation</x:v>
      </x:c>
      <x:c r="U536" s="34" t="str">
        <x:v>Linear interpolation from 2035 to 2040</x:v>
      </x:c>
      <x:c r="V536" s="34" t="str">
        <x:v>CAND-921D50D4015721</x:v>
      </x:c>
      <x:c r="W536" s="34" t="str">
        <x:v>P3</x:v>
      </x:c>
      <x:c r="X536" s="34" t="str">
        <x:v>PORT-96133A6427FE</x:v>
      </x:c>
      <x:c r="Y536" s="34" t="n">
        <x:v>1000</x:v>
      </x:c>
      <x:c r="Z536" s="34" t="n">
        <x:v>54.526789</x:v>
      </x:c>
      <x:c r="AA536" s="34" t="n">
        <x:v>15.066699</x:v>
      </x:c>
      <x:c r="AB536" s="34" t="n">
        <x:v>430.20423</x:v>
      </x:c>
      <x:c r="AC536" s="34" t="n">
        <x:v>22859.063</x:v>
      </x:c>
      <x:c r="AD536" s="34" t="n">
        <x:v>53.135375</x:v>
      </x:c>
      <x:c r="AE536" s="40" t="b">
        <x:v>1</x:v>
      </x:c>
      <x:c r="AF536" s="40" t="b">
        <x:v>1</x:v>
      </x:c>
      <x:c r="AG536" s="34" t="str"/>
      <x:c r="AH536" s="34" t="n">
        <x:v>0</x:v>
      </x:c>
      <x:c r="AI536" s="34" t="str">
        <x:v>2.0275124185786808e-05</x:v>
      </x:c>
      <x:c r="AJ536" s="40" t="b">
        <x:v>1</x:v>
      </x:c>
      <x:c r="AK536" s="40" t="b">
        <x:v>1</x:v>
      </x:c>
      <x:c r="AL536" s="40" t="b">
        <x:v>1</x:v>
      </x:c>
      <x:c r="AM536" s="40" t="b">
        <x:v>1</x:v>
      </x:c>
      <x:c r="AN536" s="34" t="str"/>
      <x:c r="AO536" s="34" t="n">
        <x:v>0</x:v>
      </x:c>
      <x:c r="AP536" s="34" t="n">
        <x:v>0</x:v>
      </x:c>
      <x:c r="AQ536" s="34" t="n">
        <x:v>0</x:v>
      </x:c>
      <x:c r="AR536" s="34" t="n">
        <x:v>2</x:v>
      </x:c>
      <x:c r="AS536" s="34" t="n">
        <x:v>3</x:v>
      </x:c>
      <x:c r="AT536" s="34" t="n">
        <x:v>0.45933660799999987</x:v>
      </x:c>
      <x:c r="AU536" s="34" t="n">
        <x:v>0.65</x:v>
      </x:c>
      <x:c r="AV536" s="34" t="n">
        <x:v>2.02</x:v>
      </x:c>
    </x:row>
    <x:row r="537">
      <x:c r="A537" s="34" t="str">
        <x:v>POSCO_KR</x:v>
      </x:c>
      <x:c r="B537" s="34" t="str">
        <x:v>POSCO</x:v>
      </x:c>
      <x:c r="C537" s="34" t="str">
        <x:v>ACCELERATED_15C</x:v>
      </x:c>
      <x:c r="D537" s="34" t="str">
        <x:v>P3</x:v>
      </x:c>
      <x:c r="E537" s="34" t="n">
        <x:v>2036</x:v>
      </x:c>
      <x:c r="F537" s="34" t="n">
        <x:v>4</x:v>
      </x:c>
      <x:c r="G537" s="34" t="n">
        <x:v>17.430597</x:v>
      </x:c>
      <x:c r="H537" s="34" t="n">
        <x:v>24.4</x:v>
      </x:c>
      <x:c r="I537" s="34" t="n">
        <x:v>6.969403</x:v>
      </x:c>
      <x:c r="J537" s="34" t="n">
        <x:v>71.437</x:v>
      </x:c>
      <x:c r="K537" s="34" t="n">
        <x:v>0.374</x:v>
      </x:c>
      <x:c r="L537" s="34" t="n">
        <x:v>2.56</x:v>
      </x:c>
      <x:c r="M537" s="34" t="n">
        <x:v>2.186</x:v>
      </x:c>
      <x:c r="N537" s="34" t="n">
        <x:v>14.609</x:v>
      </x:c>
      <x:c r="O537" s="34" t="n">
        <x:v>12.867038</x:v>
      </x:c>
      <x:c r="P537" s="34" t="n">
        <x:v>22.4</x:v>
      </x:c>
      <x:c r="Q537" s="34" t="n">
        <x:v>9.532962</x:v>
      </x:c>
      <x:c r="R537" s="34" t="n">
        <x:v>57.442</x:v>
      </x:c>
      <x:c r="S537" s="40" t="b">
        <x:v>1</x:v>
      </x:c>
      <x:c r="T537" s="34" t="str">
        <x:v>model_interpolation</x:v>
      </x:c>
      <x:c r="U537" s="34" t="str">
        <x:v>Linear interpolation from 2035 to 2040</x:v>
      </x:c>
      <x:c r="V537" s="34" t="str">
        <x:v>CAND-921D50D4015721</x:v>
      </x:c>
      <x:c r="W537" s="34" t="str">
        <x:v>P3</x:v>
      </x:c>
      <x:c r="X537" s="34" t="str">
        <x:v>PORT-96133A6427FE</x:v>
      </x:c>
      <x:c r="Y537" s="34" t="n">
        <x:v>1000</x:v>
      </x:c>
      <x:c r="Z537" s="34" t="n">
        <x:v>54.526789</x:v>
      </x:c>
      <x:c r="AA537" s="34" t="n">
        <x:v>15.066699</x:v>
      </x:c>
      <x:c r="AB537" s="34" t="n">
        <x:v>430.20423</x:v>
      </x:c>
      <x:c r="AC537" s="34" t="n">
        <x:v>22859.063</x:v>
      </x:c>
      <x:c r="AD537" s="34" t="n">
        <x:v>53.135375</x:v>
      </x:c>
      <x:c r="AE537" s="40" t="b">
        <x:v>1</x:v>
      </x:c>
      <x:c r="AF537" s="40" t="b">
        <x:v>1</x:v>
      </x:c>
      <x:c r="AG537" s="34" t="str"/>
      <x:c r="AH537" s="34" t="n">
        <x:v>0</x:v>
      </x:c>
      <x:c r="AI537" s="34" t="str">
        <x:v>2.0275124185786808e-05</x:v>
      </x:c>
      <x:c r="AJ537" s="40" t="b">
        <x:v>1</x:v>
      </x:c>
      <x:c r="AK537" s="40" t="b">
        <x:v>1</x:v>
      </x:c>
      <x:c r="AL537" s="40" t="b">
        <x:v>1</x:v>
      </x:c>
      <x:c r="AM537" s="40" t="b">
        <x:v>1</x:v>
      </x:c>
      <x:c r="AN537" s="34" t="str"/>
      <x:c r="AO537" s="34" t="n">
        <x:v>0</x:v>
      </x:c>
      <x:c r="AP537" s="34" t="n">
        <x:v>0</x:v>
      </x:c>
      <x:c r="AQ537" s="34" t="n">
        <x:v>0</x:v>
      </x:c>
      <x:c r="AR537" s="34" t="n">
        <x:v>2</x:v>
      </x:c>
      <x:c r="AS537" s="34" t="n">
        <x:v>3</x:v>
      </x:c>
      <x:c r="AT537" s="34" t="n">
        <x:v>0.45933660799999987</x:v>
      </x:c>
      <x:c r="AU537" s="34" t="n">
        <x:v>0.65</x:v>
      </x:c>
      <x:c r="AV537" s="34" t="n">
        <x:v>2.02</x:v>
      </x:c>
    </x:row>
    <x:row r="538">
      <x:c r="A538" s="34" t="str">
        <x:v>POSCO_KR</x:v>
      </x:c>
      <x:c r="B538" s="34" t="str">
        <x:v>POSCO</x:v>
      </x:c>
      <x:c r="C538" s="34" t="str">
        <x:v>ACCELERATED_15C</x:v>
      </x:c>
      <x:c r="D538" s="34" t="str">
        <x:v>P3</x:v>
      </x:c>
      <x:c r="E538" s="34" t="n">
        <x:v>2037</x:v>
      </x:c>
      <x:c r="F538" s="34" t="n">
        <x:v>5</x:v>
      </x:c>
      <x:c r="G538" s="34" t="n">
        <x:v>18.856047</x:v>
      </x:c>
      <x:c r="H538" s="34" t="n">
        <x:v>25.8</x:v>
      </x:c>
      <x:c r="I538" s="34" t="n">
        <x:v>6.943953</x:v>
      </x:c>
      <x:c r="J538" s="34" t="n">
        <x:v>73.085</x:v>
      </x:c>
      <x:c r="K538" s="34" t="n">
        <x:v>0.896665</x:v>
      </x:c>
      <x:c r="L538" s="34" t="n">
        <x:v>2.92</x:v>
      </x:c>
      <x:c r="M538" s="34" t="n">
        <x:v>2.023335</x:v>
      </x:c>
      <x:c r="N538" s="34" t="n">
        <x:v>30.708</x:v>
      </x:c>
      <x:c r="O538" s="34" t="n">
        <x:v>17.333447</x:v>
      </x:c>
      <x:c r="P538" s="34" t="n">
        <x:v>24.8</x:v>
      </x:c>
      <x:c r="Q538" s="34" t="n">
        <x:v>7.466553</x:v>
      </x:c>
      <x:c r="R538" s="34" t="n">
        <x:v>69.893</x:v>
      </x:c>
      <x:c r="S538" s="40" t="b">
        <x:v>1</x:v>
      </x:c>
      <x:c r="T538" s="34" t="str">
        <x:v>model_interpolation</x:v>
      </x:c>
      <x:c r="U538" s="34" t="str">
        <x:v>Linear interpolation from 2035 to 2040</x:v>
      </x:c>
      <x:c r="V538" s="34" t="str">
        <x:v>CAND-921D50D4015721</x:v>
      </x:c>
      <x:c r="W538" s="34" t="str">
        <x:v>P3</x:v>
      </x:c>
      <x:c r="X538" s="34" t="str">
        <x:v>PORT-96133A6427FE</x:v>
      </x:c>
      <x:c r="Y538" s="34" t="n">
        <x:v>1000</x:v>
      </x:c>
      <x:c r="Z538" s="34" t="n">
        <x:v>54.526789</x:v>
      </x:c>
      <x:c r="AA538" s="34" t="n">
        <x:v>15.066699</x:v>
      </x:c>
      <x:c r="AB538" s="34" t="n">
        <x:v>430.20423</x:v>
      </x:c>
      <x:c r="AC538" s="34" t="n">
        <x:v>22859.063</x:v>
      </x:c>
      <x:c r="AD538" s="34" t="n">
        <x:v>53.135375</x:v>
      </x:c>
      <x:c r="AE538" s="40" t="b">
        <x:v>1</x:v>
      </x:c>
      <x:c r="AF538" s="40" t="b">
        <x:v>1</x:v>
      </x:c>
      <x:c r="AG538" s="34" t="str"/>
      <x:c r="AH538" s="34" t="n">
        <x:v>0</x:v>
      </x:c>
      <x:c r="AI538" s="34" t="str">
        <x:v>2.0275124185786808e-05</x:v>
      </x:c>
      <x:c r="AJ538" s="40" t="b">
        <x:v>1</x:v>
      </x:c>
      <x:c r="AK538" s="40" t="b">
        <x:v>1</x:v>
      </x:c>
      <x:c r="AL538" s="40" t="b">
        <x:v>1</x:v>
      </x:c>
      <x:c r="AM538" s="40" t="b">
        <x:v>1</x:v>
      </x:c>
      <x:c r="AN538" s="34" t="str"/>
      <x:c r="AO538" s="34" t="n">
        <x:v>0</x:v>
      </x:c>
      <x:c r="AP538" s="34" t="n">
        <x:v>0</x:v>
      </x:c>
      <x:c r="AQ538" s="34" t="n">
        <x:v>0</x:v>
      </x:c>
      <x:c r="AR538" s="34" t="n">
        <x:v>2</x:v>
      </x:c>
      <x:c r="AS538" s="34" t="n">
        <x:v>3</x:v>
      </x:c>
      <x:c r="AT538" s="34" t="n">
        <x:v>0.45933660799999987</x:v>
      </x:c>
      <x:c r="AU538" s="34" t="n">
        <x:v>0.65</x:v>
      </x:c>
      <x:c r="AV538" s="34" t="n">
        <x:v>2.02</x:v>
      </x:c>
    </x:row>
    <x:row r="539">
      <x:c r="A539" s="34" t="str">
        <x:v>POSCO_KR</x:v>
      </x:c>
      <x:c r="B539" s="34" t="str">
        <x:v>POSCO</x:v>
      </x:c>
      <x:c r="C539" s="34" t="str">
        <x:v>ACCELERATED_15C</x:v>
      </x:c>
      <x:c r="D539" s="34" t="str">
        <x:v>P3</x:v>
      </x:c>
      <x:c r="E539" s="34" t="n">
        <x:v>2038</x:v>
      </x:c>
      <x:c r="F539" s="34" t="n">
        <x:v>5</x:v>
      </x:c>
      <x:c r="G539" s="34" t="n">
        <x:v>18.856047</x:v>
      </x:c>
      <x:c r="H539" s="34" t="n">
        <x:v>27.2</x:v>
      </x:c>
      <x:c r="I539" s="34" t="n">
        <x:v>8.343953</x:v>
      </x:c>
      <x:c r="J539" s="34" t="n">
        <x:v>69.324</x:v>
      </x:c>
      <x:c r="K539" s="34" t="n">
        <x:v>0.896665</x:v>
      </x:c>
      <x:c r="L539" s="34" t="n">
        <x:v>3.2800000000000002</x:v>
      </x:c>
      <x:c r="M539" s="34" t="n">
        <x:v>2.383335</x:v>
      </x:c>
      <x:c r="N539" s="34" t="n">
        <x:v>27.337</x:v>
      </x:c>
      <x:c r="O539" s="34" t="n">
        <x:v>17.333447</x:v>
      </x:c>
      <x:c r="P539" s="34" t="n">
        <x:v>27.2</x:v>
      </x:c>
      <x:c r="Q539" s="34" t="n">
        <x:v>9.866553</x:v>
      </x:c>
      <x:c r="R539" s="34" t="n">
        <x:v>63.726</x:v>
      </x:c>
      <x:c r="S539" s="40" t="b">
        <x:v>1</x:v>
      </x:c>
      <x:c r="T539" s="34" t="str">
        <x:v>model_interpolation</x:v>
      </x:c>
      <x:c r="U539" s="34" t="str">
        <x:v>Linear interpolation from 2035 to 2040</x:v>
      </x:c>
      <x:c r="V539" s="34" t="str">
        <x:v>CAND-921D50D4015721</x:v>
      </x:c>
      <x:c r="W539" s="34" t="str">
        <x:v>P3</x:v>
      </x:c>
      <x:c r="X539" s="34" t="str">
        <x:v>PORT-96133A6427FE</x:v>
      </x:c>
      <x:c r="Y539" s="34" t="n">
        <x:v>1000</x:v>
      </x:c>
      <x:c r="Z539" s="34" t="n">
        <x:v>54.526789</x:v>
      </x:c>
      <x:c r="AA539" s="34" t="n">
        <x:v>15.066699</x:v>
      </x:c>
      <x:c r="AB539" s="34" t="n">
        <x:v>430.20423</x:v>
      </x:c>
      <x:c r="AC539" s="34" t="n">
        <x:v>22859.063</x:v>
      </x:c>
      <x:c r="AD539" s="34" t="n">
        <x:v>53.135375</x:v>
      </x:c>
      <x:c r="AE539" s="40" t="b">
        <x:v>1</x:v>
      </x:c>
      <x:c r="AF539" s="40" t="b">
        <x:v>1</x:v>
      </x:c>
      <x:c r="AG539" s="34" t="str"/>
      <x:c r="AH539" s="34" t="n">
        <x:v>0</x:v>
      </x:c>
      <x:c r="AI539" s="34" t="str">
        <x:v>2.0275124185786808e-05</x:v>
      </x:c>
      <x:c r="AJ539" s="40" t="b">
        <x:v>1</x:v>
      </x:c>
      <x:c r="AK539" s="40" t="b">
        <x:v>1</x:v>
      </x:c>
      <x:c r="AL539" s="40" t="b">
        <x:v>1</x:v>
      </x:c>
      <x:c r="AM539" s="40" t="b">
        <x:v>1</x:v>
      </x:c>
      <x:c r="AN539" s="34" t="str"/>
      <x:c r="AO539" s="34" t="n">
        <x:v>0</x:v>
      </x:c>
      <x:c r="AP539" s="34" t="n">
        <x:v>0</x:v>
      </x:c>
      <x:c r="AQ539" s="34" t="n">
        <x:v>0</x:v>
      </x:c>
      <x:c r="AR539" s="34" t="n">
        <x:v>2</x:v>
      </x:c>
      <x:c r="AS539" s="34" t="n">
        <x:v>3</x:v>
      </x:c>
      <x:c r="AT539" s="34" t="n">
        <x:v>0.45933660799999987</x:v>
      </x:c>
      <x:c r="AU539" s="34" t="n">
        <x:v>0.65</x:v>
      </x:c>
      <x:c r="AV539" s="34" t="n">
        <x:v>2.02</x:v>
      </x:c>
    </x:row>
    <x:row r="540">
      <x:c r="A540" s="34" t="str">
        <x:v>POSCO_KR</x:v>
      </x:c>
      <x:c r="B540" s="34" t="str">
        <x:v>POSCO</x:v>
      </x:c>
      <x:c r="C540" s="34" t="str">
        <x:v>ACCELERATED_15C</x:v>
      </x:c>
      <x:c r="D540" s="34" t="str">
        <x:v>P3</x:v>
      </x:c>
      <x:c r="E540" s="34" t="n">
        <x:v>2039</x:v>
      </x:c>
      <x:c r="F540" s="34" t="n">
        <x:v>5</x:v>
      </x:c>
      <x:c r="G540" s="34" t="n">
        <x:v>18.856047</x:v>
      </x:c>
      <x:c r="H540" s="34" t="n">
        <x:v>28.6</x:v>
      </x:c>
      <x:c r="I540" s="34" t="n">
        <x:v>9.743953</x:v>
      </x:c>
      <x:c r="J540" s="34" t="n">
        <x:v>65.93</x:v>
      </x:c>
      <x:c r="K540" s="34" t="n">
        <x:v>0.896665</x:v>
      </x:c>
      <x:c r="L540" s="34" t="n">
        <x:v>3.64</x:v>
      </x:c>
      <x:c r="M540" s="34" t="n">
        <x:v>2.743335</x:v>
      </x:c>
      <x:c r="N540" s="34" t="n">
        <x:v>24.634</x:v>
      </x:c>
      <x:c r="O540" s="34" t="n">
        <x:v>17.333447</x:v>
      </x:c>
      <x:c r="P540" s="34" t="n">
        <x:v>29.6</x:v>
      </x:c>
      <x:c r="Q540" s="34" t="n">
        <x:v>12.266553</x:v>
      </x:c>
      <x:c r="R540" s="34" t="n">
        <x:v>58.559</x:v>
      </x:c>
      <x:c r="S540" s="40" t="b">
        <x:v>1</x:v>
      </x:c>
      <x:c r="T540" s="34" t="str">
        <x:v>model_interpolation</x:v>
      </x:c>
      <x:c r="U540" s="34" t="str">
        <x:v>Linear interpolation from 2035 to 2040</x:v>
      </x:c>
      <x:c r="V540" s="34" t="str">
        <x:v>CAND-921D50D4015721</x:v>
      </x:c>
      <x:c r="W540" s="34" t="str">
        <x:v>P3</x:v>
      </x:c>
      <x:c r="X540" s="34" t="str">
        <x:v>PORT-96133A6427FE</x:v>
      </x:c>
      <x:c r="Y540" s="34" t="n">
        <x:v>1000</x:v>
      </x:c>
      <x:c r="Z540" s="34" t="n">
        <x:v>54.526789</x:v>
      </x:c>
      <x:c r="AA540" s="34" t="n">
        <x:v>15.066699</x:v>
      </x:c>
      <x:c r="AB540" s="34" t="n">
        <x:v>430.20423</x:v>
      </x:c>
      <x:c r="AC540" s="34" t="n">
        <x:v>22859.063</x:v>
      </x:c>
      <x:c r="AD540" s="34" t="n">
        <x:v>53.135375</x:v>
      </x:c>
      <x:c r="AE540" s="40" t="b">
        <x:v>1</x:v>
      </x:c>
      <x:c r="AF540" s="40" t="b">
        <x:v>1</x:v>
      </x:c>
      <x:c r="AG540" s="34" t="str"/>
      <x:c r="AH540" s="34" t="n">
        <x:v>0</x:v>
      </x:c>
      <x:c r="AI540" s="34" t="str">
        <x:v>2.0275124185786808e-05</x:v>
      </x:c>
      <x:c r="AJ540" s="40" t="b">
        <x:v>1</x:v>
      </x:c>
      <x:c r="AK540" s="40" t="b">
        <x:v>1</x:v>
      </x:c>
      <x:c r="AL540" s="40" t="b">
        <x:v>1</x:v>
      </x:c>
      <x:c r="AM540" s="40" t="b">
        <x:v>1</x:v>
      </x:c>
      <x:c r="AN540" s="34" t="str"/>
      <x:c r="AO540" s="34" t="n">
        <x:v>0</x:v>
      </x:c>
      <x:c r="AP540" s="34" t="n">
        <x:v>0</x:v>
      </x:c>
      <x:c r="AQ540" s="34" t="n">
        <x:v>0</x:v>
      </x:c>
      <x:c r="AR540" s="34" t="n">
        <x:v>2</x:v>
      </x:c>
      <x:c r="AS540" s="34" t="n">
        <x:v>3</x:v>
      </x:c>
      <x:c r="AT540" s="34" t="n">
        <x:v>0.45933660799999987</x:v>
      </x:c>
      <x:c r="AU540" s="34" t="n">
        <x:v>0.65</x:v>
      </x:c>
      <x:c r="AV540" s="34" t="n">
        <x:v>2.02</x:v>
      </x:c>
    </x:row>
    <x:row r="541">
      <x:c r="A541" s="34" t="str">
        <x:v>POSCO_KR</x:v>
      </x:c>
      <x:c r="B541" s="34" t="str">
        <x:v>POSCO</x:v>
      </x:c>
      <x:c r="C541" s="34" t="str">
        <x:v>ACCELERATED_15C</x:v>
      </x:c>
      <x:c r="D541" s="34" t="str">
        <x:v>P3</x:v>
      </x:c>
      <x:c r="E541" s="34" t="n">
        <x:v>2040</x:v>
      </x:c>
      <x:c r="F541" s="34" t="n">
        <x:v>5</x:v>
      </x:c>
      <x:c r="G541" s="34" t="n">
        <x:v>18.856047</x:v>
      </x:c>
      <x:c r="H541" s="34" t="n">
        <x:v>30</x:v>
      </x:c>
      <x:c r="I541" s="34" t="n">
        <x:v>11.143953</x:v>
      </x:c>
      <x:c r="J541" s="34" t="n">
        <x:v>62.853</x:v>
      </x:c>
      <x:c r="K541" s="34" t="n">
        <x:v>0.896665</x:v>
      </x:c>
      <x:c r="L541" s="34" t="n">
        <x:v>4</x:v>
      </x:c>
      <x:c r="M541" s="34" t="n">
        <x:v>3.103335</x:v>
      </x:c>
      <x:c r="N541" s="34" t="n">
        <x:v>22.417</x:v>
      </x:c>
      <x:c r="O541" s="34" t="n">
        <x:v>17.333447</x:v>
      </x:c>
      <x:c r="P541" s="34" t="n">
        <x:v>32</x:v>
      </x:c>
      <x:c r="Q541" s="34" t="n">
        <x:v>14.666553</x:v>
      </x:c>
      <x:c r="R541" s="34" t="n">
        <x:v>54.167</x:v>
      </x:c>
      <x:c r="S541" s="40" t="b">
        <x:v>1</x:v>
      </x:c>
      <x:c r="T541" s="34" t="str">
        <x:v>model_estimate</x:v>
      </x:c>
      <x:c r="U541" s="34" t="str">
        <x:v>Illustrative accelerated envelope; not GCAM or an official supply forecast</x:v>
      </x:c>
      <x:c r="V541" s="34" t="str">
        <x:v>CAND-921D50D4015721</x:v>
      </x:c>
      <x:c r="W541" s="34" t="str">
        <x:v>P3</x:v>
      </x:c>
      <x:c r="X541" s="34" t="str">
        <x:v>PORT-96133A6427FE</x:v>
      </x:c>
      <x:c r="Y541" s="34" t="n">
        <x:v>1000</x:v>
      </x:c>
      <x:c r="Z541" s="34" t="n">
        <x:v>54.526789</x:v>
      </x:c>
      <x:c r="AA541" s="34" t="n">
        <x:v>15.066699</x:v>
      </x:c>
      <x:c r="AB541" s="34" t="n">
        <x:v>430.20423</x:v>
      </x:c>
      <x:c r="AC541" s="34" t="n">
        <x:v>22859.063</x:v>
      </x:c>
      <x:c r="AD541" s="34" t="n">
        <x:v>53.135375</x:v>
      </x:c>
      <x:c r="AE541" s="40" t="b">
        <x:v>1</x:v>
      </x:c>
      <x:c r="AF541" s="40" t="b">
        <x:v>1</x:v>
      </x:c>
      <x:c r="AG541" s="34" t="str"/>
      <x:c r="AH541" s="34" t="n">
        <x:v>0</x:v>
      </x:c>
      <x:c r="AI541" s="34" t="str">
        <x:v>2.0275124185786808e-05</x:v>
      </x:c>
      <x:c r="AJ541" s="40" t="b">
        <x:v>1</x:v>
      </x:c>
      <x:c r="AK541" s="40" t="b">
        <x:v>1</x:v>
      </x:c>
      <x:c r="AL541" s="40" t="b">
        <x:v>1</x:v>
      </x:c>
      <x:c r="AM541" s="40" t="b">
        <x:v>1</x:v>
      </x:c>
      <x:c r="AN541" s="34" t="str"/>
      <x:c r="AO541" s="34" t="n">
        <x:v>0</x:v>
      </x:c>
      <x:c r="AP541" s="34" t="n">
        <x:v>0</x:v>
      </x:c>
      <x:c r="AQ541" s="34" t="n">
        <x:v>0</x:v>
      </x:c>
      <x:c r="AR541" s="34" t="n">
        <x:v>2</x:v>
      </x:c>
      <x:c r="AS541" s="34" t="n">
        <x:v>3</x:v>
      </x:c>
      <x:c r="AT541" s="34" t="n">
        <x:v>0.45933660799999987</x:v>
      </x:c>
      <x:c r="AU541" s="34" t="n">
        <x:v>0.65</x:v>
      </x:c>
      <x:c r="AV541" s="34" t="n">
        <x:v>2.02</x:v>
      </x:c>
    </x:row>
    <x:row r="542">
      <x:c r="A542" s="34" t="str">
        <x:v>NIPPON_STEEL_JP</x:v>
      </x:c>
      <x:c r="B542" s="34" t="str">
        <x:v>Nippon Steel</x:v>
      </x:c>
      <x:c r="C542" s="34" t="str">
        <x:v>DISCLOSED_PATH</x:v>
      </x:c>
      <x:c r="D542" s="34" t="str">
        <x:v>P1</x:v>
      </x:c>
      <x:c r="E542" s="34" t="n">
        <x:v>2026</x:v>
      </x:c>
      <x:c r="F542" s="34" t="n">
        <x:v>0</x:v>
      </x:c>
      <x:c r="G542" s="34" t="n">
        <x:v>0</x:v>
      </x:c>
      <x:c r="H542" s="34" t="n">
        <x:v>8</x:v>
      </x:c>
      <x:c r="I542" s="34" t="n">
        <x:v>8</x:v>
      </x:c>
      <x:c r="J542" s="34" t="n">
        <x:v>0</x:v>
      </x:c>
      <x:c r="K542" s="34" t="n">
        <x:v>0</x:v>
      </x:c>
      <x:c r="L542" s="34" t="n">
        <x:v>0</x:v>
      </x:c>
      <x:c r="M542" s="34" t="n">
        <x:v>0</x:v>
      </x:c>
      <x:c r="N542" s="34" t="n">
        <x:v>0</x:v>
      </x:c>
      <x:c r="O542" s="34" t="n">
        <x:v>0</x:v>
      </x:c>
      <x:c r="P542" s="34" t="n">
        <x:v>2</x:v>
      </x:c>
      <x:c r="Q542" s="34" t="n">
        <x:v>2</x:v>
      </x:c>
      <x:c r="R542" s="34" t="n">
        <x:v>0</x:v>
      </x:c>
      <x:c r="S542" s="40" t="b">
        <x:v>1</x:v>
      </x:c>
      <x:c r="T542" s="34" t="str">
        <x:v>model_interpolation</x:v>
      </x:c>
      <x:c r="U542" s="34" t="str">
        <x:v>Linear interpolation from 2026 to 2030</x:v>
      </x:c>
      <x:c r="V542" s="34" t="str">
        <x:v>CAND-97FAAFFD87E907</x:v>
      </x:c>
      <x:c r="W542" s="34" t="str">
        <x:v>P1</x:v>
      </x:c>
      <x:c r="X542" s="34" t="str">
        <x:v>PORT-160DD6C4A97F</x:v>
      </x:c>
      <x:c r="Y542" s="34" t="n">
        <x:v>1000</x:v>
      </x:c>
      <x:c r="Z542" s="34" t="n">
        <x:v>45.804768</x:v>
      </x:c>
      <x:c r="AA542" s="34" t="n">
        <x:v>16.191114</x:v>
      </x:c>
      <x:c r="AB542" s="34" t="n">
        <x:v>442.153947</x:v>
      </x:c>
      <x:c r="AC542" s="34" t="n">
        <x:v>19641.24</x:v>
      </x:c>
      <x:c r="AD542" s="34" t="n">
        <x:v>44.421722</x:v>
      </x:c>
      <x:c r="AE542" s="40" t="b">
        <x:v>1</x:v>
      </x:c>
      <x:c r="AF542" s="40" t="b">
        <x:v>0</x:v>
      </x:c>
      <x:c r="AG542" s="34" t="str"/>
      <x:c r="AH542" s="34" t="n">
        <x:v>0</x:v>
      </x:c>
      <x:c r="AI542" s="34" t="str">
        <x:v>3.446647212967946e-06</x:v>
      </x:c>
      <x:c r="AJ542" s="40" t="b">
        <x:v>0</x:v>
      </x:c>
      <x:c r="AK542" s="40" t="b">
        <x:v>0</x:v>
      </x:c>
      <x:c r="AL542" s="40" t="b">
        <x:v>1</x:v>
      </x:c>
      <x:c r="AM542" s="40" t="b">
        <x:v>1</x:v>
      </x:c>
      <x:c r="AN542" s="34" t="n">
        <x:v>2034</x:v>
      </x:c>
      <x:c r="AO542" s="34" t="n">
        <x:v>4.469999115000004</x:v>
      </x:c>
      <x:c r="AP542" s="34" t="n">
        <x:v>0</x:v>
      </x:c>
      <x:c r="AQ542" s="34" t="n">
        <x:v>0</x:v>
      </x:c>
      <x:c r="AR542" s="34" t="n">
        <x:v>2</x:v>
      </x:c>
      <x:c r="AS542" s="34" t="n">
        <x:v>2</x:v>
      </x:c>
      <x:c r="AT542" s="34" t="n">
        <x:v>0.41255777279999983</x:v>
      </x:c>
      <x:c r="AU542" s="34" t="n">
        <x:v>0.65</x:v>
      </x:c>
      <x:c r="AV542" s="34" t="n">
        <x:v>1.68</x:v>
      </x:c>
    </x:row>
    <x:row r="543">
      <x:c r="A543" s="34" t="str">
        <x:v>NIPPON_STEEL_JP</x:v>
      </x:c>
      <x:c r="B543" s="34" t="str">
        <x:v>Nippon Steel</x:v>
      </x:c>
      <x:c r="C543" s="34" t="str">
        <x:v>DISCLOSED_PATH</x:v>
      </x:c>
      <x:c r="D543" s="34" t="str">
        <x:v>P1</x:v>
      </x:c>
      <x:c r="E543" s="34" t="n">
        <x:v>2027</x:v>
      </x:c>
      <x:c r="F543" s="34" t="n">
        <x:v>0</x:v>
      </x:c>
      <x:c r="G543" s="34" t="n">
        <x:v>0</x:v>
      </x:c>
      <x:c r="H543" s="34" t="n">
        <x:v>9</x:v>
      </x:c>
      <x:c r="I543" s="34" t="n">
        <x:v>9</x:v>
      </x:c>
      <x:c r="J543" s="34" t="n">
        <x:v>0</x:v>
      </x:c>
      <x:c r="K543" s="34" t="n">
        <x:v>0</x:v>
      </x:c>
      <x:c r="L543" s="34" t="n">
        <x:v>0.15</x:v>
      </x:c>
      <x:c r="M543" s="34" t="n">
        <x:v>0.15</x:v>
      </x:c>
      <x:c r="N543" s="34" t="n">
        <x:v>0</x:v>
      </x:c>
      <x:c r="O543" s="34" t="n">
        <x:v>0</x:v>
      </x:c>
      <x:c r="P543" s="34" t="n">
        <x:v>3.25</x:v>
      </x:c>
      <x:c r="Q543" s="34" t="n">
        <x:v>3.25</x:v>
      </x:c>
      <x:c r="R543" s="34" t="n">
        <x:v>0</x:v>
      </x:c>
      <x:c r="S543" s="40" t="b">
        <x:v>1</x:v>
      </x:c>
      <x:c r="T543" s="34" t="str">
        <x:v>model_interpolation</x:v>
      </x:c>
      <x:c r="U543" s="34" t="str">
        <x:v>Linear interpolation from 2026 to 2030</x:v>
      </x:c>
      <x:c r="V543" s="34" t="str">
        <x:v>CAND-97FAAFFD87E907</x:v>
      </x:c>
      <x:c r="W543" s="34" t="str">
        <x:v>P1</x:v>
      </x:c>
      <x:c r="X543" s="34" t="str">
        <x:v>PORT-160DD6C4A97F</x:v>
      </x:c>
      <x:c r="Y543" s="34" t="n">
        <x:v>1000</x:v>
      </x:c>
      <x:c r="Z543" s="34" t="n">
        <x:v>45.804768</x:v>
      </x:c>
      <x:c r="AA543" s="34" t="n">
        <x:v>16.191114</x:v>
      </x:c>
      <x:c r="AB543" s="34" t="n">
        <x:v>442.153947</x:v>
      </x:c>
      <x:c r="AC543" s="34" t="n">
        <x:v>19641.24</x:v>
      </x:c>
      <x:c r="AD543" s="34" t="n">
        <x:v>44.421722</x:v>
      </x:c>
      <x:c r="AE543" s="40" t="b">
        <x:v>1</x:v>
      </x:c>
      <x:c r="AF543" s="40" t="b">
        <x:v>0</x:v>
      </x:c>
      <x:c r="AG543" s="34" t="str"/>
      <x:c r="AH543" s="34" t="n">
        <x:v>0</x:v>
      </x:c>
      <x:c r="AI543" s="34" t="str">
        <x:v>3.446647212967946e-06</x:v>
      </x:c>
      <x:c r="AJ543" s="40" t="b">
        <x:v>0</x:v>
      </x:c>
      <x:c r="AK543" s="40" t="b">
        <x:v>0</x:v>
      </x:c>
      <x:c r="AL543" s="40" t="b">
        <x:v>1</x:v>
      </x:c>
      <x:c r="AM543" s="40" t="b">
        <x:v>1</x:v>
      </x:c>
      <x:c r="AN543" s="34" t="n">
        <x:v>2034</x:v>
      </x:c>
      <x:c r="AO543" s="34" t="n">
        <x:v>4.469999115000004</x:v>
      </x:c>
      <x:c r="AP543" s="34" t="n">
        <x:v>0</x:v>
      </x:c>
      <x:c r="AQ543" s="34" t="n">
        <x:v>0</x:v>
      </x:c>
      <x:c r="AR543" s="34" t="n">
        <x:v>2</x:v>
      </x:c>
      <x:c r="AS543" s="34" t="n">
        <x:v>2</x:v>
      </x:c>
      <x:c r="AT543" s="34" t="n">
        <x:v>0.41255777279999983</x:v>
      </x:c>
      <x:c r="AU543" s="34" t="n">
        <x:v>0.65</x:v>
      </x:c>
      <x:c r="AV543" s="34" t="n">
        <x:v>1.68</x:v>
      </x:c>
    </x:row>
    <x:row r="544">
      <x:c r="A544" s="34" t="str">
        <x:v>NIPPON_STEEL_JP</x:v>
      </x:c>
      <x:c r="B544" s="34" t="str">
        <x:v>Nippon Steel</x:v>
      </x:c>
      <x:c r="C544" s="34" t="str">
        <x:v>DISCLOSED_PATH</x:v>
      </x:c>
      <x:c r="D544" s="34" t="str">
        <x:v>P1</x:v>
      </x:c>
      <x:c r="E544" s="34" t="n">
        <x:v>2028</x:v>
      </x:c>
      <x:c r="F544" s="34" t="n">
        <x:v>0</x:v>
      </x:c>
      <x:c r="G544" s="34" t="n">
        <x:v>0</x:v>
      </x:c>
      <x:c r="H544" s="34" t="n">
        <x:v>10</x:v>
      </x:c>
      <x:c r="I544" s="34" t="n">
        <x:v>10</x:v>
      </x:c>
      <x:c r="J544" s="34" t="n">
        <x:v>0</x:v>
      </x:c>
      <x:c r="K544" s="34" t="n">
        <x:v>0</x:v>
      </x:c>
      <x:c r="L544" s="34" t="n">
        <x:v>0.3</x:v>
      </x:c>
      <x:c r="M544" s="34" t="n">
        <x:v>0.3</x:v>
      </x:c>
      <x:c r="N544" s="34" t="n">
        <x:v>0</x:v>
      </x:c>
      <x:c r="O544" s="34" t="n">
        <x:v>0</x:v>
      </x:c>
      <x:c r="P544" s="34" t="n">
        <x:v>4.5</x:v>
      </x:c>
      <x:c r="Q544" s="34" t="n">
        <x:v>4.5</x:v>
      </x:c>
      <x:c r="R544" s="34" t="n">
        <x:v>0</x:v>
      </x:c>
      <x:c r="S544" s="40" t="b">
        <x:v>1</x:v>
      </x:c>
      <x:c r="T544" s="34" t="str">
        <x:v>model_interpolation</x:v>
      </x:c>
      <x:c r="U544" s="34" t="str">
        <x:v>Linear interpolation from 2026 to 2030</x:v>
      </x:c>
      <x:c r="V544" s="34" t="str">
        <x:v>CAND-97FAAFFD87E907</x:v>
      </x:c>
      <x:c r="W544" s="34" t="str">
        <x:v>P1</x:v>
      </x:c>
      <x:c r="X544" s="34" t="str">
        <x:v>PORT-160DD6C4A97F</x:v>
      </x:c>
      <x:c r="Y544" s="34" t="n">
        <x:v>1000</x:v>
      </x:c>
      <x:c r="Z544" s="34" t="n">
        <x:v>45.804768</x:v>
      </x:c>
      <x:c r="AA544" s="34" t="n">
        <x:v>16.191114</x:v>
      </x:c>
      <x:c r="AB544" s="34" t="n">
        <x:v>442.153947</x:v>
      </x:c>
      <x:c r="AC544" s="34" t="n">
        <x:v>19641.24</x:v>
      </x:c>
      <x:c r="AD544" s="34" t="n">
        <x:v>44.421722</x:v>
      </x:c>
      <x:c r="AE544" s="40" t="b">
        <x:v>1</x:v>
      </x:c>
      <x:c r="AF544" s="40" t="b">
        <x:v>0</x:v>
      </x:c>
      <x:c r="AG544" s="34" t="str"/>
      <x:c r="AH544" s="34" t="n">
        <x:v>0</x:v>
      </x:c>
      <x:c r="AI544" s="34" t="str">
        <x:v>3.446647212967946e-06</x:v>
      </x:c>
      <x:c r="AJ544" s="40" t="b">
        <x:v>0</x:v>
      </x:c>
      <x:c r="AK544" s="40" t="b">
        <x:v>0</x:v>
      </x:c>
      <x:c r="AL544" s="40" t="b">
        <x:v>1</x:v>
      </x:c>
      <x:c r="AM544" s="40" t="b">
        <x:v>1</x:v>
      </x:c>
      <x:c r="AN544" s="34" t="n">
        <x:v>2034</x:v>
      </x:c>
      <x:c r="AO544" s="34" t="n">
        <x:v>4.469999115000004</x:v>
      </x:c>
      <x:c r="AP544" s="34" t="n">
        <x:v>0</x:v>
      </x:c>
      <x:c r="AQ544" s="34" t="n">
        <x:v>0</x:v>
      </x:c>
      <x:c r="AR544" s="34" t="n">
        <x:v>2</x:v>
      </x:c>
      <x:c r="AS544" s="34" t="n">
        <x:v>2</x:v>
      </x:c>
      <x:c r="AT544" s="34" t="n">
        <x:v>0.41255777279999983</x:v>
      </x:c>
      <x:c r="AU544" s="34" t="n">
        <x:v>0.65</x:v>
      </x:c>
      <x:c r="AV544" s="34" t="n">
        <x:v>1.68</x:v>
      </x:c>
    </x:row>
    <x:row r="545">
      <x:c r="A545" s="34" t="str">
        <x:v>NIPPON_STEEL_JP</x:v>
      </x:c>
      <x:c r="B545" s="34" t="str">
        <x:v>Nippon Steel</x:v>
      </x:c>
      <x:c r="C545" s="34" t="str">
        <x:v>DISCLOSED_PATH</x:v>
      </x:c>
      <x:c r="D545" s="34" t="str">
        <x:v>P1</x:v>
      </x:c>
      <x:c r="E545" s="34" t="n">
        <x:v>2029</x:v>
      </x:c>
      <x:c r="F545" s="34" t="n">
        <x:v>1</x:v>
      </x:c>
      <x:c r="G545" s="34" t="n">
        <x:v>8.1</x:v>
      </x:c>
      <x:c r="H545" s="34" t="n">
        <x:v>11</x:v>
      </x:c>
      <x:c r="I545" s="34" t="n">
        <x:v>2.9</x:v>
      </x:c>
      <x:c r="J545" s="34" t="n">
        <x:v>73.636</x:v>
      </x:c>
      <x:c r="K545" s="34" t="n">
        <x:v>0</x:v>
      </x:c>
      <x:c r="L545" s="34" t="n">
        <x:v>0.44999999999999996</x:v>
      </x:c>
      <x:c r="M545" s="34" t="n">
        <x:v>0.45</x:v>
      </x:c>
      <x:c r="N545" s="34" t="n">
        <x:v>0</x:v>
      </x:c>
      <x:c r="O545" s="34" t="n">
        <x:v>5.04</x:v>
      </x:c>
      <x:c r="P545" s="34" t="n">
        <x:v>5.75</x:v>
      </x:c>
      <x:c r="Q545" s="34" t="n">
        <x:v>0.71</x:v>
      </x:c>
      <x:c r="R545" s="34" t="n">
        <x:v>87.652</x:v>
      </x:c>
      <x:c r="S545" s="40" t="b">
        <x:v>1</x:v>
      </x:c>
      <x:c r="T545" s="34" t="str">
        <x:v>model_interpolation</x:v>
      </x:c>
      <x:c r="U545" s="34" t="str">
        <x:v>Linear interpolation from 2026 to 2030</x:v>
      </x:c>
      <x:c r="V545" s="34" t="str">
        <x:v>CAND-97FAAFFD87E907</x:v>
      </x:c>
      <x:c r="W545" s="34" t="str">
        <x:v>P1</x:v>
      </x:c>
      <x:c r="X545" s="34" t="str">
        <x:v>PORT-160DD6C4A97F</x:v>
      </x:c>
      <x:c r="Y545" s="34" t="n">
        <x:v>1000</x:v>
      </x:c>
      <x:c r="Z545" s="34" t="n">
        <x:v>45.804768</x:v>
      </x:c>
      <x:c r="AA545" s="34" t="n">
        <x:v>16.191114</x:v>
      </x:c>
      <x:c r="AB545" s="34" t="n">
        <x:v>442.153947</x:v>
      </x:c>
      <x:c r="AC545" s="34" t="n">
        <x:v>19641.24</x:v>
      </x:c>
      <x:c r="AD545" s="34" t="n">
        <x:v>44.421722</x:v>
      </x:c>
      <x:c r="AE545" s="40" t="b">
        <x:v>1</x:v>
      </x:c>
      <x:c r="AF545" s="40" t="b">
        <x:v>0</x:v>
      </x:c>
      <x:c r="AG545" s="34" t="str"/>
      <x:c r="AH545" s="34" t="n">
        <x:v>0</x:v>
      </x:c>
      <x:c r="AI545" s="34" t="str">
        <x:v>3.446647212967946e-06</x:v>
      </x:c>
      <x:c r="AJ545" s="40" t="b">
        <x:v>0</x:v>
      </x:c>
      <x:c r="AK545" s="40" t="b">
        <x:v>0</x:v>
      </x:c>
      <x:c r="AL545" s="40" t="b">
        <x:v>1</x:v>
      </x:c>
      <x:c r="AM545" s="40" t="b">
        <x:v>1</x:v>
      </x:c>
      <x:c r="AN545" s="34" t="n">
        <x:v>2034</x:v>
      </x:c>
      <x:c r="AO545" s="34" t="n">
        <x:v>4.469999115000004</x:v>
      </x:c>
      <x:c r="AP545" s="34" t="n">
        <x:v>0</x:v>
      </x:c>
      <x:c r="AQ545" s="34" t="n">
        <x:v>0</x:v>
      </x:c>
      <x:c r="AR545" s="34" t="n">
        <x:v>2</x:v>
      </x:c>
      <x:c r="AS545" s="34" t="n">
        <x:v>2</x:v>
      </x:c>
      <x:c r="AT545" s="34" t="n">
        <x:v>0.41255777279999983</x:v>
      </x:c>
      <x:c r="AU545" s="34" t="n">
        <x:v>0.65</x:v>
      </x:c>
      <x:c r="AV545" s="34" t="n">
        <x:v>1.68</x:v>
      </x:c>
    </x:row>
    <x:row r="546">
      <x:c r="A546" s="34" t="str">
        <x:v>NIPPON_STEEL_JP</x:v>
      </x:c>
      <x:c r="B546" s="34" t="str">
        <x:v>Nippon Steel</x:v>
      </x:c>
      <x:c r="C546" s="34" t="str">
        <x:v>DISCLOSED_PATH</x:v>
      </x:c>
      <x:c r="D546" s="34" t="str">
        <x:v>P1</x:v>
      </x:c>
      <x:c r="E546" s="34" t="n">
        <x:v>2030</x:v>
      </x:c>
      <x:c r="F546" s="34" t="n">
        <x:v>1</x:v>
      </x:c>
      <x:c r="G546" s="34" t="n">
        <x:v>8.1</x:v>
      </x:c>
      <x:c r="H546" s="34" t="n">
        <x:v>12</x:v>
      </x:c>
      <x:c r="I546" s="34" t="n">
        <x:v>3.9</x:v>
      </x:c>
      <x:c r="J546" s="34" t="n">
        <x:v>67.5</x:v>
      </x:c>
      <x:c r="K546" s="34" t="n">
        <x:v>0</x:v>
      </x:c>
      <x:c r="L546" s="34" t="n">
        <x:v>0.6</x:v>
      </x:c>
      <x:c r="M546" s="34" t="n">
        <x:v>0.6</x:v>
      </x:c>
      <x:c r="N546" s="34" t="n">
        <x:v>0</x:v>
      </x:c>
      <x:c r="O546" s="34" t="n">
        <x:v>5.04</x:v>
      </x:c>
      <x:c r="P546" s="34" t="n">
        <x:v>7</x:v>
      </x:c>
      <x:c r="Q546" s="34" t="n">
        <x:v>1.96</x:v>
      </x:c>
      <x:c r="R546" s="34" t="n">
        <x:v>72</x:v>
      </x:c>
      <x:c r="S546" s="40" t="b">
        <x:v>1</x:v>
      </x:c>
      <x:c r="T546" s="34" t="str">
        <x:v>model_interpolation</x:v>
      </x:c>
      <x:c r="U546" s="34" t="str">
        <x:v>Linear interpolation from 2030 to 2035</x:v>
      </x:c>
      <x:c r="V546" s="34" t="str">
        <x:v>CAND-97FAAFFD87E907</x:v>
      </x:c>
      <x:c r="W546" s="34" t="str">
        <x:v>P1</x:v>
      </x:c>
      <x:c r="X546" s="34" t="str">
        <x:v>PORT-160DD6C4A97F</x:v>
      </x:c>
      <x:c r="Y546" s="34" t="n">
        <x:v>1000</x:v>
      </x:c>
      <x:c r="Z546" s="34" t="n">
        <x:v>45.804768</x:v>
      </x:c>
      <x:c r="AA546" s="34" t="n">
        <x:v>16.191114</x:v>
      </x:c>
      <x:c r="AB546" s="34" t="n">
        <x:v>442.153947</x:v>
      </x:c>
      <x:c r="AC546" s="34" t="n">
        <x:v>19641.24</x:v>
      </x:c>
      <x:c r="AD546" s="34" t="n">
        <x:v>44.421722</x:v>
      </x:c>
      <x:c r="AE546" s="40" t="b">
        <x:v>1</x:v>
      </x:c>
      <x:c r="AF546" s="40" t="b">
        <x:v>0</x:v>
      </x:c>
      <x:c r="AG546" s="34" t="str"/>
      <x:c r="AH546" s="34" t="n">
        <x:v>0</x:v>
      </x:c>
      <x:c r="AI546" s="34" t="str">
        <x:v>3.446647212967946e-06</x:v>
      </x:c>
      <x:c r="AJ546" s="40" t="b">
        <x:v>0</x:v>
      </x:c>
      <x:c r="AK546" s="40" t="b">
        <x:v>0</x:v>
      </x:c>
      <x:c r="AL546" s="40" t="b">
        <x:v>1</x:v>
      </x:c>
      <x:c r="AM546" s="40" t="b">
        <x:v>1</x:v>
      </x:c>
      <x:c r="AN546" s="34" t="n">
        <x:v>2034</x:v>
      </x:c>
      <x:c r="AO546" s="34" t="n">
        <x:v>4.469999115000004</x:v>
      </x:c>
      <x:c r="AP546" s="34" t="n">
        <x:v>0</x:v>
      </x:c>
      <x:c r="AQ546" s="34" t="n">
        <x:v>0</x:v>
      </x:c>
      <x:c r="AR546" s="34" t="n">
        <x:v>2</x:v>
      </x:c>
      <x:c r="AS546" s="34" t="n">
        <x:v>2</x:v>
      </x:c>
      <x:c r="AT546" s="34" t="n">
        <x:v>0.41255777279999983</x:v>
      </x:c>
      <x:c r="AU546" s="34" t="n">
        <x:v>0.65</x:v>
      </x:c>
      <x:c r="AV546" s="34" t="n">
        <x:v>1.68</x:v>
      </x:c>
    </x:row>
    <x:row r="547">
      <x:c r="A547" s="34" t="str">
        <x:v>NIPPON_STEEL_JP</x:v>
      </x:c>
      <x:c r="B547" s="34" t="str">
        <x:v>Nippon Steel</x:v>
      </x:c>
      <x:c r="C547" s="34" t="str">
        <x:v>DISCLOSED_PATH</x:v>
      </x:c>
      <x:c r="D547" s="34" t="str">
        <x:v>P1</x:v>
      </x:c>
      <x:c r="E547" s="34" t="n">
        <x:v>2031</x:v>
      </x:c>
      <x:c r="F547" s="34" t="n">
        <x:v>1</x:v>
      </x:c>
      <x:c r="G547" s="34" t="n">
        <x:v>8.1</x:v>
      </x:c>
      <x:c r="H547" s="34" t="n">
        <x:v>13.2</x:v>
      </x:c>
      <x:c r="I547" s="34" t="n">
        <x:v>5.1</x:v>
      </x:c>
      <x:c r="J547" s="34" t="n">
        <x:v>61.364</x:v>
      </x:c>
      <x:c r="K547" s="34" t="n">
        <x:v>0</x:v>
      </x:c>
      <x:c r="L547" s="34" t="n">
        <x:v>0.8400000000000001</x:v>
      </x:c>
      <x:c r="M547" s="34" t="n">
        <x:v>0.84</x:v>
      </x:c>
      <x:c r="N547" s="34" t="n">
        <x:v>0</x:v>
      </x:c>
      <x:c r="O547" s="34" t="n">
        <x:v>5.04</x:v>
      </x:c>
      <x:c r="P547" s="34" t="n">
        <x:v>8.6</x:v>
      </x:c>
      <x:c r="Q547" s="34" t="n">
        <x:v>3.56</x:v>
      </x:c>
      <x:c r="R547" s="34" t="n">
        <x:v>58.605</x:v>
      </x:c>
      <x:c r="S547" s="40" t="b">
        <x:v>1</x:v>
      </x:c>
      <x:c r="T547" s="34" t="str">
        <x:v>model_interpolation</x:v>
      </x:c>
      <x:c r="U547" s="34" t="str">
        <x:v>Linear interpolation from 2030 to 2035</x:v>
      </x:c>
      <x:c r="V547" s="34" t="str">
        <x:v>CAND-97FAAFFD87E907</x:v>
      </x:c>
      <x:c r="W547" s="34" t="str">
        <x:v>P1</x:v>
      </x:c>
      <x:c r="X547" s="34" t="str">
        <x:v>PORT-160DD6C4A97F</x:v>
      </x:c>
      <x:c r="Y547" s="34" t="n">
        <x:v>1000</x:v>
      </x:c>
      <x:c r="Z547" s="34" t="n">
        <x:v>45.804768</x:v>
      </x:c>
      <x:c r="AA547" s="34" t="n">
        <x:v>16.191114</x:v>
      </x:c>
      <x:c r="AB547" s="34" t="n">
        <x:v>442.153947</x:v>
      </x:c>
      <x:c r="AC547" s="34" t="n">
        <x:v>19641.24</x:v>
      </x:c>
      <x:c r="AD547" s="34" t="n">
        <x:v>44.421722</x:v>
      </x:c>
      <x:c r="AE547" s="40" t="b">
        <x:v>1</x:v>
      </x:c>
      <x:c r="AF547" s="40" t="b">
        <x:v>0</x:v>
      </x:c>
      <x:c r="AG547" s="34" t="str"/>
      <x:c r="AH547" s="34" t="n">
        <x:v>0</x:v>
      </x:c>
      <x:c r="AI547" s="34" t="str">
        <x:v>3.446647212967946e-06</x:v>
      </x:c>
      <x:c r="AJ547" s="40" t="b">
        <x:v>0</x:v>
      </x:c>
      <x:c r="AK547" s="40" t="b">
        <x:v>0</x:v>
      </x:c>
      <x:c r="AL547" s="40" t="b">
        <x:v>1</x:v>
      </x:c>
      <x:c r="AM547" s="40" t="b">
        <x:v>1</x:v>
      </x:c>
      <x:c r="AN547" s="34" t="n">
        <x:v>2034</x:v>
      </x:c>
      <x:c r="AO547" s="34" t="n">
        <x:v>4.469999115000004</x:v>
      </x:c>
      <x:c r="AP547" s="34" t="n">
        <x:v>0</x:v>
      </x:c>
      <x:c r="AQ547" s="34" t="n">
        <x:v>0</x:v>
      </x:c>
      <x:c r="AR547" s="34" t="n">
        <x:v>2</x:v>
      </x:c>
      <x:c r="AS547" s="34" t="n">
        <x:v>2</x:v>
      </x:c>
      <x:c r="AT547" s="34" t="n">
        <x:v>0.41255777279999983</x:v>
      </x:c>
      <x:c r="AU547" s="34" t="n">
        <x:v>0.65</x:v>
      </x:c>
      <x:c r="AV547" s="34" t="n">
        <x:v>1.68</x:v>
      </x:c>
    </x:row>
    <x:row r="548">
      <x:c r="A548" s="34" t="str">
        <x:v>NIPPON_STEEL_JP</x:v>
      </x:c>
      <x:c r="B548" s="34" t="str">
        <x:v>Nippon Steel</x:v>
      </x:c>
      <x:c r="C548" s="34" t="str">
        <x:v>DISCLOSED_PATH</x:v>
      </x:c>
      <x:c r="D548" s="34" t="str">
        <x:v>P1</x:v>
      </x:c>
      <x:c r="E548" s="34" t="n">
        <x:v>2032</x:v>
      </x:c>
      <x:c r="F548" s="34" t="n">
        <x:v>2</x:v>
      </x:c>
      <x:c r="G548" s="34" t="n">
        <x:v>13.679998</x:v>
      </x:c>
      <x:c r="H548" s="34" t="n">
        <x:v>14.4</x:v>
      </x:c>
      <x:c r="I548" s="34" t="n">
        <x:v>0.720002</x:v>
      </x:c>
      <x:c r="J548" s="34" t="n">
        <x:v>95</x:v>
      </x:c>
      <x:c r="K548" s="34" t="n">
        <x:v>0</x:v>
      </x:c>
      <x:c r="L548" s="34" t="n">
        <x:v>1.08</x:v>
      </x:c>
      <x:c r="M548" s="34" t="n">
        <x:v>1.08</x:v>
      </x:c>
      <x:c r="N548" s="34" t="n">
        <x:v>0</x:v>
      </x:c>
      <x:c r="O548" s="34" t="n">
        <x:v>8.511999</x:v>
      </x:c>
      <x:c r="P548" s="34" t="n">
        <x:v>10.2</x:v>
      </x:c>
      <x:c r="Q548" s="34" t="n">
        <x:v>1.688001</x:v>
      </x:c>
      <x:c r="R548" s="34" t="n">
        <x:v>83.451</x:v>
      </x:c>
      <x:c r="S548" s="40" t="b">
        <x:v>1</x:v>
      </x:c>
      <x:c r="T548" s="34" t="str">
        <x:v>model_interpolation</x:v>
      </x:c>
      <x:c r="U548" s="34" t="str">
        <x:v>Linear interpolation from 2030 to 2035</x:v>
      </x:c>
      <x:c r="V548" s="34" t="str">
        <x:v>CAND-97FAAFFD87E907</x:v>
      </x:c>
      <x:c r="W548" s="34" t="str">
        <x:v>P1</x:v>
      </x:c>
      <x:c r="X548" s="34" t="str">
        <x:v>PORT-160DD6C4A97F</x:v>
      </x:c>
      <x:c r="Y548" s="34" t="n">
        <x:v>1000</x:v>
      </x:c>
      <x:c r="Z548" s="34" t="n">
        <x:v>45.804768</x:v>
      </x:c>
      <x:c r="AA548" s="34" t="n">
        <x:v>16.191114</x:v>
      </x:c>
      <x:c r="AB548" s="34" t="n">
        <x:v>442.153947</x:v>
      </x:c>
      <x:c r="AC548" s="34" t="n">
        <x:v>19641.24</x:v>
      </x:c>
      <x:c r="AD548" s="34" t="n">
        <x:v>44.421722</x:v>
      </x:c>
      <x:c r="AE548" s="40" t="b">
        <x:v>1</x:v>
      </x:c>
      <x:c r="AF548" s="40" t="b">
        <x:v>0</x:v>
      </x:c>
      <x:c r="AG548" s="34" t="str"/>
      <x:c r="AH548" s="34" t="n">
        <x:v>0</x:v>
      </x:c>
      <x:c r="AI548" s="34" t="str">
        <x:v>3.446647212967946e-06</x:v>
      </x:c>
      <x:c r="AJ548" s="40" t="b">
        <x:v>0</x:v>
      </x:c>
      <x:c r="AK548" s="40" t="b">
        <x:v>0</x:v>
      </x:c>
      <x:c r="AL548" s="40" t="b">
        <x:v>1</x:v>
      </x:c>
      <x:c r="AM548" s="40" t="b">
        <x:v>1</x:v>
      </x:c>
      <x:c r="AN548" s="34" t="n">
        <x:v>2034</x:v>
      </x:c>
      <x:c r="AO548" s="34" t="n">
        <x:v>4.469999115000004</x:v>
      </x:c>
      <x:c r="AP548" s="34" t="n">
        <x:v>0</x:v>
      </x:c>
      <x:c r="AQ548" s="34" t="n">
        <x:v>0</x:v>
      </x:c>
      <x:c r="AR548" s="34" t="n">
        <x:v>2</x:v>
      </x:c>
      <x:c r="AS548" s="34" t="n">
        <x:v>2</x:v>
      </x:c>
      <x:c r="AT548" s="34" t="n">
        <x:v>0.41255777279999983</x:v>
      </x:c>
      <x:c r="AU548" s="34" t="n">
        <x:v>0.65</x:v>
      </x:c>
      <x:c r="AV548" s="34" t="n">
        <x:v>1.68</x:v>
      </x:c>
    </x:row>
    <x:row r="549">
      <x:c r="A549" s="34" t="str">
        <x:v>NIPPON_STEEL_JP</x:v>
      </x:c>
      <x:c r="B549" s="34" t="str">
        <x:v>Nippon Steel</x:v>
      </x:c>
      <x:c r="C549" s="34" t="str">
        <x:v>DISCLOSED_PATH</x:v>
      </x:c>
      <x:c r="D549" s="34" t="str">
        <x:v>P1</x:v>
      </x:c>
      <x:c r="E549" s="34" t="n">
        <x:v>2033</x:v>
      </x:c>
      <x:c r="F549" s="34" t="n">
        <x:v>2</x:v>
      </x:c>
      <x:c r="G549" s="34" t="n">
        <x:v>13.679998</x:v>
      </x:c>
      <x:c r="H549" s="34" t="n">
        <x:v>15.6</x:v>
      </x:c>
      <x:c r="I549" s="34" t="n">
        <x:v>1.920002</x:v>
      </x:c>
      <x:c r="J549" s="34" t="n">
        <x:v>87.692</x:v>
      </x:c>
      <x:c r="K549" s="34" t="n">
        <x:v>0</x:v>
      </x:c>
      <x:c r="L549" s="34" t="n">
        <x:v>1.32</x:v>
      </x:c>
      <x:c r="M549" s="34" t="n">
        <x:v>1.32</x:v>
      </x:c>
      <x:c r="N549" s="34" t="n">
        <x:v>0</x:v>
      </x:c>
      <x:c r="O549" s="34" t="n">
        <x:v>8.511999</x:v>
      </x:c>
      <x:c r="P549" s="34" t="n">
        <x:v>11.8</x:v>
      </x:c>
      <x:c r="Q549" s="34" t="n">
        <x:v>3.288001</x:v>
      </x:c>
      <x:c r="R549" s="34" t="n">
        <x:v>72.136</x:v>
      </x:c>
      <x:c r="S549" s="40" t="b">
        <x:v>1</x:v>
      </x:c>
      <x:c r="T549" s="34" t="str">
        <x:v>model_interpolation</x:v>
      </x:c>
      <x:c r="U549" s="34" t="str">
        <x:v>Linear interpolation from 2030 to 2035</x:v>
      </x:c>
      <x:c r="V549" s="34" t="str">
        <x:v>CAND-97FAAFFD87E907</x:v>
      </x:c>
      <x:c r="W549" s="34" t="str">
        <x:v>P1</x:v>
      </x:c>
      <x:c r="X549" s="34" t="str">
        <x:v>PORT-160DD6C4A97F</x:v>
      </x:c>
      <x:c r="Y549" s="34" t="n">
        <x:v>1000</x:v>
      </x:c>
      <x:c r="Z549" s="34" t="n">
        <x:v>45.804768</x:v>
      </x:c>
      <x:c r="AA549" s="34" t="n">
        <x:v>16.191114</x:v>
      </x:c>
      <x:c r="AB549" s="34" t="n">
        <x:v>442.153947</x:v>
      </x:c>
      <x:c r="AC549" s="34" t="n">
        <x:v>19641.24</x:v>
      </x:c>
      <x:c r="AD549" s="34" t="n">
        <x:v>44.421722</x:v>
      </x:c>
      <x:c r="AE549" s="40" t="b">
        <x:v>1</x:v>
      </x:c>
      <x:c r="AF549" s="40" t="b">
        <x:v>0</x:v>
      </x:c>
      <x:c r="AG549" s="34" t="str"/>
      <x:c r="AH549" s="34" t="n">
        <x:v>0</x:v>
      </x:c>
      <x:c r="AI549" s="34" t="str">
        <x:v>3.446647212967946e-06</x:v>
      </x:c>
      <x:c r="AJ549" s="40" t="b">
        <x:v>0</x:v>
      </x:c>
      <x:c r="AK549" s="40" t="b">
        <x:v>0</x:v>
      </x:c>
      <x:c r="AL549" s="40" t="b">
        <x:v>1</x:v>
      </x:c>
      <x:c r="AM549" s="40" t="b">
        <x:v>1</x:v>
      </x:c>
      <x:c r="AN549" s="34" t="n">
        <x:v>2034</x:v>
      </x:c>
      <x:c r="AO549" s="34" t="n">
        <x:v>4.469999115000004</x:v>
      </x:c>
      <x:c r="AP549" s="34" t="n">
        <x:v>0</x:v>
      </x:c>
      <x:c r="AQ549" s="34" t="n">
        <x:v>0</x:v>
      </x:c>
      <x:c r="AR549" s="34" t="n">
        <x:v>2</x:v>
      </x:c>
      <x:c r="AS549" s="34" t="n">
        <x:v>2</x:v>
      </x:c>
      <x:c r="AT549" s="34" t="n">
        <x:v>0.41255777279999983</x:v>
      </x:c>
      <x:c r="AU549" s="34" t="n">
        <x:v>0.65</x:v>
      </x:c>
      <x:c r="AV549" s="34" t="n">
        <x:v>1.68</x:v>
      </x:c>
    </x:row>
    <x:row r="550">
      <x:c r="A550" s="34" t="str">
        <x:v>NIPPON_STEEL_JP</x:v>
      </x:c>
      <x:c r="B550" s="34" t="str">
        <x:v>Nippon Steel</x:v>
      </x:c>
      <x:c r="C550" s="34" t="str">
        <x:v>DISCLOSED_PATH</x:v>
      </x:c>
      <x:c r="D550" s="34" t="str">
        <x:v>P1</x:v>
      </x:c>
      <x:c r="E550" s="34" t="n">
        <x:v>2034</x:v>
      </x:c>
      <x:c r="F550" s="34" t="n">
        <x:v>3</x:v>
      </x:c>
      <x:c r="G550" s="34" t="n">
        <x:v>20.159999</x:v>
      </x:c>
      <x:c r="H550" s="34" t="n">
        <x:v>16.8</x:v>
      </x:c>
      <x:c r="I550" s="34" t="n">
        <x:v>-3.359999</x:v>
      </x:c>
      <x:c r="J550" s="34" t="n">
        <x:v>120</x:v>
      </x:c>
      <x:c r="K550" s="34" t="n">
        <x:v>0</x:v>
      </x:c>
      <x:c r="L550" s="34" t="n">
        <x:v>1.56</x:v>
      </x:c>
      <x:c r="M550" s="34" t="n">
        <x:v>1.56</x:v>
      </x:c>
      <x:c r="N550" s="34" t="n">
        <x:v>0</x:v>
      </x:c>
      <x:c r="O550" s="34" t="n">
        <x:v>12.543999</x:v>
      </x:c>
      <x:c r="P550" s="34" t="n">
        <x:v>13.4</x:v>
      </x:c>
      <x:c r="Q550" s="34" t="n">
        <x:v>0.856001</x:v>
      </x:c>
      <x:c r="R550" s="34" t="n">
        <x:v>93.612</x:v>
      </x:c>
      <x:c r="S550" s="40" t="b">
        <x:v>0</x:v>
      </x:c>
      <x:c r="T550" s="34" t="str">
        <x:v>model_interpolation</x:v>
      </x:c>
      <x:c r="U550" s="34" t="str">
        <x:v>Linear interpolation from 2030 to 2035</x:v>
      </x:c>
      <x:c r="V550" s="34" t="str">
        <x:v>CAND-97FAAFFD87E907</x:v>
      </x:c>
      <x:c r="W550" s="34" t="str">
        <x:v>P1</x:v>
      </x:c>
      <x:c r="X550" s="34" t="str">
        <x:v>PORT-160DD6C4A97F</x:v>
      </x:c>
      <x:c r="Y550" s="34" t="n">
        <x:v>1000</x:v>
      </x:c>
      <x:c r="Z550" s="34" t="n">
        <x:v>45.804768</x:v>
      </x:c>
      <x:c r="AA550" s="34" t="n">
        <x:v>16.191114</x:v>
      </x:c>
      <x:c r="AB550" s="34" t="n">
        <x:v>442.153947</x:v>
      </x:c>
      <x:c r="AC550" s="34" t="n">
        <x:v>19641.24</x:v>
      </x:c>
      <x:c r="AD550" s="34" t="n">
        <x:v>44.421722</x:v>
      </x:c>
      <x:c r="AE550" s="40" t="b">
        <x:v>1</x:v>
      </x:c>
      <x:c r="AF550" s="40" t="b">
        <x:v>0</x:v>
      </x:c>
      <x:c r="AG550" s="34" t="str"/>
      <x:c r="AH550" s="34" t="n">
        <x:v>0</x:v>
      </x:c>
      <x:c r="AI550" s="34" t="str">
        <x:v>3.446647212967946e-06</x:v>
      </x:c>
      <x:c r="AJ550" s="40" t="b">
        <x:v>0</x:v>
      </x:c>
      <x:c r="AK550" s="40" t="b">
        <x:v>0</x:v>
      </x:c>
      <x:c r="AL550" s="40" t="b">
        <x:v>1</x:v>
      </x:c>
      <x:c r="AM550" s="40" t="b">
        <x:v>1</x:v>
      </x:c>
      <x:c r="AN550" s="34" t="n">
        <x:v>2034</x:v>
      </x:c>
      <x:c r="AO550" s="34" t="n">
        <x:v>4.469999115000004</x:v>
      </x:c>
      <x:c r="AP550" s="34" t="n">
        <x:v>0</x:v>
      </x:c>
      <x:c r="AQ550" s="34" t="n">
        <x:v>0</x:v>
      </x:c>
      <x:c r="AR550" s="34" t="n">
        <x:v>2</x:v>
      </x:c>
      <x:c r="AS550" s="34" t="n">
        <x:v>2</x:v>
      </x:c>
      <x:c r="AT550" s="34" t="n">
        <x:v>0.41255777279999983</x:v>
      </x:c>
      <x:c r="AU550" s="34" t="n">
        <x:v>0.65</x:v>
      </x:c>
      <x:c r="AV550" s="34" t="n">
        <x:v>1.68</x:v>
      </x:c>
    </x:row>
    <x:row r="551">
      <x:c r="A551" s="34" t="str">
        <x:v>NIPPON_STEEL_JP</x:v>
      </x:c>
      <x:c r="B551" s="34" t="str">
        <x:v>Nippon Steel</x:v>
      </x:c>
      <x:c r="C551" s="34" t="str">
        <x:v>DISCLOSED_PATH</x:v>
      </x:c>
      <x:c r="D551" s="34" t="str">
        <x:v>P1</x:v>
      </x:c>
      <x:c r="E551" s="34" t="n">
        <x:v>2035</x:v>
      </x:c>
      <x:c r="F551" s="34" t="n">
        <x:v>3</x:v>
      </x:c>
      <x:c r="G551" s="34" t="n">
        <x:v>20.159999</x:v>
      </x:c>
      <x:c r="H551" s="34" t="n">
        <x:v>18</x:v>
      </x:c>
      <x:c r="I551" s="34" t="n">
        <x:v>-2.159999</x:v>
      </x:c>
      <x:c r="J551" s="34" t="n">
        <x:v>112</x:v>
      </x:c>
      <x:c r="K551" s="34" t="n">
        <x:v>0</x:v>
      </x:c>
      <x:c r="L551" s="34" t="n">
        <x:v>1.8</x:v>
      </x:c>
      <x:c r="M551" s="34" t="n">
        <x:v>1.8</x:v>
      </x:c>
      <x:c r="N551" s="34" t="n">
        <x:v>0</x:v>
      </x:c>
      <x:c r="O551" s="34" t="n">
        <x:v>12.543999</x:v>
      </x:c>
      <x:c r="P551" s="34" t="n">
        <x:v>15</x:v>
      </x:c>
      <x:c r="Q551" s="34" t="n">
        <x:v>2.456001</x:v>
      </x:c>
      <x:c r="R551" s="34" t="n">
        <x:v>83.627</x:v>
      </x:c>
      <x:c r="S551" s="40" t="b">
        <x:v>0</x:v>
      </x:c>
      <x:c r="T551" s="34" t="str">
        <x:v>model_interpolation</x:v>
      </x:c>
      <x:c r="U551" s="34" t="str">
        <x:v>Linear interpolation from 2035 to 2040</x:v>
      </x:c>
      <x:c r="V551" s="34" t="str">
        <x:v>CAND-97FAAFFD87E907</x:v>
      </x:c>
      <x:c r="W551" s="34" t="str">
        <x:v>P1</x:v>
      </x:c>
      <x:c r="X551" s="34" t="str">
        <x:v>PORT-160DD6C4A97F</x:v>
      </x:c>
      <x:c r="Y551" s="34" t="n">
        <x:v>1000</x:v>
      </x:c>
      <x:c r="Z551" s="34" t="n">
        <x:v>45.804768</x:v>
      </x:c>
      <x:c r="AA551" s="34" t="n">
        <x:v>16.191114</x:v>
      </x:c>
      <x:c r="AB551" s="34" t="n">
        <x:v>442.153947</x:v>
      </x:c>
      <x:c r="AC551" s="34" t="n">
        <x:v>19641.24</x:v>
      </x:c>
      <x:c r="AD551" s="34" t="n">
        <x:v>44.421722</x:v>
      </x:c>
      <x:c r="AE551" s="40" t="b">
        <x:v>1</x:v>
      </x:c>
      <x:c r="AF551" s="40" t="b">
        <x:v>0</x:v>
      </x:c>
      <x:c r="AG551" s="34" t="str"/>
      <x:c r="AH551" s="34" t="n">
        <x:v>0</x:v>
      </x:c>
      <x:c r="AI551" s="34" t="str">
        <x:v>3.446647212967946e-06</x:v>
      </x:c>
      <x:c r="AJ551" s="40" t="b">
        <x:v>0</x:v>
      </x:c>
      <x:c r="AK551" s="40" t="b">
        <x:v>0</x:v>
      </x:c>
      <x:c r="AL551" s="40" t="b">
        <x:v>1</x:v>
      </x:c>
      <x:c r="AM551" s="40" t="b">
        <x:v>1</x:v>
      </x:c>
      <x:c r="AN551" s="34" t="n">
        <x:v>2034</x:v>
      </x:c>
      <x:c r="AO551" s="34" t="n">
        <x:v>4.469999115000004</x:v>
      </x:c>
      <x:c r="AP551" s="34" t="n">
        <x:v>0</x:v>
      </x:c>
      <x:c r="AQ551" s="34" t="n">
        <x:v>0</x:v>
      </x:c>
      <x:c r="AR551" s="34" t="n">
        <x:v>2</x:v>
      </x:c>
      <x:c r="AS551" s="34" t="n">
        <x:v>2</x:v>
      </x:c>
      <x:c r="AT551" s="34" t="n">
        <x:v>0.41255777279999983</x:v>
      </x:c>
      <x:c r="AU551" s="34" t="n">
        <x:v>0.65</x:v>
      </x:c>
      <x:c r="AV551" s="34" t="n">
        <x:v>1.68</x:v>
      </x:c>
    </x:row>
    <x:row r="552">
      <x:c r="A552" s="34" t="str">
        <x:v>NIPPON_STEEL_JP</x:v>
      </x:c>
      <x:c r="B552" s="34" t="str">
        <x:v>Nippon Steel</x:v>
      </x:c>
      <x:c r="C552" s="34" t="str">
        <x:v>DISCLOSED_PATH</x:v>
      </x:c>
      <x:c r="D552" s="34" t="str">
        <x:v>P1</x:v>
      </x:c>
      <x:c r="E552" s="34" t="n">
        <x:v>2036</x:v>
      </x:c>
      <x:c r="F552" s="34" t="n">
        <x:v>4</x:v>
      </x:c>
      <x:c r="G552" s="34" t="n">
        <x:v>20.999999</x:v>
      </x:c>
      <x:c r="H552" s="34" t="n">
        <x:v>19.4</x:v>
      </x:c>
      <x:c r="I552" s="34" t="n">
        <x:v>-1.599999</x:v>
      </x:c>
      <x:c r="J552" s="34" t="n">
        <x:v>108.247</x:v>
      </x:c>
      <x:c r="K552" s="34" t="n">
        <x:v>0.308</x:v>
      </x:c>
      <x:c r="L552" s="34" t="n">
        <x:v>2.08</x:v>
      </x:c>
      <x:c r="M552" s="34" t="n">
        <x:v>1.772</x:v>
      </x:c>
      <x:c r="N552" s="34" t="n">
        <x:v>14.808</x:v>
      </x:c>
      <x:c r="O552" s="34" t="n">
        <x:v>15.12</x:v>
      </x:c>
      <x:c r="P552" s="34" t="n">
        <x:v>17</x:v>
      </x:c>
      <x:c r="Q552" s="34" t="n">
        <x:v>1.88</x:v>
      </x:c>
      <x:c r="R552" s="34" t="n">
        <x:v>88.941</x:v>
      </x:c>
      <x:c r="S552" s="40" t="b">
        <x:v>0</x:v>
      </x:c>
      <x:c r="T552" s="34" t="str">
        <x:v>model_interpolation</x:v>
      </x:c>
      <x:c r="U552" s="34" t="str">
        <x:v>Linear interpolation from 2035 to 2040</x:v>
      </x:c>
      <x:c r="V552" s="34" t="str">
        <x:v>CAND-97FAAFFD87E907</x:v>
      </x:c>
      <x:c r="W552" s="34" t="str">
        <x:v>P1</x:v>
      </x:c>
      <x:c r="X552" s="34" t="str">
        <x:v>PORT-160DD6C4A97F</x:v>
      </x:c>
      <x:c r="Y552" s="34" t="n">
        <x:v>1000</x:v>
      </x:c>
      <x:c r="Z552" s="34" t="n">
        <x:v>45.804768</x:v>
      </x:c>
      <x:c r="AA552" s="34" t="n">
        <x:v>16.191114</x:v>
      </x:c>
      <x:c r="AB552" s="34" t="n">
        <x:v>442.153947</x:v>
      </x:c>
      <x:c r="AC552" s="34" t="n">
        <x:v>19641.24</x:v>
      </x:c>
      <x:c r="AD552" s="34" t="n">
        <x:v>44.421722</x:v>
      </x:c>
      <x:c r="AE552" s="40" t="b">
        <x:v>1</x:v>
      </x:c>
      <x:c r="AF552" s="40" t="b">
        <x:v>0</x:v>
      </x:c>
      <x:c r="AG552" s="34" t="str"/>
      <x:c r="AH552" s="34" t="n">
        <x:v>0</x:v>
      </x:c>
      <x:c r="AI552" s="34" t="str">
        <x:v>3.446647212967946e-06</x:v>
      </x:c>
      <x:c r="AJ552" s="40" t="b">
        <x:v>0</x:v>
      </x:c>
      <x:c r="AK552" s="40" t="b">
        <x:v>0</x:v>
      </x:c>
      <x:c r="AL552" s="40" t="b">
        <x:v>1</x:v>
      </x:c>
      <x:c r="AM552" s="40" t="b">
        <x:v>1</x:v>
      </x:c>
      <x:c r="AN552" s="34" t="n">
        <x:v>2034</x:v>
      </x:c>
      <x:c r="AO552" s="34" t="n">
        <x:v>4.469999115000004</x:v>
      </x:c>
      <x:c r="AP552" s="34" t="n">
        <x:v>0</x:v>
      </x:c>
      <x:c r="AQ552" s="34" t="n">
        <x:v>0</x:v>
      </x:c>
      <x:c r="AR552" s="34" t="n">
        <x:v>2</x:v>
      </x:c>
      <x:c r="AS552" s="34" t="n">
        <x:v>2</x:v>
      </x:c>
      <x:c r="AT552" s="34" t="n">
        <x:v>0.41255777279999983</x:v>
      </x:c>
      <x:c r="AU552" s="34" t="n">
        <x:v>0.65</x:v>
      </x:c>
      <x:c r="AV552" s="34" t="n">
        <x:v>1.68</x:v>
      </x:c>
    </x:row>
    <x:row r="553">
      <x:c r="A553" s="34" t="str">
        <x:v>NIPPON_STEEL_JP</x:v>
      </x:c>
      <x:c r="B553" s="34" t="str">
        <x:v>Nippon Steel</x:v>
      </x:c>
      <x:c r="C553" s="34" t="str">
        <x:v>DISCLOSED_PATH</x:v>
      </x:c>
      <x:c r="D553" s="34" t="str">
        <x:v>P1</x:v>
      </x:c>
      <x:c r="E553" s="34" t="n">
        <x:v>2037</x:v>
      </x:c>
      <x:c r="F553" s="34" t="n">
        <x:v>4</x:v>
      </x:c>
      <x:c r="G553" s="34" t="n">
        <x:v>20.999999</x:v>
      </x:c>
      <x:c r="H553" s="34" t="n">
        <x:v>20.8</x:v>
      </x:c>
      <x:c r="I553" s="34" t="n">
        <x:v>-0.199999</x:v>
      </x:c>
      <x:c r="J553" s="34" t="n">
        <x:v>100.962</x:v>
      </x:c>
      <x:c r="K553" s="34" t="n">
        <x:v>0.308</x:v>
      </x:c>
      <x:c r="L553" s="34" t="n">
        <x:v>2.3600000000000003</x:v>
      </x:c>
      <x:c r="M553" s="34" t="n">
        <x:v>2.052</x:v>
      </x:c>
      <x:c r="N553" s="34" t="n">
        <x:v>13.051</x:v>
      </x:c>
      <x:c r="O553" s="34" t="n">
        <x:v>15.12</x:v>
      </x:c>
      <x:c r="P553" s="34" t="n">
        <x:v>19</x:v>
      </x:c>
      <x:c r="Q553" s="34" t="n">
        <x:v>3.88</x:v>
      </x:c>
      <x:c r="R553" s="34" t="n">
        <x:v>79.579</x:v>
      </x:c>
      <x:c r="S553" s="40" t="b">
        <x:v>0</x:v>
      </x:c>
      <x:c r="T553" s="34" t="str">
        <x:v>model_interpolation</x:v>
      </x:c>
      <x:c r="U553" s="34" t="str">
        <x:v>Linear interpolation from 2035 to 2040</x:v>
      </x:c>
      <x:c r="V553" s="34" t="str">
        <x:v>CAND-97FAAFFD87E907</x:v>
      </x:c>
      <x:c r="W553" s="34" t="str">
        <x:v>P1</x:v>
      </x:c>
      <x:c r="X553" s="34" t="str">
        <x:v>PORT-160DD6C4A97F</x:v>
      </x:c>
      <x:c r="Y553" s="34" t="n">
        <x:v>1000</x:v>
      </x:c>
      <x:c r="Z553" s="34" t="n">
        <x:v>45.804768</x:v>
      </x:c>
      <x:c r="AA553" s="34" t="n">
        <x:v>16.191114</x:v>
      </x:c>
      <x:c r="AB553" s="34" t="n">
        <x:v>442.153947</x:v>
      </x:c>
      <x:c r="AC553" s="34" t="n">
        <x:v>19641.24</x:v>
      </x:c>
      <x:c r="AD553" s="34" t="n">
        <x:v>44.421722</x:v>
      </x:c>
      <x:c r="AE553" s="40" t="b">
        <x:v>1</x:v>
      </x:c>
      <x:c r="AF553" s="40" t="b">
        <x:v>0</x:v>
      </x:c>
      <x:c r="AG553" s="34" t="str"/>
      <x:c r="AH553" s="34" t="n">
        <x:v>0</x:v>
      </x:c>
      <x:c r="AI553" s="34" t="str">
        <x:v>3.446647212967946e-06</x:v>
      </x:c>
      <x:c r="AJ553" s="40" t="b">
        <x:v>0</x:v>
      </x:c>
      <x:c r="AK553" s="40" t="b">
        <x:v>0</x:v>
      </x:c>
      <x:c r="AL553" s="40" t="b">
        <x:v>1</x:v>
      </x:c>
      <x:c r="AM553" s="40" t="b">
        <x:v>1</x:v>
      </x:c>
      <x:c r="AN553" s="34" t="n">
        <x:v>2034</x:v>
      </x:c>
      <x:c r="AO553" s="34" t="n">
        <x:v>4.469999115000004</x:v>
      </x:c>
      <x:c r="AP553" s="34" t="n">
        <x:v>0</x:v>
      </x:c>
      <x:c r="AQ553" s="34" t="n">
        <x:v>0</x:v>
      </x:c>
      <x:c r="AR553" s="34" t="n">
        <x:v>2</x:v>
      </x:c>
      <x:c r="AS553" s="34" t="n">
        <x:v>2</x:v>
      </x:c>
      <x:c r="AT553" s="34" t="n">
        <x:v>0.41255777279999983</x:v>
      </x:c>
      <x:c r="AU553" s="34" t="n">
        <x:v>0.65</x:v>
      </x:c>
      <x:c r="AV553" s="34" t="n">
        <x:v>1.68</x:v>
      </x:c>
    </x:row>
    <x:row r="554">
      <x:c r="A554" s="34" t="str">
        <x:v>NIPPON_STEEL_JP</x:v>
      </x:c>
      <x:c r="B554" s="34" t="str">
        <x:v>Nippon Steel</x:v>
      </x:c>
      <x:c r="C554" s="34" t="str">
        <x:v>DISCLOSED_PATH</x:v>
      </x:c>
      <x:c r="D554" s="34" t="str">
        <x:v>P1</x:v>
      </x:c>
      <x:c r="E554" s="34" t="n">
        <x:v>2038</x:v>
      </x:c>
      <x:c r="F554" s="34" t="n">
        <x:v>5</x:v>
      </x:c>
      <x:c r="G554" s="34" t="n">
        <x:v>26.669999</x:v>
      </x:c>
      <x:c r="H554" s="34" t="n">
        <x:v>22.2</x:v>
      </x:c>
      <x:c r="I554" s="34" t="n">
        <x:v>-4.469999</x:v>
      </x:c>
      <x:c r="J554" s="34" t="n">
        <x:v>120.135</x:v>
      </x:c>
      <x:c r="K554" s="34" t="n">
        <x:v>0.308</x:v>
      </x:c>
      <x:c r="L554" s="34" t="n">
        <x:v>2.64</x:v>
      </x:c>
      <x:c r="M554" s="34" t="n">
        <x:v>2.332</x:v>
      </x:c>
      <x:c r="N554" s="34" t="n">
        <x:v>11.667</x:v>
      </x:c>
      <x:c r="O554" s="34" t="n">
        <x:v>18.648</x:v>
      </x:c>
      <x:c r="P554" s="34" t="n">
        <x:v>21</x:v>
      </x:c>
      <x:c r="Q554" s="34" t="n">
        <x:v>2.352</x:v>
      </x:c>
      <x:c r="R554" s="34" t="n">
        <x:v>88.8</x:v>
      </x:c>
      <x:c r="S554" s="40" t="b">
        <x:v>0</x:v>
      </x:c>
      <x:c r="T554" s="34" t="str">
        <x:v>model_interpolation</x:v>
      </x:c>
      <x:c r="U554" s="34" t="str">
        <x:v>Linear interpolation from 2035 to 2040</x:v>
      </x:c>
      <x:c r="V554" s="34" t="str">
        <x:v>CAND-97FAAFFD87E907</x:v>
      </x:c>
      <x:c r="W554" s="34" t="str">
        <x:v>P1</x:v>
      </x:c>
      <x:c r="X554" s="34" t="str">
        <x:v>PORT-160DD6C4A97F</x:v>
      </x:c>
      <x:c r="Y554" s="34" t="n">
        <x:v>1000</x:v>
      </x:c>
      <x:c r="Z554" s="34" t="n">
        <x:v>45.804768</x:v>
      </x:c>
      <x:c r="AA554" s="34" t="n">
        <x:v>16.191114</x:v>
      </x:c>
      <x:c r="AB554" s="34" t="n">
        <x:v>442.153947</x:v>
      </x:c>
      <x:c r="AC554" s="34" t="n">
        <x:v>19641.24</x:v>
      </x:c>
      <x:c r="AD554" s="34" t="n">
        <x:v>44.421722</x:v>
      </x:c>
      <x:c r="AE554" s="40" t="b">
        <x:v>1</x:v>
      </x:c>
      <x:c r="AF554" s="40" t="b">
        <x:v>0</x:v>
      </x:c>
      <x:c r="AG554" s="34" t="str"/>
      <x:c r="AH554" s="34" t="n">
        <x:v>0</x:v>
      </x:c>
      <x:c r="AI554" s="34" t="str">
        <x:v>3.446647212967946e-06</x:v>
      </x:c>
      <x:c r="AJ554" s="40" t="b">
        <x:v>0</x:v>
      </x:c>
      <x:c r="AK554" s="40" t="b">
        <x:v>0</x:v>
      </x:c>
      <x:c r="AL554" s="40" t="b">
        <x:v>1</x:v>
      </x:c>
      <x:c r="AM554" s="40" t="b">
        <x:v>1</x:v>
      </x:c>
      <x:c r="AN554" s="34" t="n">
        <x:v>2034</x:v>
      </x:c>
      <x:c r="AO554" s="34" t="n">
        <x:v>4.469999115000004</x:v>
      </x:c>
      <x:c r="AP554" s="34" t="n">
        <x:v>0</x:v>
      </x:c>
      <x:c r="AQ554" s="34" t="n">
        <x:v>0</x:v>
      </x:c>
      <x:c r="AR554" s="34" t="n">
        <x:v>2</x:v>
      </x:c>
      <x:c r="AS554" s="34" t="n">
        <x:v>2</x:v>
      </x:c>
      <x:c r="AT554" s="34" t="n">
        <x:v>0.41255777279999983</x:v>
      </x:c>
      <x:c r="AU554" s="34" t="n">
        <x:v>0.65</x:v>
      </x:c>
      <x:c r="AV554" s="34" t="n">
        <x:v>1.68</x:v>
      </x:c>
    </x:row>
    <x:row r="555">
      <x:c r="A555" s="34" t="str">
        <x:v>NIPPON_STEEL_JP</x:v>
      </x:c>
      <x:c r="B555" s="34" t="str">
        <x:v>Nippon Steel</x:v>
      </x:c>
      <x:c r="C555" s="34" t="str">
        <x:v>DISCLOSED_PATH</x:v>
      </x:c>
      <x:c r="D555" s="34" t="str">
        <x:v>P1</x:v>
      </x:c>
      <x:c r="E555" s="34" t="n">
        <x:v>2039</x:v>
      </x:c>
      <x:c r="F555" s="34" t="n">
        <x:v>5</x:v>
      </x:c>
      <x:c r="G555" s="34" t="n">
        <x:v>26.669999</x:v>
      </x:c>
      <x:c r="H555" s="34" t="n">
        <x:v>23.6</x:v>
      </x:c>
      <x:c r="I555" s="34" t="n">
        <x:v>-3.069999</x:v>
      </x:c>
      <x:c r="J555" s="34" t="n">
        <x:v>113.008</x:v>
      </x:c>
      <x:c r="K555" s="34" t="n">
        <x:v>0.308</x:v>
      </x:c>
      <x:c r="L555" s="34" t="n">
        <x:v>2.92</x:v>
      </x:c>
      <x:c r="M555" s="34" t="n">
        <x:v>2.612</x:v>
      </x:c>
      <x:c r="N555" s="34" t="n">
        <x:v>10.548</x:v>
      </x:c>
      <x:c r="O555" s="34" t="n">
        <x:v>18.648</x:v>
      </x:c>
      <x:c r="P555" s="34" t="n">
        <x:v>23</x:v>
      </x:c>
      <x:c r="Q555" s="34" t="n">
        <x:v>4.352</x:v>
      </x:c>
      <x:c r="R555" s="34" t="n">
        <x:v>81.078</x:v>
      </x:c>
      <x:c r="S555" s="40" t="b">
        <x:v>0</x:v>
      </x:c>
      <x:c r="T555" s="34" t="str">
        <x:v>model_interpolation</x:v>
      </x:c>
      <x:c r="U555" s="34" t="str">
        <x:v>Linear interpolation from 2035 to 2040</x:v>
      </x:c>
      <x:c r="V555" s="34" t="str">
        <x:v>CAND-97FAAFFD87E907</x:v>
      </x:c>
      <x:c r="W555" s="34" t="str">
        <x:v>P1</x:v>
      </x:c>
      <x:c r="X555" s="34" t="str">
        <x:v>PORT-160DD6C4A97F</x:v>
      </x:c>
      <x:c r="Y555" s="34" t="n">
        <x:v>1000</x:v>
      </x:c>
      <x:c r="Z555" s="34" t="n">
        <x:v>45.804768</x:v>
      </x:c>
      <x:c r="AA555" s="34" t="n">
        <x:v>16.191114</x:v>
      </x:c>
      <x:c r="AB555" s="34" t="n">
        <x:v>442.153947</x:v>
      </x:c>
      <x:c r="AC555" s="34" t="n">
        <x:v>19641.24</x:v>
      </x:c>
      <x:c r="AD555" s="34" t="n">
        <x:v>44.421722</x:v>
      </x:c>
      <x:c r="AE555" s="40" t="b">
        <x:v>1</x:v>
      </x:c>
      <x:c r="AF555" s="40" t="b">
        <x:v>0</x:v>
      </x:c>
      <x:c r="AG555" s="34" t="str"/>
      <x:c r="AH555" s="34" t="n">
        <x:v>0</x:v>
      </x:c>
      <x:c r="AI555" s="34" t="str">
        <x:v>3.446647212967946e-06</x:v>
      </x:c>
      <x:c r="AJ555" s="40" t="b">
        <x:v>0</x:v>
      </x:c>
      <x:c r="AK555" s="40" t="b">
        <x:v>0</x:v>
      </x:c>
      <x:c r="AL555" s="40" t="b">
        <x:v>1</x:v>
      </x:c>
      <x:c r="AM555" s="40" t="b">
        <x:v>1</x:v>
      </x:c>
      <x:c r="AN555" s="34" t="n">
        <x:v>2034</x:v>
      </x:c>
      <x:c r="AO555" s="34" t="n">
        <x:v>4.469999115000004</x:v>
      </x:c>
      <x:c r="AP555" s="34" t="n">
        <x:v>0</x:v>
      </x:c>
      <x:c r="AQ555" s="34" t="n">
        <x:v>0</x:v>
      </x:c>
      <x:c r="AR555" s="34" t="n">
        <x:v>2</x:v>
      </x:c>
      <x:c r="AS555" s="34" t="n">
        <x:v>2</x:v>
      </x:c>
      <x:c r="AT555" s="34" t="n">
        <x:v>0.41255777279999983</x:v>
      </x:c>
      <x:c r="AU555" s="34" t="n">
        <x:v>0.65</x:v>
      </x:c>
      <x:c r="AV555" s="34" t="n">
        <x:v>1.68</x:v>
      </x:c>
    </x:row>
    <x:row r="556">
      <x:c r="A556" s="34" t="str">
        <x:v>NIPPON_STEEL_JP</x:v>
      </x:c>
      <x:c r="B556" s="34" t="str">
        <x:v>Nippon Steel</x:v>
      </x:c>
      <x:c r="C556" s="34" t="str">
        <x:v>DISCLOSED_PATH</x:v>
      </x:c>
      <x:c r="D556" s="34" t="str">
        <x:v>P1</x:v>
      </x:c>
      <x:c r="E556" s="34" t="n">
        <x:v>2040</x:v>
      </x:c>
      <x:c r="F556" s="34" t="n">
        <x:v>5</x:v>
      </x:c>
      <x:c r="G556" s="34" t="n">
        <x:v>26.669999</x:v>
      </x:c>
      <x:c r="H556" s="34" t="n">
        <x:v>25</x:v>
      </x:c>
      <x:c r="I556" s="34" t="n">
        <x:v>-1.669999</x:v>
      </x:c>
      <x:c r="J556" s="34" t="n">
        <x:v>106.68</x:v>
      </x:c>
      <x:c r="K556" s="34" t="n">
        <x:v>0.308</x:v>
      </x:c>
      <x:c r="L556" s="34" t="n">
        <x:v>3.2</x:v>
      </x:c>
      <x:c r="M556" s="34" t="n">
        <x:v>2.892</x:v>
      </x:c>
      <x:c r="N556" s="34" t="n">
        <x:v>9.625</x:v>
      </x:c>
      <x:c r="O556" s="34" t="n">
        <x:v>18.648</x:v>
      </x:c>
      <x:c r="P556" s="34" t="n">
        <x:v>25</x:v>
      </x:c>
      <x:c r="Q556" s="34" t="n">
        <x:v>6.352</x:v>
      </x:c>
      <x:c r="R556" s="34" t="n">
        <x:v>74.592</x:v>
      </x:c>
      <x:c r="S556" s="40" t="b">
        <x:v>0</x:v>
      </x:c>
      <x:c r="T556" s="34" t="str">
        <x:v>model_estimate</x:v>
      </x:c>
      <x:c r="U556" s="34" t="str">
        <x:v>Illustrative screening envelope; not an official supply forecast</x:v>
      </x:c>
      <x:c r="V556" s="34" t="str">
        <x:v>CAND-97FAAFFD87E907</x:v>
      </x:c>
      <x:c r="W556" s="34" t="str">
        <x:v>P1</x:v>
      </x:c>
      <x:c r="X556" s="34" t="str">
        <x:v>PORT-160DD6C4A97F</x:v>
      </x:c>
      <x:c r="Y556" s="34" t="n">
        <x:v>1000</x:v>
      </x:c>
      <x:c r="Z556" s="34" t="n">
        <x:v>45.804768</x:v>
      </x:c>
      <x:c r="AA556" s="34" t="n">
        <x:v>16.191114</x:v>
      </x:c>
      <x:c r="AB556" s="34" t="n">
        <x:v>442.153947</x:v>
      </x:c>
      <x:c r="AC556" s="34" t="n">
        <x:v>19641.24</x:v>
      </x:c>
      <x:c r="AD556" s="34" t="n">
        <x:v>44.421722</x:v>
      </x:c>
      <x:c r="AE556" s="40" t="b">
        <x:v>1</x:v>
      </x:c>
      <x:c r="AF556" s="40" t="b">
        <x:v>0</x:v>
      </x:c>
      <x:c r="AG556" s="34" t="str"/>
      <x:c r="AH556" s="34" t="n">
        <x:v>0</x:v>
      </x:c>
      <x:c r="AI556" s="34" t="str">
        <x:v>3.446647212967946e-06</x:v>
      </x:c>
      <x:c r="AJ556" s="40" t="b">
        <x:v>0</x:v>
      </x:c>
      <x:c r="AK556" s="40" t="b">
        <x:v>0</x:v>
      </x:c>
      <x:c r="AL556" s="40" t="b">
        <x:v>1</x:v>
      </x:c>
      <x:c r="AM556" s="40" t="b">
        <x:v>1</x:v>
      </x:c>
      <x:c r="AN556" s="34" t="n">
        <x:v>2034</x:v>
      </x:c>
      <x:c r="AO556" s="34" t="n">
        <x:v>4.469999115000004</x:v>
      </x:c>
      <x:c r="AP556" s="34" t="n">
        <x:v>0</x:v>
      </x:c>
      <x:c r="AQ556" s="34" t="n">
        <x:v>0</x:v>
      </x:c>
      <x:c r="AR556" s="34" t="n">
        <x:v>2</x:v>
      </x:c>
      <x:c r="AS556" s="34" t="n">
        <x:v>2</x:v>
      </x:c>
      <x:c r="AT556" s="34" t="n">
        <x:v>0.41255777279999983</x:v>
      </x:c>
      <x:c r="AU556" s="34" t="n">
        <x:v>0.65</x:v>
      </x:c>
      <x:c r="AV556" s="34" t="n">
        <x:v>1.68</x:v>
      </x:c>
    </x:row>
    <x:row r="557">
      <x:c r="A557" s="34" t="str">
        <x:v>NIPPON_STEEL_JP</x:v>
      </x:c>
      <x:c r="B557" s="34" t="str">
        <x:v>Nippon Steel</x:v>
      </x:c>
      <x:c r="C557" s="34" t="str">
        <x:v>ACCELERATED_15C</x:v>
      </x:c>
      <x:c r="D557" s="34" t="str">
        <x:v>P1</x:v>
      </x:c>
      <x:c r="E557" s="34" t="n">
        <x:v>2026</x:v>
      </x:c>
      <x:c r="F557" s="34" t="n">
        <x:v>0</x:v>
      </x:c>
      <x:c r="G557" s="34" t="n">
        <x:v>0</x:v>
      </x:c>
      <x:c r="H557" s="34" t="n">
        <x:v>8</x:v>
      </x:c>
      <x:c r="I557" s="34" t="n">
        <x:v>8</x:v>
      </x:c>
      <x:c r="J557" s="34" t="n">
        <x:v>0</x:v>
      </x:c>
      <x:c r="K557" s="34" t="n">
        <x:v>0</x:v>
      </x:c>
      <x:c r="L557" s="34" t="n">
        <x:v>0.1</x:v>
      </x:c>
      <x:c r="M557" s="34" t="n">
        <x:v>0.1</x:v>
      </x:c>
      <x:c r="N557" s="34" t="n">
        <x:v>0</x:v>
      </x:c>
      <x:c r="O557" s="34" t="n">
        <x:v>0</x:v>
      </x:c>
      <x:c r="P557" s="34" t="n">
        <x:v>2</x:v>
      </x:c>
      <x:c r="Q557" s="34" t="n">
        <x:v>2</x:v>
      </x:c>
      <x:c r="R557" s="34" t="n">
        <x:v>0</x:v>
      </x:c>
      <x:c r="S557" s="40" t="b">
        <x:v>1</x:v>
      </x:c>
      <x:c r="T557" s="34" t="str">
        <x:v>model_interpolation</x:v>
      </x:c>
      <x:c r="U557" s="34" t="str">
        <x:v>Linear interpolation from 2026 to 2030</x:v>
      </x:c>
      <x:c r="V557" s="34" t="str">
        <x:v>CAND-97FAAFFD87E907</x:v>
      </x:c>
      <x:c r="W557" s="34" t="str">
        <x:v>P1</x:v>
      </x:c>
      <x:c r="X557" s="34" t="str">
        <x:v>PORT-160DD6C4A97F</x:v>
      </x:c>
      <x:c r="Y557" s="34" t="n">
        <x:v>1000</x:v>
      </x:c>
      <x:c r="Z557" s="34" t="n">
        <x:v>33.662008</x:v>
      </x:c>
      <x:c r="AA557" s="34" t="n">
        <x:v>17.592369</x:v>
      </x:c>
      <x:c r="AB557" s="34" t="n">
        <x:v>442.153947</x:v>
      </x:c>
      <x:c r="AC557" s="34" t="n">
        <x:v>14258.889</x:v>
      </x:c>
      <x:c r="AD557" s="34" t="n">
        <x:v>32.248699</x:v>
      </x:c>
      <x:c r="AE557" s="40" t="b">
        <x:v>1</x:v>
      </x:c>
      <x:c r="AF557" s="40" t="b">
        <x:v>1</x:v>
      </x:c>
      <x:c r="AG557" s="34" t="str"/>
      <x:c r="AH557" s="34" t="n">
        <x:v>0</x:v>
      </x:c>
      <x:c r="AI557" s="34" t="str">
        <x:v>3.446647212967946e-06</x:v>
      </x:c>
      <x:c r="AJ557" s="40" t="b">
        <x:v>1</x:v>
      </x:c>
      <x:c r="AK557" s="40" t="b">
        <x:v>1</x:v>
      </x:c>
      <x:c r="AL557" s="40" t="b">
        <x:v>1</x:v>
      </x:c>
      <x:c r="AM557" s="40" t="b">
        <x:v>1</x:v>
      </x:c>
      <x:c r="AN557" s="34" t="str"/>
      <x:c r="AO557" s="34" t="n">
        <x:v>0</x:v>
      </x:c>
      <x:c r="AP557" s="34" t="n">
        <x:v>0</x:v>
      </x:c>
      <x:c r="AQ557" s="34" t="n">
        <x:v>0</x:v>
      </x:c>
      <x:c r="AR557" s="34" t="n">
        <x:v>2</x:v>
      </x:c>
      <x:c r="AS557" s="34" t="n">
        <x:v>2</x:v>
      </x:c>
      <x:c r="AT557" s="34" t="n">
        <x:v>0.41255777279999983</x:v>
      </x:c>
      <x:c r="AU557" s="34" t="n">
        <x:v>0.65</x:v>
      </x:c>
      <x:c r="AV557" s="34" t="n">
        <x:v>1.68</x:v>
      </x:c>
    </x:row>
    <x:row r="558">
      <x:c r="A558" s="34" t="str">
        <x:v>NIPPON_STEEL_JP</x:v>
      </x:c>
      <x:c r="B558" s="34" t="str">
        <x:v>Nippon Steel</x:v>
      </x:c>
      <x:c r="C558" s="34" t="str">
        <x:v>ACCELERATED_15C</x:v>
      </x:c>
      <x:c r="D558" s="34" t="str">
        <x:v>P1</x:v>
      </x:c>
      <x:c r="E558" s="34" t="n">
        <x:v>2027</x:v>
      </x:c>
      <x:c r="F558" s="34" t="n">
        <x:v>0</x:v>
      </x:c>
      <x:c r="G558" s="34" t="n">
        <x:v>0</x:v>
      </x:c>
      <x:c r="H558" s="34" t="n">
        <x:v>9.75</x:v>
      </x:c>
      <x:c r="I558" s="34" t="n">
        <x:v>9.75</x:v>
      </x:c>
      <x:c r="J558" s="34" t="n">
        <x:v>0</x:v>
      </x:c>
      <x:c r="K558" s="34" t="n">
        <x:v>0</x:v>
      </x:c>
      <x:c r="L558" s="34" t="n">
        <x:v>0.30000000000000004</x:v>
      </x:c>
      <x:c r="M558" s="34" t="n">
        <x:v>0.3</x:v>
      </x:c>
      <x:c r="N558" s="34" t="n">
        <x:v>0</x:v>
      </x:c>
      <x:c r="O558" s="34" t="n">
        <x:v>0</x:v>
      </x:c>
      <x:c r="P558" s="34" t="n">
        <x:v>4</x:v>
      </x:c>
      <x:c r="Q558" s="34" t="n">
        <x:v>4</x:v>
      </x:c>
      <x:c r="R558" s="34" t="n">
        <x:v>0</x:v>
      </x:c>
      <x:c r="S558" s="40" t="b">
        <x:v>1</x:v>
      </x:c>
      <x:c r="T558" s="34" t="str">
        <x:v>model_interpolation</x:v>
      </x:c>
      <x:c r="U558" s="34" t="str">
        <x:v>Linear interpolation from 2026 to 2030</x:v>
      </x:c>
      <x:c r="V558" s="34" t="str">
        <x:v>CAND-97FAAFFD87E907</x:v>
      </x:c>
      <x:c r="W558" s="34" t="str">
        <x:v>P1</x:v>
      </x:c>
      <x:c r="X558" s="34" t="str">
        <x:v>PORT-160DD6C4A97F</x:v>
      </x:c>
      <x:c r="Y558" s="34" t="n">
        <x:v>1000</x:v>
      </x:c>
      <x:c r="Z558" s="34" t="n">
        <x:v>33.662008</x:v>
      </x:c>
      <x:c r="AA558" s="34" t="n">
        <x:v>17.592369</x:v>
      </x:c>
      <x:c r="AB558" s="34" t="n">
        <x:v>442.153947</x:v>
      </x:c>
      <x:c r="AC558" s="34" t="n">
        <x:v>14258.889</x:v>
      </x:c>
      <x:c r="AD558" s="34" t="n">
        <x:v>32.248699</x:v>
      </x:c>
      <x:c r="AE558" s="40" t="b">
        <x:v>1</x:v>
      </x:c>
      <x:c r="AF558" s="40" t="b">
        <x:v>1</x:v>
      </x:c>
      <x:c r="AG558" s="34" t="str"/>
      <x:c r="AH558" s="34" t="n">
        <x:v>0</x:v>
      </x:c>
      <x:c r="AI558" s="34" t="str">
        <x:v>3.446647212967946e-06</x:v>
      </x:c>
      <x:c r="AJ558" s="40" t="b">
        <x:v>1</x:v>
      </x:c>
      <x:c r="AK558" s="40" t="b">
        <x:v>1</x:v>
      </x:c>
      <x:c r="AL558" s="40" t="b">
        <x:v>1</x:v>
      </x:c>
      <x:c r="AM558" s="40" t="b">
        <x:v>1</x:v>
      </x:c>
      <x:c r="AN558" s="34" t="str"/>
      <x:c r="AO558" s="34" t="n">
        <x:v>0</x:v>
      </x:c>
      <x:c r="AP558" s="34" t="n">
        <x:v>0</x:v>
      </x:c>
      <x:c r="AQ558" s="34" t="n">
        <x:v>0</x:v>
      </x:c>
      <x:c r="AR558" s="34" t="n">
        <x:v>2</x:v>
      </x:c>
      <x:c r="AS558" s="34" t="n">
        <x:v>2</x:v>
      </x:c>
      <x:c r="AT558" s="34" t="n">
        <x:v>0.41255777279999983</x:v>
      </x:c>
      <x:c r="AU558" s="34" t="n">
        <x:v>0.65</x:v>
      </x:c>
      <x:c r="AV558" s="34" t="n">
        <x:v>1.68</x:v>
      </x:c>
    </x:row>
    <x:row r="559">
      <x:c r="A559" s="34" t="str">
        <x:v>NIPPON_STEEL_JP</x:v>
      </x:c>
      <x:c r="B559" s="34" t="str">
        <x:v>Nippon Steel</x:v>
      </x:c>
      <x:c r="C559" s="34" t="str">
        <x:v>ACCELERATED_15C</x:v>
      </x:c>
      <x:c r="D559" s="34" t="str">
        <x:v>P1</x:v>
      </x:c>
      <x:c r="E559" s="34" t="n">
        <x:v>2028</x:v>
      </x:c>
      <x:c r="F559" s="34" t="n">
        <x:v>0</x:v>
      </x:c>
      <x:c r="G559" s="34" t="n">
        <x:v>0</x:v>
      </x:c>
      <x:c r="H559" s="34" t="n">
        <x:v>11.5</x:v>
      </x:c>
      <x:c r="I559" s="34" t="n">
        <x:v>11.5</x:v>
      </x:c>
      <x:c r="J559" s="34" t="n">
        <x:v>0</x:v>
      </x:c>
      <x:c r="K559" s="34" t="n">
        <x:v>0</x:v>
      </x:c>
      <x:c r="L559" s="34" t="n">
        <x:v>0.5</x:v>
      </x:c>
      <x:c r="M559" s="34" t="n">
        <x:v>0.5</x:v>
      </x:c>
      <x:c r="N559" s="34" t="n">
        <x:v>0</x:v>
      </x:c>
      <x:c r="O559" s="34" t="n">
        <x:v>0</x:v>
      </x:c>
      <x:c r="P559" s="34" t="n">
        <x:v>6</x:v>
      </x:c>
      <x:c r="Q559" s="34" t="n">
        <x:v>6</x:v>
      </x:c>
      <x:c r="R559" s="34" t="n">
        <x:v>0</x:v>
      </x:c>
      <x:c r="S559" s="40" t="b">
        <x:v>1</x:v>
      </x:c>
      <x:c r="T559" s="34" t="str">
        <x:v>model_interpolation</x:v>
      </x:c>
      <x:c r="U559" s="34" t="str">
        <x:v>Linear interpolation from 2026 to 2030</x:v>
      </x:c>
      <x:c r="V559" s="34" t="str">
        <x:v>CAND-97FAAFFD87E907</x:v>
      </x:c>
      <x:c r="W559" s="34" t="str">
        <x:v>P1</x:v>
      </x:c>
      <x:c r="X559" s="34" t="str">
        <x:v>PORT-160DD6C4A97F</x:v>
      </x:c>
      <x:c r="Y559" s="34" t="n">
        <x:v>1000</x:v>
      </x:c>
      <x:c r="Z559" s="34" t="n">
        <x:v>33.662008</x:v>
      </x:c>
      <x:c r="AA559" s="34" t="n">
        <x:v>17.592369</x:v>
      </x:c>
      <x:c r="AB559" s="34" t="n">
        <x:v>442.153947</x:v>
      </x:c>
      <x:c r="AC559" s="34" t="n">
        <x:v>14258.889</x:v>
      </x:c>
      <x:c r="AD559" s="34" t="n">
        <x:v>32.248699</x:v>
      </x:c>
      <x:c r="AE559" s="40" t="b">
        <x:v>1</x:v>
      </x:c>
      <x:c r="AF559" s="40" t="b">
        <x:v>1</x:v>
      </x:c>
      <x:c r="AG559" s="34" t="str"/>
      <x:c r="AH559" s="34" t="n">
        <x:v>0</x:v>
      </x:c>
      <x:c r="AI559" s="34" t="str">
        <x:v>3.446647212967946e-06</x:v>
      </x:c>
      <x:c r="AJ559" s="40" t="b">
        <x:v>1</x:v>
      </x:c>
      <x:c r="AK559" s="40" t="b">
        <x:v>1</x:v>
      </x:c>
      <x:c r="AL559" s="40" t="b">
        <x:v>1</x:v>
      </x:c>
      <x:c r="AM559" s="40" t="b">
        <x:v>1</x:v>
      </x:c>
      <x:c r="AN559" s="34" t="str"/>
      <x:c r="AO559" s="34" t="n">
        <x:v>0</x:v>
      </x:c>
      <x:c r="AP559" s="34" t="n">
        <x:v>0</x:v>
      </x:c>
      <x:c r="AQ559" s="34" t="n">
        <x:v>0</x:v>
      </x:c>
      <x:c r="AR559" s="34" t="n">
        <x:v>2</x:v>
      </x:c>
      <x:c r="AS559" s="34" t="n">
        <x:v>2</x:v>
      </x:c>
      <x:c r="AT559" s="34" t="n">
        <x:v>0.41255777279999983</x:v>
      </x:c>
      <x:c r="AU559" s="34" t="n">
        <x:v>0.65</x:v>
      </x:c>
      <x:c r="AV559" s="34" t="n">
        <x:v>1.68</x:v>
      </x:c>
    </x:row>
    <x:row r="560">
      <x:c r="A560" s="34" t="str">
        <x:v>NIPPON_STEEL_JP</x:v>
      </x:c>
      <x:c r="B560" s="34" t="str">
        <x:v>Nippon Steel</x:v>
      </x:c>
      <x:c r="C560" s="34" t="str">
        <x:v>ACCELERATED_15C</x:v>
      </x:c>
      <x:c r="D560" s="34" t="str">
        <x:v>P1</x:v>
      </x:c>
      <x:c r="E560" s="34" t="n">
        <x:v>2029</x:v>
      </x:c>
      <x:c r="F560" s="34" t="n">
        <x:v>1</x:v>
      </x:c>
      <x:c r="G560" s="34" t="n">
        <x:v>8.1</x:v>
      </x:c>
      <x:c r="H560" s="34" t="n">
        <x:v>13.25</x:v>
      </x:c>
      <x:c r="I560" s="34" t="n">
        <x:v>5.15</x:v>
      </x:c>
      <x:c r="J560" s="34" t="n">
        <x:v>61.132</x:v>
      </x:c>
      <x:c r="K560" s="34" t="n">
        <x:v>0</x:v>
      </x:c>
      <x:c r="L560" s="34" t="n">
        <x:v>0.7000000000000001</x:v>
      </x:c>
      <x:c r="M560" s="34" t="n">
        <x:v>0.7</x:v>
      </x:c>
      <x:c r="N560" s="34" t="n">
        <x:v>0</x:v>
      </x:c>
      <x:c r="O560" s="34" t="n">
        <x:v>5.04</x:v>
      </x:c>
      <x:c r="P560" s="34" t="n">
        <x:v>8</x:v>
      </x:c>
      <x:c r="Q560" s="34" t="n">
        <x:v>2.96</x:v>
      </x:c>
      <x:c r="R560" s="34" t="n">
        <x:v>63</x:v>
      </x:c>
      <x:c r="S560" s="40" t="b">
        <x:v>1</x:v>
      </x:c>
      <x:c r="T560" s="34" t="str">
        <x:v>model_interpolation</x:v>
      </x:c>
      <x:c r="U560" s="34" t="str">
        <x:v>Linear interpolation from 2026 to 2030</x:v>
      </x:c>
      <x:c r="V560" s="34" t="str">
        <x:v>CAND-97FAAFFD87E907</x:v>
      </x:c>
      <x:c r="W560" s="34" t="str">
        <x:v>P1</x:v>
      </x:c>
      <x:c r="X560" s="34" t="str">
        <x:v>PORT-160DD6C4A97F</x:v>
      </x:c>
      <x:c r="Y560" s="34" t="n">
        <x:v>1000</x:v>
      </x:c>
      <x:c r="Z560" s="34" t="n">
        <x:v>33.662008</x:v>
      </x:c>
      <x:c r="AA560" s="34" t="n">
        <x:v>17.592369</x:v>
      </x:c>
      <x:c r="AB560" s="34" t="n">
        <x:v>442.153947</x:v>
      </x:c>
      <x:c r="AC560" s="34" t="n">
        <x:v>14258.889</x:v>
      </x:c>
      <x:c r="AD560" s="34" t="n">
        <x:v>32.248699</x:v>
      </x:c>
      <x:c r="AE560" s="40" t="b">
        <x:v>1</x:v>
      </x:c>
      <x:c r="AF560" s="40" t="b">
        <x:v>1</x:v>
      </x:c>
      <x:c r="AG560" s="34" t="str"/>
      <x:c r="AH560" s="34" t="n">
        <x:v>0</x:v>
      </x:c>
      <x:c r="AI560" s="34" t="str">
        <x:v>3.446647212967946e-06</x:v>
      </x:c>
      <x:c r="AJ560" s="40" t="b">
        <x:v>1</x:v>
      </x:c>
      <x:c r="AK560" s="40" t="b">
        <x:v>1</x:v>
      </x:c>
      <x:c r="AL560" s="40" t="b">
        <x:v>1</x:v>
      </x:c>
      <x:c r="AM560" s="40" t="b">
        <x:v>1</x:v>
      </x:c>
      <x:c r="AN560" s="34" t="str"/>
      <x:c r="AO560" s="34" t="n">
        <x:v>0</x:v>
      </x:c>
      <x:c r="AP560" s="34" t="n">
        <x:v>0</x:v>
      </x:c>
      <x:c r="AQ560" s="34" t="n">
        <x:v>0</x:v>
      </x:c>
      <x:c r="AR560" s="34" t="n">
        <x:v>2</x:v>
      </x:c>
      <x:c r="AS560" s="34" t="n">
        <x:v>2</x:v>
      </x:c>
      <x:c r="AT560" s="34" t="n">
        <x:v>0.41255777279999983</x:v>
      </x:c>
      <x:c r="AU560" s="34" t="n">
        <x:v>0.65</x:v>
      </x:c>
      <x:c r="AV560" s="34" t="n">
        <x:v>1.68</x:v>
      </x:c>
    </x:row>
    <x:row r="561">
      <x:c r="A561" s="34" t="str">
        <x:v>NIPPON_STEEL_JP</x:v>
      </x:c>
      <x:c r="B561" s="34" t="str">
        <x:v>Nippon Steel</x:v>
      </x:c>
      <x:c r="C561" s="34" t="str">
        <x:v>ACCELERATED_15C</x:v>
      </x:c>
      <x:c r="D561" s="34" t="str">
        <x:v>P1</x:v>
      </x:c>
      <x:c r="E561" s="34" t="n">
        <x:v>2030</x:v>
      </x:c>
      <x:c r="F561" s="34" t="n">
        <x:v>1</x:v>
      </x:c>
      <x:c r="G561" s="34" t="n">
        <x:v>8.1</x:v>
      </x:c>
      <x:c r="H561" s="34" t="n">
        <x:v>15</x:v>
      </x:c>
      <x:c r="I561" s="34" t="n">
        <x:v>6.9</x:v>
      </x:c>
      <x:c r="J561" s="34" t="n">
        <x:v>54</x:v>
      </x:c>
      <x:c r="K561" s="34" t="n">
        <x:v>0</x:v>
      </x:c>
      <x:c r="L561" s="34" t="n">
        <x:v>0.9</x:v>
      </x:c>
      <x:c r="M561" s="34" t="n">
        <x:v>0.9</x:v>
      </x:c>
      <x:c r="N561" s="34" t="n">
        <x:v>0</x:v>
      </x:c>
      <x:c r="O561" s="34" t="n">
        <x:v>5.04</x:v>
      </x:c>
      <x:c r="P561" s="34" t="n">
        <x:v>10</x:v>
      </x:c>
      <x:c r="Q561" s="34" t="n">
        <x:v>4.96</x:v>
      </x:c>
      <x:c r="R561" s="34" t="n">
        <x:v>50.4</x:v>
      </x:c>
      <x:c r="S561" s="40" t="b">
        <x:v>1</x:v>
      </x:c>
      <x:c r="T561" s="34" t="str">
        <x:v>model_interpolation</x:v>
      </x:c>
      <x:c r="U561" s="34" t="str">
        <x:v>Linear interpolation from 2030 to 2035</x:v>
      </x:c>
      <x:c r="V561" s="34" t="str">
        <x:v>CAND-97FAAFFD87E907</x:v>
      </x:c>
      <x:c r="W561" s="34" t="str">
        <x:v>P1</x:v>
      </x:c>
      <x:c r="X561" s="34" t="str">
        <x:v>PORT-160DD6C4A97F</x:v>
      </x:c>
      <x:c r="Y561" s="34" t="n">
        <x:v>1000</x:v>
      </x:c>
      <x:c r="Z561" s="34" t="n">
        <x:v>33.662008</x:v>
      </x:c>
      <x:c r="AA561" s="34" t="n">
        <x:v>17.592369</x:v>
      </x:c>
      <x:c r="AB561" s="34" t="n">
        <x:v>442.153947</x:v>
      </x:c>
      <x:c r="AC561" s="34" t="n">
        <x:v>14258.889</x:v>
      </x:c>
      <x:c r="AD561" s="34" t="n">
        <x:v>32.248699</x:v>
      </x:c>
      <x:c r="AE561" s="40" t="b">
        <x:v>1</x:v>
      </x:c>
      <x:c r="AF561" s="40" t="b">
        <x:v>1</x:v>
      </x:c>
      <x:c r="AG561" s="34" t="str"/>
      <x:c r="AH561" s="34" t="n">
        <x:v>0</x:v>
      </x:c>
      <x:c r="AI561" s="34" t="str">
        <x:v>3.446647212967946e-06</x:v>
      </x:c>
      <x:c r="AJ561" s="40" t="b">
        <x:v>1</x:v>
      </x:c>
      <x:c r="AK561" s="40" t="b">
        <x:v>1</x:v>
      </x:c>
      <x:c r="AL561" s="40" t="b">
        <x:v>1</x:v>
      </x:c>
      <x:c r="AM561" s="40" t="b">
        <x:v>1</x:v>
      </x:c>
      <x:c r="AN561" s="34" t="str"/>
      <x:c r="AO561" s="34" t="n">
        <x:v>0</x:v>
      </x:c>
      <x:c r="AP561" s="34" t="n">
        <x:v>0</x:v>
      </x:c>
      <x:c r="AQ561" s="34" t="n">
        <x:v>0</x:v>
      </x:c>
      <x:c r="AR561" s="34" t="n">
        <x:v>2</x:v>
      </x:c>
      <x:c r="AS561" s="34" t="n">
        <x:v>2</x:v>
      </x:c>
      <x:c r="AT561" s="34" t="n">
        <x:v>0.41255777279999983</x:v>
      </x:c>
      <x:c r="AU561" s="34" t="n">
        <x:v>0.65</x:v>
      </x:c>
      <x:c r="AV561" s="34" t="n">
        <x:v>1.68</x:v>
      </x:c>
    </x:row>
    <x:row r="562">
      <x:c r="A562" s="34" t="str">
        <x:v>NIPPON_STEEL_JP</x:v>
      </x:c>
      <x:c r="B562" s="34" t="str">
        <x:v>Nippon Steel</x:v>
      </x:c>
      <x:c r="C562" s="34" t="str">
        <x:v>ACCELERATED_15C</x:v>
      </x:c>
      <x:c r="D562" s="34" t="str">
        <x:v>P1</x:v>
      </x:c>
      <x:c r="E562" s="34" t="n">
        <x:v>2031</x:v>
      </x:c>
      <x:c r="F562" s="34" t="n">
        <x:v>1</x:v>
      </x:c>
      <x:c r="G562" s="34" t="n">
        <x:v>8.1</x:v>
      </x:c>
      <x:c r="H562" s="34" t="n">
        <x:v>16.6</x:v>
      </x:c>
      <x:c r="I562" s="34" t="n">
        <x:v>8.5</x:v>
      </x:c>
      <x:c r="J562" s="34" t="n">
        <x:v>48.795</x:v>
      </x:c>
      <x:c r="K562" s="34" t="n">
        <x:v>0</x:v>
      </x:c>
      <x:c r="L562" s="34" t="n">
        <x:v>1.2200000000000002</x:v>
      </x:c>
      <x:c r="M562" s="34" t="n">
        <x:v>1.22</x:v>
      </x:c>
      <x:c r="N562" s="34" t="n">
        <x:v>0</x:v>
      </x:c>
      <x:c r="O562" s="34" t="n">
        <x:v>5.04</x:v>
      </x:c>
      <x:c r="P562" s="34" t="n">
        <x:v>12</x:v>
      </x:c>
      <x:c r="Q562" s="34" t="n">
        <x:v>6.96</x:v>
      </x:c>
      <x:c r="R562" s="34" t="n">
        <x:v>42</x:v>
      </x:c>
      <x:c r="S562" s="40" t="b">
        <x:v>1</x:v>
      </x:c>
      <x:c r="T562" s="34" t="str">
        <x:v>model_interpolation</x:v>
      </x:c>
      <x:c r="U562" s="34" t="str">
        <x:v>Linear interpolation from 2030 to 2035</x:v>
      </x:c>
      <x:c r="V562" s="34" t="str">
        <x:v>CAND-97FAAFFD87E907</x:v>
      </x:c>
      <x:c r="W562" s="34" t="str">
        <x:v>P1</x:v>
      </x:c>
      <x:c r="X562" s="34" t="str">
        <x:v>PORT-160DD6C4A97F</x:v>
      </x:c>
      <x:c r="Y562" s="34" t="n">
        <x:v>1000</x:v>
      </x:c>
      <x:c r="Z562" s="34" t="n">
        <x:v>33.662008</x:v>
      </x:c>
      <x:c r="AA562" s="34" t="n">
        <x:v>17.592369</x:v>
      </x:c>
      <x:c r="AB562" s="34" t="n">
        <x:v>442.153947</x:v>
      </x:c>
      <x:c r="AC562" s="34" t="n">
        <x:v>14258.889</x:v>
      </x:c>
      <x:c r="AD562" s="34" t="n">
        <x:v>32.248699</x:v>
      </x:c>
      <x:c r="AE562" s="40" t="b">
        <x:v>1</x:v>
      </x:c>
      <x:c r="AF562" s="40" t="b">
        <x:v>1</x:v>
      </x:c>
      <x:c r="AG562" s="34" t="str"/>
      <x:c r="AH562" s="34" t="n">
        <x:v>0</x:v>
      </x:c>
      <x:c r="AI562" s="34" t="str">
        <x:v>3.446647212967946e-06</x:v>
      </x:c>
      <x:c r="AJ562" s="40" t="b">
        <x:v>1</x:v>
      </x:c>
      <x:c r="AK562" s="40" t="b">
        <x:v>1</x:v>
      </x:c>
      <x:c r="AL562" s="40" t="b">
        <x:v>1</x:v>
      </x:c>
      <x:c r="AM562" s="40" t="b">
        <x:v>1</x:v>
      </x:c>
      <x:c r="AN562" s="34" t="str"/>
      <x:c r="AO562" s="34" t="n">
        <x:v>0</x:v>
      </x:c>
      <x:c r="AP562" s="34" t="n">
        <x:v>0</x:v>
      </x:c>
      <x:c r="AQ562" s="34" t="n">
        <x:v>0</x:v>
      </x:c>
      <x:c r="AR562" s="34" t="n">
        <x:v>2</x:v>
      </x:c>
      <x:c r="AS562" s="34" t="n">
        <x:v>2</x:v>
      </x:c>
      <x:c r="AT562" s="34" t="n">
        <x:v>0.41255777279999983</x:v>
      </x:c>
      <x:c r="AU562" s="34" t="n">
        <x:v>0.65</x:v>
      </x:c>
      <x:c r="AV562" s="34" t="n">
        <x:v>1.68</x:v>
      </x:c>
    </x:row>
    <x:row r="563">
      <x:c r="A563" s="34" t="str">
        <x:v>NIPPON_STEEL_JP</x:v>
      </x:c>
      <x:c r="B563" s="34" t="str">
        <x:v>Nippon Steel</x:v>
      </x:c>
      <x:c r="C563" s="34" t="str">
        <x:v>ACCELERATED_15C</x:v>
      </x:c>
      <x:c r="D563" s="34" t="str">
        <x:v>P1</x:v>
      </x:c>
      <x:c r="E563" s="34" t="n">
        <x:v>2032</x:v>
      </x:c>
      <x:c r="F563" s="34" t="n">
        <x:v>2</x:v>
      </x:c>
      <x:c r="G563" s="34" t="n">
        <x:v>13.679998</x:v>
      </x:c>
      <x:c r="H563" s="34" t="n">
        <x:v>18.2</x:v>
      </x:c>
      <x:c r="I563" s="34" t="n">
        <x:v>4.520002</x:v>
      </x:c>
      <x:c r="J563" s="34" t="n">
        <x:v>75.165</x:v>
      </x:c>
      <x:c r="K563" s="34" t="n">
        <x:v>0</x:v>
      </x:c>
      <x:c r="L563" s="34" t="n">
        <x:v>1.54</x:v>
      </x:c>
      <x:c r="M563" s="34" t="n">
        <x:v>1.54</x:v>
      </x:c>
      <x:c r="N563" s="34" t="n">
        <x:v>0</x:v>
      </x:c>
      <x:c r="O563" s="34" t="n">
        <x:v>8.511999</x:v>
      </x:c>
      <x:c r="P563" s="34" t="n">
        <x:v>14</x:v>
      </x:c>
      <x:c r="Q563" s="34" t="n">
        <x:v>5.488001</x:v>
      </x:c>
      <x:c r="R563" s="34" t="n">
        <x:v>60.8</x:v>
      </x:c>
      <x:c r="S563" s="40" t="b">
        <x:v>1</x:v>
      </x:c>
      <x:c r="T563" s="34" t="str">
        <x:v>model_interpolation</x:v>
      </x:c>
      <x:c r="U563" s="34" t="str">
        <x:v>Linear interpolation from 2030 to 2035</x:v>
      </x:c>
      <x:c r="V563" s="34" t="str">
        <x:v>CAND-97FAAFFD87E907</x:v>
      </x:c>
      <x:c r="W563" s="34" t="str">
        <x:v>P1</x:v>
      </x:c>
      <x:c r="X563" s="34" t="str">
        <x:v>PORT-160DD6C4A97F</x:v>
      </x:c>
      <x:c r="Y563" s="34" t="n">
        <x:v>1000</x:v>
      </x:c>
      <x:c r="Z563" s="34" t="n">
        <x:v>33.662008</x:v>
      </x:c>
      <x:c r="AA563" s="34" t="n">
        <x:v>17.592369</x:v>
      </x:c>
      <x:c r="AB563" s="34" t="n">
        <x:v>442.153947</x:v>
      </x:c>
      <x:c r="AC563" s="34" t="n">
        <x:v>14258.889</x:v>
      </x:c>
      <x:c r="AD563" s="34" t="n">
        <x:v>32.248699</x:v>
      </x:c>
      <x:c r="AE563" s="40" t="b">
        <x:v>1</x:v>
      </x:c>
      <x:c r="AF563" s="40" t="b">
        <x:v>1</x:v>
      </x:c>
      <x:c r="AG563" s="34" t="str"/>
      <x:c r="AH563" s="34" t="n">
        <x:v>0</x:v>
      </x:c>
      <x:c r="AI563" s="34" t="str">
        <x:v>3.446647212967946e-06</x:v>
      </x:c>
      <x:c r="AJ563" s="40" t="b">
        <x:v>1</x:v>
      </x:c>
      <x:c r="AK563" s="40" t="b">
        <x:v>1</x:v>
      </x:c>
      <x:c r="AL563" s="40" t="b">
        <x:v>1</x:v>
      </x:c>
      <x:c r="AM563" s="40" t="b">
        <x:v>1</x:v>
      </x:c>
      <x:c r="AN563" s="34" t="str"/>
      <x:c r="AO563" s="34" t="n">
        <x:v>0</x:v>
      </x:c>
      <x:c r="AP563" s="34" t="n">
        <x:v>0</x:v>
      </x:c>
      <x:c r="AQ563" s="34" t="n">
        <x:v>0</x:v>
      </x:c>
      <x:c r="AR563" s="34" t="n">
        <x:v>2</x:v>
      </x:c>
      <x:c r="AS563" s="34" t="n">
        <x:v>2</x:v>
      </x:c>
      <x:c r="AT563" s="34" t="n">
        <x:v>0.41255777279999983</x:v>
      </x:c>
      <x:c r="AU563" s="34" t="n">
        <x:v>0.65</x:v>
      </x:c>
      <x:c r="AV563" s="34" t="n">
        <x:v>1.68</x:v>
      </x:c>
    </x:row>
    <x:row r="564">
      <x:c r="A564" s="34" t="str">
        <x:v>NIPPON_STEEL_JP</x:v>
      </x:c>
      <x:c r="B564" s="34" t="str">
        <x:v>Nippon Steel</x:v>
      </x:c>
      <x:c r="C564" s="34" t="str">
        <x:v>ACCELERATED_15C</x:v>
      </x:c>
      <x:c r="D564" s="34" t="str">
        <x:v>P1</x:v>
      </x:c>
      <x:c r="E564" s="34" t="n">
        <x:v>2033</x:v>
      </x:c>
      <x:c r="F564" s="34" t="n">
        <x:v>2</x:v>
      </x:c>
      <x:c r="G564" s="34" t="n">
        <x:v>13.679998</x:v>
      </x:c>
      <x:c r="H564" s="34" t="n">
        <x:v>19.8</x:v>
      </x:c>
      <x:c r="I564" s="34" t="n">
        <x:v>6.120002</x:v>
      </x:c>
      <x:c r="J564" s="34" t="n">
        <x:v>69.091</x:v>
      </x:c>
      <x:c r="K564" s="34" t="n">
        <x:v>0</x:v>
      </x:c>
      <x:c r="L564" s="34" t="n">
        <x:v>1.8599999999999999</x:v>
      </x:c>
      <x:c r="M564" s="34" t="n">
        <x:v>1.86</x:v>
      </x:c>
      <x:c r="N564" s="34" t="n">
        <x:v>0</x:v>
      </x:c>
      <x:c r="O564" s="34" t="n">
        <x:v>8.511999</x:v>
      </x:c>
      <x:c r="P564" s="34" t="n">
        <x:v>16</x:v>
      </x:c>
      <x:c r="Q564" s="34" t="n">
        <x:v>7.488001</x:v>
      </x:c>
      <x:c r="R564" s="34" t="n">
        <x:v>53.2</x:v>
      </x:c>
      <x:c r="S564" s="40" t="b">
        <x:v>1</x:v>
      </x:c>
      <x:c r="T564" s="34" t="str">
        <x:v>model_interpolation</x:v>
      </x:c>
      <x:c r="U564" s="34" t="str">
        <x:v>Linear interpolation from 2030 to 2035</x:v>
      </x:c>
      <x:c r="V564" s="34" t="str">
        <x:v>CAND-97FAAFFD87E907</x:v>
      </x:c>
      <x:c r="W564" s="34" t="str">
        <x:v>P1</x:v>
      </x:c>
      <x:c r="X564" s="34" t="str">
        <x:v>PORT-160DD6C4A97F</x:v>
      </x:c>
      <x:c r="Y564" s="34" t="n">
        <x:v>1000</x:v>
      </x:c>
      <x:c r="Z564" s="34" t="n">
        <x:v>33.662008</x:v>
      </x:c>
      <x:c r="AA564" s="34" t="n">
        <x:v>17.592369</x:v>
      </x:c>
      <x:c r="AB564" s="34" t="n">
        <x:v>442.153947</x:v>
      </x:c>
      <x:c r="AC564" s="34" t="n">
        <x:v>14258.889</x:v>
      </x:c>
      <x:c r="AD564" s="34" t="n">
        <x:v>32.248699</x:v>
      </x:c>
      <x:c r="AE564" s="40" t="b">
        <x:v>1</x:v>
      </x:c>
      <x:c r="AF564" s="40" t="b">
        <x:v>1</x:v>
      </x:c>
      <x:c r="AG564" s="34" t="str"/>
      <x:c r="AH564" s="34" t="n">
        <x:v>0</x:v>
      </x:c>
      <x:c r="AI564" s="34" t="str">
        <x:v>3.446647212967946e-06</x:v>
      </x:c>
      <x:c r="AJ564" s="40" t="b">
        <x:v>1</x:v>
      </x:c>
      <x:c r="AK564" s="40" t="b">
        <x:v>1</x:v>
      </x:c>
      <x:c r="AL564" s="40" t="b">
        <x:v>1</x:v>
      </x:c>
      <x:c r="AM564" s="40" t="b">
        <x:v>1</x:v>
      </x:c>
      <x:c r="AN564" s="34" t="str"/>
      <x:c r="AO564" s="34" t="n">
        <x:v>0</x:v>
      </x:c>
      <x:c r="AP564" s="34" t="n">
        <x:v>0</x:v>
      </x:c>
      <x:c r="AQ564" s="34" t="n">
        <x:v>0</x:v>
      </x:c>
      <x:c r="AR564" s="34" t="n">
        <x:v>2</x:v>
      </x:c>
      <x:c r="AS564" s="34" t="n">
        <x:v>2</x:v>
      </x:c>
      <x:c r="AT564" s="34" t="n">
        <x:v>0.41255777279999983</x:v>
      </x:c>
      <x:c r="AU564" s="34" t="n">
        <x:v>0.65</x:v>
      </x:c>
      <x:c r="AV564" s="34" t="n">
        <x:v>1.68</x:v>
      </x:c>
    </x:row>
    <x:row r="565">
      <x:c r="A565" s="34" t="str">
        <x:v>NIPPON_STEEL_JP</x:v>
      </x:c>
      <x:c r="B565" s="34" t="str">
        <x:v>Nippon Steel</x:v>
      </x:c>
      <x:c r="C565" s="34" t="str">
        <x:v>ACCELERATED_15C</x:v>
      </x:c>
      <x:c r="D565" s="34" t="str">
        <x:v>P1</x:v>
      </x:c>
      <x:c r="E565" s="34" t="n">
        <x:v>2034</x:v>
      </x:c>
      <x:c r="F565" s="34" t="n">
        <x:v>3</x:v>
      </x:c>
      <x:c r="G565" s="34" t="n">
        <x:v>20.159999</x:v>
      </x:c>
      <x:c r="H565" s="34" t="n">
        <x:v>21.4</x:v>
      </x:c>
      <x:c r="I565" s="34" t="n">
        <x:v>1.240001</x:v>
      </x:c>
      <x:c r="J565" s="34" t="n">
        <x:v>94.206</x:v>
      </x:c>
      <x:c r="K565" s="34" t="n">
        <x:v>0</x:v>
      </x:c>
      <x:c r="L565" s="34" t="n">
        <x:v>2.18</x:v>
      </x:c>
      <x:c r="M565" s="34" t="n">
        <x:v>2.18</x:v>
      </x:c>
      <x:c r="N565" s="34" t="n">
        <x:v>0</x:v>
      </x:c>
      <x:c r="O565" s="34" t="n">
        <x:v>12.543999</x:v>
      </x:c>
      <x:c r="P565" s="34" t="n">
        <x:v>18</x:v>
      </x:c>
      <x:c r="Q565" s="34" t="n">
        <x:v>5.456001</x:v>
      </x:c>
      <x:c r="R565" s="34" t="n">
        <x:v>69.689</x:v>
      </x:c>
      <x:c r="S565" s="40" t="b">
        <x:v>1</x:v>
      </x:c>
      <x:c r="T565" s="34" t="str">
        <x:v>model_interpolation</x:v>
      </x:c>
      <x:c r="U565" s="34" t="str">
        <x:v>Linear interpolation from 2030 to 2035</x:v>
      </x:c>
      <x:c r="V565" s="34" t="str">
        <x:v>CAND-97FAAFFD87E907</x:v>
      </x:c>
      <x:c r="W565" s="34" t="str">
        <x:v>P1</x:v>
      </x:c>
      <x:c r="X565" s="34" t="str">
        <x:v>PORT-160DD6C4A97F</x:v>
      </x:c>
      <x:c r="Y565" s="34" t="n">
        <x:v>1000</x:v>
      </x:c>
      <x:c r="Z565" s="34" t="n">
        <x:v>33.662008</x:v>
      </x:c>
      <x:c r="AA565" s="34" t="n">
        <x:v>17.592369</x:v>
      </x:c>
      <x:c r="AB565" s="34" t="n">
        <x:v>442.153947</x:v>
      </x:c>
      <x:c r="AC565" s="34" t="n">
        <x:v>14258.889</x:v>
      </x:c>
      <x:c r="AD565" s="34" t="n">
        <x:v>32.248699</x:v>
      </x:c>
      <x:c r="AE565" s="40" t="b">
        <x:v>1</x:v>
      </x:c>
      <x:c r="AF565" s="40" t="b">
        <x:v>1</x:v>
      </x:c>
      <x:c r="AG565" s="34" t="str"/>
      <x:c r="AH565" s="34" t="n">
        <x:v>0</x:v>
      </x:c>
      <x:c r="AI565" s="34" t="str">
        <x:v>3.446647212967946e-06</x:v>
      </x:c>
      <x:c r="AJ565" s="40" t="b">
        <x:v>1</x:v>
      </x:c>
      <x:c r="AK565" s="40" t="b">
        <x:v>1</x:v>
      </x:c>
      <x:c r="AL565" s="40" t="b">
        <x:v>1</x:v>
      </x:c>
      <x:c r="AM565" s="40" t="b">
        <x:v>1</x:v>
      </x:c>
      <x:c r="AN565" s="34" t="str"/>
      <x:c r="AO565" s="34" t="n">
        <x:v>0</x:v>
      </x:c>
      <x:c r="AP565" s="34" t="n">
        <x:v>0</x:v>
      </x:c>
      <x:c r="AQ565" s="34" t="n">
        <x:v>0</x:v>
      </x:c>
      <x:c r="AR565" s="34" t="n">
        <x:v>2</x:v>
      </x:c>
      <x:c r="AS565" s="34" t="n">
        <x:v>2</x:v>
      </x:c>
      <x:c r="AT565" s="34" t="n">
        <x:v>0.41255777279999983</x:v>
      </x:c>
      <x:c r="AU565" s="34" t="n">
        <x:v>0.65</x:v>
      </x:c>
      <x:c r="AV565" s="34" t="n">
        <x:v>1.68</x:v>
      </x:c>
    </x:row>
    <x:row r="566">
      <x:c r="A566" s="34" t="str">
        <x:v>NIPPON_STEEL_JP</x:v>
      </x:c>
      <x:c r="B566" s="34" t="str">
        <x:v>Nippon Steel</x:v>
      </x:c>
      <x:c r="C566" s="34" t="str">
        <x:v>ACCELERATED_15C</x:v>
      </x:c>
      <x:c r="D566" s="34" t="str">
        <x:v>P1</x:v>
      </x:c>
      <x:c r="E566" s="34" t="n">
        <x:v>2035</x:v>
      </x:c>
      <x:c r="F566" s="34" t="n">
        <x:v>3</x:v>
      </x:c>
      <x:c r="G566" s="34" t="n">
        <x:v>20.159999</x:v>
      </x:c>
      <x:c r="H566" s="34" t="n">
        <x:v>23</x:v>
      </x:c>
      <x:c r="I566" s="34" t="n">
        <x:v>2.840001</x:v>
      </x:c>
      <x:c r="J566" s="34" t="n">
        <x:v>87.652</x:v>
      </x:c>
      <x:c r="K566" s="34" t="n">
        <x:v>0</x:v>
      </x:c>
      <x:c r="L566" s="34" t="n">
        <x:v>2.5</x:v>
      </x:c>
      <x:c r="M566" s="34" t="n">
        <x:v>2.5</x:v>
      </x:c>
      <x:c r="N566" s="34" t="n">
        <x:v>0</x:v>
      </x:c>
      <x:c r="O566" s="34" t="n">
        <x:v>12.543999</x:v>
      </x:c>
      <x:c r="P566" s="34" t="n">
        <x:v>20</x:v>
      </x:c>
      <x:c r="Q566" s="34" t="n">
        <x:v>7.456001</x:v>
      </x:c>
      <x:c r="R566" s="34" t="n">
        <x:v>62.72</x:v>
      </x:c>
      <x:c r="S566" s="40" t="b">
        <x:v>1</x:v>
      </x:c>
      <x:c r="T566" s="34" t="str">
        <x:v>model_interpolation</x:v>
      </x:c>
      <x:c r="U566" s="34" t="str">
        <x:v>Linear interpolation from 2035 to 2040</x:v>
      </x:c>
      <x:c r="V566" s="34" t="str">
        <x:v>CAND-97FAAFFD87E907</x:v>
      </x:c>
      <x:c r="W566" s="34" t="str">
        <x:v>P1</x:v>
      </x:c>
      <x:c r="X566" s="34" t="str">
        <x:v>PORT-160DD6C4A97F</x:v>
      </x:c>
      <x:c r="Y566" s="34" t="n">
        <x:v>1000</x:v>
      </x:c>
      <x:c r="Z566" s="34" t="n">
        <x:v>33.662008</x:v>
      </x:c>
      <x:c r="AA566" s="34" t="n">
        <x:v>17.592369</x:v>
      </x:c>
      <x:c r="AB566" s="34" t="n">
        <x:v>442.153947</x:v>
      </x:c>
      <x:c r="AC566" s="34" t="n">
        <x:v>14258.889</x:v>
      </x:c>
      <x:c r="AD566" s="34" t="n">
        <x:v>32.248699</x:v>
      </x:c>
      <x:c r="AE566" s="40" t="b">
        <x:v>1</x:v>
      </x:c>
      <x:c r="AF566" s="40" t="b">
        <x:v>1</x:v>
      </x:c>
      <x:c r="AG566" s="34" t="str"/>
      <x:c r="AH566" s="34" t="n">
        <x:v>0</x:v>
      </x:c>
      <x:c r="AI566" s="34" t="str">
        <x:v>3.446647212967946e-06</x:v>
      </x:c>
      <x:c r="AJ566" s="40" t="b">
        <x:v>1</x:v>
      </x:c>
      <x:c r="AK566" s="40" t="b">
        <x:v>1</x:v>
      </x:c>
      <x:c r="AL566" s="40" t="b">
        <x:v>1</x:v>
      </x:c>
      <x:c r="AM566" s="40" t="b">
        <x:v>1</x:v>
      </x:c>
      <x:c r="AN566" s="34" t="str"/>
      <x:c r="AO566" s="34" t="n">
        <x:v>0</x:v>
      </x:c>
      <x:c r="AP566" s="34" t="n">
        <x:v>0</x:v>
      </x:c>
      <x:c r="AQ566" s="34" t="n">
        <x:v>0</x:v>
      </x:c>
      <x:c r="AR566" s="34" t="n">
        <x:v>2</x:v>
      </x:c>
      <x:c r="AS566" s="34" t="n">
        <x:v>2</x:v>
      </x:c>
      <x:c r="AT566" s="34" t="n">
        <x:v>0.41255777279999983</x:v>
      </x:c>
      <x:c r="AU566" s="34" t="n">
        <x:v>0.65</x:v>
      </x:c>
      <x:c r="AV566" s="34" t="n">
        <x:v>1.68</x:v>
      </x:c>
    </x:row>
    <x:row r="567">
      <x:c r="A567" s="34" t="str">
        <x:v>NIPPON_STEEL_JP</x:v>
      </x:c>
      <x:c r="B567" s="34" t="str">
        <x:v>Nippon Steel</x:v>
      </x:c>
      <x:c r="C567" s="34" t="str">
        <x:v>ACCELERATED_15C</x:v>
      </x:c>
      <x:c r="D567" s="34" t="str">
        <x:v>P1</x:v>
      </x:c>
      <x:c r="E567" s="34" t="n">
        <x:v>2036</x:v>
      </x:c>
      <x:c r="F567" s="34" t="n">
        <x:v>4</x:v>
      </x:c>
      <x:c r="G567" s="34" t="n">
        <x:v>20.999999</x:v>
      </x:c>
      <x:c r="H567" s="34" t="n">
        <x:v>24.4</x:v>
      </x:c>
      <x:c r="I567" s="34" t="n">
        <x:v>3.400001</x:v>
      </x:c>
      <x:c r="J567" s="34" t="n">
        <x:v>86.066</x:v>
      </x:c>
      <x:c r="K567" s="34" t="n">
        <x:v>0.308</x:v>
      </x:c>
      <x:c r="L567" s="34" t="n">
        <x:v>2.9</x:v>
      </x:c>
      <x:c r="M567" s="34" t="n">
        <x:v>2.592</x:v>
      </x:c>
      <x:c r="N567" s="34" t="n">
        <x:v>10.621</x:v>
      </x:c>
      <x:c r="O567" s="34" t="n">
        <x:v>15.12</x:v>
      </x:c>
      <x:c r="P567" s="34" t="n">
        <x:v>22.4</x:v>
      </x:c>
      <x:c r="Q567" s="34" t="n">
        <x:v>7.28</x:v>
      </x:c>
      <x:c r="R567" s="34" t="n">
        <x:v>67.5</x:v>
      </x:c>
      <x:c r="S567" s="40" t="b">
        <x:v>1</x:v>
      </x:c>
      <x:c r="T567" s="34" t="str">
        <x:v>model_interpolation</x:v>
      </x:c>
      <x:c r="U567" s="34" t="str">
        <x:v>Linear interpolation from 2035 to 2040</x:v>
      </x:c>
      <x:c r="V567" s="34" t="str">
        <x:v>CAND-97FAAFFD87E907</x:v>
      </x:c>
      <x:c r="W567" s="34" t="str">
        <x:v>P1</x:v>
      </x:c>
      <x:c r="X567" s="34" t="str">
        <x:v>PORT-160DD6C4A97F</x:v>
      </x:c>
      <x:c r="Y567" s="34" t="n">
        <x:v>1000</x:v>
      </x:c>
      <x:c r="Z567" s="34" t="n">
        <x:v>33.662008</x:v>
      </x:c>
      <x:c r="AA567" s="34" t="n">
        <x:v>17.592369</x:v>
      </x:c>
      <x:c r="AB567" s="34" t="n">
        <x:v>442.153947</x:v>
      </x:c>
      <x:c r="AC567" s="34" t="n">
        <x:v>14258.889</x:v>
      </x:c>
      <x:c r="AD567" s="34" t="n">
        <x:v>32.248699</x:v>
      </x:c>
      <x:c r="AE567" s="40" t="b">
        <x:v>1</x:v>
      </x:c>
      <x:c r="AF567" s="40" t="b">
        <x:v>1</x:v>
      </x:c>
      <x:c r="AG567" s="34" t="str"/>
      <x:c r="AH567" s="34" t="n">
        <x:v>0</x:v>
      </x:c>
      <x:c r="AI567" s="34" t="str">
        <x:v>3.446647212967946e-06</x:v>
      </x:c>
      <x:c r="AJ567" s="40" t="b">
        <x:v>1</x:v>
      </x:c>
      <x:c r="AK567" s="40" t="b">
        <x:v>1</x:v>
      </x:c>
      <x:c r="AL567" s="40" t="b">
        <x:v>1</x:v>
      </x:c>
      <x:c r="AM567" s="40" t="b">
        <x:v>1</x:v>
      </x:c>
      <x:c r="AN567" s="34" t="str"/>
      <x:c r="AO567" s="34" t="n">
        <x:v>0</x:v>
      </x:c>
      <x:c r="AP567" s="34" t="n">
        <x:v>0</x:v>
      </x:c>
      <x:c r="AQ567" s="34" t="n">
        <x:v>0</x:v>
      </x:c>
      <x:c r="AR567" s="34" t="n">
        <x:v>2</x:v>
      </x:c>
      <x:c r="AS567" s="34" t="n">
        <x:v>2</x:v>
      </x:c>
      <x:c r="AT567" s="34" t="n">
        <x:v>0.41255777279999983</x:v>
      </x:c>
      <x:c r="AU567" s="34" t="n">
        <x:v>0.65</x:v>
      </x:c>
      <x:c r="AV567" s="34" t="n">
        <x:v>1.68</x:v>
      </x:c>
    </x:row>
    <x:row r="568">
      <x:c r="A568" s="34" t="str">
        <x:v>NIPPON_STEEL_JP</x:v>
      </x:c>
      <x:c r="B568" s="34" t="str">
        <x:v>Nippon Steel</x:v>
      </x:c>
      <x:c r="C568" s="34" t="str">
        <x:v>ACCELERATED_15C</x:v>
      </x:c>
      <x:c r="D568" s="34" t="str">
        <x:v>P1</x:v>
      </x:c>
      <x:c r="E568" s="34" t="n">
        <x:v>2037</x:v>
      </x:c>
      <x:c r="F568" s="34" t="n">
        <x:v>4</x:v>
      </x:c>
      <x:c r="G568" s="34" t="n">
        <x:v>20.999999</x:v>
      </x:c>
      <x:c r="H568" s="34" t="n">
        <x:v>25.8</x:v>
      </x:c>
      <x:c r="I568" s="34" t="n">
        <x:v>4.800001</x:v>
      </x:c>
      <x:c r="J568" s="34" t="n">
        <x:v>81.395</x:v>
      </x:c>
      <x:c r="K568" s="34" t="n">
        <x:v>0.308</x:v>
      </x:c>
      <x:c r="L568" s="34" t="n">
        <x:v>3.3</x:v>
      </x:c>
      <x:c r="M568" s="34" t="n">
        <x:v>2.992</x:v>
      </x:c>
      <x:c r="N568" s="34" t="n">
        <x:v>9.333</x:v>
      </x:c>
      <x:c r="O568" s="34" t="n">
        <x:v>15.12</x:v>
      </x:c>
      <x:c r="P568" s="34" t="n">
        <x:v>24.8</x:v>
      </x:c>
      <x:c r="Q568" s="34" t="n">
        <x:v>9.68</x:v>
      </x:c>
      <x:c r="R568" s="34" t="n">
        <x:v>60.968</x:v>
      </x:c>
      <x:c r="S568" s="40" t="b">
        <x:v>1</x:v>
      </x:c>
      <x:c r="T568" s="34" t="str">
        <x:v>model_interpolation</x:v>
      </x:c>
      <x:c r="U568" s="34" t="str">
        <x:v>Linear interpolation from 2035 to 2040</x:v>
      </x:c>
      <x:c r="V568" s="34" t="str">
        <x:v>CAND-97FAAFFD87E907</x:v>
      </x:c>
      <x:c r="W568" s="34" t="str">
        <x:v>P1</x:v>
      </x:c>
      <x:c r="X568" s="34" t="str">
        <x:v>PORT-160DD6C4A97F</x:v>
      </x:c>
      <x:c r="Y568" s="34" t="n">
        <x:v>1000</x:v>
      </x:c>
      <x:c r="Z568" s="34" t="n">
        <x:v>33.662008</x:v>
      </x:c>
      <x:c r="AA568" s="34" t="n">
        <x:v>17.592369</x:v>
      </x:c>
      <x:c r="AB568" s="34" t="n">
        <x:v>442.153947</x:v>
      </x:c>
      <x:c r="AC568" s="34" t="n">
        <x:v>14258.889</x:v>
      </x:c>
      <x:c r="AD568" s="34" t="n">
        <x:v>32.248699</x:v>
      </x:c>
      <x:c r="AE568" s="40" t="b">
        <x:v>1</x:v>
      </x:c>
      <x:c r="AF568" s="40" t="b">
        <x:v>1</x:v>
      </x:c>
      <x:c r="AG568" s="34" t="str"/>
      <x:c r="AH568" s="34" t="n">
        <x:v>0</x:v>
      </x:c>
      <x:c r="AI568" s="34" t="str">
        <x:v>3.446647212967946e-06</x:v>
      </x:c>
      <x:c r="AJ568" s="40" t="b">
        <x:v>1</x:v>
      </x:c>
      <x:c r="AK568" s="40" t="b">
        <x:v>1</x:v>
      </x:c>
      <x:c r="AL568" s="40" t="b">
        <x:v>1</x:v>
      </x:c>
      <x:c r="AM568" s="40" t="b">
        <x:v>1</x:v>
      </x:c>
      <x:c r="AN568" s="34" t="str"/>
      <x:c r="AO568" s="34" t="n">
        <x:v>0</x:v>
      </x:c>
      <x:c r="AP568" s="34" t="n">
        <x:v>0</x:v>
      </x:c>
      <x:c r="AQ568" s="34" t="n">
        <x:v>0</x:v>
      </x:c>
      <x:c r="AR568" s="34" t="n">
        <x:v>2</x:v>
      </x:c>
      <x:c r="AS568" s="34" t="n">
        <x:v>2</x:v>
      </x:c>
      <x:c r="AT568" s="34" t="n">
        <x:v>0.41255777279999983</x:v>
      </x:c>
      <x:c r="AU568" s="34" t="n">
        <x:v>0.65</x:v>
      </x:c>
      <x:c r="AV568" s="34" t="n">
        <x:v>1.68</x:v>
      </x:c>
    </x:row>
    <x:row r="569">
      <x:c r="A569" s="34" t="str">
        <x:v>NIPPON_STEEL_JP</x:v>
      </x:c>
      <x:c r="B569" s="34" t="str">
        <x:v>Nippon Steel</x:v>
      </x:c>
      <x:c r="C569" s="34" t="str">
        <x:v>ACCELERATED_15C</x:v>
      </x:c>
      <x:c r="D569" s="34" t="str">
        <x:v>P1</x:v>
      </x:c>
      <x:c r="E569" s="34" t="n">
        <x:v>2038</x:v>
      </x:c>
      <x:c r="F569" s="34" t="n">
        <x:v>5</x:v>
      </x:c>
      <x:c r="G569" s="34" t="n">
        <x:v>26.669999</x:v>
      </x:c>
      <x:c r="H569" s="34" t="n">
        <x:v>27.2</x:v>
      </x:c>
      <x:c r="I569" s="34" t="n">
        <x:v>0.530001</x:v>
      </x:c>
      <x:c r="J569" s="34" t="n">
        <x:v>98.051</x:v>
      </x:c>
      <x:c r="K569" s="34" t="n">
        <x:v>0.308</x:v>
      </x:c>
      <x:c r="L569" s="34" t="n">
        <x:v>3.7</x:v>
      </x:c>
      <x:c r="M569" s="34" t="n">
        <x:v>3.392</x:v>
      </x:c>
      <x:c r="N569" s="34" t="n">
        <x:v>8.324</x:v>
      </x:c>
      <x:c r="O569" s="34" t="n">
        <x:v>18.648</x:v>
      </x:c>
      <x:c r="P569" s="34" t="n">
        <x:v>27.2</x:v>
      </x:c>
      <x:c r="Q569" s="34" t="n">
        <x:v>8.552</x:v>
      </x:c>
      <x:c r="R569" s="34" t="n">
        <x:v>68.559</x:v>
      </x:c>
      <x:c r="S569" s="40" t="b">
        <x:v>1</x:v>
      </x:c>
      <x:c r="T569" s="34" t="str">
        <x:v>model_interpolation</x:v>
      </x:c>
      <x:c r="U569" s="34" t="str">
        <x:v>Linear interpolation from 2035 to 2040</x:v>
      </x:c>
      <x:c r="V569" s="34" t="str">
        <x:v>CAND-97FAAFFD87E907</x:v>
      </x:c>
      <x:c r="W569" s="34" t="str">
        <x:v>P1</x:v>
      </x:c>
      <x:c r="X569" s="34" t="str">
        <x:v>PORT-160DD6C4A97F</x:v>
      </x:c>
      <x:c r="Y569" s="34" t="n">
        <x:v>1000</x:v>
      </x:c>
      <x:c r="Z569" s="34" t="n">
        <x:v>33.662008</x:v>
      </x:c>
      <x:c r="AA569" s="34" t="n">
        <x:v>17.592369</x:v>
      </x:c>
      <x:c r="AB569" s="34" t="n">
        <x:v>442.153947</x:v>
      </x:c>
      <x:c r="AC569" s="34" t="n">
        <x:v>14258.889</x:v>
      </x:c>
      <x:c r="AD569" s="34" t="n">
        <x:v>32.248699</x:v>
      </x:c>
      <x:c r="AE569" s="40" t="b">
        <x:v>1</x:v>
      </x:c>
      <x:c r="AF569" s="40" t="b">
        <x:v>1</x:v>
      </x:c>
      <x:c r="AG569" s="34" t="str"/>
      <x:c r="AH569" s="34" t="n">
        <x:v>0</x:v>
      </x:c>
      <x:c r="AI569" s="34" t="str">
        <x:v>3.446647212967946e-06</x:v>
      </x:c>
      <x:c r="AJ569" s="40" t="b">
        <x:v>1</x:v>
      </x:c>
      <x:c r="AK569" s="40" t="b">
        <x:v>1</x:v>
      </x:c>
      <x:c r="AL569" s="40" t="b">
        <x:v>1</x:v>
      </x:c>
      <x:c r="AM569" s="40" t="b">
        <x:v>1</x:v>
      </x:c>
      <x:c r="AN569" s="34" t="str"/>
      <x:c r="AO569" s="34" t="n">
        <x:v>0</x:v>
      </x:c>
      <x:c r="AP569" s="34" t="n">
        <x:v>0</x:v>
      </x:c>
      <x:c r="AQ569" s="34" t="n">
        <x:v>0</x:v>
      </x:c>
      <x:c r="AR569" s="34" t="n">
        <x:v>2</x:v>
      </x:c>
      <x:c r="AS569" s="34" t="n">
        <x:v>2</x:v>
      </x:c>
      <x:c r="AT569" s="34" t="n">
        <x:v>0.41255777279999983</x:v>
      </x:c>
      <x:c r="AU569" s="34" t="n">
        <x:v>0.65</x:v>
      </x:c>
      <x:c r="AV569" s="34" t="n">
        <x:v>1.68</x:v>
      </x:c>
    </x:row>
    <x:row r="570">
      <x:c r="A570" s="34" t="str">
        <x:v>NIPPON_STEEL_JP</x:v>
      </x:c>
      <x:c r="B570" s="34" t="str">
        <x:v>Nippon Steel</x:v>
      </x:c>
      <x:c r="C570" s="34" t="str">
        <x:v>ACCELERATED_15C</x:v>
      </x:c>
      <x:c r="D570" s="34" t="str">
        <x:v>P1</x:v>
      </x:c>
      <x:c r="E570" s="34" t="n">
        <x:v>2039</x:v>
      </x:c>
      <x:c r="F570" s="34" t="n">
        <x:v>5</x:v>
      </x:c>
      <x:c r="G570" s="34" t="n">
        <x:v>26.669999</x:v>
      </x:c>
      <x:c r="H570" s="34" t="n">
        <x:v>28.6</x:v>
      </x:c>
      <x:c r="I570" s="34" t="n">
        <x:v>1.930001</x:v>
      </x:c>
      <x:c r="J570" s="34" t="n">
        <x:v>93.252</x:v>
      </x:c>
      <x:c r="K570" s="34" t="n">
        <x:v>0.308</x:v>
      </x:c>
      <x:c r="L570" s="34" t="n">
        <x:v>4.1</x:v>
      </x:c>
      <x:c r="M570" s="34" t="n">
        <x:v>3.792</x:v>
      </x:c>
      <x:c r="N570" s="34" t="n">
        <x:v>7.512</x:v>
      </x:c>
      <x:c r="O570" s="34" t="n">
        <x:v>18.648</x:v>
      </x:c>
      <x:c r="P570" s="34" t="n">
        <x:v>29.6</x:v>
      </x:c>
      <x:c r="Q570" s="34" t="n">
        <x:v>10.952</x:v>
      </x:c>
      <x:c r="R570" s="34" t="n">
        <x:v>63</x:v>
      </x:c>
      <x:c r="S570" s="40" t="b">
        <x:v>1</x:v>
      </x:c>
      <x:c r="T570" s="34" t="str">
        <x:v>model_interpolation</x:v>
      </x:c>
      <x:c r="U570" s="34" t="str">
        <x:v>Linear interpolation from 2035 to 2040</x:v>
      </x:c>
      <x:c r="V570" s="34" t="str">
        <x:v>CAND-97FAAFFD87E907</x:v>
      </x:c>
      <x:c r="W570" s="34" t="str">
        <x:v>P1</x:v>
      </x:c>
      <x:c r="X570" s="34" t="str">
        <x:v>PORT-160DD6C4A97F</x:v>
      </x:c>
      <x:c r="Y570" s="34" t="n">
        <x:v>1000</x:v>
      </x:c>
      <x:c r="Z570" s="34" t="n">
        <x:v>33.662008</x:v>
      </x:c>
      <x:c r="AA570" s="34" t="n">
        <x:v>17.592369</x:v>
      </x:c>
      <x:c r="AB570" s="34" t="n">
        <x:v>442.153947</x:v>
      </x:c>
      <x:c r="AC570" s="34" t="n">
        <x:v>14258.889</x:v>
      </x:c>
      <x:c r="AD570" s="34" t="n">
        <x:v>32.248699</x:v>
      </x:c>
      <x:c r="AE570" s="40" t="b">
        <x:v>1</x:v>
      </x:c>
      <x:c r="AF570" s="40" t="b">
        <x:v>1</x:v>
      </x:c>
      <x:c r="AG570" s="34" t="str"/>
      <x:c r="AH570" s="34" t="n">
        <x:v>0</x:v>
      </x:c>
      <x:c r="AI570" s="34" t="str">
        <x:v>3.446647212967946e-06</x:v>
      </x:c>
      <x:c r="AJ570" s="40" t="b">
        <x:v>1</x:v>
      </x:c>
      <x:c r="AK570" s="40" t="b">
        <x:v>1</x:v>
      </x:c>
      <x:c r="AL570" s="40" t="b">
        <x:v>1</x:v>
      </x:c>
      <x:c r="AM570" s="40" t="b">
        <x:v>1</x:v>
      </x:c>
      <x:c r="AN570" s="34" t="str"/>
      <x:c r="AO570" s="34" t="n">
        <x:v>0</x:v>
      </x:c>
      <x:c r="AP570" s="34" t="n">
        <x:v>0</x:v>
      </x:c>
      <x:c r="AQ570" s="34" t="n">
        <x:v>0</x:v>
      </x:c>
      <x:c r="AR570" s="34" t="n">
        <x:v>2</x:v>
      </x:c>
      <x:c r="AS570" s="34" t="n">
        <x:v>2</x:v>
      </x:c>
      <x:c r="AT570" s="34" t="n">
        <x:v>0.41255777279999983</x:v>
      </x:c>
      <x:c r="AU570" s="34" t="n">
        <x:v>0.65</x:v>
      </x:c>
      <x:c r="AV570" s="34" t="n">
        <x:v>1.68</x:v>
      </x:c>
    </x:row>
    <x:row r="571">
      <x:c r="A571" s="34" t="str">
        <x:v>NIPPON_STEEL_JP</x:v>
      </x:c>
      <x:c r="B571" s="34" t="str">
        <x:v>Nippon Steel</x:v>
      </x:c>
      <x:c r="C571" s="34" t="str">
        <x:v>ACCELERATED_15C</x:v>
      </x:c>
      <x:c r="D571" s="34" t="str">
        <x:v>P1</x:v>
      </x:c>
      <x:c r="E571" s="34" t="n">
        <x:v>2040</x:v>
      </x:c>
      <x:c r="F571" s="34" t="n">
        <x:v>5</x:v>
      </x:c>
      <x:c r="G571" s="34" t="n">
        <x:v>26.669999</x:v>
      </x:c>
      <x:c r="H571" s="34" t="n">
        <x:v>30</x:v>
      </x:c>
      <x:c r="I571" s="34" t="n">
        <x:v>3.330001</x:v>
      </x:c>
      <x:c r="J571" s="34" t="n">
        <x:v>88.9</x:v>
      </x:c>
      <x:c r="K571" s="34" t="n">
        <x:v>0.308</x:v>
      </x:c>
      <x:c r="L571" s="34" t="n">
        <x:v>4.5</x:v>
      </x:c>
      <x:c r="M571" s="34" t="n">
        <x:v>4.192</x:v>
      </x:c>
      <x:c r="N571" s="34" t="n">
        <x:v>6.844</x:v>
      </x:c>
      <x:c r="O571" s="34" t="n">
        <x:v>18.648</x:v>
      </x:c>
      <x:c r="P571" s="34" t="n">
        <x:v>32</x:v>
      </x:c>
      <x:c r="Q571" s="34" t="n">
        <x:v>13.352</x:v>
      </x:c>
      <x:c r="R571" s="34" t="n">
        <x:v>58.275</x:v>
      </x:c>
      <x:c r="S571" s="40" t="b">
        <x:v>1</x:v>
      </x:c>
      <x:c r="T571" s="34" t="str">
        <x:v>model_estimate</x:v>
      </x:c>
      <x:c r="U571" s="34" t="str">
        <x:v>Illustrative accelerated envelope; not GCAM or an official supply forecast</x:v>
      </x:c>
      <x:c r="V571" s="34" t="str">
        <x:v>CAND-97FAAFFD87E907</x:v>
      </x:c>
      <x:c r="W571" s="34" t="str">
        <x:v>P1</x:v>
      </x:c>
      <x:c r="X571" s="34" t="str">
        <x:v>PORT-160DD6C4A97F</x:v>
      </x:c>
      <x:c r="Y571" s="34" t="n">
        <x:v>1000</x:v>
      </x:c>
      <x:c r="Z571" s="34" t="n">
        <x:v>33.662008</x:v>
      </x:c>
      <x:c r="AA571" s="34" t="n">
        <x:v>17.592369</x:v>
      </x:c>
      <x:c r="AB571" s="34" t="n">
        <x:v>442.153947</x:v>
      </x:c>
      <x:c r="AC571" s="34" t="n">
        <x:v>14258.889</x:v>
      </x:c>
      <x:c r="AD571" s="34" t="n">
        <x:v>32.248699</x:v>
      </x:c>
      <x:c r="AE571" s="40" t="b">
        <x:v>1</x:v>
      </x:c>
      <x:c r="AF571" s="40" t="b">
        <x:v>1</x:v>
      </x:c>
      <x:c r="AG571" s="34" t="str"/>
      <x:c r="AH571" s="34" t="n">
        <x:v>0</x:v>
      </x:c>
      <x:c r="AI571" s="34" t="str">
        <x:v>3.446647212967946e-06</x:v>
      </x:c>
      <x:c r="AJ571" s="40" t="b">
        <x:v>1</x:v>
      </x:c>
      <x:c r="AK571" s="40" t="b">
        <x:v>1</x:v>
      </x:c>
      <x:c r="AL571" s="40" t="b">
        <x:v>1</x:v>
      </x:c>
      <x:c r="AM571" s="40" t="b">
        <x:v>1</x:v>
      </x:c>
      <x:c r="AN571" s="34" t="str"/>
      <x:c r="AO571" s="34" t="n">
        <x:v>0</x:v>
      </x:c>
      <x:c r="AP571" s="34" t="n">
        <x:v>0</x:v>
      </x:c>
      <x:c r="AQ571" s="34" t="n">
        <x:v>0</x:v>
      </x:c>
      <x:c r="AR571" s="34" t="n">
        <x:v>2</x:v>
      </x:c>
      <x:c r="AS571" s="34" t="n">
        <x:v>2</x:v>
      </x:c>
      <x:c r="AT571" s="34" t="n">
        <x:v>0.41255777279999983</x:v>
      </x:c>
      <x:c r="AU571" s="34" t="n">
        <x:v>0.65</x:v>
      </x:c>
      <x:c r="AV571" s="34" t="n">
        <x:v>1.68</x:v>
      </x:c>
    </x:row>
    <x:row r="572">
      <x:c r="A572" s="34" t="str">
        <x:v>KOBE_STEEL_JP</x:v>
      </x:c>
      <x:c r="B572" s="34" t="str">
        <x:v>Kobe Steel</x:v>
      </x:c>
      <x:c r="C572" s="34" t="str">
        <x:v>DISCLOSED_PATH</x:v>
      </x:c>
      <x:c r="D572" s="34" t="str">
        <x:v>P3</x:v>
      </x:c>
      <x:c r="E572" s="34" t="n">
        <x:v>2026</x:v>
      </x:c>
      <x:c r="F572" s="34" t="n">
        <x:v>0</x:v>
      </x:c>
      <x:c r="G572" s="34" t="n">
        <x:v>0</x:v>
      </x:c>
      <x:c r="H572" s="34" t="n">
        <x:v>2</x:v>
      </x:c>
      <x:c r="I572" s="34" t="n">
        <x:v>2</x:v>
      </x:c>
      <x:c r="J572" s="34" t="n">
        <x:v>0</x:v>
      </x:c>
      <x:c r="K572" s="34" t="n">
        <x:v>0</x:v>
      </x:c>
      <x:c r="L572" s="34" t="n">
        <x:v>0</x:v>
      </x:c>
      <x:c r="M572" s="34" t="n">
        <x:v>0</x:v>
      </x:c>
      <x:c r="N572" s="34" t="n">
        <x:v>0</x:v>
      </x:c>
      <x:c r="O572" s="34" t="n">
        <x:v>0</x:v>
      </x:c>
      <x:c r="P572" s="34" t="n">
        <x:v>0.8</x:v>
      </x:c>
      <x:c r="Q572" s="34" t="n">
        <x:v>0.8</x:v>
      </x:c>
      <x:c r="R572" s="34" t="n">
        <x:v>0</x:v>
      </x:c>
      <x:c r="S572" s="40" t="b">
        <x:v>1</x:v>
      </x:c>
      <x:c r="T572" s="34" t="str">
        <x:v>model_interpolation</x:v>
      </x:c>
      <x:c r="U572" s="34" t="str">
        <x:v>Linear interpolation from 2026 to 2030</x:v>
      </x:c>
      <x:c r="V572" s="34" t="str">
        <x:v>CAND-9DD8DD0C56A40D</x:v>
      </x:c>
      <x:c r="W572" s="34" t="str">
        <x:v>P3</x:v>
      </x:c>
      <x:c r="X572" s="34" t="str">
        <x:v>PORT-8384667F6B8E</x:v>
      </x:c>
      <x:c r="Y572" s="34" t="n">
        <x:v>1000</x:v>
      </x:c>
      <x:c r="Z572" s="34" t="n">
        <x:v>52.648848</x:v>
      </x:c>
      <x:c r="AA572" s="34" t="n">
        <x:v>13.124199</x:v>
      </x:c>
      <x:c r="AB572" s="34" t="n">
        <x:v>96.451092</x:v>
      </x:c>
      <x:c r="AC572" s="34" t="n">
        <x:v>4978.625</x:v>
      </x:c>
      <x:c r="AD572" s="34" t="n">
        <x:v>51.618125</x:v>
      </x:c>
      <x:c r="AE572" s="40" t="b">
        <x:v>1</x:v>
      </x:c>
      <x:c r="AF572" s="40" t="b">
        <x:v>1</x:v>
      </x:c>
      <x:c r="AG572" s="34" t="str"/>
      <x:c r="AH572" s="34" t="n">
        <x:v>0</x:v>
      </x:c>
      <x:c r="AI572" s="34" t="str">
        <x:v>9.990856690045291e-05</x:v>
      </x:c>
      <x:c r="AJ572" s="40" t="b">
        <x:v>1</x:v>
      </x:c>
      <x:c r="AK572" s="40" t="b">
        <x:v>1</x:v>
      </x:c>
      <x:c r="AL572" s="40" t="b">
        <x:v>1</x:v>
      </x:c>
      <x:c r="AM572" s="40" t="b">
        <x:v>1</x:v>
      </x:c>
      <x:c r="AN572" s="34" t="str"/>
      <x:c r="AO572" s="34" t="n">
        <x:v>0</x:v>
      </x:c>
      <x:c r="AP572" s="34" t="n">
        <x:v>0</x:v>
      </x:c>
      <x:c r="AQ572" s="34" t="n">
        <x:v>0</x:v>
      </x:c>
      <x:c r="AR572" s="34" t="n">
        <x:v>1</x:v>
      </x:c>
      <x:c r="AS572" s="34" t="n">
        <x:v>1</x:v>
      </x:c>
      <x:c r="AT572" s="34" t="n">
        <x:v>0.28332</x:v>
      </x:c>
      <x:c r="AU572" s="34" t="n">
        <x:v>0.6</x:v>
      </x:c>
      <x:c r="AV572" s="34" t="n">
        <x:v>1.06</x:v>
      </x:c>
    </x:row>
    <x:row r="573">
      <x:c r="A573" s="34" t="str">
        <x:v>KOBE_STEEL_JP</x:v>
      </x:c>
      <x:c r="B573" s="34" t="str">
        <x:v>Kobe Steel</x:v>
      </x:c>
      <x:c r="C573" s="34" t="str">
        <x:v>DISCLOSED_PATH</x:v>
      </x:c>
      <x:c r="D573" s="34" t="str">
        <x:v>P3</x:v>
      </x:c>
      <x:c r="E573" s="34" t="n">
        <x:v>2027</x:v>
      </x:c>
      <x:c r="F573" s="34" t="n">
        <x:v>0</x:v>
      </x:c>
      <x:c r="G573" s="34" t="n">
        <x:v>0</x:v>
      </x:c>
      <x:c r="H573" s="34" t="n">
        <x:v>2.5</x:v>
      </x:c>
      <x:c r="I573" s="34" t="n">
        <x:v>2.5</x:v>
      </x:c>
      <x:c r="J573" s="34" t="n">
        <x:v>0</x:v>
      </x:c>
      <x:c r="K573" s="34" t="n">
        <x:v>0</x:v>
      </x:c>
      <x:c r="L573" s="34" t="n">
        <x:v>0.075</x:v>
      </x:c>
      <x:c r="M573" s="34" t="n">
        <x:v>0.075</x:v>
      </x:c>
      <x:c r="N573" s="34" t="n">
        <x:v>0</x:v>
      </x:c>
      <x:c r="O573" s="34" t="n">
        <x:v>0</x:v>
      </x:c>
      <x:c r="P573" s="34" t="n">
        <x:v>1.35</x:v>
      </x:c>
      <x:c r="Q573" s="34" t="n">
        <x:v>1.35</x:v>
      </x:c>
      <x:c r="R573" s="34" t="n">
        <x:v>0</x:v>
      </x:c>
      <x:c r="S573" s="40" t="b">
        <x:v>1</x:v>
      </x:c>
      <x:c r="T573" s="34" t="str">
        <x:v>model_interpolation</x:v>
      </x:c>
      <x:c r="U573" s="34" t="str">
        <x:v>Linear interpolation from 2026 to 2030</x:v>
      </x:c>
      <x:c r="V573" s="34" t="str">
        <x:v>CAND-9DD8DD0C56A40D</x:v>
      </x:c>
      <x:c r="W573" s="34" t="str">
        <x:v>P3</x:v>
      </x:c>
      <x:c r="X573" s="34" t="str">
        <x:v>PORT-8384667F6B8E</x:v>
      </x:c>
      <x:c r="Y573" s="34" t="n">
        <x:v>1000</x:v>
      </x:c>
      <x:c r="Z573" s="34" t="n">
        <x:v>52.648848</x:v>
      </x:c>
      <x:c r="AA573" s="34" t="n">
        <x:v>13.124199</x:v>
      </x:c>
      <x:c r="AB573" s="34" t="n">
        <x:v>96.451092</x:v>
      </x:c>
      <x:c r="AC573" s="34" t="n">
        <x:v>4978.625</x:v>
      </x:c>
      <x:c r="AD573" s="34" t="n">
        <x:v>51.618125</x:v>
      </x:c>
      <x:c r="AE573" s="40" t="b">
        <x:v>1</x:v>
      </x:c>
      <x:c r="AF573" s="40" t="b">
        <x:v>1</x:v>
      </x:c>
      <x:c r="AG573" s="34" t="str"/>
      <x:c r="AH573" s="34" t="n">
        <x:v>0</x:v>
      </x:c>
      <x:c r="AI573" s="34" t="str">
        <x:v>9.990856690045291e-05</x:v>
      </x:c>
      <x:c r="AJ573" s="40" t="b">
        <x:v>1</x:v>
      </x:c>
      <x:c r="AK573" s="40" t="b">
        <x:v>1</x:v>
      </x:c>
      <x:c r="AL573" s="40" t="b">
        <x:v>1</x:v>
      </x:c>
      <x:c r="AM573" s="40" t="b">
        <x:v>1</x:v>
      </x:c>
      <x:c r="AN573" s="34" t="str"/>
      <x:c r="AO573" s="34" t="n">
        <x:v>0</x:v>
      </x:c>
      <x:c r="AP573" s="34" t="n">
        <x:v>0</x:v>
      </x:c>
      <x:c r="AQ573" s="34" t="n">
        <x:v>0</x:v>
      </x:c>
      <x:c r="AR573" s="34" t="n">
        <x:v>1</x:v>
      </x:c>
      <x:c r="AS573" s="34" t="n">
        <x:v>1</x:v>
      </x:c>
      <x:c r="AT573" s="34" t="n">
        <x:v>0.28332</x:v>
      </x:c>
      <x:c r="AU573" s="34" t="n">
        <x:v>0.6</x:v>
      </x:c>
      <x:c r="AV573" s="34" t="n">
        <x:v>1.06</x:v>
      </x:c>
    </x:row>
    <x:row r="574">
      <x:c r="A574" s="34" t="str">
        <x:v>KOBE_STEEL_JP</x:v>
      </x:c>
      <x:c r="B574" s="34" t="str">
        <x:v>Kobe Steel</x:v>
      </x:c>
      <x:c r="C574" s="34" t="str">
        <x:v>DISCLOSED_PATH</x:v>
      </x:c>
      <x:c r="D574" s="34" t="str">
        <x:v>P3</x:v>
      </x:c>
      <x:c r="E574" s="34" t="n">
        <x:v>2028</x:v>
      </x:c>
      <x:c r="F574" s="34" t="n">
        <x:v>0</x:v>
      </x:c>
      <x:c r="G574" s="34" t="n">
        <x:v>0</x:v>
      </x:c>
      <x:c r="H574" s="34" t="n">
        <x:v>3</x:v>
      </x:c>
      <x:c r="I574" s="34" t="n">
        <x:v>3</x:v>
      </x:c>
      <x:c r="J574" s="34" t="n">
        <x:v>0</x:v>
      </x:c>
      <x:c r="K574" s="34" t="n">
        <x:v>0</x:v>
      </x:c>
      <x:c r="L574" s="34" t="n">
        <x:v>0.15</x:v>
      </x:c>
      <x:c r="M574" s="34" t="n">
        <x:v>0.15</x:v>
      </x:c>
      <x:c r="N574" s="34" t="n">
        <x:v>0</x:v>
      </x:c>
      <x:c r="O574" s="34" t="n">
        <x:v>0</x:v>
      </x:c>
      <x:c r="P574" s="34" t="n">
        <x:v>1.9000000000000001</x:v>
      </x:c>
      <x:c r="Q574" s="34" t="n">
        <x:v>1.9</x:v>
      </x:c>
      <x:c r="R574" s="34" t="n">
        <x:v>0</x:v>
      </x:c>
      <x:c r="S574" s="40" t="b">
        <x:v>1</x:v>
      </x:c>
      <x:c r="T574" s="34" t="str">
        <x:v>model_interpolation</x:v>
      </x:c>
      <x:c r="U574" s="34" t="str">
        <x:v>Linear interpolation from 2026 to 2030</x:v>
      </x:c>
      <x:c r="V574" s="34" t="str">
        <x:v>CAND-9DD8DD0C56A40D</x:v>
      </x:c>
      <x:c r="W574" s="34" t="str">
        <x:v>P3</x:v>
      </x:c>
      <x:c r="X574" s="34" t="str">
        <x:v>PORT-8384667F6B8E</x:v>
      </x:c>
      <x:c r="Y574" s="34" t="n">
        <x:v>1000</x:v>
      </x:c>
      <x:c r="Z574" s="34" t="n">
        <x:v>52.648848</x:v>
      </x:c>
      <x:c r="AA574" s="34" t="n">
        <x:v>13.124199</x:v>
      </x:c>
      <x:c r="AB574" s="34" t="n">
        <x:v>96.451092</x:v>
      </x:c>
      <x:c r="AC574" s="34" t="n">
        <x:v>4978.625</x:v>
      </x:c>
      <x:c r="AD574" s="34" t="n">
        <x:v>51.618125</x:v>
      </x:c>
      <x:c r="AE574" s="40" t="b">
        <x:v>1</x:v>
      </x:c>
      <x:c r="AF574" s="40" t="b">
        <x:v>1</x:v>
      </x:c>
      <x:c r="AG574" s="34" t="str"/>
      <x:c r="AH574" s="34" t="n">
        <x:v>0</x:v>
      </x:c>
      <x:c r="AI574" s="34" t="str">
        <x:v>9.990856690045291e-05</x:v>
      </x:c>
      <x:c r="AJ574" s="40" t="b">
        <x:v>1</x:v>
      </x:c>
      <x:c r="AK574" s="40" t="b">
        <x:v>1</x:v>
      </x:c>
      <x:c r="AL574" s="40" t="b">
        <x:v>1</x:v>
      </x:c>
      <x:c r="AM574" s="40" t="b">
        <x:v>1</x:v>
      </x:c>
      <x:c r="AN574" s="34" t="str"/>
      <x:c r="AO574" s="34" t="n">
        <x:v>0</x:v>
      </x:c>
      <x:c r="AP574" s="34" t="n">
        <x:v>0</x:v>
      </x:c>
      <x:c r="AQ574" s="34" t="n">
        <x:v>0</x:v>
      </x:c>
      <x:c r="AR574" s="34" t="n">
        <x:v>1</x:v>
      </x:c>
      <x:c r="AS574" s="34" t="n">
        <x:v>1</x:v>
      </x:c>
      <x:c r="AT574" s="34" t="n">
        <x:v>0.28332</x:v>
      </x:c>
      <x:c r="AU574" s="34" t="n">
        <x:v>0.6</x:v>
      </x:c>
      <x:c r="AV574" s="34" t="n">
        <x:v>1.06</x:v>
      </x:c>
    </x:row>
    <x:row r="575">
      <x:c r="A575" s="34" t="str">
        <x:v>KOBE_STEEL_JP</x:v>
      </x:c>
      <x:c r="B575" s="34" t="str">
        <x:v>Kobe Steel</x:v>
      </x:c>
      <x:c r="C575" s="34" t="str">
        <x:v>DISCLOSED_PATH</x:v>
      </x:c>
      <x:c r="D575" s="34" t="str">
        <x:v>P3</x:v>
      </x:c>
      <x:c r="E575" s="34" t="n">
        <x:v>2029</x:v>
      </x:c>
      <x:c r="F575" s="34" t="n">
        <x:v>1</x:v>
      </x:c>
      <x:c r="G575" s="34" t="n">
        <x:v>2.655</x:v>
      </x:c>
      <x:c r="H575" s="34" t="n">
        <x:v>3.5</x:v>
      </x:c>
      <x:c r="I575" s="34" t="n">
        <x:v>0.845</x:v>
      </x:c>
      <x:c r="J575" s="34" t="n">
        <x:v>75.857</x:v>
      </x:c>
      <x:c r="K575" s="34" t="n">
        <x:v>0</x:v>
      </x:c>
      <x:c r="L575" s="34" t="n">
        <x:v>0.22499999999999998</x:v>
      </x:c>
      <x:c r="M575" s="34" t="n">
        <x:v>0.225</x:v>
      </x:c>
      <x:c r="N575" s="34" t="n">
        <x:v>0</x:v>
      </x:c>
      <x:c r="O575" s="34" t="n">
        <x:v>1.652</x:v>
      </x:c>
      <x:c r="P575" s="34" t="n">
        <x:v>2.45</x:v>
      </x:c>
      <x:c r="Q575" s="34" t="n">
        <x:v>0.798</x:v>
      </x:c>
      <x:c r="R575" s="34" t="n">
        <x:v>67.429</x:v>
      </x:c>
      <x:c r="S575" s="40" t="b">
        <x:v>1</x:v>
      </x:c>
      <x:c r="T575" s="34" t="str">
        <x:v>model_interpolation</x:v>
      </x:c>
      <x:c r="U575" s="34" t="str">
        <x:v>Linear interpolation from 2026 to 2030</x:v>
      </x:c>
      <x:c r="V575" s="34" t="str">
        <x:v>CAND-9DD8DD0C56A40D</x:v>
      </x:c>
      <x:c r="W575" s="34" t="str">
        <x:v>P3</x:v>
      </x:c>
      <x:c r="X575" s="34" t="str">
        <x:v>PORT-8384667F6B8E</x:v>
      </x:c>
      <x:c r="Y575" s="34" t="n">
        <x:v>1000</x:v>
      </x:c>
      <x:c r="Z575" s="34" t="n">
        <x:v>52.648848</x:v>
      </x:c>
      <x:c r="AA575" s="34" t="n">
        <x:v>13.124199</x:v>
      </x:c>
      <x:c r="AB575" s="34" t="n">
        <x:v>96.451092</x:v>
      </x:c>
      <x:c r="AC575" s="34" t="n">
        <x:v>4978.625</x:v>
      </x:c>
      <x:c r="AD575" s="34" t="n">
        <x:v>51.618125</x:v>
      </x:c>
      <x:c r="AE575" s="40" t="b">
        <x:v>1</x:v>
      </x:c>
      <x:c r="AF575" s="40" t="b">
        <x:v>1</x:v>
      </x:c>
      <x:c r="AG575" s="34" t="str"/>
      <x:c r="AH575" s="34" t="n">
        <x:v>0</x:v>
      </x:c>
      <x:c r="AI575" s="34" t="str">
        <x:v>9.990856690045291e-05</x:v>
      </x:c>
      <x:c r="AJ575" s="40" t="b">
        <x:v>1</x:v>
      </x:c>
      <x:c r="AK575" s="40" t="b">
        <x:v>1</x:v>
      </x:c>
      <x:c r="AL575" s="40" t="b">
        <x:v>1</x:v>
      </x:c>
      <x:c r="AM575" s="40" t="b">
        <x:v>1</x:v>
      </x:c>
      <x:c r="AN575" s="34" t="str"/>
      <x:c r="AO575" s="34" t="n">
        <x:v>0</x:v>
      </x:c>
      <x:c r="AP575" s="34" t="n">
        <x:v>0</x:v>
      </x:c>
      <x:c r="AQ575" s="34" t="n">
        <x:v>0</x:v>
      </x:c>
      <x:c r="AR575" s="34" t="n">
        <x:v>1</x:v>
      </x:c>
      <x:c r="AS575" s="34" t="n">
        <x:v>1</x:v>
      </x:c>
      <x:c r="AT575" s="34" t="n">
        <x:v>0.28332</x:v>
      </x:c>
      <x:c r="AU575" s="34" t="n">
        <x:v>0.6</x:v>
      </x:c>
      <x:c r="AV575" s="34" t="n">
        <x:v>1.06</x:v>
      </x:c>
    </x:row>
    <x:row r="576">
      <x:c r="A576" s="34" t="str">
        <x:v>KOBE_STEEL_JP</x:v>
      </x:c>
      <x:c r="B576" s="34" t="str">
        <x:v>Kobe Steel</x:v>
      </x:c>
      <x:c r="C576" s="34" t="str">
        <x:v>DISCLOSED_PATH</x:v>
      </x:c>
      <x:c r="D576" s="34" t="str">
        <x:v>P3</x:v>
      </x:c>
      <x:c r="E576" s="34" t="n">
        <x:v>2030</x:v>
      </x:c>
      <x:c r="F576" s="34" t="n">
        <x:v>1</x:v>
      </x:c>
      <x:c r="G576" s="34" t="n">
        <x:v>2.655</x:v>
      </x:c>
      <x:c r="H576" s="34" t="n">
        <x:v>4</x:v>
      </x:c>
      <x:c r="I576" s="34" t="n">
        <x:v>1.345</x:v>
      </x:c>
      <x:c r="J576" s="34" t="n">
        <x:v>66.375</x:v>
      </x:c>
      <x:c r="K576" s="34" t="n">
        <x:v>0</x:v>
      </x:c>
      <x:c r="L576" s="34" t="n">
        <x:v>0.3</x:v>
      </x:c>
      <x:c r="M576" s="34" t="n">
        <x:v>0.3</x:v>
      </x:c>
      <x:c r="N576" s="34" t="n">
        <x:v>0</x:v>
      </x:c>
      <x:c r="O576" s="34" t="n">
        <x:v>1.652</x:v>
      </x:c>
      <x:c r="P576" s="34" t="n">
        <x:v>3</x:v>
      </x:c>
      <x:c r="Q576" s="34" t="n">
        <x:v>1.348</x:v>
      </x:c>
      <x:c r="R576" s="34" t="n">
        <x:v>55.067</x:v>
      </x:c>
      <x:c r="S576" s="40" t="b">
        <x:v>1</x:v>
      </x:c>
      <x:c r="T576" s="34" t="str">
        <x:v>model_interpolation</x:v>
      </x:c>
      <x:c r="U576" s="34" t="str">
        <x:v>Linear interpolation from 2030 to 2035</x:v>
      </x:c>
      <x:c r="V576" s="34" t="str">
        <x:v>CAND-9DD8DD0C56A40D</x:v>
      </x:c>
      <x:c r="W576" s="34" t="str">
        <x:v>P3</x:v>
      </x:c>
      <x:c r="X576" s="34" t="str">
        <x:v>PORT-8384667F6B8E</x:v>
      </x:c>
      <x:c r="Y576" s="34" t="n">
        <x:v>1000</x:v>
      </x:c>
      <x:c r="Z576" s="34" t="n">
        <x:v>52.648848</x:v>
      </x:c>
      <x:c r="AA576" s="34" t="n">
        <x:v>13.124199</x:v>
      </x:c>
      <x:c r="AB576" s="34" t="n">
        <x:v>96.451092</x:v>
      </x:c>
      <x:c r="AC576" s="34" t="n">
        <x:v>4978.625</x:v>
      </x:c>
      <x:c r="AD576" s="34" t="n">
        <x:v>51.618125</x:v>
      </x:c>
      <x:c r="AE576" s="40" t="b">
        <x:v>1</x:v>
      </x:c>
      <x:c r="AF576" s="40" t="b">
        <x:v>1</x:v>
      </x:c>
      <x:c r="AG576" s="34" t="str"/>
      <x:c r="AH576" s="34" t="n">
        <x:v>0</x:v>
      </x:c>
      <x:c r="AI576" s="34" t="str">
        <x:v>9.990856690045291e-05</x:v>
      </x:c>
      <x:c r="AJ576" s="40" t="b">
        <x:v>1</x:v>
      </x:c>
      <x:c r="AK576" s="40" t="b">
        <x:v>1</x:v>
      </x:c>
      <x:c r="AL576" s="40" t="b">
        <x:v>1</x:v>
      </x:c>
      <x:c r="AM576" s="40" t="b">
        <x:v>1</x:v>
      </x:c>
      <x:c r="AN576" s="34" t="str"/>
      <x:c r="AO576" s="34" t="n">
        <x:v>0</x:v>
      </x:c>
      <x:c r="AP576" s="34" t="n">
        <x:v>0</x:v>
      </x:c>
      <x:c r="AQ576" s="34" t="n">
        <x:v>0</x:v>
      </x:c>
      <x:c r="AR576" s="34" t="n">
        <x:v>1</x:v>
      </x:c>
      <x:c r="AS576" s="34" t="n">
        <x:v>1</x:v>
      </x:c>
      <x:c r="AT576" s="34" t="n">
        <x:v>0.28332</x:v>
      </x:c>
      <x:c r="AU576" s="34" t="n">
        <x:v>0.6</x:v>
      </x:c>
      <x:c r="AV576" s="34" t="n">
        <x:v>1.06</x:v>
      </x:c>
    </x:row>
    <x:row r="577">
      <x:c r="A577" s="34" t="str">
        <x:v>KOBE_STEEL_JP</x:v>
      </x:c>
      <x:c r="B577" s="34" t="str">
        <x:v>Kobe Steel</x:v>
      </x:c>
      <x:c r="C577" s="34" t="str">
        <x:v>DISCLOSED_PATH</x:v>
      </x:c>
      <x:c r="D577" s="34" t="str">
        <x:v>P3</x:v>
      </x:c>
      <x:c r="E577" s="34" t="n">
        <x:v>2031</x:v>
      </x:c>
      <x:c r="F577" s="34" t="n">
        <x:v>1</x:v>
      </x:c>
      <x:c r="G577" s="34" t="n">
        <x:v>2.655</x:v>
      </x:c>
      <x:c r="H577" s="34" t="n">
        <x:v>4</x:v>
      </x:c>
      <x:c r="I577" s="34" t="n">
        <x:v>1.345</x:v>
      </x:c>
      <x:c r="J577" s="34" t="n">
        <x:v>66.375</x:v>
      </x:c>
      <x:c r="K577" s="34" t="n">
        <x:v>0</x:v>
      </x:c>
      <x:c r="L577" s="34" t="n">
        <x:v>0.32</x:v>
      </x:c>
      <x:c r="M577" s="34" t="n">
        <x:v>0.32</x:v>
      </x:c>
      <x:c r="N577" s="34" t="n">
        <x:v>0</x:v>
      </x:c>
      <x:c r="O577" s="34" t="n">
        <x:v>1.652</x:v>
      </x:c>
      <x:c r="P577" s="34" t="n">
        <x:v>3</x:v>
      </x:c>
      <x:c r="Q577" s="34" t="n">
        <x:v>1.348</x:v>
      </x:c>
      <x:c r="R577" s="34" t="n">
        <x:v>55.067</x:v>
      </x:c>
      <x:c r="S577" s="40" t="b">
        <x:v>1</x:v>
      </x:c>
      <x:c r="T577" s="34" t="str">
        <x:v>model_interpolation</x:v>
      </x:c>
      <x:c r="U577" s="34" t="str">
        <x:v>Linear interpolation from 2030 to 2035</x:v>
      </x:c>
      <x:c r="V577" s="34" t="str">
        <x:v>CAND-9DD8DD0C56A40D</x:v>
      </x:c>
      <x:c r="W577" s="34" t="str">
        <x:v>P3</x:v>
      </x:c>
      <x:c r="X577" s="34" t="str">
        <x:v>PORT-8384667F6B8E</x:v>
      </x:c>
      <x:c r="Y577" s="34" t="n">
        <x:v>1000</x:v>
      </x:c>
      <x:c r="Z577" s="34" t="n">
        <x:v>52.648848</x:v>
      </x:c>
      <x:c r="AA577" s="34" t="n">
        <x:v>13.124199</x:v>
      </x:c>
      <x:c r="AB577" s="34" t="n">
        <x:v>96.451092</x:v>
      </x:c>
      <x:c r="AC577" s="34" t="n">
        <x:v>4978.625</x:v>
      </x:c>
      <x:c r="AD577" s="34" t="n">
        <x:v>51.618125</x:v>
      </x:c>
      <x:c r="AE577" s="40" t="b">
        <x:v>1</x:v>
      </x:c>
      <x:c r="AF577" s="40" t="b">
        <x:v>1</x:v>
      </x:c>
      <x:c r="AG577" s="34" t="str"/>
      <x:c r="AH577" s="34" t="n">
        <x:v>0</x:v>
      </x:c>
      <x:c r="AI577" s="34" t="str">
        <x:v>9.990856690045291e-05</x:v>
      </x:c>
      <x:c r="AJ577" s="40" t="b">
        <x:v>1</x:v>
      </x:c>
      <x:c r="AK577" s="40" t="b">
        <x:v>1</x:v>
      </x:c>
      <x:c r="AL577" s="40" t="b">
        <x:v>1</x:v>
      </x:c>
      <x:c r="AM577" s="40" t="b">
        <x:v>1</x:v>
      </x:c>
      <x:c r="AN577" s="34" t="str"/>
      <x:c r="AO577" s="34" t="n">
        <x:v>0</x:v>
      </x:c>
      <x:c r="AP577" s="34" t="n">
        <x:v>0</x:v>
      </x:c>
      <x:c r="AQ577" s="34" t="n">
        <x:v>0</x:v>
      </x:c>
      <x:c r="AR577" s="34" t="n">
        <x:v>1</x:v>
      </x:c>
      <x:c r="AS577" s="34" t="n">
        <x:v>1</x:v>
      </x:c>
      <x:c r="AT577" s="34" t="n">
        <x:v>0.28332</x:v>
      </x:c>
      <x:c r="AU577" s="34" t="n">
        <x:v>0.6</x:v>
      </x:c>
      <x:c r="AV577" s="34" t="n">
        <x:v>1.06</x:v>
      </x:c>
    </x:row>
    <x:row r="578">
      <x:c r="A578" s="34" t="str">
        <x:v>KOBE_STEEL_JP</x:v>
      </x:c>
      <x:c r="B578" s="34" t="str">
        <x:v>Kobe Steel</x:v>
      </x:c>
      <x:c r="C578" s="34" t="str">
        <x:v>DISCLOSED_PATH</x:v>
      </x:c>
      <x:c r="D578" s="34" t="str">
        <x:v>P3</x:v>
      </x:c>
      <x:c r="E578" s="34" t="n">
        <x:v>2032</x:v>
      </x:c>
      <x:c r="F578" s="34" t="n">
        <x:v>1</x:v>
      </x:c>
      <x:c r="G578" s="34" t="n">
        <x:v>2.655</x:v>
      </x:c>
      <x:c r="H578" s="34" t="n">
        <x:v>4</x:v>
      </x:c>
      <x:c r="I578" s="34" t="n">
        <x:v>1.345</x:v>
      </x:c>
      <x:c r="J578" s="34" t="n">
        <x:v>66.375</x:v>
      </x:c>
      <x:c r="K578" s="34" t="n">
        <x:v>0</x:v>
      </x:c>
      <x:c r="L578" s="34" t="n">
        <x:v>0.34</x:v>
      </x:c>
      <x:c r="M578" s="34" t="n">
        <x:v>0.34</x:v>
      </x:c>
      <x:c r="N578" s="34" t="n">
        <x:v>0</x:v>
      </x:c>
      <x:c r="O578" s="34" t="n">
        <x:v>1.652</x:v>
      </x:c>
      <x:c r="P578" s="34" t="n">
        <x:v>3</x:v>
      </x:c>
      <x:c r="Q578" s="34" t="n">
        <x:v>1.348</x:v>
      </x:c>
      <x:c r="R578" s="34" t="n">
        <x:v>55.067</x:v>
      </x:c>
      <x:c r="S578" s="40" t="b">
        <x:v>1</x:v>
      </x:c>
      <x:c r="T578" s="34" t="str">
        <x:v>model_interpolation</x:v>
      </x:c>
      <x:c r="U578" s="34" t="str">
        <x:v>Linear interpolation from 2030 to 2035</x:v>
      </x:c>
      <x:c r="V578" s="34" t="str">
        <x:v>CAND-9DD8DD0C56A40D</x:v>
      </x:c>
      <x:c r="W578" s="34" t="str">
        <x:v>P3</x:v>
      </x:c>
      <x:c r="X578" s="34" t="str">
        <x:v>PORT-8384667F6B8E</x:v>
      </x:c>
      <x:c r="Y578" s="34" t="n">
        <x:v>1000</x:v>
      </x:c>
      <x:c r="Z578" s="34" t="n">
        <x:v>52.648848</x:v>
      </x:c>
      <x:c r="AA578" s="34" t="n">
        <x:v>13.124199</x:v>
      </x:c>
      <x:c r="AB578" s="34" t="n">
        <x:v>96.451092</x:v>
      </x:c>
      <x:c r="AC578" s="34" t="n">
        <x:v>4978.625</x:v>
      </x:c>
      <x:c r="AD578" s="34" t="n">
        <x:v>51.618125</x:v>
      </x:c>
      <x:c r="AE578" s="40" t="b">
        <x:v>1</x:v>
      </x:c>
      <x:c r="AF578" s="40" t="b">
        <x:v>1</x:v>
      </x:c>
      <x:c r="AG578" s="34" t="str"/>
      <x:c r="AH578" s="34" t="n">
        <x:v>0</x:v>
      </x:c>
      <x:c r="AI578" s="34" t="str">
        <x:v>9.990856690045291e-05</x:v>
      </x:c>
      <x:c r="AJ578" s="40" t="b">
        <x:v>1</x:v>
      </x:c>
      <x:c r="AK578" s="40" t="b">
        <x:v>1</x:v>
      </x:c>
      <x:c r="AL578" s="40" t="b">
        <x:v>1</x:v>
      </x:c>
      <x:c r="AM578" s="40" t="b">
        <x:v>1</x:v>
      </x:c>
      <x:c r="AN578" s="34" t="str"/>
      <x:c r="AO578" s="34" t="n">
        <x:v>0</x:v>
      </x:c>
      <x:c r="AP578" s="34" t="n">
        <x:v>0</x:v>
      </x:c>
      <x:c r="AQ578" s="34" t="n">
        <x:v>0</x:v>
      </x:c>
      <x:c r="AR578" s="34" t="n">
        <x:v>1</x:v>
      </x:c>
      <x:c r="AS578" s="34" t="n">
        <x:v>1</x:v>
      </x:c>
      <x:c r="AT578" s="34" t="n">
        <x:v>0.28332</x:v>
      </x:c>
      <x:c r="AU578" s="34" t="n">
        <x:v>0.6</x:v>
      </x:c>
      <x:c r="AV578" s="34" t="n">
        <x:v>1.06</x:v>
      </x:c>
    </x:row>
    <x:row r="579">
      <x:c r="A579" s="34" t="str">
        <x:v>KOBE_STEEL_JP</x:v>
      </x:c>
      <x:c r="B579" s="34" t="str">
        <x:v>Kobe Steel</x:v>
      </x:c>
      <x:c r="C579" s="34" t="str">
        <x:v>DISCLOSED_PATH</x:v>
      </x:c>
      <x:c r="D579" s="34" t="str">
        <x:v>P3</x:v>
      </x:c>
      <x:c r="E579" s="34" t="n">
        <x:v>2033</x:v>
      </x:c>
      <x:c r="F579" s="34" t="n">
        <x:v>2</x:v>
      </x:c>
      <x:c r="G579" s="34" t="n">
        <x:v>2.745</x:v>
      </x:c>
      <x:c r="H579" s="34" t="n">
        <x:v>4</x:v>
      </x:c>
      <x:c r="I579" s="34" t="n">
        <x:v>1.255</x:v>
      </x:c>
      <x:c r="J579" s="34" t="n">
        <x:v>68.625</x:v>
      </x:c>
      <x:c r="K579" s="34" t="n">
        <x:v>0</x:v>
      </x:c>
      <x:c r="L579" s="34" t="n">
        <x:v>0.36</x:v>
      </x:c>
      <x:c r="M579" s="34" t="n">
        <x:v>0.36</x:v>
      </x:c>
      <x:c r="N579" s="34" t="n">
        <x:v>0</x:v>
      </x:c>
      <x:c r="O579" s="34" t="n">
        <x:v>1.654</x:v>
      </x:c>
      <x:c r="P579" s="34" t="n">
        <x:v>3</x:v>
      </x:c>
      <x:c r="Q579" s="34" t="n">
        <x:v>1.346</x:v>
      </x:c>
      <x:c r="R579" s="34" t="n">
        <x:v>55.133</x:v>
      </x:c>
      <x:c r="S579" s="40" t="b">
        <x:v>1</x:v>
      </x:c>
      <x:c r="T579" s="34" t="str">
        <x:v>model_interpolation</x:v>
      </x:c>
      <x:c r="U579" s="34" t="str">
        <x:v>Linear interpolation from 2030 to 2035</x:v>
      </x:c>
      <x:c r="V579" s="34" t="str">
        <x:v>CAND-9DD8DD0C56A40D</x:v>
      </x:c>
      <x:c r="W579" s="34" t="str">
        <x:v>P3</x:v>
      </x:c>
      <x:c r="X579" s="34" t="str">
        <x:v>PORT-8384667F6B8E</x:v>
      </x:c>
      <x:c r="Y579" s="34" t="n">
        <x:v>1000</x:v>
      </x:c>
      <x:c r="Z579" s="34" t="n">
        <x:v>52.648848</x:v>
      </x:c>
      <x:c r="AA579" s="34" t="n">
        <x:v>13.124199</x:v>
      </x:c>
      <x:c r="AB579" s="34" t="n">
        <x:v>96.451092</x:v>
      </x:c>
      <x:c r="AC579" s="34" t="n">
        <x:v>4978.625</x:v>
      </x:c>
      <x:c r="AD579" s="34" t="n">
        <x:v>51.618125</x:v>
      </x:c>
      <x:c r="AE579" s="40" t="b">
        <x:v>1</x:v>
      </x:c>
      <x:c r="AF579" s="40" t="b">
        <x:v>1</x:v>
      </x:c>
      <x:c r="AG579" s="34" t="str"/>
      <x:c r="AH579" s="34" t="n">
        <x:v>0</x:v>
      </x:c>
      <x:c r="AI579" s="34" t="str">
        <x:v>9.990856690045291e-05</x:v>
      </x:c>
      <x:c r="AJ579" s="40" t="b">
        <x:v>1</x:v>
      </x:c>
      <x:c r="AK579" s="40" t="b">
        <x:v>1</x:v>
      </x:c>
      <x:c r="AL579" s="40" t="b">
        <x:v>1</x:v>
      </x:c>
      <x:c r="AM579" s="40" t="b">
        <x:v>1</x:v>
      </x:c>
      <x:c r="AN579" s="34" t="str"/>
      <x:c r="AO579" s="34" t="n">
        <x:v>0</x:v>
      </x:c>
      <x:c r="AP579" s="34" t="n">
        <x:v>0</x:v>
      </x:c>
      <x:c r="AQ579" s="34" t="n">
        <x:v>0</x:v>
      </x:c>
      <x:c r="AR579" s="34" t="n">
        <x:v>1</x:v>
      </x:c>
      <x:c r="AS579" s="34" t="n">
        <x:v>1</x:v>
      </x:c>
      <x:c r="AT579" s="34" t="n">
        <x:v>0.28332</x:v>
      </x:c>
      <x:c r="AU579" s="34" t="n">
        <x:v>0.6</x:v>
      </x:c>
      <x:c r="AV579" s="34" t="n">
        <x:v>1.06</x:v>
      </x:c>
    </x:row>
    <x:row r="580">
      <x:c r="A580" s="34" t="str">
        <x:v>KOBE_STEEL_JP</x:v>
      </x:c>
      <x:c r="B580" s="34" t="str">
        <x:v>Kobe Steel</x:v>
      </x:c>
      <x:c r="C580" s="34" t="str">
        <x:v>DISCLOSED_PATH</x:v>
      </x:c>
      <x:c r="D580" s="34" t="str">
        <x:v>P3</x:v>
      </x:c>
      <x:c r="E580" s="34" t="n">
        <x:v>2034</x:v>
      </x:c>
      <x:c r="F580" s="34" t="n">
        <x:v>2</x:v>
      </x:c>
      <x:c r="G580" s="34" t="n">
        <x:v>2.745</x:v>
      </x:c>
      <x:c r="H580" s="34" t="n">
        <x:v>4</x:v>
      </x:c>
      <x:c r="I580" s="34" t="n">
        <x:v>1.255</x:v>
      </x:c>
      <x:c r="J580" s="34" t="n">
        <x:v>68.625</x:v>
      </x:c>
      <x:c r="K580" s="34" t="n">
        <x:v>0</x:v>
      </x:c>
      <x:c r="L580" s="34" t="n">
        <x:v>0.38</x:v>
      </x:c>
      <x:c r="M580" s="34" t="n">
        <x:v>0.38</x:v>
      </x:c>
      <x:c r="N580" s="34" t="n">
        <x:v>0</x:v>
      </x:c>
      <x:c r="O580" s="34" t="n">
        <x:v>1.654</x:v>
      </x:c>
      <x:c r="P580" s="34" t="n">
        <x:v>3</x:v>
      </x:c>
      <x:c r="Q580" s="34" t="n">
        <x:v>1.346</x:v>
      </x:c>
      <x:c r="R580" s="34" t="n">
        <x:v>55.133</x:v>
      </x:c>
      <x:c r="S580" s="40" t="b">
        <x:v>1</x:v>
      </x:c>
      <x:c r="T580" s="34" t="str">
        <x:v>model_interpolation</x:v>
      </x:c>
      <x:c r="U580" s="34" t="str">
        <x:v>Linear interpolation from 2030 to 2035</x:v>
      </x:c>
      <x:c r="V580" s="34" t="str">
        <x:v>CAND-9DD8DD0C56A40D</x:v>
      </x:c>
      <x:c r="W580" s="34" t="str">
        <x:v>P3</x:v>
      </x:c>
      <x:c r="X580" s="34" t="str">
        <x:v>PORT-8384667F6B8E</x:v>
      </x:c>
      <x:c r="Y580" s="34" t="n">
        <x:v>1000</x:v>
      </x:c>
      <x:c r="Z580" s="34" t="n">
        <x:v>52.648848</x:v>
      </x:c>
      <x:c r="AA580" s="34" t="n">
        <x:v>13.124199</x:v>
      </x:c>
      <x:c r="AB580" s="34" t="n">
        <x:v>96.451092</x:v>
      </x:c>
      <x:c r="AC580" s="34" t="n">
        <x:v>4978.625</x:v>
      </x:c>
      <x:c r="AD580" s="34" t="n">
        <x:v>51.618125</x:v>
      </x:c>
      <x:c r="AE580" s="40" t="b">
        <x:v>1</x:v>
      </x:c>
      <x:c r="AF580" s="40" t="b">
        <x:v>1</x:v>
      </x:c>
      <x:c r="AG580" s="34" t="str"/>
      <x:c r="AH580" s="34" t="n">
        <x:v>0</x:v>
      </x:c>
      <x:c r="AI580" s="34" t="str">
        <x:v>9.990856690045291e-05</x:v>
      </x:c>
      <x:c r="AJ580" s="40" t="b">
        <x:v>1</x:v>
      </x:c>
      <x:c r="AK580" s="40" t="b">
        <x:v>1</x:v>
      </x:c>
      <x:c r="AL580" s="40" t="b">
        <x:v>1</x:v>
      </x:c>
      <x:c r="AM580" s="40" t="b">
        <x:v>1</x:v>
      </x:c>
      <x:c r="AN580" s="34" t="str"/>
      <x:c r="AO580" s="34" t="n">
        <x:v>0</x:v>
      </x:c>
      <x:c r="AP580" s="34" t="n">
        <x:v>0</x:v>
      </x:c>
      <x:c r="AQ580" s="34" t="n">
        <x:v>0</x:v>
      </x:c>
      <x:c r="AR580" s="34" t="n">
        <x:v>1</x:v>
      </x:c>
      <x:c r="AS580" s="34" t="n">
        <x:v>1</x:v>
      </x:c>
      <x:c r="AT580" s="34" t="n">
        <x:v>0.28332</x:v>
      </x:c>
      <x:c r="AU580" s="34" t="n">
        <x:v>0.6</x:v>
      </x:c>
      <x:c r="AV580" s="34" t="n">
        <x:v>1.06</x:v>
      </x:c>
    </x:row>
    <x:row r="581">
      <x:c r="A581" s="34" t="str">
        <x:v>KOBE_STEEL_JP</x:v>
      </x:c>
      <x:c r="B581" s="34" t="str">
        <x:v>Kobe Steel</x:v>
      </x:c>
      <x:c r="C581" s="34" t="str">
        <x:v>DISCLOSED_PATH</x:v>
      </x:c>
      <x:c r="D581" s="34" t="str">
        <x:v>P3</x:v>
      </x:c>
      <x:c r="E581" s="34" t="n">
        <x:v>2035</x:v>
      </x:c>
      <x:c r="F581" s="34" t="n">
        <x:v>2</x:v>
      </x:c>
      <x:c r="G581" s="34" t="n">
        <x:v>2.745</x:v>
      </x:c>
      <x:c r="H581" s="34" t="n">
        <x:v>4</x:v>
      </x:c>
      <x:c r="I581" s="34" t="n">
        <x:v>1.255</x:v>
      </x:c>
      <x:c r="J581" s="34" t="n">
        <x:v>68.625</x:v>
      </x:c>
      <x:c r="K581" s="34" t="n">
        <x:v>0</x:v>
      </x:c>
      <x:c r="L581" s="34" t="n">
        <x:v>0.4</x:v>
      </x:c>
      <x:c r="M581" s="34" t="n">
        <x:v>0.4</x:v>
      </x:c>
      <x:c r="N581" s="34" t="n">
        <x:v>0</x:v>
      </x:c>
      <x:c r="O581" s="34" t="n">
        <x:v>1.654</x:v>
      </x:c>
      <x:c r="P581" s="34" t="n">
        <x:v>3</x:v>
      </x:c>
      <x:c r="Q581" s="34" t="n">
        <x:v>1.346</x:v>
      </x:c>
      <x:c r="R581" s="34" t="n">
        <x:v>55.133</x:v>
      </x:c>
      <x:c r="S581" s="40" t="b">
        <x:v>1</x:v>
      </x:c>
      <x:c r="T581" s="34" t="str">
        <x:v>model_interpolation</x:v>
      </x:c>
      <x:c r="U581" s="34" t="str">
        <x:v>Linear interpolation from 2035 to 2040</x:v>
      </x:c>
      <x:c r="V581" s="34" t="str">
        <x:v>CAND-9DD8DD0C56A40D</x:v>
      </x:c>
      <x:c r="W581" s="34" t="str">
        <x:v>P3</x:v>
      </x:c>
      <x:c r="X581" s="34" t="str">
        <x:v>PORT-8384667F6B8E</x:v>
      </x:c>
      <x:c r="Y581" s="34" t="n">
        <x:v>1000</x:v>
      </x:c>
      <x:c r="Z581" s="34" t="n">
        <x:v>52.648848</x:v>
      </x:c>
      <x:c r="AA581" s="34" t="n">
        <x:v>13.124199</x:v>
      </x:c>
      <x:c r="AB581" s="34" t="n">
        <x:v>96.451092</x:v>
      </x:c>
      <x:c r="AC581" s="34" t="n">
        <x:v>4978.625</x:v>
      </x:c>
      <x:c r="AD581" s="34" t="n">
        <x:v>51.618125</x:v>
      </x:c>
      <x:c r="AE581" s="40" t="b">
        <x:v>1</x:v>
      </x:c>
      <x:c r="AF581" s="40" t="b">
        <x:v>1</x:v>
      </x:c>
      <x:c r="AG581" s="34" t="str"/>
      <x:c r="AH581" s="34" t="n">
        <x:v>0</x:v>
      </x:c>
      <x:c r="AI581" s="34" t="str">
        <x:v>9.990856690045291e-05</x:v>
      </x:c>
      <x:c r="AJ581" s="40" t="b">
        <x:v>1</x:v>
      </x:c>
      <x:c r="AK581" s="40" t="b">
        <x:v>1</x:v>
      </x:c>
      <x:c r="AL581" s="40" t="b">
        <x:v>1</x:v>
      </x:c>
      <x:c r="AM581" s="40" t="b">
        <x:v>1</x:v>
      </x:c>
      <x:c r="AN581" s="34" t="str"/>
      <x:c r="AO581" s="34" t="n">
        <x:v>0</x:v>
      </x:c>
      <x:c r="AP581" s="34" t="n">
        <x:v>0</x:v>
      </x:c>
      <x:c r="AQ581" s="34" t="n">
        <x:v>0</x:v>
      </x:c>
      <x:c r="AR581" s="34" t="n">
        <x:v>1</x:v>
      </x:c>
      <x:c r="AS581" s="34" t="n">
        <x:v>1</x:v>
      </x:c>
      <x:c r="AT581" s="34" t="n">
        <x:v>0.28332</x:v>
      </x:c>
      <x:c r="AU581" s="34" t="n">
        <x:v>0.6</x:v>
      </x:c>
      <x:c r="AV581" s="34" t="n">
        <x:v>1.06</x:v>
      </x:c>
    </x:row>
    <x:row r="582">
      <x:c r="A582" s="34" t="str">
        <x:v>KOBE_STEEL_JP</x:v>
      </x:c>
      <x:c r="B582" s="34" t="str">
        <x:v>Kobe Steel</x:v>
      </x:c>
      <x:c r="C582" s="34" t="str">
        <x:v>DISCLOSED_PATH</x:v>
      </x:c>
      <x:c r="D582" s="34" t="str">
        <x:v>P3</x:v>
      </x:c>
      <x:c r="E582" s="34" t="n">
        <x:v>2036</x:v>
      </x:c>
      <x:c r="F582" s="34" t="n">
        <x:v>2</x:v>
      </x:c>
      <x:c r="G582" s="34" t="n">
        <x:v>2.745</x:v>
      </x:c>
      <x:c r="H582" s="34" t="n">
        <x:v>4.2</x:v>
      </x:c>
      <x:c r="I582" s="34" t="n">
        <x:v>1.455</x:v>
      </x:c>
      <x:c r="J582" s="34" t="n">
        <x:v>65.357</x:v>
      </x:c>
      <x:c r="K582" s="34" t="n">
        <x:v>0</x:v>
      </x:c>
      <x:c r="L582" s="34" t="n">
        <x:v>0.48000000000000004</x:v>
      </x:c>
      <x:c r="M582" s="34" t="n">
        <x:v>0.48</x:v>
      </x:c>
      <x:c r="N582" s="34" t="n">
        <x:v>0</x:v>
      </x:c>
      <x:c r="O582" s="34" t="n">
        <x:v>1.654</x:v>
      </x:c>
      <x:c r="P582" s="34" t="n">
        <x:v>3.4</x:v>
      </x:c>
      <x:c r="Q582" s="34" t="n">
        <x:v>1.746</x:v>
      </x:c>
      <x:c r="R582" s="34" t="n">
        <x:v>48.647</x:v>
      </x:c>
      <x:c r="S582" s="40" t="b">
        <x:v>1</x:v>
      </x:c>
      <x:c r="T582" s="34" t="str">
        <x:v>model_interpolation</x:v>
      </x:c>
      <x:c r="U582" s="34" t="str">
        <x:v>Linear interpolation from 2035 to 2040</x:v>
      </x:c>
      <x:c r="V582" s="34" t="str">
        <x:v>CAND-9DD8DD0C56A40D</x:v>
      </x:c>
      <x:c r="W582" s="34" t="str">
        <x:v>P3</x:v>
      </x:c>
      <x:c r="X582" s="34" t="str">
        <x:v>PORT-8384667F6B8E</x:v>
      </x:c>
      <x:c r="Y582" s="34" t="n">
        <x:v>1000</x:v>
      </x:c>
      <x:c r="Z582" s="34" t="n">
        <x:v>52.648848</x:v>
      </x:c>
      <x:c r="AA582" s="34" t="n">
        <x:v>13.124199</x:v>
      </x:c>
      <x:c r="AB582" s="34" t="n">
        <x:v>96.451092</x:v>
      </x:c>
      <x:c r="AC582" s="34" t="n">
        <x:v>4978.625</x:v>
      </x:c>
      <x:c r="AD582" s="34" t="n">
        <x:v>51.618125</x:v>
      </x:c>
      <x:c r="AE582" s="40" t="b">
        <x:v>1</x:v>
      </x:c>
      <x:c r="AF582" s="40" t="b">
        <x:v>1</x:v>
      </x:c>
      <x:c r="AG582" s="34" t="str"/>
      <x:c r="AH582" s="34" t="n">
        <x:v>0</x:v>
      </x:c>
      <x:c r="AI582" s="34" t="str">
        <x:v>9.990856690045291e-05</x:v>
      </x:c>
      <x:c r="AJ582" s="40" t="b">
        <x:v>1</x:v>
      </x:c>
      <x:c r="AK582" s="40" t="b">
        <x:v>1</x:v>
      </x:c>
      <x:c r="AL582" s="40" t="b">
        <x:v>1</x:v>
      </x:c>
      <x:c r="AM582" s="40" t="b">
        <x:v>1</x:v>
      </x:c>
      <x:c r="AN582" s="34" t="str"/>
      <x:c r="AO582" s="34" t="n">
        <x:v>0</x:v>
      </x:c>
      <x:c r="AP582" s="34" t="n">
        <x:v>0</x:v>
      </x:c>
      <x:c r="AQ582" s="34" t="n">
        <x:v>0</x:v>
      </x:c>
      <x:c r="AR582" s="34" t="n">
        <x:v>1</x:v>
      </x:c>
      <x:c r="AS582" s="34" t="n">
        <x:v>1</x:v>
      </x:c>
      <x:c r="AT582" s="34" t="n">
        <x:v>0.28332</x:v>
      </x:c>
      <x:c r="AU582" s="34" t="n">
        <x:v>0.6</x:v>
      </x:c>
      <x:c r="AV582" s="34" t="n">
        <x:v>1.06</x:v>
      </x:c>
    </x:row>
    <x:row r="583">
      <x:c r="A583" s="34" t="str">
        <x:v>KOBE_STEEL_JP</x:v>
      </x:c>
      <x:c r="B583" s="34" t="str">
        <x:v>Kobe Steel</x:v>
      </x:c>
      <x:c r="C583" s="34" t="str">
        <x:v>DISCLOSED_PATH</x:v>
      </x:c>
      <x:c r="D583" s="34" t="str">
        <x:v>P3</x:v>
      </x:c>
      <x:c r="E583" s="34" t="n">
        <x:v>2037</x:v>
      </x:c>
      <x:c r="F583" s="34" t="n">
        <x:v>3</x:v>
      </x:c>
      <x:c r="G583" s="34" t="n">
        <x:v>3.1815</x:v>
      </x:c>
      <x:c r="H583" s="34" t="n">
        <x:v>4.4</x:v>
      </x:c>
      <x:c r="I583" s="34" t="n">
        <x:v>1.2185</x:v>
      </x:c>
      <x:c r="J583" s="34" t="n">
        <x:v>72.307</x:v>
      </x:c>
      <x:c r="K583" s="34" t="n">
        <x:v>0.16005</x:v>
      </x:c>
      <x:c r="L583" s="34" t="n">
        <x:v>0.56</x:v>
      </x:c>
      <x:c r="M583" s="34" t="n">
        <x:v>0.39995</x:v>
      </x:c>
      <x:c r="N583" s="34" t="n">
        <x:v>28.58</x:v>
      </x:c>
      <x:c r="O583" s="34" t="n">
        <x:v>2.9926</x:v>
      </x:c>
      <x:c r="P583" s="34" t="n">
        <x:v>3.8</x:v>
      </x:c>
      <x:c r="Q583" s="34" t="n">
        <x:v>0.8074</x:v>
      </x:c>
      <x:c r="R583" s="34" t="n">
        <x:v>78.753</x:v>
      </x:c>
      <x:c r="S583" s="40" t="b">
        <x:v>1</x:v>
      </x:c>
      <x:c r="T583" s="34" t="str">
        <x:v>model_interpolation</x:v>
      </x:c>
      <x:c r="U583" s="34" t="str">
        <x:v>Linear interpolation from 2035 to 2040</x:v>
      </x:c>
      <x:c r="V583" s="34" t="str">
        <x:v>CAND-9DD8DD0C56A40D</x:v>
      </x:c>
      <x:c r="W583" s="34" t="str">
        <x:v>P3</x:v>
      </x:c>
      <x:c r="X583" s="34" t="str">
        <x:v>PORT-8384667F6B8E</x:v>
      </x:c>
      <x:c r="Y583" s="34" t="n">
        <x:v>1000</x:v>
      </x:c>
      <x:c r="Z583" s="34" t="n">
        <x:v>52.648848</x:v>
      </x:c>
      <x:c r="AA583" s="34" t="n">
        <x:v>13.124199</x:v>
      </x:c>
      <x:c r="AB583" s="34" t="n">
        <x:v>96.451092</x:v>
      </x:c>
      <x:c r="AC583" s="34" t="n">
        <x:v>4978.625</x:v>
      </x:c>
      <x:c r="AD583" s="34" t="n">
        <x:v>51.618125</x:v>
      </x:c>
      <x:c r="AE583" s="40" t="b">
        <x:v>1</x:v>
      </x:c>
      <x:c r="AF583" s="40" t="b">
        <x:v>1</x:v>
      </x:c>
      <x:c r="AG583" s="34" t="str"/>
      <x:c r="AH583" s="34" t="n">
        <x:v>0</x:v>
      </x:c>
      <x:c r="AI583" s="34" t="str">
        <x:v>9.990856690045291e-05</x:v>
      </x:c>
      <x:c r="AJ583" s="40" t="b">
        <x:v>1</x:v>
      </x:c>
      <x:c r="AK583" s="40" t="b">
        <x:v>1</x:v>
      </x:c>
      <x:c r="AL583" s="40" t="b">
        <x:v>1</x:v>
      </x:c>
      <x:c r="AM583" s="40" t="b">
        <x:v>1</x:v>
      </x:c>
      <x:c r="AN583" s="34" t="str"/>
      <x:c r="AO583" s="34" t="n">
        <x:v>0</x:v>
      </x:c>
      <x:c r="AP583" s="34" t="n">
        <x:v>0</x:v>
      </x:c>
      <x:c r="AQ583" s="34" t="n">
        <x:v>0</x:v>
      </x:c>
      <x:c r="AR583" s="34" t="n">
        <x:v>1</x:v>
      </x:c>
      <x:c r="AS583" s="34" t="n">
        <x:v>1</x:v>
      </x:c>
      <x:c r="AT583" s="34" t="n">
        <x:v>0.28332</x:v>
      </x:c>
      <x:c r="AU583" s="34" t="n">
        <x:v>0.6</x:v>
      </x:c>
      <x:c r="AV583" s="34" t="n">
        <x:v>1.06</x:v>
      </x:c>
    </x:row>
    <x:row r="584">
      <x:c r="A584" s="34" t="str">
        <x:v>KOBE_STEEL_JP</x:v>
      </x:c>
      <x:c r="B584" s="34" t="str">
        <x:v>Kobe Steel</x:v>
      </x:c>
      <x:c r="C584" s="34" t="str">
        <x:v>DISCLOSED_PATH</x:v>
      </x:c>
      <x:c r="D584" s="34" t="str">
        <x:v>P3</x:v>
      </x:c>
      <x:c r="E584" s="34" t="n">
        <x:v>2038</x:v>
      </x:c>
      <x:c r="F584" s="34" t="n">
        <x:v>3</x:v>
      </x:c>
      <x:c r="G584" s="34" t="n">
        <x:v>3.1815</x:v>
      </x:c>
      <x:c r="H584" s="34" t="n">
        <x:v>4.6</x:v>
      </x:c>
      <x:c r="I584" s="34" t="n">
        <x:v>1.4185</x:v>
      </x:c>
      <x:c r="J584" s="34" t="n">
        <x:v>69.163</x:v>
      </x:c>
      <x:c r="K584" s="34" t="n">
        <x:v>0.16005</x:v>
      </x:c>
      <x:c r="L584" s="34" t="n">
        <x:v>0.64</x:v>
      </x:c>
      <x:c r="M584" s="34" t="n">
        <x:v>0.47995</x:v>
      </x:c>
      <x:c r="N584" s="34" t="n">
        <x:v>25.008</x:v>
      </x:c>
      <x:c r="O584" s="34" t="n">
        <x:v>2.9926</x:v>
      </x:c>
      <x:c r="P584" s="34" t="n">
        <x:v>4.2</x:v>
      </x:c>
      <x:c r="Q584" s="34" t="n">
        <x:v>1.2074</x:v>
      </x:c>
      <x:c r="R584" s="34" t="n">
        <x:v>71.252</x:v>
      </x:c>
      <x:c r="S584" s="40" t="b">
        <x:v>1</x:v>
      </x:c>
      <x:c r="T584" s="34" t="str">
        <x:v>model_interpolation</x:v>
      </x:c>
      <x:c r="U584" s="34" t="str">
        <x:v>Linear interpolation from 2035 to 2040</x:v>
      </x:c>
      <x:c r="V584" s="34" t="str">
        <x:v>CAND-9DD8DD0C56A40D</x:v>
      </x:c>
      <x:c r="W584" s="34" t="str">
        <x:v>P3</x:v>
      </x:c>
      <x:c r="X584" s="34" t="str">
        <x:v>PORT-8384667F6B8E</x:v>
      </x:c>
      <x:c r="Y584" s="34" t="n">
        <x:v>1000</x:v>
      </x:c>
      <x:c r="Z584" s="34" t="n">
        <x:v>52.648848</x:v>
      </x:c>
      <x:c r="AA584" s="34" t="n">
        <x:v>13.124199</x:v>
      </x:c>
      <x:c r="AB584" s="34" t="n">
        <x:v>96.451092</x:v>
      </x:c>
      <x:c r="AC584" s="34" t="n">
        <x:v>4978.625</x:v>
      </x:c>
      <x:c r="AD584" s="34" t="n">
        <x:v>51.618125</x:v>
      </x:c>
      <x:c r="AE584" s="40" t="b">
        <x:v>1</x:v>
      </x:c>
      <x:c r="AF584" s="40" t="b">
        <x:v>1</x:v>
      </x:c>
      <x:c r="AG584" s="34" t="str"/>
      <x:c r="AH584" s="34" t="n">
        <x:v>0</x:v>
      </x:c>
      <x:c r="AI584" s="34" t="str">
        <x:v>9.990856690045291e-05</x:v>
      </x:c>
      <x:c r="AJ584" s="40" t="b">
        <x:v>1</x:v>
      </x:c>
      <x:c r="AK584" s="40" t="b">
        <x:v>1</x:v>
      </x:c>
      <x:c r="AL584" s="40" t="b">
        <x:v>1</x:v>
      </x:c>
      <x:c r="AM584" s="40" t="b">
        <x:v>1</x:v>
      </x:c>
      <x:c r="AN584" s="34" t="str"/>
      <x:c r="AO584" s="34" t="n">
        <x:v>0</x:v>
      </x:c>
      <x:c r="AP584" s="34" t="n">
        <x:v>0</x:v>
      </x:c>
      <x:c r="AQ584" s="34" t="n">
        <x:v>0</x:v>
      </x:c>
      <x:c r="AR584" s="34" t="n">
        <x:v>1</x:v>
      </x:c>
      <x:c r="AS584" s="34" t="n">
        <x:v>1</x:v>
      </x:c>
      <x:c r="AT584" s="34" t="n">
        <x:v>0.28332</x:v>
      </x:c>
      <x:c r="AU584" s="34" t="n">
        <x:v>0.6</x:v>
      </x:c>
      <x:c r="AV584" s="34" t="n">
        <x:v>1.06</x:v>
      </x:c>
    </x:row>
    <x:row r="585">
      <x:c r="A585" s="34" t="str">
        <x:v>KOBE_STEEL_JP</x:v>
      </x:c>
      <x:c r="B585" s="34" t="str">
        <x:v>Kobe Steel</x:v>
      </x:c>
      <x:c r="C585" s="34" t="str">
        <x:v>DISCLOSED_PATH</x:v>
      </x:c>
      <x:c r="D585" s="34" t="str">
        <x:v>P3</x:v>
      </x:c>
      <x:c r="E585" s="34" t="n">
        <x:v>2039</x:v>
      </x:c>
      <x:c r="F585" s="34" t="n">
        <x:v>3</x:v>
      </x:c>
      <x:c r="G585" s="34" t="n">
        <x:v>3.1815</x:v>
      </x:c>
      <x:c r="H585" s="34" t="n">
        <x:v>4.8</x:v>
      </x:c>
      <x:c r="I585" s="34" t="n">
        <x:v>1.6185</x:v>
      </x:c>
      <x:c r="J585" s="34" t="n">
        <x:v>66.281</x:v>
      </x:c>
      <x:c r="K585" s="34" t="n">
        <x:v>0.16005</x:v>
      </x:c>
      <x:c r="L585" s="34" t="n">
        <x:v>0.7200000000000001</x:v>
      </x:c>
      <x:c r="M585" s="34" t="n">
        <x:v>0.55995</x:v>
      </x:c>
      <x:c r="N585" s="34" t="n">
        <x:v>22.229</x:v>
      </x:c>
      <x:c r="O585" s="34" t="n">
        <x:v>2.9926</x:v>
      </x:c>
      <x:c r="P585" s="34" t="n">
        <x:v>4.6</x:v>
      </x:c>
      <x:c r="Q585" s="34" t="n">
        <x:v>1.6074</x:v>
      </x:c>
      <x:c r="R585" s="34" t="n">
        <x:v>65.057</x:v>
      </x:c>
      <x:c r="S585" s="40" t="b">
        <x:v>1</x:v>
      </x:c>
      <x:c r="T585" s="34" t="str">
        <x:v>model_interpolation</x:v>
      </x:c>
      <x:c r="U585" s="34" t="str">
        <x:v>Linear interpolation from 2035 to 2040</x:v>
      </x:c>
      <x:c r="V585" s="34" t="str">
        <x:v>CAND-9DD8DD0C56A40D</x:v>
      </x:c>
      <x:c r="W585" s="34" t="str">
        <x:v>P3</x:v>
      </x:c>
      <x:c r="X585" s="34" t="str">
        <x:v>PORT-8384667F6B8E</x:v>
      </x:c>
      <x:c r="Y585" s="34" t="n">
        <x:v>1000</x:v>
      </x:c>
      <x:c r="Z585" s="34" t="n">
        <x:v>52.648848</x:v>
      </x:c>
      <x:c r="AA585" s="34" t="n">
        <x:v>13.124199</x:v>
      </x:c>
      <x:c r="AB585" s="34" t="n">
        <x:v>96.451092</x:v>
      </x:c>
      <x:c r="AC585" s="34" t="n">
        <x:v>4978.625</x:v>
      </x:c>
      <x:c r="AD585" s="34" t="n">
        <x:v>51.618125</x:v>
      </x:c>
      <x:c r="AE585" s="40" t="b">
        <x:v>1</x:v>
      </x:c>
      <x:c r="AF585" s="40" t="b">
        <x:v>1</x:v>
      </x:c>
      <x:c r="AG585" s="34" t="str"/>
      <x:c r="AH585" s="34" t="n">
        <x:v>0</x:v>
      </x:c>
      <x:c r="AI585" s="34" t="str">
        <x:v>9.990856690045291e-05</x:v>
      </x:c>
      <x:c r="AJ585" s="40" t="b">
        <x:v>1</x:v>
      </x:c>
      <x:c r="AK585" s="40" t="b">
        <x:v>1</x:v>
      </x:c>
      <x:c r="AL585" s="40" t="b">
        <x:v>1</x:v>
      </x:c>
      <x:c r="AM585" s="40" t="b">
        <x:v>1</x:v>
      </x:c>
      <x:c r="AN585" s="34" t="str"/>
      <x:c r="AO585" s="34" t="n">
        <x:v>0</x:v>
      </x:c>
      <x:c r="AP585" s="34" t="n">
        <x:v>0</x:v>
      </x:c>
      <x:c r="AQ585" s="34" t="n">
        <x:v>0</x:v>
      </x:c>
      <x:c r="AR585" s="34" t="n">
        <x:v>1</x:v>
      </x:c>
      <x:c r="AS585" s="34" t="n">
        <x:v>1</x:v>
      </x:c>
      <x:c r="AT585" s="34" t="n">
        <x:v>0.28332</x:v>
      </x:c>
      <x:c r="AU585" s="34" t="n">
        <x:v>0.6</x:v>
      </x:c>
      <x:c r="AV585" s="34" t="n">
        <x:v>1.06</x:v>
      </x:c>
    </x:row>
    <x:row r="586">
      <x:c r="A586" s="34" t="str">
        <x:v>KOBE_STEEL_JP</x:v>
      </x:c>
      <x:c r="B586" s="34" t="str">
        <x:v>Kobe Steel</x:v>
      </x:c>
      <x:c r="C586" s="34" t="str">
        <x:v>DISCLOSED_PATH</x:v>
      </x:c>
      <x:c r="D586" s="34" t="str">
        <x:v>P3</x:v>
      </x:c>
      <x:c r="E586" s="34" t="n">
        <x:v>2040</x:v>
      </x:c>
      <x:c r="F586" s="34" t="n">
        <x:v>3</x:v>
      </x:c>
      <x:c r="G586" s="34" t="n">
        <x:v>3.1815</x:v>
      </x:c>
      <x:c r="H586" s="34" t="n">
        <x:v>5</x:v>
      </x:c>
      <x:c r="I586" s="34" t="n">
        <x:v>1.8185</x:v>
      </x:c>
      <x:c r="J586" s="34" t="n">
        <x:v>63.63</x:v>
      </x:c>
      <x:c r="K586" s="34" t="n">
        <x:v>0.16005</x:v>
      </x:c>
      <x:c r="L586" s="34" t="n">
        <x:v>0.8</x:v>
      </x:c>
      <x:c r="M586" s="34" t="n">
        <x:v>0.63995</x:v>
      </x:c>
      <x:c r="N586" s="34" t="n">
        <x:v>20.006</x:v>
      </x:c>
      <x:c r="O586" s="34" t="n">
        <x:v>2.9926</x:v>
      </x:c>
      <x:c r="P586" s="34" t="n">
        <x:v>5</x:v>
      </x:c>
      <x:c r="Q586" s="34" t="n">
        <x:v>2.0074</x:v>
      </x:c>
      <x:c r="R586" s="34" t="n">
        <x:v>59.852</x:v>
      </x:c>
      <x:c r="S586" s="40" t="b">
        <x:v>1</x:v>
      </x:c>
      <x:c r="T586" s="34" t="str">
        <x:v>model_estimate</x:v>
      </x:c>
      <x:c r="U586" s="34" t="str">
        <x:v>Illustrative screening envelope; not an official supply forecast</x:v>
      </x:c>
      <x:c r="V586" s="34" t="str">
        <x:v>CAND-9DD8DD0C56A40D</x:v>
      </x:c>
      <x:c r="W586" s="34" t="str">
        <x:v>P3</x:v>
      </x:c>
      <x:c r="X586" s="34" t="str">
        <x:v>PORT-8384667F6B8E</x:v>
      </x:c>
      <x:c r="Y586" s="34" t="n">
        <x:v>1000</x:v>
      </x:c>
      <x:c r="Z586" s="34" t="n">
        <x:v>52.648848</x:v>
      </x:c>
      <x:c r="AA586" s="34" t="n">
        <x:v>13.124199</x:v>
      </x:c>
      <x:c r="AB586" s="34" t="n">
        <x:v>96.451092</x:v>
      </x:c>
      <x:c r="AC586" s="34" t="n">
        <x:v>4978.625</x:v>
      </x:c>
      <x:c r="AD586" s="34" t="n">
        <x:v>51.618125</x:v>
      </x:c>
      <x:c r="AE586" s="40" t="b">
        <x:v>1</x:v>
      </x:c>
      <x:c r="AF586" s="40" t="b">
        <x:v>1</x:v>
      </x:c>
      <x:c r="AG586" s="34" t="str"/>
      <x:c r="AH586" s="34" t="n">
        <x:v>0</x:v>
      </x:c>
      <x:c r="AI586" s="34" t="str">
        <x:v>9.990856690045291e-05</x:v>
      </x:c>
      <x:c r="AJ586" s="40" t="b">
        <x:v>1</x:v>
      </x:c>
      <x:c r="AK586" s="40" t="b">
        <x:v>1</x:v>
      </x:c>
      <x:c r="AL586" s="40" t="b">
        <x:v>1</x:v>
      </x:c>
      <x:c r="AM586" s="40" t="b">
        <x:v>1</x:v>
      </x:c>
      <x:c r="AN586" s="34" t="str"/>
      <x:c r="AO586" s="34" t="n">
        <x:v>0</x:v>
      </x:c>
      <x:c r="AP586" s="34" t="n">
        <x:v>0</x:v>
      </x:c>
      <x:c r="AQ586" s="34" t="n">
        <x:v>0</x:v>
      </x:c>
      <x:c r="AR586" s="34" t="n">
        <x:v>1</x:v>
      </x:c>
      <x:c r="AS586" s="34" t="n">
        <x:v>1</x:v>
      </x:c>
      <x:c r="AT586" s="34" t="n">
        <x:v>0.28332</x:v>
      </x:c>
      <x:c r="AU586" s="34" t="n">
        <x:v>0.6</x:v>
      </x:c>
      <x:c r="AV586" s="34" t="n">
        <x:v>1.06</x:v>
      </x:c>
    </x:row>
    <x:row r="587">
      <x:c r="A587" s="34" t="str">
        <x:v>KOBE_STEEL_JP</x:v>
      </x:c>
      <x:c r="B587" s="34" t="str">
        <x:v>Kobe Steel</x:v>
      </x:c>
      <x:c r="C587" s="34" t="str">
        <x:v>ACCELERATED_15C</x:v>
      </x:c>
      <x:c r="D587" s="34" t="str">
        <x:v>P3</x:v>
      </x:c>
      <x:c r="E587" s="34" t="n">
        <x:v>2026</x:v>
      </x:c>
      <x:c r="F587" s="34" t="n">
        <x:v>0</x:v>
      </x:c>
      <x:c r="G587" s="34" t="n">
        <x:v>0</x:v>
      </x:c>
      <x:c r="H587" s="34" t="n">
        <x:v>2</x:v>
      </x:c>
      <x:c r="I587" s="34" t="n">
        <x:v>2</x:v>
      </x:c>
      <x:c r="J587" s="34" t="n">
        <x:v>0</x:v>
      </x:c>
      <x:c r="K587" s="34" t="n">
        <x:v>0</x:v>
      </x:c>
      <x:c r="L587" s="34" t="n">
        <x:v>0.2</x:v>
      </x:c>
      <x:c r="M587" s="34" t="n">
        <x:v>0.2</x:v>
      </x:c>
      <x:c r="N587" s="34" t="n">
        <x:v>0</x:v>
      </x:c>
      <x:c r="O587" s="34" t="n">
        <x:v>0</x:v>
      </x:c>
      <x:c r="P587" s="34" t="n">
        <x:v>1</x:v>
      </x:c>
      <x:c r="Q587" s="34" t="n">
        <x:v>1</x:v>
      </x:c>
      <x:c r="R587" s="34" t="n">
        <x:v>0</x:v>
      </x:c>
      <x:c r="S587" s="40" t="b">
        <x:v>1</x:v>
      </x:c>
      <x:c r="T587" s="34" t="str">
        <x:v>model_interpolation</x:v>
      </x:c>
      <x:c r="U587" s="34" t="str">
        <x:v>Linear interpolation from 2026 to 2030</x:v>
      </x:c>
      <x:c r="V587" s="34" t="str">
        <x:v>CAND-9DD8DD0C56A40D</x:v>
      </x:c>
      <x:c r="W587" s="34" t="str">
        <x:v>P3</x:v>
      </x:c>
      <x:c r="X587" s="34" t="str">
        <x:v>PORT-8384667F6B8E</x:v>
      </x:c>
      <x:c r="Y587" s="34" t="n">
        <x:v>1000</x:v>
      </x:c>
      <x:c r="Z587" s="34" t="n">
        <x:v>40.573625</x:v>
      </x:c>
      <x:c r="AA587" s="34" t="n">
        <x:v>14.047124</x:v>
      </x:c>
      <x:c r="AB587" s="34" t="n">
        <x:v>96.451092</x:v>
      </x:c>
      <x:c r="AC587" s="34" t="n">
        <x:v>3812.491</x:v>
      </x:c>
      <x:c r="AD587" s="34" t="n">
        <x:v>39.527711</x:v>
      </x:c>
      <x:c r="AE587" s="40" t="b">
        <x:v>0</x:v>
      </x:c>
      <x:c r="AF587" s="40" t="b">
        <x:v>0</x:v>
      </x:c>
      <x:c r="AG587" s="34" t="n">
        <x:v>2035</x:v>
      </x:c>
      <x:c r="AH587" s="34" t="n">
        <x:v>0.6138637290849003</x:v>
      </x:c>
      <x:c r="AI587" s="34" t="n">
        <x:v>-0.6138637290849003</x:v>
      </x:c>
      <x:c r="AJ587" s="40" t="b">
        <x:v>1</x:v>
      </x:c>
      <x:c r="AK587" s="40" t="b">
        <x:v>1</x:v>
      </x:c>
      <x:c r="AL587" s="40" t="b">
        <x:v>1</x:v>
      </x:c>
      <x:c r="AM587" s="40" t="b">
        <x:v>1</x:v>
      </x:c>
      <x:c r="AN587" s="34" t="str"/>
      <x:c r="AO587" s="34" t="n">
        <x:v>0</x:v>
      </x:c>
      <x:c r="AP587" s="34" t="n">
        <x:v>0</x:v>
      </x:c>
      <x:c r="AQ587" s="34" t="n">
        <x:v>0</x:v>
      </x:c>
      <x:c r="AR587" s="34" t="n">
        <x:v>1</x:v>
      </x:c>
      <x:c r="AS587" s="34" t="n">
        <x:v>1</x:v>
      </x:c>
      <x:c r="AT587" s="34" t="n">
        <x:v>0.28332</x:v>
      </x:c>
      <x:c r="AU587" s="34" t="n">
        <x:v>0.6</x:v>
      </x:c>
      <x:c r="AV587" s="34" t="n">
        <x:v>1.06</x:v>
      </x:c>
    </x:row>
    <x:row r="588">
      <x:c r="A588" s="34" t="str">
        <x:v>KOBE_STEEL_JP</x:v>
      </x:c>
      <x:c r="B588" s="34" t="str">
        <x:v>Kobe Steel</x:v>
      </x:c>
      <x:c r="C588" s="34" t="str">
        <x:v>ACCELERATED_15C</x:v>
      </x:c>
      <x:c r="D588" s="34" t="str">
        <x:v>P3</x:v>
      </x:c>
      <x:c r="E588" s="34" t="n">
        <x:v>2027</x:v>
      </x:c>
      <x:c r="F588" s="34" t="n">
        <x:v>0</x:v>
      </x:c>
      <x:c r="G588" s="34" t="n">
        <x:v>0</x:v>
      </x:c>
      <x:c r="H588" s="34" t="n">
        <x:v>2.25</x:v>
      </x:c>
      <x:c r="I588" s="34" t="n">
        <x:v>2.25</x:v>
      </x:c>
      <x:c r="J588" s="34" t="n">
        <x:v>0</x:v>
      </x:c>
      <x:c r="K588" s="34" t="n">
        <x:v>0</x:v>
      </x:c>
      <x:c r="L588" s="34" t="n">
        <x:v>0.25</x:v>
      </x:c>
      <x:c r="M588" s="34" t="n">
        <x:v>0.25</x:v>
      </x:c>
      <x:c r="N588" s="34" t="n">
        <x:v>0</x:v>
      </x:c>
      <x:c r="O588" s="34" t="n">
        <x:v>0</x:v>
      </x:c>
      <x:c r="P588" s="34" t="n">
        <x:v>1.375</x:v>
      </x:c>
      <x:c r="Q588" s="34" t="n">
        <x:v>1.375</x:v>
      </x:c>
      <x:c r="R588" s="34" t="n">
        <x:v>0</x:v>
      </x:c>
      <x:c r="S588" s="40" t="b">
        <x:v>1</x:v>
      </x:c>
      <x:c r="T588" s="34" t="str">
        <x:v>model_interpolation</x:v>
      </x:c>
      <x:c r="U588" s="34" t="str">
        <x:v>Linear interpolation from 2026 to 2030</x:v>
      </x:c>
      <x:c r="V588" s="34" t="str">
        <x:v>CAND-9DD8DD0C56A40D</x:v>
      </x:c>
      <x:c r="W588" s="34" t="str">
        <x:v>P3</x:v>
      </x:c>
      <x:c r="X588" s="34" t="str">
        <x:v>PORT-8384667F6B8E</x:v>
      </x:c>
      <x:c r="Y588" s="34" t="n">
        <x:v>1000</x:v>
      </x:c>
      <x:c r="Z588" s="34" t="n">
        <x:v>40.573625</x:v>
      </x:c>
      <x:c r="AA588" s="34" t="n">
        <x:v>14.047124</x:v>
      </x:c>
      <x:c r="AB588" s="34" t="n">
        <x:v>96.451092</x:v>
      </x:c>
      <x:c r="AC588" s="34" t="n">
        <x:v>3812.491</x:v>
      </x:c>
      <x:c r="AD588" s="34" t="n">
        <x:v>39.527711</x:v>
      </x:c>
      <x:c r="AE588" s="40" t="b">
        <x:v>0</x:v>
      </x:c>
      <x:c r="AF588" s="40" t="b">
        <x:v>0</x:v>
      </x:c>
      <x:c r="AG588" s="34" t="n">
        <x:v>2035</x:v>
      </x:c>
      <x:c r="AH588" s="34" t="n">
        <x:v>0.6138637290849003</x:v>
      </x:c>
      <x:c r="AI588" s="34" t="n">
        <x:v>-0.6138637290849003</x:v>
      </x:c>
      <x:c r="AJ588" s="40" t="b">
        <x:v>1</x:v>
      </x:c>
      <x:c r="AK588" s="40" t="b">
        <x:v>1</x:v>
      </x:c>
      <x:c r="AL588" s="40" t="b">
        <x:v>1</x:v>
      </x:c>
      <x:c r="AM588" s="40" t="b">
        <x:v>1</x:v>
      </x:c>
      <x:c r="AN588" s="34" t="str"/>
      <x:c r="AO588" s="34" t="n">
        <x:v>0</x:v>
      </x:c>
      <x:c r="AP588" s="34" t="n">
        <x:v>0</x:v>
      </x:c>
      <x:c r="AQ588" s="34" t="n">
        <x:v>0</x:v>
      </x:c>
      <x:c r="AR588" s="34" t="n">
        <x:v>1</x:v>
      </x:c>
      <x:c r="AS588" s="34" t="n">
        <x:v>1</x:v>
      </x:c>
      <x:c r="AT588" s="34" t="n">
        <x:v>0.28332</x:v>
      </x:c>
      <x:c r="AU588" s="34" t="n">
        <x:v>0.6</x:v>
      </x:c>
      <x:c r="AV588" s="34" t="n">
        <x:v>1.06</x:v>
      </x:c>
    </x:row>
    <x:row r="589">
      <x:c r="A589" s="34" t="str">
        <x:v>KOBE_STEEL_JP</x:v>
      </x:c>
      <x:c r="B589" s="34" t="str">
        <x:v>Kobe Steel</x:v>
      </x:c>
      <x:c r="C589" s="34" t="str">
        <x:v>ACCELERATED_15C</x:v>
      </x:c>
      <x:c r="D589" s="34" t="str">
        <x:v>P3</x:v>
      </x:c>
      <x:c r="E589" s="34" t="n">
        <x:v>2028</x:v>
      </x:c>
      <x:c r="F589" s="34" t="n">
        <x:v>0</x:v>
      </x:c>
      <x:c r="G589" s="34" t="n">
        <x:v>0</x:v>
      </x:c>
      <x:c r="H589" s="34" t="n">
        <x:v>2.5</x:v>
      </x:c>
      <x:c r="I589" s="34" t="n">
        <x:v>2.5</x:v>
      </x:c>
      <x:c r="J589" s="34" t="n">
        <x:v>0</x:v>
      </x:c>
      <x:c r="K589" s="34" t="n">
        <x:v>0</x:v>
      </x:c>
      <x:c r="L589" s="34" t="n">
        <x:v>0.30000000000000004</x:v>
      </x:c>
      <x:c r="M589" s="34" t="n">
        <x:v>0.3</x:v>
      </x:c>
      <x:c r="N589" s="34" t="n">
        <x:v>0</x:v>
      </x:c>
      <x:c r="O589" s="34" t="n">
        <x:v>0</x:v>
      </x:c>
      <x:c r="P589" s="34" t="n">
        <x:v>1.75</x:v>
      </x:c>
      <x:c r="Q589" s="34" t="n">
        <x:v>1.75</x:v>
      </x:c>
      <x:c r="R589" s="34" t="n">
        <x:v>0</x:v>
      </x:c>
      <x:c r="S589" s="40" t="b">
        <x:v>1</x:v>
      </x:c>
      <x:c r="T589" s="34" t="str">
        <x:v>model_interpolation</x:v>
      </x:c>
      <x:c r="U589" s="34" t="str">
        <x:v>Linear interpolation from 2026 to 2030</x:v>
      </x:c>
      <x:c r="V589" s="34" t="str">
        <x:v>CAND-9DD8DD0C56A40D</x:v>
      </x:c>
      <x:c r="W589" s="34" t="str">
        <x:v>P3</x:v>
      </x:c>
      <x:c r="X589" s="34" t="str">
        <x:v>PORT-8384667F6B8E</x:v>
      </x:c>
      <x:c r="Y589" s="34" t="n">
        <x:v>1000</x:v>
      </x:c>
      <x:c r="Z589" s="34" t="n">
        <x:v>40.573625</x:v>
      </x:c>
      <x:c r="AA589" s="34" t="n">
        <x:v>14.047124</x:v>
      </x:c>
      <x:c r="AB589" s="34" t="n">
        <x:v>96.451092</x:v>
      </x:c>
      <x:c r="AC589" s="34" t="n">
        <x:v>3812.491</x:v>
      </x:c>
      <x:c r="AD589" s="34" t="n">
        <x:v>39.527711</x:v>
      </x:c>
      <x:c r="AE589" s="40" t="b">
        <x:v>0</x:v>
      </x:c>
      <x:c r="AF589" s="40" t="b">
        <x:v>0</x:v>
      </x:c>
      <x:c r="AG589" s="34" t="n">
        <x:v>2035</x:v>
      </x:c>
      <x:c r="AH589" s="34" t="n">
        <x:v>0.6138637290849003</x:v>
      </x:c>
      <x:c r="AI589" s="34" t="n">
        <x:v>-0.6138637290849003</x:v>
      </x:c>
      <x:c r="AJ589" s="40" t="b">
        <x:v>1</x:v>
      </x:c>
      <x:c r="AK589" s="40" t="b">
        <x:v>1</x:v>
      </x:c>
      <x:c r="AL589" s="40" t="b">
        <x:v>1</x:v>
      </x:c>
      <x:c r="AM589" s="40" t="b">
        <x:v>1</x:v>
      </x:c>
      <x:c r="AN589" s="34" t="str"/>
      <x:c r="AO589" s="34" t="n">
        <x:v>0</x:v>
      </x:c>
      <x:c r="AP589" s="34" t="n">
        <x:v>0</x:v>
      </x:c>
      <x:c r="AQ589" s="34" t="n">
        <x:v>0</x:v>
      </x:c>
      <x:c r="AR589" s="34" t="n">
        <x:v>1</x:v>
      </x:c>
      <x:c r="AS589" s="34" t="n">
        <x:v>1</x:v>
      </x:c>
      <x:c r="AT589" s="34" t="n">
        <x:v>0.28332</x:v>
      </x:c>
      <x:c r="AU589" s="34" t="n">
        <x:v>0.6</x:v>
      </x:c>
      <x:c r="AV589" s="34" t="n">
        <x:v>1.06</x:v>
      </x:c>
    </x:row>
    <x:row r="590">
      <x:c r="A590" s="34" t="str">
        <x:v>KOBE_STEEL_JP</x:v>
      </x:c>
      <x:c r="B590" s="34" t="str">
        <x:v>Kobe Steel</x:v>
      </x:c>
      <x:c r="C590" s="34" t="str">
        <x:v>ACCELERATED_15C</x:v>
      </x:c>
      <x:c r="D590" s="34" t="str">
        <x:v>P3</x:v>
      </x:c>
      <x:c r="E590" s="34" t="n">
        <x:v>2029</x:v>
      </x:c>
      <x:c r="F590" s="34" t="n">
        <x:v>1</x:v>
      </x:c>
      <x:c r="G590" s="34" t="n">
        <x:v>2.655</x:v>
      </x:c>
      <x:c r="H590" s="34" t="n">
        <x:v>2.75</x:v>
      </x:c>
      <x:c r="I590" s="34" t="n">
        <x:v>0.095</x:v>
      </x:c>
      <x:c r="J590" s="34" t="n">
        <x:v>96.545</x:v>
      </x:c>
      <x:c r="K590" s="34" t="n">
        <x:v>0</x:v>
      </x:c>
      <x:c r="L590" s="34" t="n">
        <x:v>0.35000000000000003</x:v>
      </x:c>
      <x:c r="M590" s="34" t="n">
        <x:v>0.35</x:v>
      </x:c>
      <x:c r="N590" s="34" t="n">
        <x:v>0</x:v>
      </x:c>
      <x:c r="O590" s="34" t="n">
        <x:v>1.652</x:v>
      </x:c>
      <x:c r="P590" s="34" t="n">
        <x:v>2.125</x:v>
      </x:c>
      <x:c r="Q590" s="34" t="n">
        <x:v>0.473</x:v>
      </x:c>
      <x:c r="R590" s="34" t="n">
        <x:v>77.741</x:v>
      </x:c>
      <x:c r="S590" s="40" t="b">
        <x:v>1</x:v>
      </x:c>
      <x:c r="T590" s="34" t="str">
        <x:v>model_interpolation</x:v>
      </x:c>
      <x:c r="U590" s="34" t="str">
        <x:v>Linear interpolation from 2026 to 2030</x:v>
      </x:c>
      <x:c r="V590" s="34" t="str">
        <x:v>CAND-9DD8DD0C56A40D</x:v>
      </x:c>
      <x:c r="W590" s="34" t="str">
        <x:v>P3</x:v>
      </x:c>
      <x:c r="X590" s="34" t="str">
        <x:v>PORT-8384667F6B8E</x:v>
      </x:c>
      <x:c r="Y590" s="34" t="n">
        <x:v>1000</x:v>
      </x:c>
      <x:c r="Z590" s="34" t="n">
        <x:v>40.573625</x:v>
      </x:c>
      <x:c r="AA590" s="34" t="n">
        <x:v>14.047124</x:v>
      </x:c>
      <x:c r="AB590" s="34" t="n">
        <x:v>96.451092</x:v>
      </x:c>
      <x:c r="AC590" s="34" t="n">
        <x:v>3812.491</x:v>
      </x:c>
      <x:c r="AD590" s="34" t="n">
        <x:v>39.527711</x:v>
      </x:c>
      <x:c r="AE590" s="40" t="b">
        <x:v>0</x:v>
      </x:c>
      <x:c r="AF590" s="40" t="b">
        <x:v>0</x:v>
      </x:c>
      <x:c r="AG590" s="34" t="n">
        <x:v>2035</x:v>
      </x:c>
      <x:c r="AH590" s="34" t="n">
        <x:v>0.6138637290849003</x:v>
      </x:c>
      <x:c r="AI590" s="34" t="n">
        <x:v>-0.6138637290849003</x:v>
      </x:c>
      <x:c r="AJ590" s="40" t="b">
        <x:v>1</x:v>
      </x:c>
      <x:c r="AK590" s="40" t="b">
        <x:v>1</x:v>
      </x:c>
      <x:c r="AL590" s="40" t="b">
        <x:v>1</x:v>
      </x:c>
      <x:c r="AM590" s="40" t="b">
        <x:v>1</x:v>
      </x:c>
      <x:c r="AN590" s="34" t="str"/>
      <x:c r="AO590" s="34" t="n">
        <x:v>0</x:v>
      </x:c>
      <x:c r="AP590" s="34" t="n">
        <x:v>0</x:v>
      </x:c>
      <x:c r="AQ590" s="34" t="n">
        <x:v>0</x:v>
      </x:c>
      <x:c r="AR590" s="34" t="n">
        <x:v>1</x:v>
      </x:c>
      <x:c r="AS590" s="34" t="n">
        <x:v>1</x:v>
      </x:c>
      <x:c r="AT590" s="34" t="n">
        <x:v>0.28332</x:v>
      </x:c>
      <x:c r="AU590" s="34" t="n">
        <x:v>0.6</x:v>
      </x:c>
      <x:c r="AV590" s="34" t="n">
        <x:v>1.06</x:v>
      </x:c>
    </x:row>
    <x:row r="591">
      <x:c r="A591" s="34" t="str">
        <x:v>KOBE_STEEL_JP</x:v>
      </x:c>
      <x:c r="B591" s="34" t="str">
        <x:v>Kobe Steel</x:v>
      </x:c>
      <x:c r="C591" s="34" t="str">
        <x:v>ACCELERATED_15C</x:v>
      </x:c>
      <x:c r="D591" s="34" t="str">
        <x:v>P3</x:v>
      </x:c>
      <x:c r="E591" s="34" t="n">
        <x:v>2030</x:v>
      </x:c>
      <x:c r="F591" s="34" t="n">
        <x:v>1</x:v>
      </x:c>
      <x:c r="G591" s="34" t="n">
        <x:v>2.655</x:v>
      </x:c>
      <x:c r="H591" s="34" t="n">
        <x:v>3</x:v>
      </x:c>
      <x:c r="I591" s="34" t="n">
        <x:v>0.345</x:v>
      </x:c>
      <x:c r="J591" s="34" t="n">
        <x:v>88.5</x:v>
      </x:c>
      <x:c r="K591" s="34" t="n">
        <x:v>0</x:v>
      </x:c>
      <x:c r="L591" s="34" t="n">
        <x:v>0.4</x:v>
      </x:c>
      <x:c r="M591" s="34" t="n">
        <x:v>0.4</x:v>
      </x:c>
      <x:c r="N591" s="34" t="n">
        <x:v>0</x:v>
      </x:c>
      <x:c r="O591" s="34" t="n">
        <x:v>1.652</x:v>
      </x:c>
      <x:c r="P591" s="34" t="n">
        <x:v>2.5</x:v>
      </x:c>
      <x:c r="Q591" s="34" t="n">
        <x:v>0.848</x:v>
      </x:c>
      <x:c r="R591" s="34" t="n">
        <x:v>66.08</x:v>
      </x:c>
      <x:c r="S591" s="40" t="b">
        <x:v>1</x:v>
      </x:c>
      <x:c r="T591" s="34" t="str">
        <x:v>model_interpolation</x:v>
      </x:c>
      <x:c r="U591" s="34" t="str">
        <x:v>Linear interpolation from 2030 to 2035</x:v>
      </x:c>
      <x:c r="V591" s="34" t="str">
        <x:v>CAND-9DD8DD0C56A40D</x:v>
      </x:c>
      <x:c r="W591" s="34" t="str">
        <x:v>P3</x:v>
      </x:c>
      <x:c r="X591" s="34" t="str">
        <x:v>PORT-8384667F6B8E</x:v>
      </x:c>
      <x:c r="Y591" s="34" t="n">
        <x:v>1000</x:v>
      </x:c>
      <x:c r="Z591" s="34" t="n">
        <x:v>40.573625</x:v>
      </x:c>
      <x:c r="AA591" s="34" t="n">
        <x:v>14.047124</x:v>
      </x:c>
      <x:c r="AB591" s="34" t="n">
        <x:v>96.451092</x:v>
      </x:c>
      <x:c r="AC591" s="34" t="n">
        <x:v>3812.491</x:v>
      </x:c>
      <x:c r="AD591" s="34" t="n">
        <x:v>39.527711</x:v>
      </x:c>
      <x:c r="AE591" s="40" t="b">
        <x:v>0</x:v>
      </x:c>
      <x:c r="AF591" s="40" t="b">
        <x:v>0</x:v>
      </x:c>
      <x:c r="AG591" s="34" t="n">
        <x:v>2035</x:v>
      </x:c>
      <x:c r="AH591" s="34" t="n">
        <x:v>0.6138637290849003</x:v>
      </x:c>
      <x:c r="AI591" s="34" t="n">
        <x:v>-0.6138637290849003</x:v>
      </x:c>
      <x:c r="AJ591" s="40" t="b">
        <x:v>1</x:v>
      </x:c>
      <x:c r="AK591" s="40" t="b">
        <x:v>1</x:v>
      </x:c>
      <x:c r="AL591" s="40" t="b">
        <x:v>1</x:v>
      </x:c>
      <x:c r="AM591" s="40" t="b">
        <x:v>1</x:v>
      </x:c>
      <x:c r="AN591" s="34" t="str"/>
      <x:c r="AO591" s="34" t="n">
        <x:v>0</x:v>
      </x:c>
      <x:c r="AP591" s="34" t="n">
        <x:v>0</x:v>
      </x:c>
      <x:c r="AQ591" s="34" t="n">
        <x:v>0</x:v>
      </x:c>
      <x:c r="AR591" s="34" t="n">
        <x:v>1</x:v>
      </x:c>
      <x:c r="AS591" s="34" t="n">
        <x:v>1</x:v>
      </x:c>
      <x:c r="AT591" s="34" t="n">
        <x:v>0.28332</x:v>
      </x:c>
      <x:c r="AU591" s="34" t="n">
        <x:v>0.6</x:v>
      </x:c>
      <x:c r="AV591" s="34" t="n">
        <x:v>1.06</x:v>
      </x:c>
    </x:row>
    <x:row r="592">
      <x:c r="A592" s="34" t="str">
        <x:v>KOBE_STEEL_JP</x:v>
      </x:c>
      <x:c r="B592" s="34" t="str">
        <x:v>Kobe Steel</x:v>
      </x:c>
      <x:c r="C592" s="34" t="str">
        <x:v>ACCELERATED_15C</x:v>
      </x:c>
      <x:c r="D592" s="34" t="str">
        <x:v>P3</x:v>
      </x:c>
      <x:c r="E592" s="34" t="n">
        <x:v>2031</x:v>
      </x:c>
      <x:c r="F592" s="34" t="n">
        <x:v>1</x:v>
      </x:c>
      <x:c r="G592" s="34" t="n">
        <x:v>2.655</x:v>
      </x:c>
      <x:c r="H592" s="34" t="n">
        <x:v>3.4</x:v>
      </x:c>
      <x:c r="I592" s="34" t="n">
        <x:v>0.745</x:v>
      </x:c>
      <x:c r="J592" s="34" t="n">
        <x:v>78.088</x:v>
      </x:c>
      <x:c r="K592" s="34" t="n">
        <x:v>0</x:v>
      </x:c>
      <x:c r="L592" s="34" t="n">
        <x:v>0.44</x:v>
      </x:c>
      <x:c r="M592" s="34" t="n">
        <x:v>0.44</x:v>
      </x:c>
      <x:c r="N592" s="34" t="n">
        <x:v>0</x:v>
      </x:c>
      <x:c r="O592" s="34" t="n">
        <x:v>1.652</x:v>
      </x:c>
      <x:c r="P592" s="34" t="n">
        <x:v>2.8</x:v>
      </x:c>
      <x:c r="Q592" s="34" t="n">
        <x:v>1.148</x:v>
      </x:c>
      <x:c r="R592" s="34" t="n">
        <x:v>59</x:v>
      </x:c>
      <x:c r="S592" s="40" t="b">
        <x:v>1</x:v>
      </x:c>
      <x:c r="T592" s="34" t="str">
        <x:v>model_interpolation</x:v>
      </x:c>
      <x:c r="U592" s="34" t="str">
        <x:v>Linear interpolation from 2030 to 2035</x:v>
      </x:c>
      <x:c r="V592" s="34" t="str">
        <x:v>CAND-9DD8DD0C56A40D</x:v>
      </x:c>
      <x:c r="W592" s="34" t="str">
        <x:v>P3</x:v>
      </x:c>
      <x:c r="X592" s="34" t="str">
        <x:v>PORT-8384667F6B8E</x:v>
      </x:c>
      <x:c r="Y592" s="34" t="n">
        <x:v>1000</x:v>
      </x:c>
      <x:c r="Z592" s="34" t="n">
        <x:v>40.573625</x:v>
      </x:c>
      <x:c r="AA592" s="34" t="n">
        <x:v>14.047124</x:v>
      </x:c>
      <x:c r="AB592" s="34" t="n">
        <x:v>96.451092</x:v>
      </x:c>
      <x:c r="AC592" s="34" t="n">
        <x:v>3812.491</x:v>
      </x:c>
      <x:c r="AD592" s="34" t="n">
        <x:v>39.527711</x:v>
      </x:c>
      <x:c r="AE592" s="40" t="b">
        <x:v>0</x:v>
      </x:c>
      <x:c r="AF592" s="40" t="b">
        <x:v>0</x:v>
      </x:c>
      <x:c r="AG592" s="34" t="n">
        <x:v>2035</x:v>
      </x:c>
      <x:c r="AH592" s="34" t="n">
        <x:v>0.6138637290849003</x:v>
      </x:c>
      <x:c r="AI592" s="34" t="n">
        <x:v>-0.6138637290849003</x:v>
      </x:c>
      <x:c r="AJ592" s="40" t="b">
        <x:v>1</x:v>
      </x:c>
      <x:c r="AK592" s="40" t="b">
        <x:v>1</x:v>
      </x:c>
      <x:c r="AL592" s="40" t="b">
        <x:v>1</x:v>
      </x:c>
      <x:c r="AM592" s="40" t="b">
        <x:v>1</x:v>
      </x:c>
      <x:c r="AN592" s="34" t="str"/>
      <x:c r="AO592" s="34" t="n">
        <x:v>0</x:v>
      </x:c>
      <x:c r="AP592" s="34" t="n">
        <x:v>0</x:v>
      </x:c>
      <x:c r="AQ592" s="34" t="n">
        <x:v>0</x:v>
      </x:c>
      <x:c r="AR592" s="34" t="n">
        <x:v>1</x:v>
      </x:c>
      <x:c r="AS592" s="34" t="n">
        <x:v>1</x:v>
      </x:c>
      <x:c r="AT592" s="34" t="n">
        <x:v>0.28332</x:v>
      </x:c>
      <x:c r="AU592" s="34" t="n">
        <x:v>0.6</x:v>
      </x:c>
      <x:c r="AV592" s="34" t="n">
        <x:v>1.06</x:v>
      </x:c>
    </x:row>
    <x:row r="593">
      <x:c r="A593" s="34" t="str">
        <x:v>KOBE_STEEL_JP</x:v>
      </x:c>
      <x:c r="B593" s="34" t="str">
        <x:v>Kobe Steel</x:v>
      </x:c>
      <x:c r="C593" s="34" t="str">
        <x:v>ACCELERATED_15C</x:v>
      </x:c>
      <x:c r="D593" s="34" t="str">
        <x:v>P3</x:v>
      </x:c>
      <x:c r="E593" s="34" t="n">
        <x:v>2032</x:v>
      </x:c>
      <x:c r="F593" s="34" t="n">
        <x:v>1</x:v>
      </x:c>
      <x:c r="G593" s="34" t="n">
        <x:v>2.655</x:v>
      </x:c>
      <x:c r="H593" s="34" t="n">
        <x:v>3.8</x:v>
      </x:c>
      <x:c r="I593" s="34" t="n">
        <x:v>1.145</x:v>
      </x:c>
      <x:c r="J593" s="34" t="n">
        <x:v>69.868</x:v>
      </x:c>
      <x:c r="K593" s="34" t="n">
        <x:v>0</x:v>
      </x:c>
      <x:c r="L593" s="34" t="n">
        <x:v>0.48</x:v>
      </x:c>
      <x:c r="M593" s="34" t="n">
        <x:v>0.48</x:v>
      </x:c>
      <x:c r="N593" s="34" t="n">
        <x:v>0</x:v>
      </x:c>
      <x:c r="O593" s="34" t="n">
        <x:v>1.652</x:v>
      </x:c>
      <x:c r="P593" s="34" t="n">
        <x:v>3.1</x:v>
      </x:c>
      <x:c r="Q593" s="34" t="n">
        <x:v>1.448</x:v>
      </x:c>
      <x:c r="R593" s="34" t="n">
        <x:v>53.29</x:v>
      </x:c>
      <x:c r="S593" s="40" t="b">
        <x:v>1</x:v>
      </x:c>
      <x:c r="T593" s="34" t="str">
        <x:v>model_interpolation</x:v>
      </x:c>
      <x:c r="U593" s="34" t="str">
        <x:v>Linear interpolation from 2030 to 2035</x:v>
      </x:c>
      <x:c r="V593" s="34" t="str">
        <x:v>CAND-9DD8DD0C56A40D</x:v>
      </x:c>
      <x:c r="W593" s="34" t="str">
        <x:v>P3</x:v>
      </x:c>
      <x:c r="X593" s="34" t="str">
        <x:v>PORT-8384667F6B8E</x:v>
      </x:c>
      <x:c r="Y593" s="34" t="n">
        <x:v>1000</x:v>
      </x:c>
      <x:c r="Z593" s="34" t="n">
        <x:v>40.573625</x:v>
      </x:c>
      <x:c r="AA593" s="34" t="n">
        <x:v>14.047124</x:v>
      </x:c>
      <x:c r="AB593" s="34" t="n">
        <x:v>96.451092</x:v>
      </x:c>
      <x:c r="AC593" s="34" t="n">
        <x:v>3812.491</x:v>
      </x:c>
      <x:c r="AD593" s="34" t="n">
        <x:v>39.527711</x:v>
      </x:c>
      <x:c r="AE593" s="40" t="b">
        <x:v>0</x:v>
      </x:c>
      <x:c r="AF593" s="40" t="b">
        <x:v>0</x:v>
      </x:c>
      <x:c r="AG593" s="34" t="n">
        <x:v>2035</x:v>
      </x:c>
      <x:c r="AH593" s="34" t="n">
        <x:v>0.6138637290849003</x:v>
      </x:c>
      <x:c r="AI593" s="34" t="n">
        <x:v>-0.6138637290849003</x:v>
      </x:c>
      <x:c r="AJ593" s="40" t="b">
        <x:v>1</x:v>
      </x:c>
      <x:c r="AK593" s="40" t="b">
        <x:v>1</x:v>
      </x:c>
      <x:c r="AL593" s="40" t="b">
        <x:v>1</x:v>
      </x:c>
      <x:c r="AM593" s="40" t="b">
        <x:v>1</x:v>
      </x:c>
      <x:c r="AN593" s="34" t="str"/>
      <x:c r="AO593" s="34" t="n">
        <x:v>0</x:v>
      </x:c>
      <x:c r="AP593" s="34" t="n">
        <x:v>0</x:v>
      </x:c>
      <x:c r="AQ593" s="34" t="n">
        <x:v>0</x:v>
      </x:c>
      <x:c r="AR593" s="34" t="n">
        <x:v>1</x:v>
      </x:c>
      <x:c r="AS593" s="34" t="n">
        <x:v>1</x:v>
      </x:c>
      <x:c r="AT593" s="34" t="n">
        <x:v>0.28332</x:v>
      </x:c>
      <x:c r="AU593" s="34" t="n">
        <x:v>0.6</x:v>
      </x:c>
      <x:c r="AV593" s="34" t="n">
        <x:v>1.06</x:v>
      </x:c>
    </x:row>
    <x:row r="594">
      <x:c r="A594" s="34" t="str">
        <x:v>KOBE_STEEL_JP</x:v>
      </x:c>
      <x:c r="B594" s="34" t="str">
        <x:v>Kobe Steel</x:v>
      </x:c>
      <x:c r="C594" s="34" t="str">
        <x:v>ACCELERATED_15C</x:v>
      </x:c>
      <x:c r="D594" s="34" t="str">
        <x:v>P3</x:v>
      </x:c>
      <x:c r="E594" s="34" t="n">
        <x:v>2033</x:v>
      </x:c>
      <x:c r="F594" s="34" t="n">
        <x:v>2</x:v>
      </x:c>
      <x:c r="G594" s="34" t="n">
        <x:v>2.745</x:v>
      </x:c>
      <x:c r="H594" s="34" t="n">
        <x:v>4.2</x:v>
      </x:c>
      <x:c r="I594" s="34" t="n">
        <x:v>1.455</x:v>
      </x:c>
      <x:c r="J594" s="34" t="n">
        <x:v>65.357</x:v>
      </x:c>
      <x:c r="K594" s="34" t="n">
        <x:v>0</x:v>
      </x:c>
      <x:c r="L594" s="34" t="n">
        <x:v>0.52</x:v>
      </x:c>
      <x:c r="M594" s="34" t="n">
        <x:v>0.52</x:v>
      </x:c>
      <x:c r="N594" s="34" t="n">
        <x:v>0</x:v>
      </x:c>
      <x:c r="O594" s="34" t="n">
        <x:v>1.654</x:v>
      </x:c>
      <x:c r="P594" s="34" t="n">
        <x:v>3.4</x:v>
      </x:c>
      <x:c r="Q594" s="34" t="n">
        <x:v>1.746</x:v>
      </x:c>
      <x:c r="R594" s="34" t="n">
        <x:v>48.647</x:v>
      </x:c>
      <x:c r="S594" s="40" t="b">
        <x:v>1</x:v>
      </x:c>
      <x:c r="T594" s="34" t="str">
        <x:v>model_interpolation</x:v>
      </x:c>
      <x:c r="U594" s="34" t="str">
        <x:v>Linear interpolation from 2030 to 2035</x:v>
      </x:c>
      <x:c r="V594" s="34" t="str">
        <x:v>CAND-9DD8DD0C56A40D</x:v>
      </x:c>
      <x:c r="W594" s="34" t="str">
        <x:v>P3</x:v>
      </x:c>
      <x:c r="X594" s="34" t="str">
        <x:v>PORT-8384667F6B8E</x:v>
      </x:c>
      <x:c r="Y594" s="34" t="n">
        <x:v>1000</x:v>
      </x:c>
      <x:c r="Z594" s="34" t="n">
        <x:v>40.573625</x:v>
      </x:c>
      <x:c r="AA594" s="34" t="n">
        <x:v>14.047124</x:v>
      </x:c>
      <x:c r="AB594" s="34" t="n">
        <x:v>96.451092</x:v>
      </x:c>
      <x:c r="AC594" s="34" t="n">
        <x:v>3812.491</x:v>
      </x:c>
      <x:c r="AD594" s="34" t="n">
        <x:v>39.527711</x:v>
      </x:c>
      <x:c r="AE594" s="40" t="b">
        <x:v>0</x:v>
      </x:c>
      <x:c r="AF594" s="40" t="b">
        <x:v>0</x:v>
      </x:c>
      <x:c r="AG594" s="34" t="n">
        <x:v>2035</x:v>
      </x:c>
      <x:c r="AH594" s="34" t="n">
        <x:v>0.6138637290849003</x:v>
      </x:c>
      <x:c r="AI594" s="34" t="n">
        <x:v>-0.6138637290849003</x:v>
      </x:c>
      <x:c r="AJ594" s="40" t="b">
        <x:v>1</x:v>
      </x:c>
      <x:c r="AK594" s="40" t="b">
        <x:v>1</x:v>
      </x:c>
      <x:c r="AL594" s="40" t="b">
        <x:v>1</x:v>
      </x:c>
      <x:c r="AM594" s="40" t="b">
        <x:v>1</x:v>
      </x:c>
      <x:c r="AN594" s="34" t="str"/>
      <x:c r="AO594" s="34" t="n">
        <x:v>0</x:v>
      </x:c>
      <x:c r="AP594" s="34" t="n">
        <x:v>0</x:v>
      </x:c>
      <x:c r="AQ594" s="34" t="n">
        <x:v>0</x:v>
      </x:c>
      <x:c r="AR594" s="34" t="n">
        <x:v>1</x:v>
      </x:c>
      <x:c r="AS594" s="34" t="n">
        <x:v>1</x:v>
      </x:c>
      <x:c r="AT594" s="34" t="n">
        <x:v>0.28332</x:v>
      </x:c>
      <x:c r="AU594" s="34" t="n">
        <x:v>0.6</x:v>
      </x:c>
      <x:c r="AV594" s="34" t="n">
        <x:v>1.06</x:v>
      </x:c>
    </x:row>
    <x:row r="595">
      <x:c r="A595" s="34" t="str">
        <x:v>KOBE_STEEL_JP</x:v>
      </x:c>
      <x:c r="B595" s="34" t="str">
        <x:v>Kobe Steel</x:v>
      </x:c>
      <x:c r="C595" s="34" t="str">
        <x:v>ACCELERATED_15C</x:v>
      </x:c>
      <x:c r="D595" s="34" t="str">
        <x:v>P3</x:v>
      </x:c>
      <x:c r="E595" s="34" t="n">
        <x:v>2034</x:v>
      </x:c>
      <x:c r="F595" s="34" t="n">
        <x:v>2</x:v>
      </x:c>
      <x:c r="G595" s="34" t="n">
        <x:v>2.745</x:v>
      </x:c>
      <x:c r="H595" s="34" t="n">
        <x:v>4.6</x:v>
      </x:c>
      <x:c r="I595" s="34" t="n">
        <x:v>1.855</x:v>
      </x:c>
      <x:c r="J595" s="34" t="n">
        <x:v>59.674</x:v>
      </x:c>
      <x:c r="K595" s="34" t="n">
        <x:v>0</x:v>
      </x:c>
      <x:c r="L595" s="34" t="n">
        <x:v>0.56</x:v>
      </x:c>
      <x:c r="M595" s="34" t="n">
        <x:v>0.56</x:v>
      </x:c>
      <x:c r="N595" s="34" t="n">
        <x:v>0</x:v>
      </x:c>
      <x:c r="O595" s="34" t="n">
        <x:v>1.654</x:v>
      </x:c>
      <x:c r="P595" s="34" t="n">
        <x:v>3.7</x:v>
      </x:c>
      <x:c r="Q595" s="34" t="n">
        <x:v>2.046</x:v>
      </x:c>
      <x:c r="R595" s="34" t="n">
        <x:v>44.703</x:v>
      </x:c>
      <x:c r="S595" s="40" t="b">
        <x:v>1</x:v>
      </x:c>
      <x:c r="T595" s="34" t="str">
        <x:v>model_interpolation</x:v>
      </x:c>
      <x:c r="U595" s="34" t="str">
        <x:v>Linear interpolation from 2030 to 2035</x:v>
      </x:c>
      <x:c r="V595" s="34" t="str">
        <x:v>CAND-9DD8DD0C56A40D</x:v>
      </x:c>
      <x:c r="W595" s="34" t="str">
        <x:v>P3</x:v>
      </x:c>
      <x:c r="X595" s="34" t="str">
        <x:v>PORT-8384667F6B8E</x:v>
      </x:c>
      <x:c r="Y595" s="34" t="n">
        <x:v>1000</x:v>
      </x:c>
      <x:c r="Z595" s="34" t="n">
        <x:v>40.573625</x:v>
      </x:c>
      <x:c r="AA595" s="34" t="n">
        <x:v>14.047124</x:v>
      </x:c>
      <x:c r="AB595" s="34" t="n">
        <x:v>96.451092</x:v>
      </x:c>
      <x:c r="AC595" s="34" t="n">
        <x:v>3812.491</x:v>
      </x:c>
      <x:c r="AD595" s="34" t="n">
        <x:v>39.527711</x:v>
      </x:c>
      <x:c r="AE595" s="40" t="b">
        <x:v>0</x:v>
      </x:c>
      <x:c r="AF595" s="40" t="b">
        <x:v>0</x:v>
      </x:c>
      <x:c r="AG595" s="34" t="n">
        <x:v>2035</x:v>
      </x:c>
      <x:c r="AH595" s="34" t="n">
        <x:v>0.6138637290849003</x:v>
      </x:c>
      <x:c r="AI595" s="34" t="n">
        <x:v>-0.6138637290849003</x:v>
      </x:c>
      <x:c r="AJ595" s="40" t="b">
        <x:v>1</x:v>
      </x:c>
      <x:c r="AK595" s="40" t="b">
        <x:v>1</x:v>
      </x:c>
      <x:c r="AL595" s="40" t="b">
        <x:v>1</x:v>
      </x:c>
      <x:c r="AM595" s="40" t="b">
        <x:v>1</x:v>
      </x:c>
      <x:c r="AN595" s="34" t="str"/>
      <x:c r="AO595" s="34" t="n">
        <x:v>0</x:v>
      </x:c>
      <x:c r="AP595" s="34" t="n">
        <x:v>0</x:v>
      </x:c>
      <x:c r="AQ595" s="34" t="n">
        <x:v>0</x:v>
      </x:c>
      <x:c r="AR595" s="34" t="n">
        <x:v>1</x:v>
      </x:c>
      <x:c r="AS595" s="34" t="n">
        <x:v>1</x:v>
      </x:c>
      <x:c r="AT595" s="34" t="n">
        <x:v>0.28332</x:v>
      </x:c>
      <x:c r="AU595" s="34" t="n">
        <x:v>0.6</x:v>
      </x:c>
      <x:c r="AV595" s="34" t="n">
        <x:v>1.06</x:v>
      </x:c>
    </x:row>
    <x:row r="596">
      <x:c r="A596" s="34" t="str">
        <x:v>KOBE_STEEL_JP</x:v>
      </x:c>
      <x:c r="B596" s="34" t="str">
        <x:v>Kobe Steel</x:v>
      </x:c>
      <x:c r="C596" s="34" t="str">
        <x:v>ACCELERATED_15C</x:v>
      </x:c>
      <x:c r="D596" s="34" t="str">
        <x:v>P3</x:v>
      </x:c>
      <x:c r="E596" s="34" t="n">
        <x:v>2035</x:v>
      </x:c>
      <x:c r="F596" s="34" t="n">
        <x:v>2</x:v>
      </x:c>
      <x:c r="G596" s="34" t="n">
        <x:v>2.745</x:v>
      </x:c>
      <x:c r="H596" s="34" t="n">
        <x:v>5</x:v>
      </x:c>
      <x:c r="I596" s="34" t="n">
        <x:v>2.255</x:v>
      </x:c>
      <x:c r="J596" s="34" t="n">
        <x:v>54.9</x:v>
      </x:c>
      <x:c r="K596" s="34" t="n">
        <x:v>0</x:v>
      </x:c>
      <x:c r="L596" s="34" t="n">
        <x:v>0.6</x:v>
      </x:c>
      <x:c r="M596" s="34" t="n">
        <x:v>0.6</x:v>
      </x:c>
      <x:c r="N596" s="34" t="n">
        <x:v>0</x:v>
      </x:c>
      <x:c r="O596" s="34" t="n">
        <x:v>1.654</x:v>
      </x:c>
      <x:c r="P596" s="34" t="n">
        <x:v>4</x:v>
      </x:c>
      <x:c r="Q596" s="34" t="n">
        <x:v>2.346</x:v>
      </x:c>
      <x:c r="R596" s="34" t="n">
        <x:v>41.35</x:v>
      </x:c>
      <x:c r="S596" s="40" t="b">
        <x:v>1</x:v>
      </x:c>
      <x:c r="T596" s="34" t="str">
        <x:v>model_interpolation</x:v>
      </x:c>
      <x:c r="U596" s="34" t="str">
        <x:v>Linear interpolation from 2035 to 2040</x:v>
      </x:c>
      <x:c r="V596" s="34" t="str">
        <x:v>CAND-9DD8DD0C56A40D</x:v>
      </x:c>
      <x:c r="W596" s="34" t="str">
        <x:v>P3</x:v>
      </x:c>
      <x:c r="X596" s="34" t="str">
        <x:v>PORT-8384667F6B8E</x:v>
      </x:c>
      <x:c r="Y596" s="34" t="n">
        <x:v>1000</x:v>
      </x:c>
      <x:c r="Z596" s="34" t="n">
        <x:v>40.573625</x:v>
      </x:c>
      <x:c r="AA596" s="34" t="n">
        <x:v>14.047124</x:v>
      </x:c>
      <x:c r="AB596" s="34" t="n">
        <x:v>96.451092</x:v>
      </x:c>
      <x:c r="AC596" s="34" t="n">
        <x:v>3812.491</x:v>
      </x:c>
      <x:c r="AD596" s="34" t="n">
        <x:v>39.527711</x:v>
      </x:c>
      <x:c r="AE596" s="40" t="b">
        <x:v>0</x:v>
      </x:c>
      <x:c r="AF596" s="40" t="b">
        <x:v>0</x:v>
      </x:c>
      <x:c r="AG596" s="34" t="n">
        <x:v>2035</x:v>
      </x:c>
      <x:c r="AH596" s="34" t="n">
        <x:v>0.6138637290849003</x:v>
      </x:c>
      <x:c r="AI596" s="34" t="n">
        <x:v>-0.6138637290849003</x:v>
      </x:c>
      <x:c r="AJ596" s="40" t="b">
        <x:v>1</x:v>
      </x:c>
      <x:c r="AK596" s="40" t="b">
        <x:v>1</x:v>
      </x:c>
      <x:c r="AL596" s="40" t="b">
        <x:v>1</x:v>
      </x:c>
      <x:c r="AM596" s="40" t="b">
        <x:v>1</x:v>
      </x:c>
      <x:c r="AN596" s="34" t="str"/>
      <x:c r="AO596" s="34" t="n">
        <x:v>0</x:v>
      </x:c>
      <x:c r="AP596" s="34" t="n">
        <x:v>0</x:v>
      </x:c>
      <x:c r="AQ596" s="34" t="n">
        <x:v>0</x:v>
      </x:c>
      <x:c r="AR596" s="34" t="n">
        <x:v>1</x:v>
      </x:c>
      <x:c r="AS596" s="34" t="n">
        <x:v>1</x:v>
      </x:c>
      <x:c r="AT596" s="34" t="n">
        <x:v>0.28332</x:v>
      </x:c>
      <x:c r="AU596" s="34" t="n">
        <x:v>0.6</x:v>
      </x:c>
      <x:c r="AV596" s="34" t="n">
        <x:v>1.06</x:v>
      </x:c>
    </x:row>
    <x:row r="597">
      <x:c r="A597" s="34" t="str">
        <x:v>KOBE_STEEL_JP</x:v>
      </x:c>
      <x:c r="B597" s="34" t="str">
        <x:v>Kobe Steel</x:v>
      </x:c>
      <x:c r="C597" s="34" t="str">
        <x:v>ACCELERATED_15C</x:v>
      </x:c>
      <x:c r="D597" s="34" t="str">
        <x:v>P3</x:v>
      </x:c>
      <x:c r="E597" s="34" t="n">
        <x:v>2036</x:v>
      </x:c>
      <x:c r="F597" s="34" t="n">
        <x:v>2</x:v>
      </x:c>
      <x:c r="G597" s="34" t="n">
        <x:v>2.745</x:v>
      </x:c>
      <x:c r="H597" s="34" t="n">
        <x:v>5.2</x:v>
      </x:c>
      <x:c r="I597" s="34" t="n">
        <x:v>2.455</x:v>
      </x:c>
      <x:c r="J597" s="34" t="n">
        <x:v>52.788</x:v>
      </x:c>
      <x:c r="K597" s="34" t="n">
        <x:v>0</x:v>
      </x:c>
      <x:c r="L597" s="34" t="n">
        <x:v>0.6799999999999999</x:v>
      </x:c>
      <x:c r="M597" s="34" t="n">
        <x:v>0.68</x:v>
      </x:c>
      <x:c r="N597" s="34" t="n">
        <x:v>0</x:v>
      </x:c>
      <x:c r="O597" s="34" t="n">
        <x:v>1.654</x:v>
      </x:c>
      <x:c r="P597" s="34" t="n">
        <x:v>4.5</x:v>
      </x:c>
      <x:c r="Q597" s="34" t="n">
        <x:v>2.846</x:v>
      </x:c>
      <x:c r="R597" s="34" t="n">
        <x:v>36.756</x:v>
      </x:c>
      <x:c r="S597" s="40" t="b">
        <x:v>1</x:v>
      </x:c>
      <x:c r="T597" s="34" t="str">
        <x:v>model_interpolation</x:v>
      </x:c>
      <x:c r="U597" s="34" t="str">
        <x:v>Linear interpolation from 2035 to 2040</x:v>
      </x:c>
      <x:c r="V597" s="34" t="str">
        <x:v>CAND-9DD8DD0C56A40D</x:v>
      </x:c>
      <x:c r="W597" s="34" t="str">
        <x:v>P3</x:v>
      </x:c>
      <x:c r="X597" s="34" t="str">
        <x:v>PORT-8384667F6B8E</x:v>
      </x:c>
      <x:c r="Y597" s="34" t="n">
        <x:v>1000</x:v>
      </x:c>
      <x:c r="Z597" s="34" t="n">
        <x:v>40.573625</x:v>
      </x:c>
      <x:c r="AA597" s="34" t="n">
        <x:v>14.047124</x:v>
      </x:c>
      <x:c r="AB597" s="34" t="n">
        <x:v>96.451092</x:v>
      </x:c>
      <x:c r="AC597" s="34" t="n">
        <x:v>3812.491</x:v>
      </x:c>
      <x:c r="AD597" s="34" t="n">
        <x:v>39.527711</x:v>
      </x:c>
      <x:c r="AE597" s="40" t="b">
        <x:v>0</x:v>
      </x:c>
      <x:c r="AF597" s="40" t="b">
        <x:v>0</x:v>
      </x:c>
      <x:c r="AG597" s="34" t="n">
        <x:v>2035</x:v>
      </x:c>
      <x:c r="AH597" s="34" t="n">
        <x:v>0.6138637290849003</x:v>
      </x:c>
      <x:c r="AI597" s="34" t="n">
        <x:v>-0.6138637290849003</x:v>
      </x:c>
      <x:c r="AJ597" s="40" t="b">
        <x:v>1</x:v>
      </x:c>
      <x:c r="AK597" s="40" t="b">
        <x:v>1</x:v>
      </x:c>
      <x:c r="AL597" s="40" t="b">
        <x:v>1</x:v>
      </x:c>
      <x:c r="AM597" s="40" t="b">
        <x:v>1</x:v>
      </x:c>
      <x:c r="AN597" s="34" t="str"/>
      <x:c r="AO597" s="34" t="n">
        <x:v>0</x:v>
      </x:c>
      <x:c r="AP597" s="34" t="n">
        <x:v>0</x:v>
      </x:c>
      <x:c r="AQ597" s="34" t="n">
        <x:v>0</x:v>
      </x:c>
      <x:c r="AR597" s="34" t="n">
        <x:v>1</x:v>
      </x:c>
      <x:c r="AS597" s="34" t="n">
        <x:v>1</x:v>
      </x:c>
      <x:c r="AT597" s="34" t="n">
        <x:v>0.28332</x:v>
      </x:c>
      <x:c r="AU597" s="34" t="n">
        <x:v>0.6</x:v>
      </x:c>
      <x:c r="AV597" s="34" t="n">
        <x:v>1.06</x:v>
      </x:c>
    </x:row>
    <x:row r="598">
      <x:c r="A598" s="34" t="str">
        <x:v>KOBE_STEEL_JP</x:v>
      </x:c>
      <x:c r="B598" s="34" t="str">
        <x:v>Kobe Steel</x:v>
      </x:c>
      <x:c r="C598" s="34" t="str">
        <x:v>ACCELERATED_15C</x:v>
      </x:c>
      <x:c r="D598" s="34" t="str">
        <x:v>P3</x:v>
      </x:c>
      <x:c r="E598" s="34" t="n">
        <x:v>2037</x:v>
      </x:c>
      <x:c r="F598" s="34" t="n">
        <x:v>3</x:v>
      </x:c>
      <x:c r="G598" s="34" t="n">
        <x:v>3.1815</x:v>
      </x:c>
      <x:c r="H598" s="34" t="n">
        <x:v>5.4</x:v>
      </x:c>
      <x:c r="I598" s="34" t="n">
        <x:v>2.2185</x:v>
      </x:c>
      <x:c r="J598" s="34" t="n">
        <x:v>58.917</x:v>
      </x:c>
      <x:c r="K598" s="34" t="n">
        <x:v>0.16005</x:v>
      </x:c>
      <x:c r="L598" s="34" t="n">
        <x:v>0.76</x:v>
      </x:c>
      <x:c r="M598" s="34" t="n">
        <x:v>0.59995</x:v>
      </x:c>
      <x:c r="N598" s="34" t="n">
        <x:v>21.059</x:v>
      </x:c>
      <x:c r="O598" s="34" t="n">
        <x:v>2.9926</x:v>
      </x:c>
      <x:c r="P598" s="34" t="n">
        <x:v>5</x:v>
      </x:c>
      <x:c r="Q598" s="34" t="n">
        <x:v>2.0074</x:v>
      </x:c>
      <x:c r="R598" s="34" t="n">
        <x:v>59.852</x:v>
      </x:c>
      <x:c r="S598" s="40" t="b">
        <x:v>1</x:v>
      </x:c>
      <x:c r="T598" s="34" t="str">
        <x:v>model_interpolation</x:v>
      </x:c>
      <x:c r="U598" s="34" t="str">
        <x:v>Linear interpolation from 2035 to 2040</x:v>
      </x:c>
      <x:c r="V598" s="34" t="str">
        <x:v>CAND-9DD8DD0C56A40D</x:v>
      </x:c>
      <x:c r="W598" s="34" t="str">
        <x:v>P3</x:v>
      </x:c>
      <x:c r="X598" s="34" t="str">
        <x:v>PORT-8384667F6B8E</x:v>
      </x:c>
      <x:c r="Y598" s="34" t="n">
        <x:v>1000</x:v>
      </x:c>
      <x:c r="Z598" s="34" t="n">
        <x:v>40.573625</x:v>
      </x:c>
      <x:c r="AA598" s="34" t="n">
        <x:v>14.047124</x:v>
      </x:c>
      <x:c r="AB598" s="34" t="n">
        <x:v>96.451092</x:v>
      </x:c>
      <x:c r="AC598" s="34" t="n">
        <x:v>3812.491</x:v>
      </x:c>
      <x:c r="AD598" s="34" t="n">
        <x:v>39.527711</x:v>
      </x:c>
      <x:c r="AE598" s="40" t="b">
        <x:v>0</x:v>
      </x:c>
      <x:c r="AF598" s="40" t="b">
        <x:v>0</x:v>
      </x:c>
      <x:c r="AG598" s="34" t="n">
        <x:v>2035</x:v>
      </x:c>
      <x:c r="AH598" s="34" t="n">
        <x:v>0.6138637290849003</x:v>
      </x:c>
      <x:c r="AI598" s="34" t="n">
        <x:v>-0.6138637290849003</x:v>
      </x:c>
      <x:c r="AJ598" s="40" t="b">
        <x:v>1</x:v>
      </x:c>
      <x:c r="AK598" s="40" t="b">
        <x:v>1</x:v>
      </x:c>
      <x:c r="AL598" s="40" t="b">
        <x:v>1</x:v>
      </x:c>
      <x:c r="AM598" s="40" t="b">
        <x:v>1</x:v>
      </x:c>
      <x:c r="AN598" s="34" t="str"/>
      <x:c r="AO598" s="34" t="n">
        <x:v>0</x:v>
      </x:c>
      <x:c r="AP598" s="34" t="n">
        <x:v>0</x:v>
      </x:c>
      <x:c r="AQ598" s="34" t="n">
        <x:v>0</x:v>
      </x:c>
      <x:c r="AR598" s="34" t="n">
        <x:v>1</x:v>
      </x:c>
      <x:c r="AS598" s="34" t="n">
        <x:v>1</x:v>
      </x:c>
      <x:c r="AT598" s="34" t="n">
        <x:v>0.28332</x:v>
      </x:c>
      <x:c r="AU598" s="34" t="n">
        <x:v>0.6</x:v>
      </x:c>
      <x:c r="AV598" s="34" t="n">
        <x:v>1.06</x:v>
      </x:c>
    </x:row>
    <x:row r="599">
      <x:c r="A599" s="34" t="str">
        <x:v>KOBE_STEEL_JP</x:v>
      </x:c>
      <x:c r="B599" s="34" t="str">
        <x:v>Kobe Steel</x:v>
      </x:c>
      <x:c r="C599" s="34" t="str">
        <x:v>ACCELERATED_15C</x:v>
      </x:c>
      <x:c r="D599" s="34" t="str">
        <x:v>P3</x:v>
      </x:c>
      <x:c r="E599" s="34" t="n">
        <x:v>2038</x:v>
      </x:c>
      <x:c r="F599" s="34" t="n">
        <x:v>3</x:v>
      </x:c>
      <x:c r="G599" s="34" t="n">
        <x:v>3.1815</x:v>
      </x:c>
      <x:c r="H599" s="34" t="n">
        <x:v>5.6</x:v>
      </x:c>
      <x:c r="I599" s="34" t="n">
        <x:v>2.4185</x:v>
      </x:c>
      <x:c r="J599" s="34" t="n">
        <x:v>56.813</x:v>
      </x:c>
      <x:c r="K599" s="34" t="n">
        <x:v>0.16005</x:v>
      </x:c>
      <x:c r="L599" s="34" t="n">
        <x:v>0.84</x:v>
      </x:c>
      <x:c r="M599" s="34" t="n">
        <x:v>0.67995</x:v>
      </x:c>
      <x:c r="N599" s="34" t="n">
        <x:v>19.054</x:v>
      </x:c>
      <x:c r="O599" s="34" t="n">
        <x:v>2.9926</x:v>
      </x:c>
      <x:c r="P599" s="34" t="n">
        <x:v>5.5</x:v>
      </x:c>
      <x:c r="Q599" s="34" t="n">
        <x:v>2.5074</x:v>
      </x:c>
      <x:c r="R599" s="34" t="n">
        <x:v>54.411</x:v>
      </x:c>
      <x:c r="S599" s="40" t="b">
        <x:v>1</x:v>
      </x:c>
      <x:c r="T599" s="34" t="str">
        <x:v>model_interpolation</x:v>
      </x:c>
      <x:c r="U599" s="34" t="str">
        <x:v>Linear interpolation from 2035 to 2040</x:v>
      </x:c>
      <x:c r="V599" s="34" t="str">
        <x:v>CAND-9DD8DD0C56A40D</x:v>
      </x:c>
      <x:c r="W599" s="34" t="str">
        <x:v>P3</x:v>
      </x:c>
      <x:c r="X599" s="34" t="str">
        <x:v>PORT-8384667F6B8E</x:v>
      </x:c>
      <x:c r="Y599" s="34" t="n">
        <x:v>1000</x:v>
      </x:c>
      <x:c r="Z599" s="34" t="n">
        <x:v>40.573625</x:v>
      </x:c>
      <x:c r="AA599" s="34" t="n">
        <x:v>14.047124</x:v>
      </x:c>
      <x:c r="AB599" s="34" t="n">
        <x:v>96.451092</x:v>
      </x:c>
      <x:c r="AC599" s="34" t="n">
        <x:v>3812.491</x:v>
      </x:c>
      <x:c r="AD599" s="34" t="n">
        <x:v>39.527711</x:v>
      </x:c>
      <x:c r="AE599" s="40" t="b">
        <x:v>0</x:v>
      </x:c>
      <x:c r="AF599" s="40" t="b">
        <x:v>0</x:v>
      </x:c>
      <x:c r="AG599" s="34" t="n">
        <x:v>2035</x:v>
      </x:c>
      <x:c r="AH599" s="34" t="n">
        <x:v>0.6138637290849003</x:v>
      </x:c>
      <x:c r="AI599" s="34" t="n">
        <x:v>-0.6138637290849003</x:v>
      </x:c>
      <x:c r="AJ599" s="40" t="b">
        <x:v>1</x:v>
      </x:c>
      <x:c r="AK599" s="40" t="b">
        <x:v>1</x:v>
      </x:c>
      <x:c r="AL599" s="40" t="b">
        <x:v>1</x:v>
      </x:c>
      <x:c r="AM599" s="40" t="b">
        <x:v>1</x:v>
      </x:c>
      <x:c r="AN599" s="34" t="str"/>
      <x:c r="AO599" s="34" t="n">
        <x:v>0</x:v>
      </x:c>
      <x:c r="AP599" s="34" t="n">
        <x:v>0</x:v>
      </x:c>
      <x:c r="AQ599" s="34" t="n">
        <x:v>0</x:v>
      </x:c>
      <x:c r="AR599" s="34" t="n">
        <x:v>1</x:v>
      </x:c>
      <x:c r="AS599" s="34" t="n">
        <x:v>1</x:v>
      </x:c>
      <x:c r="AT599" s="34" t="n">
        <x:v>0.28332</x:v>
      </x:c>
      <x:c r="AU599" s="34" t="n">
        <x:v>0.6</x:v>
      </x:c>
      <x:c r="AV599" s="34" t="n">
        <x:v>1.06</x:v>
      </x:c>
    </x:row>
    <x:row r="600">
      <x:c r="A600" s="34" t="str">
        <x:v>KOBE_STEEL_JP</x:v>
      </x:c>
      <x:c r="B600" s="34" t="str">
        <x:v>Kobe Steel</x:v>
      </x:c>
      <x:c r="C600" s="34" t="str">
        <x:v>ACCELERATED_15C</x:v>
      </x:c>
      <x:c r="D600" s="34" t="str">
        <x:v>P3</x:v>
      </x:c>
      <x:c r="E600" s="34" t="n">
        <x:v>2039</x:v>
      </x:c>
      <x:c r="F600" s="34" t="n">
        <x:v>3</x:v>
      </x:c>
      <x:c r="G600" s="34" t="n">
        <x:v>3.1815</x:v>
      </x:c>
      <x:c r="H600" s="34" t="n">
        <x:v>5.8</x:v>
      </x:c>
      <x:c r="I600" s="34" t="n">
        <x:v>2.6185</x:v>
      </x:c>
      <x:c r="J600" s="34" t="n">
        <x:v>54.853</x:v>
      </x:c>
      <x:c r="K600" s="34" t="n">
        <x:v>0.16005</x:v>
      </x:c>
      <x:c r="L600" s="34" t="n">
        <x:v>0.92</x:v>
      </x:c>
      <x:c r="M600" s="34" t="n">
        <x:v>0.75995</x:v>
      </x:c>
      <x:c r="N600" s="34" t="n">
        <x:v>17.397</x:v>
      </x:c>
      <x:c r="O600" s="34" t="n">
        <x:v>2.9926</x:v>
      </x:c>
      <x:c r="P600" s="34" t="n">
        <x:v>6</x:v>
      </x:c>
      <x:c r="Q600" s="34" t="n">
        <x:v>3.0074</x:v>
      </x:c>
      <x:c r="R600" s="34" t="n">
        <x:v>49.877</x:v>
      </x:c>
      <x:c r="S600" s="40" t="b">
        <x:v>1</x:v>
      </x:c>
      <x:c r="T600" s="34" t="str">
        <x:v>model_interpolation</x:v>
      </x:c>
      <x:c r="U600" s="34" t="str">
        <x:v>Linear interpolation from 2035 to 2040</x:v>
      </x:c>
      <x:c r="V600" s="34" t="str">
        <x:v>CAND-9DD8DD0C56A40D</x:v>
      </x:c>
      <x:c r="W600" s="34" t="str">
        <x:v>P3</x:v>
      </x:c>
      <x:c r="X600" s="34" t="str">
        <x:v>PORT-8384667F6B8E</x:v>
      </x:c>
      <x:c r="Y600" s="34" t="n">
        <x:v>1000</x:v>
      </x:c>
      <x:c r="Z600" s="34" t="n">
        <x:v>40.573625</x:v>
      </x:c>
      <x:c r="AA600" s="34" t="n">
        <x:v>14.047124</x:v>
      </x:c>
      <x:c r="AB600" s="34" t="n">
        <x:v>96.451092</x:v>
      </x:c>
      <x:c r="AC600" s="34" t="n">
        <x:v>3812.491</x:v>
      </x:c>
      <x:c r="AD600" s="34" t="n">
        <x:v>39.527711</x:v>
      </x:c>
      <x:c r="AE600" s="40" t="b">
        <x:v>0</x:v>
      </x:c>
      <x:c r="AF600" s="40" t="b">
        <x:v>0</x:v>
      </x:c>
      <x:c r="AG600" s="34" t="n">
        <x:v>2035</x:v>
      </x:c>
      <x:c r="AH600" s="34" t="n">
        <x:v>0.6138637290849003</x:v>
      </x:c>
      <x:c r="AI600" s="34" t="n">
        <x:v>-0.6138637290849003</x:v>
      </x:c>
      <x:c r="AJ600" s="40" t="b">
        <x:v>1</x:v>
      </x:c>
      <x:c r="AK600" s="40" t="b">
        <x:v>1</x:v>
      </x:c>
      <x:c r="AL600" s="40" t="b">
        <x:v>1</x:v>
      </x:c>
      <x:c r="AM600" s="40" t="b">
        <x:v>1</x:v>
      </x:c>
      <x:c r="AN600" s="34" t="str"/>
      <x:c r="AO600" s="34" t="n">
        <x:v>0</x:v>
      </x:c>
      <x:c r="AP600" s="34" t="n">
        <x:v>0</x:v>
      </x:c>
      <x:c r="AQ600" s="34" t="n">
        <x:v>0</x:v>
      </x:c>
      <x:c r="AR600" s="34" t="n">
        <x:v>1</x:v>
      </x:c>
      <x:c r="AS600" s="34" t="n">
        <x:v>1</x:v>
      </x:c>
      <x:c r="AT600" s="34" t="n">
        <x:v>0.28332</x:v>
      </x:c>
      <x:c r="AU600" s="34" t="n">
        <x:v>0.6</x:v>
      </x:c>
      <x:c r="AV600" s="34" t="n">
        <x:v>1.06</x:v>
      </x:c>
    </x:row>
    <x:row r="601">
      <x:c r="A601" s="34" t="str">
        <x:v>KOBE_STEEL_JP</x:v>
      </x:c>
      <x:c r="B601" s="34" t="str">
        <x:v>Kobe Steel</x:v>
      </x:c>
      <x:c r="C601" s="34" t="str">
        <x:v>ACCELERATED_15C</x:v>
      </x:c>
      <x:c r="D601" s="34" t="str">
        <x:v>P3</x:v>
      </x:c>
      <x:c r="E601" s="34" t="n">
        <x:v>2040</x:v>
      </x:c>
      <x:c r="F601" s="34" t="n">
        <x:v>3</x:v>
      </x:c>
      <x:c r="G601" s="34" t="n">
        <x:v>3.1815</x:v>
      </x:c>
      <x:c r="H601" s="34" t="n">
        <x:v>6</x:v>
      </x:c>
      <x:c r="I601" s="34" t="n">
        <x:v>2.8185</x:v>
      </x:c>
      <x:c r="J601" s="34" t="n">
        <x:v>53.025</x:v>
      </x:c>
      <x:c r="K601" s="34" t="n">
        <x:v>0.16005</x:v>
      </x:c>
      <x:c r="L601" s="34" t="n">
        <x:v>1</x:v>
      </x:c>
      <x:c r="M601" s="34" t="n">
        <x:v>0.83995</x:v>
      </x:c>
      <x:c r="N601" s="34" t="n">
        <x:v>16.005</x:v>
      </x:c>
      <x:c r="O601" s="34" t="n">
        <x:v>2.9926</x:v>
      </x:c>
      <x:c r="P601" s="34" t="n">
        <x:v>6.5</x:v>
      </x:c>
      <x:c r="Q601" s="34" t="n">
        <x:v>3.5074</x:v>
      </x:c>
      <x:c r="R601" s="34" t="n">
        <x:v>46.04</x:v>
      </x:c>
      <x:c r="S601" s="40" t="b">
        <x:v>1</x:v>
      </x:c>
      <x:c r="T601" s="34" t="str">
        <x:v>model_estimate</x:v>
      </x:c>
      <x:c r="U601" s="34" t="str">
        <x:v>Illustrative accelerated envelope; not GCAM or an official supply forecast</x:v>
      </x:c>
      <x:c r="V601" s="34" t="str">
        <x:v>CAND-9DD8DD0C56A40D</x:v>
      </x:c>
      <x:c r="W601" s="34" t="str">
        <x:v>P3</x:v>
      </x:c>
      <x:c r="X601" s="34" t="str">
        <x:v>PORT-8384667F6B8E</x:v>
      </x:c>
      <x:c r="Y601" s="34" t="n">
        <x:v>1000</x:v>
      </x:c>
      <x:c r="Z601" s="34" t="n">
        <x:v>40.573625</x:v>
      </x:c>
      <x:c r="AA601" s="34" t="n">
        <x:v>14.047124</x:v>
      </x:c>
      <x:c r="AB601" s="34" t="n">
        <x:v>96.451092</x:v>
      </x:c>
      <x:c r="AC601" s="34" t="n">
        <x:v>3812.491</x:v>
      </x:c>
      <x:c r="AD601" s="34" t="n">
        <x:v>39.527711</x:v>
      </x:c>
      <x:c r="AE601" s="40" t="b">
        <x:v>0</x:v>
      </x:c>
      <x:c r="AF601" s="40" t="b">
        <x:v>0</x:v>
      </x:c>
      <x:c r="AG601" s="34" t="n">
        <x:v>2035</x:v>
      </x:c>
      <x:c r="AH601" s="34" t="n">
        <x:v>0.6138637290849003</x:v>
      </x:c>
      <x:c r="AI601" s="34" t="n">
        <x:v>-0.6138637290849003</x:v>
      </x:c>
      <x:c r="AJ601" s="40" t="b">
        <x:v>1</x:v>
      </x:c>
      <x:c r="AK601" s="40" t="b">
        <x:v>1</x:v>
      </x:c>
      <x:c r="AL601" s="40" t="b">
        <x:v>1</x:v>
      </x:c>
      <x:c r="AM601" s="40" t="b">
        <x:v>1</x:v>
      </x:c>
      <x:c r="AN601" s="34" t="str"/>
      <x:c r="AO601" s="34" t="n">
        <x:v>0</x:v>
      </x:c>
      <x:c r="AP601" s="34" t="n">
        <x:v>0</x:v>
      </x:c>
      <x:c r="AQ601" s="34" t="n">
        <x:v>0</x:v>
      </x:c>
      <x:c r="AR601" s="34" t="n">
        <x:v>1</x:v>
      </x:c>
      <x:c r="AS601" s="34" t="n">
        <x:v>1</x:v>
      </x:c>
      <x:c r="AT601" s="34" t="n">
        <x:v>0.28332</x:v>
      </x:c>
      <x:c r="AU601" s="34" t="n">
        <x:v>0.6</x:v>
      </x:c>
      <x:c r="AV601" s="34" t="n">
        <x:v>1.06</x:v>
      </x:c>
    </x:row>
    <x:row r="602">
      <x:c r="A602" s="34" t="str">
        <x:v>JFE_STEEL_JP</x:v>
      </x:c>
      <x:c r="B602" s="34" t="str">
        <x:v>JFE Steel</x:v>
      </x:c>
      <x:c r="C602" s="34" t="str">
        <x:v>DISCLOSED_PATH</x:v>
      </x:c>
      <x:c r="D602" s="34" t="str">
        <x:v>P3</x:v>
      </x:c>
      <x:c r="E602" s="34" t="n">
        <x:v>2026</x:v>
      </x:c>
      <x:c r="F602" s="34" t="n">
        <x:v>0</x:v>
      </x:c>
      <x:c r="G602" s="34" t="n">
        <x:v>0</x:v>
      </x:c>
      <x:c r="H602" s="34" t="n">
        <x:v>5</x:v>
      </x:c>
      <x:c r="I602" s="34" t="n">
        <x:v>5</x:v>
      </x:c>
      <x:c r="J602" s="34" t="n">
        <x:v>0</x:v>
      </x:c>
      <x:c r="K602" s="34" t="n">
        <x:v>0</x:v>
      </x:c>
      <x:c r="L602" s="34" t="n">
        <x:v>0</x:v>
      </x:c>
      <x:c r="M602" s="34" t="n">
        <x:v>0</x:v>
      </x:c>
      <x:c r="N602" s="34" t="n">
        <x:v>0</x:v>
      </x:c>
      <x:c r="O602" s="34" t="n">
        <x:v>0</x:v>
      </x:c>
      <x:c r="P602" s="34" t="n">
        <x:v>1.5</x:v>
      </x:c>
      <x:c r="Q602" s="34" t="n">
        <x:v>1.5</x:v>
      </x:c>
      <x:c r="R602" s="34" t="n">
        <x:v>0</x:v>
      </x:c>
      <x:c r="S602" s="40" t="b">
        <x:v>1</x:v>
      </x:c>
      <x:c r="T602" s="34" t="str">
        <x:v>model_interpolation</x:v>
      </x:c>
      <x:c r="U602" s="34" t="str">
        <x:v>Linear interpolation from 2026 to 2030</x:v>
      </x:c>
      <x:c r="V602" s="34" t="str">
        <x:v>CAND-A735954AF09420</x:v>
      </x:c>
      <x:c r="W602" s="34" t="str">
        <x:v>P3</x:v>
      </x:c>
      <x:c r="X602" s="34" t="str">
        <x:v>PORT-CCD4397FA6D4</x:v>
      </x:c>
      <x:c r="Y602" s="34" t="n">
        <x:v>1000</x:v>
      </x:c>
      <x:c r="Z602" s="34" t="n">
        <x:v>109.160576</x:v>
      </x:c>
      <x:c r="AA602" s="34" t="n">
        <x:v>24.423057</x:v>
      </x:c>
      <x:c r="AB602" s="34" t="n">
        <x:v>281.895878</x:v>
      </x:c>
      <x:c r="AC602" s="34" t="n">
        <x:v>30284.795</x:v>
      </x:c>
      <x:c r="AD602" s="34" t="n">
        <x:v>107.432556</x:v>
      </x:c>
      <x:c r="AE602" s="40" t="b">
        <x:v>1</x:v>
      </x:c>
      <x:c r="AF602" s="40" t="b">
        <x:v>1</x:v>
      </x:c>
      <x:c r="AG602" s="34" t="str"/>
      <x:c r="AH602" s="34" t="n">
        <x:v>0</x:v>
      </x:c>
      <x:c r="AI602" s="34" t="str">
        <x:v>1.265341119704999e-05</x:v>
      </x:c>
      <x:c r="AJ602" s="40" t="b">
        <x:v>1</x:v>
      </x:c>
      <x:c r="AK602" s="40" t="b">
        <x:v>1</x:v>
      </x:c>
      <x:c r="AL602" s="40" t="b">
        <x:v>1</x:v>
      </x:c>
      <x:c r="AM602" s="40" t="b">
        <x:v>1</x:v>
      </x:c>
      <x:c r="AN602" s="34" t="str"/>
      <x:c r="AO602" s="34" t="n">
        <x:v>0</x:v>
      </x:c>
      <x:c r="AP602" s="34" t="n">
        <x:v>0</x:v>
      </x:c>
      <x:c r="AQ602" s="34" t="n">
        <x:v>0</x:v>
      </x:c>
      <x:c r="AR602" s="34" t="n">
        <x:v>2</x:v>
      </x:c>
      <x:c r="AS602" s="34" t="n">
        <x:v>3</x:v>
      </x:c>
      <x:c r="AT602" s="34" t="n">
        <x:v>0.3119871999999999</x:v>
      </x:c>
      <x:c r="AU602" s="34" t="n">
        <x:v>0.65</x:v>
      </x:c>
      <x:c r="AV602" s="34" t="n">
        <x:v>1.1400000000000001</x:v>
      </x:c>
    </x:row>
    <x:row r="603">
      <x:c r="A603" s="34" t="str">
        <x:v>JFE_STEEL_JP</x:v>
      </x:c>
      <x:c r="B603" s="34" t="str">
        <x:v>JFE Steel</x:v>
      </x:c>
      <x:c r="C603" s="34" t="str">
        <x:v>DISCLOSED_PATH</x:v>
      </x:c>
      <x:c r="D603" s="34" t="str">
        <x:v>P3</x:v>
      </x:c>
      <x:c r="E603" s="34" t="n">
        <x:v>2027</x:v>
      </x:c>
      <x:c r="F603" s="34" t="n">
        <x:v>0</x:v>
      </x:c>
      <x:c r="G603" s="34" t="n">
        <x:v>0</x:v>
      </x:c>
      <x:c r="H603" s="34" t="n">
        <x:v>5.75</x:v>
      </x:c>
      <x:c r="I603" s="34" t="n">
        <x:v>5.75</x:v>
      </x:c>
      <x:c r="J603" s="34" t="n">
        <x:v>0</x:v>
      </x:c>
      <x:c r="K603" s="34" t="n">
        <x:v>0</x:v>
      </x:c>
      <x:c r="L603" s="34" t="n">
        <x:v>0.1</x:v>
      </x:c>
      <x:c r="M603" s="34" t="n">
        <x:v>0.1</x:v>
      </x:c>
      <x:c r="N603" s="34" t="n">
        <x:v>0</x:v>
      </x:c>
      <x:c r="O603" s="34" t="n">
        <x:v>0</x:v>
      </x:c>
      <x:c r="P603" s="34" t="n">
        <x:v>2.375</x:v>
      </x:c>
      <x:c r="Q603" s="34" t="n">
        <x:v>2.375</x:v>
      </x:c>
      <x:c r="R603" s="34" t="n">
        <x:v>0</x:v>
      </x:c>
      <x:c r="S603" s="40" t="b">
        <x:v>1</x:v>
      </x:c>
      <x:c r="T603" s="34" t="str">
        <x:v>model_interpolation</x:v>
      </x:c>
      <x:c r="U603" s="34" t="str">
        <x:v>Linear interpolation from 2026 to 2030</x:v>
      </x:c>
      <x:c r="V603" s="34" t="str">
        <x:v>CAND-A735954AF09420</x:v>
      </x:c>
      <x:c r="W603" s="34" t="str">
        <x:v>P3</x:v>
      </x:c>
      <x:c r="X603" s="34" t="str">
        <x:v>PORT-CCD4397FA6D4</x:v>
      </x:c>
      <x:c r="Y603" s="34" t="n">
        <x:v>1000</x:v>
      </x:c>
      <x:c r="Z603" s="34" t="n">
        <x:v>109.160576</x:v>
      </x:c>
      <x:c r="AA603" s="34" t="n">
        <x:v>24.423057</x:v>
      </x:c>
      <x:c r="AB603" s="34" t="n">
        <x:v>281.895878</x:v>
      </x:c>
      <x:c r="AC603" s="34" t="n">
        <x:v>30284.795</x:v>
      </x:c>
      <x:c r="AD603" s="34" t="n">
        <x:v>107.432556</x:v>
      </x:c>
      <x:c r="AE603" s="40" t="b">
        <x:v>1</x:v>
      </x:c>
      <x:c r="AF603" s="40" t="b">
        <x:v>1</x:v>
      </x:c>
      <x:c r="AG603" s="34" t="str"/>
      <x:c r="AH603" s="34" t="n">
        <x:v>0</x:v>
      </x:c>
      <x:c r="AI603" s="34" t="str">
        <x:v>1.265341119704999e-05</x:v>
      </x:c>
      <x:c r="AJ603" s="40" t="b">
        <x:v>1</x:v>
      </x:c>
      <x:c r="AK603" s="40" t="b">
        <x:v>1</x:v>
      </x:c>
      <x:c r="AL603" s="40" t="b">
        <x:v>1</x:v>
      </x:c>
      <x:c r="AM603" s="40" t="b">
        <x:v>1</x:v>
      </x:c>
      <x:c r="AN603" s="34" t="str"/>
      <x:c r="AO603" s="34" t="n">
        <x:v>0</x:v>
      </x:c>
      <x:c r="AP603" s="34" t="n">
        <x:v>0</x:v>
      </x:c>
      <x:c r="AQ603" s="34" t="n">
        <x:v>0</x:v>
      </x:c>
      <x:c r="AR603" s="34" t="n">
        <x:v>2</x:v>
      </x:c>
      <x:c r="AS603" s="34" t="n">
        <x:v>3</x:v>
      </x:c>
      <x:c r="AT603" s="34" t="n">
        <x:v>0.3119871999999999</x:v>
      </x:c>
      <x:c r="AU603" s="34" t="n">
        <x:v>0.65</x:v>
      </x:c>
      <x:c r="AV603" s="34" t="n">
        <x:v>1.1400000000000001</x:v>
      </x:c>
    </x:row>
    <x:row r="604">
      <x:c r="A604" s="34" t="str">
        <x:v>JFE_STEEL_JP</x:v>
      </x:c>
      <x:c r="B604" s="34" t="str">
        <x:v>JFE Steel</x:v>
      </x:c>
      <x:c r="C604" s="34" t="str">
        <x:v>DISCLOSED_PATH</x:v>
      </x:c>
      <x:c r="D604" s="34" t="str">
        <x:v>P3</x:v>
      </x:c>
      <x:c r="E604" s="34" t="n">
        <x:v>2028</x:v>
      </x:c>
      <x:c r="F604" s="34" t="n">
        <x:v>0</x:v>
      </x:c>
      <x:c r="G604" s="34" t="n">
        <x:v>0</x:v>
      </x:c>
      <x:c r="H604" s="34" t="n">
        <x:v>6.5</x:v>
      </x:c>
      <x:c r="I604" s="34" t="n">
        <x:v>6.5</x:v>
      </x:c>
      <x:c r="J604" s="34" t="n">
        <x:v>0</x:v>
      </x:c>
      <x:c r="K604" s="34" t="n">
        <x:v>0</x:v>
      </x:c>
      <x:c r="L604" s="34" t="n">
        <x:v>0.2</x:v>
      </x:c>
      <x:c r="M604" s="34" t="n">
        <x:v>0.2</x:v>
      </x:c>
      <x:c r="N604" s="34" t="n">
        <x:v>0</x:v>
      </x:c>
      <x:c r="O604" s="34" t="n">
        <x:v>0</x:v>
      </x:c>
      <x:c r="P604" s="34" t="n">
        <x:v>3.25</x:v>
      </x:c>
      <x:c r="Q604" s="34" t="n">
        <x:v>3.25</x:v>
      </x:c>
      <x:c r="R604" s="34" t="n">
        <x:v>0</x:v>
      </x:c>
      <x:c r="S604" s="40" t="b">
        <x:v>1</x:v>
      </x:c>
      <x:c r="T604" s="34" t="str">
        <x:v>model_interpolation</x:v>
      </x:c>
      <x:c r="U604" s="34" t="str">
        <x:v>Linear interpolation from 2026 to 2030</x:v>
      </x:c>
      <x:c r="V604" s="34" t="str">
        <x:v>CAND-A735954AF09420</x:v>
      </x:c>
      <x:c r="W604" s="34" t="str">
        <x:v>P3</x:v>
      </x:c>
      <x:c r="X604" s="34" t="str">
        <x:v>PORT-CCD4397FA6D4</x:v>
      </x:c>
      <x:c r="Y604" s="34" t="n">
        <x:v>1000</x:v>
      </x:c>
      <x:c r="Z604" s="34" t="n">
        <x:v>109.160576</x:v>
      </x:c>
      <x:c r="AA604" s="34" t="n">
        <x:v>24.423057</x:v>
      </x:c>
      <x:c r="AB604" s="34" t="n">
        <x:v>281.895878</x:v>
      </x:c>
      <x:c r="AC604" s="34" t="n">
        <x:v>30284.795</x:v>
      </x:c>
      <x:c r="AD604" s="34" t="n">
        <x:v>107.432556</x:v>
      </x:c>
      <x:c r="AE604" s="40" t="b">
        <x:v>1</x:v>
      </x:c>
      <x:c r="AF604" s="40" t="b">
        <x:v>1</x:v>
      </x:c>
      <x:c r="AG604" s="34" t="str"/>
      <x:c r="AH604" s="34" t="n">
        <x:v>0</x:v>
      </x:c>
      <x:c r="AI604" s="34" t="str">
        <x:v>1.265341119704999e-05</x:v>
      </x:c>
      <x:c r="AJ604" s="40" t="b">
        <x:v>1</x:v>
      </x:c>
      <x:c r="AK604" s="40" t="b">
        <x:v>1</x:v>
      </x:c>
      <x:c r="AL604" s="40" t="b">
        <x:v>1</x:v>
      </x:c>
      <x:c r="AM604" s="40" t="b">
        <x:v>1</x:v>
      </x:c>
      <x:c r="AN604" s="34" t="str"/>
      <x:c r="AO604" s="34" t="n">
        <x:v>0</x:v>
      </x:c>
      <x:c r="AP604" s="34" t="n">
        <x:v>0</x:v>
      </x:c>
      <x:c r="AQ604" s="34" t="n">
        <x:v>0</x:v>
      </x:c>
      <x:c r="AR604" s="34" t="n">
        <x:v>2</x:v>
      </x:c>
      <x:c r="AS604" s="34" t="n">
        <x:v>3</x:v>
      </x:c>
      <x:c r="AT604" s="34" t="n">
        <x:v>0.3119871999999999</x:v>
      </x:c>
      <x:c r="AU604" s="34" t="n">
        <x:v>0.65</x:v>
      </x:c>
      <x:c r="AV604" s="34" t="n">
        <x:v>1.1400000000000001</x:v>
      </x:c>
    </x:row>
    <x:row r="605">
      <x:c r="A605" s="34" t="str">
        <x:v>JFE_STEEL_JP</x:v>
      </x:c>
      <x:c r="B605" s="34" t="str">
        <x:v>JFE Steel</x:v>
      </x:c>
      <x:c r="C605" s="34" t="str">
        <x:v>DISCLOSED_PATH</x:v>
      </x:c>
      <x:c r="D605" s="34" t="str">
        <x:v>P3</x:v>
      </x:c>
      <x:c r="E605" s="34" t="n">
        <x:v>2029</x:v>
      </x:c>
      <x:c r="F605" s="34" t="n">
        <x:v>1</x:v>
      </x:c>
      <x:c r="G605" s="34" t="n">
        <x:v>6.120001</x:v>
      </x:c>
      <x:c r="H605" s="34" t="n">
        <x:v>7.25</x:v>
      </x:c>
      <x:c r="I605" s="34" t="n">
        <x:v>1.129999</x:v>
      </x:c>
      <x:c r="J605" s="34" t="n">
        <x:v>84.414</x:v>
      </x:c>
      <x:c r="K605" s="34" t="n">
        <x:v>0</x:v>
      </x:c>
      <x:c r="L605" s="34" t="n">
        <x:v>0.30000000000000004</x:v>
      </x:c>
      <x:c r="M605" s="34" t="n">
        <x:v>0.3</x:v>
      </x:c>
      <x:c r="N605" s="34" t="n">
        <x:v>0</x:v>
      </x:c>
      <x:c r="O605" s="34" t="n">
        <x:v>3.808</x:v>
      </x:c>
      <x:c r="P605" s="34" t="n">
        <x:v>4.125</x:v>
      </x:c>
      <x:c r="Q605" s="34" t="n">
        <x:v>0.317</x:v>
      </x:c>
      <x:c r="R605" s="34" t="n">
        <x:v>92.315</x:v>
      </x:c>
      <x:c r="S605" s="40" t="b">
        <x:v>1</x:v>
      </x:c>
      <x:c r="T605" s="34" t="str">
        <x:v>model_interpolation</x:v>
      </x:c>
      <x:c r="U605" s="34" t="str">
        <x:v>Linear interpolation from 2026 to 2030</x:v>
      </x:c>
      <x:c r="V605" s="34" t="str">
        <x:v>CAND-A735954AF09420</x:v>
      </x:c>
      <x:c r="W605" s="34" t="str">
        <x:v>P3</x:v>
      </x:c>
      <x:c r="X605" s="34" t="str">
        <x:v>PORT-CCD4397FA6D4</x:v>
      </x:c>
      <x:c r="Y605" s="34" t="n">
        <x:v>1000</x:v>
      </x:c>
      <x:c r="Z605" s="34" t="n">
        <x:v>109.160576</x:v>
      </x:c>
      <x:c r="AA605" s="34" t="n">
        <x:v>24.423057</x:v>
      </x:c>
      <x:c r="AB605" s="34" t="n">
        <x:v>281.895878</x:v>
      </x:c>
      <x:c r="AC605" s="34" t="n">
        <x:v>30284.795</x:v>
      </x:c>
      <x:c r="AD605" s="34" t="n">
        <x:v>107.432556</x:v>
      </x:c>
      <x:c r="AE605" s="40" t="b">
        <x:v>1</x:v>
      </x:c>
      <x:c r="AF605" s="40" t="b">
        <x:v>1</x:v>
      </x:c>
      <x:c r="AG605" s="34" t="str"/>
      <x:c r="AH605" s="34" t="n">
        <x:v>0</x:v>
      </x:c>
      <x:c r="AI605" s="34" t="str">
        <x:v>1.265341119704999e-05</x:v>
      </x:c>
      <x:c r="AJ605" s="40" t="b">
        <x:v>1</x:v>
      </x:c>
      <x:c r="AK605" s="40" t="b">
        <x:v>1</x:v>
      </x:c>
      <x:c r="AL605" s="40" t="b">
        <x:v>1</x:v>
      </x:c>
      <x:c r="AM605" s="40" t="b">
        <x:v>1</x:v>
      </x:c>
      <x:c r="AN605" s="34" t="str"/>
      <x:c r="AO605" s="34" t="n">
        <x:v>0</x:v>
      </x:c>
      <x:c r="AP605" s="34" t="n">
        <x:v>0</x:v>
      </x:c>
      <x:c r="AQ605" s="34" t="n">
        <x:v>0</x:v>
      </x:c>
      <x:c r="AR605" s="34" t="n">
        <x:v>2</x:v>
      </x:c>
      <x:c r="AS605" s="34" t="n">
        <x:v>3</x:v>
      </x:c>
      <x:c r="AT605" s="34" t="n">
        <x:v>0.3119871999999999</x:v>
      </x:c>
      <x:c r="AU605" s="34" t="n">
        <x:v>0.65</x:v>
      </x:c>
      <x:c r="AV605" s="34" t="n">
        <x:v>1.1400000000000001</x:v>
      </x:c>
    </x:row>
    <x:row r="606">
      <x:c r="A606" s="34" t="str">
        <x:v>JFE_STEEL_JP</x:v>
      </x:c>
      <x:c r="B606" s="34" t="str">
        <x:v>JFE Steel</x:v>
      </x:c>
      <x:c r="C606" s="34" t="str">
        <x:v>DISCLOSED_PATH</x:v>
      </x:c>
      <x:c r="D606" s="34" t="str">
        <x:v>P3</x:v>
      </x:c>
      <x:c r="E606" s="34" t="n">
        <x:v>2030</x:v>
      </x:c>
      <x:c r="F606" s="34" t="n">
        <x:v>1</x:v>
      </x:c>
      <x:c r="G606" s="34" t="n">
        <x:v>6.120001</x:v>
      </x:c>
      <x:c r="H606" s="34" t="n">
        <x:v>8</x:v>
      </x:c>
      <x:c r="I606" s="34" t="n">
        <x:v>1.879999</x:v>
      </x:c>
      <x:c r="J606" s="34" t="n">
        <x:v>76.5</x:v>
      </x:c>
      <x:c r="K606" s="34" t="n">
        <x:v>0</x:v>
      </x:c>
      <x:c r="L606" s="34" t="n">
        <x:v>0.4</x:v>
      </x:c>
      <x:c r="M606" s="34" t="n">
        <x:v>0.4</x:v>
      </x:c>
      <x:c r="N606" s="34" t="n">
        <x:v>0</x:v>
      </x:c>
      <x:c r="O606" s="34" t="n">
        <x:v>3.808</x:v>
      </x:c>
      <x:c r="P606" s="34" t="n">
        <x:v>5</x:v>
      </x:c>
      <x:c r="Q606" s="34" t="n">
        <x:v>1.192</x:v>
      </x:c>
      <x:c r="R606" s="34" t="n">
        <x:v>76.16</x:v>
      </x:c>
      <x:c r="S606" s="40" t="b">
        <x:v>1</x:v>
      </x:c>
      <x:c r="T606" s="34" t="str">
        <x:v>model_interpolation</x:v>
      </x:c>
      <x:c r="U606" s="34" t="str">
        <x:v>Linear interpolation from 2030 to 2035</x:v>
      </x:c>
      <x:c r="V606" s="34" t="str">
        <x:v>CAND-A735954AF09420</x:v>
      </x:c>
      <x:c r="W606" s="34" t="str">
        <x:v>P3</x:v>
      </x:c>
      <x:c r="X606" s="34" t="str">
        <x:v>PORT-CCD4397FA6D4</x:v>
      </x:c>
      <x:c r="Y606" s="34" t="n">
        <x:v>1000</x:v>
      </x:c>
      <x:c r="Z606" s="34" t="n">
        <x:v>109.160576</x:v>
      </x:c>
      <x:c r="AA606" s="34" t="n">
        <x:v>24.423057</x:v>
      </x:c>
      <x:c r="AB606" s="34" t="n">
        <x:v>281.895878</x:v>
      </x:c>
      <x:c r="AC606" s="34" t="n">
        <x:v>30284.795</x:v>
      </x:c>
      <x:c r="AD606" s="34" t="n">
        <x:v>107.432556</x:v>
      </x:c>
      <x:c r="AE606" s="40" t="b">
        <x:v>1</x:v>
      </x:c>
      <x:c r="AF606" s="40" t="b">
        <x:v>1</x:v>
      </x:c>
      <x:c r="AG606" s="34" t="str"/>
      <x:c r="AH606" s="34" t="n">
        <x:v>0</x:v>
      </x:c>
      <x:c r="AI606" s="34" t="str">
        <x:v>1.265341119704999e-05</x:v>
      </x:c>
      <x:c r="AJ606" s="40" t="b">
        <x:v>1</x:v>
      </x:c>
      <x:c r="AK606" s="40" t="b">
        <x:v>1</x:v>
      </x:c>
      <x:c r="AL606" s="40" t="b">
        <x:v>1</x:v>
      </x:c>
      <x:c r="AM606" s="40" t="b">
        <x:v>1</x:v>
      </x:c>
      <x:c r="AN606" s="34" t="str"/>
      <x:c r="AO606" s="34" t="n">
        <x:v>0</x:v>
      </x:c>
      <x:c r="AP606" s="34" t="n">
        <x:v>0</x:v>
      </x:c>
      <x:c r="AQ606" s="34" t="n">
        <x:v>0</x:v>
      </x:c>
      <x:c r="AR606" s="34" t="n">
        <x:v>2</x:v>
      </x:c>
      <x:c r="AS606" s="34" t="n">
        <x:v>3</x:v>
      </x:c>
      <x:c r="AT606" s="34" t="n">
        <x:v>0.3119871999999999</x:v>
      </x:c>
      <x:c r="AU606" s="34" t="n">
        <x:v>0.65</x:v>
      </x:c>
      <x:c r="AV606" s="34" t="n">
        <x:v>1.1400000000000001</x:v>
      </x:c>
    </x:row>
    <x:row r="607">
      <x:c r="A607" s="34" t="str">
        <x:v>JFE_STEEL_JP</x:v>
      </x:c>
      <x:c r="B607" s="34" t="str">
        <x:v>JFE Steel</x:v>
      </x:c>
      <x:c r="C607" s="34" t="str">
        <x:v>DISCLOSED_PATH</x:v>
      </x:c>
      <x:c r="D607" s="34" t="str">
        <x:v>P3</x:v>
      </x:c>
      <x:c r="E607" s="34" t="n">
        <x:v>2031</x:v>
      </x:c>
      <x:c r="F607" s="34" t="n">
        <x:v>1</x:v>
      </x:c>
      <x:c r="G607" s="34" t="n">
        <x:v>6.120001</x:v>
      </x:c>
      <x:c r="H607" s="34" t="n">
        <x:v>8.8</x:v>
      </x:c>
      <x:c r="I607" s="34" t="n">
        <x:v>2.679999</x:v>
      </x:c>
      <x:c r="J607" s="34" t="n">
        <x:v>69.545</x:v>
      </x:c>
      <x:c r="K607" s="34" t="n">
        <x:v>0</x:v>
      </x:c>
      <x:c r="L607" s="34" t="n">
        <x:v>0.56</x:v>
      </x:c>
      <x:c r="M607" s="34" t="n">
        <x:v>0.56</x:v>
      </x:c>
      <x:c r="N607" s="34" t="n">
        <x:v>0</x:v>
      </x:c>
      <x:c r="O607" s="34" t="n">
        <x:v>3.808</x:v>
      </x:c>
      <x:c r="P607" s="34" t="n">
        <x:v>6</x:v>
      </x:c>
      <x:c r="Q607" s="34" t="n">
        <x:v>2.192</x:v>
      </x:c>
      <x:c r="R607" s="34" t="n">
        <x:v>63.467</x:v>
      </x:c>
      <x:c r="S607" s="40" t="b">
        <x:v>1</x:v>
      </x:c>
      <x:c r="T607" s="34" t="str">
        <x:v>model_interpolation</x:v>
      </x:c>
      <x:c r="U607" s="34" t="str">
        <x:v>Linear interpolation from 2030 to 2035</x:v>
      </x:c>
      <x:c r="V607" s="34" t="str">
        <x:v>CAND-A735954AF09420</x:v>
      </x:c>
      <x:c r="W607" s="34" t="str">
        <x:v>P3</x:v>
      </x:c>
      <x:c r="X607" s="34" t="str">
        <x:v>PORT-CCD4397FA6D4</x:v>
      </x:c>
      <x:c r="Y607" s="34" t="n">
        <x:v>1000</x:v>
      </x:c>
      <x:c r="Z607" s="34" t="n">
        <x:v>109.160576</x:v>
      </x:c>
      <x:c r="AA607" s="34" t="n">
        <x:v>24.423057</x:v>
      </x:c>
      <x:c r="AB607" s="34" t="n">
        <x:v>281.895878</x:v>
      </x:c>
      <x:c r="AC607" s="34" t="n">
        <x:v>30284.795</x:v>
      </x:c>
      <x:c r="AD607" s="34" t="n">
        <x:v>107.432556</x:v>
      </x:c>
      <x:c r="AE607" s="40" t="b">
        <x:v>1</x:v>
      </x:c>
      <x:c r="AF607" s="40" t="b">
        <x:v>1</x:v>
      </x:c>
      <x:c r="AG607" s="34" t="str"/>
      <x:c r="AH607" s="34" t="n">
        <x:v>0</x:v>
      </x:c>
      <x:c r="AI607" s="34" t="str">
        <x:v>1.265341119704999e-05</x:v>
      </x:c>
      <x:c r="AJ607" s="40" t="b">
        <x:v>1</x:v>
      </x:c>
      <x:c r="AK607" s="40" t="b">
        <x:v>1</x:v>
      </x:c>
      <x:c r="AL607" s="40" t="b">
        <x:v>1</x:v>
      </x:c>
      <x:c r="AM607" s="40" t="b">
        <x:v>1</x:v>
      </x:c>
      <x:c r="AN607" s="34" t="str"/>
      <x:c r="AO607" s="34" t="n">
        <x:v>0</x:v>
      </x:c>
      <x:c r="AP607" s="34" t="n">
        <x:v>0</x:v>
      </x:c>
      <x:c r="AQ607" s="34" t="n">
        <x:v>0</x:v>
      </x:c>
      <x:c r="AR607" s="34" t="n">
        <x:v>2</x:v>
      </x:c>
      <x:c r="AS607" s="34" t="n">
        <x:v>3</x:v>
      </x:c>
      <x:c r="AT607" s="34" t="n">
        <x:v>0.3119871999999999</x:v>
      </x:c>
      <x:c r="AU607" s="34" t="n">
        <x:v>0.65</x:v>
      </x:c>
      <x:c r="AV607" s="34" t="n">
        <x:v>1.1400000000000001</x:v>
      </x:c>
    </x:row>
    <x:row r="608">
      <x:c r="A608" s="34" t="str">
        <x:v>JFE_STEEL_JP</x:v>
      </x:c>
      <x:c r="B608" s="34" t="str">
        <x:v>JFE Steel</x:v>
      </x:c>
      <x:c r="C608" s="34" t="str">
        <x:v>DISCLOSED_PATH</x:v>
      </x:c>
      <x:c r="D608" s="34" t="str">
        <x:v>P3</x:v>
      </x:c>
      <x:c r="E608" s="34" t="n">
        <x:v>2032</x:v>
      </x:c>
      <x:c r="F608" s="34" t="n">
        <x:v>1</x:v>
      </x:c>
      <x:c r="G608" s="34" t="n">
        <x:v>6.120001</x:v>
      </x:c>
      <x:c r="H608" s="34" t="n">
        <x:v>9.6</x:v>
      </x:c>
      <x:c r="I608" s="34" t="n">
        <x:v>3.479999</x:v>
      </x:c>
      <x:c r="J608" s="34" t="n">
        <x:v>63.75</x:v>
      </x:c>
      <x:c r="K608" s="34" t="n">
        <x:v>0</x:v>
      </x:c>
      <x:c r="L608" s="34" t="n">
        <x:v>0.72</x:v>
      </x:c>
      <x:c r="M608" s="34" t="n">
        <x:v>0.72</x:v>
      </x:c>
      <x:c r="N608" s="34" t="n">
        <x:v>0</x:v>
      </x:c>
      <x:c r="O608" s="34" t="n">
        <x:v>3.808</x:v>
      </x:c>
      <x:c r="P608" s="34" t="n">
        <x:v>7</x:v>
      </x:c>
      <x:c r="Q608" s="34" t="n">
        <x:v>3.192</x:v>
      </x:c>
      <x:c r="R608" s="34" t="n">
        <x:v>54.4</x:v>
      </x:c>
      <x:c r="S608" s="40" t="b">
        <x:v>1</x:v>
      </x:c>
      <x:c r="T608" s="34" t="str">
        <x:v>model_interpolation</x:v>
      </x:c>
      <x:c r="U608" s="34" t="str">
        <x:v>Linear interpolation from 2030 to 2035</x:v>
      </x:c>
      <x:c r="V608" s="34" t="str">
        <x:v>CAND-A735954AF09420</x:v>
      </x:c>
      <x:c r="W608" s="34" t="str">
        <x:v>P3</x:v>
      </x:c>
      <x:c r="X608" s="34" t="str">
        <x:v>PORT-CCD4397FA6D4</x:v>
      </x:c>
      <x:c r="Y608" s="34" t="n">
        <x:v>1000</x:v>
      </x:c>
      <x:c r="Z608" s="34" t="n">
        <x:v>109.160576</x:v>
      </x:c>
      <x:c r="AA608" s="34" t="n">
        <x:v>24.423057</x:v>
      </x:c>
      <x:c r="AB608" s="34" t="n">
        <x:v>281.895878</x:v>
      </x:c>
      <x:c r="AC608" s="34" t="n">
        <x:v>30284.795</x:v>
      </x:c>
      <x:c r="AD608" s="34" t="n">
        <x:v>107.432556</x:v>
      </x:c>
      <x:c r="AE608" s="40" t="b">
        <x:v>1</x:v>
      </x:c>
      <x:c r="AF608" s="40" t="b">
        <x:v>1</x:v>
      </x:c>
      <x:c r="AG608" s="34" t="str"/>
      <x:c r="AH608" s="34" t="n">
        <x:v>0</x:v>
      </x:c>
      <x:c r="AI608" s="34" t="str">
        <x:v>1.265341119704999e-05</x:v>
      </x:c>
      <x:c r="AJ608" s="40" t="b">
        <x:v>1</x:v>
      </x:c>
      <x:c r="AK608" s="40" t="b">
        <x:v>1</x:v>
      </x:c>
      <x:c r="AL608" s="40" t="b">
        <x:v>1</x:v>
      </x:c>
      <x:c r="AM608" s="40" t="b">
        <x:v>1</x:v>
      </x:c>
      <x:c r="AN608" s="34" t="str"/>
      <x:c r="AO608" s="34" t="n">
        <x:v>0</x:v>
      </x:c>
      <x:c r="AP608" s="34" t="n">
        <x:v>0</x:v>
      </x:c>
      <x:c r="AQ608" s="34" t="n">
        <x:v>0</x:v>
      </x:c>
      <x:c r="AR608" s="34" t="n">
        <x:v>2</x:v>
      </x:c>
      <x:c r="AS608" s="34" t="n">
        <x:v>3</x:v>
      </x:c>
      <x:c r="AT608" s="34" t="n">
        <x:v>0.3119871999999999</x:v>
      </x:c>
      <x:c r="AU608" s="34" t="n">
        <x:v>0.65</x:v>
      </x:c>
      <x:c r="AV608" s="34" t="n">
        <x:v>1.1400000000000001</x:v>
      </x:c>
    </x:row>
    <x:row r="609">
      <x:c r="A609" s="34" t="str">
        <x:v>JFE_STEEL_JP</x:v>
      </x:c>
      <x:c r="B609" s="34" t="str">
        <x:v>JFE Steel</x:v>
      </x:c>
      <x:c r="C609" s="34" t="str">
        <x:v>DISCLOSED_PATH</x:v>
      </x:c>
      <x:c r="D609" s="34" t="str">
        <x:v>P3</x:v>
      </x:c>
      <x:c r="E609" s="34" t="n">
        <x:v>2033</x:v>
      </x:c>
      <x:c r="F609" s="34" t="n">
        <x:v>3</x:v>
      </x:c>
      <x:c r="G609" s="34" t="n">
        <x:v>8.1</x:v>
      </x:c>
      <x:c r="H609" s="34" t="n">
        <x:v>10.4</x:v>
      </x:c>
      <x:c r="I609" s="34" t="n">
        <x:v>2.3</x:v>
      </x:c>
      <x:c r="J609" s="34" t="n">
        <x:v>77.885</x:v>
      </x:c>
      <x:c r="K609" s="34" t="n">
        <x:v>0.495</x:v>
      </x:c>
      <x:c r="L609" s="34" t="n">
        <x:v>0.8799999999999999</x:v>
      </x:c>
      <x:c r="M609" s="34" t="n">
        <x:v>0.385</x:v>
      </x:c>
      <x:c r="N609" s="34" t="n">
        <x:v>56.25</x:v>
      </x:c>
      <x:c r="O609" s="34" t="n">
        <x:v>7.961999</x:v>
      </x:c>
      <x:c r="P609" s="34" t="n">
        <x:v>8</x:v>
      </x:c>
      <x:c r="Q609" s="34" t="n">
        <x:v>0.038001</x:v>
      </x:c>
      <x:c r="R609" s="34" t="n">
        <x:v>99.525</x:v>
      </x:c>
      <x:c r="S609" s="40" t="b">
        <x:v>1</x:v>
      </x:c>
      <x:c r="T609" s="34" t="str">
        <x:v>model_interpolation</x:v>
      </x:c>
      <x:c r="U609" s="34" t="str">
        <x:v>Linear interpolation from 2030 to 2035</x:v>
      </x:c>
      <x:c r="V609" s="34" t="str">
        <x:v>CAND-A735954AF09420</x:v>
      </x:c>
      <x:c r="W609" s="34" t="str">
        <x:v>P3</x:v>
      </x:c>
      <x:c r="X609" s="34" t="str">
        <x:v>PORT-CCD4397FA6D4</x:v>
      </x:c>
      <x:c r="Y609" s="34" t="n">
        <x:v>1000</x:v>
      </x:c>
      <x:c r="Z609" s="34" t="n">
        <x:v>109.160576</x:v>
      </x:c>
      <x:c r="AA609" s="34" t="n">
        <x:v>24.423057</x:v>
      </x:c>
      <x:c r="AB609" s="34" t="n">
        <x:v>281.895878</x:v>
      </x:c>
      <x:c r="AC609" s="34" t="n">
        <x:v>30284.795</x:v>
      </x:c>
      <x:c r="AD609" s="34" t="n">
        <x:v>107.432556</x:v>
      </x:c>
      <x:c r="AE609" s="40" t="b">
        <x:v>1</x:v>
      </x:c>
      <x:c r="AF609" s="40" t="b">
        <x:v>1</x:v>
      </x:c>
      <x:c r="AG609" s="34" t="str"/>
      <x:c r="AH609" s="34" t="n">
        <x:v>0</x:v>
      </x:c>
      <x:c r="AI609" s="34" t="str">
        <x:v>1.265341119704999e-05</x:v>
      </x:c>
      <x:c r="AJ609" s="40" t="b">
        <x:v>1</x:v>
      </x:c>
      <x:c r="AK609" s="40" t="b">
        <x:v>1</x:v>
      </x:c>
      <x:c r="AL609" s="40" t="b">
        <x:v>1</x:v>
      </x:c>
      <x:c r="AM609" s="40" t="b">
        <x:v>1</x:v>
      </x:c>
      <x:c r="AN609" s="34" t="str"/>
      <x:c r="AO609" s="34" t="n">
        <x:v>0</x:v>
      </x:c>
      <x:c r="AP609" s="34" t="n">
        <x:v>0</x:v>
      </x:c>
      <x:c r="AQ609" s="34" t="n">
        <x:v>0</x:v>
      </x:c>
      <x:c r="AR609" s="34" t="n">
        <x:v>2</x:v>
      </x:c>
      <x:c r="AS609" s="34" t="n">
        <x:v>3</x:v>
      </x:c>
      <x:c r="AT609" s="34" t="n">
        <x:v>0.3119871999999999</x:v>
      </x:c>
      <x:c r="AU609" s="34" t="n">
        <x:v>0.65</x:v>
      </x:c>
      <x:c r="AV609" s="34" t="n">
        <x:v>1.1400000000000001</x:v>
      </x:c>
    </x:row>
    <x:row r="610">
      <x:c r="A610" s="34" t="str">
        <x:v>JFE_STEEL_JP</x:v>
      </x:c>
      <x:c r="B610" s="34" t="str">
        <x:v>JFE Steel</x:v>
      </x:c>
      <x:c r="C610" s="34" t="str">
        <x:v>DISCLOSED_PATH</x:v>
      </x:c>
      <x:c r="D610" s="34" t="str">
        <x:v>P3</x:v>
      </x:c>
      <x:c r="E610" s="34" t="n">
        <x:v>2034</x:v>
      </x:c>
      <x:c r="F610" s="34" t="n">
        <x:v>3</x:v>
      </x:c>
      <x:c r="G610" s="34" t="n">
        <x:v>8.1</x:v>
      </x:c>
      <x:c r="H610" s="34" t="n">
        <x:v>11.2</x:v>
      </x:c>
      <x:c r="I610" s="34" t="n">
        <x:v>3.1</x:v>
      </x:c>
      <x:c r="J610" s="34" t="n">
        <x:v>72.321</x:v>
      </x:c>
      <x:c r="K610" s="34" t="n">
        <x:v>0.495</x:v>
      </x:c>
      <x:c r="L610" s="34" t="n">
        <x:v>1.04</x:v>
      </x:c>
      <x:c r="M610" s="34" t="n">
        <x:v>0.545</x:v>
      </x:c>
      <x:c r="N610" s="34" t="n">
        <x:v>47.596</x:v>
      </x:c>
      <x:c r="O610" s="34" t="n">
        <x:v>7.961999</x:v>
      </x:c>
      <x:c r="P610" s="34" t="n">
        <x:v>9</x:v>
      </x:c>
      <x:c r="Q610" s="34" t="n">
        <x:v>1.038001</x:v>
      </x:c>
      <x:c r="R610" s="34" t="n">
        <x:v>88.467</x:v>
      </x:c>
      <x:c r="S610" s="40" t="b">
        <x:v>1</x:v>
      </x:c>
      <x:c r="T610" s="34" t="str">
        <x:v>model_interpolation</x:v>
      </x:c>
      <x:c r="U610" s="34" t="str">
        <x:v>Linear interpolation from 2030 to 2035</x:v>
      </x:c>
      <x:c r="V610" s="34" t="str">
        <x:v>CAND-A735954AF09420</x:v>
      </x:c>
      <x:c r="W610" s="34" t="str">
        <x:v>P3</x:v>
      </x:c>
      <x:c r="X610" s="34" t="str">
        <x:v>PORT-CCD4397FA6D4</x:v>
      </x:c>
      <x:c r="Y610" s="34" t="n">
        <x:v>1000</x:v>
      </x:c>
      <x:c r="Z610" s="34" t="n">
        <x:v>109.160576</x:v>
      </x:c>
      <x:c r="AA610" s="34" t="n">
        <x:v>24.423057</x:v>
      </x:c>
      <x:c r="AB610" s="34" t="n">
        <x:v>281.895878</x:v>
      </x:c>
      <x:c r="AC610" s="34" t="n">
        <x:v>30284.795</x:v>
      </x:c>
      <x:c r="AD610" s="34" t="n">
        <x:v>107.432556</x:v>
      </x:c>
      <x:c r="AE610" s="40" t="b">
        <x:v>1</x:v>
      </x:c>
      <x:c r="AF610" s="40" t="b">
        <x:v>1</x:v>
      </x:c>
      <x:c r="AG610" s="34" t="str"/>
      <x:c r="AH610" s="34" t="n">
        <x:v>0</x:v>
      </x:c>
      <x:c r="AI610" s="34" t="str">
        <x:v>1.265341119704999e-05</x:v>
      </x:c>
      <x:c r="AJ610" s="40" t="b">
        <x:v>1</x:v>
      </x:c>
      <x:c r="AK610" s="40" t="b">
        <x:v>1</x:v>
      </x:c>
      <x:c r="AL610" s="40" t="b">
        <x:v>1</x:v>
      </x:c>
      <x:c r="AM610" s="40" t="b">
        <x:v>1</x:v>
      </x:c>
      <x:c r="AN610" s="34" t="str"/>
      <x:c r="AO610" s="34" t="n">
        <x:v>0</x:v>
      </x:c>
      <x:c r="AP610" s="34" t="n">
        <x:v>0</x:v>
      </x:c>
      <x:c r="AQ610" s="34" t="n">
        <x:v>0</x:v>
      </x:c>
      <x:c r="AR610" s="34" t="n">
        <x:v>2</x:v>
      </x:c>
      <x:c r="AS610" s="34" t="n">
        <x:v>3</x:v>
      </x:c>
      <x:c r="AT610" s="34" t="n">
        <x:v>0.3119871999999999</x:v>
      </x:c>
      <x:c r="AU610" s="34" t="n">
        <x:v>0.65</x:v>
      </x:c>
      <x:c r="AV610" s="34" t="n">
        <x:v>1.1400000000000001</x:v>
      </x:c>
    </x:row>
    <x:row r="611">
      <x:c r="A611" s="34" t="str">
        <x:v>JFE_STEEL_JP</x:v>
      </x:c>
      <x:c r="B611" s="34" t="str">
        <x:v>JFE Steel</x:v>
      </x:c>
      <x:c r="C611" s="34" t="str">
        <x:v>DISCLOSED_PATH</x:v>
      </x:c>
      <x:c r="D611" s="34" t="str">
        <x:v>P3</x:v>
      </x:c>
      <x:c r="E611" s="34" t="n">
        <x:v>2035</x:v>
      </x:c>
      <x:c r="F611" s="34" t="n">
        <x:v>3</x:v>
      </x:c>
      <x:c r="G611" s="34" t="n">
        <x:v>8.1</x:v>
      </x:c>
      <x:c r="H611" s="34" t="n">
        <x:v>12</x:v>
      </x:c>
      <x:c r="I611" s="34" t="n">
        <x:v>3.9</x:v>
      </x:c>
      <x:c r="J611" s="34" t="n">
        <x:v>67.5</x:v>
      </x:c>
      <x:c r="K611" s="34" t="n">
        <x:v>0.495</x:v>
      </x:c>
      <x:c r="L611" s="34" t="n">
        <x:v>1.2</x:v>
      </x:c>
      <x:c r="M611" s="34" t="n">
        <x:v>0.705</x:v>
      </x:c>
      <x:c r="N611" s="34" t="n">
        <x:v>41.25</x:v>
      </x:c>
      <x:c r="O611" s="34" t="n">
        <x:v>7.961999</x:v>
      </x:c>
      <x:c r="P611" s="34" t="n">
        <x:v>10</x:v>
      </x:c>
      <x:c r="Q611" s="34" t="n">
        <x:v>2.038001</x:v>
      </x:c>
      <x:c r="R611" s="34" t="n">
        <x:v>79.62</x:v>
      </x:c>
      <x:c r="S611" s="40" t="b">
        <x:v>1</x:v>
      </x:c>
      <x:c r="T611" s="34" t="str">
        <x:v>model_interpolation</x:v>
      </x:c>
      <x:c r="U611" s="34" t="str">
        <x:v>Linear interpolation from 2035 to 2040</x:v>
      </x:c>
      <x:c r="V611" s="34" t="str">
        <x:v>CAND-A735954AF09420</x:v>
      </x:c>
      <x:c r="W611" s="34" t="str">
        <x:v>P3</x:v>
      </x:c>
      <x:c r="X611" s="34" t="str">
        <x:v>PORT-CCD4397FA6D4</x:v>
      </x:c>
      <x:c r="Y611" s="34" t="n">
        <x:v>1000</x:v>
      </x:c>
      <x:c r="Z611" s="34" t="n">
        <x:v>109.160576</x:v>
      </x:c>
      <x:c r="AA611" s="34" t="n">
        <x:v>24.423057</x:v>
      </x:c>
      <x:c r="AB611" s="34" t="n">
        <x:v>281.895878</x:v>
      </x:c>
      <x:c r="AC611" s="34" t="n">
        <x:v>30284.795</x:v>
      </x:c>
      <x:c r="AD611" s="34" t="n">
        <x:v>107.432556</x:v>
      </x:c>
      <x:c r="AE611" s="40" t="b">
        <x:v>1</x:v>
      </x:c>
      <x:c r="AF611" s="40" t="b">
        <x:v>1</x:v>
      </x:c>
      <x:c r="AG611" s="34" t="str"/>
      <x:c r="AH611" s="34" t="n">
        <x:v>0</x:v>
      </x:c>
      <x:c r="AI611" s="34" t="str">
        <x:v>1.265341119704999e-05</x:v>
      </x:c>
      <x:c r="AJ611" s="40" t="b">
        <x:v>1</x:v>
      </x:c>
      <x:c r="AK611" s="40" t="b">
        <x:v>1</x:v>
      </x:c>
      <x:c r="AL611" s="40" t="b">
        <x:v>1</x:v>
      </x:c>
      <x:c r="AM611" s="40" t="b">
        <x:v>1</x:v>
      </x:c>
      <x:c r="AN611" s="34" t="str"/>
      <x:c r="AO611" s="34" t="n">
        <x:v>0</x:v>
      </x:c>
      <x:c r="AP611" s="34" t="n">
        <x:v>0</x:v>
      </x:c>
      <x:c r="AQ611" s="34" t="n">
        <x:v>0</x:v>
      </x:c>
      <x:c r="AR611" s="34" t="n">
        <x:v>2</x:v>
      </x:c>
      <x:c r="AS611" s="34" t="n">
        <x:v>3</x:v>
      </x:c>
      <x:c r="AT611" s="34" t="n">
        <x:v>0.3119871999999999</x:v>
      </x:c>
      <x:c r="AU611" s="34" t="n">
        <x:v>0.65</x:v>
      </x:c>
      <x:c r="AV611" s="34" t="n">
        <x:v>1.1400000000000001</x:v>
      </x:c>
    </x:row>
    <x:row r="612">
      <x:c r="A612" s="34" t="str">
        <x:v>JFE_STEEL_JP</x:v>
      </x:c>
      <x:c r="B612" s="34" t="str">
        <x:v>JFE Steel</x:v>
      </x:c>
      <x:c r="C612" s="34" t="str">
        <x:v>DISCLOSED_PATH</x:v>
      </x:c>
      <x:c r="D612" s="34" t="str">
        <x:v>P3</x:v>
      </x:c>
      <x:c r="E612" s="34" t="n">
        <x:v>2036</x:v>
      </x:c>
      <x:c r="F612" s="34" t="n">
        <x:v>4</x:v>
      </x:c>
      <x:c r="G612" s="34" t="n">
        <x:v>8.9175</x:v>
      </x:c>
      <x:c r="H612" s="34" t="n">
        <x:v>13</x:v>
      </x:c>
      <x:c r="I612" s="34" t="n">
        <x:v>4.0825</x:v>
      </x:c>
      <x:c r="J612" s="34" t="n">
        <x:v>68.596</x:v>
      </x:c>
      <x:c r="K612" s="34" t="n">
        <x:v>0.495</x:v>
      </x:c>
      <x:c r="L612" s="34" t="n">
        <x:v>1.4</x:v>
      </x:c>
      <x:c r="M612" s="34" t="n">
        <x:v>0.905</x:v>
      </x:c>
      <x:c r="N612" s="34" t="n">
        <x:v>35.357</x:v>
      </x:c>
      <x:c r="O612" s="34" t="n">
        <x:v>8.016499</x:v>
      </x:c>
      <x:c r="P612" s="34" t="n">
        <x:v>11.4</x:v>
      </x:c>
      <x:c r="Q612" s="34" t="n">
        <x:v>3.383501</x:v>
      </x:c>
      <x:c r="R612" s="34" t="n">
        <x:v>70.32</x:v>
      </x:c>
      <x:c r="S612" s="40" t="b">
        <x:v>1</x:v>
      </x:c>
      <x:c r="T612" s="34" t="str">
        <x:v>model_interpolation</x:v>
      </x:c>
      <x:c r="U612" s="34" t="str">
        <x:v>Linear interpolation from 2035 to 2040</x:v>
      </x:c>
      <x:c r="V612" s="34" t="str">
        <x:v>CAND-A735954AF09420</x:v>
      </x:c>
      <x:c r="W612" s="34" t="str">
        <x:v>P3</x:v>
      </x:c>
      <x:c r="X612" s="34" t="str">
        <x:v>PORT-CCD4397FA6D4</x:v>
      </x:c>
      <x:c r="Y612" s="34" t="n">
        <x:v>1000</x:v>
      </x:c>
      <x:c r="Z612" s="34" t="n">
        <x:v>109.160576</x:v>
      </x:c>
      <x:c r="AA612" s="34" t="n">
        <x:v>24.423057</x:v>
      </x:c>
      <x:c r="AB612" s="34" t="n">
        <x:v>281.895878</x:v>
      </x:c>
      <x:c r="AC612" s="34" t="n">
        <x:v>30284.795</x:v>
      </x:c>
      <x:c r="AD612" s="34" t="n">
        <x:v>107.432556</x:v>
      </x:c>
      <x:c r="AE612" s="40" t="b">
        <x:v>1</x:v>
      </x:c>
      <x:c r="AF612" s="40" t="b">
        <x:v>1</x:v>
      </x:c>
      <x:c r="AG612" s="34" t="str"/>
      <x:c r="AH612" s="34" t="n">
        <x:v>0</x:v>
      </x:c>
      <x:c r="AI612" s="34" t="str">
        <x:v>1.265341119704999e-05</x:v>
      </x:c>
      <x:c r="AJ612" s="40" t="b">
        <x:v>1</x:v>
      </x:c>
      <x:c r="AK612" s="40" t="b">
        <x:v>1</x:v>
      </x:c>
      <x:c r="AL612" s="40" t="b">
        <x:v>1</x:v>
      </x:c>
      <x:c r="AM612" s="40" t="b">
        <x:v>1</x:v>
      </x:c>
      <x:c r="AN612" s="34" t="str"/>
      <x:c r="AO612" s="34" t="n">
        <x:v>0</x:v>
      </x:c>
      <x:c r="AP612" s="34" t="n">
        <x:v>0</x:v>
      </x:c>
      <x:c r="AQ612" s="34" t="n">
        <x:v>0</x:v>
      </x:c>
      <x:c r="AR612" s="34" t="n">
        <x:v>2</x:v>
      </x:c>
      <x:c r="AS612" s="34" t="n">
        <x:v>3</x:v>
      </x:c>
      <x:c r="AT612" s="34" t="n">
        <x:v>0.3119871999999999</x:v>
      </x:c>
      <x:c r="AU612" s="34" t="n">
        <x:v>0.65</x:v>
      </x:c>
      <x:c r="AV612" s="34" t="n">
        <x:v>1.1400000000000001</x:v>
      </x:c>
    </x:row>
    <x:row r="613">
      <x:c r="A613" s="34" t="str">
        <x:v>JFE_STEEL_JP</x:v>
      </x:c>
      <x:c r="B613" s="34" t="str">
        <x:v>JFE Steel</x:v>
      </x:c>
      <x:c r="C613" s="34" t="str">
        <x:v>DISCLOSED_PATH</x:v>
      </x:c>
      <x:c r="D613" s="34" t="str">
        <x:v>P3</x:v>
      </x:c>
      <x:c r="E613" s="34" t="n">
        <x:v>2037</x:v>
      </x:c>
      <x:c r="F613" s="34" t="n">
        <x:v>4</x:v>
      </x:c>
      <x:c r="G613" s="34" t="n">
        <x:v>8.9175</x:v>
      </x:c>
      <x:c r="H613" s="34" t="n">
        <x:v>14</x:v>
      </x:c>
      <x:c r="I613" s="34" t="n">
        <x:v>5.0825</x:v>
      </x:c>
      <x:c r="J613" s="34" t="n">
        <x:v>63.696</x:v>
      </x:c>
      <x:c r="K613" s="34" t="n">
        <x:v>0.495</x:v>
      </x:c>
      <x:c r="L613" s="34" t="n">
        <x:v>1.6</x:v>
      </x:c>
      <x:c r="M613" s="34" t="n">
        <x:v>1.105</x:v>
      </x:c>
      <x:c r="N613" s="34" t="n">
        <x:v>30.937</x:v>
      </x:c>
      <x:c r="O613" s="34" t="n">
        <x:v>8.016499</x:v>
      </x:c>
      <x:c r="P613" s="34" t="n">
        <x:v>12.8</x:v>
      </x:c>
      <x:c r="Q613" s="34" t="n">
        <x:v>4.783501</x:v>
      </x:c>
      <x:c r="R613" s="34" t="n">
        <x:v>62.629</x:v>
      </x:c>
      <x:c r="S613" s="40" t="b">
        <x:v>1</x:v>
      </x:c>
      <x:c r="T613" s="34" t="str">
        <x:v>model_interpolation</x:v>
      </x:c>
      <x:c r="U613" s="34" t="str">
        <x:v>Linear interpolation from 2035 to 2040</x:v>
      </x:c>
      <x:c r="V613" s="34" t="str">
        <x:v>CAND-A735954AF09420</x:v>
      </x:c>
      <x:c r="W613" s="34" t="str">
        <x:v>P3</x:v>
      </x:c>
      <x:c r="X613" s="34" t="str">
        <x:v>PORT-CCD4397FA6D4</x:v>
      </x:c>
      <x:c r="Y613" s="34" t="n">
        <x:v>1000</x:v>
      </x:c>
      <x:c r="Z613" s="34" t="n">
        <x:v>109.160576</x:v>
      </x:c>
      <x:c r="AA613" s="34" t="n">
        <x:v>24.423057</x:v>
      </x:c>
      <x:c r="AB613" s="34" t="n">
        <x:v>281.895878</x:v>
      </x:c>
      <x:c r="AC613" s="34" t="n">
        <x:v>30284.795</x:v>
      </x:c>
      <x:c r="AD613" s="34" t="n">
        <x:v>107.432556</x:v>
      </x:c>
      <x:c r="AE613" s="40" t="b">
        <x:v>1</x:v>
      </x:c>
      <x:c r="AF613" s="40" t="b">
        <x:v>1</x:v>
      </x:c>
      <x:c r="AG613" s="34" t="str"/>
      <x:c r="AH613" s="34" t="n">
        <x:v>0</x:v>
      </x:c>
      <x:c r="AI613" s="34" t="str">
        <x:v>1.265341119704999e-05</x:v>
      </x:c>
      <x:c r="AJ613" s="40" t="b">
        <x:v>1</x:v>
      </x:c>
      <x:c r="AK613" s="40" t="b">
        <x:v>1</x:v>
      </x:c>
      <x:c r="AL613" s="40" t="b">
        <x:v>1</x:v>
      </x:c>
      <x:c r="AM613" s="40" t="b">
        <x:v>1</x:v>
      </x:c>
      <x:c r="AN613" s="34" t="str"/>
      <x:c r="AO613" s="34" t="n">
        <x:v>0</x:v>
      </x:c>
      <x:c r="AP613" s="34" t="n">
        <x:v>0</x:v>
      </x:c>
      <x:c r="AQ613" s="34" t="n">
        <x:v>0</x:v>
      </x:c>
      <x:c r="AR613" s="34" t="n">
        <x:v>2</x:v>
      </x:c>
      <x:c r="AS613" s="34" t="n">
        <x:v>3</x:v>
      </x:c>
      <x:c r="AT613" s="34" t="n">
        <x:v>0.3119871999999999</x:v>
      </x:c>
      <x:c r="AU613" s="34" t="n">
        <x:v>0.65</x:v>
      </x:c>
      <x:c r="AV613" s="34" t="n">
        <x:v>1.1400000000000001</x:v>
      </x:c>
    </x:row>
    <x:row r="614">
      <x:c r="A614" s="34" t="str">
        <x:v>JFE_STEEL_JP</x:v>
      </x:c>
      <x:c r="B614" s="34" t="str">
        <x:v>JFE Steel</x:v>
      </x:c>
      <x:c r="C614" s="34" t="str">
        <x:v>DISCLOSED_PATH</x:v>
      </x:c>
      <x:c r="D614" s="34" t="str">
        <x:v>P3</x:v>
      </x:c>
      <x:c r="E614" s="34" t="n">
        <x:v>2038</x:v>
      </x:c>
      <x:c r="F614" s="34" t="n">
        <x:v>4</x:v>
      </x:c>
      <x:c r="G614" s="34" t="n">
        <x:v>8.9175</x:v>
      </x:c>
      <x:c r="H614" s="34" t="n">
        <x:v>15</x:v>
      </x:c>
      <x:c r="I614" s="34" t="n">
        <x:v>6.0825</x:v>
      </x:c>
      <x:c r="J614" s="34" t="n">
        <x:v>59.45</x:v>
      </x:c>
      <x:c r="K614" s="34" t="n">
        <x:v>0.495</x:v>
      </x:c>
      <x:c r="L614" s="34" t="n">
        <x:v>1.8</x:v>
      </x:c>
      <x:c r="M614" s="34" t="n">
        <x:v>1.305</x:v>
      </x:c>
      <x:c r="N614" s="34" t="n">
        <x:v>27.5</x:v>
      </x:c>
      <x:c r="O614" s="34" t="n">
        <x:v>8.016499</x:v>
      </x:c>
      <x:c r="P614" s="34" t="n">
        <x:v>14.2</x:v>
      </x:c>
      <x:c r="Q614" s="34" t="n">
        <x:v>6.183501</x:v>
      </x:c>
      <x:c r="R614" s="34" t="n">
        <x:v>56.454</x:v>
      </x:c>
      <x:c r="S614" s="40" t="b">
        <x:v>1</x:v>
      </x:c>
      <x:c r="T614" s="34" t="str">
        <x:v>model_interpolation</x:v>
      </x:c>
      <x:c r="U614" s="34" t="str">
        <x:v>Linear interpolation from 2035 to 2040</x:v>
      </x:c>
      <x:c r="V614" s="34" t="str">
        <x:v>CAND-A735954AF09420</x:v>
      </x:c>
      <x:c r="W614" s="34" t="str">
        <x:v>P3</x:v>
      </x:c>
      <x:c r="X614" s="34" t="str">
        <x:v>PORT-CCD4397FA6D4</x:v>
      </x:c>
      <x:c r="Y614" s="34" t="n">
        <x:v>1000</x:v>
      </x:c>
      <x:c r="Z614" s="34" t="n">
        <x:v>109.160576</x:v>
      </x:c>
      <x:c r="AA614" s="34" t="n">
        <x:v>24.423057</x:v>
      </x:c>
      <x:c r="AB614" s="34" t="n">
        <x:v>281.895878</x:v>
      </x:c>
      <x:c r="AC614" s="34" t="n">
        <x:v>30284.795</x:v>
      </x:c>
      <x:c r="AD614" s="34" t="n">
        <x:v>107.432556</x:v>
      </x:c>
      <x:c r="AE614" s="40" t="b">
        <x:v>1</x:v>
      </x:c>
      <x:c r="AF614" s="40" t="b">
        <x:v>1</x:v>
      </x:c>
      <x:c r="AG614" s="34" t="str"/>
      <x:c r="AH614" s="34" t="n">
        <x:v>0</x:v>
      </x:c>
      <x:c r="AI614" s="34" t="str">
        <x:v>1.265341119704999e-05</x:v>
      </x:c>
      <x:c r="AJ614" s="40" t="b">
        <x:v>1</x:v>
      </x:c>
      <x:c r="AK614" s="40" t="b">
        <x:v>1</x:v>
      </x:c>
      <x:c r="AL614" s="40" t="b">
        <x:v>1</x:v>
      </x:c>
      <x:c r="AM614" s="40" t="b">
        <x:v>1</x:v>
      </x:c>
      <x:c r="AN614" s="34" t="str"/>
      <x:c r="AO614" s="34" t="n">
        <x:v>0</x:v>
      </x:c>
      <x:c r="AP614" s="34" t="n">
        <x:v>0</x:v>
      </x:c>
      <x:c r="AQ614" s="34" t="n">
        <x:v>0</x:v>
      </x:c>
      <x:c r="AR614" s="34" t="n">
        <x:v>2</x:v>
      </x:c>
      <x:c r="AS614" s="34" t="n">
        <x:v>3</x:v>
      </x:c>
      <x:c r="AT614" s="34" t="n">
        <x:v>0.3119871999999999</x:v>
      </x:c>
      <x:c r="AU614" s="34" t="n">
        <x:v>0.65</x:v>
      </x:c>
      <x:c r="AV614" s="34" t="n">
        <x:v>1.1400000000000001</x:v>
      </x:c>
    </x:row>
    <x:row r="615">
      <x:c r="A615" s="34" t="str">
        <x:v>JFE_STEEL_JP</x:v>
      </x:c>
      <x:c r="B615" s="34" t="str">
        <x:v>JFE Steel</x:v>
      </x:c>
      <x:c r="C615" s="34" t="str">
        <x:v>DISCLOSED_PATH</x:v>
      </x:c>
      <x:c r="D615" s="34" t="str">
        <x:v>P3</x:v>
      </x:c>
      <x:c r="E615" s="34" t="n">
        <x:v>2039</x:v>
      </x:c>
      <x:c r="F615" s="34" t="n">
        <x:v>4</x:v>
      </x:c>
      <x:c r="G615" s="34" t="n">
        <x:v>8.9175</x:v>
      </x:c>
      <x:c r="H615" s="34" t="n">
        <x:v>16</x:v>
      </x:c>
      <x:c r="I615" s="34" t="n">
        <x:v>7.0825</x:v>
      </x:c>
      <x:c r="J615" s="34" t="n">
        <x:v>55.734</x:v>
      </x:c>
      <x:c r="K615" s="34" t="n">
        <x:v>0.495</x:v>
      </x:c>
      <x:c r="L615" s="34" t="n">
        <x:v>2</x:v>
      </x:c>
      <x:c r="M615" s="34" t="n">
        <x:v>1.505</x:v>
      </x:c>
      <x:c r="N615" s="34" t="n">
        <x:v>24.75</x:v>
      </x:c>
      <x:c r="O615" s="34" t="n">
        <x:v>8.016499</x:v>
      </x:c>
      <x:c r="P615" s="34" t="n">
        <x:v>15.600000000000001</x:v>
      </x:c>
      <x:c r="Q615" s="34" t="n">
        <x:v>7.583501</x:v>
      </x:c>
      <x:c r="R615" s="34" t="n">
        <x:v>51.388</x:v>
      </x:c>
      <x:c r="S615" s="40" t="b">
        <x:v>1</x:v>
      </x:c>
      <x:c r="T615" s="34" t="str">
        <x:v>model_interpolation</x:v>
      </x:c>
      <x:c r="U615" s="34" t="str">
        <x:v>Linear interpolation from 2035 to 2040</x:v>
      </x:c>
      <x:c r="V615" s="34" t="str">
        <x:v>CAND-A735954AF09420</x:v>
      </x:c>
      <x:c r="W615" s="34" t="str">
        <x:v>P3</x:v>
      </x:c>
      <x:c r="X615" s="34" t="str">
        <x:v>PORT-CCD4397FA6D4</x:v>
      </x:c>
      <x:c r="Y615" s="34" t="n">
        <x:v>1000</x:v>
      </x:c>
      <x:c r="Z615" s="34" t="n">
        <x:v>109.160576</x:v>
      </x:c>
      <x:c r="AA615" s="34" t="n">
        <x:v>24.423057</x:v>
      </x:c>
      <x:c r="AB615" s="34" t="n">
        <x:v>281.895878</x:v>
      </x:c>
      <x:c r="AC615" s="34" t="n">
        <x:v>30284.795</x:v>
      </x:c>
      <x:c r="AD615" s="34" t="n">
        <x:v>107.432556</x:v>
      </x:c>
      <x:c r="AE615" s="40" t="b">
        <x:v>1</x:v>
      </x:c>
      <x:c r="AF615" s="40" t="b">
        <x:v>1</x:v>
      </x:c>
      <x:c r="AG615" s="34" t="str"/>
      <x:c r="AH615" s="34" t="n">
        <x:v>0</x:v>
      </x:c>
      <x:c r="AI615" s="34" t="str">
        <x:v>1.265341119704999e-05</x:v>
      </x:c>
      <x:c r="AJ615" s="40" t="b">
        <x:v>1</x:v>
      </x:c>
      <x:c r="AK615" s="40" t="b">
        <x:v>1</x:v>
      </x:c>
      <x:c r="AL615" s="40" t="b">
        <x:v>1</x:v>
      </x:c>
      <x:c r="AM615" s="40" t="b">
        <x:v>1</x:v>
      </x:c>
      <x:c r="AN615" s="34" t="str"/>
      <x:c r="AO615" s="34" t="n">
        <x:v>0</x:v>
      </x:c>
      <x:c r="AP615" s="34" t="n">
        <x:v>0</x:v>
      </x:c>
      <x:c r="AQ615" s="34" t="n">
        <x:v>0</x:v>
      </x:c>
      <x:c r="AR615" s="34" t="n">
        <x:v>2</x:v>
      </x:c>
      <x:c r="AS615" s="34" t="n">
        <x:v>3</x:v>
      </x:c>
      <x:c r="AT615" s="34" t="n">
        <x:v>0.3119871999999999</x:v>
      </x:c>
      <x:c r="AU615" s="34" t="n">
        <x:v>0.65</x:v>
      </x:c>
      <x:c r="AV615" s="34" t="n">
        <x:v>1.1400000000000001</x:v>
      </x:c>
    </x:row>
    <x:row r="616">
      <x:c r="A616" s="34" t="str">
        <x:v>JFE_STEEL_JP</x:v>
      </x:c>
      <x:c r="B616" s="34" t="str">
        <x:v>JFE Steel</x:v>
      </x:c>
      <x:c r="C616" s="34" t="str">
        <x:v>DISCLOSED_PATH</x:v>
      </x:c>
      <x:c r="D616" s="34" t="str">
        <x:v>P3</x:v>
      </x:c>
      <x:c r="E616" s="34" t="n">
        <x:v>2040</x:v>
      </x:c>
      <x:c r="F616" s="34" t="n">
        <x:v>4</x:v>
      </x:c>
      <x:c r="G616" s="34" t="n">
        <x:v>8.9175</x:v>
      </x:c>
      <x:c r="H616" s="34" t="n">
        <x:v>17</x:v>
      </x:c>
      <x:c r="I616" s="34" t="n">
        <x:v>8.0825</x:v>
      </x:c>
      <x:c r="J616" s="34" t="n">
        <x:v>52.456</x:v>
      </x:c>
      <x:c r="K616" s="34" t="n">
        <x:v>0.495</x:v>
      </x:c>
      <x:c r="L616" s="34" t="n">
        <x:v>2.2</x:v>
      </x:c>
      <x:c r="M616" s="34" t="n">
        <x:v>1.705</x:v>
      </x:c>
      <x:c r="N616" s="34" t="n">
        <x:v>22.5</x:v>
      </x:c>
      <x:c r="O616" s="34" t="n">
        <x:v>8.016499</x:v>
      </x:c>
      <x:c r="P616" s="34" t="n">
        <x:v>17</x:v>
      </x:c>
      <x:c r="Q616" s="34" t="n">
        <x:v>8.983501</x:v>
      </x:c>
      <x:c r="R616" s="34" t="n">
        <x:v>47.156</x:v>
      </x:c>
      <x:c r="S616" s="40" t="b">
        <x:v>1</x:v>
      </x:c>
      <x:c r="T616" s="34" t="str">
        <x:v>model_estimate</x:v>
      </x:c>
      <x:c r="U616" s="34" t="str">
        <x:v>Illustrative screening envelope; not an official supply forecast</x:v>
      </x:c>
      <x:c r="V616" s="34" t="str">
        <x:v>CAND-A735954AF09420</x:v>
      </x:c>
      <x:c r="W616" s="34" t="str">
        <x:v>P3</x:v>
      </x:c>
      <x:c r="X616" s="34" t="str">
        <x:v>PORT-CCD4397FA6D4</x:v>
      </x:c>
      <x:c r="Y616" s="34" t="n">
        <x:v>1000</x:v>
      </x:c>
      <x:c r="Z616" s="34" t="n">
        <x:v>109.160576</x:v>
      </x:c>
      <x:c r="AA616" s="34" t="n">
        <x:v>24.423057</x:v>
      </x:c>
      <x:c r="AB616" s="34" t="n">
        <x:v>281.895878</x:v>
      </x:c>
      <x:c r="AC616" s="34" t="n">
        <x:v>30284.795</x:v>
      </x:c>
      <x:c r="AD616" s="34" t="n">
        <x:v>107.432556</x:v>
      </x:c>
      <x:c r="AE616" s="40" t="b">
        <x:v>1</x:v>
      </x:c>
      <x:c r="AF616" s="40" t="b">
        <x:v>1</x:v>
      </x:c>
      <x:c r="AG616" s="34" t="str"/>
      <x:c r="AH616" s="34" t="n">
        <x:v>0</x:v>
      </x:c>
      <x:c r="AI616" s="34" t="str">
        <x:v>1.265341119704999e-05</x:v>
      </x:c>
      <x:c r="AJ616" s="40" t="b">
        <x:v>1</x:v>
      </x:c>
      <x:c r="AK616" s="40" t="b">
        <x:v>1</x:v>
      </x:c>
      <x:c r="AL616" s="40" t="b">
        <x:v>1</x:v>
      </x:c>
      <x:c r="AM616" s="40" t="b">
        <x:v>1</x:v>
      </x:c>
      <x:c r="AN616" s="34" t="str"/>
      <x:c r="AO616" s="34" t="n">
        <x:v>0</x:v>
      </x:c>
      <x:c r="AP616" s="34" t="n">
        <x:v>0</x:v>
      </x:c>
      <x:c r="AQ616" s="34" t="n">
        <x:v>0</x:v>
      </x:c>
      <x:c r="AR616" s="34" t="n">
        <x:v>2</x:v>
      </x:c>
      <x:c r="AS616" s="34" t="n">
        <x:v>3</x:v>
      </x:c>
      <x:c r="AT616" s="34" t="n">
        <x:v>0.3119871999999999</x:v>
      </x:c>
      <x:c r="AU616" s="34" t="n">
        <x:v>0.65</x:v>
      </x:c>
      <x:c r="AV616" s="34" t="n">
        <x:v>1.1400000000000001</x:v>
      </x:c>
    </x:row>
    <x:row r="617">
      <x:c r="A617" s="34" t="str">
        <x:v>JFE_STEEL_JP</x:v>
      </x:c>
      <x:c r="B617" s="34" t="str">
        <x:v>JFE Steel</x:v>
      </x:c>
      <x:c r="C617" s="34" t="str">
        <x:v>ACCELERATED_15C</x:v>
      </x:c>
      <x:c r="D617" s="34" t="str">
        <x:v>P3</x:v>
      </x:c>
      <x:c r="E617" s="34" t="n">
        <x:v>2026</x:v>
      </x:c>
      <x:c r="F617" s="34" t="n">
        <x:v>0</x:v>
      </x:c>
      <x:c r="G617" s="34" t="n">
        <x:v>0</x:v>
      </x:c>
      <x:c r="H617" s="34" t="n">
        <x:v>5</x:v>
      </x:c>
      <x:c r="I617" s="34" t="n">
        <x:v>5</x:v>
      </x:c>
      <x:c r="J617" s="34" t="n">
        <x:v>0</x:v>
      </x:c>
      <x:c r="K617" s="34" t="n">
        <x:v>0</x:v>
      </x:c>
      <x:c r="L617" s="34" t="n">
        <x:v>0.1</x:v>
      </x:c>
      <x:c r="M617" s="34" t="n">
        <x:v>0.1</x:v>
      </x:c>
      <x:c r="N617" s="34" t="n">
        <x:v>0</x:v>
      </x:c>
      <x:c r="O617" s="34" t="n">
        <x:v>0</x:v>
      </x:c>
      <x:c r="P617" s="34" t="n">
        <x:v>1.5</x:v>
      </x:c>
      <x:c r="Q617" s="34" t="n">
        <x:v>1.5</x:v>
      </x:c>
      <x:c r="R617" s="34" t="n">
        <x:v>0</x:v>
      </x:c>
      <x:c r="S617" s="40" t="b">
        <x:v>1</x:v>
      </x:c>
      <x:c r="T617" s="34" t="str">
        <x:v>model_interpolation</x:v>
      </x:c>
      <x:c r="U617" s="34" t="str">
        <x:v>Linear interpolation from 2026 to 2030</x:v>
      </x:c>
      <x:c r="V617" s="34" t="str">
        <x:v>CAND-A735954AF09420</x:v>
      </x:c>
      <x:c r="W617" s="34" t="str">
        <x:v>P3</x:v>
      </x:c>
      <x:c r="X617" s="34" t="str">
        <x:v>PORT-CCD4397FA6D4</x:v>
      </x:c>
      <x:c r="Y617" s="34" t="n">
        <x:v>1000</x:v>
      </x:c>
      <x:c r="Z617" s="34" t="n">
        <x:v>98.795699</x:v>
      </x:c>
      <x:c r="AA617" s="34" t="n">
        <x:v>25.465622</x:v>
      </x:c>
      <x:c r="AB617" s="34" t="n">
        <x:v>281.895878</x:v>
      </x:c>
      <x:c r="AC617" s="34" t="n">
        <x:v>27384.963</x:v>
      </x:c>
      <x:c r="AD617" s="34" t="n">
        <x:v>97.145666</x:v>
      </x:c>
      <x:c r="AE617" s="40" t="b">
        <x:v>0</x:v>
      </x:c>
      <x:c r="AF617" s="40" t="b">
        <x:v>0</x:v>
      </x:c>
      <x:c r="AG617" s="34" t="n">
        <x:v>2040</x:v>
      </x:c>
      <x:c r="AH617" s="34" t="n">
        <x:v>5.28499579</x:v>
      </x:c>
      <x:c r="AI617" s="34" t="n">
        <x:v>-5.28499579</x:v>
      </x:c>
      <x:c r="AJ617" s="40" t="b">
        <x:v>1</x:v>
      </x:c>
      <x:c r="AK617" s="40" t="b">
        <x:v>1</x:v>
      </x:c>
      <x:c r="AL617" s="40" t="b">
        <x:v>1</x:v>
      </x:c>
      <x:c r="AM617" s="40" t="b">
        <x:v>1</x:v>
      </x:c>
      <x:c r="AN617" s="34" t="str"/>
      <x:c r="AO617" s="34" t="n">
        <x:v>0</x:v>
      </x:c>
      <x:c r="AP617" s="34" t="n">
        <x:v>0</x:v>
      </x:c>
      <x:c r="AQ617" s="34" t="n">
        <x:v>0</x:v>
      </x:c>
      <x:c r="AR617" s="34" t="n">
        <x:v>2</x:v>
      </x:c>
      <x:c r="AS617" s="34" t="n">
        <x:v>3</x:v>
      </x:c>
      <x:c r="AT617" s="34" t="n">
        <x:v>0.3119871999999999</x:v>
      </x:c>
      <x:c r="AU617" s="34" t="n">
        <x:v>0.65</x:v>
      </x:c>
      <x:c r="AV617" s="34" t="n">
        <x:v>1.1400000000000001</x:v>
      </x:c>
    </x:row>
    <x:row r="618">
      <x:c r="A618" s="34" t="str">
        <x:v>JFE_STEEL_JP</x:v>
      </x:c>
      <x:c r="B618" s="34" t="str">
        <x:v>JFE Steel</x:v>
      </x:c>
      <x:c r="C618" s="34" t="str">
        <x:v>ACCELERATED_15C</x:v>
      </x:c>
      <x:c r="D618" s="34" t="str">
        <x:v>P3</x:v>
      </x:c>
      <x:c r="E618" s="34" t="n">
        <x:v>2027</x:v>
      </x:c>
      <x:c r="F618" s="34" t="n">
        <x:v>0</x:v>
      </x:c>
      <x:c r="G618" s="34" t="n">
        <x:v>0</x:v>
      </x:c>
      <x:c r="H618" s="34" t="n">
        <x:v>6.25</x:v>
      </x:c>
      <x:c r="I618" s="34" t="n">
        <x:v>6.25</x:v>
      </x:c>
      <x:c r="J618" s="34" t="n">
        <x:v>0</x:v>
      </x:c>
      <x:c r="K618" s="34" t="n">
        <x:v>0</x:v>
      </x:c>
      <x:c r="L618" s="34" t="n">
        <x:v>0.225</x:v>
      </x:c>
      <x:c r="M618" s="34" t="n">
        <x:v>0.225</x:v>
      </x:c>
      <x:c r="N618" s="34" t="n">
        <x:v>0</x:v>
      </x:c>
      <x:c r="O618" s="34" t="n">
        <x:v>0</x:v>
      </x:c>
      <x:c r="P618" s="34" t="n">
        <x:v>2.875</x:v>
      </x:c>
      <x:c r="Q618" s="34" t="n">
        <x:v>2.875</x:v>
      </x:c>
      <x:c r="R618" s="34" t="n">
        <x:v>0</x:v>
      </x:c>
      <x:c r="S618" s="40" t="b">
        <x:v>1</x:v>
      </x:c>
      <x:c r="T618" s="34" t="str">
        <x:v>model_interpolation</x:v>
      </x:c>
      <x:c r="U618" s="34" t="str">
        <x:v>Linear interpolation from 2026 to 2030</x:v>
      </x:c>
      <x:c r="V618" s="34" t="str">
        <x:v>CAND-A735954AF09420</x:v>
      </x:c>
      <x:c r="W618" s="34" t="str">
        <x:v>P3</x:v>
      </x:c>
      <x:c r="X618" s="34" t="str">
        <x:v>PORT-CCD4397FA6D4</x:v>
      </x:c>
      <x:c r="Y618" s="34" t="n">
        <x:v>1000</x:v>
      </x:c>
      <x:c r="Z618" s="34" t="n">
        <x:v>98.795699</x:v>
      </x:c>
      <x:c r="AA618" s="34" t="n">
        <x:v>25.465622</x:v>
      </x:c>
      <x:c r="AB618" s="34" t="n">
        <x:v>281.895878</x:v>
      </x:c>
      <x:c r="AC618" s="34" t="n">
        <x:v>27384.963</x:v>
      </x:c>
      <x:c r="AD618" s="34" t="n">
        <x:v>97.145666</x:v>
      </x:c>
      <x:c r="AE618" s="40" t="b">
        <x:v>0</x:v>
      </x:c>
      <x:c r="AF618" s="40" t="b">
        <x:v>0</x:v>
      </x:c>
      <x:c r="AG618" s="34" t="n">
        <x:v>2040</x:v>
      </x:c>
      <x:c r="AH618" s="34" t="n">
        <x:v>5.28499579</x:v>
      </x:c>
      <x:c r="AI618" s="34" t="n">
        <x:v>-5.28499579</x:v>
      </x:c>
      <x:c r="AJ618" s="40" t="b">
        <x:v>1</x:v>
      </x:c>
      <x:c r="AK618" s="40" t="b">
        <x:v>1</x:v>
      </x:c>
      <x:c r="AL618" s="40" t="b">
        <x:v>1</x:v>
      </x:c>
      <x:c r="AM618" s="40" t="b">
        <x:v>1</x:v>
      </x:c>
      <x:c r="AN618" s="34" t="str"/>
      <x:c r="AO618" s="34" t="n">
        <x:v>0</x:v>
      </x:c>
      <x:c r="AP618" s="34" t="n">
        <x:v>0</x:v>
      </x:c>
      <x:c r="AQ618" s="34" t="n">
        <x:v>0</x:v>
      </x:c>
      <x:c r="AR618" s="34" t="n">
        <x:v>2</x:v>
      </x:c>
      <x:c r="AS618" s="34" t="n">
        <x:v>3</x:v>
      </x:c>
      <x:c r="AT618" s="34" t="n">
        <x:v>0.3119871999999999</x:v>
      </x:c>
      <x:c r="AU618" s="34" t="n">
        <x:v>0.65</x:v>
      </x:c>
      <x:c r="AV618" s="34" t="n">
        <x:v>1.1400000000000001</x:v>
      </x:c>
    </x:row>
    <x:row r="619">
      <x:c r="A619" s="34" t="str">
        <x:v>JFE_STEEL_JP</x:v>
      </x:c>
      <x:c r="B619" s="34" t="str">
        <x:v>JFE Steel</x:v>
      </x:c>
      <x:c r="C619" s="34" t="str">
        <x:v>ACCELERATED_15C</x:v>
      </x:c>
      <x:c r="D619" s="34" t="str">
        <x:v>P3</x:v>
      </x:c>
      <x:c r="E619" s="34" t="n">
        <x:v>2028</x:v>
      </x:c>
      <x:c r="F619" s="34" t="n">
        <x:v>0</x:v>
      </x:c>
      <x:c r="G619" s="34" t="n">
        <x:v>0</x:v>
      </x:c>
      <x:c r="H619" s="34" t="n">
        <x:v>7.5</x:v>
      </x:c>
      <x:c r="I619" s="34" t="n">
        <x:v>7.5</x:v>
      </x:c>
      <x:c r="J619" s="34" t="n">
        <x:v>0</x:v>
      </x:c>
      <x:c r="K619" s="34" t="n">
        <x:v>0</x:v>
      </x:c>
      <x:c r="L619" s="34" t="n">
        <x:v>0.35</x:v>
      </x:c>
      <x:c r="M619" s="34" t="n">
        <x:v>0.35</x:v>
      </x:c>
      <x:c r="N619" s="34" t="n">
        <x:v>0</x:v>
      </x:c>
      <x:c r="O619" s="34" t="n">
        <x:v>0</x:v>
      </x:c>
      <x:c r="P619" s="34" t="n">
        <x:v>4.25</x:v>
      </x:c>
      <x:c r="Q619" s="34" t="n">
        <x:v>4.25</x:v>
      </x:c>
      <x:c r="R619" s="34" t="n">
        <x:v>0</x:v>
      </x:c>
      <x:c r="S619" s="40" t="b">
        <x:v>1</x:v>
      </x:c>
      <x:c r="T619" s="34" t="str">
        <x:v>model_interpolation</x:v>
      </x:c>
      <x:c r="U619" s="34" t="str">
        <x:v>Linear interpolation from 2026 to 2030</x:v>
      </x:c>
      <x:c r="V619" s="34" t="str">
        <x:v>CAND-A735954AF09420</x:v>
      </x:c>
      <x:c r="W619" s="34" t="str">
        <x:v>P3</x:v>
      </x:c>
      <x:c r="X619" s="34" t="str">
        <x:v>PORT-CCD4397FA6D4</x:v>
      </x:c>
      <x:c r="Y619" s="34" t="n">
        <x:v>1000</x:v>
      </x:c>
      <x:c r="Z619" s="34" t="n">
        <x:v>98.795699</x:v>
      </x:c>
      <x:c r="AA619" s="34" t="n">
        <x:v>25.465622</x:v>
      </x:c>
      <x:c r="AB619" s="34" t="n">
        <x:v>281.895878</x:v>
      </x:c>
      <x:c r="AC619" s="34" t="n">
        <x:v>27384.963</x:v>
      </x:c>
      <x:c r="AD619" s="34" t="n">
        <x:v>97.145666</x:v>
      </x:c>
      <x:c r="AE619" s="40" t="b">
        <x:v>0</x:v>
      </x:c>
      <x:c r="AF619" s="40" t="b">
        <x:v>0</x:v>
      </x:c>
      <x:c r="AG619" s="34" t="n">
        <x:v>2040</x:v>
      </x:c>
      <x:c r="AH619" s="34" t="n">
        <x:v>5.28499579</x:v>
      </x:c>
      <x:c r="AI619" s="34" t="n">
        <x:v>-5.28499579</x:v>
      </x:c>
      <x:c r="AJ619" s="40" t="b">
        <x:v>1</x:v>
      </x:c>
      <x:c r="AK619" s="40" t="b">
        <x:v>1</x:v>
      </x:c>
      <x:c r="AL619" s="40" t="b">
        <x:v>1</x:v>
      </x:c>
      <x:c r="AM619" s="40" t="b">
        <x:v>1</x:v>
      </x:c>
      <x:c r="AN619" s="34" t="str"/>
      <x:c r="AO619" s="34" t="n">
        <x:v>0</x:v>
      </x:c>
      <x:c r="AP619" s="34" t="n">
        <x:v>0</x:v>
      </x:c>
      <x:c r="AQ619" s="34" t="n">
        <x:v>0</x:v>
      </x:c>
      <x:c r="AR619" s="34" t="n">
        <x:v>2</x:v>
      </x:c>
      <x:c r="AS619" s="34" t="n">
        <x:v>3</x:v>
      </x:c>
      <x:c r="AT619" s="34" t="n">
        <x:v>0.3119871999999999</x:v>
      </x:c>
      <x:c r="AU619" s="34" t="n">
        <x:v>0.65</x:v>
      </x:c>
      <x:c r="AV619" s="34" t="n">
        <x:v>1.1400000000000001</x:v>
      </x:c>
    </x:row>
    <x:row r="620">
      <x:c r="A620" s="34" t="str">
        <x:v>JFE_STEEL_JP</x:v>
      </x:c>
      <x:c r="B620" s="34" t="str">
        <x:v>JFE Steel</x:v>
      </x:c>
      <x:c r="C620" s="34" t="str">
        <x:v>ACCELERATED_15C</x:v>
      </x:c>
      <x:c r="D620" s="34" t="str">
        <x:v>P3</x:v>
      </x:c>
      <x:c r="E620" s="34" t="n">
        <x:v>2029</x:v>
      </x:c>
      <x:c r="F620" s="34" t="n">
        <x:v>1</x:v>
      </x:c>
      <x:c r="G620" s="34" t="n">
        <x:v>6.120001</x:v>
      </x:c>
      <x:c r="H620" s="34" t="n">
        <x:v>8.75</x:v>
      </x:c>
      <x:c r="I620" s="34" t="n">
        <x:v>2.629999</x:v>
      </x:c>
      <x:c r="J620" s="34" t="n">
        <x:v>69.943</x:v>
      </x:c>
      <x:c r="K620" s="34" t="n">
        <x:v>0</x:v>
      </x:c>
      <x:c r="L620" s="34" t="n">
        <x:v>0.475</x:v>
      </x:c>
      <x:c r="M620" s="34" t="n">
        <x:v>0.475</x:v>
      </x:c>
      <x:c r="N620" s="34" t="n">
        <x:v>0</x:v>
      </x:c>
      <x:c r="O620" s="34" t="n">
        <x:v>3.808</x:v>
      </x:c>
      <x:c r="P620" s="34" t="n">
        <x:v>5.625</x:v>
      </x:c>
      <x:c r="Q620" s="34" t="n">
        <x:v>1.817</x:v>
      </x:c>
      <x:c r="R620" s="34" t="n">
        <x:v>67.698</x:v>
      </x:c>
      <x:c r="S620" s="40" t="b">
        <x:v>1</x:v>
      </x:c>
      <x:c r="T620" s="34" t="str">
        <x:v>model_interpolation</x:v>
      </x:c>
      <x:c r="U620" s="34" t="str">
        <x:v>Linear interpolation from 2026 to 2030</x:v>
      </x:c>
      <x:c r="V620" s="34" t="str">
        <x:v>CAND-A735954AF09420</x:v>
      </x:c>
      <x:c r="W620" s="34" t="str">
        <x:v>P3</x:v>
      </x:c>
      <x:c r="X620" s="34" t="str">
        <x:v>PORT-CCD4397FA6D4</x:v>
      </x:c>
      <x:c r="Y620" s="34" t="n">
        <x:v>1000</x:v>
      </x:c>
      <x:c r="Z620" s="34" t="n">
        <x:v>98.795699</x:v>
      </x:c>
      <x:c r="AA620" s="34" t="n">
        <x:v>25.465622</x:v>
      </x:c>
      <x:c r="AB620" s="34" t="n">
        <x:v>281.895878</x:v>
      </x:c>
      <x:c r="AC620" s="34" t="n">
        <x:v>27384.963</x:v>
      </x:c>
      <x:c r="AD620" s="34" t="n">
        <x:v>97.145666</x:v>
      </x:c>
      <x:c r="AE620" s="40" t="b">
        <x:v>0</x:v>
      </x:c>
      <x:c r="AF620" s="40" t="b">
        <x:v>0</x:v>
      </x:c>
      <x:c r="AG620" s="34" t="n">
        <x:v>2040</x:v>
      </x:c>
      <x:c r="AH620" s="34" t="n">
        <x:v>5.28499579</x:v>
      </x:c>
      <x:c r="AI620" s="34" t="n">
        <x:v>-5.28499579</x:v>
      </x:c>
      <x:c r="AJ620" s="40" t="b">
        <x:v>1</x:v>
      </x:c>
      <x:c r="AK620" s="40" t="b">
        <x:v>1</x:v>
      </x:c>
      <x:c r="AL620" s="40" t="b">
        <x:v>1</x:v>
      </x:c>
      <x:c r="AM620" s="40" t="b">
        <x:v>1</x:v>
      </x:c>
      <x:c r="AN620" s="34" t="str"/>
      <x:c r="AO620" s="34" t="n">
        <x:v>0</x:v>
      </x:c>
      <x:c r="AP620" s="34" t="n">
        <x:v>0</x:v>
      </x:c>
      <x:c r="AQ620" s="34" t="n">
        <x:v>0</x:v>
      </x:c>
      <x:c r="AR620" s="34" t="n">
        <x:v>2</x:v>
      </x:c>
      <x:c r="AS620" s="34" t="n">
        <x:v>3</x:v>
      </x:c>
      <x:c r="AT620" s="34" t="n">
        <x:v>0.3119871999999999</x:v>
      </x:c>
      <x:c r="AU620" s="34" t="n">
        <x:v>0.65</x:v>
      </x:c>
      <x:c r="AV620" s="34" t="n">
        <x:v>1.1400000000000001</x:v>
      </x:c>
    </x:row>
    <x:row r="621">
      <x:c r="A621" s="34" t="str">
        <x:v>JFE_STEEL_JP</x:v>
      </x:c>
      <x:c r="B621" s="34" t="str">
        <x:v>JFE Steel</x:v>
      </x:c>
      <x:c r="C621" s="34" t="str">
        <x:v>ACCELERATED_15C</x:v>
      </x:c>
      <x:c r="D621" s="34" t="str">
        <x:v>P3</x:v>
      </x:c>
      <x:c r="E621" s="34" t="n">
        <x:v>2030</x:v>
      </x:c>
      <x:c r="F621" s="34" t="n">
        <x:v>1</x:v>
      </x:c>
      <x:c r="G621" s="34" t="n">
        <x:v>6.120001</x:v>
      </x:c>
      <x:c r="H621" s="34" t="n">
        <x:v>10</x:v>
      </x:c>
      <x:c r="I621" s="34" t="n">
        <x:v>3.879999</x:v>
      </x:c>
      <x:c r="J621" s="34" t="n">
        <x:v>61.2</x:v>
      </x:c>
      <x:c r="K621" s="34" t="n">
        <x:v>0</x:v>
      </x:c>
      <x:c r="L621" s="34" t="n">
        <x:v>0.6</x:v>
      </x:c>
      <x:c r="M621" s="34" t="n">
        <x:v>0.6</x:v>
      </x:c>
      <x:c r="N621" s="34" t="n">
        <x:v>0</x:v>
      </x:c>
      <x:c r="O621" s="34" t="n">
        <x:v>3.808</x:v>
      </x:c>
      <x:c r="P621" s="34" t="n">
        <x:v>7</x:v>
      </x:c>
      <x:c r="Q621" s="34" t="n">
        <x:v>3.192</x:v>
      </x:c>
      <x:c r="R621" s="34" t="n">
        <x:v>54.4</x:v>
      </x:c>
      <x:c r="S621" s="40" t="b">
        <x:v>1</x:v>
      </x:c>
      <x:c r="T621" s="34" t="str">
        <x:v>model_interpolation</x:v>
      </x:c>
      <x:c r="U621" s="34" t="str">
        <x:v>Linear interpolation from 2030 to 2035</x:v>
      </x:c>
      <x:c r="V621" s="34" t="str">
        <x:v>CAND-A735954AF09420</x:v>
      </x:c>
      <x:c r="W621" s="34" t="str">
        <x:v>P3</x:v>
      </x:c>
      <x:c r="X621" s="34" t="str">
        <x:v>PORT-CCD4397FA6D4</x:v>
      </x:c>
      <x:c r="Y621" s="34" t="n">
        <x:v>1000</x:v>
      </x:c>
      <x:c r="Z621" s="34" t="n">
        <x:v>98.795699</x:v>
      </x:c>
      <x:c r="AA621" s="34" t="n">
        <x:v>25.465622</x:v>
      </x:c>
      <x:c r="AB621" s="34" t="n">
        <x:v>281.895878</x:v>
      </x:c>
      <x:c r="AC621" s="34" t="n">
        <x:v>27384.963</x:v>
      </x:c>
      <x:c r="AD621" s="34" t="n">
        <x:v>97.145666</x:v>
      </x:c>
      <x:c r="AE621" s="40" t="b">
        <x:v>0</x:v>
      </x:c>
      <x:c r="AF621" s="40" t="b">
        <x:v>0</x:v>
      </x:c>
      <x:c r="AG621" s="34" t="n">
        <x:v>2040</x:v>
      </x:c>
      <x:c r="AH621" s="34" t="n">
        <x:v>5.28499579</x:v>
      </x:c>
      <x:c r="AI621" s="34" t="n">
        <x:v>-5.28499579</x:v>
      </x:c>
      <x:c r="AJ621" s="40" t="b">
        <x:v>1</x:v>
      </x:c>
      <x:c r="AK621" s="40" t="b">
        <x:v>1</x:v>
      </x:c>
      <x:c r="AL621" s="40" t="b">
        <x:v>1</x:v>
      </x:c>
      <x:c r="AM621" s="40" t="b">
        <x:v>1</x:v>
      </x:c>
      <x:c r="AN621" s="34" t="str"/>
      <x:c r="AO621" s="34" t="n">
        <x:v>0</x:v>
      </x:c>
      <x:c r="AP621" s="34" t="n">
        <x:v>0</x:v>
      </x:c>
      <x:c r="AQ621" s="34" t="n">
        <x:v>0</x:v>
      </x:c>
      <x:c r="AR621" s="34" t="n">
        <x:v>2</x:v>
      </x:c>
      <x:c r="AS621" s="34" t="n">
        <x:v>3</x:v>
      </x:c>
      <x:c r="AT621" s="34" t="n">
        <x:v>0.3119871999999999</x:v>
      </x:c>
      <x:c r="AU621" s="34" t="n">
        <x:v>0.65</x:v>
      </x:c>
      <x:c r="AV621" s="34" t="n">
        <x:v>1.1400000000000001</x:v>
      </x:c>
    </x:row>
    <x:row r="622">
      <x:c r="A622" s="34" t="str">
        <x:v>JFE_STEEL_JP</x:v>
      </x:c>
      <x:c r="B622" s="34" t="str">
        <x:v>JFE Steel</x:v>
      </x:c>
      <x:c r="C622" s="34" t="str">
        <x:v>ACCELERATED_15C</x:v>
      </x:c>
      <x:c r="D622" s="34" t="str">
        <x:v>P3</x:v>
      </x:c>
      <x:c r="E622" s="34" t="n">
        <x:v>2031</x:v>
      </x:c>
      <x:c r="F622" s="34" t="n">
        <x:v>1</x:v>
      </x:c>
      <x:c r="G622" s="34" t="n">
        <x:v>6.120001</x:v>
      </x:c>
      <x:c r="H622" s="34" t="n">
        <x:v>11.2</x:v>
      </x:c>
      <x:c r="I622" s="34" t="n">
        <x:v>5.079999</x:v>
      </x:c>
      <x:c r="J622" s="34" t="n">
        <x:v>54.643</x:v>
      </x:c>
      <x:c r="K622" s="34" t="n">
        <x:v>0</x:v>
      </x:c>
      <x:c r="L622" s="34" t="n">
        <x:v>0.8400000000000001</x:v>
      </x:c>
      <x:c r="M622" s="34" t="n">
        <x:v>0.84</x:v>
      </x:c>
      <x:c r="N622" s="34" t="n">
        <x:v>0</x:v>
      </x:c>
      <x:c r="O622" s="34" t="n">
        <x:v>3.808</x:v>
      </x:c>
      <x:c r="P622" s="34" t="n">
        <x:v>8.4</x:v>
      </x:c>
      <x:c r="Q622" s="34" t="n">
        <x:v>4.592</x:v>
      </x:c>
      <x:c r="R622" s="34" t="n">
        <x:v>45.333</x:v>
      </x:c>
      <x:c r="S622" s="40" t="b">
        <x:v>1</x:v>
      </x:c>
      <x:c r="T622" s="34" t="str">
        <x:v>model_interpolation</x:v>
      </x:c>
      <x:c r="U622" s="34" t="str">
        <x:v>Linear interpolation from 2030 to 2035</x:v>
      </x:c>
      <x:c r="V622" s="34" t="str">
        <x:v>CAND-A735954AF09420</x:v>
      </x:c>
      <x:c r="W622" s="34" t="str">
        <x:v>P3</x:v>
      </x:c>
      <x:c r="X622" s="34" t="str">
        <x:v>PORT-CCD4397FA6D4</x:v>
      </x:c>
      <x:c r="Y622" s="34" t="n">
        <x:v>1000</x:v>
      </x:c>
      <x:c r="Z622" s="34" t="n">
        <x:v>98.795699</x:v>
      </x:c>
      <x:c r="AA622" s="34" t="n">
        <x:v>25.465622</x:v>
      </x:c>
      <x:c r="AB622" s="34" t="n">
        <x:v>281.895878</x:v>
      </x:c>
      <x:c r="AC622" s="34" t="n">
        <x:v>27384.963</x:v>
      </x:c>
      <x:c r="AD622" s="34" t="n">
        <x:v>97.145666</x:v>
      </x:c>
      <x:c r="AE622" s="40" t="b">
        <x:v>0</x:v>
      </x:c>
      <x:c r="AF622" s="40" t="b">
        <x:v>0</x:v>
      </x:c>
      <x:c r="AG622" s="34" t="n">
        <x:v>2040</x:v>
      </x:c>
      <x:c r="AH622" s="34" t="n">
        <x:v>5.28499579</x:v>
      </x:c>
      <x:c r="AI622" s="34" t="n">
        <x:v>-5.28499579</x:v>
      </x:c>
      <x:c r="AJ622" s="40" t="b">
        <x:v>1</x:v>
      </x:c>
      <x:c r="AK622" s="40" t="b">
        <x:v>1</x:v>
      </x:c>
      <x:c r="AL622" s="40" t="b">
        <x:v>1</x:v>
      </x:c>
      <x:c r="AM622" s="40" t="b">
        <x:v>1</x:v>
      </x:c>
      <x:c r="AN622" s="34" t="str"/>
      <x:c r="AO622" s="34" t="n">
        <x:v>0</x:v>
      </x:c>
      <x:c r="AP622" s="34" t="n">
        <x:v>0</x:v>
      </x:c>
      <x:c r="AQ622" s="34" t="n">
        <x:v>0</x:v>
      </x:c>
      <x:c r="AR622" s="34" t="n">
        <x:v>2</x:v>
      </x:c>
      <x:c r="AS622" s="34" t="n">
        <x:v>3</x:v>
      </x:c>
      <x:c r="AT622" s="34" t="n">
        <x:v>0.3119871999999999</x:v>
      </x:c>
      <x:c r="AU622" s="34" t="n">
        <x:v>0.65</x:v>
      </x:c>
      <x:c r="AV622" s="34" t="n">
        <x:v>1.1400000000000001</x:v>
      </x:c>
    </x:row>
    <x:row r="623">
      <x:c r="A623" s="34" t="str">
        <x:v>JFE_STEEL_JP</x:v>
      </x:c>
      <x:c r="B623" s="34" t="str">
        <x:v>JFE Steel</x:v>
      </x:c>
      <x:c r="C623" s="34" t="str">
        <x:v>ACCELERATED_15C</x:v>
      </x:c>
      <x:c r="D623" s="34" t="str">
        <x:v>P3</x:v>
      </x:c>
      <x:c r="E623" s="34" t="n">
        <x:v>2032</x:v>
      </x:c>
      <x:c r="F623" s="34" t="n">
        <x:v>1</x:v>
      </x:c>
      <x:c r="G623" s="34" t="n">
        <x:v>6.120001</x:v>
      </x:c>
      <x:c r="H623" s="34" t="n">
        <x:v>12.4</x:v>
      </x:c>
      <x:c r="I623" s="34" t="n">
        <x:v>6.279999</x:v>
      </x:c>
      <x:c r="J623" s="34" t="n">
        <x:v>49.355</x:v>
      </x:c>
      <x:c r="K623" s="34" t="n">
        <x:v>0</x:v>
      </x:c>
      <x:c r="L623" s="34" t="n">
        <x:v>1.08</x:v>
      </x:c>
      <x:c r="M623" s="34" t="n">
        <x:v>1.08</x:v>
      </x:c>
      <x:c r="N623" s="34" t="n">
        <x:v>0</x:v>
      </x:c>
      <x:c r="O623" s="34" t="n">
        <x:v>3.808</x:v>
      </x:c>
      <x:c r="P623" s="34" t="n">
        <x:v>9.8</x:v>
      </x:c>
      <x:c r="Q623" s="34" t="n">
        <x:v>5.992</x:v>
      </x:c>
      <x:c r="R623" s="34" t="n">
        <x:v>38.857</x:v>
      </x:c>
      <x:c r="S623" s="40" t="b">
        <x:v>1</x:v>
      </x:c>
      <x:c r="T623" s="34" t="str">
        <x:v>model_interpolation</x:v>
      </x:c>
      <x:c r="U623" s="34" t="str">
        <x:v>Linear interpolation from 2030 to 2035</x:v>
      </x:c>
      <x:c r="V623" s="34" t="str">
        <x:v>CAND-A735954AF09420</x:v>
      </x:c>
      <x:c r="W623" s="34" t="str">
        <x:v>P3</x:v>
      </x:c>
      <x:c r="X623" s="34" t="str">
        <x:v>PORT-CCD4397FA6D4</x:v>
      </x:c>
      <x:c r="Y623" s="34" t="n">
        <x:v>1000</x:v>
      </x:c>
      <x:c r="Z623" s="34" t="n">
        <x:v>98.795699</x:v>
      </x:c>
      <x:c r="AA623" s="34" t="n">
        <x:v>25.465622</x:v>
      </x:c>
      <x:c r="AB623" s="34" t="n">
        <x:v>281.895878</x:v>
      </x:c>
      <x:c r="AC623" s="34" t="n">
        <x:v>27384.963</x:v>
      </x:c>
      <x:c r="AD623" s="34" t="n">
        <x:v>97.145666</x:v>
      </x:c>
      <x:c r="AE623" s="40" t="b">
        <x:v>0</x:v>
      </x:c>
      <x:c r="AF623" s="40" t="b">
        <x:v>0</x:v>
      </x:c>
      <x:c r="AG623" s="34" t="n">
        <x:v>2040</x:v>
      </x:c>
      <x:c r="AH623" s="34" t="n">
        <x:v>5.28499579</x:v>
      </x:c>
      <x:c r="AI623" s="34" t="n">
        <x:v>-5.28499579</x:v>
      </x:c>
      <x:c r="AJ623" s="40" t="b">
        <x:v>1</x:v>
      </x:c>
      <x:c r="AK623" s="40" t="b">
        <x:v>1</x:v>
      </x:c>
      <x:c r="AL623" s="40" t="b">
        <x:v>1</x:v>
      </x:c>
      <x:c r="AM623" s="40" t="b">
        <x:v>1</x:v>
      </x:c>
      <x:c r="AN623" s="34" t="str"/>
      <x:c r="AO623" s="34" t="n">
        <x:v>0</x:v>
      </x:c>
      <x:c r="AP623" s="34" t="n">
        <x:v>0</x:v>
      </x:c>
      <x:c r="AQ623" s="34" t="n">
        <x:v>0</x:v>
      </x:c>
      <x:c r="AR623" s="34" t="n">
        <x:v>2</x:v>
      </x:c>
      <x:c r="AS623" s="34" t="n">
        <x:v>3</x:v>
      </x:c>
      <x:c r="AT623" s="34" t="n">
        <x:v>0.3119871999999999</x:v>
      </x:c>
      <x:c r="AU623" s="34" t="n">
        <x:v>0.65</x:v>
      </x:c>
      <x:c r="AV623" s="34" t="n">
        <x:v>1.1400000000000001</x:v>
      </x:c>
    </x:row>
    <x:row r="624">
      <x:c r="A624" s="34" t="str">
        <x:v>JFE_STEEL_JP</x:v>
      </x:c>
      <x:c r="B624" s="34" t="str">
        <x:v>JFE Steel</x:v>
      </x:c>
      <x:c r="C624" s="34" t="str">
        <x:v>ACCELERATED_15C</x:v>
      </x:c>
      <x:c r="D624" s="34" t="str">
        <x:v>P3</x:v>
      </x:c>
      <x:c r="E624" s="34" t="n">
        <x:v>2033</x:v>
      </x:c>
      <x:c r="F624" s="34" t="n">
        <x:v>3</x:v>
      </x:c>
      <x:c r="G624" s="34" t="n">
        <x:v>8.1</x:v>
      </x:c>
      <x:c r="H624" s="34" t="n">
        <x:v>13.6</x:v>
      </x:c>
      <x:c r="I624" s="34" t="n">
        <x:v>5.5</x:v>
      </x:c>
      <x:c r="J624" s="34" t="n">
        <x:v>59.559</x:v>
      </x:c>
      <x:c r="K624" s="34" t="n">
        <x:v>0.495</x:v>
      </x:c>
      <x:c r="L624" s="34" t="n">
        <x:v>1.32</x:v>
      </x:c>
      <x:c r="M624" s="34" t="n">
        <x:v>0.825</x:v>
      </x:c>
      <x:c r="N624" s="34" t="n">
        <x:v>37.5</x:v>
      </x:c>
      <x:c r="O624" s="34" t="n">
        <x:v>7.961999</x:v>
      </x:c>
      <x:c r="P624" s="34" t="n">
        <x:v>11.2</x:v>
      </x:c>
      <x:c r="Q624" s="34" t="n">
        <x:v>3.238001</x:v>
      </x:c>
      <x:c r="R624" s="34" t="n">
        <x:v>71.089</x:v>
      </x:c>
      <x:c r="S624" s="40" t="b">
        <x:v>1</x:v>
      </x:c>
      <x:c r="T624" s="34" t="str">
        <x:v>model_interpolation</x:v>
      </x:c>
      <x:c r="U624" s="34" t="str">
        <x:v>Linear interpolation from 2030 to 2035</x:v>
      </x:c>
      <x:c r="V624" s="34" t="str">
        <x:v>CAND-A735954AF09420</x:v>
      </x:c>
      <x:c r="W624" s="34" t="str">
        <x:v>P3</x:v>
      </x:c>
      <x:c r="X624" s="34" t="str">
        <x:v>PORT-CCD4397FA6D4</x:v>
      </x:c>
      <x:c r="Y624" s="34" t="n">
        <x:v>1000</x:v>
      </x:c>
      <x:c r="Z624" s="34" t="n">
        <x:v>98.795699</x:v>
      </x:c>
      <x:c r="AA624" s="34" t="n">
        <x:v>25.465622</x:v>
      </x:c>
      <x:c r="AB624" s="34" t="n">
        <x:v>281.895878</x:v>
      </x:c>
      <x:c r="AC624" s="34" t="n">
        <x:v>27384.963</x:v>
      </x:c>
      <x:c r="AD624" s="34" t="n">
        <x:v>97.145666</x:v>
      </x:c>
      <x:c r="AE624" s="40" t="b">
        <x:v>0</x:v>
      </x:c>
      <x:c r="AF624" s="40" t="b">
        <x:v>0</x:v>
      </x:c>
      <x:c r="AG624" s="34" t="n">
        <x:v>2040</x:v>
      </x:c>
      <x:c r="AH624" s="34" t="n">
        <x:v>5.28499579</x:v>
      </x:c>
      <x:c r="AI624" s="34" t="n">
        <x:v>-5.28499579</x:v>
      </x:c>
      <x:c r="AJ624" s="40" t="b">
        <x:v>1</x:v>
      </x:c>
      <x:c r="AK624" s="40" t="b">
        <x:v>1</x:v>
      </x:c>
      <x:c r="AL624" s="40" t="b">
        <x:v>1</x:v>
      </x:c>
      <x:c r="AM624" s="40" t="b">
        <x:v>1</x:v>
      </x:c>
      <x:c r="AN624" s="34" t="str"/>
      <x:c r="AO624" s="34" t="n">
        <x:v>0</x:v>
      </x:c>
      <x:c r="AP624" s="34" t="n">
        <x:v>0</x:v>
      </x:c>
      <x:c r="AQ624" s="34" t="n">
        <x:v>0</x:v>
      </x:c>
      <x:c r="AR624" s="34" t="n">
        <x:v>2</x:v>
      </x:c>
      <x:c r="AS624" s="34" t="n">
        <x:v>3</x:v>
      </x:c>
      <x:c r="AT624" s="34" t="n">
        <x:v>0.3119871999999999</x:v>
      </x:c>
      <x:c r="AU624" s="34" t="n">
        <x:v>0.65</x:v>
      </x:c>
      <x:c r="AV624" s="34" t="n">
        <x:v>1.1400000000000001</x:v>
      </x:c>
    </x:row>
    <x:row r="625">
      <x:c r="A625" s="34" t="str">
        <x:v>JFE_STEEL_JP</x:v>
      </x:c>
      <x:c r="B625" s="34" t="str">
        <x:v>JFE Steel</x:v>
      </x:c>
      <x:c r="C625" s="34" t="str">
        <x:v>ACCELERATED_15C</x:v>
      </x:c>
      <x:c r="D625" s="34" t="str">
        <x:v>P3</x:v>
      </x:c>
      <x:c r="E625" s="34" t="n">
        <x:v>2034</x:v>
      </x:c>
      <x:c r="F625" s="34" t="n">
        <x:v>3</x:v>
      </x:c>
      <x:c r="G625" s="34" t="n">
        <x:v>8.1</x:v>
      </x:c>
      <x:c r="H625" s="34" t="n">
        <x:v>14.8</x:v>
      </x:c>
      <x:c r="I625" s="34" t="n">
        <x:v>6.7</x:v>
      </x:c>
      <x:c r="J625" s="34" t="n">
        <x:v>54.73</x:v>
      </x:c>
      <x:c r="K625" s="34" t="n">
        <x:v>0.495</x:v>
      </x:c>
      <x:c r="L625" s="34" t="n">
        <x:v>1.56</x:v>
      </x:c>
      <x:c r="M625" s="34" t="n">
        <x:v>1.065</x:v>
      </x:c>
      <x:c r="N625" s="34" t="n">
        <x:v>31.731</x:v>
      </x:c>
      <x:c r="O625" s="34" t="n">
        <x:v>7.961999</x:v>
      </x:c>
      <x:c r="P625" s="34" t="n">
        <x:v>12.600000000000001</x:v>
      </x:c>
      <x:c r="Q625" s="34" t="n">
        <x:v>4.638001</x:v>
      </x:c>
      <x:c r="R625" s="34" t="n">
        <x:v>63.19</x:v>
      </x:c>
      <x:c r="S625" s="40" t="b">
        <x:v>1</x:v>
      </x:c>
      <x:c r="T625" s="34" t="str">
        <x:v>model_interpolation</x:v>
      </x:c>
      <x:c r="U625" s="34" t="str">
        <x:v>Linear interpolation from 2030 to 2035</x:v>
      </x:c>
      <x:c r="V625" s="34" t="str">
        <x:v>CAND-A735954AF09420</x:v>
      </x:c>
      <x:c r="W625" s="34" t="str">
        <x:v>P3</x:v>
      </x:c>
      <x:c r="X625" s="34" t="str">
        <x:v>PORT-CCD4397FA6D4</x:v>
      </x:c>
      <x:c r="Y625" s="34" t="n">
        <x:v>1000</x:v>
      </x:c>
      <x:c r="Z625" s="34" t="n">
        <x:v>98.795699</x:v>
      </x:c>
      <x:c r="AA625" s="34" t="n">
        <x:v>25.465622</x:v>
      </x:c>
      <x:c r="AB625" s="34" t="n">
        <x:v>281.895878</x:v>
      </x:c>
      <x:c r="AC625" s="34" t="n">
        <x:v>27384.963</x:v>
      </x:c>
      <x:c r="AD625" s="34" t="n">
        <x:v>97.145666</x:v>
      </x:c>
      <x:c r="AE625" s="40" t="b">
        <x:v>0</x:v>
      </x:c>
      <x:c r="AF625" s="40" t="b">
        <x:v>0</x:v>
      </x:c>
      <x:c r="AG625" s="34" t="n">
        <x:v>2040</x:v>
      </x:c>
      <x:c r="AH625" s="34" t="n">
        <x:v>5.28499579</x:v>
      </x:c>
      <x:c r="AI625" s="34" t="n">
        <x:v>-5.28499579</x:v>
      </x:c>
      <x:c r="AJ625" s="40" t="b">
        <x:v>1</x:v>
      </x:c>
      <x:c r="AK625" s="40" t="b">
        <x:v>1</x:v>
      </x:c>
      <x:c r="AL625" s="40" t="b">
        <x:v>1</x:v>
      </x:c>
      <x:c r="AM625" s="40" t="b">
        <x:v>1</x:v>
      </x:c>
      <x:c r="AN625" s="34" t="str"/>
      <x:c r="AO625" s="34" t="n">
        <x:v>0</x:v>
      </x:c>
      <x:c r="AP625" s="34" t="n">
        <x:v>0</x:v>
      </x:c>
      <x:c r="AQ625" s="34" t="n">
        <x:v>0</x:v>
      </x:c>
      <x:c r="AR625" s="34" t="n">
        <x:v>2</x:v>
      </x:c>
      <x:c r="AS625" s="34" t="n">
        <x:v>3</x:v>
      </x:c>
      <x:c r="AT625" s="34" t="n">
        <x:v>0.3119871999999999</x:v>
      </x:c>
      <x:c r="AU625" s="34" t="n">
        <x:v>0.65</x:v>
      </x:c>
      <x:c r="AV625" s="34" t="n">
        <x:v>1.1400000000000001</x:v>
      </x:c>
    </x:row>
    <x:row r="626">
      <x:c r="A626" s="34" t="str">
        <x:v>JFE_STEEL_JP</x:v>
      </x:c>
      <x:c r="B626" s="34" t="str">
        <x:v>JFE Steel</x:v>
      </x:c>
      <x:c r="C626" s="34" t="str">
        <x:v>ACCELERATED_15C</x:v>
      </x:c>
      <x:c r="D626" s="34" t="str">
        <x:v>P3</x:v>
      </x:c>
      <x:c r="E626" s="34" t="n">
        <x:v>2035</x:v>
      </x:c>
      <x:c r="F626" s="34" t="n">
        <x:v>3</x:v>
      </x:c>
      <x:c r="G626" s="34" t="n">
        <x:v>8.1</x:v>
      </x:c>
      <x:c r="H626" s="34" t="n">
        <x:v>16</x:v>
      </x:c>
      <x:c r="I626" s="34" t="n">
        <x:v>7.9</x:v>
      </x:c>
      <x:c r="J626" s="34" t="n">
        <x:v>50.625</x:v>
      </x:c>
      <x:c r="K626" s="34" t="n">
        <x:v>0.495</x:v>
      </x:c>
      <x:c r="L626" s="34" t="n">
        <x:v>1.8</x:v>
      </x:c>
      <x:c r="M626" s="34" t="n">
        <x:v>1.305</x:v>
      </x:c>
      <x:c r="N626" s="34" t="n">
        <x:v>27.5</x:v>
      </x:c>
      <x:c r="O626" s="34" t="n">
        <x:v>7.961999</x:v>
      </x:c>
      <x:c r="P626" s="34" t="n">
        <x:v>14</x:v>
      </x:c>
      <x:c r="Q626" s="34" t="n">
        <x:v>6.038001</x:v>
      </x:c>
      <x:c r="R626" s="34" t="n">
        <x:v>56.871</x:v>
      </x:c>
      <x:c r="S626" s="40" t="b">
        <x:v>1</x:v>
      </x:c>
      <x:c r="T626" s="34" t="str">
        <x:v>model_interpolation</x:v>
      </x:c>
      <x:c r="U626" s="34" t="str">
        <x:v>Linear interpolation from 2035 to 2040</x:v>
      </x:c>
      <x:c r="V626" s="34" t="str">
        <x:v>CAND-A735954AF09420</x:v>
      </x:c>
      <x:c r="W626" s="34" t="str">
        <x:v>P3</x:v>
      </x:c>
      <x:c r="X626" s="34" t="str">
        <x:v>PORT-CCD4397FA6D4</x:v>
      </x:c>
      <x:c r="Y626" s="34" t="n">
        <x:v>1000</x:v>
      </x:c>
      <x:c r="Z626" s="34" t="n">
        <x:v>98.795699</x:v>
      </x:c>
      <x:c r="AA626" s="34" t="n">
        <x:v>25.465622</x:v>
      </x:c>
      <x:c r="AB626" s="34" t="n">
        <x:v>281.895878</x:v>
      </x:c>
      <x:c r="AC626" s="34" t="n">
        <x:v>27384.963</x:v>
      </x:c>
      <x:c r="AD626" s="34" t="n">
        <x:v>97.145666</x:v>
      </x:c>
      <x:c r="AE626" s="40" t="b">
        <x:v>0</x:v>
      </x:c>
      <x:c r="AF626" s="40" t="b">
        <x:v>0</x:v>
      </x:c>
      <x:c r="AG626" s="34" t="n">
        <x:v>2040</x:v>
      </x:c>
      <x:c r="AH626" s="34" t="n">
        <x:v>5.28499579</x:v>
      </x:c>
      <x:c r="AI626" s="34" t="n">
        <x:v>-5.28499579</x:v>
      </x:c>
      <x:c r="AJ626" s="40" t="b">
        <x:v>1</x:v>
      </x:c>
      <x:c r="AK626" s="40" t="b">
        <x:v>1</x:v>
      </x:c>
      <x:c r="AL626" s="40" t="b">
        <x:v>1</x:v>
      </x:c>
      <x:c r="AM626" s="40" t="b">
        <x:v>1</x:v>
      </x:c>
      <x:c r="AN626" s="34" t="str"/>
      <x:c r="AO626" s="34" t="n">
        <x:v>0</x:v>
      </x:c>
      <x:c r="AP626" s="34" t="n">
        <x:v>0</x:v>
      </x:c>
      <x:c r="AQ626" s="34" t="n">
        <x:v>0</x:v>
      </x:c>
      <x:c r="AR626" s="34" t="n">
        <x:v>2</x:v>
      </x:c>
      <x:c r="AS626" s="34" t="n">
        <x:v>3</x:v>
      </x:c>
      <x:c r="AT626" s="34" t="n">
        <x:v>0.3119871999999999</x:v>
      </x:c>
      <x:c r="AU626" s="34" t="n">
        <x:v>0.65</x:v>
      </x:c>
      <x:c r="AV626" s="34" t="n">
        <x:v>1.1400000000000001</x:v>
      </x:c>
    </x:row>
    <x:row r="627">
      <x:c r="A627" s="34" t="str">
        <x:v>JFE_STEEL_JP</x:v>
      </x:c>
      <x:c r="B627" s="34" t="str">
        <x:v>JFE Steel</x:v>
      </x:c>
      <x:c r="C627" s="34" t="str">
        <x:v>ACCELERATED_15C</x:v>
      </x:c>
      <x:c r="D627" s="34" t="str">
        <x:v>P3</x:v>
      </x:c>
      <x:c r="E627" s="34" t="n">
        <x:v>2036</x:v>
      </x:c>
      <x:c r="F627" s="34" t="n">
        <x:v>4</x:v>
      </x:c>
      <x:c r="G627" s="34" t="n">
        <x:v>8.9175</x:v>
      </x:c>
      <x:c r="H627" s="34" t="n">
        <x:v>17</x:v>
      </x:c>
      <x:c r="I627" s="34" t="n">
        <x:v>8.0825</x:v>
      </x:c>
      <x:c r="J627" s="34" t="n">
        <x:v>52.456</x:v>
      </x:c>
      <x:c r="K627" s="34" t="n">
        <x:v>0.495</x:v>
      </x:c>
      <x:c r="L627" s="34" t="n">
        <x:v>2.04</x:v>
      </x:c>
      <x:c r="M627" s="34" t="n">
        <x:v>1.545</x:v>
      </x:c>
      <x:c r="N627" s="34" t="n">
        <x:v>24.265</x:v>
      </x:c>
      <x:c r="O627" s="34" t="n">
        <x:v>8.016499</x:v>
      </x:c>
      <x:c r="P627" s="34" t="n">
        <x:v>15.6</x:v>
      </x:c>
      <x:c r="Q627" s="34" t="n">
        <x:v>7.583501</x:v>
      </x:c>
      <x:c r="R627" s="34" t="n">
        <x:v>51.388</x:v>
      </x:c>
      <x:c r="S627" s="40" t="b">
        <x:v>1</x:v>
      </x:c>
      <x:c r="T627" s="34" t="str">
        <x:v>model_interpolation</x:v>
      </x:c>
      <x:c r="U627" s="34" t="str">
        <x:v>Linear interpolation from 2035 to 2040</x:v>
      </x:c>
      <x:c r="V627" s="34" t="str">
        <x:v>CAND-A735954AF09420</x:v>
      </x:c>
      <x:c r="W627" s="34" t="str">
        <x:v>P3</x:v>
      </x:c>
      <x:c r="X627" s="34" t="str">
        <x:v>PORT-CCD4397FA6D4</x:v>
      </x:c>
      <x:c r="Y627" s="34" t="n">
        <x:v>1000</x:v>
      </x:c>
      <x:c r="Z627" s="34" t="n">
        <x:v>98.795699</x:v>
      </x:c>
      <x:c r="AA627" s="34" t="n">
        <x:v>25.465622</x:v>
      </x:c>
      <x:c r="AB627" s="34" t="n">
        <x:v>281.895878</x:v>
      </x:c>
      <x:c r="AC627" s="34" t="n">
        <x:v>27384.963</x:v>
      </x:c>
      <x:c r="AD627" s="34" t="n">
        <x:v>97.145666</x:v>
      </x:c>
      <x:c r="AE627" s="40" t="b">
        <x:v>0</x:v>
      </x:c>
      <x:c r="AF627" s="40" t="b">
        <x:v>0</x:v>
      </x:c>
      <x:c r="AG627" s="34" t="n">
        <x:v>2040</x:v>
      </x:c>
      <x:c r="AH627" s="34" t="n">
        <x:v>5.28499579</x:v>
      </x:c>
      <x:c r="AI627" s="34" t="n">
        <x:v>-5.28499579</x:v>
      </x:c>
      <x:c r="AJ627" s="40" t="b">
        <x:v>1</x:v>
      </x:c>
      <x:c r="AK627" s="40" t="b">
        <x:v>1</x:v>
      </x:c>
      <x:c r="AL627" s="40" t="b">
        <x:v>1</x:v>
      </x:c>
      <x:c r="AM627" s="40" t="b">
        <x:v>1</x:v>
      </x:c>
      <x:c r="AN627" s="34" t="str"/>
      <x:c r="AO627" s="34" t="n">
        <x:v>0</x:v>
      </x:c>
      <x:c r="AP627" s="34" t="n">
        <x:v>0</x:v>
      </x:c>
      <x:c r="AQ627" s="34" t="n">
        <x:v>0</x:v>
      </x:c>
      <x:c r="AR627" s="34" t="n">
        <x:v>2</x:v>
      </x:c>
      <x:c r="AS627" s="34" t="n">
        <x:v>3</x:v>
      </x:c>
      <x:c r="AT627" s="34" t="n">
        <x:v>0.3119871999999999</x:v>
      </x:c>
      <x:c r="AU627" s="34" t="n">
        <x:v>0.65</x:v>
      </x:c>
      <x:c r="AV627" s="34" t="n">
        <x:v>1.1400000000000001</x:v>
      </x:c>
    </x:row>
    <x:row r="628">
      <x:c r="A628" s="34" t="str">
        <x:v>JFE_STEEL_JP</x:v>
      </x:c>
      <x:c r="B628" s="34" t="str">
        <x:v>JFE Steel</x:v>
      </x:c>
      <x:c r="C628" s="34" t="str">
        <x:v>ACCELERATED_15C</x:v>
      </x:c>
      <x:c r="D628" s="34" t="str">
        <x:v>P3</x:v>
      </x:c>
      <x:c r="E628" s="34" t="n">
        <x:v>2037</x:v>
      </x:c>
      <x:c r="F628" s="34" t="n">
        <x:v>4</x:v>
      </x:c>
      <x:c r="G628" s="34" t="n">
        <x:v>8.9175</x:v>
      </x:c>
      <x:c r="H628" s="34" t="n">
        <x:v>18</x:v>
      </x:c>
      <x:c r="I628" s="34" t="n">
        <x:v>9.0825</x:v>
      </x:c>
      <x:c r="J628" s="34" t="n">
        <x:v>49.542</x:v>
      </x:c>
      <x:c r="K628" s="34" t="n">
        <x:v>0.495</x:v>
      </x:c>
      <x:c r="L628" s="34" t="n">
        <x:v>2.2800000000000002</x:v>
      </x:c>
      <x:c r="M628" s="34" t="n">
        <x:v>1.785</x:v>
      </x:c>
      <x:c r="N628" s="34" t="n">
        <x:v>21.711</x:v>
      </x:c>
      <x:c r="O628" s="34" t="n">
        <x:v>8.016499</x:v>
      </x:c>
      <x:c r="P628" s="34" t="n">
        <x:v>17.2</x:v>
      </x:c>
      <x:c r="Q628" s="34" t="n">
        <x:v>9.183501</x:v>
      </x:c>
      <x:c r="R628" s="34" t="n">
        <x:v>46.608</x:v>
      </x:c>
      <x:c r="S628" s="40" t="b">
        <x:v>1</x:v>
      </x:c>
      <x:c r="T628" s="34" t="str">
        <x:v>model_interpolation</x:v>
      </x:c>
      <x:c r="U628" s="34" t="str">
        <x:v>Linear interpolation from 2035 to 2040</x:v>
      </x:c>
      <x:c r="V628" s="34" t="str">
        <x:v>CAND-A735954AF09420</x:v>
      </x:c>
      <x:c r="W628" s="34" t="str">
        <x:v>P3</x:v>
      </x:c>
      <x:c r="X628" s="34" t="str">
        <x:v>PORT-CCD4397FA6D4</x:v>
      </x:c>
      <x:c r="Y628" s="34" t="n">
        <x:v>1000</x:v>
      </x:c>
      <x:c r="Z628" s="34" t="n">
        <x:v>98.795699</x:v>
      </x:c>
      <x:c r="AA628" s="34" t="n">
        <x:v>25.465622</x:v>
      </x:c>
      <x:c r="AB628" s="34" t="n">
        <x:v>281.895878</x:v>
      </x:c>
      <x:c r="AC628" s="34" t="n">
        <x:v>27384.963</x:v>
      </x:c>
      <x:c r="AD628" s="34" t="n">
        <x:v>97.145666</x:v>
      </x:c>
      <x:c r="AE628" s="40" t="b">
        <x:v>0</x:v>
      </x:c>
      <x:c r="AF628" s="40" t="b">
        <x:v>0</x:v>
      </x:c>
      <x:c r="AG628" s="34" t="n">
        <x:v>2040</x:v>
      </x:c>
      <x:c r="AH628" s="34" t="n">
        <x:v>5.28499579</x:v>
      </x:c>
      <x:c r="AI628" s="34" t="n">
        <x:v>-5.28499579</x:v>
      </x:c>
      <x:c r="AJ628" s="40" t="b">
        <x:v>1</x:v>
      </x:c>
      <x:c r="AK628" s="40" t="b">
        <x:v>1</x:v>
      </x:c>
      <x:c r="AL628" s="40" t="b">
        <x:v>1</x:v>
      </x:c>
      <x:c r="AM628" s="40" t="b">
        <x:v>1</x:v>
      </x:c>
      <x:c r="AN628" s="34" t="str"/>
      <x:c r="AO628" s="34" t="n">
        <x:v>0</x:v>
      </x:c>
      <x:c r="AP628" s="34" t="n">
        <x:v>0</x:v>
      </x:c>
      <x:c r="AQ628" s="34" t="n">
        <x:v>0</x:v>
      </x:c>
      <x:c r="AR628" s="34" t="n">
        <x:v>2</x:v>
      </x:c>
      <x:c r="AS628" s="34" t="n">
        <x:v>3</x:v>
      </x:c>
      <x:c r="AT628" s="34" t="n">
        <x:v>0.3119871999999999</x:v>
      </x:c>
      <x:c r="AU628" s="34" t="n">
        <x:v>0.65</x:v>
      </x:c>
      <x:c r="AV628" s="34" t="n">
        <x:v>1.1400000000000001</x:v>
      </x:c>
    </x:row>
    <x:row r="629">
      <x:c r="A629" s="34" t="str">
        <x:v>JFE_STEEL_JP</x:v>
      </x:c>
      <x:c r="B629" s="34" t="str">
        <x:v>JFE Steel</x:v>
      </x:c>
      <x:c r="C629" s="34" t="str">
        <x:v>ACCELERATED_15C</x:v>
      </x:c>
      <x:c r="D629" s="34" t="str">
        <x:v>P3</x:v>
      </x:c>
      <x:c r="E629" s="34" t="n">
        <x:v>2038</x:v>
      </x:c>
      <x:c r="F629" s="34" t="n">
        <x:v>4</x:v>
      </x:c>
      <x:c r="G629" s="34" t="n">
        <x:v>8.9175</x:v>
      </x:c>
      <x:c r="H629" s="34" t="n">
        <x:v>19</x:v>
      </x:c>
      <x:c r="I629" s="34" t="n">
        <x:v>10.0825</x:v>
      </x:c>
      <x:c r="J629" s="34" t="n">
        <x:v>46.934</x:v>
      </x:c>
      <x:c r="K629" s="34" t="n">
        <x:v>0.495</x:v>
      </x:c>
      <x:c r="L629" s="34" t="n">
        <x:v>2.52</x:v>
      </x:c>
      <x:c r="M629" s="34" t="n">
        <x:v>2.025</x:v>
      </x:c>
      <x:c r="N629" s="34" t="n">
        <x:v>19.643</x:v>
      </x:c>
      <x:c r="O629" s="34" t="n">
        <x:v>8.016499</x:v>
      </x:c>
      <x:c r="P629" s="34" t="n">
        <x:v>18.8</x:v>
      </x:c>
      <x:c r="Q629" s="34" t="n">
        <x:v>10.783501</x:v>
      </x:c>
      <x:c r="R629" s="34" t="n">
        <x:v>42.641</x:v>
      </x:c>
      <x:c r="S629" s="40" t="b">
        <x:v>1</x:v>
      </x:c>
      <x:c r="T629" s="34" t="str">
        <x:v>model_interpolation</x:v>
      </x:c>
      <x:c r="U629" s="34" t="str">
        <x:v>Linear interpolation from 2035 to 2040</x:v>
      </x:c>
      <x:c r="V629" s="34" t="str">
        <x:v>CAND-A735954AF09420</x:v>
      </x:c>
      <x:c r="W629" s="34" t="str">
        <x:v>P3</x:v>
      </x:c>
      <x:c r="X629" s="34" t="str">
        <x:v>PORT-CCD4397FA6D4</x:v>
      </x:c>
      <x:c r="Y629" s="34" t="n">
        <x:v>1000</x:v>
      </x:c>
      <x:c r="Z629" s="34" t="n">
        <x:v>98.795699</x:v>
      </x:c>
      <x:c r="AA629" s="34" t="n">
        <x:v>25.465622</x:v>
      </x:c>
      <x:c r="AB629" s="34" t="n">
        <x:v>281.895878</x:v>
      </x:c>
      <x:c r="AC629" s="34" t="n">
        <x:v>27384.963</x:v>
      </x:c>
      <x:c r="AD629" s="34" t="n">
        <x:v>97.145666</x:v>
      </x:c>
      <x:c r="AE629" s="40" t="b">
        <x:v>0</x:v>
      </x:c>
      <x:c r="AF629" s="40" t="b">
        <x:v>0</x:v>
      </x:c>
      <x:c r="AG629" s="34" t="n">
        <x:v>2040</x:v>
      </x:c>
      <x:c r="AH629" s="34" t="n">
        <x:v>5.28499579</x:v>
      </x:c>
      <x:c r="AI629" s="34" t="n">
        <x:v>-5.28499579</x:v>
      </x:c>
      <x:c r="AJ629" s="40" t="b">
        <x:v>1</x:v>
      </x:c>
      <x:c r="AK629" s="40" t="b">
        <x:v>1</x:v>
      </x:c>
      <x:c r="AL629" s="40" t="b">
        <x:v>1</x:v>
      </x:c>
      <x:c r="AM629" s="40" t="b">
        <x:v>1</x:v>
      </x:c>
      <x:c r="AN629" s="34" t="str"/>
      <x:c r="AO629" s="34" t="n">
        <x:v>0</x:v>
      </x:c>
      <x:c r="AP629" s="34" t="n">
        <x:v>0</x:v>
      </x:c>
      <x:c r="AQ629" s="34" t="n">
        <x:v>0</x:v>
      </x:c>
      <x:c r="AR629" s="34" t="n">
        <x:v>2</x:v>
      </x:c>
      <x:c r="AS629" s="34" t="n">
        <x:v>3</x:v>
      </x:c>
      <x:c r="AT629" s="34" t="n">
        <x:v>0.3119871999999999</x:v>
      </x:c>
      <x:c r="AU629" s="34" t="n">
        <x:v>0.65</x:v>
      </x:c>
      <x:c r="AV629" s="34" t="n">
        <x:v>1.1400000000000001</x:v>
      </x:c>
    </x:row>
    <x:row r="630">
      <x:c r="A630" s="34" t="str">
        <x:v>JFE_STEEL_JP</x:v>
      </x:c>
      <x:c r="B630" s="34" t="str">
        <x:v>JFE Steel</x:v>
      </x:c>
      <x:c r="C630" s="34" t="str">
        <x:v>ACCELERATED_15C</x:v>
      </x:c>
      <x:c r="D630" s="34" t="str">
        <x:v>P3</x:v>
      </x:c>
      <x:c r="E630" s="34" t="n">
        <x:v>2039</x:v>
      </x:c>
      <x:c r="F630" s="34" t="n">
        <x:v>4</x:v>
      </x:c>
      <x:c r="G630" s="34" t="n">
        <x:v>8.9175</x:v>
      </x:c>
      <x:c r="H630" s="34" t="n">
        <x:v>20</x:v>
      </x:c>
      <x:c r="I630" s="34" t="n">
        <x:v>11.0825</x:v>
      </x:c>
      <x:c r="J630" s="34" t="n">
        <x:v>44.587</x:v>
      </x:c>
      <x:c r="K630" s="34" t="n">
        <x:v>0.495</x:v>
      </x:c>
      <x:c r="L630" s="34" t="n">
        <x:v>2.76</x:v>
      </x:c>
      <x:c r="M630" s="34" t="n">
        <x:v>2.265</x:v>
      </x:c>
      <x:c r="N630" s="34" t="n">
        <x:v>17.935</x:v>
      </x:c>
      <x:c r="O630" s="34" t="n">
        <x:v>8.016499</x:v>
      </x:c>
      <x:c r="P630" s="34" t="n">
        <x:v>20.4</x:v>
      </x:c>
      <x:c r="Q630" s="34" t="n">
        <x:v>12.383501</x:v>
      </x:c>
      <x:c r="R630" s="34" t="n">
        <x:v>39.297</x:v>
      </x:c>
      <x:c r="S630" s="40" t="b">
        <x:v>1</x:v>
      </x:c>
      <x:c r="T630" s="34" t="str">
        <x:v>model_interpolation</x:v>
      </x:c>
      <x:c r="U630" s="34" t="str">
        <x:v>Linear interpolation from 2035 to 2040</x:v>
      </x:c>
      <x:c r="V630" s="34" t="str">
        <x:v>CAND-A735954AF09420</x:v>
      </x:c>
      <x:c r="W630" s="34" t="str">
        <x:v>P3</x:v>
      </x:c>
      <x:c r="X630" s="34" t="str">
        <x:v>PORT-CCD4397FA6D4</x:v>
      </x:c>
      <x:c r="Y630" s="34" t="n">
        <x:v>1000</x:v>
      </x:c>
      <x:c r="Z630" s="34" t="n">
        <x:v>98.795699</x:v>
      </x:c>
      <x:c r="AA630" s="34" t="n">
        <x:v>25.465622</x:v>
      </x:c>
      <x:c r="AB630" s="34" t="n">
        <x:v>281.895878</x:v>
      </x:c>
      <x:c r="AC630" s="34" t="n">
        <x:v>27384.963</x:v>
      </x:c>
      <x:c r="AD630" s="34" t="n">
        <x:v>97.145666</x:v>
      </x:c>
      <x:c r="AE630" s="40" t="b">
        <x:v>0</x:v>
      </x:c>
      <x:c r="AF630" s="40" t="b">
        <x:v>0</x:v>
      </x:c>
      <x:c r="AG630" s="34" t="n">
        <x:v>2040</x:v>
      </x:c>
      <x:c r="AH630" s="34" t="n">
        <x:v>5.28499579</x:v>
      </x:c>
      <x:c r="AI630" s="34" t="n">
        <x:v>-5.28499579</x:v>
      </x:c>
      <x:c r="AJ630" s="40" t="b">
        <x:v>1</x:v>
      </x:c>
      <x:c r="AK630" s="40" t="b">
        <x:v>1</x:v>
      </x:c>
      <x:c r="AL630" s="40" t="b">
        <x:v>1</x:v>
      </x:c>
      <x:c r="AM630" s="40" t="b">
        <x:v>1</x:v>
      </x:c>
      <x:c r="AN630" s="34" t="str"/>
      <x:c r="AO630" s="34" t="n">
        <x:v>0</x:v>
      </x:c>
      <x:c r="AP630" s="34" t="n">
        <x:v>0</x:v>
      </x:c>
      <x:c r="AQ630" s="34" t="n">
        <x:v>0</x:v>
      </x:c>
      <x:c r="AR630" s="34" t="n">
        <x:v>2</x:v>
      </x:c>
      <x:c r="AS630" s="34" t="n">
        <x:v>3</x:v>
      </x:c>
      <x:c r="AT630" s="34" t="n">
        <x:v>0.3119871999999999</x:v>
      </x:c>
      <x:c r="AU630" s="34" t="n">
        <x:v>0.65</x:v>
      </x:c>
      <x:c r="AV630" s="34" t="n">
        <x:v>1.1400000000000001</x:v>
      </x:c>
    </x:row>
    <x:row r="631">
      <x:c r="A631" s="34" t="str">
        <x:v>JFE_STEEL_JP</x:v>
      </x:c>
      <x:c r="B631" s="34" t="str">
        <x:v>JFE Steel</x:v>
      </x:c>
      <x:c r="C631" s="34" t="str">
        <x:v>ACCELERATED_15C</x:v>
      </x:c>
      <x:c r="D631" s="34" t="str">
        <x:v>P3</x:v>
      </x:c>
      <x:c r="E631" s="34" t="n">
        <x:v>2040</x:v>
      </x:c>
      <x:c r="F631" s="34" t="n">
        <x:v>4</x:v>
      </x:c>
      <x:c r="G631" s="34" t="n">
        <x:v>8.9175</x:v>
      </x:c>
      <x:c r="H631" s="34" t="n">
        <x:v>21</x:v>
      </x:c>
      <x:c r="I631" s="34" t="n">
        <x:v>12.0825</x:v>
      </x:c>
      <x:c r="J631" s="34" t="n">
        <x:v>42.464</x:v>
      </x:c>
      <x:c r="K631" s="34" t="n">
        <x:v>0.495</x:v>
      </x:c>
      <x:c r="L631" s="34" t="n">
        <x:v>3</x:v>
      </x:c>
      <x:c r="M631" s="34" t="n">
        <x:v>2.505</x:v>
      </x:c>
      <x:c r="N631" s="34" t="n">
        <x:v>16.5</x:v>
      </x:c>
      <x:c r="O631" s="34" t="n">
        <x:v>8.016499</x:v>
      </x:c>
      <x:c r="P631" s="34" t="n">
        <x:v>22</x:v>
      </x:c>
      <x:c r="Q631" s="34" t="n">
        <x:v>13.983501</x:v>
      </x:c>
      <x:c r="R631" s="34" t="n">
        <x:v>36.439</x:v>
      </x:c>
      <x:c r="S631" s="40" t="b">
        <x:v>1</x:v>
      </x:c>
      <x:c r="T631" s="34" t="str">
        <x:v>model_estimate</x:v>
      </x:c>
      <x:c r="U631" s="34" t="str">
        <x:v>Illustrative accelerated envelope; not GCAM or an official supply forecast</x:v>
      </x:c>
      <x:c r="V631" s="34" t="str">
        <x:v>CAND-A735954AF09420</x:v>
      </x:c>
      <x:c r="W631" s="34" t="str">
        <x:v>P3</x:v>
      </x:c>
      <x:c r="X631" s="34" t="str">
        <x:v>PORT-CCD4397FA6D4</x:v>
      </x:c>
      <x:c r="Y631" s="34" t="n">
        <x:v>1000</x:v>
      </x:c>
      <x:c r="Z631" s="34" t="n">
        <x:v>98.795699</x:v>
      </x:c>
      <x:c r="AA631" s="34" t="n">
        <x:v>25.465622</x:v>
      </x:c>
      <x:c r="AB631" s="34" t="n">
        <x:v>281.895878</x:v>
      </x:c>
      <x:c r="AC631" s="34" t="n">
        <x:v>27384.963</x:v>
      </x:c>
      <x:c r="AD631" s="34" t="n">
        <x:v>97.145666</x:v>
      </x:c>
      <x:c r="AE631" s="40" t="b">
        <x:v>0</x:v>
      </x:c>
      <x:c r="AF631" s="40" t="b">
        <x:v>0</x:v>
      </x:c>
      <x:c r="AG631" s="34" t="n">
        <x:v>2040</x:v>
      </x:c>
      <x:c r="AH631" s="34" t="n">
        <x:v>5.28499579</x:v>
      </x:c>
      <x:c r="AI631" s="34" t="n">
        <x:v>-5.28499579</x:v>
      </x:c>
      <x:c r="AJ631" s="40" t="b">
        <x:v>1</x:v>
      </x:c>
      <x:c r="AK631" s="40" t="b">
        <x:v>1</x:v>
      </x:c>
      <x:c r="AL631" s="40" t="b">
        <x:v>1</x:v>
      </x:c>
      <x:c r="AM631" s="40" t="b">
        <x:v>1</x:v>
      </x:c>
      <x:c r="AN631" s="34" t="str"/>
      <x:c r="AO631" s="34" t="n">
        <x:v>0</x:v>
      </x:c>
      <x:c r="AP631" s="34" t="n">
        <x:v>0</x:v>
      </x:c>
      <x:c r="AQ631" s="34" t="n">
        <x:v>0</x:v>
      </x:c>
      <x:c r="AR631" s="34" t="n">
        <x:v>2</x:v>
      </x:c>
      <x:c r="AS631" s="34" t="n">
        <x:v>3</x:v>
      </x:c>
      <x:c r="AT631" s="34" t="n">
        <x:v>0.3119871999999999</x:v>
      </x:c>
      <x:c r="AU631" s="34" t="n">
        <x:v>0.65</x:v>
      </x:c>
      <x:c r="AV631" s="34" t="n">
        <x:v>1.1400000000000001</x:v>
      </x:c>
    </x:row>
    <x:row r="632">
      <x:c r="A632" s="34" t="str">
        <x:v>KOBE_STEEL_JP</x:v>
      </x:c>
      <x:c r="B632" s="34" t="str">
        <x:v>Kobe Steel</x:v>
      </x:c>
      <x:c r="C632" s="34" t="str">
        <x:v>DISCLOSED_PATH</x:v>
      </x:c>
      <x:c r="D632" s="34" t="str">
        <x:v>P1</x:v>
      </x:c>
      <x:c r="E632" s="34" t="n">
        <x:v>2026</x:v>
      </x:c>
      <x:c r="F632" s="34" t="n">
        <x:v>0</x:v>
      </x:c>
      <x:c r="G632" s="34" t="n">
        <x:v>0</x:v>
      </x:c>
      <x:c r="H632" s="34" t="n">
        <x:v>2</x:v>
      </x:c>
      <x:c r="I632" s="34" t="n">
        <x:v>2</x:v>
      </x:c>
      <x:c r="J632" s="34" t="n">
        <x:v>0</x:v>
      </x:c>
      <x:c r="K632" s="34" t="n">
        <x:v>0</x:v>
      </x:c>
      <x:c r="L632" s="34" t="n">
        <x:v>0</x:v>
      </x:c>
      <x:c r="M632" s="34" t="n">
        <x:v>0</x:v>
      </x:c>
      <x:c r="N632" s="34" t="n">
        <x:v>0</x:v>
      </x:c>
      <x:c r="O632" s="34" t="n">
        <x:v>0</x:v>
      </x:c>
      <x:c r="P632" s="34" t="n">
        <x:v>0.8</x:v>
      </x:c>
      <x:c r="Q632" s="34" t="n">
        <x:v>0.8</x:v>
      </x:c>
      <x:c r="R632" s="34" t="n">
        <x:v>0</x:v>
      </x:c>
      <x:c r="S632" s="40" t="b">
        <x:v>1</x:v>
      </x:c>
      <x:c r="T632" s="34" t="str">
        <x:v>model_interpolation</x:v>
      </x:c>
      <x:c r="U632" s="34" t="str">
        <x:v>Linear interpolation from 2026 to 2030</x:v>
      </x:c>
      <x:c r="V632" s="34" t="str">
        <x:v>CAND-B3597FD7767497</x:v>
      </x:c>
      <x:c r="W632" s="34" t="str">
        <x:v>P1</x:v>
      </x:c>
      <x:c r="X632" s="34" t="str">
        <x:v>PORT-9862FC05DA24</x:v>
      </x:c>
      <x:c r="Y632" s="34" t="n">
        <x:v>1000</x:v>
      </x:c>
      <x:c r="Z632" s="34" t="n">
        <x:v>191.289779</x:v>
      </x:c>
      <x:c r="AA632" s="34" t="n">
        <x:v>48.085729</x:v>
      </x:c>
      <x:c r="AB632" s="34" t="n">
        <x:v>105.301092</x:v>
      </x:c>
      <x:c r="AC632" s="34" t="n">
        <x:v>19771.105</x:v>
      </x:c>
      <x:c r="AD632" s="34" t="n">
        <x:v>187.757835</x:v>
      </x:c>
      <x:c r="AE632" s="40" t="b">
        <x:v>1</x:v>
      </x:c>
      <x:c r="AF632" s="40" t="b">
        <x:v>1</x:v>
      </x:c>
      <x:c r="AG632" s="34" t="str"/>
      <x:c r="AH632" s="34" t="n">
        <x:v>0</x:v>
      </x:c>
      <x:c r="AI632" s="34" t="str">
        <x:v>9.990856690045291e-05</x:v>
      </x:c>
      <x:c r="AJ632" s="40" t="b">
        <x:v>1</x:v>
      </x:c>
      <x:c r="AK632" s="40" t="b">
        <x:v>1</x:v>
      </x:c>
      <x:c r="AL632" s="40" t="b">
        <x:v>1</x:v>
      </x:c>
      <x:c r="AM632" s="40" t="b">
        <x:v>1</x:v>
      </x:c>
      <x:c r="AN632" s="34" t="str"/>
      <x:c r="AO632" s="34" t="n">
        <x:v>0</x:v>
      </x:c>
      <x:c r="AP632" s="34" t="n">
        <x:v>0</x:v>
      </x:c>
      <x:c r="AQ632" s="34" t="n">
        <x:v>0</x:v>
      </x:c>
      <x:c r="AR632" s="34" t="n">
        <x:v>1</x:v>
      </x:c>
      <x:c r="AS632" s="34" t="n">
        <x:v>1</x:v>
      </x:c>
      <x:c r="AT632" s="34" t="n">
        <x:v>0.3612199999999999</x:v>
      </x:c>
      <x:c r="AU632" s="34" t="n">
        <x:v>0.6</x:v>
      </x:c>
      <x:c r="AV632" s="34" t="n">
        <x:v>1.54</x:v>
      </x:c>
    </x:row>
    <x:row r="633">
      <x:c r="A633" s="34" t="str">
        <x:v>KOBE_STEEL_JP</x:v>
      </x:c>
      <x:c r="B633" s="34" t="str">
        <x:v>Kobe Steel</x:v>
      </x:c>
      <x:c r="C633" s="34" t="str">
        <x:v>DISCLOSED_PATH</x:v>
      </x:c>
      <x:c r="D633" s="34" t="str">
        <x:v>P1</x:v>
      </x:c>
      <x:c r="E633" s="34" t="n">
        <x:v>2027</x:v>
      </x:c>
      <x:c r="F633" s="34" t="n">
        <x:v>0</x:v>
      </x:c>
      <x:c r="G633" s="34" t="n">
        <x:v>0</x:v>
      </x:c>
      <x:c r="H633" s="34" t="n">
        <x:v>2.5</x:v>
      </x:c>
      <x:c r="I633" s="34" t="n">
        <x:v>2.5</x:v>
      </x:c>
      <x:c r="J633" s="34" t="n">
        <x:v>0</x:v>
      </x:c>
      <x:c r="K633" s="34" t="n">
        <x:v>0</x:v>
      </x:c>
      <x:c r="L633" s="34" t="n">
        <x:v>0.075</x:v>
      </x:c>
      <x:c r="M633" s="34" t="n">
        <x:v>0.075</x:v>
      </x:c>
      <x:c r="N633" s="34" t="n">
        <x:v>0</x:v>
      </x:c>
      <x:c r="O633" s="34" t="n">
        <x:v>0</x:v>
      </x:c>
      <x:c r="P633" s="34" t="n">
        <x:v>1.35</x:v>
      </x:c>
      <x:c r="Q633" s="34" t="n">
        <x:v>1.35</x:v>
      </x:c>
      <x:c r="R633" s="34" t="n">
        <x:v>0</x:v>
      </x:c>
      <x:c r="S633" s="40" t="b">
        <x:v>1</x:v>
      </x:c>
      <x:c r="T633" s="34" t="str">
        <x:v>model_interpolation</x:v>
      </x:c>
      <x:c r="U633" s="34" t="str">
        <x:v>Linear interpolation from 2026 to 2030</x:v>
      </x:c>
      <x:c r="V633" s="34" t="str">
        <x:v>CAND-B3597FD7767497</x:v>
      </x:c>
      <x:c r="W633" s="34" t="str">
        <x:v>P1</x:v>
      </x:c>
      <x:c r="X633" s="34" t="str">
        <x:v>PORT-9862FC05DA24</x:v>
      </x:c>
      <x:c r="Y633" s="34" t="n">
        <x:v>1000</x:v>
      </x:c>
      <x:c r="Z633" s="34" t="n">
        <x:v>191.289779</x:v>
      </x:c>
      <x:c r="AA633" s="34" t="n">
        <x:v>48.085729</x:v>
      </x:c>
      <x:c r="AB633" s="34" t="n">
        <x:v>105.301092</x:v>
      </x:c>
      <x:c r="AC633" s="34" t="n">
        <x:v>19771.105</x:v>
      </x:c>
      <x:c r="AD633" s="34" t="n">
        <x:v>187.757835</x:v>
      </x:c>
      <x:c r="AE633" s="40" t="b">
        <x:v>1</x:v>
      </x:c>
      <x:c r="AF633" s="40" t="b">
        <x:v>1</x:v>
      </x:c>
      <x:c r="AG633" s="34" t="str"/>
      <x:c r="AH633" s="34" t="n">
        <x:v>0</x:v>
      </x:c>
      <x:c r="AI633" s="34" t="str">
        <x:v>9.990856690045291e-05</x:v>
      </x:c>
      <x:c r="AJ633" s="40" t="b">
        <x:v>1</x:v>
      </x:c>
      <x:c r="AK633" s="40" t="b">
        <x:v>1</x:v>
      </x:c>
      <x:c r="AL633" s="40" t="b">
        <x:v>1</x:v>
      </x:c>
      <x:c r="AM633" s="40" t="b">
        <x:v>1</x:v>
      </x:c>
      <x:c r="AN633" s="34" t="str"/>
      <x:c r="AO633" s="34" t="n">
        <x:v>0</x:v>
      </x:c>
      <x:c r="AP633" s="34" t="n">
        <x:v>0</x:v>
      </x:c>
      <x:c r="AQ633" s="34" t="n">
        <x:v>0</x:v>
      </x:c>
      <x:c r="AR633" s="34" t="n">
        <x:v>1</x:v>
      </x:c>
      <x:c r="AS633" s="34" t="n">
        <x:v>1</x:v>
      </x:c>
      <x:c r="AT633" s="34" t="n">
        <x:v>0.3612199999999999</x:v>
      </x:c>
      <x:c r="AU633" s="34" t="n">
        <x:v>0.6</x:v>
      </x:c>
      <x:c r="AV633" s="34" t="n">
        <x:v>1.54</x:v>
      </x:c>
    </x:row>
    <x:row r="634">
      <x:c r="A634" s="34" t="str">
        <x:v>KOBE_STEEL_JP</x:v>
      </x:c>
      <x:c r="B634" s="34" t="str">
        <x:v>Kobe Steel</x:v>
      </x:c>
      <x:c r="C634" s="34" t="str">
        <x:v>DISCLOSED_PATH</x:v>
      </x:c>
      <x:c r="D634" s="34" t="str">
        <x:v>P1</x:v>
      </x:c>
      <x:c r="E634" s="34" t="n">
        <x:v>2028</x:v>
      </x:c>
      <x:c r="F634" s="34" t="n">
        <x:v>0</x:v>
      </x:c>
      <x:c r="G634" s="34" t="n">
        <x:v>0</x:v>
      </x:c>
      <x:c r="H634" s="34" t="n">
        <x:v>3</x:v>
      </x:c>
      <x:c r="I634" s="34" t="n">
        <x:v>3</x:v>
      </x:c>
      <x:c r="J634" s="34" t="n">
        <x:v>0</x:v>
      </x:c>
      <x:c r="K634" s="34" t="n">
        <x:v>0</x:v>
      </x:c>
      <x:c r="L634" s="34" t="n">
        <x:v>0.15</x:v>
      </x:c>
      <x:c r="M634" s="34" t="n">
        <x:v>0.15</x:v>
      </x:c>
      <x:c r="N634" s="34" t="n">
        <x:v>0</x:v>
      </x:c>
      <x:c r="O634" s="34" t="n">
        <x:v>0</x:v>
      </x:c>
      <x:c r="P634" s="34" t="n">
        <x:v>1.9000000000000001</x:v>
      </x:c>
      <x:c r="Q634" s="34" t="n">
        <x:v>1.9</x:v>
      </x:c>
      <x:c r="R634" s="34" t="n">
        <x:v>0</x:v>
      </x:c>
      <x:c r="S634" s="40" t="b">
        <x:v>1</x:v>
      </x:c>
      <x:c r="T634" s="34" t="str">
        <x:v>model_interpolation</x:v>
      </x:c>
      <x:c r="U634" s="34" t="str">
        <x:v>Linear interpolation from 2026 to 2030</x:v>
      </x:c>
      <x:c r="V634" s="34" t="str">
        <x:v>CAND-B3597FD7767497</x:v>
      </x:c>
      <x:c r="W634" s="34" t="str">
        <x:v>P1</x:v>
      </x:c>
      <x:c r="X634" s="34" t="str">
        <x:v>PORT-9862FC05DA24</x:v>
      </x:c>
      <x:c r="Y634" s="34" t="n">
        <x:v>1000</x:v>
      </x:c>
      <x:c r="Z634" s="34" t="n">
        <x:v>191.289779</x:v>
      </x:c>
      <x:c r="AA634" s="34" t="n">
        <x:v>48.085729</x:v>
      </x:c>
      <x:c r="AB634" s="34" t="n">
        <x:v>105.301092</x:v>
      </x:c>
      <x:c r="AC634" s="34" t="n">
        <x:v>19771.105</x:v>
      </x:c>
      <x:c r="AD634" s="34" t="n">
        <x:v>187.757835</x:v>
      </x:c>
      <x:c r="AE634" s="40" t="b">
        <x:v>1</x:v>
      </x:c>
      <x:c r="AF634" s="40" t="b">
        <x:v>1</x:v>
      </x:c>
      <x:c r="AG634" s="34" t="str"/>
      <x:c r="AH634" s="34" t="n">
        <x:v>0</x:v>
      </x:c>
      <x:c r="AI634" s="34" t="str">
        <x:v>9.990856690045291e-05</x:v>
      </x:c>
      <x:c r="AJ634" s="40" t="b">
        <x:v>1</x:v>
      </x:c>
      <x:c r="AK634" s="40" t="b">
        <x:v>1</x:v>
      </x:c>
      <x:c r="AL634" s="40" t="b">
        <x:v>1</x:v>
      </x:c>
      <x:c r="AM634" s="40" t="b">
        <x:v>1</x:v>
      </x:c>
      <x:c r="AN634" s="34" t="str"/>
      <x:c r="AO634" s="34" t="n">
        <x:v>0</x:v>
      </x:c>
      <x:c r="AP634" s="34" t="n">
        <x:v>0</x:v>
      </x:c>
      <x:c r="AQ634" s="34" t="n">
        <x:v>0</x:v>
      </x:c>
      <x:c r="AR634" s="34" t="n">
        <x:v>1</x:v>
      </x:c>
      <x:c r="AS634" s="34" t="n">
        <x:v>1</x:v>
      </x:c>
      <x:c r="AT634" s="34" t="n">
        <x:v>0.3612199999999999</x:v>
      </x:c>
      <x:c r="AU634" s="34" t="n">
        <x:v>0.6</x:v>
      </x:c>
      <x:c r="AV634" s="34" t="n">
        <x:v>1.54</x:v>
      </x:c>
    </x:row>
    <x:row r="635">
      <x:c r="A635" s="34" t="str">
        <x:v>KOBE_STEEL_JP</x:v>
      </x:c>
      <x:c r="B635" s="34" t="str">
        <x:v>Kobe Steel</x:v>
      </x:c>
      <x:c r="C635" s="34" t="str">
        <x:v>DISCLOSED_PATH</x:v>
      </x:c>
      <x:c r="D635" s="34" t="str">
        <x:v>P1</x:v>
      </x:c>
      <x:c r="E635" s="34" t="n">
        <x:v>2029</x:v>
      </x:c>
      <x:c r="F635" s="34" t="n">
        <x:v>1</x:v>
      </x:c>
      <x:c r="G635" s="34" t="n">
        <x:v>0.4425</x:v>
      </x:c>
      <x:c r="H635" s="34" t="n">
        <x:v>3.5</x:v>
      </x:c>
      <x:c r="I635" s="34" t="n">
        <x:v>3.0575</x:v>
      </x:c>
      <x:c r="J635" s="34" t="n">
        <x:v>12.643</x:v>
      </x:c>
      <x:c r="K635" s="34" t="n">
        <x:v>0.16225</x:v>
      </x:c>
      <x:c r="L635" s="34" t="n">
        <x:v>0.22499999999999998</x:v>
      </x:c>
      <x:c r="M635" s="34" t="n">
        <x:v>0.06275</x:v>
      </x:c>
      <x:c r="N635" s="34" t="n">
        <x:v>72.111</x:v>
      </x:c>
      <x:c r="O635" s="34" t="n">
        <x:v>1.357</x:v>
      </x:c>
      <x:c r="P635" s="34" t="n">
        <x:v>2.45</x:v>
      </x:c>
      <x:c r="Q635" s="34" t="n">
        <x:v>1.093</x:v>
      </x:c>
      <x:c r="R635" s="34" t="n">
        <x:v>55.388</x:v>
      </x:c>
      <x:c r="S635" s="40" t="b">
        <x:v>1</x:v>
      </x:c>
      <x:c r="T635" s="34" t="str">
        <x:v>model_interpolation</x:v>
      </x:c>
      <x:c r="U635" s="34" t="str">
        <x:v>Linear interpolation from 2026 to 2030</x:v>
      </x:c>
      <x:c r="V635" s="34" t="str">
        <x:v>CAND-B3597FD7767497</x:v>
      </x:c>
      <x:c r="W635" s="34" t="str">
        <x:v>P1</x:v>
      </x:c>
      <x:c r="X635" s="34" t="str">
        <x:v>PORT-9862FC05DA24</x:v>
      </x:c>
      <x:c r="Y635" s="34" t="n">
        <x:v>1000</x:v>
      </x:c>
      <x:c r="Z635" s="34" t="n">
        <x:v>191.289779</x:v>
      </x:c>
      <x:c r="AA635" s="34" t="n">
        <x:v>48.085729</x:v>
      </x:c>
      <x:c r="AB635" s="34" t="n">
        <x:v>105.301092</x:v>
      </x:c>
      <x:c r="AC635" s="34" t="n">
        <x:v>19771.105</x:v>
      </x:c>
      <x:c r="AD635" s="34" t="n">
        <x:v>187.757835</x:v>
      </x:c>
      <x:c r="AE635" s="40" t="b">
        <x:v>1</x:v>
      </x:c>
      <x:c r="AF635" s="40" t="b">
        <x:v>1</x:v>
      </x:c>
      <x:c r="AG635" s="34" t="str"/>
      <x:c r="AH635" s="34" t="n">
        <x:v>0</x:v>
      </x:c>
      <x:c r="AI635" s="34" t="str">
        <x:v>9.990856690045291e-05</x:v>
      </x:c>
      <x:c r="AJ635" s="40" t="b">
        <x:v>1</x:v>
      </x:c>
      <x:c r="AK635" s="40" t="b">
        <x:v>1</x:v>
      </x:c>
      <x:c r="AL635" s="40" t="b">
        <x:v>1</x:v>
      </x:c>
      <x:c r="AM635" s="40" t="b">
        <x:v>1</x:v>
      </x:c>
      <x:c r="AN635" s="34" t="str"/>
      <x:c r="AO635" s="34" t="n">
        <x:v>0</x:v>
      </x:c>
      <x:c r="AP635" s="34" t="n">
        <x:v>0</x:v>
      </x:c>
      <x:c r="AQ635" s="34" t="n">
        <x:v>0</x:v>
      </x:c>
      <x:c r="AR635" s="34" t="n">
        <x:v>1</x:v>
      </x:c>
      <x:c r="AS635" s="34" t="n">
        <x:v>1</x:v>
      </x:c>
      <x:c r="AT635" s="34" t="n">
        <x:v>0.3612199999999999</x:v>
      </x:c>
      <x:c r="AU635" s="34" t="n">
        <x:v>0.6</x:v>
      </x:c>
      <x:c r="AV635" s="34" t="n">
        <x:v>1.54</x:v>
      </x:c>
    </x:row>
    <x:row r="636">
      <x:c r="A636" s="34" t="str">
        <x:v>KOBE_STEEL_JP</x:v>
      </x:c>
      <x:c r="B636" s="34" t="str">
        <x:v>Kobe Steel</x:v>
      </x:c>
      <x:c r="C636" s="34" t="str">
        <x:v>DISCLOSED_PATH</x:v>
      </x:c>
      <x:c r="D636" s="34" t="str">
        <x:v>P1</x:v>
      </x:c>
      <x:c r="E636" s="34" t="n">
        <x:v>2030</x:v>
      </x:c>
      <x:c r="F636" s="34" t="n">
        <x:v>1</x:v>
      </x:c>
      <x:c r="G636" s="34" t="n">
        <x:v>0.4425</x:v>
      </x:c>
      <x:c r="H636" s="34" t="n">
        <x:v>4</x:v>
      </x:c>
      <x:c r="I636" s="34" t="n">
        <x:v>3.5575</x:v>
      </x:c>
      <x:c r="J636" s="34" t="n">
        <x:v>11.063</x:v>
      </x:c>
      <x:c r="K636" s="34" t="n">
        <x:v>0.16225</x:v>
      </x:c>
      <x:c r="L636" s="34" t="n">
        <x:v>0.3</x:v>
      </x:c>
      <x:c r="M636" s="34" t="n">
        <x:v>0.13775</x:v>
      </x:c>
      <x:c r="N636" s="34" t="n">
        <x:v>54.083</x:v>
      </x:c>
      <x:c r="O636" s="34" t="n">
        <x:v>1.357</x:v>
      </x:c>
      <x:c r="P636" s="34" t="n">
        <x:v>3</x:v>
      </x:c>
      <x:c r="Q636" s="34" t="n">
        <x:v>1.643</x:v>
      </x:c>
      <x:c r="R636" s="34" t="n">
        <x:v>45.233</x:v>
      </x:c>
      <x:c r="S636" s="40" t="b">
        <x:v>1</x:v>
      </x:c>
      <x:c r="T636" s="34" t="str">
        <x:v>model_interpolation</x:v>
      </x:c>
      <x:c r="U636" s="34" t="str">
        <x:v>Linear interpolation from 2030 to 2035</x:v>
      </x:c>
      <x:c r="V636" s="34" t="str">
        <x:v>CAND-B3597FD7767497</x:v>
      </x:c>
      <x:c r="W636" s="34" t="str">
        <x:v>P1</x:v>
      </x:c>
      <x:c r="X636" s="34" t="str">
        <x:v>PORT-9862FC05DA24</x:v>
      </x:c>
      <x:c r="Y636" s="34" t="n">
        <x:v>1000</x:v>
      </x:c>
      <x:c r="Z636" s="34" t="n">
        <x:v>191.289779</x:v>
      </x:c>
      <x:c r="AA636" s="34" t="n">
        <x:v>48.085729</x:v>
      </x:c>
      <x:c r="AB636" s="34" t="n">
        <x:v>105.301092</x:v>
      </x:c>
      <x:c r="AC636" s="34" t="n">
        <x:v>19771.105</x:v>
      </x:c>
      <x:c r="AD636" s="34" t="n">
        <x:v>187.757835</x:v>
      </x:c>
      <x:c r="AE636" s="40" t="b">
        <x:v>1</x:v>
      </x:c>
      <x:c r="AF636" s="40" t="b">
        <x:v>1</x:v>
      </x:c>
      <x:c r="AG636" s="34" t="str"/>
      <x:c r="AH636" s="34" t="n">
        <x:v>0</x:v>
      </x:c>
      <x:c r="AI636" s="34" t="str">
        <x:v>9.990856690045291e-05</x:v>
      </x:c>
      <x:c r="AJ636" s="40" t="b">
        <x:v>1</x:v>
      </x:c>
      <x:c r="AK636" s="40" t="b">
        <x:v>1</x:v>
      </x:c>
      <x:c r="AL636" s="40" t="b">
        <x:v>1</x:v>
      </x:c>
      <x:c r="AM636" s="40" t="b">
        <x:v>1</x:v>
      </x:c>
      <x:c r="AN636" s="34" t="str"/>
      <x:c r="AO636" s="34" t="n">
        <x:v>0</x:v>
      </x:c>
      <x:c r="AP636" s="34" t="n">
        <x:v>0</x:v>
      </x:c>
      <x:c r="AQ636" s="34" t="n">
        <x:v>0</x:v>
      </x:c>
      <x:c r="AR636" s="34" t="n">
        <x:v>1</x:v>
      </x:c>
      <x:c r="AS636" s="34" t="n">
        <x:v>1</x:v>
      </x:c>
      <x:c r="AT636" s="34" t="n">
        <x:v>0.3612199999999999</x:v>
      </x:c>
      <x:c r="AU636" s="34" t="n">
        <x:v>0.6</x:v>
      </x:c>
      <x:c r="AV636" s="34" t="n">
        <x:v>1.54</x:v>
      </x:c>
    </x:row>
    <x:row r="637">
      <x:c r="A637" s="34" t="str">
        <x:v>KOBE_STEEL_JP</x:v>
      </x:c>
      <x:c r="B637" s="34" t="str">
        <x:v>Kobe Steel</x:v>
      </x:c>
      <x:c r="C637" s="34" t="str">
        <x:v>DISCLOSED_PATH</x:v>
      </x:c>
      <x:c r="D637" s="34" t="str">
        <x:v>P1</x:v>
      </x:c>
      <x:c r="E637" s="34" t="n">
        <x:v>2031</x:v>
      </x:c>
      <x:c r="F637" s="34" t="n">
        <x:v>1</x:v>
      </x:c>
      <x:c r="G637" s="34" t="n">
        <x:v>0.4425</x:v>
      </x:c>
      <x:c r="H637" s="34" t="n">
        <x:v>4</x:v>
      </x:c>
      <x:c r="I637" s="34" t="n">
        <x:v>3.5575</x:v>
      </x:c>
      <x:c r="J637" s="34" t="n">
        <x:v>11.063</x:v>
      </x:c>
      <x:c r="K637" s="34" t="n">
        <x:v>0.16225</x:v>
      </x:c>
      <x:c r="L637" s="34" t="n">
        <x:v>0.32</x:v>
      </x:c>
      <x:c r="M637" s="34" t="n">
        <x:v>0.15775</x:v>
      </x:c>
      <x:c r="N637" s="34" t="n">
        <x:v>50.703</x:v>
      </x:c>
      <x:c r="O637" s="34" t="n">
        <x:v>1.357</x:v>
      </x:c>
      <x:c r="P637" s="34" t="n">
        <x:v>3</x:v>
      </x:c>
      <x:c r="Q637" s="34" t="n">
        <x:v>1.643</x:v>
      </x:c>
      <x:c r="R637" s="34" t="n">
        <x:v>45.233</x:v>
      </x:c>
      <x:c r="S637" s="40" t="b">
        <x:v>1</x:v>
      </x:c>
      <x:c r="T637" s="34" t="str">
        <x:v>model_interpolation</x:v>
      </x:c>
      <x:c r="U637" s="34" t="str">
        <x:v>Linear interpolation from 2030 to 2035</x:v>
      </x:c>
      <x:c r="V637" s="34" t="str">
        <x:v>CAND-B3597FD7767497</x:v>
      </x:c>
      <x:c r="W637" s="34" t="str">
        <x:v>P1</x:v>
      </x:c>
      <x:c r="X637" s="34" t="str">
        <x:v>PORT-9862FC05DA24</x:v>
      </x:c>
      <x:c r="Y637" s="34" t="n">
        <x:v>1000</x:v>
      </x:c>
      <x:c r="Z637" s="34" t="n">
        <x:v>191.289779</x:v>
      </x:c>
      <x:c r="AA637" s="34" t="n">
        <x:v>48.085729</x:v>
      </x:c>
      <x:c r="AB637" s="34" t="n">
        <x:v>105.301092</x:v>
      </x:c>
      <x:c r="AC637" s="34" t="n">
        <x:v>19771.105</x:v>
      </x:c>
      <x:c r="AD637" s="34" t="n">
        <x:v>187.757835</x:v>
      </x:c>
      <x:c r="AE637" s="40" t="b">
        <x:v>1</x:v>
      </x:c>
      <x:c r="AF637" s="40" t="b">
        <x:v>1</x:v>
      </x:c>
      <x:c r="AG637" s="34" t="str"/>
      <x:c r="AH637" s="34" t="n">
        <x:v>0</x:v>
      </x:c>
      <x:c r="AI637" s="34" t="str">
        <x:v>9.990856690045291e-05</x:v>
      </x:c>
      <x:c r="AJ637" s="40" t="b">
        <x:v>1</x:v>
      </x:c>
      <x:c r="AK637" s="40" t="b">
        <x:v>1</x:v>
      </x:c>
      <x:c r="AL637" s="40" t="b">
        <x:v>1</x:v>
      </x:c>
      <x:c r="AM637" s="40" t="b">
        <x:v>1</x:v>
      </x:c>
      <x:c r="AN637" s="34" t="str"/>
      <x:c r="AO637" s="34" t="n">
        <x:v>0</x:v>
      </x:c>
      <x:c r="AP637" s="34" t="n">
        <x:v>0</x:v>
      </x:c>
      <x:c r="AQ637" s="34" t="n">
        <x:v>0</x:v>
      </x:c>
      <x:c r="AR637" s="34" t="n">
        <x:v>1</x:v>
      </x:c>
      <x:c r="AS637" s="34" t="n">
        <x:v>1</x:v>
      </x:c>
      <x:c r="AT637" s="34" t="n">
        <x:v>0.3612199999999999</x:v>
      </x:c>
      <x:c r="AU637" s="34" t="n">
        <x:v>0.6</x:v>
      </x:c>
      <x:c r="AV637" s="34" t="n">
        <x:v>1.54</x:v>
      </x:c>
    </x:row>
    <x:row r="638">
      <x:c r="A638" s="34" t="str">
        <x:v>KOBE_STEEL_JP</x:v>
      </x:c>
      <x:c r="B638" s="34" t="str">
        <x:v>Kobe Steel</x:v>
      </x:c>
      <x:c r="C638" s="34" t="str">
        <x:v>DISCLOSED_PATH</x:v>
      </x:c>
      <x:c r="D638" s="34" t="str">
        <x:v>P1</x:v>
      </x:c>
      <x:c r="E638" s="34" t="n">
        <x:v>2032</x:v>
      </x:c>
      <x:c r="F638" s="34" t="n">
        <x:v>1</x:v>
      </x:c>
      <x:c r="G638" s="34" t="n">
        <x:v>0.4425</x:v>
      </x:c>
      <x:c r="H638" s="34" t="n">
        <x:v>4</x:v>
      </x:c>
      <x:c r="I638" s="34" t="n">
        <x:v>3.5575</x:v>
      </x:c>
      <x:c r="J638" s="34" t="n">
        <x:v>11.063</x:v>
      </x:c>
      <x:c r="K638" s="34" t="n">
        <x:v>0.16225</x:v>
      </x:c>
      <x:c r="L638" s="34" t="n">
        <x:v>0.34</x:v>
      </x:c>
      <x:c r="M638" s="34" t="n">
        <x:v>0.17775</x:v>
      </x:c>
      <x:c r="N638" s="34" t="n">
        <x:v>47.721</x:v>
      </x:c>
      <x:c r="O638" s="34" t="n">
        <x:v>1.357</x:v>
      </x:c>
      <x:c r="P638" s="34" t="n">
        <x:v>3</x:v>
      </x:c>
      <x:c r="Q638" s="34" t="n">
        <x:v>1.643</x:v>
      </x:c>
      <x:c r="R638" s="34" t="n">
        <x:v>45.233</x:v>
      </x:c>
      <x:c r="S638" s="40" t="b">
        <x:v>1</x:v>
      </x:c>
      <x:c r="T638" s="34" t="str">
        <x:v>model_interpolation</x:v>
      </x:c>
      <x:c r="U638" s="34" t="str">
        <x:v>Linear interpolation from 2030 to 2035</x:v>
      </x:c>
      <x:c r="V638" s="34" t="str">
        <x:v>CAND-B3597FD7767497</x:v>
      </x:c>
      <x:c r="W638" s="34" t="str">
        <x:v>P1</x:v>
      </x:c>
      <x:c r="X638" s="34" t="str">
        <x:v>PORT-9862FC05DA24</x:v>
      </x:c>
      <x:c r="Y638" s="34" t="n">
        <x:v>1000</x:v>
      </x:c>
      <x:c r="Z638" s="34" t="n">
        <x:v>191.289779</x:v>
      </x:c>
      <x:c r="AA638" s="34" t="n">
        <x:v>48.085729</x:v>
      </x:c>
      <x:c r="AB638" s="34" t="n">
        <x:v>105.301092</x:v>
      </x:c>
      <x:c r="AC638" s="34" t="n">
        <x:v>19771.105</x:v>
      </x:c>
      <x:c r="AD638" s="34" t="n">
        <x:v>187.757835</x:v>
      </x:c>
      <x:c r="AE638" s="40" t="b">
        <x:v>1</x:v>
      </x:c>
      <x:c r="AF638" s="40" t="b">
        <x:v>1</x:v>
      </x:c>
      <x:c r="AG638" s="34" t="str"/>
      <x:c r="AH638" s="34" t="n">
        <x:v>0</x:v>
      </x:c>
      <x:c r="AI638" s="34" t="str">
        <x:v>9.990856690045291e-05</x:v>
      </x:c>
      <x:c r="AJ638" s="40" t="b">
        <x:v>1</x:v>
      </x:c>
      <x:c r="AK638" s="40" t="b">
        <x:v>1</x:v>
      </x:c>
      <x:c r="AL638" s="40" t="b">
        <x:v>1</x:v>
      </x:c>
      <x:c r="AM638" s="40" t="b">
        <x:v>1</x:v>
      </x:c>
      <x:c r="AN638" s="34" t="str"/>
      <x:c r="AO638" s="34" t="n">
        <x:v>0</x:v>
      </x:c>
      <x:c r="AP638" s="34" t="n">
        <x:v>0</x:v>
      </x:c>
      <x:c r="AQ638" s="34" t="n">
        <x:v>0</x:v>
      </x:c>
      <x:c r="AR638" s="34" t="n">
        <x:v>1</x:v>
      </x:c>
      <x:c r="AS638" s="34" t="n">
        <x:v>1</x:v>
      </x:c>
      <x:c r="AT638" s="34" t="n">
        <x:v>0.3612199999999999</x:v>
      </x:c>
      <x:c r="AU638" s="34" t="n">
        <x:v>0.6</x:v>
      </x:c>
      <x:c r="AV638" s="34" t="n">
        <x:v>1.54</x:v>
      </x:c>
    </x:row>
    <x:row r="639">
      <x:c r="A639" s="34" t="str">
        <x:v>KOBE_STEEL_JP</x:v>
      </x:c>
      <x:c r="B639" s="34" t="str">
        <x:v>Kobe Steel</x:v>
      </x:c>
      <x:c r="C639" s="34" t="str">
        <x:v>DISCLOSED_PATH</x:v>
      </x:c>
      <x:c r="D639" s="34" t="str">
        <x:v>P1</x:v>
      </x:c>
      <x:c r="E639" s="34" t="n">
        <x:v>2033</x:v>
      </x:c>
      <x:c r="F639" s="34" t="n">
        <x:v>2</x:v>
      </x:c>
      <x:c r="G639" s="34" t="n">
        <x:v>0.5325</x:v>
      </x:c>
      <x:c r="H639" s="34" t="n">
        <x:v>4</x:v>
      </x:c>
      <x:c r="I639" s="34" t="n">
        <x:v>3.4675</x:v>
      </x:c>
      <x:c r="J639" s="34" t="n">
        <x:v>13.313</x:v>
      </x:c>
      <x:c r="K639" s="34" t="n">
        <x:v>0.16225</x:v>
      </x:c>
      <x:c r="L639" s="34" t="n">
        <x:v>0.36</x:v>
      </x:c>
      <x:c r="M639" s="34" t="n">
        <x:v>0.19775</x:v>
      </x:c>
      <x:c r="N639" s="34" t="n">
        <x:v>45.069</x:v>
      </x:c>
      <x:c r="O639" s="34" t="n">
        <x:v>1.359</x:v>
      </x:c>
      <x:c r="P639" s="34" t="n">
        <x:v>3</x:v>
      </x:c>
      <x:c r="Q639" s="34" t="n">
        <x:v>1.641</x:v>
      </x:c>
      <x:c r="R639" s="34" t="n">
        <x:v>45.3</x:v>
      </x:c>
      <x:c r="S639" s="40" t="b">
        <x:v>1</x:v>
      </x:c>
      <x:c r="T639" s="34" t="str">
        <x:v>model_interpolation</x:v>
      </x:c>
      <x:c r="U639" s="34" t="str">
        <x:v>Linear interpolation from 2030 to 2035</x:v>
      </x:c>
      <x:c r="V639" s="34" t="str">
        <x:v>CAND-B3597FD7767497</x:v>
      </x:c>
      <x:c r="W639" s="34" t="str">
        <x:v>P1</x:v>
      </x:c>
      <x:c r="X639" s="34" t="str">
        <x:v>PORT-9862FC05DA24</x:v>
      </x:c>
      <x:c r="Y639" s="34" t="n">
        <x:v>1000</x:v>
      </x:c>
      <x:c r="Z639" s="34" t="n">
        <x:v>191.289779</x:v>
      </x:c>
      <x:c r="AA639" s="34" t="n">
        <x:v>48.085729</x:v>
      </x:c>
      <x:c r="AB639" s="34" t="n">
        <x:v>105.301092</x:v>
      </x:c>
      <x:c r="AC639" s="34" t="n">
        <x:v>19771.105</x:v>
      </x:c>
      <x:c r="AD639" s="34" t="n">
        <x:v>187.757835</x:v>
      </x:c>
      <x:c r="AE639" s="40" t="b">
        <x:v>1</x:v>
      </x:c>
      <x:c r="AF639" s="40" t="b">
        <x:v>1</x:v>
      </x:c>
      <x:c r="AG639" s="34" t="str"/>
      <x:c r="AH639" s="34" t="n">
        <x:v>0</x:v>
      </x:c>
      <x:c r="AI639" s="34" t="str">
        <x:v>9.990856690045291e-05</x:v>
      </x:c>
      <x:c r="AJ639" s="40" t="b">
        <x:v>1</x:v>
      </x:c>
      <x:c r="AK639" s="40" t="b">
        <x:v>1</x:v>
      </x:c>
      <x:c r="AL639" s="40" t="b">
        <x:v>1</x:v>
      </x:c>
      <x:c r="AM639" s="40" t="b">
        <x:v>1</x:v>
      </x:c>
      <x:c r="AN639" s="34" t="str"/>
      <x:c r="AO639" s="34" t="n">
        <x:v>0</x:v>
      </x:c>
      <x:c r="AP639" s="34" t="n">
        <x:v>0</x:v>
      </x:c>
      <x:c r="AQ639" s="34" t="n">
        <x:v>0</x:v>
      </x:c>
      <x:c r="AR639" s="34" t="n">
        <x:v>1</x:v>
      </x:c>
      <x:c r="AS639" s="34" t="n">
        <x:v>1</x:v>
      </x:c>
      <x:c r="AT639" s="34" t="n">
        <x:v>0.3612199999999999</x:v>
      </x:c>
      <x:c r="AU639" s="34" t="n">
        <x:v>0.6</x:v>
      </x:c>
      <x:c r="AV639" s="34" t="n">
        <x:v>1.54</x:v>
      </x:c>
    </x:row>
    <x:row r="640">
      <x:c r="A640" s="34" t="str">
        <x:v>KOBE_STEEL_JP</x:v>
      </x:c>
      <x:c r="B640" s="34" t="str">
        <x:v>Kobe Steel</x:v>
      </x:c>
      <x:c r="C640" s="34" t="str">
        <x:v>DISCLOSED_PATH</x:v>
      </x:c>
      <x:c r="D640" s="34" t="str">
        <x:v>P1</x:v>
      </x:c>
      <x:c r="E640" s="34" t="n">
        <x:v>2034</x:v>
      </x:c>
      <x:c r="F640" s="34" t="n">
        <x:v>2</x:v>
      </x:c>
      <x:c r="G640" s="34" t="n">
        <x:v>0.5325</x:v>
      </x:c>
      <x:c r="H640" s="34" t="n">
        <x:v>4</x:v>
      </x:c>
      <x:c r="I640" s="34" t="n">
        <x:v>3.4675</x:v>
      </x:c>
      <x:c r="J640" s="34" t="n">
        <x:v>13.313</x:v>
      </x:c>
      <x:c r="K640" s="34" t="n">
        <x:v>0.16225</x:v>
      </x:c>
      <x:c r="L640" s="34" t="n">
        <x:v>0.38</x:v>
      </x:c>
      <x:c r="M640" s="34" t="n">
        <x:v>0.21775</x:v>
      </x:c>
      <x:c r="N640" s="34" t="n">
        <x:v>42.697</x:v>
      </x:c>
      <x:c r="O640" s="34" t="n">
        <x:v>1.359</x:v>
      </x:c>
      <x:c r="P640" s="34" t="n">
        <x:v>3</x:v>
      </x:c>
      <x:c r="Q640" s="34" t="n">
        <x:v>1.641</x:v>
      </x:c>
      <x:c r="R640" s="34" t="n">
        <x:v>45.3</x:v>
      </x:c>
      <x:c r="S640" s="40" t="b">
        <x:v>1</x:v>
      </x:c>
      <x:c r="T640" s="34" t="str">
        <x:v>model_interpolation</x:v>
      </x:c>
      <x:c r="U640" s="34" t="str">
        <x:v>Linear interpolation from 2030 to 2035</x:v>
      </x:c>
      <x:c r="V640" s="34" t="str">
        <x:v>CAND-B3597FD7767497</x:v>
      </x:c>
      <x:c r="W640" s="34" t="str">
        <x:v>P1</x:v>
      </x:c>
      <x:c r="X640" s="34" t="str">
        <x:v>PORT-9862FC05DA24</x:v>
      </x:c>
      <x:c r="Y640" s="34" t="n">
        <x:v>1000</x:v>
      </x:c>
      <x:c r="Z640" s="34" t="n">
        <x:v>191.289779</x:v>
      </x:c>
      <x:c r="AA640" s="34" t="n">
        <x:v>48.085729</x:v>
      </x:c>
      <x:c r="AB640" s="34" t="n">
        <x:v>105.301092</x:v>
      </x:c>
      <x:c r="AC640" s="34" t="n">
        <x:v>19771.105</x:v>
      </x:c>
      <x:c r="AD640" s="34" t="n">
        <x:v>187.757835</x:v>
      </x:c>
      <x:c r="AE640" s="40" t="b">
        <x:v>1</x:v>
      </x:c>
      <x:c r="AF640" s="40" t="b">
        <x:v>1</x:v>
      </x:c>
      <x:c r="AG640" s="34" t="str"/>
      <x:c r="AH640" s="34" t="n">
        <x:v>0</x:v>
      </x:c>
      <x:c r="AI640" s="34" t="str">
        <x:v>9.990856690045291e-05</x:v>
      </x:c>
      <x:c r="AJ640" s="40" t="b">
        <x:v>1</x:v>
      </x:c>
      <x:c r="AK640" s="40" t="b">
        <x:v>1</x:v>
      </x:c>
      <x:c r="AL640" s="40" t="b">
        <x:v>1</x:v>
      </x:c>
      <x:c r="AM640" s="40" t="b">
        <x:v>1</x:v>
      </x:c>
      <x:c r="AN640" s="34" t="str"/>
      <x:c r="AO640" s="34" t="n">
        <x:v>0</x:v>
      </x:c>
      <x:c r="AP640" s="34" t="n">
        <x:v>0</x:v>
      </x:c>
      <x:c r="AQ640" s="34" t="n">
        <x:v>0</x:v>
      </x:c>
      <x:c r="AR640" s="34" t="n">
        <x:v>1</x:v>
      </x:c>
      <x:c r="AS640" s="34" t="n">
        <x:v>1</x:v>
      </x:c>
      <x:c r="AT640" s="34" t="n">
        <x:v>0.3612199999999999</x:v>
      </x:c>
      <x:c r="AU640" s="34" t="n">
        <x:v>0.6</x:v>
      </x:c>
      <x:c r="AV640" s="34" t="n">
        <x:v>1.54</x:v>
      </x:c>
    </x:row>
    <x:row r="641">
      <x:c r="A641" s="34" t="str">
        <x:v>KOBE_STEEL_JP</x:v>
      </x:c>
      <x:c r="B641" s="34" t="str">
        <x:v>Kobe Steel</x:v>
      </x:c>
      <x:c r="C641" s="34" t="str">
        <x:v>DISCLOSED_PATH</x:v>
      </x:c>
      <x:c r="D641" s="34" t="str">
        <x:v>P1</x:v>
      </x:c>
      <x:c r="E641" s="34" t="n">
        <x:v>2035</x:v>
      </x:c>
      <x:c r="F641" s="34" t="n">
        <x:v>2</x:v>
      </x:c>
      <x:c r="G641" s="34" t="n">
        <x:v>0.5325</x:v>
      </x:c>
      <x:c r="H641" s="34" t="n">
        <x:v>4</x:v>
      </x:c>
      <x:c r="I641" s="34" t="n">
        <x:v>3.4675</x:v>
      </x:c>
      <x:c r="J641" s="34" t="n">
        <x:v>13.313</x:v>
      </x:c>
      <x:c r="K641" s="34" t="n">
        <x:v>0.16225</x:v>
      </x:c>
      <x:c r="L641" s="34" t="n">
        <x:v>0.4</x:v>
      </x:c>
      <x:c r="M641" s="34" t="n">
        <x:v>0.23775</x:v>
      </x:c>
      <x:c r="N641" s="34" t="n">
        <x:v>40.563</x:v>
      </x:c>
      <x:c r="O641" s="34" t="n">
        <x:v>1.359</x:v>
      </x:c>
      <x:c r="P641" s="34" t="n">
        <x:v>3</x:v>
      </x:c>
      <x:c r="Q641" s="34" t="n">
        <x:v>1.641</x:v>
      </x:c>
      <x:c r="R641" s="34" t="n">
        <x:v>45.3</x:v>
      </x:c>
      <x:c r="S641" s="40" t="b">
        <x:v>1</x:v>
      </x:c>
      <x:c r="T641" s="34" t="str">
        <x:v>model_interpolation</x:v>
      </x:c>
      <x:c r="U641" s="34" t="str">
        <x:v>Linear interpolation from 2035 to 2040</x:v>
      </x:c>
      <x:c r="V641" s="34" t="str">
        <x:v>CAND-B3597FD7767497</x:v>
      </x:c>
      <x:c r="W641" s="34" t="str">
        <x:v>P1</x:v>
      </x:c>
      <x:c r="X641" s="34" t="str">
        <x:v>PORT-9862FC05DA24</x:v>
      </x:c>
      <x:c r="Y641" s="34" t="n">
        <x:v>1000</x:v>
      </x:c>
      <x:c r="Z641" s="34" t="n">
        <x:v>191.289779</x:v>
      </x:c>
      <x:c r="AA641" s="34" t="n">
        <x:v>48.085729</x:v>
      </x:c>
      <x:c r="AB641" s="34" t="n">
        <x:v>105.301092</x:v>
      </x:c>
      <x:c r="AC641" s="34" t="n">
        <x:v>19771.105</x:v>
      </x:c>
      <x:c r="AD641" s="34" t="n">
        <x:v>187.757835</x:v>
      </x:c>
      <x:c r="AE641" s="40" t="b">
        <x:v>1</x:v>
      </x:c>
      <x:c r="AF641" s="40" t="b">
        <x:v>1</x:v>
      </x:c>
      <x:c r="AG641" s="34" t="str"/>
      <x:c r="AH641" s="34" t="n">
        <x:v>0</x:v>
      </x:c>
      <x:c r="AI641" s="34" t="str">
        <x:v>9.990856690045291e-05</x:v>
      </x:c>
      <x:c r="AJ641" s="40" t="b">
        <x:v>1</x:v>
      </x:c>
      <x:c r="AK641" s="40" t="b">
        <x:v>1</x:v>
      </x:c>
      <x:c r="AL641" s="40" t="b">
        <x:v>1</x:v>
      </x:c>
      <x:c r="AM641" s="40" t="b">
        <x:v>1</x:v>
      </x:c>
      <x:c r="AN641" s="34" t="str"/>
      <x:c r="AO641" s="34" t="n">
        <x:v>0</x:v>
      </x:c>
      <x:c r="AP641" s="34" t="n">
        <x:v>0</x:v>
      </x:c>
      <x:c r="AQ641" s="34" t="n">
        <x:v>0</x:v>
      </x:c>
      <x:c r="AR641" s="34" t="n">
        <x:v>1</x:v>
      </x:c>
      <x:c r="AS641" s="34" t="n">
        <x:v>1</x:v>
      </x:c>
      <x:c r="AT641" s="34" t="n">
        <x:v>0.3612199999999999</x:v>
      </x:c>
      <x:c r="AU641" s="34" t="n">
        <x:v>0.6</x:v>
      </x:c>
      <x:c r="AV641" s="34" t="n">
        <x:v>1.54</x:v>
      </x:c>
    </x:row>
    <x:row r="642">
      <x:c r="A642" s="34" t="str">
        <x:v>KOBE_STEEL_JP</x:v>
      </x:c>
      <x:c r="B642" s="34" t="str">
        <x:v>Kobe Steel</x:v>
      </x:c>
      <x:c r="C642" s="34" t="str">
        <x:v>DISCLOSED_PATH</x:v>
      </x:c>
      <x:c r="D642" s="34" t="str">
        <x:v>P1</x:v>
      </x:c>
      <x:c r="E642" s="34" t="n">
        <x:v>2036</x:v>
      </x:c>
      <x:c r="F642" s="34" t="n">
        <x:v>2</x:v>
      </x:c>
      <x:c r="G642" s="34" t="n">
        <x:v>0.5325</x:v>
      </x:c>
      <x:c r="H642" s="34" t="n">
        <x:v>4.2</x:v>
      </x:c>
      <x:c r="I642" s="34" t="n">
        <x:v>3.6675</x:v>
      </x:c>
      <x:c r="J642" s="34" t="n">
        <x:v>12.679</x:v>
      </x:c>
      <x:c r="K642" s="34" t="n">
        <x:v>0.16225</x:v>
      </x:c>
      <x:c r="L642" s="34" t="n">
        <x:v>0.48000000000000004</x:v>
      </x:c>
      <x:c r="M642" s="34" t="n">
        <x:v>0.31775</x:v>
      </x:c>
      <x:c r="N642" s="34" t="n">
        <x:v>33.802</x:v>
      </x:c>
      <x:c r="O642" s="34" t="n">
        <x:v>1.359</x:v>
      </x:c>
      <x:c r="P642" s="34" t="n">
        <x:v>3.4</x:v>
      </x:c>
      <x:c r="Q642" s="34" t="n">
        <x:v>2.041</x:v>
      </x:c>
      <x:c r="R642" s="34" t="n">
        <x:v>39.971</x:v>
      </x:c>
      <x:c r="S642" s="40" t="b">
        <x:v>1</x:v>
      </x:c>
      <x:c r="T642" s="34" t="str">
        <x:v>model_interpolation</x:v>
      </x:c>
      <x:c r="U642" s="34" t="str">
        <x:v>Linear interpolation from 2035 to 2040</x:v>
      </x:c>
      <x:c r="V642" s="34" t="str">
        <x:v>CAND-B3597FD7767497</x:v>
      </x:c>
      <x:c r="W642" s="34" t="str">
        <x:v>P1</x:v>
      </x:c>
      <x:c r="X642" s="34" t="str">
        <x:v>PORT-9862FC05DA24</x:v>
      </x:c>
      <x:c r="Y642" s="34" t="n">
        <x:v>1000</x:v>
      </x:c>
      <x:c r="Z642" s="34" t="n">
        <x:v>191.289779</x:v>
      </x:c>
      <x:c r="AA642" s="34" t="n">
        <x:v>48.085729</x:v>
      </x:c>
      <x:c r="AB642" s="34" t="n">
        <x:v>105.301092</x:v>
      </x:c>
      <x:c r="AC642" s="34" t="n">
        <x:v>19771.105</x:v>
      </x:c>
      <x:c r="AD642" s="34" t="n">
        <x:v>187.757835</x:v>
      </x:c>
      <x:c r="AE642" s="40" t="b">
        <x:v>1</x:v>
      </x:c>
      <x:c r="AF642" s="40" t="b">
        <x:v>1</x:v>
      </x:c>
      <x:c r="AG642" s="34" t="str"/>
      <x:c r="AH642" s="34" t="n">
        <x:v>0</x:v>
      </x:c>
      <x:c r="AI642" s="34" t="str">
        <x:v>9.990856690045291e-05</x:v>
      </x:c>
      <x:c r="AJ642" s="40" t="b">
        <x:v>1</x:v>
      </x:c>
      <x:c r="AK642" s="40" t="b">
        <x:v>1</x:v>
      </x:c>
      <x:c r="AL642" s="40" t="b">
        <x:v>1</x:v>
      </x:c>
      <x:c r="AM642" s="40" t="b">
        <x:v>1</x:v>
      </x:c>
      <x:c r="AN642" s="34" t="str"/>
      <x:c r="AO642" s="34" t="n">
        <x:v>0</x:v>
      </x:c>
      <x:c r="AP642" s="34" t="n">
        <x:v>0</x:v>
      </x:c>
      <x:c r="AQ642" s="34" t="n">
        <x:v>0</x:v>
      </x:c>
      <x:c r="AR642" s="34" t="n">
        <x:v>1</x:v>
      </x:c>
      <x:c r="AS642" s="34" t="n">
        <x:v>1</x:v>
      </x:c>
      <x:c r="AT642" s="34" t="n">
        <x:v>0.3612199999999999</x:v>
      </x:c>
      <x:c r="AU642" s="34" t="n">
        <x:v>0.6</x:v>
      </x:c>
      <x:c r="AV642" s="34" t="n">
        <x:v>1.54</x:v>
      </x:c>
    </x:row>
    <x:row r="643">
      <x:c r="A643" s="34" t="str">
        <x:v>KOBE_STEEL_JP</x:v>
      </x:c>
      <x:c r="B643" s="34" t="str">
        <x:v>Kobe Steel</x:v>
      </x:c>
      <x:c r="C643" s="34" t="str">
        <x:v>DISCLOSED_PATH</x:v>
      </x:c>
      <x:c r="D643" s="34" t="str">
        <x:v>P1</x:v>
      </x:c>
      <x:c r="E643" s="34" t="n">
        <x:v>2037</x:v>
      </x:c>
      <x:c r="F643" s="34" t="n">
        <x:v>3</x:v>
      </x:c>
      <x:c r="G643" s="34" t="n">
        <x:v>0.969</x:v>
      </x:c>
      <x:c r="H643" s="34" t="n">
        <x:v>4.4</x:v>
      </x:c>
      <x:c r="I643" s="34" t="n">
        <x:v>3.431</x:v>
      </x:c>
      <x:c r="J643" s="34" t="n">
        <x:v>22.023</x:v>
      </x:c>
      <x:c r="K643" s="34" t="n">
        <x:v>0.3223</x:v>
      </x:c>
      <x:c r="L643" s="34" t="n">
        <x:v>0.56</x:v>
      </x:c>
      <x:c r="M643" s="34" t="n">
        <x:v>0.2377</x:v>
      </x:c>
      <x:c r="N643" s="34" t="n">
        <x:v>57.554</x:v>
      </x:c>
      <x:c r="O643" s="34" t="n">
        <x:v>2.6976</x:v>
      </x:c>
      <x:c r="P643" s="34" t="n">
        <x:v>3.8</x:v>
      </x:c>
      <x:c r="Q643" s="34" t="n">
        <x:v>1.1024</x:v>
      </x:c>
      <x:c r="R643" s="34" t="n">
        <x:v>70.989</x:v>
      </x:c>
      <x:c r="S643" s="40" t="b">
        <x:v>1</x:v>
      </x:c>
      <x:c r="T643" s="34" t="str">
        <x:v>model_interpolation</x:v>
      </x:c>
      <x:c r="U643" s="34" t="str">
        <x:v>Linear interpolation from 2035 to 2040</x:v>
      </x:c>
      <x:c r="V643" s="34" t="str">
        <x:v>CAND-B3597FD7767497</x:v>
      </x:c>
      <x:c r="W643" s="34" t="str">
        <x:v>P1</x:v>
      </x:c>
      <x:c r="X643" s="34" t="str">
        <x:v>PORT-9862FC05DA24</x:v>
      </x:c>
      <x:c r="Y643" s="34" t="n">
        <x:v>1000</x:v>
      </x:c>
      <x:c r="Z643" s="34" t="n">
        <x:v>191.289779</x:v>
      </x:c>
      <x:c r="AA643" s="34" t="n">
        <x:v>48.085729</x:v>
      </x:c>
      <x:c r="AB643" s="34" t="n">
        <x:v>105.301092</x:v>
      </x:c>
      <x:c r="AC643" s="34" t="n">
        <x:v>19771.105</x:v>
      </x:c>
      <x:c r="AD643" s="34" t="n">
        <x:v>187.757835</x:v>
      </x:c>
      <x:c r="AE643" s="40" t="b">
        <x:v>1</x:v>
      </x:c>
      <x:c r="AF643" s="40" t="b">
        <x:v>1</x:v>
      </x:c>
      <x:c r="AG643" s="34" t="str"/>
      <x:c r="AH643" s="34" t="n">
        <x:v>0</x:v>
      </x:c>
      <x:c r="AI643" s="34" t="str">
        <x:v>9.990856690045291e-05</x:v>
      </x:c>
      <x:c r="AJ643" s="40" t="b">
        <x:v>1</x:v>
      </x:c>
      <x:c r="AK643" s="40" t="b">
        <x:v>1</x:v>
      </x:c>
      <x:c r="AL643" s="40" t="b">
        <x:v>1</x:v>
      </x:c>
      <x:c r="AM643" s="40" t="b">
        <x:v>1</x:v>
      </x:c>
      <x:c r="AN643" s="34" t="str"/>
      <x:c r="AO643" s="34" t="n">
        <x:v>0</x:v>
      </x:c>
      <x:c r="AP643" s="34" t="n">
        <x:v>0</x:v>
      </x:c>
      <x:c r="AQ643" s="34" t="n">
        <x:v>0</x:v>
      </x:c>
      <x:c r="AR643" s="34" t="n">
        <x:v>1</x:v>
      </x:c>
      <x:c r="AS643" s="34" t="n">
        <x:v>1</x:v>
      </x:c>
      <x:c r="AT643" s="34" t="n">
        <x:v>0.3612199999999999</x:v>
      </x:c>
      <x:c r="AU643" s="34" t="n">
        <x:v>0.6</x:v>
      </x:c>
      <x:c r="AV643" s="34" t="n">
        <x:v>1.54</x:v>
      </x:c>
    </x:row>
    <x:row r="644">
      <x:c r="A644" s="34" t="str">
        <x:v>KOBE_STEEL_JP</x:v>
      </x:c>
      <x:c r="B644" s="34" t="str">
        <x:v>Kobe Steel</x:v>
      </x:c>
      <x:c r="C644" s="34" t="str">
        <x:v>DISCLOSED_PATH</x:v>
      </x:c>
      <x:c r="D644" s="34" t="str">
        <x:v>P1</x:v>
      </x:c>
      <x:c r="E644" s="34" t="n">
        <x:v>2038</x:v>
      </x:c>
      <x:c r="F644" s="34" t="n">
        <x:v>3</x:v>
      </x:c>
      <x:c r="G644" s="34" t="n">
        <x:v>0.969</x:v>
      </x:c>
      <x:c r="H644" s="34" t="n">
        <x:v>4.6</x:v>
      </x:c>
      <x:c r="I644" s="34" t="n">
        <x:v>3.631</x:v>
      </x:c>
      <x:c r="J644" s="34" t="n">
        <x:v>21.065</x:v>
      </x:c>
      <x:c r="K644" s="34" t="n">
        <x:v>0.3223</x:v>
      </x:c>
      <x:c r="L644" s="34" t="n">
        <x:v>0.64</x:v>
      </x:c>
      <x:c r="M644" s="34" t="n">
        <x:v>0.3177</x:v>
      </x:c>
      <x:c r="N644" s="34" t="n">
        <x:v>50.359</x:v>
      </x:c>
      <x:c r="O644" s="34" t="n">
        <x:v>2.6976</x:v>
      </x:c>
      <x:c r="P644" s="34" t="n">
        <x:v>4.2</x:v>
      </x:c>
      <x:c r="Q644" s="34" t="n">
        <x:v>1.5024</x:v>
      </x:c>
      <x:c r="R644" s="34" t="n">
        <x:v>64.229</x:v>
      </x:c>
      <x:c r="S644" s="40" t="b">
        <x:v>1</x:v>
      </x:c>
      <x:c r="T644" s="34" t="str">
        <x:v>model_interpolation</x:v>
      </x:c>
      <x:c r="U644" s="34" t="str">
        <x:v>Linear interpolation from 2035 to 2040</x:v>
      </x:c>
      <x:c r="V644" s="34" t="str">
        <x:v>CAND-B3597FD7767497</x:v>
      </x:c>
      <x:c r="W644" s="34" t="str">
        <x:v>P1</x:v>
      </x:c>
      <x:c r="X644" s="34" t="str">
        <x:v>PORT-9862FC05DA24</x:v>
      </x:c>
      <x:c r="Y644" s="34" t="n">
        <x:v>1000</x:v>
      </x:c>
      <x:c r="Z644" s="34" t="n">
        <x:v>191.289779</x:v>
      </x:c>
      <x:c r="AA644" s="34" t="n">
        <x:v>48.085729</x:v>
      </x:c>
      <x:c r="AB644" s="34" t="n">
        <x:v>105.301092</x:v>
      </x:c>
      <x:c r="AC644" s="34" t="n">
        <x:v>19771.105</x:v>
      </x:c>
      <x:c r="AD644" s="34" t="n">
        <x:v>187.757835</x:v>
      </x:c>
      <x:c r="AE644" s="40" t="b">
        <x:v>1</x:v>
      </x:c>
      <x:c r="AF644" s="40" t="b">
        <x:v>1</x:v>
      </x:c>
      <x:c r="AG644" s="34" t="str"/>
      <x:c r="AH644" s="34" t="n">
        <x:v>0</x:v>
      </x:c>
      <x:c r="AI644" s="34" t="str">
        <x:v>9.990856690045291e-05</x:v>
      </x:c>
      <x:c r="AJ644" s="40" t="b">
        <x:v>1</x:v>
      </x:c>
      <x:c r="AK644" s="40" t="b">
        <x:v>1</x:v>
      </x:c>
      <x:c r="AL644" s="40" t="b">
        <x:v>1</x:v>
      </x:c>
      <x:c r="AM644" s="40" t="b">
        <x:v>1</x:v>
      </x:c>
      <x:c r="AN644" s="34" t="str"/>
      <x:c r="AO644" s="34" t="n">
        <x:v>0</x:v>
      </x:c>
      <x:c r="AP644" s="34" t="n">
        <x:v>0</x:v>
      </x:c>
      <x:c r="AQ644" s="34" t="n">
        <x:v>0</x:v>
      </x:c>
      <x:c r="AR644" s="34" t="n">
        <x:v>1</x:v>
      </x:c>
      <x:c r="AS644" s="34" t="n">
        <x:v>1</x:v>
      </x:c>
      <x:c r="AT644" s="34" t="n">
        <x:v>0.3612199999999999</x:v>
      </x:c>
      <x:c r="AU644" s="34" t="n">
        <x:v>0.6</x:v>
      </x:c>
      <x:c r="AV644" s="34" t="n">
        <x:v>1.54</x:v>
      </x:c>
    </x:row>
    <x:row r="645">
      <x:c r="A645" s="34" t="str">
        <x:v>KOBE_STEEL_JP</x:v>
      </x:c>
      <x:c r="B645" s="34" t="str">
        <x:v>Kobe Steel</x:v>
      </x:c>
      <x:c r="C645" s="34" t="str">
        <x:v>DISCLOSED_PATH</x:v>
      </x:c>
      <x:c r="D645" s="34" t="str">
        <x:v>P1</x:v>
      </x:c>
      <x:c r="E645" s="34" t="n">
        <x:v>2039</x:v>
      </x:c>
      <x:c r="F645" s="34" t="n">
        <x:v>3</x:v>
      </x:c>
      <x:c r="G645" s="34" t="n">
        <x:v>0.969</x:v>
      </x:c>
      <x:c r="H645" s="34" t="n">
        <x:v>4.8</x:v>
      </x:c>
      <x:c r="I645" s="34" t="n">
        <x:v>3.831</x:v>
      </x:c>
      <x:c r="J645" s="34" t="n">
        <x:v>20.187</x:v>
      </x:c>
      <x:c r="K645" s="34" t="n">
        <x:v>0.3223</x:v>
      </x:c>
      <x:c r="L645" s="34" t="n">
        <x:v>0.7200000000000001</x:v>
      </x:c>
      <x:c r="M645" s="34" t="n">
        <x:v>0.3977</x:v>
      </x:c>
      <x:c r="N645" s="34" t="n">
        <x:v>44.764</x:v>
      </x:c>
      <x:c r="O645" s="34" t="n">
        <x:v>2.6976</x:v>
      </x:c>
      <x:c r="P645" s="34" t="n">
        <x:v>4.6</x:v>
      </x:c>
      <x:c r="Q645" s="34" t="n">
        <x:v>1.9024</x:v>
      </x:c>
      <x:c r="R645" s="34" t="n">
        <x:v>58.643</x:v>
      </x:c>
      <x:c r="S645" s="40" t="b">
        <x:v>1</x:v>
      </x:c>
      <x:c r="T645" s="34" t="str">
        <x:v>model_interpolation</x:v>
      </x:c>
      <x:c r="U645" s="34" t="str">
        <x:v>Linear interpolation from 2035 to 2040</x:v>
      </x:c>
      <x:c r="V645" s="34" t="str">
        <x:v>CAND-B3597FD7767497</x:v>
      </x:c>
      <x:c r="W645" s="34" t="str">
        <x:v>P1</x:v>
      </x:c>
      <x:c r="X645" s="34" t="str">
        <x:v>PORT-9862FC05DA24</x:v>
      </x:c>
      <x:c r="Y645" s="34" t="n">
        <x:v>1000</x:v>
      </x:c>
      <x:c r="Z645" s="34" t="n">
        <x:v>191.289779</x:v>
      </x:c>
      <x:c r="AA645" s="34" t="n">
        <x:v>48.085729</x:v>
      </x:c>
      <x:c r="AB645" s="34" t="n">
        <x:v>105.301092</x:v>
      </x:c>
      <x:c r="AC645" s="34" t="n">
        <x:v>19771.105</x:v>
      </x:c>
      <x:c r="AD645" s="34" t="n">
        <x:v>187.757835</x:v>
      </x:c>
      <x:c r="AE645" s="40" t="b">
        <x:v>1</x:v>
      </x:c>
      <x:c r="AF645" s="40" t="b">
        <x:v>1</x:v>
      </x:c>
      <x:c r="AG645" s="34" t="str"/>
      <x:c r="AH645" s="34" t="n">
        <x:v>0</x:v>
      </x:c>
      <x:c r="AI645" s="34" t="str">
        <x:v>9.990856690045291e-05</x:v>
      </x:c>
      <x:c r="AJ645" s="40" t="b">
        <x:v>1</x:v>
      </x:c>
      <x:c r="AK645" s="40" t="b">
        <x:v>1</x:v>
      </x:c>
      <x:c r="AL645" s="40" t="b">
        <x:v>1</x:v>
      </x:c>
      <x:c r="AM645" s="40" t="b">
        <x:v>1</x:v>
      </x:c>
      <x:c r="AN645" s="34" t="str"/>
      <x:c r="AO645" s="34" t="n">
        <x:v>0</x:v>
      </x:c>
      <x:c r="AP645" s="34" t="n">
        <x:v>0</x:v>
      </x:c>
      <x:c r="AQ645" s="34" t="n">
        <x:v>0</x:v>
      </x:c>
      <x:c r="AR645" s="34" t="n">
        <x:v>1</x:v>
      </x:c>
      <x:c r="AS645" s="34" t="n">
        <x:v>1</x:v>
      </x:c>
      <x:c r="AT645" s="34" t="n">
        <x:v>0.3612199999999999</x:v>
      </x:c>
      <x:c r="AU645" s="34" t="n">
        <x:v>0.6</x:v>
      </x:c>
      <x:c r="AV645" s="34" t="n">
        <x:v>1.54</x:v>
      </x:c>
    </x:row>
    <x:row r="646">
      <x:c r="A646" s="34" t="str">
        <x:v>KOBE_STEEL_JP</x:v>
      </x:c>
      <x:c r="B646" s="34" t="str">
        <x:v>Kobe Steel</x:v>
      </x:c>
      <x:c r="C646" s="34" t="str">
        <x:v>DISCLOSED_PATH</x:v>
      </x:c>
      <x:c r="D646" s="34" t="str">
        <x:v>P1</x:v>
      </x:c>
      <x:c r="E646" s="34" t="n">
        <x:v>2040</x:v>
      </x:c>
      <x:c r="F646" s="34" t="n">
        <x:v>3</x:v>
      </x:c>
      <x:c r="G646" s="34" t="n">
        <x:v>0.969</x:v>
      </x:c>
      <x:c r="H646" s="34" t="n">
        <x:v>5</x:v>
      </x:c>
      <x:c r="I646" s="34" t="n">
        <x:v>4.031</x:v>
      </x:c>
      <x:c r="J646" s="34" t="n">
        <x:v>19.38</x:v>
      </x:c>
      <x:c r="K646" s="34" t="n">
        <x:v>0.3223</x:v>
      </x:c>
      <x:c r="L646" s="34" t="n">
        <x:v>0.8</x:v>
      </x:c>
      <x:c r="M646" s="34" t="n">
        <x:v>0.4777</x:v>
      </x:c>
      <x:c r="N646" s="34" t="n">
        <x:v>40.287</x:v>
      </x:c>
      <x:c r="O646" s="34" t="n">
        <x:v>2.6976</x:v>
      </x:c>
      <x:c r="P646" s="34" t="n">
        <x:v>5</x:v>
      </x:c>
      <x:c r="Q646" s="34" t="n">
        <x:v>2.3024</x:v>
      </x:c>
      <x:c r="R646" s="34" t="n">
        <x:v>53.952</x:v>
      </x:c>
      <x:c r="S646" s="40" t="b">
        <x:v>1</x:v>
      </x:c>
      <x:c r="T646" s="34" t="str">
        <x:v>model_estimate</x:v>
      </x:c>
      <x:c r="U646" s="34" t="str">
        <x:v>Illustrative screening envelope; not an official supply forecast</x:v>
      </x:c>
      <x:c r="V646" s="34" t="str">
        <x:v>CAND-B3597FD7767497</x:v>
      </x:c>
      <x:c r="W646" s="34" t="str">
        <x:v>P1</x:v>
      </x:c>
      <x:c r="X646" s="34" t="str">
        <x:v>PORT-9862FC05DA24</x:v>
      </x:c>
      <x:c r="Y646" s="34" t="n">
        <x:v>1000</x:v>
      </x:c>
      <x:c r="Z646" s="34" t="n">
        <x:v>191.289779</x:v>
      </x:c>
      <x:c r="AA646" s="34" t="n">
        <x:v>48.085729</x:v>
      </x:c>
      <x:c r="AB646" s="34" t="n">
        <x:v>105.301092</x:v>
      </x:c>
      <x:c r="AC646" s="34" t="n">
        <x:v>19771.105</x:v>
      </x:c>
      <x:c r="AD646" s="34" t="n">
        <x:v>187.757835</x:v>
      </x:c>
      <x:c r="AE646" s="40" t="b">
        <x:v>1</x:v>
      </x:c>
      <x:c r="AF646" s="40" t="b">
        <x:v>1</x:v>
      </x:c>
      <x:c r="AG646" s="34" t="str"/>
      <x:c r="AH646" s="34" t="n">
        <x:v>0</x:v>
      </x:c>
      <x:c r="AI646" s="34" t="str">
        <x:v>9.990856690045291e-05</x:v>
      </x:c>
      <x:c r="AJ646" s="40" t="b">
        <x:v>1</x:v>
      </x:c>
      <x:c r="AK646" s="40" t="b">
        <x:v>1</x:v>
      </x:c>
      <x:c r="AL646" s="40" t="b">
        <x:v>1</x:v>
      </x:c>
      <x:c r="AM646" s="40" t="b">
        <x:v>1</x:v>
      </x:c>
      <x:c r="AN646" s="34" t="str"/>
      <x:c r="AO646" s="34" t="n">
        <x:v>0</x:v>
      </x:c>
      <x:c r="AP646" s="34" t="n">
        <x:v>0</x:v>
      </x:c>
      <x:c r="AQ646" s="34" t="n">
        <x:v>0</x:v>
      </x:c>
      <x:c r="AR646" s="34" t="n">
        <x:v>1</x:v>
      </x:c>
      <x:c r="AS646" s="34" t="n">
        <x:v>1</x:v>
      </x:c>
      <x:c r="AT646" s="34" t="n">
        <x:v>0.3612199999999999</x:v>
      </x:c>
      <x:c r="AU646" s="34" t="n">
        <x:v>0.6</x:v>
      </x:c>
      <x:c r="AV646" s="34" t="n">
        <x:v>1.54</x:v>
      </x:c>
    </x:row>
    <x:row r="647">
      <x:c r="A647" s="34" t="str">
        <x:v>KOBE_STEEL_JP</x:v>
      </x:c>
      <x:c r="B647" s="34" t="str">
        <x:v>Kobe Steel</x:v>
      </x:c>
      <x:c r="C647" s="34" t="str">
        <x:v>ACCELERATED_15C</x:v>
      </x:c>
      <x:c r="D647" s="34" t="str">
        <x:v>P1</x:v>
      </x:c>
      <x:c r="E647" s="34" t="n">
        <x:v>2026</x:v>
      </x:c>
      <x:c r="F647" s="34" t="n">
        <x:v>0</x:v>
      </x:c>
      <x:c r="G647" s="34" t="n">
        <x:v>0</x:v>
      </x:c>
      <x:c r="H647" s="34" t="n">
        <x:v>2</x:v>
      </x:c>
      <x:c r="I647" s="34" t="n">
        <x:v>2</x:v>
      </x:c>
      <x:c r="J647" s="34" t="n">
        <x:v>0</x:v>
      </x:c>
      <x:c r="K647" s="34" t="n">
        <x:v>0</x:v>
      </x:c>
      <x:c r="L647" s="34" t="n">
        <x:v>0.2</x:v>
      </x:c>
      <x:c r="M647" s="34" t="n">
        <x:v>0.2</x:v>
      </x:c>
      <x:c r="N647" s="34" t="n">
        <x:v>0</x:v>
      </x:c>
      <x:c r="O647" s="34" t="n">
        <x:v>0</x:v>
      </x:c>
      <x:c r="P647" s="34" t="n">
        <x:v>1</x:v>
      </x:c>
      <x:c r="Q647" s="34" t="n">
        <x:v>1</x:v>
      </x:c>
      <x:c r="R647" s="34" t="n">
        <x:v>0</x:v>
      </x:c>
      <x:c r="S647" s="40" t="b">
        <x:v>1</x:v>
      </x:c>
      <x:c r="T647" s="34" t="str">
        <x:v>model_interpolation</x:v>
      </x:c>
      <x:c r="U647" s="34" t="str">
        <x:v>Linear interpolation from 2026 to 2030</x:v>
      </x:c>
      <x:c r="V647" s="34" t="str">
        <x:v>CAND-B3597FD7767497</x:v>
      </x:c>
      <x:c r="W647" s="34" t="str">
        <x:v>P1</x:v>
      </x:c>
      <x:c r="X647" s="34" t="str">
        <x:v>PORT-9862FC05DA24</x:v>
      </x:c>
      <x:c r="Y647" s="34" t="n">
        <x:v>1000</x:v>
      </x:c>
      <x:c r="Z647" s="34" t="n">
        <x:v>188.682855</x:v>
      </x:c>
      <x:c r="AA647" s="34" t="n">
        <x:v>52.573857</x:v>
      </x:c>
      <x:c r="AB647" s="34" t="n">
        <x:v>105.301092</x:v>
      </x:c>
      <x:c r="AC647" s="34" t="n">
        <x:v>19500.781</x:v>
      </x:c>
      <x:c r="AD647" s="34" t="n">
        <x:v>185.19068</x:v>
      </x:c>
      <x:c r="AE647" s="40" t="b">
        <x:v>1</x:v>
      </x:c>
      <x:c r="AF647" s="40" t="b">
        <x:v>1</x:v>
      </x:c>
      <x:c r="AG647" s="34" t="str"/>
      <x:c r="AH647" s="34" t="n">
        <x:v>0</x:v>
      </x:c>
      <x:c r="AI647" s="34" t="str">
        <x:v>9.990856690045291e-05</x:v>
      </x:c>
      <x:c r="AJ647" s="40" t="b">
        <x:v>1</x:v>
      </x:c>
      <x:c r="AK647" s="40" t="b">
        <x:v>1</x:v>
      </x:c>
      <x:c r="AL647" s="40" t="b">
        <x:v>1</x:v>
      </x:c>
      <x:c r="AM647" s="40" t="b">
        <x:v>1</x:v>
      </x:c>
      <x:c r="AN647" s="34" t="str"/>
      <x:c r="AO647" s="34" t="n">
        <x:v>0</x:v>
      </x:c>
      <x:c r="AP647" s="34" t="n">
        <x:v>0</x:v>
      </x:c>
      <x:c r="AQ647" s="34" t="n">
        <x:v>0</x:v>
      </x:c>
      <x:c r="AR647" s="34" t="n">
        <x:v>1</x:v>
      </x:c>
      <x:c r="AS647" s="34" t="n">
        <x:v>1</x:v>
      </x:c>
      <x:c r="AT647" s="34" t="n">
        <x:v>0.3612199999999999</x:v>
      </x:c>
      <x:c r="AU647" s="34" t="n">
        <x:v>0.6</x:v>
      </x:c>
      <x:c r="AV647" s="34" t="n">
        <x:v>1.54</x:v>
      </x:c>
    </x:row>
    <x:row r="648">
      <x:c r="A648" s="34" t="str">
        <x:v>KOBE_STEEL_JP</x:v>
      </x:c>
      <x:c r="B648" s="34" t="str">
        <x:v>Kobe Steel</x:v>
      </x:c>
      <x:c r="C648" s="34" t="str">
        <x:v>ACCELERATED_15C</x:v>
      </x:c>
      <x:c r="D648" s="34" t="str">
        <x:v>P1</x:v>
      </x:c>
      <x:c r="E648" s="34" t="n">
        <x:v>2027</x:v>
      </x:c>
      <x:c r="F648" s="34" t="n">
        <x:v>0</x:v>
      </x:c>
      <x:c r="G648" s="34" t="n">
        <x:v>0</x:v>
      </x:c>
      <x:c r="H648" s="34" t="n">
        <x:v>2.25</x:v>
      </x:c>
      <x:c r="I648" s="34" t="n">
        <x:v>2.25</x:v>
      </x:c>
      <x:c r="J648" s="34" t="n">
        <x:v>0</x:v>
      </x:c>
      <x:c r="K648" s="34" t="n">
        <x:v>0</x:v>
      </x:c>
      <x:c r="L648" s="34" t="n">
        <x:v>0.25</x:v>
      </x:c>
      <x:c r="M648" s="34" t="n">
        <x:v>0.25</x:v>
      </x:c>
      <x:c r="N648" s="34" t="n">
        <x:v>0</x:v>
      </x:c>
      <x:c r="O648" s="34" t="n">
        <x:v>0</x:v>
      </x:c>
      <x:c r="P648" s="34" t="n">
        <x:v>1.375</x:v>
      </x:c>
      <x:c r="Q648" s="34" t="n">
        <x:v>1.375</x:v>
      </x:c>
      <x:c r="R648" s="34" t="n">
        <x:v>0</x:v>
      </x:c>
      <x:c r="S648" s="40" t="b">
        <x:v>1</x:v>
      </x:c>
      <x:c r="T648" s="34" t="str">
        <x:v>model_interpolation</x:v>
      </x:c>
      <x:c r="U648" s="34" t="str">
        <x:v>Linear interpolation from 2026 to 2030</x:v>
      </x:c>
      <x:c r="V648" s="34" t="str">
        <x:v>CAND-B3597FD7767497</x:v>
      </x:c>
      <x:c r="W648" s="34" t="str">
        <x:v>P1</x:v>
      </x:c>
      <x:c r="X648" s="34" t="str">
        <x:v>PORT-9862FC05DA24</x:v>
      </x:c>
      <x:c r="Y648" s="34" t="n">
        <x:v>1000</x:v>
      </x:c>
      <x:c r="Z648" s="34" t="n">
        <x:v>188.682855</x:v>
      </x:c>
      <x:c r="AA648" s="34" t="n">
        <x:v>52.573857</x:v>
      </x:c>
      <x:c r="AB648" s="34" t="n">
        <x:v>105.301092</x:v>
      </x:c>
      <x:c r="AC648" s="34" t="n">
        <x:v>19500.781</x:v>
      </x:c>
      <x:c r="AD648" s="34" t="n">
        <x:v>185.19068</x:v>
      </x:c>
      <x:c r="AE648" s="40" t="b">
        <x:v>1</x:v>
      </x:c>
      <x:c r="AF648" s="40" t="b">
        <x:v>1</x:v>
      </x:c>
      <x:c r="AG648" s="34" t="str"/>
      <x:c r="AH648" s="34" t="n">
        <x:v>0</x:v>
      </x:c>
      <x:c r="AI648" s="34" t="str">
        <x:v>9.990856690045291e-05</x:v>
      </x:c>
      <x:c r="AJ648" s="40" t="b">
        <x:v>1</x:v>
      </x:c>
      <x:c r="AK648" s="40" t="b">
        <x:v>1</x:v>
      </x:c>
      <x:c r="AL648" s="40" t="b">
        <x:v>1</x:v>
      </x:c>
      <x:c r="AM648" s="40" t="b">
        <x:v>1</x:v>
      </x:c>
      <x:c r="AN648" s="34" t="str"/>
      <x:c r="AO648" s="34" t="n">
        <x:v>0</x:v>
      </x:c>
      <x:c r="AP648" s="34" t="n">
        <x:v>0</x:v>
      </x:c>
      <x:c r="AQ648" s="34" t="n">
        <x:v>0</x:v>
      </x:c>
      <x:c r="AR648" s="34" t="n">
        <x:v>1</x:v>
      </x:c>
      <x:c r="AS648" s="34" t="n">
        <x:v>1</x:v>
      </x:c>
      <x:c r="AT648" s="34" t="n">
        <x:v>0.3612199999999999</x:v>
      </x:c>
      <x:c r="AU648" s="34" t="n">
        <x:v>0.6</x:v>
      </x:c>
      <x:c r="AV648" s="34" t="n">
        <x:v>1.54</x:v>
      </x:c>
    </x:row>
    <x:row r="649">
      <x:c r="A649" s="34" t="str">
        <x:v>KOBE_STEEL_JP</x:v>
      </x:c>
      <x:c r="B649" s="34" t="str">
        <x:v>Kobe Steel</x:v>
      </x:c>
      <x:c r="C649" s="34" t="str">
        <x:v>ACCELERATED_15C</x:v>
      </x:c>
      <x:c r="D649" s="34" t="str">
        <x:v>P1</x:v>
      </x:c>
      <x:c r="E649" s="34" t="n">
        <x:v>2028</x:v>
      </x:c>
      <x:c r="F649" s="34" t="n">
        <x:v>0</x:v>
      </x:c>
      <x:c r="G649" s="34" t="n">
        <x:v>0</x:v>
      </x:c>
      <x:c r="H649" s="34" t="n">
        <x:v>2.5</x:v>
      </x:c>
      <x:c r="I649" s="34" t="n">
        <x:v>2.5</x:v>
      </x:c>
      <x:c r="J649" s="34" t="n">
        <x:v>0</x:v>
      </x:c>
      <x:c r="K649" s="34" t="n">
        <x:v>0</x:v>
      </x:c>
      <x:c r="L649" s="34" t="n">
        <x:v>0.30000000000000004</x:v>
      </x:c>
      <x:c r="M649" s="34" t="n">
        <x:v>0.3</x:v>
      </x:c>
      <x:c r="N649" s="34" t="n">
        <x:v>0</x:v>
      </x:c>
      <x:c r="O649" s="34" t="n">
        <x:v>0</x:v>
      </x:c>
      <x:c r="P649" s="34" t="n">
        <x:v>1.75</x:v>
      </x:c>
      <x:c r="Q649" s="34" t="n">
        <x:v>1.75</x:v>
      </x:c>
      <x:c r="R649" s="34" t="n">
        <x:v>0</x:v>
      </x:c>
      <x:c r="S649" s="40" t="b">
        <x:v>1</x:v>
      </x:c>
      <x:c r="T649" s="34" t="str">
        <x:v>model_interpolation</x:v>
      </x:c>
      <x:c r="U649" s="34" t="str">
        <x:v>Linear interpolation from 2026 to 2030</x:v>
      </x:c>
      <x:c r="V649" s="34" t="str">
        <x:v>CAND-B3597FD7767497</x:v>
      </x:c>
      <x:c r="W649" s="34" t="str">
        <x:v>P1</x:v>
      </x:c>
      <x:c r="X649" s="34" t="str">
        <x:v>PORT-9862FC05DA24</x:v>
      </x:c>
      <x:c r="Y649" s="34" t="n">
        <x:v>1000</x:v>
      </x:c>
      <x:c r="Z649" s="34" t="n">
        <x:v>188.682855</x:v>
      </x:c>
      <x:c r="AA649" s="34" t="n">
        <x:v>52.573857</x:v>
      </x:c>
      <x:c r="AB649" s="34" t="n">
        <x:v>105.301092</x:v>
      </x:c>
      <x:c r="AC649" s="34" t="n">
        <x:v>19500.781</x:v>
      </x:c>
      <x:c r="AD649" s="34" t="n">
        <x:v>185.19068</x:v>
      </x:c>
      <x:c r="AE649" s="40" t="b">
        <x:v>1</x:v>
      </x:c>
      <x:c r="AF649" s="40" t="b">
        <x:v>1</x:v>
      </x:c>
      <x:c r="AG649" s="34" t="str"/>
      <x:c r="AH649" s="34" t="n">
        <x:v>0</x:v>
      </x:c>
      <x:c r="AI649" s="34" t="str">
        <x:v>9.990856690045291e-05</x:v>
      </x:c>
      <x:c r="AJ649" s="40" t="b">
        <x:v>1</x:v>
      </x:c>
      <x:c r="AK649" s="40" t="b">
        <x:v>1</x:v>
      </x:c>
      <x:c r="AL649" s="40" t="b">
        <x:v>1</x:v>
      </x:c>
      <x:c r="AM649" s="40" t="b">
        <x:v>1</x:v>
      </x:c>
      <x:c r="AN649" s="34" t="str"/>
      <x:c r="AO649" s="34" t="n">
        <x:v>0</x:v>
      </x:c>
      <x:c r="AP649" s="34" t="n">
        <x:v>0</x:v>
      </x:c>
      <x:c r="AQ649" s="34" t="n">
        <x:v>0</x:v>
      </x:c>
      <x:c r="AR649" s="34" t="n">
        <x:v>1</x:v>
      </x:c>
      <x:c r="AS649" s="34" t="n">
        <x:v>1</x:v>
      </x:c>
      <x:c r="AT649" s="34" t="n">
        <x:v>0.3612199999999999</x:v>
      </x:c>
      <x:c r="AU649" s="34" t="n">
        <x:v>0.6</x:v>
      </x:c>
      <x:c r="AV649" s="34" t="n">
        <x:v>1.54</x:v>
      </x:c>
    </x:row>
    <x:row r="650">
      <x:c r="A650" s="34" t="str">
        <x:v>KOBE_STEEL_JP</x:v>
      </x:c>
      <x:c r="B650" s="34" t="str">
        <x:v>Kobe Steel</x:v>
      </x:c>
      <x:c r="C650" s="34" t="str">
        <x:v>ACCELERATED_15C</x:v>
      </x:c>
      <x:c r="D650" s="34" t="str">
        <x:v>P1</x:v>
      </x:c>
      <x:c r="E650" s="34" t="n">
        <x:v>2029</x:v>
      </x:c>
      <x:c r="F650" s="34" t="n">
        <x:v>1</x:v>
      </x:c>
      <x:c r="G650" s="34" t="n">
        <x:v>0.4425</x:v>
      </x:c>
      <x:c r="H650" s="34" t="n">
        <x:v>2.75</x:v>
      </x:c>
      <x:c r="I650" s="34" t="n">
        <x:v>2.3075</x:v>
      </x:c>
      <x:c r="J650" s="34" t="n">
        <x:v>16.091</x:v>
      </x:c>
      <x:c r="K650" s="34" t="n">
        <x:v>0.16225</x:v>
      </x:c>
      <x:c r="L650" s="34" t="n">
        <x:v>0.35000000000000003</x:v>
      </x:c>
      <x:c r="M650" s="34" t="n">
        <x:v>0.18775</x:v>
      </x:c>
      <x:c r="N650" s="34" t="n">
        <x:v>46.357</x:v>
      </x:c>
      <x:c r="O650" s="34" t="n">
        <x:v>1.357</x:v>
      </x:c>
      <x:c r="P650" s="34" t="n">
        <x:v>2.125</x:v>
      </x:c>
      <x:c r="Q650" s="34" t="n">
        <x:v>0.768</x:v>
      </x:c>
      <x:c r="R650" s="34" t="n">
        <x:v>63.859</x:v>
      </x:c>
      <x:c r="S650" s="40" t="b">
        <x:v>1</x:v>
      </x:c>
      <x:c r="T650" s="34" t="str">
        <x:v>model_interpolation</x:v>
      </x:c>
      <x:c r="U650" s="34" t="str">
        <x:v>Linear interpolation from 2026 to 2030</x:v>
      </x:c>
      <x:c r="V650" s="34" t="str">
        <x:v>CAND-B3597FD7767497</x:v>
      </x:c>
      <x:c r="W650" s="34" t="str">
        <x:v>P1</x:v>
      </x:c>
      <x:c r="X650" s="34" t="str">
        <x:v>PORT-9862FC05DA24</x:v>
      </x:c>
      <x:c r="Y650" s="34" t="n">
        <x:v>1000</x:v>
      </x:c>
      <x:c r="Z650" s="34" t="n">
        <x:v>188.682855</x:v>
      </x:c>
      <x:c r="AA650" s="34" t="n">
        <x:v>52.573857</x:v>
      </x:c>
      <x:c r="AB650" s="34" t="n">
        <x:v>105.301092</x:v>
      </x:c>
      <x:c r="AC650" s="34" t="n">
        <x:v>19500.781</x:v>
      </x:c>
      <x:c r="AD650" s="34" t="n">
        <x:v>185.19068</x:v>
      </x:c>
      <x:c r="AE650" s="40" t="b">
        <x:v>1</x:v>
      </x:c>
      <x:c r="AF650" s="40" t="b">
        <x:v>1</x:v>
      </x:c>
      <x:c r="AG650" s="34" t="str"/>
      <x:c r="AH650" s="34" t="n">
        <x:v>0</x:v>
      </x:c>
      <x:c r="AI650" s="34" t="str">
        <x:v>9.990856690045291e-05</x:v>
      </x:c>
      <x:c r="AJ650" s="40" t="b">
        <x:v>1</x:v>
      </x:c>
      <x:c r="AK650" s="40" t="b">
        <x:v>1</x:v>
      </x:c>
      <x:c r="AL650" s="40" t="b">
        <x:v>1</x:v>
      </x:c>
      <x:c r="AM650" s="40" t="b">
        <x:v>1</x:v>
      </x:c>
      <x:c r="AN650" s="34" t="str"/>
      <x:c r="AO650" s="34" t="n">
        <x:v>0</x:v>
      </x:c>
      <x:c r="AP650" s="34" t="n">
        <x:v>0</x:v>
      </x:c>
      <x:c r="AQ650" s="34" t="n">
        <x:v>0</x:v>
      </x:c>
      <x:c r="AR650" s="34" t="n">
        <x:v>1</x:v>
      </x:c>
      <x:c r="AS650" s="34" t="n">
        <x:v>1</x:v>
      </x:c>
      <x:c r="AT650" s="34" t="n">
        <x:v>0.3612199999999999</x:v>
      </x:c>
      <x:c r="AU650" s="34" t="n">
        <x:v>0.6</x:v>
      </x:c>
      <x:c r="AV650" s="34" t="n">
        <x:v>1.54</x:v>
      </x:c>
    </x:row>
    <x:row r="651">
      <x:c r="A651" s="34" t="str">
        <x:v>KOBE_STEEL_JP</x:v>
      </x:c>
      <x:c r="B651" s="34" t="str">
        <x:v>Kobe Steel</x:v>
      </x:c>
      <x:c r="C651" s="34" t="str">
        <x:v>ACCELERATED_15C</x:v>
      </x:c>
      <x:c r="D651" s="34" t="str">
        <x:v>P1</x:v>
      </x:c>
      <x:c r="E651" s="34" t="n">
        <x:v>2030</x:v>
      </x:c>
      <x:c r="F651" s="34" t="n">
        <x:v>1</x:v>
      </x:c>
      <x:c r="G651" s="34" t="n">
        <x:v>0.4425</x:v>
      </x:c>
      <x:c r="H651" s="34" t="n">
        <x:v>3</x:v>
      </x:c>
      <x:c r="I651" s="34" t="n">
        <x:v>2.5575</x:v>
      </x:c>
      <x:c r="J651" s="34" t="n">
        <x:v>14.75</x:v>
      </x:c>
      <x:c r="K651" s="34" t="n">
        <x:v>0.16225</x:v>
      </x:c>
      <x:c r="L651" s="34" t="n">
        <x:v>0.4</x:v>
      </x:c>
      <x:c r="M651" s="34" t="n">
        <x:v>0.23775</x:v>
      </x:c>
      <x:c r="N651" s="34" t="n">
        <x:v>40.563</x:v>
      </x:c>
      <x:c r="O651" s="34" t="n">
        <x:v>1.357</x:v>
      </x:c>
      <x:c r="P651" s="34" t="n">
        <x:v>2.5</x:v>
      </x:c>
      <x:c r="Q651" s="34" t="n">
        <x:v>1.143</x:v>
      </x:c>
      <x:c r="R651" s="34" t="n">
        <x:v>54.28</x:v>
      </x:c>
      <x:c r="S651" s="40" t="b">
        <x:v>1</x:v>
      </x:c>
      <x:c r="T651" s="34" t="str">
        <x:v>model_interpolation</x:v>
      </x:c>
      <x:c r="U651" s="34" t="str">
        <x:v>Linear interpolation from 2030 to 2035</x:v>
      </x:c>
      <x:c r="V651" s="34" t="str">
        <x:v>CAND-B3597FD7767497</x:v>
      </x:c>
      <x:c r="W651" s="34" t="str">
        <x:v>P1</x:v>
      </x:c>
      <x:c r="X651" s="34" t="str">
        <x:v>PORT-9862FC05DA24</x:v>
      </x:c>
      <x:c r="Y651" s="34" t="n">
        <x:v>1000</x:v>
      </x:c>
      <x:c r="Z651" s="34" t="n">
        <x:v>188.682855</x:v>
      </x:c>
      <x:c r="AA651" s="34" t="n">
        <x:v>52.573857</x:v>
      </x:c>
      <x:c r="AB651" s="34" t="n">
        <x:v>105.301092</x:v>
      </x:c>
      <x:c r="AC651" s="34" t="n">
        <x:v>19500.781</x:v>
      </x:c>
      <x:c r="AD651" s="34" t="n">
        <x:v>185.19068</x:v>
      </x:c>
      <x:c r="AE651" s="40" t="b">
        <x:v>1</x:v>
      </x:c>
      <x:c r="AF651" s="40" t="b">
        <x:v>1</x:v>
      </x:c>
      <x:c r="AG651" s="34" t="str"/>
      <x:c r="AH651" s="34" t="n">
        <x:v>0</x:v>
      </x:c>
      <x:c r="AI651" s="34" t="str">
        <x:v>9.990856690045291e-05</x:v>
      </x:c>
      <x:c r="AJ651" s="40" t="b">
        <x:v>1</x:v>
      </x:c>
      <x:c r="AK651" s="40" t="b">
        <x:v>1</x:v>
      </x:c>
      <x:c r="AL651" s="40" t="b">
        <x:v>1</x:v>
      </x:c>
      <x:c r="AM651" s="40" t="b">
        <x:v>1</x:v>
      </x:c>
      <x:c r="AN651" s="34" t="str"/>
      <x:c r="AO651" s="34" t="n">
        <x:v>0</x:v>
      </x:c>
      <x:c r="AP651" s="34" t="n">
        <x:v>0</x:v>
      </x:c>
      <x:c r="AQ651" s="34" t="n">
        <x:v>0</x:v>
      </x:c>
      <x:c r="AR651" s="34" t="n">
        <x:v>1</x:v>
      </x:c>
      <x:c r="AS651" s="34" t="n">
        <x:v>1</x:v>
      </x:c>
      <x:c r="AT651" s="34" t="n">
        <x:v>0.3612199999999999</x:v>
      </x:c>
      <x:c r="AU651" s="34" t="n">
        <x:v>0.6</x:v>
      </x:c>
      <x:c r="AV651" s="34" t="n">
        <x:v>1.54</x:v>
      </x:c>
    </x:row>
    <x:row r="652">
      <x:c r="A652" s="34" t="str">
        <x:v>KOBE_STEEL_JP</x:v>
      </x:c>
      <x:c r="B652" s="34" t="str">
        <x:v>Kobe Steel</x:v>
      </x:c>
      <x:c r="C652" s="34" t="str">
        <x:v>ACCELERATED_15C</x:v>
      </x:c>
      <x:c r="D652" s="34" t="str">
        <x:v>P1</x:v>
      </x:c>
      <x:c r="E652" s="34" t="n">
        <x:v>2031</x:v>
      </x:c>
      <x:c r="F652" s="34" t="n">
        <x:v>1</x:v>
      </x:c>
      <x:c r="G652" s="34" t="n">
        <x:v>0.4425</x:v>
      </x:c>
      <x:c r="H652" s="34" t="n">
        <x:v>3.4</x:v>
      </x:c>
      <x:c r="I652" s="34" t="n">
        <x:v>2.9575</x:v>
      </x:c>
      <x:c r="J652" s="34" t="n">
        <x:v>13.015</x:v>
      </x:c>
      <x:c r="K652" s="34" t="n">
        <x:v>0.16225</x:v>
      </x:c>
      <x:c r="L652" s="34" t="n">
        <x:v>0.44</x:v>
      </x:c>
      <x:c r="M652" s="34" t="n">
        <x:v>0.27775</x:v>
      </x:c>
      <x:c r="N652" s="34" t="n">
        <x:v>36.875</x:v>
      </x:c>
      <x:c r="O652" s="34" t="n">
        <x:v>1.357</x:v>
      </x:c>
      <x:c r="P652" s="34" t="n">
        <x:v>2.8</x:v>
      </x:c>
      <x:c r="Q652" s="34" t="n">
        <x:v>1.443</x:v>
      </x:c>
      <x:c r="R652" s="34" t="n">
        <x:v>48.464</x:v>
      </x:c>
      <x:c r="S652" s="40" t="b">
        <x:v>1</x:v>
      </x:c>
      <x:c r="T652" s="34" t="str">
        <x:v>model_interpolation</x:v>
      </x:c>
      <x:c r="U652" s="34" t="str">
        <x:v>Linear interpolation from 2030 to 2035</x:v>
      </x:c>
      <x:c r="V652" s="34" t="str">
        <x:v>CAND-B3597FD7767497</x:v>
      </x:c>
      <x:c r="W652" s="34" t="str">
        <x:v>P1</x:v>
      </x:c>
      <x:c r="X652" s="34" t="str">
        <x:v>PORT-9862FC05DA24</x:v>
      </x:c>
      <x:c r="Y652" s="34" t="n">
        <x:v>1000</x:v>
      </x:c>
      <x:c r="Z652" s="34" t="n">
        <x:v>188.682855</x:v>
      </x:c>
      <x:c r="AA652" s="34" t="n">
        <x:v>52.573857</x:v>
      </x:c>
      <x:c r="AB652" s="34" t="n">
        <x:v>105.301092</x:v>
      </x:c>
      <x:c r="AC652" s="34" t="n">
        <x:v>19500.781</x:v>
      </x:c>
      <x:c r="AD652" s="34" t="n">
        <x:v>185.19068</x:v>
      </x:c>
      <x:c r="AE652" s="40" t="b">
        <x:v>1</x:v>
      </x:c>
      <x:c r="AF652" s="40" t="b">
        <x:v>1</x:v>
      </x:c>
      <x:c r="AG652" s="34" t="str"/>
      <x:c r="AH652" s="34" t="n">
        <x:v>0</x:v>
      </x:c>
      <x:c r="AI652" s="34" t="str">
        <x:v>9.990856690045291e-05</x:v>
      </x:c>
      <x:c r="AJ652" s="40" t="b">
        <x:v>1</x:v>
      </x:c>
      <x:c r="AK652" s="40" t="b">
        <x:v>1</x:v>
      </x:c>
      <x:c r="AL652" s="40" t="b">
        <x:v>1</x:v>
      </x:c>
      <x:c r="AM652" s="40" t="b">
        <x:v>1</x:v>
      </x:c>
      <x:c r="AN652" s="34" t="str"/>
      <x:c r="AO652" s="34" t="n">
        <x:v>0</x:v>
      </x:c>
      <x:c r="AP652" s="34" t="n">
        <x:v>0</x:v>
      </x:c>
      <x:c r="AQ652" s="34" t="n">
        <x:v>0</x:v>
      </x:c>
      <x:c r="AR652" s="34" t="n">
        <x:v>1</x:v>
      </x:c>
      <x:c r="AS652" s="34" t="n">
        <x:v>1</x:v>
      </x:c>
      <x:c r="AT652" s="34" t="n">
        <x:v>0.3612199999999999</x:v>
      </x:c>
      <x:c r="AU652" s="34" t="n">
        <x:v>0.6</x:v>
      </x:c>
      <x:c r="AV652" s="34" t="n">
        <x:v>1.54</x:v>
      </x:c>
    </x:row>
    <x:row r="653">
      <x:c r="A653" s="34" t="str">
        <x:v>KOBE_STEEL_JP</x:v>
      </x:c>
      <x:c r="B653" s="34" t="str">
        <x:v>Kobe Steel</x:v>
      </x:c>
      <x:c r="C653" s="34" t="str">
        <x:v>ACCELERATED_15C</x:v>
      </x:c>
      <x:c r="D653" s="34" t="str">
        <x:v>P1</x:v>
      </x:c>
      <x:c r="E653" s="34" t="n">
        <x:v>2032</x:v>
      </x:c>
      <x:c r="F653" s="34" t="n">
        <x:v>1</x:v>
      </x:c>
      <x:c r="G653" s="34" t="n">
        <x:v>0.4425</x:v>
      </x:c>
      <x:c r="H653" s="34" t="n">
        <x:v>3.8</x:v>
      </x:c>
      <x:c r="I653" s="34" t="n">
        <x:v>3.3575</x:v>
      </x:c>
      <x:c r="J653" s="34" t="n">
        <x:v>11.645</x:v>
      </x:c>
      <x:c r="K653" s="34" t="n">
        <x:v>0.16225</x:v>
      </x:c>
      <x:c r="L653" s="34" t="n">
        <x:v>0.48</x:v>
      </x:c>
      <x:c r="M653" s="34" t="n">
        <x:v>0.31775</x:v>
      </x:c>
      <x:c r="N653" s="34" t="n">
        <x:v>33.802</x:v>
      </x:c>
      <x:c r="O653" s="34" t="n">
        <x:v>1.357</x:v>
      </x:c>
      <x:c r="P653" s="34" t="n">
        <x:v>3.1</x:v>
      </x:c>
      <x:c r="Q653" s="34" t="n">
        <x:v>1.743</x:v>
      </x:c>
      <x:c r="R653" s="34" t="n">
        <x:v>43.774</x:v>
      </x:c>
      <x:c r="S653" s="40" t="b">
        <x:v>1</x:v>
      </x:c>
      <x:c r="T653" s="34" t="str">
        <x:v>model_interpolation</x:v>
      </x:c>
      <x:c r="U653" s="34" t="str">
        <x:v>Linear interpolation from 2030 to 2035</x:v>
      </x:c>
      <x:c r="V653" s="34" t="str">
        <x:v>CAND-B3597FD7767497</x:v>
      </x:c>
      <x:c r="W653" s="34" t="str">
        <x:v>P1</x:v>
      </x:c>
      <x:c r="X653" s="34" t="str">
        <x:v>PORT-9862FC05DA24</x:v>
      </x:c>
      <x:c r="Y653" s="34" t="n">
        <x:v>1000</x:v>
      </x:c>
      <x:c r="Z653" s="34" t="n">
        <x:v>188.682855</x:v>
      </x:c>
      <x:c r="AA653" s="34" t="n">
        <x:v>52.573857</x:v>
      </x:c>
      <x:c r="AB653" s="34" t="n">
        <x:v>105.301092</x:v>
      </x:c>
      <x:c r="AC653" s="34" t="n">
        <x:v>19500.781</x:v>
      </x:c>
      <x:c r="AD653" s="34" t="n">
        <x:v>185.19068</x:v>
      </x:c>
      <x:c r="AE653" s="40" t="b">
        <x:v>1</x:v>
      </x:c>
      <x:c r="AF653" s="40" t="b">
        <x:v>1</x:v>
      </x:c>
      <x:c r="AG653" s="34" t="str"/>
      <x:c r="AH653" s="34" t="n">
        <x:v>0</x:v>
      </x:c>
      <x:c r="AI653" s="34" t="str">
        <x:v>9.990856690045291e-05</x:v>
      </x:c>
      <x:c r="AJ653" s="40" t="b">
        <x:v>1</x:v>
      </x:c>
      <x:c r="AK653" s="40" t="b">
        <x:v>1</x:v>
      </x:c>
      <x:c r="AL653" s="40" t="b">
        <x:v>1</x:v>
      </x:c>
      <x:c r="AM653" s="40" t="b">
        <x:v>1</x:v>
      </x:c>
      <x:c r="AN653" s="34" t="str"/>
      <x:c r="AO653" s="34" t="n">
        <x:v>0</x:v>
      </x:c>
      <x:c r="AP653" s="34" t="n">
        <x:v>0</x:v>
      </x:c>
      <x:c r="AQ653" s="34" t="n">
        <x:v>0</x:v>
      </x:c>
      <x:c r="AR653" s="34" t="n">
        <x:v>1</x:v>
      </x:c>
      <x:c r="AS653" s="34" t="n">
        <x:v>1</x:v>
      </x:c>
      <x:c r="AT653" s="34" t="n">
        <x:v>0.3612199999999999</x:v>
      </x:c>
      <x:c r="AU653" s="34" t="n">
        <x:v>0.6</x:v>
      </x:c>
      <x:c r="AV653" s="34" t="n">
        <x:v>1.54</x:v>
      </x:c>
    </x:row>
    <x:row r="654">
      <x:c r="A654" s="34" t="str">
        <x:v>KOBE_STEEL_JP</x:v>
      </x:c>
      <x:c r="B654" s="34" t="str">
        <x:v>Kobe Steel</x:v>
      </x:c>
      <x:c r="C654" s="34" t="str">
        <x:v>ACCELERATED_15C</x:v>
      </x:c>
      <x:c r="D654" s="34" t="str">
        <x:v>P1</x:v>
      </x:c>
      <x:c r="E654" s="34" t="n">
        <x:v>2033</x:v>
      </x:c>
      <x:c r="F654" s="34" t="n">
        <x:v>2</x:v>
      </x:c>
      <x:c r="G654" s="34" t="n">
        <x:v>0.5325</x:v>
      </x:c>
      <x:c r="H654" s="34" t="n">
        <x:v>4.2</x:v>
      </x:c>
      <x:c r="I654" s="34" t="n">
        <x:v>3.6675</x:v>
      </x:c>
      <x:c r="J654" s="34" t="n">
        <x:v>12.679</x:v>
      </x:c>
      <x:c r="K654" s="34" t="n">
        <x:v>0.16225</x:v>
      </x:c>
      <x:c r="L654" s="34" t="n">
        <x:v>0.52</x:v>
      </x:c>
      <x:c r="M654" s="34" t="n">
        <x:v>0.35775</x:v>
      </x:c>
      <x:c r="N654" s="34" t="n">
        <x:v>31.202</x:v>
      </x:c>
      <x:c r="O654" s="34" t="n">
        <x:v>1.359</x:v>
      </x:c>
      <x:c r="P654" s="34" t="n">
        <x:v>3.4</x:v>
      </x:c>
      <x:c r="Q654" s="34" t="n">
        <x:v>2.041</x:v>
      </x:c>
      <x:c r="R654" s="34" t="n">
        <x:v>39.971</x:v>
      </x:c>
      <x:c r="S654" s="40" t="b">
        <x:v>1</x:v>
      </x:c>
      <x:c r="T654" s="34" t="str">
        <x:v>model_interpolation</x:v>
      </x:c>
      <x:c r="U654" s="34" t="str">
        <x:v>Linear interpolation from 2030 to 2035</x:v>
      </x:c>
      <x:c r="V654" s="34" t="str">
        <x:v>CAND-B3597FD7767497</x:v>
      </x:c>
      <x:c r="W654" s="34" t="str">
        <x:v>P1</x:v>
      </x:c>
      <x:c r="X654" s="34" t="str">
        <x:v>PORT-9862FC05DA24</x:v>
      </x:c>
      <x:c r="Y654" s="34" t="n">
        <x:v>1000</x:v>
      </x:c>
      <x:c r="Z654" s="34" t="n">
        <x:v>188.682855</x:v>
      </x:c>
      <x:c r="AA654" s="34" t="n">
        <x:v>52.573857</x:v>
      </x:c>
      <x:c r="AB654" s="34" t="n">
        <x:v>105.301092</x:v>
      </x:c>
      <x:c r="AC654" s="34" t="n">
        <x:v>19500.781</x:v>
      </x:c>
      <x:c r="AD654" s="34" t="n">
        <x:v>185.19068</x:v>
      </x:c>
      <x:c r="AE654" s="40" t="b">
        <x:v>1</x:v>
      </x:c>
      <x:c r="AF654" s="40" t="b">
        <x:v>1</x:v>
      </x:c>
      <x:c r="AG654" s="34" t="str"/>
      <x:c r="AH654" s="34" t="n">
        <x:v>0</x:v>
      </x:c>
      <x:c r="AI654" s="34" t="str">
        <x:v>9.990856690045291e-05</x:v>
      </x:c>
      <x:c r="AJ654" s="40" t="b">
        <x:v>1</x:v>
      </x:c>
      <x:c r="AK654" s="40" t="b">
        <x:v>1</x:v>
      </x:c>
      <x:c r="AL654" s="40" t="b">
        <x:v>1</x:v>
      </x:c>
      <x:c r="AM654" s="40" t="b">
        <x:v>1</x:v>
      </x:c>
      <x:c r="AN654" s="34" t="str"/>
      <x:c r="AO654" s="34" t="n">
        <x:v>0</x:v>
      </x:c>
      <x:c r="AP654" s="34" t="n">
        <x:v>0</x:v>
      </x:c>
      <x:c r="AQ654" s="34" t="n">
        <x:v>0</x:v>
      </x:c>
      <x:c r="AR654" s="34" t="n">
        <x:v>1</x:v>
      </x:c>
      <x:c r="AS654" s="34" t="n">
        <x:v>1</x:v>
      </x:c>
      <x:c r="AT654" s="34" t="n">
        <x:v>0.3612199999999999</x:v>
      </x:c>
      <x:c r="AU654" s="34" t="n">
        <x:v>0.6</x:v>
      </x:c>
      <x:c r="AV654" s="34" t="n">
        <x:v>1.54</x:v>
      </x:c>
    </x:row>
    <x:row r="655">
      <x:c r="A655" s="34" t="str">
        <x:v>KOBE_STEEL_JP</x:v>
      </x:c>
      <x:c r="B655" s="34" t="str">
        <x:v>Kobe Steel</x:v>
      </x:c>
      <x:c r="C655" s="34" t="str">
        <x:v>ACCELERATED_15C</x:v>
      </x:c>
      <x:c r="D655" s="34" t="str">
        <x:v>P1</x:v>
      </x:c>
      <x:c r="E655" s="34" t="n">
        <x:v>2034</x:v>
      </x:c>
      <x:c r="F655" s="34" t="n">
        <x:v>2</x:v>
      </x:c>
      <x:c r="G655" s="34" t="n">
        <x:v>0.5325</x:v>
      </x:c>
      <x:c r="H655" s="34" t="n">
        <x:v>4.6</x:v>
      </x:c>
      <x:c r="I655" s="34" t="n">
        <x:v>4.0675</x:v>
      </x:c>
      <x:c r="J655" s="34" t="n">
        <x:v>11.576</x:v>
      </x:c>
      <x:c r="K655" s="34" t="n">
        <x:v>0.16225</x:v>
      </x:c>
      <x:c r="L655" s="34" t="n">
        <x:v>0.56</x:v>
      </x:c>
      <x:c r="M655" s="34" t="n">
        <x:v>0.39775</x:v>
      </x:c>
      <x:c r="N655" s="34" t="n">
        <x:v>28.973</x:v>
      </x:c>
      <x:c r="O655" s="34" t="n">
        <x:v>1.359</x:v>
      </x:c>
      <x:c r="P655" s="34" t="n">
        <x:v>3.7</x:v>
      </x:c>
      <x:c r="Q655" s="34" t="n">
        <x:v>2.341</x:v>
      </x:c>
      <x:c r="R655" s="34" t="n">
        <x:v>36.73</x:v>
      </x:c>
      <x:c r="S655" s="40" t="b">
        <x:v>1</x:v>
      </x:c>
      <x:c r="T655" s="34" t="str">
        <x:v>model_interpolation</x:v>
      </x:c>
      <x:c r="U655" s="34" t="str">
        <x:v>Linear interpolation from 2030 to 2035</x:v>
      </x:c>
      <x:c r="V655" s="34" t="str">
        <x:v>CAND-B3597FD7767497</x:v>
      </x:c>
      <x:c r="W655" s="34" t="str">
        <x:v>P1</x:v>
      </x:c>
      <x:c r="X655" s="34" t="str">
        <x:v>PORT-9862FC05DA24</x:v>
      </x:c>
      <x:c r="Y655" s="34" t="n">
        <x:v>1000</x:v>
      </x:c>
      <x:c r="Z655" s="34" t="n">
        <x:v>188.682855</x:v>
      </x:c>
      <x:c r="AA655" s="34" t="n">
        <x:v>52.573857</x:v>
      </x:c>
      <x:c r="AB655" s="34" t="n">
        <x:v>105.301092</x:v>
      </x:c>
      <x:c r="AC655" s="34" t="n">
        <x:v>19500.781</x:v>
      </x:c>
      <x:c r="AD655" s="34" t="n">
        <x:v>185.19068</x:v>
      </x:c>
      <x:c r="AE655" s="40" t="b">
        <x:v>1</x:v>
      </x:c>
      <x:c r="AF655" s="40" t="b">
        <x:v>1</x:v>
      </x:c>
      <x:c r="AG655" s="34" t="str"/>
      <x:c r="AH655" s="34" t="n">
        <x:v>0</x:v>
      </x:c>
      <x:c r="AI655" s="34" t="str">
        <x:v>9.990856690045291e-05</x:v>
      </x:c>
      <x:c r="AJ655" s="40" t="b">
        <x:v>1</x:v>
      </x:c>
      <x:c r="AK655" s="40" t="b">
        <x:v>1</x:v>
      </x:c>
      <x:c r="AL655" s="40" t="b">
        <x:v>1</x:v>
      </x:c>
      <x:c r="AM655" s="40" t="b">
        <x:v>1</x:v>
      </x:c>
      <x:c r="AN655" s="34" t="str"/>
      <x:c r="AO655" s="34" t="n">
        <x:v>0</x:v>
      </x:c>
      <x:c r="AP655" s="34" t="n">
        <x:v>0</x:v>
      </x:c>
      <x:c r="AQ655" s="34" t="n">
        <x:v>0</x:v>
      </x:c>
      <x:c r="AR655" s="34" t="n">
        <x:v>1</x:v>
      </x:c>
      <x:c r="AS655" s="34" t="n">
        <x:v>1</x:v>
      </x:c>
      <x:c r="AT655" s="34" t="n">
        <x:v>0.3612199999999999</x:v>
      </x:c>
      <x:c r="AU655" s="34" t="n">
        <x:v>0.6</x:v>
      </x:c>
      <x:c r="AV655" s="34" t="n">
        <x:v>1.54</x:v>
      </x:c>
    </x:row>
    <x:row r="656">
      <x:c r="A656" s="34" t="str">
        <x:v>KOBE_STEEL_JP</x:v>
      </x:c>
      <x:c r="B656" s="34" t="str">
        <x:v>Kobe Steel</x:v>
      </x:c>
      <x:c r="C656" s="34" t="str">
        <x:v>ACCELERATED_15C</x:v>
      </x:c>
      <x:c r="D656" s="34" t="str">
        <x:v>P1</x:v>
      </x:c>
      <x:c r="E656" s="34" t="n">
        <x:v>2035</x:v>
      </x:c>
      <x:c r="F656" s="34" t="n">
        <x:v>2</x:v>
      </x:c>
      <x:c r="G656" s="34" t="n">
        <x:v>0.5325</x:v>
      </x:c>
      <x:c r="H656" s="34" t="n">
        <x:v>5</x:v>
      </x:c>
      <x:c r="I656" s="34" t="n">
        <x:v>4.4675</x:v>
      </x:c>
      <x:c r="J656" s="34" t="n">
        <x:v>10.65</x:v>
      </x:c>
      <x:c r="K656" s="34" t="n">
        <x:v>0.16225</x:v>
      </x:c>
      <x:c r="L656" s="34" t="n">
        <x:v>0.6</x:v>
      </x:c>
      <x:c r="M656" s="34" t="n">
        <x:v>0.43775</x:v>
      </x:c>
      <x:c r="N656" s="34" t="n">
        <x:v>27.042</x:v>
      </x:c>
      <x:c r="O656" s="34" t="n">
        <x:v>1.359</x:v>
      </x:c>
      <x:c r="P656" s="34" t="n">
        <x:v>4</x:v>
      </x:c>
      <x:c r="Q656" s="34" t="n">
        <x:v>2.641</x:v>
      </x:c>
      <x:c r="R656" s="34" t="n">
        <x:v>33.975</x:v>
      </x:c>
      <x:c r="S656" s="40" t="b">
        <x:v>1</x:v>
      </x:c>
      <x:c r="T656" s="34" t="str">
        <x:v>model_interpolation</x:v>
      </x:c>
      <x:c r="U656" s="34" t="str">
        <x:v>Linear interpolation from 2035 to 2040</x:v>
      </x:c>
      <x:c r="V656" s="34" t="str">
        <x:v>CAND-B3597FD7767497</x:v>
      </x:c>
      <x:c r="W656" s="34" t="str">
        <x:v>P1</x:v>
      </x:c>
      <x:c r="X656" s="34" t="str">
        <x:v>PORT-9862FC05DA24</x:v>
      </x:c>
      <x:c r="Y656" s="34" t="n">
        <x:v>1000</x:v>
      </x:c>
      <x:c r="Z656" s="34" t="n">
        <x:v>188.682855</x:v>
      </x:c>
      <x:c r="AA656" s="34" t="n">
        <x:v>52.573857</x:v>
      </x:c>
      <x:c r="AB656" s="34" t="n">
        <x:v>105.301092</x:v>
      </x:c>
      <x:c r="AC656" s="34" t="n">
        <x:v>19500.781</x:v>
      </x:c>
      <x:c r="AD656" s="34" t="n">
        <x:v>185.19068</x:v>
      </x:c>
      <x:c r="AE656" s="40" t="b">
        <x:v>1</x:v>
      </x:c>
      <x:c r="AF656" s="40" t="b">
        <x:v>1</x:v>
      </x:c>
      <x:c r="AG656" s="34" t="str"/>
      <x:c r="AH656" s="34" t="n">
        <x:v>0</x:v>
      </x:c>
      <x:c r="AI656" s="34" t="str">
        <x:v>9.990856690045291e-05</x:v>
      </x:c>
      <x:c r="AJ656" s="40" t="b">
        <x:v>1</x:v>
      </x:c>
      <x:c r="AK656" s="40" t="b">
        <x:v>1</x:v>
      </x:c>
      <x:c r="AL656" s="40" t="b">
        <x:v>1</x:v>
      </x:c>
      <x:c r="AM656" s="40" t="b">
        <x:v>1</x:v>
      </x:c>
      <x:c r="AN656" s="34" t="str"/>
      <x:c r="AO656" s="34" t="n">
        <x:v>0</x:v>
      </x:c>
      <x:c r="AP656" s="34" t="n">
        <x:v>0</x:v>
      </x:c>
      <x:c r="AQ656" s="34" t="n">
        <x:v>0</x:v>
      </x:c>
      <x:c r="AR656" s="34" t="n">
        <x:v>1</x:v>
      </x:c>
      <x:c r="AS656" s="34" t="n">
        <x:v>1</x:v>
      </x:c>
      <x:c r="AT656" s="34" t="n">
        <x:v>0.3612199999999999</x:v>
      </x:c>
      <x:c r="AU656" s="34" t="n">
        <x:v>0.6</x:v>
      </x:c>
      <x:c r="AV656" s="34" t="n">
        <x:v>1.54</x:v>
      </x:c>
    </x:row>
    <x:row r="657">
      <x:c r="A657" s="34" t="str">
        <x:v>KOBE_STEEL_JP</x:v>
      </x:c>
      <x:c r="B657" s="34" t="str">
        <x:v>Kobe Steel</x:v>
      </x:c>
      <x:c r="C657" s="34" t="str">
        <x:v>ACCELERATED_15C</x:v>
      </x:c>
      <x:c r="D657" s="34" t="str">
        <x:v>P1</x:v>
      </x:c>
      <x:c r="E657" s="34" t="n">
        <x:v>2036</x:v>
      </x:c>
      <x:c r="F657" s="34" t="n">
        <x:v>2</x:v>
      </x:c>
      <x:c r="G657" s="34" t="n">
        <x:v>0.5325</x:v>
      </x:c>
      <x:c r="H657" s="34" t="n">
        <x:v>5.2</x:v>
      </x:c>
      <x:c r="I657" s="34" t="n">
        <x:v>4.6675</x:v>
      </x:c>
      <x:c r="J657" s="34" t="n">
        <x:v>10.24</x:v>
      </x:c>
      <x:c r="K657" s="34" t="n">
        <x:v>0.16225</x:v>
      </x:c>
      <x:c r="L657" s="34" t="n">
        <x:v>0.6799999999999999</x:v>
      </x:c>
      <x:c r="M657" s="34" t="n">
        <x:v>0.51775</x:v>
      </x:c>
      <x:c r="N657" s="34" t="n">
        <x:v>23.86</x:v>
      </x:c>
      <x:c r="O657" s="34" t="n">
        <x:v>1.359</x:v>
      </x:c>
      <x:c r="P657" s="34" t="n">
        <x:v>4.5</x:v>
      </x:c>
      <x:c r="Q657" s="34" t="n">
        <x:v>3.141</x:v>
      </x:c>
      <x:c r="R657" s="34" t="n">
        <x:v>30.2</x:v>
      </x:c>
      <x:c r="S657" s="40" t="b">
        <x:v>1</x:v>
      </x:c>
      <x:c r="T657" s="34" t="str">
        <x:v>model_interpolation</x:v>
      </x:c>
      <x:c r="U657" s="34" t="str">
        <x:v>Linear interpolation from 2035 to 2040</x:v>
      </x:c>
      <x:c r="V657" s="34" t="str">
        <x:v>CAND-B3597FD7767497</x:v>
      </x:c>
      <x:c r="W657" s="34" t="str">
        <x:v>P1</x:v>
      </x:c>
      <x:c r="X657" s="34" t="str">
        <x:v>PORT-9862FC05DA24</x:v>
      </x:c>
      <x:c r="Y657" s="34" t="n">
        <x:v>1000</x:v>
      </x:c>
      <x:c r="Z657" s="34" t="n">
        <x:v>188.682855</x:v>
      </x:c>
      <x:c r="AA657" s="34" t="n">
        <x:v>52.573857</x:v>
      </x:c>
      <x:c r="AB657" s="34" t="n">
        <x:v>105.301092</x:v>
      </x:c>
      <x:c r="AC657" s="34" t="n">
        <x:v>19500.781</x:v>
      </x:c>
      <x:c r="AD657" s="34" t="n">
        <x:v>185.19068</x:v>
      </x:c>
      <x:c r="AE657" s="40" t="b">
        <x:v>1</x:v>
      </x:c>
      <x:c r="AF657" s="40" t="b">
        <x:v>1</x:v>
      </x:c>
      <x:c r="AG657" s="34" t="str"/>
      <x:c r="AH657" s="34" t="n">
        <x:v>0</x:v>
      </x:c>
      <x:c r="AI657" s="34" t="str">
        <x:v>9.990856690045291e-05</x:v>
      </x:c>
      <x:c r="AJ657" s="40" t="b">
        <x:v>1</x:v>
      </x:c>
      <x:c r="AK657" s="40" t="b">
        <x:v>1</x:v>
      </x:c>
      <x:c r="AL657" s="40" t="b">
        <x:v>1</x:v>
      </x:c>
      <x:c r="AM657" s="40" t="b">
        <x:v>1</x:v>
      </x:c>
      <x:c r="AN657" s="34" t="str"/>
      <x:c r="AO657" s="34" t="n">
        <x:v>0</x:v>
      </x:c>
      <x:c r="AP657" s="34" t="n">
        <x:v>0</x:v>
      </x:c>
      <x:c r="AQ657" s="34" t="n">
        <x:v>0</x:v>
      </x:c>
      <x:c r="AR657" s="34" t="n">
        <x:v>1</x:v>
      </x:c>
      <x:c r="AS657" s="34" t="n">
        <x:v>1</x:v>
      </x:c>
      <x:c r="AT657" s="34" t="n">
        <x:v>0.3612199999999999</x:v>
      </x:c>
      <x:c r="AU657" s="34" t="n">
        <x:v>0.6</x:v>
      </x:c>
      <x:c r="AV657" s="34" t="n">
        <x:v>1.54</x:v>
      </x:c>
    </x:row>
    <x:row r="658">
      <x:c r="A658" s="34" t="str">
        <x:v>KOBE_STEEL_JP</x:v>
      </x:c>
      <x:c r="B658" s="34" t="str">
        <x:v>Kobe Steel</x:v>
      </x:c>
      <x:c r="C658" s="34" t="str">
        <x:v>ACCELERATED_15C</x:v>
      </x:c>
      <x:c r="D658" s="34" t="str">
        <x:v>P1</x:v>
      </x:c>
      <x:c r="E658" s="34" t="n">
        <x:v>2037</x:v>
      </x:c>
      <x:c r="F658" s="34" t="n">
        <x:v>3</x:v>
      </x:c>
      <x:c r="G658" s="34" t="n">
        <x:v>0.969</x:v>
      </x:c>
      <x:c r="H658" s="34" t="n">
        <x:v>5.4</x:v>
      </x:c>
      <x:c r="I658" s="34" t="n">
        <x:v>4.431</x:v>
      </x:c>
      <x:c r="J658" s="34" t="n">
        <x:v>17.944</x:v>
      </x:c>
      <x:c r="K658" s="34" t="n">
        <x:v>0.3223</x:v>
      </x:c>
      <x:c r="L658" s="34" t="n">
        <x:v>0.76</x:v>
      </x:c>
      <x:c r="M658" s="34" t="n">
        <x:v>0.4377</x:v>
      </x:c>
      <x:c r="N658" s="34" t="n">
        <x:v>42.408</x:v>
      </x:c>
      <x:c r="O658" s="34" t="n">
        <x:v>2.6976</x:v>
      </x:c>
      <x:c r="P658" s="34" t="n">
        <x:v>5</x:v>
      </x:c>
      <x:c r="Q658" s="34" t="n">
        <x:v>2.3024</x:v>
      </x:c>
      <x:c r="R658" s="34" t="n">
        <x:v>53.952</x:v>
      </x:c>
      <x:c r="S658" s="40" t="b">
        <x:v>1</x:v>
      </x:c>
      <x:c r="T658" s="34" t="str">
        <x:v>model_interpolation</x:v>
      </x:c>
      <x:c r="U658" s="34" t="str">
        <x:v>Linear interpolation from 2035 to 2040</x:v>
      </x:c>
      <x:c r="V658" s="34" t="str">
        <x:v>CAND-B3597FD7767497</x:v>
      </x:c>
      <x:c r="W658" s="34" t="str">
        <x:v>P1</x:v>
      </x:c>
      <x:c r="X658" s="34" t="str">
        <x:v>PORT-9862FC05DA24</x:v>
      </x:c>
      <x:c r="Y658" s="34" t="n">
        <x:v>1000</x:v>
      </x:c>
      <x:c r="Z658" s="34" t="n">
        <x:v>188.682855</x:v>
      </x:c>
      <x:c r="AA658" s="34" t="n">
        <x:v>52.573857</x:v>
      </x:c>
      <x:c r="AB658" s="34" t="n">
        <x:v>105.301092</x:v>
      </x:c>
      <x:c r="AC658" s="34" t="n">
        <x:v>19500.781</x:v>
      </x:c>
      <x:c r="AD658" s="34" t="n">
        <x:v>185.19068</x:v>
      </x:c>
      <x:c r="AE658" s="40" t="b">
        <x:v>1</x:v>
      </x:c>
      <x:c r="AF658" s="40" t="b">
        <x:v>1</x:v>
      </x:c>
      <x:c r="AG658" s="34" t="str"/>
      <x:c r="AH658" s="34" t="n">
        <x:v>0</x:v>
      </x:c>
      <x:c r="AI658" s="34" t="str">
        <x:v>9.990856690045291e-05</x:v>
      </x:c>
      <x:c r="AJ658" s="40" t="b">
        <x:v>1</x:v>
      </x:c>
      <x:c r="AK658" s="40" t="b">
        <x:v>1</x:v>
      </x:c>
      <x:c r="AL658" s="40" t="b">
        <x:v>1</x:v>
      </x:c>
      <x:c r="AM658" s="40" t="b">
        <x:v>1</x:v>
      </x:c>
      <x:c r="AN658" s="34" t="str"/>
      <x:c r="AO658" s="34" t="n">
        <x:v>0</x:v>
      </x:c>
      <x:c r="AP658" s="34" t="n">
        <x:v>0</x:v>
      </x:c>
      <x:c r="AQ658" s="34" t="n">
        <x:v>0</x:v>
      </x:c>
      <x:c r="AR658" s="34" t="n">
        <x:v>1</x:v>
      </x:c>
      <x:c r="AS658" s="34" t="n">
        <x:v>1</x:v>
      </x:c>
      <x:c r="AT658" s="34" t="n">
        <x:v>0.3612199999999999</x:v>
      </x:c>
      <x:c r="AU658" s="34" t="n">
        <x:v>0.6</x:v>
      </x:c>
      <x:c r="AV658" s="34" t="n">
        <x:v>1.54</x:v>
      </x:c>
    </x:row>
    <x:row r="659">
      <x:c r="A659" s="34" t="str">
        <x:v>KOBE_STEEL_JP</x:v>
      </x:c>
      <x:c r="B659" s="34" t="str">
        <x:v>Kobe Steel</x:v>
      </x:c>
      <x:c r="C659" s="34" t="str">
        <x:v>ACCELERATED_15C</x:v>
      </x:c>
      <x:c r="D659" s="34" t="str">
        <x:v>P1</x:v>
      </x:c>
      <x:c r="E659" s="34" t="n">
        <x:v>2038</x:v>
      </x:c>
      <x:c r="F659" s="34" t="n">
        <x:v>3</x:v>
      </x:c>
      <x:c r="G659" s="34" t="n">
        <x:v>0.969</x:v>
      </x:c>
      <x:c r="H659" s="34" t="n">
        <x:v>5.6</x:v>
      </x:c>
      <x:c r="I659" s="34" t="n">
        <x:v>4.631</x:v>
      </x:c>
      <x:c r="J659" s="34" t="n">
        <x:v>17.304</x:v>
      </x:c>
      <x:c r="K659" s="34" t="n">
        <x:v>0.3223</x:v>
      </x:c>
      <x:c r="L659" s="34" t="n">
        <x:v>0.84</x:v>
      </x:c>
      <x:c r="M659" s="34" t="n">
        <x:v>0.5177</x:v>
      </x:c>
      <x:c r="N659" s="34" t="n">
        <x:v>38.369</x:v>
      </x:c>
      <x:c r="O659" s="34" t="n">
        <x:v>2.6976</x:v>
      </x:c>
      <x:c r="P659" s="34" t="n">
        <x:v>5.5</x:v>
      </x:c>
      <x:c r="Q659" s="34" t="n">
        <x:v>2.8024</x:v>
      </x:c>
      <x:c r="R659" s="34" t="n">
        <x:v>49.047</x:v>
      </x:c>
      <x:c r="S659" s="40" t="b">
        <x:v>1</x:v>
      </x:c>
      <x:c r="T659" s="34" t="str">
        <x:v>model_interpolation</x:v>
      </x:c>
      <x:c r="U659" s="34" t="str">
        <x:v>Linear interpolation from 2035 to 2040</x:v>
      </x:c>
      <x:c r="V659" s="34" t="str">
        <x:v>CAND-B3597FD7767497</x:v>
      </x:c>
      <x:c r="W659" s="34" t="str">
        <x:v>P1</x:v>
      </x:c>
      <x:c r="X659" s="34" t="str">
        <x:v>PORT-9862FC05DA24</x:v>
      </x:c>
      <x:c r="Y659" s="34" t="n">
        <x:v>1000</x:v>
      </x:c>
      <x:c r="Z659" s="34" t="n">
        <x:v>188.682855</x:v>
      </x:c>
      <x:c r="AA659" s="34" t="n">
        <x:v>52.573857</x:v>
      </x:c>
      <x:c r="AB659" s="34" t="n">
        <x:v>105.301092</x:v>
      </x:c>
      <x:c r="AC659" s="34" t="n">
        <x:v>19500.781</x:v>
      </x:c>
      <x:c r="AD659" s="34" t="n">
        <x:v>185.19068</x:v>
      </x:c>
      <x:c r="AE659" s="40" t="b">
        <x:v>1</x:v>
      </x:c>
      <x:c r="AF659" s="40" t="b">
        <x:v>1</x:v>
      </x:c>
      <x:c r="AG659" s="34" t="str"/>
      <x:c r="AH659" s="34" t="n">
        <x:v>0</x:v>
      </x:c>
      <x:c r="AI659" s="34" t="str">
        <x:v>9.990856690045291e-05</x:v>
      </x:c>
      <x:c r="AJ659" s="40" t="b">
        <x:v>1</x:v>
      </x:c>
      <x:c r="AK659" s="40" t="b">
        <x:v>1</x:v>
      </x:c>
      <x:c r="AL659" s="40" t="b">
        <x:v>1</x:v>
      </x:c>
      <x:c r="AM659" s="40" t="b">
        <x:v>1</x:v>
      </x:c>
      <x:c r="AN659" s="34" t="str"/>
      <x:c r="AO659" s="34" t="n">
        <x:v>0</x:v>
      </x:c>
      <x:c r="AP659" s="34" t="n">
        <x:v>0</x:v>
      </x:c>
      <x:c r="AQ659" s="34" t="n">
        <x:v>0</x:v>
      </x:c>
      <x:c r="AR659" s="34" t="n">
        <x:v>1</x:v>
      </x:c>
      <x:c r="AS659" s="34" t="n">
        <x:v>1</x:v>
      </x:c>
      <x:c r="AT659" s="34" t="n">
        <x:v>0.3612199999999999</x:v>
      </x:c>
      <x:c r="AU659" s="34" t="n">
        <x:v>0.6</x:v>
      </x:c>
      <x:c r="AV659" s="34" t="n">
        <x:v>1.54</x:v>
      </x:c>
    </x:row>
    <x:row r="660">
      <x:c r="A660" s="34" t="str">
        <x:v>KOBE_STEEL_JP</x:v>
      </x:c>
      <x:c r="B660" s="34" t="str">
        <x:v>Kobe Steel</x:v>
      </x:c>
      <x:c r="C660" s="34" t="str">
        <x:v>ACCELERATED_15C</x:v>
      </x:c>
      <x:c r="D660" s="34" t="str">
        <x:v>P1</x:v>
      </x:c>
      <x:c r="E660" s="34" t="n">
        <x:v>2039</x:v>
      </x:c>
      <x:c r="F660" s="34" t="n">
        <x:v>3</x:v>
      </x:c>
      <x:c r="G660" s="34" t="n">
        <x:v>0.969</x:v>
      </x:c>
      <x:c r="H660" s="34" t="n">
        <x:v>5.8</x:v>
      </x:c>
      <x:c r="I660" s="34" t="n">
        <x:v>4.831</x:v>
      </x:c>
      <x:c r="J660" s="34" t="n">
        <x:v>16.707</x:v>
      </x:c>
      <x:c r="K660" s="34" t="n">
        <x:v>0.3223</x:v>
      </x:c>
      <x:c r="L660" s="34" t="n">
        <x:v>0.92</x:v>
      </x:c>
      <x:c r="M660" s="34" t="n">
        <x:v>0.5977</x:v>
      </x:c>
      <x:c r="N660" s="34" t="n">
        <x:v>35.033</x:v>
      </x:c>
      <x:c r="O660" s="34" t="n">
        <x:v>2.6976</x:v>
      </x:c>
      <x:c r="P660" s="34" t="n">
        <x:v>6</x:v>
      </x:c>
      <x:c r="Q660" s="34" t="n">
        <x:v>3.3024</x:v>
      </x:c>
      <x:c r="R660" s="34" t="n">
        <x:v>44.96</x:v>
      </x:c>
      <x:c r="S660" s="40" t="b">
        <x:v>1</x:v>
      </x:c>
      <x:c r="T660" s="34" t="str">
        <x:v>model_interpolation</x:v>
      </x:c>
      <x:c r="U660" s="34" t="str">
        <x:v>Linear interpolation from 2035 to 2040</x:v>
      </x:c>
      <x:c r="V660" s="34" t="str">
        <x:v>CAND-B3597FD7767497</x:v>
      </x:c>
      <x:c r="W660" s="34" t="str">
        <x:v>P1</x:v>
      </x:c>
      <x:c r="X660" s="34" t="str">
        <x:v>PORT-9862FC05DA24</x:v>
      </x:c>
      <x:c r="Y660" s="34" t="n">
        <x:v>1000</x:v>
      </x:c>
      <x:c r="Z660" s="34" t="n">
        <x:v>188.682855</x:v>
      </x:c>
      <x:c r="AA660" s="34" t="n">
        <x:v>52.573857</x:v>
      </x:c>
      <x:c r="AB660" s="34" t="n">
        <x:v>105.301092</x:v>
      </x:c>
      <x:c r="AC660" s="34" t="n">
        <x:v>19500.781</x:v>
      </x:c>
      <x:c r="AD660" s="34" t="n">
        <x:v>185.19068</x:v>
      </x:c>
      <x:c r="AE660" s="40" t="b">
        <x:v>1</x:v>
      </x:c>
      <x:c r="AF660" s="40" t="b">
        <x:v>1</x:v>
      </x:c>
      <x:c r="AG660" s="34" t="str"/>
      <x:c r="AH660" s="34" t="n">
        <x:v>0</x:v>
      </x:c>
      <x:c r="AI660" s="34" t="str">
        <x:v>9.990856690045291e-05</x:v>
      </x:c>
      <x:c r="AJ660" s="40" t="b">
        <x:v>1</x:v>
      </x:c>
      <x:c r="AK660" s="40" t="b">
        <x:v>1</x:v>
      </x:c>
      <x:c r="AL660" s="40" t="b">
        <x:v>1</x:v>
      </x:c>
      <x:c r="AM660" s="40" t="b">
        <x:v>1</x:v>
      </x:c>
      <x:c r="AN660" s="34" t="str"/>
      <x:c r="AO660" s="34" t="n">
        <x:v>0</x:v>
      </x:c>
      <x:c r="AP660" s="34" t="n">
        <x:v>0</x:v>
      </x:c>
      <x:c r="AQ660" s="34" t="n">
        <x:v>0</x:v>
      </x:c>
      <x:c r="AR660" s="34" t="n">
        <x:v>1</x:v>
      </x:c>
      <x:c r="AS660" s="34" t="n">
        <x:v>1</x:v>
      </x:c>
      <x:c r="AT660" s="34" t="n">
        <x:v>0.3612199999999999</x:v>
      </x:c>
      <x:c r="AU660" s="34" t="n">
        <x:v>0.6</x:v>
      </x:c>
      <x:c r="AV660" s="34" t="n">
        <x:v>1.54</x:v>
      </x:c>
    </x:row>
    <x:row r="661">
      <x:c r="A661" s="34" t="str">
        <x:v>KOBE_STEEL_JP</x:v>
      </x:c>
      <x:c r="B661" s="34" t="str">
        <x:v>Kobe Steel</x:v>
      </x:c>
      <x:c r="C661" s="34" t="str">
        <x:v>ACCELERATED_15C</x:v>
      </x:c>
      <x:c r="D661" s="34" t="str">
        <x:v>P1</x:v>
      </x:c>
      <x:c r="E661" s="34" t="n">
        <x:v>2040</x:v>
      </x:c>
      <x:c r="F661" s="34" t="n">
        <x:v>3</x:v>
      </x:c>
      <x:c r="G661" s="34" t="n">
        <x:v>0.969</x:v>
      </x:c>
      <x:c r="H661" s="34" t="n">
        <x:v>6</x:v>
      </x:c>
      <x:c r="I661" s="34" t="n">
        <x:v>5.031</x:v>
      </x:c>
      <x:c r="J661" s="34" t="n">
        <x:v>16.15</x:v>
      </x:c>
      <x:c r="K661" s="34" t="n">
        <x:v>0.3223</x:v>
      </x:c>
      <x:c r="L661" s="34" t="n">
        <x:v>1</x:v>
      </x:c>
      <x:c r="M661" s="34" t="n">
        <x:v>0.6777</x:v>
      </x:c>
      <x:c r="N661" s="34" t="n">
        <x:v>32.23</x:v>
      </x:c>
      <x:c r="O661" s="34" t="n">
        <x:v>2.6976</x:v>
      </x:c>
      <x:c r="P661" s="34" t="n">
        <x:v>6.5</x:v>
      </x:c>
      <x:c r="Q661" s="34" t="n">
        <x:v>3.8024</x:v>
      </x:c>
      <x:c r="R661" s="34" t="n">
        <x:v>41.502</x:v>
      </x:c>
      <x:c r="S661" s="40" t="b">
        <x:v>1</x:v>
      </x:c>
      <x:c r="T661" s="34" t="str">
        <x:v>model_estimate</x:v>
      </x:c>
      <x:c r="U661" s="34" t="str">
        <x:v>Illustrative accelerated envelope; not GCAM or an official supply forecast</x:v>
      </x:c>
      <x:c r="V661" s="34" t="str">
        <x:v>CAND-B3597FD7767497</x:v>
      </x:c>
      <x:c r="W661" s="34" t="str">
        <x:v>P1</x:v>
      </x:c>
      <x:c r="X661" s="34" t="str">
        <x:v>PORT-9862FC05DA24</x:v>
      </x:c>
      <x:c r="Y661" s="34" t="n">
        <x:v>1000</x:v>
      </x:c>
      <x:c r="Z661" s="34" t="n">
        <x:v>188.682855</x:v>
      </x:c>
      <x:c r="AA661" s="34" t="n">
        <x:v>52.573857</x:v>
      </x:c>
      <x:c r="AB661" s="34" t="n">
        <x:v>105.301092</x:v>
      </x:c>
      <x:c r="AC661" s="34" t="n">
        <x:v>19500.781</x:v>
      </x:c>
      <x:c r="AD661" s="34" t="n">
        <x:v>185.19068</x:v>
      </x:c>
      <x:c r="AE661" s="40" t="b">
        <x:v>1</x:v>
      </x:c>
      <x:c r="AF661" s="40" t="b">
        <x:v>1</x:v>
      </x:c>
      <x:c r="AG661" s="34" t="str"/>
      <x:c r="AH661" s="34" t="n">
        <x:v>0</x:v>
      </x:c>
      <x:c r="AI661" s="34" t="str">
        <x:v>9.990856690045291e-05</x:v>
      </x:c>
      <x:c r="AJ661" s="40" t="b">
        <x:v>1</x:v>
      </x:c>
      <x:c r="AK661" s="40" t="b">
        <x:v>1</x:v>
      </x:c>
      <x:c r="AL661" s="40" t="b">
        <x:v>1</x:v>
      </x:c>
      <x:c r="AM661" s="40" t="b">
        <x:v>1</x:v>
      </x:c>
      <x:c r="AN661" s="34" t="str"/>
      <x:c r="AO661" s="34" t="n">
        <x:v>0</x:v>
      </x:c>
      <x:c r="AP661" s="34" t="n">
        <x:v>0</x:v>
      </x:c>
      <x:c r="AQ661" s="34" t="n">
        <x:v>0</x:v>
      </x:c>
      <x:c r="AR661" s="34" t="n">
        <x:v>1</x:v>
      </x:c>
      <x:c r="AS661" s="34" t="n">
        <x:v>1</x:v>
      </x:c>
      <x:c r="AT661" s="34" t="n">
        <x:v>0.3612199999999999</x:v>
      </x:c>
      <x:c r="AU661" s="34" t="n">
        <x:v>0.6</x:v>
      </x:c>
      <x:c r="AV661" s="34" t="n">
        <x:v>1.54</x:v>
      </x:c>
    </x:row>
    <x:row r="662">
      <x:c r="A662" s="34" t="str">
        <x:v>KOBE_STEEL_JP</x:v>
      </x:c>
      <x:c r="B662" s="34" t="str">
        <x:v>Kobe Steel</x:v>
      </x:c>
      <x:c r="C662" s="34" t="str">
        <x:v>DISCLOSED_PATH</x:v>
      </x:c>
      <x:c r="D662" s="34" t="str">
        <x:v>P4</x:v>
      </x:c>
      <x:c r="E662" s="34" t="n">
        <x:v>2026</x:v>
      </x:c>
      <x:c r="F662" s="34" t="n">
        <x:v>0</x:v>
      </x:c>
      <x:c r="G662" s="34" t="n">
        <x:v>0</x:v>
      </x:c>
      <x:c r="H662" s="34" t="n">
        <x:v>2</x:v>
      </x:c>
      <x:c r="I662" s="34" t="n">
        <x:v>2</x:v>
      </x:c>
      <x:c r="J662" s="34" t="n">
        <x:v>0</x:v>
      </x:c>
      <x:c r="K662" s="34" t="n">
        <x:v>0</x:v>
      </x:c>
      <x:c r="L662" s="34" t="n">
        <x:v>0</x:v>
      </x:c>
      <x:c r="M662" s="34" t="n">
        <x:v>0</x:v>
      </x:c>
      <x:c r="N662" s="34" t="n">
        <x:v>0</x:v>
      </x:c>
      <x:c r="O662" s="34" t="n">
        <x:v>0</x:v>
      </x:c>
      <x:c r="P662" s="34" t="n">
        <x:v>0.8</x:v>
      </x:c>
      <x:c r="Q662" s="34" t="n">
        <x:v>0.8</x:v>
      </x:c>
      <x:c r="R662" s="34" t="n">
        <x:v>0</x:v>
      </x:c>
      <x:c r="S662" s="40" t="b">
        <x:v>1</x:v>
      </x:c>
      <x:c r="T662" s="34" t="str">
        <x:v>model_interpolation</x:v>
      </x:c>
      <x:c r="U662" s="34" t="str">
        <x:v>Linear interpolation from 2026 to 2030</x:v>
      </x:c>
      <x:c r="V662" s="34" t="str">
        <x:v>CAND-B51B2DE2F2D28C</x:v>
      </x:c>
      <x:c r="W662" s="34" t="str">
        <x:v>P4</x:v>
      </x:c>
      <x:c r="X662" s="34" t="str">
        <x:v>PORT-8A59F01B884D</x:v>
      </x:c>
      <x:c r="Y662" s="34" t="n">
        <x:v>1000</x:v>
      </x:c>
      <x:c r="Z662" s="34" t="n">
        <x:v>138.942957</x:v>
      </x:c>
      <x:c r="AA662" s="34" t="n">
        <x:v>18.557828</x:v>
      </x:c>
      <x:c r="AB662" s="34" t="n">
        <x:v>114.781594</x:v>
      </x:c>
      <x:c r="AC662" s="34" t="n">
        <x:v>15757.538</x:v>
      </x:c>
      <x:c r="AD662" s="34" t="n">
        <x:v>137.282794</x:v>
      </x:c>
      <x:c r="AE662" s="40" t="b">
        <x:v>1</x:v>
      </x:c>
      <x:c r="AF662" s="40" t="b">
        <x:v>0</x:v>
      </x:c>
      <x:c r="AG662" s="34" t="str"/>
      <x:c r="AH662" s="34" t="n">
        <x:v>0</x:v>
      </x:c>
      <x:c r="AI662" s="34" t="str">
        <x:v>9.990856690045291e-05</x:v>
      </x:c>
      <x:c r="AJ662" s="40" t="b">
        <x:v>0</x:v>
      </x:c>
      <x:c r="AK662" s="40" t="b">
        <x:v>0</x:v>
      </x:c>
      <x:c r="AL662" s="40" t="b">
        <x:v>1</x:v>
      </x:c>
      <x:c r="AM662" s="40" t="b">
        <x:v>1</x:v>
      </x:c>
      <x:c r="AN662" s="34" t="n">
        <x:v>2028</x:v>
      </x:c>
      <x:c r="AO662" s="34" t="n">
        <x:v>0</x:v>
      </x:c>
      <x:c r="AP662" s="34" t="n">
        <x:v>0.012250011000000005</x:v>
      </x:c>
      <x:c r="AQ662" s="34" t="n">
        <x:v>0</x:v>
      </x:c>
      <x:c r="AR662" s="34" t="n">
        <x:v>1</x:v>
      </x:c>
      <x:c r="AS662" s="34" t="n">
        <x:v>1</x:v>
      </x:c>
      <x:c r="AT662" s="34" t="n">
        <x:v>0.28332</x:v>
      </x:c>
      <x:c r="AU662" s="34" t="n">
        <x:v>0.6</x:v>
      </x:c>
      <x:c r="AV662" s="34" t="n">
        <x:v>1.06</x:v>
      </x:c>
    </x:row>
    <x:row r="663">
      <x:c r="A663" s="34" t="str">
        <x:v>KOBE_STEEL_JP</x:v>
      </x:c>
      <x:c r="B663" s="34" t="str">
        <x:v>Kobe Steel</x:v>
      </x:c>
      <x:c r="C663" s="34" t="str">
        <x:v>DISCLOSED_PATH</x:v>
      </x:c>
      <x:c r="D663" s="34" t="str">
        <x:v>P4</x:v>
      </x:c>
      <x:c r="E663" s="34" t="n">
        <x:v>2027</x:v>
      </x:c>
      <x:c r="F663" s="34" t="n">
        <x:v>0</x:v>
      </x:c>
      <x:c r="G663" s="34" t="n">
        <x:v>0</x:v>
      </x:c>
      <x:c r="H663" s="34" t="n">
        <x:v>2.5</x:v>
      </x:c>
      <x:c r="I663" s="34" t="n">
        <x:v>2.5</x:v>
      </x:c>
      <x:c r="J663" s="34" t="n">
        <x:v>0</x:v>
      </x:c>
      <x:c r="K663" s="34" t="n">
        <x:v>0</x:v>
      </x:c>
      <x:c r="L663" s="34" t="n">
        <x:v>0.075</x:v>
      </x:c>
      <x:c r="M663" s="34" t="n">
        <x:v>0.075</x:v>
      </x:c>
      <x:c r="N663" s="34" t="n">
        <x:v>0</x:v>
      </x:c>
      <x:c r="O663" s="34" t="n">
        <x:v>0</x:v>
      </x:c>
      <x:c r="P663" s="34" t="n">
        <x:v>1.35</x:v>
      </x:c>
      <x:c r="Q663" s="34" t="n">
        <x:v>1.35</x:v>
      </x:c>
      <x:c r="R663" s="34" t="n">
        <x:v>0</x:v>
      </x:c>
      <x:c r="S663" s="40" t="b">
        <x:v>1</x:v>
      </x:c>
      <x:c r="T663" s="34" t="str">
        <x:v>model_interpolation</x:v>
      </x:c>
      <x:c r="U663" s="34" t="str">
        <x:v>Linear interpolation from 2026 to 2030</x:v>
      </x:c>
      <x:c r="V663" s="34" t="str">
        <x:v>CAND-B51B2DE2F2D28C</x:v>
      </x:c>
      <x:c r="W663" s="34" t="str">
        <x:v>P4</x:v>
      </x:c>
      <x:c r="X663" s="34" t="str">
        <x:v>PORT-8A59F01B884D</x:v>
      </x:c>
      <x:c r="Y663" s="34" t="n">
        <x:v>1000</x:v>
      </x:c>
      <x:c r="Z663" s="34" t="n">
        <x:v>138.942957</x:v>
      </x:c>
      <x:c r="AA663" s="34" t="n">
        <x:v>18.557828</x:v>
      </x:c>
      <x:c r="AB663" s="34" t="n">
        <x:v>114.781594</x:v>
      </x:c>
      <x:c r="AC663" s="34" t="n">
        <x:v>15757.538</x:v>
      </x:c>
      <x:c r="AD663" s="34" t="n">
        <x:v>137.282794</x:v>
      </x:c>
      <x:c r="AE663" s="40" t="b">
        <x:v>1</x:v>
      </x:c>
      <x:c r="AF663" s="40" t="b">
        <x:v>0</x:v>
      </x:c>
      <x:c r="AG663" s="34" t="str"/>
      <x:c r="AH663" s="34" t="n">
        <x:v>0</x:v>
      </x:c>
      <x:c r="AI663" s="34" t="str">
        <x:v>9.990856690045291e-05</x:v>
      </x:c>
      <x:c r="AJ663" s="40" t="b">
        <x:v>0</x:v>
      </x:c>
      <x:c r="AK663" s="40" t="b">
        <x:v>0</x:v>
      </x:c>
      <x:c r="AL663" s="40" t="b">
        <x:v>1</x:v>
      </x:c>
      <x:c r="AM663" s="40" t="b">
        <x:v>1</x:v>
      </x:c>
      <x:c r="AN663" s="34" t="n">
        <x:v>2028</x:v>
      </x:c>
      <x:c r="AO663" s="34" t="n">
        <x:v>0</x:v>
      </x:c>
      <x:c r="AP663" s="34" t="n">
        <x:v>0.012250011000000005</x:v>
      </x:c>
      <x:c r="AQ663" s="34" t="n">
        <x:v>0</x:v>
      </x:c>
      <x:c r="AR663" s="34" t="n">
        <x:v>1</x:v>
      </x:c>
      <x:c r="AS663" s="34" t="n">
        <x:v>1</x:v>
      </x:c>
      <x:c r="AT663" s="34" t="n">
        <x:v>0.28332</x:v>
      </x:c>
      <x:c r="AU663" s="34" t="n">
        <x:v>0.6</x:v>
      </x:c>
      <x:c r="AV663" s="34" t="n">
        <x:v>1.06</x:v>
      </x:c>
    </x:row>
    <x:row r="664">
      <x:c r="A664" s="34" t="str">
        <x:v>KOBE_STEEL_JP</x:v>
      </x:c>
      <x:c r="B664" s="34" t="str">
        <x:v>Kobe Steel</x:v>
      </x:c>
      <x:c r="C664" s="34" t="str">
        <x:v>DISCLOSED_PATH</x:v>
      </x:c>
      <x:c r="D664" s="34" t="str">
        <x:v>P4</x:v>
      </x:c>
      <x:c r="E664" s="34" t="n">
        <x:v>2028</x:v>
      </x:c>
      <x:c r="F664" s="34" t="n">
        <x:v>1</x:v>
      </x:c>
      <x:c r="G664" s="34" t="n">
        <x:v>0.4425</x:v>
      </x:c>
      <x:c r="H664" s="34" t="n">
        <x:v>3</x:v>
      </x:c>
      <x:c r="I664" s="34" t="n">
        <x:v>2.5575</x:v>
      </x:c>
      <x:c r="J664" s="34" t="n">
        <x:v>14.75</x:v>
      </x:c>
      <x:c r="K664" s="34" t="n">
        <x:v>0.16225</x:v>
      </x:c>
      <x:c r="L664" s="34" t="n">
        <x:v>0.15</x:v>
      </x:c>
      <x:c r="M664" s="34" t="n">
        <x:v>-0.01225</x:v>
      </x:c>
      <x:c r="N664" s="34" t="n">
        <x:v>108.167</x:v>
      </x:c>
      <x:c r="O664" s="34" t="n">
        <x:v>1.357</x:v>
      </x:c>
      <x:c r="P664" s="34" t="n">
        <x:v>1.9000000000000001</x:v>
      </x:c>
      <x:c r="Q664" s="34" t="n">
        <x:v>0.543</x:v>
      </x:c>
      <x:c r="R664" s="34" t="n">
        <x:v>71.421</x:v>
      </x:c>
      <x:c r="S664" s="40" t="b">
        <x:v>0</x:v>
      </x:c>
      <x:c r="T664" s="34" t="str">
        <x:v>model_interpolation</x:v>
      </x:c>
      <x:c r="U664" s="34" t="str">
        <x:v>Linear interpolation from 2026 to 2030</x:v>
      </x:c>
      <x:c r="V664" s="34" t="str">
        <x:v>CAND-B51B2DE2F2D28C</x:v>
      </x:c>
      <x:c r="W664" s="34" t="str">
        <x:v>P4</x:v>
      </x:c>
      <x:c r="X664" s="34" t="str">
        <x:v>PORT-8A59F01B884D</x:v>
      </x:c>
      <x:c r="Y664" s="34" t="n">
        <x:v>1000</x:v>
      </x:c>
      <x:c r="Z664" s="34" t="n">
        <x:v>138.942957</x:v>
      </x:c>
      <x:c r="AA664" s="34" t="n">
        <x:v>18.557828</x:v>
      </x:c>
      <x:c r="AB664" s="34" t="n">
        <x:v>114.781594</x:v>
      </x:c>
      <x:c r="AC664" s="34" t="n">
        <x:v>15757.538</x:v>
      </x:c>
      <x:c r="AD664" s="34" t="n">
        <x:v>137.282794</x:v>
      </x:c>
      <x:c r="AE664" s="40" t="b">
        <x:v>1</x:v>
      </x:c>
      <x:c r="AF664" s="40" t="b">
        <x:v>0</x:v>
      </x:c>
      <x:c r="AG664" s="34" t="str"/>
      <x:c r="AH664" s="34" t="n">
        <x:v>0</x:v>
      </x:c>
      <x:c r="AI664" s="34" t="str">
        <x:v>9.990856690045291e-05</x:v>
      </x:c>
      <x:c r="AJ664" s="40" t="b">
        <x:v>0</x:v>
      </x:c>
      <x:c r="AK664" s="40" t="b">
        <x:v>0</x:v>
      </x:c>
      <x:c r="AL664" s="40" t="b">
        <x:v>1</x:v>
      </x:c>
      <x:c r="AM664" s="40" t="b">
        <x:v>1</x:v>
      </x:c>
      <x:c r="AN664" s="34" t="n">
        <x:v>2028</x:v>
      </x:c>
      <x:c r="AO664" s="34" t="n">
        <x:v>0</x:v>
      </x:c>
      <x:c r="AP664" s="34" t="n">
        <x:v>0.012250011000000005</x:v>
      </x:c>
      <x:c r="AQ664" s="34" t="n">
        <x:v>0</x:v>
      </x:c>
      <x:c r="AR664" s="34" t="n">
        <x:v>1</x:v>
      </x:c>
      <x:c r="AS664" s="34" t="n">
        <x:v>1</x:v>
      </x:c>
      <x:c r="AT664" s="34" t="n">
        <x:v>0.28332</x:v>
      </x:c>
      <x:c r="AU664" s="34" t="n">
        <x:v>0.6</x:v>
      </x:c>
      <x:c r="AV664" s="34" t="n">
        <x:v>1.06</x:v>
      </x:c>
    </x:row>
    <x:row r="665">
      <x:c r="A665" s="34" t="str">
        <x:v>KOBE_STEEL_JP</x:v>
      </x:c>
      <x:c r="B665" s="34" t="str">
        <x:v>Kobe Steel</x:v>
      </x:c>
      <x:c r="C665" s="34" t="str">
        <x:v>DISCLOSED_PATH</x:v>
      </x:c>
      <x:c r="D665" s="34" t="str">
        <x:v>P4</x:v>
      </x:c>
      <x:c r="E665" s="34" t="n">
        <x:v>2029</x:v>
      </x:c>
      <x:c r="F665" s="34" t="n">
        <x:v>1</x:v>
      </x:c>
      <x:c r="G665" s="34" t="n">
        <x:v>0.4425</x:v>
      </x:c>
      <x:c r="H665" s="34" t="n">
        <x:v>3.5</x:v>
      </x:c>
      <x:c r="I665" s="34" t="n">
        <x:v>3.0575</x:v>
      </x:c>
      <x:c r="J665" s="34" t="n">
        <x:v>12.643</x:v>
      </x:c>
      <x:c r="K665" s="34" t="n">
        <x:v>0.16225</x:v>
      </x:c>
      <x:c r="L665" s="34" t="n">
        <x:v>0.22499999999999998</x:v>
      </x:c>
      <x:c r="M665" s="34" t="n">
        <x:v>0.06275</x:v>
      </x:c>
      <x:c r="N665" s="34" t="n">
        <x:v>72.111</x:v>
      </x:c>
      <x:c r="O665" s="34" t="n">
        <x:v>1.357</x:v>
      </x:c>
      <x:c r="P665" s="34" t="n">
        <x:v>2.45</x:v>
      </x:c>
      <x:c r="Q665" s="34" t="n">
        <x:v>1.093</x:v>
      </x:c>
      <x:c r="R665" s="34" t="n">
        <x:v>55.388</x:v>
      </x:c>
      <x:c r="S665" s="40" t="b">
        <x:v>1</x:v>
      </x:c>
      <x:c r="T665" s="34" t="str">
        <x:v>model_interpolation</x:v>
      </x:c>
      <x:c r="U665" s="34" t="str">
        <x:v>Linear interpolation from 2026 to 2030</x:v>
      </x:c>
      <x:c r="V665" s="34" t="str">
        <x:v>CAND-B51B2DE2F2D28C</x:v>
      </x:c>
      <x:c r="W665" s="34" t="str">
        <x:v>P4</x:v>
      </x:c>
      <x:c r="X665" s="34" t="str">
        <x:v>PORT-8A59F01B884D</x:v>
      </x:c>
      <x:c r="Y665" s="34" t="n">
        <x:v>1000</x:v>
      </x:c>
      <x:c r="Z665" s="34" t="n">
        <x:v>138.942957</x:v>
      </x:c>
      <x:c r="AA665" s="34" t="n">
        <x:v>18.557828</x:v>
      </x:c>
      <x:c r="AB665" s="34" t="n">
        <x:v>114.781594</x:v>
      </x:c>
      <x:c r="AC665" s="34" t="n">
        <x:v>15757.538</x:v>
      </x:c>
      <x:c r="AD665" s="34" t="n">
        <x:v>137.282794</x:v>
      </x:c>
      <x:c r="AE665" s="40" t="b">
        <x:v>1</x:v>
      </x:c>
      <x:c r="AF665" s="40" t="b">
        <x:v>0</x:v>
      </x:c>
      <x:c r="AG665" s="34" t="str"/>
      <x:c r="AH665" s="34" t="n">
        <x:v>0</x:v>
      </x:c>
      <x:c r="AI665" s="34" t="str">
        <x:v>9.990856690045291e-05</x:v>
      </x:c>
      <x:c r="AJ665" s="40" t="b">
        <x:v>0</x:v>
      </x:c>
      <x:c r="AK665" s="40" t="b">
        <x:v>0</x:v>
      </x:c>
      <x:c r="AL665" s="40" t="b">
        <x:v>1</x:v>
      </x:c>
      <x:c r="AM665" s="40" t="b">
        <x:v>1</x:v>
      </x:c>
      <x:c r="AN665" s="34" t="n">
        <x:v>2028</x:v>
      </x:c>
      <x:c r="AO665" s="34" t="n">
        <x:v>0</x:v>
      </x:c>
      <x:c r="AP665" s="34" t="n">
        <x:v>0.012250011000000005</x:v>
      </x:c>
      <x:c r="AQ665" s="34" t="n">
        <x:v>0</x:v>
      </x:c>
      <x:c r="AR665" s="34" t="n">
        <x:v>1</x:v>
      </x:c>
      <x:c r="AS665" s="34" t="n">
        <x:v>1</x:v>
      </x:c>
      <x:c r="AT665" s="34" t="n">
        <x:v>0.28332</x:v>
      </x:c>
      <x:c r="AU665" s="34" t="n">
        <x:v>0.6</x:v>
      </x:c>
      <x:c r="AV665" s="34" t="n">
        <x:v>1.06</x:v>
      </x:c>
    </x:row>
    <x:row r="666">
      <x:c r="A666" s="34" t="str">
        <x:v>KOBE_STEEL_JP</x:v>
      </x:c>
      <x:c r="B666" s="34" t="str">
        <x:v>Kobe Steel</x:v>
      </x:c>
      <x:c r="C666" s="34" t="str">
        <x:v>DISCLOSED_PATH</x:v>
      </x:c>
      <x:c r="D666" s="34" t="str">
        <x:v>P4</x:v>
      </x:c>
      <x:c r="E666" s="34" t="n">
        <x:v>2030</x:v>
      </x:c>
      <x:c r="F666" s="34" t="n">
        <x:v>1</x:v>
      </x:c>
      <x:c r="G666" s="34" t="n">
        <x:v>0.4425</x:v>
      </x:c>
      <x:c r="H666" s="34" t="n">
        <x:v>4</x:v>
      </x:c>
      <x:c r="I666" s="34" t="n">
        <x:v>3.5575</x:v>
      </x:c>
      <x:c r="J666" s="34" t="n">
        <x:v>11.063</x:v>
      </x:c>
      <x:c r="K666" s="34" t="n">
        <x:v>0.16225</x:v>
      </x:c>
      <x:c r="L666" s="34" t="n">
        <x:v>0.3</x:v>
      </x:c>
      <x:c r="M666" s="34" t="n">
        <x:v>0.13775</x:v>
      </x:c>
      <x:c r="N666" s="34" t="n">
        <x:v>54.083</x:v>
      </x:c>
      <x:c r="O666" s="34" t="n">
        <x:v>1.357</x:v>
      </x:c>
      <x:c r="P666" s="34" t="n">
        <x:v>3</x:v>
      </x:c>
      <x:c r="Q666" s="34" t="n">
        <x:v>1.643</x:v>
      </x:c>
      <x:c r="R666" s="34" t="n">
        <x:v>45.233</x:v>
      </x:c>
      <x:c r="S666" s="40" t="b">
        <x:v>1</x:v>
      </x:c>
      <x:c r="T666" s="34" t="str">
        <x:v>model_interpolation</x:v>
      </x:c>
      <x:c r="U666" s="34" t="str">
        <x:v>Linear interpolation from 2030 to 2035</x:v>
      </x:c>
      <x:c r="V666" s="34" t="str">
        <x:v>CAND-B51B2DE2F2D28C</x:v>
      </x:c>
      <x:c r="W666" s="34" t="str">
        <x:v>P4</x:v>
      </x:c>
      <x:c r="X666" s="34" t="str">
        <x:v>PORT-8A59F01B884D</x:v>
      </x:c>
      <x:c r="Y666" s="34" t="n">
        <x:v>1000</x:v>
      </x:c>
      <x:c r="Z666" s="34" t="n">
        <x:v>138.942957</x:v>
      </x:c>
      <x:c r="AA666" s="34" t="n">
        <x:v>18.557828</x:v>
      </x:c>
      <x:c r="AB666" s="34" t="n">
        <x:v>114.781594</x:v>
      </x:c>
      <x:c r="AC666" s="34" t="n">
        <x:v>15757.538</x:v>
      </x:c>
      <x:c r="AD666" s="34" t="n">
        <x:v>137.282794</x:v>
      </x:c>
      <x:c r="AE666" s="40" t="b">
        <x:v>1</x:v>
      </x:c>
      <x:c r="AF666" s="40" t="b">
        <x:v>0</x:v>
      </x:c>
      <x:c r="AG666" s="34" t="str"/>
      <x:c r="AH666" s="34" t="n">
        <x:v>0</x:v>
      </x:c>
      <x:c r="AI666" s="34" t="str">
        <x:v>9.990856690045291e-05</x:v>
      </x:c>
      <x:c r="AJ666" s="40" t="b">
        <x:v>0</x:v>
      </x:c>
      <x:c r="AK666" s="40" t="b">
        <x:v>0</x:v>
      </x:c>
      <x:c r="AL666" s="40" t="b">
        <x:v>1</x:v>
      </x:c>
      <x:c r="AM666" s="40" t="b">
        <x:v>1</x:v>
      </x:c>
      <x:c r="AN666" s="34" t="n">
        <x:v>2028</x:v>
      </x:c>
      <x:c r="AO666" s="34" t="n">
        <x:v>0</x:v>
      </x:c>
      <x:c r="AP666" s="34" t="n">
        <x:v>0.012250011000000005</x:v>
      </x:c>
      <x:c r="AQ666" s="34" t="n">
        <x:v>0</x:v>
      </x:c>
      <x:c r="AR666" s="34" t="n">
        <x:v>1</x:v>
      </x:c>
      <x:c r="AS666" s="34" t="n">
        <x:v>1</x:v>
      </x:c>
      <x:c r="AT666" s="34" t="n">
        <x:v>0.28332</x:v>
      </x:c>
      <x:c r="AU666" s="34" t="n">
        <x:v>0.6</x:v>
      </x:c>
      <x:c r="AV666" s="34" t="n">
        <x:v>1.06</x:v>
      </x:c>
    </x:row>
    <x:row r="667">
      <x:c r="A667" s="34" t="str">
        <x:v>KOBE_STEEL_JP</x:v>
      </x:c>
      <x:c r="B667" s="34" t="str">
        <x:v>Kobe Steel</x:v>
      </x:c>
      <x:c r="C667" s="34" t="str">
        <x:v>DISCLOSED_PATH</x:v>
      </x:c>
      <x:c r="D667" s="34" t="str">
        <x:v>P4</x:v>
      </x:c>
      <x:c r="E667" s="34" t="n">
        <x:v>2031</x:v>
      </x:c>
      <x:c r="F667" s="34" t="n">
        <x:v>1</x:v>
      </x:c>
      <x:c r="G667" s="34" t="n">
        <x:v>0.4425</x:v>
      </x:c>
      <x:c r="H667" s="34" t="n">
        <x:v>4</x:v>
      </x:c>
      <x:c r="I667" s="34" t="n">
        <x:v>3.5575</x:v>
      </x:c>
      <x:c r="J667" s="34" t="n">
        <x:v>11.063</x:v>
      </x:c>
      <x:c r="K667" s="34" t="n">
        <x:v>0.16225</x:v>
      </x:c>
      <x:c r="L667" s="34" t="n">
        <x:v>0.32</x:v>
      </x:c>
      <x:c r="M667" s="34" t="n">
        <x:v>0.15775</x:v>
      </x:c>
      <x:c r="N667" s="34" t="n">
        <x:v>50.703</x:v>
      </x:c>
      <x:c r="O667" s="34" t="n">
        <x:v>1.357</x:v>
      </x:c>
      <x:c r="P667" s="34" t="n">
        <x:v>3</x:v>
      </x:c>
      <x:c r="Q667" s="34" t="n">
        <x:v>1.643</x:v>
      </x:c>
      <x:c r="R667" s="34" t="n">
        <x:v>45.233</x:v>
      </x:c>
      <x:c r="S667" s="40" t="b">
        <x:v>1</x:v>
      </x:c>
      <x:c r="T667" s="34" t="str">
        <x:v>model_interpolation</x:v>
      </x:c>
      <x:c r="U667" s="34" t="str">
        <x:v>Linear interpolation from 2030 to 2035</x:v>
      </x:c>
      <x:c r="V667" s="34" t="str">
        <x:v>CAND-B51B2DE2F2D28C</x:v>
      </x:c>
      <x:c r="W667" s="34" t="str">
        <x:v>P4</x:v>
      </x:c>
      <x:c r="X667" s="34" t="str">
        <x:v>PORT-8A59F01B884D</x:v>
      </x:c>
      <x:c r="Y667" s="34" t="n">
        <x:v>1000</x:v>
      </x:c>
      <x:c r="Z667" s="34" t="n">
        <x:v>138.942957</x:v>
      </x:c>
      <x:c r="AA667" s="34" t="n">
        <x:v>18.557828</x:v>
      </x:c>
      <x:c r="AB667" s="34" t="n">
        <x:v>114.781594</x:v>
      </x:c>
      <x:c r="AC667" s="34" t="n">
        <x:v>15757.538</x:v>
      </x:c>
      <x:c r="AD667" s="34" t="n">
        <x:v>137.282794</x:v>
      </x:c>
      <x:c r="AE667" s="40" t="b">
        <x:v>1</x:v>
      </x:c>
      <x:c r="AF667" s="40" t="b">
        <x:v>0</x:v>
      </x:c>
      <x:c r="AG667" s="34" t="str"/>
      <x:c r="AH667" s="34" t="n">
        <x:v>0</x:v>
      </x:c>
      <x:c r="AI667" s="34" t="str">
        <x:v>9.990856690045291e-05</x:v>
      </x:c>
      <x:c r="AJ667" s="40" t="b">
        <x:v>0</x:v>
      </x:c>
      <x:c r="AK667" s="40" t="b">
        <x:v>0</x:v>
      </x:c>
      <x:c r="AL667" s="40" t="b">
        <x:v>1</x:v>
      </x:c>
      <x:c r="AM667" s="40" t="b">
        <x:v>1</x:v>
      </x:c>
      <x:c r="AN667" s="34" t="n">
        <x:v>2028</x:v>
      </x:c>
      <x:c r="AO667" s="34" t="n">
        <x:v>0</x:v>
      </x:c>
      <x:c r="AP667" s="34" t="n">
        <x:v>0.012250011000000005</x:v>
      </x:c>
      <x:c r="AQ667" s="34" t="n">
        <x:v>0</x:v>
      </x:c>
      <x:c r="AR667" s="34" t="n">
        <x:v>1</x:v>
      </x:c>
      <x:c r="AS667" s="34" t="n">
        <x:v>1</x:v>
      </x:c>
      <x:c r="AT667" s="34" t="n">
        <x:v>0.28332</x:v>
      </x:c>
      <x:c r="AU667" s="34" t="n">
        <x:v>0.6</x:v>
      </x:c>
      <x:c r="AV667" s="34" t="n">
        <x:v>1.06</x:v>
      </x:c>
    </x:row>
    <x:row r="668">
      <x:c r="A668" s="34" t="str">
        <x:v>KOBE_STEEL_JP</x:v>
      </x:c>
      <x:c r="B668" s="34" t="str">
        <x:v>Kobe Steel</x:v>
      </x:c>
      <x:c r="C668" s="34" t="str">
        <x:v>DISCLOSED_PATH</x:v>
      </x:c>
      <x:c r="D668" s="34" t="str">
        <x:v>P4</x:v>
      </x:c>
      <x:c r="E668" s="34" t="n">
        <x:v>2032</x:v>
      </x:c>
      <x:c r="F668" s="34" t="n">
        <x:v>2</x:v>
      </x:c>
      <x:c r="G668" s="34" t="n">
        <x:v>0.5325</x:v>
      </x:c>
      <x:c r="H668" s="34" t="n">
        <x:v>4</x:v>
      </x:c>
      <x:c r="I668" s="34" t="n">
        <x:v>3.4675</x:v>
      </x:c>
      <x:c r="J668" s="34" t="n">
        <x:v>13.313</x:v>
      </x:c>
      <x:c r="K668" s="34" t="n">
        <x:v>0.16225</x:v>
      </x:c>
      <x:c r="L668" s="34" t="n">
        <x:v>0.34</x:v>
      </x:c>
      <x:c r="M668" s="34" t="n">
        <x:v>0.17775</x:v>
      </x:c>
      <x:c r="N668" s="34" t="n">
        <x:v>47.721</x:v>
      </x:c>
      <x:c r="O668" s="34" t="n">
        <x:v>1.359</x:v>
      </x:c>
      <x:c r="P668" s="34" t="n">
        <x:v>3</x:v>
      </x:c>
      <x:c r="Q668" s="34" t="n">
        <x:v>1.641</x:v>
      </x:c>
      <x:c r="R668" s="34" t="n">
        <x:v>45.3</x:v>
      </x:c>
      <x:c r="S668" s="40" t="b">
        <x:v>1</x:v>
      </x:c>
      <x:c r="T668" s="34" t="str">
        <x:v>model_interpolation</x:v>
      </x:c>
      <x:c r="U668" s="34" t="str">
        <x:v>Linear interpolation from 2030 to 2035</x:v>
      </x:c>
      <x:c r="V668" s="34" t="str">
        <x:v>CAND-B51B2DE2F2D28C</x:v>
      </x:c>
      <x:c r="W668" s="34" t="str">
        <x:v>P4</x:v>
      </x:c>
      <x:c r="X668" s="34" t="str">
        <x:v>PORT-8A59F01B884D</x:v>
      </x:c>
      <x:c r="Y668" s="34" t="n">
        <x:v>1000</x:v>
      </x:c>
      <x:c r="Z668" s="34" t="n">
        <x:v>138.942957</x:v>
      </x:c>
      <x:c r="AA668" s="34" t="n">
        <x:v>18.557828</x:v>
      </x:c>
      <x:c r="AB668" s="34" t="n">
        <x:v>114.781594</x:v>
      </x:c>
      <x:c r="AC668" s="34" t="n">
        <x:v>15757.538</x:v>
      </x:c>
      <x:c r="AD668" s="34" t="n">
        <x:v>137.282794</x:v>
      </x:c>
      <x:c r="AE668" s="40" t="b">
        <x:v>1</x:v>
      </x:c>
      <x:c r="AF668" s="40" t="b">
        <x:v>0</x:v>
      </x:c>
      <x:c r="AG668" s="34" t="str"/>
      <x:c r="AH668" s="34" t="n">
        <x:v>0</x:v>
      </x:c>
      <x:c r="AI668" s="34" t="str">
        <x:v>9.990856690045291e-05</x:v>
      </x:c>
      <x:c r="AJ668" s="40" t="b">
        <x:v>0</x:v>
      </x:c>
      <x:c r="AK668" s="40" t="b">
        <x:v>0</x:v>
      </x:c>
      <x:c r="AL668" s="40" t="b">
        <x:v>1</x:v>
      </x:c>
      <x:c r="AM668" s="40" t="b">
        <x:v>1</x:v>
      </x:c>
      <x:c r="AN668" s="34" t="n">
        <x:v>2028</x:v>
      </x:c>
      <x:c r="AO668" s="34" t="n">
        <x:v>0</x:v>
      </x:c>
      <x:c r="AP668" s="34" t="n">
        <x:v>0.012250011000000005</x:v>
      </x:c>
      <x:c r="AQ668" s="34" t="n">
        <x:v>0</x:v>
      </x:c>
      <x:c r="AR668" s="34" t="n">
        <x:v>1</x:v>
      </x:c>
      <x:c r="AS668" s="34" t="n">
        <x:v>1</x:v>
      </x:c>
      <x:c r="AT668" s="34" t="n">
        <x:v>0.28332</x:v>
      </x:c>
      <x:c r="AU668" s="34" t="n">
        <x:v>0.6</x:v>
      </x:c>
      <x:c r="AV668" s="34" t="n">
        <x:v>1.06</x:v>
      </x:c>
    </x:row>
    <x:row r="669">
      <x:c r="A669" s="34" t="str">
        <x:v>KOBE_STEEL_JP</x:v>
      </x:c>
      <x:c r="B669" s="34" t="str">
        <x:v>Kobe Steel</x:v>
      </x:c>
      <x:c r="C669" s="34" t="str">
        <x:v>DISCLOSED_PATH</x:v>
      </x:c>
      <x:c r="D669" s="34" t="str">
        <x:v>P4</x:v>
      </x:c>
      <x:c r="E669" s="34" t="n">
        <x:v>2033</x:v>
      </x:c>
      <x:c r="F669" s="34" t="n">
        <x:v>2</x:v>
      </x:c>
      <x:c r="G669" s="34" t="n">
        <x:v>0.5325</x:v>
      </x:c>
      <x:c r="H669" s="34" t="n">
        <x:v>4</x:v>
      </x:c>
      <x:c r="I669" s="34" t="n">
        <x:v>3.4675</x:v>
      </x:c>
      <x:c r="J669" s="34" t="n">
        <x:v>13.313</x:v>
      </x:c>
      <x:c r="K669" s="34" t="n">
        <x:v>0.16225</x:v>
      </x:c>
      <x:c r="L669" s="34" t="n">
        <x:v>0.36</x:v>
      </x:c>
      <x:c r="M669" s="34" t="n">
        <x:v>0.19775</x:v>
      </x:c>
      <x:c r="N669" s="34" t="n">
        <x:v>45.069</x:v>
      </x:c>
      <x:c r="O669" s="34" t="n">
        <x:v>1.359</x:v>
      </x:c>
      <x:c r="P669" s="34" t="n">
        <x:v>3</x:v>
      </x:c>
      <x:c r="Q669" s="34" t="n">
        <x:v>1.641</x:v>
      </x:c>
      <x:c r="R669" s="34" t="n">
        <x:v>45.3</x:v>
      </x:c>
      <x:c r="S669" s="40" t="b">
        <x:v>1</x:v>
      </x:c>
      <x:c r="T669" s="34" t="str">
        <x:v>model_interpolation</x:v>
      </x:c>
      <x:c r="U669" s="34" t="str">
        <x:v>Linear interpolation from 2030 to 2035</x:v>
      </x:c>
      <x:c r="V669" s="34" t="str">
        <x:v>CAND-B51B2DE2F2D28C</x:v>
      </x:c>
      <x:c r="W669" s="34" t="str">
        <x:v>P4</x:v>
      </x:c>
      <x:c r="X669" s="34" t="str">
        <x:v>PORT-8A59F01B884D</x:v>
      </x:c>
      <x:c r="Y669" s="34" t="n">
        <x:v>1000</x:v>
      </x:c>
      <x:c r="Z669" s="34" t="n">
        <x:v>138.942957</x:v>
      </x:c>
      <x:c r="AA669" s="34" t="n">
        <x:v>18.557828</x:v>
      </x:c>
      <x:c r="AB669" s="34" t="n">
        <x:v>114.781594</x:v>
      </x:c>
      <x:c r="AC669" s="34" t="n">
        <x:v>15757.538</x:v>
      </x:c>
      <x:c r="AD669" s="34" t="n">
        <x:v>137.282794</x:v>
      </x:c>
      <x:c r="AE669" s="40" t="b">
        <x:v>1</x:v>
      </x:c>
      <x:c r="AF669" s="40" t="b">
        <x:v>0</x:v>
      </x:c>
      <x:c r="AG669" s="34" t="str"/>
      <x:c r="AH669" s="34" t="n">
        <x:v>0</x:v>
      </x:c>
      <x:c r="AI669" s="34" t="str">
        <x:v>9.990856690045291e-05</x:v>
      </x:c>
      <x:c r="AJ669" s="40" t="b">
        <x:v>0</x:v>
      </x:c>
      <x:c r="AK669" s="40" t="b">
        <x:v>0</x:v>
      </x:c>
      <x:c r="AL669" s="40" t="b">
        <x:v>1</x:v>
      </x:c>
      <x:c r="AM669" s="40" t="b">
        <x:v>1</x:v>
      </x:c>
      <x:c r="AN669" s="34" t="n">
        <x:v>2028</x:v>
      </x:c>
      <x:c r="AO669" s="34" t="n">
        <x:v>0</x:v>
      </x:c>
      <x:c r="AP669" s="34" t="n">
        <x:v>0.012250011000000005</x:v>
      </x:c>
      <x:c r="AQ669" s="34" t="n">
        <x:v>0</x:v>
      </x:c>
      <x:c r="AR669" s="34" t="n">
        <x:v>1</x:v>
      </x:c>
      <x:c r="AS669" s="34" t="n">
        <x:v>1</x:v>
      </x:c>
      <x:c r="AT669" s="34" t="n">
        <x:v>0.28332</x:v>
      </x:c>
      <x:c r="AU669" s="34" t="n">
        <x:v>0.6</x:v>
      </x:c>
      <x:c r="AV669" s="34" t="n">
        <x:v>1.06</x:v>
      </x:c>
    </x:row>
    <x:row r="670">
      <x:c r="A670" s="34" t="str">
        <x:v>KOBE_STEEL_JP</x:v>
      </x:c>
      <x:c r="B670" s="34" t="str">
        <x:v>Kobe Steel</x:v>
      </x:c>
      <x:c r="C670" s="34" t="str">
        <x:v>DISCLOSED_PATH</x:v>
      </x:c>
      <x:c r="D670" s="34" t="str">
        <x:v>P4</x:v>
      </x:c>
      <x:c r="E670" s="34" t="n">
        <x:v>2034</x:v>
      </x:c>
      <x:c r="F670" s="34" t="n">
        <x:v>2</x:v>
      </x:c>
      <x:c r="G670" s="34" t="n">
        <x:v>0.5325</x:v>
      </x:c>
      <x:c r="H670" s="34" t="n">
        <x:v>4</x:v>
      </x:c>
      <x:c r="I670" s="34" t="n">
        <x:v>3.4675</x:v>
      </x:c>
      <x:c r="J670" s="34" t="n">
        <x:v>13.313</x:v>
      </x:c>
      <x:c r="K670" s="34" t="n">
        <x:v>0.16225</x:v>
      </x:c>
      <x:c r="L670" s="34" t="n">
        <x:v>0.38</x:v>
      </x:c>
      <x:c r="M670" s="34" t="n">
        <x:v>0.21775</x:v>
      </x:c>
      <x:c r="N670" s="34" t="n">
        <x:v>42.697</x:v>
      </x:c>
      <x:c r="O670" s="34" t="n">
        <x:v>1.359</x:v>
      </x:c>
      <x:c r="P670" s="34" t="n">
        <x:v>3</x:v>
      </x:c>
      <x:c r="Q670" s="34" t="n">
        <x:v>1.641</x:v>
      </x:c>
      <x:c r="R670" s="34" t="n">
        <x:v>45.3</x:v>
      </x:c>
      <x:c r="S670" s="40" t="b">
        <x:v>1</x:v>
      </x:c>
      <x:c r="T670" s="34" t="str">
        <x:v>model_interpolation</x:v>
      </x:c>
      <x:c r="U670" s="34" t="str">
        <x:v>Linear interpolation from 2030 to 2035</x:v>
      </x:c>
      <x:c r="V670" s="34" t="str">
        <x:v>CAND-B51B2DE2F2D28C</x:v>
      </x:c>
      <x:c r="W670" s="34" t="str">
        <x:v>P4</x:v>
      </x:c>
      <x:c r="X670" s="34" t="str">
        <x:v>PORT-8A59F01B884D</x:v>
      </x:c>
      <x:c r="Y670" s="34" t="n">
        <x:v>1000</x:v>
      </x:c>
      <x:c r="Z670" s="34" t="n">
        <x:v>138.942957</x:v>
      </x:c>
      <x:c r="AA670" s="34" t="n">
        <x:v>18.557828</x:v>
      </x:c>
      <x:c r="AB670" s="34" t="n">
        <x:v>114.781594</x:v>
      </x:c>
      <x:c r="AC670" s="34" t="n">
        <x:v>15757.538</x:v>
      </x:c>
      <x:c r="AD670" s="34" t="n">
        <x:v>137.282794</x:v>
      </x:c>
      <x:c r="AE670" s="40" t="b">
        <x:v>1</x:v>
      </x:c>
      <x:c r="AF670" s="40" t="b">
        <x:v>0</x:v>
      </x:c>
      <x:c r="AG670" s="34" t="str"/>
      <x:c r="AH670" s="34" t="n">
        <x:v>0</x:v>
      </x:c>
      <x:c r="AI670" s="34" t="str">
        <x:v>9.990856690045291e-05</x:v>
      </x:c>
      <x:c r="AJ670" s="40" t="b">
        <x:v>0</x:v>
      </x:c>
      <x:c r="AK670" s="40" t="b">
        <x:v>0</x:v>
      </x:c>
      <x:c r="AL670" s="40" t="b">
        <x:v>1</x:v>
      </x:c>
      <x:c r="AM670" s="40" t="b">
        <x:v>1</x:v>
      </x:c>
      <x:c r="AN670" s="34" t="n">
        <x:v>2028</x:v>
      </x:c>
      <x:c r="AO670" s="34" t="n">
        <x:v>0</x:v>
      </x:c>
      <x:c r="AP670" s="34" t="n">
        <x:v>0.012250011000000005</x:v>
      </x:c>
      <x:c r="AQ670" s="34" t="n">
        <x:v>0</x:v>
      </x:c>
      <x:c r="AR670" s="34" t="n">
        <x:v>1</x:v>
      </x:c>
      <x:c r="AS670" s="34" t="n">
        <x:v>1</x:v>
      </x:c>
      <x:c r="AT670" s="34" t="n">
        <x:v>0.28332</x:v>
      </x:c>
      <x:c r="AU670" s="34" t="n">
        <x:v>0.6</x:v>
      </x:c>
      <x:c r="AV670" s="34" t="n">
        <x:v>1.06</x:v>
      </x:c>
    </x:row>
    <x:row r="671">
      <x:c r="A671" s="34" t="str">
        <x:v>KOBE_STEEL_JP</x:v>
      </x:c>
      <x:c r="B671" s="34" t="str">
        <x:v>Kobe Steel</x:v>
      </x:c>
      <x:c r="C671" s="34" t="str">
        <x:v>DISCLOSED_PATH</x:v>
      </x:c>
      <x:c r="D671" s="34" t="str">
        <x:v>P4</x:v>
      </x:c>
      <x:c r="E671" s="34" t="n">
        <x:v>2035</x:v>
      </x:c>
      <x:c r="F671" s="34" t="n">
        <x:v>2</x:v>
      </x:c>
      <x:c r="G671" s="34" t="n">
        <x:v>0.5325</x:v>
      </x:c>
      <x:c r="H671" s="34" t="n">
        <x:v>4</x:v>
      </x:c>
      <x:c r="I671" s="34" t="n">
        <x:v>3.4675</x:v>
      </x:c>
      <x:c r="J671" s="34" t="n">
        <x:v>13.313</x:v>
      </x:c>
      <x:c r="K671" s="34" t="n">
        <x:v>0.16225</x:v>
      </x:c>
      <x:c r="L671" s="34" t="n">
        <x:v>0.4</x:v>
      </x:c>
      <x:c r="M671" s="34" t="n">
        <x:v>0.23775</x:v>
      </x:c>
      <x:c r="N671" s="34" t="n">
        <x:v>40.563</x:v>
      </x:c>
      <x:c r="O671" s="34" t="n">
        <x:v>1.359</x:v>
      </x:c>
      <x:c r="P671" s="34" t="n">
        <x:v>3</x:v>
      </x:c>
      <x:c r="Q671" s="34" t="n">
        <x:v>1.641</x:v>
      </x:c>
      <x:c r="R671" s="34" t="n">
        <x:v>45.3</x:v>
      </x:c>
      <x:c r="S671" s="40" t="b">
        <x:v>1</x:v>
      </x:c>
      <x:c r="T671" s="34" t="str">
        <x:v>model_interpolation</x:v>
      </x:c>
      <x:c r="U671" s="34" t="str">
        <x:v>Linear interpolation from 2035 to 2040</x:v>
      </x:c>
      <x:c r="V671" s="34" t="str">
        <x:v>CAND-B51B2DE2F2D28C</x:v>
      </x:c>
      <x:c r="W671" s="34" t="str">
        <x:v>P4</x:v>
      </x:c>
      <x:c r="X671" s="34" t="str">
        <x:v>PORT-8A59F01B884D</x:v>
      </x:c>
      <x:c r="Y671" s="34" t="n">
        <x:v>1000</x:v>
      </x:c>
      <x:c r="Z671" s="34" t="n">
        <x:v>138.942957</x:v>
      </x:c>
      <x:c r="AA671" s="34" t="n">
        <x:v>18.557828</x:v>
      </x:c>
      <x:c r="AB671" s="34" t="n">
        <x:v>114.781594</x:v>
      </x:c>
      <x:c r="AC671" s="34" t="n">
        <x:v>15757.538</x:v>
      </x:c>
      <x:c r="AD671" s="34" t="n">
        <x:v>137.282794</x:v>
      </x:c>
      <x:c r="AE671" s="40" t="b">
        <x:v>1</x:v>
      </x:c>
      <x:c r="AF671" s="40" t="b">
        <x:v>0</x:v>
      </x:c>
      <x:c r="AG671" s="34" t="str"/>
      <x:c r="AH671" s="34" t="n">
        <x:v>0</x:v>
      </x:c>
      <x:c r="AI671" s="34" t="str">
        <x:v>9.990856690045291e-05</x:v>
      </x:c>
      <x:c r="AJ671" s="40" t="b">
        <x:v>0</x:v>
      </x:c>
      <x:c r="AK671" s="40" t="b">
        <x:v>0</x:v>
      </x:c>
      <x:c r="AL671" s="40" t="b">
        <x:v>1</x:v>
      </x:c>
      <x:c r="AM671" s="40" t="b">
        <x:v>1</x:v>
      </x:c>
      <x:c r="AN671" s="34" t="n">
        <x:v>2028</x:v>
      </x:c>
      <x:c r="AO671" s="34" t="n">
        <x:v>0</x:v>
      </x:c>
      <x:c r="AP671" s="34" t="n">
        <x:v>0.012250011000000005</x:v>
      </x:c>
      <x:c r="AQ671" s="34" t="n">
        <x:v>0</x:v>
      </x:c>
      <x:c r="AR671" s="34" t="n">
        <x:v>1</x:v>
      </x:c>
      <x:c r="AS671" s="34" t="n">
        <x:v>1</x:v>
      </x:c>
      <x:c r="AT671" s="34" t="n">
        <x:v>0.28332</x:v>
      </x:c>
      <x:c r="AU671" s="34" t="n">
        <x:v>0.6</x:v>
      </x:c>
      <x:c r="AV671" s="34" t="n">
        <x:v>1.06</x:v>
      </x:c>
    </x:row>
    <x:row r="672">
      <x:c r="A672" s="34" t="str">
        <x:v>KOBE_STEEL_JP</x:v>
      </x:c>
      <x:c r="B672" s="34" t="str">
        <x:v>Kobe Steel</x:v>
      </x:c>
      <x:c r="C672" s="34" t="str">
        <x:v>DISCLOSED_PATH</x:v>
      </x:c>
      <x:c r="D672" s="34" t="str">
        <x:v>P4</x:v>
      </x:c>
      <x:c r="E672" s="34" t="n">
        <x:v>2036</x:v>
      </x:c>
      <x:c r="F672" s="34" t="n">
        <x:v>3</x:v>
      </x:c>
      <x:c r="G672" s="34" t="n">
        <x:v>3.151499</x:v>
      </x:c>
      <x:c r="H672" s="34" t="n">
        <x:v>4.2</x:v>
      </x:c>
      <x:c r="I672" s="34" t="n">
        <x:v>1.048501</x:v>
      </x:c>
      <x:c r="J672" s="34" t="n">
        <x:v>75.036</x:v>
      </x:c>
      <x:c r="K672" s="34" t="n">
        <x:v>0.16225</x:v>
      </x:c>
      <x:c r="L672" s="34" t="n">
        <x:v>0.48000000000000004</x:v>
      </x:c>
      <x:c r="M672" s="34" t="n">
        <x:v>0.31775</x:v>
      </x:c>
      <x:c r="N672" s="34" t="n">
        <x:v>33.802</x:v>
      </x:c>
      <x:c r="O672" s="34" t="n">
        <x:v>2.988599</x:v>
      </x:c>
      <x:c r="P672" s="34" t="n">
        <x:v>3.4</x:v>
      </x:c>
      <x:c r="Q672" s="34" t="n">
        <x:v>0.411401</x:v>
      </x:c>
      <x:c r="R672" s="34" t="n">
        <x:v>87.9</x:v>
      </x:c>
      <x:c r="S672" s="40" t="b">
        <x:v>1</x:v>
      </x:c>
      <x:c r="T672" s="34" t="str">
        <x:v>model_interpolation</x:v>
      </x:c>
      <x:c r="U672" s="34" t="str">
        <x:v>Linear interpolation from 2035 to 2040</x:v>
      </x:c>
      <x:c r="V672" s="34" t="str">
        <x:v>CAND-B51B2DE2F2D28C</x:v>
      </x:c>
      <x:c r="W672" s="34" t="str">
        <x:v>P4</x:v>
      </x:c>
      <x:c r="X672" s="34" t="str">
        <x:v>PORT-8A59F01B884D</x:v>
      </x:c>
      <x:c r="Y672" s="34" t="n">
        <x:v>1000</x:v>
      </x:c>
      <x:c r="Z672" s="34" t="n">
        <x:v>138.942957</x:v>
      </x:c>
      <x:c r="AA672" s="34" t="n">
        <x:v>18.557828</x:v>
      </x:c>
      <x:c r="AB672" s="34" t="n">
        <x:v>114.781594</x:v>
      </x:c>
      <x:c r="AC672" s="34" t="n">
        <x:v>15757.538</x:v>
      </x:c>
      <x:c r="AD672" s="34" t="n">
        <x:v>137.282794</x:v>
      </x:c>
      <x:c r="AE672" s="40" t="b">
        <x:v>1</x:v>
      </x:c>
      <x:c r="AF672" s="40" t="b">
        <x:v>0</x:v>
      </x:c>
      <x:c r="AG672" s="34" t="str"/>
      <x:c r="AH672" s="34" t="n">
        <x:v>0</x:v>
      </x:c>
      <x:c r="AI672" s="34" t="str">
        <x:v>9.990856690045291e-05</x:v>
      </x:c>
      <x:c r="AJ672" s="40" t="b">
        <x:v>0</x:v>
      </x:c>
      <x:c r="AK672" s="40" t="b">
        <x:v>0</x:v>
      </x:c>
      <x:c r="AL672" s="40" t="b">
        <x:v>1</x:v>
      </x:c>
      <x:c r="AM672" s="40" t="b">
        <x:v>1</x:v>
      </x:c>
      <x:c r="AN672" s="34" t="n">
        <x:v>2028</x:v>
      </x:c>
      <x:c r="AO672" s="34" t="n">
        <x:v>0</x:v>
      </x:c>
      <x:c r="AP672" s="34" t="n">
        <x:v>0.012250011000000005</x:v>
      </x:c>
      <x:c r="AQ672" s="34" t="n">
        <x:v>0</x:v>
      </x:c>
      <x:c r="AR672" s="34" t="n">
        <x:v>1</x:v>
      </x:c>
      <x:c r="AS672" s="34" t="n">
        <x:v>1</x:v>
      </x:c>
      <x:c r="AT672" s="34" t="n">
        <x:v>0.28332</x:v>
      </x:c>
      <x:c r="AU672" s="34" t="n">
        <x:v>0.6</x:v>
      </x:c>
      <x:c r="AV672" s="34" t="n">
        <x:v>1.06</x:v>
      </x:c>
    </x:row>
    <x:row r="673">
      <x:c r="A673" s="34" t="str">
        <x:v>KOBE_STEEL_JP</x:v>
      </x:c>
      <x:c r="B673" s="34" t="str">
        <x:v>Kobe Steel</x:v>
      </x:c>
      <x:c r="C673" s="34" t="str">
        <x:v>DISCLOSED_PATH</x:v>
      </x:c>
      <x:c r="D673" s="34" t="str">
        <x:v>P4</x:v>
      </x:c>
      <x:c r="E673" s="34" t="n">
        <x:v>2037</x:v>
      </x:c>
      <x:c r="F673" s="34" t="n">
        <x:v>3</x:v>
      </x:c>
      <x:c r="G673" s="34" t="n">
        <x:v>3.151499</x:v>
      </x:c>
      <x:c r="H673" s="34" t="n">
        <x:v>4.4</x:v>
      </x:c>
      <x:c r="I673" s="34" t="n">
        <x:v>1.248501</x:v>
      </x:c>
      <x:c r="J673" s="34" t="n">
        <x:v>71.625</x:v>
      </x:c>
      <x:c r="K673" s="34" t="n">
        <x:v>0.16225</x:v>
      </x:c>
      <x:c r="L673" s="34" t="n">
        <x:v>0.56</x:v>
      </x:c>
      <x:c r="M673" s="34" t="n">
        <x:v>0.39775</x:v>
      </x:c>
      <x:c r="N673" s="34" t="n">
        <x:v>28.973</x:v>
      </x:c>
      <x:c r="O673" s="34" t="n">
        <x:v>2.988599</x:v>
      </x:c>
      <x:c r="P673" s="34" t="n">
        <x:v>3.8</x:v>
      </x:c>
      <x:c r="Q673" s="34" t="n">
        <x:v>0.811401</x:v>
      </x:c>
      <x:c r="R673" s="34" t="n">
        <x:v>78.647</x:v>
      </x:c>
      <x:c r="S673" s="40" t="b">
        <x:v>1</x:v>
      </x:c>
      <x:c r="T673" s="34" t="str">
        <x:v>model_interpolation</x:v>
      </x:c>
      <x:c r="U673" s="34" t="str">
        <x:v>Linear interpolation from 2035 to 2040</x:v>
      </x:c>
      <x:c r="V673" s="34" t="str">
        <x:v>CAND-B51B2DE2F2D28C</x:v>
      </x:c>
      <x:c r="W673" s="34" t="str">
        <x:v>P4</x:v>
      </x:c>
      <x:c r="X673" s="34" t="str">
        <x:v>PORT-8A59F01B884D</x:v>
      </x:c>
      <x:c r="Y673" s="34" t="n">
        <x:v>1000</x:v>
      </x:c>
      <x:c r="Z673" s="34" t="n">
        <x:v>138.942957</x:v>
      </x:c>
      <x:c r="AA673" s="34" t="n">
        <x:v>18.557828</x:v>
      </x:c>
      <x:c r="AB673" s="34" t="n">
        <x:v>114.781594</x:v>
      </x:c>
      <x:c r="AC673" s="34" t="n">
        <x:v>15757.538</x:v>
      </x:c>
      <x:c r="AD673" s="34" t="n">
        <x:v>137.282794</x:v>
      </x:c>
      <x:c r="AE673" s="40" t="b">
        <x:v>1</x:v>
      </x:c>
      <x:c r="AF673" s="40" t="b">
        <x:v>0</x:v>
      </x:c>
      <x:c r="AG673" s="34" t="str"/>
      <x:c r="AH673" s="34" t="n">
        <x:v>0</x:v>
      </x:c>
      <x:c r="AI673" s="34" t="str">
        <x:v>9.990856690045291e-05</x:v>
      </x:c>
      <x:c r="AJ673" s="40" t="b">
        <x:v>0</x:v>
      </x:c>
      <x:c r="AK673" s="40" t="b">
        <x:v>0</x:v>
      </x:c>
      <x:c r="AL673" s="40" t="b">
        <x:v>1</x:v>
      </x:c>
      <x:c r="AM673" s="40" t="b">
        <x:v>1</x:v>
      </x:c>
      <x:c r="AN673" s="34" t="n">
        <x:v>2028</x:v>
      </x:c>
      <x:c r="AO673" s="34" t="n">
        <x:v>0</x:v>
      </x:c>
      <x:c r="AP673" s="34" t="n">
        <x:v>0.012250011000000005</x:v>
      </x:c>
      <x:c r="AQ673" s="34" t="n">
        <x:v>0</x:v>
      </x:c>
      <x:c r="AR673" s="34" t="n">
        <x:v>1</x:v>
      </x:c>
      <x:c r="AS673" s="34" t="n">
        <x:v>1</x:v>
      </x:c>
      <x:c r="AT673" s="34" t="n">
        <x:v>0.28332</x:v>
      </x:c>
      <x:c r="AU673" s="34" t="n">
        <x:v>0.6</x:v>
      </x:c>
      <x:c r="AV673" s="34" t="n">
        <x:v>1.06</x:v>
      </x:c>
    </x:row>
    <x:row r="674">
      <x:c r="A674" s="34" t="str">
        <x:v>KOBE_STEEL_JP</x:v>
      </x:c>
      <x:c r="B674" s="34" t="str">
        <x:v>Kobe Steel</x:v>
      </x:c>
      <x:c r="C674" s="34" t="str">
        <x:v>DISCLOSED_PATH</x:v>
      </x:c>
      <x:c r="D674" s="34" t="str">
        <x:v>P4</x:v>
      </x:c>
      <x:c r="E674" s="34" t="n">
        <x:v>2038</x:v>
      </x:c>
      <x:c r="F674" s="34" t="n">
        <x:v>3</x:v>
      </x:c>
      <x:c r="G674" s="34" t="n">
        <x:v>3.151499</x:v>
      </x:c>
      <x:c r="H674" s="34" t="n">
        <x:v>4.6</x:v>
      </x:c>
      <x:c r="I674" s="34" t="n">
        <x:v>1.448501</x:v>
      </x:c>
      <x:c r="J674" s="34" t="n">
        <x:v>68.511</x:v>
      </x:c>
      <x:c r="K674" s="34" t="n">
        <x:v>0.16225</x:v>
      </x:c>
      <x:c r="L674" s="34" t="n">
        <x:v>0.64</x:v>
      </x:c>
      <x:c r="M674" s="34" t="n">
        <x:v>0.47775</x:v>
      </x:c>
      <x:c r="N674" s="34" t="n">
        <x:v>25.352</x:v>
      </x:c>
      <x:c r="O674" s="34" t="n">
        <x:v>2.988599</x:v>
      </x:c>
      <x:c r="P674" s="34" t="n">
        <x:v>4.2</x:v>
      </x:c>
      <x:c r="Q674" s="34" t="n">
        <x:v>1.211401</x:v>
      </x:c>
      <x:c r="R674" s="34" t="n">
        <x:v>71.157</x:v>
      </x:c>
      <x:c r="S674" s="40" t="b">
        <x:v>1</x:v>
      </x:c>
      <x:c r="T674" s="34" t="str">
        <x:v>model_interpolation</x:v>
      </x:c>
      <x:c r="U674" s="34" t="str">
        <x:v>Linear interpolation from 2035 to 2040</x:v>
      </x:c>
      <x:c r="V674" s="34" t="str">
        <x:v>CAND-B51B2DE2F2D28C</x:v>
      </x:c>
      <x:c r="W674" s="34" t="str">
        <x:v>P4</x:v>
      </x:c>
      <x:c r="X674" s="34" t="str">
        <x:v>PORT-8A59F01B884D</x:v>
      </x:c>
      <x:c r="Y674" s="34" t="n">
        <x:v>1000</x:v>
      </x:c>
      <x:c r="Z674" s="34" t="n">
        <x:v>138.942957</x:v>
      </x:c>
      <x:c r="AA674" s="34" t="n">
        <x:v>18.557828</x:v>
      </x:c>
      <x:c r="AB674" s="34" t="n">
        <x:v>114.781594</x:v>
      </x:c>
      <x:c r="AC674" s="34" t="n">
        <x:v>15757.538</x:v>
      </x:c>
      <x:c r="AD674" s="34" t="n">
        <x:v>137.282794</x:v>
      </x:c>
      <x:c r="AE674" s="40" t="b">
        <x:v>1</x:v>
      </x:c>
      <x:c r="AF674" s="40" t="b">
        <x:v>0</x:v>
      </x:c>
      <x:c r="AG674" s="34" t="str"/>
      <x:c r="AH674" s="34" t="n">
        <x:v>0</x:v>
      </x:c>
      <x:c r="AI674" s="34" t="str">
        <x:v>9.990856690045291e-05</x:v>
      </x:c>
      <x:c r="AJ674" s="40" t="b">
        <x:v>0</x:v>
      </x:c>
      <x:c r="AK674" s="40" t="b">
        <x:v>0</x:v>
      </x:c>
      <x:c r="AL674" s="40" t="b">
        <x:v>1</x:v>
      </x:c>
      <x:c r="AM674" s="40" t="b">
        <x:v>1</x:v>
      </x:c>
      <x:c r="AN674" s="34" t="n">
        <x:v>2028</x:v>
      </x:c>
      <x:c r="AO674" s="34" t="n">
        <x:v>0</x:v>
      </x:c>
      <x:c r="AP674" s="34" t="n">
        <x:v>0.012250011000000005</x:v>
      </x:c>
      <x:c r="AQ674" s="34" t="n">
        <x:v>0</x:v>
      </x:c>
      <x:c r="AR674" s="34" t="n">
        <x:v>1</x:v>
      </x:c>
      <x:c r="AS674" s="34" t="n">
        <x:v>1</x:v>
      </x:c>
      <x:c r="AT674" s="34" t="n">
        <x:v>0.28332</x:v>
      </x:c>
      <x:c r="AU674" s="34" t="n">
        <x:v>0.6</x:v>
      </x:c>
      <x:c r="AV674" s="34" t="n">
        <x:v>1.06</x:v>
      </x:c>
    </x:row>
    <x:row r="675">
      <x:c r="A675" s="34" t="str">
        <x:v>KOBE_STEEL_JP</x:v>
      </x:c>
      <x:c r="B675" s="34" t="str">
        <x:v>Kobe Steel</x:v>
      </x:c>
      <x:c r="C675" s="34" t="str">
        <x:v>DISCLOSED_PATH</x:v>
      </x:c>
      <x:c r="D675" s="34" t="str">
        <x:v>P4</x:v>
      </x:c>
      <x:c r="E675" s="34" t="n">
        <x:v>2039</x:v>
      </x:c>
      <x:c r="F675" s="34" t="n">
        <x:v>3</x:v>
      </x:c>
      <x:c r="G675" s="34" t="n">
        <x:v>3.151499</x:v>
      </x:c>
      <x:c r="H675" s="34" t="n">
        <x:v>4.8</x:v>
      </x:c>
      <x:c r="I675" s="34" t="n">
        <x:v>1.648501</x:v>
      </x:c>
      <x:c r="J675" s="34" t="n">
        <x:v>65.656</x:v>
      </x:c>
      <x:c r="K675" s="34" t="n">
        <x:v>0.16225</x:v>
      </x:c>
      <x:c r="L675" s="34" t="n">
        <x:v>0.7200000000000001</x:v>
      </x:c>
      <x:c r="M675" s="34" t="n">
        <x:v>0.55775</x:v>
      </x:c>
      <x:c r="N675" s="34" t="n">
        <x:v>22.535</x:v>
      </x:c>
      <x:c r="O675" s="34" t="n">
        <x:v>2.988599</x:v>
      </x:c>
      <x:c r="P675" s="34" t="n">
        <x:v>4.6</x:v>
      </x:c>
      <x:c r="Q675" s="34" t="n">
        <x:v>1.611401</x:v>
      </x:c>
      <x:c r="R675" s="34" t="n">
        <x:v>64.97</x:v>
      </x:c>
      <x:c r="S675" s="40" t="b">
        <x:v>1</x:v>
      </x:c>
      <x:c r="T675" s="34" t="str">
        <x:v>model_interpolation</x:v>
      </x:c>
      <x:c r="U675" s="34" t="str">
        <x:v>Linear interpolation from 2035 to 2040</x:v>
      </x:c>
      <x:c r="V675" s="34" t="str">
        <x:v>CAND-B51B2DE2F2D28C</x:v>
      </x:c>
      <x:c r="W675" s="34" t="str">
        <x:v>P4</x:v>
      </x:c>
      <x:c r="X675" s="34" t="str">
        <x:v>PORT-8A59F01B884D</x:v>
      </x:c>
      <x:c r="Y675" s="34" t="n">
        <x:v>1000</x:v>
      </x:c>
      <x:c r="Z675" s="34" t="n">
        <x:v>138.942957</x:v>
      </x:c>
      <x:c r="AA675" s="34" t="n">
        <x:v>18.557828</x:v>
      </x:c>
      <x:c r="AB675" s="34" t="n">
        <x:v>114.781594</x:v>
      </x:c>
      <x:c r="AC675" s="34" t="n">
        <x:v>15757.538</x:v>
      </x:c>
      <x:c r="AD675" s="34" t="n">
        <x:v>137.282794</x:v>
      </x:c>
      <x:c r="AE675" s="40" t="b">
        <x:v>1</x:v>
      </x:c>
      <x:c r="AF675" s="40" t="b">
        <x:v>0</x:v>
      </x:c>
      <x:c r="AG675" s="34" t="str"/>
      <x:c r="AH675" s="34" t="n">
        <x:v>0</x:v>
      </x:c>
      <x:c r="AI675" s="34" t="str">
        <x:v>9.990856690045291e-05</x:v>
      </x:c>
      <x:c r="AJ675" s="40" t="b">
        <x:v>0</x:v>
      </x:c>
      <x:c r="AK675" s="40" t="b">
        <x:v>0</x:v>
      </x:c>
      <x:c r="AL675" s="40" t="b">
        <x:v>1</x:v>
      </x:c>
      <x:c r="AM675" s="40" t="b">
        <x:v>1</x:v>
      </x:c>
      <x:c r="AN675" s="34" t="n">
        <x:v>2028</x:v>
      </x:c>
      <x:c r="AO675" s="34" t="n">
        <x:v>0</x:v>
      </x:c>
      <x:c r="AP675" s="34" t="n">
        <x:v>0.012250011000000005</x:v>
      </x:c>
      <x:c r="AQ675" s="34" t="n">
        <x:v>0</x:v>
      </x:c>
      <x:c r="AR675" s="34" t="n">
        <x:v>1</x:v>
      </x:c>
      <x:c r="AS675" s="34" t="n">
        <x:v>1</x:v>
      </x:c>
      <x:c r="AT675" s="34" t="n">
        <x:v>0.28332</x:v>
      </x:c>
      <x:c r="AU675" s="34" t="n">
        <x:v>0.6</x:v>
      </x:c>
      <x:c r="AV675" s="34" t="n">
        <x:v>1.06</x:v>
      </x:c>
    </x:row>
    <x:row r="676">
      <x:c r="A676" s="34" t="str">
        <x:v>KOBE_STEEL_JP</x:v>
      </x:c>
      <x:c r="B676" s="34" t="str">
        <x:v>Kobe Steel</x:v>
      </x:c>
      <x:c r="C676" s="34" t="str">
        <x:v>DISCLOSED_PATH</x:v>
      </x:c>
      <x:c r="D676" s="34" t="str">
        <x:v>P4</x:v>
      </x:c>
      <x:c r="E676" s="34" t="n">
        <x:v>2040</x:v>
      </x:c>
      <x:c r="F676" s="34" t="n">
        <x:v>3</x:v>
      </x:c>
      <x:c r="G676" s="34" t="n">
        <x:v>3.151499</x:v>
      </x:c>
      <x:c r="H676" s="34" t="n">
        <x:v>5</x:v>
      </x:c>
      <x:c r="I676" s="34" t="n">
        <x:v>1.848501</x:v>
      </x:c>
      <x:c r="J676" s="34" t="n">
        <x:v>63.03</x:v>
      </x:c>
      <x:c r="K676" s="34" t="n">
        <x:v>0.16225</x:v>
      </x:c>
      <x:c r="L676" s="34" t="n">
        <x:v>0.8</x:v>
      </x:c>
      <x:c r="M676" s="34" t="n">
        <x:v>0.63775</x:v>
      </x:c>
      <x:c r="N676" s="34" t="n">
        <x:v>20.281</x:v>
      </x:c>
      <x:c r="O676" s="34" t="n">
        <x:v>2.988599</x:v>
      </x:c>
      <x:c r="P676" s="34" t="n">
        <x:v>5</x:v>
      </x:c>
      <x:c r="Q676" s="34" t="n">
        <x:v>2.011401</x:v>
      </x:c>
      <x:c r="R676" s="34" t="n">
        <x:v>59.772</x:v>
      </x:c>
      <x:c r="S676" s="40" t="b">
        <x:v>1</x:v>
      </x:c>
      <x:c r="T676" s="34" t="str">
        <x:v>model_estimate</x:v>
      </x:c>
      <x:c r="U676" s="34" t="str">
        <x:v>Illustrative screening envelope; not an official supply forecast</x:v>
      </x:c>
      <x:c r="V676" s="34" t="str">
        <x:v>CAND-B51B2DE2F2D28C</x:v>
      </x:c>
      <x:c r="W676" s="34" t="str">
        <x:v>P4</x:v>
      </x:c>
      <x:c r="X676" s="34" t="str">
        <x:v>PORT-8A59F01B884D</x:v>
      </x:c>
      <x:c r="Y676" s="34" t="n">
        <x:v>1000</x:v>
      </x:c>
      <x:c r="Z676" s="34" t="n">
        <x:v>138.942957</x:v>
      </x:c>
      <x:c r="AA676" s="34" t="n">
        <x:v>18.557828</x:v>
      </x:c>
      <x:c r="AB676" s="34" t="n">
        <x:v>114.781594</x:v>
      </x:c>
      <x:c r="AC676" s="34" t="n">
        <x:v>15757.538</x:v>
      </x:c>
      <x:c r="AD676" s="34" t="n">
        <x:v>137.282794</x:v>
      </x:c>
      <x:c r="AE676" s="40" t="b">
        <x:v>1</x:v>
      </x:c>
      <x:c r="AF676" s="40" t="b">
        <x:v>0</x:v>
      </x:c>
      <x:c r="AG676" s="34" t="str"/>
      <x:c r="AH676" s="34" t="n">
        <x:v>0</x:v>
      </x:c>
      <x:c r="AI676" s="34" t="str">
        <x:v>9.990856690045291e-05</x:v>
      </x:c>
      <x:c r="AJ676" s="40" t="b">
        <x:v>0</x:v>
      </x:c>
      <x:c r="AK676" s="40" t="b">
        <x:v>0</x:v>
      </x:c>
      <x:c r="AL676" s="40" t="b">
        <x:v>1</x:v>
      </x:c>
      <x:c r="AM676" s="40" t="b">
        <x:v>1</x:v>
      </x:c>
      <x:c r="AN676" s="34" t="n">
        <x:v>2028</x:v>
      </x:c>
      <x:c r="AO676" s="34" t="n">
        <x:v>0</x:v>
      </x:c>
      <x:c r="AP676" s="34" t="n">
        <x:v>0.012250011000000005</x:v>
      </x:c>
      <x:c r="AQ676" s="34" t="n">
        <x:v>0</x:v>
      </x:c>
      <x:c r="AR676" s="34" t="n">
        <x:v>1</x:v>
      </x:c>
      <x:c r="AS676" s="34" t="n">
        <x:v>1</x:v>
      </x:c>
      <x:c r="AT676" s="34" t="n">
        <x:v>0.28332</x:v>
      </x:c>
      <x:c r="AU676" s="34" t="n">
        <x:v>0.6</x:v>
      </x:c>
      <x:c r="AV676" s="34" t="n">
        <x:v>1.06</x:v>
      </x:c>
    </x:row>
    <x:row r="677">
      <x:c r="A677" s="34" t="str">
        <x:v>KOBE_STEEL_JP</x:v>
      </x:c>
      <x:c r="B677" s="34" t="str">
        <x:v>Kobe Steel</x:v>
      </x:c>
      <x:c r="C677" s="34" t="str">
        <x:v>ACCELERATED_15C</x:v>
      </x:c>
      <x:c r="D677" s="34" t="str">
        <x:v>P4</x:v>
      </x:c>
      <x:c r="E677" s="34" t="n">
        <x:v>2026</x:v>
      </x:c>
      <x:c r="F677" s="34" t="n">
        <x:v>0</x:v>
      </x:c>
      <x:c r="G677" s="34" t="n">
        <x:v>0</x:v>
      </x:c>
      <x:c r="H677" s="34" t="n">
        <x:v>2</x:v>
      </x:c>
      <x:c r="I677" s="34" t="n">
        <x:v>2</x:v>
      </x:c>
      <x:c r="J677" s="34" t="n">
        <x:v>0</x:v>
      </x:c>
      <x:c r="K677" s="34" t="n">
        <x:v>0</x:v>
      </x:c>
      <x:c r="L677" s="34" t="n">
        <x:v>0.2</x:v>
      </x:c>
      <x:c r="M677" s="34" t="n">
        <x:v>0.2</x:v>
      </x:c>
      <x:c r="N677" s="34" t="n">
        <x:v>0</x:v>
      </x:c>
      <x:c r="O677" s="34" t="n">
        <x:v>0</x:v>
      </x:c>
      <x:c r="P677" s="34" t="n">
        <x:v>1</x:v>
      </x:c>
      <x:c r="Q677" s="34" t="n">
        <x:v>1</x:v>
      </x:c>
      <x:c r="R677" s="34" t="n">
        <x:v>0</x:v>
      </x:c>
      <x:c r="S677" s="40" t="b">
        <x:v>1</x:v>
      </x:c>
      <x:c r="T677" s="34" t="str">
        <x:v>model_interpolation</x:v>
      </x:c>
      <x:c r="U677" s="34" t="str">
        <x:v>Linear interpolation from 2026 to 2030</x:v>
      </x:c>
      <x:c r="V677" s="34" t="str">
        <x:v>CAND-B51B2DE2F2D28C</x:v>
      </x:c>
      <x:c r="W677" s="34" t="str">
        <x:v>P4</x:v>
      </x:c>
      <x:c r="X677" s="34" t="str">
        <x:v>PORT-8A59F01B884D</x:v>
      </x:c>
      <x:c r="Y677" s="34" t="n">
        <x:v>1000</x:v>
      </x:c>
      <x:c r="Z677" s="34" t="n">
        <x:v>125.278714</x:v>
      </x:c>
      <x:c r="AA677" s="34" t="n">
        <x:v>18.81352</x:v>
      </x:c>
      <x:c r="AB677" s="34" t="n">
        <x:v>114.781594</x:v>
      </x:c>
      <x:c r="AC677" s="34" t="n">
        <x:v>14200.239</x:v>
      </x:c>
      <x:c r="AD677" s="34" t="n">
        <x:v>123.715296</x:v>
      </x:c>
      <x:c r="AE677" s="40" t="b">
        <x:v>1</x:v>
      </x:c>
      <x:c r="AF677" s="40" t="b">
        <x:v>1</x:v>
      </x:c>
      <x:c r="AG677" s="34" t="str"/>
      <x:c r="AH677" s="34" t="n">
        <x:v>0</x:v>
      </x:c>
      <x:c r="AI677" s="34" t="str">
        <x:v>9.990856690045291e-05</x:v>
      </x:c>
      <x:c r="AJ677" s="40" t="b">
        <x:v>1</x:v>
      </x:c>
      <x:c r="AK677" s="40" t="b">
        <x:v>1</x:v>
      </x:c>
      <x:c r="AL677" s="40" t="b">
        <x:v>1</x:v>
      </x:c>
      <x:c r="AM677" s="40" t="b">
        <x:v>1</x:v>
      </x:c>
      <x:c r="AN677" s="34" t="str"/>
      <x:c r="AO677" s="34" t="n">
        <x:v>0</x:v>
      </x:c>
      <x:c r="AP677" s="34" t="n">
        <x:v>0</x:v>
      </x:c>
      <x:c r="AQ677" s="34" t="n">
        <x:v>0</x:v>
      </x:c>
      <x:c r="AR677" s="34" t="n">
        <x:v>1</x:v>
      </x:c>
      <x:c r="AS677" s="34" t="n">
        <x:v>1</x:v>
      </x:c>
      <x:c r="AT677" s="34" t="n">
        <x:v>0.28332</x:v>
      </x:c>
      <x:c r="AU677" s="34" t="n">
        <x:v>0.6</x:v>
      </x:c>
      <x:c r="AV677" s="34" t="n">
        <x:v>1.06</x:v>
      </x:c>
    </x:row>
    <x:row r="678">
      <x:c r="A678" s="34" t="str">
        <x:v>KOBE_STEEL_JP</x:v>
      </x:c>
      <x:c r="B678" s="34" t="str">
        <x:v>Kobe Steel</x:v>
      </x:c>
      <x:c r="C678" s="34" t="str">
        <x:v>ACCELERATED_15C</x:v>
      </x:c>
      <x:c r="D678" s="34" t="str">
        <x:v>P4</x:v>
      </x:c>
      <x:c r="E678" s="34" t="n">
        <x:v>2027</x:v>
      </x:c>
      <x:c r="F678" s="34" t="n">
        <x:v>0</x:v>
      </x:c>
      <x:c r="G678" s="34" t="n">
        <x:v>0</x:v>
      </x:c>
      <x:c r="H678" s="34" t="n">
        <x:v>2.25</x:v>
      </x:c>
      <x:c r="I678" s="34" t="n">
        <x:v>2.25</x:v>
      </x:c>
      <x:c r="J678" s="34" t="n">
        <x:v>0</x:v>
      </x:c>
      <x:c r="K678" s="34" t="n">
        <x:v>0</x:v>
      </x:c>
      <x:c r="L678" s="34" t="n">
        <x:v>0.25</x:v>
      </x:c>
      <x:c r="M678" s="34" t="n">
        <x:v>0.25</x:v>
      </x:c>
      <x:c r="N678" s="34" t="n">
        <x:v>0</x:v>
      </x:c>
      <x:c r="O678" s="34" t="n">
        <x:v>0</x:v>
      </x:c>
      <x:c r="P678" s="34" t="n">
        <x:v>1.375</x:v>
      </x:c>
      <x:c r="Q678" s="34" t="n">
        <x:v>1.375</x:v>
      </x:c>
      <x:c r="R678" s="34" t="n">
        <x:v>0</x:v>
      </x:c>
      <x:c r="S678" s="40" t="b">
        <x:v>1</x:v>
      </x:c>
      <x:c r="T678" s="34" t="str">
        <x:v>model_interpolation</x:v>
      </x:c>
      <x:c r="U678" s="34" t="str">
        <x:v>Linear interpolation from 2026 to 2030</x:v>
      </x:c>
      <x:c r="V678" s="34" t="str">
        <x:v>CAND-B51B2DE2F2D28C</x:v>
      </x:c>
      <x:c r="W678" s="34" t="str">
        <x:v>P4</x:v>
      </x:c>
      <x:c r="X678" s="34" t="str">
        <x:v>PORT-8A59F01B884D</x:v>
      </x:c>
      <x:c r="Y678" s="34" t="n">
        <x:v>1000</x:v>
      </x:c>
      <x:c r="Z678" s="34" t="n">
        <x:v>125.278714</x:v>
      </x:c>
      <x:c r="AA678" s="34" t="n">
        <x:v>18.81352</x:v>
      </x:c>
      <x:c r="AB678" s="34" t="n">
        <x:v>114.781594</x:v>
      </x:c>
      <x:c r="AC678" s="34" t="n">
        <x:v>14200.239</x:v>
      </x:c>
      <x:c r="AD678" s="34" t="n">
        <x:v>123.715296</x:v>
      </x:c>
      <x:c r="AE678" s="40" t="b">
        <x:v>1</x:v>
      </x:c>
      <x:c r="AF678" s="40" t="b">
        <x:v>1</x:v>
      </x:c>
      <x:c r="AG678" s="34" t="str"/>
      <x:c r="AH678" s="34" t="n">
        <x:v>0</x:v>
      </x:c>
      <x:c r="AI678" s="34" t="str">
        <x:v>9.990856690045291e-05</x:v>
      </x:c>
      <x:c r="AJ678" s="40" t="b">
        <x:v>1</x:v>
      </x:c>
      <x:c r="AK678" s="40" t="b">
        <x:v>1</x:v>
      </x:c>
      <x:c r="AL678" s="40" t="b">
        <x:v>1</x:v>
      </x:c>
      <x:c r="AM678" s="40" t="b">
        <x:v>1</x:v>
      </x:c>
      <x:c r="AN678" s="34" t="str"/>
      <x:c r="AO678" s="34" t="n">
        <x:v>0</x:v>
      </x:c>
      <x:c r="AP678" s="34" t="n">
        <x:v>0</x:v>
      </x:c>
      <x:c r="AQ678" s="34" t="n">
        <x:v>0</x:v>
      </x:c>
      <x:c r="AR678" s="34" t="n">
        <x:v>1</x:v>
      </x:c>
      <x:c r="AS678" s="34" t="n">
        <x:v>1</x:v>
      </x:c>
      <x:c r="AT678" s="34" t="n">
        <x:v>0.28332</x:v>
      </x:c>
      <x:c r="AU678" s="34" t="n">
        <x:v>0.6</x:v>
      </x:c>
      <x:c r="AV678" s="34" t="n">
        <x:v>1.06</x:v>
      </x:c>
    </x:row>
    <x:row r="679">
      <x:c r="A679" s="34" t="str">
        <x:v>KOBE_STEEL_JP</x:v>
      </x:c>
      <x:c r="B679" s="34" t="str">
        <x:v>Kobe Steel</x:v>
      </x:c>
      <x:c r="C679" s="34" t="str">
        <x:v>ACCELERATED_15C</x:v>
      </x:c>
      <x:c r="D679" s="34" t="str">
        <x:v>P4</x:v>
      </x:c>
      <x:c r="E679" s="34" t="n">
        <x:v>2028</x:v>
      </x:c>
      <x:c r="F679" s="34" t="n">
        <x:v>1</x:v>
      </x:c>
      <x:c r="G679" s="34" t="n">
        <x:v>0.4425</x:v>
      </x:c>
      <x:c r="H679" s="34" t="n">
        <x:v>2.5</x:v>
      </x:c>
      <x:c r="I679" s="34" t="n">
        <x:v>2.0575</x:v>
      </x:c>
      <x:c r="J679" s="34" t="n">
        <x:v>17.7</x:v>
      </x:c>
      <x:c r="K679" s="34" t="n">
        <x:v>0.16225</x:v>
      </x:c>
      <x:c r="L679" s="34" t="n">
        <x:v>0.30000000000000004</x:v>
      </x:c>
      <x:c r="M679" s="34" t="n">
        <x:v>0.13775</x:v>
      </x:c>
      <x:c r="N679" s="34" t="n">
        <x:v>54.083</x:v>
      </x:c>
      <x:c r="O679" s="34" t="n">
        <x:v>1.357</x:v>
      </x:c>
      <x:c r="P679" s="34" t="n">
        <x:v>1.75</x:v>
      </x:c>
      <x:c r="Q679" s="34" t="n">
        <x:v>0.393</x:v>
      </x:c>
      <x:c r="R679" s="34" t="n">
        <x:v>77.543</x:v>
      </x:c>
      <x:c r="S679" s="40" t="b">
        <x:v>1</x:v>
      </x:c>
      <x:c r="T679" s="34" t="str">
        <x:v>model_interpolation</x:v>
      </x:c>
      <x:c r="U679" s="34" t="str">
        <x:v>Linear interpolation from 2026 to 2030</x:v>
      </x:c>
      <x:c r="V679" s="34" t="str">
        <x:v>CAND-B51B2DE2F2D28C</x:v>
      </x:c>
      <x:c r="W679" s="34" t="str">
        <x:v>P4</x:v>
      </x:c>
      <x:c r="X679" s="34" t="str">
        <x:v>PORT-8A59F01B884D</x:v>
      </x:c>
      <x:c r="Y679" s="34" t="n">
        <x:v>1000</x:v>
      </x:c>
      <x:c r="Z679" s="34" t="n">
        <x:v>125.278714</x:v>
      </x:c>
      <x:c r="AA679" s="34" t="n">
        <x:v>18.81352</x:v>
      </x:c>
      <x:c r="AB679" s="34" t="n">
        <x:v>114.781594</x:v>
      </x:c>
      <x:c r="AC679" s="34" t="n">
        <x:v>14200.239</x:v>
      </x:c>
      <x:c r="AD679" s="34" t="n">
        <x:v>123.715296</x:v>
      </x:c>
      <x:c r="AE679" s="40" t="b">
        <x:v>1</x:v>
      </x:c>
      <x:c r="AF679" s="40" t="b">
        <x:v>1</x:v>
      </x:c>
      <x:c r="AG679" s="34" t="str"/>
      <x:c r="AH679" s="34" t="n">
        <x:v>0</x:v>
      </x:c>
      <x:c r="AI679" s="34" t="str">
        <x:v>9.990856690045291e-05</x:v>
      </x:c>
      <x:c r="AJ679" s="40" t="b">
        <x:v>1</x:v>
      </x:c>
      <x:c r="AK679" s="40" t="b">
        <x:v>1</x:v>
      </x:c>
      <x:c r="AL679" s="40" t="b">
        <x:v>1</x:v>
      </x:c>
      <x:c r="AM679" s="40" t="b">
        <x:v>1</x:v>
      </x:c>
      <x:c r="AN679" s="34" t="str"/>
      <x:c r="AO679" s="34" t="n">
        <x:v>0</x:v>
      </x:c>
      <x:c r="AP679" s="34" t="n">
        <x:v>0</x:v>
      </x:c>
      <x:c r="AQ679" s="34" t="n">
        <x:v>0</x:v>
      </x:c>
      <x:c r="AR679" s="34" t="n">
        <x:v>1</x:v>
      </x:c>
      <x:c r="AS679" s="34" t="n">
        <x:v>1</x:v>
      </x:c>
      <x:c r="AT679" s="34" t="n">
        <x:v>0.28332</x:v>
      </x:c>
      <x:c r="AU679" s="34" t="n">
        <x:v>0.6</x:v>
      </x:c>
      <x:c r="AV679" s="34" t="n">
        <x:v>1.06</x:v>
      </x:c>
    </x:row>
    <x:row r="680">
      <x:c r="A680" s="34" t="str">
        <x:v>KOBE_STEEL_JP</x:v>
      </x:c>
      <x:c r="B680" s="34" t="str">
        <x:v>Kobe Steel</x:v>
      </x:c>
      <x:c r="C680" s="34" t="str">
        <x:v>ACCELERATED_15C</x:v>
      </x:c>
      <x:c r="D680" s="34" t="str">
        <x:v>P4</x:v>
      </x:c>
      <x:c r="E680" s="34" t="n">
        <x:v>2029</x:v>
      </x:c>
      <x:c r="F680" s="34" t="n">
        <x:v>1</x:v>
      </x:c>
      <x:c r="G680" s="34" t="n">
        <x:v>0.4425</x:v>
      </x:c>
      <x:c r="H680" s="34" t="n">
        <x:v>2.75</x:v>
      </x:c>
      <x:c r="I680" s="34" t="n">
        <x:v>2.3075</x:v>
      </x:c>
      <x:c r="J680" s="34" t="n">
        <x:v>16.091</x:v>
      </x:c>
      <x:c r="K680" s="34" t="n">
        <x:v>0.16225</x:v>
      </x:c>
      <x:c r="L680" s="34" t="n">
        <x:v>0.35000000000000003</x:v>
      </x:c>
      <x:c r="M680" s="34" t="n">
        <x:v>0.18775</x:v>
      </x:c>
      <x:c r="N680" s="34" t="n">
        <x:v>46.357</x:v>
      </x:c>
      <x:c r="O680" s="34" t="n">
        <x:v>1.357</x:v>
      </x:c>
      <x:c r="P680" s="34" t="n">
        <x:v>2.125</x:v>
      </x:c>
      <x:c r="Q680" s="34" t="n">
        <x:v>0.768</x:v>
      </x:c>
      <x:c r="R680" s="34" t="n">
        <x:v>63.859</x:v>
      </x:c>
      <x:c r="S680" s="40" t="b">
        <x:v>1</x:v>
      </x:c>
      <x:c r="T680" s="34" t="str">
        <x:v>model_interpolation</x:v>
      </x:c>
      <x:c r="U680" s="34" t="str">
        <x:v>Linear interpolation from 2026 to 2030</x:v>
      </x:c>
      <x:c r="V680" s="34" t="str">
        <x:v>CAND-B51B2DE2F2D28C</x:v>
      </x:c>
      <x:c r="W680" s="34" t="str">
        <x:v>P4</x:v>
      </x:c>
      <x:c r="X680" s="34" t="str">
        <x:v>PORT-8A59F01B884D</x:v>
      </x:c>
      <x:c r="Y680" s="34" t="n">
        <x:v>1000</x:v>
      </x:c>
      <x:c r="Z680" s="34" t="n">
        <x:v>125.278714</x:v>
      </x:c>
      <x:c r="AA680" s="34" t="n">
        <x:v>18.81352</x:v>
      </x:c>
      <x:c r="AB680" s="34" t="n">
        <x:v>114.781594</x:v>
      </x:c>
      <x:c r="AC680" s="34" t="n">
        <x:v>14200.239</x:v>
      </x:c>
      <x:c r="AD680" s="34" t="n">
        <x:v>123.715296</x:v>
      </x:c>
      <x:c r="AE680" s="40" t="b">
        <x:v>1</x:v>
      </x:c>
      <x:c r="AF680" s="40" t="b">
        <x:v>1</x:v>
      </x:c>
      <x:c r="AG680" s="34" t="str"/>
      <x:c r="AH680" s="34" t="n">
        <x:v>0</x:v>
      </x:c>
      <x:c r="AI680" s="34" t="str">
        <x:v>9.990856690045291e-05</x:v>
      </x:c>
      <x:c r="AJ680" s="40" t="b">
        <x:v>1</x:v>
      </x:c>
      <x:c r="AK680" s="40" t="b">
        <x:v>1</x:v>
      </x:c>
      <x:c r="AL680" s="40" t="b">
        <x:v>1</x:v>
      </x:c>
      <x:c r="AM680" s="40" t="b">
        <x:v>1</x:v>
      </x:c>
      <x:c r="AN680" s="34" t="str"/>
      <x:c r="AO680" s="34" t="n">
        <x:v>0</x:v>
      </x:c>
      <x:c r="AP680" s="34" t="n">
        <x:v>0</x:v>
      </x:c>
      <x:c r="AQ680" s="34" t="n">
        <x:v>0</x:v>
      </x:c>
      <x:c r="AR680" s="34" t="n">
        <x:v>1</x:v>
      </x:c>
      <x:c r="AS680" s="34" t="n">
        <x:v>1</x:v>
      </x:c>
      <x:c r="AT680" s="34" t="n">
        <x:v>0.28332</x:v>
      </x:c>
      <x:c r="AU680" s="34" t="n">
        <x:v>0.6</x:v>
      </x:c>
      <x:c r="AV680" s="34" t="n">
        <x:v>1.06</x:v>
      </x:c>
    </x:row>
    <x:row r="681">
      <x:c r="A681" s="34" t="str">
        <x:v>KOBE_STEEL_JP</x:v>
      </x:c>
      <x:c r="B681" s="34" t="str">
        <x:v>Kobe Steel</x:v>
      </x:c>
      <x:c r="C681" s="34" t="str">
        <x:v>ACCELERATED_15C</x:v>
      </x:c>
      <x:c r="D681" s="34" t="str">
        <x:v>P4</x:v>
      </x:c>
      <x:c r="E681" s="34" t="n">
        <x:v>2030</x:v>
      </x:c>
      <x:c r="F681" s="34" t="n">
        <x:v>1</x:v>
      </x:c>
      <x:c r="G681" s="34" t="n">
        <x:v>0.4425</x:v>
      </x:c>
      <x:c r="H681" s="34" t="n">
        <x:v>3</x:v>
      </x:c>
      <x:c r="I681" s="34" t="n">
        <x:v>2.5575</x:v>
      </x:c>
      <x:c r="J681" s="34" t="n">
        <x:v>14.75</x:v>
      </x:c>
      <x:c r="K681" s="34" t="n">
        <x:v>0.16225</x:v>
      </x:c>
      <x:c r="L681" s="34" t="n">
        <x:v>0.4</x:v>
      </x:c>
      <x:c r="M681" s="34" t="n">
        <x:v>0.23775</x:v>
      </x:c>
      <x:c r="N681" s="34" t="n">
        <x:v>40.563</x:v>
      </x:c>
      <x:c r="O681" s="34" t="n">
        <x:v>1.357</x:v>
      </x:c>
      <x:c r="P681" s="34" t="n">
        <x:v>2.5</x:v>
      </x:c>
      <x:c r="Q681" s="34" t="n">
        <x:v>1.143</x:v>
      </x:c>
      <x:c r="R681" s="34" t="n">
        <x:v>54.28</x:v>
      </x:c>
      <x:c r="S681" s="40" t="b">
        <x:v>1</x:v>
      </x:c>
      <x:c r="T681" s="34" t="str">
        <x:v>model_interpolation</x:v>
      </x:c>
      <x:c r="U681" s="34" t="str">
        <x:v>Linear interpolation from 2030 to 2035</x:v>
      </x:c>
      <x:c r="V681" s="34" t="str">
        <x:v>CAND-B51B2DE2F2D28C</x:v>
      </x:c>
      <x:c r="W681" s="34" t="str">
        <x:v>P4</x:v>
      </x:c>
      <x:c r="X681" s="34" t="str">
        <x:v>PORT-8A59F01B884D</x:v>
      </x:c>
      <x:c r="Y681" s="34" t="n">
        <x:v>1000</x:v>
      </x:c>
      <x:c r="Z681" s="34" t="n">
        <x:v>125.278714</x:v>
      </x:c>
      <x:c r="AA681" s="34" t="n">
        <x:v>18.81352</x:v>
      </x:c>
      <x:c r="AB681" s="34" t="n">
        <x:v>114.781594</x:v>
      </x:c>
      <x:c r="AC681" s="34" t="n">
        <x:v>14200.239</x:v>
      </x:c>
      <x:c r="AD681" s="34" t="n">
        <x:v>123.715296</x:v>
      </x:c>
      <x:c r="AE681" s="40" t="b">
        <x:v>1</x:v>
      </x:c>
      <x:c r="AF681" s="40" t="b">
        <x:v>1</x:v>
      </x:c>
      <x:c r="AG681" s="34" t="str"/>
      <x:c r="AH681" s="34" t="n">
        <x:v>0</x:v>
      </x:c>
      <x:c r="AI681" s="34" t="str">
        <x:v>9.990856690045291e-05</x:v>
      </x:c>
      <x:c r="AJ681" s="40" t="b">
        <x:v>1</x:v>
      </x:c>
      <x:c r="AK681" s="40" t="b">
        <x:v>1</x:v>
      </x:c>
      <x:c r="AL681" s="40" t="b">
        <x:v>1</x:v>
      </x:c>
      <x:c r="AM681" s="40" t="b">
        <x:v>1</x:v>
      </x:c>
      <x:c r="AN681" s="34" t="str"/>
      <x:c r="AO681" s="34" t="n">
        <x:v>0</x:v>
      </x:c>
      <x:c r="AP681" s="34" t="n">
        <x:v>0</x:v>
      </x:c>
      <x:c r="AQ681" s="34" t="n">
        <x:v>0</x:v>
      </x:c>
      <x:c r="AR681" s="34" t="n">
        <x:v>1</x:v>
      </x:c>
      <x:c r="AS681" s="34" t="n">
        <x:v>1</x:v>
      </x:c>
      <x:c r="AT681" s="34" t="n">
        <x:v>0.28332</x:v>
      </x:c>
      <x:c r="AU681" s="34" t="n">
        <x:v>0.6</x:v>
      </x:c>
      <x:c r="AV681" s="34" t="n">
        <x:v>1.06</x:v>
      </x:c>
    </x:row>
    <x:row r="682">
      <x:c r="A682" s="34" t="str">
        <x:v>KOBE_STEEL_JP</x:v>
      </x:c>
      <x:c r="B682" s="34" t="str">
        <x:v>Kobe Steel</x:v>
      </x:c>
      <x:c r="C682" s="34" t="str">
        <x:v>ACCELERATED_15C</x:v>
      </x:c>
      <x:c r="D682" s="34" t="str">
        <x:v>P4</x:v>
      </x:c>
      <x:c r="E682" s="34" t="n">
        <x:v>2031</x:v>
      </x:c>
      <x:c r="F682" s="34" t="n">
        <x:v>1</x:v>
      </x:c>
      <x:c r="G682" s="34" t="n">
        <x:v>0.4425</x:v>
      </x:c>
      <x:c r="H682" s="34" t="n">
        <x:v>3.4</x:v>
      </x:c>
      <x:c r="I682" s="34" t="n">
        <x:v>2.9575</x:v>
      </x:c>
      <x:c r="J682" s="34" t="n">
        <x:v>13.015</x:v>
      </x:c>
      <x:c r="K682" s="34" t="n">
        <x:v>0.16225</x:v>
      </x:c>
      <x:c r="L682" s="34" t="n">
        <x:v>0.44</x:v>
      </x:c>
      <x:c r="M682" s="34" t="n">
        <x:v>0.27775</x:v>
      </x:c>
      <x:c r="N682" s="34" t="n">
        <x:v>36.875</x:v>
      </x:c>
      <x:c r="O682" s="34" t="n">
        <x:v>1.357</x:v>
      </x:c>
      <x:c r="P682" s="34" t="n">
        <x:v>2.8</x:v>
      </x:c>
      <x:c r="Q682" s="34" t="n">
        <x:v>1.443</x:v>
      </x:c>
      <x:c r="R682" s="34" t="n">
        <x:v>48.464</x:v>
      </x:c>
      <x:c r="S682" s="40" t="b">
        <x:v>1</x:v>
      </x:c>
      <x:c r="T682" s="34" t="str">
        <x:v>model_interpolation</x:v>
      </x:c>
      <x:c r="U682" s="34" t="str">
        <x:v>Linear interpolation from 2030 to 2035</x:v>
      </x:c>
      <x:c r="V682" s="34" t="str">
        <x:v>CAND-B51B2DE2F2D28C</x:v>
      </x:c>
      <x:c r="W682" s="34" t="str">
        <x:v>P4</x:v>
      </x:c>
      <x:c r="X682" s="34" t="str">
        <x:v>PORT-8A59F01B884D</x:v>
      </x:c>
      <x:c r="Y682" s="34" t="n">
        <x:v>1000</x:v>
      </x:c>
      <x:c r="Z682" s="34" t="n">
        <x:v>125.278714</x:v>
      </x:c>
      <x:c r="AA682" s="34" t="n">
        <x:v>18.81352</x:v>
      </x:c>
      <x:c r="AB682" s="34" t="n">
        <x:v>114.781594</x:v>
      </x:c>
      <x:c r="AC682" s="34" t="n">
        <x:v>14200.239</x:v>
      </x:c>
      <x:c r="AD682" s="34" t="n">
        <x:v>123.715296</x:v>
      </x:c>
      <x:c r="AE682" s="40" t="b">
        <x:v>1</x:v>
      </x:c>
      <x:c r="AF682" s="40" t="b">
        <x:v>1</x:v>
      </x:c>
      <x:c r="AG682" s="34" t="str"/>
      <x:c r="AH682" s="34" t="n">
        <x:v>0</x:v>
      </x:c>
      <x:c r="AI682" s="34" t="str">
        <x:v>9.990856690045291e-05</x:v>
      </x:c>
      <x:c r="AJ682" s="40" t="b">
        <x:v>1</x:v>
      </x:c>
      <x:c r="AK682" s="40" t="b">
        <x:v>1</x:v>
      </x:c>
      <x:c r="AL682" s="40" t="b">
        <x:v>1</x:v>
      </x:c>
      <x:c r="AM682" s="40" t="b">
        <x:v>1</x:v>
      </x:c>
      <x:c r="AN682" s="34" t="str"/>
      <x:c r="AO682" s="34" t="n">
        <x:v>0</x:v>
      </x:c>
      <x:c r="AP682" s="34" t="n">
        <x:v>0</x:v>
      </x:c>
      <x:c r="AQ682" s="34" t="n">
        <x:v>0</x:v>
      </x:c>
      <x:c r="AR682" s="34" t="n">
        <x:v>1</x:v>
      </x:c>
      <x:c r="AS682" s="34" t="n">
        <x:v>1</x:v>
      </x:c>
      <x:c r="AT682" s="34" t="n">
        <x:v>0.28332</x:v>
      </x:c>
      <x:c r="AU682" s="34" t="n">
        <x:v>0.6</x:v>
      </x:c>
      <x:c r="AV682" s="34" t="n">
        <x:v>1.06</x:v>
      </x:c>
    </x:row>
    <x:row r="683">
      <x:c r="A683" s="34" t="str">
        <x:v>KOBE_STEEL_JP</x:v>
      </x:c>
      <x:c r="B683" s="34" t="str">
        <x:v>Kobe Steel</x:v>
      </x:c>
      <x:c r="C683" s="34" t="str">
        <x:v>ACCELERATED_15C</x:v>
      </x:c>
      <x:c r="D683" s="34" t="str">
        <x:v>P4</x:v>
      </x:c>
      <x:c r="E683" s="34" t="n">
        <x:v>2032</x:v>
      </x:c>
      <x:c r="F683" s="34" t="n">
        <x:v>2</x:v>
      </x:c>
      <x:c r="G683" s="34" t="n">
        <x:v>0.5325</x:v>
      </x:c>
      <x:c r="H683" s="34" t="n">
        <x:v>3.8</x:v>
      </x:c>
      <x:c r="I683" s="34" t="n">
        <x:v>3.2675</x:v>
      </x:c>
      <x:c r="J683" s="34" t="n">
        <x:v>14.013</x:v>
      </x:c>
      <x:c r="K683" s="34" t="n">
        <x:v>0.16225</x:v>
      </x:c>
      <x:c r="L683" s="34" t="n">
        <x:v>0.48</x:v>
      </x:c>
      <x:c r="M683" s="34" t="n">
        <x:v>0.31775</x:v>
      </x:c>
      <x:c r="N683" s="34" t="n">
        <x:v>33.802</x:v>
      </x:c>
      <x:c r="O683" s="34" t="n">
        <x:v>1.359</x:v>
      </x:c>
      <x:c r="P683" s="34" t="n">
        <x:v>3.1</x:v>
      </x:c>
      <x:c r="Q683" s="34" t="n">
        <x:v>1.741</x:v>
      </x:c>
      <x:c r="R683" s="34" t="n">
        <x:v>43.839</x:v>
      </x:c>
      <x:c r="S683" s="40" t="b">
        <x:v>1</x:v>
      </x:c>
      <x:c r="T683" s="34" t="str">
        <x:v>model_interpolation</x:v>
      </x:c>
      <x:c r="U683" s="34" t="str">
        <x:v>Linear interpolation from 2030 to 2035</x:v>
      </x:c>
      <x:c r="V683" s="34" t="str">
        <x:v>CAND-B51B2DE2F2D28C</x:v>
      </x:c>
      <x:c r="W683" s="34" t="str">
        <x:v>P4</x:v>
      </x:c>
      <x:c r="X683" s="34" t="str">
        <x:v>PORT-8A59F01B884D</x:v>
      </x:c>
      <x:c r="Y683" s="34" t="n">
        <x:v>1000</x:v>
      </x:c>
      <x:c r="Z683" s="34" t="n">
        <x:v>125.278714</x:v>
      </x:c>
      <x:c r="AA683" s="34" t="n">
        <x:v>18.81352</x:v>
      </x:c>
      <x:c r="AB683" s="34" t="n">
        <x:v>114.781594</x:v>
      </x:c>
      <x:c r="AC683" s="34" t="n">
        <x:v>14200.239</x:v>
      </x:c>
      <x:c r="AD683" s="34" t="n">
        <x:v>123.715296</x:v>
      </x:c>
      <x:c r="AE683" s="40" t="b">
        <x:v>1</x:v>
      </x:c>
      <x:c r="AF683" s="40" t="b">
        <x:v>1</x:v>
      </x:c>
      <x:c r="AG683" s="34" t="str"/>
      <x:c r="AH683" s="34" t="n">
        <x:v>0</x:v>
      </x:c>
      <x:c r="AI683" s="34" t="str">
        <x:v>9.990856690045291e-05</x:v>
      </x:c>
      <x:c r="AJ683" s="40" t="b">
        <x:v>1</x:v>
      </x:c>
      <x:c r="AK683" s="40" t="b">
        <x:v>1</x:v>
      </x:c>
      <x:c r="AL683" s="40" t="b">
        <x:v>1</x:v>
      </x:c>
      <x:c r="AM683" s="40" t="b">
        <x:v>1</x:v>
      </x:c>
      <x:c r="AN683" s="34" t="str"/>
      <x:c r="AO683" s="34" t="n">
        <x:v>0</x:v>
      </x:c>
      <x:c r="AP683" s="34" t="n">
        <x:v>0</x:v>
      </x:c>
      <x:c r="AQ683" s="34" t="n">
        <x:v>0</x:v>
      </x:c>
      <x:c r="AR683" s="34" t="n">
        <x:v>1</x:v>
      </x:c>
      <x:c r="AS683" s="34" t="n">
        <x:v>1</x:v>
      </x:c>
      <x:c r="AT683" s="34" t="n">
        <x:v>0.28332</x:v>
      </x:c>
      <x:c r="AU683" s="34" t="n">
        <x:v>0.6</x:v>
      </x:c>
      <x:c r="AV683" s="34" t="n">
        <x:v>1.06</x:v>
      </x:c>
    </x:row>
    <x:row r="684">
      <x:c r="A684" s="34" t="str">
        <x:v>KOBE_STEEL_JP</x:v>
      </x:c>
      <x:c r="B684" s="34" t="str">
        <x:v>Kobe Steel</x:v>
      </x:c>
      <x:c r="C684" s="34" t="str">
        <x:v>ACCELERATED_15C</x:v>
      </x:c>
      <x:c r="D684" s="34" t="str">
        <x:v>P4</x:v>
      </x:c>
      <x:c r="E684" s="34" t="n">
        <x:v>2033</x:v>
      </x:c>
      <x:c r="F684" s="34" t="n">
        <x:v>2</x:v>
      </x:c>
      <x:c r="G684" s="34" t="n">
        <x:v>0.5325</x:v>
      </x:c>
      <x:c r="H684" s="34" t="n">
        <x:v>4.2</x:v>
      </x:c>
      <x:c r="I684" s="34" t="n">
        <x:v>3.6675</x:v>
      </x:c>
      <x:c r="J684" s="34" t="n">
        <x:v>12.679</x:v>
      </x:c>
      <x:c r="K684" s="34" t="n">
        <x:v>0.16225</x:v>
      </x:c>
      <x:c r="L684" s="34" t="n">
        <x:v>0.52</x:v>
      </x:c>
      <x:c r="M684" s="34" t="n">
        <x:v>0.35775</x:v>
      </x:c>
      <x:c r="N684" s="34" t="n">
        <x:v>31.202</x:v>
      </x:c>
      <x:c r="O684" s="34" t="n">
        <x:v>1.359</x:v>
      </x:c>
      <x:c r="P684" s="34" t="n">
        <x:v>3.4</x:v>
      </x:c>
      <x:c r="Q684" s="34" t="n">
        <x:v>2.041</x:v>
      </x:c>
      <x:c r="R684" s="34" t="n">
        <x:v>39.971</x:v>
      </x:c>
      <x:c r="S684" s="40" t="b">
        <x:v>1</x:v>
      </x:c>
      <x:c r="T684" s="34" t="str">
        <x:v>model_interpolation</x:v>
      </x:c>
      <x:c r="U684" s="34" t="str">
        <x:v>Linear interpolation from 2030 to 2035</x:v>
      </x:c>
      <x:c r="V684" s="34" t="str">
        <x:v>CAND-B51B2DE2F2D28C</x:v>
      </x:c>
      <x:c r="W684" s="34" t="str">
        <x:v>P4</x:v>
      </x:c>
      <x:c r="X684" s="34" t="str">
        <x:v>PORT-8A59F01B884D</x:v>
      </x:c>
      <x:c r="Y684" s="34" t="n">
        <x:v>1000</x:v>
      </x:c>
      <x:c r="Z684" s="34" t="n">
        <x:v>125.278714</x:v>
      </x:c>
      <x:c r="AA684" s="34" t="n">
        <x:v>18.81352</x:v>
      </x:c>
      <x:c r="AB684" s="34" t="n">
        <x:v>114.781594</x:v>
      </x:c>
      <x:c r="AC684" s="34" t="n">
        <x:v>14200.239</x:v>
      </x:c>
      <x:c r="AD684" s="34" t="n">
        <x:v>123.715296</x:v>
      </x:c>
      <x:c r="AE684" s="40" t="b">
        <x:v>1</x:v>
      </x:c>
      <x:c r="AF684" s="40" t="b">
        <x:v>1</x:v>
      </x:c>
      <x:c r="AG684" s="34" t="str"/>
      <x:c r="AH684" s="34" t="n">
        <x:v>0</x:v>
      </x:c>
      <x:c r="AI684" s="34" t="str">
        <x:v>9.990856690045291e-05</x:v>
      </x:c>
      <x:c r="AJ684" s="40" t="b">
        <x:v>1</x:v>
      </x:c>
      <x:c r="AK684" s="40" t="b">
        <x:v>1</x:v>
      </x:c>
      <x:c r="AL684" s="40" t="b">
        <x:v>1</x:v>
      </x:c>
      <x:c r="AM684" s="40" t="b">
        <x:v>1</x:v>
      </x:c>
      <x:c r="AN684" s="34" t="str"/>
      <x:c r="AO684" s="34" t="n">
        <x:v>0</x:v>
      </x:c>
      <x:c r="AP684" s="34" t="n">
        <x:v>0</x:v>
      </x:c>
      <x:c r="AQ684" s="34" t="n">
        <x:v>0</x:v>
      </x:c>
      <x:c r="AR684" s="34" t="n">
        <x:v>1</x:v>
      </x:c>
      <x:c r="AS684" s="34" t="n">
        <x:v>1</x:v>
      </x:c>
      <x:c r="AT684" s="34" t="n">
        <x:v>0.28332</x:v>
      </x:c>
      <x:c r="AU684" s="34" t="n">
        <x:v>0.6</x:v>
      </x:c>
      <x:c r="AV684" s="34" t="n">
        <x:v>1.06</x:v>
      </x:c>
    </x:row>
    <x:row r="685">
      <x:c r="A685" s="34" t="str">
        <x:v>KOBE_STEEL_JP</x:v>
      </x:c>
      <x:c r="B685" s="34" t="str">
        <x:v>Kobe Steel</x:v>
      </x:c>
      <x:c r="C685" s="34" t="str">
        <x:v>ACCELERATED_15C</x:v>
      </x:c>
      <x:c r="D685" s="34" t="str">
        <x:v>P4</x:v>
      </x:c>
      <x:c r="E685" s="34" t="n">
        <x:v>2034</x:v>
      </x:c>
      <x:c r="F685" s="34" t="n">
        <x:v>2</x:v>
      </x:c>
      <x:c r="G685" s="34" t="n">
        <x:v>0.5325</x:v>
      </x:c>
      <x:c r="H685" s="34" t="n">
        <x:v>4.6</x:v>
      </x:c>
      <x:c r="I685" s="34" t="n">
        <x:v>4.0675</x:v>
      </x:c>
      <x:c r="J685" s="34" t="n">
        <x:v>11.576</x:v>
      </x:c>
      <x:c r="K685" s="34" t="n">
        <x:v>0.16225</x:v>
      </x:c>
      <x:c r="L685" s="34" t="n">
        <x:v>0.56</x:v>
      </x:c>
      <x:c r="M685" s="34" t="n">
        <x:v>0.39775</x:v>
      </x:c>
      <x:c r="N685" s="34" t="n">
        <x:v>28.973</x:v>
      </x:c>
      <x:c r="O685" s="34" t="n">
        <x:v>1.359</x:v>
      </x:c>
      <x:c r="P685" s="34" t="n">
        <x:v>3.7</x:v>
      </x:c>
      <x:c r="Q685" s="34" t="n">
        <x:v>2.341</x:v>
      </x:c>
      <x:c r="R685" s="34" t="n">
        <x:v>36.73</x:v>
      </x:c>
      <x:c r="S685" s="40" t="b">
        <x:v>1</x:v>
      </x:c>
      <x:c r="T685" s="34" t="str">
        <x:v>model_interpolation</x:v>
      </x:c>
      <x:c r="U685" s="34" t="str">
        <x:v>Linear interpolation from 2030 to 2035</x:v>
      </x:c>
      <x:c r="V685" s="34" t="str">
        <x:v>CAND-B51B2DE2F2D28C</x:v>
      </x:c>
      <x:c r="W685" s="34" t="str">
        <x:v>P4</x:v>
      </x:c>
      <x:c r="X685" s="34" t="str">
        <x:v>PORT-8A59F01B884D</x:v>
      </x:c>
      <x:c r="Y685" s="34" t="n">
        <x:v>1000</x:v>
      </x:c>
      <x:c r="Z685" s="34" t="n">
        <x:v>125.278714</x:v>
      </x:c>
      <x:c r="AA685" s="34" t="n">
        <x:v>18.81352</x:v>
      </x:c>
      <x:c r="AB685" s="34" t="n">
        <x:v>114.781594</x:v>
      </x:c>
      <x:c r="AC685" s="34" t="n">
        <x:v>14200.239</x:v>
      </x:c>
      <x:c r="AD685" s="34" t="n">
        <x:v>123.715296</x:v>
      </x:c>
      <x:c r="AE685" s="40" t="b">
        <x:v>1</x:v>
      </x:c>
      <x:c r="AF685" s="40" t="b">
        <x:v>1</x:v>
      </x:c>
      <x:c r="AG685" s="34" t="str"/>
      <x:c r="AH685" s="34" t="n">
        <x:v>0</x:v>
      </x:c>
      <x:c r="AI685" s="34" t="str">
        <x:v>9.990856690045291e-05</x:v>
      </x:c>
      <x:c r="AJ685" s="40" t="b">
        <x:v>1</x:v>
      </x:c>
      <x:c r="AK685" s="40" t="b">
        <x:v>1</x:v>
      </x:c>
      <x:c r="AL685" s="40" t="b">
        <x:v>1</x:v>
      </x:c>
      <x:c r="AM685" s="40" t="b">
        <x:v>1</x:v>
      </x:c>
      <x:c r="AN685" s="34" t="str"/>
      <x:c r="AO685" s="34" t="n">
        <x:v>0</x:v>
      </x:c>
      <x:c r="AP685" s="34" t="n">
        <x:v>0</x:v>
      </x:c>
      <x:c r="AQ685" s="34" t="n">
        <x:v>0</x:v>
      </x:c>
      <x:c r="AR685" s="34" t="n">
        <x:v>1</x:v>
      </x:c>
      <x:c r="AS685" s="34" t="n">
        <x:v>1</x:v>
      </x:c>
      <x:c r="AT685" s="34" t="n">
        <x:v>0.28332</x:v>
      </x:c>
      <x:c r="AU685" s="34" t="n">
        <x:v>0.6</x:v>
      </x:c>
      <x:c r="AV685" s="34" t="n">
        <x:v>1.06</x:v>
      </x:c>
    </x:row>
    <x:row r="686">
      <x:c r="A686" s="34" t="str">
        <x:v>KOBE_STEEL_JP</x:v>
      </x:c>
      <x:c r="B686" s="34" t="str">
        <x:v>Kobe Steel</x:v>
      </x:c>
      <x:c r="C686" s="34" t="str">
        <x:v>ACCELERATED_15C</x:v>
      </x:c>
      <x:c r="D686" s="34" t="str">
        <x:v>P4</x:v>
      </x:c>
      <x:c r="E686" s="34" t="n">
        <x:v>2035</x:v>
      </x:c>
      <x:c r="F686" s="34" t="n">
        <x:v>2</x:v>
      </x:c>
      <x:c r="G686" s="34" t="n">
        <x:v>0.5325</x:v>
      </x:c>
      <x:c r="H686" s="34" t="n">
        <x:v>5</x:v>
      </x:c>
      <x:c r="I686" s="34" t="n">
        <x:v>4.4675</x:v>
      </x:c>
      <x:c r="J686" s="34" t="n">
        <x:v>10.65</x:v>
      </x:c>
      <x:c r="K686" s="34" t="n">
        <x:v>0.16225</x:v>
      </x:c>
      <x:c r="L686" s="34" t="n">
        <x:v>0.6</x:v>
      </x:c>
      <x:c r="M686" s="34" t="n">
        <x:v>0.43775</x:v>
      </x:c>
      <x:c r="N686" s="34" t="n">
        <x:v>27.042</x:v>
      </x:c>
      <x:c r="O686" s="34" t="n">
        <x:v>1.359</x:v>
      </x:c>
      <x:c r="P686" s="34" t="n">
        <x:v>4</x:v>
      </x:c>
      <x:c r="Q686" s="34" t="n">
        <x:v>2.641</x:v>
      </x:c>
      <x:c r="R686" s="34" t="n">
        <x:v>33.975</x:v>
      </x:c>
      <x:c r="S686" s="40" t="b">
        <x:v>1</x:v>
      </x:c>
      <x:c r="T686" s="34" t="str">
        <x:v>model_interpolation</x:v>
      </x:c>
      <x:c r="U686" s="34" t="str">
        <x:v>Linear interpolation from 2035 to 2040</x:v>
      </x:c>
      <x:c r="V686" s="34" t="str">
        <x:v>CAND-B51B2DE2F2D28C</x:v>
      </x:c>
      <x:c r="W686" s="34" t="str">
        <x:v>P4</x:v>
      </x:c>
      <x:c r="X686" s="34" t="str">
        <x:v>PORT-8A59F01B884D</x:v>
      </x:c>
      <x:c r="Y686" s="34" t="n">
        <x:v>1000</x:v>
      </x:c>
      <x:c r="Z686" s="34" t="n">
        <x:v>125.278714</x:v>
      </x:c>
      <x:c r="AA686" s="34" t="n">
        <x:v>18.81352</x:v>
      </x:c>
      <x:c r="AB686" s="34" t="n">
        <x:v>114.781594</x:v>
      </x:c>
      <x:c r="AC686" s="34" t="n">
        <x:v>14200.239</x:v>
      </x:c>
      <x:c r="AD686" s="34" t="n">
        <x:v>123.715296</x:v>
      </x:c>
      <x:c r="AE686" s="40" t="b">
        <x:v>1</x:v>
      </x:c>
      <x:c r="AF686" s="40" t="b">
        <x:v>1</x:v>
      </x:c>
      <x:c r="AG686" s="34" t="str"/>
      <x:c r="AH686" s="34" t="n">
        <x:v>0</x:v>
      </x:c>
      <x:c r="AI686" s="34" t="str">
        <x:v>9.990856690045291e-05</x:v>
      </x:c>
      <x:c r="AJ686" s="40" t="b">
        <x:v>1</x:v>
      </x:c>
      <x:c r="AK686" s="40" t="b">
        <x:v>1</x:v>
      </x:c>
      <x:c r="AL686" s="40" t="b">
        <x:v>1</x:v>
      </x:c>
      <x:c r="AM686" s="40" t="b">
        <x:v>1</x:v>
      </x:c>
      <x:c r="AN686" s="34" t="str"/>
      <x:c r="AO686" s="34" t="n">
        <x:v>0</x:v>
      </x:c>
      <x:c r="AP686" s="34" t="n">
        <x:v>0</x:v>
      </x:c>
      <x:c r="AQ686" s="34" t="n">
        <x:v>0</x:v>
      </x:c>
      <x:c r="AR686" s="34" t="n">
        <x:v>1</x:v>
      </x:c>
      <x:c r="AS686" s="34" t="n">
        <x:v>1</x:v>
      </x:c>
      <x:c r="AT686" s="34" t="n">
        <x:v>0.28332</x:v>
      </x:c>
      <x:c r="AU686" s="34" t="n">
        <x:v>0.6</x:v>
      </x:c>
      <x:c r="AV686" s="34" t="n">
        <x:v>1.06</x:v>
      </x:c>
    </x:row>
    <x:row r="687">
      <x:c r="A687" s="34" t="str">
        <x:v>KOBE_STEEL_JP</x:v>
      </x:c>
      <x:c r="B687" s="34" t="str">
        <x:v>Kobe Steel</x:v>
      </x:c>
      <x:c r="C687" s="34" t="str">
        <x:v>ACCELERATED_15C</x:v>
      </x:c>
      <x:c r="D687" s="34" t="str">
        <x:v>P4</x:v>
      </x:c>
      <x:c r="E687" s="34" t="n">
        <x:v>2036</x:v>
      </x:c>
      <x:c r="F687" s="34" t="n">
        <x:v>3</x:v>
      </x:c>
      <x:c r="G687" s="34" t="n">
        <x:v>3.151499</x:v>
      </x:c>
      <x:c r="H687" s="34" t="n">
        <x:v>5.2</x:v>
      </x:c>
      <x:c r="I687" s="34" t="n">
        <x:v>2.048501</x:v>
      </x:c>
      <x:c r="J687" s="34" t="n">
        <x:v>60.606</x:v>
      </x:c>
      <x:c r="K687" s="34" t="n">
        <x:v>0.16225</x:v>
      </x:c>
      <x:c r="L687" s="34" t="n">
        <x:v>0.6799999999999999</x:v>
      </x:c>
      <x:c r="M687" s="34" t="n">
        <x:v>0.51775</x:v>
      </x:c>
      <x:c r="N687" s="34" t="n">
        <x:v>23.86</x:v>
      </x:c>
      <x:c r="O687" s="34" t="n">
        <x:v>2.988599</x:v>
      </x:c>
      <x:c r="P687" s="34" t="n">
        <x:v>4.5</x:v>
      </x:c>
      <x:c r="Q687" s="34" t="n">
        <x:v>1.511401</x:v>
      </x:c>
      <x:c r="R687" s="34" t="n">
        <x:v>66.413</x:v>
      </x:c>
      <x:c r="S687" s="40" t="b">
        <x:v>1</x:v>
      </x:c>
      <x:c r="T687" s="34" t="str">
        <x:v>model_interpolation</x:v>
      </x:c>
      <x:c r="U687" s="34" t="str">
        <x:v>Linear interpolation from 2035 to 2040</x:v>
      </x:c>
      <x:c r="V687" s="34" t="str">
        <x:v>CAND-B51B2DE2F2D28C</x:v>
      </x:c>
      <x:c r="W687" s="34" t="str">
        <x:v>P4</x:v>
      </x:c>
      <x:c r="X687" s="34" t="str">
        <x:v>PORT-8A59F01B884D</x:v>
      </x:c>
      <x:c r="Y687" s="34" t="n">
        <x:v>1000</x:v>
      </x:c>
      <x:c r="Z687" s="34" t="n">
        <x:v>125.278714</x:v>
      </x:c>
      <x:c r="AA687" s="34" t="n">
        <x:v>18.81352</x:v>
      </x:c>
      <x:c r="AB687" s="34" t="n">
        <x:v>114.781594</x:v>
      </x:c>
      <x:c r="AC687" s="34" t="n">
        <x:v>14200.239</x:v>
      </x:c>
      <x:c r="AD687" s="34" t="n">
        <x:v>123.715296</x:v>
      </x:c>
      <x:c r="AE687" s="40" t="b">
        <x:v>1</x:v>
      </x:c>
      <x:c r="AF687" s="40" t="b">
        <x:v>1</x:v>
      </x:c>
      <x:c r="AG687" s="34" t="str"/>
      <x:c r="AH687" s="34" t="n">
        <x:v>0</x:v>
      </x:c>
      <x:c r="AI687" s="34" t="str">
        <x:v>9.990856690045291e-05</x:v>
      </x:c>
      <x:c r="AJ687" s="40" t="b">
        <x:v>1</x:v>
      </x:c>
      <x:c r="AK687" s="40" t="b">
        <x:v>1</x:v>
      </x:c>
      <x:c r="AL687" s="40" t="b">
        <x:v>1</x:v>
      </x:c>
      <x:c r="AM687" s="40" t="b">
        <x:v>1</x:v>
      </x:c>
      <x:c r="AN687" s="34" t="str"/>
      <x:c r="AO687" s="34" t="n">
        <x:v>0</x:v>
      </x:c>
      <x:c r="AP687" s="34" t="n">
        <x:v>0</x:v>
      </x:c>
      <x:c r="AQ687" s="34" t="n">
        <x:v>0</x:v>
      </x:c>
      <x:c r="AR687" s="34" t="n">
        <x:v>1</x:v>
      </x:c>
      <x:c r="AS687" s="34" t="n">
        <x:v>1</x:v>
      </x:c>
      <x:c r="AT687" s="34" t="n">
        <x:v>0.28332</x:v>
      </x:c>
      <x:c r="AU687" s="34" t="n">
        <x:v>0.6</x:v>
      </x:c>
      <x:c r="AV687" s="34" t="n">
        <x:v>1.06</x:v>
      </x:c>
    </x:row>
    <x:row r="688">
      <x:c r="A688" s="34" t="str">
        <x:v>KOBE_STEEL_JP</x:v>
      </x:c>
      <x:c r="B688" s="34" t="str">
        <x:v>Kobe Steel</x:v>
      </x:c>
      <x:c r="C688" s="34" t="str">
        <x:v>ACCELERATED_15C</x:v>
      </x:c>
      <x:c r="D688" s="34" t="str">
        <x:v>P4</x:v>
      </x:c>
      <x:c r="E688" s="34" t="n">
        <x:v>2037</x:v>
      </x:c>
      <x:c r="F688" s="34" t="n">
        <x:v>3</x:v>
      </x:c>
      <x:c r="G688" s="34" t="n">
        <x:v>3.151499</x:v>
      </x:c>
      <x:c r="H688" s="34" t="n">
        <x:v>5.4</x:v>
      </x:c>
      <x:c r="I688" s="34" t="n">
        <x:v>2.248501</x:v>
      </x:c>
      <x:c r="J688" s="34" t="n">
        <x:v>58.361</x:v>
      </x:c>
      <x:c r="K688" s="34" t="n">
        <x:v>0.16225</x:v>
      </x:c>
      <x:c r="L688" s="34" t="n">
        <x:v>0.76</x:v>
      </x:c>
      <x:c r="M688" s="34" t="n">
        <x:v>0.59775</x:v>
      </x:c>
      <x:c r="N688" s="34" t="n">
        <x:v>21.349</x:v>
      </x:c>
      <x:c r="O688" s="34" t="n">
        <x:v>2.988599</x:v>
      </x:c>
      <x:c r="P688" s="34" t="n">
        <x:v>5</x:v>
      </x:c>
      <x:c r="Q688" s="34" t="n">
        <x:v>2.011401</x:v>
      </x:c>
      <x:c r="R688" s="34" t="n">
        <x:v>59.772</x:v>
      </x:c>
      <x:c r="S688" s="40" t="b">
        <x:v>1</x:v>
      </x:c>
      <x:c r="T688" s="34" t="str">
        <x:v>model_interpolation</x:v>
      </x:c>
      <x:c r="U688" s="34" t="str">
        <x:v>Linear interpolation from 2035 to 2040</x:v>
      </x:c>
      <x:c r="V688" s="34" t="str">
        <x:v>CAND-B51B2DE2F2D28C</x:v>
      </x:c>
      <x:c r="W688" s="34" t="str">
        <x:v>P4</x:v>
      </x:c>
      <x:c r="X688" s="34" t="str">
        <x:v>PORT-8A59F01B884D</x:v>
      </x:c>
      <x:c r="Y688" s="34" t="n">
        <x:v>1000</x:v>
      </x:c>
      <x:c r="Z688" s="34" t="n">
        <x:v>125.278714</x:v>
      </x:c>
      <x:c r="AA688" s="34" t="n">
        <x:v>18.81352</x:v>
      </x:c>
      <x:c r="AB688" s="34" t="n">
        <x:v>114.781594</x:v>
      </x:c>
      <x:c r="AC688" s="34" t="n">
        <x:v>14200.239</x:v>
      </x:c>
      <x:c r="AD688" s="34" t="n">
        <x:v>123.715296</x:v>
      </x:c>
      <x:c r="AE688" s="40" t="b">
        <x:v>1</x:v>
      </x:c>
      <x:c r="AF688" s="40" t="b">
        <x:v>1</x:v>
      </x:c>
      <x:c r="AG688" s="34" t="str"/>
      <x:c r="AH688" s="34" t="n">
        <x:v>0</x:v>
      </x:c>
      <x:c r="AI688" s="34" t="str">
        <x:v>9.990856690045291e-05</x:v>
      </x:c>
      <x:c r="AJ688" s="40" t="b">
        <x:v>1</x:v>
      </x:c>
      <x:c r="AK688" s="40" t="b">
        <x:v>1</x:v>
      </x:c>
      <x:c r="AL688" s="40" t="b">
        <x:v>1</x:v>
      </x:c>
      <x:c r="AM688" s="40" t="b">
        <x:v>1</x:v>
      </x:c>
      <x:c r="AN688" s="34" t="str"/>
      <x:c r="AO688" s="34" t="n">
        <x:v>0</x:v>
      </x:c>
      <x:c r="AP688" s="34" t="n">
        <x:v>0</x:v>
      </x:c>
      <x:c r="AQ688" s="34" t="n">
        <x:v>0</x:v>
      </x:c>
      <x:c r="AR688" s="34" t="n">
        <x:v>1</x:v>
      </x:c>
      <x:c r="AS688" s="34" t="n">
        <x:v>1</x:v>
      </x:c>
      <x:c r="AT688" s="34" t="n">
        <x:v>0.28332</x:v>
      </x:c>
      <x:c r="AU688" s="34" t="n">
        <x:v>0.6</x:v>
      </x:c>
      <x:c r="AV688" s="34" t="n">
        <x:v>1.06</x:v>
      </x:c>
    </x:row>
    <x:row r="689">
      <x:c r="A689" s="34" t="str">
        <x:v>KOBE_STEEL_JP</x:v>
      </x:c>
      <x:c r="B689" s="34" t="str">
        <x:v>Kobe Steel</x:v>
      </x:c>
      <x:c r="C689" s="34" t="str">
        <x:v>ACCELERATED_15C</x:v>
      </x:c>
      <x:c r="D689" s="34" t="str">
        <x:v>P4</x:v>
      </x:c>
      <x:c r="E689" s="34" t="n">
        <x:v>2038</x:v>
      </x:c>
      <x:c r="F689" s="34" t="n">
        <x:v>3</x:v>
      </x:c>
      <x:c r="G689" s="34" t="n">
        <x:v>3.151499</x:v>
      </x:c>
      <x:c r="H689" s="34" t="n">
        <x:v>5.6</x:v>
      </x:c>
      <x:c r="I689" s="34" t="n">
        <x:v>2.448501</x:v>
      </x:c>
      <x:c r="J689" s="34" t="n">
        <x:v>56.277</x:v>
      </x:c>
      <x:c r="K689" s="34" t="n">
        <x:v>0.16225</x:v>
      </x:c>
      <x:c r="L689" s="34" t="n">
        <x:v>0.84</x:v>
      </x:c>
      <x:c r="M689" s="34" t="n">
        <x:v>0.67775</x:v>
      </x:c>
      <x:c r="N689" s="34" t="n">
        <x:v>19.315</x:v>
      </x:c>
      <x:c r="O689" s="34" t="n">
        <x:v>2.988599</x:v>
      </x:c>
      <x:c r="P689" s="34" t="n">
        <x:v>5.5</x:v>
      </x:c>
      <x:c r="Q689" s="34" t="n">
        <x:v>2.511401</x:v>
      </x:c>
      <x:c r="R689" s="34" t="n">
        <x:v>54.338</x:v>
      </x:c>
      <x:c r="S689" s="40" t="b">
        <x:v>1</x:v>
      </x:c>
      <x:c r="T689" s="34" t="str">
        <x:v>model_interpolation</x:v>
      </x:c>
      <x:c r="U689" s="34" t="str">
        <x:v>Linear interpolation from 2035 to 2040</x:v>
      </x:c>
      <x:c r="V689" s="34" t="str">
        <x:v>CAND-B51B2DE2F2D28C</x:v>
      </x:c>
      <x:c r="W689" s="34" t="str">
        <x:v>P4</x:v>
      </x:c>
      <x:c r="X689" s="34" t="str">
        <x:v>PORT-8A59F01B884D</x:v>
      </x:c>
      <x:c r="Y689" s="34" t="n">
        <x:v>1000</x:v>
      </x:c>
      <x:c r="Z689" s="34" t="n">
        <x:v>125.278714</x:v>
      </x:c>
      <x:c r="AA689" s="34" t="n">
        <x:v>18.81352</x:v>
      </x:c>
      <x:c r="AB689" s="34" t="n">
        <x:v>114.781594</x:v>
      </x:c>
      <x:c r="AC689" s="34" t="n">
        <x:v>14200.239</x:v>
      </x:c>
      <x:c r="AD689" s="34" t="n">
        <x:v>123.715296</x:v>
      </x:c>
      <x:c r="AE689" s="40" t="b">
        <x:v>1</x:v>
      </x:c>
      <x:c r="AF689" s="40" t="b">
        <x:v>1</x:v>
      </x:c>
      <x:c r="AG689" s="34" t="str"/>
      <x:c r="AH689" s="34" t="n">
        <x:v>0</x:v>
      </x:c>
      <x:c r="AI689" s="34" t="str">
        <x:v>9.990856690045291e-05</x:v>
      </x:c>
      <x:c r="AJ689" s="40" t="b">
        <x:v>1</x:v>
      </x:c>
      <x:c r="AK689" s="40" t="b">
        <x:v>1</x:v>
      </x:c>
      <x:c r="AL689" s="40" t="b">
        <x:v>1</x:v>
      </x:c>
      <x:c r="AM689" s="40" t="b">
        <x:v>1</x:v>
      </x:c>
      <x:c r="AN689" s="34" t="str"/>
      <x:c r="AO689" s="34" t="n">
        <x:v>0</x:v>
      </x:c>
      <x:c r="AP689" s="34" t="n">
        <x:v>0</x:v>
      </x:c>
      <x:c r="AQ689" s="34" t="n">
        <x:v>0</x:v>
      </x:c>
      <x:c r="AR689" s="34" t="n">
        <x:v>1</x:v>
      </x:c>
      <x:c r="AS689" s="34" t="n">
        <x:v>1</x:v>
      </x:c>
      <x:c r="AT689" s="34" t="n">
        <x:v>0.28332</x:v>
      </x:c>
      <x:c r="AU689" s="34" t="n">
        <x:v>0.6</x:v>
      </x:c>
      <x:c r="AV689" s="34" t="n">
        <x:v>1.06</x:v>
      </x:c>
    </x:row>
    <x:row r="690">
      <x:c r="A690" s="34" t="str">
        <x:v>KOBE_STEEL_JP</x:v>
      </x:c>
      <x:c r="B690" s="34" t="str">
        <x:v>Kobe Steel</x:v>
      </x:c>
      <x:c r="C690" s="34" t="str">
        <x:v>ACCELERATED_15C</x:v>
      </x:c>
      <x:c r="D690" s="34" t="str">
        <x:v>P4</x:v>
      </x:c>
      <x:c r="E690" s="34" t="n">
        <x:v>2039</x:v>
      </x:c>
      <x:c r="F690" s="34" t="n">
        <x:v>3</x:v>
      </x:c>
      <x:c r="G690" s="34" t="n">
        <x:v>3.151499</x:v>
      </x:c>
      <x:c r="H690" s="34" t="n">
        <x:v>5.8</x:v>
      </x:c>
      <x:c r="I690" s="34" t="n">
        <x:v>2.648501</x:v>
      </x:c>
      <x:c r="J690" s="34" t="n">
        <x:v>54.336</x:v>
      </x:c>
      <x:c r="K690" s="34" t="n">
        <x:v>0.16225</x:v>
      </x:c>
      <x:c r="L690" s="34" t="n">
        <x:v>0.92</x:v>
      </x:c>
      <x:c r="M690" s="34" t="n">
        <x:v>0.75775</x:v>
      </x:c>
      <x:c r="N690" s="34" t="n">
        <x:v>17.636</x:v>
      </x:c>
      <x:c r="O690" s="34" t="n">
        <x:v>2.988599</x:v>
      </x:c>
      <x:c r="P690" s="34" t="n">
        <x:v>6</x:v>
      </x:c>
      <x:c r="Q690" s="34" t="n">
        <x:v>3.011401</x:v>
      </x:c>
      <x:c r="R690" s="34" t="n">
        <x:v>49.81</x:v>
      </x:c>
      <x:c r="S690" s="40" t="b">
        <x:v>1</x:v>
      </x:c>
      <x:c r="T690" s="34" t="str">
        <x:v>model_interpolation</x:v>
      </x:c>
      <x:c r="U690" s="34" t="str">
        <x:v>Linear interpolation from 2035 to 2040</x:v>
      </x:c>
      <x:c r="V690" s="34" t="str">
        <x:v>CAND-B51B2DE2F2D28C</x:v>
      </x:c>
      <x:c r="W690" s="34" t="str">
        <x:v>P4</x:v>
      </x:c>
      <x:c r="X690" s="34" t="str">
        <x:v>PORT-8A59F01B884D</x:v>
      </x:c>
      <x:c r="Y690" s="34" t="n">
        <x:v>1000</x:v>
      </x:c>
      <x:c r="Z690" s="34" t="n">
        <x:v>125.278714</x:v>
      </x:c>
      <x:c r="AA690" s="34" t="n">
        <x:v>18.81352</x:v>
      </x:c>
      <x:c r="AB690" s="34" t="n">
        <x:v>114.781594</x:v>
      </x:c>
      <x:c r="AC690" s="34" t="n">
        <x:v>14200.239</x:v>
      </x:c>
      <x:c r="AD690" s="34" t="n">
        <x:v>123.715296</x:v>
      </x:c>
      <x:c r="AE690" s="40" t="b">
        <x:v>1</x:v>
      </x:c>
      <x:c r="AF690" s="40" t="b">
        <x:v>1</x:v>
      </x:c>
      <x:c r="AG690" s="34" t="str"/>
      <x:c r="AH690" s="34" t="n">
        <x:v>0</x:v>
      </x:c>
      <x:c r="AI690" s="34" t="str">
        <x:v>9.990856690045291e-05</x:v>
      </x:c>
      <x:c r="AJ690" s="40" t="b">
        <x:v>1</x:v>
      </x:c>
      <x:c r="AK690" s="40" t="b">
        <x:v>1</x:v>
      </x:c>
      <x:c r="AL690" s="40" t="b">
        <x:v>1</x:v>
      </x:c>
      <x:c r="AM690" s="40" t="b">
        <x:v>1</x:v>
      </x:c>
      <x:c r="AN690" s="34" t="str"/>
      <x:c r="AO690" s="34" t="n">
        <x:v>0</x:v>
      </x:c>
      <x:c r="AP690" s="34" t="n">
        <x:v>0</x:v>
      </x:c>
      <x:c r="AQ690" s="34" t="n">
        <x:v>0</x:v>
      </x:c>
      <x:c r="AR690" s="34" t="n">
        <x:v>1</x:v>
      </x:c>
      <x:c r="AS690" s="34" t="n">
        <x:v>1</x:v>
      </x:c>
      <x:c r="AT690" s="34" t="n">
        <x:v>0.28332</x:v>
      </x:c>
      <x:c r="AU690" s="34" t="n">
        <x:v>0.6</x:v>
      </x:c>
      <x:c r="AV690" s="34" t="n">
        <x:v>1.06</x:v>
      </x:c>
    </x:row>
    <x:row r="691">
      <x:c r="A691" s="34" t="str">
        <x:v>KOBE_STEEL_JP</x:v>
      </x:c>
      <x:c r="B691" s="34" t="str">
        <x:v>Kobe Steel</x:v>
      </x:c>
      <x:c r="C691" s="34" t="str">
        <x:v>ACCELERATED_15C</x:v>
      </x:c>
      <x:c r="D691" s="34" t="str">
        <x:v>P4</x:v>
      </x:c>
      <x:c r="E691" s="34" t="n">
        <x:v>2040</x:v>
      </x:c>
      <x:c r="F691" s="34" t="n">
        <x:v>3</x:v>
      </x:c>
      <x:c r="G691" s="34" t="n">
        <x:v>3.151499</x:v>
      </x:c>
      <x:c r="H691" s="34" t="n">
        <x:v>6</x:v>
      </x:c>
      <x:c r="I691" s="34" t="n">
        <x:v>2.848501</x:v>
      </x:c>
      <x:c r="J691" s="34" t="n">
        <x:v>52.525</x:v>
      </x:c>
      <x:c r="K691" s="34" t="n">
        <x:v>0.16225</x:v>
      </x:c>
      <x:c r="L691" s="34" t="n">
        <x:v>1</x:v>
      </x:c>
      <x:c r="M691" s="34" t="n">
        <x:v>0.83775</x:v>
      </x:c>
      <x:c r="N691" s="34" t="n">
        <x:v>16.225</x:v>
      </x:c>
      <x:c r="O691" s="34" t="n">
        <x:v>2.988599</x:v>
      </x:c>
      <x:c r="P691" s="34" t="n">
        <x:v>6.5</x:v>
      </x:c>
      <x:c r="Q691" s="34" t="n">
        <x:v>3.511401</x:v>
      </x:c>
      <x:c r="R691" s="34" t="n">
        <x:v>45.978</x:v>
      </x:c>
      <x:c r="S691" s="40" t="b">
        <x:v>1</x:v>
      </x:c>
      <x:c r="T691" s="34" t="str">
        <x:v>model_estimate</x:v>
      </x:c>
      <x:c r="U691" s="34" t="str">
        <x:v>Illustrative accelerated envelope; not GCAM or an official supply forecast</x:v>
      </x:c>
      <x:c r="V691" s="34" t="str">
        <x:v>CAND-B51B2DE2F2D28C</x:v>
      </x:c>
      <x:c r="W691" s="34" t="str">
        <x:v>P4</x:v>
      </x:c>
      <x:c r="X691" s="34" t="str">
        <x:v>PORT-8A59F01B884D</x:v>
      </x:c>
      <x:c r="Y691" s="34" t="n">
        <x:v>1000</x:v>
      </x:c>
      <x:c r="Z691" s="34" t="n">
        <x:v>125.278714</x:v>
      </x:c>
      <x:c r="AA691" s="34" t="n">
        <x:v>18.81352</x:v>
      </x:c>
      <x:c r="AB691" s="34" t="n">
        <x:v>114.781594</x:v>
      </x:c>
      <x:c r="AC691" s="34" t="n">
        <x:v>14200.239</x:v>
      </x:c>
      <x:c r="AD691" s="34" t="n">
        <x:v>123.715296</x:v>
      </x:c>
      <x:c r="AE691" s="40" t="b">
        <x:v>1</x:v>
      </x:c>
      <x:c r="AF691" s="40" t="b">
        <x:v>1</x:v>
      </x:c>
      <x:c r="AG691" s="34" t="str"/>
      <x:c r="AH691" s="34" t="n">
        <x:v>0</x:v>
      </x:c>
      <x:c r="AI691" s="34" t="str">
        <x:v>9.990856690045291e-05</x:v>
      </x:c>
      <x:c r="AJ691" s="40" t="b">
        <x:v>1</x:v>
      </x:c>
      <x:c r="AK691" s="40" t="b">
        <x:v>1</x:v>
      </x:c>
      <x:c r="AL691" s="40" t="b">
        <x:v>1</x:v>
      </x:c>
      <x:c r="AM691" s="40" t="b">
        <x:v>1</x:v>
      </x:c>
      <x:c r="AN691" s="34" t="str"/>
      <x:c r="AO691" s="34" t="n">
        <x:v>0</x:v>
      </x:c>
      <x:c r="AP691" s="34" t="n">
        <x:v>0</x:v>
      </x:c>
      <x:c r="AQ691" s="34" t="n">
        <x:v>0</x:v>
      </x:c>
      <x:c r="AR691" s="34" t="n">
        <x:v>1</x:v>
      </x:c>
      <x:c r="AS691" s="34" t="n">
        <x:v>1</x:v>
      </x:c>
      <x:c r="AT691" s="34" t="n">
        <x:v>0.28332</x:v>
      </x:c>
      <x:c r="AU691" s="34" t="n">
        <x:v>0.6</x:v>
      </x:c>
      <x:c r="AV691" s="34" t="n">
        <x:v>1.06</x:v>
      </x:c>
    </x:row>
    <x:row r="692">
      <x:c r="A692" s="34" t="str">
        <x:v>NIPPON_STEEL_JP</x:v>
      </x:c>
      <x:c r="B692" s="34" t="str">
        <x:v>Nippon Steel</x:v>
      </x:c>
      <x:c r="C692" s="34" t="str">
        <x:v>DISCLOSED_PATH</x:v>
      </x:c>
      <x:c r="D692" s="34" t="str">
        <x:v>P1</x:v>
      </x:c>
      <x:c r="E692" s="34" t="n">
        <x:v>2026</x:v>
      </x:c>
      <x:c r="F692" s="34" t="n">
        <x:v>0</x:v>
      </x:c>
      <x:c r="G692" s="34" t="n">
        <x:v>0</x:v>
      </x:c>
      <x:c r="H692" s="34" t="n">
        <x:v>8</x:v>
      </x:c>
      <x:c r="I692" s="34" t="n">
        <x:v>8</x:v>
      </x:c>
      <x:c r="J692" s="34" t="n">
        <x:v>0</x:v>
      </x:c>
      <x:c r="K692" s="34" t="n">
        <x:v>0</x:v>
      </x:c>
      <x:c r="L692" s="34" t="n">
        <x:v>0</x:v>
      </x:c>
      <x:c r="M692" s="34" t="n">
        <x:v>0</x:v>
      </x:c>
      <x:c r="N692" s="34" t="n">
        <x:v>0</x:v>
      </x:c>
      <x:c r="O692" s="34" t="n">
        <x:v>0</x:v>
      </x:c>
      <x:c r="P692" s="34" t="n">
        <x:v>2</x:v>
      </x:c>
      <x:c r="Q692" s="34" t="n">
        <x:v>2</x:v>
      </x:c>
      <x:c r="R692" s="34" t="n">
        <x:v>0</x:v>
      </x:c>
      <x:c r="S692" s="40" t="b">
        <x:v>1</x:v>
      </x:c>
      <x:c r="T692" s="34" t="str">
        <x:v>model_interpolation</x:v>
      </x:c>
      <x:c r="U692" s="34" t="str">
        <x:v>Linear interpolation from 2026 to 2030</x:v>
      </x:c>
      <x:c r="V692" s="34" t="str">
        <x:v>CAND-C1AAA9A0078119</x:v>
      </x:c>
      <x:c r="W692" s="34" t="str">
        <x:v>P1</x:v>
      </x:c>
      <x:c r="X692" s="34" t="str">
        <x:v>PORT-9E76B3BFF9FF</x:v>
      </x:c>
      <x:c r="Y692" s="34" t="n">
        <x:v>1000</x:v>
      </x:c>
      <x:c r="Z692" s="34" t="n">
        <x:v>92.168103</x:v>
      </x:c>
      <x:c r="AA692" s="34" t="n">
        <x:v>27.019632</x:v>
      </x:c>
      <x:c r="AB692" s="34" t="n">
        <x:v>456.103943</x:v>
      </x:c>
      <x:c r="AC692" s="34" t="n">
        <x:v>41012.769</x:v>
      </x:c>
      <x:c r="AD692" s="34" t="n">
        <x:v>89.919787</x:v>
      </x:c>
      <x:c r="AE692" s="40" t="b">
        <x:v>1</x:v>
      </x:c>
      <x:c r="AF692" s="40" t="b">
        <x:v>1</x:v>
      </x:c>
      <x:c r="AG692" s="34" t="str"/>
      <x:c r="AH692" s="34" t="n">
        <x:v>0</x:v>
      </x:c>
      <x:c r="AI692" s="34" t="str">
        <x:v>3.446647212967946e-06</x:v>
      </x:c>
      <x:c r="AJ692" s="40" t="b">
        <x:v>1</x:v>
      </x:c>
      <x:c r="AK692" s="40" t="b">
        <x:v>1</x:v>
      </x:c>
      <x:c r="AL692" s="40" t="b">
        <x:v>1</x:v>
      </x:c>
      <x:c r="AM692" s="40" t="b">
        <x:v>1</x:v>
      </x:c>
      <x:c r="AN692" s="34" t="str"/>
      <x:c r="AO692" s="34" t="n">
        <x:v>0</x:v>
      </x:c>
      <x:c r="AP692" s="34" t="n">
        <x:v>0</x:v>
      </x:c>
      <x:c r="AQ692" s="34" t="n">
        <x:v>0</x:v>
      </x:c>
      <x:c r="AR692" s="34" t="n">
        <x:v>2</x:v>
      </x:c>
      <x:c r="AS692" s="34" t="n">
        <x:v>2</x:v>
      </x:c>
      <x:c r="AT692" s="34" t="n">
        <x:v>0.47641018879999986</x:v>
      </x:c>
      <x:c r="AU692" s="34" t="n">
        <x:v>0.65</x:v>
      </x:c>
      <x:c r="AV692" s="34" t="n">
        <x:v>2.16</x:v>
      </x:c>
    </x:row>
    <x:row r="693">
      <x:c r="A693" s="34" t="str">
        <x:v>NIPPON_STEEL_JP</x:v>
      </x:c>
      <x:c r="B693" s="34" t="str">
        <x:v>Nippon Steel</x:v>
      </x:c>
      <x:c r="C693" s="34" t="str">
        <x:v>DISCLOSED_PATH</x:v>
      </x:c>
      <x:c r="D693" s="34" t="str">
        <x:v>P1</x:v>
      </x:c>
      <x:c r="E693" s="34" t="n">
        <x:v>2027</x:v>
      </x:c>
      <x:c r="F693" s="34" t="n">
        <x:v>0</x:v>
      </x:c>
      <x:c r="G693" s="34" t="n">
        <x:v>0</x:v>
      </x:c>
      <x:c r="H693" s="34" t="n">
        <x:v>9</x:v>
      </x:c>
      <x:c r="I693" s="34" t="n">
        <x:v>9</x:v>
      </x:c>
      <x:c r="J693" s="34" t="n">
        <x:v>0</x:v>
      </x:c>
      <x:c r="K693" s="34" t="n">
        <x:v>0</x:v>
      </x:c>
      <x:c r="L693" s="34" t="n">
        <x:v>0.15</x:v>
      </x:c>
      <x:c r="M693" s="34" t="n">
        <x:v>0.15</x:v>
      </x:c>
      <x:c r="N693" s="34" t="n">
        <x:v>0</x:v>
      </x:c>
      <x:c r="O693" s="34" t="n">
        <x:v>0</x:v>
      </x:c>
      <x:c r="P693" s="34" t="n">
        <x:v>3.25</x:v>
      </x:c>
      <x:c r="Q693" s="34" t="n">
        <x:v>3.25</x:v>
      </x:c>
      <x:c r="R693" s="34" t="n">
        <x:v>0</x:v>
      </x:c>
      <x:c r="S693" s="40" t="b">
        <x:v>1</x:v>
      </x:c>
      <x:c r="T693" s="34" t="str">
        <x:v>model_interpolation</x:v>
      </x:c>
      <x:c r="U693" s="34" t="str">
        <x:v>Linear interpolation from 2026 to 2030</x:v>
      </x:c>
      <x:c r="V693" s="34" t="str">
        <x:v>CAND-C1AAA9A0078119</x:v>
      </x:c>
      <x:c r="W693" s="34" t="str">
        <x:v>P1</x:v>
      </x:c>
      <x:c r="X693" s="34" t="str">
        <x:v>PORT-9E76B3BFF9FF</x:v>
      </x:c>
      <x:c r="Y693" s="34" t="n">
        <x:v>1000</x:v>
      </x:c>
      <x:c r="Z693" s="34" t="n">
        <x:v>92.168103</x:v>
      </x:c>
      <x:c r="AA693" s="34" t="n">
        <x:v>27.019632</x:v>
      </x:c>
      <x:c r="AB693" s="34" t="n">
        <x:v>456.103943</x:v>
      </x:c>
      <x:c r="AC693" s="34" t="n">
        <x:v>41012.769</x:v>
      </x:c>
      <x:c r="AD693" s="34" t="n">
        <x:v>89.919787</x:v>
      </x:c>
      <x:c r="AE693" s="40" t="b">
        <x:v>1</x:v>
      </x:c>
      <x:c r="AF693" s="40" t="b">
        <x:v>1</x:v>
      </x:c>
      <x:c r="AG693" s="34" t="str"/>
      <x:c r="AH693" s="34" t="n">
        <x:v>0</x:v>
      </x:c>
      <x:c r="AI693" s="34" t="str">
        <x:v>3.446647212967946e-06</x:v>
      </x:c>
      <x:c r="AJ693" s="40" t="b">
        <x:v>1</x:v>
      </x:c>
      <x:c r="AK693" s="40" t="b">
        <x:v>1</x:v>
      </x:c>
      <x:c r="AL693" s="40" t="b">
        <x:v>1</x:v>
      </x:c>
      <x:c r="AM693" s="40" t="b">
        <x:v>1</x:v>
      </x:c>
      <x:c r="AN693" s="34" t="str"/>
      <x:c r="AO693" s="34" t="n">
        <x:v>0</x:v>
      </x:c>
      <x:c r="AP693" s="34" t="n">
        <x:v>0</x:v>
      </x:c>
      <x:c r="AQ693" s="34" t="n">
        <x:v>0</x:v>
      </x:c>
      <x:c r="AR693" s="34" t="n">
        <x:v>2</x:v>
      </x:c>
      <x:c r="AS693" s="34" t="n">
        <x:v>2</x:v>
      </x:c>
      <x:c r="AT693" s="34" t="n">
        <x:v>0.47641018879999986</x:v>
      </x:c>
      <x:c r="AU693" s="34" t="n">
        <x:v>0.65</x:v>
      </x:c>
      <x:c r="AV693" s="34" t="n">
        <x:v>2.16</x:v>
      </x:c>
    </x:row>
    <x:row r="694">
      <x:c r="A694" s="34" t="str">
        <x:v>NIPPON_STEEL_JP</x:v>
      </x:c>
      <x:c r="B694" s="34" t="str">
        <x:v>Nippon Steel</x:v>
      </x:c>
      <x:c r="C694" s="34" t="str">
        <x:v>DISCLOSED_PATH</x:v>
      </x:c>
      <x:c r="D694" s="34" t="str">
        <x:v>P1</x:v>
      </x:c>
      <x:c r="E694" s="34" t="n">
        <x:v>2028</x:v>
      </x:c>
      <x:c r="F694" s="34" t="n">
        <x:v>0</x:v>
      </x:c>
      <x:c r="G694" s="34" t="n">
        <x:v>0</x:v>
      </x:c>
      <x:c r="H694" s="34" t="n">
        <x:v>10</x:v>
      </x:c>
      <x:c r="I694" s="34" t="n">
        <x:v>10</x:v>
      </x:c>
      <x:c r="J694" s="34" t="n">
        <x:v>0</x:v>
      </x:c>
      <x:c r="K694" s="34" t="n">
        <x:v>0</x:v>
      </x:c>
      <x:c r="L694" s="34" t="n">
        <x:v>0.3</x:v>
      </x:c>
      <x:c r="M694" s="34" t="n">
        <x:v>0.3</x:v>
      </x:c>
      <x:c r="N694" s="34" t="n">
        <x:v>0</x:v>
      </x:c>
      <x:c r="O694" s="34" t="n">
        <x:v>0</x:v>
      </x:c>
      <x:c r="P694" s="34" t="n">
        <x:v>4.5</x:v>
      </x:c>
      <x:c r="Q694" s="34" t="n">
        <x:v>4.5</x:v>
      </x:c>
      <x:c r="R694" s="34" t="n">
        <x:v>0</x:v>
      </x:c>
      <x:c r="S694" s="40" t="b">
        <x:v>1</x:v>
      </x:c>
      <x:c r="T694" s="34" t="str">
        <x:v>model_interpolation</x:v>
      </x:c>
      <x:c r="U694" s="34" t="str">
        <x:v>Linear interpolation from 2026 to 2030</x:v>
      </x:c>
      <x:c r="V694" s="34" t="str">
        <x:v>CAND-C1AAA9A0078119</x:v>
      </x:c>
      <x:c r="W694" s="34" t="str">
        <x:v>P1</x:v>
      </x:c>
      <x:c r="X694" s="34" t="str">
        <x:v>PORT-9E76B3BFF9FF</x:v>
      </x:c>
      <x:c r="Y694" s="34" t="n">
        <x:v>1000</x:v>
      </x:c>
      <x:c r="Z694" s="34" t="n">
        <x:v>92.168103</x:v>
      </x:c>
      <x:c r="AA694" s="34" t="n">
        <x:v>27.019632</x:v>
      </x:c>
      <x:c r="AB694" s="34" t="n">
        <x:v>456.103943</x:v>
      </x:c>
      <x:c r="AC694" s="34" t="n">
        <x:v>41012.769</x:v>
      </x:c>
      <x:c r="AD694" s="34" t="n">
        <x:v>89.919787</x:v>
      </x:c>
      <x:c r="AE694" s="40" t="b">
        <x:v>1</x:v>
      </x:c>
      <x:c r="AF694" s="40" t="b">
        <x:v>1</x:v>
      </x:c>
      <x:c r="AG694" s="34" t="str"/>
      <x:c r="AH694" s="34" t="n">
        <x:v>0</x:v>
      </x:c>
      <x:c r="AI694" s="34" t="str">
        <x:v>3.446647212967946e-06</x:v>
      </x:c>
      <x:c r="AJ694" s="40" t="b">
        <x:v>1</x:v>
      </x:c>
      <x:c r="AK694" s="40" t="b">
        <x:v>1</x:v>
      </x:c>
      <x:c r="AL694" s="40" t="b">
        <x:v>1</x:v>
      </x:c>
      <x:c r="AM694" s="40" t="b">
        <x:v>1</x:v>
      </x:c>
      <x:c r="AN694" s="34" t="str"/>
      <x:c r="AO694" s="34" t="n">
        <x:v>0</x:v>
      </x:c>
      <x:c r="AP694" s="34" t="n">
        <x:v>0</x:v>
      </x:c>
      <x:c r="AQ694" s="34" t="n">
        <x:v>0</x:v>
      </x:c>
      <x:c r="AR694" s="34" t="n">
        <x:v>2</x:v>
      </x:c>
      <x:c r="AS694" s="34" t="n">
        <x:v>2</x:v>
      </x:c>
      <x:c r="AT694" s="34" t="n">
        <x:v>0.47641018879999986</x:v>
      </x:c>
      <x:c r="AU694" s="34" t="n">
        <x:v>0.65</x:v>
      </x:c>
      <x:c r="AV694" s="34" t="n">
        <x:v>2.16</x:v>
      </x:c>
    </x:row>
    <x:row r="695">
      <x:c r="A695" s="34" t="str">
        <x:v>NIPPON_STEEL_JP</x:v>
      </x:c>
      <x:c r="B695" s="34" t="str">
        <x:v>Nippon Steel</x:v>
      </x:c>
      <x:c r="C695" s="34" t="str">
        <x:v>DISCLOSED_PATH</x:v>
      </x:c>
      <x:c r="D695" s="34" t="str">
        <x:v>P1</x:v>
      </x:c>
      <x:c r="E695" s="34" t="n">
        <x:v>2029</x:v>
      </x:c>
      <x:c r="F695" s="34" t="n">
        <x:v>1</x:v>
      </x:c>
      <x:c r="G695" s="34" t="n">
        <x:v>8.1</x:v>
      </x:c>
      <x:c r="H695" s="34" t="n">
        <x:v>11</x:v>
      </x:c>
      <x:c r="I695" s="34" t="n">
        <x:v>2.9</x:v>
      </x:c>
      <x:c r="J695" s="34" t="n">
        <x:v>73.636</x:v>
      </x:c>
      <x:c r="K695" s="34" t="n">
        <x:v>0</x:v>
      </x:c>
      <x:c r="L695" s="34" t="n">
        <x:v>0.44999999999999996</x:v>
      </x:c>
      <x:c r="M695" s="34" t="n">
        <x:v>0.45</x:v>
      </x:c>
      <x:c r="N695" s="34" t="n">
        <x:v>0</x:v>
      </x:c>
      <x:c r="O695" s="34" t="n">
        <x:v>5.04</x:v>
      </x:c>
      <x:c r="P695" s="34" t="n">
        <x:v>5.75</x:v>
      </x:c>
      <x:c r="Q695" s="34" t="n">
        <x:v>0.71</x:v>
      </x:c>
      <x:c r="R695" s="34" t="n">
        <x:v>87.652</x:v>
      </x:c>
      <x:c r="S695" s="40" t="b">
        <x:v>1</x:v>
      </x:c>
      <x:c r="T695" s="34" t="str">
        <x:v>model_interpolation</x:v>
      </x:c>
      <x:c r="U695" s="34" t="str">
        <x:v>Linear interpolation from 2026 to 2030</x:v>
      </x:c>
      <x:c r="V695" s="34" t="str">
        <x:v>CAND-C1AAA9A0078119</x:v>
      </x:c>
      <x:c r="W695" s="34" t="str">
        <x:v>P1</x:v>
      </x:c>
      <x:c r="X695" s="34" t="str">
        <x:v>PORT-9E76B3BFF9FF</x:v>
      </x:c>
      <x:c r="Y695" s="34" t="n">
        <x:v>1000</x:v>
      </x:c>
      <x:c r="Z695" s="34" t="n">
        <x:v>92.168103</x:v>
      </x:c>
      <x:c r="AA695" s="34" t="n">
        <x:v>27.019632</x:v>
      </x:c>
      <x:c r="AB695" s="34" t="n">
        <x:v>456.103943</x:v>
      </x:c>
      <x:c r="AC695" s="34" t="n">
        <x:v>41012.769</x:v>
      </x:c>
      <x:c r="AD695" s="34" t="n">
        <x:v>89.919787</x:v>
      </x:c>
      <x:c r="AE695" s="40" t="b">
        <x:v>1</x:v>
      </x:c>
      <x:c r="AF695" s="40" t="b">
        <x:v>1</x:v>
      </x:c>
      <x:c r="AG695" s="34" t="str"/>
      <x:c r="AH695" s="34" t="n">
        <x:v>0</x:v>
      </x:c>
      <x:c r="AI695" s="34" t="str">
        <x:v>3.446647212967946e-06</x:v>
      </x:c>
      <x:c r="AJ695" s="40" t="b">
        <x:v>1</x:v>
      </x:c>
      <x:c r="AK695" s="40" t="b">
        <x:v>1</x:v>
      </x:c>
      <x:c r="AL695" s="40" t="b">
        <x:v>1</x:v>
      </x:c>
      <x:c r="AM695" s="40" t="b">
        <x:v>1</x:v>
      </x:c>
      <x:c r="AN695" s="34" t="str"/>
      <x:c r="AO695" s="34" t="n">
        <x:v>0</x:v>
      </x:c>
      <x:c r="AP695" s="34" t="n">
        <x:v>0</x:v>
      </x:c>
      <x:c r="AQ695" s="34" t="n">
        <x:v>0</x:v>
      </x:c>
      <x:c r="AR695" s="34" t="n">
        <x:v>2</x:v>
      </x:c>
      <x:c r="AS695" s="34" t="n">
        <x:v>2</x:v>
      </x:c>
      <x:c r="AT695" s="34" t="n">
        <x:v>0.47641018879999986</x:v>
      </x:c>
      <x:c r="AU695" s="34" t="n">
        <x:v>0.65</x:v>
      </x:c>
      <x:c r="AV695" s="34" t="n">
        <x:v>2.16</x:v>
      </x:c>
    </x:row>
    <x:row r="696">
      <x:c r="A696" s="34" t="str">
        <x:v>NIPPON_STEEL_JP</x:v>
      </x:c>
      <x:c r="B696" s="34" t="str">
        <x:v>Nippon Steel</x:v>
      </x:c>
      <x:c r="C696" s="34" t="str">
        <x:v>DISCLOSED_PATH</x:v>
      </x:c>
      <x:c r="D696" s="34" t="str">
        <x:v>P1</x:v>
      </x:c>
      <x:c r="E696" s="34" t="n">
        <x:v>2030</x:v>
      </x:c>
      <x:c r="F696" s="34" t="n">
        <x:v>1</x:v>
      </x:c>
      <x:c r="G696" s="34" t="n">
        <x:v>8.1</x:v>
      </x:c>
      <x:c r="H696" s="34" t="n">
        <x:v>12</x:v>
      </x:c>
      <x:c r="I696" s="34" t="n">
        <x:v>3.9</x:v>
      </x:c>
      <x:c r="J696" s="34" t="n">
        <x:v>67.5</x:v>
      </x:c>
      <x:c r="K696" s="34" t="n">
        <x:v>0</x:v>
      </x:c>
      <x:c r="L696" s="34" t="n">
        <x:v>0.6</x:v>
      </x:c>
      <x:c r="M696" s="34" t="n">
        <x:v>0.6</x:v>
      </x:c>
      <x:c r="N696" s="34" t="n">
        <x:v>0</x:v>
      </x:c>
      <x:c r="O696" s="34" t="n">
        <x:v>5.04</x:v>
      </x:c>
      <x:c r="P696" s="34" t="n">
        <x:v>7</x:v>
      </x:c>
      <x:c r="Q696" s="34" t="n">
        <x:v>1.96</x:v>
      </x:c>
      <x:c r="R696" s="34" t="n">
        <x:v>72</x:v>
      </x:c>
      <x:c r="S696" s="40" t="b">
        <x:v>1</x:v>
      </x:c>
      <x:c r="T696" s="34" t="str">
        <x:v>model_interpolation</x:v>
      </x:c>
      <x:c r="U696" s="34" t="str">
        <x:v>Linear interpolation from 2030 to 2035</x:v>
      </x:c>
      <x:c r="V696" s="34" t="str">
        <x:v>CAND-C1AAA9A0078119</x:v>
      </x:c>
      <x:c r="W696" s="34" t="str">
        <x:v>P1</x:v>
      </x:c>
      <x:c r="X696" s="34" t="str">
        <x:v>PORT-9E76B3BFF9FF</x:v>
      </x:c>
      <x:c r="Y696" s="34" t="n">
        <x:v>1000</x:v>
      </x:c>
      <x:c r="Z696" s="34" t="n">
        <x:v>92.168103</x:v>
      </x:c>
      <x:c r="AA696" s="34" t="n">
        <x:v>27.019632</x:v>
      </x:c>
      <x:c r="AB696" s="34" t="n">
        <x:v>456.103943</x:v>
      </x:c>
      <x:c r="AC696" s="34" t="n">
        <x:v>41012.769</x:v>
      </x:c>
      <x:c r="AD696" s="34" t="n">
        <x:v>89.919787</x:v>
      </x:c>
      <x:c r="AE696" s="40" t="b">
        <x:v>1</x:v>
      </x:c>
      <x:c r="AF696" s="40" t="b">
        <x:v>1</x:v>
      </x:c>
      <x:c r="AG696" s="34" t="str"/>
      <x:c r="AH696" s="34" t="n">
        <x:v>0</x:v>
      </x:c>
      <x:c r="AI696" s="34" t="str">
        <x:v>3.446647212967946e-06</x:v>
      </x:c>
      <x:c r="AJ696" s="40" t="b">
        <x:v>1</x:v>
      </x:c>
      <x:c r="AK696" s="40" t="b">
        <x:v>1</x:v>
      </x:c>
      <x:c r="AL696" s="40" t="b">
        <x:v>1</x:v>
      </x:c>
      <x:c r="AM696" s="40" t="b">
        <x:v>1</x:v>
      </x:c>
      <x:c r="AN696" s="34" t="str"/>
      <x:c r="AO696" s="34" t="n">
        <x:v>0</x:v>
      </x:c>
      <x:c r="AP696" s="34" t="n">
        <x:v>0</x:v>
      </x:c>
      <x:c r="AQ696" s="34" t="n">
        <x:v>0</x:v>
      </x:c>
      <x:c r="AR696" s="34" t="n">
        <x:v>2</x:v>
      </x:c>
      <x:c r="AS696" s="34" t="n">
        <x:v>2</x:v>
      </x:c>
      <x:c r="AT696" s="34" t="n">
        <x:v>0.47641018879999986</x:v>
      </x:c>
      <x:c r="AU696" s="34" t="n">
        <x:v>0.65</x:v>
      </x:c>
      <x:c r="AV696" s="34" t="n">
        <x:v>2.16</x:v>
      </x:c>
    </x:row>
    <x:row r="697">
      <x:c r="A697" s="34" t="str">
        <x:v>NIPPON_STEEL_JP</x:v>
      </x:c>
      <x:c r="B697" s="34" t="str">
        <x:v>Nippon Steel</x:v>
      </x:c>
      <x:c r="C697" s="34" t="str">
        <x:v>DISCLOSED_PATH</x:v>
      </x:c>
      <x:c r="D697" s="34" t="str">
        <x:v>P1</x:v>
      </x:c>
      <x:c r="E697" s="34" t="n">
        <x:v>2031</x:v>
      </x:c>
      <x:c r="F697" s="34" t="n">
        <x:v>1</x:v>
      </x:c>
      <x:c r="G697" s="34" t="n">
        <x:v>8.1</x:v>
      </x:c>
      <x:c r="H697" s="34" t="n">
        <x:v>13.2</x:v>
      </x:c>
      <x:c r="I697" s="34" t="n">
        <x:v>5.1</x:v>
      </x:c>
      <x:c r="J697" s="34" t="n">
        <x:v>61.364</x:v>
      </x:c>
      <x:c r="K697" s="34" t="n">
        <x:v>0</x:v>
      </x:c>
      <x:c r="L697" s="34" t="n">
        <x:v>0.8400000000000001</x:v>
      </x:c>
      <x:c r="M697" s="34" t="n">
        <x:v>0.84</x:v>
      </x:c>
      <x:c r="N697" s="34" t="n">
        <x:v>0</x:v>
      </x:c>
      <x:c r="O697" s="34" t="n">
        <x:v>5.04</x:v>
      </x:c>
      <x:c r="P697" s="34" t="n">
        <x:v>8.6</x:v>
      </x:c>
      <x:c r="Q697" s="34" t="n">
        <x:v>3.56</x:v>
      </x:c>
      <x:c r="R697" s="34" t="n">
        <x:v>58.605</x:v>
      </x:c>
      <x:c r="S697" s="40" t="b">
        <x:v>1</x:v>
      </x:c>
      <x:c r="T697" s="34" t="str">
        <x:v>model_interpolation</x:v>
      </x:c>
      <x:c r="U697" s="34" t="str">
        <x:v>Linear interpolation from 2030 to 2035</x:v>
      </x:c>
      <x:c r="V697" s="34" t="str">
        <x:v>CAND-C1AAA9A0078119</x:v>
      </x:c>
      <x:c r="W697" s="34" t="str">
        <x:v>P1</x:v>
      </x:c>
      <x:c r="X697" s="34" t="str">
        <x:v>PORT-9E76B3BFF9FF</x:v>
      </x:c>
      <x:c r="Y697" s="34" t="n">
        <x:v>1000</x:v>
      </x:c>
      <x:c r="Z697" s="34" t="n">
        <x:v>92.168103</x:v>
      </x:c>
      <x:c r="AA697" s="34" t="n">
        <x:v>27.019632</x:v>
      </x:c>
      <x:c r="AB697" s="34" t="n">
        <x:v>456.103943</x:v>
      </x:c>
      <x:c r="AC697" s="34" t="n">
        <x:v>41012.769</x:v>
      </x:c>
      <x:c r="AD697" s="34" t="n">
        <x:v>89.919787</x:v>
      </x:c>
      <x:c r="AE697" s="40" t="b">
        <x:v>1</x:v>
      </x:c>
      <x:c r="AF697" s="40" t="b">
        <x:v>1</x:v>
      </x:c>
      <x:c r="AG697" s="34" t="str"/>
      <x:c r="AH697" s="34" t="n">
        <x:v>0</x:v>
      </x:c>
      <x:c r="AI697" s="34" t="str">
        <x:v>3.446647212967946e-06</x:v>
      </x:c>
      <x:c r="AJ697" s="40" t="b">
        <x:v>1</x:v>
      </x:c>
      <x:c r="AK697" s="40" t="b">
        <x:v>1</x:v>
      </x:c>
      <x:c r="AL697" s="40" t="b">
        <x:v>1</x:v>
      </x:c>
      <x:c r="AM697" s="40" t="b">
        <x:v>1</x:v>
      </x:c>
      <x:c r="AN697" s="34" t="str"/>
      <x:c r="AO697" s="34" t="n">
        <x:v>0</x:v>
      </x:c>
      <x:c r="AP697" s="34" t="n">
        <x:v>0</x:v>
      </x:c>
      <x:c r="AQ697" s="34" t="n">
        <x:v>0</x:v>
      </x:c>
      <x:c r="AR697" s="34" t="n">
        <x:v>2</x:v>
      </x:c>
      <x:c r="AS697" s="34" t="n">
        <x:v>2</x:v>
      </x:c>
      <x:c r="AT697" s="34" t="n">
        <x:v>0.47641018879999986</x:v>
      </x:c>
      <x:c r="AU697" s="34" t="n">
        <x:v>0.65</x:v>
      </x:c>
      <x:c r="AV697" s="34" t="n">
        <x:v>2.16</x:v>
      </x:c>
    </x:row>
    <x:row r="698">
      <x:c r="A698" s="34" t="str">
        <x:v>NIPPON_STEEL_JP</x:v>
      </x:c>
      <x:c r="B698" s="34" t="str">
        <x:v>Nippon Steel</x:v>
      </x:c>
      <x:c r="C698" s="34" t="str">
        <x:v>DISCLOSED_PATH</x:v>
      </x:c>
      <x:c r="D698" s="34" t="str">
        <x:v>P1</x:v>
      </x:c>
      <x:c r="E698" s="34" t="n">
        <x:v>2032</x:v>
      </x:c>
      <x:c r="F698" s="34" t="n">
        <x:v>2</x:v>
      </x:c>
      <x:c r="G698" s="34" t="n">
        <x:v>9.03</x:v>
      </x:c>
      <x:c r="H698" s="34" t="n">
        <x:v>14.4</x:v>
      </x:c>
      <x:c r="I698" s="34" t="n">
        <x:v>5.37</x:v>
      </x:c>
      <x:c r="J698" s="34" t="n">
        <x:v>62.708</x:v>
      </x:c>
      <x:c r="K698" s="34" t="n">
        <x:v>0.341</x:v>
      </x:c>
      <x:c r="L698" s="34" t="n">
        <x:v>1.08</x:v>
      </x:c>
      <x:c r="M698" s="34" t="n">
        <x:v>0.739</x:v>
      </x:c>
      <x:c r="N698" s="34" t="n">
        <x:v>31.574</x:v>
      </x:c>
      <x:c r="O698" s="34" t="n">
        <x:v>7.891999</x:v>
      </x:c>
      <x:c r="P698" s="34" t="n">
        <x:v>10.2</x:v>
      </x:c>
      <x:c r="Q698" s="34" t="n">
        <x:v>2.308001</x:v>
      </x:c>
      <x:c r="R698" s="34" t="n">
        <x:v>77.373</x:v>
      </x:c>
      <x:c r="S698" s="40" t="b">
        <x:v>1</x:v>
      </x:c>
      <x:c r="T698" s="34" t="str">
        <x:v>model_interpolation</x:v>
      </x:c>
      <x:c r="U698" s="34" t="str">
        <x:v>Linear interpolation from 2030 to 2035</x:v>
      </x:c>
      <x:c r="V698" s="34" t="str">
        <x:v>CAND-C1AAA9A0078119</x:v>
      </x:c>
      <x:c r="W698" s="34" t="str">
        <x:v>P1</x:v>
      </x:c>
      <x:c r="X698" s="34" t="str">
        <x:v>PORT-9E76B3BFF9FF</x:v>
      </x:c>
      <x:c r="Y698" s="34" t="n">
        <x:v>1000</x:v>
      </x:c>
      <x:c r="Z698" s="34" t="n">
        <x:v>92.168103</x:v>
      </x:c>
      <x:c r="AA698" s="34" t="n">
        <x:v>27.019632</x:v>
      </x:c>
      <x:c r="AB698" s="34" t="n">
        <x:v>456.103943</x:v>
      </x:c>
      <x:c r="AC698" s="34" t="n">
        <x:v>41012.769</x:v>
      </x:c>
      <x:c r="AD698" s="34" t="n">
        <x:v>89.919787</x:v>
      </x:c>
      <x:c r="AE698" s="40" t="b">
        <x:v>1</x:v>
      </x:c>
      <x:c r="AF698" s="40" t="b">
        <x:v>1</x:v>
      </x:c>
      <x:c r="AG698" s="34" t="str"/>
      <x:c r="AH698" s="34" t="n">
        <x:v>0</x:v>
      </x:c>
      <x:c r="AI698" s="34" t="str">
        <x:v>3.446647212967946e-06</x:v>
      </x:c>
      <x:c r="AJ698" s="40" t="b">
        <x:v>1</x:v>
      </x:c>
      <x:c r="AK698" s="40" t="b">
        <x:v>1</x:v>
      </x:c>
      <x:c r="AL698" s="40" t="b">
        <x:v>1</x:v>
      </x:c>
      <x:c r="AM698" s="40" t="b">
        <x:v>1</x:v>
      </x:c>
      <x:c r="AN698" s="34" t="str"/>
      <x:c r="AO698" s="34" t="n">
        <x:v>0</x:v>
      </x:c>
      <x:c r="AP698" s="34" t="n">
        <x:v>0</x:v>
      </x:c>
      <x:c r="AQ698" s="34" t="n">
        <x:v>0</x:v>
      </x:c>
      <x:c r="AR698" s="34" t="n">
        <x:v>2</x:v>
      </x:c>
      <x:c r="AS698" s="34" t="n">
        <x:v>2</x:v>
      </x:c>
      <x:c r="AT698" s="34" t="n">
        <x:v>0.47641018879999986</x:v>
      </x:c>
      <x:c r="AU698" s="34" t="n">
        <x:v>0.65</x:v>
      </x:c>
      <x:c r="AV698" s="34" t="n">
        <x:v>2.16</x:v>
      </x:c>
    </x:row>
    <x:row r="699">
      <x:c r="A699" s="34" t="str">
        <x:v>NIPPON_STEEL_JP</x:v>
      </x:c>
      <x:c r="B699" s="34" t="str">
        <x:v>Nippon Steel</x:v>
      </x:c>
      <x:c r="C699" s="34" t="str">
        <x:v>DISCLOSED_PATH</x:v>
      </x:c>
      <x:c r="D699" s="34" t="str">
        <x:v>P1</x:v>
      </x:c>
      <x:c r="E699" s="34" t="n">
        <x:v>2033</x:v>
      </x:c>
      <x:c r="F699" s="34" t="n">
        <x:v>2</x:v>
      </x:c>
      <x:c r="G699" s="34" t="n">
        <x:v>9.03</x:v>
      </x:c>
      <x:c r="H699" s="34" t="n">
        <x:v>15.6</x:v>
      </x:c>
      <x:c r="I699" s="34" t="n">
        <x:v>6.57</x:v>
      </x:c>
      <x:c r="J699" s="34" t="n">
        <x:v>57.885</x:v>
      </x:c>
      <x:c r="K699" s="34" t="n">
        <x:v>0.341</x:v>
      </x:c>
      <x:c r="L699" s="34" t="n">
        <x:v>1.32</x:v>
      </x:c>
      <x:c r="M699" s="34" t="n">
        <x:v>0.979</x:v>
      </x:c>
      <x:c r="N699" s="34" t="n">
        <x:v>25.833</x:v>
      </x:c>
      <x:c r="O699" s="34" t="n">
        <x:v>7.891999</x:v>
      </x:c>
      <x:c r="P699" s="34" t="n">
        <x:v>11.8</x:v>
      </x:c>
      <x:c r="Q699" s="34" t="n">
        <x:v>3.908001</x:v>
      </x:c>
      <x:c r="R699" s="34" t="n">
        <x:v>66.881</x:v>
      </x:c>
      <x:c r="S699" s="40" t="b">
        <x:v>1</x:v>
      </x:c>
      <x:c r="T699" s="34" t="str">
        <x:v>model_interpolation</x:v>
      </x:c>
      <x:c r="U699" s="34" t="str">
        <x:v>Linear interpolation from 2030 to 2035</x:v>
      </x:c>
      <x:c r="V699" s="34" t="str">
        <x:v>CAND-C1AAA9A0078119</x:v>
      </x:c>
      <x:c r="W699" s="34" t="str">
        <x:v>P1</x:v>
      </x:c>
      <x:c r="X699" s="34" t="str">
        <x:v>PORT-9E76B3BFF9FF</x:v>
      </x:c>
      <x:c r="Y699" s="34" t="n">
        <x:v>1000</x:v>
      </x:c>
      <x:c r="Z699" s="34" t="n">
        <x:v>92.168103</x:v>
      </x:c>
      <x:c r="AA699" s="34" t="n">
        <x:v>27.019632</x:v>
      </x:c>
      <x:c r="AB699" s="34" t="n">
        <x:v>456.103943</x:v>
      </x:c>
      <x:c r="AC699" s="34" t="n">
        <x:v>41012.769</x:v>
      </x:c>
      <x:c r="AD699" s="34" t="n">
        <x:v>89.919787</x:v>
      </x:c>
      <x:c r="AE699" s="40" t="b">
        <x:v>1</x:v>
      </x:c>
      <x:c r="AF699" s="40" t="b">
        <x:v>1</x:v>
      </x:c>
      <x:c r="AG699" s="34" t="str"/>
      <x:c r="AH699" s="34" t="n">
        <x:v>0</x:v>
      </x:c>
      <x:c r="AI699" s="34" t="str">
        <x:v>3.446647212967946e-06</x:v>
      </x:c>
      <x:c r="AJ699" s="40" t="b">
        <x:v>1</x:v>
      </x:c>
      <x:c r="AK699" s="40" t="b">
        <x:v>1</x:v>
      </x:c>
      <x:c r="AL699" s="40" t="b">
        <x:v>1</x:v>
      </x:c>
      <x:c r="AM699" s="40" t="b">
        <x:v>1</x:v>
      </x:c>
      <x:c r="AN699" s="34" t="str"/>
      <x:c r="AO699" s="34" t="n">
        <x:v>0</x:v>
      </x:c>
      <x:c r="AP699" s="34" t="n">
        <x:v>0</x:v>
      </x:c>
      <x:c r="AQ699" s="34" t="n">
        <x:v>0</x:v>
      </x:c>
      <x:c r="AR699" s="34" t="n">
        <x:v>2</x:v>
      </x:c>
      <x:c r="AS699" s="34" t="n">
        <x:v>2</x:v>
      </x:c>
      <x:c r="AT699" s="34" t="n">
        <x:v>0.47641018879999986</x:v>
      </x:c>
      <x:c r="AU699" s="34" t="n">
        <x:v>0.65</x:v>
      </x:c>
      <x:c r="AV699" s="34" t="n">
        <x:v>2.16</x:v>
      </x:c>
    </x:row>
    <x:row r="700">
      <x:c r="A700" s="34" t="str">
        <x:v>NIPPON_STEEL_JP</x:v>
      </x:c>
      <x:c r="B700" s="34" t="str">
        <x:v>Nippon Steel</x:v>
      </x:c>
      <x:c r="C700" s="34" t="str">
        <x:v>DISCLOSED_PATH</x:v>
      </x:c>
      <x:c r="D700" s="34" t="str">
        <x:v>P1</x:v>
      </x:c>
      <x:c r="E700" s="34" t="n">
        <x:v>2034</x:v>
      </x:c>
      <x:c r="F700" s="34" t="n">
        <x:v>3</x:v>
      </x:c>
      <x:c r="G700" s="34" t="n">
        <x:v>15.510001</x:v>
      </x:c>
      <x:c r="H700" s="34" t="n">
        <x:v>16.8</x:v>
      </x:c>
      <x:c r="I700" s="34" t="n">
        <x:v>1.289999</x:v>
      </x:c>
      <x:c r="J700" s="34" t="n">
        <x:v>92.321</x:v>
      </x:c>
      <x:c r="K700" s="34" t="n">
        <x:v>0.341</x:v>
      </x:c>
      <x:c r="L700" s="34" t="n">
        <x:v>1.56</x:v>
      </x:c>
      <x:c r="M700" s="34" t="n">
        <x:v>1.219</x:v>
      </x:c>
      <x:c r="N700" s="34" t="n">
        <x:v>21.859</x:v>
      </x:c>
      <x:c r="O700" s="34" t="n">
        <x:v>11.924</x:v>
      </x:c>
      <x:c r="P700" s="34" t="n">
        <x:v>13.4</x:v>
      </x:c>
      <x:c r="Q700" s="34" t="n">
        <x:v>1.476</x:v>
      </x:c>
      <x:c r="R700" s="34" t="n">
        <x:v>88.985</x:v>
      </x:c>
      <x:c r="S700" s="40" t="b">
        <x:v>1</x:v>
      </x:c>
      <x:c r="T700" s="34" t="str">
        <x:v>model_interpolation</x:v>
      </x:c>
      <x:c r="U700" s="34" t="str">
        <x:v>Linear interpolation from 2030 to 2035</x:v>
      </x:c>
      <x:c r="V700" s="34" t="str">
        <x:v>CAND-C1AAA9A0078119</x:v>
      </x:c>
      <x:c r="W700" s="34" t="str">
        <x:v>P1</x:v>
      </x:c>
      <x:c r="X700" s="34" t="str">
        <x:v>PORT-9E76B3BFF9FF</x:v>
      </x:c>
      <x:c r="Y700" s="34" t="n">
        <x:v>1000</x:v>
      </x:c>
      <x:c r="Z700" s="34" t="n">
        <x:v>92.168103</x:v>
      </x:c>
      <x:c r="AA700" s="34" t="n">
        <x:v>27.019632</x:v>
      </x:c>
      <x:c r="AB700" s="34" t="n">
        <x:v>456.103943</x:v>
      </x:c>
      <x:c r="AC700" s="34" t="n">
        <x:v>41012.769</x:v>
      </x:c>
      <x:c r="AD700" s="34" t="n">
        <x:v>89.919787</x:v>
      </x:c>
      <x:c r="AE700" s="40" t="b">
        <x:v>1</x:v>
      </x:c>
      <x:c r="AF700" s="40" t="b">
        <x:v>1</x:v>
      </x:c>
      <x:c r="AG700" s="34" t="str"/>
      <x:c r="AH700" s="34" t="n">
        <x:v>0</x:v>
      </x:c>
      <x:c r="AI700" s="34" t="str">
        <x:v>3.446647212967946e-06</x:v>
      </x:c>
      <x:c r="AJ700" s="40" t="b">
        <x:v>1</x:v>
      </x:c>
      <x:c r="AK700" s="40" t="b">
        <x:v>1</x:v>
      </x:c>
      <x:c r="AL700" s="40" t="b">
        <x:v>1</x:v>
      </x:c>
      <x:c r="AM700" s="40" t="b">
        <x:v>1</x:v>
      </x:c>
      <x:c r="AN700" s="34" t="str"/>
      <x:c r="AO700" s="34" t="n">
        <x:v>0</x:v>
      </x:c>
      <x:c r="AP700" s="34" t="n">
        <x:v>0</x:v>
      </x:c>
      <x:c r="AQ700" s="34" t="n">
        <x:v>0</x:v>
      </x:c>
      <x:c r="AR700" s="34" t="n">
        <x:v>2</x:v>
      </x:c>
      <x:c r="AS700" s="34" t="n">
        <x:v>2</x:v>
      </x:c>
      <x:c r="AT700" s="34" t="n">
        <x:v>0.47641018879999986</x:v>
      </x:c>
      <x:c r="AU700" s="34" t="n">
        <x:v>0.65</x:v>
      </x:c>
      <x:c r="AV700" s="34" t="n">
        <x:v>2.16</x:v>
      </x:c>
    </x:row>
    <x:row r="701">
      <x:c r="A701" s="34" t="str">
        <x:v>NIPPON_STEEL_JP</x:v>
      </x:c>
      <x:c r="B701" s="34" t="str">
        <x:v>Nippon Steel</x:v>
      </x:c>
      <x:c r="C701" s="34" t="str">
        <x:v>DISCLOSED_PATH</x:v>
      </x:c>
      <x:c r="D701" s="34" t="str">
        <x:v>P1</x:v>
      </x:c>
      <x:c r="E701" s="34" t="n">
        <x:v>2035</x:v>
      </x:c>
      <x:c r="F701" s="34" t="n">
        <x:v>3</x:v>
      </x:c>
      <x:c r="G701" s="34" t="n">
        <x:v>15.510001</x:v>
      </x:c>
      <x:c r="H701" s="34" t="n">
        <x:v>18</x:v>
      </x:c>
      <x:c r="I701" s="34" t="n">
        <x:v>2.489999</x:v>
      </x:c>
      <x:c r="J701" s="34" t="n">
        <x:v>86.167</x:v>
      </x:c>
      <x:c r="K701" s="34" t="n">
        <x:v>0.341</x:v>
      </x:c>
      <x:c r="L701" s="34" t="n">
        <x:v>1.8</x:v>
      </x:c>
      <x:c r="M701" s="34" t="n">
        <x:v>1.459</x:v>
      </x:c>
      <x:c r="N701" s="34" t="n">
        <x:v>18.944</x:v>
      </x:c>
      <x:c r="O701" s="34" t="n">
        <x:v>11.924</x:v>
      </x:c>
      <x:c r="P701" s="34" t="n">
        <x:v>15</x:v>
      </x:c>
      <x:c r="Q701" s="34" t="n">
        <x:v>3.076</x:v>
      </x:c>
      <x:c r="R701" s="34" t="n">
        <x:v>79.493</x:v>
      </x:c>
      <x:c r="S701" s="40" t="b">
        <x:v>1</x:v>
      </x:c>
      <x:c r="T701" s="34" t="str">
        <x:v>model_interpolation</x:v>
      </x:c>
      <x:c r="U701" s="34" t="str">
        <x:v>Linear interpolation from 2035 to 2040</x:v>
      </x:c>
      <x:c r="V701" s="34" t="str">
        <x:v>CAND-C1AAA9A0078119</x:v>
      </x:c>
      <x:c r="W701" s="34" t="str">
        <x:v>P1</x:v>
      </x:c>
      <x:c r="X701" s="34" t="str">
        <x:v>PORT-9E76B3BFF9FF</x:v>
      </x:c>
      <x:c r="Y701" s="34" t="n">
        <x:v>1000</x:v>
      </x:c>
      <x:c r="Z701" s="34" t="n">
        <x:v>92.168103</x:v>
      </x:c>
      <x:c r="AA701" s="34" t="n">
        <x:v>27.019632</x:v>
      </x:c>
      <x:c r="AB701" s="34" t="n">
        <x:v>456.103943</x:v>
      </x:c>
      <x:c r="AC701" s="34" t="n">
        <x:v>41012.769</x:v>
      </x:c>
      <x:c r="AD701" s="34" t="n">
        <x:v>89.919787</x:v>
      </x:c>
      <x:c r="AE701" s="40" t="b">
        <x:v>1</x:v>
      </x:c>
      <x:c r="AF701" s="40" t="b">
        <x:v>1</x:v>
      </x:c>
      <x:c r="AG701" s="34" t="str"/>
      <x:c r="AH701" s="34" t="n">
        <x:v>0</x:v>
      </x:c>
      <x:c r="AI701" s="34" t="str">
        <x:v>3.446647212967946e-06</x:v>
      </x:c>
      <x:c r="AJ701" s="40" t="b">
        <x:v>1</x:v>
      </x:c>
      <x:c r="AK701" s="40" t="b">
        <x:v>1</x:v>
      </x:c>
      <x:c r="AL701" s="40" t="b">
        <x:v>1</x:v>
      </x:c>
      <x:c r="AM701" s="40" t="b">
        <x:v>1</x:v>
      </x:c>
      <x:c r="AN701" s="34" t="str"/>
      <x:c r="AO701" s="34" t="n">
        <x:v>0</x:v>
      </x:c>
      <x:c r="AP701" s="34" t="n">
        <x:v>0</x:v>
      </x:c>
      <x:c r="AQ701" s="34" t="n">
        <x:v>0</x:v>
      </x:c>
      <x:c r="AR701" s="34" t="n">
        <x:v>2</x:v>
      </x:c>
      <x:c r="AS701" s="34" t="n">
        <x:v>2</x:v>
      </x:c>
      <x:c r="AT701" s="34" t="n">
        <x:v>0.47641018879999986</x:v>
      </x:c>
      <x:c r="AU701" s="34" t="n">
        <x:v>0.65</x:v>
      </x:c>
      <x:c r="AV701" s="34" t="n">
        <x:v>2.16</x:v>
      </x:c>
    </x:row>
    <x:row r="702">
      <x:c r="A702" s="34" t="str">
        <x:v>NIPPON_STEEL_JP</x:v>
      </x:c>
      <x:c r="B702" s="34" t="str">
        <x:v>Nippon Steel</x:v>
      </x:c>
      <x:c r="C702" s="34" t="str">
        <x:v>DISCLOSED_PATH</x:v>
      </x:c>
      <x:c r="D702" s="34" t="str">
        <x:v>P1</x:v>
      </x:c>
      <x:c r="E702" s="34" t="n">
        <x:v>2036</x:v>
      </x:c>
      <x:c r="F702" s="34" t="n">
        <x:v>4</x:v>
      </x:c>
      <x:c r="G702" s="34" t="n">
        <x:v>16.350001</x:v>
      </x:c>
      <x:c r="H702" s="34" t="n">
        <x:v>19.4</x:v>
      </x:c>
      <x:c r="I702" s="34" t="n">
        <x:v>3.049999</x:v>
      </x:c>
      <x:c r="J702" s="34" t="n">
        <x:v>84.278</x:v>
      </x:c>
      <x:c r="K702" s="34" t="n">
        <x:v>0.649</x:v>
      </x:c>
      <x:c r="L702" s="34" t="n">
        <x:v>2.08</x:v>
      </x:c>
      <x:c r="M702" s="34" t="n">
        <x:v>1.431</x:v>
      </x:c>
      <x:c r="N702" s="34" t="n">
        <x:v>31.202</x:v>
      </x:c>
      <x:c r="O702" s="34" t="n">
        <x:v>14.5</x:v>
      </x:c>
      <x:c r="P702" s="34" t="n">
        <x:v>17</x:v>
      </x:c>
      <x:c r="Q702" s="34" t="n">
        <x:v>2.5</x:v>
      </x:c>
      <x:c r="R702" s="34" t="n">
        <x:v>85.294</x:v>
      </x:c>
      <x:c r="S702" s="40" t="b">
        <x:v>1</x:v>
      </x:c>
      <x:c r="T702" s="34" t="str">
        <x:v>model_interpolation</x:v>
      </x:c>
      <x:c r="U702" s="34" t="str">
        <x:v>Linear interpolation from 2035 to 2040</x:v>
      </x:c>
      <x:c r="V702" s="34" t="str">
        <x:v>CAND-C1AAA9A0078119</x:v>
      </x:c>
      <x:c r="W702" s="34" t="str">
        <x:v>P1</x:v>
      </x:c>
      <x:c r="X702" s="34" t="str">
        <x:v>PORT-9E76B3BFF9FF</x:v>
      </x:c>
      <x:c r="Y702" s="34" t="n">
        <x:v>1000</x:v>
      </x:c>
      <x:c r="Z702" s="34" t="n">
        <x:v>92.168103</x:v>
      </x:c>
      <x:c r="AA702" s="34" t="n">
        <x:v>27.019632</x:v>
      </x:c>
      <x:c r="AB702" s="34" t="n">
        <x:v>456.103943</x:v>
      </x:c>
      <x:c r="AC702" s="34" t="n">
        <x:v>41012.769</x:v>
      </x:c>
      <x:c r="AD702" s="34" t="n">
        <x:v>89.919787</x:v>
      </x:c>
      <x:c r="AE702" s="40" t="b">
        <x:v>1</x:v>
      </x:c>
      <x:c r="AF702" s="40" t="b">
        <x:v>1</x:v>
      </x:c>
      <x:c r="AG702" s="34" t="str"/>
      <x:c r="AH702" s="34" t="n">
        <x:v>0</x:v>
      </x:c>
      <x:c r="AI702" s="34" t="str">
        <x:v>3.446647212967946e-06</x:v>
      </x:c>
      <x:c r="AJ702" s="40" t="b">
        <x:v>1</x:v>
      </x:c>
      <x:c r="AK702" s="40" t="b">
        <x:v>1</x:v>
      </x:c>
      <x:c r="AL702" s="40" t="b">
        <x:v>1</x:v>
      </x:c>
      <x:c r="AM702" s="40" t="b">
        <x:v>1</x:v>
      </x:c>
      <x:c r="AN702" s="34" t="str"/>
      <x:c r="AO702" s="34" t="n">
        <x:v>0</x:v>
      </x:c>
      <x:c r="AP702" s="34" t="n">
        <x:v>0</x:v>
      </x:c>
      <x:c r="AQ702" s="34" t="n">
        <x:v>0</x:v>
      </x:c>
      <x:c r="AR702" s="34" t="n">
        <x:v>2</x:v>
      </x:c>
      <x:c r="AS702" s="34" t="n">
        <x:v>2</x:v>
      </x:c>
      <x:c r="AT702" s="34" t="n">
        <x:v>0.47641018879999986</x:v>
      </x:c>
      <x:c r="AU702" s="34" t="n">
        <x:v>0.65</x:v>
      </x:c>
      <x:c r="AV702" s="34" t="n">
        <x:v>2.16</x:v>
      </x:c>
    </x:row>
    <x:row r="703">
      <x:c r="A703" s="34" t="str">
        <x:v>NIPPON_STEEL_JP</x:v>
      </x:c>
      <x:c r="B703" s="34" t="str">
        <x:v>Nippon Steel</x:v>
      </x:c>
      <x:c r="C703" s="34" t="str">
        <x:v>DISCLOSED_PATH</x:v>
      </x:c>
      <x:c r="D703" s="34" t="str">
        <x:v>P1</x:v>
      </x:c>
      <x:c r="E703" s="34" t="n">
        <x:v>2037</x:v>
      </x:c>
      <x:c r="F703" s="34" t="n">
        <x:v>4</x:v>
      </x:c>
      <x:c r="G703" s="34" t="n">
        <x:v>16.350001</x:v>
      </x:c>
      <x:c r="H703" s="34" t="n">
        <x:v>20.8</x:v>
      </x:c>
      <x:c r="I703" s="34" t="n">
        <x:v>4.449999</x:v>
      </x:c>
      <x:c r="J703" s="34" t="n">
        <x:v>78.606</x:v>
      </x:c>
      <x:c r="K703" s="34" t="n">
        <x:v>0.649</x:v>
      </x:c>
      <x:c r="L703" s="34" t="n">
        <x:v>2.3600000000000003</x:v>
      </x:c>
      <x:c r="M703" s="34" t="n">
        <x:v>1.711</x:v>
      </x:c>
      <x:c r="N703" s="34" t="n">
        <x:v>27.5</x:v>
      </x:c>
      <x:c r="O703" s="34" t="n">
        <x:v>14.5</x:v>
      </x:c>
      <x:c r="P703" s="34" t="n">
        <x:v>19</x:v>
      </x:c>
      <x:c r="Q703" s="34" t="n">
        <x:v>4.5</x:v>
      </x:c>
      <x:c r="R703" s="34" t="n">
        <x:v>76.316</x:v>
      </x:c>
      <x:c r="S703" s="40" t="b">
        <x:v>1</x:v>
      </x:c>
      <x:c r="T703" s="34" t="str">
        <x:v>model_interpolation</x:v>
      </x:c>
      <x:c r="U703" s="34" t="str">
        <x:v>Linear interpolation from 2035 to 2040</x:v>
      </x:c>
      <x:c r="V703" s="34" t="str">
        <x:v>CAND-C1AAA9A0078119</x:v>
      </x:c>
      <x:c r="W703" s="34" t="str">
        <x:v>P1</x:v>
      </x:c>
      <x:c r="X703" s="34" t="str">
        <x:v>PORT-9E76B3BFF9FF</x:v>
      </x:c>
      <x:c r="Y703" s="34" t="n">
        <x:v>1000</x:v>
      </x:c>
      <x:c r="Z703" s="34" t="n">
        <x:v>92.168103</x:v>
      </x:c>
      <x:c r="AA703" s="34" t="n">
        <x:v>27.019632</x:v>
      </x:c>
      <x:c r="AB703" s="34" t="n">
        <x:v>456.103943</x:v>
      </x:c>
      <x:c r="AC703" s="34" t="n">
        <x:v>41012.769</x:v>
      </x:c>
      <x:c r="AD703" s="34" t="n">
        <x:v>89.919787</x:v>
      </x:c>
      <x:c r="AE703" s="40" t="b">
        <x:v>1</x:v>
      </x:c>
      <x:c r="AF703" s="40" t="b">
        <x:v>1</x:v>
      </x:c>
      <x:c r="AG703" s="34" t="str"/>
      <x:c r="AH703" s="34" t="n">
        <x:v>0</x:v>
      </x:c>
      <x:c r="AI703" s="34" t="str">
        <x:v>3.446647212967946e-06</x:v>
      </x:c>
      <x:c r="AJ703" s="40" t="b">
        <x:v>1</x:v>
      </x:c>
      <x:c r="AK703" s="40" t="b">
        <x:v>1</x:v>
      </x:c>
      <x:c r="AL703" s="40" t="b">
        <x:v>1</x:v>
      </x:c>
      <x:c r="AM703" s="40" t="b">
        <x:v>1</x:v>
      </x:c>
      <x:c r="AN703" s="34" t="str"/>
      <x:c r="AO703" s="34" t="n">
        <x:v>0</x:v>
      </x:c>
      <x:c r="AP703" s="34" t="n">
        <x:v>0</x:v>
      </x:c>
      <x:c r="AQ703" s="34" t="n">
        <x:v>0</x:v>
      </x:c>
      <x:c r="AR703" s="34" t="n">
        <x:v>2</x:v>
      </x:c>
      <x:c r="AS703" s="34" t="n">
        <x:v>2</x:v>
      </x:c>
      <x:c r="AT703" s="34" t="n">
        <x:v>0.47641018879999986</x:v>
      </x:c>
      <x:c r="AU703" s="34" t="n">
        <x:v>0.65</x:v>
      </x:c>
      <x:c r="AV703" s="34" t="n">
        <x:v>2.16</x:v>
      </x:c>
    </x:row>
    <x:row r="704">
      <x:c r="A704" s="34" t="str">
        <x:v>NIPPON_STEEL_JP</x:v>
      </x:c>
      <x:c r="B704" s="34" t="str">
        <x:v>Nippon Steel</x:v>
      </x:c>
      <x:c r="C704" s="34" t="str">
        <x:v>DISCLOSED_PATH</x:v>
      </x:c>
      <x:c r="D704" s="34" t="str">
        <x:v>P1</x:v>
      </x:c>
      <x:c r="E704" s="34" t="n">
        <x:v>2038</x:v>
      </x:c>
      <x:c r="F704" s="34" t="n">
        <x:v>5</x:v>
      </x:c>
      <x:c r="G704" s="34" t="n">
        <x:v>22.020001</x:v>
      </x:c>
      <x:c r="H704" s="34" t="n">
        <x:v>22.2</x:v>
      </x:c>
      <x:c r="I704" s="34" t="n">
        <x:v>0.179999</x:v>
      </x:c>
      <x:c r="J704" s="34" t="n">
        <x:v>99.189</x:v>
      </x:c>
      <x:c r="K704" s="34" t="n">
        <x:v>0.649</x:v>
      </x:c>
      <x:c r="L704" s="34" t="n">
        <x:v>2.64</x:v>
      </x:c>
      <x:c r="M704" s="34" t="n">
        <x:v>1.991</x:v>
      </x:c>
      <x:c r="N704" s="34" t="n">
        <x:v>24.583</x:v>
      </x:c>
      <x:c r="O704" s="34" t="n">
        <x:v>18.028</x:v>
      </x:c>
      <x:c r="P704" s="34" t="n">
        <x:v>21</x:v>
      </x:c>
      <x:c r="Q704" s="34" t="n">
        <x:v>2.972</x:v>
      </x:c>
      <x:c r="R704" s="34" t="n">
        <x:v>85.848</x:v>
      </x:c>
      <x:c r="S704" s="40" t="b">
        <x:v>1</x:v>
      </x:c>
      <x:c r="T704" s="34" t="str">
        <x:v>model_interpolation</x:v>
      </x:c>
      <x:c r="U704" s="34" t="str">
        <x:v>Linear interpolation from 2035 to 2040</x:v>
      </x:c>
      <x:c r="V704" s="34" t="str">
        <x:v>CAND-C1AAA9A0078119</x:v>
      </x:c>
      <x:c r="W704" s="34" t="str">
        <x:v>P1</x:v>
      </x:c>
      <x:c r="X704" s="34" t="str">
        <x:v>PORT-9E76B3BFF9FF</x:v>
      </x:c>
      <x:c r="Y704" s="34" t="n">
        <x:v>1000</x:v>
      </x:c>
      <x:c r="Z704" s="34" t="n">
        <x:v>92.168103</x:v>
      </x:c>
      <x:c r="AA704" s="34" t="n">
        <x:v>27.019632</x:v>
      </x:c>
      <x:c r="AB704" s="34" t="n">
        <x:v>456.103943</x:v>
      </x:c>
      <x:c r="AC704" s="34" t="n">
        <x:v>41012.769</x:v>
      </x:c>
      <x:c r="AD704" s="34" t="n">
        <x:v>89.919787</x:v>
      </x:c>
      <x:c r="AE704" s="40" t="b">
        <x:v>1</x:v>
      </x:c>
      <x:c r="AF704" s="40" t="b">
        <x:v>1</x:v>
      </x:c>
      <x:c r="AG704" s="34" t="str"/>
      <x:c r="AH704" s="34" t="n">
        <x:v>0</x:v>
      </x:c>
      <x:c r="AI704" s="34" t="str">
        <x:v>3.446647212967946e-06</x:v>
      </x:c>
      <x:c r="AJ704" s="40" t="b">
        <x:v>1</x:v>
      </x:c>
      <x:c r="AK704" s="40" t="b">
        <x:v>1</x:v>
      </x:c>
      <x:c r="AL704" s="40" t="b">
        <x:v>1</x:v>
      </x:c>
      <x:c r="AM704" s="40" t="b">
        <x:v>1</x:v>
      </x:c>
      <x:c r="AN704" s="34" t="str"/>
      <x:c r="AO704" s="34" t="n">
        <x:v>0</x:v>
      </x:c>
      <x:c r="AP704" s="34" t="n">
        <x:v>0</x:v>
      </x:c>
      <x:c r="AQ704" s="34" t="n">
        <x:v>0</x:v>
      </x:c>
      <x:c r="AR704" s="34" t="n">
        <x:v>2</x:v>
      </x:c>
      <x:c r="AS704" s="34" t="n">
        <x:v>2</x:v>
      </x:c>
      <x:c r="AT704" s="34" t="n">
        <x:v>0.47641018879999986</x:v>
      </x:c>
      <x:c r="AU704" s="34" t="n">
        <x:v>0.65</x:v>
      </x:c>
      <x:c r="AV704" s="34" t="n">
        <x:v>2.16</x:v>
      </x:c>
    </x:row>
    <x:row r="705">
      <x:c r="A705" s="34" t="str">
        <x:v>NIPPON_STEEL_JP</x:v>
      </x:c>
      <x:c r="B705" s="34" t="str">
        <x:v>Nippon Steel</x:v>
      </x:c>
      <x:c r="C705" s="34" t="str">
        <x:v>DISCLOSED_PATH</x:v>
      </x:c>
      <x:c r="D705" s="34" t="str">
        <x:v>P1</x:v>
      </x:c>
      <x:c r="E705" s="34" t="n">
        <x:v>2039</x:v>
      </x:c>
      <x:c r="F705" s="34" t="n">
        <x:v>5</x:v>
      </x:c>
      <x:c r="G705" s="34" t="n">
        <x:v>22.020001</x:v>
      </x:c>
      <x:c r="H705" s="34" t="n">
        <x:v>23.6</x:v>
      </x:c>
      <x:c r="I705" s="34" t="n">
        <x:v>1.579999</x:v>
      </x:c>
      <x:c r="J705" s="34" t="n">
        <x:v>93.305</x:v>
      </x:c>
      <x:c r="K705" s="34" t="n">
        <x:v>0.649</x:v>
      </x:c>
      <x:c r="L705" s="34" t="n">
        <x:v>2.92</x:v>
      </x:c>
      <x:c r="M705" s="34" t="n">
        <x:v>2.271</x:v>
      </x:c>
      <x:c r="N705" s="34" t="n">
        <x:v>22.226</x:v>
      </x:c>
      <x:c r="O705" s="34" t="n">
        <x:v>18.028</x:v>
      </x:c>
      <x:c r="P705" s="34" t="n">
        <x:v>23</x:v>
      </x:c>
      <x:c r="Q705" s="34" t="n">
        <x:v>4.972</x:v>
      </x:c>
      <x:c r="R705" s="34" t="n">
        <x:v>78.383</x:v>
      </x:c>
      <x:c r="S705" s="40" t="b">
        <x:v>1</x:v>
      </x:c>
      <x:c r="T705" s="34" t="str">
        <x:v>model_interpolation</x:v>
      </x:c>
      <x:c r="U705" s="34" t="str">
        <x:v>Linear interpolation from 2035 to 2040</x:v>
      </x:c>
      <x:c r="V705" s="34" t="str">
        <x:v>CAND-C1AAA9A0078119</x:v>
      </x:c>
      <x:c r="W705" s="34" t="str">
        <x:v>P1</x:v>
      </x:c>
      <x:c r="X705" s="34" t="str">
        <x:v>PORT-9E76B3BFF9FF</x:v>
      </x:c>
      <x:c r="Y705" s="34" t="n">
        <x:v>1000</x:v>
      </x:c>
      <x:c r="Z705" s="34" t="n">
        <x:v>92.168103</x:v>
      </x:c>
      <x:c r="AA705" s="34" t="n">
        <x:v>27.019632</x:v>
      </x:c>
      <x:c r="AB705" s="34" t="n">
        <x:v>456.103943</x:v>
      </x:c>
      <x:c r="AC705" s="34" t="n">
        <x:v>41012.769</x:v>
      </x:c>
      <x:c r="AD705" s="34" t="n">
        <x:v>89.919787</x:v>
      </x:c>
      <x:c r="AE705" s="40" t="b">
        <x:v>1</x:v>
      </x:c>
      <x:c r="AF705" s="40" t="b">
        <x:v>1</x:v>
      </x:c>
      <x:c r="AG705" s="34" t="str"/>
      <x:c r="AH705" s="34" t="n">
        <x:v>0</x:v>
      </x:c>
      <x:c r="AI705" s="34" t="str">
        <x:v>3.446647212967946e-06</x:v>
      </x:c>
      <x:c r="AJ705" s="40" t="b">
        <x:v>1</x:v>
      </x:c>
      <x:c r="AK705" s="40" t="b">
        <x:v>1</x:v>
      </x:c>
      <x:c r="AL705" s="40" t="b">
        <x:v>1</x:v>
      </x:c>
      <x:c r="AM705" s="40" t="b">
        <x:v>1</x:v>
      </x:c>
      <x:c r="AN705" s="34" t="str"/>
      <x:c r="AO705" s="34" t="n">
        <x:v>0</x:v>
      </x:c>
      <x:c r="AP705" s="34" t="n">
        <x:v>0</x:v>
      </x:c>
      <x:c r="AQ705" s="34" t="n">
        <x:v>0</x:v>
      </x:c>
      <x:c r="AR705" s="34" t="n">
        <x:v>2</x:v>
      </x:c>
      <x:c r="AS705" s="34" t="n">
        <x:v>2</x:v>
      </x:c>
      <x:c r="AT705" s="34" t="n">
        <x:v>0.47641018879999986</x:v>
      </x:c>
      <x:c r="AU705" s="34" t="n">
        <x:v>0.65</x:v>
      </x:c>
      <x:c r="AV705" s="34" t="n">
        <x:v>2.16</x:v>
      </x:c>
    </x:row>
    <x:row r="706">
      <x:c r="A706" s="34" t="str">
        <x:v>NIPPON_STEEL_JP</x:v>
      </x:c>
      <x:c r="B706" s="34" t="str">
        <x:v>Nippon Steel</x:v>
      </x:c>
      <x:c r="C706" s="34" t="str">
        <x:v>DISCLOSED_PATH</x:v>
      </x:c>
      <x:c r="D706" s="34" t="str">
        <x:v>P1</x:v>
      </x:c>
      <x:c r="E706" s="34" t="n">
        <x:v>2040</x:v>
      </x:c>
      <x:c r="F706" s="34" t="n">
        <x:v>5</x:v>
      </x:c>
      <x:c r="G706" s="34" t="n">
        <x:v>22.020001</x:v>
      </x:c>
      <x:c r="H706" s="34" t="n">
        <x:v>25</x:v>
      </x:c>
      <x:c r="I706" s="34" t="n">
        <x:v>2.979999</x:v>
      </x:c>
      <x:c r="J706" s="34" t="n">
        <x:v>88.08</x:v>
      </x:c>
      <x:c r="K706" s="34" t="n">
        <x:v>0.649</x:v>
      </x:c>
      <x:c r="L706" s="34" t="n">
        <x:v>3.2</x:v>
      </x:c>
      <x:c r="M706" s="34" t="n">
        <x:v>2.551</x:v>
      </x:c>
      <x:c r="N706" s="34" t="n">
        <x:v>20.281</x:v>
      </x:c>
      <x:c r="O706" s="34" t="n">
        <x:v>18.028</x:v>
      </x:c>
      <x:c r="P706" s="34" t="n">
        <x:v>25</x:v>
      </x:c>
      <x:c r="Q706" s="34" t="n">
        <x:v>6.972</x:v>
      </x:c>
      <x:c r="R706" s="34" t="n">
        <x:v>72.112</x:v>
      </x:c>
      <x:c r="S706" s="40" t="b">
        <x:v>1</x:v>
      </x:c>
      <x:c r="T706" s="34" t="str">
        <x:v>model_estimate</x:v>
      </x:c>
      <x:c r="U706" s="34" t="str">
        <x:v>Illustrative screening envelope; not an official supply forecast</x:v>
      </x:c>
      <x:c r="V706" s="34" t="str">
        <x:v>CAND-C1AAA9A0078119</x:v>
      </x:c>
      <x:c r="W706" s="34" t="str">
        <x:v>P1</x:v>
      </x:c>
      <x:c r="X706" s="34" t="str">
        <x:v>PORT-9E76B3BFF9FF</x:v>
      </x:c>
      <x:c r="Y706" s="34" t="n">
        <x:v>1000</x:v>
      </x:c>
      <x:c r="Z706" s="34" t="n">
        <x:v>92.168103</x:v>
      </x:c>
      <x:c r="AA706" s="34" t="n">
        <x:v>27.019632</x:v>
      </x:c>
      <x:c r="AB706" s="34" t="n">
        <x:v>456.103943</x:v>
      </x:c>
      <x:c r="AC706" s="34" t="n">
        <x:v>41012.769</x:v>
      </x:c>
      <x:c r="AD706" s="34" t="n">
        <x:v>89.919787</x:v>
      </x:c>
      <x:c r="AE706" s="40" t="b">
        <x:v>1</x:v>
      </x:c>
      <x:c r="AF706" s="40" t="b">
        <x:v>1</x:v>
      </x:c>
      <x:c r="AG706" s="34" t="str"/>
      <x:c r="AH706" s="34" t="n">
        <x:v>0</x:v>
      </x:c>
      <x:c r="AI706" s="34" t="str">
        <x:v>3.446647212967946e-06</x:v>
      </x:c>
      <x:c r="AJ706" s="40" t="b">
        <x:v>1</x:v>
      </x:c>
      <x:c r="AK706" s="40" t="b">
        <x:v>1</x:v>
      </x:c>
      <x:c r="AL706" s="40" t="b">
        <x:v>1</x:v>
      </x:c>
      <x:c r="AM706" s="40" t="b">
        <x:v>1</x:v>
      </x:c>
      <x:c r="AN706" s="34" t="str"/>
      <x:c r="AO706" s="34" t="n">
        <x:v>0</x:v>
      </x:c>
      <x:c r="AP706" s="34" t="n">
        <x:v>0</x:v>
      </x:c>
      <x:c r="AQ706" s="34" t="n">
        <x:v>0</x:v>
      </x:c>
      <x:c r="AR706" s="34" t="n">
        <x:v>2</x:v>
      </x:c>
      <x:c r="AS706" s="34" t="n">
        <x:v>2</x:v>
      </x:c>
      <x:c r="AT706" s="34" t="n">
        <x:v>0.47641018879999986</x:v>
      </x:c>
      <x:c r="AU706" s="34" t="n">
        <x:v>0.65</x:v>
      </x:c>
      <x:c r="AV706" s="34" t="n">
        <x:v>2.16</x:v>
      </x:c>
    </x:row>
    <x:row r="707">
      <x:c r="A707" s="34" t="str">
        <x:v>NIPPON_STEEL_JP</x:v>
      </x:c>
      <x:c r="B707" s="34" t="str">
        <x:v>Nippon Steel</x:v>
      </x:c>
      <x:c r="C707" s="34" t="str">
        <x:v>ACCELERATED_15C</x:v>
      </x:c>
      <x:c r="D707" s="34" t="str">
        <x:v>P1</x:v>
      </x:c>
      <x:c r="E707" s="34" t="n">
        <x:v>2026</x:v>
      </x:c>
      <x:c r="F707" s="34" t="n">
        <x:v>0</x:v>
      </x:c>
      <x:c r="G707" s="34" t="n">
        <x:v>0</x:v>
      </x:c>
      <x:c r="H707" s="34" t="n">
        <x:v>8</x:v>
      </x:c>
      <x:c r="I707" s="34" t="n">
        <x:v>8</x:v>
      </x:c>
      <x:c r="J707" s="34" t="n">
        <x:v>0</x:v>
      </x:c>
      <x:c r="K707" s="34" t="n">
        <x:v>0</x:v>
      </x:c>
      <x:c r="L707" s="34" t="n">
        <x:v>0.1</x:v>
      </x:c>
      <x:c r="M707" s="34" t="n">
        <x:v>0.1</x:v>
      </x:c>
      <x:c r="N707" s="34" t="n">
        <x:v>0</x:v>
      </x:c>
      <x:c r="O707" s="34" t="n">
        <x:v>0</x:v>
      </x:c>
      <x:c r="P707" s="34" t="n">
        <x:v>2</x:v>
      </x:c>
      <x:c r="Q707" s="34" t="n">
        <x:v>2</x:v>
      </x:c>
      <x:c r="R707" s="34" t="n">
        <x:v>0</x:v>
      </x:c>
      <x:c r="S707" s="40" t="b">
        <x:v>1</x:v>
      </x:c>
      <x:c r="T707" s="34" t="str">
        <x:v>model_interpolation</x:v>
      </x:c>
      <x:c r="U707" s="34" t="str">
        <x:v>Linear interpolation from 2026 to 2030</x:v>
      </x:c>
      <x:c r="V707" s="34" t="str">
        <x:v>CAND-C1AAA9A0078119</x:v>
      </x:c>
      <x:c r="W707" s="34" t="str">
        <x:v>P1</x:v>
      </x:c>
      <x:c r="X707" s="34" t="str">
        <x:v>PORT-9E76B3BFF9FF</x:v>
      </x:c>
      <x:c r="Y707" s="34" t="n">
        <x:v>1000</x:v>
      </x:c>
      <x:c r="Z707" s="34" t="n">
        <x:v>83.290003</x:v>
      </x:c>
      <x:c r="AA707" s="34" t="n">
        <x:v>29.285114</x:v>
      </x:c>
      <x:c r="AB707" s="34" t="n">
        <x:v>456.103943</x:v>
      </x:c>
      <x:c r="AC707" s="34" t="n">
        <x:v>36907.411</x:v>
      </x:c>
      <x:c r="AD707" s="34" t="n">
        <x:v>80.918861</x:v>
      </x:c>
      <x:c r="AE707" s="40" t="b">
        <x:v>1</x:v>
      </x:c>
      <x:c r="AF707" s="40" t="b">
        <x:v>1</x:v>
      </x:c>
      <x:c r="AG707" s="34" t="str"/>
      <x:c r="AH707" s="34" t="n">
        <x:v>0</x:v>
      </x:c>
      <x:c r="AI707" s="34" t="str">
        <x:v>3.446647212967946e-06</x:v>
      </x:c>
      <x:c r="AJ707" s="40" t="b">
        <x:v>1</x:v>
      </x:c>
      <x:c r="AK707" s="40" t="b">
        <x:v>1</x:v>
      </x:c>
      <x:c r="AL707" s="40" t="b">
        <x:v>1</x:v>
      </x:c>
      <x:c r="AM707" s="40" t="b">
        <x:v>1</x:v>
      </x:c>
      <x:c r="AN707" s="34" t="str"/>
      <x:c r="AO707" s="34" t="n">
        <x:v>0</x:v>
      </x:c>
      <x:c r="AP707" s="34" t="n">
        <x:v>0</x:v>
      </x:c>
      <x:c r="AQ707" s="34" t="n">
        <x:v>0</x:v>
      </x:c>
      <x:c r="AR707" s="34" t="n">
        <x:v>2</x:v>
      </x:c>
      <x:c r="AS707" s="34" t="n">
        <x:v>2</x:v>
      </x:c>
      <x:c r="AT707" s="34" t="n">
        <x:v>0.47641018879999986</x:v>
      </x:c>
      <x:c r="AU707" s="34" t="n">
        <x:v>0.65</x:v>
      </x:c>
      <x:c r="AV707" s="34" t="n">
        <x:v>2.16</x:v>
      </x:c>
    </x:row>
    <x:row r="708">
      <x:c r="A708" s="34" t="str">
        <x:v>NIPPON_STEEL_JP</x:v>
      </x:c>
      <x:c r="B708" s="34" t="str">
        <x:v>Nippon Steel</x:v>
      </x:c>
      <x:c r="C708" s="34" t="str">
        <x:v>ACCELERATED_15C</x:v>
      </x:c>
      <x:c r="D708" s="34" t="str">
        <x:v>P1</x:v>
      </x:c>
      <x:c r="E708" s="34" t="n">
        <x:v>2027</x:v>
      </x:c>
      <x:c r="F708" s="34" t="n">
        <x:v>0</x:v>
      </x:c>
      <x:c r="G708" s="34" t="n">
        <x:v>0</x:v>
      </x:c>
      <x:c r="H708" s="34" t="n">
        <x:v>9.75</x:v>
      </x:c>
      <x:c r="I708" s="34" t="n">
        <x:v>9.75</x:v>
      </x:c>
      <x:c r="J708" s="34" t="n">
        <x:v>0</x:v>
      </x:c>
      <x:c r="K708" s="34" t="n">
        <x:v>0</x:v>
      </x:c>
      <x:c r="L708" s="34" t="n">
        <x:v>0.30000000000000004</x:v>
      </x:c>
      <x:c r="M708" s="34" t="n">
        <x:v>0.3</x:v>
      </x:c>
      <x:c r="N708" s="34" t="n">
        <x:v>0</x:v>
      </x:c>
      <x:c r="O708" s="34" t="n">
        <x:v>0</x:v>
      </x:c>
      <x:c r="P708" s="34" t="n">
        <x:v>4</x:v>
      </x:c>
      <x:c r="Q708" s="34" t="n">
        <x:v>4</x:v>
      </x:c>
      <x:c r="R708" s="34" t="n">
        <x:v>0</x:v>
      </x:c>
      <x:c r="S708" s="40" t="b">
        <x:v>1</x:v>
      </x:c>
      <x:c r="T708" s="34" t="str">
        <x:v>model_interpolation</x:v>
      </x:c>
      <x:c r="U708" s="34" t="str">
        <x:v>Linear interpolation from 2026 to 2030</x:v>
      </x:c>
      <x:c r="V708" s="34" t="str">
        <x:v>CAND-C1AAA9A0078119</x:v>
      </x:c>
      <x:c r="W708" s="34" t="str">
        <x:v>P1</x:v>
      </x:c>
      <x:c r="X708" s="34" t="str">
        <x:v>PORT-9E76B3BFF9FF</x:v>
      </x:c>
      <x:c r="Y708" s="34" t="n">
        <x:v>1000</x:v>
      </x:c>
      <x:c r="Z708" s="34" t="n">
        <x:v>83.290003</x:v>
      </x:c>
      <x:c r="AA708" s="34" t="n">
        <x:v>29.285114</x:v>
      </x:c>
      <x:c r="AB708" s="34" t="n">
        <x:v>456.103943</x:v>
      </x:c>
      <x:c r="AC708" s="34" t="n">
        <x:v>36907.411</x:v>
      </x:c>
      <x:c r="AD708" s="34" t="n">
        <x:v>80.918861</x:v>
      </x:c>
      <x:c r="AE708" s="40" t="b">
        <x:v>1</x:v>
      </x:c>
      <x:c r="AF708" s="40" t="b">
        <x:v>1</x:v>
      </x:c>
      <x:c r="AG708" s="34" t="str"/>
      <x:c r="AH708" s="34" t="n">
        <x:v>0</x:v>
      </x:c>
      <x:c r="AI708" s="34" t="str">
        <x:v>3.446647212967946e-06</x:v>
      </x:c>
      <x:c r="AJ708" s="40" t="b">
        <x:v>1</x:v>
      </x:c>
      <x:c r="AK708" s="40" t="b">
        <x:v>1</x:v>
      </x:c>
      <x:c r="AL708" s="40" t="b">
        <x:v>1</x:v>
      </x:c>
      <x:c r="AM708" s="40" t="b">
        <x:v>1</x:v>
      </x:c>
      <x:c r="AN708" s="34" t="str"/>
      <x:c r="AO708" s="34" t="n">
        <x:v>0</x:v>
      </x:c>
      <x:c r="AP708" s="34" t="n">
        <x:v>0</x:v>
      </x:c>
      <x:c r="AQ708" s="34" t="n">
        <x:v>0</x:v>
      </x:c>
      <x:c r="AR708" s="34" t="n">
        <x:v>2</x:v>
      </x:c>
      <x:c r="AS708" s="34" t="n">
        <x:v>2</x:v>
      </x:c>
      <x:c r="AT708" s="34" t="n">
        <x:v>0.47641018879999986</x:v>
      </x:c>
      <x:c r="AU708" s="34" t="n">
        <x:v>0.65</x:v>
      </x:c>
      <x:c r="AV708" s="34" t="n">
        <x:v>2.16</x:v>
      </x:c>
    </x:row>
    <x:row r="709">
      <x:c r="A709" s="34" t="str">
        <x:v>NIPPON_STEEL_JP</x:v>
      </x:c>
      <x:c r="B709" s="34" t="str">
        <x:v>Nippon Steel</x:v>
      </x:c>
      <x:c r="C709" s="34" t="str">
        <x:v>ACCELERATED_15C</x:v>
      </x:c>
      <x:c r="D709" s="34" t="str">
        <x:v>P1</x:v>
      </x:c>
      <x:c r="E709" s="34" t="n">
        <x:v>2028</x:v>
      </x:c>
      <x:c r="F709" s="34" t="n">
        <x:v>0</x:v>
      </x:c>
      <x:c r="G709" s="34" t="n">
        <x:v>0</x:v>
      </x:c>
      <x:c r="H709" s="34" t="n">
        <x:v>11.5</x:v>
      </x:c>
      <x:c r="I709" s="34" t="n">
        <x:v>11.5</x:v>
      </x:c>
      <x:c r="J709" s="34" t="n">
        <x:v>0</x:v>
      </x:c>
      <x:c r="K709" s="34" t="n">
        <x:v>0</x:v>
      </x:c>
      <x:c r="L709" s="34" t="n">
        <x:v>0.5</x:v>
      </x:c>
      <x:c r="M709" s="34" t="n">
        <x:v>0.5</x:v>
      </x:c>
      <x:c r="N709" s="34" t="n">
        <x:v>0</x:v>
      </x:c>
      <x:c r="O709" s="34" t="n">
        <x:v>0</x:v>
      </x:c>
      <x:c r="P709" s="34" t="n">
        <x:v>6</x:v>
      </x:c>
      <x:c r="Q709" s="34" t="n">
        <x:v>6</x:v>
      </x:c>
      <x:c r="R709" s="34" t="n">
        <x:v>0</x:v>
      </x:c>
      <x:c r="S709" s="40" t="b">
        <x:v>1</x:v>
      </x:c>
      <x:c r="T709" s="34" t="str">
        <x:v>model_interpolation</x:v>
      </x:c>
      <x:c r="U709" s="34" t="str">
        <x:v>Linear interpolation from 2026 to 2030</x:v>
      </x:c>
      <x:c r="V709" s="34" t="str">
        <x:v>CAND-C1AAA9A0078119</x:v>
      </x:c>
      <x:c r="W709" s="34" t="str">
        <x:v>P1</x:v>
      </x:c>
      <x:c r="X709" s="34" t="str">
        <x:v>PORT-9E76B3BFF9FF</x:v>
      </x:c>
      <x:c r="Y709" s="34" t="n">
        <x:v>1000</x:v>
      </x:c>
      <x:c r="Z709" s="34" t="n">
        <x:v>83.290003</x:v>
      </x:c>
      <x:c r="AA709" s="34" t="n">
        <x:v>29.285114</x:v>
      </x:c>
      <x:c r="AB709" s="34" t="n">
        <x:v>456.103943</x:v>
      </x:c>
      <x:c r="AC709" s="34" t="n">
        <x:v>36907.411</x:v>
      </x:c>
      <x:c r="AD709" s="34" t="n">
        <x:v>80.918861</x:v>
      </x:c>
      <x:c r="AE709" s="40" t="b">
        <x:v>1</x:v>
      </x:c>
      <x:c r="AF709" s="40" t="b">
        <x:v>1</x:v>
      </x:c>
      <x:c r="AG709" s="34" t="str"/>
      <x:c r="AH709" s="34" t="n">
        <x:v>0</x:v>
      </x:c>
      <x:c r="AI709" s="34" t="str">
        <x:v>3.446647212967946e-06</x:v>
      </x:c>
      <x:c r="AJ709" s="40" t="b">
        <x:v>1</x:v>
      </x:c>
      <x:c r="AK709" s="40" t="b">
        <x:v>1</x:v>
      </x:c>
      <x:c r="AL709" s="40" t="b">
        <x:v>1</x:v>
      </x:c>
      <x:c r="AM709" s="40" t="b">
        <x:v>1</x:v>
      </x:c>
      <x:c r="AN709" s="34" t="str"/>
      <x:c r="AO709" s="34" t="n">
        <x:v>0</x:v>
      </x:c>
      <x:c r="AP709" s="34" t="n">
        <x:v>0</x:v>
      </x:c>
      <x:c r="AQ709" s="34" t="n">
        <x:v>0</x:v>
      </x:c>
      <x:c r="AR709" s="34" t="n">
        <x:v>2</x:v>
      </x:c>
      <x:c r="AS709" s="34" t="n">
        <x:v>2</x:v>
      </x:c>
      <x:c r="AT709" s="34" t="n">
        <x:v>0.47641018879999986</x:v>
      </x:c>
      <x:c r="AU709" s="34" t="n">
        <x:v>0.65</x:v>
      </x:c>
      <x:c r="AV709" s="34" t="n">
        <x:v>2.16</x:v>
      </x:c>
    </x:row>
    <x:row r="710">
      <x:c r="A710" s="34" t="str">
        <x:v>NIPPON_STEEL_JP</x:v>
      </x:c>
      <x:c r="B710" s="34" t="str">
        <x:v>Nippon Steel</x:v>
      </x:c>
      <x:c r="C710" s="34" t="str">
        <x:v>ACCELERATED_15C</x:v>
      </x:c>
      <x:c r="D710" s="34" t="str">
        <x:v>P1</x:v>
      </x:c>
      <x:c r="E710" s="34" t="n">
        <x:v>2029</x:v>
      </x:c>
      <x:c r="F710" s="34" t="n">
        <x:v>1</x:v>
      </x:c>
      <x:c r="G710" s="34" t="n">
        <x:v>8.1</x:v>
      </x:c>
      <x:c r="H710" s="34" t="n">
        <x:v>13.25</x:v>
      </x:c>
      <x:c r="I710" s="34" t="n">
        <x:v>5.15</x:v>
      </x:c>
      <x:c r="J710" s="34" t="n">
        <x:v>61.132</x:v>
      </x:c>
      <x:c r="K710" s="34" t="n">
        <x:v>0</x:v>
      </x:c>
      <x:c r="L710" s="34" t="n">
        <x:v>0.7000000000000001</x:v>
      </x:c>
      <x:c r="M710" s="34" t="n">
        <x:v>0.7</x:v>
      </x:c>
      <x:c r="N710" s="34" t="n">
        <x:v>0</x:v>
      </x:c>
      <x:c r="O710" s="34" t="n">
        <x:v>5.04</x:v>
      </x:c>
      <x:c r="P710" s="34" t="n">
        <x:v>8</x:v>
      </x:c>
      <x:c r="Q710" s="34" t="n">
        <x:v>2.96</x:v>
      </x:c>
      <x:c r="R710" s="34" t="n">
        <x:v>63</x:v>
      </x:c>
      <x:c r="S710" s="40" t="b">
        <x:v>1</x:v>
      </x:c>
      <x:c r="T710" s="34" t="str">
        <x:v>model_interpolation</x:v>
      </x:c>
      <x:c r="U710" s="34" t="str">
        <x:v>Linear interpolation from 2026 to 2030</x:v>
      </x:c>
      <x:c r="V710" s="34" t="str">
        <x:v>CAND-C1AAA9A0078119</x:v>
      </x:c>
      <x:c r="W710" s="34" t="str">
        <x:v>P1</x:v>
      </x:c>
      <x:c r="X710" s="34" t="str">
        <x:v>PORT-9E76B3BFF9FF</x:v>
      </x:c>
      <x:c r="Y710" s="34" t="n">
        <x:v>1000</x:v>
      </x:c>
      <x:c r="Z710" s="34" t="n">
        <x:v>83.290003</x:v>
      </x:c>
      <x:c r="AA710" s="34" t="n">
        <x:v>29.285114</x:v>
      </x:c>
      <x:c r="AB710" s="34" t="n">
        <x:v>456.103943</x:v>
      </x:c>
      <x:c r="AC710" s="34" t="n">
        <x:v>36907.411</x:v>
      </x:c>
      <x:c r="AD710" s="34" t="n">
        <x:v>80.918861</x:v>
      </x:c>
      <x:c r="AE710" s="40" t="b">
        <x:v>1</x:v>
      </x:c>
      <x:c r="AF710" s="40" t="b">
        <x:v>1</x:v>
      </x:c>
      <x:c r="AG710" s="34" t="str"/>
      <x:c r="AH710" s="34" t="n">
        <x:v>0</x:v>
      </x:c>
      <x:c r="AI710" s="34" t="str">
        <x:v>3.446647212967946e-06</x:v>
      </x:c>
      <x:c r="AJ710" s="40" t="b">
        <x:v>1</x:v>
      </x:c>
      <x:c r="AK710" s="40" t="b">
        <x:v>1</x:v>
      </x:c>
      <x:c r="AL710" s="40" t="b">
        <x:v>1</x:v>
      </x:c>
      <x:c r="AM710" s="40" t="b">
        <x:v>1</x:v>
      </x:c>
      <x:c r="AN710" s="34" t="str"/>
      <x:c r="AO710" s="34" t="n">
        <x:v>0</x:v>
      </x:c>
      <x:c r="AP710" s="34" t="n">
        <x:v>0</x:v>
      </x:c>
      <x:c r="AQ710" s="34" t="n">
        <x:v>0</x:v>
      </x:c>
      <x:c r="AR710" s="34" t="n">
        <x:v>2</x:v>
      </x:c>
      <x:c r="AS710" s="34" t="n">
        <x:v>2</x:v>
      </x:c>
      <x:c r="AT710" s="34" t="n">
        <x:v>0.47641018879999986</x:v>
      </x:c>
      <x:c r="AU710" s="34" t="n">
        <x:v>0.65</x:v>
      </x:c>
      <x:c r="AV710" s="34" t="n">
        <x:v>2.16</x:v>
      </x:c>
    </x:row>
    <x:row r="711">
      <x:c r="A711" s="34" t="str">
        <x:v>NIPPON_STEEL_JP</x:v>
      </x:c>
      <x:c r="B711" s="34" t="str">
        <x:v>Nippon Steel</x:v>
      </x:c>
      <x:c r="C711" s="34" t="str">
        <x:v>ACCELERATED_15C</x:v>
      </x:c>
      <x:c r="D711" s="34" t="str">
        <x:v>P1</x:v>
      </x:c>
      <x:c r="E711" s="34" t="n">
        <x:v>2030</x:v>
      </x:c>
      <x:c r="F711" s="34" t="n">
        <x:v>1</x:v>
      </x:c>
      <x:c r="G711" s="34" t="n">
        <x:v>8.1</x:v>
      </x:c>
      <x:c r="H711" s="34" t="n">
        <x:v>15</x:v>
      </x:c>
      <x:c r="I711" s="34" t="n">
        <x:v>6.9</x:v>
      </x:c>
      <x:c r="J711" s="34" t="n">
        <x:v>54</x:v>
      </x:c>
      <x:c r="K711" s="34" t="n">
        <x:v>0</x:v>
      </x:c>
      <x:c r="L711" s="34" t="n">
        <x:v>0.9</x:v>
      </x:c>
      <x:c r="M711" s="34" t="n">
        <x:v>0.9</x:v>
      </x:c>
      <x:c r="N711" s="34" t="n">
        <x:v>0</x:v>
      </x:c>
      <x:c r="O711" s="34" t="n">
        <x:v>5.04</x:v>
      </x:c>
      <x:c r="P711" s="34" t="n">
        <x:v>10</x:v>
      </x:c>
      <x:c r="Q711" s="34" t="n">
        <x:v>4.96</x:v>
      </x:c>
      <x:c r="R711" s="34" t="n">
        <x:v>50.4</x:v>
      </x:c>
      <x:c r="S711" s="40" t="b">
        <x:v>1</x:v>
      </x:c>
      <x:c r="T711" s="34" t="str">
        <x:v>model_interpolation</x:v>
      </x:c>
      <x:c r="U711" s="34" t="str">
        <x:v>Linear interpolation from 2030 to 2035</x:v>
      </x:c>
      <x:c r="V711" s="34" t="str">
        <x:v>CAND-C1AAA9A0078119</x:v>
      </x:c>
      <x:c r="W711" s="34" t="str">
        <x:v>P1</x:v>
      </x:c>
      <x:c r="X711" s="34" t="str">
        <x:v>PORT-9E76B3BFF9FF</x:v>
      </x:c>
      <x:c r="Y711" s="34" t="n">
        <x:v>1000</x:v>
      </x:c>
      <x:c r="Z711" s="34" t="n">
        <x:v>83.290003</x:v>
      </x:c>
      <x:c r="AA711" s="34" t="n">
        <x:v>29.285114</x:v>
      </x:c>
      <x:c r="AB711" s="34" t="n">
        <x:v>456.103943</x:v>
      </x:c>
      <x:c r="AC711" s="34" t="n">
        <x:v>36907.411</x:v>
      </x:c>
      <x:c r="AD711" s="34" t="n">
        <x:v>80.918861</x:v>
      </x:c>
      <x:c r="AE711" s="40" t="b">
        <x:v>1</x:v>
      </x:c>
      <x:c r="AF711" s="40" t="b">
        <x:v>1</x:v>
      </x:c>
      <x:c r="AG711" s="34" t="str"/>
      <x:c r="AH711" s="34" t="n">
        <x:v>0</x:v>
      </x:c>
      <x:c r="AI711" s="34" t="str">
        <x:v>3.446647212967946e-06</x:v>
      </x:c>
      <x:c r="AJ711" s="40" t="b">
        <x:v>1</x:v>
      </x:c>
      <x:c r="AK711" s="40" t="b">
        <x:v>1</x:v>
      </x:c>
      <x:c r="AL711" s="40" t="b">
        <x:v>1</x:v>
      </x:c>
      <x:c r="AM711" s="40" t="b">
        <x:v>1</x:v>
      </x:c>
      <x:c r="AN711" s="34" t="str"/>
      <x:c r="AO711" s="34" t="n">
        <x:v>0</x:v>
      </x:c>
      <x:c r="AP711" s="34" t="n">
        <x:v>0</x:v>
      </x:c>
      <x:c r="AQ711" s="34" t="n">
        <x:v>0</x:v>
      </x:c>
      <x:c r="AR711" s="34" t="n">
        <x:v>2</x:v>
      </x:c>
      <x:c r="AS711" s="34" t="n">
        <x:v>2</x:v>
      </x:c>
      <x:c r="AT711" s="34" t="n">
        <x:v>0.47641018879999986</x:v>
      </x:c>
      <x:c r="AU711" s="34" t="n">
        <x:v>0.65</x:v>
      </x:c>
      <x:c r="AV711" s="34" t="n">
        <x:v>2.16</x:v>
      </x:c>
    </x:row>
    <x:row r="712">
      <x:c r="A712" s="34" t="str">
        <x:v>NIPPON_STEEL_JP</x:v>
      </x:c>
      <x:c r="B712" s="34" t="str">
        <x:v>Nippon Steel</x:v>
      </x:c>
      <x:c r="C712" s="34" t="str">
        <x:v>ACCELERATED_15C</x:v>
      </x:c>
      <x:c r="D712" s="34" t="str">
        <x:v>P1</x:v>
      </x:c>
      <x:c r="E712" s="34" t="n">
        <x:v>2031</x:v>
      </x:c>
      <x:c r="F712" s="34" t="n">
        <x:v>1</x:v>
      </x:c>
      <x:c r="G712" s="34" t="n">
        <x:v>8.1</x:v>
      </x:c>
      <x:c r="H712" s="34" t="n">
        <x:v>16.6</x:v>
      </x:c>
      <x:c r="I712" s="34" t="n">
        <x:v>8.5</x:v>
      </x:c>
      <x:c r="J712" s="34" t="n">
        <x:v>48.795</x:v>
      </x:c>
      <x:c r="K712" s="34" t="n">
        <x:v>0</x:v>
      </x:c>
      <x:c r="L712" s="34" t="n">
        <x:v>1.2200000000000002</x:v>
      </x:c>
      <x:c r="M712" s="34" t="n">
        <x:v>1.22</x:v>
      </x:c>
      <x:c r="N712" s="34" t="n">
        <x:v>0</x:v>
      </x:c>
      <x:c r="O712" s="34" t="n">
        <x:v>5.04</x:v>
      </x:c>
      <x:c r="P712" s="34" t="n">
        <x:v>12</x:v>
      </x:c>
      <x:c r="Q712" s="34" t="n">
        <x:v>6.96</x:v>
      </x:c>
      <x:c r="R712" s="34" t="n">
        <x:v>42</x:v>
      </x:c>
      <x:c r="S712" s="40" t="b">
        <x:v>1</x:v>
      </x:c>
      <x:c r="T712" s="34" t="str">
        <x:v>model_interpolation</x:v>
      </x:c>
      <x:c r="U712" s="34" t="str">
        <x:v>Linear interpolation from 2030 to 2035</x:v>
      </x:c>
      <x:c r="V712" s="34" t="str">
        <x:v>CAND-C1AAA9A0078119</x:v>
      </x:c>
      <x:c r="W712" s="34" t="str">
        <x:v>P1</x:v>
      </x:c>
      <x:c r="X712" s="34" t="str">
        <x:v>PORT-9E76B3BFF9FF</x:v>
      </x:c>
      <x:c r="Y712" s="34" t="n">
        <x:v>1000</x:v>
      </x:c>
      <x:c r="Z712" s="34" t="n">
        <x:v>83.290003</x:v>
      </x:c>
      <x:c r="AA712" s="34" t="n">
        <x:v>29.285114</x:v>
      </x:c>
      <x:c r="AB712" s="34" t="n">
        <x:v>456.103943</x:v>
      </x:c>
      <x:c r="AC712" s="34" t="n">
        <x:v>36907.411</x:v>
      </x:c>
      <x:c r="AD712" s="34" t="n">
        <x:v>80.918861</x:v>
      </x:c>
      <x:c r="AE712" s="40" t="b">
        <x:v>1</x:v>
      </x:c>
      <x:c r="AF712" s="40" t="b">
        <x:v>1</x:v>
      </x:c>
      <x:c r="AG712" s="34" t="str"/>
      <x:c r="AH712" s="34" t="n">
        <x:v>0</x:v>
      </x:c>
      <x:c r="AI712" s="34" t="str">
        <x:v>3.446647212967946e-06</x:v>
      </x:c>
      <x:c r="AJ712" s="40" t="b">
        <x:v>1</x:v>
      </x:c>
      <x:c r="AK712" s="40" t="b">
        <x:v>1</x:v>
      </x:c>
      <x:c r="AL712" s="40" t="b">
        <x:v>1</x:v>
      </x:c>
      <x:c r="AM712" s="40" t="b">
        <x:v>1</x:v>
      </x:c>
      <x:c r="AN712" s="34" t="str"/>
      <x:c r="AO712" s="34" t="n">
        <x:v>0</x:v>
      </x:c>
      <x:c r="AP712" s="34" t="n">
        <x:v>0</x:v>
      </x:c>
      <x:c r="AQ712" s="34" t="n">
        <x:v>0</x:v>
      </x:c>
      <x:c r="AR712" s="34" t="n">
        <x:v>2</x:v>
      </x:c>
      <x:c r="AS712" s="34" t="n">
        <x:v>2</x:v>
      </x:c>
      <x:c r="AT712" s="34" t="n">
        <x:v>0.47641018879999986</x:v>
      </x:c>
      <x:c r="AU712" s="34" t="n">
        <x:v>0.65</x:v>
      </x:c>
      <x:c r="AV712" s="34" t="n">
        <x:v>2.16</x:v>
      </x:c>
    </x:row>
    <x:row r="713">
      <x:c r="A713" s="34" t="str">
        <x:v>NIPPON_STEEL_JP</x:v>
      </x:c>
      <x:c r="B713" s="34" t="str">
        <x:v>Nippon Steel</x:v>
      </x:c>
      <x:c r="C713" s="34" t="str">
        <x:v>ACCELERATED_15C</x:v>
      </x:c>
      <x:c r="D713" s="34" t="str">
        <x:v>P1</x:v>
      </x:c>
      <x:c r="E713" s="34" t="n">
        <x:v>2032</x:v>
      </x:c>
      <x:c r="F713" s="34" t="n">
        <x:v>2</x:v>
      </x:c>
      <x:c r="G713" s="34" t="n">
        <x:v>9.03</x:v>
      </x:c>
      <x:c r="H713" s="34" t="n">
        <x:v>18.2</x:v>
      </x:c>
      <x:c r="I713" s="34" t="n">
        <x:v>9.17</x:v>
      </x:c>
      <x:c r="J713" s="34" t="n">
        <x:v>49.615</x:v>
      </x:c>
      <x:c r="K713" s="34" t="n">
        <x:v>0.341</x:v>
      </x:c>
      <x:c r="L713" s="34" t="n">
        <x:v>1.54</x:v>
      </x:c>
      <x:c r="M713" s="34" t="n">
        <x:v>1.199</x:v>
      </x:c>
      <x:c r="N713" s="34" t="n">
        <x:v>22.143</x:v>
      </x:c>
      <x:c r="O713" s="34" t="n">
        <x:v>7.891999</x:v>
      </x:c>
      <x:c r="P713" s="34" t="n">
        <x:v>14</x:v>
      </x:c>
      <x:c r="Q713" s="34" t="n">
        <x:v>6.108001</x:v>
      </x:c>
      <x:c r="R713" s="34" t="n">
        <x:v>56.371</x:v>
      </x:c>
      <x:c r="S713" s="40" t="b">
        <x:v>1</x:v>
      </x:c>
      <x:c r="T713" s="34" t="str">
        <x:v>model_interpolation</x:v>
      </x:c>
      <x:c r="U713" s="34" t="str">
        <x:v>Linear interpolation from 2030 to 2035</x:v>
      </x:c>
      <x:c r="V713" s="34" t="str">
        <x:v>CAND-C1AAA9A0078119</x:v>
      </x:c>
      <x:c r="W713" s="34" t="str">
        <x:v>P1</x:v>
      </x:c>
      <x:c r="X713" s="34" t="str">
        <x:v>PORT-9E76B3BFF9FF</x:v>
      </x:c>
      <x:c r="Y713" s="34" t="n">
        <x:v>1000</x:v>
      </x:c>
      <x:c r="Z713" s="34" t="n">
        <x:v>83.290003</x:v>
      </x:c>
      <x:c r="AA713" s="34" t="n">
        <x:v>29.285114</x:v>
      </x:c>
      <x:c r="AB713" s="34" t="n">
        <x:v>456.103943</x:v>
      </x:c>
      <x:c r="AC713" s="34" t="n">
        <x:v>36907.411</x:v>
      </x:c>
      <x:c r="AD713" s="34" t="n">
        <x:v>80.918861</x:v>
      </x:c>
      <x:c r="AE713" s="40" t="b">
        <x:v>1</x:v>
      </x:c>
      <x:c r="AF713" s="40" t="b">
        <x:v>1</x:v>
      </x:c>
      <x:c r="AG713" s="34" t="str"/>
      <x:c r="AH713" s="34" t="n">
        <x:v>0</x:v>
      </x:c>
      <x:c r="AI713" s="34" t="str">
        <x:v>3.446647212967946e-06</x:v>
      </x:c>
      <x:c r="AJ713" s="40" t="b">
        <x:v>1</x:v>
      </x:c>
      <x:c r="AK713" s="40" t="b">
        <x:v>1</x:v>
      </x:c>
      <x:c r="AL713" s="40" t="b">
        <x:v>1</x:v>
      </x:c>
      <x:c r="AM713" s="40" t="b">
        <x:v>1</x:v>
      </x:c>
      <x:c r="AN713" s="34" t="str"/>
      <x:c r="AO713" s="34" t="n">
        <x:v>0</x:v>
      </x:c>
      <x:c r="AP713" s="34" t="n">
        <x:v>0</x:v>
      </x:c>
      <x:c r="AQ713" s="34" t="n">
        <x:v>0</x:v>
      </x:c>
      <x:c r="AR713" s="34" t="n">
        <x:v>2</x:v>
      </x:c>
      <x:c r="AS713" s="34" t="n">
        <x:v>2</x:v>
      </x:c>
      <x:c r="AT713" s="34" t="n">
        <x:v>0.47641018879999986</x:v>
      </x:c>
      <x:c r="AU713" s="34" t="n">
        <x:v>0.65</x:v>
      </x:c>
      <x:c r="AV713" s="34" t="n">
        <x:v>2.16</x:v>
      </x:c>
    </x:row>
    <x:row r="714">
      <x:c r="A714" s="34" t="str">
        <x:v>NIPPON_STEEL_JP</x:v>
      </x:c>
      <x:c r="B714" s="34" t="str">
        <x:v>Nippon Steel</x:v>
      </x:c>
      <x:c r="C714" s="34" t="str">
        <x:v>ACCELERATED_15C</x:v>
      </x:c>
      <x:c r="D714" s="34" t="str">
        <x:v>P1</x:v>
      </x:c>
      <x:c r="E714" s="34" t="n">
        <x:v>2033</x:v>
      </x:c>
      <x:c r="F714" s="34" t="n">
        <x:v>2</x:v>
      </x:c>
      <x:c r="G714" s="34" t="n">
        <x:v>9.03</x:v>
      </x:c>
      <x:c r="H714" s="34" t="n">
        <x:v>19.8</x:v>
      </x:c>
      <x:c r="I714" s="34" t="n">
        <x:v>10.77</x:v>
      </x:c>
      <x:c r="J714" s="34" t="n">
        <x:v>45.606</x:v>
      </x:c>
      <x:c r="K714" s="34" t="n">
        <x:v>0.341</x:v>
      </x:c>
      <x:c r="L714" s="34" t="n">
        <x:v>1.8599999999999999</x:v>
      </x:c>
      <x:c r="M714" s="34" t="n">
        <x:v>1.519</x:v>
      </x:c>
      <x:c r="N714" s="34" t="n">
        <x:v>18.333</x:v>
      </x:c>
      <x:c r="O714" s="34" t="n">
        <x:v>7.891999</x:v>
      </x:c>
      <x:c r="P714" s="34" t="n">
        <x:v>16</x:v>
      </x:c>
      <x:c r="Q714" s="34" t="n">
        <x:v>8.108001</x:v>
      </x:c>
      <x:c r="R714" s="34" t="n">
        <x:v>49.325</x:v>
      </x:c>
      <x:c r="S714" s="40" t="b">
        <x:v>1</x:v>
      </x:c>
      <x:c r="T714" s="34" t="str">
        <x:v>model_interpolation</x:v>
      </x:c>
      <x:c r="U714" s="34" t="str">
        <x:v>Linear interpolation from 2030 to 2035</x:v>
      </x:c>
      <x:c r="V714" s="34" t="str">
        <x:v>CAND-C1AAA9A0078119</x:v>
      </x:c>
      <x:c r="W714" s="34" t="str">
        <x:v>P1</x:v>
      </x:c>
      <x:c r="X714" s="34" t="str">
        <x:v>PORT-9E76B3BFF9FF</x:v>
      </x:c>
      <x:c r="Y714" s="34" t="n">
        <x:v>1000</x:v>
      </x:c>
      <x:c r="Z714" s="34" t="n">
        <x:v>83.290003</x:v>
      </x:c>
      <x:c r="AA714" s="34" t="n">
        <x:v>29.285114</x:v>
      </x:c>
      <x:c r="AB714" s="34" t="n">
        <x:v>456.103943</x:v>
      </x:c>
      <x:c r="AC714" s="34" t="n">
        <x:v>36907.411</x:v>
      </x:c>
      <x:c r="AD714" s="34" t="n">
        <x:v>80.918861</x:v>
      </x:c>
      <x:c r="AE714" s="40" t="b">
        <x:v>1</x:v>
      </x:c>
      <x:c r="AF714" s="40" t="b">
        <x:v>1</x:v>
      </x:c>
      <x:c r="AG714" s="34" t="str"/>
      <x:c r="AH714" s="34" t="n">
        <x:v>0</x:v>
      </x:c>
      <x:c r="AI714" s="34" t="str">
        <x:v>3.446647212967946e-06</x:v>
      </x:c>
      <x:c r="AJ714" s="40" t="b">
        <x:v>1</x:v>
      </x:c>
      <x:c r="AK714" s="40" t="b">
        <x:v>1</x:v>
      </x:c>
      <x:c r="AL714" s="40" t="b">
        <x:v>1</x:v>
      </x:c>
      <x:c r="AM714" s="40" t="b">
        <x:v>1</x:v>
      </x:c>
      <x:c r="AN714" s="34" t="str"/>
      <x:c r="AO714" s="34" t="n">
        <x:v>0</x:v>
      </x:c>
      <x:c r="AP714" s="34" t="n">
        <x:v>0</x:v>
      </x:c>
      <x:c r="AQ714" s="34" t="n">
        <x:v>0</x:v>
      </x:c>
      <x:c r="AR714" s="34" t="n">
        <x:v>2</x:v>
      </x:c>
      <x:c r="AS714" s="34" t="n">
        <x:v>2</x:v>
      </x:c>
      <x:c r="AT714" s="34" t="n">
        <x:v>0.47641018879999986</x:v>
      </x:c>
      <x:c r="AU714" s="34" t="n">
        <x:v>0.65</x:v>
      </x:c>
      <x:c r="AV714" s="34" t="n">
        <x:v>2.16</x:v>
      </x:c>
    </x:row>
    <x:row r="715">
      <x:c r="A715" s="34" t="str">
        <x:v>NIPPON_STEEL_JP</x:v>
      </x:c>
      <x:c r="B715" s="34" t="str">
        <x:v>Nippon Steel</x:v>
      </x:c>
      <x:c r="C715" s="34" t="str">
        <x:v>ACCELERATED_15C</x:v>
      </x:c>
      <x:c r="D715" s="34" t="str">
        <x:v>P1</x:v>
      </x:c>
      <x:c r="E715" s="34" t="n">
        <x:v>2034</x:v>
      </x:c>
      <x:c r="F715" s="34" t="n">
        <x:v>3</x:v>
      </x:c>
      <x:c r="G715" s="34" t="n">
        <x:v>15.510001</x:v>
      </x:c>
      <x:c r="H715" s="34" t="n">
        <x:v>21.4</x:v>
      </x:c>
      <x:c r="I715" s="34" t="n">
        <x:v>5.889999</x:v>
      </x:c>
      <x:c r="J715" s="34" t="n">
        <x:v>72.477</x:v>
      </x:c>
      <x:c r="K715" s="34" t="n">
        <x:v>0.341</x:v>
      </x:c>
      <x:c r="L715" s="34" t="n">
        <x:v>2.18</x:v>
      </x:c>
      <x:c r="M715" s="34" t="n">
        <x:v>1.839</x:v>
      </x:c>
      <x:c r="N715" s="34" t="n">
        <x:v>15.642</x:v>
      </x:c>
      <x:c r="O715" s="34" t="n">
        <x:v>11.924</x:v>
      </x:c>
      <x:c r="P715" s="34" t="n">
        <x:v>18</x:v>
      </x:c>
      <x:c r="Q715" s="34" t="n">
        <x:v>6.076</x:v>
      </x:c>
      <x:c r="R715" s="34" t="n">
        <x:v>66.244</x:v>
      </x:c>
      <x:c r="S715" s="40" t="b">
        <x:v>1</x:v>
      </x:c>
      <x:c r="T715" s="34" t="str">
        <x:v>model_interpolation</x:v>
      </x:c>
      <x:c r="U715" s="34" t="str">
        <x:v>Linear interpolation from 2030 to 2035</x:v>
      </x:c>
      <x:c r="V715" s="34" t="str">
        <x:v>CAND-C1AAA9A0078119</x:v>
      </x:c>
      <x:c r="W715" s="34" t="str">
        <x:v>P1</x:v>
      </x:c>
      <x:c r="X715" s="34" t="str">
        <x:v>PORT-9E76B3BFF9FF</x:v>
      </x:c>
      <x:c r="Y715" s="34" t="n">
        <x:v>1000</x:v>
      </x:c>
      <x:c r="Z715" s="34" t="n">
        <x:v>83.290003</x:v>
      </x:c>
      <x:c r="AA715" s="34" t="n">
        <x:v>29.285114</x:v>
      </x:c>
      <x:c r="AB715" s="34" t="n">
        <x:v>456.103943</x:v>
      </x:c>
      <x:c r="AC715" s="34" t="n">
        <x:v>36907.411</x:v>
      </x:c>
      <x:c r="AD715" s="34" t="n">
        <x:v>80.918861</x:v>
      </x:c>
      <x:c r="AE715" s="40" t="b">
        <x:v>1</x:v>
      </x:c>
      <x:c r="AF715" s="40" t="b">
        <x:v>1</x:v>
      </x:c>
      <x:c r="AG715" s="34" t="str"/>
      <x:c r="AH715" s="34" t="n">
        <x:v>0</x:v>
      </x:c>
      <x:c r="AI715" s="34" t="str">
        <x:v>3.446647212967946e-06</x:v>
      </x:c>
      <x:c r="AJ715" s="40" t="b">
        <x:v>1</x:v>
      </x:c>
      <x:c r="AK715" s="40" t="b">
        <x:v>1</x:v>
      </x:c>
      <x:c r="AL715" s="40" t="b">
        <x:v>1</x:v>
      </x:c>
      <x:c r="AM715" s="40" t="b">
        <x:v>1</x:v>
      </x:c>
      <x:c r="AN715" s="34" t="str"/>
      <x:c r="AO715" s="34" t="n">
        <x:v>0</x:v>
      </x:c>
      <x:c r="AP715" s="34" t="n">
        <x:v>0</x:v>
      </x:c>
      <x:c r="AQ715" s="34" t="n">
        <x:v>0</x:v>
      </x:c>
      <x:c r="AR715" s="34" t="n">
        <x:v>2</x:v>
      </x:c>
      <x:c r="AS715" s="34" t="n">
        <x:v>2</x:v>
      </x:c>
      <x:c r="AT715" s="34" t="n">
        <x:v>0.47641018879999986</x:v>
      </x:c>
      <x:c r="AU715" s="34" t="n">
        <x:v>0.65</x:v>
      </x:c>
      <x:c r="AV715" s="34" t="n">
        <x:v>2.16</x:v>
      </x:c>
    </x:row>
    <x:row r="716">
      <x:c r="A716" s="34" t="str">
        <x:v>NIPPON_STEEL_JP</x:v>
      </x:c>
      <x:c r="B716" s="34" t="str">
        <x:v>Nippon Steel</x:v>
      </x:c>
      <x:c r="C716" s="34" t="str">
        <x:v>ACCELERATED_15C</x:v>
      </x:c>
      <x:c r="D716" s="34" t="str">
        <x:v>P1</x:v>
      </x:c>
      <x:c r="E716" s="34" t="n">
        <x:v>2035</x:v>
      </x:c>
      <x:c r="F716" s="34" t="n">
        <x:v>3</x:v>
      </x:c>
      <x:c r="G716" s="34" t="n">
        <x:v>15.510001</x:v>
      </x:c>
      <x:c r="H716" s="34" t="n">
        <x:v>23</x:v>
      </x:c>
      <x:c r="I716" s="34" t="n">
        <x:v>7.489999</x:v>
      </x:c>
      <x:c r="J716" s="34" t="n">
        <x:v>67.435</x:v>
      </x:c>
      <x:c r="K716" s="34" t="n">
        <x:v>0.341</x:v>
      </x:c>
      <x:c r="L716" s="34" t="n">
        <x:v>2.5</x:v>
      </x:c>
      <x:c r="M716" s="34" t="n">
        <x:v>2.159</x:v>
      </x:c>
      <x:c r="N716" s="34" t="n">
        <x:v>13.64</x:v>
      </x:c>
      <x:c r="O716" s="34" t="n">
        <x:v>11.924</x:v>
      </x:c>
      <x:c r="P716" s="34" t="n">
        <x:v>20</x:v>
      </x:c>
      <x:c r="Q716" s="34" t="n">
        <x:v>8.076</x:v>
      </x:c>
      <x:c r="R716" s="34" t="n">
        <x:v>59.62</x:v>
      </x:c>
      <x:c r="S716" s="40" t="b">
        <x:v>1</x:v>
      </x:c>
      <x:c r="T716" s="34" t="str">
        <x:v>model_interpolation</x:v>
      </x:c>
      <x:c r="U716" s="34" t="str">
        <x:v>Linear interpolation from 2035 to 2040</x:v>
      </x:c>
      <x:c r="V716" s="34" t="str">
        <x:v>CAND-C1AAA9A0078119</x:v>
      </x:c>
      <x:c r="W716" s="34" t="str">
        <x:v>P1</x:v>
      </x:c>
      <x:c r="X716" s="34" t="str">
        <x:v>PORT-9E76B3BFF9FF</x:v>
      </x:c>
      <x:c r="Y716" s="34" t="n">
        <x:v>1000</x:v>
      </x:c>
      <x:c r="Z716" s="34" t="n">
        <x:v>83.290003</x:v>
      </x:c>
      <x:c r="AA716" s="34" t="n">
        <x:v>29.285114</x:v>
      </x:c>
      <x:c r="AB716" s="34" t="n">
        <x:v>456.103943</x:v>
      </x:c>
      <x:c r="AC716" s="34" t="n">
        <x:v>36907.411</x:v>
      </x:c>
      <x:c r="AD716" s="34" t="n">
        <x:v>80.918861</x:v>
      </x:c>
      <x:c r="AE716" s="40" t="b">
        <x:v>1</x:v>
      </x:c>
      <x:c r="AF716" s="40" t="b">
        <x:v>1</x:v>
      </x:c>
      <x:c r="AG716" s="34" t="str"/>
      <x:c r="AH716" s="34" t="n">
        <x:v>0</x:v>
      </x:c>
      <x:c r="AI716" s="34" t="str">
        <x:v>3.446647212967946e-06</x:v>
      </x:c>
      <x:c r="AJ716" s="40" t="b">
        <x:v>1</x:v>
      </x:c>
      <x:c r="AK716" s="40" t="b">
        <x:v>1</x:v>
      </x:c>
      <x:c r="AL716" s="40" t="b">
        <x:v>1</x:v>
      </x:c>
      <x:c r="AM716" s="40" t="b">
        <x:v>1</x:v>
      </x:c>
      <x:c r="AN716" s="34" t="str"/>
      <x:c r="AO716" s="34" t="n">
        <x:v>0</x:v>
      </x:c>
      <x:c r="AP716" s="34" t="n">
        <x:v>0</x:v>
      </x:c>
      <x:c r="AQ716" s="34" t="n">
        <x:v>0</x:v>
      </x:c>
      <x:c r="AR716" s="34" t="n">
        <x:v>2</x:v>
      </x:c>
      <x:c r="AS716" s="34" t="n">
        <x:v>2</x:v>
      </x:c>
      <x:c r="AT716" s="34" t="n">
        <x:v>0.47641018879999986</x:v>
      </x:c>
      <x:c r="AU716" s="34" t="n">
        <x:v>0.65</x:v>
      </x:c>
      <x:c r="AV716" s="34" t="n">
        <x:v>2.16</x:v>
      </x:c>
    </x:row>
    <x:row r="717">
      <x:c r="A717" s="34" t="str">
        <x:v>NIPPON_STEEL_JP</x:v>
      </x:c>
      <x:c r="B717" s="34" t="str">
        <x:v>Nippon Steel</x:v>
      </x:c>
      <x:c r="C717" s="34" t="str">
        <x:v>ACCELERATED_15C</x:v>
      </x:c>
      <x:c r="D717" s="34" t="str">
        <x:v>P1</x:v>
      </x:c>
      <x:c r="E717" s="34" t="n">
        <x:v>2036</x:v>
      </x:c>
      <x:c r="F717" s="34" t="n">
        <x:v>4</x:v>
      </x:c>
      <x:c r="G717" s="34" t="n">
        <x:v>16.350001</x:v>
      </x:c>
      <x:c r="H717" s="34" t="n">
        <x:v>24.4</x:v>
      </x:c>
      <x:c r="I717" s="34" t="n">
        <x:v>8.049999</x:v>
      </x:c>
      <x:c r="J717" s="34" t="n">
        <x:v>67.008</x:v>
      </x:c>
      <x:c r="K717" s="34" t="n">
        <x:v>0.649</x:v>
      </x:c>
      <x:c r="L717" s="34" t="n">
        <x:v>2.9</x:v>
      </x:c>
      <x:c r="M717" s="34" t="n">
        <x:v>2.251</x:v>
      </x:c>
      <x:c r="N717" s="34" t="n">
        <x:v>22.379</x:v>
      </x:c>
      <x:c r="O717" s="34" t="n">
        <x:v>14.5</x:v>
      </x:c>
      <x:c r="P717" s="34" t="n">
        <x:v>22.4</x:v>
      </x:c>
      <x:c r="Q717" s="34" t="n">
        <x:v>7.9</x:v>
      </x:c>
      <x:c r="R717" s="34" t="n">
        <x:v>64.732</x:v>
      </x:c>
      <x:c r="S717" s="40" t="b">
        <x:v>1</x:v>
      </x:c>
      <x:c r="T717" s="34" t="str">
        <x:v>model_interpolation</x:v>
      </x:c>
      <x:c r="U717" s="34" t="str">
        <x:v>Linear interpolation from 2035 to 2040</x:v>
      </x:c>
      <x:c r="V717" s="34" t="str">
        <x:v>CAND-C1AAA9A0078119</x:v>
      </x:c>
      <x:c r="W717" s="34" t="str">
        <x:v>P1</x:v>
      </x:c>
      <x:c r="X717" s="34" t="str">
        <x:v>PORT-9E76B3BFF9FF</x:v>
      </x:c>
      <x:c r="Y717" s="34" t="n">
        <x:v>1000</x:v>
      </x:c>
      <x:c r="Z717" s="34" t="n">
        <x:v>83.290003</x:v>
      </x:c>
      <x:c r="AA717" s="34" t="n">
        <x:v>29.285114</x:v>
      </x:c>
      <x:c r="AB717" s="34" t="n">
        <x:v>456.103943</x:v>
      </x:c>
      <x:c r="AC717" s="34" t="n">
        <x:v>36907.411</x:v>
      </x:c>
      <x:c r="AD717" s="34" t="n">
        <x:v>80.918861</x:v>
      </x:c>
      <x:c r="AE717" s="40" t="b">
        <x:v>1</x:v>
      </x:c>
      <x:c r="AF717" s="40" t="b">
        <x:v>1</x:v>
      </x:c>
      <x:c r="AG717" s="34" t="str"/>
      <x:c r="AH717" s="34" t="n">
        <x:v>0</x:v>
      </x:c>
      <x:c r="AI717" s="34" t="str">
        <x:v>3.446647212967946e-06</x:v>
      </x:c>
      <x:c r="AJ717" s="40" t="b">
        <x:v>1</x:v>
      </x:c>
      <x:c r="AK717" s="40" t="b">
        <x:v>1</x:v>
      </x:c>
      <x:c r="AL717" s="40" t="b">
        <x:v>1</x:v>
      </x:c>
      <x:c r="AM717" s="40" t="b">
        <x:v>1</x:v>
      </x:c>
      <x:c r="AN717" s="34" t="str"/>
      <x:c r="AO717" s="34" t="n">
        <x:v>0</x:v>
      </x:c>
      <x:c r="AP717" s="34" t="n">
        <x:v>0</x:v>
      </x:c>
      <x:c r="AQ717" s="34" t="n">
        <x:v>0</x:v>
      </x:c>
      <x:c r="AR717" s="34" t="n">
        <x:v>2</x:v>
      </x:c>
      <x:c r="AS717" s="34" t="n">
        <x:v>2</x:v>
      </x:c>
      <x:c r="AT717" s="34" t="n">
        <x:v>0.47641018879999986</x:v>
      </x:c>
      <x:c r="AU717" s="34" t="n">
        <x:v>0.65</x:v>
      </x:c>
      <x:c r="AV717" s="34" t="n">
        <x:v>2.16</x:v>
      </x:c>
    </x:row>
    <x:row r="718">
      <x:c r="A718" s="34" t="str">
        <x:v>NIPPON_STEEL_JP</x:v>
      </x:c>
      <x:c r="B718" s="34" t="str">
        <x:v>Nippon Steel</x:v>
      </x:c>
      <x:c r="C718" s="34" t="str">
        <x:v>ACCELERATED_15C</x:v>
      </x:c>
      <x:c r="D718" s="34" t="str">
        <x:v>P1</x:v>
      </x:c>
      <x:c r="E718" s="34" t="n">
        <x:v>2037</x:v>
      </x:c>
      <x:c r="F718" s="34" t="n">
        <x:v>4</x:v>
      </x:c>
      <x:c r="G718" s="34" t="n">
        <x:v>16.350001</x:v>
      </x:c>
      <x:c r="H718" s="34" t="n">
        <x:v>25.8</x:v>
      </x:c>
      <x:c r="I718" s="34" t="n">
        <x:v>9.449999</x:v>
      </x:c>
      <x:c r="J718" s="34" t="n">
        <x:v>63.372</x:v>
      </x:c>
      <x:c r="K718" s="34" t="n">
        <x:v>0.649</x:v>
      </x:c>
      <x:c r="L718" s="34" t="n">
        <x:v>3.3</x:v>
      </x:c>
      <x:c r="M718" s="34" t="n">
        <x:v>2.651</x:v>
      </x:c>
      <x:c r="N718" s="34" t="n">
        <x:v>19.667</x:v>
      </x:c>
      <x:c r="O718" s="34" t="n">
        <x:v>14.5</x:v>
      </x:c>
      <x:c r="P718" s="34" t="n">
        <x:v>24.8</x:v>
      </x:c>
      <x:c r="Q718" s="34" t="n">
        <x:v>10.3</x:v>
      </x:c>
      <x:c r="R718" s="34" t="n">
        <x:v>58.468</x:v>
      </x:c>
      <x:c r="S718" s="40" t="b">
        <x:v>1</x:v>
      </x:c>
      <x:c r="T718" s="34" t="str">
        <x:v>model_interpolation</x:v>
      </x:c>
      <x:c r="U718" s="34" t="str">
        <x:v>Linear interpolation from 2035 to 2040</x:v>
      </x:c>
      <x:c r="V718" s="34" t="str">
        <x:v>CAND-C1AAA9A0078119</x:v>
      </x:c>
      <x:c r="W718" s="34" t="str">
        <x:v>P1</x:v>
      </x:c>
      <x:c r="X718" s="34" t="str">
        <x:v>PORT-9E76B3BFF9FF</x:v>
      </x:c>
      <x:c r="Y718" s="34" t="n">
        <x:v>1000</x:v>
      </x:c>
      <x:c r="Z718" s="34" t="n">
        <x:v>83.290003</x:v>
      </x:c>
      <x:c r="AA718" s="34" t="n">
        <x:v>29.285114</x:v>
      </x:c>
      <x:c r="AB718" s="34" t="n">
        <x:v>456.103943</x:v>
      </x:c>
      <x:c r="AC718" s="34" t="n">
        <x:v>36907.411</x:v>
      </x:c>
      <x:c r="AD718" s="34" t="n">
        <x:v>80.918861</x:v>
      </x:c>
      <x:c r="AE718" s="40" t="b">
        <x:v>1</x:v>
      </x:c>
      <x:c r="AF718" s="40" t="b">
        <x:v>1</x:v>
      </x:c>
      <x:c r="AG718" s="34" t="str"/>
      <x:c r="AH718" s="34" t="n">
        <x:v>0</x:v>
      </x:c>
      <x:c r="AI718" s="34" t="str">
        <x:v>3.446647212967946e-06</x:v>
      </x:c>
      <x:c r="AJ718" s="40" t="b">
        <x:v>1</x:v>
      </x:c>
      <x:c r="AK718" s="40" t="b">
        <x:v>1</x:v>
      </x:c>
      <x:c r="AL718" s="40" t="b">
        <x:v>1</x:v>
      </x:c>
      <x:c r="AM718" s="40" t="b">
        <x:v>1</x:v>
      </x:c>
      <x:c r="AN718" s="34" t="str"/>
      <x:c r="AO718" s="34" t="n">
        <x:v>0</x:v>
      </x:c>
      <x:c r="AP718" s="34" t="n">
        <x:v>0</x:v>
      </x:c>
      <x:c r="AQ718" s="34" t="n">
        <x:v>0</x:v>
      </x:c>
      <x:c r="AR718" s="34" t="n">
        <x:v>2</x:v>
      </x:c>
      <x:c r="AS718" s="34" t="n">
        <x:v>2</x:v>
      </x:c>
      <x:c r="AT718" s="34" t="n">
        <x:v>0.47641018879999986</x:v>
      </x:c>
      <x:c r="AU718" s="34" t="n">
        <x:v>0.65</x:v>
      </x:c>
      <x:c r="AV718" s="34" t="n">
        <x:v>2.16</x:v>
      </x:c>
    </x:row>
    <x:row r="719">
      <x:c r="A719" s="34" t="str">
        <x:v>NIPPON_STEEL_JP</x:v>
      </x:c>
      <x:c r="B719" s="34" t="str">
        <x:v>Nippon Steel</x:v>
      </x:c>
      <x:c r="C719" s="34" t="str">
        <x:v>ACCELERATED_15C</x:v>
      </x:c>
      <x:c r="D719" s="34" t="str">
        <x:v>P1</x:v>
      </x:c>
      <x:c r="E719" s="34" t="n">
        <x:v>2038</x:v>
      </x:c>
      <x:c r="F719" s="34" t="n">
        <x:v>5</x:v>
      </x:c>
      <x:c r="G719" s="34" t="n">
        <x:v>22.020001</x:v>
      </x:c>
      <x:c r="H719" s="34" t="n">
        <x:v>27.2</x:v>
      </x:c>
      <x:c r="I719" s="34" t="n">
        <x:v>5.179999</x:v>
      </x:c>
      <x:c r="J719" s="34" t="n">
        <x:v>80.956</x:v>
      </x:c>
      <x:c r="K719" s="34" t="n">
        <x:v>0.649</x:v>
      </x:c>
      <x:c r="L719" s="34" t="n">
        <x:v>3.7</x:v>
      </x:c>
      <x:c r="M719" s="34" t="n">
        <x:v>3.051</x:v>
      </x:c>
      <x:c r="N719" s="34" t="n">
        <x:v>17.541</x:v>
      </x:c>
      <x:c r="O719" s="34" t="n">
        <x:v>18.028</x:v>
      </x:c>
      <x:c r="P719" s="34" t="n">
        <x:v>27.2</x:v>
      </x:c>
      <x:c r="Q719" s="34" t="n">
        <x:v>9.172</x:v>
      </x:c>
      <x:c r="R719" s="34" t="n">
        <x:v>66.279</x:v>
      </x:c>
      <x:c r="S719" s="40" t="b">
        <x:v>1</x:v>
      </x:c>
      <x:c r="T719" s="34" t="str">
        <x:v>model_interpolation</x:v>
      </x:c>
      <x:c r="U719" s="34" t="str">
        <x:v>Linear interpolation from 2035 to 2040</x:v>
      </x:c>
      <x:c r="V719" s="34" t="str">
        <x:v>CAND-C1AAA9A0078119</x:v>
      </x:c>
      <x:c r="W719" s="34" t="str">
        <x:v>P1</x:v>
      </x:c>
      <x:c r="X719" s="34" t="str">
        <x:v>PORT-9E76B3BFF9FF</x:v>
      </x:c>
      <x:c r="Y719" s="34" t="n">
        <x:v>1000</x:v>
      </x:c>
      <x:c r="Z719" s="34" t="n">
        <x:v>83.290003</x:v>
      </x:c>
      <x:c r="AA719" s="34" t="n">
        <x:v>29.285114</x:v>
      </x:c>
      <x:c r="AB719" s="34" t="n">
        <x:v>456.103943</x:v>
      </x:c>
      <x:c r="AC719" s="34" t="n">
        <x:v>36907.411</x:v>
      </x:c>
      <x:c r="AD719" s="34" t="n">
        <x:v>80.918861</x:v>
      </x:c>
      <x:c r="AE719" s="40" t="b">
        <x:v>1</x:v>
      </x:c>
      <x:c r="AF719" s="40" t="b">
        <x:v>1</x:v>
      </x:c>
      <x:c r="AG719" s="34" t="str"/>
      <x:c r="AH719" s="34" t="n">
        <x:v>0</x:v>
      </x:c>
      <x:c r="AI719" s="34" t="str">
        <x:v>3.446647212967946e-06</x:v>
      </x:c>
      <x:c r="AJ719" s="40" t="b">
        <x:v>1</x:v>
      </x:c>
      <x:c r="AK719" s="40" t="b">
        <x:v>1</x:v>
      </x:c>
      <x:c r="AL719" s="40" t="b">
        <x:v>1</x:v>
      </x:c>
      <x:c r="AM719" s="40" t="b">
        <x:v>1</x:v>
      </x:c>
      <x:c r="AN719" s="34" t="str"/>
      <x:c r="AO719" s="34" t="n">
        <x:v>0</x:v>
      </x:c>
      <x:c r="AP719" s="34" t="n">
        <x:v>0</x:v>
      </x:c>
      <x:c r="AQ719" s="34" t="n">
        <x:v>0</x:v>
      </x:c>
      <x:c r="AR719" s="34" t="n">
        <x:v>2</x:v>
      </x:c>
      <x:c r="AS719" s="34" t="n">
        <x:v>2</x:v>
      </x:c>
      <x:c r="AT719" s="34" t="n">
        <x:v>0.47641018879999986</x:v>
      </x:c>
      <x:c r="AU719" s="34" t="n">
        <x:v>0.65</x:v>
      </x:c>
      <x:c r="AV719" s="34" t="n">
        <x:v>2.16</x:v>
      </x:c>
    </x:row>
    <x:row r="720">
      <x:c r="A720" s="34" t="str">
        <x:v>NIPPON_STEEL_JP</x:v>
      </x:c>
      <x:c r="B720" s="34" t="str">
        <x:v>Nippon Steel</x:v>
      </x:c>
      <x:c r="C720" s="34" t="str">
        <x:v>ACCELERATED_15C</x:v>
      </x:c>
      <x:c r="D720" s="34" t="str">
        <x:v>P1</x:v>
      </x:c>
      <x:c r="E720" s="34" t="n">
        <x:v>2039</x:v>
      </x:c>
      <x:c r="F720" s="34" t="n">
        <x:v>5</x:v>
      </x:c>
      <x:c r="G720" s="34" t="n">
        <x:v>22.020001</x:v>
      </x:c>
      <x:c r="H720" s="34" t="n">
        <x:v>28.6</x:v>
      </x:c>
      <x:c r="I720" s="34" t="n">
        <x:v>6.579999</x:v>
      </x:c>
      <x:c r="J720" s="34" t="n">
        <x:v>76.993</x:v>
      </x:c>
      <x:c r="K720" s="34" t="n">
        <x:v>0.649</x:v>
      </x:c>
      <x:c r="L720" s="34" t="n">
        <x:v>4.1</x:v>
      </x:c>
      <x:c r="M720" s="34" t="n">
        <x:v>3.451</x:v>
      </x:c>
      <x:c r="N720" s="34" t="n">
        <x:v>15.829</x:v>
      </x:c>
      <x:c r="O720" s="34" t="n">
        <x:v>18.028</x:v>
      </x:c>
      <x:c r="P720" s="34" t="n">
        <x:v>29.6</x:v>
      </x:c>
      <x:c r="Q720" s="34" t="n">
        <x:v>11.572</x:v>
      </x:c>
      <x:c r="R720" s="34" t="n">
        <x:v>60.905</x:v>
      </x:c>
      <x:c r="S720" s="40" t="b">
        <x:v>1</x:v>
      </x:c>
      <x:c r="T720" s="34" t="str">
        <x:v>model_interpolation</x:v>
      </x:c>
      <x:c r="U720" s="34" t="str">
        <x:v>Linear interpolation from 2035 to 2040</x:v>
      </x:c>
      <x:c r="V720" s="34" t="str">
        <x:v>CAND-C1AAA9A0078119</x:v>
      </x:c>
      <x:c r="W720" s="34" t="str">
        <x:v>P1</x:v>
      </x:c>
      <x:c r="X720" s="34" t="str">
        <x:v>PORT-9E76B3BFF9FF</x:v>
      </x:c>
      <x:c r="Y720" s="34" t="n">
        <x:v>1000</x:v>
      </x:c>
      <x:c r="Z720" s="34" t="n">
        <x:v>83.290003</x:v>
      </x:c>
      <x:c r="AA720" s="34" t="n">
        <x:v>29.285114</x:v>
      </x:c>
      <x:c r="AB720" s="34" t="n">
        <x:v>456.103943</x:v>
      </x:c>
      <x:c r="AC720" s="34" t="n">
        <x:v>36907.411</x:v>
      </x:c>
      <x:c r="AD720" s="34" t="n">
        <x:v>80.918861</x:v>
      </x:c>
      <x:c r="AE720" s="40" t="b">
        <x:v>1</x:v>
      </x:c>
      <x:c r="AF720" s="40" t="b">
        <x:v>1</x:v>
      </x:c>
      <x:c r="AG720" s="34" t="str"/>
      <x:c r="AH720" s="34" t="n">
        <x:v>0</x:v>
      </x:c>
      <x:c r="AI720" s="34" t="str">
        <x:v>3.446647212967946e-06</x:v>
      </x:c>
      <x:c r="AJ720" s="40" t="b">
        <x:v>1</x:v>
      </x:c>
      <x:c r="AK720" s="40" t="b">
        <x:v>1</x:v>
      </x:c>
      <x:c r="AL720" s="40" t="b">
        <x:v>1</x:v>
      </x:c>
      <x:c r="AM720" s="40" t="b">
        <x:v>1</x:v>
      </x:c>
      <x:c r="AN720" s="34" t="str"/>
      <x:c r="AO720" s="34" t="n">
        <x:v>0</x:v>
      </x:c>
      <x:c r="AP720" s="34" t="n">
        <x:v>0</x:v>
      </x:c>
      <x:c r="AQ720" s="34" t="n">
        <x:v>0</x:v>
      </x:c>
      <x:c r="AR720" s="34" t="n">
        <x:v>2</x:v>
      </x:c>
      <x:c r="AS720" s="34" t="n">
        <x:v>2</x:v>
      </x:c>
      <x:c r="AT720" s="34" t="n">
        <x:v>0.47641018879999986</x:v>
      </x:c>
      <x:c r="AU720" s="34" t="n">
        <x:v>0.65</x:v>
      </x:c>
      <x:c r="AV720" s="34" t="n">
        <x:v>2.16</x:v>
      </x:c>
    </x:row>
    <x:row r="721">
      <x:c r="A721" s="34" t="str">
        <x:v>NIPPON_STEEL_JP</x:v>
      </x:c>
      <x:c r="B721" s="34" t="str">
        <x:v>Nippon Steel</x:v>
      </x:c>
      <x:c r="C721" s="34" t="str">
        <x:v>ACCELERATED_15C</x:v>
      </x:c>
      <x:c r="D721" s="34" t="str">
        <x:v>P1</x:v>
      </x:c>
      <x:c r="E721" s="34" t="n">
        <x:v>2040</x:v>
      </x:c>
      <x:c r="F721" s="34" t="n">
        <x:v>5</x:v>
      </x:c>
      <x:c r="G721" s="34" t="n">
        <x:v>22.020001</x:v>
      </x:c>
      <x:c r="H721" s="34" t="n">
        <x:v>30</x:v>
      </x:c>
      <x:c r="I721" s="34" t="n">
        <x:v>7.979999</x:v>
      </x:c>
      <x:c r="J721" s="34" t="n">
        <x:v>73.4</x:v>
      </x:c>
      <x:c r="K721" s="34" t="n">
        <x:v>0.649</x:v>
      </x:c>
      <x:c r="L721" s="34" t="n">
        <x:v>4.5</x:v>
      </x:c>
      <x:c r="M721" s="34" t="n">
        <x:v>3.851</x:v>
      </x:c>
      <x:c r="N721" s="34" t="n">
        <x:v>14.422</x:v>
      </x:c>
      <x:c r="O721" s="34" t="n">
        <x:v>18.028</x:v>
      </x:c>
      <x:c r="P721" s="34" t="n">
        <x:v>32</x:v>
      </x:c>
      <x:c r="Q721" s="34" t="n">
        <x:v>13.972</x:v>
      </x:c>
      <x:c r="R721" s="34" t="n">
        <x:v>56.337</x:v>
      </x:c>
      <x:c r="S721" s="40" t="b">
        <x:v>1</x:v>
      </x:c>
      <x:c r="T721" s="34" t="str">
        <x:v>model_estimate</x:v>
      </x:c>
      <x:c r="U721" s="34" t="str">
        <x:v>Illustrative accelerated envelope; not GCAM or an official supply forecast</x:v>
      </x:c>
      <x:c r="V721" s="34" t="str">
        <x:v>CAND-C1AAA9A0078119</x:v>
      </x:c>
      <x:c r="W721" s="34" t="str">
        <x:v>P1</x:v>
      </x:c>
      <x:c r="X721" s="34" t="str">
        <x:v>PORT-9E76B3BFF9FF</x:v>
      </x:c>
      <x:c r="Y721" s="34" t="n">
        <x:v>1000</x:v>
      </x:c>
      <x:c r="Z721" s="34" t="n">
        <x:v>83.290003</x:v>
      </x:c>
      <x:c r="AA721" s="34" t="n">
        <x:v>29.285114</x:v>
      </x:c>
      <x:c r="AB721" s="34" t="n">
        <x:v>456.103943</x:v>
      </x:c>
      <x:c r="AC721" s="34" t="n">
        <x:v>36907.411</x:v>
      </x:c>
      <x:c r="AD721" s="34" t="n">
        <x:v>80.918861</x:v>
      </x:c>
      <x:c r="AE721" s="40" t="b">
        <x:v>1</x:v>
      </x:c>
      <x:c r="AF721" s="40" t="b">
        <x:v>1</x:v>
      </x:c>
      <x:c r="AG721" s="34" t="str"/>
      <x:c r="AH721" s="34" t="n">
        <x:v>0</x:v>
      </x:c>
      <x:c r="AI721" s="34" t="str">
        <x:v>3.446647212967946e-06</x:v>
      </x:c>
      <x:c r="AJ721" s="40" t="b">
        <x:v>1</x:v>
      </x:c>
      <x:c r="AK721" s="40" t="b">
        <x:v>1</x:v>
      </x:c>
      <x:c r="AL721" s="40" t="b">
        <x:v>1</x:v>
      </x:c>
      <x:c r="AM721" s="40" t="b">
        <x:v>1</x:v>
      </x:c>
      <x:c r="AN721" s="34" t="str"/>
      <x:c r="AO721" s="34" t="n">
        <x:v>0</x:v>
      </x:c>
      <x:c r="AP721" s="34" t="n">
        <x:v>0</x:v>
      </x:c>
      <x:c r="AQ721" s="34" t="n">
        <x:v>0</x:v>
      </x:c>
      <x:c r="AR721" s="34" t="n">
        <x:v>2</x:v>
      </x:c>
      <x:c r="AS721" s="34" t="n">
        <x:v>2</x:v>
      </x:c>
      <x:c r="AT721" s="34" t="n">
        <x:v>0.47641018879999986</x:v>
      </x:c>
      <x:c r="AU721" s="34" t="n">
        <x:v>0.65</x:v>
      </x:c>
      <x:c r="AV721" s="34" t="n">
        <x:v>2.16</x:v>
      </x:c>
    </x:row>
    <x:row r="722">
      <x:c r="A722" s="34" t="str">
        <x:v>POSCO_KR</x:v>
      </x:c>
      <x:c r="B722" s="34" t="str">
        <x:v>POSCO</x:v>
      </x:c>
      <x:c r="C722" s="34" t="str">
        <x:v>DISCLOSED_PATH</x:v>
      </x:c>
      <x:c r="D722" s="34" t="str">
        <x:v>P1</x:v>
      </x:c>
      <x:c r="E722" s="34" t="n">
        <x:v>2026</x:v>
      </x:c>
      <x:c r="F722" s="34" t="n">
        <x:v>0</x:v>
      </x:c>
      <x:c r="G722" s="34" t="n">
        <x:v>0</x:v>
      </x:c>
      <x:c r="H722" s="34" t="n">
        <x:v>8</x:v>
      </x:c>
      <x:c r="I722" s="34" t="n">
        <x:v>8</x:v>
      </x:c>
      <x:c r="J722" s="34" t="n">
        <x:v>0</x:v>
      </x:c>
      <x:c r="K722" s="34" t="n">
        <x:v>0</x:v>
      </x:c>
      <x:c r="L722" s="34" t="n">
        <x:v>0</x:v>
      </x:c>
      <x:c r="M722" s="34" t="n">
        <x:v>0</x:v>
      </x:c>
      <x:c r="N722" s="34" t="n">
        <x:v>0</x:v>
      </x:c>
      <x:c r="O722" s="34" t="n">
        <x:v>0</x:v>
      </x:c>
      <x:c r="P722" s="34" t="n">
        <x:v>2</x:v>
      </x:c>
      <x:c r="Q722" s="34" t="n">
        <x:v>2</x:v>
      </x:c>
      <x:c r="R722" s="34" t="n">
        <x:v>0</x:v>
      </x:c>
      <x:c r="S722" s="40" t="b">
        <x:v>1</x:v>
      </x:c>
      <x:c r="T722" s="34" t="str">
        <x:v>model_interpolation</x:v>
      </x:c>
      <x:c r="U722" s="34" t="str">
        <x:v>Linear interpolation from 2026 to 2030</x:v>
      </x:c>
      <x:c r="V722" s="34" t="str">
        <x:v>CAND-C9724A8933A429</x:v>
      </x:c>
      <x:c r="W722" s="34" t="str">
        <x:v>P1</x:v>
      </x:c>
      <x:c r="X722" s="34" t="str">
        <x:v>PORT-8826D0B469EE</x:v>
      </x:c>
      <x:c r="Y722" s="34" t="n">
        <x:v>1000</x:v>
      </x:c>
      <x:c r="Z722" s="34" t="n">
        <x:v>66.52577</x:v>
      </x:c>
      <x:c r="AA722" s="34" t="n">
        <x:v>19.8955</x:v>
      </x:c>
      <x:c r="AB722" s="34" t="n">
        <x:v>429.154227</x:v>
      </x:c>
      <x:c r="AC722" s="34" t="n">
        <x:v>27787.608</x:v>
      </x:c>
      <x:c r="AD722" s="34" t="n">
        <x:v>64.749702</x:v>
      </x:c>
      <x:c r="AE722" s="40" t="b">
        <x:v>1</x:v>
      </x:c>
      <x:c r="AF722" s="40" t="b">
        <x:v>1</x:v>
      </x:c>
      <x:c r="AG722" s="34" t="str"/>
      <x:c r="AH722" s="34" t="n">
        <x:v>0</x:v>
      </x:c>
      <x:c r="AI722" s="34" t="str">
        <x:v>2.0275124185786808e-05</x:v>
      </x:c>
      <x:c r="AJ722" s="40" t="b">
        <x:v>1</x:v>
      </x:c>
      <x:c r="AK722" s="40" t="b">
        <x:v>1</x:v>
      </x:c>
      <x:c r="AL722" s="40" t="b">
        <x:v>1</x:v>
      </x:c>
      <x:c r="AM722" s="40" t="b">
        <x:v>1</x:v>
      </x:c>
      <x:c r="AN722" s="34" t="str"/>
      <x:c r="AO722" s="34" t="n">
        <x:v>0</x:v>
      </x:c>
      <x:c r="AP722" s="34" t="n">
        <x:v>0</x:v>
      </x:c>
      <x:c r="AQ722" s="34" t="n">
        <x:v>0</x:v>
      </x:c>
      <x:c r="AR722" s="34" t="n">
        <x:v>3</x:v>
      </x:c>
      <x:c r="AS722" s="34" t="n">
        <x:v>3</x:v>
      </x:c>
      <x:c r="AT722" s="34" t="n">
        <x:v>0.459336608</x:v>
      </x:c>
      <x:c r="AU722" s="34" t="n">
        <x:v>0.65</x:v>
      </x:c>
      <x:c r="AV722" s="34" t="n">
        <x:v>2.02</x:v>
      </x:c>
    </x:row>
    <x:row r="723">
      <x:c r="A723" s="34" t="str">
        <x:v>POSCO_KR</x:v>
      </x:c>
      <x:c r="B723" s="34" t="str">
        <x:v>POSCO</x:v>
      </x:c>
      <x:c r="C723" s="34" t="str">
        <x:v>DISCLOSED_PATH</x:v>
      </x:c>
      <x:c r="D723" s="34" t="str">
        <x:v>P1</x:v>
      </x:c>
      <x:c r="E723" s="34" t="n">
        <x:v>2027</x:v>
      </x:c>
      <x:c r="F723" s="34" t="n">
        <x:v>0</x:v>
      </x:c>
      <x:c r="G723" s="34" t="n">
        <x:v>0</x:v>
      </x:c>
      <x:c r="H723" s="34" t="n">
        <x:v>9</x:v>
      </x:c>
      <x:c r="I723" s="34" t="n">
        <x:v>9</x:v>
      </x:c>
      <x:c r="J723" s="34" t="n">
        <x:v>0</x:v>
      </x:c>
      <x:c r="K723" s="34" t="n">
        <x:v>0</x:v>
      </x:c>
      <x:c r="L723" s="34" t="n">
        <x:v>0.125</x:v>
      </x:c>
      <x:c r="M723" s="34" t="n">
        <x:v>0.125</x:v>
      </x:c>
      <x:c r="N723" s="34" t="n">
        <x:v>0</x:v>
      </x:c>
      <x:c r="O723" s="34" t="n">
        <x:v>0</x:v>
      </x:c>
      <x:c r="P723" s="34" t="n">
        <x:v>3.25</x:v>
      </x:c>
      <x:c r="Q723" s="34" t="n">
        <x:v>3.25</x:v>
      </x:c>
      <x:c r="R723" s="34" t="n">
        <x:v>0</x:v>
      </x:c>
      <x:c r="S723" s="40" t="b">
        <x:v>1</x:v>
      </x:c>
      <x:c r="T723" s="34" t="str">
        <x:v>model_interpolation</x:v>
      </x:c>
      <x:c r="U723" s="34" t="str">
        <x:v>Linear interpolation from 2026 to 2030</x:v>
      </x:c>
      <x:c r="V723" s="34" t="str">
        <x:v>CAND-C9724A8933A429</x:v>
      </x:c>
      <x:c r="W723" s="34" t="str">
        <x:v>P1</x:v>
      </x:c>
      <x:c r="X723" s="34" t="str">
        <x:v>PORT-8826D0B469EE</x:v>
      </x:c>
      <x:c r="Y723" s="34" t="n">
        <x:v>1000</x:v>
      </x:c>
      <x:c r="Z723" s="34" t="n">
        <x:v>66.52577</x:v>
      </x:c>
      <x:c r="AA723" s="34" t="n">
        <x:v>19.8955</x:v>
      </x:c>
      <x:c r="AB723" s="34" t="n">
        <x:v>429.154227</x:v>
      </x:c>
      <x:c r="AC723" s="34" t="n">
        <x:v>27787.608</x:v>
      </x:c>
      <x:c r="AD723" s="34" t="n">
        <x:v>64.749702</x:v>
      </x:c>
      <x:c r="AE723" s="40" t="b">
        <x:v>1</x:v>
      </x:c>
      <x:c r="AF723" s="40" t="b">
        <x:v>1</x:v>
      </x:c>
      <x:c r="AG723" s="34" t="str"/>
      <x:c r="AH723" s="34" t="n">
        <x:v>0</x:v>
      </x:c>
      <x:c r="AI723" s="34" t="str">
        <x:v>2.0275124185786808e-05</x:v>
      </x:c>
      <x:c r="AJ723" s="40" t="b">
        <x:v>1</x:v>
      </x:c>
      <x:c r="AK723" s="40" t="b">
        <x:v>1</x:v>
      </x:c>
      <x:c r="AL723" s="40" t="b">
        <x:v>1</x:v>
      </x:c>
      <x:c r="AM723" s="40" t="b">
        <x:v>1</x:v>
      </x:c>
      <x:c r="AN723" s="34" t="str"/>
      <x:c r="AO723" s="34" t="n">
        <x:v>0</x:v>
      </x:c>
      <x:c r="AP723" s="34" t="n">
        <x:v>0</x:v>
      </x:c>
      <x:c r="AQ723" s="34" t="n">
        <x:v>0</x:v>
      </x:c>
      <x:c r="AR723" s="34" t="n">
        <x:v>3</x:v>
      </x:c>
      <x:c r="AS723" s="34" t="n">
        <x:v>3</x:v>
      </x:c>
      <x:c r="AT723" s="34" t="n">
        <x:v>0.459336608</x:v>
      </x:c>
      <x:c r="AU723" s="34" t="n">
        <x:v>0.65</x:v>
      </x:c>
      <x:c r="AV723" s="34" t="n">
        <x:v>2.02</x:v>
      </x:c>
    </x:row>
    <x:row r="724">
      <x:c r="A724" s="34" t="str">
        <x:v>POSCO_KR</x:v>
      </x:c>
      <x:c r="B724" s="34" t="str">
        <x:v>POSCO</x:v>
      </x:c>
      <x:c r="C724" s="34" t="str">
        <x:v>DISCLOSED_PATH</x:v>
      </x:c>
      <x:c r="D724" s="34" t="str">
        <x:v>P1</x:v>
      </x:c>
      <x:c r="E724" s="34" t="n">
        <x:v>2028</x:v>
      </x:c>
      <x:c r="F724" s="34" t="n">
        <x:v>0</x:v>
      </x:c>
      <x:c r="G724" s="34" t="n">
        <x:v>0</x:v>
      </x:c>
      <x:c r="H724" s="34" t="n">
        <x:v>10</x:v>
      </x:c>
      <x:c r="I724" s="34" t="n">
        <x:v>10</x:v>
      </x:c>
      <x:c r="J724" s="34" t="n">
        <x:v>0</x:v>
      </x:c>
      <x:c r="K724" s="34" t="n">
        <x:v>0</x:v>
      </x:c>
      <x:c r="L724" s="34" t="n">
        <x:v>0.25</x:v>
      </x:c>
      <x:c r="M724" s="34" t="n">
        <x:v>0.25</x:v>
      </x:c>
      <x:c r="N724" s="34" t="n">
        <x:v>0</x:v>
      </x:c>
      <x:c r="O724" s="34" t="n">
        <x:v>0</x:v>
      </x:c>
      <x:c r="P724" s="34" t="n">
        <x:v>4.5</x:v>
      </x:c>
      <x:c r="Q724" s="34" t="n">
        <x:v>4.5</x:v>
      </x:c>
      <x:c r="R724" s="34" t="n">
        <x:v>0</x:v>
      </x:c>
      <x:c r="S724" s="40" t="b">
        <x:v>1</x:v>
      </x:c>
      <x:c r="T724" s="34" t="str">
        <x:v>model_interpolation</x:v>
      </x:c>
      <x:c r="U724" s="34" t="str">
        <x:v>Linear interpolation from 2026 to 2030</x:v>
      </x:c>
      <x:c r="V724" s="34" t="str">
        <x:v>CAND-C9724A8933A429</x:v>
      </x:c>
      <x:c r="W724" s="34" t="str">
        <x:v>P1</x:v>
      </x:c>
      <x:c r="X724" s="34" t="str">
        <x:v>PORT-8826D0B469EE</x:v>
      </x:c>
      <x:c r="Y724" s="34" t="n">
        <x:v>1000</x:v>
      </x:c>
      <x:c r="Z724" s="34" t="n">
        <x:v>66.52577</x:v>
      </x:c>
      <x:c r="AA724" s="34" t="n">
        <x:v>19.8955</x:v>
      </x:c>
      <x:c r="AB724" s="34" t="n">
        <x:v>429.154227</x:v>
      </x:c>
      <x:c r="AC724" s="34" t="n">
        <x:v>27787.608</x:v>
      </x:c>
      <x:c r="AD724" s="34" t="n">
        <x:v>64.749702</x:v>
      </x:c>
      <x:c r="AE724" s="40" t="b">
        <x:v>1</x:v>
      </x:c>
      <x:c r="AF724" s="40" t="b">
        <x:v>1</x:v>
      </x:c>
      <x:c r="AG724" s="34" t="str"/>
      <x:c r="AH724" s="34" t="n">
        <x:v>0</x:v>
      </x:c>
      <x:c r="AI724" s="34" t="str">
        <x:v>2.0275124185786808e-05</x:v>
      </x:c>
      <x:c r="AJ724" s="40" t="b">
        <x:v>1</x:v>
      </x:c>
      <x:c r="AK724" s="40" t="b">
        <x:v>1</x:v>
      </x:c>
      <x:c r="AL724" s="40" t="b">
        <x:v>1</x:v>
      </x:c>
      <x:c r="AM724" s="40" t="b">
        <x:v>1</x:v>
      </x:c>
      <x:c r="AN724" s="34" t="str"/>
      <x:c r="AO724" s="34" t="n">
        <x:v>0</x:v>
      </x:c>
      <x:c r="AP724" s="34" t="n">
        <x:v>0</x:v>
      </x:c>
      <x:c r="AQ724" s="34" t="n">
        <x:v>0</x:v>
      </x:c>
      <x:c r="AR724" s="34" t="n">
        <x:v>3</x:v>
      </x:c>
      <x:c r="AS724" s="34" t="n">
        <x:v>3</x:v>
      </x:c>
      <x:c r="AT724" s="34" t="n">
        <x:v>0.459336608</x:v>
      </x:c>
      <x:c r="AU724" s="34" t="n">
        <x:v>0.65</x:v>
      </x:c>
      <x:c r="AV724" s="34" t="n">
        <x:v>2.02</x:v>
      </x:c>
    </x:row>
    <x:row r="725">
      <x:c r="A725" s="34" t="str">
        <x:v>POSCO_KR</x:v>
      </x:c>
      <x:c r="B725" s="34" t="str">
        <x:v>POSCO</x:v>
      </x:c>
      <x:c r="C725" s="34" t="str">
        <x:v>DISCLOSED_PATH</x:v>
      </x:c>
      <x:c r="D725" s="34" t="str">
        <x:v>P1</x:v>
      </x:c>
      <x:c r="E725" s="34" t="n">
        <x:v>2029</x:v>
      </x:c>
      <x:c r="F725" s="34" t="n">
        <x:v>1</x:v>
      </x:c>
      <x:c r="G725" s="34" t="n">
        <x:v>6.839998</x:v>
      </x:c>
      <x:c r="H725" s="34" t="n">
        <x:v>11</x:v>
      </x:c>
      <x:c r="I725" s="34" t="n">
        <x:v>4.160002</x:v>
      </x:c>
      <x:c r="J725" s="34" t="n">
        <x:v>62.182</x:v>
      </x:c>
      <x:c r="K725" s="34" t="n">
        <x:v>0</x:v>
      </x:c>
      <x:c r="L725" s="34" t="n">
        <x:v>0.375</x:v>
      </x:c>
      <x:c r="M725" s="34" t="n">
        <x:v>0.375</x:v>
      </x:c>
      <x:c r="N725" s="34" t="n">
        <x:v>0</x:v>
      </x:c>
      <x:c r="O725" s="34" t="n">
        <x:v>4.255999</x:v>
      </x:c>
      <x:c r="P725" s="34" t="n">
        <x:v>5.75</x:v>
      </x:c>
      <x:c r="Q725" s="34" t="n">
        <x:v>1.494001</x:v>
      </x:c>
      <x:c r="R725" s="34" t="n">
        <x:v>74.017</x:v>
      </x:c>
      <x:c r="S725" s="40" t="b">
        <x:v>1</x:v>
      </x:c>
      <x:c r="T725" s="34" t="str">
        <x:v>model_interpolation</x:v>
      </x:c>
      <x:c r="U725" s="34" t="str">
        <x:v>Linear interpolation from 2026 to 2030</x:v>
      </x:c>
      <x:c r="V725" s="34" t="str">
        <x:v>CAND-C9724A8933A429</x:v>
      </x:c>
      <x:c r="W725" s="34" t="str">
        <x:v>P1</x:v>
      </x:c>
      <x:c r="X725" s="34" t="str">
        <x:v>PORT-8826D0B469EE</x:v>
      </x:c>
      <x:c r="Y725" s="34" t="n">
        <x:v>1000</x:v>
      </x:c>
      <x:c r="Z725" s="34" t="n">
        <x:v>66.52577</x:v>
      </x:c>
      <x:c r="AA725" s="34" t="n">
        <x:v>19.8955</x:v>
      </x:c>
      <x:c r="AB725" s="34" t="n">
        <x:v>429.154227</x:v>
      </x:c>
      <x:c r="AC725" s="34" t="n">
        <x:v>27787.608</x:v>
      </x:c>
      <x:c r="AD725" s="34" t="n">
        <x:v>64.749702</x:v>
      </x:c>
      <x:c r="AE725" s="40" t="b">
        <x:v>1</x:v>
      </x:c>
      <x:c r="AF725" s="40" t="b">
        <x:v>1</x:v>
      </x:c>
      <x:c r="AG725" s="34" t="str"/>
      <x:c r="AH725" s="34" t="n">
        <x:v>0</x:v>
      </x:c>
      <x:c r="AI725" s="34" t="str">
        <x:v>2.0275124185786808e-05</x:v>
      </x:c>
      <x:c r="AJ725" s="40" t="b">
        <x:v>1</x:v>
      </x:c>
      <x:c r="AK725" s="40" t="b">
        <x:v>1</x:v>
      </x:c>
      <x:c r="AL725" s="40" t="b">
        <x:v>1</x:v>
      </x:c>
      <x:c r="AM725" s="40" t="b">
        <x:v>1</x:v>
      </x:c>
      <x:c r="AN725" s="34" t="str"/>
      <x:c r="AO725" s="34" t="n">
        <x:v>0</x:v>
      </x:c>
      <x:c r="AP725" s="34" t="n">
        <x:v>0</x:v>
      </x:c>
      <x:c r="AQ725" s="34" t="n">
        <x:v>0</x:v>
      </x:c>
      <x:c r="AR725" s="34" t="n">
        <x:v>3</x:v>
      </x:c>
      <x:c r="AS725" s="34" t="n">
        <x:v>3</x:v>
      </x:c>
      <x:c r="AT725" s="34" t="n">
        <x:v>0.459336608</x:v>
      </x:c>
      <x:c r="AU725" s="34" t="n">
        <x:v>0.65</x:v>
      </x:c>
      <x:c r="AV725" s="34" t="n">
        <x:v>2.02</x:v>
      </x:c>
    </x:row>
    <x:row r="726">
      <x:c r="A726" s="34" t="str">
        <x:v>POSCO_KR</x:v>
      </x:c>
      <x:c r="B726" s="34" t="str">
        <x:v>POSCO</x:v>
      </x:c>
      <x:c r="C726" s="34" t="str">
        <x:v>DISCLOSED_PATH</x:v>
      </x:c>
      <x:c r="D726" s="34" t="str">
        <x:v>P1</x:v>
      </x:c>
      <x:c r="E726" s="34" t="n">
        <x:v>2030</x:v>
      </x:c>
      <x:c r="F726" s="34" t="n">
        <x:v>1</x:v>
      </x:c>
      <x:c r="G726" s="34" t="n">
        <x:v>6.839998</x:v>
      </x:c>
      <x:c r="H726" s="34" t="n">
        <x:v>12</x:v>
      </x:c>
      <x:c r="I726" s="34" t="n">
        <x:v>5.160002</x:v>
      </x:c>
      <x:c r="J726" s="34" t="n">
        <x:v>57</x:v>
      </x:c>
      <x:c r="K726" s="34" t="n">
        <x:v>0</x:v>
      </x:c>
      <x:c r="L726" s="34" t="n">
        <x:v>0.5</x:v>
      </x:c>
      <x:c r="M726" s="34" t="n">
        <x:v>0.5</x:v>
      </x:c>
      <x:c r="N726" s="34" t="n">
        <x:v>0</x:v>
      </x:c>
      <x:c r="O726" s="34" t="n">
        <x:v>4.255999</x:v>
      </x:c>
      <x:c r="P726" s="34" t="n">
        <x:v>7</x:v>
      </x:c>
      <x:c r="Q726" s="34" t="n">
        <x:v>2.744001</x:v>
      </x:c>
      <x:c r="R726" s="34" t="n">
        <x:v>60.8</x:v>
      </x:c>
      <x:c r="S726" s="40" t="b">
        <x:v>1</x:v>
      </x:c>
      <x:c r="T726" s="34" t="str">
        <x:v>model_interpolation</x:v>
      </x:c>
      <x:c r="U726" s="34" t="str">
        <x:v>Linear interpolation from 2030 to 2035</x:v>
      </x:c>
      <x:c r="V726" s="34" t="str">
        <x:v>CAND-C9724A8933A429</x:v>
      </x:c>
      <x:c r="W726" s="34" t="str">
        <x:v>P1</x:v>
      </x:c>
      <x:c r="X726" s="34" t="str">
        <x:v>PORT-8826D0B469EE</x:v>
      </x:c>
      <x:c r="Y726" s="34" t="n">
        <x:v>1000</x:v>
      </x:c>
      <x:c r="Z726" s="34" t="n">
        <x:v>66.52577</x:v>
      </x:c>
      <x:c r="AA726" s="34" t="n">
        <x:v>19.8955</x:v>
      </x:c>
      <x:c r="AB726" s="34" t="n">
        <x:v>429.154227</x:v>
      </x:c>
      <x:c r="AC726" s="34" t="n">
        <x:v>27787.608</x:v>
      </x:c>
      <x:c r="AD726" s="34" t="n">
        <x:v>64.749702</x:v>
      </x:c>
      <x:c r="AE726" s="40" t="b">
        <x:v>1</x:v>
      </x:c>
      <x:c r="AF726" s="40" t="b">
        <x:v>1</x:v>
      </x:c>
      <x:c r="AG726" s="34" t="str"/>
      <x:c r="AH726" s="34" t="n">
        <x:v>0</x:v>
      </x:c>
      <x:c r="AI726" s="34" t="str">
        <x:v>2.0275124185786808e-05</x:v>
      </x:c>
      <x:c r="AJ726" s="40" t="b">
        <x:v>1</x:v>
      </x:c>
      <x:c r="AK726" s="40" t="b">
        <x:v>1</x:v>
      </x:c>
      <x:c r="AL726" s="40" t="b">
        <x:v>1</x:v>
      </x:c>
      <x:c r="AM726" s="40" t="b">
        <x:v>1</x:v>
      </x:c>
      <x:c r="AN726" s="34" t="str"/>
      <x:c r="AO726" s="34" t="n">
        <x:v>0</x:v>
      </x:c>
      <x:c r="AP726" s="34" t="n">
        <x:v>0</x:v>
      </x:c>
      <x:c r="AQ726" s="34" t="n">
        <x:v>0</x:v>
      </x:c>
      <x:c r="AR726" s="34" t="n">
        <x:v>3</x:v>
      </x:c>
      <x:c r="AS726" s="34" t="n">
        <x:v>3</x:v>
      </x:c>
      <x:c r="AT726" s="34" t="n">
        <x:v>0.459336608</x:v>
      </x:c>
      <x:c r="AU726" s="34" t="n">
        <x:v>0.65</x:v>
      </x:c>
      <x:c r="AV726" s="34" t="n">
        <x:v>2.02</x:v>
      </x:c>
    </x:row>
    <x:row r="727">
      <x:c r="A727" s="34" t="str">
        <x:v>POSCO_KR</x:v>
      </x:c>
      <x:c r="B727" s="34" t="str">
        <x:v>POSCO</x:v>
      </x:c>
      <x:c r="C727" s="34" t="str">
        <x:v>DISCLOSED_PATH</x:v>
      </x:c>
      <x:c r="D727" s="34" t="str">
        <x:v>P1</x:v>
      </x:c>
      <x:c r="E727" s="34" t="n">
        <x:v>2031</x:v>
      </x:c>
      <x:c r="F727" s="34" t="n">
        <x:v>1</x:v>
      </x:c>
      <x:c r="G727" s="34" t="n">
        <x:v>6.839998</x:v>
      </x:c>
      <x:c r="H727" s="34" t="n">
        <x:v>13.2</x:v>
      </x:c>
      <x:c r="I727" s="34" t="n">
        <x:v>6.360002</x:v>
      </x:c>
      <x:c r="J727" s="34" t="n">
        <x:v>51.818</x:v>
      </x:c>
      <x:c r="K727" s="34" t="n">
        <x:v>0</x:v>
      </x:c>
      <x:c r="L727" s="34" t="n">
        <x:v>0.7</x:v>
      </x:c>
      <x:c r="M727" s="34" t="n">
        <x:v>0.7</x:v>
      </x:c>
      <x:c r="N727" s="34" t="n">
        <x:v>0</x:v>
      </x:c>
      <x:c r="O727" s="34" t="n">
        <x:v>4.255999</x:v>
      </x:c>
      <x:c r="P727" s="34" t="n">
        <x:v>8.6</x:v>
      </x:c>
      <x:c r="Q727" s="34" t="n">
        <x:v>4.344001</x:v>
      </x:c>
      <x:c r="R727" s="34" t="n">
        <x:v>49.488</x:v>
      </x:c>
      <x:c r="S727" s="40" t="b">
        <x:v>1</x:v>
      </x:c>
      <x:c r="T727" s="34" t="str">
        <x:v>model_interpolation</x:v>
      </x:c>
      <x:c r="U727" s="34" t="str">
        <x:v>Linear interpolation from 2030 to 2035</x:v>
      </x:c>
      <x:c r="V727" s="34" t="str">
        <x:v>CAND-C9724A8933A429</x:v>
      </x:c>
      <x:c r="W727" s="34" t="str">
        <x:v>P1</x:v>
      </x:c>
      <x:c r="X727" s="34" t="str">
        <x:v>PORT-8826D0B469EE</x:v>
      </x:c>
      <x:c r="Y727" s="34" t="n">
        <x:v>1000</x:v>
      </x:c>
      <x:c r="Z727" s="34" t="n">
        <x:v>66.52577</x:v>
      </x:c>
      <x:c r="AA727" s="34" t="n">
        <x:v>19.8955</x:v>
      </x:c>
      <x:c r="AB727" s="34" t="n">
        <x:v>429.154227</x:v>
      </x:c>
      <x:c r="AC727" s="34" t="n">
        <x:v>27787.608</x:v>
      </x:c>
      <x:c r="AD727" s="34" t="n">
        <x:v>64.749702</x:v>
      </x:c>
      <x:c r="AE727" s="40" t="b">
        <x:v>1</x:v>
      </x:c>
      <x:c r="AF727" s="40" t="b">
        <x:v>1</x:v>
      </x:c>
      <x:c r="AG727" s="34" t="str"/>
      <x:c r="AH727" s="34" t="n">
        <x:v>0</x:v>
      </x:c>
      <x:c r="AI727" s="34" t="str">
        <x:v>2.0275124185786808e-05</x:v>
      </x:c>
      <x:c r="AJ727" s="40" t="b">
        <x:v>1</x:v>
      </x:c>
      <x:c r="AK727" s="40" t="b">
        <x:v>1</x:v>
      </x:c>
      <x:c r="AL727" s="40" t="b">
        <x:v>1</x:v>
      </x:c>
      <x:c r="AM727" s="40" t="b">
        <x:v>1</x:v>
      </x:c>
      <x:c r="AN727" s="34" t="str"/>
      <x:c r="AO727" s="34" t="n">
        <x:v>0</x:v>
      </x:c>
      <x:c r="AP727" s="34" t="n">
        <x:v>0</x:v>
      </x:c>
      <x:c r="AQ727" s="34" t="n">
        <x:v>0</x:v>
      </x:c>
      <x:c r="AR727" s="34" t="n">
        <x:v>3</x:v>
      </x:c>
      <x:c r="AS727" s="34" t="n">
        <x:v>3</x:v>
      </x:c>
      <x:c r="AT727" s="34" t="n">
        <x:v>0.459336608</x:v>
      </x:c>
      <x:c r="AU727" s="34" t="n">
        <x:v>0.65</x:v>
      </x:c>
      <x:c r="AV727" s="34" t="n">
        <x:v>2.02</x:v>
      </x:c>
    </x:row>
    <x:row r="728">
      <x:c r="A728" s="34" t="str">
        <x:v>POSCO_KR</x:v>
      </x:c>
      <x:c r="B728" s="34" t="str">
        <x:v>POSCO</x:v>
      </x:c>
      <x:c r="C728" s="34" t="str">
        <x:v>DISCLOSED_PATH</x:v>
      </x:c>
      <x:c r="D728" s="34" t="str">
        <x:v>P1</x:v>
      </x:c>
      <x:c r="E728" s="34" t="n">
        <x:v>2032</x:v>
      </x:c>
      <x:c r="F728" s="34" t="n">
        <x:v>2</x:v>
      </x:c>
      <x:c r="G728" s="34" t="n">
        <x:v>12.959999</x:v>
      </x:c>
      <x:c r="H728" s="34" t="n">
        <x:v>14.4</x:v>
      </x:c>
      <x:c r="I728" s="34" t="n">
        <x:v>1.440001</x:v>
      </x:c>
      <x:c r="J728" s="34" t="n">
        <x:v>90</x:v>
      </x:c>
      <x:c r="K728" s="34" t="n">
        <x:v>0</x:v>
      </x:c>
      <x:c r="L728" s="34" t="n">
        <x:v>0.9</x:v>
      </x:c>
      <x:c r="M728" s="34" t="n">
        <x:v>0.9</x:v>
      </x:c>
      <x:c r="N728" s="34" t="n">
        <x:v>0</x:v>
      </x:c>
      <x:c r="O728" s="34" t="n">
        <x:v>8.063999</x:v>
      </x:c>
      <x:c r="P728" s="34" t="n">
        <x:v>10.2</x:v>
      </x:c>
      <x:c r="Q728" s="34" t="n">
        <x:v>2.136001</x:v>
      </x:c>
      <x:c r="R728" s="34" t="n">
        <x:v>79.059</x:v>
      </x:c>
      <x:c r="S728" s="40" t="b">
        <x:v>1</x:v>
      </x:c>
      <x:c r="T728" s="34" t="str">
        <x:v>model_interpolation</x:v>
      </x:c>
      <x:c r="U728" s="34" t="str">
        <x:v>Linear interpolation from 2030 to 2035</x:v>
      </x:c>
      <x:c r="V728" s="34" t="str">
        <x:v>CAND-C9724A8933A429</x:v>
      </x:c>
      <x:c r="W728" s="34" t="str">
        <x:v>P1</x:v>
      </x:c>
      <x:c r="X728" s="34" t="str">
        <x:v>PORT-8826D0B469EE</x:v>
      </x:c>
      <x:c r="Y728" s="34" t="n">
        <x:v>1000</x:v>
      </x:c>
      <x:c r="Z728" s="34" t="n">
        <x:v>66.52577</x:v>
      </x:c>
      <x:c r="AA728" s="34" t="n">
        <x:v>19.8955</x:v>
      </x:c>
      <x:c r="AB728" s="34" t="n">
        <x:v>429.154227</x:v>
      </x:c>
      <x:c r="AC728" s="34" t="n">
        <x:v>27787.608</x:v>
      </x:c>
      <x:c r="AD728" s="34" t="n">
        <x:v>64.749702</x:v>
      </x:c>
      <x:c r="AE728" s="40" t="b">
        <x:v>1</x:v>
      </x:c>
      <x:c r="AF728" s="40" t="b">
        <x:v>1</x:v>
      </x:c>
      <x:c r="AG728" s="34" t="str"/>
      <x:c r="AH728" s="34" t="n">
        <x:v>0</x:v>
      </x:c>
      <x:c r="AI728" s="34" t="str">
        <x:v>2.0275124185786808e-05</x:v>
      </x:c>
      <x:c r="AJ728" s="40" t="b">
        <x:v>1</x:v>
      </x:c>
      <x:c r="AK728" s="40" t="b">
        <x:v>1</x:v>
      </x:c>
      <x:c r="AL728" s="40" t="b">
        <x:v>1</x:v>
      </x:c>
      <x:c r="AM728" s="40" t="b">
        <x:v>1</x:v>
      </x:c>
      <x:c r="AN728" s="34" t="str"/>
      <x:c r="AO728" s="34" t="n">
        <x:v>0</x:v>
      </x:c>
      <x:c r="AP728" s="34" t="n">
        <x:v>0</x:v>
      </x:c>
      <x:c r="AQ728" s="34" t="n">
        <x:v>0</x:v>
      </x:c>
      <x:c r="AR728" s="34" t="n">
        <x:v>3</x:v>
      </x:c>
      <x:c r="AS728" s="34" t="n">
        <x:v>3</x:v>
      </x:c>
      <x:c r="AT728" s="34" t="n">
        <x:v>0.459336608</x:v>
      </x:c>
      <x:c r="AU728" s="34" t="n">
        <x:v>0.65</x:v>
      </x:c>
      <x:c r="AV728" s="34" t="n">
        <x:v>2.02</x:v>
      </x:c>
    </x:row>
    <x:row r="729">
      <x:c r="A729" s="34" t="str">
        <x:v>POSCO_KR</x:v>
      </x:c>
      <x:c r="B729" s="34" t="str">
        <x:v>POSCO</x:v>
      </x:c>
      <x:c r="C729" s="34" t="str">
        <x:v>DISCLOSED_PATH</x:v>
      </x:c>
      <x:c r="D729" s="34" t="str">
        <x:v>P1</x:v>
      </x:c>
      <x:c r="E729" s="34" t="n">
        <x:v>2033</x:v>
      </x:c>
      <x:c r="F729" s="34" t="n">
        <x:v>3</x:v>
      </x:c>
      <x:c r="G729" s="34" t="n">
        <x:v>13.980599</x:v>
      </x:c>
      <x:c r="H729" s="34" t="n">
        <x:v>15.6</x:v>
      </x:c>
      <x:c r="I729" s="34" t="n">
        <x:v>1.619401</x:v>
      </x:c>
      <x:c r="J729" s="34" t="n">
        <x:v>89.619</x:v>
      </x:c>
      <x:c r="K729" s="34" t="n">
        <x:v>0</x:v>
      </x:c>
      <x:c r="L729" s="34" t="n">
        <x:v>1.1</x:v>
      </x:c>
      <x:c r="M729" s="34" t="n">
        <x:v>1.1</x:v>
      </x:c>
      <x:c r="N729" s="34" t="n">
        <x:v>0</x:v>
      </x:c>
      <x:c r="O729" s="34" t="n">
        <x:v>8.132039</x:v>
      </x:c>
      <x:c r="P729" s="34" t="n">
        <x:v>11.8</x:v>
      </x:c>
      <x:c r="Q729" s="34" t="n">
        <x:v>3.667961</x:v>
      </x:c>
      <x:c r="R729" s="34" t="n">
        <x:v>68.916</x:v>
      </x:c>
      <x:c r="S729" s="40" t="b">
        <x:v>1</x:v>
      </x:c>
      <x:c r="T729" s="34" t="str">
        <x:v>model_interpolation</x:v>
      </x:c>
      <x:c r="U729" s="34" t="str">
        <x:v>Linear interpolation from 2030 to 2035</x:v>
      </x:c>
      <x:c r="V729" s="34" t="str">
        <x:v>CAND-C9724A8933A429</x:v>
      </x:c>
      <x:c r="W729" s="34" t="str">
        <x:v>P1</x:v>
      </x:c>
      <x:c r="X729" s="34" t="str">
        <x:v>PORT-8826D0B469EE</x:v>
      </x:c>
      <x:c r="Y729" s="34" t="n">
        <x:v>1000</x:v>
      </x:c>
      <x:c r="Z729" s="34" t="n">
        <x:v>66.52577</x:v>
      </x:c>
      <x:c r="AA729" s="34" t="n">
        <x:v>19.8955</x:v>
      </x:c>
      <x:c r="AB729" s="34" t="n">
        <x:v>429.154227</x:v>
      </x:c>
      <x:c r="AC729" s="34" t="n">
        <x:v>27787.608</x:v>
      </x:c>
      <x:c r="AD729" s="34" t="n">
        <x:v>64.749702</x:v>
      </x:c>
      <x:c r="AE729" s="40" t="b">
        <x:v>1</x:v>
      </x:c>
      <x:c r="AF729" s="40" t="b">
        <x:v>1</x:v>
      </x:c>
      <x:c r="AG729" s="34" t="str"/>
      <x:c r="AH729" s="34" t="n">
        <x:v>0</x:v>
      </x:c>
      <x:c r="AI729" s="34" t="str">
        <x:v>2.0275124185786808e-05</x:v>
      </x:c>
      <x:c r="AJ729" s="40" t="b">
        <x:v>1</x:v>
      </x:c>
      <x:c r="AK729" s="40" t="b">
        <x:v>1</x:v>
      </x:c>
      <x:c r="AL729" s="40" t="b">
        <x:v>1</x:v>
      </x:c>
      <x:c r="AM729" s="40" t="b">
        <x:v>1</x:v>
      </x:c>
      <x:c r="AN729" s="34" t="str"/>
      <x:c r="AO729" s="34" t="n">
        <x:v>0</x:v>
      </x:c>
      <x:c r="AP729" s="34" t="n">
        <x:v>0</x:v>
      </x:c>
      <x:c r="AQ729" s="34" t="n">
        <x:v>0</x:v>
      </x:c>
      <x:c r="AR729" s="34" t="n">
        <x:v>3</x:v>
      </x:c>
      <x:c r="AS729" s="34" t="n">
        <x:v>3</x:v>
      </x:c>
      <x:c r="AT729" s="34" t="n">
        <x:v>0.459336608</x:v>
      </x:c>
      <x:c r="AU729" s="34" t="n">
        <x:v>0.65</x:v>
      </x:c>
      <x:c r="AV729" s="34" t="n">
        <x:v>2.02</x:v>
      </x:c>
    </x:row>
    <x:row r="730">
      <x:c r="A730" s="34" t="str">
        <x:v>POSCO_KR</x:v>
      </x:c>
      <x:c r="B730" s="34" t="str">
        <x:v>POSCO</x:v>
      </x:c>
      <x:c r="C730" s="34" t="str">
        <x:v>DISCLOSED_PATH</x:v>
      </x:c>
      <x:c r="D730" s="34" t="str">
        <x:v>P1</x:v>
      </x:c>
      <x:c r="E730" s="34" t="n">
        <x:v>2034</x:v>
      </x:c>
      <x:c r="F730" s="34" t="n">
        <x:v>3</x:v>
      </x:c>
      <x:c r="G730" s="34" t="n">
        <x:v>13.980599</x:v>
      </x:c>
      <x:c r="H730" s="34" t="n">
        <x:v>16.8</x:v>
      </x:c>
      <x:c r="I730" s="34" t="n">
        <x:v>2.819401</x:v>
      </x:c>
      <x:c r="J730" s="34" t="n">
        <x:v>83.218</x:v>
      </x:c>
      <x:c r="K730" s="34" t="n">
        <x:v>0</x:v>
      </x:c>
      <x:c r="L730" s="34" t="n">
        <x:v>1.3</x:v>
      </x:c>
      <x:c r="M730" s="34" t="n">
        <x:v>1.3</x:v>
      </x:c>
      <x:c r="N730" s="34" t="n">
        <x:v>0</x:v>
      </x:c>
      <x:c r="O730" s="34" t="n">
        <x:v>8.132039</x:v>
      </x:c>
      <x:c r="P730" s="34" t="n">
        <x:v>13.4</x:v>
      </x:c>
      <x:c r="Q730" s="34" t="n">
        <x:v>5.267961</x:v>
      </x:c>
      <x:c r="R730" s="34" t="n">
        <x:v>60.687</x:v>
      </x:c>
      <x:c r="S730" s="40" t="b">
        <x:v>1</x:v>
      </x:c>
      <x:c r="T730" s="34" t="str">
        <x:v>model_interpolation</x:v>
      </x:c>
      <x:c r="U730" s="34" t="str">
        <x:v>Linear interpolation from 2030 to 2035</x:v>
      </x:c>
      <x:c r="V730" s="34" t="str">
        <x:v>CAND-C9724A8933A429</x:v>
      </x:c>
      <x:c r="W730" s="34" t="str">
        <x:v>P1</x:v>
      </x:c>
      <x:c r="X730" s="34" t="str">
        <x:v>PORT-8826D0B469EE</x:v>
      </x:c>
      <x:c r="Y730" s="34" t="n">
        <x:v>1000</x:v>
      </x:c>
      <x:c r="Z730" s="34" t="n">
        <x:v>66.52577</x:v>
      </x:c>
      <x:c r="AA730" s="34" t="n">
        <x:v>19.8955</x:v>
      </x:c>
      <x:c r="AB730" s="34" t="n">
        <x:v>429.154227</x:v>
      </x:c>
      <x:c r="AC730" s="34" t="n">
        <x:v>27787.608</x:v>
      </x:c>
      <x:c r="AD730" s="34" t="n">
        <x:v>64.749702</x:v>
      </x:c>
      <x:c r="AE730" s="40" t="b">
        <x:v>1</x:v>
      </x:c>
      <x:c r="AF730" s="40" t="b">
        <x:v>1</x:v>
      </x:c>
      <x:c r="AG730" s="34" t="str"/>
      <x:c r="AH730" s="34" t="n">
        <x:v>0</x:v>
      </x:c>
      <x:c r="AI730" s="34" t="str">
        <x:v>2.0275124185786808e-05</x:v>
      </x:c>
      <x:c r="AJ730" s="40" t="b">
        <x:v>1</x:v>
      </x:c>
      <x:c r="AK730" s="40" t="b">
        <x:v>1</x:v>
      </x:c>
      <x:c r="AL730" s="40" t="b">
        <x:v>1</x:v>
      </x:c>
      <x:c r="AM730" s="40" t="b">
        <x:v>1</x:v>
      </x:c>
      <x:c r="AN730" s="34" t="str"/>
      <x:c r="AO730" s="34" t="n">
        <x:v>0</x:v>
      </x:c>
      <x:c r="AP730" s="34" t="n">
        <x:v>0</x:v>
      </x:c>
      <x:c r="AQ730" s="34" t="n">
        <x:v>0</x:v>
      </x:c>
      <x:c r="AR730" s="34" t="n">
        <x:v>3</x:v>
      </x:c>
      <x:c r="AS730" s="34" t="n">
        <x:v>3</x:v>
      </x:c>
      <x:c r="AT730" s="34" t="n">
        <x:v>0.459336608</x:v>
      </x:c>
      <x:c r="AU730" s="34" t="n">
        <x:v>0.65</x:v>
      </x:c>
      <x:c r="AV730" s="34" t="n">
        <x:v>2.02</x:v>
      </x:c>
    </x:row>
    <x:row r="731">
      <x:c r="A731" s="34" t="str">
        <x:v>POSCO_KR</x:v>
      </x:c>
      <x:c r="B731" s="34" t="str">
        <x:v>POSCO</x:v>
      </x:c>
      <x:c r="C731" s="34" t="str">
        <x:v>DISCLOSED_PATH</x:v>
      </x:c>
      <x:c r="D731" s="34" t="str">
        <x:v>P1</x:v>
      </x:c>
      <x:c r="E731" s="34" t="n">
        <x:v>2035</x:v>
      </x:c>
      <x:c r="F731" s="34" t="n">
        <x:v>4</x:v>
      </x:c>
      <x:c r="G731" s="34" t="n">
        <x:v>15.405598</x:v>
      </x:c>
      <x:c r="H731" s="34" t="n">
        <x:v>18</x:v>
      </x:c>
      <x:c r="I731" s="34" t="n">
        <x:v>2.594402</x:v>
      </x:c>
      <x:c r="J731" s="34" t="n">
        <x:v>85.587</x:v>
      </x:c>
      <x:c r="K731" s="34" t="n">
        <x:v>0.5225</x:v>
      </x:c>
      <x:c r="L731" s="34" t="n">
        <x:v>1.5</x:v>
      </x:c>
      <x:c r="M731" s="34" t="n">
        <x:v>0.9775</x:v>
      </x:c>
      <x:c r="N731" s="34" t="n">
        <x:v>34.833</x:v>
      </x:c>
      <x:c r="O731" s="34" t="n">
        <x:v>12.597039</x:v>
      </x:c>
      <x:c r="P731" s="34" t="n">
        <x:v>15</x:v>
      </x:c>
      <x:c r="Q731" s="34" t="n">
        <x:v>2.402961</x:v>
      </x:c>
      <x:c r="R731" s="34" t="n">
        <x:v>83.98</x:v>
      </x:c>
      <x:c r="S731" s="40" t="b">
        <x:v>1</x:v>
      </x:c>
      <x:c r="T731" s="34" t="str">
        <x:v>model_interpolation</x:v>
      </x:c>
      <x:c r="U731" s="34" t="str">
        <x:v>Linear interpolation from 2035 to 2040</x:v>
      </x:c>
      <x:c r="V731" s="34" t="str">
        <x:v>CAND-C9724A8933A429</x:v>
      </x:c>
      <x:c r="W731" s="34" t="str">
        <x:v>P1</x:v>
      </x:c>
      <x:c r="X731" s="34" t="str">
        <x:v>PORT-8826D0B469EE</x:v>
      </x:c>
      <x:c r="Y731" s="34" t="n">
        <x:v>1000</x:v>
      </x:c>
      <x:c r="Z731" s="34" t="n">
        <x:v>66.52577</x:v>
      </x:c>
      <x:c r="AA731" s="34" t="n">
        <x:v>19.8955</x:v>
      </x:c>
      <x:c r="AB731" s="34" t="n">
        <x:v>429.154227</x:v>
      </x:c>
      <x:c r="AC731" s="34" t="n">
        <x:v>27787.608</x:v>
      </x:c>
      <x:c r="AD731" s="34" t="n">
        <x:v>64.749702</x:v>
      </x:c>
      <x:c r="AE731" s="40" t="b">
        <x:v>1</x:v>
      </x:c>
      <x:c r="AF731" s="40" t="b">
        <x:v>1</x:v>
      </x:c>
      <x:c r="AG731" s="34" t="str"/>
      <x:c r="AH731" s="34" t="n">
        <x:v>0</x:v>
      </x:c>
      <x:c r="AI731" s="34" t="str">
        <x:v>2.0275124185786808e-05</x:v>
      </x:c>
      <x:c r="AJ731" s="40" t="b">
        <x:v>1</x:v>
      </x:c>
      <x:c r="AK731" s="40" t="b">
        <x:v>1</x:v>
      </x:c>
      <x:c r="AL731" s="40" t="b">
        <x:v>1</x:v>
      </x:c>
      <x:c r="AM731" s="40" t="b">
        <x:v>1</x:v>
      </x:c>
      <x:c r="AN731" s="34" t="str"/>
      <x:c r="AO731" s="34" t="n">
        <x:v>0</x:v>
      </x:c>
      <x:c r="AP731" s="34" t="n">
        <x:v>0</x:v>
      </x:c>
      <x:c r="AQ731" s="34" t="n">
        <x:v>0</x:v>
      </x:c>
      <x:c r="AR731" s="34" t="n">
        <x:v>3</x:v>
      </x:c>
      <x:c r="AS731" s="34" t="n">
        <x:v>3</x:v>
      </x:c>
      <x:c r="AT731" s="34" t="n">
        <x:v>0.459336608</x:v>
      </x:c>
      <x:c r="AU731" s="34" t="n">
        <x:v>0.65</x:v>
      </x:c>
      <x:c r="AV731" s="34" t="n">
        <x:v>2.02</x:v>
      </x:c>
    </x:row>
    <x:row r="732">
      <x:c r="A732" s="34" t="str">
        <x:v>POSCO_KR</x:v>
      </x:c>
      <x:c r="B732" s="34" t="str">
        <x:v>POSCO</x:v>
      </x:c>
      <x:c r="C732" s="34" t="str">
        <x:v>DISCLOSED_PATH</x:v>
      </x:c>
      <x:c r="D732" s="34" t="str">
        <x:v>P1</x:v>
      </x:c>
      <x:c r="E732" s="34" t="n">
        <x:v>2036</x:v>
      </x:c>
      <x:c r="F732" s="34" t="n">
        <x:v>4</x:v>
      </x:c>
      <x:c r="G732" s="34" t="n">
        <x:v>15.405598</x:v>
      </x:c>
      <x:c r="H732" s="34" t="n">
        <x:v>19.4</x:v>
      </x:c>
      <x:c r="I732" s="34" t="n">
        <x:v>3.994402</x:v>
      </x:c>
      <x:c r="J732" s="34" t="n">
        <x:v>79.41</x:v>
      </x:c>
      <x:c r="K732" s="34" t="n">
        <x:v>0.5225</x:v>
      </x:c>
      <x:c r="L732" s="34" t="n">
        <x:v>1.8</x:v>
      </x:c>
      <x:c r="M732" s="34" t="n">
        <x:v>1.2775</x:v>
      </x:c>
      <x:c r="N732" s="34" t="n">
        <x:v>29.028</x:v>
      </x:c>
      <x:c r="O732" s="34" t="n">
        <x:v>12.597039</x:v>
      </x:c>
      <x:c r="P732" s="34" t="n">
        <x:v>17</x:v>
      </x:c>
      <x:c r="Q732" s="34" t="n">
        <x:v>4.402961</x:v>
      </x:c>
      <x:c r="R732" s="34" t="n">
        <x:v>74.1</x:v>
      </x:c>
      <x:c r="S732" s="40" t="b">
        <x:v>1</x:v>
      </x:c>
      <x:c r="T732" s="34" t="str">
        <x:v>model_interpolation</x:v>
      </x:c>
      <x:c r="U732" s="34" t="str">
        <x:v>Linear interpolation from 2035 to 2040</x:v>
      </x:c>
      <x:c r="V732" s="34" t="str">
        <x:v>CAND-C9724A8933A429</x:v>
      </x:c>
      <x:c r="W732" s="34" t="str">
        <x:v>P1</x:v>
      </x:c>
      <x:c r="X732" s="34" t="str">
        <x:v>PORT-8826D0B469EE</x:v>
      </x:c>
      <x:c r="Y732" s="34" t="n">
        <x:v>1000</x:v>
      </x:c>
      <x:c r="Z732" s="34" t="n">
        <x:v>66.52577</x:v>
      </x:c>
      <x:c r="AA732" s="34" t="n">
        <x:v>19.8955</x:v>
      </x:c>
      <x:c r="AB732" s="34" t="n">
        <x:v>429.154227</x:v>
      </x:c>
      <x:c r="AC732" s="34" t="n">
        <x:v>27787.608</x:v>
      </x:c>
      <x:c r="AD732" s="34" t="n">
        <x:v>64.749702</x:v>
      </x:c>
      <x:c r="AE732" s="40" t="b">
        <x:v>1</x:v>
      </x:c>
      <x:c r="AF732" s="40" t="b">
        <x:v>1</x:v>
      </x:c>
      <x:c r="AG732" s="34" t="str"/>
      <x:c r="AH732" s="34" t="n">
        <x:v>0</x:v>
      </x:c>
      <x:c r="AI732" s="34" t="str">
        <x:v>2.0275124185786808e-05</x:v>
      </x:c>
      <x:c r="AJ732" s="40" t="b">
        <x:v>1</x:v>
      </x:c>
      <x:c r="AK732" s="40" t="b">
        <x:v>1</x:v>
      </x:c>
      <x:c r="AL732" s="40" t="b">
        <x:v>1</x:v>
      </x:c>
      <x:c r="AM732" s="40" t="b">
        <x:v>1</x:v>
      </x:c>
      <x:c r="AN732" s="34" t="str"/>
      <x:c r="AO732" s="34" t="n">
        <x:v>0</x:v>
      </x:c>
      <x:c r="AP732" s="34" t="n">
        <x:v>0</x:v>
      </x:c>
      <x:c r="AQ732" s="34" t="n">
        <x:v>0</x:v>
      </x:c>
      <x:c r="AR732" s="34" t="n">
        <x:v>3</x:v>
      </x:c>
      <x:c r="AS732" s="34" t="n">
        <x:v>3</x:v>
      </x:c>
      <x:c r="AT732" s="34" t="n">
        <x:v>0.459336608</x:v>
      </x:c>
      <x:c r="AU732" s="34" t="n">
        <x:v>0.65</x:v>
      </x:c>
      <x:c r="AV732" s="34" t="n">
        <x:v>2.02</x:v>
      </x:c>
    </x:row>
    <x:row r="733">
      <x:c r="A733" s="34" t="str">
        <x:v>POSCO_KR</x:v>
      </x:c>
      <x:c r="B733" s="34" t="str">
        <x:v>POSCO</x:v>
      </x:c>
      <x:c r="C733" s="34" t="str">
        <x:v>DISCLOSED_PATH</x:v>
      </x:c>
      <x:c r="D733" s="34" t="str">
        <x:v>P1</x:v>
      </x:c>
      <x:c r="E733" s="34" t="n">
        <x:v>2037</x:v>
      </x:c>
      <x:c r="F733" s="34" t="n">
        <x:v>5</x:v>
      </x:c>
      <x:c r="G733" s="34" t="n">
        <x:v>16.831048</x:v>
      </x:c>
      <x:c r="H733" s="34" t="n">
        <x:v>20.8</x:v>
      </x:c>
      <x:c r="I733" s="34" t="n">
        <x:v>3.968952</x:v>
      </x:c>
      <x:c r="J733" s="34" t="n">
        <x:v>80.918</x:v>
      </x:c>
      <x:c r="K733" s="34" t="n">
        <x:v>1.045165</x:v>
      </x:c>
      <x:c r="L733" s="34" t="n">
        <x:v>2.1</x:v>
      </x:c>
      <x:c r="M733" s="34" t="n">
        <x:v>1.054835</x:v>
      </x:c>
      <x:c r="N733" s="34" t="n">
        <x:v>49.77</x:v>
      </x:c>
      <x:c r="O733" s="34" t="n">
        <x:v>17.063447</x:v>
      </x:c>
      <x:c r="P733" s="34" t="n">
        <x:v>19</x:v>
      </x:c>
      <x:c r="Q733" s="34" t="n">
        <x:v>1.936553</x:v>
      </x:c>
      <x:c r="R733" s="34" t="n">
        <x:v>89.808</x:v>
      </x:c>
      <x:c r="S733" s="40" t="b">
        <x:v>1</x:v>
      </x:c>
      <x:c r="T733" s="34" t="str">
        <x:v>model_interpolation</x:v>
      </x:c>
      <x:c r="U733" s="34" t="str">
        <x:v>Linear interpolation from 2035 to 2040</x:v>
      </x:c>
      <x:c r="V733" s="34" t="str">
        <x:v>CAND-C9724A8933A429</x:v>
      </x:c>
      <x:c r="W733" s="34" t="str">
        <x:v>P1</x:v>
      </x:c>
      <x:c r="X733" s="34" t="str">
        <x:v>PORT-8826D0B469EE</x:v>
      </x:c>
      <x:c r="Y733" s="34" t="n">
        <x:v>1000</x:v>
      </x:c>
      <x:c r="Z733" s="34" t="n">
        <x:v>66.52577</x:v>
      </x:c>
      <x:c r="AA733" s="34" t="n">
        <x:v>19.8955</x:v>
      </x:c>
      <x:c r="AB733" s="34" t="n">
        <x:v>429.154227</x:v>
      </x:c>
      <x:c r="AC733" s="34" t="n">
        <x:v>27787.608</x:v>
      </x:c>
      <x:c r="AD733" s="34" t="n">
        <x:v>64.749702</x:v>
      </x:c>
      <x:c r="AE733" s="40" t="b">
        <x:v>1</x:v>
      </x:c>
      <x:c r="AF733" s="40" t="b">
        <x:v>1</x:v>
      </x:c>
      <x:c r="AG733" s="34" t="str"/>
      <x:c r="AH733" s="34" t="n">
        <x:v>0</x:v>
      </x:c>
      <x:c r="AI733" s="34" t="str">
        <x:v>2.0275124185786808e-05</x:v>
      </x:c>
      <x:c r="AJ733" s="40" t="b">
        <x:v>1</x:v>
      </x:c>
      <x:c r="AK733" s="40" t="b">
        <x:v>1</x:v>
      </x:c>
      <x:c r="AL733" s="40" t="b">
        <x:v>1</x:v>
      </x:c>
      <x:c r="AM733" s="40" t="b">
        <x:v>1</x:v>
      </x:c>
      <x:c r="AN733" s="34" t="str"/>
      <x:c r="AO733" s="34" t="n">
        <x:v>0</x:v>
      </x:c>
      <x:c r="AP733" s="34" t="n">
        <x:v>0</x:v>
      </x:c>
      <x:c r="AQ733" s="34" t="n">
        <x:v>0</x:v>
      </x:c>
      <x:c r="AR733" s="34" t="n">
        <x:v>3</x:v>
      </x:c>
      <x:c r="AS733" s="34" t="n">
        <x:v>3</x:v>
      </x:c>
      <x:c r="AT733" s="34" t="n">
        <x:v>0.459336608</x:v>
      </x:c>
      <x:c r="AU733" s="34" t="n">
        <x:v>0.65</x:v>
      </x:c>
      <x:c r="AV733" s="34" t="n">
        <x:v>2.02</x:v>
      </x:c>
    </x:row>
    <x:row r="734">
      <x:c r="A734" s="34" t="str">
        <x:v>POSCO_KR</x:v>
      </x:c>
      <x:c r="B734" s="34" t="str">
        <x:v>POSCO</x:v>
      </x:c>
      <x:c r="C734" s="34" t="str">
        <x:v>DISCLOSED_PATH</x:v>
      </x:c>
      <x:c r="D734" s="34" t="str">
        <x:v>P1</x:v>
      </x:c>
      <x:c r="E734" s="34" t="n">
        <x:v>2038</x:v>
      </x:c>
      <x:c r="F734" s="34" t="n">
        <x:v>5</x:v>
      </x:c>
      <x:c r="G734" s="34" t="n">
        <x:v>16.831048</x:v>
      </x:c>
      <x:c r="H734" s="34" t="n">
        <x:v>22.2</x:v>
      </x:c>
      <x:c r="I734" s="34" t="n">
        <x:v>5.368952</x:v>
      </x:c>
      <x:c r="J734" s="34" t="n">
        <x:v>75.816</x:v>
      </x:c>
      <x:c r="K734" s="34" t="n">
        <x:v>1.045165</x:v>
      </x:c>
      <x:c r="L734" s="34" t="n">
        <x:v>2.4</x:v>
      </x:c>
      <x:c r="M734" s="34" t="n">
        <x:v>1.354835</x:v>
      </x:c>
      <x:c r="N734" s="34" t="n">
        <x:v>43.549</x:v>
      </x:c>
      <x:c r="O734" s="34" t="n">
        <x:v>17.063447</x:v>
      </x:c>
      <x:c r="P734" s="34" t="n">
        <x:v>21</x:v>
      </x:c>
      <x:c r="Q734" s="34" t="n">
        <x:v>3.936553</x:v>
      </x:c>
      <x:c r="R734" s="34" t="n">
        <x:v>81.255</x:v>
      </x:c>
      <x:c r="S734" s="40" t="b">
        <x:v>1</x:v>
      </x:c>
      <x:c r="T734" s="34" t="str">
        <x:v>model_interpolation</x:v>
      </x:c>
      <x:c r="U734" s="34" t="str">
        <x:v>Linear interpolation from 2035 to 2040</x:v>
      </x:c>
      <x:c r="V734" s="34" t="str">
        <x:v>CAND-C9724A8933A429</x:v>
      </x:c>
      <x:c r="W734" s="34" t="str">
        <x:v>P1</x:v>
      </x:c>
      <x:c r="X734" s="34" t="str">
        <x:v>PORT-8826D0B469EE</x:v>
      </x:c>
      <x:c r="Y734" s="34" t="n">
        <x:v>1000</x:v>
      </x:c>
      <x:c r="Z734" s="34" t="n">
        <x:v>66.52577</x:v>
      </x:c>
      <x:c r="AA734" s="34" t="n">
        <x:v>19.8955</x:v>
      </x:c>
      <x:c r="AB734" s="34" t="n">
        <x:v>429.154227</x:v>
      </x:c>
      <x:c r="AC734" s="34" t="n">
        <x:v>27787.608</x:v>
      </x:c>
      <x:c r="AD734" s="34" t="n">
        <x:v>64.749702</x:v>
      </x:c>
      <x:c r="AE734" s="40" t="b">
        <x:v>1</x:v>
      </x:c>
      <x:c r="AF734" s="40" t="b">
        <x:v>1</x:v>
      </x:c>
      <x:c r="AG734" s="34" t="str"/>
      <x:c r="AH734" s="34" t="n">
        <x:v>0</x:v>
      </x:c>
      <x:c r="AI734" s="34" t="str">
        <x:v>2.0275124185786808e-05</x:v>
      </x:c>
      <x:c r="AJ734" s="40" t="b">
        <x:v>1</x:v>
      </x:c>
      <x:c r="AK734" s="40" t="b">
        <x:v>1</x:v>
      </x:c>
      <x:c r="AL734" s="40" t="b">
        <x:v>1</x:v>
      </x:c>
      <x:c r="AM734" s="40" t="b">
        <x:v>1</x:v>
      </x:c>
      <x:c r="AN734" s="34" t="str"/>
      <x:c r="AO734" s="34" t="n">
        <x:v>0</x:v>
      </x:c>
      <x:c r="AP734" s="34" t="n">
        <x:v>0</x:v>
      </x:c>
      <x:c r="AQ734" s="34" t="n">
        <x:v>0</x:v>
      </x:c>
      <x:c r="AR734" s="34" t="n">
        <x:v>3</x:v>
      </x:c>
      <x:c r="AS734" s="34" t="n">
        <x:v>3</x:v>
      </x:c>
      <x:c r="AT734" s="34" t="n">
        <x:v>0.459336608</x:v>
      </x:c>
      <x:c r="AU734" s="34" t="n">
        <x:v>0.65</x:v>
      </x:c>
      <x:c r="AV734" s="34" t="n">
        <x:v>2.02</x:v>
      </x:c>
    </x:row>
    <x:row r="735">
      <x:c r="A735" s="34" t="str">
        <x:v>POSCO_KR</x:v>
      </x:c>
      <x:c r="B735" s="34" t="str">
        <x:v>POSCO</x:v>
      </x:c>
      <x:c r="C735" s="34" t="str">
        <x:v>DISCLOSED_PATH</x:v>
      </x:c>
      <x:c r="D735" s="34" t="str">
        <x:v>P1</x:v>
      </x:c>
      <x:c r="E735" s="34" t="n">
        <x:v>2039</x:v>
      </x:c>
      <x:c r="F735" s="34" t="n">
        <x:v>5</x:v>
      </x:c>
      <x:c r="G735" s="34" t="n">
        <x:v>16.831048</x:v>
      </x:c>
      <x:c r="H735" s="34" t="n">
        <x:v>23.6</x:v>
      </x:c>
      <x:c r="I735" s="34" t="n">
        <x:v>6.768952</x:v>
      </x:c>
      <x:c r="J735" s="34" t="n">
        <x:v>71.318</x:v>
      </x:c>
      <x:c r="K735" s="34" t="n">
        <x:v>1.045165</x:v>
      </x:c>
      <x:c r="L735" s="34" t="n">
        <x:v>2.7</x:v>
      </x:c>
      <x:c r="M735" s="34" t="n">
        <x:v>1.654835</x:v>
      </x:c>
      <x:c r="N735" s="34" t="n">
        <x:v>38.71</x:v>
      </x:c>
      <x:c r="O735" s="34" t="n">
        <x:v>17.063447</x:v>
      </x:c>
      <x:c r="P735" s="34" t="n">
        <x:v>23</x:v>
      </x:c>
      <x:c r="Q735" s="34" t="n">
        <x:v>5.936553</x:v>
      </x:c>
      <x:c r="R735" s="34" t="n">
        <x:v>74.189</x:v>
      </x:c>
      <x:c r="S735" s="40" t="b">
        <x:v>1</x:v>
      </x:c>
      <x:c r="T735" s="34" t="str">
        <x:v>model_interpolation</x:v>
      </x:c>
      <x:c r="U735" s="34" t="str">
        <x:v>Linear interpolation from 2035 to 2040</x:v>
      </x:c>
      <x:c r="V735" s="34" t="str">
        <x:v>CAND-C9724A8933A429</x:v>
      </x:c>
      <x:c r="W735" s="34" t="str">
        <x:v>P1</x:v>
      </x:c>
      <x:c r="X735" s="34" t="str">
        <x:v>PORT-8826D0B469EE</x:v>
      </x:c>
      <x:c r="Y735" s="34" t="n">
        <x:v>1000</x:v>
      </x:c>
      <x:c r="Z735" s="34" t="n">
        <x:v>66.52577</x:v>
      </x:c>
      <x:c r="AA735" s="34" t="n">
        <x:v>19.8955</x:v>
      </x:c>
      <x:c r="AB735" s="34" t="n">
        <x:v>429.154227</x:v>
      </x:c>
      <x:c r="AC735" s="34" t="n">
        <x:v>27787.608</x:v>
      </x:c>
      <x:c r="AD735" s="34" t="n">
        <x:v>64.749702</x:v>
      </x:c>
      <x:c r="AE735" s="40" t="b">
        <x:v>1</x:v>
      </x:c>
      <x:c r="AF735" s="40" t="b">
        <x:v>1</x:v>
      </x:c>
      <x:c r="AG735" s="34" t="str"/>
      <x:c r="AH735" s="34" t="n">
        <x:v>0</x:v>
      </x:c>
      <x:c r="AI735" s="34" t="str">
        <x:v>2.0275124185786808e-05</x:v>
      </x:c>
      <x:c r="AJ735" s="40" t="b">
        <x:v>1</x:v>
      </x:c>
      <x:c r="AK735" s="40" t="b">
        <x:v>1</x:v>
      </x:c>
      <x:c r="AL735" s="40" t="b">
        <x:v>1</x:v>
      </x:c>
      <x:c r="AM735" s="40" t="b">
        <x:v>1</x:v>
      </x:c>
      <x:c r="AN735" s="34" t="str"/>
      <x:c r="AO735" s="34" t="n">
        <x:v>0</x:v>
      </x:c>
      <x:c r="AP735" s="34" t="n">
        <x:v>0</x:v>
      </x:c>
      <x:c r="AQ735" s="34" t="n">
        <x:v>0</x:v>
      </x:c>
      <x:c r="AR735" s="34" t="n">
        <x:v>3</x:v>
      </x:c>
      <x:c r="AS735" s="34" t="n">
        <x:v>3</x:v>
      </x:c>
      <x:c r="AT735" s="34" t="n">
        <x:v>0.459336608</x:v>
      </x:c>
      <x:c r="AU735" s="34" t="n">
        <x:v>0.65</x:v>
      </x:c>
      <x:c r="AV735" s="34" t="n">
        <x:v>2.02</x:v>
      </x:c>
    </x:row>
    <x:row r="736">
      <x:c r="A736" s="34" t="str">
        <x:v>POSCO_KR</x:v>
      </x:c>
      <x:c r="B736" s="34" t="str">
        <x:v>POSCO</x:v>
      </x:c>
      <x:c r="C736" s="34" t="str">
        <x:v>DISCLOSED_PATH</x:v>
      </x:c>
      <x:c r="D736" s="34" t="str">
        <x:v>P1</x:v>
      </x:c>
      <x:c r="E736" s="34" t="n">
        <x:v>2040</x:v>
      </x:c>
      <x:c r="F736" s="34" t="n">
        <x:v>5</x:v>
      </x:c>
      <x:c r="G736" s="34" t="n">
        <x:v>16.831048</x:v>
      </x:c>
      <x:c r="H736" s="34" t="n">
        <x:v>25</x:v>
      </x:c>
      <x:c r="I736" s="34" t="n">
        <x:v>8.168952</x:v>
      </x:c>
      <x:c r="J736" s="34" t="n">
        <x:v>67.324</x:v>
      </x:c>
      <x:c r="K736" s="34" t="n">
        <x:v>1.045165</x:v>
      </x:c>
      <x:c r="L736" s="34" t="n">
        <x:v>3</x:v>
      </x:c>
      <x:c r="M736" s="34" t="n">
        <x:v>1.954835</x:v>
      </x:c>
      <x:c r="N736" s="34" t="n">
        <x:v>34.839</x:v>
      </x:c>
      <x:c r="O736" s="34" t="n">
        <x:v>17.063447</x:v>
      </x:c>
      <x:c r="P736" s="34" t="n">
        <x:v>25</x:v>
      </x:c>
      <x:c r="Q736" s="34" t="n">
        <x:v>7.936553</x:v>
      </x:c>
      <x:c r="R736" s="34" t="n">
        <x:v>68.254</x:v>
      </x:c>
      <x:c r="S736" s="40" t="b">
        <x:v>1</x:v>
      </x:c>
      <x:c r="T736" s="34" t="str">
        <x:v>model_estimate</x:v>
      </x:c>
      <x:c r="U736" s="34" t="str">
        <x:v>Illustrative screening envelope; not an official supply forecast</x:v>
      </x:c>
      <x:c r="V736" s="34" t="str">
        <x:v>CAND-C9724A8933A429</x:v>
      </x:c>
      <x:c r="W736" s="34" t="str">
        <x:v>P1</x:v>
      </x:c>
      <x:c r="X736" s="34" t="str">
        <x:v>PORT-8826D0B469EE</x:v>
      </x:c>
      <x:c r="Y736" s="34" t="n">
        <x:v>1000</x:v>
      </x:c>
      <x:c r="Z736" s="34" t="n">
        <x:v>66.52577</x:v>
      </x:c>
      <x:c r="AA736" s="34" t="n">
        <x:v>19.8955</x:v>
      </x:c>
      <x:c r="AB736" s="34" t="n">
        <x:v>429.154227</x:v>
      </x:c>
      <x:c r="AC736" s="34" t="n">
        <x:v>27787.608</x:v>
      </x:c>
      <x:c r="AD736" s="34" t="n">
        <x:v>64.749702</x:v>
      </x:c>
      <x:c r="AE736" s="40" t="b">
        <x:v>1</x:v>
      </x:c>
      <x:c r="AF736" s="40" t="b">
        <x:v>1</x:v>
      </x:c>
      <x:c r="AG736" s="34" t="str"/>
      <x:c r="AH736" s="34" t="n">
        <x:v>0</x:v>
      </x:c>
      <x:c r="AI736" s="34" t="str">
        <x:v>2.0275124185786808e-05</x:v>
      </x:c>
      <x:c r="AJ736" s="40" t="b">
        <x:v>1</x:v>
      </x:c>
      <x:c r="AK736" s="40" t="b">
        <x:v>1</x:v>
      </x:c>
      <x:c r="AL736" s="40" t="b">
        <x:v>1</x:v>
      </x:c>
      <x:c r="AM736" s="40" t="b">
        <x:v>1</x:v>
      </x:c>
      <x:c r="AN736" s="34" t="str"/>
      <x:c r="AO736" s="34" t="n">
        <x:v>0</x:v>
      </x:c>
      <x:c r="AP736" s="34" t="n">
        <x:v>0</x:v>
      </x:c>
      <x:c r="AQ736" s="34" t="n">
        <x:v>0</x:v>
      </x:c>
      <x:c r="AR736" s="34" t="n">
        <x:v>3</x:v>
      </x:c>
      <x:c r="AS736" s="34" t="n">
        <x:v>3</x:v>
      </x:c>
      <x:c r="AT736" s="34" t="n">
        <x:v>0.459336608</x:v>
      </x:c>
      <x:c r="AU736" s="34" t="n">
        <x:v>0.65</x:v>
      </x:c>
      <x:c r="AV736" s="34" t="n">
        <x:v>2.02</x:v>
      </x:c>
    </x:row>
    <x:row r="737">
      <x:c r="A737" s="34" t="str">
        <x:v>POSCO_KR</x:v>
      </x:c>
      <x:c r="B737" s="34" t="str">
        <x:v>POSCO</x:v>
      </x:c>
      <x:c r="C737" s="34" t="str">
        <x:v>ACCELERATED_15C</x:v>
      </x:c>
      <x:c r="D737" s="34" t="str">
        <x:v>P1</x:v>
      </x:c>
      <x:c r="E737" s="34" t="n">
        <x:v>2026</x:v>
      </x:c>
      <x:c r="F737" s="34" t="n">
        <x:v>0</x:v>
      </x:c>
      <x:c r="G737" s="34" t="n">
        <x:v>0</x:v>
      </x:c>
      <x:c r="H737" s="34" t="n">
        <x:v>8</x:v>
      </x:c>
      <x:c r="I737" s="34" t="n">
        <x:v>8</x:v>
      </x:c>
      <x:c r="J737" s="34" t="n">
        <x:v>0</x:v>
      </x:c>
      <x:c r="K737" s="34" t="n">
        <x:v>0</x:v>
      </x:c>
      <x:c r="L737" s="34" t="n">
        <x:v>0.1</x:v>
      </x:c>
      <x:c r="M737" s="34" t="n">
        <x:v>0.1</x:v>
      </x:c>
      <x:c r="N737" s="34" t="n">
        <x:v>0</x:v>
      </x:c>
      <x:c r="O737" s="34" t="n">
        <x:v>0</x:v>
      </x:c>
      <x:c r="P737" s="34" t="n">
        <x:v>2</x:v>
      </x:c>
      <x:c r="Q737" s="34" t="n">
        <x:v>2</x:v>
      </x:c>
      <x:c r="R737" s="34" t="n">
        <x:v>0</x:v>
      </x:c>
      <x:c r="S737" s="40" t="b">
        <x:v>1</x:v>
      </x:c>
      <x:c r="T737" s="34" t="str">
        <x:v>model_interpolation</x:v>
      </x:c>
      <x:c r="U737" s="34" t="str">
        <x:v>Linear interpolation from 2026 to 2030</x:v>
      </x:c>
      <x:c r="V737" s="34" t="str">
        <x:v>CAND-C9724A8933A429</x:v>
      </x:c>
      <x:c r="W737" s="34" t="str">
        <x:v>P1</x:v>
      </x:c>
      <x:c r="X737" s="34" t="str">
        <x:v>PORT-8826D0B469EE</x:v>
      </x:c>
      <x:c r="Y737" s="34" t="n">
        <x:v>1000</x:v>
      </x:c>
      <x:c r="Z737" s="34" t="n">
        <x:v>55.311045</x:v>
      </x:c>
      <x:c r="AA737" s="34" t="n">
        <x:v>21.722854</x:v>
      </x:c>
      <x:c r="AB737" s="34" t="n">
        <x:v>429.154227</x:v>
      </x:c>
      <x:c r="AC737" s="34" t="n">
        <x:v>22967.067</x:v>
      </x:c>
      <x:c r="AD737" s="34" t="n">
        <x:v>53.517047</x:v>
      </x:c>
      <x:c r="AE737" s="40" t="b">
        <x:v>1</x:v>
      </x:c>
      <x:c r="AF737" s="40" t="b">
        <x:v>1</x:v>
      </x:c>
      <x:c r="AG737" s="34" t="str"/>
      <x:c r="AH737" s="34" t="n">
        <x:v>0</x:v>
      </x:c>
      <x:c r="AI737" s="34" t="str">
        <x:v>2.0275124185786808e-05</x:v>
      </x:c>
      <x:c r="AJ737" s="40" t="b">
        <x:v>1</x:v>
      </x:c>
      <x:c r="AK737" s="40" t="b">
        <x:v>1</x:v>
      </x:c>
      <x:c r="AL737" s="40" t="b">
        <x:v>1</x:v>
      </x:c>
      <x:c r="AM737" s="40" t="b">
        <x:v>1</x:v>
      </x:c>
      <x:c r="AN737" s="34" t="str"/>
      <x:c r="AO737" s="34" t="n">
        <x:v>0</x:v>
      </x:c>
      <x:c r="AP737" s="34" t="n">
        <x:v>0</x:v>
      </x:c>
      <x:c r="AQ737" s="34" t="n">
        <x:v>0</x:v>
      </x:c>
      <x:c r="AR737" s="34" t="n">
        <x:v>3</x:v>
      </x:c>
      <x:c r="AS737" s="34" t="n">
        <x:v>3</x:v>
      </x:c>
      <x:c r="AT737" s="34" t="n">
        <x:v>0.459336608</x:v>
      </x:c>
      <x:c r="AU737" s="34" t="n">
        <x:v>0.65</x:v>
      </x:c>
      <x:c r="AV737" s="34" t="n">
        <x:v>2.02</x:v>
      </x:c>
    </x:row>
    <x:row r="738">
      <x:c r="A738" s="34" t="str">
        <x:v>POSCO_KR</x:v>
      </x:c>
      <x:c r="B738" s="34" t="str">
        <x:v>POSCO</x:v>
      </x:c>
      <x:c r="C738" s="34" t="str">
        <x:v>ACCELERATED_15C</x:v>
      </x:c>
      <x:c r="D738" s="34" t="str">
        <x:v>P1</x:v>
      </x:c>
      <x:c r="E738" s="34" t="n">
        <x:v>2027</x:v>
      </x:c>
      <x:c r="F738" s="34" t="n">
        <x:v>0</x:v>
      </x:c>
      <x:c r="G738" s="34" t="n">
        <x:v>0</x:v>
      </x:c>
      <x:c r="H738" s="34" t="n">
        <x:v>9.75</x:v>
      </x:c>
      <x:c r="I738" s="34" t="n">
        <x:v>9.75</x:v>
      </x:c>
      <x:c r="J738" s="34" t="n">
        <x:v>0</x:v>
      </x:c>
      <x:c r="K738" s="34" t="n">
        <x:v>0</x:v>
      </x:c>
      <x:c r="L738" s="34" t="n">
        <x:v>0.275</x:v>
      </x:c>
      <x:c r="M738" s="34" t="n">
        <x:v>0.275</x:v>
      </x:c>
      <x:c r="N738" s="34" t="n">
        <x:v>0</x:v>
      </x:c>
      <x:c r="O738" s="34" t="n">
        <x:v>0</x:v>
      </x:c>
      <x:c r="P738" s="34" t="n">
        <x:v>4</x:v>
      </x:c>
      <x:c r="Q738" s="34" t="n">
        <x:v>4</x:v>
      </x:c>
      <x:c r="R738" s="34" t="n">
        <x:v>0</x:v>
      </x:c>
      <x:c r="S738" s="40" t="b">
        <x:v>1</x:v>
      </x:c>
      <x:c r="T738" s="34" t="str">
        <x:v>model_interpolation</x:v>
      </x:c>
      <x:c r="U738" s="34" t="str">
        <x:v>Linear interpolation from 2026 to 2030</x:v>
      </x:c>
      <x:c r="V738" s="34" t="str">
        <x:v>CAND-C9724A8933A429</x:v>
      </x:c>
      <x:c r="W738" s="34" t="str">
        <x:v>P1</x:v>
      </x:c>
      <x:c r="X738" s="34" t="str">
        <x:v>PORT-8826D0B469EE</x:v>
      </x:c>
      <x:c r="Y738" s="34" t="n">
        <x:v>1000</x:v>
      </x:c>
      <x:c r="Z738" s="34" t="n">
        <x:v>55.311045</x:v>
      </x:c>
      <x:c r="AA738" s="34" t="n">
        <x:v>21.722854</x:v>
      </x:c>
      <x:c r="AB738" s="34" t="n">
        <x:v>429.154227</x:v>
      </x:c>
      <x:c r="AC738" s="34" t="n">
        <x:v>22967.067</x:v>
      </x:c>
      <x:c r="AD738" s="34" t="n">
        <x:v>53.517047</x:v>
      </x:c>
      <x:c r="AE738" s="40" t="b">
        <x:v>1</x:v>
      </x:c>
      <x:c r="AF738" s="40" t="b">
        <x:v>1</x:v>
      </x:c>
      <x:c r="AG738" s="34" t="str"/>
      <x:c r="AH738" s="34" t="n">
        <x:v>0</x:v>
      </x:c>
      <x:c r="AI738" s="34" t="str">
        <x:v>2.0275124185786808e-05</x:v>
      </x:c>
      <x:c r="AJ738" s="40" t="b">
        <x:v>1</x:v>
      </x:c>
      <x:c r="AK738" s="40" t="b">
        <x:v>1</x:v>
      </x:c>
      <x:c r="AL738" s="40" t="b">
        <x:v>1</x:v>
      </x:c>
      <x:c r="AM738" s="40" t="b">
        <x:v>1</x:v>
      </x:c>
      <x:c r="AN738" s="34" t="str"/>
      <x:c r="AO738" s="34" t="n">
        <x:v>0</x:v>
      </x:c>
      <x:c r="AP738" s="34" t="n">
        <x:v>0</x:v>
      </x:c>
      <x:c r="AQ738" s="34" t="n">
        <x:v>0</x:v>
      </x:c>
      <x:c r="AR738" s="34" t="n">
        <x:v>3</x:v>
      </x:c>
      <x:c r="AS738" s="34" t="n">
        <x:v>3</x:v>
      </x:c>
      <x:c r="AT738" s="34" t="n">
        <x:v>0.459336608</x:v>
      </x:c>
      <x:c r="AU738" s="34" t="n">
        <x:v>0.65</x:v>
      </x:c>
      <x:c r="AV738" s="34" t="n">
        <x:v>2.02</x:v>
      </x:c>
    </x:row>
    <x:row r="739">
      <x:c r="A739" s="34" t="str">
        <x:v>POSCO_KR</x:v>
      </x:c>
      <x:c r="B739" s="34" t="str">
        <x:v>POSCO</x:v>
      </x:c>
      <x:c r="C739" s="34" t="str">
        <x:v>ACCELERATED_15C</x:v>
      </x:c>
      <x:c r="D739" s="34" t="str">
        <x:v>P1</x:v>
      </x:c>
      <x:c r="E739" s="34" t="n">
        <x:v>2028</x:v>
      </x:c>
      <x:c r="F739" s="34" t="n">
        <x:v>0</x:v>
      </x:c>
      <x:c r="G739" s="34" t="n">
        <x:v>0</x:v>
      </x:c>
      <x:c r="H739" s="34" t="n">
        <x:v>11.5</x:v>
      </x:c>
      <x:c r="I739" s="34" t="n">
        <x:v>11.5</x:v>
      </x:c>
      <x:c r="J739" s="34" t="n">
        <x:v>0</x:v>
      </x:c>
      <x:c r="K739" s="34" t="n">
        <x:v>0</x:v>
      </x:c>
      <x:c r="L739" s="34" t="n">
        <x:v>0.45000000000000007</x:v>
      </x:c>
      <x:c r="M739" s="34" t="n">
        <x:v>0.45</x:v>
      </x:c>
      <x:c r="N739" s="34" t="n">
        <x:v>0</x:v>
      </x:c>
      <x:c r="O739" s="34" t="n">
        <x:v>0</x:v>
      </x:c>
      <x:c r="P739" s="34" t="n">
        <x:v>6</x:v>
      </x:c>
      <x:c r="Q739" s="34" t="n">
        <x:v>6</x:v>
      </x:c>
      <x:c r="R739" s="34" t="n">
        <x:v>0</x:v>
      </x:c>
      <x:c r="S739" s="40" t="b">
        <x:v>1</x:v>
      </x:c>
      <x:c r="T739" s="34" t="str">
        <x:v>model_interpolation</x:v>
      </x:c>
      <x:c r="U739" s="34" t="str">
        <x:v>Linear interpolation from 2026 to 2030</x:v>
      </x:c>
      <x:c r="V739" s="34" t="str">
        <x:v>CAND-C9724A8933A429</x:v>
      </x:c>
      <x:c r="W739" s="34" t="str">
        <x:v>P1</x:v>
      </x:c>
      <x:c r="X739" s="34" t="str">
        <x:v>PORT-8826D0B469EE</x:v>
      </x:c>
      <x:c r="Y739" s="34" t="n">
        <x:v>1000</x:v>
      </x:c>
      <x:c r="Z739" s="34" t="n">
        <x:v>55.311045</x:v>
      </x:c>
      <x:c r="AA739" s="34" t="n">
        <x:v>21.722854</x:v>
      </x:c>
      <x:c r="AB739" s="34" t="n">
        <x:v>429.154227</x:v>
      </x:c>
      <x:c r="AC739" s="34" t="n">
        <x:v>22967.067</x:v>
      </x:c>
      <x:c r="AD739" s="34" t="n">
        <x:v>53.517047</x:v>
      </x:c>
      <x:c r="AE739" s="40" t="b">
        <x:v>1</x:v>
      </x:c>
      <x:c r="AF739" s="40" t="b">
        <x:v>1</x:v>
      </x:c>
      <x:c r="AG739" s="34" t="str"/>
      <x:c r="AH739" s="34" t="n">
        <x:v>0</x:v>
      </x:c>
      <x:c r="AI739" s="34" t="str">
        <x:v>2.0275124185786808e-05</x:v>
      </x:c>
      <x:c r="AJ739" s="40" t="b">
        <x:v>1</x:v>
      </x:c>
      <x:c r="AK739" s="40" t="b">
        <x:v>1</x:v>
      </x:c>
      <x:c r="AL739" s="40" t="b">
        <x:v>1</x:v>
      </x:c>
      <x:c r="AM739" s="40" t="b">
        <x:v>1</x:v>
      </x:c>
      <x:c r="AN739" s="34" t="str"/>
      <x:c r="AO739" s="34" t="n">
        <x:v>0</x:v>
      </x:c>
      <x:c r="AP739" s="34" t="n">
        <x:v>0</x:v>
      </x:c>
      <x:c r="AQ739" s="34" t="n">
        <x:v>0</x:v>
      </x:c>
      <x:c r="AR739" s="34" t="n">
        <x:v>3</x:v>
      </x:c>
      <x:c r="AS739" s="34" t="n">
        <x:v>3</x:v>
      </x:c>
      <x:c r="AT739" s="34" t="n">
        <x:v>0.459336608</x:v>
      </x:c>
      <x:c r="AU739" s="34" t="n">
        <x:v>0.65</x:v>
      </x:c>
      <x:c r="AV739" s="34" t="n">
        <x:v>2.02</x:v>
      </x:c>
    </x:row>
    <x:row r="740">
      <x:c r="A740" s="34" t="str">
        <x:v>POSCO_KR</x:v>
      </x:c>
      <x:c r="B740" s="34" t="str">
        <x:v>POSCO</x:v>
      </x:c>
      <x:c r="C740" s="34" t="str">
        <x:v>ACCELERATED_15C</x:v>
      </x:c>
      <x:c r="D740" s="34" t="str">
        <x:v>P1</x:v>
      </x:c>
      <x:c r="E740" s="34" t="n">
        <x:v>2029</x:v>
      </x:c>
      <x:c r="F740" s="34" t="n">
        <x:v>1</x:v>
      </x:c>
      <x:c r="G740" s="34" t="n">
        <x:v>6.839998</x:v>
      </x:c>
      <x:c r="H740" s="34" t="n">
        <x:v>13.25</x:v>
      </x:c>
      <x:c r="I740" s="34" t="n">
        <x:v>6.410002</x:v>
      </x:c>
      <x:c r="J740" s="34" t="n">
        <x:v>51.623</x:v>
      </x:c>
      <x:c r="K740" s="34" t="n">
        <x:v>0</x:v>
      </x:c>
      <x:c r="L740" s="34" t="n">
        <x:v>0.625</x:v>
      </x:c>
      <x:c r="M740" s="34" t="n">
        <x:v>0.625</x:v>
      </x:c>
      <x:c r="N740" s="34" t="n">
        <x:v>0</x:v>
      </x:c>
      <x:c r="O740" s="34" t="n">
        <x:v>4.255999</x:v>
      </x:c>
      <x:c r="P740" s="34" t="n">
        <x:v>8</x:v>
      </x:c>
      <x:c r="Q740" s="34" t="n">
        <x:v>3.744001</x:v>
      </x:c>
      <x:c r="R740" s="34" t="n">
        <x:v>53.2</x:v>
      </x:c>
      <x:c r="S740" s="40" t="b">
        <x:v>1</x:v>
      </x:c>
      <x:c r="T740" s="34" t="str">
        <x:v>model_interpolation</x:v>
      </x:c>
      <x:c r="U740" s="34" t="str">
        <x:v>Linear interpolation from 2026 to 2030</x:v>
      </x:c>
      <x:c r="V740" s="34" t="str">
        <x:v>CAND-C9724A8933A429</x:v>
      </x:c>
      <x:c r="W740" s="34" t="str">
        <x:v>P1</x:v>
      </x:c>
      <x:c r="X740" s="34" t="str">
        <x:v>PORT-8826D0B469EE</x:v>
      </x:c>
      <x:c r="Y740" s="34" t="n">
        <x:v>1000</x:v>
      </x:c>
      <x:c r="Z740" s="34" t="n">
        <x:v>55.311045</x:v>
      </x:c>
      <x:c r="AA740" s="34" t="n">
        <x:v>21.722854</x:v>
      </x:c>
      <x:c r="AB740" s="34" t="n">
        <x:v>429.154227</x:v>
      </x:c>
      <x:c r="AC740" s="34" t="n">
        <x:v>22967.067</x:v>
      </x:c>
      <x:c r="AD740" s="34" t="n">
        <x:v>53.517047</x:v>
      </x:c>
      <x:c r="AE740" s="40" t="b">
        <x:v>1</x:v>
      </x:c>
      <x:c r="AF740" s="40" t="b">
        <x:v>1</x:v>
      </x:c>
      <x:c r="AG740" s="34" t="str"/>
      <x:c r="AH740" s="34" t="n">
        <x:v>0</x:v>
      </x:c>
      <x:c r="AI740" s="34" t="str">
        <x:v>2.0275124185786808e-05</x:v>
      </x:c>
      <x:c r="AJ740" s="40" t="b">
        <x:v>1</x:v>
      </x:c>
      <x:c r="AK740" s="40" t="b">
        <x:v>1</x:v>
      </x:c>
      <x:c r="AL740" s="40" t="b">
        <x:v>1</x:v>
      </x:c>
      <x:c r="AM740" s="40" t="b">
        <x:v>1</x:v>
      </x:c>
      <x:c r="AN740" s="34" t="str"/>
      <x:c r="AO740" s="34" t="n">
        <x:v>0</x:v>
      </x:c>
      <x:c r="AP740" s="34" t="n">
        <x:v>0</x:v>
      </x:c>
      <x:c r="AQ740" s="34" t="n">
        <x:v>0</x:v>
      </x:c>
      <x:c r="AR740" s="34" t="n">
        <x:v>3</x:v>
      </x:c>
      <x:c r="AS740" s="34" t="n">
        <x:v>3</x:v>
      </x:c>
      <x:c r="AT740" s="34" t="n">
        <x:v>0.459336608</x:v>
      </x:c>
      <x:c r="AU740" s="34" t="n">
        <x:v>0.65</x:v>
      </x:c>
      <x:c r="AV740" s="34" t="n">
        <x:v>2.02</x:v>
      </x:c>
    </x:row>
    <x:row r="741">
      <x:c r="A741" s="34" t="str">
        <x:v>POSCO_KR</x:v>
      </x:c>
      <x:c r="B741" s="34" t="str">
        <x:v>POSCO</x:v>
      </x:c>
      <x:c r="C741" s="34" t="str">
        <x:v>ACCELERATED_15C</x:v>
      </x:c>
      <x:c r="D741" s="34" t="str">
        <x:v>P1</x:v>
      </x:c>
      <x:c r="E741" s="34" t="n">
        <x:v>2030</x:v>
      </x:c>
      <x:c r="F741" s="34" t="n">
        <x:v>1</x:v>
      </x:c>
      <x:c r="G741" s="34" t="n">
        <x:v>6.839998</x:v>
      </x:c>
      <x:c r="H741" s="34" t="n">
        <x:v>15</x:v>
      </x:c>
      <x:c r="I741" s="34" t="n">
        <x:v>8.160002</x:v>
      </x:c>
      <x:c r="J741" s="34" t="n">
        <x:v>45.6</x:v>
      </x:c>
      <x:c r="K741" s="34" t="n">
        <x:v>0</x:v>
      </x:c>
      <x:c r="L741" s="34" t="n">
        <x:v>0.8</x:v>
      </x:c>
      <x:c r="M741" s="34" t="n">
        <x:v>0.8</x:v>
      </x:c>
      <x:c r="N741" s="34" t="n">
        <x:v>0</x:v>
      </x:c>
      <x:c r="O741" s="34" t="n">
        <x:v>4.255999</x:v>
      </x:c>
      <x:c r="P741" s="34" t="n">
        <x:v>10</x:v>
      </x:c>
      <x:c r="Q741" s="34" t="n">
        <x:v>5.744001</x:v>
      </x:c>
      <x:c r="R741" s="34" t="n">
        <x:v>42.56</x:v>
      </x:c>
      <x:c r="S741" s="40" t="b">
        <x:v>1</x:v>
      </x:c>
      <x:c r="T741" s="34" t="str">
        <x:v>model_interpolation</x:v>
      </x:c>
      <x:c r="U741" s="34" t="str">
        <x:v>Linear interpolation from 2030 to 2035</x:v>
      </x:c>
      <x:c r="V741" s="34" t="str">
        <x:v>CAND-C9724A8933A429</x:v>
      </x:c>
      <x:c r="W741" s="34" t="str">
        <x:v>P1</x:v>
      </x:c>
      <x:c r="X741" s="34" t="str">
        <x:v>PORT-8826D0B469EE</x:v>
      </x:c>
      <x:c r="Y741" s="34" t="n">
        <x:v>1000</x:v>
      </x:c>
      <x:c r="Z741" s="34" t="n">
        <x:v>55.311045</x:v>
      </x:c>
      <x:c r="AA741" s="34" t="n">
        <x:v>21.722854</x:v>
      </x:c>
      <x:c r="AB741" s="34" t="n">
        <x:v>429.154227</x:v>
      </x:c>
      <x:c r="AC741" s="34" t="n">
        <x:v>22967.067</x:v>
      </x:c>
      <x:c r="AD741" s="34" t="n">
        <x:v>53.517047</x:v>
      </x:c>
      <x:c r="AE741" s="40" t="b">
        <x:v>1</x:v>
      </x:c>
      <x:c r="AF741" s="40" t="b">
        <x:v>1</x:v>
      </x:c>
      <x:c r="AG741" s="34" t="str"/>
      <x:c r="AH741" s="34" t="n">
        <x:v>0</x:v>
      </x:c>
      <x:c r="AI741" s="34" t="str">
        <x:v>2.0275124185786808e-05</x:v>
      </x:c>
      <x:c r="AJ741" s="40" t="b">
        <x:v>1</x:v>
      </x:c>
      <x:c r="AK741" s="40" t="b">
        <x:v>1</x:v>
      </x:c>
      <x:c r="AL741" s="40" t="b">
        <x:v>1</x:v>
      </x:c>
      <x:c r="AM741" s="40" t="b">
        <x:v>1</x:v>
      </x:c>
      <x:c r="AN741" s="34" t="str"/>
      <x:c r="AO741" s="34" t="n">
        <x:v>0</x:v>
      </x:c>
      <x:c r="AP741" s="34" t="n">
        <x:v>0</x:v>
      </x:c>
      <x:c r="AQ741" s="34" t="n">
        <x:v>0</x:v>
      </x:c>
      <x:c r="AR741" s="34" t="n">
        <x:v>3</x:v>
      </x:c>
      <x:c r="AS741" s="34" t="n">
        <x:v>3</x:v>
      </x:c>
      <x:c r="AT741" s="34" t="n">
        <x:v>0.459336608</x:v>
      </x:c>
      <x:c r="AU741" s="34" t="n">
        <x:v>0.65</x:v>
      </x:c>
      <x:c r="AV741" s="34" t="n">
        <x:v>2.02</x:v>
      </x:c>
    </x:row>
    <x:row r="742">
      <x:c r="A742" s="34" t="str">
        <x:v>POSCO_KR</x:v>
      </x:c>
      <x:c r="B742" s="34" t="str">
        <x:v>POSCO</x:v>
      </x:c>
      <x:c r="C742" s="34" t="str">
        <x:v>ACCELERATED_15C</x:v>
      </x:c>
      <x:c r="D742" s="34" t="str">
        <x:v>P1</x:v>
      </x:c>
      <x:c r="E742" s="34" t="n">
        <x:v>2031</x:v>
      </x:c>
      <x:c r="F742" s="34" t="n">
        <x:v>1</x:v>
      </x:c>
      <x:c r="G742" s="34" t="n">
        <x:v>6.839998</x:v>
      </x:c>
      <x:c r="H742" s="34" t="n">
        <x:v>16.6</x:v>
      </x:c>
      <x:c r="I742" s="34" t="n">
        <x:v>9.760002</x:v>
      </x:c>
      <x:c r="J742" s="34" t="n">
        <x:v>41.205</x:v>
      </x:c>
      <x:c r="K742" s="34" t="n">
        <x:v>0</x:v>
      </x:c>
      <x:c r="L742" s="34" t="n">
        <x:v>1.08</x:v>
      </x:c>
      <x:c r="M742" s="34" t="n">
        <x:v>1.08</x:v>
      </x:c>
      <x:c r="N742" s="34" t="n">
        <x:v>0</x:v>
      </x:c>
      <x:c r="O742" s="34" t="n">
        <x:v>4.255999</x:v>
      </x:c>
      <x:c r="P742" s="34" t="n">
        <x:v>12</x:v>
      </x:c>
      <x:c r="Q742" s="34" t="n">
        <x:v>7.744001</x:v>
      </x:c>
      <x:c r="R742" s="34" t="n">
        <x:v>35.467</x:v>
      </x:c>
      <x:c r="S742" s="40" t="b">
        <x:v>1</x:v>
      </x:c>
      <x:c r="T742" s="34" t="str">
        <x:v>model_interpolation</x:v>
      </x:c>
      <x:c r="U742" s="34" t="str">
        <x:v>Linear interpolation from 2030 to 2035</x:v>
      </x:c>
      <x:c r="V742" s="34" t="str">
        <x:v>CAND-C9724A8933A429</x:v>
      </x:c>
      <x:c r="W742" s="34" t="str">
        <x:v>P1</x:v>
      </x:c>
      <x:c r="X742" s="34" t="str">
        <x:v>PORT-8826D0B469EE</x:v>
      </x:c>
      <x:c r="Y742" s="34" t="n">
        <x:v>1000</x:v>
      </x:c>
      <x:c r="Z742" s="34" t="n">
        <x:v>55.311045</x:v>
      </x:c>
      <x:c r="AA742" s="34" t="n">
        <x:v>21.722854</x:v>
      </x:c>
      <x:c r="AB742" s="34" t="n">
        <x:v>429.154227</x:v>
      </x:c>
      <x:c r="AC742" s="34" t="n">
        <x:v>22967.067</x:v>
      </x:c>
      <x:c r="AD742" s="34" t="n">
        <x:v>53.517047</x:v>
      </x:c>
      <x:c r="AE742" s="40" t="b">
        <x:v>1</x:v>
      </x:c>
      <x:c r="AF742" s="40" t="b">
        <x:v>1</x:v>
      </x:c>
      <x:c r="AG742" s="34" t="str"/>
      <x:c r="AH742" s="34" t="n">
        <x:v>0</x:v>
      </x:c>
      <x:c r="AI742" s="34" t="str">
        <x:v>2.0275124185786808e-05</x:v>
      </x:c>
      <x:c r="AJ742" s="40" t="b">
        <x:v>1</x:v>
      </x:c>
      <x:c r="AK742" s="40" t="b">
        <x:v>1</x:v>
      </x:c>
      <x:c r="AL742" s="40" t="b">
        <x:v>1</x:v>
      </x:c>
      <x:c r="AM742" s="40" t="b">
        <x:v>1</x:v>
      </x:c>
      <x:c r="AN742" s="34" t="str"/>
      <x:c r="AO742" s="34" t="n">
        <x:v>0</x:v>
      </x:c>
      <x:c r="AP742" s="34" t="n">
        <x:v>0</x:v>
      </x:c>
      <x:c r="AQ742" s="34" t="n">
        <x:v>0</x:v>
      </x:c>
      <x:c r="AR742" s="34" t="n">
        <x:v>3</x:v>
      </x:c>
      <x:c r="AS742" s="34" t="n">
        <x:v>3</x:v>
      </x:c>
      <x:c r="AT742" s="34" t="n">
        <x:v>0.459336608</x:v>
      </x:c>
      <x:c r="AU742" s="34" t="n">
        <x:v>0.65</x:v>
      </x:c>
      <x:c r="AV742" s="34" t="n">
        <x:v>2.02</x:v>
      </x:c>
    </x:row>
    <x:row r="743">
      <x:c r="A743" s="34" t="str">
        <x:v>POSCO_KR</x:v>
      </x:c>
      <x:c r="B743" s="34" t="str">
        <x:v>POSCO</x:v>
      </x:c>
      <x:c r="C743" s="34" t="str">
        <x:v>ACCELERATED_15C</x:v>
      </x:c>
      <x:c r="D743" s="34" t="str">
        <x:v>P1</x:v>
      </x:c>
      <x:c r="E743" s="34" t="n">
        <x:v>2032</x:v>
      </x:c>
      <x:c r="F743" s="34" t="n">
        <x:v>2</x:v>
      </x:c>
      <x:c r="G743" s="34" t="n">
        <x:v>12.959999</x:v>
      </x:c>
      <x:c r="H743" s="34" t="n">
        <x:v>18.2</x:v>
      </x:c>
      <x:c r="I743" s="34" t="n">
        <x:v>5.240001</x:v>
      </x:c>
      <x:c r="J743" s="34" t="n">
        <x:v>71.209</x:v>
      </x:c>
      <x:c r="K743" s="34" t="n">
        <x:v>0</x:v>
      </x:c>
      <x:c r="L743" s="34" t="n">
        <x:v>1.36</x:v>
      </x:c>
      <x:c r="M743" s="34" t="n">
        <x:v>1.36</x:v>
      </x:c>
      <x:c r="N743" s="34" t="n">
        <x:v>0</x:v>
      </x:c>
      <x:c r="O743" s="34" t="n">
        <x:v>8.063999</x:v>
      </x:c>
      <x:c r="P743" s="34" t="n">
        <x:v>14</x:v>
      </x:c>
      <x:c r="Q743" s="34" t="n">
        <x:v>5.936001</x:v>
      </x:c>
      <x:c r="R743" s="34" t="n">
        <x:v>57.6</x:v>
      </x:c>
      <x:c r="S743" s="40" t="b">
        <x:v>1</x:v>
      </x:c>
      <x:c r="T743" s="34" t="str">
        <x:v>model_interpolation</x:v>
      </x:c>
      <x:c r="U743" s="34" t="str">
        <x:v>Linear interpolation from 2030 to 2035</x:v>
      </x:c>
      <x:c r="V743" s="34" t="str">
        <x:v>CAND-C9724A8933A429</x:v>
      </x:c>
      <x:c r="W743" s="34" t="str">
        <x:v>P1</x:v>
      </x:c>
      <x:c r="X743" s="34" t="str">
        <x:v>PORT-8826D0B469EE</x:v>
      </x:c>
      <x:c r="Y743" s="34" t="n">
        <x:v>1000</x:v>
      </x:c>
      <x:c r="Z743" s="34" t="n">
        <x:v>55.311045</x:v>
      </x:c>
      <x:c r="AA743" s="34" t="n">
        <x:v>21.722854</x:v>
      </x:c>
      <x:c r="AB743" s="34" t="n">
        <x:v>429.154227</x:v>
      </x:c>
      <x:c r="AC743" s="34" t="n">
        <x:v>22967.067</x:v>
      </x:c>
      <x:c r="AD743" s="34" t="n">
        <x:v>53.517047</x:v>
      </x:c>
      <x:c r="AE743" s="40" t="b">
        <x:v>1</x:v>
      </x:c>
      <x:c r="AF743" s="40" t="b">
        <x:v>1</x:v>
      </x:c>
      <x:c r="AG743" s="34" t="str"/>
      <x:c r="AH743" s="34" t="n">
        <x:v>0</x:v>
      </x:c>
      <x:c r="AI743" s="34" t="str">
        <x:v>2.0275124185786808e-05</x:v>
      </x:c>
      <x:c r="AJ743" s="40" t="b">
        <x:v>1</x:v>
      </x:c>
      <x:c r="AK743" s="40" t="b">
        <x:v>1</x:v>
      </x:c>
      <x:c r="AL743" s="40" t="b">
        <x:v>1</x:v>
      </x:c>
      <x:c r="AM743" s="40" t="b">
        <x:v>1</x:v>
      </x:c>
      <x:c r="AN743" s="34" t="str"/>
      <x:c r="AO743" s="34" t="n">
        <x:v>0</x:v>
      </x:c>
      <x:c r="AP743" s="34" t="n">
        <x:v>0</x:v>
      </x:c>
      <x:c r="AQ743" s="34" t="n">
        <x:v>0</x:v>
      </x:c>
      <x:c r="AR743" s="34" t="n">
        <x:v>3</x:v>
      </x:c>
      <x:c r="AS743" s="34" t="n">
        <x:v>3</x:v>
      </x:c>
      <x:c r="AT743" s="34" t="n">
        <x:v>0.459336608</x:v>
      </x:c>
      <x:c r="AU743" s="34" t="n">
        <x:v>0.65</x:v>
      </x:c>
      <x:c r="AV743" s="34" t="n">
        <x:v>2.02</x:v>
      </x:c>
    </x:row>
    <x:row r="744">
      <x:c r="A744" s="34" t="str">
        <x:v>POSCO_KR</x:v>
      </x:c>
      <x:c r="B744" s="34" t="str">
        <x:v>POSCO</x:v>
      </x:c>
      <x:c r="C744" s="34" t="str">
        <x:v>ACCELERATED_15C</x:v>
      </x:c>
      <x:c r="D744" s="34" t="str">
        <x:v>P1</x:v>
      </x:c>
      <x:c r="E744" s="34" t="n">
        <x:v>2033</x:v>
      </x:c>
      <x:c r="F744" s="34" t="n">
        <x:v>3</x:v>
      </x:c>
      <x:c r="G744" s="34" t="n">
        <x:v>13.980599</x:v>
      </x:c>
      <x:c r="H744" s="34" t="n">
        <x:v>19.8</x:v>
      </x:c>
      <x:c r="I744" s="34" t="n">
        <x:v>5.819401</x:v>
      </x:c>
      <x:c r="J744" s="34" t="n">
        <x:v>70.609</x:v>
      </x:c>
      <x:c r="K744" s="34" t="n">
        <x:v>0</x:v>
      </x:c>
      <x:c r="L744" s="34" t="n">
        <x:v>1.6400000000000001</x:v>
      </x:c>
      <x:c r="M744" s="34" t="n">
        <x:v>1.64</x:v>
      </x:c>
      <x:c r="N744" s="34" t="n">
        <x:v>0</x:v>
      </x:c>
      <x:c r="O744" s="34" t="n">
        <x:v>8.132039</x:v>
      </x:c>
      <x:c r="P744" s="34" t="n">
        <x:v>16</x:v>
      </x:c>
      <x:c r="Q744" s="34" t="n">
        <x:v>7.867961</x:v>
      </x:c>
      <x:c r="R744" s="34" t="n">
        <x:v>50.825</x:v>
      </x:c>
      <x:c r="S744" s="40" t="b">
        <x:v>1</x:v>
      </x:c>
      <x:c r="T744" s="34" t="str">
        <x:v>model_interpolation</x:v>
      </x:c>
      <x:c r="U744" s="34" t="str">
        <x:v>Linear interpolation from 2030 to 2035</x:v>
      </x:c>
      <x:c r="V744" s="34" t="str">
        <x:v>CAND-C9724A8933A429</x:v>
      </x:c>
      <x:c r="W744" s="34" t="str">
        <x:v>P1</x:v>
      </x:c>
      <x:c r="X744" s="34" t="str">
        <x:v>PORT-8826D0B469EE</x:v>
      </x:c>
      <x:c r="Y744" s="34" t="n">
        <x:v>1000</x:v>
      </x:c>
      <x:c r="Z744" s="34" t="n">
        <x:v>55.311045</x:v>
      </x:c>
      <x:c r="AA744" s="34" t="n">
        <x:v>21.722854</x:v>
      </x:c>
      <x:c r="AB744" s="34" t="n">
        <x:v>429.154227</x:v>
      </x:c>
      <x:c r="AC744" s="34" t="n">
        <x:v>22967.067</x:v>
      </x:c>
      <x:c r="AD744" s="34" t="n">
        <x:v>53.517047</x:v>
      </x:c>
      <x:c r="AE744" s="40" t="b">
        <x:v>1</x:v>
      </x:c>
      <x:c r="AF744" s="40" t="b">
        <x:v>1</x:v>
      </x:c>
      <x:c r="AG744" s="34" t="str"/>
      <x:c r="AH744" s="34" t="n">
        <x:v>0</x:v>
      </x:c>
      <x:c r="AI744" s="34" t="str">
        <x:v>2.0275124185786808e-05</x:v>
      </x:c>
      <x:c r="AJ744" s="40" t="b">
        <x:v>1</x:v>
      </x:c>
      <x:c r="AK744" s="40" t="b">
        <x:v>1</x:v>
      </x:c>
      <x:c r="AL744" s="40" t="b">
        <x:v>1</x:v>
      </x:c>
      <x:c r="AM744" s="40" t="b">
        <x:v>1</x:v>
      </x:c>
      <x:c r="AN744" s="34" t="str"/>
      <x:c r="AO744" s="34" t="n">
        <x:v>0</x:v>
      </x:c>
      <x:c r="AP744" s="34" t="n">
        <x:v>0</x:v>
      </x:c>
      <x:c r="AQ744" s="34" t="n">
        <x:v>0</x:v>
      </x:c>
      <x:c r="AR744" s="34" t="n">
        <x:v>3</x:v>
      </x:c>
      <x:c r="AS744" s="34" t="n">
        <x:v>3</x:v>
      </x:c>
      <x:c r="AT744" s="34" t="n">
        <x:v>0.459336608</x:v>
      </x:c>
      <x:c r="AU744" s="34" t="n">
        <x:v>0.65</x:v>
      </x:c>
      <x:c r="AV744" s="34" t="n">
        <x:v>2.02</x:v>
      </x:c>
    </x:row>
    <x:row r="745">
      <x:c r="A745" s="34" t="str">
        <x:v>POSCO_KR</x:v>
      </x:c>
      <x:c r="B745" s="34" t="str">
        <x:v>POSCO</x:v>
      </x:c>
      <x:c r="C745" s="34" t="str">
        <x:v>ACCELERATED_15C</x:v>
      </x:c>
      <x:c r="D745" s="34" t="str">
        <x:v>P1</x:v>
      </x:c>
      <x:c r="E745" s="34" t="n">
        <x:v>2034</x:v>
      </x:c>
      <x:c r="F745" s="34" t="n">
        <x:v>3</x:v>
      </x:c>
      <x:c r="G745" s="34" t="n">
        <x:v>13.980599</x:v>
      </x:c>
      <x:c r="H745" s="34" t="n">
        <x:v>21.4</x:v>
      </x:c>
      <x:c r="I745" s="34" t="n">
        <x:v>7.419401</x:v>
      </x:c>
      <x:c r="J745" s="34" t="n">
        <x:v>65.33</x:v>
      </x:c>
      <x:c r="K745" s="34" t="n">
        <x:v>0</x:v>
      </x:c>
      <x:c r="L745" s="34" t="n">
        <x:v>1.9200000000000002</x:v>
      </x:c>
      <x:c r="M745" s="34" t="n">
        <x:v>1.92</x:v>
      </x:c>
      <x:c r="N745" s="34" t="n">
        <x:v>0</x:v>
      </x:c>
      <x:c r="O745" s="34" t="n">
        <x:v>8.132039</x:v>
      </x:c>
      <x:c r="P745" s="34" t="n">
        <x:v>18</x:v>
      </x:c>
      <x:c r="Q745" s="34" t="n">
        <x:v>9.867961</x:v>
      </x:c>
      <x:c r="R745" s="34" t="n">
        <x:v>45.178</x:v>
      </x:c>
      <x:c r="S745" s="40" t="b">
        <x:v>1</x:v>
      </x:c>
      <x:c r="T745" s="34" t="str">
        <x:v>model_interpolation</x:v>
      </x:c>
      <x:c r="U745" s="34" t="str">
        <x:v>Linear interpolation from 2030 to 2035</x:v>
      </x:c>
      <x:c r="V745" s="34" t="str">
        <x:v>CAND-C9724A8933A429</x:v>
      </x:c>
      <x:c r="W745" s="34" t="str">
        <x:v>P1</x:v>
      </x:c>
      <x:c r="X745" s="34" t="str">
        <x:v>PORT-8826D0B469EE</x:v>
      </x:c>
      <x:c r="Y745" s="34" t="n">
        <x:v>1000</x:v>
      </x:c>
      <x:c r="Z745" s="34" t="n">
        <x:v>55.311045</x:v>
      </x:c>
      <x:c r="AA745" s="34" t="n">
        <x:v>21.722854</x:v>
      </x:c>
      <x:c r="AB745" s="34" t="n">
        <x:v>429.154227</x:v>
      </x:c>
      <x:c r="AC745" s="34" t="n">
        <x:v>22967.067</x:v>
      </x:c>
      <x:c r="AD745" s="34" t="n">
        <x:v>53.517047</x:v>
      </x:c>
      <x:c r="AE745" s="40" t="b">
        <x:v>1</x:v>
      </x:c>
      <x:c r="AF745" s="40" t="b">
        <x:v>1</x:v>
      </x:c>
      <x:c r="AG745" s="34" t="str"/>
      <x:c r="AH745" s="34" t="n">
        <x:v>0</x:v>
      </x:c>
      <x:c r="AI745" s="34" t="str">
        <x:v>2.0275124185786808e-05</x:v>
      </x:c>
      <x:c r="AJ745" s="40" t="b">
        <x:v>1</x:v>
      </x:c>
      <x:c r="AK745" s="40" t="b">
        <x:v>1</x:v>
      </x:c>
      <x:c r="AL745" s="40" t="b">
        <x:v>1</x:v>
      </x:c>
      <x:c r="AM745" s="40" t="b">
        <x:v>1</x:v>
      </x:c>
      <x:c r="AN745" s="34" t="str"/>
      <x:c r="AO745" s="34" t="n">
        <x:v>0</x:v>
      </x:c>
      <x:c r="AP745" s="34" t="n">
        <x:v>0</x:v>
      </x:c>
      <x:c r="AQ745" s="34" t="n">
        <x:v>0</x:v>
      </x:c>
      <x:c r="AR745" s="34" t="n">
        <x:v>3</x:v>
      </x:c>
      <x:c r="AS745" s="34" t="n">
        <x:v>3</x:v>
      </x:c>
      <x:c r="AT745" s="34" t="n">
        <x:v>0.459336608</x:v>
      </x:c>
      <x:c r="AU745" s="34" t="n">
        <x:v>0.65</x:v>
      </x:c>
      <x:c r="AV745" s="34" t="n">
        <x:v>2.02</x:v>
      </x:c>
    </x:row>
    <x:row r="746">
      <x:c r="A746" s="34" t="str">
        <x:v>POSCO_KR</x:v>
      </x:c>
      <x:c r="B746" s="34" t="str">
        <x:v>POSCO</x:v>
      </x:c>
      <x:c r="C746" s="34" t="str">
        <x:v>ACCELERATED_15C</x:v>
      </x:c>
      <x:c r="D746" s="34" t="str">
        <x:v>P1</x:v>
      </x:c>
      <x:c r="E746" s="34" t="n">
        <x:v>2035</x:v>
      </x:c>
      <x:c r="F746" s="34" t="n">
        <x:v>4</x:v>
      </x:c>
      <x:c r="G746" s="34" t="n">
        <x:v>15.405598</x:v>
      </x:c>
      <x:c r="H746" s="34" t="n">
        <x:v>23</x:v>
      </x:c>
      <x:c r="I746" s="34" t="n">
        <x:v>7.594402</x:v>
      </x:c>
      <x:c r="J746" s="34" t="n">
        <x:v>66.981</x:v>
      </x:c>
      <x:c r="K746" s="34" t="n">
        <x:v>0.5225</x:v>
      </x:c>
      <x:c r="L746" s="34" t="n">
        <x:v>2.2</x:v>
      </x:c>
      <x:c r="M746" s="34" t="n">
        <x:v>1.6775</x:v>
      </x:c>
      <x:c r="N746" s="34" t="n">
        <x:v>23.75</x:v>
      </x:c>
      <x:c r="O746" s="34" t="n">
        <x:v>12.597039</x:v>
      </x:c>
      <x:c r="P746" s="34" t="n">
        <x:v>20</x:v>
      </x:c>
      <x:c r="Q746" s="34" t="n">
        <x:v>7.402961</x:v>
      </x:c>
      <x:c r="R746" s="34" t="n">
        <x:v>62.985</x:v>
      </x:c>
      <x:c r="S746" s="40" t="b">
        <x:v>1</x:v>
      </x:c>
      <x:c r="T746" s="34" t="str">
        <x:v>model_interpolation</x:v>
      </x:c>
      <x:c r="U746" s="34" t="str">
        <x:v>Linear interpolation from 2035 to 2040</x:v>
      </x:c>
      <x:c r="V746" s="34" t="str">
        <x:v>CAND-C9724A8933A429</x:v>
      </x:c>
      <x:c r="W746" s="34" t="str">
        <x:v>P1</x:v>
      </x:c>
      <x:c r="X746" s="34" t="str">
        <x:v>PORT-8826D0B469EE</x:v>
      </x:c>
      <x:c r="Y746" s="34" t="n">
        <x:v>1000</x:v>
      </x:c>
      <x:c r="Z746" s="34" t="n">
        <x:v>55.311045</x:v>
      </x:c>
      <x:c r="AA746" s="34" t="n">
        <x:v>21.722854</x:v>
      </x:c>
      <x:c r="AB746" s="34" t="n">
        <x:v>429.154227</x:v>
      </x:c>
      <x:c r="AC746" s="34" t="n">
        <x:v>22967.067</x:v>
      </x:c>
      <x:c r="AD746" s="34" t="n">
        <x:v>53.517047</x:v>
      </x:c>
      <x:c r="AE746" s="40" t="b">
        <x:v>1</x:v>
      </x:c>
      <x:c r="AF746" s="40" t="b">
        <x:v>1</x:v>
      </x:c>
      <x:c r="AG746" s="34" t="str"/>
      <x:c r="AH746" s="34" t="n">
        <x:v>0</x:v>
      </x:c>
      <x:c r="AI746" s="34" t="str">
        <x:v>2.0275124185786808e-05</x:v>
      </x:c>
      <x:c r="AJ746" s="40" t="b">
        <x:v>1</x:v>
      </x:c>
      <x:c r="AK746" s="40" t="b">
        <x:v>1</x:v>
      </x:c>
      <x:c r="AL746" s="40" t="b">
        <x:v>1</x:v>
      </x:c>
      <x:c r="AM746" s="40" t="b">
        <x:v>1</x:v>
      </x:c>
      <x:c r="AN746" s="34" t="str"/>
      <x:c r="AO746" s="34" t="n">
        <x:v>0</x:v>
      </x:c>
      <x:c r="AP746" s="34" t="n">
        <x:v>0</x:v>
      </x:c>
      <x:c r="AQ746" s="34" t="n">
        <x:v>0</x:v>
      </x:c>
      <x:c r="AR746" s="34" t="n">
        <x:v>3</x:v>
      </x:c>
      <x:c r="AS746" s="34" t="n">
        <x:v>3</x:v>
      </x:c>
      <x:c r="AT746" s="34" t="n">
        <x:v>0.459336608</x:v>
      </x:c>
      <x:c r="AU746" s="34" t="n">
        <x:v>0.65</x:v>
      </x:c>
      <x:c r="AV746" s="34" t="n">
        <x:v>2.02</x:v>
      </x:c>
    </x:row>
    <x:row r="747">
      <x:c r="A747" s="34" t="str">
        <x:v>POSCO_KR</x:v>
      </x:c>
      <x:c r="B747" s="34" t="str">
        <x:v>POSCO</x:v>
      </x:c>
      <x:c r="C747" s="34" t="str">
        <x:v>ACCELERATED_15C</x:v>
      </x:c>
      <x:c r="D747" s="34" t="str">
        <x:v>P1</x:v>
      </x:c>
      <x:c r="E747" s="34" t="n">
        <x:v>2036</x:v>
      </x:c>
      <x:c r="F747" s="34" t="n">
        <x:v>4</x:v>
      </x:c>
      <x:c r="G747" s="34" t="n">
        <x:v>15.405598</x:v>
      </x:c>
      <x:c r="H747" s="34" t="n">
        <x:v>24.4</x:v>
      </x:c>
      <x:c r="I747" s="34" t="n">
        <x:v>8.994402</x:v>
      </x:c>
      <x:c r="J747" s="34" t="n">
        <x:v>63.138</x:v>
      </x:c>
      <x:c r="K747" s="34" t="n">
        <x:v>0.5225</x:v>
      </x:c>
      <x:c r="L747" s="34" t="n">
        <x:v>2.56</x:v>
      </x:c>
      <x:c r="M747" s="34" t="n">
        <x:v>2.0375</x:v>
      </x:c>
      <x:c r="N747" s="34" t="n">
        <x:v>20.41</x:v>
      </x:c>
      <x:c r="O747" s="34" t="n">
        <x:v>12.597039</x:v>
      </x:c>
      <x:c r="P747" s="34" t="n">
        <x:v>22.4</x:v>
      </x:c>
      <x:c r="Q747" s="34" t="n">
        <x:v>9.802961</x:v>
      </x:c>
      <x:c r="R747" s="34" t="n">
        <x:v>56.237</x:v>
      </x:c>
      <x:c r="S747" s="40" t="b">
        <x:v>1</x:v>
      </x:c>
      <x:c r="T747" s="34" t="str">
        <x:v>model_interpolation</x:v>
      </x:c>
      <x:c r="U747" s="34" t="str">
        <x:v>Linear interpolation from 2035 to 2040</x:v>
      </x:c>
      <x:c r="V747" s="34" t="str">
        <x:v>CAND-C9724A8933A429</x:v>
      </x:c>
      <x:c r="W747" s="34" t="str">
        <x:v>P1</x:v>
      </x:c>
      <x:c r="X747" s="34" t="str">
        <x:v>PORT-8826D0B469EE</x:v>
      </x:c>
      <x:c r="Y747" s="34" t="n">
        <x:v>1000</x:v>
      </x:c>
      <x:c r="Z747" s="34" t="n">
        <x:v>55.311045</x:v>
      </x:c>
      <x:c r="AA747" s="34" t="n">
        <x:v>21.722854</x:v>
      </x:c>
      <x:c r="AB747" s="34" t="n">
        <x:v>429.154227</x:v>
      </x:c>
      <x:c r="AC747" s="34" t="n">
        <x:v>22967.067</x:v>
      </x:c>
      <x:c r="AD747" s="34" t="n">
        <x:v>53.517047</x:v>
      </x:c>
      <x:c r="AE747" s="40" t="b">
        <x:v>1</x:v>
      </x:c>
      <x:c r="AF747" s="40" t="b">
        <x:v>1</x:v>
      </x:c>
      <x:c r="AG747" s="34" t="str"/>
      <x:c r="AH747" s="34" t="n">
        <x:v>0</x:v>
      </x:c>
      <x:c r="AI747" s="34" t="str">
        <x:v>2.0275124185786808e-05</x:v>
      </x:c>
      <x:c r="AJ747" s="40" t="b">
        <x:v>1</x:v>
      </x:c>
      <x:c r="AK747" s="40" t="b">
        <x:v>1</x:v>
      </x:c>
      <x:c r="AL747" s="40" t="b">
        <x:v>1</x:v>
      </x:c>
      <x:c r="AM747" s="40" t="b">
        <x:v>1</x:v>
      </x:c>
      <x:c r="AN747" s="34" t="str"/>
      <x:c r="AO747" s="34" t="n">
        <x:v>0</x:v>
      </x:c>
      <x:c r="AP747" s="34" t="n">
        <x:v>0</x:v>
      </x:c>
      <x:c r="AQ747" s="34" t="n">
        <x:v>0</x:v>
      </x:c>
      <x:c r="AR747" s="34" t="n">
        <x:v>3</x:v>
      </x:c>
      <x:c r="AS747" s="34" t="n">
        <x:v>3</x:v>
      </x:c>
      <x:c r="AT747" s="34" t="n">
        <x:v>0.459336608</x:v>
      </x:c>
      <x:c r="AU747" s="34" t="n">
        <x:v>0.65</x:v>
      </x:c>
      <x:c r="AV747" s="34" t="n">
        <x:v>2.02</x:v>
      </x:c>
    </x:row>
    <x:row r="748">
      <x:c r="A748" s="34" t="str">
        <x:v>POSCO_KR</x:v>
      </x:c>
      <x:c r="B748" s="34" t="str">
        <x:v>POSCO</x:v>
      </x:c>
      <x:c r="C748" s="34" t="str">
        <x:v>ACCELERATED_15C</x:v>
      </x:c>
      <x:c r="D748" s="34" t="str">
        <x:v>P1</x:v>
      </x:c>
      <x:c r="E748" s="34" t="n">
        <x:v>2037</x:v>
      </x:c>
      <x:c r="F748" s="34" t="n">
        <x:v>5</x:v>
      </x:c>
      <x:c r="G748" s="34" t="n">
        <x:v>16.831048</x:v>
      </x:c>
      <x:c r="H748" s="34" t="n">
        <x:v>25.8</x:v>
      </x:c>
      <x:c r="I748" s="34" t="n">
        <x:v>8.968952</x:v>
      </x:c>
      <x:c r="J748" s="34" t="n">
        <x:v>65.237</x:v>
      </x:c>
      <x:c r="K748" s="34" t="n">
        <x:v>1.045165</x:v>
      </x:c>
      <x:c r="L748" s="34" t="n">
        <x:v>2.92</x:v>
      </x:c>
      <x:c r="M748" s="34" t="n">
        <x:v>1.874835</x:v>
      </x:c>
      <x:c r="N748" s="34" t="n">
        <x:v>35.793</x:v>
      </x:c>
      <x:c r="O748" s="34" t="n">
        <x:v>17.063447</x:v>
      </x:c>
      <x:c r="P748" s="34" t="n">
        <x:v>24.8</x:v>
      </x:c>
      <x:c r="Q748" s="34" t="n">
        <x:v>7.736553</x:v>
      </x:c>
      <x:c r="R748" s="34" t="n">
        <x:v>68.804</x:v>
      </x:c>
      <x:c r="S748" s="40" t="b">
        <x:v>1</x:v>
      </x:c>
      <x:c r="T748" s="34" t="str">
        <x:v>model_interpolation</x:v>
      </x:c>
      <x:c r="U748" s="34" t="str">
        <x:v>Linear interpolation from 2035 to 2040</x:v>
      </x:c>
      <x:c r="V748" s="34" t="str">
        <x:v>CAND-C9724A8933A429</x:v>
      </x:c>
      <x:c r="W748" s="34" t="str">
        <x:v>P1</x:v>
      </x:c>
      <x:c r="X748" s="34" t="str">
        <x:v>PORT-8826D0B469EE</x:v>
      </x:c>
      <x:c r="Y748" s="34" t="n">
        <x:v>1000</x:v>
      </x:c>
      <x:c r="Z748" s="34" t="n">
        <x:v>55.311045</x:v>
      </x:c>
      <x:c r="AA748" s="34" t="n">
        <x:v>21.722854</x:v>
      </x:c>
      <x:c r="AB748" s="34" t="n">
        <x:v>429.154227</x:v>
      </x:c>
      <x:c r="AC748" s="34" t="n">
        <x:v>22967.067</x:v>
      </x:c>
      <x:c r="AD748" s="34" t="n">
        <x:v>53.517047</x:v>
      </x:c>
      <x:c r="AE748" s="40" t="b">
        <x:v>1</x:v>
      </x:c>
      <x:c r="AF748" s="40" t="b">
        <x:v>1</x:v>
      </x:c>
      <x:c r="AG748" s="34" t="str"/>
      <x:c r="AH748" s="34" t="n">
        <x:v>0</x:v>
      </x:c>
      <x:c r="AI748" s="34" t="str">
        <x:v>2.0275124185786808e-05</x:v>
      </x:c>
      <x:c r="AJ748" s="40" t="b">
        <x:v>1</x:v>
      </x:c>
      <x:c r="AK748" s="40" t="b">
        <x:v>1</x:v>
      </x:c>
      <x:c r="AL748" s="40" t="b">
        <x:v>1</x:v>
      </x:c>
      <x:c r="AM748" s="40" t="b">
        <x:v>1</x:v>
      </x:c>
      <x:c r="AN748" s="34" t="str"/>
      <x:c r="AO748" s="34" t="n">
        <x:v>0</x:v>
      </x:c>
      <x:c r="AP748" s="34" t="n">
        <x:v>0</x:v>
      </x:c>
      <x:c r="AQ748" s="34" t="n">
        <x:v>0</x:v>
      </x:c>
      <x:c r="AR748" s="34" t="n">
        <x:v>3</x:v>
      </x:c>
      <x:c r="AS748" s="34" t="n">
        <x:v>3</x:v>
      </x:c>
      <x:c r="AT748" s="34" t="n">
        <x:v>0.459336608</x:v>
      </x:c>
      <x:c r="AU748" s="34" t="n">
        <x:v>0.65</x:v>
      </x:c>
      <x:c r="AV748" s="34" t="n">
        <x:v>2.02</x:v>
      </x:c>
    </x:row>
    <x:row r="749">
      <x:c r="A749" s="34" t="str">
        <x:v>POSCO_KR</x:v>
      </x:c>
      <x:c r="B749" s="34" t="str">
        <x:v>POSCO</x:v>
      </x:c>
      <x:c r="C749" s="34" t="str">
        <x:v>ACCELERATED_15C</x:v>
      </x:c>
      <x:c r="D749" s="34" t="str">
        <x:v>P1</x:v>
      </x:c>
      <x:c r="E749" s="34" t="n">
        <x:v>2038</x:v>
      </x:c>
      <x:c r="F749" s="34" t="n">
        <x:v>5</x:v>
      </x:c>
      <x:c r="G749" s="34" t="n">
        <x:v>16.831048</x:v>
      </x:c>
      <x:c r="H749" s="34" t="n">
        <x:v>27.2</x:v>
      </x:c>
      <x:c r="I749" s="34" t="n">
        <x:v>10.368952</x:v>
      </x:c>
      <x:c r="J749" s="34" t="n">
        <x:v>61.879</x:v>
      </x:c>
      <x:c r="K749" s="34" t="n">
        <x:v>1.045165</x:v>
      </x:c>
      <x:c r="L749" s="34" t="n">
        <x:v>3.2800000000000002</x:v>
      </x:c>
      <x:c r="M749" s="34" t="n">
        <x:v>2.234835</x:v>
      </x:c>
      <x:c r="N749" s="34" t="n">
        <x:v>31.865</x:v>
      </x:c>
      <x:c r="O749" s="34" t="n">
        <x:v>17.063447</x:v>
      </x:c>
      <x:c r="P749" s="34" t="n">
        <x:v>27.2</x:v>
      </x:c>
      <x:c r="Q749" s="34" t="n">
        <x:v>10.136553</x:v>
      </x:c>
      <x:c r="R749" s="34" t="n">
        <x:v>62.733</x:v>
      </x:c>
      <x:c r="S749" s="40" t="b">
        <x:v>1</x:v>
      </x:c>
      <x:c r="T749" s="34" t="str">
        <x:v>model_interpolation</x:v>
      </x:c>
      <x:c r="U749" s="34" t="str">
        <x:v>Linear interpolation from 2035 to 2040</x:v>
      </x:c>
      <x:c r="V749" s="34" t="str">
        <x:v>CAND-C9724A8933A429</x:v>
      </x:c>
      <x:c r="W749" s="34" t="str">
        <x:v>P1</x:v>
      </x:c>
      <x:c r="X749" s="34" t="str">
        <x:v>PORT-8826D0B469EE</x:v>
      </x:c>
      <x:c r="Y749" s="34" t="n">
        <x:v>1000</x:v>
      </x:c>
      <x:c r="Z749" s="34" t="n">
        <x:v>55.311045</x:v>
      </x:c>
      <x:c r="AA749" s="34" t="n">
        <x:v>21.722854</x:v>
      </x:c>
      <x:c r="AB749" s="34" t="n">
        <x:v>429.154227</x:v>
      </x:c>
      <x:c r="AC749" s="34" t="n">
        <x:v>22967.067</x:v>
      </x:c>
      <x:c r="AD749" s="34" t="n">
        <x:v>53.517047</x:v>
      </x:c>
      <x:c r="AE749" s="40" t="b">
        <x:v>1</x:v>
      </x:c>
      <x:c r="AF749" s="40" t="b">
        <x:v>1</x:v>
      </x:c>
      <x:c r="AG749" s="34" t="str"/>
      <x:c r="AH749" s="34" t="n">
        <x:v>0</x:v>
      </x:c>
      <x:c r="AI749" s="34" t="str">
        <x:v>2.0275124185786808e-05</x:v>
      </x:c>
      <x:c r="AJ749" s="40" t="b">
        <x:v>1</x:v>
      </x:c>
      <x:c r="AK749" s="40" t="b">
        <x:v>1</x:v>
      </x:c>
      <x:c r="AL749" s="40" t="b">
        <x:v>1</x:v>
      </x:c>
      <x:c r="AM749" s="40" t="b">
        <x:v>1</x:v>
      </x:c>
      <x:c r="AN749" s="34" t="str"/>
      <x:c r="AO749" s="34" t="n">
        <x:v>0</x:v>
      </x:c>
      <x:c r="AP749" s="34" t="n">
        <x:v>0</x:v>
      </x:c>
      <x:c r="AQ749" s="34" t="n">
        <x:v>0</x:v>
      </x:c>
      <x:c r="AR749" s="34" t="n">
        <x:v>3</x:v>
      </x:c>
      <x:c r="AS749" s="34" t="n">
        <x:v>3</x:v>
      </x:c>
      <x:c r="AT749" s="34" t="n">
        <x:v>0.459336608</x:v>
      </x:c>
      <x:c r="AU749" s="34" t="n">
        <x:v>0.65</x:v>
      </x:c>
      <x:c r="AV749" s="34" t="n">
        <x:v>2.02</x:v>
      </x:c>
    </x:row>
    <x:row r="750">
      <x:c r="A750" s="34" t="str">
        <x:v>POSCO_KR</x:v>
      </x:c>
      <x:c r="B750" s="34" t="str">
        <x:v>POSCO</x:v>
      </x:c>
      <x:c r="C750" s="34" t="str">
        <x:v>ACCELERATED_15C</x:v>
      </x:c>
      <x:c r="D750" s="34" t="str">
        <x:v>P1</x:v>
      </x:c>
      <x:c r="E750" s="34" t="n">
        <x:v>2039</x:v>
      </x:c>
      <x:c r="F750" s="34" t="n">
        <x:v>5</x:v>
      </x:c>
      <x:c r="G750" s="34" t="n">
        <x:v>16.831048</x:v>
      </x:c>
      <x:c r="H750" s="34" t="n">
        <x:v>28.6</x:v>
      </x:c>
      <x:c r="I750" s="34" t="n">
        <x:v>11.768952</x:v>
      </x:c>
      <x:c r="J750" s="34" t="n">
        <x:v>58.85</x:v>
      </x:c>
      <x:c r="K750" s="34" t="n">
        <x:v>1.045165</x:v>
      </x:c>
      <x:c r="L750" s="34" t="n">
        <x:v>3.64</x:v>
      </x:c>
      <x:c r="M750" s="34" t="n">
        <x:v>2.594835</x:v>
      </x:c>
      <x:c r="N750" s="34" t="n">
        <x:v>28.713</x:v>
      </x:c>
      <x:c r="O750" s="34" t="n">
        <x:v>17.063447</x:v>
      </x:c>
      <x:c r="P750" s="34" t="n">
        <x:v>29.6</x:v>
      </x:c>
      <x:c r="Q750" s="34" t="n">
        <x:v>12.536553</x:v>
      </x:c>
      <x:c r="R750" s="34" t="n">
        <x:v>57.647</x:v>
      </x:c>
      <x:c r="S750" s="40" t="b">
        <x:v>1</x:v>
      </x:c>
      <x:c r="T750" s="34" t="str">
        <x:v>model_interpolation</x:v>
      </x:c>
      <x:c r="U750" s="34" t="str">
        <x:v>Linear interpolation from 2035 to 2040</x:v>
      </x:c>
      <x:c r="V750" s="34" t="str">
        <x:v>CAND-C9724A8933A429</x:v>
      </x:c>
      <x:c r="W750" s="34" t="str">
        <x:v>P1</x:v>
      </x:c>
      <x:c r="X750" s="34" t="str">
        <x:v>PORT-8826D0B469EE</x:v>
      </x:c>
      <x:c r="Y750" s="34" t="n">
        <x:v>1000</x:v>
      </x:c>
      <x:c r="Z750" s="34" t="n">
        <x:v>55.311045</x:v>
      </x:c>
      <x:c r="AA750" s="34" t="n">
        <x:v>21.722854</x:v>
      </x:c>
      <x:c r="AB750" s="34" t="n">
        <x:v>429.154227</x:v>
      </x:c>
      <x:c r="AC750" s="34" t="n">
        <x:v>22967.067</x:v>
      </x:c>
      <x:c r="AD750" s="34" t="n">
        <x:v>53.517047</x:v>
      </x:c>
      <x:c r="AE750" s="40" t="b">
        <x:v>1</x:v>
      </x:c>
      <x:c r="AF750" s="40" t="b">
        <x:v>1</x:v>
      </x:c>
      <x:c r="AG750" s="34" t="str"/>
      <x:c r="AH750" s="34" t="n">
        <x:v>0</x:v>
      </x:c>
      <x:c r="AI750" s="34" t="str">
        <x:v>2.0275124185786808e-05</x:v>
      </x:c>
      <x:c r="AJ750" s="40" t="b">
        <x:v>1</x:v>
      </x:c>
      <x:c r="AK750" s="40" t="b">
        <x:v>1</x:v>
      </x:c>
      <x:c r="AL750" s="40" t="b">
        <x:v>1</x:v>
      </x:c>
      <x:c r="AM750" s="40" t="b">
        <x:v>1</x:v>
      </x:c>
      <x:c r="AN750" s="34" t="str"/>
      <x:c r="AO750" s="34" t="n">
        <x:v>0</x:v>
      </x:c>
      <x:c r="AP750" s="34" t="n">
        <x:v>0</x:v>
      </x:c>
      <x:c r="AQ750" s="34" t="n">
        <x:v>0</x:v>
      </x:c>
      <x:c r="AR750" s="34" t="n">
        <x:v>3</x:v>
      </x:c>
      <x:c r="AS750" s="34" t="n">
        <x:v>3</x:v>
      </x:c>
      <x:c r="AT750" s="34" t="n">
        <x:v>0.459336608</x:v>
      </x:c>
      <x:c r="AU750" s="34" t="n">
        <x:v>0.65</x:v>
      </x:c>
      <x:c r="AV750" s="34" t="n">
        <x:v>2.02</x:v>
      </x:c>
    </x:row>
    <x:row r="751">
      <x:c r="A751" s="34" t="str">
        <x:v>POSCO_KR</x:v>
      </x:c>
      <x:c r="B751" s="34" t="str">
        <x:v>POSCO</x:v>
      </x:c>
      <x:c r="C751" s="34" t="str">
        <x:v>ACCELERATED_15C</x:v>
      </x:c>
      <x:c r="D751" s="34" t="str">
        <x:v>P1</x:v>
      </x:c>
      <x:c r="E751" s="34" t="n">
        <x:v>2040</x:v>
      </x:c>
      <x:c r="F751" s="34" t="n">
        <x:v>5</x:v>
      </x:c>
      <x:c r="G751" s="34" t="n">
        <x:v>16.831048</x:v>
      </x:c>
      <x:c r="H751" s="34" t="n">
        <x:v>30</x:v>
      </x:c>
      <x:c r="I751" s="34" t="n">
        <x:v>13.168952</x:v>
      </x:c>
      <x:c r="J751" s="34" t="n">
        <x:v>56.103</x:v>
      </x:c>
      <x:c r="K751" s="34" t="n">
        <x:v>1.045165</x:v>
      </x:c>
      <x:c r="L751" s="34" t="n">
        <x:v>4</x:v>
      </x:c>
      <x:c r="M751" s="34" t="n">
        <x:v>2.954835</x:v>
      </x:c>
      <x:c r="N751" s="34" t="n">
        <x:v>26.129</x:v>
      </x:c>
      <x:c r="O751" s="34" t="n">
        <x:v>17.063447</x:v>
      </x:c>
      <x:c r="P751" s="34" t="n">
        <x:v>32</x:v>
      </x:c>
      <x:c r="Q751" s="34" t="n">
        <x:v>14.936553</x:v>
      </x:c>
      <x:c r="R751" s="34" t="n">
        <x:v>53.323</x:v>
      </x:c>
      <x:c r="S751" s="40" t="b">
        <x:v>1</x:v>
      </x:c>
      <x:c r="T751" s="34" t="str">
        <x:v>model_estimate</x:v>
      </x:c>
      <x:c r="U751" s="34" t="str">
        <x:v>Illustrative accelerated envelope; not GCAM or an official supply forecast</x:v>
      </x:c>
      <x:c r="V751" s="34" t="str">
        <x:v>CAND-C9724A8933A429</x:v>
      </x:c>
      <x:c r="W751" s="34" t="str">
        <x:v>P1</x:v>
      </x:c>
      <x:c r="X751" s="34" t="str">
        <x:v>PORT-8826D0B469EE</x:v>
      </x:c>
      <x:c r="Y751" s="34" t="n">
        <x:v>1000</x:v>
      </x:c>
      <x:c r="Z751" s="34" t="n">
        <x:v>55.311045</x:v>
      </x:c>
      <x:c r="AA751" s="34" t="n">
        <x:v>21.722854</x:v>
      </x:c>
      <x:c r="AB751" s="34" t="n">
        <x:v>429.154227</x:v>
      </x:c>
      <x:c r="AC751" s="34" t="n">
        <x:v>22967.067</x:v>
      </x:c>
      <x:c r="AD751" s="34" t="n">
        <x:v>53.517047</x:v>
      </x:c>
      <x:c r="AE751" s="40" t="b">
        <x:v>1</x:v>
      </x:c>
      <x:c r="AF751" s="40" t="b">
        <x:v>1</x:v>
      </x:c>
      <x:c r="AG751" s="34" t="str"/>
      <x:c r="AH751" s="34" t="n">
        <x:v>0</x:v>
      </x:c>
      <x:c r="AI751" s="34" t="str">
        <x:v>2.0275124185786808e-05</x:v>
      </x:c>
      <x:c r="AJ751" s="40" t="b">
        <x:v>1</x:v>
      </x:c>
      <x:c r="AK751" s="40" t="b">
        <x:v>1</x:v>
      </x:c>
      <x:c r="AL751" s="40" t="b">
        <x:v>1</x:v>
      </x:c>
      <x:c r="AM751" s="40" t="b">
        <x:v>1</x:v>
      </x:c>
      <x:c r="AN751" s="34" t="str"/>
      <x:c r="AO751" s="34" t="n">
        <x:v>0</x:v>
      </x:c>
      <x:c r="AP751" s="34" t="n">
        <x:v>0</x:v>
      </x:c>
      <x:c r="AQ751" s="34" t="n">
        <x:v>0</x:v>
      </x:c>
      <x:c r="AR751" s="34" t="n">
        <x:v>3</x:v>
      </x:c>
      <x:c r="AS751" s="34" t="n">
        <x:v>3</x:v>
      </x:c>
      <x:c r="AT751" s="34" t="n">
        <x:v>0.459336608</x:v>
      </x:c>
      <x:c r="AU751" s="34" t="n">
        <x:v>0.65</x:v>
      </x:c>
      <x:c r="AV751" s="34" t="n">
        <x:v>2.02</x:v>
      </x:c>
    </x:row>
    <x:row r="752">
      <x:c r="A752" s="34" t="str">
        <x:v>KOBE_STEEL_JP</x:v>
      </x:c>
      <x:c r="B752" s="34" t="str">
        <x:v>Kobe Steel</x:v>
      </x:c>
      <x:c r="C752" s="34" t="str">
        <x:v>DISCLOSED_PATH</x:v>
      </x:c>
      <x:c r="D752" s="34" t="str">
        <x:v>P2</x:v>
      </x:c>
      <x:c r="E752" s="34" t="n">
        <x:v>2026</x:v>
      </x:c>
      <x:c r="F752" s="34" t="n">
        <x:v>0</x:v>
      </x:c>
      <x:c r="G752" s="34" t="n">
        <x:v>0</x:v>
      </x:c>
      <x:c r="H752" s="34" t="n">
        <x:v>2</x:v>
      </x:c>
      <x:c r="I752" s="34" t="n">
        <x:v>2</x:v>
      </x:c>
      <x:c r="J752" s="34" t="n">
        <x:v>0</x:v>
      </x:c>
      <x:c r="K752" s="34" t="n">
        <x:v>0</x:v>
      </x:c>
      <x:c r="L752" s="34" t="n">
        <x:v>0</x:v>
      </x:c>
      <x:c r="M752" s="34" t="n">
        <x:v>0</x:v>
      </x:c>
      <x:c r="N752" s="34" t="n">
        <x:v>0</x:v>
      </x:c>
      <x:c r="O752" s="34" t="n">
        <x:v>0</x:v>
      </x:c>
      <x:c r="P752" s="34" t="n">
        <x:v>0.8</x:v>
      </x:c>
      <x:c r="Q752" s="34" t="n">
        <x:v>0.8</x:v>
      </x:c>
      <x:c r="R752" s="34" t="n">
        <x:v>0</x:v>
      </x:c>
      <x:c r="S752" s="40" t="b">
        <x:v>1</x:v>
      </x:c>
      <x:c r="T752" s="34" t="str">
        <x:v>model_interpolation</x:v>
      </x:c>
      <x:c r="U752" s="34" t="str">
        <x:v>Linear interpolation from 2026 to 2030</x:v>
      </x:c>
      <x:c r="V752" s="34" t="str">
        <x:v>CAND-C9EAFC0F482485</x:v>
      </x:c>
      <x:c r="W752" s="34" t="str">
        <x:v>P2</x:v>
      </x:c>
      <x:c r="X752" s="34" t="str">
        <x:v>PORT-1144EBE63B41</x:v>
      </x:c>
      <x:c r="Y752" s="34" t="n">
        <x:v>1000</x:v>
      </x:c>
      <x:c r="Z752" s="34" t="n">
        <x:v>152.048071</x:v>
      </x:c>
      <x:c r="AA752" s="34" t="n">
        <x:v>33.808213</x:v>
      </x:c>
      <x:c r="AB752" s="34" t="n">
        <x:v>102.391093</x:v>
      </x:c>
      <x:c r="AC752" s="34" t="n">
        <x:v>15293.987</x:v>
      </x:c>
      <x:c r="AD752" s="34" t="n">
        <x:v>149.368332</x:v>
      </x:c>
      <x:c r="AE752" s="40" t="b">
        <x:v>1</x:v>
      </x:c>
      <x:c r="AF752" s="40" t="b">
        <x:v>1</x:v>
      </x:c>
      <x:c r="AG752" s="34" t="str"/>
      <x:c r="AH752" s="34" t="n">
        <x:v>0</x:v>
      </x:c>
      <x:c r="AI752" s="34" t="str">
        <x:v>9.990856690045291e-05</x:v>
      </x:c>
      <x:c r="AJ752" s="40" t="b">
        <x:v>1</x:v>
      </x:c>
      <x:c r="AK752" s="40" t="b">
        <x:v>1</x:v>
      </x:c>
      <x:c r="AL752" s="40" t="b">
        <x:v>1</x:v>
      </x:c>
      <x:c r="AM752" s="40" t="b">
        <x:v>1</x:v>
      </x:c>
      <x:c r="AN752" s="34" t="str"/>
      <x:c r="AO752" s="34" t="n">
        <x:v>0</x:v>
      </x:c>
      <x:c r="AP752" s="34" t="n">
        <x:v>0</x:v>
      </x:c>
      <x:c r="AQ752" s="34" t="n">
        <x:v>0</x:v>
      </x:c>
      <x:c r="AR752" s="34" t="n">
        <x:v>1</x:v>
      </x:c>
      <x:c r="AS752" s="34" t="n">
        <x:v>1</x:v>
      </x:c>
      <x:c r="AT752" s="34" t="n">
        <x:v>0.28332</x:v>
      </x:c>
      <x:c r="AU752" s="34" t="n">
        <x:v>0.6</x:v>
      </x:c>
      <x:c r="AV752" s="34" t="n">
        <x:v>1.06</x:v>
      </x:c>
    </x:row>
    <x:row r="753">
      <x:c r="A753" s="34" t="str">
        <x:v>KOBE_STEEL_JP</x:v>
      </x:c>
      <x:c r="B753" s="34" t="str">
        <x:v>Kobe Steel</x:v>
      </x:c>
      <x:c r="C753" s="34" t="str">
        <x:v>DISCLOSED_PATH</x:v>
      </x:c>
      <x:c r="D753" s="34" t="str">
        <x:v>P2</x:v>
      </x:c>
      <x:c r="E753" s="34" t="n">
        <x:v>2027</x:v>
      </x:c>
      <x:c r="F753" s="34" t="n">
        <x:v>0</x:v>
      </x:c>
      <x:c r="G753" s="34" t="n">
        <x:v>0</x:v>
      </x:c>
      <x:c r="H753" s="34" t="n">
        <x:v>2.5</x:v>
      </x:c>
      <x:c r="I753" s="34" t="n">
        <x:v>2.5</x:v>
      </x:c>
      <x:c r="J753" s="34" t="n">
        <x:v>0</x:v>
      </x:c>
      <x:c r="K753" s="34" t="n">
        <x:v>0</x:v>
      </x:c>
      <x:c r="L753" s="34" t="n">
        <x:v>0.075</x:v>
      </x:c>
      <x:c r="M753" s="34" t="n">
        <x:v>0.075</x:v>
      </x:c>
      <x:c r="N753" s="34" t="n">
        <x:v>0</x:v>
      </x:c>
      <x:c r="O753" s="34" t="n">
        <x:v>0</x:v>
      </x:c>
      <x:c r="P753" s="34" t="n">
        <x:v>1.35</x:v>
      </x:c>
      <x:c r="Q753" s="34" t="n">
        <x:v>1.35</x:v>
      </x:c>
      <x:c r="R753" s="34" t="n">
        <x:v>0</x:v>
      </x:c>
      <x:c r="S753" s="40" t="b">
        <x:v>1</x:v>
      </x:c>
      <x:c r="T753" s="34" t="str">
        <x:v>model_interpolation</x:v>
      </x:c>
      <x:c r="U753" s="34" t="str">
        <x:v>Linear interpolation from 2026 to 2030</x:v>
      </x:c>
      <x:c r="V753" s="34" t="str">
        <x:v>CAND-C9EAFC0F482485</x:v>
      </x:c>
      <x:c r="W753" s="34" t="str">
        <x:v>P2</x:v>
      </x:c>
      <x:c r="X753" s="34" t="str">
        <x:v>PORT-1144EBE63B41</x:v>
      </x:c>
      <x:c r="Y753" s="34" t="n">
        <x:v>1000</x:v>
      </x:c>
      <x:c r="Z753" s="34" t="n">
        <x:v>152.048071</x:v>
      </x:c>
      <x:c r="AA753" s="34" t="n">
        <x:v>33.808213</x:v>
      </x:c>
      <x:c r="AB753" s="34" t="n">
        <x:v>102.391093</x:v>
      </x:c>
      <x:c r="AC753" s="34" t="n">
        <x:v>15293.987</x:v>
      </x:c>
      <x:c r="AD753" s="34" t="n">
        <x:v>149.368332</x:v>
      </x:c>
      <x:c r="AE753" s="40" t="b">
        <x:v>1</x:v>
      </x:c>
      <x:c r="AF753" s="40" t="b">
        <x:v>1</x:v>
      </x:c>
      <x:c r="AG753" s="34" t="str"/>
      <x:c r="AH753" s="34" t="n">
        <x:v>0</x:v>
      </x:c>
      <x:c r="AI753" s="34" t="str">
        <x:v>9.990856690045291e-05</x:v>
      </x:c>
      <x:c r="AJ753" s="40" t="b">
        <x:v>1</x:v>
      </x:c>
      <x:c r="AK753" s="40" t="b">
        <x:v>1</x:v>
      </x:c>
      <x:c r="AL753" s="40" t="b">
        <x:v>1</x:v>
      </x:c>
      <x:c r="AM753" s="40" t="b">
        <x:v>1</x:v>
      </x:c>
      <x:c r="AN753" s="34" t="str"/>
      <x:c r="AO753" s="34" t="n">
        <x:v>0</x:v>
      </x:c>
      <x:c r="AP753" s="34" t="n">
        <x:v>0</x:v>
      </x:c>
      <x:c r="AQ753" s="34" t="n">
        <x:v>0</x:v>
      </x:c>
      <x:c r="AR753" s="34" t="n">
        <x:v>1</x:v>
      </x:c>
      <x:c r="AS753" s="34" t="n">
        <x:v>1</x:v>
      </x:c>
      <x:c r="AT753" s="34" t="n">
        <x:v>0.28332</x:v>
      </x:c>
      <x:c r="AU753" s="34" t="n">
        <x:v>0.6</x:v>
      </x:c>
      <x:c r="AV753" s="34" t="n">
        <x:v>1.06</x:v>
      </x:c>
    </x:row>
    <x:row r="754">
      <x:c r="A754" s="34" t="str">
        <x:v>KOBE_STEEL_JP</x:v>
      </x:c>
      <x:c r="B754" s="34" t="str">
        <x:v>Kobe Steel</x:v>
      </x:c>
      <x:c r="C754" s="34" t="str">
        <x:v>DISCLOSED_PATH</x:v>
      </x:c>
      <x:c r="D754" s="34" t="str">
        <x:v>P2</x:v>
      </x:c>
      <x:c r="E754" s="34" t="n">
        <x:v>2028</x:v>
      </x:c>
      <x:c r="F754" s="34" t="n">
        <x:v>0</x:v>
      </x:c>
      <x:c r="G754" s="34" t="n">
        <x:v>0</x:v>
      </x:c>
      <x:c r="H754" s="34" t="n">
        <x:v>3</x:v>
      </x:c>
      <x:c r="I754" s="34" t="n">
        <x:v>3</x:v>
      </x:c>
      <x:c r="J754" s="34" t="n">
        <x:v>0</x:v>
      </x:c>
      <x:c r="K754" s="34" t="n">
        <x:v>0</x:v>
      </x:c>
      <x:c r="L754" s="34" t="n">
        <x:v>0.15</x:v>
      </x:c>
      <x:c r="M754" s="34" t="n">
        <x:v>0.15</x:v>
      </x:c>
      <x:c r="N754" s="34" t="n">
        <x:v>0</x:v>
      </x:c>
      <x:c r="O754" s="34" t="n">
        <x:v>0</x:v>
      </x:c>
      <x:c r="P754" s="34" t="n">
        <x:v>1.9000000000000001</x:v>
      </x:c>
      <x:c r="Q754" s="34" t="n">
        <x:v>1.9</x:v>
      </x:c>
      <x:c r="R754" s="34" t="n">
        <x:v>0</x:v>
      </x:c>
      <x:c r="S754" s="40" t="b">
        <x:v>1</x:v>
      </x:c>
      <x:c r="T754" s="34" t="str">
        <x:v>model_interpolation</x:v>
      </x:c>
      <x:c r="U754" s="34" t="str">
        <x:v>Linear interpolation from 2026 to 2030</x:v>
      </x:c>
      <x:c r="V754" s="34" t="str">
        <x:v>CAND-C9EAFC0F482485</x:v>
      </x:c>
      <x:c r="W754" s="34" t="str">
        <x:v>P2</x:v>
      </x:c>
      <x:c r="X754" s="34" t="str">
        <x:v>PORT-1144EBE63B41</x:v>
      </x:c>
      <x:c r="Y754" s="34" t="n">
        <x:v>1000</x:v>
      </x:c>
      <x:c r="Z754" s="34" t="n">
        <x:v>152.048071</x:v>
      </x:c>
      <x:c r="AA754" s="34" t="n">
        <x:v>33.808213</x:v>
      </x:c>
      <x:c r="AB754" s="34" t="n">
        <x:v>102.391093</x:v>
      </x:c>
      <x:c r="AC754" s="34" t="n">
        <x:v>15293.987</x:v>
      </x:c>
      <x:c r="AD754" s="34" t="n">
        <x:v>149.368332</x:v>
      </x:c>
      <x:c r="AE754" s="40" t="b">
        <x:v>1</x:v>
      </x:c>
      <x:c r="AF754" s="40" t="b">
        <x:v>1</x:v>
      </x:c>
      <x:c r="AG754" s="34" t="str"/>
      <x:c r="AH754" s="34" t="n">
        <x:v>0</x:v>
      </x:c>
      <x:c r="AI754" s="34" t="str">
        <x:v>9.990856690045291e-05</x:v>
      </x:c>
      <x:c r="AJ754" s="40" t="b">
        <x:v>1</x:v>
      </x:c>
      <x:c r="AK754" s="40" t="b">
        <x:v>1</x:v>
      </x:c>
      <x:c r="AL754" s="40" t="b">
        <x:v>1</x:v>
      </x:c>
      <x:c r="AM754" s="40" t="b">
        <x:v>1</x:v>
      </x:c>
      <x:c r="AN754" s="34" t="str"/>
      <x:c r="AO754" s="34" t="n">
        <x:v>0</x:v>
      </x:c>
      <x:c r="AP754" s="34" t="n">
        <x:v>0</x:v>
      </x:c>
      <x:c r="AQ754" s="34" t="n">
        <x:v>0</x:v>
      </x:c>
      <x:c r="AR754" s="34" t="n">
        <x:v>1</x:v>
      </x:c>
      <x:c r="AS754" s="34" t="n">
        <x:v>1</x:v>
      </x:c>
      <x:c r="AT754" s="34" t="n">
        <x:v>0.28332</x:v>
      </x:c>
      <x:c r="AU754" s="34" t="n">
        <x:v>0.6</x:v>
      </x:c>
      <x:c r="AV754" s="34" t="n">
        <x:v>1.06</x:v>
      </x:c>
    </x:row>
    <x:row r="755">
      <x:c r="A755" s="34" t="str">
        <x:v>KOBE_STEEL_JP</x:v>
      </x:c>
      <x:c r="B755" s="34" t="str">
        <x:v>Kobe Steel</x:v>
      </x:c>
      <x:c r="C755" s="34" t="str">
        <x:v>DISCLOSED_PATH</x:v>
      </x:c>
      <x:c r="D755" s="34" t="str">
        <x:v>P2</x:v>
      </x:c>
      <x:c r="E755" s="34" t="n">
        <x:v>2029</x:v>
      </x:c>
      <x:c r="F755" s="34" t="n">
        <x:v>1</x:v>
      </x:c>
      <x:c r="G755" s="34" t="n">
        <x:v>0.4425</x:v>
      </x:c>
      <x:c r="H755" s="34" t="n">
        <x:v>3.5</x:v>
      </x:c>
      <x:c r="I755" s="34" t="n">
        <x:v>3.0575</x:v>
      </x:c>
      <x:c r="J755" s="34" t="n">
        <x:v>12.643</x:v>
      </x:c>
      <x:c r="K755" s="34" t="n">
        <x:v>0.16225</x:v>
      </x:c>
      <x:c r="L755" s="34" t="n">
        <x:v>0.22499999999999998</x:v>
      </x:c>
      <x:c r="M755" s="34" t="n">
        <x:v>0.06275</x:v>
      </x:c>
      <x:c r="N755" s="34" t="n">
        <x:v>72.111</x:v>
      </x:c>
      <x:c r="O755" s="34" t="n">
        <x:v>1.357</x:v>
      </x:c>
      <x:c r="P755" s="34" t="n">
        <x:v>2.45</x:v>
      </x:c>
      <x:c r="Q755" s="34" t="n">
        <x:v>1.093</x:v>
      </x:c>
      <x:c r="R755" s="34" t="n">
        <x:v>55.388</x:v>
      </x:c>
      <x:c r="S755" s="40" t="b">
        <x:v>1</x:v>
      </x:c>
      <x:c r="T755" s="34" t="str">
        <x:v>model_interpolation</x:v>
      </x:c>
      <x:c r="U755" s="34" t="str">
        <x:v>Linear interpolation from 2026 to 2030</x:v>
      </x:c>
      <x:c r="V755" s="34" t="str">
        <x:v>CAND-C9EAFC0F482485</x:v>
      </x:c>
      <x:c r="W755" s="34" t="str">
        <x:v>P2</x:v>
      </x:c>
      <x:c r="X755" s="34" t="str">
        <x:v>PORT-1144EBE63B41</x:v>
      </x:c>
      <x:c r="Y755" s="34" t="n">
        <x:v>1000</x:v>
      </x:c>
      <x:c r="Z755" s="34" t="n">
        <x:v>152.048071</x:v>
      </x:c>
      <x:c r="AA755" s="34" t="n">
        <x:v>33.808213</x:v>
      </x:c>
      <x:c r="AB755" s="34" t="n">
        <x:v>102.391093</x:v>
      </x:c>
      <x:c r="AC755" s="34" t="n">
        <x:v>15293.987</x:v>
      </x:c>
      <x:c r="AD755" s="34" t="n">
        <x:v>149.368332</x:v>
      </x:c>
      <x:c r="AE755" s="40" t="b">
        <x:v>1</x:v>
      </x:c>
      <x:c r="AF755" s="40" t="b">
        <x:v>1</x:v>
      </x:c>
      <x:c r="AG755" s="34" t="str"/>
      <x:c r="AH755" s="34" t="n">
        <x:v>0</x:v>
      </x:c>
      <x:c r="AI755" s="34" t="str">
        <x:v>9.990856690045291e-05</x:v>
      </x:c>
      <x:c r="AJ755" s="40" t="b">
        <x:v>1</x:v>
      </x:c>
      <x:c r="AK755" s="40" t="b">
        <x:v>1</x:v>
      </x:c>
      <x:c r="AL755" s="40" t="b">
        <x:v>1</x:v>
      </x:c>
      <x:c r="AM755" s="40" t="b">
        <x:v>1</x:v>
      </x:c>
      <x:c r="AN755" s="34" t="str"/>
      <x:c r="AO755" s="34" t="n">
        <x:v>0</x:v>
      </x:c>
      <x:c r="AP755" s="34" t="n">
        <x:v>0</x:v>
      </x:c>
      <x:c r="AQ755" s="34" t="n">
        <x:v>0</x:v>
      </x:c>
      <x:c r="AR755" s="34" t="n">
        <x:v>1</x:v>
      </x:c>
      <x:c r="AS755" s="34" t="n">
        <x:v>1</x:v>
      </x:c>
      <x:c r="AT755" s="34" t="n">
        <x:v>0.28332</x:v>
      </x:c>
      <x:c r="AU755" s="34" t="n">
        <x:v>0.6</x:v>
      </x:c>
      <x:c r="AV755" s="34" t="n">
        <x:v>1.06</x:v>
      </x:c>
    </x:row>
    <x:row r="756">
      <x:c r="A756" s="34" t="str">
        <x:v>KOBE_STEEL_JP</x:v>
      </x:c>
      <x:c r="B756" s="34" t="str">
        <x:v>Kobe Steel</x:v>
      </x:c>
      <x:c r="C756" s="34" t="str">
        <x:v>DISCLOSED_PATH</x:v>
      </x:c>
      <x:c r="D756" s="34" t="str">
        <x:v>P2</x:v>
      </x:c>
      <x:c r="E756" s="34" t="n">
        <x:v>2030</x:v>
      </x:c>
      <x:c r="F756" s="34" t="n">
        <x:v>1</x:v>
      </x:c>
      <x:c r="G756" s="34" t="n">
        <x:v>0.4425</x:v>
      </x:c>
      <x:c r="H756" s="34" t="n">
        <x:v>4</x:v>
      </x:c>
      <x:c r="I756" s="34" t="n">
        <x:v>3.5575</x:v>
      </x:c>
      <x:c r="J756" s="34" t="n">
        <x:v>11.063</x:v>
      </x:c>
      <x:c r="K756" s="34" t="n">
        <x:v>0.16225</x:v>
      </x:c>
      <x:c r="L756" s="34" t="n">
        <x:v>0.3</x:v>
      </x:c>
      <x:c r="M756" s="34" t="n">
        <x:v>0.13775</x:v>
      </x:c>
      <x:c r="N756" s="34" t="n">
        <x:v>54.083</x:v>
      </x:c>
      <x:c r="O756" s="34" t="n">
        <x:v>1.357</x:v>
      </x:c>
      <x:c r="P756" s="34" t="n">
        <x:v>3</x:v>
      </x:c>
      <x:c r="Q756" s="34" t="n">
        <x:v>1.643</x:v>
      </x:c>
      <x:c r="R756" s="34" t="n">
        <x:v>45.233</x:v>
      </x:c>
      <x:c r="S756" s="40" t="b">
        <x:v>1</x:v>
      </x:c>
      <x:c r="T756" s="34" t="str">
        <x:v>model_interpolation</x:v>
      </x:c>
      <x:c r="U756" s="34" t="str">
        <x:v>Linear interpolation from 2030 to 2035</x:v>
      </x:c>
      <x:c r="V756" s="34" t="str">
        <x:v>CAND-C9EAFC0F482485</x:v>
      </x:c>
      <x:c r="W756" s="34" t="str">
        <x:v>P2</x:v>
      </x:c>
      <x:c r="X756" s="34" t="str">
        <x:v>PORT-1144EBE63B41</x:v>
      </x:c>
      <x:c r="Y756" s="34" t="n">
        <x:v>1000</x:v>
      </x:c>
      <x:c r="Z756" s="34" t="n">
        <x:v>152.048071</x:v>
      </x:c>
      <x:c r="AA756" s="34" t="n">
        <x:v>33.808213</x:v>
      </x:c>
      <x:c r="AB756" s="34" t="n">
        <x:v>102.391093</x:v>
      </x:c>
      <x:c r="AC756" s="34" t="n">
        <x:v>15293.987</x:v>
      </x:c>
      <x:c r="AD756" s="34" t="n">
        <x:v>149.368332</x:v>
      </x:c>
      <x:c r="AE756" s="40" t="b">
        <x:v>1</x:v>
      </x:c>
      <x:c r="AF756" s="40" t="b">
        <x:v>1</x:v>
      </x:c>
      <x:c r="AG756" s="34" t="str"/>
      <x:c r="AH756" s="34" t="n">
        <x:v>0</x:v>
      </x:c>
      <x:c r="AI756" s="34" t="str">
        <x:v>9.990856690045291e-05</x:v>
      </x:c>
      <x:c r="AJ756" s="40" t="b">
        <x:v>1</x:v>
      </x:c>
      <x:c r="AK756" s="40" t="b">
        <x:v>1</x:v>
      </x:c>
      <x:c r="AL756" s="40" t="b">
        <x:v>1</x:v>
      </x:c>
      <x:c r="AM756" s="40" t="b">
        <x:v>1</x:v>
      </x:c>
      <x:c r="AN756" s="34" t="str"/>
      <x:c r="AO756" s="34" t="n">
        <x:v>0</x:v>
      </x:c>
      <x:c r="AP756" s="34" t="n">
        <x:v>0</x:v>
      </x:c>
      <x:c r="AQ756" s="34" t="n">
        <x:v>0</x:v>
      </x:c>
      <x:c r="AR756" s="34" t="n">
        <x:v>1</x:v>
      </x:c>
      <x:c r="AS756" s="34" t="n">
        <x:v>1</x:v>
      </x:c>
      <x:c r="AT756" s="34" t="n">
        <x:v>0.28332</x:v>
      </x:c>
      <x:c r="AU756" s="34" t="n">
        <x:v>0.6</x:v>
      </x:c>
      <x:c r="AV756" s="34" t="n">
        <x:v>1.06</x:v>
      </x:c>
    </x:row>
    <x:row r="757">
      <x:c r="A757" s="34" t="str">
        <x:v>KOBE_STEEL_JP</x:v>
      </x:c>
      <x:c r="B757" s="34" t="str">
        <x:v>Kobe Steel</x:v>
      </x:c>
      <x:c r="C757" s="34" t="str">
        <x:v>DISCLOSED_PATH</x:v>
      </x:c>
      <x:c r="D757" s="34" t="str">
        <x:v>P2</x:v>
      </x:c>
      <x:c r="E757" s="34" t="n">
        <x:v>2031</x:v>
      </x:c>
      <x:c r="F757" s="34" t="n">
        <x:v>1</x:v>
      </x:c>
      <x:c r="G757" s="34" t="n">
        <x:v>0.4425</x:v>
      </x:c>
      <x:c r="H757" s="34" t="n">
        <x:v>4</x:v>
      </x:c>
      <x:c r="I757" s="34" t="n">
        <x:v>3.5575</x:v>
      </x:c>
      <x:c r="J757" s="34" t="n">
        <x:v>11.063</x:v>
      </x:c>
      <x:c r="K757" s="34" t="n">
        <x:v>0.16225</x:v>
      </x:c>
      <x:c r="L757" s="34" t="n">
        <x:v>0.32</x:v>
      </x:c>
      <x:c r="M757" s="34" t="n">
        <x:v>0.15775</x:v>
      </x:c>
      <x:c r="N757" s="34" t="n">
        <x:v>50.703</x:v>
      </x:c>
      <x:c r="O757" s="34" t="n">
        <x:v>1.357</x:v>
      </x:c>
      <x:c r="P757" s="34" t="n">
        <x:v>3</x:v>
      </x:c>
      <x:c r="Q757" s="34" t="n">
        <x:v>1.643</x:v>
      </x:c>
      <x:c r="R757" s="34" t="n">
        <x:v>45.233</x:v>
      </x:c>
      <x:c r="S757" s="40" t="b">
        <x:v>1</x:v>
      </x:c>
      <x:c r="T757" s="34" t="str">
        <x:v>model_interpolation</x:v>
      </x:c>
      <x:c r="U757" s="34" t="str">
        <x:v>Linear interpolation from 2030 to 2035</x:v>
      </x:c>
      <x:c r="V757" s="34" t="str">
        <x:v>CAND-C9EAFC0F482485</x:v>
      </x:c>
      <x:c r="W757" s="34" t="str">
        <x:v>P2</x:v>
      </x:c>
      <x:c r="X757" s="34" t="str">
        <x:v>PORT-1144EBE63B41</x:v>
      </x:c>
      <x:c r="Y757" s="34" t="n">
        <x:v>1000</x:v>
      </x:c>
      <x:c r="Z757" s="34" t="n">
        <x:v>152.048071</x:v>
      </x:c>
      <x:c r="AA757" s="34" t="n">
        <x:v>33.808213</x:v>
      </x:c>
      <x:c r="AB757" s="34" t="n">
        <x:v>102.391093</x:v>
      </x:c>
      <x:c r="AC757" s="34" t="n">
        <x:v>15293.987</x:v>
      </x:c>
      <x:c r="AD757" s="34" t="n">
        <x:v>149.368332</x:v>
      </x:c>
      <x:c r="AE757" s="40" t="b">
        <x:v>1</x:v>
      </x:c>
      <x:c r="AF757" s="40" t="b">
        <x:v>1</x:v>
      </x:c>
      <x:c r="AG757" s="34" t="str"/>
      <x:c r="AH757" s="34" t="n">
        <x:v>0</x:v>
      </x:c>
      <x:c r="AI757" s="34" t="str">
        <x:v>9.990856690045291e-05</x:v>
      </x:c>
      <x:c r="AJ757" s="40" t="b">
        <x:v>1</x:v>
      </x:c>
      <x:c r="AK757" s="40" t="b">
        <x:v>1</x:v>
      </x:c>
      <x:c r="AL757" s="40" t="b">
        <x:v>1</x:v>
      </x:c>
      <x:c r="AM757" s="40" t="b">
        <x:v>1</x:v>
      </x:c>
      <x:c r="AN757" s="34" t="str"/>
      <x:c r="AO757" s="34" t="n">
        <x:v>0</x:v>
      </x:c>
      <x:c r="AP757" s="34" t="n">
        <x:v>0</x:v>
      </x:c>
      <x:c r="AQ757" s="34" t="n">
        <x:v>0</x:v>
      </x:c>
      <x:c r="AR757" s="34" t="n">
        <x:v>1</x:v>
      </x:c>
      <x:c r="AS757" s="34" t="n">
        <x:v>1</x:v>
      </x:c>
      <x:c r="AT757" s="34" t="n">
        <x:v>0.28332</x:v>
      </x:c>
      <x:c r="AU757" s="34" t="n">
        <x:v>0.6</x:v>
      </x:c>
      <x:c r="AV757" s="34" t="n">
        <x:v>1.06</x:v>
      </x:c>
    </x:row>
    <x:row r="758">
      <x:c r="A758" s="34" t="str">
        <x:v>KOBE_STEEL_JP</x:v>
      </x:c>
      <x:c r="B758" s="34" t="str">
        <x:v>Kobe Steel</x:v>
      </x:c>
      <x:c r="C758" s="34" t="str">
        <x:v>DISCLOSED_PATH</x:v>
      </x:c>
      <x:c r="D758" s="34" t="str">
        <x:v>P2</x:v>
      </x:c>
      <x:c r="E758" s="34" t="n">
        <x:v>2032</x:v>
      </x:c>
      <x:c r="F758" s="34" t="n">
        <x:v>1</x:v>
      </x:c>
      <x:c r="G758" s="34" t="n">
        <x:v>0.4425</x:v>
      </x:c>
      <x:c r="H758" s="34" t="n">
        <x:v>4</x:v>
      </x:c>
      <x:c r="I758" s="34" t="n">
        <x:v>3.5575</x:v>
      </x:c>
      <x:c r="J758" s="34" t="n">
        <x:v>11.063</x:v>
      </x:c>
      <x:c r="K758" s="34" t="n">
        <x:v>0.16225</x:v>
      </x:c>
      <x:c r="L758" s="34" t="n">
        <x:v>0.34</x:v>
      </x:c>
      <x:c r="M758" s="34" t="n">
        <x:v>0.17775</x:v>
      </x:c>
      <x:c r="N758" s="34" t="n">
        <x:v>47.721</x:v>
      </x:c>
      <x:c r="O758" s="34" t="n">
        <x:v>1.357</x:v>
      </x:c>
      <x:c r="P758" s="34" t="n">
        <x:v>3</x:v>
      </x:c>
      <x:c r="Q758" s="34" t="n">
        <x:v>1.643</x:v>
      </x:c>
      <x:c r="R758" s="34" t="n">
        <x:v>45.233</x:v>
      </x:c>
      <x:c r="S758" s="40" t="b">
        <x:v>1</x:v>
      </x:c>
      <x:c r="T758" s="34" t="str">
        <x:v>model_interpolation</x:v>
      </x:c>
      <x:c r="U758" s="34" t="str">
        <x:v>Linear interpolation from 2030 to 2035</x:v>
      </x:c>
      <x:c r="V758" s="34" t="str">
        <x:v>CAND-C9EAFC0F482485</x:v>
      </x:c>
      <x:c r="W758" s="34" t="str">
        <x:v>P2</x:v>
      </x:c>
      <x:c r="X758" s="34" t="str">
        <x:v>PORT-1144EBE63B41</x:v>
      </x:c>
      <x:c r="Y758" s="34" t="n">
        <x:v>1000</x:v>
      </x:c>
      <x:c r="Z758" s="34" t="n">
        <x:v>152.048071</x:v>
      </x:c>
      <x:c r="AA758" s="34" t="n">
        <x:v>33.808213</x:v>
      </x:c>
      <x:c r="AB758" s="34" t="n">
        <x:v>102.391093</x:v>
      </x:c>
      <x:c r="AC758" s="34" t="n">
        <x:v>15293.987</x:v>
      </x:c>
      <x:c r="AD758" s="34" t="n">
        <x:v>149.368332</x:v>
      </x:c>
      <x:c r="AE758" s="40" t="b">
        <x:v>1</x:v>
      </x:c>
      <x:c r="AF758" s="40" t="b">
        <x:v>1</x:v>
      </x:c>
      <x:c r="AG758" s="34" t="str"/>
      <x:c r="AH758" s="34" t="n">
        <x:v>0</x:v>
      </x:c>
      <x:c r="AI758" s="34" t="str">
        <x:v>9.990856690045291e-05</x:v>
      </x:c>
      <x:c r="AJ758" s="40" t="b">
        <x:v>1</x:v>
      </x:c>
      <x:c r="AK758" s="40" t="b">
        <x:v>1</x:v>
      </x:c>
      <x:c r="AL758" s="40" t="b">
        <x:v>1</x:v>
      </x:c>
      <x:c r="AM758" s="40" t="b">
        <x:v>1</x:v>
      </x:c>
      <x:c r="AN758" s="34" t="str"/>
      <x:c r="AO758" s="34" t="n">
        <x:v>0</x:v>
      </x:c>
      <x:c r="AP758" s="34" t="n">
        <x:v>0</x:v>
      </x:c>
      <x:c r="AQ758" s="34" t="n">
        <x:v>0</x:v>
      </x:c>
      <x:c r="AR758" s="34" t="n">
        <x:v>1</x:v>
      </x:c>
      <x:c r="AS758" s="34" t="n">
        <x:v>1</x:v>
      </x:c>
      <x:c r="AT758" s="34" t="n">
        <x:v>0.28332</x:v>
      </x:c>
      <x:c r="AU758" s="34" t="n">
        <x:v>0.6</x:v>
      </x:c>
      <x:c r="AV758" s="34" t="n">
        <x:v>1.06</x:v>
      </x:c>
    </x:row>
    <x:row r="759">
      <x:c r="A759" s="34" t="str">
        <x:v>KOBE_STEEL_JP</x:v>
      </x:c>
      <x:c r="B759" s="34" t="str">
        <x:v>Kobe Steel</x:v>
      </x:c>
      <x:c r="C759" s="34" t="str">
        <x:v>DISCLOSED_PATH</x:v>
      </x:c>
      <x:c r="D759" s="34" t="str">
        <x:v>P2</x:v>
      </x:c>
      <x:c r="E759" s="34" t="n">
        <x:v>2033</x:v>
      </x:c>
      <x:c r="F759" s="34" t="n">
        <x:v>2</x:v>
      </x:c>
      <x:c r="G759" s="34" t="n">
        <x:v>0.5325</x:v>
      </x:c>
      <x:c r="H759" s="34" t="n">
        <x:v>4</x:v>
      </x:c>
      <x:c r="I759" s="34" t="n">
        <x:v>3.4675</x:v>
      </x:c>
      <x:c r="J759" s="34" t="n">
        <x:v>13.313</x:v>
      </x:c>
      <x:c r="K759" s="34" t="n">
        <x:v>0.16225</x:v>
      </x:c>
      <x:c r="L759" s="34" t="n">
        <x:v>0.36</x:v>
      </x:c>
      <x:c r="M759" s="34" t="n">
        <x:v>0.19775</x:v>
      </x:c>
      <x:c r="N759" s="34" t="n">
        <x:v>45.069</x:v>
      </x:c>
      <x:c r="O759" s="34" t="n">
        <x:v>1.359</x:v>
      </x:c>
      <x:c r="P759" s="34" t="n">
        <x:v>3</x:v>
      </x:c>
      <x:c r="Q759" s="34" t="n">
        <x:v>1.641</x:v>
      </x:c>
      <x:c r="R759" s="34" t="n">
        <x:v>45.3</x:v>
      </x:c>
      <x:c r="S759" s="40" t="b">
        <x:v>1</x:v>
      </x:c>
      <x:c r="T759" s="34" t="str">
        <x:v>model_interpolation</x:v>
      </x:c>
      <x:c r="U759" s="34" t="str">
        <x:v>Linear interpolation from 2030 to 2035</x:v>
      </x:c>
      <x:c r="V759" s="34" t="str">
        <x:v>CAND-C9EAFC0F482485</x:v>
      </x:c>
      <x:c r="W759" s="34" t="str">
        <x:v>P2</x:v>
      </x:c>
      <x:c r="X759" s="34" t="str">
        <x:v>PORT-1144EBE63B41</x:v>
      </x:c>
      <x:c r="Y759" s="34" t="n">
        <x:v>1000</x:v>
      </x:c>
      <x:c r="Z759" s="34" t="n">
        <x:v>152.048071</x:v>
      </x:c>
      <x:c r="AA759" s="34" t="n">
        <x:v>33.808213</x:v>
      </x:c>
      <x:c r="AB759" s="34" t="n">
        <x:v>102.391093</x:v>
      </x:c>
      <x:c r="AC759" s="34" t="n">
        <x:v>15293.987</x:v>
      </x:c>
      <x:c r="AD759" s="34" t="n">
        <x:v>149.368332</x:v>
      </x:c>
      <x:c r="AE759" s="40" t="b">
        <x:v>1</x:v>
      </x:c>
      <x:c r="AF759" s="40" t="b">
        <x:v>1</x:v>
      </x:c>
      <x:c r="AG759" s="34" t="str"/>
      <x:c r="AH759" s="34" t="n">
        <x:v>0</x:v>
      </x:c>
      <x:c r="AI759" s="34" t="str">
        <x:v>9.990856690045291e-05</x:v>
      </x:c>
      <x:c r="AJ759" s="40" t="b">
        <x:v>1</x:v>
      </x:c>
      <x:c r="AK759" s="40" t="b">
        <x:v>1</x:v>
      </x:c>
      <x:c r="AL759" s="40" t="b">
        <x:v>1</x:v>
      </x:c>
      <x:c r="AM759" s="40" t="b">
        <x:v>1</x:v>
      </x:c>
      <x:c r="AN759" s="34" t="str"/>
      <x:c r="AO759" s="34" t="n">
        <x:v>0</x:v>
      </x:c>
      <x:c r="AP759" s="34" t="n">
        <x:v>0</x:v>
      </x:c>
      <x:c r="AQ759" s="34" t="n">
        <x:v>0</x:v>
      </x:c>
      <x:c r="AR759" s="34" t="n">
        <x:v>1</x:v>
      </x:c>
      <x:c r="AS759" s="34" t="n">
        <x:v>1</x:v>
      </x:c>
      <x:c r="AT759" s="34" t="n">
        <x:v>0.28332</x:v>
      </x:c>
      <x:c r="AU759" s="34" t="n">
        <x:v>0.6</x:v>
      </x:c>
      <x:c r="AV759" s="34" t="n">
        <x:v>1.06</x:v>
      </x:c>
    </x:row>
    <x:row r="760">
      <x:c r="A760" s="34" t="str">
        <x:v>KOBE_STEEL_JP</x:v>
      </x:c>
      <x:c r="B760" s="34" t="str">
        <x:v>Kobe Steel</x:v>
      </x:c>
      <x:c r="C760" s="34" t="str">
        <x:v>DISCLOSED_PATH</x:v>
      </x:c>
      <x:c r="D760" s="34" t="str">
        <x:v>P2</x:v>
      </x:c>
      <x:c r="E760" s="34" t="n">
        <x:v>2034</x:v>
      </x:c>
      <x:c r="F760" s="34" t="n">
        <x:v>2</x:v>
      </x:c>
      <x:c r="G760" s="34" t="n">
        <x:v>0.5325</x:v>
      </x:c>
      <x:c r="H760" s="34" t="n">
        <x:v>4</x:v>
      </x:c>
      <x:c r="I760" s="34" t="n">
        <x:v>3.4675</x:v>
      </x:c>
      <x:c r="J760" s="34" t="n">
        <x:v>13.313</x:v>
      </x:c>
      <x:c r="K760" s="34" t="n">
        <x:v>0.16225</x:v>
      </x:c>
      <x:c r="L760" s="34" t="n">
        <x:v>0.38</x:v>
      </x:c>
      <x:c r="M760" s="34" t="n">
        <x:v>0.21775</x:v>
      </x:c>
      <x:c r="N760" s="34" t="n">
        <x:v>42.697</x:v>
      </x:c>
      <x:c r="O760" s="34" t="n">
        <x:v>1.359</x:v>
      </x:c>
      <x:c r="P760" s="34" t="n">
        <x:v>3</x:v>
      </x:c>
      <x:c r="Q760" s="34" t="n">
        <x:v>1.641</x:v>
      </x:c>
      <x:c r="R760" s="34" t="n">
        <x:v>45.3</x:v>
      </x:c>
      <x:c r="S760" s="40" t="b">
        <x:v>1</x:v>
      </x:c>
      <x:c r="T760" s="34" t="str">
        <x:v>model_interpolation</x:v>
      </x:c>
      <x:c r="U760" s="34" t="str">
        <x:v>Linear interpolation from 2030 to 2035</x:v>
      </x:c>
      <x:c r="V760" s="34" t="str">
        <x:v>CAND-C9EAFC0F482485</x:v>
      </x:c>
      <x:c r="W760" s="34" t="str">
        <x:v>P2</x:v>
      </x:c>
      <x:c r="X760" s="34" t="str">
        <x:v>PORT-1144EBE63B41</x:v>
      </x:c>
      <x:c r="Y760" s="34" t="n">
        <x:v>1000</x:v>
      </x:c>
      <x:c r="Z760" s="34" t="n">
        <x:v>152.048071</x:v>
      </x:c>
      <x:c r="AA760" s="34" t="n">
        <x:v>33.808213</x:v>
      </x:c>
      <x:c r="AB760" s="34" t="n">
        <x:v>102.391093</x:v>
      </x:c>
      <x:c r="AC760" s="34" t="n">
        <x:v>15293.987</x:v>
      </x:c>
      <x:c r="AD760" s="34" t="n">
        <x:v>149.368332</x:v>
      </x:c>
      <x:c r="AE760" s="40" t="b">
        <x:v>1</x:v>
      </x:c>
      <x:c r="AF760" s="40" t="b">
        <x:v>1</x:v>
      </x:c>
      <x:c r="AG760" s="34" t="str"/>
      <x:c r="AH760" s="34" t="n">
        <x:v>0</x:v>
      </x:c>
      <x:c r="AI760" s="34" t="str">
        <x:v>9.990856690045291e-05</x:v>
      </x:c>
      <x:c r="AJ760" s="40" t="b">
        <x:v>1</x:v>
      </x:c>
      <x:c r="AK760" s="40" t="b">
        <x:v>1</x:v>
      </x:c>
      <x:c r="AL760" s="40" t="b">
        <x:v>1</x:v>
      </x:c>
      <x:c r="AM760" s="40" t="b">
        <x:v>1</x:v>
      </x:c>
      <x:c r="AN760" s="34" t="str"/>
      <x:c r="AO760" s="34" t="n">
        <x:v>0</x:v>
      </x:c>
      <x:c r="AP760" s="34" t="n">
        <x:v>0</x:v>
      </x:c>
      <x:c r="AQ760" s="34" t="n">
        <x:v>0</x:v>
      </x:c>
      <x:c r="AR760" s="34" t="n">
        <x:v>1</x:v>
      </x:c>
      <x:c r="AS760" s="34" t="n">
        <x:v>1</x:v>
      </x:c>
      <x:c r="AT760" s="34" t="n">
        <x:v>0.28332</x:v>
      </x:c>
      <x:c r="AU760" s="34" t="n">
        <x:v>0.6</x:v>
      </x:c>
      <x:c r="AV760" s="34" t="n">
        <x:v>1.06</x:v>
      </x:c>
    </x:row>
    <x:row r="761">
      <x:c r="A761" s="34" t="str">
        <x:v>KOBE_STEEL_JP</x:v>
      </x:c>
      <x:c r="B761" s="34" t="str">
        <x:v>Kobe Steel</x:v>
      </x:c>
      <x:c r="C761" s="34" t="str">
        <x:v>DISCLOSED_PATH</x:v>
      </x:c>
      <x:c r="D761" s="34" t="str">
        <x:v>P2</x:v>
      </x:c>
      <x:c r="E761" s="34" t="n">
        <x:v>2035</x:v>
      </x:c>
      <x:c r="F761" s="34" t="n">
        <x:v>2</x:v>
      </x:c>
      <x:c r="G761" s="34" t="n">
        <x:v>0.5325</x:v>
      </x:c>
      <x:c r="H761" s="34" t="n">
        <x:v>4</x:v>
      </x:c>
      <x:c r="I761" s="34" t="n">
        <x:v>3.4675</x:v>
      </x:c>
      <x:c r="J761" s="34" t="n">
        <x:v>13.313</x:v>
      </x:c>
      <x:c r="K761" s="34" t="n">
        <x:v>0.16225</x:v>
      </x:c>
      <x:c r="L761" s="34" t="n">
        <x:v>0.4</x:v>
      </x:c>
      <x:c r="M761" s="34" t="n">
        <x:v>0.23775</x:v>
      </x:c>
      <x:c r="N761" s="34" t="n">
        <x:v>40.563</x:v>
      </x:c>
      <x:c r="O761" s="34" t="n">
        <x:v>1.359</x:v>
      </x:c>
      <x:c r="P761" s="34" t="n">
        <x:v>3</x:v>
      </x:c>
      <x:c r="Q761" s="34" t="n">
        <x:v>1.641</x:v>
      </x:c>
      <x:c r="R761" s="34" t="n">
        <x:v>45.3</x:v>
      </x:c>
      <x:c r="S761" s="40" t="b">
        <x:v>1</x:v>
      </x:c>
      <x:c r="T761" s="34" t="str">
        <x:v>model_interpolation</x:v>
      </x:c>
      <x:c r="U761" s="34" t="str">
        <x:v>Linear interpolation from 2035 to 2040</x:v>
      </x:c>
      <x:c r="V761" s="34" t="str">
        <x:v>CAND-C9EAFC0F482485</x:v>
      </x:c>
      <x:c r="W761" s="34" t="str">
        <x:v>P2</x:v>
      </x:c>
      <x:c r="X761" s="34" t="str">
        <x:v>PORT-1144EBE63B41</x:v>
      </x:c>
      <x:c r="Y761" s="34" t="n">
        <x:v>1000</x:v>
      </x:c>
      <x:c r="Z761" s="34" t="n">
        <x:v>152.048071</x:v>
      </x:c>
      <x:c r="AA761" s="34" t="n">
        <x:v>33.808213</x:v>
      </x:c>
      <x:c r="AB761" s="34" t="n">
        <x:v>102.391093</x:v>
      </x:c>
      <x:c r="AC761" s="34" t="n">
        <x:v>15293.987</x:v>
      </x:c>
      <x:c r="AD761" s="34" t="n">
        <x:v>149.368332</x:v>
      </x:c>
      <x:c r="AE761" s="40" t="b">
        <x:v>1</x:v>
      </x:c>
      <x:c r="AF761" s="40" t="b">
        <x:v>1</x:v>
      </x:c>
      <x:c r="AG761" s="34" t="str"/>
      <x:c r="AH761" s="34" t="n">
        <x:v>0</x:v>
      </x:c>
      <x:c r="AI761" s="34" t="str">
        <x:v>9.990856690045291e-05</x:v>
      </x:c>
      <x:c r="AJ761" s="40" t="b">
        <x:v>1</x:v>
      </x:c>
      <x:c r="AK761" s="40" t="b">
        <x:v>1</x:v>
      </x:c>
      <x:c r="AL761" s="40" t="b">
        <x:v>1</x:v>
      </x:c>
      <x:c r="AM761" s="40" t="b">
        <x:v>1</x:v>
      </x:c>
      <x:c r="AN761" s="34" t="str"/>
      <x:c r="AO761" s="34" t="n">
        <x:v>0</x:v>
      </x:c>
      <x:c r="AP761" s="34" t="n">
        <x:v>0</x:v>
      </x:c>
      <x:c r="AQ761" s="34" t="n">
        <x:v>0</x:v>
      </x:c>
      <x:c r="AR761" s="34" t="n">
        <x:v>1</x:v>
      </x:c>
      <x:c r="AS761" s="34" t="n">
        <x:v>1</x:v>
      </x:c>
      <x:c r="AT761" s="34" t="n">
        <x:v>0.28332</x:v>
      </x:c>
      <x:c r="AU761" s="34" t="n">
        <x:v>0.6</x:v>
      </x:c>
      <x:c r="AV761" s="34" t="n">
        <x:v>1.06</x:v>
      </x:c>
    </x:row>
    <x:row r="762">
      <x:c r="A762" s="34" t="str">
        <x:v>KOBE_STEEL_JP</x:v>
      </x:c>
      <x:c r="B762" s="34" t="str">
        <x:v>Kobe Steel</x:v>
      </x:c>
      <x:c r="C762" s="34" t="str">
        <x:v>DISCLOSED_PATH</x:v>
      </x:c>
      <x:c r="D762" s="34" t="str">
        <x:v>P2</x:v>
      </x:c>
      <x:c r="E762" s="34" t="n">
        <x:v>2036</x:v>
      </x:c>
      <x:c r="F762" s="34" t="n">
        <x:v>2</x:v>
      </x:c>
      <x:c r="G762" s="34" t="n">
        <x:v>0.5325</x:v>
      </x:c>
      <x:c r="H762" s="34" t="n">
        <x:v>4.2</x:v>
      </x:c>
      <x:c r="I762" s="34" t="n">
        <x:v>3.6675</x:v>
      </x:c>
      <x:c r="J762" s="34" t="n">
        <x:v>12.679</x:v>
      </x:c>
      <x:c r="K762" s="34" t="n">
        <x:v>0.16225</x:v>
      </x:c>
      <x:c r="L762" s="34" t="n">
        <x:v>0.48000000000000004</x:v>
      </x:c>
      <x:c r="M762" s="34" t="n">
        <x:v>0.31775</x:v>
      </x:c>
      <x:c r="N762" s="34" t="n">
        <x:v>33.802</x:v>
      </x:c>
      <x:c r="O762" s="34" t="n">
        <x:v>1.359</x:v>
      </x:c>
      <x:c r="P762" s="34" t="n">
        <x:v>3.4</x:v>
      </x:c>
      <x:c r="Q762" s="34" t="n">
        <x:v>2.041</x:v>
      </x:c>
      <x:c r="R762" s="34" t="n">
        <x:v>39.971</x:v>
      </x:c>
      <x:c r="S762" s="40" t="b">
        <x:v>1</x:v>
      </x:c>
      <x:c r="T762" s="34" t="str">
        <x:v>model_interpolation</x:v>
      </x:c>
      <x:c r="U762" s="34" t="str">
        <x:v>Linear interpolation from 2035 to 2040</x:v>
      </x:c>
      <x:c r="V762" s="34" t="str">
        <x:v>CAND-C9EAFC0F482485</x:v>
      </x:c>
      <x:c r="W762" s="34" t="str">
        <x:v>P2</x:v>
      </x:c>
      <x:c r="X762" s="34" t="str">
        <x:v>PORT-1144EBE63B41</x:v>
      </x:c>
      <x:c r="Y762" s="34" t="n">
        <x:v>1000</x:v>
      </x:c>
      <x:c r="Z762" s="34" t="n">
        <x:v>152.048071</x:v>
      </x:c>
      <x:c r="AA762" s="34" t="n">
        <x:v>33.808213</x:v>
      </x:c>
      <x:c r="AB762" s="34" t="n">
        <x:v>102.391093</x:v>
      </x:c>
      <x:c r="AC762" s="34" t="n">
        <x:v>15293.987</x:v>
      </x:c>
      <x:c r="AD762" s="34" t="n">
        <x:v>149.368332</x:v>
      </x:c>
      <x:c r="AE762" s="40" t="b">
        <x:v>1</x:v>
      </x:c>
      <x:c r="AF762" s="40" t="b">
        <x:v>1</x:v>
      </x:c>
      <x:c r="AG762" s="34" t="str"/>
      <x:c r="AH762" s="34" t="n">
        <x:v>0</x:v>
      </x:c>
      <x:c r="AI762" s="34" t="str">
        <x:v>9.990856690045291e-05</x:v>
      </x:c>
      <x:c r="AJ762" s="40" t="b">
        <x:v>1</x:v>
      </x:c>
      <x:c r="AK762" s="40" t="b">
        <x:v>1</x:v>
      </x:c>
      <x:c r="AL762" s="40" t="b">
        <x:v>1</x:v>
      </x:c>
      <x:c r="AM762" s="40" t="b">
        <x:v>1</x:v>
      </x:c>
      <x:c r="AN762" s="34" t="str"/>
      <x:c r="AO762" s="34" t="n">
        <x:v>0</x:v>
      </x:c>
      <x:c r="AP762" s="34" t="n">
        <x:v>0</x:v>
      </x:c>
      <x:c r="AQ762" s="34" t="n">
        <x:v>0</x:v>
      </x:c>
      <x:c r="AR762" s="34" t="n">
        <x:v>1</x:v>
      </x:c>
      <x:c r="AS762" s="34" t="n">
        <x:v>1</x:v>
      </x:c>
      <x:c r="AT762" s="34" t="n">
        <x:v>0.28332</x:v>
      </x:c>
      <x:c r="AU762" s="34" t="n">
        <x:v>0.6</x:v>
      </x:c>
      <x:c r="AV762" s="34" t="n">
        <x:v>1.06</x:v>
      </x:c>
    </x:row>
    <x:row r="763">
      <x:c r="A763" s="34" t="str">
        <x:v>KOBE_STEEL_JP</x:v>
      </x:c>
      <x:c r="B763" s="34" t="str">
        <x:v>Kobe Steel</x:v>
      </x:c>
      <x:c r="C763" s="34" t="str">
        <x:v>DISCLOSED_PATH</x:v>
      </x:c>
      <x:c r="D763" s="34" t="str">
        <x:v>P2</x:v>
      </x:c>
      <x:c r="E763" s="34" t="n">
        <x:v>2037</x:v>
      </x:c>
      <x:c r="F763" s="34" t="n">
        <x:v>3</x:v>
      </x:c>
      <x:c r="G763" s="34" t="n">
        <x:v>3.151499</x:v>
      </x:c>
      <x:c r="H763" s="34" t="n">
        <x:v>4.4</x:v>
      </x:c>
      <x:c r="I763" s="34" t="n">
        <x:v>1.248501</x:v>
      </x:c>
      <x:c r="J763" s="34" t="n">
        <x:v>71.625</x:v>
      </x:c>
      <x:c r="K763" s="34" t="n">
        <x:v>0.16225</x:v>
      </x:c>
      <x:c r="L763" s="34" t="n">
        <x:v>0.56</x:v>
      </x:c>
      <x:c r="M763" s="34" t="n">
        <x:v>0.39775</x:v>
      </x:c>
      <x:c r="N763" s="34" t="n">
        <x:v>28.973</x:v>
      </x:c>
      <x:c r="O763" s="34" t="n">
        <x:v>2.988599</x:v>
      </x:c>
      <x:c r="P763" s="34" t="n">
        <x:v>3.8</x:v>
      </x:c>
      <x:c r="Q763" s="34" t="n">
        <x:v>0.811401</x:v>
      </x:c>
      <x:c r="R763" s="34" t="n">
        <x:v>78.647</x:v>
      </x:c>
      <x:c r="S763" s="40" t="b">
        <x:v>1</x:v>
      </x:c>
      <x:c r="T763" s="34" t="str">
        <x:v>model_interpolation</x:v>
      </x:c>
      <x:c r="U763" s="34" t="str">
        <x:v>Linear interpolation from 2035 to 2040</x:v>
      </x:c>
      <x:c r="V763" s="34" t="str">
        <x:v>CAND-C9EAFC0F482485</x:v>
      </x:c>
      <x:c r="W763" s="34" t="str">
        <x:v>P2</x:v>
      </x:c>
      <x:c r="X763" s="34" t="str">
        <x:v>PORT-1144EBE63B41</x:v>
      </x:c>
      <x:c r="Y763" s="34" t="n">
        <x:v>1000</x:v>
      </x:c>
      <x:c r="Z763" s="34" t="n">
        <x:v>152.048071</x:v>
      </x:c>
      <x:c r="AA763" s="34" t="n">
        <x:v>33.808213</x:v>
      </x:c>
      <x:c r="AB763" s="34" t="n">
        <x:v>102.391093</x:v>
      </x:c>
      <x:c r="AC763" s="34" t="n">
        <x:v>15293.987</x:v>
      </x:c>
      <x:c r="AD763" s="34" t="n">
        <x:v>149.368332</x:v>
      </x:c>
      <x:c r="AE763" s="40" t="b">
        <x:v>1</x:v>
      </x:c>
      <x:c r="AF763" s="40" t="b">
        <x:v>1</x:v>
      </x:c>
      <x:c r="AG763" s="34" t="str"/>
      <x:c r="AH763" s="34" t="n">
        <x:v>0</x:v>
      </x:c>
      <x:c r="AI763" s="34" t="str">
        <x:v>9.990856690045291e-05</x:v>
      </x:c>
      <x:c r="AJ763" s="40" t="b">
        <x:v>1</x:v>
      </x:c>
      <x:c r="AK763" s="40" t="b">
        <x:v>1</x:v>
      </x:c>
      <x:c r="AL763" s="40" t="b">
        <x:v>1</x:v>
      </x:c>
      <x:c r="AM763" s="40" t="b">
        <x:v>1</x:v>
      </x:c>
      <x:c r="AN763" s="34" t="str"/>
      <x:c r="AO763" s="34" t="n">
        <x:v>0</x:v>
      </x:c>
      <x:c r="AP763" s="34" t="n">
        <x:v>0</x:v>
      </x:c>
      <x:c r="AQ763" s="34" t="n">
        <x:v>0</x:v>
      </x:c>
      <x:c r="AR763" s="34" t="n">
        <x:v>1</x:v>
      </x:c>
      <x:c r="AS763" s="34" t="n">
        <x:v>1</x:v>
      </x:c>
      <x:c r="AT763" s="34" t="n">
        <x:v>0.28332</x:v>
      </x:c>
      <x:c r="AU763" s="34" t="n">
        <x:v>0.6</x:v>
      </x:c>
      <x:c r="AV763" s="34" t="n">
        <x:v>1.06</x:v>
      </x:c>
    </x:row>
    <x:row r="764">
      <x:c r="A764" s="34" t="str">
        <x:v>KOBE_STEEL_JP</x:v>
      </x:c>
      <x:c r="B764" s="34" t="str">
        <x:v>Kobe Steel</x:v>
      </x:c>
      <x:c r="C764" s="34" t="str">
        <x:v>DISCLOSED_PATH</x:v>
      </x:c>
      <x:c r="D764" s="34" t="str">
        <x:v>P2</x:v>
      </x:c>
      <x:c r="E764" s="34" t="n">
        <x:v>2038</x:v>
      </x:c>
      <x:c r="F764" s="34" t="n">
        <x:v>3</x:v>
      </x:c>
      <x:c r="G764" s="34" t="n">
        <x:v>3.151499</x:v>
      </x:c>
      <x:c r="H764" s="34" t="n">
        <x:v>4.6</x:v>
      </x:c>
      <x:c r="I764" s="34" t="n">
        <x:v>1.448501</x:v>
      </x:c>
      <x:c r="J764" s="34" t="n">
        <x:v>68.511</x:v>
      </x:c>
      <x:c r="K764" s="34" t="n">
        <x:v>0.16225</x:v>
      </x:c>
      <x:c r="L764" s="34" t="n">
        <x:v>0.64</x:v>
      </x:c>
      <x:c r="M764" s="34" t="n">
        <x:v>0.47775</x:v>
      </x:c>
      <x:c r="N764" s="34" t="n">
        <x:v>25.352</x:v>
      </x:c>
      <x:c r="O764" s="34" t="n">
        <x:v>2.988599</x:v>
      </x:c>
      <x:c r="P764" s="34" t="n">
        <x:v>4.2</x:v>
      </x:c>
      <x:c r="Q764" s="34" t="n">
        <x:v>1.211401</x:v>
      </x:c>
      <x:c r="R764" s="34" t="n">
        <x:v>71.157</x:v>
      </x:c>
      <x:c r="S764" s="40" t="b">
        <x:v>1</x:v>
      </x:c>
      <x:c r="T764" s="34" t="str">
        <x:v>model_interpolation</x:v>
      </x:c>
      <x:c r="U764" s="34" t="str">
        <x:v>Linear interpolation from 2035 to 2040</x:v>
      </x:c>
      <x:c r="V764" s="34" t="str">
        <x:v>CAND-C9EAFC0F482485</x:v>
      </x:c>
      <x:c r="W764" s="34" t="str">
        <x:v>P2</x:v>
      </x:c>
      <x:c r="X764" s="34" t="str">
        <x:v>PORT-1144EBE63B41</x:v>
      </x:c>
      <x:c r="Y764" s="34" t="n">
        <x:v>1000</x:v>
      </x:c>
      <x:c r="Z764" s="34" t="n">
        <x:v>152.048071</x:v>
      </x:c>
      <x:c r="AA764" s="34" t="n">
        <x:v>33.808213</x:v>
      </x:c>
      <x:c r="AB764" s="34" t="n">
        <x:v>102.391093</x:v>
      </x:c>
      <x:c r="AC764" s="34" t="n">
        <x:v>15293.987</x:v>
      </x:c>
      <x:c r="AD764" s="34" t="n">
        <x:v>149.368332</x:v>
      </x:c>
      <x:c r="AE764" s="40" t="b">
        <x:v>1</x:v>
      </x:c>
      <x:c r="AF764" s="40" t="b">
        <x:v>1</x:v>
      </x:c>
      <x:c r="AG764" s="34" t="str"/>
      <x:c r="AH764" s="34" t="n">
        <x:v>0</x:v>
      </x:c>
      <x:c r="AI764" s="34" t="str">
        <x:v>9.990856690045291e-05</x:v>
      </x:c>
      <x:c r="AJ764" s="40" t="b">
        <x:v>1</x:v>
      </x:c>
      <x:c r="AK764" s="40" t="b">
        <x:v>1</x:v>
      </x:c>
      <x:c r="AL764" s="40" t="b">
        <x:v>1</x:v>
      </x:c>
      <x:c r="AM764" s="40" t="b">
        <x:v>1</x:v>
      </x:c>
      <x:c r="AN764" s="34" t="str"/>
      <x:c r="AO764" s="34" t="n">
        <x:v>0</x:v>
      </x:c>
      <x:c r="AP764" s="34" t="n">
        <x:v>0</x:v>
      </x:c>
      <x:c r="AQ764" s="34" t="n">
        <x:v>0</x:v>
      </x:c>
      <x:c r="AR764" s="34" t="n">
        <x:v>1</x:v>
      </x:c>
      <x:c r="AS764" s="34" t="n">
        <x:v>1</x:v>
      </x:c>
      <x:c r="AT764" s="34" t="n">
        <x:v>0.28332</x:v>
      </x:c>
      <x:c r="AU764" s="34" t="n">
        <x:v>0.6</x:v>
      </x:c>
      <x:c r="AV764" s="34" t="n">
        <x:v>1.06</x:v>
      </x:c>
    </x:row>
    <x:row r="765">
      <x:c r="A765" s="34" t="str">
        <x:v>KOBE_STEEL_JP</x:v>
      </x:c>
      <x:c r="B765" s="34" t="str">
        <x:v>Kobe Steel</x:v>
      </x:c>
      <x:c r="C765" s="34" t="str">
        <x:v>DISCLOSED_PATH</x:v>
      </x:c>
      <x:c r="D765" s="34" t="str">
        <x:v>P2</x:v>
      </x:c>
      <x:c r="E765" s="34" t="n">
        <x:v>2039</x:v>
      </x:c>
      <x:c r="F765" s="34" t="n">
        <x:v>3</x:v>
      </x:c>
      <x:c r="G765" s="34" t="n">
        <x:v>3.151499</x:v>
      </x:c>
      <x:c r="H765" s="34" t="n">
        <x:v>4.8</x:v>
      </x:c>
      <x:c r="I765" s="34" t="n">
        <x:v>1.648501</x:v>
      </x:c>
      <x:c r="J765" s="34" t="n">
        <x:v>65.656</x:v>
      </x:c>
      <x:c r="K765" s="34" t="n">
        <x:v>0.16225</x:v>
      </x:c>
      <x:c r="L765" s="34" t="n">
        <x:v>0.7200000000000001</x:v>
      </x:c>
      <x:c r="M765" s="34" t="n">
        <x:v>0.55775</x:v>
      </x:c>
      <x:c r="N765" s="34" t="n">
        <x:v>22.535</x:v>
      </x:c>
      <x:c r="O765" s="34" t="n">
        <x:v>2.988599</x:v>
      </x:c>
      <x:c r="P765" s="34" t="n">
        <x:v>4.6</x:v>
      </x:c>
      <x:c r="Q765" s="34" t="n">
        <x:v>1.611401</x:v>
      </x:c>
      <x:c r="R765" s="34" t="n">
        <x:v>64.97</x:v>
      </x:c>
      <x:c r="S765" s="40" t="b">
        <x:v>1</x:v>
      </x:c>
      <x:c r="T765" s="34" t="str">
        <x:v>model_interpolation</x:v>
      </x:c>
      <x:c r="U765" s="34" t="str">
        <x:v>Linear interpolation from 2035 to 2040</x:v>
      </x:c>
      <x:c r="V765" s="34" t="str">
        <x:v>CAND-C9EAFC0F482485</x:v>
      </x:c>
      <x:c r="W765" s="34" t="str">
        <x:v>P2</x:v>
      </x:c>
      <x:c r="X765" s="34" t="str">
        <x:v>PORT-1144EBE63B41</x:v>
      </x:c>
      <x:c r="Y765" s="34" t="n">
        <x:v>1000</x:v>
      </x:c>
      <x:c r="Z765" s="34" t="n">
        <x:v>152.048071</x:v>
      </x:c>
      <x:c r="AA765" s="34" t="n">
        <x:v>33.808213</x:v>
      </x:c>
      <x:c r="AB765" s="34" t="n">
        <x:v>102.391093</x:v>
      </x:c>
      <x:c r="AC765" s="34" t="n">
        <x:v>15293.987</x:v>
      </x:c>
      <x:c r="AD765" s="34" t="n">
        <x:v>149.368332</x:v>
      </x:c>
      <x:c r="AE765" s="40" t="b">
        <x:v>1</x:v>
      </x:c>
      <x:c r="AF765" s="40" t="b">
        <x:v>1</x:v>
      </x:c>
      <x:c r="AG765" s="34" t="str"/>
      <x:c r="AH765" s="34" t="n">
        <x:v>0</x:v>
      </x:c>
      <x:c r="AI765" s="34" t="str">
        <x:v>9.990856690045291e-05</x:v>
      </x:c>
      <x:c r="AJ765" s="40" t="b">
        <x:v>1</x:v>
      </x:c>
      <x:c r="AK765" s="40" t="b">
        <x:v>1</x:v>
      </x:c>
      <x:c r="AL765" s="40" t="b">
        <x:v>1</x:v>
      </x:c>
      <x:c r="AM765" s="40" t="b">
        <x:v>1</x:v>
      </x:c>
      <x:c r="AN765" s="34" t="str"/>
      <x:c r="AO765" s="34" t="n">
        <x:v>0</x:v>
      </x:c>
      <x:c r="AP765" s="34" t="n">
        <x:v>0</x:v>
      </x:c>
      <x:c r="AQ765" s="34" t="n">
        <x:v>0</x:v>
      </x:c>
      <x:c r="AR765" s="34" t="n">
        <x:v>1</x:v>
      </x:c>
      <x:c r="AS765" s="34" t="n">
        <x:v>1</x:v>
      </x:c>
      <x:c r="AT765" s="34" t="n">
        <x:v>0.28332</x:v>
      </x:c>
      <x:c r="AU765" s="34" t="n">
        <x:v>0.6</x:v>
      </x:c>
      <x:c r="AV765" s="34" t="n">
        <x:v>1.06</x:v>
      </x:c>
    </x:row>
    <x:row r="766">
      <x:c r="A766" s="34" t="str">
        <x:v>KOBE_STEEL_JP</x:v>
      </x:c>
      <x:c r="B766" s="34" t="str">
        <x:v>Kobe Steel</x:v>
      </x:c>
      <x:c r="C766" s="34" t="str">
        <x:v>DISCLOSED_PATH</x:v>
      </x:c>
      <x:c r="D766" s="34" t="str">
        <x:v>P2</x:v>
      </x:c>
      <x:c r="E766" s="34" t="n">
        <x:v>2040</x:v>
      </x:c>
      <x:c r="F766" s="34" t="n">
        <x:v>3</x:v>
      </x:c>
      <x:c r="G766" s="34" t="n">
        <x:v>3.151499</x:v>
      </x:c>
      <x:c r="H766" s="34" t="n">
        <x:v>5</x:v>
      </x:c>
      <x:c r="I766" s="34" t="n">
        <x:v>1.848501</x:v>
      </x:c>
      <x:c r="J766" s="34" t="n">
        <x:v>63.03</x:v>
      </x:c>
      <x:c r="K766" s="34" t="n">
        <x:v>0.16225</x:v>
      </x:c>
      <x:c r="L766" s="34" t="n">
        <x:v>0.8</x:v>
      </x:c>
      <x:c r="M766" s="34" t="n">
        <x:v>0.63775</x:v>
      </x:c>
      <x:c r="N766" s="34" t="n">
        <x:v>20.281</x:v>
      </x:c>
      <x:c r="O766" s="34" t="n">
        <x:v>2.988599</x:v>
      </x:c>
      <x:c r="P766" s="34" t="n">
        <x:v>5</x:v>
      </x:c>
      <x:c r="Q766" s="34" t="n">
        <x:v>2.011401</x:v>
      </x:c>
      <x:c r="R766" s="34" t="n">
        <x:v>59.772</x:v>
      </x:c>
      <x:c r="S766" s="40" t="b">
        <x:v>1</x:v>
      </x:c>
      <x:c r="T766" s="34" t="str">
        <x:v>model_estimate</x:v>
      </x:c>
      <x:c r="U766" s="34" t="str">
        <x:v>Illustrative screening envelope; not an official supply forecast</x:v>
      </x:c>
      <x:c r="V766" s="34" t="str">
        <x:v>CAND-C9EAFC0F482485</x:v>
      </x:c>
      <x:c r="W766" s="34" t="str">
        <x:v>P2</x:v>
      </x:c>
      <x:c r="X766" s="34" t="str">
        <x:v>PORT-1144EBE63B41</x:v>
      </x:c>
      <x:c r="Y766" s="34" t="n">
        <x:v>1000</x:v>
      </x:c>
      <x:c r="Z766" s="34" t="n">
        <x:v>152.048071</x:v>
      </x:c>
      <x:c r="AA766" s="34" t="n">
        <x:v>33.808213</x:v>
      </x:c>
      <x:c r="AB766" s="34" t="n">
        <x:v>102.391093</x:v>
      </x:c>
      <x:c r="AC766" s="34" t="n">
        <x:v>15293.987</x:v>
      </x:c>
      <x:c r="AD766" s="34" t="n">
        <x:v>149.368332</x:v>
      </x:c>
      <x:c r="AE766" s="40" t="b">
        <x:v>1</x:v>
      </x:c>
      <x:c r="AF766" s="40" t="b">
        <x:v>1</x:v>
      </x:c>
      <x:c r="AG766" s="34" t="str"/>
      <x:c r="AH766" s="34" t="n">
        <x:v>0</x:v>
      </x:c>
      <x:c r="AI766" s="34" t="str">
        <x:v>9.990856690045291e-05</x:v>
      </x:c>
      <x:c r="AJ766" s="40" t="b">
        <x:v>1</x:v>
      </x:c>
      <x:c r="AK766" s="40" t="b">
        <x:v>1</x:v>
      </x:c>
      <x:c r="AL766" s="40" t="b">
        <x:v>1</x:v>
      </x:c>
      <x:c r="AM766" s="40" t="b">
        <x:v>1</x:v>
      </x:c>
      <x:c r="AN766" s="34" t="str"/>
      <x:c r="AO766" s="34" t="n">
        <x:v>0</x:v>
      </x:c>
      <x:c r="AP766" s="34" t="n">
        <x:v>0</x:v>
      </x:c>
      <x:c r="AQ766" s="34" t="n">
        <x:v>0</x:v>
      </x:c>
      <x:c r="AR766" s="34" t="n">
        <x:v>1</x:v>
      </x:c>
      <x:c r="AS766" s="34" t="n">
        <x:v>1</x:v>
      </x:c>
      <x:c r="AT766" s="34" t="n">
        <x:v>0.28332</x:v>
      </x:c>
      <x:c r="AU766" s="34" t="n">
        <x:v>0.6</x:v>
      </x:c>
      <x:c r="AV766" s="34" t="n">
        <x:v>1.06</x:v>
      </x:c>
    </x:row>
    <x:row r="767">
      <x:c r="A767" s="34" t="str">
        <x:v>KOBE_STEEL_JP</x:v>
      </x:c>
      <x:c r="B767" s="34" t="str">
        <x:v>Kobe Steel</x:v>
      </x:c>
      <x:c r="C767" s="34" t="str">
        <x:v>ACCELERATED_15C</x:v>
      </x:c>
      <x:c r="D767" s="34" t="str">
        <x:v>P2</x:v>
      </x:c>
      <x:c r="E767" s="34" t="n">
        <x:v>2026</x:v>
      </x:c>
      <x:c r="F767" s="34" t="n">
        <x:v>0</x:v>
      </x:c>
      <x:c r="G767" s="34" t="n">
        <x:v>0</x:v>
      </x:c>
      <x:c r="H767" s="34" t="n">
        <x:v>2</x:v>
      </x:c>
      <x:c r="I767" s="34" t="n">
        <x:v>2</x:v>
      </x:c>
      <x:c r="J767" s="34" t="n">
        <x:v>0</x:v>
      </x:c>
      <x:c r="K767" s="34" t="n">
        <x:v>0</x:v>
      </x:c>
      <x:c r="L767" s="34" t="n">
        <x:v>0.2</x:v>
      </x:c>
      <x:c r="M767" s="34" t="n">
        <x:v>0.2</x:v>
      </x:c>
      <x:c r="N767" s="34" t="n">
        <x:v>0</x:v>
      </x:c>
      <x:c r="O767" s="34" t="n">
        <x:v>0</x:v>
      </x:c>
      <x:c r="P767" s="34" t="n">
        <x:v>1</x:v>
      </x:c>
      <x:c r="Q767" s="34" t="n">
        <x:v>1</x:v>
      </x:c>
      <x:c r="R767" s="34" t="n">
        <x:v>0</x:v>
      </x:c>
      <x:c r="S767" s="40" t="b">
        <x:v>1</x:v>
      </x:c>
      <x:c r="T767" s="34" t="str">
        <x:v>model_interpolation</x:v>
      </x:c>
      <x:c r="U767" s="34" t="str">
        <x:v>Linear interpolation from 2026 to 2030</x:v>
      </x:c>
      <x:c r="V767" s="34" t="str">
        <x:v>CAND-C9EAFC0F482485</x:v>
      </x:c>
      <x:c r="W767" s="34" t="str">
        <x:v>P2</x:v>
      </x:c>
      <x:c r="X767" s="34" t="str">
        <x:v>PORT-1144EBE63B41</x:v>
      </x:c>
      <x:c r="Y767" s="34" t="n">
        <x:v>1000</x:v>
      </x:c>
      <x:c r="Z767" s="34" t="n">
        <x:v>144.712539</x:v>
      </x:c>
      <x:c r="AA767" s="34" t="n">
        <x:v>36.074915</x:v>
      </x:c>
      <x:c r="AB767" s="34" t="n">
        <x:v>102.391093</x:v>
      </x:c>
      <x:c r="AC767" s="34" t="n">
        <x:v>14552.066</x:v>
      </x:c>
      <x:c r="AD767" s="34" t="n">
        <x:v>142.122383</x:v>
      </x:c>
      <x:c r="AE767" s="40" t="b">
        <x:v>1</x:v>
      </x:c>
      <x:c r="AF767" s="40" t="b">
        <x:v>1</x:v>
      </x:c>
      <x:c r="AG767" s="34" t="str"/>
      <x:c r="AH767" s="34" t="n">
        <x:v>0</x:v>
      </x:c>
      <x:c r="AI767" s="34" t="str">
        <x:v>9.990856690045291e-05</x:v>
      </x:c>
      <x:c r="AJ767" s="40" t="b">
        <x:v>1</x:v>
      </x:c>
      <x:c r="AK767" s="40" t="b">
        <x:v>1</x:v>
      </x:c>
      <x:c r="AL767" s="40" t="b">
        <x:v>1</x:v>
      </x:c>
      <x:c r="AM767" s="40" t="b">
        <x:v>1</x:v>
      </x:c>
      <x:c r="AN767" s="34" t="str"/>
      <x:c r="AO767" s="34" t="n">
        <x:v>0</x:v>
      </x:c>
      <x:c r="AP767" s="34" t="n">
        <x:v>0</x:v>
      </x:c>
      <x:c r="AQ767" s="34" t="n">
        <x:v>0</x:v>
      </x:c>
      <x:c r="AR767" s="34" t="n">
        <x:v>1</x:v>
      </x:c>
      <x:c r="AS767" s="34" t="n">
        <x:v>1</x:v>
      </x:c>
      <x:c r="AT767" s="34" t="n">
        <x:v>0.28332</x:v>
      </x:c>
      <x:c r="AU767" s="34" t="n">
        <x:v>0.6</x:v>
      </x:c>
      <x:c r="AV767" s="34" t="n">
        <x:v>1.06</x:v>
      </x:c>
    </x:row>
    <x:row r="768">
      <x:c r="A768" s="34" t="str">
        <x:v>KOBE_STEEL_JP</x:v>
      </x:c>
      <x:c r="B768" s="34" t="str">
        <x:v>Kobe Steel</x:v>
      </x:c>
      <x:c r="C768" s="34" t="str">
        <x:v>ACCELERATED_15C</x:v>
      </x:c>
      <x:c r="D768" s="34" t="str">
        <x:v>P2</x:v>
      </x:c>
      <x:c r="E768" s="34" t="n">
        <x:v>2027</x:v>
      </x:c>
      <x:c r="F768" s="34" t="n">
        <x:v>0</x:v>
      </x:c>
      <x:c r="G768" s="34" t="n">
        <x:v>0</x:v>
      </x:c>
      <x:c r="H768" s="34" t="n">
        <x:v>2.25</x:v>
      </x:c>
      <x:c r="I768" s="34" t="n">
        <x:v>2.25</x:v>
      </x:c>
      <x:c r="J768" s="34" t="n">
        <x:v>0</x:v>
      </x:c>
      <x:c r="K768" s="34" t="n">
        <x:v>0</x:v>
      </x:c>
      <x:c r="L768" s="34" t="n">
        <x:v>0.25</x:v>
      </x:c>
      <x:c r="M768" s="34" t="n">
        <x:v>0.25</x:v>
      </x:c>
      <x:c r="N768" s="34" t="n">
        <x:v>0</x:v>
      </x:c>
      <x:c r="O768" s="34" t="n">
        <x:v>0</x:v>
      </x:c>
      <x:c r="P768" s="34" t="n">
        <x:v>1.375</x:v>
      </x:c>
      <x:c r="Q768" s="34" t="n">
        <x:v>1.375</x:v>
      </x:c>
      <x:c r="R768" s="34" t="n">
        <x:v>0</x:v>
      </x:c>
      <x:c r="S768" s="40" t="b">
        <x:v>1</x:v>
      </x:c>
      <x:c r="T768" s="34" t="str">
        <x:v>model_interpolation</x:v>
      </x:c>
      <x:c r="U768" s="34" t="str">
        <x:v>Linear interpolation from 2026 to 2030</x:v>
      </x:c>
      <x:c r="V768" s="34" t="str">
        <x:v>CAND-C9EAFC0F482485</x:v>
      </x:c>
      <x:c r="W768" s="34" t="str">
        <x:v>P2</x:v>
      </x:c>
      <x:c r="X768" s="34" t="str">
        <x:v>PORT-1144EBE63B41</x:v>
      </x:c>
      <x:c r="Y768" s="34" t="n">
        <x:v>1000</x:v>
      </x:c>
      <x:c r="Z768" s="34" t="n">
        <x:v>144.712539</x:v>
      </x:c>
      <x:c r="AA768" s="34" t="n">
        <x:v>36.074915</x:v>
      </x:c>
      <x:c r="AB768" s="34" t="n">
        <x:v>102.391093</x:v>
      </x:c>
      <x:c r="AC768" s="34" t="n">
        <x:v>14552.066</x:v>
      </x:c>
      <x:c r="AD768" s="34" t="n">
        <x:v>142.122383</x:v>
      </x:c>
      <x:c r="AE768" s="40" t="b">
        <x:v>1</x:v>
      </x:c>
      <x:c r="AF768" s="40" t="b">
        <x:v>1</x:v>
      </x:c>
      <x:c r="AG768" s="34" t="str"/>
      <x:c r="AH768" s="34" t="n">
        <x:v>0</x:v>
      </x:c>
      <x:c r="AI768" s="34" t="str">
        <x:v>9.990856690045291e-05</x:v>
      </x:c>
      <x:c r="AJ768" s="40" t="b">
        <x:v>1</x:v>
      </x:c>
      <x:c r="AK768" s="40" t="b">
        <x:v>1</x:v>
      </x:c>
      <x:c r="AL768" s="40" t="b">
        <x:v>1</x:v>
      </x:c>
      <x:c r="AM768" s="40" t="b">
        <x:v>1</x:v>
      </x:c>
      <x:c r="AN768" s="34" t="str"/>
      <x:c r="AO768" s="34" t="n">
        <x:v>0</x:v>
      </x:c>
      <x:c r="AP768" s="34" t="n">
        <x:v>0</x:v>
      </x:c>
      <x:c r="AQ768" s="34" t="n">
        <x:v>0</x:v>
      </x:c>
      <x:c r="AR768" s="34" t="n">
        <x:v>1</x:v>
      </x:c>
      <x:c r="AS768" s="34" t="n">
        <x:v>1</x:v>
      </x:c>
      <x:c r="AT768" s="34" t="n">
        <x:v>0.28332</x:v>
      </x:c>
      <x:c r="AU768" s="34" t="n">
        <x:v>0.6</x:v>
      </x:c>
      <x:c r="AV768" s="34" t="n">
        <x:v>1.06</x:v>
      </x:c>
    </x:row>
    <x:row r="769">
      <x:c r="A769" s="34" t="str">
        <x:v>KOBE_STEEL_JP</x:v>
      </x:c>
      <x:c r="B769" s="34" t="str">
        <x:v>Kobe Steel</x:v>
      </x:c>
      <x:c r="C769" s="34" t="str">
        <x:v>ACCELERATED_15C</x:v>
      </x:c>
      <x:c r="D769" s="34" t="str">
        <x:v>P2</x:v>
      </x:c>
      <x:c r="E769" s="34" t="n">
        <x:v>2028</x:v>
      </x:c>
      <x:c r="F769" s="34" t="n">
        <x:v>0</x:v>
      </x:c>
      <x:c r="G769" s="34" t="n">
        <x:v>0</x:v>
      </x:c>
      <x:c r="H769" s="34" t="n">
        <x:v>2.5</x:v>
      </x:c>
      <x:c r="I769" s="34" t="n">
        <x:v>2.5</x:v>
      </x:c>
      <x:c r="J769" s="34" t="n">
        <x:v>0</x:v>
      </x:c>
      <x:c r="K769" s="34" t="n">
        <x:v>0</x:v>
      </x:c>
      <x:c r="L769" s="34" t="n">
        <x:v>0.30000000000000004</x:v>
      </x:c>
      <x:c r="M769" s="34" t="n">
        <x:v>0.3</x:v>
      </x:c>
      <x:c r="N769" s="34" t="n">
        <x:v>0</x:v>
      </x:c>
      <x:c r="O769" s="34" t="n">
        <x:v>0</x:v>
      </x:c>
      <x:c r="P769" s="34" t="n">
        <x:v>1.75</x:v>
      </x:c>
      <x:c r="Q769" s="34" t="n">
        <x:v>1.75</x:v>
      </x:c>
      <x:c r="R769" s="34" t="n">
        <x:v>0</x:v>
      </x:c>
      <x:c r="S769" s="40" t="b">
        <x:v>1</x:v>
      </x:c>
      <x:c r="T769" s="34" t="str">
        <x:v>model_interpolation</x:v>
      </x:c>
      <x:c r="U769" s="34" t="str">
        <x:v>Linear interpolation from 2026 to 2030</x:v>
      </x:c>
      <x:c r="V769" s="34" t="str">
        <x:v>CAND-C9EAFC0F482485</x:v>
      </x:c>
      <x:c r="W769" s="34" t="str">
        <x:v>P2</x:v>
      </x:c>
      <x:c r="X769" s="34" t="str">
        <x:v>PORT-1144EBE63B41</x:v>
      </x:c>
      <x:c r="Y769" s="34" t="n">
        <x:v>1000</x:v>
      </x:c>
      <x:c r="Z769" s="34" t="n">
        <x:v>144.712539</x:v>
      </x:c>
      <x:c r="AA769" s="34" t="n">
        <x:v>36.074915</x:v>
      </x:c>
      <x:c r="AB769" s="34" t="n">
        <x:v>102.391093</x:v>
      </x:c>
      <x:c r="AC769" s="34" t="n">
        <x:v>14552.066</x:v>
      </x:c>
      <x:c r="AD769" s="34" t="n">
        <x:v>142.122383</x:v>
      </x:c>
      <x:c r="AE769" s="40" t="b">
        <x:v>1</x:v>
      </x:c>
      <x:c r="AF769" s="40" t="b">
        <x:v>1</x:v>
      </x:c>
      <x:c r="AG769" s="34" t="str"/>
      <x:c r="AH769" s="34" t="n">
        <x:v>0</x:v>
      </x:c>
      <x:c r="AI769" s="34" t="str">
        <x:v>9.990856690045291e-05</x:v>
      </x:c>
      <x:c r="AJ769" s="40" t="b">
        <x:v>1</x:v>
      </x:c>
      <x:c r="AK769" s="40" t="b">
        <x:v>1</x:v>
      </x:c>
      <x:c r="AL769" s="40" t="b">
        <x:v>1</x:v>
      </x:c>
      <x:c r="AM769" s="40" t="b">
        <x:v>1</x:v>
      </x:c>
      <x:c r="AN769" s="34" t="str"/>
      <x:c r="AO769" s="34" t="n">
        <x:v>0</x:v>
      </x:c>
      <x:c r="AP769" s="34" t="n">
        <x:v>0</x:v>
      </x:c>
      <x:c r="AQ769" s="34" t="n">
        <x:v>0</x:v>
      </x:c>
      <x:c r="AR769" s="34" t="n">
        <x:v>1</x:v>
      </x:c>
      <x:c r="AS769" s="34" t="n">
        <x:v>1</x:v>
      </x:c>
      <x:c r="AT769" s="34" t="n">
        <x:v>0.28332</x:v>
      </x:c>
      <x:c r="AU769" s="34" t="n">
        <x:v>0.6</x:v>
      </x:c>
      <x:c r="AV769" s="34" t="n">
        <x:v>1.06</x:v>
      </x:c>
    </x:row>
    <x:row r="770">
      <x:c r="A770" s="34" t="str">
        <x:v>KOBE_STEEL_JP</x:v>
      </x:c>
      <x:c r="B770" s="34" t="str">
        <x:v>Kobe Steel</x:v>
      </x:c>
      <x:c r="C770" s="34" t="str">
        <x:v>ACCELERATED_15C</x:v>
      </x:c>
      <x:c r="D770" s="34" t="str">
        <x:v>P2</x:v>
      </x:c>
      <x:c r="E770" s="34" t="n">
        <x:v>2029</x:v>
      </x:c>
      <x:c r="F770" s="34" t="n">
        <x:v>1</x:v>
      </x:c>
      <x:c r="G770" s="34" t="n">
        <x:v>0.4425</x:v>
      </x:c>
      <x:c r="H770" s="34" t="n">
        <x:v>2.75</x:v>
      </x:c>
      <x:c r="I770" s="34" t="n">
        <x:v>2.3075</x:v>
      </x:c>
      <x:c r="J770" s="34" t="n">
        <x:v>16.091</x:v>
      </x:c>
      <x:c r="K770" s="34" t="n">
        <x:v>0.16225</x:v>
      </x:c>
      <x:c r="L770" s="34" t="n">
        <x:v>0.35000000000000003</x:v>
      </x:c>
      <x:c r="M770" s="34" t="n">
        <x:v>0.18775</x:v>
      </x:c>
      <x:c r="N770" s="34" t="n">
        <x:v>46.357</x:v>
      </x:c>
      <x:c r="O770" s="34" t="n">
        <x:v>1.357</x:v>
      </x:c>
      <x:c r="P770" s="34" t="n">
        <x:v>2.125</x:v>
      </x:c>
      <x:c r="Q770" s="34" t="n">
        <x:v>0.768</x:v>
      </x:c>
      <x:c r="R770" s="34" t="n">
        <x:v>63.859</x:v>
      </x:c>
      <x:c r="S770" s="40" t="b">
        <x:v>1</x:v>
      </x:c>
      <x:c r="T770" s="34" t="str">
        <x:v>model_interpolation</x:v>
      </x:c>
      <x:c r="U770" s="34" t="str">
        <x:v>Linear interpolation from 2026 to 2030</x:v>
      </x:c>
      <x:c r="V770" s="34" t="str">
        <x:v>CAND-C9EAFC0F482485</x:v>
      </x:c>
      <x:c r="W770" s="34" t="str">
        <x:v>P2</x:v>
      </x:c>
      <x:c r="X770" s="34" t="str">
        <x:v>PORT-1144EBE63B41</x:v>
      </x:c>
      <x:c r="Y770" s="34" t="n">
        <x:v>1000</x:v>
      </x:c>
      <x:c r="Z770" s="34" t="n">
        <x:v>144.712539</x:v>
      </x:c>
      <x:c r="AA770" s="34" t="n">
        <x:v>36.074915</x:v>
      </x:c>
      <x:c r="AB770" s="34" t="n">
        <x:v>102.391093</x:v>
      </x:c>
      <x:c r="AC770" s="34" t="n">
        <x:v>14552.066</x:v>
      </x:c>
      <x:c r="AD770" s="34" t="n">
        <x:v>142.122383</x:v>
      </x:c>
      <x:c r="AE770" s="40" t="b">
        <x:v>1</x:v>
      </x:c>
      <x:c r="AF770" s="40" t="b">
        <x:v>1</x:v>
      </x:c>
      <x:c r="AG770" s="34" t="str"/>
      <x:c r="AH770" s="34" t="n">
        <x:v>0</x:v>
      </x:c>
      <x:c r="AI770" s="34" t="str">
        <x:v>9.990856690045291e-05</x:v>
      </x:c>
      <x:c r="AJ770" s="40" t="b">
        <x:v>1</x:v>
      </x:c>
      <x:c r="AK770" s="40" t="b">
        <x:v>1</x:v>
      </x:c>
      <x:c r="AL770" s="40" t="b">
        <x:v>1</x:v>
      </x:c>
      <x:c r="AM770" s="40" t="b">
        <x:v>1</x:v>
      </x:c>
      <x:c r="AN770" s="34" t="str"/>
      <x:c r="AO770" s="34" t="n">
        <x:v>0</x:v>
      </x:c>
      <x:c r="AP770" s="34" t="n">
        <x:v>0</x:v>
      </x:c>
      <x:c r="AQ770" s="34" t="n">
        <x:v>0</x:v>
      </x:c>
      <x:c r="AR770" s="34" t="n">
        <x:v>1</x:v>
      </x:c>
      <x:c r="AS770" s="34" t="n">
        <x:v>1</x:v>
      </x:c>
      <x:c r="AT770" s="34" t="n">
        <x:v>0.28332</x:v>
      </x:c>
      <x:c r="AU770" s="34" t="n">
        <x:v>0.6</x:v>
      </x:c>
      <x:c r="AV770" s="34" t="n">
        <x:v>1.06</x:v>
      </x:c>
    </x:row>
    <x:row r="771">
      <x:c r="A771" s="34" t="str">
        <x:v>KOBE_STEEL_JP</x:v>
      </x:c>
      <x:c r="B771" s="34" t="str">
        <x:v>Kobe Steel</x:v>
      </x:c>
      <x:c r="C771" s="34" t="str">
        <x:v>ACCELERATED_15C</x:v>
      </x:c>
      <x:c r="D771" s="34" t="str">
        <x:v>P2</x:v>
      </x:c>
      <x:c r="E771" s="34" t="n">
        <x:v>2030</x:v>
      </x:c>
      <x:c r="F771" s="34" t="n">
        <x:v>1</x:v>
      </x:c>
      <x:c r="G771" s="34" t="n">
        <x:v>0.4425</x:v>
      </x:c>
      <x:c r="H771" s="34" t="n">
        <x:v>3</x:v>
      </x:c>
      <x:c r="I771" s="34" t="n">
        <x:v>2.5575</x:v>
      </x:c>
      <x:c r="J771" s="34" t="n">
        <x:v>14.75</x:v>
      </x:c>
      <x:c r="K771" s="34" t="n">
        <x:v>0.16225</x:v>
      </x:c>
      <x:c r="L771" s="34" t="n">
        <x:v>0.4</x:v>
      </x:c>
      <x:c r="M771" s="34" t="n">
        <x:v>0.23775</x:v>
      </x:c>
      <x:c r="N771" s="34" t="n">
        <x:v>40.563</x:v>
      </x:c>
      <x:c r="O771" s="34" t="n">
        <x:v>1.357</x:v>
      </x:c>
      <x:c r="P771" s="34" t="n">
        <x:v>2.5</x:v>
      </x:c>
      <x:c r="Q771" s="34" t="n">
        <x:v>1.143</x:v>
      </x:c>
      <x:c r="R771" s="34" t="n">
        <x:v>54.28</x:v>
      </x:c>
      <x:c r="S771" s="40" t="b">
        <x:v>1</x:v>
      </x:c>
      <x:c r="T771" s="34" t="str">
        <x:v>model_interpolation</x:v>
      </x:c>
      <x:c r="U771" s="34" t="str">
        <x:v>Linear interpolation from 2030 to 2035</x:v>
      </x:c>
      <x:c r="V771" s="34" t="str">
        <x:v>CAND-C9EAFC0F482485</x:v>
      </x:c>
      <x:c r="W771" s="34" t="str">
        <x:v>P2</x:v>
      </x:c>
      <x:c r="X771" s="34" t="str">
        <x:v>PORT-1144EBE63B41</x:v>
      </x:c>
      <x:c r="Y771" s="34" t="n">
        <x:v>1000</x:v>
      </x:c>
      <x:c r="Z771" s="34" t="n">
        <x:v>144.712539</x:v>
      </x:c>
      <x:c r="AA771" s="34" t="n">
        <x:v>36.074915</x:v>
      </x:c>
      <x:c r="AB771" s="34" t="n">
        <x:v>102.391093</x:v>
      </x:c>
      <x:c r="AC771" s="34" t="n">
        <x:v>14552.066</x:v>
      </x:c>
      <x:c r="AD771" s="34" t="n">
        <x:v>142.122383</x:v>
      </x:c>
      <x:c r="AE771" s="40" t="b">
        <x:v>1</x:v>
      </x:c>
      <x:c r="AF771" s="40" t="b">
        <x:v>1</x:v>
      </x:c>
      <x:c r="AG771" s="34" t="str"/>
      <x:c r="AH771" s="34" t="n">
        <x:v>0</x:v>
      </x:c>
      <x:c r="AI771" s="34" t="str">
        <x:v>9.990856690045291e-05</x:v>
      </x:c>
      <x:c r="AJ771" s="40" t="b">
        <x:v>1</x:v>
      </x:c>
      <x:c r="AK771" s="40" t="b">
        <x:v>1</x:v>
      </x:c>
      <x:c r="AL771" s="40" t="b">
        <x:v>1</x:v>
      </x:c>
      <x:c r="AM771" s="40" t="b">
        <x:v>1</x:v>
      </x:c>
      <x:c r="AN771" s="34" t="str"/>
      <x:c r="AO771" s="34" t="n">
        <x:v>0</x:v>
      </x:c>
      <x:c r="AP771" s="34" t="n">
        <x:v>0</x:v>
      </x:c>
      <x:c r="AQ771" s="34" t="n">
        <x:v>0</x:v>
      </x:c>
      <x:c r="AR771" s="34" t="n">
        <x:v>1</x:v>
      </x:c>
      <x:c r="AS771" s="34" t="n">
        <x:v>1</x:v>
      </x:c>
      <x:c r="AT771" s="34" t="n">
        <x:v>0.28332</x:v>
      </x:c>
      <x:c r="AU771" s="34" t="n">
        <x:v>0.6</x:v>
      </x:c>
      <x:c r="AV771" s="34" t="n">
        <x:v>1.06</x:v>
      </x:c>
    </x:row>
    <x:row r="772">
      <x:c r="A772" s="34" t="str">
        <x:v>KOBE_STEEL_JP</x:v>
      </x:c>
      <x:c r="B772" s="34" t="str">
        <x:v>Kobe Steel</x:v>
      </x:c>
      <x:c r="C772" s="34" t="str">
        <x:v>ACCELERATED_15C</x:v>
      </x:c>
      <x:c r="D772" s="34" t="str">
        <x:v>P2</x:v>
      </x:c>
      <x:c r="E772" s="34" t="n">
        <x:v>2031</x:v>
      </x:c>
      <x:c r="F772" s="34" t="n">
        <x:v>1</x:v>
      </x:c>
      <x:c r="G772" s="34" t="n">
        <x:v>0.4425</x:v>
      </x:c>
      <x:c r="H772" s="34" t="n">
        <x:v>3.4</x:v>
      </x:c>
      <x:c r="I772" s="34" t="n">
        <x:v>2.9575</x:v>
      </x:c>
      <x:c r="J772" s="34" t="n">
        <x:v>13.015</x:v>
      </x:c>
      <x:c r="K772" s="34" t="n">
        <x:v>0.16225</x:v>
      </x:c>
      <x:c r="L772" s="34" t="n">
        <x:v>0.44</x:v>
      </x:c>
      <x:c r="M772" s="34" t="n">
        <x:v>0.27775</x:v>
      </x:c>
      <x:c r="N772" s="34" t="n">
        <x:v>36.875</x:v>
      </x:c>
      <x:c r="O772" s="34" t="n">
        <x:v>1.357</x:v>
      </x:c>
      <x:c r="P772" s="34" t="n">
        <x:v>2.8</x:v>
      </x:c>
      <x:c r="Q772" s="34" t="n">
        <x:v>1.443</x:v>
      </x:c>
      <x:c r="R772" s="34" t="n">
        <x:v>48.464</x:v>
      </x:c>
      <x:c r="S772" s="40" t="b">
        <x:v>1</x:v>
      </x:c>
      <x:c r="T772" s="34" t="str">
        <x:v>model_interpolation</x:v>
      </x:c>
      <x:c r="U772" s="34" t="str">
        <x:v>Linear interpolation from 2030 to 2035</x:v>
      </x:c>
      <x:c r="V772" s="34" t="str">
        <x:v>CAND-C9EAFC0F482485</x:v>
      </x:c>
      <x:c r="W772" s="34" t="str">
        <x:v>P2</x:v>
      </x:c>
      <x:c r="X772" s="34" t="str">
        <x:v>PORT-1144EBE63B41</x:v>
      </x:c>
      <x:c r="Y772" s="34" t="n">
        <x:v>1000</x:v>
      </x:c>
      <x:c r="Z772" s="34" t="n">
        <x:v>144.712539</x:v>
      </x:c>
      <x:c r="AA772" s="34" t="n">
        <x:v>36.074915</x:v>
      </x:c>
      <x:c r="AB772" s="34" t="n">
        <x:v>102.391093</x:v>
      </x:c>
      <x:c r="AC772" s="34" t="n">
        <x:v>14552.066</x:v>
      </x:c>
      <x:c r="AD772" s="34" t="n">
        <x:v>142.122383</x:v>
      </x:c>
      <x:c r="AE772" s="40" t="b">
        <x:v>1</x:v>
      </x:c>
      <x:c r="AF772" s="40" t="b">
        <x:v>1</x:v>
      </x:c>
      <x:c r="AG772" s="34" t="str"/>
      <x:c r="AH772" s="34" t="n">
        <x:v>0</x:v>
      </x:c>
      <x:c r="AI772" s="34" t="str">
        <x:v>9.990856690045291e-05</x:v>
      </x:c>
      <x:c r="AJ772" s="40" t="b">
        <x:v>1</x:v>
      </x:c>
      <x:c r="AK772" s="40" t="b">
        <x:v>1</x:v>
      </x:c>
      <x:c r="AL772" s="40" t="b">
        <x:v>1</x:v>
      </x:c>
      <x:c r="AM772" s="40" t="b">
        <x:v>1</x:v>
      </x:c>
      <x:c r="AN772" s="34" t="str"/>
      <x:c r="AO772" s="34" t="n">
        <x:v>0</x:v>
      </x:c>
      <x:c r="AP772" s="34" t="n">
        <x:v>0</x:v>
      </x:c>
      <x:c r="AQ772" s="34" t="n">
        <x:v>0</x:v>
      </x:c>
      <x:c r="AR772" s="34" t="n">
        <x:v>1</x:v>
      </x:c>
      <x:c r="AS772" s="34" t="n">
        <x:v>1</x:v>
      </x:c>
      <x:c r="AT772" s="34" t="n">
        <x:v>0.28332</x:v>
      </x:c>
      <x:c r="AU772" s="34" t="n">
        <x:v>0.6</x:v>
      </x:c>
      <x:c r="AV772" s="34" t="n">
        <x:v>1.06</x:v>
      </x:c>
    </x:row>
    <x:row r="773">
      <x:c r="A773" s="34" t="str">
        <x:v>KOBE_STEEL_JP</x:v>
      </x:c>
      <x:c r="B773" s="34" t="str">
        <x:v>Kobe Steel</x:v>
      </x:c>
      <x:c r="C773" s="34" t="str">
        <x:v>ACCELERATED_15C</x:v>
      </x:c>
      <x:c r="D773" s="34" t="str">
        <x:v>P2</x:v>
      </x:c>
      <x:c r="E773" s="34" t="n">
        <x:v>2032</x:v>
      </x:c>
      <x:c r="F773" s="34" t="n">
        <x:v>1</x:v>
      </x:c>
      <x:c r="G773" s="34" t="n">
        <x:v>0.4425</x:v>
      </x:c>
      <x:c r="H773" s="34" t="n">
        <x:v>3.8</x:v>
      </x:c>
      <x:c r="I773" s="34" t="n">
        <x:v>3.3575</x:v>
      </x:c>
      <x:c r="J773" s="34" t="n">
        <x:v>11.645</x:v>
      </x:c>
      <x:c r="K773" s="34" t="n">
        <x:v>0.16225</x:v>
      </x:c>
      <x:c r="L773" s="34" t="n">
        <x:v>0.48</x:v>
      </x:c>
      <x:c r="M773" s="34" t="n">
        <x:v>0.31775</x:v>
      </x:c>
      <x:c r="N773" s="34" t="n">
        <x:v>33.802</x:v>
      </x:c>
      <x:c r="O773" s="34" t="n">
        <x:v>1.357</x:v>
      </x:c>
      <x:c r="P773" s="34" t="n">
        <x:v>3.1</x:v>
      </x:c>
      <x:c r="Q773" s="34" t="n">
        <x:v>1.743</x:v>
      </x:c>
      <x:c r="R773" s="34" t="n">
        <x:v>43.774</x:v>
      </x:c>
      <x:c r="S773" s="40" t="b">
        <x:v>1</x:v>
      </x:c>
      <x:c r="T773" s="34" t="str">
        <x:v>model_interpolation</x:v>
      </x:c>
      <x:c r="U773" s="34" t="str">
        <x:v>Linear interpolation from 2030 to 2035</x:v>
      </x:c>
      <x:c r="V773" s="34" t="str">
        <x:v>CAND-C9EAFC0F482485</x:v>
      </x:c>
      <x:c r="W773" s="34" t="str">
        <x:v>P2</x:v>
      </x:c>
      <x:c r="X773" s="34" t="str">
        <x:v>PORT-1144EBE63B41</x:v>
      </x:c>
      <x:c r="Y773" s="34" t="n">
        <x:v>1000</x:v>
      </x:c>
      <x:c r="Z773" s="34" t="n">
        <x:v>144.712539</x:v>
      </x:c>
      <x:c r="AA773" s="34" t="n">
        <x:v>36.074915</x:v>
      </x:c>
      <x:c r="AB773" s="34" t="n">
        <x:v>102.391093</x:v>
      </x:c>
      <x:c r="AC773" s="34" t="n">
        <x:v>14552.066</x:v>
      </x:c>
      <x:c r="AD773" s="34" t="n">
        <x:v>142.122383</x:v>
      </x:c>
      <x:c r="AE773" s="40" t="b">
        <x:v>1</x:v>
      </x:c>
      <x:c r="AF773" s="40" t="b">
        <x:v>1</x:v>
      </x:c>
      <x:c r="AG773" s="34" t="str"/>
      <x:c r="AH773" s="34" t="n">
        <x:v>0</x:v>
      </x:c>
      <x:c r="AI773" s="34" t="str">
        <x:v>9.990856690045291e-05</x:v>
      </x:c>
      <x:c r="AJ773" s="40" t="b">
        <x:v>1</x:v>
      </x:c>
      <x:c r="AK773" s="40" t="b">
        <x:v>1</x:v>
      </x:c>
      <x:c r="AL773" s="40" t="b">
        <x:v>1</x:v>
      </x:c>
      <x:c r="AM773" s="40" t="b">
        <x:v>1</x:v>
      </x:c>
      <x:c r="AN773" s="34" t="str"/>
      <x:c r="AO773" s="34" t="n">
        <x:v>0</x:v>
      </x:c>
      <x:c r="AP773" s="34" t="n">
        <x:v>0</x:v>
      </x:c>
      <x:c r="AQ773" s="34" t="n">
        <x:v>0</x:v>
      </x:c>
      <x:c r="AR773" s="34" t="n">
        <x:v>1</x:v>
      </x:c>
      <x:c r="AS773" s="34" t="n">
        <x:v>1</x:v>
      </x:c>
      <x:c r="AT773" s="34" t="n">
        <x:v>0.28332</x:v>
      </x:c>
      <x:c r="AU773" s="34" t="n">
        <x:v>0.6</x:v>
      </x:c>
      <x:c r="AV773" s="34" t="n">
        <x:v>1.06</x:v>
      </x:c>
    </x:row>
    <x:row r="774">
      <x:c r="A774" s="34" t="str">
        <x:v>KOBE_STEEL_JP</x:v>
      </x:c>
      <x:c r="B774" s="34" t="str">
        <x:v>Kobe Steel</x:v>
      </x:c>
      <x:c r="C774" s="34" t="str">
        <x:v>ACCELERATED_15C</x:v>
      </x:c>
      <x:c r="D774" s="34" t="str">
        <x:v>P2</x:v>
      </x:c>
      <x:c r="E774" s="34" t="n">
        <x:v>2033</x:v>
      </x:c>
      <x:c r="F774" s="34" t="n">
        <x:v>2</x:v>
      </x:c>
      <x:c r="G774" s="34" t="n">
        <x:v>0.5325</x:v>
      </x:c>
      <x:c r="H774" s="34" t="n">
        <x:v>4.2</x:v>
      </x:c>
      <x:c r="I774" s="34" t="n">
        <x:v>3.6675</x:v>
      </x:c>
      <x:c r="J774" s="34" t="n">
        <x:v>12.679</x:v>
      </x:c>
      <x:c r="K774" s="34" t="n">
        <x:v>0.16225</x:v>
      </x:c>
      <x:c r="L774" s="34" t="n">
        <x:v>0.52</x:v>
      </x:c>
      <x:c r="M774" s="34" t="n">
        <x:v>0.35775</x:v>
      </x:c>
      <x:c r="N774" s="34" t="n">
        <x:v>31.202</x:v>
      </x:c>
      <x:c r="O774" s="34" t="n">
        <x:v>1.359</x:v>
      </x:c>
      <x:c r="P774" s="34" t="n">
        <x:v>3.4</x:v>
      </x:c>
      <x:c r="Q774" s="34" t="n">
        <x:v>2.041</x:v>
      </x:c>
      <x:c r="R774" s="34" t="n">
        <x:v>39.971</x:v>
      </x:c>
      <x:c r="S774" s="40" t="b">
        <x:v>1</x:v>
      </x:c>
      <x:c r="T774" s="34" t="str">
        <x:v>model_interpolation</x:v>
      </x:c>
      <x:c r="U774" s="34" t="str">
        <x:v>Linear interpolation from 2030 to 2035</x:v>
      </x:c>
      <x:c r="V774" s="34" t="str">
        <x:v>CAND-C9EAFC0F482485</x:v>
      </x:c>
      <x:c r="W774" s="34" t="str">
        <x:v>P2</x:v>
      </x:c>
      <x:c r="X774" s="34" t="str">
        <x:v>PORT-1144EBE63B41</x:v>
      </x:c>
      <x:c r="Y774" s="34" t="n">
        <x:v>1000</x:v>
      </x:c>
      <x:c r="Z774" s="34" t="n">
        <x:v>144.712539</x:v>
      </x:c>
      <x:c r="AA774" s="34" t="n">
        <x:v>36.074915</x:v>
      </x:c>
      <x:c r="AB774" s="34" t="n">
        <x:v>102.391093</x:v>
      </x:c>
      <x:c r="AC774" s="34" t="n">
        <x:v>14552.066</x:v>
      </x:c>
      <x:c r="AD774" s="34" t="n">
        <x:v>142.122383</x:v>
      </x:c>
      <x:c r="AE774" s="40" t="b">
        <x:v>1</x:v>
      </x:c>
      <x:c r="AF774" s="40" t="b">
        <x:v>1</x:v>
      </x:c>
      <x:c r="AG774" s="34" t="str"/>
      <x:c r="AH774" s="34" t="n">
        <x:v>0</x:v>
      </x:c>
      <x:c r="AI774" s="34" t="str">
        <x:v>9.990856690045291e-05</x:v>
      </x:c>
      <x:c r="AJ774" s="40" t="b">
        <x:v>1</x:v>
      </x:c>
      <x:c r="AK774" s="40" t="b">
        <x:v>1</x:v>
      </x:c>
      <x:c r="AL774" s="40" t="b">
        <x:v>1</x:v>
      </x:c>
      <x:c r="AM774" s="40" t="b">
        <x:v>1</x:v>
      </x:c>
      <x:c r="AN774" s="34" t="str"/>
      <x:c r="AO774" s="34" t="n">
        <x:v>0</x:v>
      </x:c>
      <x:c r="AP774" s="34" t="n">
        <x:v>0</x:v>
      </x:c>
      <x:c r="AQ774" s="34" t="n">
        <x:v>0</x:v>
      </x:c>
      <x:c r="AR774" s="34" t="n">
        <x:v>1</x:v>
      </x:c>
      <x:c r="AS774" s="34" t="n">
        <x:v>1</x:v>
      </x:c>
      <x:c r="AT774" s="34" t="n">
        <x:v>0.28332</x:v>
      </x:c>
      <x:c r="AU774" s="34" t="n">
        <x:v>0.6</x:v>
      </x:c>
      <x:c r="AV774" s="34" t="n">
        <x:v>1.06</x:v>
      </x:c>
    </x:row>
    <x:row r="775">
      <x:c r="A775" s="34" t="str">
        <x:v>KOBE_STEEL_JP</x:v>
      </x:c>
      <x:c r="B775" s="34" t="str">
        <x:v>Kobe Steel</x:v>
      </x:c>
      <x:c r="C775" s="34" t="str">
        <x:v>ACCELERATED_15C</x:v>
      </x:c>
      <x:c r="D775" s="34" t="str">
        <x:v>P2</x:v>
      </x:c>
      <x:c r="E775" s="34" t="n">
        <x:v>2034</x:v>
      </x:c>
      <x:c r="F775" s="34" t="n">
        <x:v>2</x:v>
      </x:c>
      <x:c r="G775" s="34" t="n">
        <x:v>0.5325</x:v>
      </x:c>
      <x:c r="H775" s="34" t="n">
        <x:v>4.6</x:v>
      </x:c>
      <x:c r="I775" s="34" t="n">
        <x:v>4.0675</x:v>
      </x:c>
      <x:c r="J775" s="34" t="n">
        <x:v>11.576</x:v>
      </x:c>
      <x:c r="K775" s="34" t="n">
        <x:v>0.16225</x:v>
      </x:c>
      <x:c r="L775" s="34" t="n">
        <x:v>0.56</x:v>
      </x:c>
      <x:c r="M775" s="34" t="n">
        <x:v>0.39775</x:v>
      </x:c>
      <x:c r="N775" s="34" t="n">
        <x:v>28.973</x:v>
      </x:c>
      <x:c r="O775" s="34" t="n">
        <x:v>1.359</x:v>
      </x:c>
      <x:c r="P775" s="34" t="n">
        <x:v>3.7</x:v>
      </x:c>
      <x:c r="Q775" s="34" t="n">
        <x:v>2.341</x:v>
      </x:c>
      <x:c r="R775" s="34" t="n">
        <x:v>36.73</x:v>
      </x:c>
      <x:c r="S775" s="40" t="b">
        <x:v>1</x:v>
      </x:c>
      <x:c r="T775" s="34" t="str">
        <x:v>model_interpolation</x:v>
      </x:c>
      <x:c r="U775" s="34" t="str">
        <x:v>Linear interpolation from 2030 to 2035</x:v>
      </x:c>
      <x:c r="V775" s="34" t="str">
        <x:v>CAND-C9EAFC0F482485</x:v>
      </x:c>
      <x:c r="W775" s="34" t="str">
        <x:v>P2</x:v>
      </x:c>
      <x:c r="X775" s="34" t="str">
        <x:v>PORT-1144EBE63B41</x:v>
      </x:c>
      <x:c r="Y775" s="34" t="n">
        <x:v>1000</x:v>
      </x:c>
      <x:c r="Z775" s="34" t="n">
        <x:v>144.712539</x:v>
      </x:c>
      <x:c r="AA775" s="34" t="n">
        <x:v>36.074915</x:v>
      </x:c>
      <x:c r="AB775" s="34" t="n">
        <x:v>102.391093</x:v>
      </x:c>
      <x:c r="AC775" s="34" t="n">
        <x:v>14552.066</x:v>
      </x:c>
      <x:c r="AD775" s="34" t="n">
        <x:v>142.122383</x:v>
      </x:c>
      <x:c r="AE775" s="40" t="b">
        <x:v>1</x:v>
      </x:c>
      <x:c r="AF775" s="40" t="b">
        <x:v>1</x:v>
      </x:c>
      <x:c r="AG775" s="34" t="str"/>
      <x:c r="AH775" s="34" t="n">
        <x:v>0</x:v>
      </x:c>
      <x:c r="AI775" s="34" t="str">
        <x:v>9.990856690045291e-05</x:v>
      </x:c>
      <x:c r="AJ775" s="40" t="b">
        <x:v>1</x:v>
      </x:c>
      <x:c r="AK775" s="40" t="b">
        <x:v>1</x:v>
      </x:c>
      <x:c r="AL775" s="40" t="b">
        <x:v>1</x:v>
      </x:c>
      <x:c r="AM775" s="40" t="b">
        <x:v>1</x:v>
      </x:c>
      <x:c r="AN775" s="34" t="str"/>
      <x:c r="AO775" s="34" t="n">
        <x:v>0</x:v>
      </x:c>
      <x:c r="AP775" s="34" t="n">
        <x:v>0</x:v>
      </x:c>
      <x:c r="AQ775" s="34" t="n">
        <x:v>0</x:v>
      </x:c>
      <x:c r="AR775" s="34" t="n">
        <x:v>1</x:v>
      </x:c>
      <x:c r="AS775" s="34" t="n">
        <x:v>1</x:v>
      </x:c>
      <x:c r="AT775" s="34" t="n">
        <x:v>0.28332</x:v>
      </x:c>
      <x:c r="AU775" s="34" t="n">
        <x:v>0.6</x:v>
      </x:c>
      <x:c r="AV775" s="34" t="n">
        <x:v>1.06</x:v>
      </x:c>
    </x:row>
    <x:row r="776">
      <x:c r="A776" s="34" t="str">
        <x:v>KOBE_STEEL_JP</x:v>
      </x:c>
      <x:c r="B776" s="34" t="str">
        <x:v>Kobe Steel</x:v>
      </x:c>
      <x:c r="C776" s="34" t="str">
        <x:v>ACCELERATED_15C</x:v>
      </x:c>
      <x:c r="D776" s="34" t="str">
        <x:v>P2</x:v>
      </x:c>
      <x:c r="E776" s="34" t="n">
        <x:v>2035</x:v>
      </x:c>
      <x:c r="F776" s="34" t="n">
        <x:v>2</x:v>
      </x:c>
      <x:c r="G776" s="34" t="n">
        <x:v>0.5325</x:v>
      </x:c>
      <x:c r="H776" s="34" t="n">
        <x:v>5</x:v>
      </x:c>
      <x:c r="I776" s="34" t="n">
        <x:v>4.4675</x:v>
      </x:c>
      <x:c r="J776" s="34" t="n">
        <x:v>10.65</x:v>
      </x:c>
      <x:c r="K776" s="34" t="n">
        <x:v>0.16225</x:v>
      </x:c>
      <x:c r="L776" s="34" t="n">
        <x:v>0.6</x:v>
      </x:c>
      <x:c r="M776" s="34" t="n">
        <x:v>0.43775</x:v>
      </x:c>
      <x:c r="N776" s="34" t="n">
        <x:v>27.042</x:v>
      </x:c>
      <x:c r="O776" s="34" t="n">
        <x:v>1.359</x:v>
      </x:c>
      <x:c r="P776" s="34" t="n">
        <x:v>4</x:v>
      </x:c>
      <x:c r="Q776" s="34" t="n">
        <x:v>2.641</x:v>
      </x:c>
      <x:c r="R776" s="34" t="n">
        <x:v>33.975</x:v>
      </x:c>
      <x:c r="S776" s="40" t="b">
        <x:v>1</x:v>
      </x:c>
      <x:c r="T776" s="34" t="str">
        <x:v>model_interpolation</x:v>
      </x:c>
      <x:c r="U776" s="34" t="str">
        <x:v>Linear interpolation from 2035 to 2040</x:v>
      </x:c>
      <x:c r="V776" s="34" t="str">
        <x:v>CAND-C9EAFC0F482485</x:v>
      </x:c>
      <x:c r="W776" s="34" t="str">
        <x:v>P2</x:v>
      </x:c>
      <x:c r="X776" s="34" t="str">
        <x:v>PORT-1144EBE63B41</x:v>
      </x:c>
      <x:c r="Y776" s="34" t="n">
        <x:v>1000</x:v>
      </x:c>
      <x:c r="Z776" s="34" t="n">
        <x:v>144.712539</x:v>
      </x:c>
      <x:c r="AA776" s="34" t="n">
        <x:v>36.074915</x:v>
      </x:c>
      <x:c r="AB776" s="34" t="n">
        <x:v>102.391093</x:v>
      </x:c>
      <x:c r="AC776" s="34" t="n">
        <x:v>14552.066</x:v>
      </x:c>
      <x:c r="AD776" s="34" t="n">
        <x:v>142.122383</x:v>
      </x:c>
      <x:c r="AE776" s="40" t="b">
        <x:v>1</x:v>
      </x:c>
      <x:c r="AF776" s="40" t="b">
        <x:v>1</x:v>
      </x:c>
      <x:c r="AG776" s="34" t="str"/>
      <x:c r="AH776" s="34" t="n">
        <x:v>0</x:v>
      </x:c>
      <x:c r="AI776" s="34" t="str">
        <x:v>9.990856690045291e-05</x:v>
      </x:c>
      <x:c r="AJ776" s="40" t="b">
        <x:v>1</x:v>
      </x:c>
      <x:c r="AK776" s="40" t="b">
        <x:v>1</x:v>
      </x:c>
      <x:c r="AL776" s="40" t="b">
        <x:v>1</x:v>
      </x:c>
      <x:c r="AM776" s="40" t="b">
        <x:v>1</x:v>
      </x:c>
      <x:c r="AN776" s="34" t="str"/>
      <x:c r="AO776" s="34" t="n">
        <x:v>0</x:v>
      </x:c>
      <x:c r="AP776" s="34" t="n">
        <x:v>0</x:v>
      </x:c>
      <x:c r="AQ776" s="34" t="n">
        <x:v>0</x:v>
      </x:c>
      <x:c r="AR776" s="34" t="n">
        <x:v>1</x:v>
      </x:c>
      <x:c r="AS776" s="34" t="n">
        <x:v>1</x:v>
      </x:c>
      <x:c r="AT776" s="34" t="n">
        <x:v>0.28332</x:v>
      </x:c>
      <x:c r="AU776" s="34" t="n">
        <x:v>0.6</x:v>
      </x:c>
      <x:c r="AV776" s="34" t="n">
        <x:v>1.06</x:v>
      </x:c>
    </x:row>
    <x:row r="777">
      <x:c r="A777" s="34" t="str">
        <x:v>KOBE_STEEL_JP</x:v>
      </x:c>
      <x:c r="B777" s="34" t="str">
        <x:v>Kobe Steel</x:v>
      </x:c>
      <x:c r="C777" s="34" t="str">
        <x:v>ACCELERATED_15C</x:v>
      </x:c>
      <x:c r="D777" s="34" t="str">
        <x:v>P2</x:v>
      </x:c>
      <x:c r="E777" s="34" t="n">
        <x:v>2036</x:v>
      </x:c>
      <x:c r="F777" s="34" t="n">
        <x:v>2</x:v>
      </x:c>
      <x:c r="G777" s="34" t="n">
        <x:v>0.5325</x:v>
      </x:c>
      <x:c r="H777" s="34" t="n">
        <x:v>5.2</x:v>
      </x:c>
      <x:c r="I777" s="34" t="n">
        <x:v>4.6675</x:v>
      </x:c>
      <x:c r="J777" s="34" t="n">
        <x:v>10.24</x:v>
      </x:c>
      <x:c r="K777" s="34" t="n">
        <x:v>0.16225</x:v>
      </x:c>
      <x:c r="L777" s="34" t="n">
        <x:v>0.6799999999999999</x:v>
      </x:c>
      <x:c r="M777" s="34" t="n">
        <x:v>0.51775</x:v>
      </x:c>
      <x:c r="N777" s="34" t="n">
        <x:v>23.86</x:v>
      </x:c>
      <x:c r="O777" s="34" t="n">
        <x:v>1.359</x:v>
      </x:c>
      <x:c r="P777" s="34" t="n">
        <x:v>4.5</x:v>
      </x:c>
      <x:c r="Q777" s="34" t="n">
        <x:v>3.141</x:v>
      </x:c>
      <x:c r="R777" s="34" t="n">
        <x:v>30.2</x:v>
      </x:c>
      <x:c r="S777" s="40" t="b">
        <x:v>1</x:v>
      </x:c>
      <x:c r="T777" s="34" t="str">
        <x:v>model_interpolation</x:v>
      </x:c>
      <x:c r="U777" s="34" t="str">
        <x:v>Linear interpolation from 2035 to 2040</x:v>
      </x:c>
      <x:c r="V777" s="34" t="str">
        <x:v>CAND-C9EAFC0F482485</x:v>
      </x:c>
      <x:c r="W777" s="34" t="str">
        <x:v>P2</x:v>
      </x:c>
      <x:c r="X777" s="34" t="str">
        <x:v>PORT-1144EBE63B41</x:v>
      </x:c>
      <x:c r="Y777" s="34" t="n">
        <x:v>1000</x:v>
      </x:c>
      <x:c r="Z777" s="34" t="n">
        <x:v>144.712539</x:v>
      </x:c>
      <x:c r="AA777" s="34" t="n">
        <x:v>36.074915</x:v>
      </x:c>
      <x:c r="AB777" s="34" t="n">
        <x:v>102.391093</x:v>
      </x:c>
      <x:c r="AC777" s="34" t="n">
        <x:v>14552.066</x:v>
      </x:c>
      <x:c r="AD777" s="34" t="n">
        <x:v>142.122383</x:v>
      </x:c>
      <x:c r="AE777" s="40" t="b">
        <x:v>1</x:v>
      </x:c>
      <x:c r="AF777" s="40" t="b">
        <x:v>1</x:v>
      </x:c>
      <x:c r="AG777" s="34" t="str"/>
      <x:c r="AH777" s="34" t="n">
        <x:v>0</x:v>
      </x:c>
      <x:c r="AI777" s="34" t="str">
        <x:v>9.990856690045291e-05</x:v>
      </x:c>
      <x:c r="AJ777" s="40" t="b">
        <x:v>1</x:v>
      </x:c>
      <x:c r="AK777" s="40" t="b">
        <x:v>1</x:v>
      </x:c>
      <x:c r="AL777" s="40" t="b">
        <x:v>1</x:v>
      </x:c>
      <x:c r="AM777" s="40" t="b">
        <x:v>1</x:v>
      </x:c>
      <x:c r="AN777" s="34" t="str"/>
      <x:c r="AO777" s="34" t="n">
        <x:v>0</x:v>
      </x:c>
      <x:c r="AP777" s="34" t="n">
        <x:v>0</x:v>
      </x:c>
      <x:c r="AQ777" s="34" t="n">
        <x:v>0</x:v>
      </x:c>
      <x:c r="AR777" s="34" t="n">
        <x:v>1</x:v>
      </x:c>
      <x:c r="AS777" s="34" t="n">
        <x:v>1</x:v>
      </x:c>
      <x:c r="AT777" s="34" t="n">
        <x:v>0.28332</x:v>
      </x:c>
      <x:c r="AU777" s="34" t="n">
        <x:v>0.6</x:v>
      </x:c>
      <x:c r="AV777" s="34" t="n">
        <x:v>1.06</x:v>
      </x:c>
    </x:row>
    <x:row r="778">
      <x:c r="A778" s="34" t="str">
        <x:v>KOBE_STEEL_JP</x:v>
      </x:c>
      <x:c r="B778" s="34" t="str">
        <x:v>Kobe Steel</x:v>
      </x:c>
      <x:c r="C778" s="34" t="str">
        <x:v>ACCELERATED_15C</x:v>
      </x:c>
      <x:c r="D778" s="34" t="str">
        <x:v>P2</x:v>
      </x:c>
      <x:c r="E778" s="34" t="n">
        <x:v>2037</x:v>
      </x:c>
      <x:c r="F778" s="34" t="n">
        <x:v>3</x:v>
      </x:c>
      <x:c r="G778" s="34" t="n">
        <x:v>3.151499</x:v>
      </x:c>
      <x:c r="H778" s="34" t="n">
        <x:v>5.4</x:v>
      </x:c>
      <x:c r="I778" s="34" t="n">
        <x:v>2.248501</x:v>
      </x:c>
      <x:c r="J778" s="34" t="n">
        <x:v>58.361</x:v>
      </x:c>
      <x:c r="K778" s="34" t="n">
        <x:v>0.16225</x:v>
      </x:c>
      <x:c r="L778" s="34" t="n">
        <x:v>0.76</x:v>
      </x:c>
      <x:c r="M778" s="34" t="n">
        <x:v>0.59775</x:v>
      </x:c>
      <x:c r="N778" s="34" t="n">
        <x:v>21.349</x:v>
      </x:c>
      <x:c r="O778" s="34" t="n">
        <x:v>2.988599</x:v>
      </x:c>
      <x:c r="P778" s="34" t="n">
        <x:v>5</x:v>
      </x:c>
      <x:c r="Q778" s="34" t="n">
        <x:v>2.011401</x:v>
      </x:c>
      <x:c r="R778" s="34" t="n">
        <x:v>59.772</x:v>
      </x:c>
      <x:c r="S778" s="40" t="b">
        <x:v>1</x:v>
      </x:c>
      <x:c r="T778" s="34" t="str">
        <x:v>model_interpolation</x:v>
      </x:c>
      <x:c r="U778" s="34" t="str">
        <x:v>Linear interpolation from 2035 to 2040</x:v>
      </x:c>
      <x:c r="V778" s="34" t="str">
        <x:v>CAND-C9EAFC0F482485</x:v>
      </x:c>
      <x:c r="W778" s="34" t="str">
        <x:v>P2</x:v>
      </x:c>
      <x:c r="X778" s="34" t="str">
        <x:v>PORT-1144EBE63B41</x:v>
      </x:c>
      <x:c r="Y778" s="34" t="n">
        <x:v>1000</x:v>
      </x:c>
      <x:c r="Z778" s="34" t="n">
        <x:v>144.712539</x:v>
      </x:c>
      <x:c r="AA778" s="34" t="n">
        <x:v>36.074915</x:v>
      </x:c>
      <x:c r="AB778" s="34" t="n">
        <x:v>102.391093</x:v>
      </x:c>
      <x:c r="AC778" s="34" t="n">
        <x:v>14552.066</x:v>
      </x:c>
      <x:c r="AD778" s="34" t="n">
        <x:v>142.122383</x:v>
      </x:c>
      <x:c r="AE778" s="40" t="b">
        <x:v>1</x:v>
      </x:c>
      <x:c r="AF778" s="40" t="b">
        <x:v>1</x:v>
      </x:c>
      <x:c r="AG778" s="34" t="str"/>
      <x:c r="AH778" s="34" t="n">
        <x:v>0</x:v>
      </x:c>
      <x:c r="AI778" s="34" t="str">
        <x:v>9.990856690045291e-05</x:v>
      </x:c>
      <x:c r="AJ778" s="40" t="b">
        <x:v>1</x:v>
      </x:c>
      <x:c r="AK778" s="40" t="b">
        <x:v>1</x:v>
      </x:c>
      <x:c r="AL778" s="40" t="b">
        <x:v>1</x:v>
      </x:c>
      <x:c r="AM778" s="40" t="b">
        <x:v>1</x:v>
      </x:c>
      <x:c r="AN778" s="34" t="str"/>
      <x:c r="AO778" s="34" t="n">
        <x:v>0</x:v>
      </x:c>
      <x:c r="AP778" s="34" t="n">
        <x:v>0</x:v>
      </x:c>
      <x:c r="AQ778" s="34" t="n">
        <x:v>0</x:v>
      </x:c>
      <x:c r="AR778" s="34" t="n">
        <x:v>1</x:v>
      </x:c>
      <x:c r="AS778" s="34" t="n">
        <x:v>1</x:v>
      </x:c>
      <x:c r="AT778" s="34" t="n">
        <x:v>0.28332</x:v>
      </x:c>
      <x:c r="AU778" s="34" t="n">
        <x:v>0.6</x:v>
      </x:c>
      <x:c r="AV778" s="34" t="n">
        <x:v>1.06</x:v>
      </x:c>
    </x:row>
    <x:row r="779">
      <x:c r="A779" s="34" t="str">
        <x:v>KOBE_STEEL_JP</x:v>
      </x:c>
      <x:c r="B779" s="34" t="str">
        <x:v>Kobe Steel</x:v>
      </x:c>
      <x:c r="C779" s="34" t="str">
        <x:v>ACCELERATED_15C</x:v>
      </x:c>
      <x:c r="D779" s="34" t="str">
        <x:v>P2</x:v>
      </x:c>
      <x:c r="E779" s="34" t="n">
        <x:v>2038</x:v>
      </x:c>
      <x:c r="F779" s="34" t="n">
        <x:v>3</x:v>
      </x:c>
      <x:c r="G779" s="34" t="n">
        <x:v>3.151499</x:v>
      </x:c>
      <x:c r="H779" s="34" t="n">
        <x:v>5.6</x:v>
      </x:c>
      <x:c r="I779" s="34" t="n">
        <x:v>2.448501</x:v>
      </x:c>
      <x:c r="J779" s="34" t="n">
        <x:v>56.277</x:v>
      </x:c>
      <x:c r="K779" s="34" t="n">
        <x:v>0.16225</x:v>
      </x:c>
      <x:c r="L779" s="34" t="n">
        <x:v>0.84</x:v>
      </x:c>
      <x:c r="M779" s="34" t="n">
        <x:v>0.67775</x:v>
      </x:c>
      <x:c r="N779" s="34" t="n">
        <x:v>19.315</x:v>
      </x:c>
      <x:c r="O779" s="34" t="n">
        <x:v>2.988599</x:v>
      </x:c>
      <x:c r="P779" s="34" t="n">
        <x:v>5.5</x:v>
      </x:c>
      <x:c r="Q779" s="34" t="n">
        <x:v>2.511401</x:v>
      </x:c>
      <x:c r="R779" s="34" t="n">
        <x:v>54.338</x:v>
      </x:c>
      <x:c r="S779" s="40" t="b">
        <x:v>1</x:v>
      </x:c>
      <x:c r="T779" s="34" t="str">
        <x:v>model_interpolation</x:v>
      </x:c>
      <x:c r="U779" s="34" t="str">
        <x:v>Linear interpolation from 2035 to 2040</x:v>
      </x:c>
      <x:c r="V779" s="34" t="str">
        <x:v>CAND-C9EAFC0F482485</x:v>
      </x:c>
      <x:c r="W779" s="34" t="str">
        <x:v>P2</x:v>
      </x:c>
      <x:c r="X779" s="34" t="str">
        <x:v>PORT-1144EBE63B41</x:v>
      </x:c>
      <x:c r="Y779" s="34" t="n">
        <x:v>1000</x:v>
      </x:c>
      <x:c r="Z779" s="34" t="n">
        <x:v>144.712539</x:v>
      </x:c>
      <x:c r="AA779" s="34" t="n">
        <x:v>36.074915</x:v>
      </x:c>
      <x:c r="AB779" s="34" t="n">
        <x:v>102.391093</x:v>
      </x:c>
      <x:c r="AC779" s="34" t="n">
        <x:v>14552.066</x:v>
      </x:c>
      <x:c r="AD779" s="34" t="n">
        <x:v>142.122383</x:v>
      </x:c>
      <x:c r="AE779" s="40" t="b">
        <x:v>1</x:v>
      </x:c>
      <x:c r="AF779" s="40" t="b">
        <x:v>1</x:v>
      </x:c>
      <x:c r="AG779" s="34" t="str"/>
      <x:c r="AH779" s="34" t="n">
        <x:v>0</x:v>
      </x:c>
      <x:c r="AI779" s="34" t="str">
        <x:v>9.990856690045291e-05</x:v>
      </x:c>
      <x:c r="AJ779" s="40" t="b">
        <x:v>1</x:v>
      </x:c>
      <x:c r="AK779" s="40" t="b">
        <x:v>1</x:v>
      </x:c>
      <x:c r="AL779" s="40" t="b">
        <x:v>1</x:v>
      </x:c>
      <x:c r="AM779" s="40" t="b">
        <x:v>1</x:v>
      </x:c>
      <x:c r="AN779" s="34" t="str"/>
      <x:c r="AO779" s="34" t="n">
        <x:v>0</x:v>
      </x:c>
      <x:c r="AP779" s="34" t="n">
        <x:v>0</x:v>
      </x:c>
      <x:c r="AQ779" s="34" t="n">
        <x:v>0</x:v>
      </x:c>
      <x:c r="AR779" s="34" t="n">
        <x:v>1</x:v>
      </x:c>
      <x:c r="AS779" s="34" t="n">
        <x:v>1</x:v>
      </x:c>
      <x:c r="AT779" s="34" t="n">
        <x:v>0.28332</x:v>
      </x:c>
      <x:c r="AU779" s="34" t="n">
        <x:v>0.6</x:v>
      </x:c>
      <x:c r="AV779" s="34" t="n">
        <x:v>1.06</x:v>
      </x:c>
    </x:row>
    <x:row r="780">
      <x:c r="A780" s="34" t="str">
        <x:v>KOBE_STEEL_JP</x:v>
      </x:c>
      <x:c r="B780" s="34" t="str">
        <x:v>Kobe Steel</x:v>
      </x:c>
      <x:c r="C780" s="34" t="str">
        <x:v>ACCELERATED_15C</x:v>
      </x:c>
      <x:c r="D780" s="34" t="str">
        <x:v>P2</x:v>
      </x:c>
      <x:c r="E780" s="34" t="n">
        <x:v>2039</x:v>
      </x:c>
      <x:c r="F780" s="34" t="n">
        <x:v>3</x:v>
      </x:c>
      <x:c r="G780" s="34" t="n">
        <x:v>3.151499</x:v>
      </x:c>
      <x:c r="H780" s="34" t="n">
        <x:v>5.8</x:v>
      </x:c>
      <x:c r="I780" s="34" t="n">
        <x:v>2.648501</x:v>
      </x:c>
      <x:c r="J780" s="34" t="n">
        <x:v>54.336</x:v>
      </x:c>
      <x:c r="K780" s="34" t="n">
        <x:v>0.16225</x:v>
      </x:c>
      <x:c r="L780" s="34" t="n">
        <x:v>0.92</x:v>
      </x:c>
      <x:c r="M780" s="34" t="n">
        <x:v>0.75775</x:v>
      </x:c>
      <x:c r="N780" s="34" t="n">
        <x:v>17.636</x:v>
      </x:c>
      <x:c r="O780" s="34" t="n">
        <x:v>2.988599</x:v>
      </x:c>
      <x:c r="P780" s="34" t="n">
        <x:v>6</x:v>
      </x:c>
      <x:c r="Q780" s="34" t="n">
        <x:v>3.011401</x:v>
      </x:c>
      <x:c r="R780" s="34" t="n">
        <x:v>49.81</x:v>
      </x:c>
      <x:c r="S780" s="40" t="b">
        <x:v>1</x:v>
      </x:c>
      <x:c r="T780" s="34" t="str">
        <x:v>model_interpolation</x:v>
      </x:c>
      <x:c r="U780" s="34" t="str">
        <x:v>Linear interpolation from 2035 to 2040</x:v>
      </x:c>
      <x:c r="V780" s="34" t="str">
        <x:v>CAND-C9EAFC0F482485</x:v>
      </x:c>
      <x:c r="W780" s="34" t="str">
        <x:v>P2</x:v>
      </x:c>
      <x:c r="X780" s="34" t="str">
        <x:v>PORT-1144EBE63B41</x:v>
      </x:c>
      <x:c r="Y780" s="34" t="n">
        <x:v>1000</x:v>
      </x:c>
      <x:c r="Z780" s="34" t="n">
        <x:v>144.712539</x:v>
      </x:c>
      <x:c r="AA780" s="34" t="n">
        <x:v>36.074915</x:v>
      </x:c>
      <x:c r="AB780" s="34" t="n">
        <x:v>102.391093</x:v>
      </x:c>
      <x:c r="AC780" s="34" t="n">
        <x:v>14552.066</x:v>
      </x:c>
      <x:c r="AD780" s="34" t="n">
        <x:v>142.122383</x:v>
      </x:c>
      <x:c r="AE780" s="40" t="b">
        <x:v>1</x:v>
      </x:c>
      <x:c r="AF780" s="40" t="b">
        <x:v>1</x:v>
      </x:c>
      <x:c r="AG780" s="34" t="str"/>
      <x:c r="AH780" s="34" t="n">
        <x:v>0</x:v>
      </x:c>
      <x:c r="AI780" s="34" t="str">
        <x:v>9.990856690045291e-05</x:v>
      </x:c>
      <x:c r="AJ780" s="40" t="b">
        <x:v>1</x:v>
      </x:c>
      <x:c r="AK780" s="40" t="b">
        <x:v>1</x:v>
      </x:c>
      <x:c r="AL780" s="40" t="b">
        <x:v>1</x:v>
      </x:c>
      <x:c r="AM780" s="40" t="b">
        <x:v>1</x:v>
      </x:c>
      <x:c r="AN780" s="34" t="str"/>
      <x:c r="AO780" s="34" t="n">
        <x:v>0</x:v>
      </x:c>
      <x:c r="AP780" s="34" t="n">
        <x:v>0</x:v>
      </x:c>
      <x:c r="AQ780" s="34" t="n">
        <x:v>0</x:v>
      </x:c>
      <x:c r="AR780" s="34" t="n">
        <x:v>1</x:v>
      </x:c>
      <x:c r="AS780" s="34" t="n">
        <x:v>1</x:v>
      </x:c>
      <x:c r="AT780" s="34" t="n">
        <x:v>0.28332</x:v>
      </x:c>
      <x:c r="AU780" s="34" t="n">
        <x:v>0.6</x:v>
      </x:c>
      <x:c r="AV780" s="34" t="n">
        <x:v>1.06</x:v>
      </x:c>
    </x:row>
    <x:row r="781">
      <x:c r="A781" s="34" t="str">
        <x:v>KOBE_STEEL_JP</x:v>
      </x:c>
      <x:c r="B781" s="34" t="str">
        <x:v>Kobe Steel</x:v>
      </x:c>
      <x:c r="C781" s="34" t="str">
        <x:v>ACCELERATED_15C</x:v>
      </x:c>
      <x:c r="D781" s="34" t="str">
        <x:v>P2</x:v>
      </x:c>
      <x:c r="E781" s="34" t="n">
        <x:v>2040</x:v>
      </x:c>
      <x:c r="F781" s="34" t="n">
        <x:v>3</x:v>
      </x:c>
      <x:c r="G781" s="34" t="n">
        <x:v>3.151499</x:v>
      </x:c>
      <x:c r="H781" s="34" t="n">
        <x:v>6</x:v>
      </x:c>
      <x:c r="I781" s="34" t="n">
        <x:v>2.848501</x:v>
      </x:c>
      <x:c r="J781" s="34" t="n">
        <x:v>52.525</x:v>
      </x:c>
      <x:c r="K781" s="34" t="n">
        <x:v>0.16225</x:v>
      </x:c>
      <x:c r="L781" s="34" t="n">
        <x:v>1</x:v>
      </x:c>
      <x:c r="M781" s="34" t="n">
        <x:v>0.83775</x:v>
      </x:c>
      <x:c r="N781" s="34" t="n">
        <x:v>16.225</x:v>
      </x:c>
      <x:c r="O781" s="34" t="n">
        <x:v>2.988599</x:v>
      </x:c>
      <x:c r="P781" s="34" t="n">
        <x:v>6.5</x:v>
      </x:c>
      <x:c r="Q781" s="34" t="n">
        <x:v>3.511401</x:v>
      </x:c>
      <x:c r="R781" s="34" t="n">
        <x:v>45.978</x:v>
      </x:c>
      <x:c r="S781" s="40" t="b">
        <x:v>1</x:v>
      </x:c>
      <x:c r="T781" s="34" t="str">
        <x:v>model_estimate</x:v>
      </x:c>
      <x:c r="U781" s="34" t="str">
        <x:v>Illustrative accelerated envelope; not GCAM or an official supply forecast</x:v>
      </x:c>
      <x:c r="V781" s="34" t="str">
        <x:v>CAND-C9EAFC0F482485</x:v>
      </x:c>
      <x:c r="W781" s="34" t="str">
        <x:v>P2</x:v>
      </x:c>
      <x:c r="X781" s="34" t="str">
        <x:v>PORT-1144EBE63B41</x:v>
      </x:c>
      <x:c r="Y781" s="34" t="n">
        <x:v>1000</x:v>
      </x:c>
      <x:c r="Z781" s="34" t="n">
        <x:v>144.712539</x:v>
      </x:c>
      <x:c r="AA781" s="34" t="n">
        <x:v>36.074915</x:v>
      </x:c>
      <x:c r="AB781" s="34" t="n">
        <x:v>102.391093</x:v>
      </x:c>
      <x:c r="AC781" s="34" t="n">
        <x:v>14552.066</x:v>
      </x:c>
      <x:c r="AD781" s="34" t="n">
        <x:v>142.122383</x:v>
      </x:c>
      <x:c r="AE781" s="40" t="b">
        <x:v>1</x:v>
      </x:c>
      <x:c r="AF781" s="40" t="b">
        <x:v>1</x:v>
      </x:c>
      <x:c r="AG781" s="34" t="str"/>
      <x:c r="AH781" s="34" t="n">
        <x:v>0</x:v>
      </x:c>
      <x:c r="AI781" s="34" t="str">
        <x:v>9.990856690045291e-05</x:v>
      </x:c>
      <x:c r="AJ781" s="40" t="b">
        <x:v>1</x:v>
      </x:c>
      <x:c r="AK781" s="40" t="b">
        <x:v>1</x:v>
      </x:c>
      <x:c r="AL781" s="40" t="b">
        <x:v>1</x:v>
      </x:c>
      <x:c r="AM781" s="40" t="b">
        <x:v>1</x:v>
      </x:c>
      <x:c r="AN781" s="34" t="str"/>
      <x:c r="AO781" s="34" t="n">
        <x:v>0</x:v>
      </x:c>
      <x:c r="AP781" s="34" t="n">
        <x:v>0</x:v>
      </x:c>
      <x:c r="AQ781" s="34" t="n">
        <x:v>0</x:v>
      </x:c>
      <x:c r="AR781" s="34" t="n">
        <x:v>1</x:v>
      </x:c>
      <x:c r="AS781" s="34" t="n">
        <x:v>1</x:v>
      </x:c>
      <x:c r="AT781" s="34" t="n">
        <x:v>0.28332</x:v>
      </x:c>
      <x:c r="AU781" s="34" t="n">
        <x:v>0.6</x:v>
      </x:c>
      <x:c r="AV781" s="34" t="n">
        <x:v>1.06</x:v>
      </x:c>
    </x:row>
    <x:row r="782">
      <x:c r="A782" s="34" t="str">
        <x:v>KOBE_STEEL_JP</x:v>
      </x:c>
      <x:c r="B782" s="34" t="str">
        <x:v>Kobe Steel</x:v>
      </x:c>
      <x:c r="C782" s="34" t="str">
        <x:v>DISCLOSED_PATH</x:v>
      </x:c>
      <x:c r="D782" s="34" t="str">
        <x:v>P2</x:v>
      </x:c>
      <x:c r="E782" s="34" t="n">
        <x:v>2026</x:v>
      </x:c>
      <x:c r="F782" s="34" t="n">
        <x:v>0</x:v>
      </x:c>
      <x:c r="G782" s="34" t="n">
        <x:v>0</x:v>
      </x:c>
      <x:c r="H782" s="34" t="n">
        <x:v>2</x:v>
      </x:c>
      <x:c r="I782" s="34" t="n">
        <x:v>2</x:v>
      </x:c>
      <x:c r="J782" s="34" t="n">
        <x:v>0</x:v>
      </x:c>
      <x:c r="K782" s="34" t="n">
        <x:v>0</x:v>
      </x:c>
      <x:c r="L782" s="34" t="n">
        <x:v>0</x:v>
      </x:c>
      <x:c r="M782" s="34" t="n">
        <x:v>0</x:v>
      </x:c>
      <x:c r="N782" s="34" t="n">
        <x:v>0</x:v>
      </x:c>
      <x:c r="O782" s="34" t="n">
        <x:v>0</x:v>
      </x:c>
      <x:c r="P782" s="34" t="n">
        <x:v>0.8</x:v>
      </x:c>
      <x:c r="Q782" s="34" t="n">
        <x:v>0.8</x:v>
      </x:c>
      <x:c r="R782" s="34" t="n">
        <x:v>0</x:v>
      </x:c>
      <x:c r="S782" s="40" t="b">
        <x:v>1</x:v>
      </x:c>
      <x:c r="T782" s="34" t="str">
        <x:v>model_interpolation</x:v>
      </x:c>
      <x:c r="U782" s="34" t="str">
        <x:v>Linear interpolation from 2026 to 2030</x:v>
      </x:c>
      <x:c r="V782" s="34" t="str">
        <x:v>CAND-CE22CF7F8F72DA</x:v>
      </x:c>
      <x:c r="W782" s="34" t="str">
        <x:v>P2</x:v>
      </x:c>
      <x:c r="X782" s="34" t="str">
        <x:v>PORT-9862FC05DA24</x:v>
      </x:c>
      <x:c r="Y782" s="34" t="n">
        <x:v>1000</x:v>
      </x:c>
      <x:c r="Z782" s="34" t="n">
        <x:v>186.095455</x:v>
      </x:c>
      <x:c r="AA782" s="34" t="n">
        <x:v>41.736263</x:v>
      </x:c>
      <x:c r="AB782" s="34" t="n">
        <x:v>105.301092</x:v>
      </x:c>
      <x:c r="AC782" s="34" t="n">
        <x:v>19272.91</x:v>
      </x:c>
      <x:c r="AD782" s="34" t="n">
        <x:v>183.02669</x:v>
      </x:c>
      <x:c r="AE782" s="40" t="b">
        <x:v>1</x:v>
      </x:c>
      <x:c r="AF782" s="40" t="b">
        <x:v>1</x:v>
      </x:c>
      <x:c r="AG782" s="34" t="str"/>
      <x:c r="AH782" s="34" t="n">
        <x:v>0</x:v>
      </x:c>
      <x:c r="AI782" s="34" t="str">
        <x:v>9.990856690045291e-05</x:v>
      </x:c>
      <x:c r="AJ782" s="40" t="b">
        <x:v>1</x:v>
      </x:c>
      <x:c r="AK782" s="40" t="b">
        <x:v>1</x:v>
      </x:c>
      <x:c r="AL782" s="40" t="b">
        <x:v>1</x:v>
      </x:c>
      <x:c r="AM782" s="40" t="b">
        <x:v>1</x:v>
      </x:c>
      <x:c r="AN782" s="34" t="str"/>
      <x:c r="AO782" s="34" t="n">
        <x:v>0</x:v>
      </x:c>
      <x:c r="AP782" s="34" t="n">
        <x:v>0</x:v>
      </x:c>
      <x:c r="AQ782" s="34" t="n">
        <x:v>0</x:v>
      </x:c>
      <x:c r="AR782" s="34" t="n">
        <x:v>1</x:v>
      </x:c>
      <x:c r="AS782" s="34" t="n">
        <x:v>1</x:v>
      </x:c>
      <x:c r="AT782" s="34" t="n">
        <x:v>0.3612199999999999</x:v>
      </x:c>
      <x:c r="AU782" s="34" t="n">
        <x:v>0.6</x:v>
      </x:c>
      <x:c r="AV782" s="34" t="n">
        <x:v>1.54</x:v>
      </x:c>
    </x:row>
    <x:row r="783">
      <x:c r="A783" s="34" t="str">
        <x:v>KOBE_STEEL_JP</x:v>
      </x:c>
      <x:c r="B783" s="34" t="str">
        <x:v>Kobe Steel</x:v>
      </x:c>
      <x:c r="C783" s="34" t="str">
        <x:v>DISCLOSED_PATH</x:v>
      </x:c>
      <x:c r="D783" s="34" t="str">
        <x:v>P2</x:v>
      </x:c>
      <x:c r="E783" s="34" t="n">
        <x:v>2027</x:v>
      </x:c>
      <x:c r="F783" s="34" t="n">
        <x:v>0</x:v>
      </x:c>
      <x:c r="G783" s="34" t="n">
        <x:v>0</x:v>
      </x:c>
      <x:c r="H783" s="34" t="n">
        <x:v>2.5</x:v>
      </x:c>
      <x:c r="I783" s="34" t="n">
        <x:v>2.5</x:v>
      </x:c>
      <x:c r="J783" s="34" t="n">
        <x:v>0</x:v>
      </x:c>
      <x:c r="K783" s="34" t="n">
        <x:v>0</x:v>
      </x:c>
      <x:c r="L783" s="34" t="n">
        <x:v>0.075</x:v>
      </x:c>
      <x:c r="M783" s="34" t="n">
        <x:v>0.075</x:v>
      </x:c>
      <x:c r="N783" s="34" t="n">
        <x:v>0</x:v>
      </x:c>
      <x:c r="O783" s="34" t="n">
        <x:v>0</x:v>
      </x:c>
      <x:c r="P783" s="34" t="n">
        <x:v>1.35</x:v>
      </x:c>
      <x:c r="Q783" s="34" t="n">
        <x:v>1.35</x:v>
      </x:c>
      <x:c r="R783" s="34" t="n">
        <x:v>0</x:v>
      </x:c>
      <x:c r="S783" s="40" t="b">
        <x:v>1</x:v>
      </x:c>
      <x:c r="T783" s="34" t="str">
        <x:v>model_interpolation</x:v>
      </x:c>
      <x:c r="U783" s="34" t="str">
        <x:v>Linear interpolation from 2026 to 2030</x:v>
      </x:c>
      <x:c r="V783" s="34" t="str">
        <x:v>CAND-CE22CF7F8F72DA</x:v>
      </x:c>
      <x:c r="W783" s="34" t="str">
        <x:v>P2</x:v>
      </x:c>
      <x:c r="X783" s="34" t="str">
        <x:v>PORT-9862FC05DA24</x:v>
      </x:c>
      <x:c r="Y783" s="34" t="n">
        <x:v>1000</x:v>
      </x:c>
      <x:c r="Z783" s="34" t="n">
        <x:v>186.095455</x:v>
      </x:c>
      <x:c r="AA783" s="34" t="n">
        <x:v>41.736263</x:v>
      </x:c>
      <x:c r="AB783" s="34" t="n">
        <x:v>105.301092</x:v>
      </x:c>
      <x:c r="AC783" s="34" t="n">
        <x:v>19272.91</x:v>
      </x:c>
      <x:c r="AD783" s="34" t="n">
        <x:v>183.02669</x:v>
      </x:c>
      <x:c r="AE783" s="40" t="b">
        <x:v>1</x:v>
      </x:c>
      <x:c r="AF783" s="40" t="b">
        <x:v>1</x:v>
      </x:c>
      <x:c r="AG783" s="34" t="str"/>
      <x:c r="AH783" s="34" t="n">
        <x:v>0</x:v>
      </x:c>
      <x:c r="AI783" s="34" t="str">
        <x:v>9.990856690045291e-05</x:v>
      </x:c>
      <x:c r="AJ783" s="40" t="b">
        <x:v>1</x:v>
      </x:c>
      <x:c r="AK783" s="40" t="b">
        <x:v>1</x:v>
      </x:c>
      <x:c r="AL783" s="40" t="b">
        <x:v>1</x:v>
      </x:c>
      <x:c r="AM783" s="40" t="b">
        <x:v>1</x:v>
      </x:c>
      <x:c r="AN783" s="34" t="str"/>
      <x:c r="AO783" s="34" t="n">
        <x:v>0</x:v>
      </x:c>
      <x:c r="AP783" s="34" t="n">
        <x:v>0</x:v>
      </x:c>
      <x:c r="AQ783" s="34" t="n">
        <x:v>0</x:v>
      </x:c>
      <x:c r="AR783" s="34" t="n">
        <x:v>1</x:v>
      </x:c>
      <x:c r="AS783" s="34" t="n">
        <x:v>1</x:v>
      </x:c>
      <x:c r="AT783" s="34" t="n">
        <x:v>0.3612199999999999</x:v>
      </x:c>
      <x:c r="AU783" s="34" t="n">
        <x:v>0.6</x:v>
      </x:c>
      <x:c r="AV783" s="34" t="n">
        <x:v>1.54</x:v>
      </x:c>
    </x:row>
    <x:row r="784">
      <x:c r="A784" s="34" t="str">
        <x:v>KOBE_STEEL_JP</x:v>
      </x:c>
      <x:c r="B784" s="34" t="str">
        <x:v>Kobe Steel</x:v>
      </x:c>
      <x:c r="C784" s="34" t="str">
        <x:v>DISCLOSED_PATH</x:v>
      </x:c>
      <x:c r="D784" s="34" t="str">
        <x:v>P2</x:v>
      </x:c>
      <x:c r="E784" s="34" t="n">
        <x:v>2028</x:v>
      </x:c>
      <x:c r="F784" s="34" t="n">
        <x:v>0</x:v>
      </x:c>
      <x:c r="G784" s="34" t="n">
        <x:v>0</x:v>
      </x:c>
      <x:c r="H784" s="34" t="n">
        <x:v>3</x:v>
      </x:c>
      <x:c r="I784" s="34" t="n">
        <x:v>3</x:v>
      </x:c>
      <x:c r="J784" s="34" t="n">
        <x:v>0</x:v>
      </x:c>
      <x:c r="K784" s="34" t="n">
        <x:v>0</x:v>
      </x:c>
      <x:c r="L784" s="34" t="n">
        <x:v>0.15</x:v>
      </x:c>
      <x:c r="M784" s="34" t="n">
        <x:v>0.15</x:v>
      </x:c>
      <x:c r="N784" s="34" t="n">
        <x:v>0</x:v>
      </x:c>
      <x:c r="O784" s="34" t="n">
        <x:v>0</x:v>
      </x:c>
      <x:c r="P784" s="34" t="n">
        <x:v>1.9000000000000001</x:v>
      </x:c>
      <x:c r="Q784" s="34" t="n">
        <x:v>1.9</x:v>
      </x:c>
      <x:c r="R784" s="34" t="n">
        <x:v>0</x:v>
      </x:c>
      <x:c r="S784" s="40" t="b">
        <x:v>1</x:v>
      </x:c>
      <x:c r="T784" s="34" t="str">
        <x:v>model_interpolation</x:v>
      </x:c>
      <x:c r="U784" s="34" t="str">
        <x:v>Linear interpolation from 2026 to 2030</x:v>
      </x:c>
      <x:c r="V784" s="34" t="str">
        <x:v>CAND-CE22CF7F8F72DA</x:v>
      </x:c>
      <x:c r="W784" s="34" t="str">
        <x:v>P2</x:v>
      </x:c>
      <x:c r="X784" s="34" t="str">
        <x:v>PORT-9862FC05DA24</x:v>
      </x:c>
      <x:c r="Y784" s="34" t="n">
        <x:v>1000</x:v>
      </x:c>
      <x:c r="Z784" s="34" t="n">
        <x:v>186.095455</x:v>
      </x:c>
      <x:c r="AA784" s="34" t="n">
        <x:v>41.736263</x:v>
      </x:c>
      <x:c r="AB784" s="34" t="n">
        <x:v>105.301092</x:v>
      </x:c>
      <x:c r="AC784" s="34" t="n">
        <x:v>19272.91</x:v>
      </x:c>
      <x:c r="AD784" s="34" t="n">
        <x:v>183.02669</x:v>
      </x:c>
      <x:c r="AE784" s="40" t="b">
        <x:v>1</x:v>
      </x:c>
      <x:c r="AF784" s="40" t="b">
        <x:v>1</x:v>
      </x:c>
      <x:c r="AG784" s="34" t="str"/>
      <x:c r="AH784" s="34" t="n">
        <x:v>0</x:v>
      </x:c>
      <x:c r="AI784" s="34" t="str">
        <x:v>9.990856690045291e-05</x:v>
      </x:c>
      <x:c r="AJ784" s="40" t="b">
        <x:v>1</x:v>
      </x:c>
      <x:c r="AK784" s="40" t="b">
        <x:v>1</x:v>
      </x:c>
      <x:c r="AL784" s="40" t="b">
        <x:v>1</x:v>
      </x:c>
      <x:c r="AM784" s="40" t="b">
        <x:v>1</x:v>
      </x:c>
      <x:c r="AN784" s="34" t="str"/>
      <x:c r="AO784" s="34" t="n">
        <x:v>0</x:v>
      </x:c>
      <x:c r="AP784" s="34" t="n">
        <x:v>0</x:v>
      </x:c>
      <x:c r="AQ784" s="34" t="n">
        <x:v>0</x:v>
      </x:c>
      <x:c r="AR784" s="34" t="n">
        <x:v>1</x:v>
      </x:c>
      <x:c r="AS784" s="34" t="n">
        <x:v>1</x:v>
      </x:c>
      <x:c r="AT784" s="34" t="n">
        <x:v>0.3612199999999999</x:v>
      </x:c>
      <x:c r="AU784" s="34" t="n">
        <x:v>0.6</x:v>
      </x:c>
      <x:c r="AV784" s="34" t="n">
        <x:v>1.54</x:v>
      </x:c>
    </x:row>
    <x:row r="785">
      <x:c r="A785" s="34" t="str">
        <x:v>KOBE_STEEL_JP</x:v>
      </x:c>
      <x:c r="B785" s="34" t="str">
        <x:v>Kobe Steel</x:v>
      </x:c>
      <x:c r="C785" s="34" t="str">
        <x:v>DISCLOSED_PATH</x:v>
      </x:c>
      <x:c r="D785" s="34" t="str">
        <x:v>P2</x:v>
      </x:c>
      <x:c r="E785" s="34" t="n">
        <x:v>2029</x:v>
      </x:c>
      <x:c r="F785" s="34" t="n">
        <x:v>1</x:v>
      </x:c>
      <x:c r="G785" s="34" t="n">
        <x:v>0.4425</x:v>
      </x:c>
      <x:c r="H785" s="34" t="n">
        <x:v>3.5</x:v>
      </x:c>
      <x:c r="I785" s="34" t="n">
        <x:v>3.0575</x:v>
      </x:c>
      <x:c r="J785" s="34" t="n">
        <x:v>12.643</x:v>
      </x:c>
      <x:c r="K785" s="34" t="n">
        <x:v>0.16225</x:v>
      </x:c>
      <x:c r="L785" s="34" t="n">
        <x:v>0.22499999999999998</x:v>
      </x:c>
      <x:c r="M785" s="34" t="n">
        <x:v>0.06275</x:v>
      </x:c>
      <x:c r="N785" s="34" t="n">
        <x:v>72.111</x:v>
      </x:c>
      <x:c r="O785" s="34" t="n">
        <x:v>1.357</x:v>
      </x:c>
      <x:c r="P785" s="34" t="n">
        <x:v>2.45</x:v>
      </x:c>
      <x:c r="Q785" s="34" t="n">
        <x:v>1.093</x:v>
      </x:c>
      <x:c r="R785" s="34" t="n">
        <x:v>55.388</x:v>
      </x:c>
      <x:c r="S785" s="40" t="b">
        <x:v>1</x:v>
      </x:c>
      <x:c r="T785" s="34" t="str">
        <x:v>model_interpolation</x:v>
      </x:c>
      <x:c r="U785" s="34" t="str">
        <x:v>Linear interpolation from 2026 to 2030</x:v>
      </x:c>
      <x:c r="V785" s="34" t="str">
        <x:v>CAND-CE22CF7F8F72DA</x:v>
      </x:c>
      <x:c r="W785" s="34" t="str">
        <x:v>P2</x:v>
      </x:c>
      <x:c r="X785" s="34" t="str">
        <x:v>PORT-9862FC05DA24</x:v>
      </x:c>
      <x:c r="Y785" s="34" t="n">
        <x:v>1000</x:v>
      </x:c>
      <x:c r="Z785" s="34" t="n">
        <x:v>186.095455</x:v>
      </x:c>
      <x:c r="AA785" s="34" t="n">
        <x:v>41.736263</x:v>
      </x:c>
      <x:c r="AB785" s="34" t="n">
        <x:v>105.301092</x:v>
      </x:c>
      <x:c r="AC785" s="34" t="n">
        <x:v>19272.91</x:v>
      </x:c>
      <x:c r="AD785" s="34" t="n">
        <x:v>183.02669</x:v>
      </x:c>
      <x:c r="AE785" s="40" t="b">
        <x:v>1</x:v>
      </x:c>
      <x:c r="AF785" s="40" t="b">
        <x:v>1</x:v>
      </x:c>
      <x:c r="AG785" s="34" t="str"/>
      <x:c r="AH785" s="34" t="n">
        <x:v>0</x:v>
      </x:c>
      <x:c r="AI785" s="34" t="str">
        <x:v>9.990856690045291e-05</x:v>
      </x:c>
      <x:c r="AJ785" s="40" t="b">
        <x:v>1</x:v>
      </x:c>
      <x:c r="AK785" s="40" t="b">
        <x:v>1</x:v>
      </x:c>
      <x:c r="AL785" s="40" t="b">
        <x:v>1</x:v>
      </x:c>
      <x:c r="AM785" s="40" t="b">
        <x:v>1</x:v>
      </x:c>
      <x:c r="AN785" s="34" t="str"/>
      <x:c r="AO785" s="34" t="n">
        <x:v>0</x:v>
      </x:c>
      <x:c r="AP785" s="34" t="n">
        <x:v>0</x:v>
      </x:c>
      <x:c r="AQ785" s="34" t="n">
        <x:v>0</x:v>
      </x:c>
      <x:c r="AR785" s="34" t="n">
        <x:v>1</x:v>
      </x:c>
      <x:c r="AS785" s="34" t="n">
        <x:v>1</x:v>
      </x:c>
      <x:c r="AT785" s="34" t="n">
        <x:v>0.3612199999999999</x:v>
      </x:c>
      <x:c r="AU785" s="34" t="n">
        <x:v>0.6</x:v>
      </x:c>
      <x:c r="AV785" s="34" t="n">
        <x:v>1.54</x:v>
      </x:c>
    </x:row>
    <x:row r="786">
      <x:c r="A786" s="34" t="str">
        <x:v>KOBE_STEEL_JP</x:v>
      </x:c>
      <x:c r="B786" s="34" t="str">
        <x:v>Kobe Steel</x:v>
      </x:c>
      <x:c r="C786" s="34" t="str">
        <x:v>DISCLOSED_PATH</x:v>
      </x:c>
      <x:c r="D786" s="34" t="str">
        <x:v>P2</x:v>
      </x:c>
      <x:c r="E786" s="34" t="n">
        <x:v>2030</x:v>
      </x:c>
      <x:c r="F786" s="34" t="n">
        <x:v>1</x:v>
      </x:c>
      <x:c r="G786" s="34" t="n">
        <x:v>0.4425</x:v>
      </x:c>
      <x:c r="H786" s="34" t="n">
        <x:v>4</x:v>
      </x:c>
      <x:c r="I786" s="34" t="n">
        <x:v>3.5575</x:v>
      </x:c>
      <x:c r="J786" s="34" t="n">
        <x:v>11.063</x:v>
      </x:c>
      <x:c r="K786" s="34" t="n">
        <x:v>0.16225</x:v>
      </x:c>
      <x:c r="L786" s="34" t="n">
        <x:v>0.3</x:v>
      </x:c>
      <x:c r="M786" s="34" t="n">
        <x:v>0.13775</x:v>
      </x:c>
      <x:c r="N786" s="34" t="n">
        <x:v>54.083</x:v>
      </x:c>
      <x:c r="O786" s="34" t="n">
        <x:v>1.357</x:v>
      </x:c>
      <x:c r="P786" s="34" t="n">
        <x:v>3</x:v>
      </x:c>
      <x:c r="Q786" s="34" t="n">
        <x:v>1.643</x:v>
      </x:c>
      <x:c r="R786" s="34" t="n">
        <x:v>45.233</x:v>
      </x:c>
      <x:c r="S786" s="40" t="b">
        <x:v>1</x:v>
      </x:c>
      <x:c r="T786" s="34" t="str">
        <x:v>model_interpolation</x:v>
      </x:c>
      <x:c r="U786" s="34" t="str">
        <x:v>Linear interpolation from 2030 to 2035</x:v>
      </x:c>
      <x:c r="V786" s="34" t="str">
        <x:v>CAND-CE22CF7F8F72DA</x:v>
      </x:c>
      <x:c r="W786" s="34" t="str">
        <x:v>P2</x:v>
      </x:c>
      <x:c r="X786" s="34" t="str">
        <x:v>PORT-9862FC05DA24</x:v>
      </x:c>
      <x:c r="Y786" s="34" t="n">
        <x:v>1000</x:v>
      </x:c>
      <x:c r="Z786" s="34" t="n">
        <x:v>186.095455</x:v>
      </x:c>
      <x:c r="AA786" s="34" t="n">
        <x:v>41.736263</x:v>
      </x:c>
      <x:c r="AB786" s="34" t="n">
        <x:v>105.301092</x:v>
      </x:c>
      <x:c r="AC786" s="34" t="n">
        <x:v>19272.91</x:v>
      </x:c>
      <x:c r="AD786" s="34" t="n">
        <x:v>183.02669</x:v>
      </x:c>
      <x:c r="AE786" s="40" t="b">
        <x:v>1</x:v>
      </x:c>
      <x:c r="AF786" s="40" t="b">
        <x:v>1</x:v>
      </x:c>
      <x:c r="AG786" s="34" t="str"/>
      <x:c r="AH786" s="34" t="n">
        <x:v>0</x:v>
      </x:c>
      <x:c r="AI786" s="34" t="str">
        <x:v>9.990856690045291e-05</x:v>
      </x:c>
      <x:c r="AJ786" s="40" t="b">
        <x:v>1</x:v>
      </x:c>
      <x:c r="AK786" s="40" t="b">
        <x:v>1</x:v>
      </x:c>
      <x:c r="AL786" s="40" t="b">
        <x:v>1</x:v>
      </x:c>
      <x:c r="AM786" s="40" t="b">
        <x:v>1</x:v>
      </x:c>
      <x:c r="AN786" s="34" t="str"/>
      <x:c r="AO786" s="34" t="n">
        <x:v>0</x:v>
      </x:c>
      <x:c r="AP786" s="34" t="n">
        <x:v>0</x:v>
      </x:c>
      <x:c r="AQ786" s="34" t="n">
        <x:v>0</x:v>
      </x:c>
      <x:c r="AR786" s="34" t="n">
        <x:v>1</x:v>
      </x:c>
      <x:c r="AS786" s="34" t="n">
        <x:v>1</x:v>
      </x:c>
      <x:c r="AT786" s="34" t="n">
        <x:v>0.3612199999999999</x:v>
      </x:c>
      <x:c r="AU786" s="34" t="n">
        <x:v>0.6</x:v>
      </x:c>
      <x:c r="AV786" s="34" t="n">
        <x:v>1.54</x:v>
      </x:c>
    </x:row>
    <x:row r="787">
      <x:c r="A787" s="34" t="str">
        <x:v>KOBE_STEEL_JP</x:v>
      </x:c>
      <x:c r="B787" s="34" t="str">
        <x:v>Kobe Steel</x:v>
      </x:c>
      <x:c r="C787" s="34" t="str">
        <x:v>DISCLOSED_PATH</x:v>
      </x:c>
      <x:c r="D787" s="34" t="str">
        <x:v>P2</x:v>
      </x:c>
      <x:c r="E787" s="34" t="n">
        <x:v>2031</x:v>
      </x:c>
      <x:c r="F787" s="34" t="n">
        <x:v>1</x:v>
      </x:c>
      <x:c r="G787" s="34" t="n">
        <x:v>0.4425</x:v>
      </x:c>
      <x:c r="H787" s="34" t="n">
        <x:v>4</x:v>
      </x:c>
      <x:c r="I787" s="34" t="n">
        <x:v>3.5575</x:v>
      </x:c>
      <x:c r="J787" s="34" t="n">
        <x:v>11.063</x:v>
      </x:c>
      <x:c r="K787" s="34" t="n">
        <x:v>0.16225</x:v>
      </x:c>
      <x:c r="L787" s="34" t="n">
        <x:v>0.32</x:v>
      </x:c>
      <x:c r="M787" s="34" t="n">
        <x:v>0.15775</x:v>
      </x:c>
      <x:c r="N787" s="34" t="n">
        <x:v>50.703</x:v>
      </x:c>
      <x:c r="O787" s="34" t="n">
        <x:v>1.357</x:v>
      </x:c>
      <x:c r="P787" s="34" t="n">
        <x:v>3</x:v>
      </x:c>
      <x:c r="Q787" s="34" t="n">
        <x:v>1.643</x:v>
      </x:c>
      <x:c r="R787" s="34" t="n">
        <x:v>45.233</x:v>
      </x:c>
      <x:c r="S787" s="40" t="b">
        <x:v>1</x:v>
      </x:c>
      <x:c r="T787" s="34" t="str">
        <x:v>model_interpolation</x:v>
      </x:c>
      <x:c r="U787" s="34" t="str">
        <x:v>Linear interpolation from 2030 to 2035</x:v>
      </x:c>
      <x:c r="V787" s="34" t="str">
        <x:v>CAND-CE22CF7F8F72DA</x:v>
      </x:c>
      <x:c r="W787" s="34" t="str">
        <x:v>P2</x:v>
      </x:c>
      <x:c r="X787" s="34" t="str">
        <x:v>PORT-9862FC05DA24</x:v>
      </x:c>
      <x:c r="Y787" s="34" t="n">
        <x:v>1000</x:v>
      </x:c>
      <x:c r="Z787" s="34" t="n">
        <x:v>186.095455</x:v>
      </x:c>
      <x:c r="AA787" s="34" t="n">
        <x:v>41.736263</x:v>
      </x:c>
      <x:c r="AB787" s="34" t="n">
        <x:v>105.301092</x:v>
      </x:c>
      <x:c r="AC787" s="34" t="n">
        <x:v>19272.91</x:v>
      </x:c>
      <x:c r="AD787" s="34" t="n">
        <x:v>183.02669</x:v>
      </x:c>
      <x:c r="AE787" s="40" t="b">
        <x:v>1</x:v>
      </x:c>
      <x:c r="AF787" s="40" t="b">
        <x:v>1</x:v>
      </x:c>
      <x:c r="AG787" s="34" t="str"/>
      <x:c r="AH787" s="34" t="n">
        <x:v>0</x:v>
      </x:c>
      <x:c r="AI787" s="34" t="str">
        <x:v>9.990856690045291e-05</x:v>
      </x:c>
      <x:c r="AJ787" s="40" t="b">
        <x:v>1</x:v>
      </x:c>
      <x:c r="AK787" s="40" t="b">
        <x:v>1</x:v>
      </x:c>
      <x:c r="AL787" s="40" t="b">
        <x:v>1</x:v>
      </x:c>
      <x:c r="AM787" s="40" t="b">
        <x:v>1</x:v>
      </x:c>
      <x:c r="AN787" s="34" t="str"/>
      <x:c r="AO787" s="34" t="n">
        <x:v>0</x:v>
      </x:c>
      <x:c r="AP787" s="34" t="n">
        <x:v>0</x:v>
      </x:c>
      <x:c r="AQ787" s="34" t="n">
        <x:v>0</x:v>
      </x:c>
      <x:c r="AR787" s="34" t="n">
        <x:v>1</x:v>
      </x:c>
      <x:c r="AS787" s="34" t="n">
        <x:v>1</x:v>
      </x:c>
      <x:c r="AT787" s="34" t="n">
        <x:v>0.3612199999999999</x:v>
      </x:c>
      <x:c r="AU787" s="34" t="n">
        <x:v>0.6</x:v>
      </x:c>
      <x:c r="AV787" s="34" t="n">
        <x:v>1.54</x:v>
      </x:c>
    </x:row>
    <x:row r="788">
      <x:c r="A788" s="34" t="str">
        <x:v>KOBE_STEEL_JP</x:v>
      </x:c>
      <x:c r="B788" s="34" t="str">
        <x:v>Kobe Steel</x:v>
      </x:c>
      <x:c r="C788" s="34" t="str">
        <x:v>DISCLOSED_PATH</x:v>
      </x:c>
      <x:c r="D788" s="34" t="str">
        <x:v>P2</x:v>
      </x:c>
      <x:c r="E788" s="34" t="n">
        <x:v>2032</x:v>
      </x:c>
      <x:c r="F788" s="34" t="n">
        <x:v>1</x:v>
      </x:c>
      <x:c r="G788" s="34" t="n">
        <x:v>0.4425</x:v>
      </x:c>
      <x:c r="H788" s="34" t="n">
        <x:v>4</x:v>
      </x:c>
      <x:c r="I788" s="34" t="n">
        <x:v>3.5575</x:v>
      </x:c>
      <x:c r="J788" s="34" t="n">
        <x:v>11.063</x:v>
      </x:c>
      <x:c r="K788" s="34" t="n">
        <x:v>0.16225</x:v>
      </x:c>
      <x:c r="L788" s="34" t="n">
        <x:v>0.34</x:v>
      </x:c>
      <x:c r="M788" s="34" t="n">
        <x:v>0.17775</x:v>
      </x:c>
      <x:c r="N788" s="34" t="n">
        <x:v>47.721</x:v>
      </x:c>
      <x:c r="O788" s="34" t="n">
        <x:v>1.357</x:v>
      </x:c>
      <x:c r="P788" s="34" t="n">
        <x:v>3</x:v>
      </x:c>
      <x:c r="Q788" s="34" t="n">
        <x:v>1.643</x:v>
      </x:c>
      <x:c r="R788" s="34" t="n">
        <x:v>45.233</x:v>
      </x:c>
      <x:c r="S788" s="40" t="b">
        <x:v>1</x:v>
      </x:c>
      <x:c r="T788" s="34" t="str">
        <x:v>model_interpolation</x:v>
      </x:c>
      <x:c r="U788" s="34" t="str">
        <x:v>Linear interpolation from 2030 to 2035</x:v>
      </x:c>
      <x:c r="V788" s="34" t="str">
        <x:v>CAND-CE22CF7F8F72DA</x:v>
      </x:c>
      <x:c r="W788" s="34" t="str">
        <x:v>P2</x:v>
      </x:c>
      <x:c r="X788" s="34" t="str">
        <x:v>PORT-9862FC05DA24</x:v>
      </x:c>
      <x:c r="Y788" s="34" t="n">
        <x:v>1000</x:v>
      </x:c>
      <x:c r="Z788" s="34" t="n">
        <x:v>186.095455</x:v>
      </x:c>
      <x:c r="AA788" s="34" t="n">
        <x:v>41.736263</x:v>
      </x:c>
      <x:c r="AB788" s="34" t="n">
        <x:v>105.301092</x:v>
      </x:c>
      <x:c r="AC788" s="34" t="n">
        <x:v>19272.91</x:v>
      </x:c>
      <x:c r="AD788" s="34" t="n">
        <x:v>183.02669</x:v>
      </x:c>
      <x:c r="AE788" s="40" t="b">
        <x:v>1</x:v>
      </x:c>
      <x:c r="AF788" s="40" t="b">
        <x:v>1</x:v>
      </x:c>
      <x:c r="AG788" s="34" t="str"/>
      <x:c r="AH788" s="34" t="n">
        <x:v>0</x:v>
      </x:c>
      <x:c r="AI788" s="34" t="str">
        <x:v>9.990856690045291e-05</x:v>
      </x:c>
      <x:c r="AJ788" s="40" t="b">
        <x:v>1</x:v>
      </x:c>
      <x:c r="AK788" s="40" t="b">
        <x:v>1</x:v>
      </x:c>
      <x:c r="AL788" s="40" t="b">
        <x:v>1</x:v>
      </x:c>
      <x:c r="AM788" s="40" t="b">
        <x:v>1</x:v>
      </x:c>
      <x:c r="AN788" s="34" t="str"/>
      <x:c r="AO788" s="34" t="n">
        <x:v>0</x:v>
      </x:c>
      <x:c r="AP788" s="34" t="n">
        <x:v>0</x:v>
      </x:c>
      <x:c r="AQ788" s="34" t="n">
        <x:v>0</x:v>
      </x:c>
      <x:c r="AR788" s="34" t="n">
        <x:v>1</x:v>
      </x:c>
      <x:c r="AS788" s="34" t="n">
        <x:v>1</x:v>
      </x:c>
      <x:c r="AT788" s="34" t="n">
        <x:v>0.3612199999999999</x:v>
      </x:c>
      <x:c r="AU788" s="34" t="n">
        <x:v>0.6</x:v>
      </x:c>
      <x:c r="AV788" s="34" t="n">
        <x:v>1.54</x:v>
      </x:c>
    </x:row>
    <x:row r="789">
      <x:c r="A789" s="34" t="str">
        <x:v>KOBE_STEEL_JP</x:v>
      </x:c>
      <x:c r="B789" s="34" t="str">
        <x:v>Kobe Steel</x:v>
      </x:c>
      <x:c r="C789" s="34" t="str">
        <x:v>DISCLOSED_PATH</x:v>
      </x:c>
      <x:c r="D789" s="34" t="str">
        <x:v>P2</x:v>
      </x:c>
      <x:c r="E789" s="34" t="n">
        <x:v>2033</x:v>
      </x:c>
      <x:c r="F789" s="34" t="n">
        <x:v>2</x:v>
      </x:c>
      <x:c r="G789" s="34" t="n">
        <x:v>0.5325</x:v>
      </x:c>
      <x:c r="H789" s="34" t="n">
        <x:v>4</x:v>
      </x:c>
      <x:c r="I789" s="34" t="n">
        <x:v>3.4675</x:v>
      </x:c>
      <x:c r="J789" s="34" t="n">
        <x:v>13.313</x:v>
      </x:c>
      <x:c r="K789" s="34" t="n">
        <x:v>0.16225</x:v>
      </x:c>
      <x:c r="L789" s="34" t="n">
        <x:v>0.36</x:v>
      </x:c>
      <x:c r="M789" s="34" t="n">
        <x:v>0.19775</x:v>
      </x:c>
      <x:c r="N789" s="34" t="n">
        <x:v>45.069</x:v>
      </x:c>
      <x:c r="O789" s="34" t="n">
        <x:v>1.359</x:v>
      </x:c>
      <x:c r="P789" s="34" t="n">
        <x:v>3</x:v>
      </x:c>
      <x:c r="Q789" s="34" t="n">
        <x:v>1.641</x:v>
      </x:c>
      <x:c r="R789" s="34" t="n">
        <x:v>45.3</x:v>
      </x:c>
      <x:c r="S789" s="40" t="b">
        <x:v>1</x:v>
      </x:c>
      <x:c r="T789" s="34" t="str">
        <x:v>model_interpolation</x:v>
      </x:c>
      <x:c r="U789" s="34" t="str">
        <x:v>Linear interpolation from 2030 to 2035</x:v>
      </x:c>
      <x:c r="V789" s="34" t="str">
        <x:v>CAND-CE22CF7F8F72DA</x:v>
      </x:c>
      <x:c r="W789" s="34" t="str">
        <x:v>P2</x:v>
      </x:c>
      <x:c r="X789" s="34" t="str">
        <x:v>PORT-9862FC05DA24</x:v>
      </x:c>
      <x:c r="Y789" s="34" t="n">
        <x:v>1000</x:v>
      </x:c>
      <x:c r="Z789" s="34" t="n">
        <x:v>186.095455</x:v>
      </x:c>
      <x:c r="AA789" s="34" t="n">
        <x:v>41.736263</x:v>
      </x:c>
      <x:c r="AB789" s="34" t="n">
        <x:v>105.301092</x:v>
      </x:c>
      <x:c r="AC789" s="34" t="n">
        <x:v>19272.91</x:v>
      </x:c>
      <x:c r="AD789" s="34" t="n">
        <x:v>183.02669</x:v>
      </x:c>
      <x:c r="AE789" s="40" t="b">
        <x:v>1</x:v>
      </x:c>
      <x:c r="AF789" s="40" t="b">
        <x:v>1</x:v>
      </x:c>
      <x:c r="AG789" s="34" t="str"/>
      <x:c r="AH789" s="34" t="n">
        <x:v>0</x:v>
      </x:c>
      <x:c r="AI789" s="34" t="str">
        <x:v>9.990856690045291e-05</x:v>
      </x:c>
      <x:c r="AJ789" s="40" t="b">
        <x:v>1</x:v>
      </x:c>
      <x:c r="AK789" s="40" t="b">
        <x:v>1</x:v>
      </x:c>
      <x:c r="AL789" s="40" t="b">
        <x:v>1</x:v>
      </x:c>
      <x:c r="AM789" s="40" t="b">
        <x:v>1</x:v>
      </x:c>
      <x:c r="AN789" s="34" t="str"/>
      <x:c r="AO789" s="34" t="n">
        <x:v>0</x:v>
      </x:c>
      <x:c r="AP789" s="34" t="n">
        <x:v>0</x:v>
      </x:c>
      <x:c r="AQ789" s="34" t="n">
        <x:v>0</x:v>
      </x:c>
      <x:c r="AR789" s="34" t="n">
        <x:v>1</x:v>
      </x:c>
      <x:c r="AS789" s="34" t="n">
        <x:v>1</x:v>
      </x:c>
      <x:c r="AT789" s="34" t="n">
        <x:v>0.3612199999999999</x:v>
      </x:c>
      <x:c r="AU789" s="34" t="n">
        <x:v>0.6</x:v>
      </x:c>
      <x:c r="AV789" s="34" t="n">
        <x:v>1.54</x:v>
      </x:c>
    </x:row>
    <x:row r="790">
      <x:c r="A790" s="34" t="str">
        <x:v>KOBE_STEEL_JP</x:v>
      </x:c>
      <x:c r="B790" s="34" t="str">
        <x:v>Kobe Steel</x:v>
      </x:c>
      <x:c r="C790" s="34" t="str">
        <x:v>DISCLOSED_PATH</x:v>
      </x:c>
      <x:c r="D790" s="34" t="str">
        <x:v>P2</x:v>
      </x:c>
      <x:c r="E790" s="34" t="n">
        <x:v>2034</x:v>
      </x:c>
      <x:c r="F790" s="34" t="n">
        <x:v>2</x:v>
      </x:c>
      <x:c r="G790" s="34" t="n">
        <x:v>0.5325</x:v>
      </x:c>
      <x:c r="H790" s="34" t="n">
        <x:v>4</x:v>
      </x:c>
      <x:c r="I790" s="34" t="n">
        <x:v>3.4675</x:v>
      </x:c>
      <x:c r="J790" s="34" t="n">
        <x:v>13.313</x:v>
      </x:c>
      <x:c r="K790" s="34" t="n">
        <x:v>0.16225</x:v>
      </x:c>
      <x:c r="L790" s="34" t="n">
        <x:v>0.38</x:v>
      </x:c>
      <x:c r="M790" s="34" t="n">
        <x:v>0.21775</x:v>
      </x:c>
      <x:c r="N790" s="34" t="n">
        <x:v>42.697</x:v>
      </x:c>
      <x:c r="O790" s="34" t="n">
        <x:v>1.359</x:v>
      </x:c>
      <x:c r="P790" s="34" t="n">
        <x:v>3</x:v>
      </x:c>
      <x:c r="Q790" s="34" t="n">
        <x:v>1.641</x:v>
      </x:c>
      <x:c r="R790" s="34" t="n">
        <x:v>45.3</x:v>
      </x:c>
      <x:c r="S790" s="40" t="b">
        <x:v>1</x:v>
      </x:c>
      <x:c r="T790" s="34" t="str">
        <x:v>model_interpolation</x:v>
      </x:c>
      <x:c r="U790" s="34" t="str">
        <x:v>Linear interpolation from 2030 to 2035</x:v>
      </x:c>
      <x:c r="V790" s="34" t="str">
        <x:v>CAND-CE22CF7F8F72DA</x:v>
      </x:c>
      <x:c r="W790" s="34" t="str">
        <x:v>P2</x:v>
      </x:c>
      <x:c r="X790" s="34" t="str">
        <x:v>PORT-9862FC05DA24</x:v>
      </x:c>
      <x:c r="Y790" s="34" t="n">
        <x:v>1000</x:v>
      </x:c>
      <x:c r="Z790" s="34" t="n">
        <x:v>186.095455</x:v>
      </x:c>
      <x:c r="AA790" s="34" t="n">
        <x:v>41.736263</x:v>
      </x:c>
      <x:c r="AB790" s="34" t="n">
        <x:v>105.301092</x:v>
      </x:c>
      <x:c r="AC790" s="34" t="n">
        <x:v>19272.91</x:v>
      </x:c>
      <x:c r="AD790" s="34" t="n">
        <x:v>183.02669</x:v>
      </x:c>
      <x:c r="AE790" s="40" t="b">
        <x:v>1</x:v>
      </x:c>
      <x:c r="AF790" s="40" t="b">
        <x:v>1</x:v>
      </x:c>
      <x:c r="AG790" s="34" t="str"/>
      <x:c r="AH790" s="34" t="n">
        <x:v>0</x:v>
      </x:c>
      <x:c r="AI790" s="34" t="str">
        <x:v>9.990856690045291e-05</x:v>
      </x:c>
      <x:c r="AJ790" s="40" t="b">
        <x:v>1</x:v>
      </x:c>
      <x:c r="AK790" s="40" t="b">
        <x:v>1</x:v>
      </x:c>
      <x:c r="AL790" s="40" t="b">
        <x:v>1</x:v>
      </x:c>
      <x:c r="AM790" s="40" t="b">
        <x:v>1</x:v>
      </x:c>
      <x:c r="AN790" s="34" t="str"/>
      <x:c r="AO790" s="34" t="n">
        <x:v>0</x:v>
      </x:c>
      <x:c r="AP790" s="34" t="n">
        <x:v>0</x:v>
      </x:c>
      <x:c r="AQ790" s="34" t="n">
        <x:v>0</x:v>
      </x:c>
      <x:c r="AR790" s="34" t="n">
        <x:v>1</x:v>
      </x:c>
      <x:c r="AS790" s="34" t="n">
        <x:v>1</x:v>
      </x:c>
      <x:c r="AT790" s="34" t="n">
        <x:v>0.3612199999999999</x:v>
      </x:c>
      <x:c r="AU790" s="34" t="n">
        <x:v>0.6</x:v>
      </x:c>
      <x:c r="AV790" s="34" t="n">
        <x:v>1.54</x:v>
      </x:c>
    </x:row>
    <x:row r="791">
      <x:c r="A791" s="34" t="str">
        <x:v>KOBE_STEEL_JP</x:v>
      </x:c>
      <x:c r="B791" s="34" t="str">
        <x:v>Kobe Steel</x:v>
      </x:c>
      <x:c r="C791" s="34" t="str">
        <x:v>DISCLOSED_PATH</x:v>
      </x:c>
      <x:c r="D791" s="34" t="str">
        <x:v>P2</x:v>
      </x:c>
      <x:c r="E791" s="34" t="n">
        <x:v>2035</x:v>
      </x:c>
      <x:c r="F791" s="34" t="n">
        <x:v>2</x:v>
      </x:c>
      <x:c r="G791" s="34" t="n">
        <x:v>0.5325</x:v>
      </x:c>
      <x:c r="H791" s="34" t="n">
        <x:v>4</x:v>
      </x:c>
      <x:c r="I791" s="34" t="n">
        <x:v>3.4675</x:v>
      </x:c>
      <x:c r="J791" s="34" t="n">
        <x:v>13.313</x:v>
      </x:c>
      <x:c r="K791" s="34" t="n">
        <x:v>0.16225</x:v>
      </x:c>
      <x:c r="L791" s="34" t="n">
        <x:v>0.4</x:v>
      </x:c>
      <x:c r="M791" s="34" t="n">
        <x:v>0.23775</x:v>
      </x:c>
      <x:c r="N791" s="34" t="n">
        <x:v>40.563</x:v>
      </x:c>
      <x:c r="O791" s="34" t="n">
        <x:v>1.359</x:v>
      </x:c>
      <x:c r="P791" s="34" t="n">
        <x:v>3</x:v>
      </x:c>
      <x:c r="Q791" s="34" t="n">
        <x:v>1.641</x:v>
      </x:c>
      <x:c r="R791" s="34" t="n">
        <x:v>45.3</x:v>
      </x:c>
      <x:c r="S791" s="40" t="b">
        <x:v>1</x:v>
      </x:c>
      <x:c r="T791" s="34" t="str">
        <x:v>model_interpolation</x:v>
      </x:c>
      <x:c r="U791" s="34" t="str">
        <x:v>Linear interpolation from 2035 to 2040</x:v>
      </x:c>
      <x:c r="V791" s="34" t="str">
        <x:v>CAND-CE22CF7F8F72DA</x:v>
      </x:c>
      <x:c r="W791" s="34" t="str">
        <x:v>P2</x:v>
      </x:c>
      <x:c r="X791" s="34" t="str">
        <x:v>PORT-9862FC05DA24</x:v>
      </x:c>
      <x:c r="Y791" s="34" t="n">
        <x:v>1000</x:v>
      </x:c>
      <x:c r="Z791" s="34" t="n">
        <x:v>186.095455</x:v>
      </x:c>
      <x:c r="AA791" s="34" t="n">
        <x:v>41.736263</x:v>
      </x:c>
      <x:c r="AB791" s="34" t="n">
        <x:v>105.301092</x:v>
      </x:c>
      <x:c r="AC791" s="34" t="n">
        <x:v>19272.91</x:v>
      </x:c>
      <x:c r="AD791" s="34" t="n">
        <x:v>183.02669</x:v>
      </x:c>
      <x:c r="AE791" s="40" t="b">
        <x:v>1</x:v>
      </x:c>
      <x:c r="AF791" s="40" t="b">
        <x:v>1</x:v>
      </x:c>
      <x:c r="AG791" s="34" t="str"/>
      <x:c r="AH791" s="34" t="n">
        <x:v>0</x:v>
      </x:c>
      <x:c r="AI791" s="34" t="str">
        <x:v>9.990856690045291e-05</x:v>
      </x:c>
      <x:c r="AJ791" s="40" t="b">
        <x:v>1</x:v>
      </x:c>
      <x:c r="AK791" s="40" t="b">
        <x:v>1</x:v>
      </x:c>
      <x:c r="AL791" s="40" t="b">
        <x:v>1</x:v>
      </x:c>
      <x:c r="AM791" s="40" t="b">
        <x:v>1</x:v>
      </x:c>
      <x:c r="AN791" s="34" t="str"/>
      <x:c r="AO791" s="34" t="n">
        <x:v>0</x:v>
      </x:c>
      <x:c r="AP791" s="34" t="n">
        <x:v>0</x:v>
      </x:c>
      <x:c r="AQ791" s="34" t="n">
        <x:v>0</x:v>
      </x:c>
      <x:c r="AR791" s="34" t="n">
        <x:v>1</x:v>
      </x:c>
      <x:c r="AS791" s="34" t="n">
        <x:v>1</x:v>
      </x:c>
      <x:c r="AT791" s="34" t="n">
        <x:v>0.3612199999999999</x:v>
      </x:c>
      <x:c r="AU791" s="34" t="n">
        <x:v>0.6</x:v>
      </x:c>
      <x:c r="AV791" s="34" t="n">
        <x:v>1.54</x:v>
      </x:c>
    </x:row>
    <x:row r="792">
      <x:c r="A792" s="34" t="str">
        <x:v>KOBE_STEEL_JP</x:v>
      </x:c>
      <x:c r="B792" s="34" t="str">
        <x:v>Kobe Steel</x:v>
      </x:c>
      <x:c r="C792" s="34" t="str">
        <x:v>DISCLOSED_PATH</x:v>
      </x:c>
      <x:c r="D792" s="34" t="str">
        <x:v>P2</x:v>
      </x:c>
      <x:c r="E792" s="34" t="n">
        <x:v>2036</x:v>
      </x:c>
      <x:c r="F792" s="34" t="n">
        <x:v>2</x:v>
      </x:c>
      <x:c r="G792" s="34" t="n">
        <x:v>0.5325</x:v>
      </x:c>
      <x:c r="H792" s="34" t="n">
        <x:v>4.2</x:v>
      </x:c>
      <x:c r="I792" s="34" t="n">
        <x:v>3.6675</x:v>
      </x:c>
      <x:c r="J792" s="34" t="n">
        <x:v>12.679</x:v>
      </x:c>
      <x:c r="K792" s="34" t="n">
        <x:v>0.16225</x:v>
      </x:c>
      <x:c r="L792" s="34" t="n">
        <x:v>0.48000000000000004</x:v>
      </x:c>
      <x:c r="M792" s="34" t="n">
        <x:v>0.31775</x:v>
      </x:c>
      <x:c r="N792" s="34" t="n">
        <x:v>33.802</x:v>
      </x:c>
      <x:c r="O792" s="34" t="n">
        <x:v>1.359</x:v>
      </x:c>
      <x:c r="P792" s="34" t="n">
        <x:v>3.4</x:v>
      </x:c>
      <x:c r="Q792" s="34" t="n">
        <x:v>2.041</x:v>
      </x:c>
      <x:c r="R792" s="34" t="n">
        <x:v>39.971</x:v>
      </x:c>
      <x:c r="S792" s="40" t="b">
        <x:v>1</x:v>
      </x:c>
      <x:c r="T792" s="34" t="str">
        <x:v>model_interpolation</x:v>
      </x:c>
      <x:c r="U792" s="34" t="str">
        <x:v>Linear interpolation from 2035 to 2040</x:v>
      </x:c>
      <x:c r="V792" s="34" t="str">
        <x:v>CAND-CE22CF7F8F72DA</x:v>
      </x:c>
      <x:c r="W792" s="34" t="str">
        <x:v>P2</x:v>
      </x:c>
      <x:c r="X792" s="34" t="str">
        <x:v>PORT-9862FC05DA24</x:v>
      </x:c>
      <x:c r="Y792" s="34" t="n">
        <x:v>1000</x:v>
      </x:c>
      <x:c r="Z792" s="34" t="n">
        <x:v>186.095455</x:v>
      </x:c>
      <x:c r="AA792" s="34" t="n">
        <x:v>41.736263</x:v>
      </x:c>
      <x:c r="AB792" s="34" t="n">
        <x:v>105.301092</x:v>
      </x:c>
      <x:c r="AC792" s="34" t="n">
        <x:v>19272.91</x:v>
      </x:c>
      <x:c r="AD792" s="34" t="n">
        <x:v>183.02669</x:v>
      </x:c>
      <x:c r="AE792" s="40" t="b">
        <x:v>1</x:v>
      </x:c>
      <x:c r="AF792" s="40" t="b">
        <x:v>1</x:v>
      </x:c>
      <x:c r="AG792" s="34" t="str"/>
      <x:c r="AH792" s="34" t="n">
        <x:v>0</x:v>
      </x:c>
      <x:c r="AI792" s="34" t="str">
        <x:v>9.990856690045291e-05</x:v>
      </x:c>
      <x:c r="AJ792" s="40" t="b">
        <x:v>1</x:v>
      </x:c>
      <x:c r="AK792" s="40" t="b">
        <x:v>1</x:v>
      </x:c>
      <x:c r="AL792" s="40" t="b">
        <x:v>1</x:v>
      </x:c>
      <x:c r="AM792" s="40" t="b">
        <x:v>1</x:v>
      </x:c>
      <x:c r="AN792" s="34" t="str"/>
      <x:c r="AO792" s="34" t="n">
        <x:v>0</x:v>
      </x:c>
      <x:c r="AP792" s="34" t="n">
        <x:v>0</x:v>
      </x:c>
      <x:c r="AQ792" s="34" t="n">
        <x:v>0</x:v>
      </x:c>
      <x:c r="AR792" s="34" t="n">
        <x:v>1</x:v>
      </x:c>
      <x:c r="AS792" s="34" t="n">
        <x:v>1</x:v>
      </x:c>
      <x:c r="AT792" s="34" t="n">
        <x:v>0.3612199999999999</x:v>
      </x:c>
      <x:c r="AU792" s="34" t="n">
        <x:v>0.6</x:v>
      </x:c>
      <x:c r="AV792" s="34" t="n">
        <x:v>1.54</x:v>
      </x:c>
    </x:row>
    <x:row r="793">
      <x:c r="A793" s="34" t="str">
        <x:v>KOBE_STEEL_JP</x:v>
      </x:c>
      <x:c r="B793" s="34" t="str">
        <x:v>Kobe Steel</x:v>
      </x:c>
      <x:c r="C793" s="34" t="str">
        <x:v>DISCLOSED_PATH</x:v>
      </x:c>
      <x:c r="D793" s="34" t="str">
        <x:v>P2</x:v>
      </x:c>
      <x:c r="E793" s="34" t="n">
        <x:v>2037</x:v>
      </x:c>
      <x:c r="F793" s="34" t="n">
        <x:v>3</x:v>
      </x:c>
      <x:c r="G793" s="34" t="n">
        <x:v>0.969</x:v>
      </x:c>
      <x:c r="H793" s="34" t="n">
        <x:v>4.4</x:v>
      </x:c>
      <x:c r="I793" s="34" t="n">
        <x:v>3.431</x:v>
      </x:c>
      <x:c r="J793" s="34" t="n">
        <x:v>22.023</x:v>
      </x:c>
      <x:c r="K793" s="34" t="n">
        <x:v>0.3223</x:v>
      </x:c>
      <x:c r="L793" s="34" t="n">
        <x:v>0.56</x:v>
      </x:c>
      <x:c r="M793" s="34" t="n">
        <x:v>0.2377</x:v>
      </x:c>
      <x:c r="N793" s="34" t="n">
        <x:v>57.554</x:v>
      </x:c>
      <x:c r="O793" s="34" t="n">
        <x:v>2.6976</x:v>
      </x:c>
      <x:c r="P793" s="34" t="n">
        <x:v>3.8</x:v>
      </x:c>
      <x:c r="Q793" s="34" t="n">
        <x:v>1.1024</x:v>
      </x:c>
      <x:c r="R793" s="34" t="n">
        <x:v>70.989</x:v>
      </x:c>
      <x:c r="S793" s="40" t="b">
        <x:v>1</x:v>
      </x:c>
      <x:c r="T793" s="34" t="str">
        <x:v>model_interpolation</x:v>
      </x:c>
      <x:c r="U793" s="34" t="str">
        <x:v>Linear interpolation from 2035 to 2040</x:v>
      </x:c>
      <x:c r="V793" s="34" t="str">
        <x:v>CAND-CE22CF7F8F72DA</x:v>
      </x:c>
      <x:c r="W793" s="34" t="str">
        <x:v>P2</x:v>
      </x:c>
      <x:c r="X793" s="34" t="str">
        <x:v>PORT-9862FC05DA24</x:v>
      </x:c>
      <x:c r="Y793" s="34" t="n">
        <x:v>1000</x:v>
      </x:c>
      <x:c r="Z793" s="34" t="n">
        <x:v>186.095455</x:v>
      </x:c>
      <x:c r="AA793" s="34" t="n">
        <x:v>41.736263</x:v>
      </x:c>
      <x:c r="AB793" s="34" t="n">
        <x:v>105.301092</x:v>
      </x:c>
      <x:c r="AC793" s="34" t="n">
        <x:v>19272.91</x:v>
      </x:c>
      <x:c r="AD793" s="34" t="n">
        <x:v>183.02669</x:v>
      </x:c>
      <x:c r="AE793" s="40" t="b">
        <x:v>1</x:v>
      </x:c>
      <x:c r="AF793" s="40" t="b">
        <x:v>1</x:v>
      </x:c>
      <x:c r="AG793" s="34" t="str"/>
      <x:c r="AH793" s="34" t="n">
        <x:v>0</x:v>
      </x:c>
      <x:c r="AI793" s="34" t="str">
        <x:v>9.990856690045291e-05</x:v>
      </x:c>
      <x:c r="AJ793" s="40" t="b">
        <x:v>1</x:v>
      </x:c>
      <x:c r="AK793" s="40" t="b">
        <x:v>1</x:v>
      </x:c>
      <x:c r="AL793" s="40" t="b">
        <x:v>1</x:v>
      </x:c>
      <x:c r="AM793" s="40" t="b">
        <x:v>1</x:v>
      </x:c>
      <x:c r="AN793" s="34" t="str"/>
      <x:c r="AO793" s="34" t="n">
        <x:v>0</x:v>
      </x:c>
      <x:c r="AP793" s="34" t="n">
        <x:v>0</x:v>
      </x:c>
      <x:c r="AQ793" s="34" t="n">
        <x:v>0</x:v>
      </x:c>
      <x:c r="AR793" s="34" t="n">
        <x:v>1</x:v>
      </x:c>
      <x:c r="AS793" s="34" t="n">
        <x:v>1</x:v>
      </x:c>
      <x:c r="AT793" s="34" t="n">
        <x:v>0.3612199999999999</x:v>
      </x:c>
      <x:c r="AU793" s="34" t="n">
        <x:v>0.6</x:v>
      </x:c>
      <x:c r="AV793" s="34" t="n">
        <x:v>1.54</x:v>
      </x:c>
    </x:row>
    <x:row r="794">
      <x:c r="A794" s="34" t="str">
        <x:v>KOBE_STEEL_JP</x:v>
      </x:c>
      <x:c r="B794" s="34" t="str">
        <x:v>Kobe Steel</x:v>
      </x:c>
      <x:c r="C794" s="34" t="str">
        <x:v>DISCLOSED_PATH</x:v>
      </x:c>
      <x:c r="D794" s="34" t="str">
        <x:v>P2</x:v>
      </x:c>
      <x:c r="E794" s="34" t="n">
        <x:v>2038</x:v>
      </x:c>
      <x:c r="F794" s="34" t="n">
        <x:v>3</x:v>
      </x:c>
      <x:c r="G794" s="34" t="n">
        <x:v>0.969</x:v>
      </x:c>
      <x:c r="H794" s="34" t="n">
        <x:v>4.6</x:v>
      </x:c>
      <x:c r="I794" s="34" t="n">
        <x:v>3.631</x:v>
      </x:c>
      <x:c r="J794" s="34" t="n">
        <x:v>21.065</x:v>
      </x:c>
      <x:c r="K794" s="34" t="n">
        <x:v>0.3223</x:v>
      </x:c>
      <x:c r="L794" s="34" t="n">
        <x:v>0.64</x:v>
      </x:c>
      <x:c r="M794" s="34" t="n">
        <x:v>0.3177</x:v>
      </x:c>
      <x:c r="N794" s="34" t="n">
        <x:v>50.359</x:v>
      </x:c>
      <x:c r="O794" s="34" t="n">
        <x:v>2.6976</x:v>
      </x:c>
      <x:c r="P794" s="34" t="n">
        <x:v>4.2</x:v>
      </x:c>
      <x:c r="Q794" s="34" t="n">
        <x:v>1.5024</x:v>
      </x:c>
      <x:c r="R794" s="34" t="n">
        <x:v>64.229</x:v>
      </x:c>
      <x:c r="S794" s="40" t="b">
        <x:v>1</x:v>
      </x:c>
      <x:c r="T794" s="34" t="str">
        <x:v>model_interpolation</x:v>
      </x:c>
      <x:c r="U794" s="34" t="str">
        <x:v>Linear interpolation from 2035 to 2040</x:v>
      </x:c>
      <x:c r="V794" s="34" t="str">
        <x:v>CAND-CE22CF7F8F72DA</x:v>
      </x:c>
      <x:c r="W794" s="34" t="str">
        <x:v>P2</x:v>
      </x:c>
      <x:c r="X794" s="34" t="str">
        <x:v>PORT-9862FC05DA24</x:v>
      </x:c>
      <x:c r="Y794" s="34" t="n">
        <x:v>1000</x:v>
      </x:c>
      <x:c r="Z794" s="34" t="n">
        <x:v>186.095455</x:v>
      </x:c>
      <x:c r="AA794" s="34" t="n">
        <x:v>41.736263</x:v>
      </x:c>
      <x:c r="AB794" s="34" t="n">
        <x:v>105.301092</x:v>
      </x:c>
      <x:c r="AC794" s="34" t="n">
        <x:v>19272.91</x:v>
      </x:c>
      <x:c r="AD794" s="34" t="n">
        <x:v>183.02669</x:v>
      </x:c>
      <x:c r="AE794" s="40" t="b">
        <x:v>1</x:v>
      </x:c>
      <x:c r="AF794" s="40" t="b">
        <x:v>1</x:v>
      </x:c>
      <x:c r="AG794" s="34" t="str"/>
      <x:c r="AH794" s="34" t="n">
        <x:v>0</x:v>
      </x:c>
      <x:c r="AI794" s="34" t="str">
        <x:v>9.990856690045291e-05</x:v>
      </x:c>
      <x:c r="AJ794" s="40" t="b">
        <x:v>1</x:v>
      </x:c>
      <x:c r="AK794" s="40" t="b">
        <x:v>1</x:v>
      </x:c>
      <x:c r="AL794" s="40" t="b">
        <x:v>1</x:v>
      </x:c>
      <x:c r="AM794" s="40" t="b">
        <x:v>1</x:v>
      </x:c>
      <x:c r="AN794" s="34" t="str"/>
      <x:c r="AO794" s="34" t="n">
        <x:v>0</x:v>
      </x:c>
      <x:c r="AP794" s="34" t="n">
        <x:v>0</x:v>
      </x:c>
      <x:c r="AQ794" s="34" t="n">
        <x:v>0</x:v>
      </x:c>
      <x:c r="AR794" s="34" t="n">
        <x:v>1</x:v>
      </x:c>
      <x:c r="AS794" s="34" t="n">
        <x:v>1</x:v>
      </x:c>
      <x:c r="AT794" s="34" t="n">
        <x:v>0.3612199999999999</x:v>
      </x:c>
      <x:c r="AU794" s="34" t="n">
        <x:v>0.6</x:v>
      </x:c>
      <x:c r="AV794" s="34" t="n">
        <x:v>1.54</x:v>
      </x:c>
    </x:row>
    <x:row r="795">
      <x:c r="A795" s="34" t="str">
        <x:v>KOBE_STEEL_JP</x:v>
      </x:c>
      <x:c r="B795" s="34" t="str">
        <x:v>Kobe Steel</x:v>
      </x:c>
      <x:c r="C795" s="34" t="str">
        <x:v>DISCLOSED_PATH</x:v>
      </x:c>
      <x:c r="D795" s="34" t="str">
        <x:v>P2</x:v>
      </x:c>
      <x:c r="E795" s="34" t="n">
        <x:v>2039</x:v>
      </x:c>
      <x:c r="F795" s="34" t="n">
        <x:v>3</x:v>
      </x:c>
      <x:c r="G795" s="34" t="n">
        <x:v>0.969</x:v>
      </x:c>
      <x:c r="H795" s="34" t="n">
        <x:v>4.8</x:v>
      </x:c>
      <x:c r="I795" s="34" t="n">
        <x:v>3.831</x:v>
      </x:c>
      <x:c r="J795" s="34" t="n">
        <x:v>20.187</x:v>
      </x:c>
      <x:c r="K795" s="34" t="n">
        <x:v>0.3223</x:v>
      </x:c>
      <x:c r="L795" s="34" t="n">
        <x:v>0.7200000000000001</x:v>
      </x:c>
      <x:c r="M795" s="34" t="n">
        <x:v>0.3977</x:v>
      </x:c>
      <x:c r="N795" s="34" t="n">
        <x:v>44.764</x:v>
      </x:c>
      <x:c r="O795" s="34" t="n">
        <x:v>2.6976</x:v>
      </x:c>
      <x:c r="P795" s="34" t="n">
        <x:v>4.6</x:v>
      </x:c>
      <x:c r="Q795" s="34" t="n">
        <x:v>1.9024</x:v>
      </x:c>
      <x:c r="R795" s="34" t="n">
        <x:v>58.643</x:v>
      </x:c>
      <x:c r="S795" s="40" t="b">
        <x:v>1</x:v>
      </x:c>
      <x:c r="T795" s="34" t="str">
        <x:v>model_interpolation</x:v>
      </x:c>
      <x:c r="U795" s="34" t="str">
        <x:v>Linear interpolation from 2035 to 2040</x:v>
      </x:c>
      <x:c r="V795" s="34" t="str">
        <x:v>CAND-CE22CF7F8F72DA</x:v>
      </x:c>
      <x:c r="W795" s="34" t="str">
        <x:v>P2</x:v>
      </x:c>
      <x:c r="X795" s="34" t="str">
        <x:v>PORT-9862FC05DA24</x:v>
      </x:c>
      <x:c r="Y795" s="34" t="n">
        <x:v>1000</x:v>
      </x:c>
      <x:c r="Z795" s="34" t="n">
        <x:v>186.095455</x:v>
      </x:c>
      <x:c r="AA795" s="34" t="n">
        <x:v>41.736263</x:v>
      </x:c>
      <x:c r="AB795" s="34" t="n">
        <x:v>105.301092</x:v>
      </x:c>
      <x:c r="AC795" s="34" t="n">
        <x:v>19272.91</x:v>
      </x:c>
      <x:c r="AD795" s="34" t="n">
        <x:v>183.02669</x:v>
      </x:c>
      <x:c r="AE795" s="40" t="b">
        <x:v>1</x:v>
      </x:c>
      <x:c r="AF795" s="40" t="b">
        <x:v>1</x:v>
      </x:c>
      <x:c r="AG795" s="34" t="str"/>
      <x:c r="AH795" s="34" t="n">
        <x:v>0</x:v>
      </x:c>
      <x:c r="AI795" s="34" t="str">
        <x:v>9.990856690045291e-05</x:v>
      </x:c>
      <x:c r="AJ795" s="40" t="b">
        <x:v>1</x:v>
      </x:c>
      <x:c r="AK795" s="40" t="b">
        <x:v>1</x:v>
      </x:c>
      <x:c r="AL795" s="40" t="b">
        <x:v>1</x:v>
      </x:c>
      <x:c r="AM795" s="40" t="b">
        <x:v>1</x:v>
      </x:c>
      <x:c r="AN795" s="34" t="str"/>
      <x:c r="AO795" s="34" t="n">
        <x:v>0</x:v>
      </x:c>
      <x:c r="AP795" s="34" t="n">
        <x:v>0</x:v>
      </x:c>
      <x:c r="AQ795" s="34" t="n">
        <x:v>0</x:v>
      </x:c>
      <x:c r="AR795" s="34" t="n">
        <x:v>1</x:v>
      </x:c>
      <x:c r="AS795" s="34" t="n">
        <x:v>1</x:v>
      </x:c>
      <x:c r="AT795" s="34" t="n">
        <x:v>0.3612199999999999</x:v>
      </x:c>
      <x:c r="AU795" s="34" t="n">
        <x:v>0.6</x:v>
      </x:c>
      <x:c r="AV795" s="34" t="n">
        <x:v>1.54</x:v>
      </x:c>
    </x:row>
    <x:row r="796">
      <x:c r="A796" s="34" t="str">
        <x:v>KOBE_STEEL_JP</x:v>
      </x:c>
      <x:c r="B796" s="34" t="str">
        <x:v>Kobe Steel</x:v>
      </x:c>
      <x:c r="C796" s="34" t="str">
        <x:v>DISCLOSED_PATH</x:v>
      </x:c>
      <x:c r="D796" s="34" t="str">
        <x:v>P2</x:v>
      </x:c>
      <x:c r="E796" s="34" t="n">
        <x:v>2040</x:v>
      </x:c>
      <x:c r="F796" s="34" t="n">
        <x:v>3</x:v>
      </x:c>
      <x:c r="G796" s="34" t="n">
        <x:v>0.969</x:v>
      </x:c>
      <x:c r="H796" s="34" t="n">
        <x:v>5</x:v>
      </x:c>
      <x:c r="I796" s="34" t="n">
        <x:v>4.031</x:v>
      </x:c>
      <x:c r="J796" s="34" t="n">
        <x:v>19.38</x:v>
      </x:c>
      <x:c r="K796" s="34" t="n">
        <x:v>0.3223</x:v>
      </x:c>
      <x:c r="L796" s="34" t="n">
        <x:v>0.8</x:v>
      </x:c>
      <x:c r="M796" s="34" t="n">
        <x:v>0.4777</x:v>
      </x:c>
      <x:c r="N796" s="34" t="n">
        <x:v>40.287</x:v>
      </x:c>
      <x:c r="O796" s="34" t="n">
        <x:v>2.6976</x:v>
      </x:c>
      <x:c r="P796" s="34" t="n">
        <x:v>5</x:v>
      </x:c>
      <x:c r="Q796" s="34" t="n">
        <x:v>2.3024</x:v>
      </x:c>
      <x:c r="R796" s="34" t="n">
        <x:v>53.952</x:v>
      </x:c>
      <x:c r="S796" s="40" t="b">
        <x:v>1</x:v>
      </x:c>
      <x:c r="T796" s="34" t="str">
        <x:v>model_estimate</x:v>
      </x:c>
      <x:c r="U796" s="34" t="str">
        <x:v>Illustrative screening envelope; not an official supply forecast</x:v>
      </x:c>
      <x:c r="V796" s="34" t="str">
        <x:v>CAND-CE22CF7F8F72DA</x:v>
      </x:c>
      <x:c r="W796" s="34" t="str">
        <x:v>P2</x:v>
      </x:c>
      <x:c r="X796" s="34" t="str">
        <x:v>PORT-9862FC05DA24</x:v>
      </x:c>
      <x:c r="Y796" s="34" t="n">
        <x:v>1000</x:v>
      </x:c>
      <x:c r="Z796" s="34" t="n">
        <x:v>186.095455</x:v>
      </x:c>
      <x:c r="AA796" s="34" t="n">
        <x:v>41.736263</x:v>
      </x:c>
      <x:c r="AB796" s="34" t="n">
        <x:v>105.301092</x:v>
      </x:c>
      <x:c r="AC796" s="34" t="n">
        <x:v>19272.91</x:v>
      </x:c>
      <x:c r="AD796" s="34" t="n">
        <x:v>183.02669</x:v>
      </x:c>
      <x:c r="AE796" s="40" t="b">
        <x:v>1</x:v>
      </x:c>
      <x:c r="AF796" s="40" t="b">
        <x:v>1</x:v>
      </x:c>
      <x:c r="AG796" s="34" t="str"/>
      <x:c r="AH796" s="34" t="n">
        <x:v>0</x:v>
      </x:c>
      <x:c r="AI796" s="34" t="str">
        <x:v>9.990856690045291e-05</x:v>
      </x:c>
      <x:c r="AJ796" s="40" t="b">
        <x:v>1</x:v>
      </x:c>
      <x:c r="AK796" s="40" t="b">
        <x:v>1</x:v>
      </x:c>
      <x:c r="AL796" s="40" t="b">
        <x:v>1</x:v>
      </x:c>
      <x:c r="AM796" s="40" t="b">
        <x:v>1</x:v>
      </x:c>
      <x:c r="AN796" s="34" t="str"/>
      <x:c r="AO796" s="34" t="n">
        <x:v>0</x:v>
      </x:c>
      <x:c r="AP796" s="34" t="n">
        <x:v>0</x:v>
      </x:c>
      <x:c r="AQ796" s="34" t="n">
        <x:v>0</x:v>
      </x:c>
      <x:c r="AR796" s="34" t="n">
        <x:v>1</x:v>
      </x:c>
      <x:c r="AS796" s="34" t="n">
        <x:v>1</x:v>
      </x:c>
      <x:c r="AT796" s="34" t="n">
        <x:v>0.3612199999999999</x:v>
      </x:c>
      <x:c r="AU796" s="34" t="n">
        <x:v>0.6</x:v>
      </x:c>
      <x:c r="AV796" s="34" t="n">
        <x:v>1.54</x:v>
      </x:c>
    </x:row>
    <x:row r="797">
      <x:c r="A797" s="34" t="str">
        <x:v>KOBE_STEEL_JP</x:v>
      </x:c>
      <x:c r="B797" s="34" t="str">
        <x:v>Kobe Steel</x:v>
      </x:c>
      <x:c r="C797" s="34" t="str">
        <x:v>ACCELERATED_15C</x:v>
      </x:c>
      <x:c r="D797" s="34" t="str">
        <x:v>P2</x:v>
      </x:c>
      <x:c r="E797" s="34" t="n">
        <x:v>2026</x:v>
      </x:c>
      <x:c r="F797" s="34" t="n">
        <x:v>0</x:v>
      </x:c>
      <x:c r="G797" s="34" t="n">
        <x:v>0</x:v>
      </x:c>
      <x:c r="H797" s="34" t="n">
        <x:v>2</x:v>
      </x:c>
      <x:c r="I797" s="34" t="n">
        <x:v>2</x:v>
      </x:c>
      <x:c r="J797" s="34" t="n">
        <x:v>0</x:v>
      </x:c>
      <x:c r="K797" s="34" t="n">
        <x:v>0</x:v>
      </x:c>
      <x:c r="L797" s="34" t="n">
        <x:v>0.2</x:v>
      </x:c>
      <x:c r="M797" s="34" t="n">
        <x:v>0.2</x:v>
      </x:c>
      <x:c r="N797" s="34" t="n">
        <x:v>0</x:v>
      </x:c>
      <x:c r="O797" s="34" t="n">
        <x:v>0</x:v>
      </x:c>
      <x:c r="P797" s="34" t="n">
        <x:v>1</x:v>
      </x:c>
      <x:c r="Q797" s="34" t="n">
        <x:v>1</x:v>
      </x:c>
      <x:c r="R797" s="34" t="n">
        <x:v>0</x:v>
      </x:c>
      <x:c r="S797" s="40" t="b">
        <x:v>1</x:v>
      </x:c>
      <x:c r="T797" s="34" t="str">
        <x:v>model_interpolation</x:v>
      </x:c>
      <x:c r="U797" s="34" t="str">
        <x:v>Linear interpolation from 2026 to 2030</x:v>
      </x:c>
      <x:c r="V797" s="34" t="str">
        <x:v>CAND-CE22CF7F8F72DA</x:v>
      </x:c>
      <x:c r="W797" s="34" t="str">
        <x:v>P2</x:v>
      </x:c>
      <x:c r="X797" s="34" t="str">
        <x:v>PORT-9862FC05DA24</x:v>
      </x:c>
      <x:c r="Y797" s="34" t="n">
        <x:v>1000</x:v>
      </x:c>
      <x:c r="Z797" s="34" t="n">
        <x:v>180.95074</x:v>
      </x:c>
      <x:c r="AA797" s="34" t="n">
        <x:v>44.985389</x:v>
      </x:c>
      <x:c r="AB797" s="34" t="n">
        <x:v>105.301092</x:v>
      </x:c>
      <x:c r="AC797" s="34" t="n">
        <x:v>18743.254</x:v>
      </x:c>
      <x:c r="AD797" s="34" t="n">
        <x:v>177.996762</x:v>
      </x:c>
      <x:c r="AE797" s="40" t="b">
        <x:v>1</x:v>
      </x:c>
      <x:c r="AF797" s="40" t="b">
        <x:v>1</x:v>
      </x:c>
      <x:c r="AG797" s="34" t="str"/>
      <x:c r="AH797" s="34" t="n">
        <x:v>0</x:v>
      </x:c>
      <x:c r="AI797" s="34" t="str">
        <x:v>9.990856690045291e-05</x:v>
      </x:c>
      <x:c r="AJ797" s="40" t="b">
        <x:v>1</x:v>
      </x:c>
      <x:c r="AK797" s="40" t="b">
        <x:v>1</x:v>
      </x:c>
      <x:c r="AL797" s="40" t="b">
        <x:v>1</x:v>
      </x:c>
      <x:c r="AM797" s="40" t="b">
        <x:v>1</x:v>
      </x:c>
      <x:c r="AN797" s="34" t="str"/>
      <x:c r="AO797" s="34" t="n">
        <x:v>0</x:v>
      </x:c>
      <x:c r="AP797" s="34" t="n">
        <x:v>0</x:v>
      </x:c>
      <x:c r="AQ797" s="34" t="n">
        <x:v>0</x:v>
      </x:c>
      <x:c r="AR797" s="34" t="n">
        <x:v>1</x:v>
      </x:c>
      <x:c r="AS797" s="34" t="n">
        <x:v>1</x:v>
      </x:c>
      <x:c r="AT797" s="34" t="n">
        <x:v>0.3612199999999999</x:v>
      </x:c>
      <x:c r="AU797" s="34" t="n">
        <x:v>0.6</x:v>
      </x:c>
      <x:c r="AV797" s="34" t="n">
        <x:v>1.54</x:v>
      </x:c>
    </x:row>
    <x:row r="798">
      <x:c r="A798" s="34" t="str">
        <x:v>KOBE_STEEL_JP</x:v>
      </x:c>
      <x:c r="B798" s="34" t="str">
        <x:v>Kobe Steel</x:v>
      </x:c>
      <x:c r="C798" s="34" t="str">
        <x:v>ACCELERATED_15C</x:v>
      </x:c>
      <x:c r="D798" s="34" t="str">
        <x:v>P2</x:v>
      </x:c>
      <x:c r="E798" s="34" t="n">
        <x:v>2027</x:v>
      </x:c>
      <x:c r="F798" s="34" t="n">
        <x:v>0</x:v>
      </x:c>
      <x:c r="G798" s="34" t="n">
        <x:v>0</x:v>
      </x:c>
      <x:c r="H798" s="34" t="n">
        <x:v>2.25</x:v>
      </x:c>
      <x:c r="I798" s="34" t="n">
        <x:v>2.25</x:v>
      </x:c>
      <x:c r="J798" s="34" t="n">
        <x:v>0</x:v>
      </x:c>
      <x:c r="K798" s="34" t="n">
        <x:v>0</x:v>
      </x:c>
      <x:c r="L798" s="34" t="n">
        <x:v>0.25</x:v>
      </x:c>
      <x:c r="M798" s="34" t="n">
        <x:v>0.25</x:v>
      </x:c>
      <x:c r="N798" s="34" t="n">
        <x:v>0</x:v>
      </x:c>
      <x:c r="O798" s="34" t="n">
        <x:v>0</x:v>
      </x:c>
      <x:c r="P798" s="34" t="n">
        <x:v>1.375</x:v>
      </x:c>
      <x:c r="Q798" s="34" t="n">
        <x:v>1.375</x:v>
      </x:c>
      <x:c r="R798" s="34" t="n">
        <x:v>0</x:v>
      </x:c>
      <x:c r="S798" s="40" t="b">
        <x:v>1</x:v>
      </x:c>
      <x:c r="T798" s="34" t="str">
        <x:v>model_interpolation</x:v>
      </x:c>
      <x:c r="U798" s="34" t="str">
        <x:v>Linear interpolation from 2026 to 2030</x:v>
      </x:c>
      <x:c r="V798" s="34" t="str">
        <x:v>CAND-CE22CF7F8F72DA</x:v>
      </x:c>
      <x:c r="W798" s="34" t="str">
        <x:v>P2</x:v>
      </x:c>
      <x:c r="X798" s="34" t="str">
        <x:v>PORT-9862FC05DA24</x:v>
      </x:c>
      <x:c r="Y798" s="34" t="n">
        <x:v>1000</x:v>
      </x:c>
      <x:c r="Z798" s="34" t="n">
        <x:v>180.95074</x:v>
      </x:c>
      <x:c r="AA798" s="34" t="n">
        <x:v>44.985389</x:v>
      </x:c>
      <x:c r="AB798" s="34" t="n">
        <x:v>105.301092</x:v>
      </x:c>
      <x:c r="AC798" s="34" t="n">
        <x:v>18743.254</x:v>
      </x:c>
      <x:c r="AD798" s="34" t="n">
        <x:v>177.996762</x:v>
      </x:c>
      <x:c r="AE798" s="40" t="b">
        <x:v>1</x:v>
      </x:c>
      <x:c r="AF798" s="40" t="b">
        <x:v>1</x:v>
      </x:c>
      <x:c r="AG798" s="34" t="str"/>
      <x:c r="AH798" s="34" t="n">
        <x:v>0</x:v>
      </x:c>
      <x:c r="AI798" s="34" t="str">
        <x:v>9.990856690045291e-05</x:v>
      </x:c>
      <x:c r="AJ798" s="40" t="b">
        <x:v>1</x:v>
      </x:c>
      <x:c r="AK798" s="40" t="b">
        <x:v>1</x:v>
      </x:c>
      <x:c r="AL798" s="40" t="b">
        <x:v>1</x:v>
      </x:c>
      <x:c r="AM798" s="40" t="b">
        <x:v>1</x:v>
      </x:c>
      <x:c r="AN798" s="34" t="str"/>
      <x:c r="AO798" s="34" t="n">
        <x:v>0</x:v>
      </x:c>
      <x:c r="AP798" s="34" t="n">
        <x:v>0</x:v>
      </x:c>
      <x:c r="AQ798" s="34" t="n">
        <x:v>0</x:v>
      </x:c>
      <x:c r="AR798" s="34" t="n">
        <x:v>1</x:v>
      </x:c>
      <x:c r="AS798" s="34" t="n">
        <x:v>1</x:v>
      </x:c>
      <x:c r="AT798" s="34" t="n">
        <x:v>0.3612199999999999</x:v>
      </x:c>
      <x:c r="AU798" s="34" t="n">
        <x:v>0.6</x:v>
      </x:c>
      <x:c r="AV798" s="34" t="n">
        <x:v>1.54</x:v>
      </x:c>
    </x:row>
    <x:row r="799">
      <x:c r="A799" s="34" t="str">
        <x:v>KOBE_STEEL_JP</x:v>
      </x:c>
      <x:c r="B799" s="34" t="str">
        <x:v>Kobe Steel</x:v>
      </x:c>
      <x:c r="C799" s="34" t="str">
        <x:v>ACCELERATED_15C</x:v>
      </x:c>
      <x:c r="D799" s="34" t="str">
        <x:v>P2</x:v>
      </x:c>
      <x:c r="E799" s="34" t="n">
        <x:v>2028</x:v>
      </x:c>
      <x:c r="F799" s="34" t="n">
        <x:v>0</x:v>
      </x:c>
      <x:c r="G799" s="34" t="n">
        <x:v>0</x:v>
      </x:c>
      <x:c r="H799" s="34" t="n">
        <x:v>2.5</x:v>
      </x:c>
      <x:c r="I799" s="34" t="n">
        <x:v>2.5</x:v>
      </x:c>
      <x:c r="J799" s="34" t="n">
        <x:v>0</x:v>
      </x:c>
      <x:c r="K799" s="34" t="n">
        <x:v>0</x:v>
      </x:c>
      <x:c r="L799" s="34" t="n">
        <x:v>0.30000000000000004</x:v>
      </x:c>
      <x:c r="M799" s="34" t="n">
        <x:v>0.3</x:v>
      </x:c>
      <x:c r="N799" s="34" t="n">
        <x:v>0</x:v>
      </x:c>
      <x:c r="O799" s="34" t="n">
        <x:v>0</x:v>
      </x:c>
      <x:c r="P799" s="34" t="n">
        <x:v>1.75</x:v>
      </x:c>
      <x:c r="Q799" s="34" t="n">
        <x:v>1.75</x:v>
      </x:c>
      <x:c r="R799" s="34" t="n">
        <x:v>0</x:v>
      </x:c>
      <x:c r="S799" s="40" t="b">
        <x:v>1</x:v>
      </x:c>
      <x:c r="T799" s="34" t="str">
        <x:v>model_interpolation</x:v>
      </x:c>
      <x:c r="U799" s="34" t="str">
        <x:v>Linear interpolation from 2026 to 2030</x:v>
      </x:c>
      <x:c r="V799" s="34" t="str">
        <x:v>CAND-CE22CF7F8F72DA</x:v>
      </x:c>
      <x:c r="W799" s="34" t="str">
        <x:v>P2</x:v>
      </x:c>
      <x:c r="X799" s="34" t="str">
        <x:v>PORT-9862FC05DA24</x:v>
      </x:c>
      <x:c r="Y799" s="34" t="n">
        <x:v>1000</x:v>
      </x:c>
      <x:c r="Z799" s="34" t="n">
        <x:v>180.95074</x:v>
      </x:c>
      <x:c r="AA799" s="34" t="n">
        <x:v>44.985389</x:v>
      </x:c>
      <x:c r="AB799" s="34" t="n">
        <x:v>105.301092</x:v>
      </x:c>
      <x:c r="AC799" s="34" t="n">
        <x:v>18743.254</x:v>
      </x:c>
      <x:c r="AD799" s="34" t="n">
        <x:v>177.996762</x:v>
      </x:c>
      <x:c r="AE799" s="40" t="b">
        <x:v>1</x:v>
      </x:c>
      <x:c r="AF799" s="40" t="b">
        <x:v>1</x:v>
      </x:c>
      <x:c r="AG799" s="34" t="str"/>
      <x:c r="AH799" s="34" t="n">
        <x:v>0</x:v>
      </x:c>
      <x:c r="AI799" s="34" t="str">
        <x:v>9.990856690045291e-05</x:v>
      </x:c>
      <x:c r="AJ799" s="40" t="b">
        <x:v>1</x:v>
      </x:c>
      <x:c r="AK799" s="40" t="b">
        <x:v>1</x:v>
      </x:c>
      <x:c r="AL799" s="40" t="b">
        <x:v>1</x:v>
      </x:c>
      <x:c r="AM799" s="40" t="b">
        <x:v>1</x:v>
      </x:c>
      <x:c r="AN799" s="34" t="str"/>
      <x:c r="AO799" s="34" t="n">
        <x:v>0</x:v>
      </x:c>
      <x:c r="AP799" s="34" t="n">
        <x:v>0</x:v>
      </x:c>
      <x:c r="AQ799" s="34" t="n">
        <x:v>0</x:v>
      </x:c>
      <x:c r="AR799" s="34" t="n">
        <x:v>1</x:v>
      </x:c>
      <x:c r="AS799" s="34" t="n">
        <x:v>1</x:v>
      </x:c>
      <x:c r="AT799" s="34" t="n">
        <x:v>0.3612199999999999</x:v>
      </x:c>
      <x:c r="AU799" s="34" t="n">
        <x:v>0.6</x:v>
      </x:c>
      <x:c r="AV799" s="34" t="n">
        <x:v>1.54</x:v>
      </x:c>
    </x:row>
    <x:row r="800">
      <x:c r="A800" s="34" t="str">
        <x:v>KOBE_STEEL_JP</x:v>
      </x:c>
      <x:c r="B800" s="34" t="str">
        <x:v>Kobe Steel</x:v>
      </x:c>
      <x:c r="C800" s="34" t="str">
        <x:v>ACCELERATED_15C</x:v>
      </x:c>
      <x:c r="D800" s="34" t="str">
        <x:v>P2</x:v>
      </x:c>
      <x:c r="E800" s="34" t="n">
        <x:v>2029</x:v>
      </x:c>
      <x:c r="F800" s="34" t="n">
        <x:v>1</x:v>
      </x:c>
      <x:c r="G800" s="34" t="n">
        <x:v>0.4425</x:v>
      </x:c>
      <x:c r="H800" s="34" t="n">
        <x:v>2.75</x:v>
      </x:c>
      <x:c r="I800" s="34" t="n">
        <x:v>2.3075</x:v>
      </x:c>
      <x:c r="J800" s="34" t="n">
        <x:v>16.091</x:v>
      </x:c>
      <x:c r="K800" s="34" t="n">
        <x:v>0.16225</x:v>
      </x:c>
      <x:c r="L800" s="34" t="n">
        <x:v>0.35000000000000003</x:v>
      </x:c>
      <x:c r="M800" s="34" t="n">
        <x:v>0.18775</x:v>
      </x:c>
      <x:c r="N800" s="34" t="n">
        <x:v>46.357</x:v>
      </x:c>
      <x:c r="O800" s="34" t="n">
        <x:v>1.357</x:v>
      </x:c>
      <x:c r="P800" s="34" t="n">
        <x:v>2.125</x:v>
      </x:c>
      <x:c r="Q800" s="34" t="n">
        <x:v>0.768</x:v>
      </x:c>
      <x:c r="R800" s="34" t="n">
        <x:v>63.859</x:v>
      </x:c>
      <x:c r="S800" s="40" t="b">
        <x:v>1</x:v>
      </x:c>
      <x:c r="T800" s="34" t="str">
        <x:v>model_interpolation</x:v>
      </x:c>
      <x:c r="U800" s="34" t="str">
        <x:v>Linear interpolation from 2026 to 2030</x:v>
      </x:c>
      <x:c r="V800" s="34" t="str">
        <x:v>CAND-CE22CF7F8F72DA</x:v>
      </x:c>
      <x:c r="W800" s="34" t="str">
        <x:v>P2</x:v>
      </x:c>
      <x:c r="X800" s="34" t="str">
        <x:v>PORT-9862FC05DA24</x:v>
      </x:c>
      <x:c r="Y800" s="34" t="n">
        <x:v>1000</x:v>
      </x:c>
      <x:c r="Z800" s="34" t="n">
        <x:v>180.95074</x:v>
      </x:c>
      <x:c r="AA800" s="34" t="n">
        <x:v>44.985389</x:v>
      </x:c>
      <x:c r="AB800" s="34" t="n">
        <x:v>105.301092</x:v>
      </x:c>
      <x:c r="AC800" s="34" t="n">
        <x:v>18743.254</x:v>
      </x:c>
      <x:c r="AD800" s="34" t="n">
        <x:v>177.996762</x:v>
      </x:c>
      <x:c r="AE800" s="40" t="b">
        <x:v>1</x:v>
      </x:c>
      <x:c r="AF800" s="40" t="b">
        <x:v>1</x:v>
      </x:c>
      <x:c r="AG800" s="34" t="str"/>
      <x:c r="AH800" s="34" t="n">
        <x:v>0</x:v>
      </x:c>
      <x:c r="AI800" s="34" t="str">
        <x:v>9.990856690045291e-05</x:v>
      </x:c>
      <x:c r="AJ800" s="40" t="b">
        <x:v>1</x:v>
      </x:c>
      <x:c r="AK800" s="40" t="b">
        <x:v>1</x:v>
      </x:c>
      <x:c r="AL800" s="40" t="b">
        <x:v>1</x:v>
      </x:c>
      <x:c r="AM800" s="40" t="b">
        <x:v>1</x:v>
      </x:c>
      <x:c r="AN800" s="34" t="str"/>
      <x:c r="AO800" s="34" t="n">
        <x:v>0</x:v>
      </x:c>
      <x:c r="AP800" s="34" t="n">
        <x:v>0</x:v>
      </x:c>
      <x:c r="AQ800" s="34" t="n">
        <x:v>0</x:v>
      </x:c>
      <x:c r="AR800" s="34" t="n">
        <x:v>1</x:v>
      </x:c>
      <x:c r="AS800" s="34" t="n">
        <x:v>1</x:v>
      </x:c>
      <x:c r="AT800" s="34" t="n">
        <x:v>0.3612199999999999</x:v>
      </x:c>
      <x:c r="AU800" s="34" t="n">
        <x:v>0.6</x:v>
      </x:c>
      <x:c r="AV800" s="34" t="n">
        <x:v>1.54</x:v>
      </x:c>
    </x:row>
    <x:row r="801">
      <x:c r="A801" s="34" t="str">
        <x:v>KOBE_STEEL_JP</x:v>
      </x:c>
      <x:c r="B801" s="34" t="str">
        <x:v>Kobe Steel</x:v>
      </x:c>
      <x:c r="C801" s="34" t="str">
        <x:v>ACCELERATED_15C</x:v>
      </x:c>
      <x:c r="D801" s="34" t="str">
        <x:v>P2</x:v>
      </x:c>
      <x:c r="E801" s="34" t="n">
        <x:v>2030</x:v>
      </x:c>
      <x:c r="F801" s="34" t="n">
        <x:v>1</x:v>
      </x:c>
      <x:c r="G801" s="34" t="n">
        <x:v>0.4425</x:v>
      </x:c>
      <x:c r="H801" s="34" t="n">
        <x:v>3</x:v>
      </x:c>
      <x:c r="I801" s="34" t="n">
        <x:v>2.5575</x:v>
      </x:c>
      <x:c r="J801" s="34" t="n">
        <x:v>14.75</x:v>
      </x:c>
      <x:c r="K801" s="34" t="n">
        <x:v>0.16225</x:v>
      </x:c>
      <x:c r="L801" s="34" t="n">
        <x:v>0.4</x:v>
      </x:c>
      <x:c r="M801" s="34" t="n">
        <x:v>0.23775</x:v>
      </x:c>
      <x:c r="N801" s="34" t="n">
        <x:v>40.563</x:v>
      </x:c>
      <x:c r="O801" s="34" t="n">
        <x:v>1.357</x:v>
      </x:c>
      <x:c r="P801" s="34" t="n">
        <x:v>2.5</x:v>
      </x:c>
      <x:c r="Q801" s="34" t="n">
        <x:v>1.143</x:v>
      </x:c>
      <x:c r="R801" s="34" t="n">
        <x:v>54.28</x:v>
      </x:c>
      <x:c r="S801" s="40" t="b">
        <x:v>1</x:v>
      </x:c>
      <x:c r="T801" s="34" t="str">
        <x:v>model_interpolation</x:v>
      </x:c>
      <x:c r="U801" s="34" t="str">
        <x:v>Linear interpolation from 2030 to 2035</x:v>
      </x:c>
      <x:c r="V801" s="34" t="str">
        <x:v>CAND-CE22CF7F8F72DA</x:v>
      </x:c>
      <x:c r="W801" s="34" t="str">
        <x:v>P2</x:v>
      </x:c>
      <x:c r="X801" s="34" t="str">
        <x:v>PORT-9862FC05DA24</x:v>
      </x:c>
      <x:c r="Y801" s="34" t="n">
        <x:v>1000</x:v>
      </x:c>
      <x:c r="Z801" s="34" t="n">
        <x:v>180.95074</x:v>
      </x:c>
      <x:c r="AA801" s="34" t="n">
        <x:v>44.985389</x:v>
      </x:c>
      <x:c r="AB801" s="34" t="n">
        <x:v>105.301092</x:v>
      </x:c>
      <x:c r="AC801" s="34" t="n">
        <x:v>18743.254</x:v>
      </x:c>
      <x:c r="AD801" s="34" t="n">
        <x:v>177.996762</x:v>
      </x:c>
      <x:c r="AE801" s="40" t="b">
        <x:v>1</x:v>
      </x:c>
      <x:c r="AF801" s="40" t="b">
        <x:v>1</x:v>
      </x:c>
      <x:c r="AG801" s="34" t="str"/>
      <x:c r="AH801" s="34" t="n">
        <x:v>0</x:v>
      </x:c>
      <x:c r="AI801" s="34" t="str">
        <x:v>9.990856690045291e-05</x:v>
      </x:c>
      <x:c r="AJ801" s="40" t="b">
        <x:v>1</x:v>
      </x:c>
      <x:c r="AK801" s="40" t="b">
        <x:v>1</x:v>
      </x:c>
      <x:c r="AL801" s="40" t="b">
        <x:v>1</x:v>
      </x:c>
      <x:c r="AM801" s="40" t="b">
        <x:v>1</x:v>
      </x:c>
      <x:c r="AN801" s="34" t="str"/>
      <x:c r="AO801" s="34" t="n">
        <x:v>0</x:v>
      </x:c>
      <x:c r="AP801" s="34" t="n">
        <x:v>0</x:v>
      </x:c>
      <x:c r="AQ801" s="34" t="n">
        <x:v>0</x:v>
      </x:c>
      <x:c r="AR801" s="34" t="n">
        <x:v>1</x:v>
      </x:c>
      <x:c r="AS801" s="34" t="n">
        <x:v>1</x:v>
      </x:c>
      <x:c r="AT801" s="34" t="n">
        <x:v>0.3612199999999999</x:v>
      </x:c>
      <x:c r="AU801" s="34" t="n">
        <x:v>0.6</x:v>
      </x:c>
      <x:c r="AV801" s="34" t="n">
        <x:v>1.54</x:v>
      </x:c>
    </x:row>
    <x:row r="802">
      <x:c r="A802" s="34" t="str">
        <x:v>KOBE_STEEL_JP</x:v>
      </x:c>
      <x:c r="B802" s="34" t="str">
        <x:v>Kobe Steel</x:v>
      </x:c>
      <x:c r="C802" s="34" t="str">
        <x:v>ACCELERATED_15C</x:v>
      </x:c>
      <x:c r="D802" s="34" t="str">
        <x:v>P2</x:v>
      </x:c>
      <x:c r="E802" s="34" t="n">
        <x:v>2031</x:v>
      </x:c>
      <x:c r="F802" s="34" t="n">
        <x:v>1</x:v>
      </x:c>
      <x:c r="G802" s="34" t="n">
        <x:v>0.4425</x:v>
      </x:c>
      <x:c r="H802" s="34" t="n">
        <x:v>3.4</x:v>
      </x:c>
      <x:c r="I802" s="34" t="n">
        <x:v>2.9575</x:v>
      </x:c>
      <x:c r="J802" s="34" t="n">
        <x:v>13.015</x:v>
      </x:c>
      <x:c r="K802" s="34" t="n">
        <x:v>0.16225</x:v>
      </x:c>
      <x:c r="L802" s="34" t="n">
        <x:v>0.44</x:v>
      </x:c>
      <x:c r="M802" s="34" t="n">
        <x:v>0.27775</x:v>
      </x:c>
      <x:c r="N802" s="34" t="n">
        <x:v>36.875</x:v>
      </x:c>
      <x:c r="O802" s="34" t="n">
        <x:v>1.357</x:v>
      </x:c>
      <x:c r="P802" s="34" t="n">
        <x:v>2.8</x:v>
      </x:c>
      <x:c r="Q802" s="34" t="n">
        <x:v>1.443</x:v>
      </x:c>
      <x:c r="R802" s="34" t="n">
        <x:v>48.464</x:v>
      </x:c>
      <x:c r="S802" s="40" t="b">
        <x:v>1</x:v>
      </x:c>
      <x:c r="T802" s="34" t="str">
        <x:v>model_interpolation</x:v>
      </x:c>
      <x:c r="U802" s="34" t="str">
        <x:v>Linear interpolation from 2030 to 2035</x:v>
      </x:c>
      <x:c r="V802" s="34" t="str">
        <x:v>CAND-CE22CF7F8F72DA</x:v>
      </x:c>
      <x:c r="W802" s="34" t="str">
        <x:v>P2</x:v>
      </x:c>
      <x:c r="X802" s="34" t="str">
        <x:v>PORT-9862FC05DA24</x:v>
      </x:c>
      <x:c r="Y802" s="34" t="n">
        <x:v>1000</x:v>
      </x:c>
      <x:c r="Z802" s="34" t="n">
        <x:v>180.95074</x:v>
      </x:c>
      <x:c r="AA802" s="34" t="n">
        <x:v>44.985389</x:v>
      </x:c>
      <x:c r="AB802" s="34" t="n">
        <x:v>105.301092</x:v>
      </x:c>
      <x:c r="AC802" s="34" t="n">
        <x:v>18743.254</x:v>
      </x:c>
      <x:c r="AD802" s="34" t="n">
        <x:v>177.996762</x:v>
      </x:c>
      <x:c r="AE802" s="40" t="b">
        <x:v>1</x:v>
      </x:c>
      <x:c r="AF802" s="40" t="b">
        <x:v>1</x:v>
      </x:c>
      <x:c r="AG802" s="34" t="str"/>
      <x:c r="AH802" s="34" t="n">
        <x:v>0</x:v>
      </x:c>
      <x:c r="AI802" s="34" t="str">
        <x:v>9.990856690045291e-05</x:v>
      </x:c>
      <x:c r="AJ802" s="40" t="b">
        <x:v>1</x:v>
      </x:c>
      <x:c r="AK802" s="40" t="b">
        <x:v>1</x:v>
      </x:c>
      <x:c r="AL802" s="40" t="b">
        <x:v>1</x:v>
      </x:c>
      <x:c r="AM802" s="40" t="b">
        <x:v>1</x:v>
      </x:c>
      <x:c r="AN802" s="34" t="str"/>
      <x:c r="AO802" s="34" t="n">
        <x:v>0</x:v>
      </x:c>
      <x:c r="AP802" s="34" t="n">
        <x:v>0</x:v>
      </x:c>
      <x:c r="AQ802" s="34" t="n">
        <x:v>0</x:v>
      </x:c>
      <x:c r="AR802" s="34" t="n">
        <x:v>1</x:v>
      </x:c>
      <x:c r="AS802" s="34" t="n">
        <x:v>1</x:v>
      </x:c>
      <x:c r="AT802" s="34" t="n">
        <x:v>0.3612199999999999</x:v>
      </x:c>
      <x:c r="AU802" s="34" t="n">
        <x:v>0.6</x:v>
      </x:c>
      <x:c r="AV802" s="34" t="n">
        <x:v>1.54</x:v>
      </x:c>
    </x:row>
    <x:row r="803">
      <x:c r="A803" s="34" t="str">
        <x:v>KOBE_STEEL_JP</x:v>
      </x:c>
      <x:c r="B803" s="34" t="str">
        <x:v>Kobe Steel</x:v>
      </x:c>
      <x:c r="C803" s="34" t="str">
        <x:v>ACCELERATED_15C</x:v>
      </x:c>
      <x:c r="D803" s="34" t="str">
        <x:v>P2</x:v>
      </x:c>
      <x:c r="E803" s="34" t="n">
        <x:v>2032</x:v>
      </x:c>
      <x:c r="F803" s="34" t="n">
        <x:v>1</x:v>
      </x:c>
      <x:c r="G803" s="34" t="n">
        <x:v>0.4425</x:v>
      </x:c>
      <x:c r="H803" s="34" t="n">
        <x:v>3.8</x:v>
      </x:c>
      <x:c r="I803" s="34" t="n">
        <x:v>3.3575</x:v>
      </x:c>
      <x:c r="J803" s="34" t="n">
        <x:v>11.645</x:v>
      </x:c>
      <x:c r="K803" s="34" t="n">
        <x:v>0.16225</x:v>
      </x:c>
      <x:c r="L803" s="34" t="n">
        <x:v>0.48</x:v>
      </x:c>
      <x:c r="M803" s="34" t="n">
        <x:v>0.31775</x:v>
      </x:c>
      <x:c r="N803" s="34" t="n">
        <x:v>33.802</x:v>
      </x:c>
      <x:c r="O803" s="34" t="n">
        <x:v>1.357</x:v>
      </x:c>
      <x:c r="P803" s="34" t="n">
        <x:v>3.1</x:v>
      </x:c>
      <x:c r="Q803" s="34" t="n">
        <x:v>1.743</x:v>
      </x:c>
      <x:c r="R803" s="34" t="n">
        <x:v>43.774</x:v>
      </x:c>
      <x:c r="S803" s="40" t="b">
        <x:v>1</x:v>
      </x:c>
      <x:c r="T803" s="34" t="str">
        <x:v>model_interpolation</x:v>
      </x:c>
      <x:c r="U803" s="34" t="str">
        <x:v>Linear interpolation from 2030 to 2035</x:v>
      </x:c>
      <x:c r="V803" s="34" t="str">
        <x:v>CAND-CE22CF7F8F72DA</x:v>
      </x:c>
      <x:c r="W803" s="34" t="str">
        <x:v>P2</x:v>
      </x:c>
      <x:c r="X803" s="34" t="str">
        <x:v>PORT-9862FC05DA24</x:v>
      </x:c>
      <x:c r="Y803" s="34" t="n">
        <x:v>1000</x:v>
      </x:c>
      <x:c r="Z803" s="34" t="n">
        <x:v>180.95074</x:v>
      </x:c>
      <x:c r="AA803" s="34" t="n">
        <x:v>44.985389</x:v>
      </x:c>
      <x:c r="AB803" s="34" t="n">
        <x:v>105.301092</x:v>
      </x:c>
      <x:c r="AC803" s="34" t="n">
        <x:v>18743.254</x:v>
      </x:c>
      <x:c r="AD803" s="34" t="n">
        <x:v>177.996762</x:v>
      </x:c>
      <x:c r="AE803" s="40" t="b">
        <x:v>1</x:v>
      </x:c>
      <x:c r="AF803" s="40" t="b">
        <x:v>1</x:v>
      </x:c>
      <x:c r="AG803" s="34" t="str"/>
      <x:c r="AH803" s="34" t="n">
        <x:v>0</x:v>
      </x:c>
      <x:c r="AI803" s="34" t="str">
        <x:v>9.990856690045291e-05</x:v>
      </x:c>
      <x:c r="AJ803" s="40" t="b">
        <x:v>1</x:v>
      </x:c>
      <x:c r="AK803" s="40" t="b">
        <x:v>1</x:v>
      </x:c>
      <x:c r="AL803" s="40" t="b">
        <x:v>1</x:v>
      </x:c>
      <x:c r="AM803" s="40" t="b">
        <x:v>1</x:v>
      </x:c>
      <x:c r="AN803" s="34" t="str"/>
      <x:c r="AO803" s="34" t="n">
        <x:v>0</x:v>
      </x:c>
      <x:c r="AP803" s="34" t="n">
        <x:v>0</x:v>
      </x:c>
      <x:c r="AQ803" s="34" t="n">
        <x:v>0</x:v>
      </x:c>
      <x:c r="AR803" s="34" t="n">
        <x:v>1</x:v>
      </x:c>
      <x:c r="AS803" s="34" t="n">
        <x:v>1</x:v>
      </x:c>
      <x:c r="AT803" s="34" t="n">
        <x:v>0.3612199999999999</x:v>
      </x:c>
      <x:c r="AU803" s="34" t="n">
        <x:v>0.6</x:v>
      </x:c>
      <x:c r="AV803" s="34" t="n">
        <x:v>1.54</x:v>
      </x:c>
    </x:row>
    <x:row r="804">
      <x:c r="A804" s="34" t="str">
        <x:v>KOBE_STEEL_JP</x:v>
      </x:c>
      <x:c r="B804" s="34" t="str">
        <x:v>Kobe Steel</x:v>
      </x:c>
      <x:c r="C804" s="34" t="str">
        <x:v>ACCELERATED_15C</x:v>
      </x:c>
      <x:c r="D804" s="34" t="str">
        <x:v>P2</x:v>
      </x:c>
      <x:c r="E804" s="34" t="n">
        <x:v>2033</x:v>
      </x:c>
      <x:c r="F804" s="34" t="n">
        <x:v>2</x:v>
      </x:c>
      <x:c r="G804" s="34" t="n">
        <x:v>0.5325</x:v>
      </x:c>
      <x:c r="H804" s="34" t="n">
        <x:v>4.2</x:v>
      </x:c>
      <x:c r="I804" s="34" t="n">
        <x:v>3.6675</x:v>
      </x:c>
      <x:c r="J804" s="34" t="n">
        <x:v>12.679</x:v>
      </x:c>
      <x:c r="K804" s="34" t="n">
        <x:v>0.16225</x:v>
      </x:c>
      <x:c r="L804" s="34" t="n">
        <x:v>0.52</x:v>
      </x:c>
      <x:c r="M804" s="34" t="n">
        <x:v>0.35775</x:v>
      </x:c>
      <x:c r="N804" s="34" t="n">
        <x:v>31.202</x:v>
      </x:c>
      <x:c r="O804" s="34" t="n">
        <x:v>1.359</x:v>
      </x:c>
      <x:c r="P804" s="34" t="n">
        <x:v>3.4</x:v>
      </x:c>
      <x:c r="Q804" s="34" t="n">
        <x:v>2.041</x:v>
      </x:c>
      <x:c r="R804" s="34" t="n">
        <x:v>39.971</x:v>
      </x:c>
      <x:c r="S804" s="40" t="b">
        <x:v>1</x:v>
      </x:c>
      <x:c r="T804" s="34" t="str">
        <x:v>model_interpolation</x:v>
      </x:c>
      <x:c r="U804" s="34" t="str">
        <x:v>Linear interpolation from 2030 to 2035</x:v>
      </x:c>
      <x:c r="V804" s="34" t="str">
        <x:v>CAND-CE22CF7F8F72DA</x:v>
      </x:c>
      <x:c r="W804" s="34" t="str">
        <x:v>P2</x:v>
      </x:c>
      <x:c r="X804" s="34" t="str">
        <x:v>PORT-9862FC05DA24</x:v>
      </x:c>
      <x:c r="Y804" s="34" t="n">
        <x:v>1000</x:v>
      </x:c>
      <x:c r="Z804" s="34" t="n">
        <x:v>180.95074</x:v>
      </x:c>
      <x:c r="AA804" s="34" t="n">
        <x:v>44.985389</x:v>
      </x:c>
      <x:c r="AB804" s="34" t="n">
        <x:v>105.301092</x:v>
      </x:c>
      <x:c r="AC804" s="34" t="n">
        <x:v>18743.254</x:v>
      </x:c>
      <x:c r="AD804" s="34" t="n">
        <x:v>177.996762</x:v>
      </x:c>
      <x:c r="AE804" s="40" t="b">
        <x:v>1</x:v>
      </x:c>
      <x:c r="AF804" s="40" t="b">
        <x:v>1</x:v>
      </x:c>
      <x:c r="AG804" s="34" t="str"/>
      <x:c r="AH804" s="34" t="n">
        <x:v>0</x:v>
      </x:c>
      <x:c r="AI804" s="34" t="str">
        <x:v>9.990856690045291e-05</x:v>
      </x:c>
      <x:c r="AJ804" s="40" t="b">
        <x:v>1</x:v>
      </x:c>
      <x:c r="AK804" s="40" t="b">
        <x:v>1</x:v>
      </x:c>
      <x:c r="AL804" s="40" t="b">
        <x:v>1</x:v>
      </x:c>
      <x:c r="AM804" s="40" t="b">
        <x:v>1</x:v>
      </x:c>
      <x:c r="AN804" s="34" t="str"/>
      <x:c r="AO804" s="34" t="n">
        <x:v>0</x:v>
      </x:c>
      <x:c r="AP804" s="34" t="n">
        <x:v>0</x:v>
      </x:c>
      <x:c r="AQ804" s="34" t="n">
        <x:v>0</x:v>
      </x:c>
      <x:c r="AR804" s="34" t="n">
        <x:v>1</x:v>
      </x:c>
      <x:c r="AS804" s="34" t="n">
        <x:v>1</x:v>
      </x:c>
      <x:c r="AT804" s="34" t="n">
        <x:v>0.3612199999999999</x:v>
      </x:c>
      <x:c r="AU804" s="34" t="n">
        <x:v>0.6</x:v>
      </x:c>
      <x:c r="AV804" s="34" t="n">
        <x:v>1.54</x:v>
      </x:c>
    </x:row>
    <x:row r="805">
      <x:c r="A805" s="34" t="str">
        <x:v>KOBE_STEEL_JP</x:v>
      </x:c>
      <x:c r="B805" s="34" t="str">
        <x:v>Kobe Steel</x:v>
      </x:c>
      <x:c r="C805" s="34" t="str">
        <x:v>ACCELERATED_15C</x:v>
      </x:c>
      <x:c r="D805" s="34" t="str">
        <x:v>P2</x:v>
      </x:c>
      <x:c r="E805" s="34" t="n">
        <x:v>2034</x:v>
      </x:c>
      <x:c r="F805" s="34" t="n">
        <x:v>2</x:v>
      </x:c>
      <x:c r="G805" s="34" t="n">
        <x:v>0.5325</x:v>
      </x:c>
      <x:c r="H805" s="34" t="n">
        <x:v>4.6</x:v>
      </x:c>
      <x:c r="I805" s="34" t="n">
        <x:v>4.0675</x:v>
      </x:c>
      <x:c r="J805" s="34" t="n">
        <x:v>11.576</x:v>
      </x:c>
      <x:c r="K805" s="34" t="n">
        <x:v>0.16225</x:v>
      </x:c>
      <x:c r="L805" s="34" t="n">
        <x:v>0.56</x:v>
      </x:c>
      <x:c r="M805" s="34" t="n">
        <x:v>0.39775</x:v>
      </x:c>
      <x:c r="N805" s="34" t="n">
        <x:v>28.973</x:v>
      </x:c>
      <x:c r="O805" s="34" t="n">
        <x:v>1.359</x:v>
      </x:c>
      <x:c r="P805" s="34" t="n">
        <x:v>3.7</x:v>
      </x:c>
      <x:c r="Q805" s="34" t="n">
        <x:v>2.341</x:v>
      </x:c>
      <x:c r="R805" s="34" t="n">
        <x:v>36.73</x:v>
      </x:c>
      <x:c r="S805" s="40" t="b">
        <x:v>1</x:v>
      </x:c>
      <x:c r="T805" s="34" t="str">
        <x:v>model_interpolation</x:v>
      </x:c>
      <x:c r="U805" s="34" t="str">
        <x:v>Linear interpolation from 2030 to 2035</x:v>
      </x:c>
      <x:c r="V805" s="34" t="str">
        <x:v>CAND-CE22CF7F8F72DA</x:v>
      </x:c>
      <x:c r="W805" s="34" t="str">
        <x:v>P2</x:v>
      </x:c>
      <x:c r="X805" s="34" t="str">
        <x:v>PORT-9862FC05DA24</x:v>
      </x:c>
      <x:c r="Y805" s="34" t="n">
        <x:v>1000</x:v>
      </x:c>
      <x:c r="Z805" s="34" t="n">
        <x:v>180.95074</x:v>
      </x:c>
      <x:c r="AA805" s="34" t="n">
        <x:v>44.985389</x:v>
      </x:c>
      <x:c r="AB805" s="34" t="n">
        <x:v>105.301092</x:v>
      </x:c>
      <x:c r="AC805" s="34" t="n">
        <x:v>18743.254</x:v>
      </x:c>
      <x:c r="AD805" s="34" t="n">
        <x:v>177.996762</x:v>
      </x:c>
      <x:c r="AE805" s="40" t="b">
        <x:v>1</x:v>
      </x:c>
      <x:c r="AF805" s="40" t="b">
        <x:v>1</x:v>
      </x:c>
      <x:c r="AG805" s="34" t="str"/>
      <x:c r="AH805" s="34" t="n">
        <x:v>0</x:v>
      </x:c>
      <x:c r="AI805" s="34" t="str">
        <x:v>9.990856690045291e-05</x:v>
      </x:c>
      <x:c r="AJ805" s="40" t="b">
        <x:v>1</x:v>
      </x:c>
      <x:c r="AK805" s="40" t="b">
        <x:v>1</x:v>
      </x:c>
      <x:c r="AL805" s="40" t="b">
        <x:v>1</x:v>
      </x:c>
      <x:c r="AM805" s="40" t="b">
        <x:v>1</x:v>
      </x:c>
      <x:c r="AN805" s="34" t="str"/>
      <x:c r="AO805" s="34" t="n">
        <x:v>0</x:v>
      </x:c>
      <x:c r="AP805" s="34" t="n">
        <x:v>0</x:v>
      </x:c>
      <x:c r="AQ805" s="34" t="n">
        <x:v>0</x:v>
      </x:c>
      <x:c r="AR805" s="34" t="n">
        <x:v>1</x:v>
      </x:c>
      <x:c r="AS805" s="34" t="n">
        <x:v>1</x:v>
      </x:c>
      <x:c r="AT805" s="34" t="n">
        <x:v>0.3612199999999999</x:v>
      </x:c>
      <x:c r="AU805" s="34" t="n">
        <x:v>0.6</x:v>
      </x:c>
      <x:c r="AV805" s="34" t="n">
        <x:v>1.54</x:v>
      </x:c>
    </x:row>
    <x:row r="806">
      <x:c r="A806" s="34" t="str">
        <x:v>KOBE_STEEL_JP</x:v>
      </x:c>
      <x:c r="B806" s="34" t="str">
        <x:v>Kobe Steel</x:v>
      </x:c>
      <x:c r="C806" s="34" t="str">
        <x:v>ACCELERATED_15C</x:v>
      </x:c>
      <x:c r="D806" s="34" t="str">
        <x:v>P2</x:v>
      </x:c>
      <x:c r="E806" s="34" t="n">
        <x:v>2035</x:v>
      </x:c>
      <x:c r="F806" s="34" t="n">
        <x:v>2</x:v>
      </x:c>
      <x:c r="G806" s="34" t="n">
        <x:v>0.5325</x:v>
      </x:c>
      <x:c r="H806" s="34" t="n">
        <x:v>5</x:v>
      </x:c>
      <x:c r="I806" s="34" t="n">
        <x:v>4.4675</x:v>
      </x:c>
      <x:c r="J806" s="34" t="n">
        <x:v>10.65</x:v>
      </x:c>
      <x:c r="K806" s="34" t="n">
        <x:v>0.16225</x:v>
      </x:c>
      <x:c r="L806" s="34" t="n">
        <x:v>0.6</x:v>
      </x:c>
      <x:c r="M806" s="34" t="n">
        <x:v>0.43775</x:v>
      </x:c>
      <x:c r="N806" s="34" t="n">
        <x:v>27.042</x:v>
      </x:c>
      <x:c r="O806" s="34" t="n">
        <x:v>1.359</x:v>
      </x:c>
      <x:c r="P806" s="34" t="n">
        <x:v>4</x:v>
      </x:c>
      <x:c r="Q806" s="34" t="n">
        <x:v>2.641</x:v>
      </x:c>
      <x:c r="R806" s="34" t="n">
        <x:v>33.975</x:v>
      </x:c>
      <x:c r="S806" s="40" t="b">
        <x:v>1</x:v>
      </x:c>
      <x:c r="T806" s="34" t="str">
        <x:v>model_interpolation</x:v>
      </x:c>
      <x:c r="U806" s="34" t="str">
        <x:v>Linear interpolation from 2035 to 2040</x:v>
      </x:c>
      <x:c r="V806" s="34" t="str">
        <x:v>CAND-CE22CF7F8F72DA</x:v>
      </x:c>
      <x:c r="W806" s="34" t="str">
        <x:v>P2</x:v>
      </x:c>
      <x:c r="X806" s="34" t="str">
        <x:v>PORT-9862FC05DA24</x:v>
      </x:c>
      <x:c r="Y806" s="34" t="n">
        <x:v>1000</x:v>
      </x:c>
      <x:c r="Z806" s="34" t="n">
        <x:v>180.95074</x:v>
      </x:c>
      <x:c r="AA806" s="34" t="n">
        <x:v>44.985389</x:v>
      </x:c>
      <x:c r="AB806" s="34" t="n">
        <x:v>105.301092</x:v>
      </x:c>
      <x:c r="AC806" s="34" t="n">
        <x:v>18743.254</x:v>
      </x:c>
      <x:c r="AD806" s="34" t="n">
        <x:v>177.996762</x:v>
      </x:c>
      <x:c r="AE806" s="40" t="b">
        <x:v>1</x:v>
      </x:c>
      <x:c r="AF806" s="40" t="b">
        <x:v>1</x:v>
      </x:c>
      <x:c r="AG806" s="34" t="str"/>
      <x:c r="AH806" s="34" t="n">
        <x:v>0</x:v>
      </x:c>
      <x:c r="AI806" s="34" t="str">
        <x:v>9.990856690045291e-05</x:v>
      </x:c>
      <x:c r="AJ806" s="40" t="b">
        <x:v>1</x:v>
      </x:c>
      <x:c r="AK806" s="40" t="b">
        <x:v>1</x:v>
      </x:c>
      <x:c r="AL806" s="40" t="b">
        <x:v>1</x:v>
      </x:c>
      <x:c r="AM806" s="40" t="b">
        <x:v>1</x:v>
      </x:c>
      <x:c r="AN806" s="34" t="str"/>
      <x:c r="AO806" s="34" t="n">
        <x:v>0</x:v>
      </x:c>
      <x:c r="AP806" s="34" t="n">
        <x:v>0</x:v>
      </x:c>
      <x:c r="AQ806" s="34" t="n">
        <x:v>0</x:v>
      </x:c>
      <x:c r="AR806" s="34" t="n">
        <x:v>1</x:v>
      </x:c>
      <x:c r="AS806" s="34" t="n">
        <x:v>1</x:v>
      </x:c>
      <x:c r="AT806" s="34" t="n">
        <x:v>0.3612199999999999</x:v>
      </x:c>
      <x:c r="AU806" s="34" t="n">
        <x:v>0.6</x:v>
      </x:c>
      <x:c r="AV806" s="34" t="n">
        <x:v>1.54</x:v>
      </x:c>
    </x:row>
    <x:row r="807">
      <x:c r="A807" s="34" t="str">
        <x:v>KOBE_STEEL_JP</x:v>
      </x:c>
      <x:c r="B807" s="34" t="str">
        <x:v>Kobe Steel</x:v>
      </x:c>
      <x:c r="C807" s="34" t="str">
        <x:v>ACCELERATED_15C</x:v>
      </x:c>
      <x:c r="D807" s="34" t="str">
        <x:v>P2</x:v>
      </x:c>
      <x:c r="E807" s="34" t="n">
        <x:v>2036</x:v>
      </x:c>
      <x:c r="F807" s="34" t="n">
        <x:v>2</x:v>
      </x:c>
      <x:c r="G807" s="34" t="n">
        <x:v>0.5325</x:v>
      </x:c>
      <x:c r="H807" s="34" t="n">
        <x:v>5.2</x:v>
      </x:c>
      <x:c r="I807" s="34" t="n">
        <x:v>4.6675</x:v>
      </x:c>
      <x:c r="J807" s="34" t="n">
        <x:v>10.24</x:v>
      </x:c>
      <x:c r="K807" s="34" t="n">
        <x:v>0.16225</x:v>
      </x:c>
      <x:c r="L807" s="34" t="n">
        <x:v>0.6799999999999999</x:v>
      </x:c>
      <x:c r="M807" s="34" t="n">
        <x:v>0.51775</x:v>
      </x:c>
      <x:c r="N807" s="34" t="n">
        <x:v>23.86</x:v>
      </x:c>
      <x:c r="O807" s="34" t="n">
        <x:v>1.359</x:v>
      </x:c>
      <x:c r="P807" s="34" t="n">
        <x:v>4.5</x:v>
      </x:c>
      <x:c r="Q807" s="34" t="n">
        <x:v>3.141</x:v>
      </x:c>
      <x:c r="R807" s="34" t="n">
        <x:v>30.2</x:v>
      </x:c>
      <x:c r="S807" s="40" t="b">
        <x:v>1</x:v>
      </x:c>
      <x:c r="T807" s="34" t="str">
        <x:v>model_interpolation</x:v>
      </x:c>
      <x:c r="U807" s="34" t="str">
        <x:v>Linear interpolation from 2035 to 2040</x:v>
      </x:c>
      <x:c r="V807" s="34" t="str">
        <x:v>CAND-CE22CF7F8F72DA</x:v>
      </x:c>
      <x:c r="W807" s="34" t="str">
        <x:v>P2</x:v>
      </x:c>
      <x:c r="X807" s="34" t="str">
        <x:v>PORT-9862FC05DA24</x:v>
      </x:c>
      <x:c r="Y807" s="34" t="n">
        <x:v>1000</x:v>
      </x:c>
      <x:c r="Z807" s="34" t="n">
        <x:v>180.95074</x:v>
      </x:c>
      <x:c r="AA807" s="34" t="n">
        <x:v>44.985389</x:v>
      </x:c>
      <x:c r="AB807" s="34" t="n">
        <x:v>105.301092</x:v>
      </x:c>
      <x:c r="AC807" s="34" t="n">
        <x:v>18743.254</x:v>
      </x:c>
      <x:c r="AD807" s="34" t="n">
        <x:v>177.996762</x:v>
      </x:c>
      <x:c r="AE807" s="40" t="b">
        <x:v>1</x:v>
      </x:c>
      <x:c r="AF807" s="40" t="b">
        <x:v>1</x:v>
      </x:c>
      <x:c r="AG807" s="34" t="str"/>
      <x:c r="AH807" s="34" t="n">
        <x:v>0</x:v>
      </x:c>
      <x:c r="AI807" s="34" t="str">
        <x:v>9.990856690045291e-05</x:v>
      </x:c>
      <x:c r="AJ807" s="40" t="b">
        <x:v>1</x:v>
      </x:c>
      <x:c r="AK807" s="40" t="b">
        <x:v>1</x:v>
      </x:c>
      <x:c r="AL807" s="40" t="b">
        <x:v>1</x:v>
      </x:c>
      <x:c r="AM807" s="40" t="b">
        <x:v>1</x:v>
      </x:c>
      <x:c r="AN807" s="34" t="str"/>
      <x:c r="AO807" s="34" t="n">
        <x:v>0</x:v>
      </x:c>
      <x:c r="AP807" s="34" t="n">
        <x:v>0</x:v>
      </x:c>
      <x:c r="AQ807" s="34" t="n">
        <x:v>0</x:v>
      </x:c>
      <x:c r="AR807" s="34" t="n">
        <x:v>1</x:v>
      </x:c>
      <x:c r="AS807" s="34" t="n">
        <x:v>1</x:v>
      </x:c>
      <x:c r="AT807" s="34" t="n">
        <x:v>0.3612199999999999</x:v>
      </x:c>
      <x:c r="AU807" s="34" t="n">
        <x:v>0.6</x:v>
      </x:c>
      <x:c r="AV807" s="34" t="n">
        <x:v>1.54</x:v>
      </x:c>
    </x:row>
    <x:row r="808">
      <x:c r="A808" s="34" t="str">
        <x:v>KOBE_STEEL_JP</x:v>
      </x:c>
      <x:c r="B808" s="34" t="str">
        <x:v>Kobe Steel</x:v>
      </x:c>
      <x:c r="C808" s="34" t="str">
        <x:v>ACCELERATED_15C</x:v>
      </x:c>
      <x:c r="D808" s="34" t="str">
        <x:v>P2</x:v>
      </x:c>
      <x:c r="E808" s="34" t="n">
        <x:v>2037</x:v>
      </x:c>
      <x:c r="F808" s="34" t="n">
        <x:v>3</x:v>
      </x:c>
      <x:c r="G808" s="34" t="n">
        <x:v>0.969</x:v>
      </x:c>
      <x:c r="H808" s="34" t="n">
        <x:v>5.4</x:v>
      </x:c>
      <x:c r="I808" s="34" t="n">
        <x:v>4.431</x:v>
      </x:c>
      <x:c r="J808" s="34" t="n">
        <x:v>17.944</x:v>
      </x:c>
      <x:c r="K808" s="34" t="n">
        <x:v>0.3223</x:v>
      </x:c>
      <x:c r="L808" s="34" t="n">
        <x:v>0.76</x:v>
      </x:c>
      <x:c r="M808" s="34" t="n">
        <x:v>0.4377</x:v>
      </x:c>
      <x:c r="N808" s="34" t="n">
        <x:v>42.408</x:v>
      </x:c>
      <x:c r="O808" s="34" t="n">
        <x:v>2.6976</x:v>
      </x:c>
      <x:c r="P808" s="34" t="n">
        <x:v>5</x:v>
      </x:c>
      <x:c r="Q808" s="34" t="n">
        <x:v>2.3024</x:v>
      </x:c>
      <x:c r="R808" s="34" t="n">
        <x:v>53.952</x:v>
      </x:c>
      <x:c r="S808" s="40" t="b">
        <x:v>1</x:v>
      </x:c>
      <x:c r="T808" s="34" t="str">
        <x:v>model_interpolation</x:v>
      </x:c>
      <x:c r="U808" s="34" t="str">
        <x:v>Linear interpolation from 2035 to 2040</x:v>
      </x:c>
      <x:c r="V808" s="34" t="str">
        <x:v>CAND-CE22CF7F8F72DA</x:v>
      </x:c>
      <x:c r="W808" s="34" t="str">
        <x:v>P2</x:v>
      </x:c>
      <x:c r="X808" s="34" t="str">
        <x:v>PORT-9862FC05DA24</x:v>
      </x:c>
      <x:c r="Y808" s="34" t="n">
        <x:v>1000</x:v>
      </x:c>
      <x:c r="Z808" s="34" t="n">
        <x:v>180.95074</x:v>
      </x:c>
      <x:c r="AA808" s="34" t="n">
        <x:v>44.985389</x:v>
      </x:c>
      <x:c r="AB808" s="34" t="n">
        <x:v>105.301092</x:v>
      </x:c>
      <x:c r="AC808" s="34" t="n">
        <x:v>18743.254</x:v>
      </x:c>
      <x:c r="AD808" s="34" t="n">
        <x:v>177.996762</x:v>
      </x:c>
      <x:c r="AE808" s="40" t="b">
        <x:v>1</x:v>
      </x:c>
      <x:c r="AF808" s="40" t="b">
        <x:v>1</x:v>
      </x:c>
      <x:c r="AG808" s="34" t="str"/>
      <x:c r="AH808" s="34" t="n">
        <x:v>0</x:v>
      </x:c>
      <x:c r="AI808" s="34" t="str">
        <x:v>9.990856690045291e-05</x:v>
      </x:c>
      <x:c r="AJ808" s="40" t="b">
        <x:v>1</x:v>
      </x:c>
      <x:c r="AK808" s="40" t="b">
        <x:v>1</x:v>
      </x:c>
      <x:c r="AL808" s="40" t="b">
        <x:v>1</x:v>
      </x:c>
      <x:c r="AM808" s="40" t="b">
        <x:v>1</x:v>
      </x:c>
      <x:c r="AN808" s="34" t="str"/>
      <x:c r="AO808" s="34" t="n">
        <x:v>0</x:v>
      </x:c>
      <x:c r="AP808" s="34" t="n">
        <x:v>0</x:v>
      </x:c>
      <x:c r="AQ808" s="34" t="n">
        <x:v>0</x:v>
      </x:c>
      <x:c r="AR808" s="34" t="n">
        <x:v>1</x:v>
      </x:c>
      <x:c r="AS808" s="34" t="n">
        <x:v>1</x:v>
      </x:c>
      <x:c r="AT808" s="34" t="n">
        <x:v>0.3612199999999999</x:v>
      </x:c>
      <x:c r="AU808" s="34" t="n">
        <x:v>0.6</x:v>
      </x:c>
      <x:c r="AV808" s="34" t="n">
        <x:v>1.54</x:v>
      </x:c>
    </x:row>
    <x:row r="809">
      <x:c r="A809" s="34" t="str">
        <x:v>KOBE_STEEL_JP</x:v>
      </x:c>
      <x:c r="B809" s="34" t="str">
        <x:v>Kobe Steel</x:v>
      </x:c>
      <x:c r="C809" s="34" t="str">
        <x:v>ACCELERATED_15C</x:v>
      </x:c>
      <x:c r="D809" s="34" t="str">
        <x:v>P2</x:v>
      </x:c>
      <x:c r="E809" s="34" t="n">
        <x:v>2038</x:v>
      </x:c>
      <x:c r="F809" s="34" t="n">
        <x:v>3</x:v>
      </x:c>
      <x:c r="G809" s="34" t="n">
        <x:v>0.969</x:v>
      </x:c>
      <x:c r="H809" s="34" t="n">
        <x:v>5.6</x:v>
      </x:c>
      <x:c r="I809" s="34" t="n">
        <x:v>4.631</x:v>
      </x:c>
      <x:c r="J809" s="34" t="n">
        <x:v>17.304</x:v>
      </x:c>
      <x:c r="K809" s="34" t="n">
        <x:v>0.3223</x:v>
      </x:c>
      <x:c r="L809" s="34" t="n">
        <x:v>0.84</x:v>
      </x:c>
      <x:c r="M809" s="34" t="n">
        <x:v>0.5177</x:v>
      </x:c>
      <x:c r="N809" s="34" t="n">
        <x:v>38.369</x:v>
      </x:c>
      <x:c r="O809" s="34" t="n">
        <x:v>2.6976</x:v>
      </x:c>
      <x:c r="P809" s="34" t="n">
        <x:v>5.5</x:v>
      </x:c>
      <x:c r="Q809" s="34" t="n">
        <x:v>2.8024</x:v>
      </x:c>
      <x:c r="R809" s="34" t="n">
        <x:v>49.047</x:v>
      </x:c>
      <x:c r="S809" s="40" t="b">
        <x:v>1</x:v>
      </x:c>
      <x:c r="T809" s="34" t="str">
        <x:v>model_interpolation</x:v>
      </x:c>
      <x:c r="U809" s="34" t="str">
        <x:v>Linear interpolation from 2035 to 2040</x:v>
      </x:c>
      <x:c r="V809" s="34" t="str">
        <x:v>CAND-CE22CF7F8F72DA</x:v>
      </x:c>
      <x:c r="W809" s="34" t="str">
        <x:v>P2</x:v>
      </x:c>
      <x:c r="X809" s="34" t="str">
        <x:v>PORT-9862FC05DA24</x:v>
      </x:c>
      <x:c r="Y809" s="34" t="n">
        <x:v>1000</x:v>
      </x:c>
      <x:c r="Z809" s="34" t="n">
        <x:v>180.95074</x:v>
      </x:c>
      <x:c r="AA809" s="34" t="n">
        <x:v>44.985389</x:v>
      </x:c>
      <x:c r="AB809" s="34" t="n">
        <x:v>105.301092</x:v>
      </x:c>
      <x:c r="AC809" s="34" t="n">
        <x:v>18743.254</x:v>
      </x:c>
      <x:c r="AD809" s="34" t="n">
        <x:v>177.996762</x:v>
      </x:c>
      <x:c r="AE809" s="40" t="b">
        <x:v>1</x:v>
      </x:c>
      <x:c r="AF809" s="40" t="b">
        <x:v>1</x:v>
      </x:c>
      <x:c r="AG809" s="34" t="str"/>
      <x:c r="AH809" s="34" t="n">
        <x:v>0</x:v>
      </x:c>
      <x:c r="AI809" s="34" t="str">
        <x:v>9.990856690045291e-05</x:v>
      </x:c>
      <x:c r="AJ809" s="40" t="b">
        <x:v>1</x:v>
      </x:c>
      <x:c r="AK809" s="40" t="b">
        <x:v>1</x:v>
      </x:c>
      <x:c r="AL809" s="40" t="b">
        <x:v>1</x:v>
      </x:c>
      <x:c r="AM809" s="40" t="b">
        <x:v>1</x:v>
      </x:c>
      <x:c r="AN809" s="34" t="str"/>
      <x:c r="AO809" s="34" t="n">
        <x:v>0</x:v>
      </x:c>
      <x:c r="AP809" s="34" t="n">
        <x:v>0</x:v>
      </x:c>
      <x:c r="AQ809" s="34" t="n">
        <x:v>0</x:v>
      </x:c>
      <x:c r="AR809" s="34" t="n">
        <x:v>1</x:v>
      </x:c>
      <x:c r="AS809" s="34" t="n">
        <x:v>1</x:v>
      </x:c>
      <x:c r="AT809" s="34" t="n">
        <x:v>0.3612199999999999</x:v>
      </x:c>
      <x:c r="AU809" s="34" t="n">
        <x:v>0.6</x:v>
      </x:c>
      <x:c r="AV809" s="34" t="n">
        <x:v>1.54</x:v>
      </x:c>
    </x:row>
    <x:row r="810">
      <x:c r="A810" s="34" t="str">
        <x:v>KOBE_STEEL_JP</x:v>
      </x:c>
      <x:c r="B810" s="34" t="str">
        <x:v>Kobe Steel</x:v>
      </x:c>
      <x:c r="C810" s="34" t="str">
        <x:v>ACCELERATED_15C</x:v>
      </x:c>
      <x:c r="D810" s="34" t="str">
        <x:v>P2</x:v>
      </x:c>
      <x:c r="E810" s="34" t="n">
        <x:v>2039</x:v>
      </x:c>
      <x:c r="F810" s="34" t="n">
        <x:v>3</x:v>
      </x:c>
      <x:c r="G810" s="34" t="n">
        <x:v>0.969</x:v>
      </x:c>
      <x:c r="H810" s="34" t="n">
        <x:v>5.8</x:v>
      </x:c>
      <x:c r="I810" s="34" t="n">
        <x:v>4.831</x:v>
      </x:c>
      <x:c r="J810" s="34" t="n">
        <x:v>16.707</x:v>
      </x:c>
      <x:c r="K810" s="34" t="n">
        <x:v>0.3223</x:v>
      </x:c>
      <x:c r="L810" s="34" t="n">
        <x:v>0.92</x:v>
      </x:c>
      <x:c r="M810" s="34" t="n">
        <x:v>0.5977</x:v>
      </x:c>
      <x:c r="N810" s="34" t="n">
        <x:v>35.033</x:v>
      </x:c>
      <x:c r="O810" s="34" t="n">
        <x:v>2.6976</x:v>
      </x:c>
      <x:c r="P810" s="34" t="n">
        <x:v>6</x:v>
      </x:c>
      <x:c r="Q810" s="34" t="n">
        <x:v>3.3024</x:v>
      </x:c>
      <x:c r="R810" s="34" t="n">
        <x:v>44.96</x:v>
      </x:c>
      <x:c r="S810" s="40" t="b">
        <x:v>1</x:v>
      </x:c>
      <x:c r="T810" s="34" t="str">
        <x:v>model_interpolation</x:v>
      </x:c>
      <x:c r="U810" s="34" t="str">
        <x:v>Linear interpolation from 2035 to 2040</x:v>
      </x:c>
      <x:c r="V810" s="34" t="str">
        <x:v>CAND-CE22CF7F8F72DA</x:v>
      </x:c>
      <x:c r="W810" s="34" t="str">
        <x:v>P2</x:v>
      </x:c>
      <x:c r="X810" s="34" t="str">
        <x:v>PORT-9862FC05DA24</x:v>
      </x:c>
      <x:c r="Y810" s="34" t="n">
        <x:v>1000</x:v>
      </x:c>
      <x:c r="Z810" s="34" t="n">
        <x:v>180.95074</x:v>
      </x:c>
      <x:c r="AA810" s="34" t="n">
        <x:v>44.985389</x:v>
      </x:c>
      <x:c r="AB810" s="34" t="n">
        <x:v>105.301092</x:v>
      </x:c>
      <x:c r="AC810" s="34" t="n">
        <x:v>18743.254</x:v>
      </x:c>
      <x:c r="AD810" s="34" t="n">
        <x:v>177.996762</x:v>
      </x:c>
      <x:c r="AE810" s="40" t="b">
        <x:v>1</x:v>
      </x:c>
      <x:c r="AF810" s="40" t="b">
        <x:v>1</x:v>
      </x:c>
      <x:c r="AG810" s="34" t="str"/>
      <x:c r="AH810" s="34" t="n">
        <x:v>0</x:v>
      </x:c>
      <x:c r="AI810" s="34" t="str">
        <x:v>9.990856690045291e-05</x:v>
      </x:c>
      <x:c r="AJ810" s="40" t="b">
        <x:v>1</x:v>
      </x:c>
      <x:c r="AK810" s="40" t="b">
        <x:v>1</x:v>
      </x:c>
      <x:c r="AL810" s="40" t="b">
        <x:v>1</x:v>
      </x:c>
      <x:c r="AM810" s="40" t="b">
        <x:v>1</x:v>
      </x:c>
      <x:c r="AN810" s="34" t="str"/>
      <x:c r="AO810" s="34" t="n">
        <x:v>0</x:v>
      </x:c>
      <x:c r="AP810" s="34" t="n">
        <x:v>0</x:v>
      </x:c>
      <x:c r="AQ810" s="34" t="n">
        <x:v>0</x:v>
      </x:c>
      <x:c r="AR810" s="34" t="n">
        <x:v>1</x:v>
      </x:c>
      <x:c r="AS810" s="34" t="n">
        <x:v>1</x:v>
      </x:c>
      <x:c r="AT810" s="34" t="n">
        <x:v>0.3612199999999999</x:v>
      </x:c>
      <x:c r="AU810" s="34" t="n">
        <x:v>0.6</x:v>
      </x:c>
      <x:c r="AV810" s="34" t="n">
        <x:v>1.54</x:v>
      </x:c>
    </x:row>
    <x:row r="811">
      <x:c r="A811" s="34" t="str">
        <x:v>KOBE_STEEL_JP</x:v>
      </x:c>
      <x:c r="B811" s="34" t="str">
        <x:v>Kobe Steel</x:v>
      </x:c>
      <x:c r="C811" s="34" t="str">
        <x:v>ACCELERATED_15C</x:v>
      </x:c>
      <x:c r="D811" s="34" t="str">
        <x:v>P2</x:v>
      </x:c>
      <x:c r="E811" s="34" t="n">
        <x:v>2040</x:v>
      </x:c>
      <x:c r="F811" s="34" t="n">
        <x:v>3</x:v>
      </x:c>
      <x:c r="G811" s="34" t="n">
        <x:v>0.969</x:v>
      </x:c>
      <x:c r="H811" s="34" t="n">
        <x:v>6</x:v>
      </x:c>
      <x:c r="I811" s="34" t="n">
        <x:v>5.031</x:v>
      </x:c>
      <x:c r="J811" s="34" t="n">
        <x:v>16.15</x:v>
      </x:c>
      <x:c r="K811" s="34" t="n">
        <x:v>0.3223</x:v>
      </x:c>
      <x:c r="L811" s="34" t="n">
        <x:v>1</x:v>
      </x:c>
      <x:c r="M811" s="34" t="n">
        <x:v>0.6777</x:v>
      </x:c>
      <x:c r="N811" s="34" t="n">
        <x:v>32.23</x:v>
      </x:c>
      <x:c r="O811" s="34" t="n">
        <x:v>2.6976</x:v>
      </x:c>
      <x:c r="P811" s="34" t="n">
        <x:v>6.5</x:v>
      </x:c>
      <x:c r="Q811" s="34" t="n">
        <x:v>3.8024</x:v>
      </x:c>
      <x:c r="R811" s="34" t="n">
        <x:v>41.502</x:v>
      </x:c>
      <x:c r="S811" s="40" t="b">
        <x:v>1</x:v>
      </x:c>
      <x:c r="T811" s="34" t="str">
        <x:v>model_estimate</x:v>
      </x:c>
      <x:c r="U811" s="34" t="str">
        <x:v>Illustrative accelerated envelope; not GCAM or an official supply forecast</x:v>
      </x:c>
      <x:c r="V811" s="34" t="str">
        <x:v>CAND-CE22CF7F8F72DA</x:v>
      </x:c>
      <x:c r="W811" s="34" t="str">
        <x:v>P2</x:v>
      </x:c>
      <x:c r="X811" s="34" t="str">
        <x:v>PORT-9862FC05DA24</x:v>
      </x:c>
      <x:c r="Y811" s="34" t="n">
        <x:v>1000</x:v>
      </x:c>
      <x:c r="Z811" s="34" t="n">
        <x:v>180.95074</x:v>
      </x:c>
      <x:c r="AA811" s="34" t="n">
        <x:v>44.985389</x:v>
      </x:c>
      <x:c r="AB811" s="34" t="n">
        <x:v>105.301092</x:v>
      </x:c>
      <x:c r="AC811" s="34" t="n">
        <x:v>18743.254</x:v>
      </x:c>
      <x:c r="AD811" s="34" t="n">
        <x:v>177.996762</x:v>
      </x:c>
      <x:c r="AE811" s="40" t="b">
        <x:v>1</x:v>
      </x:c>
      <x:c r="AF811" s="40" t="b">
        <x:v>1</x:v>
      </x:c>
      <x:c r="AG811" s="34" t="str"/>
      <x:c r="AH811" s="34" t="n">
        <x:v>0</x:v>
      </x:c>
      <x:c r="AI811" s="34" t="str">
        <x:v>9.990856690045291e-05</x:v>
      </x:c>
      <x:c r="AJ811" s="40" t="b">
        <x:v>1</x:v>
      </x:c>
      <x:c r="AK811" s="40" t="b">
        <x:v>1</x:v>
      </x:c>
      <x:c r="AL811" s="40" t="b">
        <x:v>1</x:v>
      </x:c>
      <x:c r="AM811" s="40" t="b">
        <x:v>1</x:v>
      </x:c>
      <x:c r="AN811" s="34" t="str"/>
      <x:c r="AO811" s="34" t="n">
        <x:v>0</x:v>
      </x:c>
      <x:c r="AP811" s="34" t="n">
        <x:v>0</x:v>
      </x:c>
      <x:c r="AQ811" s="34" t="n">
        <x:v>0</x:v>
      </x:c>
      <x:c r="AR811" s="34" t="n">
        <x:v>1</x:v>
      </x:c>
      <x:c r="AS811" s="34" t="n">
        <x:v>1</x:v>
      </x:c>
      <x:c r="AT811" s="34" t="n">
        <x:v>0.3612199999999999</x:v>
      </x:c>
      <x:c r="AU811" s="34" t="n">
        <x:v>0.6</x:v>
      </x:c>
      <x:c r="AV811" s="34" t="n">
        <x:v>1.54</x:v>
      </x:c>
    </x:row>
    <x:row r="812">
      <x:c r="A812" s="34" t="str">
        <x:v>KOBE_STEEL_JP</x:v>
      </x:c>
      <x:c r="B812" s="34" t="str">
        <x:v>Kobe Steel</x:v>
      </x:c>
      <x:c r="C812" s="34" t="str">
        <x:v>DISCLOSED_PATH</x:v>
      </x:c>
      <x:c r="D812" s="34" t="str">
        <x:v>P1</x:v>
      </x:c>
      <x:c r="E812" s="34" t="n">
        <x:v>2026</x:v>
      </x:c>
      <x:c r="F812" s="34" t="n">
        <x:v>0</x:v>
      </x:c>
      <x:c r="G812" s="34" t="n">
        <x:v>0</x:v>
      </x:c>
      <x:c r="H812" s="34" t="n">
        <x:v>2</x:v>
      </x:c>
      <x:c r="I812" s="34" t="n">
        <x:v>2</x:v>
      </x:c>
      <x:c r="J812" s="34" t="n">
        <x:v>0</x:v>
      </x:c>
      <x:c r="K812" s="34" t="n">
        <x:v>0</x:v>
      </x:c>
      <x:c r="L812" s="34" t="n">
        <x:v>0</x:v>
      </x:c>
      <x:c r="M812" s="34" t="n">
        <x:v>0</x:v>
      </x:c>
      <x:c r="N812" s="34" t="n">
        <x:v>0</x:v>
      </x:c>
      <x:c r="O812" s="34" t="n">
        <x:v>0</x:v>
      </x:c>
      <x:c r="P812" s="34" t="n">
        <x:v>0.8</x:v>
      </x:c>
      <x:c r="Q812" s="34" t="n">
        <x:v>0.8</x:v>
      </x:c>
      <x:c r="R812" s="34" t="n">
        <x:v>0</x:v>
      </x:c>
      <x:c r="S812" s="40" t="b">
        <x:v>1</x:v>
      </x:c>
      <x:c r="T812" s="34" t="str">
        <x:v>model_interpolation</x:v>
      </x:c>
      <x:c r="U812" s="34" t="str">
        <x:v>Linear interpolation from 2026 to 2030</x:v>
      </x:c>
      <x:c r="V812" s="34" t="str">
        <x:v>CAND-DCD679F188D852</x:v>
      </x:c>
      <x:c r="W812" s="34" t="str">
        <x:v>P1</x:v>
      </x:c>
      <x:c r="X812" s="34" t="str">
        <x:v>PORT-1144EBE63B41</x:v>
      </x:c>
      <x:c r="Y812" s="34" t="n">
        <x:v>1000</x:v>
      </x:c>
      <x:c r="Z812" s="34" t="n">
        <x:v>156.339561</x:v>
      </x:c>
      <x:c r="AA812" s="34" t="n">
        <x:v>39.045345</x:v>
      </x:c>
      <x:c r="AB812" s="34" t="n">
        <x:v>102.391093</x:v>
      </x:c>
      <x:c r="AC812" s="34" t="n">
        <x:v>15690.435</x:v>
      </x:c>
      <x:c r="AD812" s="34" t="n">
        <x:v>153.240232</x:v>
      </x:c>
      <x:c r="AE812" s="40" t="b">
        <x:v>1</x:v>
      </x:c>
      <x:c r="AF812" s="40" t="b">
        <x:v>1</x:v>
      </x:c>
      <x:c r="AG812" s="34" t="str"/>
      <x:c r="AH812" s="34" t="n">
        <x:v>0</x:v>
      </x:c>
      <x:c r="AI812" s="34" t="str">
        <x:v>9.990856690045291e-05</x:v>
      </x:c>
      <x:c r="AJ812" s="40" t="b">
        <x:v>1</x:v>
      </x:c>
      <x:c r="AK812" s="40" t="b">
        <x:v>1</x:v>
      </x:c>
      <x:c r="AL812" s="40" t="b">
        <x:v>1</x:v>
      </x:c>
      <x:c r="AM812" s="40" t="b">
        <x:v>1</x:v>
      </x:c>
      <x:c r="AN812" s="34" t="str"/>
      <x:c r="AO812" s="34" t="n">
        <x:v>0</x:v>
      </x:c>
      <x:c r="AP812" s="34" t="n">
        <x:v>0</x:v>
      </x:c>
      <x:c r="AQ812" s="34" t="n">
        <x:v>0</x:v>
      </x:c>
      <x:c r="AR812" s="34" t="n">
        <x:v>1</x:v>
      </x:c>
      <x:c r="AS812" s="34" t="n">
        <x:v>1</x:v>
      </x:c>
      <x:c r="AT812" s="34" t="n">
        <x:v>0.28332</x:v>
      </x:c>
      <x:c r="AU812" s="34" t="n">
        <x:v>0.6</x:v>
      </x:c>
      <x:c r="AV812" s="34" t="n">
        <x:v>1.06</x:v>
      </x:c>
    </x:row>
    <x:row r="813">
      <x:c r="A813" s="34" t="str">
        <x:v>KOBE_STEEL_JP</x:v>
      </x:c>
      <x:c r="B813" s="34" t="str">
        <x:v>Kobe Steel</x:v>
      </x:c>
      <x:c r="C813" s="34" t="str">
        <x:v>DISCLOSED_PATH</x:v>
      </x:c>
      <x:c r="D813" s="34" t="str">
        <x:v>P1</x:v>
      </x:c>
      <x:c r="E813" s="34" t="n">
        <x:v>2027</x:v>
      </x:c>
      <x:c r="F813" s="34" t="n">
        <x:v>0</x:v>
      </x:c>
      <x:c r="G813" s="34" t="n">
        <x:v>0</x:v>
      </x:c>
      <x:c r="H813" s="34" t="n">
        <x:v>2.5</x:v>
      </x:c>
      <x:c r="I813" s="34" t="n">
        <x:v>2.5</x:v>
      </x:c>
      <x:c r="J813" s="34" t="n">
        <x:v>0</x:v>
      </x:c>
      <x:c r="K813" s="34" t="n">
        <x:v>0</x:v>
      </x:c>
      <x:c r="L813" s="34" t="n">
        <x:v>0.075</x:v>
      </x:c>
      <x:c r="M813" s="34" t="n">
        <x:v>0.075</x:v>
      </x:c>
      <x:c r="N813" s="34" t="n">
        <x:v>0</x:v>
      </x:c>
      <x:c r="O813" s="34" t="n">
        <x:v>0</x:v>
      </x:c>
      <x:c r="P813" s="34" t="n">
        <x:v>1.35</x:v>
      </x:c>
      <x:c r="Q813" s="34" t="n">
        <x:v>1.35</x:v>
      </x:c>
      <x:c r="R813" s="34" t="n">
        <x:v>0</x:v>
      </x:c>
      <x:c r="S813" s="40" t="b">
        <x:v>1</x:v>
      </x:c>
      <x:c r="T813" s="34" t="str">
        <x:v>model_interpolation</x:v>
      </x:c>
      <x:c r="U813" s="34" t="str">
        <x:v>Linear interpolation from 2026 to 2030</x:v>
      </x:c>
      <x:c r="V813" s="34" t="str">
        <x:v>CAND-DCD679F188D852</x:v>
      </x:c>
      <x:c r="W813" s="34" t="str">
        <x:v>P1</x:v>
      </x:c>
      <x:c r="X813" s="34" t="str">
        <x:v>PORT-1144EBE63B41</x:v>
      </x:c>
      <x:c r="Y813" s="34" t="n">
        <x:v>1000</x:v>
      </x:c>
      <x:c r="Z813" s="34" t="n">
        <x:v>156.339561</x:v>
      </x:c>
      <x:c r="AA813" s="34" t="n">
        <x:v>39.045345</x:v>
      </x:c>
      <x:c r="AB813" s="34" t="n">
        <x:v>102.391093</x:v>
      </x:c>
      <x:c r="AC813" s="34" t="n">
        <x:v>15690.435</x:v>
      </x:c>
      <x:c r="AD813" s="34" t="n">
        <x:v>153.240232</x:v>
      </x:c>
      <x:c r="AE813" s="40" t="b">
        <x:v>1</x:v>
      </x:c>
      <x:c r="AF813" s="40" t="b">
        <x:v>1</x:v>
      </x:c>
      <x:c r="AG813" s="34" t="str"/>
      <x:c r="AH813" s="34" t="n">
        <x:v>0</x:v>
      </x:c>
      <x:c r="AI813" s="34" t="str">
        <x:v>9.990856690045291e-05</x:v>
      </x:c>
      <x:c r="AJ813" s="40" t="b">
        <x:v>1</x:v>
      </x:c>
      <x:c r="AK813" s="40" t="b">
        <x:v>1</x:v>
      </x:c>
      <x:c r="AL813" s="40" t="b">
        <x:v>1</x:v>
      </x:c>
      <x:c r="AM813" s="40" t="b">
        <x:v>1</x:v>
      </x:c>
      <x:c r="AN813" s="34" t="str"/>
      <x:c r="AO813" s="34" t="n">
        <x:v>0</x:v>
      </x:c>
      <x:c r="AP813" s="34" t="n">
        <x:v>0</x:v>
      </x:c>
      <x:c r="AQ813" s="34" t="n">
        <x:v>0</x:v>
      </x:c>
      <x:c r="AR813" s="34" t="n">
        <x:v>1</x:v>
      </x:c>
      <x:c r="AS813" s="34" t="n">
        <x:v>1</x:v>
      </x:c>
      <x:c r="AT813" s="34" t="n">
        <x:v>0.28332</x:v>
      </x:c>
      <x:c r="AU813" s="34" t="n">
        <x:v>0.6</x:v>
      </x:c>
      <x:c r="AV813" s="34" t="n">
        <x:v>1.06</x:v>
      </x:c>
    </x:row>
    <x:row r="814">
      <x:c r="A814" s="34" t="str">
        <x:v>KOBE_STEEL_JP</x:v>
      </x:c>
      <x:c r="B814" s="34" t="str">
        <x:v>Kobe Steel</x:v>
      </x:c>
      <x:c r="C814" s="34" t="str">
        <x:v>DISCLOSED_PATH</x:v>
      </x:c>
      <x:c r="D814" s="34" t="str">
        <x:v>P1</x:v>
      </x:c>
      <x:c r="E814" s="34" t="n">
        <x:v>2028</x:v>
      </x:c>
      <x:c r="F814" s="34" t="n">
        <x:v>0</x:v>
      </x:c>
      <x:c r="G814" s="34" t="n">
        <x:v>0</x:v>
      </x:c>
      <x:c r="H814" s="34" t="n">
        <x:v>3</x:v>
      </x:c>
      <x:c r="I814" s="34" t="n">
        <x:v>3</x:v>
      </x:c>
      <x:c r="J814" s="34" t="n">
        <x:v>0</x:v>
      </x:c>
      <x:c r="K814" s="34" t="n">
        <x:v>0</x:v>
      </x:c>
      <x:c r="L814" s="34" t="n">
        <x:v>0.15</x:v>
      </x:c>
      <x:c r="M814" s="34" t="n">
        <x:v>0.15</x:v>
      </x:c>
      <x:c r="N814" s="34" t="n">
        <x:v>0</x:v>
      </x:c>
      <x:c r="O814" s="34" t="n">
        <x:v>0</x:v>
      </x:c>
      <x:c r="P814" s="34" t="n">
        <x:v>1.9000000000000001</x:v>
      </x:c>
      <x:c r="Q814" s="34" t="n">
        <x:v>1.9</x:v>
      </x:c>
      <x:c r="R814" s="34" t="n">
        <x:v>0</x:v>
      </x:c>
      <x:c r="S814" s="40" t="b">
        <x:v>1</x:v>
      </x:c>
      <x:c r="T814" s="34" t="str">
        <x:v>model_interpolation</x:v>
      </x:c>
      <x:c r="U814" s="34" t="str">
        <x:v>Linear interpolation from 2026 to 2030</x:v>
      </x:c>
      <x:c r="V814" s="34" t="str">
        <x:v>CAND-DCD679F188D852</x:v>
      </x:c>
      <x:c r="W814" s="34" t="str">
        <x:v>P1</x:v>
      </x:c>
      <x:c r="X814" s="34" t="str">
        <x:v>PORT-1144EBE63B41</x:v>
      </x:c>
      <x:c r="Y814" s="34" t="n">
        <x:v>1000</x:v>
      </x:c>
      <x:c r="Z814" s="34" t="n">
        <x:v>156.339561</x:v>
      </x:c>
      <x:c r="AA814" s="34" t="n">
        <x:v>39.045345</x:v>
      </x:c>
      <x:c r="AB814" s="34" t="n">
        <x:v>102.391093</x:v>
      </x:c>
      <x:c r="AC814" s="34" t="n">
        <x:v>15690.435</x:v>
      </x:c>
      <x:c r="AD814" s="34" t="n">
        <x:v>153.240232</x:v>
      </x:c>
      <x:c r="AE814" s="40" t="b">
        <x:v>1</x:v>
      </x:c>
      <x:c r="AF814" s="40" t="b">
        <x:v>1</x:v>
      </x:c>
      <x:c r="AG814" s="34" t="str"/>
      <x:c r="AH814" s="34" t="n">
        <x:v>0</x:v>
      </x:c>
      <x:c r="AI814" s="34" t="str">
        <x:v>9.990856690045291e-05</x:v>
      </x:c>
      <x:c r="AJ814" s="40" t="b">
        <x:v>1</x:v>
      </x:c>
      <x:c r="AK814" s="40" t="b">
        <x:v>1</x:v>
      </x:c>
      <x:c r="AL814" s="40" t="b">
        <x:v>1</x:v>
      </x:c>
      <x:c r="AM814" s="40" t="b">
        <x:v>1</x:v>
      </x:c>
      <x:c r="AN814" s="34" t="str"/>
      <x:c r="AO814" s="34" t="n">
        <x:v>0</x:v>
      </x:c>
      <x:c r="AP814" s="34" t="n">
        <x:v>0</x:v>
      </x:c>
      <x:c r="AQ814" s="34" t="n">
        <x:v>0</x:v>
      </x:c>
      <x:c r="AR814" s="34" t="n">
        <x:v>1</x:v>
      </x:c>
      <x:c r="AS814" s="34" t="n">
        <x:v>1</x:v>
      </x:c>
      <x:c r="AT814" s="34" t="n">
        <x:v>0.28332</x:v>
      </x:c>
      <x:c r="AU814" s="34" t="n">
        <x:v>0.6</x:v>
      </x:c>
      <x:c r="AV814" s="34" t="n">
        <x:v>1.06</x:v>
      </x:c>
    </x:row>
    <x:row r="815">
      <x:c r="A815" s="34" t="str">
        <x:v>KOBE_STEEL_JP</x:v>
      </x:c>
      <x:c r="B815" s="34" t="str">
        <x:v>Kobe Steel</x:v>
      </x:c>
      <x:c r="C815" s="34" t="str">
        <x:v>DISCLOSED_PATH</x:v>
      </x:c>
      <x:c r="D815" s="34" t="str">
        <x:v>P1</x:v>
      </x:c>
      <x:c r="E815" s="34" t="n">
        <x:v>2029</x:v>
      </x:c>
      <x:c r="F815" s="34" t="n">
        <x:v>1</x:v>
      </x:c>
      <x:c r="G815" s="34" t="n">
        <x:v>0.4425</x:v>
      </x:c>
      <x:c r="H815" s="34" t="n">
        <x:v>3.5</x:v>
      </x:c>
      <x:c r="I815" s="34" t="n">
        <x:v>3.0575</x:v>
      </x:c>
      <x:c r="J815" s="34" t="n">
        <x:v>12.643</x:v>
      </x:c>
      <x:c r="K815" s="34" t="n">
        <x:v>0.16225</x:v>
      </x:c>
      <x:c r="L815" s="34" t="n">
        <x:v>0.22499999999999998</x:v>
      </x:c>
      <x:c r="M815" s="34" t="n">
        <x:v>0.06275</x:v>
      </x:c>
      <x:c r="N815" s="34" t="n">
        <x:v>72.111</x:v>
      </x:c>
      <x:c r="O815" s="34" t="n">
        <x:v>1.357</x:v>
      </x:c>
      <x:c r="P815" s="34" t="n">
        <x:v>2.45</x:v>
      </x:c>
      <x:c r="Q815" s="34" t="n">
        <x:v>1.093</x:v>
      </x:c>
      <x:c r="R815" s="34" t="n">
        <x:v>55.388</x:v>
      </x:c>
      <x:c r="S815" s="40" t="b">
        <x:v>1</x:v>
      </x:c>
      <x:c r="T815" s="34" t="str">
        <x:v>model_interpolation</x:v>
      </x:c>
      <x:c r="U815" s="34" t="str">
        <x:v>Linear interpolation from 2026 to 2030</x:v>
      </x:c>
      <x:c r="V815" s="34" t="str">
        <x:v>CAND-DCD679F188D852</x:v>
      </x:c>
      <x:c r="W815" s="34" t="str">
        <x:v>P1</x:v>
      </x:c>
      <x:c r="X815" s="34" t="str">
        <x:v>PORT-1144EBE63B41</x:v>
      </x:c>
      <x:c r="Y815" s="34" t="n">
        <x:v>1000</x:v>
      </x:c>
      <x:c r="Z815" s="34" t="n">
        <x:v>156.339561</x:v>
      </x:c>
      <x:c r="AA815" s="34" t="n">
        <x:v>39.045345</x:v>
      </x:c>
      <x:c r="AB815" s="34" t="n">
        <x:v>102.391093</x:v>
      </x:c>
      <x:c r="AC815" s="34" t="n">
        <x:v>15690.435</x:v>
      </x:c>
      <x:c r="AD815" s="34" t="n">
        <x:v>153.240232</x:v>
      </x:c>
      <x:c r="AE815" s="40" t="b">
        <x:v>1</x:v>
      </x:c>
      <x:c r="AF815" s="40" t="b">
        <x:v>1</x:v>
      </x:c>
      <x:c r="AG815" s="34" t="str"/>
      <x:c r="AH815" s="34" t="n">
        <x:v>0</x:v>
      </x:c>
      <x:c r="AI815" s="34" t="str">
        <x:v>9.990856690045291e-05</x:v>
      </x:c>
      <x:c r="AJ815" s="40" t="b">
        <x:v>1</x:v>
      </x:c>
      <x:c r="AK815" s="40" t="b">
        <x:v>1</x:v>
      </x:c>
      <x:c r="AL815" s="40" t="b">
        <x:v>1</x:v>
      </x:c>
      <x:c r="AM815" s="40" t="b">
        <x:v>1</x:v>
      </x:c>
      <x:c r="AN815" s="34" t="str"/>
      <x:c r="AO815" s="34" t="n">
        <x:v>0</x:v>
      </x:c>
      <x:c r="AP815" s="34" t="n">
        <x:v>0</x:v>
      </x:c>
      <x:c r="AQ815" s="34" t="n">
        <x:v>0</x:v>
      </x:c>
      <x:c r="AR815" s="34" t="n">
        <x:v>1</x:v>
      </x:c>
      <x:c r="AS815" s="34" t="n">
        <x:v>1</x:v>
      </x:c>
      <x:c r="AT815" s="34" t="n">
        <x:v>0.28332</x:v>
      </x:c>
      <x:c r="AU815" s="34" t="n">
        <x:v>0.6</x:v>
      </x:c>
      <x:c r="AV815" s="34" t="n">
        <x:v>1.06</x:v>
      </x:c>
    </x:row>
    <x:row r="816">
      <x:c r="A816" s="34" t="str">
        <x:v>KOBE_STEEL_JP</x:v>
      </x:c>
      <x:c r="B816" s="34" t="str">
        <x:v>Kobe Steel</x:v>
      </x:c>
      <x:c r="C816" s="34" t="str">
        <x:v>DISCLOSED_PATH</x:v>
      </x:c>
      <x:c r="D816" s="34" t="str">
        <x:v>P1</x:v>
      </x:c>
      <x:c r="E816" s="34" t="n">
        <x:v>2030</x:v>
      </x:c>
      <x:c r="F816" s="34" t="n">
        <x:v>1</x:v>
      </x:c>
      <x:c r="G816" s="34" t="n">
        <x:v>0.4425</x:v>
      </x:c>
      <x:c r="H816" s="34" t="n">
        <x:v>4</x:v>
      </x:c>
      <x:c r="I816" s="34" t="n">
        <x:v>3.5575</x:v>
      </x:c>
      <x:c r="J816" s="34" t="n">
        <x:v>11.063</x:v>
      </x:c>
      <x:c r="K816" s="34" t="n">
        <x:v>0.16225</x:v>
      </x:c>
      <x:c r="L816" s="34" t="n">
        <x:v>0.3</x:v>
      </x:c>
      <x:c r="M816" s="34" t="n">
        <x:v>0.13775</x:v>
      </x:c>
      <x:c r="N816" s="34" t="n">
        <x:v>54.083</x:v>
      </x:c>
      <x:c r="O816" s="34" t="n">
        <x:v>1.357</x:v>
      </x:c>
      <x:c r="P816" s="34" t="n">
        <x:v>3</x:v>
      </x:c>
      <x:c r="Q816" s="34" t="n">
        <x:v>1.643</x:v>
      </x:c>
      <x:c r="R816" s="34" t="n">
        <x:v>45.233</x:v>
      </x:c>
      <x:c r="S816" s="40" t="b">
        <x:v>1</x:v>
      </x:c>
      <x:c r="T816" s="34" t="str">
        <x:v>model_interpolation</x:v>
      </x:c>
      <x:c r="U816" s="34" t="str">
        <x:v>Linear interpolation from 2030 to 2035</x:v>
      </x:c>
      <x:c r="V816" s="34" t="str">
        <x:v>CAND-DCD679F188D852</x:v>
      </x:c>
      <x:c r="W816" s="34" t="str">
        <x:v>P1</x:v>
      </x:c>
      <x:c r="X816" s="34" t="str">
        <x:v>PORT-1144EBE63B41</x:v>
      </x:c>
      <x:c r="Y816" s="34" t="n">
        <x:v>1000</x:v>
      </x:c>
      <x:c r="Z816" s="34" t="n">
        <x:v>156.339561</x:v>
      </x:c>
      <x:c r="AA816" s="34" t="n">
        <x:v>39.045345</x:v>
      </x:c>
      <x:c r="AB816" s="34" t="n">
        <x:v>102.391093</x:v>
      </x:c>
      <x:c r="AC816" s="34" t="n">
        <x:v>15690.435</x:v>
      </x:c>
      <x:c r="AD816" s="34" t="n">
        <x:v>153.240232</x:v>
      </x:c>
      <x:c r="AE816" s="40" t="b">
        <x:v>1</x:v>
      </x:c>
      <x:c r="AF816" s="40" t="b">
        <x:v>1</x:v>
      </x:c>
      <x:c r="AG816" s="34" t="str"/>
      <x:c r="AH816" s="34" t="n">
        <x:v>0</x:v>
      </x:c>
      <x:c r="AI816" s="34" t="str">
        <x:v>9.990856690045291e-05</x:v>
      </x:c>
      <x:c r="AJ816" s="40" t="b">
        <x:v>1</x:v>
      </x:c>
      <x:c r="AK816" s="40" t="b">
        <x:v>1</x:v>
      </x:c>
      <x:c r="AL816" s="40" t="b">
        <x:v>1</x:v>
      </x:c>
      <x:c r="AM816" s="40" t="b">
        <x:v>1</x:v>
      </x:c>
      <x:c r="AN816" s="34" t="str"/>
      <x:c r="AO816" s="34" t="n">
        <x:v>0</x:v>
      </x:c>
      <x:c r="AP816" s="34" t="n">
        <x:v>0</x:v>
      </x:c>
      <x:c r="AQ816" s="34" t="n">
        <x:v>0</x:v>
      </x:c>
      <x:c r="AR816" s="34" t="n">
        <x:v>1</x:v>
      </x:c>
      <x:c r="AS816" s="34" t="n">
        <x:v>1</x:v>
      </x:c>
      <x:c r="AT816" s="34" t="n">
        <x:v>0.28332</x:v>
      </x:c>
      <x:c r="AU816" s="34" t="n">
        <x:v>0.6</x:v>
      </x:c>
      <x:c r="AV816" s="34" t="n">
        <x:v>1.06</x:v>
      </x:c>
    </x:row>
    <x:row r="817">
      <x:c r="A817" s="34" t="str">
        <x:v>KOBE_STEEL_JP</x:v>
      </x:c>
      <x:c r="B817" s="34" t="str">
        <x:v>Kobe Steel</x:v>
      </x:c>
      <x:c r="C817" s="34" t="str">
        <x:v>DISCLOSED_PATH</x:v>
      </x:c>
      <x:c r="D817" s="34" t="str">
        <x:v>P1</x:v>
      </x:c>
      <x:c r="E817" s="34" t="n">
        <x:v>2031</x:v>
      </x:c>
      <x:c r="F817" s="34" t="n">
        <x:v>1</x:v>
      </x:c>
      <x:c r="G817" s="34" t="n">
        <x:v>0.4425</x:v>
      </x:c>
      <x:c r="H817" s="34" t="n">
        <x:v>4</x:v>
      </x:c>
      <x:c r="I817" s="34" t="n">
        <x:v>3.5575</x:v>
      </x:c>
      <x:c r="J817" s="34" t="n">
        <x:v>11.063</x:v>
      </x:c>
      <x:c r="K817" s="34" t="n">
        <x:v>0.16225</x:v>
      </x:c>
      <x:c r="L817" s="34" t="n">
        <x:v>0.32</x:v>
      </x:c>
      <x:c r="M817" s="34" t="n">
        <x:v>0.15775</x:v>
      </x:c>
      <x:c r="N817" s="34" t="n">
        <x:v>50.703</x:v>
      </x:c>
      <x:c r="O817" s="34" t="n">
        <x:v>1.357</x:v>
      </x:c>
      <x:c r="P817" s="34" t="n">
        <x:v>3</x:v>
      </x:c>
      <x:c r="Q817" s="34" t="n">
        <x:v>1.643</x:v>
      </x:c>
      <x:c r="R817" s="34" t="n">
        <x:v>45.233</x:v>
      </x:c>
      <x:c r="S817" s="40" t="b">
        <x:v>1</x:v>
      </x:c>
      <x:c r="T817" s="34" t="str">
        <x:v>model_interpolation</x:v>
      </x:c>
      <x:c r="U817" s="34" t="str">
        <x:v>Linear interpolation from 2030 to 2035</x:v>
      </x:c>
      <x:c r="V817" s="34" t="str">
        <x:v>CAND-DCD679F188D852</x:v>
      </x:c>
      <x:c r="W817" s="34" t="str">
        <x:v>P1</x:v>
      </x:c>
      <x:c r="X817" s="34" t="str">
        <x:v>PORT-1144EBE63B41</x:v>
      </x:c>
      <x:c r="Y817" s="34" t="n">
        <x:v>1000</x:v>
      </x:c>
      <x:c r="Z817" s="34" t="n">
        <x:v>156.339561</x:v>
      </x:c>
      <x:c r="AA817" s="34" t="n">
        <x:v>39.045345</x:v>
      </x:c>
      <x:c r="AB817" s="34" t="n">
        <x:v>102.391093</x:v>
      </x:c>
      <x:c r="AC817" s="34" t="n">
        <x:v>15690.435</x:v>
      </x:c>
      <x:c r="AD817" s="34" t="n">
        <x:v>153.240232</x:v>
      </x:c>
      <x:c r="AE817" s="40" t="b">
        <x:v>1</x:v>
      </x:c>
      <x:c r="AF817" s="40" t="b">
        <x:v>1</x:v>
      </x:c>
      <x:c r="AG817" s="34" t="str"/>
      <x:c r="AH817" s="34" t="n">
        <x:v>0</x:v>
      </x:c>
      <x:c r="AI817" s="34" t="str">
        <x:v>9.990856690045291e-05</x:v>
      </x:c>
      <x:c r="AJ817" s="40" t="b">
        <x:v>1</x:v>
      </x:c>
      <x:c r="AK817" s="40" t="b">
        <x:v>1</x:v>
      </x:c>
      <x:c r="AL817" s="40" t="b">
        <x:v>1</x:v>
      </x:c>
      <x:c r="AM817" s="40" t="b">
        <x:v>1</x:v>
      </x:c>
      <x:c r="AN817" s="34" t="str"/>
      <x:c r="AO817" s="34" t="n">
        <x:v>0</x:v>
      </x:c>
      <x:c r="AP817" s="34" t="n">
        <x:v>0</x:v>
      </x:c>
      <x:c r="AQ817" s="34" t="n">
        <x:v>0</x:v>
      </x:c>
      <x:c r="AR817" s="34" t="n">
        <x:v>1</x:v>
      </x:c>
      <x:c r="AS817" s="34" t="n">
        <x:v>1</x:v>
      </x:c>
      <x:c r="AT817" s="34" t="n">
        <x:v>0.28332</x:v>
      </x:c>
      <x:c r="AU817" s="34" t="n">
        <x:v>0.6</x:v>
      </x:c>
      <x:c r="AV817" s="34" t="n">
        <x:v>1.06</x:v>
      </x:c>
    </x:row>
    <x:row r="818">
      <x:c r="A818" s="34" t="str">
        <x:v>KOBE_STEEL_JP</x:v>
      </x:c>
      <x:c r="B818" s="34" t="str">
        <x:v>Kobe Steel</x:v>
      </x:c>
      <x:c r="C818" s="34" t="str">
        <x:v>DISCLOSED_PATH</x:v>
      </x:c>
      <x:c r="D818" s="34" t="str">
        <x:v>P1</x:v>
      </x:c>
      <x:c r="E818" s="34" t="n">
        <x:v>2032</x:v>
      </x:c>
      <x:c r="F818" s="34" t="n">
        <x:v>1</x:v>
      </x:c>
      <x:c r="G818" s="34" t="n">
        <x:v>0.4425</x:v>
      </x:c>
      <x:c r="H818" s="34" t="n">
        <x:v>4</x:v>
      </x:c>
      <x:c r="I818" s="34" t="n">
        <x:v>3.5575</x:v>
      </x:c>
      <x:c r="J818" s="34" t="n">
        <x:v>11.063</x:v>
      </x:c>
      <x:c r="K818" s="34" t="n">
        <x:v>0.16225</x:v>
      </x:c>
      <x:c r="L818" s="34" t="n">
        <x:v>0.34</x:v>
      </x:c>
      <x:c r="M818" s="34" t="n">
        <x:v>0.17775</x:v>
      </x:c>
      <x:c r="N818" s="34" t="n">
        <x:v>47.721</x:v>
      </x:c>
      <x:c r="O818" s="34" t="n">
        <x:v>1.357</x:v>
      </x:c>
      <x:c r="P818" s="34" t="n">
        <x:v>3</x:v>
      </x:c>
      <x:c r="Q818" s="34" t="n">
        <x:v>1.643</x:v>
      </x:c>
      <x:c r="R818" s="34" t="n">
        <x:v>45.233</x:v>
      </x:c>
      <x:c r="S818" s="40" t="b">
        <x:v>1</x:v>
      </x:c>
      <x:c r="T818" s="34" t="str">
        <x:v>model_interpolation</x:v>
      </x:c>
      <x:c r="U818" s="34" t="str">
        <x:v>Linear interpolation from 2030 to 2035</x:v>
      </x:c>
      <x:c r="V818" s="34" t="str">
        <x:v>CAND-DCD679F188D852</x:v>
      </x:c>
      <x:c r="W818" s="34" t="str">
        <x:v>P1</x:v>
      </x:c>
      <x:c r="X818" s="34" t="str">
        <x:v>PORT-1144EBE63B41</x:v>
      </x:c>
      <x:c r="Y818" s="34" t="n">
        <x:v>1000</x:v>
      </x:c>
      <x:c r="Z818" s="34" t="n">
        <x:v>156.339561</x:v>
      </x:c>
      <x:c r="AA818" s="34" t="n">
        <x:v>39.045345</x:v>
      </x:c>
      <x:c r="AB818" s="34" t="n">
        <x:v>102.391093</x:v>
      </x:c>
      <x:c r="AC818" s="34" t="n">
        <x:v>15690.435</x:v>
      </x:c>
      <x:c r="AD818" s="34" t="n">
        <x:v>153.240232</x:v>
      </x:c>
      <x:c r="AE818" s="40" t="b">
        <x:v>1</x:v>
      </x:c>
      <x:c r="AF818" s="40" t="b">
        <x:v>1</x:v>
      </x:c>
      <x:c r="AG818" s="34" t="str"/>
      <x:c r="AH818" s="34" t="n">
        <x:v>0</x:v>
      </x:c>
      <x:c r="AI818" s="34" t="str">
        <x:v>9.990856690045291e-05</x:v>
      </x:c>
      <x:c r="AJ818" s="40" t="b">
        <x:v>1</x:v>
      </x:c>
      <x:c r="AK818" s="40" t="b">
        <x:v>1</x:v>
      </x:c>
      <x:c r="AL818" s="40" t="b">
        <x:v>1</x:v>
      </x:c>
      <x:c r="AM818" s="40" t="b">
        <x:v>1</x:v>
      </x:c>
      <x:c r="AN818" s="34" t="str"/>
      <x:c r="AO818" s="34" t="n">
        <x:v>0</x:v>
      </x:c>
      <x:c r="AP818" s="34" t="n">
        <x:v>0</x:v>
      </x:c>
      <x:c r="AQ818" s="34" t="n">
        <x:v>0</x:v>
      </x:c>
      <x:c r="AR818" s="34" t="n">
        <x:v>1</x:v>
      </x:c>
      <x:c r="AS818" s="34" t="n">
        <x:v>1</x:v>
      </x:c>
      <x:c r="AT818" s="34" t="n">
        <x:v>0.28332</x:v>
      </x:c>
      <x:c r="AU818" s="34" t="n">
        <x:v>0.6</x:v>
      </x:c>
      <x:c r="AV818" s="34" t="n">
        <x:v>1.06</x:v>
      </x:c>
    </x:row>
    <x:row r="819">
      <x:c r="A819" s="34" t="str">
        <x:v>KOBE_STEEL_JP</x:v>
      </x:c>
      <x:c r="B819" s="34" t="str">
        <x:v>Kobe Steel</x:v>
      </x:c>
      <x:c r="C819" s="34" t="str">
        <x:v>DISCLOSED_PATH</x:v>
      </x:c>
      <x:c r="D819" s="34" t="str">
        <x:v>P1</x:v>
      </x:c>
      <x:c r="E819" s="34" t="n">
        <x:v>2033</x:v>
      </x:c>
      <x:c r="F819" s="34" t="n">
        <x:v>2</x:v>
      </x:c>
      <x:c r="G819" s="34" t="n">
        <x:v>0.5325</x:v>
      </x:c>
      <x:c r="H819" s="34" t="n">
        <x:v>4</x:v>
      </x:c>
      <x:c r="I819" s="34" t="n">
        <x:v>3.4675</x:v>
      </x:c>
      <x:c r="J819" s="34" t="n">
        <x:v>13.313</x:v>
      </x:c>
      <x:c r="K819" s="34" t="n">
        <x:v>0.16225</x:v>
      </x:c>
      <x:c r="L819" s="34" t="n">
        <x:v>0.36</x:v>
      </x:c>
      <x:c r="M819" s="34" t="n">
        <x:v>0.19775</x:v>
      </x:c>
      <x:c r="N819" s="34" t="n">
        <x:v>45.069</x:v>
      </x:c>
      <x:c r="O819" s="34" t="n">
        <x:v>1.359</x:v>
      </x:c>
      <x:c r="P819" s="34" t="n">
        <x:v>3</x:v>
      </x:c>
      <x:c r="Q819" s="34" t="n">
        <x:v>1.641</x:v>
      </x:c>
      <x:c r="R819" s="34" t="n">
        <x:v>45.3</x:v>
      </x:c>
      <x:c r="S819" s="40" t="b">
        <x:v>1</x:v>
      </x:c>
      <x:c r="T819" s="34" t="str">
        <x:v>model_interpolation</x:v>
      </x:c>
      <x:c r="U819" s="34" t="str">
        <x:v>Linear interpolation from 2030 to 2035</x:v>
      </x:c>
      <x:c r="V819" s="34" t="str">
        <x:v>CAND-DCD679F188D852</x:v>
      </x:c>
      <x:c r="W819" s="34" t="str">
        <x:v>P1</x:v>
      </x:c>
      <x:c r="X819" s="34" t="str">
        <x:v>PORT-1144EBE63B41</x:v>
      </x:c>
      <x:c r="Y819" s="34" t="n">
        <x:v>1000</x:v>
      </x:c>
      <x:c r="Z819" s="34" t="n">
        <x:v>156.339561</x:v>
      </x:c>
      <x:c r="AA819" s="34" t="n">
        <x:v>39.045345</x:v>
      </x:c>
      <x:c r="AB819" s="34" t="n">
        <x:v>102.391093</x:v>
      </x:c>
      <x:c r="AC819" s="34" t="n">
        <x:v>15690.435</x:v>
      </x:c>
      <x:c r="AD819" s="34" t="n">
        <x:v>153.240232</x:v>
      </x:c>
      <x:c r="AE819" s="40" t="b">
        <x:v>1</x:v>
      </x:c>
      <x:c r="AF819" s="40" t="b">
        <x:v>1</x:v>
      </x:c>
      <x:c r="AG819" s="34" t="str"/>
      <x:c r="AH819" s="34" t="n">
        <x:v>0</x:v>
      </x:c>
      <x:c r="AI819" s="34" t="str">
        <x:v>9.990856690045291e-05</x:v>
      </x:c>
      <x:c r="AJ819" s="40" t="b">
        <x:v>1</x:v>
      </x:c>
      <x:c r="AK819" s="40" t="b">
        <x:v>1</x:v>
      </x:c>
      <x:c r="AL819" s="40" t="b">
        <x:v>1</x:v>
      </x:c>
      <x:c r="AM819" s="40" t="b">
        <x:v>1</x:v>
      </x:c>
      <x:c r="AN819" s="34" t="str"/>
      <x:c r="AO819" s="34" t="n">
        <x:v>0</x:v>
      </x:c>
      <x:c r="AP819" s="34" t="n">
        <x:v>0</x:v>
      </x:c>
      <x:c r="AQ819" s="34" t="n">
        <x:v>0</x:v>
      </x:c>
      <x:c r="AR819" s="34" t="n">
        <x:v>1</x:v>
      </x:c>
      <x:c r="AS819" s="34" t="n">
        <x:v>1</x:v>
      </x:c>
      <x:c r="AT819" s="34" t="n">
        <x:v>0.28332</x:v>
      </x:c>
      <x:c r="AU819" s="34" t="n">
        <x:v>0.6</x:v>
      </x:c>
      <x:c r="AV819" s="34" t="n">
        <x:v>1.06</x:v>
      </x:c>
    </x:row>
    <x:row r="820">
      <x:c r="A820" s="34" t="str">
        <x:v>KOBE_STEEL_JP</x:v>
      </x:c>
      <x:c r="B820" s="34" t="str">
        <x:v>Kobe Steel</x:v>
      </x:c>
      <x:c r="C820" s="34" t="str">
        <x:v>DISCLOSED_PATH</x:v>
      </x:c>
      <x:c r="D820" s="34" t="str">
        <x:v>P1</x:v>
      </x:c>
      <x:c r="E820" s="34" t="n">
        <x:v>2034</x:v>
      </x:c>
      <x:c r="F820" s="34" t="n">
        <x:v>2</x:v>
      </x:c>
      <x:c r="G820" s="34" t="n">
        <x:v>0.5325</x:v>
      </x:c>
      <x:c r="H820" s="34" t="n">
        <x:v>4</x:v>
      </x:c>
      <x:c r="I820" s="34" t="n">
        <x:v>3.4675</x:v>
      </x:c>
      <x:c r="J820" s="34" t="n">
        <x:v>13.313</x:v>
      </x:c>
      <x:c r="K820" s="34" t="n">
        <x:v>0.16225</x:v>
      </x:c>
      <x:c r="L820" s="34" t="n">
        <x:v>0.38</x:v>
      </x:c>
      <x:c r="M820" s="34" t="n">
        <x:v>0.21775</x:v>
      </x:c>
      <x:c r="N820" s="34" t="n">
        <x:v>42.697</x:v>
      </x:c>
      <x:c r="O820" s="34" t="n">
        <x:v>1.359</x:v>
      </x:c>
      <x:c r="P820" s="34" t="n">
        <x:v>3</x:v>
      </x:c>
      <x:c r="Q820" s="34" t="n">
        <x:v>1.641</x:v>
      </x:c>
      <x:c r="R820" s="34" t="n">
        <x:v>45.3</x:v>
      </x:c>
      <x:c r="S820" s="40" t="b">
        <x:v>1</x:v>
      </x:c>
      <x:c r="T820" s="34" t="str">
        <x:v>model_interpolation</x:v>
      </x:c>
      <x:c r="U820" s="34" t="str">
        <x:v>Linear interpolation from 2030 to 2035</x:v>
      </x:c>
      <x:c r="V820" s="34" t="str">
        <x:v>CAND-DCD679F188D852</x:v>
      </x:c>
      <x:c r="W820" s="34" t="str">
        <x:v>P1</x:v>
      </x:c>
      <x:c r="X820" s="34" t="str">
        <x:v>PORT-1144EBE63B41</x:v>
      </x:c>
      <x:c r="Y820" s="34" t="n">
        <x:v>1000</x:v>
      </x:c>
      <x:c r="Z820" s="34" t="n">
        <x:v>156.339561</x:v>
      </x:c>
      <x:c r="AA820" s="34" t="n">
        <x:v>39.045345</x:v>
      </x:c>
      <x:c r="AB820" s="34" t="n">
        <x:v>102.391093</x:v>
      </x:c>
      <x:c r="AC820" s="34" t="n">
        <x:v>15690.435</x:v>
      </x:c>
      <x:c r="AD820" s="34" t="n">
        <x:v>153.240232</x:v>
      </x:c>
      <x:c r="AE820" s="40" t="b">
        <x:v>1</x:v>
      </x:c>
      <x:c r="AF820" s="40" t="b">
        <x:v>1</x:v>
      </x:c>
      <x:c r="AG820" s="34" t="str"/>
      <x:c r="AH820" s="34" t="n">
        <x:v>0</x:v>
      </x:c>
      <x:c r="AI820" s="34" t="str">
        <x:v>9.990856690045291e-05</x:v>
      </x:c>
      <x:c r="AJ820" s="40" t="b">
        <x:v>1</x:v>
      </x:c>
      <x:c r="AK820" s="40" t="b">
        <x:v>1</x:v>
      </x:c>
      <x:c r="AL820" s="40" t="b">
        <x:v>1</x:v>
      </x:c>
      <x:c r="AM820" s="40" t="b">
        <x:v>1</x:v>
      </x:c>
      <x:c r="AN820" s="34" t="str"/>
      <x:c r="AO820" s="34" t="n">
        <x:v>0</x:v>
      </x:c>
      <x:c r="AP820" s="34" t="n">
        <x:v>0</x:v>
      </x:c>
      <x:c r="AQ820" s="34" t="n">
        <x:v>0</x:v>
      </x:c>
      <x:c r="AR820" s="34" t="n">
        <x:v>1</x:v>
      </x:c>
      <x:c r="AS820" s="34" t="n">
        <x:v>1</x:v>
      </x:c>
      <x:c r="AT820" s="34" t="n">
        <x:v>0.28332</x:v>
      </x:c>
      <x:c r="AU820" s="34" t="n">
        <x:v>0.6</x:v>
      </x:c>
      <x:c r="AV820" s="34" t="n">
        <x:v>1.06</x:v>
      </x:c>
    </x:row>
    <x:row r="821">
      <x:c r="A821" s="34" t="str">
        <x:v>KOBE_STEEL_JP</x:v>
      </x:c>
      <x:c r="B821" s="34" t="str">
        <x:v>Kobe Steel</x:v>
      </x:c>
      <x:c r="C821" s="34" t="str">
        <x:v>DISCLOSED_PATH</x:v>
      </x:c>
      <x:c r="D821" s="34" t="str">
        <x:v>P1</x:v>
      </x:c>
      <x:c r="E821" s="34" t="n">
        <x:v>2035</x:v>
      </x:c>
      <x:c r="F821" s="34" t="n">
        <x:v>2</x:v>
      </x:c>
      <x:c r="G821" s="34" t="n">
        <x:v>0.5325</x:v>
      </x:c>
      <x:c r="H821" s="34" t="n">
        <x:v>4</x:v>
      </x:c>
      <x:c r="I821" s="34" t="n">
        <x:v>3.4675</x:v>
      </x:c>
      <x:c r="J821" s="34" t="n">
        <x:v>13.313</x:v>
      </x:c>
      <x:c r="K821" s="34" t="n">
        <x:v>0.16225</x:v>
      </x:c>
      <x:c r="L821" s="34" t="n">
        <x:v>0.4</x:v>
      </x:c>
      <x:c r="M821" s="34" t="n">
        <x:v>0.23775</x:v>
      </x:c>
      <x:c r="N821" s="34" t="n">
        <x:v>40.563</x:v>
      </x:c>
      <x:c r="O821" s="34" t="n">
        <x:v>1.359</x:v>
      </x:c>
      <x:c r="P821" s="34" t="n">
        <x:v>3</x:v>
      </x:c>
      <x:c r="Q821" s="34" t="n">
        <x:v>1.641</x:v>
      </x:c>
      <x:c r="R821" s="34" t="n">
        <x:v>45.3</x:v>
      </x:c>
      <x:c r="S821" s="40" t="b">
        <x:v>1</x:v>
      </x:c>
      <x:c r="T821" s="34" t="str">
        <x:v>model_interpolation</x:v>
      </x:c>
      <x:c r="U821" s="34" t="str">
        <x:v>Linear interpolation from 2035 to 2040</x:v>
      </x:c>
      <x:c r="V821" s="34" t="str">
        <x:v>CAND-DCD679F188D852</x:v>
      </x:c>
      <x:c r="W821" s="34" t="str">
        <x:v>P1</x:v>
      </x:c>
      <x:c r="X821" s="34" t="str">
        <x:v>PORT-1144EBE63B41</x:v>
      </x:c>
      <x:c r="Y821" s="34" t="n">
        <x:v>1000</x:v>
      </x:c>
      <x:c r="Z821" s="34" t="n">
        <x:v>156.339561</x:v>
      </x:c>
      <x:c r="AA821" s="34" t="n">
        <x:v>39.045345</x:v>
      </x:c>
      <x:c r="AB821" s="34" t="n">
        <x:v>102.391093</x:v>
      </x:c>
      <x:c r="AC821" s="34" t="n">
        <x:v>15690.435</x:v>
      </x:c>
      <x:c r="AD821" s="34" t="n">
        <x:v>153.240232</x:v>
      </x:c>
      <x:c r="AE821" s="40" t="b">
        <x:v>1</x:v>
      </x:c>
      <x:c r="AF821" s="40" t="b">
        <x:v>1</x:v>
      </x:c>
      <x:c r="AG821" s="34" t="str"/>
      <x:c r="AH821" s="34" t="n">
        <x:v>0</x:v>
      </x:c>
      <x:c r="AI821" s="34" t="str">
        <x:v>9.990856690045291e-05</x:v>
      </x:c>
      <x:c r="AJ821" s="40" t="b">
        <x:v>1</x:v>
      </x:c>
      <x:c r="AK821" s="40" t="b">
        <x:v>1</x:v>
      </x:c>
      <x:c r="AL821" s="40" t="b">
        <x:v>1</x:v>
      </x:c>
      <x:c r="AM821" s="40" t="b">
        <x:v>1</x:v>
      </x:c>
      <x:c r="AN821" s="34" t="str"/>
      <x:c r="AO821" s="34" t="n">
        <x:v>0</x:v>
      </x:c>
      <x:c r="AP821" s="34" t="n">
        <x:v>0</x:v>
      </x:c>
      <x:c r="AQ821" s="34" t="n">
        <x:v>0</x:v>
      </x:c>
      <x:c r="AR821" s="34" t="n">
        <x:v>1</x:v>
      </x:c>
      <x:c r="AS821" s="34" t="n">
        <x:v>1</x:v>
      </x:c>
      <x:c r="AT821" s="34" t="n">
        <x:v>0.28332</x:v>
      </x:c>
      <x:c r="AU821" s="34" t="n">
        <x:v>0.6</x:v>
      </x:c>
      <x:c r="AV821" s="34" t="n">
        <x:v>1.06</x:v>
      </x:c>
    </x:row>
    <x:row r="822">
      <x:c r="A822" s="34" t="str">
        <x:v>KOBE_STEEL_JP</x:v>
      </x:c>
      <x:c r="B822" s="34" t="str">
        <x:v>Kobe Steel</x:v>
      </x:c>
      <x:c r="C822" s="34" t="str">
        <x:v>DISCLOSED_PATH</x:v>
      </x:c>
      <x:c r="D822" s="34" t="str">
        <x:v>P1</x:v>
      </x:c>
      <x:c r="E822" s="34" t="n">
        <x:v>2036</x:v>
      </x:c>
      <x:c r="F822" s="34" t="n">
        <x:v>2</x:v>
      </x:c>
      <x:c r="G822" s="34" t="n">
        <x:v>0.5325</x:v>
      </x:c>
      <x:c r="H822" s="34" t="n">
        <x:v>4.2</x:v>
      </x:c>
      <x:c r="I822" s="34" t="n">
        <x:v>3.6675</x:v>
      </x:c>
      <x:c r="J822" s="34" t="n">
        <x:v>12.679</x:v>
      </x:c>
      <x:c r="K822" s="34" t="n">
        <x:v>0.16225</x:v>
      </x:c>
      <x:c r="L822" s="34" t="n">
        <x:v>0.48000000000000004</x:v>
      </x:c>
      <x:c r="M822" s="34" t="n">
        <x:v>0.31775</x:v>
      </x:c>
      <x:c r="N822" s="34" t="n">
        <x:v>33.802</x:v>
      </x:c>
      <x:c r="O822" s="34" t="n">
        <x:v>1.359</x:v>
      </x:c>
      <x:c r="P822" s="34" t="n">
        <x:v>3.4</x:v>
      </x:c>
      <x:c r="Q822" s="34" t="n">
        <x:v>2.041</x:v>
      </x:c>
      <x:c r="R822" s="34" t="n">
        <x:v>39.971</x:v>
      </x:c>
      <x:c r="S822" s="40" t="b">
        <x:v>1</x:v>
      </x:c>
      <x:c r="T822" s="34" t="str">
        <x:v>model_interpolation</x:v>
      </x:c>
      <x:c r="U822" s="34" t="str">
        <x:v>Linear interpolation from 2035 to 2040</x:v>
      </x:c>
      <x:c r="V822" s="34" t="str">
        <x:v>CAND-DCD679F188D852</x:v>
      </x:c>
      <x:c r="W822" s="34" t="str">
        <x:v>P1</x:v>
      </x:c>
      <x:c r="X822" s="34" t="str">
        <x:v>PORT-1144EBE63B41</x:v>
      </x:c>
      <x:c r="Y822" s="34" t="n">
        <x:v>1000</x:v>
      </x:c>
      <x:c r="Z822" s="34" t="n">
        <x:v>156.339561</x:v>
      </x:c>
      <x:c r="AA822" s="34" t="n">
        <x:v>39.045345</x:v>
      </x:c>
      <x:c r="AB822" s="34" t="n">
        <x:v>102.391093</x:v>
      </x:c>
      <x:c r="AC822" s="34" t="n">
        <x:v>15690.435</x:v>
      </x:c>
      <x:c r="AD822" s="34" t="n">
        <x:v>153.240232</x:v>
      </x:c>
      <x:c r="AE822" s="40" t="b">
        <x:v>1</x:v>
      </x:c>
      <x:c r="AF822" s="40" t="b">
        <x:v>1</x:v>
      </x:c>
      <x:c r="AG822" s="34" t="str"/>
      <x:c r="AH822" s="34" t="n">
        <x:v>0</x:v>
      </x:c>
      <x:c r="AI822" s="34" t="str">
        <x:v>9.990856690045291e-05</x:v>
      </x:c>
      <x:c r="AJ822" s="40" t="b">
        <x:v>1</x:v>
      </x:c>
      <x:c r="AK822" s="40" t="b">
        <x:v>1</x:v>
      </x:c>
      <x:c r="AL822" s="40" t="b">
        <x:v>1</x:v>
      </x:c>
      <x:c r="AM822" s="40" t="b">
        <x:v>1</x:v>
      </x:c>
      <x:c r="AN822" s="34" t="str"/>
      <x:c r="AO822" s="34" t="n">
        <x:v>0</x:v>
      </x:c>
      <x:c r="AP822" s="34" t="n">
        <x:v>0</x:v>
      </x:c>
      <x:c r="AQ822" s="34" t="n">
        <x:v>0</x:v>
      </x:c>
      <x:c r="AR822" s="34" t="n">
        <x:v>1</x:v>
      </x:c>
      <x:c r="AS822" s="34" t="n">
        <x:v>1</x:v>
      </x:c>
      <x:c r="AT822" s="34" t="n">
        <x:v>0.28332</x:v>
      </x:c>
      <x:c r="AU822" s="34" t="n">
        <x:v>0.6</x:v>
      </x:c>
      <x:c r="AV822" s="34" t="n">
        <x:v>1.06</x:v>
      </x:c>
    </x:row>
    <x:row r="823">
      <x:c r="A823" s="34" t="str">
        <x:v>KOBE_STEEL_JP</x:v>
      </x:c>
      <x:c r="B823" s="34" t="str">
        <x:v>Kobe Steel</x:v>
      </x:c>
      <x:c r="C823" s="34" t="str">
        <x:v>DISCLOSED_PATH</x:v>
      </x:c>
      <x:c r="D823" s="34" t="str">
        <x:v>P1</x:v>
      </x:c>
      <x:c r="E823" s="34" t="n">
        <x:v>2037</x:v>
      </x:c>
      <x:c r="F823" s="34" t="n">
        <x:v>3</x:v>
      </x:c>
      <x:c r="G823" s="34" t="n">
        <x:v>3.151499</x:v>
      </x:c>
      <x:c r="H823" s="34" t="n">
        <x:v>4.4</x:v>
      </x:c>
      <x:c r="I823" s="34" t="n">
        <x:v>1.248501</x:v>
      </x:c>
      <x:c r="J823" s="34" t="n">
        <x:v>71.625</x:v>
      </x:c>
      <x:c r="K823" s="34" t="n">
        <x:v>0.16225</x:v>
      </x:c>
      <x:c r="L823" s="34" t="n">
        <x:v>0.56</x:v>
      </x:c>
      <x:c r="M823" s="34" t="n">
        <x:v>0.39775</x:v>
      </x:c>
      <x:c r="N823" s="34" t="n">
        <x:v>28.973</x:v>
      </x:c>
      <x:c r="O823" s="34" t="n">
        <x:v>2.988599</x:v>
      </x:c>
      <x:c r="P823" s="34" t="n">
        <x:v>3.8</x:v>
      </x:c>
      <x:c r="Q823" s="34" t="n">
        <x:v>0.811401</x:v>
      </x:c>
      <x:c r="R823" s="34" t="n">
        <x:v>78.647</x:v>
      </x:c>
      <x:c r="S823" s="40" t="b">
        <x:v>1</x:v>
      </x:c>
      <x:c r="T823" s="34" t="str">
        <x:v>model_interpolation</x:v>
      </x:c>
      <x:c r="U823" s="34" t="str">
        <x:v>Linear interpolation from 2035 to 2040</x:v>
      </x:c>
      <x:c r="V823" s="34" t="str">
        <x:v>CAND-DCD679F188D852</x:v>
      </x:c>
      <x:c r="W823" s="34" t="str">
        <x:v>P1</x:v>
      </x:c>
      <x:c r="X823" s="34" t="str">
        <x:v>PORT-1144EBE63B41</x:v>
      </x:c>
      <x:c r="Y823" s="34" t="n">
        <x:v>1000</x:v>
      </x:c>
      <x:c r="Z823" s="34" t="n">
        <x:v>156.339561</x:v>
      </x:c>
      <x:c r="AA823" s="34" t="n">
        <x:v>39.045345</x:v>
      </x:c>
      <x:c r="AB823" s="34" t="n">
        <x:v>102.391093</x:v>
      </x:c>
      <x:c r="AC823" s="34" t="n">
        <x:v>15690.435</x:v>
      </x:c>
      <x:c r="AD823" s="34" t="n">
        <x:v>153.240232</x:v>
      </x:c>
      <x:c r="AE823" s="40" t="b">
        <x:v>1</x:v>
      </x:c>
      <x:c r="AF823" s="40" t="b">
        <x:v>1</x:v>
      </x:c>
      <x:c r="AG823" s="34" t="str"/>
      <x:c r="AH823" s="34" t="n">
        <x:v>0</x:v>
      </x:c>
      <x:c r="AI823" s="34" t="str">
        <x:v>9.990856690045291e-05</x:v>
      </x:c>
      <x:c r="AJ823" s="40" t="b">
        <x:v>1</x:v>
      </x:c>
      <x:c r="AK823" s="40" t="b">
        <x:v>1</x:v>
      </x:c>
      <x:c r="AL823" s="40" t="b">
        <x:v>1</x:v>
      </x:c>
      <x:c r="AM823" s="40" t="b">
        <x:v>1</x:v>
      </x:c>
      <x:c r="AN823" s="34" t="str"/>
      <x:c r="AO823" s="34" t="n">
        <x:v>0</x:v>
      </x:c>
      <x:c r="AP823" s="34" t="n">
        <x:v>0</x:v>
      </x:c>
      <x:c r="AQ823" s="34" t="n">
        <x:v>0</x:v>
      </x:c>
      <x:c r="AR823" s="34" t="n">
        <x:v>1</x:v>
      </x:c>
      <x:c r="AS823" s="34" t="n">
        <x:v>1</x:v>
      </x:c>
      <x:c r="AT823" s="34" t="n">
        <x:v>0.28332</x:v>
      </x:c>
      <x:c r="AU823" s="34" t="n">
        <x:v>0.6</x:v>
      </x:c>
      <x:c r="AV823" s="34" t="n">
        <x:v>1.06</x:v>
      </x:c>
    </x:row>
    <x:row r="824">
      <x:c r="A824" s="34" t="str">
        <x:v>KOBE_STEEL_JP</x:v>
      </x:c>
      <x:c r="B824" s="34" t="str">
        <x:v>Kobe Steel</x:v>
      </x:c>
      <x:c r="C824" s="34" t="str">
        <x:v>DISCLOSED_PATH</x:v>
      </x:c>
      <x:c r="D824" s="34" t="str">
        <x:v>P1</x:v>
      </x:c>
      <x:c r="E824" s="34" t="n">
        <x:v>2038</x:v>
      </x:c>
      <x:c r="F824" s="34" t="n">
        <x:v>3</x:v>
      </x:c>
      <x:c r="G824" s="34" t="n">
        <x:v>3.151499</x:v>
      </x:c>
      <x:c r="H824" s="34" t="n">
        <x:v>4.6</x:v>
      </x:c>
      <x:c r="I824" s="34" t="n">
        <x:v>1.448501</x:v>
      </x:c>
      <x:c r="J824" s="34" t="n">
        <x:v>68.511</x:v>
      </x:c>
      <x:c r="K824" s="34" t="n">
        <x:v>0.16225</x:v>
      </x:c>
      <x:c r="L824" s="34" t="n">
        <x:v>0.64</x:v>
      </x:c>
      <x:c r="M824" s="34" t="n">
        <x:v>0.47775</x:v>
      </x:c>
      <x:c r="N824" s="34" t="n">
        <x:v>25.352</x:v>
      </x:c>
      <x:c r="O824" s="34" t="n">
        <x:v>2.988599</x:v>
      </x:c>
      <x:c r="P824" s="34" t="n">
        <x:v>4.2</x:v>
      </x:c>
      <x:c r="Q824" s="34" t="n">
        <x:v>1.211401</x:v>
      </x:c>
      <x:c r="R824" s="34" t="n">
        <x:v>71.157</x:v>
      </x:c>
      <x:c r="S824" s="40" t="b">
        <x:v>1</x:v>
      </x:c>
      <x:c r="T824" s="34" t="str">
        <x:v>model_interpolation</x:v>
      </x:c>
      <x:c r="U824" s="34" t="str">
        <x:v>Linear interpolation from 2035 to 2040</x:v>
      </x:c>
      <x:c r="V824" s="34" t="str">
        <x:v>CAND-DCD679F188D852</x:v>
      </x:c>
      <x:c r="W824" s="34" t="str">
        <x:v>P1</x:v>
      </x:c>
      <x:c r="X824" s="34" t="str">
        <x:v>PORT-1144EBE63B41</x:v>
      </x:c>
      <x:c r="Y824" s="34" t="n">
        <x:v>1000</x:v>
      </x:c>
      <x:c r="Z824" s="34" t="n">
        <x:v>156.339561</x:v>
      </x:c>
      <x:c r="AA824" s="34" t="n">
        <x:v>39.045345</x:v>
      </x:c>
      <x:c r="AB824" s="34" t="n">
        <x:v>102.391093</x:v>
      </x:c>
      <x:c r="AC824" s="34" t="n">
        <x:v>15690.435</x:v>
      </x:c>
      <x:c r="AD824" s="34" t="n">
        <x:v>153.240232</x:v>
      </x:c>
      <x:c r="AE824" s="40" t="b">
        <x:v>1</x:v>
      </x:c>
      <x:c r="AF824" s="40" t="b">
        <x:v>1</x:v>
      </x:c>
      <x:c r="AG824" s="34" t="str"/>
      <x:c r="AH824" s="34" t="n">
        <x:v>0</x:v>
      </x:c>
      <x:c r="AI824" s="34" t="str">
        <x:v>9.990856690045291e-05</x:v>
      </x:c>
      <x:c r="AJ824" s="40" t="b">
        <x:v>1</x:v>
      </x:c>
      <x:c r="AK824" s="40" t="b">
        <x:v>1</x:v>
      </x:c>
      <x:c r="AL824" s="40" t="b">
        <x:v>1</x:v>
      </x:c>
      <x:c r="AM824" s="40" t="b">
        <x:v>1</x:v>
      </x:c>
      <x:c r="AN824" s="34" t="str"/>
      <x:c r="AO824" s="34" t="n">
        <x:v>0</x:v>
      </x:c>
      <x:c r="AP824" s="34" t="n">
        <x:v>0</x:v>
      </x:c>
      <x:c r="AQ824" s="34" t="n">
        <x:v>0</x:v>
      </x:c>
      <x:c r="AR824" s="34" t="n">
        <x:v>1</x:v>
      </x:c>
      <x:c r="AS824" s="34" t="n">
        <x:v>1</x:v>
      </x:c>
      <x:c r="AT824" s="34" t="n">
        <x:v>0.28332</x:v>
      </x:c>
      <x:c r="AU824" s="34" t="n">
        <x:v>0.6</x:v>
      </x:c>
      <x:c r="AV824" s="34" t="n">
        <x:v>1.06</x:v>
      </x:c>
    </x:row>
    <x:row r="825">
      <x:c r="A825" s="34" t="str">
        <x:v>KOBE_STEEL_JP</x:v>
      </x:c>
      <x:c r="B825" s="34" t="str">
        <x:v>Kobe Steel</x:v>
      </x:c>
      <x:c r="C825" s="34" t="str">
        <x:v>DISCLOSED_PATH</x:v>
      </x:c>
      <x:c r="D825" s="34" t="str">
        <x:v>P1</x:v>
      </x:c>
      <x:c r="E825" s="34" t="n">
        <x:v>2039</x:v>
      </x:c>
      <x:c r="F825" s="34" t="n">
        <x:v>3</x:v>
      </x:c>
      <x:c r="G825" s="34" t="n">
        <x:v>3.151499</x:v>
      </x:c>
      <x:c r="H825" s="34" t="n">
        <x:v>4.8</x:v>
      </x:c>
      <x:c r="I825" s="34" t="n">
        <x:v>1.648501</x:v>
      </x:c>
      <x:c r="J825" s="34" t="n">
        <x:v>65.656</x:v>
      </x:c>
      <x:c r="K825" s="34" t="n">
        <x:v>0.16225</x:v>
      </x:c>
      <x:c r="L825" s="34" t="n">
        <x:v>0.7200000000000001</x:v>
      </x:c>
      <x:c r="M825" s="34" t="n">
        <x:v>0.55775</x:v>
      </x:c>
      <x:c r="N825" s="34" t="n">
        <x:v>22.535</x:v>
      </x:c>
      <x:c r="O825" s="34" t="n">
        <x:v>2.988599</x:v>
      </x:c>
      <x:c r="P825" s="34" t="n">
        <x:v>4.6</x:v>
      </x:c>
      <x:c r="Q825" s="34" t="n">
        <x:v>1.611401</x:v>
      </x:c>
      <x:c r="R825" s="34" t="n">
        <x:v>64.97</x:v>
      </x:c>
      <x:c r="S825" s="40" t="b">
        <x:v>1</x:v>
      </x:c>
      <x:c r="T825" s="34" t="str">
        <x:v>model_interpolation</x:v>
      </x:c>
      <x:c r="U825" s="34" t="str">
        <x:v>Linear interpolation from 2035 to 2040</x:v>
      </x:c>
      <x:c r="V825" s="34" t="str">
        <x:v>CAND-DCD679F188D852</x:v>
      </x:c>
      <x:c r="W825" s="34" t="str">
        <x:v>P1</x:v>
      </x:c>
      <x:c r="X825" s="34" t="str">
        <x:v>PORT-1144EBE63B41</x:v>
      </x:c>
      <x:c r="Y825" s="34" t="n">
        <x:v>1000</x:v>
      </x:c>
      <x:c r="Z825" s="34" t="n">
        <x:v>156.339561</x:v>
      </x:c>
      <x:c r="AA825" s="34" t="n">
        <x:v>39.045345</x:v>
      </x:c>
      <x:c r="AB825" s="34" t="n">
        <x:v>102.391093</x:v>
      </x:c>
      <x:c r="AC825" s="34" t="n">
        <x:v>15690.435</x:v>
      </x:c>
      <x:c r="AD825" s="34" t="n">
        <x:v>153.240232</x:v>
      </x:c>
      <x:c r="AE825" s="40" t="b">
        <x:v>1</x:v>
      </x:c>
      <x:c r="AF825" s="40" t="b">
        <x:v>1</x:v>
      </x:c>
      <x:c r="AG825" s="34" t="str"/>
      <x:c r="AH825" s="34" t="n">
        <x:v>0</x:v>
      </x:c>
      <x:c r="AI825" s="34" t="str">
        <x:v>9.990856690045291e-05</x:v>
      </x:c>
      <x:c r="AJ825" s="40" t="b">
        <x:v>1</x:v>
      </x:c>
      <x:c r="AK825" s="40" t="b">
        <x:v>1</x:v>
      </x:c>
      <x:c r="AL825" s="40" t="b">
        <x:v>1</x:v>
      </x:c>
      <x:c r="AM825" s="40" t="b">
        <x:v>1</x:v>
      </x:c>
      <x:c r="AN825" s="34" t="str"/>
      <x:c r="AO825" s="34" t="n">
        <x:v>0</x:v>
      </x:c>
      <x:c r="AP825" s="34" t="n">
        <x:v>0</x:v>
      </x:c>
      <x:c r="AQ825" s="34" t="n">
        <x:v>0</x:v>
      </x:c>
      <x:c r="AR825" s="34" t="n">
        <x:v>1</x:v>
      </x:c>
      <x:c r="AS825" s="34" t="n">
        <x:v>1</x:v>
      </x:c>
      <x:c r="AT825" s="34" t="n">
        <x:v>0.28332</x:v>
      </x:c>
      <x:c r="AU825" s="34" t="n">
        <x:v>0.6</x:v>
      </x:c>
      <x:c r="AV825" s="34" t="n">
        <x:v>1.06</x:v>
      </x:c>
    </x:row>
    <x:row r="826">
      <x:c r="A826" s="34" t="str">
        <x:v>KOBE_STEEL_JP</x:v>
      </x:c>
      <x:c r="B826" s="34" t="str">
        <x:v>Kobe Steel</x:v>
      </x:c>
      <x:c r="C826" s="34" t="str">
        <x:v>DISCLOSED_PATH</x:v>
      </x:c>
      <x:c r="D826" s="34" t="str">
        <x:v>P1</x:v>
      </x:c>
      <x:c r="E826" s="34" t="n">
        <x:v>2040</x:v>
      </x:c>
      <x:c r="F826" s="34" t="n">
        <x:v>3</x:v>
      </x:c>
      <x:c r="G826" s="34" t="n">
        <x:v>3.151499</x:v>
      </x:c>
      <x:c r="H826" s="34" t="n">
        <x:v>5</x:v>
      </x:c>
      <x:c r="I826" s="34" t="n">
        <x:v>1.848501</x:v>
      </x:c>
      <x:c r="J826" s="34" t="n">
        <x:v>63.03</x:v>
      </x:c>
      <x:c r="K826" s="34" t="n">
        <x:v>0.16225</x:v>
      </x:c>
      <x:c r="L826" s="34" t="n">
        <x:v>0.8</x:v>
      </x:c>
      <x:c r="M826" s="34" t="n">
        <x:v>0.63775</x:v>
      </x:c>
      <x:c r="N826" s="34" t="n">
        <x:v>20.281</x:v>
      </x:c>
      <x:c r="O826" s="34" t="n">
        <x:v>2.988599</x:v>
      </x:c>
      <x:c r="P826" s="34" t="n">
        <x:v>5</x:v>
      </x:c>
      <x:c r="Q826" s="34" t="n">
        <x:v>2.011401</x:v>
      </x:c>
      <x:c r="R826" s="34" t="n">
        <x:v>59.772</x:v>
      </x:c>
      <x:c r="S826" s="40" t="b">
        <x:v>1</x:v>
      </x:c>
      <x:c r="T826" s="34" t="str">
        <x:v>model_estimate</x:v>
      </x:c>
      <x:c r="U826" s="34" t="str">
        <x:v>Illustrative screening envelope; not an official supply forecast</x:v>
      </x:c>
      <x:c r="V826" s="34" t="str">
        <x:v>CAND-DCD679F188D852</x:v>
      </x:c>
      <x:c r="W826" s="34" t="str">
        <x:v>P1</x:v>
      </x:c>
      <x:c r="X826" s="34" t="str">
        <x:v>PORT-1144EBE63B41</x:v>
      </x:c>
      <x:c r="Y826" s="34" t="n">
        <x:v>1000</x:v>
      </x:c>
      <x:c r="Z826" s="34" t="n">
        <x:v>156.339561</x:v>
      </x:c>
      <x:c r="AA826" s="34" t="n">
        <x:v>39.045345</x:v>
      </x:c>
      <x:c r="AB826" s="34" t="n">
        <x:v>102.391093</x:v>
      </x:c>
      <x:c r="AC826" s="34" t="n">
        <x:v>15690.435</x:v>
      </x:c>
      <x:c r="AD826" s="34" t="n">
        <x:v>153.240232</x:v>
      </x:c>
      <x:c r="AE826" s="40" t="b">
        <x:v>1</x:v>
      </x:c>
      <x:c r="AF826" s="40" t="b">
        <x:v>1</x:v>
      </x:c>
      <x:c r="AG826" s="34" t="str"/>
      <x:c r="AH826" s="34" t="n">
        <x:v>0</x:v>
      </x:c>
      <x:c r="AI826" s="34" t="str">
        <x:v>9.990856690045291e-05</x:v>
      </x:c>
      <x:c r="AJ826" s="40" t="b">
        <x:v>1</x:v>
      </x:c>
      <x:c r="AK826" s="40" t="b">
        <x:v>1</x:v>
      </x:c>
      <x:c r="AL826" s="40" t="b">
        <x:v>1</x:v>
      </x:c>
      <x:c r="AM826" s="40" t="b">
        <x:v>1</x:v>
      </x:c>
      <x:c r="AN826" s="34" t="str"/>
      <x:c r="AO826" s="34" t="n">
        <x:v>0</x:v>
      </x:c>
      <x:c r="AP826" s="34" t="n">
        <x:v>0</x:v>
      </x:c>
      <x:c r="AQ826" s="34" t="n">
        <x:v>0</x:v>
      </x:c>
      <x:c r="AR826" s="34" t="n">
        <x:v>1</x:v>
      </x:c>
      <x:c r="AS826" s="34" t="n">
        <x:v>1</x:v>
      </x:c>
      <x:c r="AT826" s="34" t="n">
        <x:v>0.28332</x:v>
      </x:c>
      <x:c r="AU826" s="34" t="n">
        <x:v>0.6</x:v>
      </x:c>
      <x:c r="AV826" s="34" t="n">
        <x:v>1.06</x:v>
      </x:c>
    </x:row>
    <x:row r="827">
      <x:c r="A827" s="34" t="str">
        <x:v>KOBE_STEEL_JP</x:v>
      </x:c>
      <x:c r="B827" s="34" t="str">
        <x:v>Kobe Steel</x:v>
      </x:c>
      <x:c r="C827" s="34" t="str">
        <x:v>ACCELERATED_15C</x:v>
      </x:c>
      <x:c r="D827" s="34" t="str">
        <x:v>P1</x:v>
      </x:c>
      <x:c r="E827" s="34" t="n">
        <x:v>2026</x:v>
      </x:c>
      <x:c r="F827" s="34" t="n">
        <x:v>0</x:v>
      </x:c>
      <x:c r="G827" s="34" t="n">
        <x:v>0</x:v>
      </x:c>
      <x:c r="H827" s="34" t="n">
        <x:v>2</x:v>
      </x:c>
      <x:c r="I827" s="34" t="n">
        <x:v>2</x:v>
      </x:c>
      <x:c r="J827" s="34" t="n">
        <x:v>0</x:v>
      </x:c>
      <x:c r="K827" s="34" t="n">
        <x:v>0</x:v>
      </x:c>
      <x:c r="L827" s="34" t="n">
        <x:v>0.2</x:v>
      </x:c>
      <x:c r="M827" s="34" t="n">
        <x:v>0.2</x:v>
      </x:c>
      <x:c r="N827" s="34" t="n">
        <x:v>0</x:v>
      </x:c>
      <x:c r="O827" s="34" t="n">
        <x:v>0</x:v>
      </x:c>
      <x:c r="P827" s="34" t="n">
        <x:v>1</x:v>
      </x:c>
      <x:c r="Q827" s="34" t="n">
        <x:v>1</x:v>
      </x:c>
      <x:c r="R827" s="34" t="n">
        <x:v>0</x:v>
      </x:c>
      <x:c r="S827" s="40" t="b">
        <x:v>1</x:v>
      </x:c>
      <x:c r="T827" s="34" t="str">
        <x:v>model_interpolation</x:v>
      </x:c>
      <x:c r="U827" s="34" t="str">
        <x:v>Linear interpolation from 2026 to 2030</x:v>
      </x:c>
      <x:c r="V827" s="34" t="str">
        <x:v>CAND-DCD679F188D852</x:v>
      </x:c>
      <x:c r="W827" s="34" t="str">
        <x:v>P1</x:v>
      </x:c>
      <x:c r="X827" s="34" t="str">
        <x:v>PORT-1144EBE63B41</x:v>
      </x:c>
      <x:c r="Y827" s="34" t="n">
        <x:v>1000</x:v>
      </x:c>
      <x:c r="Z827" s="34" t="n">
        <x:v>151.072635</x:v>
      </x:c>
      <x:c r="AA827" s="34" t="n">
        <x:v>42.298622</x:v>
      </x:c>
      <x:c r="AB827" s="34" t="n">
        <x:v>102.391093</x:v>
      </x:c>
      <x:c r="AC827" s="34" t="n">
        <x:v>15154.803</x:v>
      </x:c>
      <x:c r="AD827" s="34" t="n">
        <x:v>148.009</x:v>
      </x:c>
      <x:c r="AE827" s="40" t="b">
        <x:v>1</x:v>
      </x:c>
      <x:c r="AF827" s="40" t="b">
        <x:v>1</x:v>
      </x:c>
      <x:c r="AG827" s="34" t="str"/>
      <x:c r="AH827" s="34" t="n">
        <x:v>0</x:v>
      </x:c>
      <x:c r="AI827" s="34" t="str">
        <x:v>9.990856690045291e-05</x:v>
      </x:c>
      <x:c r="AJ827" s="40" t="b">
        <x:v>1</x:v>
      </x:c>
      <x:c r="AK827" s="40" t="b">
        <x:v>1</x:v>
      </x:c>
      <x:c r="AL827" s="40" t="b">
        <x:v>1</x:v>
      </x:c>
      <x:c r="AM827" s="40" t="b">
        <x:v>1</x:v>
      </x:c>
      <x:c r="AN827" s="34" t="str"/>
      <x:c r="AO827" s="34" t="n">
        <x:v>0</x:v>
      </x:c>
      <x:c r="AP827" s="34" t="n">
        <x:v>0</x:v>
      </x:c>
      <x:c r="AQ827" s="34" t="n">
        <x:v>0</x:v>
      </x:c>
      <x:c r="AR827" s="34" t="n">
        <x:v>1</x:v>
      </x:c>
      <x:c r="AS827" s="34" t="n">
        <x:v>1</x:v>
      </x:c>
      <x:c r="AT827" s="34" t="n">
        <x:v>0.28332</x:v>
      </x:c>
      <x:c r="AU827" s="34" t="n">
        <x:v>0.6</x:v>
      </x:c>
      <x:c r="AV827" s="34" t="n">
        <x:v>1.06</x:v>
      </x:c>
    </x:row>
    <x:row r="828">
      <x:c r="A828" s="34" t="str">
        <x:v>KOBE_STEEL_JP</x:v>
      </x:c>
      <x:c r="B828" s="34" t="str">
        <x:v>Kobe Steel</x:v>
      </x:c>
      <x:c r="C828" s="34" t="str">
        <x:v>ACCELERATED_15C</x:v>
      </x:c>
      <x:c r="D828" s="34" t="str">
        <x:v>P1</x:v>
      </x:c>
      <x:c r="E828" s="34" t="n">
        <x:v>2027</x:v>
      </x:c>
      <x:c r="F828" s="34" t="n">
        <x:v>0</x:v>
      </x:c>
      <x:c r="G828" s="34" t="n">
        <x:v>0</x:v>
      </x:c>
      <x:c r="H828" s="34" t="n">
        <x:v>2.25</x:v>
      </x:c>
      <x:c r="I828" s="34" t="n">
        <x:v>2.25</x:v>
      </x:c>
      <x:c r="J828" s="34" t="n">
        <x:v>0</x:v>
      </x:c>
      <x:c r="K828" s="34" t="n">
        <x:v>0</x:v>
      </x:c>
      <x:c r="L828" s="34" t="n">
        <x:v>0.25</x:v>
      </x:c>
      <x:c r="M828" s="34" t="n">
        <x:v>0.25</x:v>
      </x:c>
      <x:c r="N828" s="34" t="n">
        <x:v>0</x:v>
      </x:c>
      <x:c r="O828" s="34" t="n">
        <x:v>0</x:v>
      </x:c>
      <x:c r="P828" s="34" t="n">
        <x:v>1.375</x:v>
      </x:c>
      <x:c r="Q828" s="34" t="n">
        <x:v>1.375</x:v>
      </x:c>
      <x:c r="R828" s="34" t="n">
        <x:v>0</x:v>
      </x:c>
      <x:c r="S828" s="40" t="b">
        <x:v>1</x:v>
      </x:c>
      <x:c r="T828" s="34" t="str">
        <x:v>model_interpolation</x:v>
      </x:c>
      <x:c r="U828" s="34" t="str">
        <x:v>Linear interpolation from 2026 to 2030</x:v>
      </x:c>
      <x:c r="V828" s="34" t="str">
        <x:v>CAND-DCD679F188D852</x:v>
      </x:c>
      <x:c r="W828" s="34" t="str">
        <x:v>P1</x:v>
      </x:c>
      <x:c r="X828" s="34" t="str">
        <x:v>PORT-1144EBE63B41</x:v>
      </x:c>
      <x:c r="Y828" s="34" t="n">
        <x:v>1000</x:v>
      </x:c>
      <x:c r="Z828" s="34" t="n">
        <x:v>151.072635</x:v>
      </x:c>
      <x:c r="AA828" s="34" t="n">
        <x:v>42.298622</x:v>
      </x:c>
      <x:c r="AB828" s="34" t="n">
        <x:v>102.391093</x:v>
      </x:c>
      <x:c r="AC828" s="34" t="n">
        <x:v>15154.803</x:v>
      </x:c>
      <x:c r="AD828" s="34" t="n">
        <x:v>148.009</x:v>
      </x:c>
      <x:c r="AE828" s="40" t="b">
        <x:v>1</x:v>
      </x:c>
      <x:c r="AF828" s="40" t="b">
        <x:v>1</x:v>
      </x:c>
      <x:c r="AG828" s="34" t="str"/>
      <x:c r="AH828" s="34" t="n">
        <x:v>0</x:v>
      </x:c>
      <x:c r="AI828" s="34" t="str">
        <x:v>9.990856690045291e-05</x:v>
      </x:c>
      <x:c r="AJ828" s="40" t="b">
        <x:v>1</x:v>
      </x:c>
      <x:c r="AK828" s="40" t="b">
        <x:v>1</x:v>
      </x:c>
      <x:c r="AL828" s="40" t="b">
        <x:v>1</x:v>
      </x:c>
      <x:c r="AM828" s="40" t="b">
        <x:v>1</x:v>
      </x:c>
      <x:c r="AN828" s="34" t="str"/>
      <x:c r="AO828" s="34" t="n">
        <x:v>0</x:v>
      </x:c>
      <x:c r="AP828" s="34" t="n">
        <x:v>0</x:v>
      </x:c>
      <x:c r="AQ828" s="34" t="n">
        <x:v>0</x:v>
      </x:c>
      <x:c r="AR828" s="34" t="n">
        <x:v>1</x:v>
      </x:c>
      <x:c r="AS828" s="34" t="n">
        <x:v>1</x:v>
      </x:c>
      <x:c r="AT828" s="34" t="n">
        <x:v>0.28332</x:v>
      </x:c>
      <x:c r="AU828" s="34" t="n">
        <x:v>0.6</x:v>
      </x:c>
      <x:c r="AV828" s="34" t="n">
        <x:v>1.06</x:v>
      </x:c>
    </x:row>
    <x:row r="829">
      <x:c r="A829" s="34" t="str">
        <x:v>KOBE_STEEL_JP</x:v>
      </x:c>
      <x:c r="B829" s="34" t="str">
        <x:v>Kobe Steel</x:v>
      </x:c>
      <x:c r="C829" s="34" t="str">
        <x:v>ACCELERATED_15C</x:v>
      </x:c>
      <x:c r="D829" s="34" t="str">
        <x:v>P1</x:v>
      </x:c>
      <x:c r="E829" s="34" t="n">
        <x:v>2028</x:v>
      </x:c>
      <x:c r="F829" s="34" t="n">
        <x:v>0</x:v>
      </x:c>
      <x:c r="G829" s="34" t="n">
        <x:v>0</x:v>
      </x:c>
      <x:c r="H829" s="34" t="n">
        <x:v>2.5</x:v>
      </x:c>
      <x:c r="I829" s="34" t="n">
        <x:v>2.5</x:v>
      </x:c>
      <x:c r="J829" s="34" t="n">
        <x:v>0</x:v>
      </x:c>
      <x:c r="K829" s="34" t="n">
        <x:v>0</x:v>
      </x:c>
      <x:c r="L829" s="34" t="n">
        <x:v>0.30000000000000004</x:v>
      </x:c>
      <x:c r="M829" s="34" t="n">
        <x:v>0.3</x:v>
      </x:c>
      <x:c r="N829" s="34" t="n">
        <x:v>0</x:v>
      </x:c>
      <x:c r="O829" s="34" t="n">
        <x:v>0</x:v>
      </x:c>
      <x:c r="P829" s="34" t="n">
        <x:v>1.75</x:v>
      </x:c>
      <x:c r="Q829" s="34" t="n">
        <x:v>1.75</x:v>
      </x:c>
      <x:c r="R829" s="34" t="n">
        <x:v>0</x:v>
      </x:c>
      <x:c r="S829" s="40" t="b">
        <x:v>1</x:v>
      </x:c>
      <x:c r="T829" s="34" t="str">
        <x:v>model_interpolation</x:v>
      </x:c>
      <x:c r="U829" s="34" t="str">
        <x:v>Linear interpolation from 2026 to 2030</x:v>
      </x:c>
      <x:c r="V829" s="34" t="str">
        <x:v>CAND-DCD679F188D852</x:v>
      </x:c>
      <x:c r="W829" s="34" t="str">
        <x:v>P1</x:v>
      </x:c>
      <x:c r="X829" s="34" t="str">
        <x:v>PORT-1144EBE63B41</x:v>
      </x:c>
      <x:c r="Y829" s="34" t="n">
        <x:v>1000</x:v>
      </x:c>
      <x:c r="Z829" s="34" t="n">
        <x:v>151.072635</x:v>
      </x:c>
      <x:c r="AA829" s="34" t="n">
        <x:v>42.298622</x:v>
      </x:c>
      <x:c r="AB829" s="34" t="n">
        <x:v>102.391093</x:v>
      </x:c>
      <x:c r="AC829" s="34" t="n">
        <x:v>15154.803</x:v>
      </x:c>
      <x:c r="AD829" s="34" t="n">
        <x:v>148.009</x:v>
      </x:c>
      <x:c r="AE829" s="40" t="b">
        <x:v>1</x:v>
      </x:c>
      <x:c r="AF829" s="40" t="b">
        <x:v>1</x:v>
      </x:c>
      <x:c r="AG829" s="34" t="str"/>
      <x:c r="AH829" s="34" t="n">
        <x:v>0</x:v>
      </x:c>
      <x:c r="AI829" s="34" t="str">
        <x:v>9.990856690045291e-05</x:v>
      </x:c>
      <x:c r="AJ829" s="40" t="b">
        <x:v>1</x:v>
      </x:c>
      <x:c r="AK829" s="40" t="b">
        <x:v>1</x:v>
      </x:c>
      <x:c r="AL829" s="40" t="b">
        <x:v>1</x:v>
      </x:c>
      <x:c r="AM829" s="40" t="b">
        <x:v>1</x:v>
      </x:c>
      <x:c r="AN829" s="34" t="str"/>
      <x:c r="AO829" s="34" t="n">
        <x:v>0</x:v>
      </x:c>
      <x:c r="AP829" s="34" t="n">
        <x:v>0</x:v>
      </x:c>
      <x:c r="AQ829" s="34" t="n">
        <x:v>0</x:v>
      </x:c>
      <x:c r="AR829" s="34" t="n">
        <x:v>1</x:v>
      </x:c>
      <x:c r="AS829" s="34" t="n">
        <x:v>1</x:v>
      </x:c>
      <x:c r="AT829" s="34" t="n">
        <x:v>0.28332</x:v>
      </x:c>
      <x:c r="AU829" s="34" t="n">
        <x:v>0.6</x:v>
      </x:c>
      <x:c r="AV829" s="34" t="n">
        <x:v>1.06</x:v>
      </x:c>
    </x:row>
    <x:row r="830">
      <x:c r="A830" s="34" t="str">
        <x:v>KOBE_STEEL_JP</x:v>
      </x:c>
      <x:c r="B830" s="34" t="str">
        <x:v>Kobe Steel</x:v>
      </x:c>
      <x:c r="C830" s="34" t="str">
        <x:v>ACCELERATED_15C</x:v>
      </x:c>
      <x:c r="D830" s="34" t="str">
        <x:v>P1</x:v>
      </x:c>
      <x:c r="E830" s="34" t="n">
        <x:v>2029</x:v>
      </x:c>
      <x:c r="F830" s="34" t="n">
        <x:v>1</x:v>
      </x:c>
      <x:c r="G830" s="34" t="n">
        <x:v>0.4425</x:v>
      </x:c>
      <x:c r="H830" s="34" t="n">
        <x:v>2.75</x:v>
      </x:c>
      <x:c r="I830" s="34" t="n">
        <x:v>2.3075</x:v>
      </x:c>
      <x:c r="J830" s="34" t="n">
        <x:v>16.091</x:v>
      </x:c>
      <x:c r="K830" s="34" t="n">
        <x:v>0.16225</x:v>
      </x:c>
      <x:c r="L830" s="34" t="n">
        <x:v>0.35000000000000003</x:v>
      </x:c>
      <x:c r="M830" s="34" t="n">
        <x:v>0.18775</x:v>
      </x:c>
      <x:c r="N830" s="34" t="n">
        <x:v>46.357</x:v>
      </x:c>
      <x:c r="O830" s="34" t="n">
        <x:v>1.357</x:v>
      </x:c>
      <x:c r="P830" s="34" t="n">
        <x:v>2.125</x:v>
      </x:c>
      <x:c r="Q830" s="34" t="n">
        <x:v>0.768</x:v>
      </x:c>
      <x:c r="R830" s="34" t="n">
        <x:v>63.859</x:v>
      </x:c>
      <x:c r="S830" s="40" t="b">
        <x:v>1</x:v>
      </x:c>
      <x:c r="T830" s="34" t="str">
        <x:v>model_interpolation</x:v>
      </x:c>
      <x:c r="U830" s="34" t="str">
        <x:v>Linear interpolation from 2026 to 2030</x:v>
      </x:c>
      <x:c r="V830" s="34" t="str">
        <x:v>CAND-DCD679F188D852</x:v>
      </x:c>
      <x:c r="W830" s="34" t="str">
        <x:v>P1</x:v>
      </x:c>
      <x:c r="X830" s="34" t="str">
        <x:v>PORT-1144EBE63B41</x:v>
      </x:c>
      <x:c r="Y830" s="34" t="n">
        <x:v>1000</x:v>
      </x:c>
      <x:c r="Z830" s="34" t="n">
        <x:v>151.072635</x:v>
      </x:c>
      <x:c r="AA830" s="34" t="n">
        <x:v>42.298622</x:v>
      </x:c>
      <x:c r="AB830" s="34" t="n">
        <x:v>102.391093</x:v>
      </x:c>
      <x:c r="AC830" s="34" t="n">
        <x:v>15154.803</x:v>
      </x:c>
      <x:c r="AD830" s="34" t="n">
        <x:v>148.009</x:v>
      </x:c>
      <x:c r="AE830" s="40" t="b">
        <x:v>1</x:v>
      </x:c>
      <x:c r="AF830" s="40" t="b">
        <x:v>1</x:v>
      </x:c>
      <x:c r="AG830" s="34" t="str"/>
      <x:c r="AH830" s="34" t="n">
        <x:v>0</x:v>
      </x:c>
      <x:c r="AI830" s="34" t="str">
        <x:v>9.990856690045291e-05</x:v>
      </x:c>
      <x:c r="AJ830" s="40" t="b">
        <x:v>1</x:v>
      </x:c>
      <x:c r="AK830" s="40" t="b">
        <x:v>1</x:v>
      </x:c>
      <x:c r="AL830" s="40" t="b">
        <x:v>1</x:v>
      </x:c>
      <x:c r="AM830" s="40" t="b">
        <x:v>1</x:v>
      </x:c>
      <x:c r="AN830" s="34" t="str"/>
      <x:c r="AO830" s="34" t="n">
        <x:v>0</x:v>
      </x:c>
      <x:c r="AP830" s="34" t="n">
        <x:v>0</x:v>
      </x:c>
      <x:c r="AQ830" s="34" t="n">
        <x:v>0</x:v>
      </x:c>
      <x:c r="AR830" s="34" t="n">
        <x:v>1</x:v>
      </x:c>
      <x:c r="AS830" s="34" t="n">
        <x:v>1</x:v>
      </x:c>
      <x:c r="AT830" s="34" t="n">
        <x:v>0.28332</x:v>
      </x:c>
      <x:c r="AU830" s="34" t="n">
        <x:v>0.6</x:v>
      </x:c>
      <x:c r="AV830" s="34" t="n">
        <x:v>1.06</x:v>
      </x:c>
    </x:row>
    <x:row r="831">
      <x:c r="A831" s="34" t="str">
        <x:v>KOBE_STEEL_JP</x:v>
      </x:c>
      <x:c r="B831" s="34" t="str">
        <x:v>Kobe Steel</x:v>
      </x:c>
      <x:c r="C831" s="34" t="str">
        <x:v>ACCELERATED_15C</x:v>
      </x:c>
      <x:c r="D831" s="34" t="str">
        <x:v>P1</x:v>
      </x:c>
      <x:c r="E831" s="34" t="n">
        <x:v>2030</x:v>
      </x:c>
      <x:c r="F831" s="34" t="n">
        <x:v>1</x:v>
      </x:c>
      <x:c r="G831" s="34" t="n">
        <x:v>0.4425</x:v>
      </x:c>
      <x:c r="H831" s="34" t="n">
        <x:v>3</x:v>
      </x:c>
      <x:c r="I831" s="34" t="n">
        <x:v>2.5575</x:v>
      </x:c>
      <x:c r="J831" s="34" t="n">
        <x:v>14.75</x:v>
      </x:c>
      <x:c r="K831" s="34" t="n">
        <x:v>0.16225</x:v>
      </x:c>
      <x:c r="L831" s="34" t="n">
        <x:v>0.4</x:v>
      </x:c>
      <x:c r="M831" s="34" t="n">
        <x:v>0.23775</x:v>
      </x:c>
      <x:c r="N831" s="34" t="n">
        <x:v>40.563</x:v>
      </x:c>
      <x:c r="O831" s="34" t="n">
        <x:v>1.357</x:v>
      </x:c>
      <x:c r="P831" s="34" t="n">
        <x:v>2.5</x:v>
      </x:c>
      <x:c r="Q831" s="34" t="n">
        <x:v>1.143</x:v>
      </x:c>
      <x:c r="R831" s="34" t="n">
        <x:v>54.28</x:v>
      </x:c>
      <x:c r="S831" s="40" t="b">
        <x:v>1</x:v>
      </x:c>
      <x:c r="T831" s="34" t="str">
        <x:v>model_interpolation</x:v>
      </x:c>
      <x:c r="U831" s="34" t="str">
        <x:v>Linear interpolation from 2030 to 2035</x:v>
      </x:c>
      <x:c r="V831" s="34" t="str">
        <x:v>CAND-DCD679F188D852</x:v>
      </x:c>
      <x:c r="W831" s="34" t="str">
        <x:v>P1</x:v>
      </x:c>
      <x:c r="X831" s="34" t="str">
        <x:v>PORT-1144EBE63B41</x:v>
      </x:c>
      <x:c r="Y831" s="34" t="n">
        <x:v>1000</x:v>
      </x:c>
      <x:c r="Z831" s="34" t="n">
        <x:v>151.072635</x:v>
      </x:c>
      <x:c r="AA831" s="34" t="n">
        <x:v>42.298622</x:v>
      </x:c>
      <x:c r="AB831" s="34" t="n">
        <x:v>102.391093</x:v>
      </x:c>
      <x:c r="AC831" s="34" t="n">
        <x:v>15154.803</x:v>
      </x:c>
      <x:c r="AD831" s="34" t="n">
        <x:v>148.009</x:v>
      </x:c>
      <x:c r="AE831" s="40" t="b">
        <x:v>1</x:v>
      </x:c>
      <x:c r="AF831" s="40" t="b">
        <x:v>1</x:v>
      </x:c>
      <x:c r="AG831" s="34" t="str"/>
      <x:c r="AH831" s="34" t="n">
        <x:v>0</x:v>
      </x:c>
      <x:c r="AI831" s="34" t="str">
        <x:v>9.990856690045291e-05</x:v>
      </x:c>
      <x:c r="AJ831" s="40" t="b">
        <x:v>1</x:v>
      </x:c>
      <x:c r="AK831" s="40" t="b">
        <x:v>1</x:v>
      </x:c>
      <x:c r="AL831" s="40" t="b">
        <x:v>1</x:v>
      </x:c>
      <x:c r="AM831" s="40" t="b">
        <x:v>1</x:v>
      </x:c>
      <x:c r="AN831" s="34" t="str"/>
      <x:c r="AO831" s="34" t="n">
        <x:v>0</x:v>
      </x:c>
      <x:c r="AP831" s="34" t="n">
        <x:v>0</x:v>
      </x:c>
      <x:c r="AQ831" s="34" t="n">
        <x:v>0</x:v>
      </x:c>
      <x:c r="AR831" s="34" t="n">
        <x:v>1</x:v>
      </x:c>
      <x:c r="AS831" s="34" t="n">
        <x:v>1</x:v>
      </x:c>
      <x:c r="AT831" s="34" t="n">
        <x:v>0.28332</x:v>
      </x:c>
      <x:c r="AU831" s="34" t="n">
        <x:v>0.6</x:v>
      </x:c>
      <x:c r="AV831" s="34" t="n">
        <x:v>1.06</x:v>
      </x:c>
    </x:row>
    <x:row r="832">
      <x:c r="A832" s="34" t="str">
        <x:v>KOBE_STEEL_JP</x:v>
      </x:c>
      <x:c r="B832" s="34" t="str">
        <x:v>Kobe Steel</x:v>
      </x:c>
      <x:c r="C832" s="34" t="str">
        <x:v>ACCELERATED_15C</x:v>
      </x:c>
      <x:c r="D832" s="34" t="str">
        <x:v>P1</x:v>
      </x:c>
      <x:c r="E832" s="34" t="n">
        <x:v>2031</x:v>
      </x:c>
      <x:c r="F832" s="34" t="n">
        <x:v>1</x:v>
      </x:c>
      <x:c r="G832" s="34" t="n">
        <x:v>0.4425</x:v>
      </x:c>
      <x:c r="H832" s="34" t="n">
        <x:v>3.4</x:v>
      </x:c>
      <x:c r="I832" s="34" t="n">
        <x:v>2.9575</x:v>
      </x:c>
      <x:c r="J832" s="34" t="n">
        <x:v>13.015</x:v>
      </x:c>
      <x:c r="K832" s="34" t="n">
        <x:v>0.16225</x:v>
      </x:c>
      <x:c r="L832" s="34" t="n">
        <x:v>0.44</x:v>
      </x:c>
      <x:c r="M832" s="34" t="n">
        <x:v>0.27775</x:v>
      </x:c>
      <x:c r="N832" s="34" t="n">
        <x:v>36.875</x:v>
      </x:c>
      <x:c r="O832" s="34" t="n">
        <x:v>1.357</x:v>
      </x:c>
      <x:c r="P832" s="34" t="n">
        <x:v>2.8</x:v>
      </x:c>
      <x:c r="Q832" s="34" t="n">
        <x:v>1.443</x:v>
      </x:c>
      <x:c r="R832" s="34" t="n">
        <x:v>48.464</x:v>
      </x:c>
      <x:c r="S832" s="40" t="b">
        <x:v>1</x:v>
      </x:c>
      <x:c r="T832" s="34" t="str">
        <x:v>model_interpolation</x:v>
      </x:c>
      <x:c r="U832" s="34" t="str">
        <x:v>Linear interpolation from 2030 to 2035</x:v>
      </x:c>
      <x:c r="V832" s="34" t="str">
        <x:v>CAND-DCD679F188D852</x:v>
      </x:c>
      <x:c r="W832" s="34" t="str">
        <x:v>P1</x:v>
      </x:c>
      <x:c r="X832" s="34" t="str">
        <x:v>PORT-1144EBE63B41</x:v>
      </x:c>
      <x:c r="Y832" s="34" t="n">
        <x:v>1000</x:v>
      </x:c>
      <x:c r="Z832" s="34" t="n">
        <x:v>151.072635</x:v>
      </x:c>
      <x:c r="AA832" s="34" t="n">
        <x:v>42.298622</x:v>
      </x:c>
      <x:c r="AB832" s="34" t="n">
        <x:v>102.391093</x:v>
      </x:c>
      <x:c r="AC832" s="34" t="n">
        <x:v>15154.803</x:v>
      </x:c>
      <x:c r="AD832" s="34" t="n">
        <x:v>148.009</x:v>
      </x:c>
      <x:c r="AE832" s="40" t="b">
        <x:v>1</x:v>
      </x:c>
      <x:c r="AF832" s="40" t="b">
        <x:v>1</x:v>
      </x:c>
      <x:c r="AG832" s="34" t="str"/>
      <x:c r="AH832" s="34" t="n">
        <x:v>0</x:v>
      </x:c>
      <x:c r="AI832" s="34" t="str">
        <x:v>9.990856690045291e-05</x:v>
      </x:c>
      <x:c r="AJ832" s="40" t="b">
        <x:v>1</x:v>
      </x:c>
      <x:c r="AK832" s="40" t="b">
        <x:v>1</x:v>
      </x:c>
      <x:c r="AL832" s="40" t="b">
        <x:v>1</x:v>
      </x:c>
      <x:c r="AM832" s="40" t="b">
        <x:v>1</x:v>
      </x:c>
      <x:c r="AN832" s="34" t="str"/>
      <x:c r="AO832" s="34" t="n">
        <x:v>0</x:v>
      </x:c>
      <x:c r="AP832" s="34" t="n">
        <x:v>0</x:v>
      </x:c>
      <x:c r="AQ832" s="34" t="n">
        <x:v>0</x:v>
      </x:c>
      <x:c r="AR832" s="34" t="n">
        <x:v>1</x:v>
      </x:c>
      <x:c r="AS832" s="34" t="n">
        <x:v>1</x:v>
      </x:c>
      <x:c r="AT832" s="34" t="n">
        <x:v>0.28332</x:v>
      </x:c>
      <x:c r="AU832" s="34" t="n">
        <x:v>0.6</x:v>
      </x:c>
      <x:c r="AV832" s="34" t="n">
        <x:v>1.06</x:v>
      </x:c>
    </x:row>
    <x:row r="833">
      <x:c r="A833" s="34" t="str">
        <x:v>KOBE_STEEL_JP</x:v>
      </x:c>
      <x:c r="B833" s="34" t="str">
        <x:v>Kobe Steel</x:v>
      </x:c>
      <x:c r="C833" s="34" t="str">
        <x:v>ACCELERATED_15C</x:v>
      </x:c>
      <x:c r="D833" s="34" t="str">
        <x:v>P1</x:v>
      </x:c>
      <x:c r="E833" s="34" t="n">
        <x:v>2032</x:v>
      </x:c>
      <x:c r="F833" s="34" t="n">
        <x:v>1</x:v>
      </x:c>
      <x:c r="G833" s="34" t="n">
        <x:v>0.4425</x:v>
      </x:c>
      <x:c r="H833" s="34" t="n">
        <x:v>3.8</x:v>
      </x:c>
      <x:c r="I833" s="34" t="n">
        <x:v>3.3575</x:v>
      </x:c>
      <x:c r="J833" s="34" t="n">
        <x:v>11.645</x:v>
      </x:c>
      <x:c r="K833" s="34" t="n">
        <x:v>0.16225</x:v>
      </x:c>
      <x:c r="L833" s="34" t="n">
        <x:v>0.48</x:v>
      </x:c>
      <x:c r="M833" s="34" t="n">
        <x:v>0.31775</x:v>
      </x:c>
      <x:c r="N833" s="34" t="n">
        <x:v>33.802</x:v>
      </x:c>
      <x:c r="O833" s="34" t="n">
        <x:v>1.357</x:v>
      </x:c>
      <x:c r="P833" s="34" t="n">
        <x:v>3.1</x:v>
      </x:c>
      <x:c r="Q833" s="34" t="n">
        <x:v>1.743</x:v>
      </x:c>
      <x:c r="R833" s="34" t="n">
        <x:v>43.774</x:v>
      </x:c>
      <x:c r="S833" s="40" t="b">
        <x:v>1</x:v>
      </x:c>
      <x:c r="T833" s="34" t="str">
        <x:v>model_interpolation</x:v>
      </x:c>
      <x:c r="U833" s="34" t="str">
        <x:v>Linear interpolation from 2030 to 2035</x:v>
      </x:c>
      <x:c r="V833" s="34" t="str">
        <x:v>CAND-DCD679F188D852</x:v>
      </x:c>
      <x:c r="W833" s="34" t="str">
        <x:v>P1</x:v>
      </x:c>
      <x:c r="X833" s="34" t="str">
        <x:v>PORT-1144EBE63B41</x:v>
      </x:c>
      <x:c r="Y833" s="34" t="n">
        <x:v>1000</x:v>
      </x:c>
      <x:c r="Z833" s="34" t="n">
        <x:v>151.072635</x:v>
      </x:c>
      <x:c r="AA833" s="34" t="n">
        <x:v>42.298622</x:v>
      </x:c>
      <x:c r="AB833" s="34" t="n">
        <x:v>102.391093</x:v>
      </x:c>
      <x:c r="AC833" s="34" t="n">
        <x:v>15154.803</x:v>
      </x:c>
      <x:c r="AD833" s="34" t="n">
        <x:v>148.009</x:v>
      </x:c>
      <x:c r="AE833" s="40" t="b">
        <x:v>1</x:v>
      </x:c>
      <x:c r="AF833" s="40" t="b">
        <x:v>1</x:v>
      </x:c>
      <x:c r="AG833" s="34" t="str"/>
      <x:c r="AH833" s="34" t="n">
        <x:v>0</x:v>
      </x:c>
      <x:c r="AI833" s="34" t="str">
        <x:v>9.990856690045291e-05</x:v>
      </x:c>
      <x:c r="AJ833" s="40" t="b">
        <x:v>1</x:v>
      </x:c>
      <x:c r="AK833" s="40" t="b">
        <x:v>1</x:v>
      </x:c>
      <x:c r="AL833" s="40" t="b">
        <x:v>1</x:v>
      </x:c>
      <x:c r="AM833" s="40" t="b">
        <x:v>1</x:v>
      </x:c>
      <x:c r="AN833" s="34" t="str"/>
      <x:c r="AO833" s="34" t="n">
        <x:v>0</x:v>
      </x:c>
      <x:c r="AP833" s="34" t="n">
        <x:v>0</x:v>
      </x:c>
      <x:c r="AQ833" s="34" t="n">
        <x:v>0</x:v>
      </x:c>
      <x:c r="AR833" s="34" t="n">
        <x:v>1</x:v>
      </x:c>
      <x:c r="AS833" s="34" t="n">
        <x:v>1</x:v>
      </x:c>
      <x:c r="AT833" s="34" t="n">
        <x:v>0.28332</x:v>
      </x:c>
      <x:c r="AU833" s="34" t="n">
        <x:v>0.6</x:v>
      </x:c>
      <x:c r="AV833" s="34" t="n">
        <x:v>1.06</x:v>
      </x:c>
    </x:row>
    <x:row r="834">
      <x:c r="A834" s="34" t="str">
        <x:v>KOBE_STEEL_JP</x:v>
      </x:c>
      <x:c r="B834" s="34" t="str">
        <x:v>Kobe Steel</x:v>
      </x:c>
      <x:c r="C834" s="34" t="str">
        <x:v>ACCELERATED_15C</x:v>
      </x:c>
      <x:c r="D834" s="34" t="str">
        <x:v>P1</x:v>
      </x:c>
      <x:c r="E834" s="34" t="n">
        <x:v>2033</x:v>
      </x:c>
      <x:c r="F834" s="34" t="n">
        <x:v>2</x:v>
      </x:c>
      <x:c r="G834" s="34" t="n">
        <x:v>0.5325</x:v>
      </x:c>
      <x:c r="H834" s="34" t="n">
        <x:v>4.2</x:v>
      </x:c>
      <x:c r="I834" s="34" t="n">
        <x:v>3.6675</x:v>
      </x:c>
      <x:c r="J834" s="34" t="n">
        <x:v>12.679</x:v>
      </x:c>
      <x:c r="K834" s="34" t="n">
        <x:v>0.16225</x:v>
      </x:c>
      <x:c r="L834" s="34" t="n">
        <x:v>0.52</x:v>
      </x:c>
      <x:c r="M834" s="34" t="n">
        <x:v>0.35775</x:v>
      </x:c>
      <x:c r="N834" s="34" t="n">
        <x:v>31.202</x:v>
      </x:c>
      <x:c r="O834" s="34" t="n">
        <x:v>1.359</x:v>
      </x:c>
      <x:c r="P834" s="34" t="n">
        <x:v>3.4</x:v>
      </x:c>
      <x:c r="Q834" s="34" t="n">
        <x:v>2.041</x:v>
      </x:c>
      <x:c r="R834" s="34" t="n">
        <x:v>39.971</x:v>
      </x:c>
      <x:c r="S834" s="40" t="b">
        <x:v>1</x:v>
      </x:c>
      <x:c r="T834" s="34" t="str">
        <x:v>model_interpolation</x:v>
      </x:c>
      <x:c r="U834" s="34" t="str">
        <x:v>Linear interpolation from 2030 to 2035</x:v>
      </x:c>
      <x:c r="V834" s="34" t="str">
        <x:v>CAND-DCD679F188D852</x:v>
      </x:c>
      <x:c r="W834" s="34" t="str">
        <x:v>P1</x:v>
      </x:c>
      <x:c r="X834" s="34" t="str">
        <x:v>PORT-1144EBE63B41</x:v>
      </x:c>
      <x:c r="Y834" s="34" t="n">
        <x:v>1000</x:v>
      </x:c>
      <x:c r="Z834" s="34" t="n">
        <x:v>151.072635</x:v>
      </x:c>
      <x:c r="AA834" s="34" t="n">
        <x:v>42.298622</x:v>
      </x:c>
      <x:c r="AB834" s="34" t="n">
        <x:v>102.391093</x:v>
      </x:c>
      <x:c r="AC834" s="34" t="n">
        <x:v>15154.803</x:v>
      </x:c>
      <x:c r="AD834" s="34" t="n">
        <x:v>148.009</x:v>
      </x:c>
      <x:c r="AE834" s="40" t="b">
        <x:v>1</x:v>
      </x:c>
      <x:c r="AF834" s="40" t="b">
        <x:v>1</x:v>
      </x:c>
      <x:c r="AG834" s="34" t="str"/>
      <x:c r="AH834" s="34" t="n">
        <x:v>0</x:v>
      </x:c>
      <x:c r="AI834" s="34" t="str">
        <x:v>9.990856690045291e-05</x:v>
      </x:c>
      <x:c r="AJ834" s="40" t="b">
        <x:v>1</x:v>
      </x:c>
      <x:c r="AK834" s="40" t="b">
        <x:v>1</x:v>
      </x:c>
      <x:c r="AL834" s="40" t="b">
        <x:v>1</x:v>
      </x:c>
      <x:c r="AM834" s="40" t="b">
        <x:v>1</x:v>
      </x:c>
      <x:c r="AN834" s="34" t="str"/>
      <x:c r="AO834" s="34" t="n">
        <x:v>0</x:v>
      </x:c>
      <x:c r="AP834" s="34" t="n">
        <x:v>0</x:v>
      </x:c>
      <x:c r="AQ834" s="34" t="n">
        <x:v>0</x:v>
      </x:c>
      <x:c r="AR834" s="34" t="n">
        <x:v>1</x:v>
      </x:c>
      <x:c r="AS834" s="34" t="n">
        <x:v>1</x:v>
      </x:c>
      <x:c r="AT834" s="34" t="n">
        <x:v>0.28332</x:v>
      </x:c>
      <x:c r="AU834" s="34" t="n">
        <x:v>0.6</x:v>
      </x:c>
      <x:c r="AV834" s="34" t="n">
        <x:v>1.06</x:v>
      </x:c>
    </x:row>
    <x:row r="835">
      <x:c r="A835" s="34" t="str">
        <x:v>KOBE_STEEL_JP</x:v>
      </x:c>
      <x:c r="B835" s="34" t="str">
        <x:v>Kobe Steel</x:v>
      </x:c>
      <x:c r="C835" s="34" t="str">
        <x:v>ACCELERATED_15C</x:v>
      </x:c>
      <x:c r="D835" s="34" t="str">
        <x:v>P1</x:v>
      </x:c>
      <x:c r="E835" s="34" t="n">
        <x:v>2034</x:v>
      </x:c>
      <x:c r="F835" s="34" t="n">
        <x:v>2</x:v>
      </x:c>
      <x:c r="G835" s="34" t="n">
        <x:v>0.5325</x:v>
      </x:c>
      <x:c r="H835" s="34" t="n">
        <x:v>4.6</x:v>
      </x:c>
      <x:c r="I835" s="34" t="n">
        <x:v>4.0675</x:v>
      </x:c>
      <x:c r="J835" s="34" t="n">
        <x:v>11.576</x:v>
      </x:c>
      <x:c r="K835" s="34" t="n">
        <x:v>0.16225</x:v>
      </x:c>
      <x:c r="L835" s="34" t="n">
        <x:v>0.56</x:v>
      </x:c>
      <x:c r="M835" s="34" t="n">
        <x:v>0.39775</x:v>
      </x:c>
      <x:c r="N835" s="34" t="n">
        <x:v>28.973</x:v>
      </x:c>
      <x:c r="O835" s="34" t="n">
        <x:v>1.359</x:v>
      </x:c>
      <x:c r="P835" s="34" t="n">
        <x:v>3.7</x:v>
      </x:c>
      <x:c r="Q835" s="34" t="n">
        <x:v>2.341</x:v>
      </x:c>
      <x:c r="R835" s="34" t="n">
        <x:v>36.73</x:v>
      </x:c>
      <x:c r="S835" s="40" t="b">
        <x:v>1</x:v>
      </x:c>
      <x:c r="T835" s="34" t="str">
        <x:v>model_interpolation</x:v>
      </x:c>
      <x:c r="U835" s="34" t="str">
        <x:v>Linear interpolation from 2030 to 2035</x:v>
      </x:c>
      <x:c r="V835" s="34" t="str">
        <x:v>CAND-DCD679F188D852</x:v>
      </x:c>
      <x:c r="W835" s="34" t="str">
        <x:v>P1</x:v>
      </x:c>
      <x:c r="X835" s="34" t="str">
        <x:v>PORT-1144EBE63B41</x:v>
      </x:c>
      <x:c r="Y835" s="34" t="n">
        <x:v>1000</x:v>
      </x:c>
      <x:c r="Z835" s="34" t="n">
        <x:v>151.072635</x:v>
      </x:c>
      <x:c r="AA835" s="34" t="n">
        <x:v>42.298622</x:v>
      </x:c>
      <x:c r="AB835" s="34" t="n">
        <x:v>102.391093</x:v>
      </x:c>
      <x:c r="AC835" s="34" t="n">
        <x:v>15154.803</x:v>
      </x:c>
      <x:c r="AD835" s="34" t="n">
        <x:v>148.009</x:v>
      </x:c>
      <x:c r="AE835" s="40" t="b">
        <x:v>1</x:v>
      </x:c>
      <x:c r="AF835" s="40" t="b">
        <x:v>1</x:v>
      </x:c>
      <x:c r="AG835" s="34" t="str"/>
      <x:c r="AH835" s="34" t="n">
        <x:v>0</x:v>
      </x:c>
      <x:c r="AI835" s="34" t="str">
        <x:v>9.990856690045291e-05</x:v>
      </x:c>
      <x:c r="AJ835" s="40" t="b">
        <x:v>1</x:v>
      </x:c>
      <x:c r="AK835" s="40" t="b">
        <x:v>1</x:v>
      </x:c>
      <x:c r="AL835" s="40" t="b">
        <x:v>1</x:v>
      </x:c>
      <x:c r="AM835" s="40" t="b">
        <x:v>1</x:v>
      </x:c>
      <x:c r="AN835" s="34" t="str"/>
      <x:c r="AO835" s="34" t="n">
        <x:v>0</x:v>
      </x:c>
      <x:c r="AP835" s="34" t="n">
        <x:v>0</x:v>
      </x:c>
      <x:c r="AQ835" s="34" t="n">
        <x:v>0</x:v>
      </x:c>
      <x:c r="AR835" s="34" t="n">
        <x:v>1</x:v>
      </x:c>
      <x:c r="AS835" s="34" t="n">
        <x:v>1</x:v>
      </x:c>
      <x:c r="AT835" s="34" t="n">
        <x:v>0.28332</x:v>
      </x:c>
      <x:c r="AU835" s="34" t="n">
        <x:v>0.6</x:v>
      </x:c>
      <x:c r="AV835" s="34" t="n">
        <x:v>1.06</x:v>
      </x:c>
    </x:row>
    <x:row r="836">
      <x:c r="A836" s="34" t="str">
        <x:v>KOBE_STEEL_JP</x:v>
      </x:c>
      <x:c r="B836" s="34" t="str">
        <x:v>Kobe Steel</x:v>
      </x:c>
      <x:c r="C836" s="34" t="str">
        <x:v>ACCELERATED_15C</x:v>
      </x:c>
      <x:c r="D836" s="34" t="str">
        <x:v>P1</x:v>
      </x:c>
      <x:c r="E836" s="34" t="n">
        <x:v>2035</x:v>
      </x:c>
      <x:c r="F836" s="34" t="n">
        <x:v>2</x:v>
      </x:c>
      <x:c r="G836" s="34" t="n">
        <x:v>0.5325</x:v>
      </x:c>
      <x:c r="H836" s="34" t="n">
        <x:v>5</x:v>
      </x:c>
      <x:c r="I836" s="34" t="n">
        <x:v>4.4675</x:v>
      </x:c>
      <x:c r="J836" s="34" t="n">
        <x:v>10.65</x:v>
      </x:c>
      <x:c r="K836" s="34" t="n">
        <x:v>0.16225</x:v>
      </x:c>
      <x:c r="L836" s="34" t="n">
        <x:v>0.6</x:v>
      </x:c>
      <x:c r="M836" s="34" t="n">
        <x:v>0.43775</x:v>
      </x:c>
      <x:c r="N836" s="34" t="n">
        <x:v>27.042</x:v>
      </x:c>
      <x:c r="O836" s="34" t="n">
        <x:v>1.359</x:v>
      </x:c>
      <x:c r="P836" s="34" t="n">
        <x:v>4</x:v>
      </x:c>
      <x:c r="Q836" s="34" t="n">
        <x:v>2.641</x:v>
      </x:c>
      <x:c r="R836" s="34" t="n">
        <x:v>33.975</x:v>
      </x:c>
      <x:c r="S836" s="40" t="b">
        <x:v>1</x:v>
      </x:c>
      <x:c r="T836" s="34" t="str">
        <x:v>model_interpolation</x:v>
      </x:c>
      <x:c r="U836" s="34" t="str">
        <x:v>Linear interpolation from 2035 to 2040</x:v>
      </x:c>
      <x:c r="V836" s="34" t="str">
        <x:v>CAND-DCD679F188D852</x:v>
      </x:c>
      <x:c r="W836" s="34" t="str">
        <x:v>P1</x:v>
      </x:c>
      <x:c r="X836" s="34" t="str">
        <x:v>PORT-1144EBE63B41</x:v>
      </x:c>
      <x:c r="Y836" s="34" t="n">
        <x:v>1000</x:v>
      </x:c>
      <x:c r="Z836" s="34" t="n">
        <x:v>151.072635</x:v>
      </x:c>
      <x:c r="AA836" s="34" t="n">
        <x:v>42.298622</x:v>
      </x:c>
      <x:c r="AB836" s="34" t="n">
        <x:v>102.391093</x:v>
      </x:c>
      <x:c r="AC836" s="34" t="n">
        <x:v>15154.803</x:v>
      </x:c>
      <x:c r="AD836" s="34" t="n">
        <x:v>148.009</x:v>
      </x:c>
      <x:c r="AE836" s="40" t="b">
        <x:v>1</x:v>
      </x:c>
      <x:c r="AF836" s="40" t="b">
        <x:v>1</x:v>
      </x:c>
      <x:c r="AG836" s="34" t="str"/>
      <x:c r="AH836" s="34" t="n">
        <x:v>0</x:v>
      </x:c>
      <x:c r="AI836" s="34" t="str">
        <x:v>9.990856690045291e-05</x:v>
      </x:c>
      <x:c r="AJ836" s="40" t="b">
        <x:v>1</x:v>
      </x:c>
      <x:c r="AK836" s="40" t="b">
        <x:v>1</x:v>
      </x:c>
      <x:c r="AL836" s="40" t="b">
        <x:v>1</x:v>
      </x:c>
      <x:c r="AM836" s="40" t="b">
        <x:v>1</x:v>
      </x:c>
      <x:c r="AN836" s="34" t="str"/>
      <x:c r="AO836" s="34" t="n">
        <x:v>0</x:v>
      </x:c>
      <x:c r="AP836" s="34" t="n">
        <x:v>0</x:v>
      </x:c>
      <x:c r="AQ836" s="34" t="n">
        <x:v>0</x:v>
      </x:c>
      <x:c r="AR836" s="34" t="n">
        <x:v>1</x:v>
      </x:c>
      <x:c r="AS836" s="34" t="n">
        <x:v>1</x:v>
      </x:c>
      <x:c r="AT836" s="34" t="n">
        <x:v>0.28332</x:v>
      </x:c>
      <x:c r="AU836" s="34" t="n">
        <x:v>0.6</x:v>
      </x:c>
      <x:c r="AV836" s="34" t="n">
        <x:v>1.06</x:v>
      </x:c>
    </x:row>
    <x:row r="837">
      <x:c r="A837" s="34" t="str">
        <x:v>KOBE_STEEL_JP</x:v>
      </x:c>
      <x:c r="B837" s="34" t="str">
        <x:v>Kobe Steel</x:v>
      </x:c>
      <x:c r="C837" s="34" t="str">
        <x:v>ACCELERATED_15C</x:v>
      </x:c>
      <x:c r="D837" s="34" t="str">
        <x:v>P1</x:v>
      </x:c>
      <x:c r="E837" s="34" t="n">
        <x:v>2036</x:v>
      </x:c>
      <x:c r="F837" s="34" t="n">
        <x:v>2</x:v>
      </x:c>
      <x:c r="G837" s="34" t="n">
        <x:v>0.5325</x:v>
      </x:c>
      <x:c r="H837" s="34" t="n">
        <x:v>5.2</x:v>
      </x:c>
      <x:c r="I837" s="34" t="n">
        <x:v>4.6675</x:v>
      </x:c>
      <x:c r="J837" s="34" t="n">
        <x:v>10.24</x:v>
      </x:c>
      <x:c r="K837" s="34" t="n">
        <x:v>0.16225</x:v>
      </x:c>
      <x:c r="L837" s="34" t="n">
        <x:v>0.6799999999999999</x:v>
      </x:c>
      <x:c r="M837" s="34" t="n">
        <x:v>0.51775</x:v>
      </x:c>
      <x:c r="N837" s="34" t="n">
        <x:v>23.86</x:v>
      </x:c>
      <x:c r="O837" s="34" t="n">
        <x:v>1.359</x:v>
      </x:c>
      <x:c r="P837" s="34" t="n">
        <x:v>4.5</x:v>
      </x:c>
      <x:c r="Q837" s="34" t="n">
        <x:v>3.141</x:v>
      </x:c>
      <x:c r="R837" s="34" t="n">
        <x:v>30.2</x:v>
      </x:c>
      <x:c r="S837" s="40" t="b">
        <x:v>1</x:v>
      </x:c>
      <x:c r="T837" s="34" t="str">
        <x:v>model_interpolation</x:v>
      </x:c>
      <x:c r="U837" s="34" t="str">
        <x:v>Linear interpolation from 2035 to 2040</x:v>
      </x:c>
      <x:c r="V837" s="34" t="str">
        <x:v>CAND-DCD679F188D852</x:v>
      </x:c>
      <x:c r="W837" s="34" t="str">
        <x:v>P1</x:v>
      </x:c>
      <x:c r="X837" s="34" t="str">
        <x:v>PORT-1144EBE63B41</x:v>
      </x:c>
      <x:c r="Y837" s="34" t="n">
        <x:v>1000</x:v>
      </x:c>
      <x:c r="Z837" s="34" t="n">
        <x:v>151.072635</x:v>
      </x:c>
      <x:c r="AA837" s="34" t="n">
        <x:v>42.298622</x:v>
      </x:c>
      <x:c r="AB837" s="34" t="n">
        <x:v>102.391093</x:v>
      </x:c>
      <x:c r="AC837" s="34" t="n">
        <x:v>15154.803</x:v>
      </x:c>
      <x:c r="AD837" s="34" t="n">
        <x:v>148.009</x:v>
      </x:c>
      <x:c r="AE837" s="40" t="b">
        <x:v>1</x:v>
      </x:c>
      <x:c r="AF837" s="40" t="b">
        <x:v>1</x:v>
      </x:c>
      <x:c r="AG837" s="34" t="str"/>
      <x:c r="AH837" s="34" t="n">
        <x:v>0</x:v>
      </x:c>
      <x:c r="AI837" s="34" t="str">
        <x:v>9.990856690045291e-05</x:v>
      </x:c>
      <x:c r="AJ837" s="40" t="b">
        <x:v>1</x:v>
      </x:c>
      <x:c r="AK837" s="40" t="b">
        <x:v>1</x:v>
      </x:c>
      <x:c r="AL837" s="40" t="b">
        <x:v>1</x:v>
      </x:c>
      <x:c r="AM837" s="40" t="b">
        <x:v>1</x:v>
      </x:c>
      <x:c r="AN837" s="34" t="str"/>
      <x:c r="AO837" s="34" t="n">
        <x:v>0</x:v>
      </x:c>
      <x:c r="AP837" s="34" t="n">
        <x:v>0</x:v>
      </x:c>
      <x:c r="AQ837" s="34" t="n">
        <x:v>0</x:v>
      </x:c>
      <x:c r="AR837" s="34" t="n">
        <x:v>1</x:v>
      </x:c>
      <x:c r="AS837" s="34" t="n">
        <x:v>1</x:v>
      </x:c>
      <x:c r="AT837" s="34" t="n">
        <x:v>0.28332</x:v>
      </x:c>
      <x:c r="AU837" s="34" t="n">
        <x:v>0.6</x:v>
      </x:c>
      <x:c r="AV837" s="34" t="n">
        <x:v>1.06</x:v>
      </x:c>
    </x:row>
    <x:row r="838">
      <x:c r="A838" s="34" t="str">
        <x:v>KOBE_STEEL_JP</x:v>
      </x:c>
      <x:c r="B838" s="34" t="str">
        <x:v>Kobe Steel</x:v>
      </x:c>
      <x:c r="C838" s="34" t="str">
        <x:v>ACCELERATED_15C</x:v>
      </x:c>
      <x:c r="D838" s="34" t="str">
        <x:v>P1</x:v>
      </x:c>
      <x:c r="E838" s="34" t="n">
        <x:v>2037</x:v>
      </x:c>
      <x:c r="F838" s="34" t="n">
        <x:v>3</x:v>
      </x:c>
      <x:c r="G838" s="34" t="n">
        <x:v>3.151499</x:v>
      </x:c>
      <x:c r="H838" s="34" t="n">
        <x:v>5.4</x:v>
      </x:c>
      <x:c r="I838" s="34" t="n">
        <x:v>2.248501</x:v>
      </x:c>
      <x:c r="J838" s="34" t="n">
        <x:v>58.361</x:v>
      </x:c>
      <x:c r="K838" s="34" t="n">
        <x:v>0.16225</x:v>
      </x:c>
      <x:c r="L838" s="34" t="n">
        <x:v>0.76</x:v>
      </x:c>
      <x:c r="M838" s="34" t="n">
        <x:v>0.59775</x:v>
      </x:c>
      <x:c r="N838" s="34" t="n">
        <x:v>21.349</x:v>
      </x:c>
      <x:c r="O838" s="34" t="n">
        <x:v>2.988599</x:v>
      </x:c>
      <x:c r="P838" s="34" t="n">
        <x:v>5</x:v>
      </x:c>
      <x:c r="Q838" s="34" t="n">
        <x:v>2.011401</x:v>
      </x:c>
      <x:c r="R838" s="34" t="n">
        <x:v>59.772</x:v>
      </x:c>
      <x:c r="S838" s="40" t="b">
        <x:v>1</x:v>
      </x:c>
      <x:c r="T838" s="34" t="str">
        <x:v>model_interpolation</x:v>
      </x:c>
      <x:c r="U838" s="34" t="str">
        <x:v>Linear interpolation from 2035 to 2040</x:v>
      </x:c>
      <x:c r="V838" s="34" t="str">
        <x:v>CAND-DCD679F188D852</x:v>
      </x:c>
      <x:c r="W838" s="34" t="str">
        <x:v>P1</x:v>
      </x:c>
      <x:c r="X838" s="34" t="str">
        <x:v>PORT-1144EBE63B41</x:v>
      </x:c>
      <x:c r="Y838" s="34" t="n">
        <x:v>1000</x:v>
      </x:c>
      <x:c r="Z838" s="34" t="n">
        <x:v>151.072635</x:v>
      </x:c>
      <x:c r="AA838" s="34" t="n">
        <x:v>42.298622</x:v>
      </x:c>
      <x:c r="AB838" s="34" t="n">
        <x:v>102.391093</x:v>
      </x:c>
      <x:c r="AC838" s="34" t="n">
        <x:v>15154.803</x:v>
      </x:c>
      <x:c r="AD838" s="34" t="n">
        <x:v>148.009</x:v>
      </x:c>
      <x:c r="AE838" s="40" t="b">
        <x:v>1</x:v>
      </x:c>
      <x:c r="AF838" s="40" t="b">
        <x:v>1</x:v>
      </x:c>
      <x:c r="AG838" s="34" t="str"/>
      <x:c r="AH838" s="34" t="n">
        <x:v>0</x:v>
      </x:c>
      <x:c r="AI838" s="34" t="str">
        <x:v>9.990856690045291e-05</x:v>
      </x:c>
      <x:c r="AJ838" s="40" t="b">
        <x:v>1</x:v>
      </x:c>
      <x:c r="AK838" s="40" t="b">
        <x:v>1</x:v>
      </x:c>
      <x:c r="AL838" s="40" t="b">
        <x:v>1</x:v>
      </x:c>
      <x:c r="AM838" s="40" t="b">
        <x:v>1</x:v>
      </x:c>
      <x:c r="AN838" s="34" t="str"/>
      <x:c r="AO838" s="34" t="n">
        <x:v>0</x:v>
      </x:c>
      <x:c r="AP838" s="34" t="n">
        <x:v>0</x:v>
      </x:c>
      <x:c r="AQ838" s="34" t="n">
        <x:v>0</x:v>
      </x:c>
      <x:c r="AR838" s="34" t="n">
        <x:v>1</x:v>
      </x:c>
      <x:c r="AS838" s="34" t="n">
        <x:v>1</x:v>
      </x:c>
      <x:c r="AT838" s="34" t="n">
        <x:v>0.28332</x:v>
      </x:c>
      <x:c r="AU838" s="34" t="n">
        <x:v>0.6</x:v>
      </x:c>
      <x:c r="AV838" s="34" t="n">
        <x:v>1.06</x:v>
      </x:c>
    </x:row>
    <x:row r="839">
      <x:c r="A839" s="34" t="str">
        <x:v>KOBE_STEEL_JP</x:v>
      </x:c>
      <x:c r="B839" s="34" t="str">
        <x:v>Kobe Steel</x:v>
      </x:c>
      <x:c r="C839" s="34" t="str">
        <x:v>ACCELERATED_15C</x:v>
      </x:c>
      <x:c r="D839" s="34" t="str">
        <x:v>P1</x:v>
      </x:c>
      <x:c r="E839" s="34" t="n">
        <x:v>2038</x:v>
      </x:c>
      <x:c r="F839" s="34" t="n">
        <x:v>3</x:v>
      </x:c>
      <x:c r="G839" s="34" t="n">
        <x:v>3.151499</x:v>
      </x:c>
      <x:c r="H839" s="34" t="n">
        <x:v>5.6</x:v>
      </x:c>
      <x:c r="I839" s="34" t="n">
        <x:v>2.448501</x:v>
      </x:c>
      <x:c r="J839" s="34" t="n">
        <x:v>56.277</x:v>
      </x:c>
      <x:c r="K839" s="34" t="n">
        <x:v>0.16225</x:v>
      </x:c>
      <x:c r="L839" s="34" t="n">
        <x:v>0.84</x:v>
      </x:c>
      <x:c r="M839" s="34" t="n">
        <x:v>0.67775</x:v>
      </x:c>
      <x:c r="N839" s="34" t="n">
        <x:v>19.315</x:v>
      </x:c>
      <x:c r="O839" s="34" t="n">
        <x:v>2.988599</x:v>
      </x:c>
      <x:c r="P839" s="34" t="n">
        <x:v>5.5</x:v>
      </x:c>
      <x:c r="Q839" s="34" t="n">
        <x:v>2.511401</x:v>
      </x:c>
      <x:c r="R839" s="34" t="n">
        <x:v>54.338</x:v>
      </x:c>
      <x:c r="S839" s="40" t="b">
        <x:v>1</x:v>
      </x:c>
      <x:c r="T839" s="34" t="str">
        <x:v>model_interpolation</x:v>
      </x:c>
      <x:c r="U839" s="34" t="str">
        <x:v>Linear interpolation from 2035 to 2040</x:v>
      </x:c>
      <x:c r="V839" s="34" t="str">
        <x:v>CAND-DCD679F188D852</x:v>
      </x:c>
      <x:c r="W839" s="34" t="str">
        <x:v>P1</x:v>
      </x:c>
      <x:c r="X839" s="34" t="str">
        <x:v>PORT-1144EBE63B41</x:v>
      </x:c>
      <x:c r="Y839" s="34" t="n">
        <x:v>1000</x:v>
      </x:c>
      <x:c r="Z839" s="34" t="n">
        <x:v>151.072635</x:v>
      </x:c>
      <x:c r="AA839" s="34" t="n">
        <x:v>42.298622</x:v>
      </x:c>
      <x:c r="AB839" s="34" t="n">
        <x:v>102.391093</x:v>
      </x:c>
      <x:c r="AC839" s="34" t="n">
        <x:v>15154.803</x:v>
      </x:c>
      <x:c r="AD839" s="34" t="n">
        <x:v>148.009</x:v>
      </x:c>
      <x:c r="AE839" s="40" t="b">
        <x:v>1</x:v>
      </x:c>
      <x:c r="AF839" s="40" t="b">
        <x:v>1</x:v>
      </x:c>
      <x:c r="AG839" s="34" t="str"/>
      <x:c r="AH839" s="34" t="n">
        <x:v>0</x:v>
      </x:c>
      <x:c r="AI839" s="34" t="str">
        <x:v>9.990856690045291e-05</x:v>
      </x:c>
      <x:c r="AJ839" s="40" t="b">
        <x:v>1</x:v>
      </x:c>
      <x:c r="AK839" s="40" t="b">
        <x:v>1</x:v>
      </x:c>
      <x:c r="AL839" s="40" t="b">
        <x:v>1</x:v>
      </x:c>
      <x:c r="AM839" s="40" t="b">
        <x:v>1</x:v>
      </x:c>
      <x:c r="AN839" s="34" t="str"/>
      <x:c r="AO839" s="34" t="n">
        <x:v>0</x:v>
      </x:c>
      <x:c r="AP839" s="34" t="n">
        <x:v>0</x:v>
      </x:c>
      <x:c r="AQ839" s="34" t="n">
        <x:v>0</x:v>
      </x:c>
      <x:c r="AR839" s="34" t="n">
        <x:v>1</x:v>
      </x:c>
      <x:c r="AS839" s="34" t="n">
        <x:v>1</x:v>
      </x:c>
      <x:c r="AT839" s="34" t="n">
        <x:v>0.28332</x:v>
      </x:c>
      <x:c r="AU839" s="34" t="n">
        <x:v>0.6</x:v>
      </x:c>
      <x:c r="AV839" s="34" t="n">
        <x:v>1.06</x:v>
      </x:c>
    </x:row>
    <x:row r="840">
      <x:c r="A840" s="34" t="str">
        <x:v>KOBE_STEEL_JP</x:v>
      </x:c>
      <x:c r="B840" s="34" t="str">
        <x:v>Kobe Steel</x:v>
      </x:c>
      <x:c r="C840" s="34" t="str">
        <x:v>ACCELERATED_15C</x:v>
      </x:c>
      <x:c r="D840" s="34" t="str">
        <x:v>P1</x:v>
      </x:c>
      <x:c r="E840" s="34" t="n">
        <x:v>2039</x:v>
      </x:c>
      <x:c r="F840" s="34" t="n">
        <x:v>3</x:v>
      </x:c>
      <x:c r="G840" s="34" t="n">
        <x:v>3.151499</x:v>
      </x:c>
      <x:c r="H840" s="34" t="n">
        <x:v>5.8</x:v>
      </x:c>
      <x:c r="I840" s="34" t="n">
        <x:v>2.648501</x:v>
      </x:c>
      <x:c r="J840" s="34" t="n">
        <x:v>54.336</x:v>
      </x:c>
      <x:c r="K840" s="34" t="n">
        <x:v>0.16225</x:v>
      </x:c>
      <x:c r="L840" s="34" t="n">
        <x:v>0.92</x:v>
      </x:c>
      <x:c r="M840" s="34" t="n">
        <x:v>0.75775</x:v>
      </x:c>
      <x:c r="N840" s="34" t="n">
        <x:v>17.636</x:v>
      </x:c>
      <x:c r="O840" s="34" t="n">
        <x:v>2.988599</x:v>
      </x:c>
      <x:c r="P840" s="34" t="n">
        <x:v>6</x:v>
      </x:c>
      <x:c r="Q840" s="34" t="n">
        <x:v>3.011401</x:v>
      </x:c>
      <x:c r="R840" s="34" t="n">
        <x:v>49.81</x:v>
      </x:c>
      <x:c r="S840" s="40" t="b">
        <x:v>1</x:v>
      </x:c>
      <x:c r="T840" s="34" t="str">
        <x:v>model_interpolation</x:v>
      </x:c>
      <x:c r="U840" s="34" t="str">
        <x:v>Linear interpolation from 2035 to 2040</x:v>
      </x:c>
      <x:c r="V840" s="34" t="str">
        <x:v>CAND-DCD679F188D852</x:v>
      </x:c>
      <x:c r="W840" s="34" t="str">
        <x:v>P1</x:v>
      </x:c>
      <x:c r="X840" s="34" t="str">
        <x:v>PORT-1144EBE63B41</x:v>
      </x:c>
      <x:c r="Y840" s="34" t="n">
        <x:v>1000</x:v>
      </x:c>
      <x:c r="Z840" s="34" t="n">
        <x:v>151.072635</x:v>
      </x:c>
      <x:c r="AA840" s="34" t="n">
        <x:v>42.298622</x:v>
      </x:c>
      <x:c r="AB840" s="34" t="n">
        <x:v>102.391093</x:v>
      </x:c>
      <x:c r="AC840" s="34" t="n">
        <x:v>15154.803</x:v>
      </x:c>
      <x:c r="AD840" s="34" t="n">
        <x:v>148.009</x:v>
      </x:c>
      <x:c r="AE840" s="40" t="b">
        <x:v>1</x:v>
      </x:c>
      <x:c r="AF840" s="40" t="b">
        <x:v>1</x:v>
      </x:c>
      <x:c r="AG840" s="34" t="str"/>
      <x:c r="AH840" s="34" t="n">
        <x:v>0</x:v>
      </x:c>
      <x:c r="AI840" s="34" t="str">
        <x:v>9.990856690045291e-05</x:v>
      </x:c>
      <x:c r="AJ840" s="40" t="b">
        <x:v>1</x:v>
      </x:c>
      <x:c r="AK840" s="40" t="b">
        <x:v>1</x:v>
      </x:c>
      <x:c r="AL840" s="40" t="b">
        <x:v>1</x:v>
      </x:c>
      <x:c r="AM840" s="40" t="b">
        <x:v>1</x:v>
      </x:c>
      <x:c r="AN840" s="34" t="str"/>
      <x:c r="AO840" s="34" t="n">
        <x:v>0</x:v>
      </x:c>
      <x:c r="AP840" s="34" t="n">
        <x:v>0</x:v>
      </x:c>
      <x:c r="AQ840" s="34" t="n">
        <x:v>0</x:v>
      </x:c>
      <x:c r="AR840" s="34" t="n">
        <x:v>1</x:v>
      </x:c>
      <x:c r="AS840" s="34" t="n">
        <x:v>1</x:v>
      </x:c>
      <x:c r="AT840" s="34" t="n">
        <x:v>0.28332</x:v>
      </x:c>
      <x:c r="AU840" s="34" t="n">
        <x:v>0.6</x:v>
      </x:c>
      <x:c r="AV840" s="34" t="n">
        <x:v>1.06</x:v>
      </x:c>
    </x:row>
    <x:row r="841">
      <x:c r="A841" s="34" t="str">
        <x:v>KOBE_STEEL_JP</x:v>
      </x:c>
      <x:c r="B841" s="34" t="str">
        <x:v>Kobe Steel</x:v>
      </x:c>
      <x:c r="C841" s="34" t="str">
        <x:v>ACCELERATED_15C</x:v>
      </x:c>
      <x:c r="D841" s="34" t="str">
        <x:v>P1</x:v>
      </x:c>
      <x:c r="E841" s="34" t="n">
        <x:v>2040</x:v>
      </x:c>
      <x:c r="F841" s="34" t="n">
        <x:v>3</x:v>
      </x:c>
      <x:c r="G841" s="34" t="n">
        <x:v>3.151499</x:v>
      </x:c>
      <x:c r="H841" s="34" t="n">
        <x:v>6</x:v>
      </x:c>
      <x:c r="I841" s="34" t="n">
        <x:v>2.848501</x:v>
      </x:c>
      <x:c r="J841" s="34" t="n">
        <x:v>52.525</x:v>
      </x:c>
      <x:c r="K841" s="34" t="n">
        <x:v>0.16225</x:v>
      </x:c>
      <x:c r="L841" s="34" t="n">
        <x:v>1</x:v>
      </x:c>
      <x:c r="M841" s="34" t="n">
        <x:v>0.83775</x:v>
      </x:c>
      <x:c r="N841" s="34" t="n">
        <x:v>16.225</x:v>
      </x:c>
      <x:c r="O841" s="34" t="n">
        <x:v>2.988599</x:v>
      </x:c>
      <x:c r="P841" s="34" t="n">
        <x:v>6.5</x:v>
      </x:c>
      <x:c r="Q841" s="34" t="n">
        <x:v>3.511401</x:v>
      </x:c>
      <x:c r="R841" s="34" t="n">
        <x:v>45.978</x:v>
      </x:c>
      <x:c r="S841" s="40" t="b">
        <x:v>1</x:v>
      </x:c>
      <x:c r="T841" s="34" t="str">
        <x:v>model_estimate</x:v>
      </x:c>
      <x:c r="U841" s="34" t="str">
        <x:v>Illustrative accelerated envelope; not GCAM or an official supply forecast</x:v>
      </x:c>
      <x:c r="V841" s="34" t="str">
        <x:v>CAND-DCD679F188D852</x:v>
      </x:c>
      <x:c r="W841" s="34" t="str">
        <x:v>P1</x:v>
      </x:c>
      <x:c r="X841" s="34" t="str">
        <x:v>PORT-1144EBE63B41</x:v>
      </x:c>
      <x:c r="Y841" s="34" t="n">
        <x:v>1000</x:v>
      </x:c>
      <x:c r="Z841" s="34" t="n">
        <x:v>151.072635</x:v>
      </x:c>
      <x:c r="AA841" s="34" t="n">
        <x:v>42.298622</x:v>
      </x:c>
      <x:c r="AB841" s="34" t="n">
        <x:v>102.391093</x:v>
      </x:c>
      <x:c r="AC841" s="34" t="n">
        <x:v>15154.803</x:v>
      </x:c>
      <x:c r="AD841" s="34" t="n">
        <x:v>148.009</x:v>
      </x:c>
      <x:c r="AE841" s="40" t="b">
        <x:v>1</x:v>
      </x:c>
      <x:c r="AF841" s="40" t="b">
        <x:v>1</x:v>
      </x:c>
      <x:c r="AG841" s="34" t="str"/>
      <x:c r="AH841" s="34" t="n">
        <x:v>0</x:v>
      </x:c>
      <x:c r="AI841" s="34" t="str">
        <x:v>9.990856690045291e-05</x:v>
      </x:c>
      <x:c r="AJ841" s="40" t="b">
        <x:v>1</x:v>
      </x:c>
      <x:c r="AK841" s="40" t="b">
        <x:v>1</x:v>
      </x:c>
      <x:c r="AL841" s="40" t="b">
        <x:v>1</x:v>
      </x:c>
      <x:c r="AM841" s="40" t="b">
        <x:v>1</x:v>
      </x:c>
      <x:c r="AN841" s="34" t="str"/>
      <x:c r="AO841" s="34" t="n">
        <x:v>0</x:v>
      </x:c>
      <x:c r="AP841" s="34" t="n">
        <x:v>0</x:v>
      </x:c>
      <x:c r="AQ841" s="34" t="n">
        <x:v>0</x:v>
      </x:c>
      <x:c r="AR841" s="34" t="n">
        <x:v>1</x:v>
      </x:c>
      <x:c r="AS841" s="34" t="n">
        <x:v>1</x:v>
      </x:c>
      <x:c r="AT841" s="34" t="n">
        <x:v>0.28332</x:v>
      </x:c>
      <x:c r="AU841" s="34" t="n">
        <x:v>0.6</x:v>
      </x:c>
      <x:c r="AV841" s="34" t="n">
        <x:v>1.06</x:v>
      </x:c>
    </x:row>
    <x:row r="842">
      <x:c r="A842" s="34" t="str">
        <x:v>JFE_STEEL_JP</x:v>
      </x:c>
      <x:c r="B842" s="34" t="str">
        <x:v>JFE Steel</x:v>
      </x:c>
      <x:c r="C842" s="34" t="str">
        <x:v>DISCLOSED_PATH</x:v>
      </x:c>
      <x:c r="D842" s="34" t="str">
        <x:v>P2</x:v>
      </x:c>
      <x:c r="E842" s="34" t="n">
        <x:v>2026</x:v>
      </x:c>
      <x:c r="F842" s="34" t="n">
        <x:v>0</x:v>
      </x:c>
      <x:c r="G842" s="34" t="n">
        <x:v>0</x:v>
      </x:c>
      <x:c r="H842" s="34" t="n">
        <x:v>5</x:v>
      </x:c>
      <x:c r="I842" s="34" t="n">
        <x:v>5</x:v>
      </x:c>
      <x:c r="J842" s="34" t="n">
        <x:v>0</x:v>
      </x:c>
      <x:c r="K842" s="34" t="n">
        <x:v>0</x:v>
      </x:c>
      <x:c r="L842" s="34" t="n">
        <x:v>0</x:v>
      </x:c>
      <x:c r="M842" s="34" t="n">
        <x:v>0</x:v>
      </x:c>
      <x:c r="N842" s="34" t="n">
        <x:v>0</x:v>
      </x:c>
      <x:c r="O842" s="34" t="n">
        <x:v>0</x:v>
      </x:c>
      <x:c r="P842" s="34" t="n">
        <x:v>1.5</x:v>
      </x:c>
      <x:c r="Q842" s="34" t="n">
        <x:v>1.5</x:v>
      </x:c>
      <x:c r="R842" s="34" t="n">
        <x:v>0</x:v>
      </x:c>
      <x:c r="S842" s="40" t="b">
        <x:v>1</x:v>
      </x:c>
      <x:c r="T842" s="34" t="str">
        <x:v>model_interpolation</x:v>
      </x:c>
      <x:c r="U842" s="34" t="str">
        <x:v>Linear interpolation from 2026 to 2030</x:v>
      </x:c>
      <x:c r="V842" s="34" t="str">
        <x:v>CAND-E72109958C3B57</x:v>
      </x:c>
      <x:c r="W842" s="34" t="str">
        <x:v>P2</x:v>
      </x:c>
      <x:c r="X842" s="34" t="str">
        <x:v>PORT-E5F3D5116135</x:v>
      </x:c>
      <x:c r="Y842" s="34" t="n">
        <x:v>1000</x:v>
      </x:c>
      <x:c r="Z842" s="34" t="n">
        <x:v>102.523775</x:v>
      </x:c>
      <x:c r="AA842" s="34" t="n">
        <x:v>28.443983</x:v>
      </x:c>
      <x:c r="AB842" s="34" t="n">
        <x:v>321.408363</x:v>
      </x:c>
      <x:c r="AC842" s="34" t="n">
        <x:v>32387.753</x:v>
      </x:c>
      <x:c r="AD842" s="34" t="n">
        <x:v>100.768233</x:v>
      </x:c>
      <x:c r="AE842" s="40" t="b">
        <x:v>1</x:v>
      </x:c>
      <x:c r="AF842" s="40" t="b">
        <x:v>0</x:v>
      </x:c>
      <x:c r="AG842" s="34" t="str"/>
      <x:c r="AH842" s="34" t="n">
        <x:v>0</x:v>
      </x:c>
      <x:c r="AI842" s="34" t="str">
        <x:v>1.265341119704999e-05</x:v>
      </x:c>
      <x:c r="AJ842" s="40" t="b">
        <x:v>0</x:v>
      </x:c>
      <x:c r="AK842" s="40" t="b">
        <x:v>0</x:v>
      </x:c>
      <x:c r="AL842" s="40" t="b">
        <x:v>1</x:v>
      </x:c>
      <x:c r="AM842" s="40" t="b">
        <x:v>1</x:v>
      </x:c>
      <x:c r="AN842" s="34" t="n">
        <x:v>2036</x:v>
      </x:c>
      <x:c r="AO842" s="34" t="n">
        <x:v>0.004998229999999992</x:v>
      </x:c>
      <x:c r="AP842" s="34" t="n">
        <x:v>0</x:v>
      </x:c>
      <x:c r="AQ842" s="34" t="n">
        <x:v>0</x:v>
      </x:c>
      <x:c r="AR842" s="34" t="n">
        <x:v>2</x:v>
      </x:c>
      <x:c r="AS842" s="34" t="n">
        <x:v>3</x:v>
      </x:c>
      <x:c r="AT842" s="34" t="n">
        <x:v>0.3406543999999999</x:v>
      </x:c>
      <x:c r="AU842" s="34" t="n">
        <x:v>0.65</x:v>
      </x:c>
      <x:c r="AV842" s="34" t="n">
        <x:v>1.3</x:v>
      </x:c>
    </x:row>
    <x:row r="843">
      <x:c r="A843" s="34" t="str">
        <x:v>JFE_STEEL_JP</x:v>
      </x:c>
      <x:c r="B843" s="34" t="str">
        <x:v>JFE Steel</x:v>
      </x:c>
      <x:c r="C843" s="34" t="str">
        <x:v>DISCLOSED_PATH</x:v>
      </x:c>
      <x:c r="D843" s="34" t="str">
        <x:v>P2</x:v>
      </x:c>
      <x:c r="E843" s="34" t="n">
        <x:v>2027</x:v>
      </x:c>
      <x:c r="F843" s="34" t="n">
        <x:v>0</x:v>
      </x:c>
      <x:c r="G843" s="34" t="n">
        <x:v>0</x:v>
      </x:c>
      <x:c r="H843" s="34" t="n">
        <x:v>5.75</x:v>
      </x:c>
      <x:c r="I843" s="34" t="n">
        <x:v>5.75</x:v>
      </x:c>
      <x:c r="J843" s="34" t="n">
        <x:v>0</x:v>
      </x:c>
      <x:c r="K843" s="34" t="n">
        <x:v>0</x:v>
      </x:c>
      <x:c r="L843" s="34" t="n">
        <x:v>0.1</x:v>
      </x:c>
      <x:c r="M843" s="34" t="n">
        <x:v>0.1</x:v>
      </x:c>
      <x:c r="N843" s="34" t="n">
        <x:v>0</x:v>
      </x:c>
      <x:c r="O843" s="34" t="n">
        <x:v>0</x:v>
      </x:c>
      <x:c r="P843" s="34" t="n">
        <x:v>2.375</x:v>
      </x:c>
      <x:c r="Q843" s="34" t="n">
        <x:v>2.375</x:v>
      </x:c>
      <x:c r="R843" s="34" t="n">
        <x:v>0</x:v>
      </x:c>
      <x:c r="S843" s="40" t="b">
        <x:v>1</x:v>
      </x:c>
      <x:c r="T843" s="34" t="str">
        <x:v>model_interpolation</x:v>
      </x:c>
      <x:c r="U843" s="34" t="str">
        <x:v>Linear interpolation from 2026 to 2030</x:v>
      </x:c>
      <x:c r="V843" s="34" t="str">
        <x:v>CAND-E72109958C3B57</x:v>
      </x:c>
      <x:c r="W843" s="34" t="str">
        <x:v>P2</x:v>
      </x:c>
      <x:c r="X843" s="34" t="str">
        <x:v>PORT-E5F3D5116135</x:v>
      </x:c>
      <x:c r="Y843" s="34" t="n">
        <x:v>1000</x:v>
      </x:c>
      <x:c r="Z843" s="34" t="n">
        <x:v>102.523775</x:v>
      </x:c>
      <x:c r="AA843" s="34" t="n">
        <x:v>28.443983</x:v>
      </x:c>
      <x:c r="AB843" s="34" t="n">
        <x:v>321.408363</x:v>
      </x:c>
      <x:c r="AC843" s="34" t="n">
        <x:v>32387.753</x:v>
      </x:c>
      <x:c r="AD843" s="34" t="n">
        <x:v>100.768233</x:v>
      </x:c>
      <x:c r="AE843" s="40" t="b">
        <x:v>1</x:v>
      </x:c>
      <x:c r="AF843" s="40" t="b">
        <x:v>0</x:v>
      </x:c>
      <x:c r="AG843" s="34" t="str"/>
      <x:c r="AH843" s="34" t="n">
        <x:v>0</x:v>
      </x:c>
      <x:c r="AI843" s="34" t="str">
        <x:v>1.265341119704999e-05</x:v>
      </x:c>
      <x:c r="AJ843" s="40" t="b">
        <x:v>0</x:v>
      </x:c>
      <x:c r="AK843" s="40" t="b">
        <x:v>0</x:v>
      </x:c>
      <x:c r="AL843" s="40" t="b">
        <x:v>1</x:v>
      </x:c>
      <x:c r="AM843" s="40" t="b">
        <x:v>1</x:v>
      </x:c>
      <x:c r="AN843" s="34" t="n">
        <x:v>2036</x:v>
      </x:c>
      <x:c r="AO843" s="34" t="n">
        <x:v>0.004998229999999992</x:v>
      </x:c>
      <x:c r="AP843" s="34" t="n">
        <x:v>0</x:v>
      </x:c>
      <x:c r="AQ843" s="34" t="n">
        <x:v>0</x:v>
      </x:c>
      <x:c r="AR843" s="34" t="n">
        <x:v>2</x:v>
      </x:c>
      <x:c r="AS843" s="34" t="n">
        <x:v>3</x:v>
      </x:c>
      <x:c r="AT843" s="34" t="n">
        <x:v>0.3406543999999999</x:v>
      </x:c>
      <x:c r="AU843" s="34" t="n">
        <x:v>0.65</x:v>
      </x:c>
      <x:c r="AV843" s="34" t="n">
        <x:v>1.3</x:v>
      </x:c>
    </x:row>
    <x:row r="844">
      <x:c r="A844" s="34" t="str">
        <x:v>JFE_STEEL_JP</x:v>
      </x:c>
      <x:c r="B844" s="34" t="str">
        <x:v>JFE Steel</x:v>
      </x:c>
      <x:c r="C844" s="34" t="str">
        <x:v>DISCLOSED_PATH</x:v>
      </x:c>
      <x:c r="D844" s="34" t="str">
        <x:v>P2</x:v>
      </x:c>
      <x:c r="E844" s="34" t="n">
        <x:v>2028</x:v>
      </x:c>
      <x:c r="F844" s="34" t="n">
        <x:v>0</x:v>
      </x:c>
      <x:c r="G844" s="34" t="n">
        <x:v>0</x:v>
      </x:c>
      <x:c r="H844" s="34" t="n">
        <x:v>6.5</x:v>
      </x:c>
      <x:c r="I844" s="34" t="n">
        <x:v>6.5</x:v>
      </x:c>
      <x:c r="J844" s="34" t="n">
        <x:v>0</x:v>
      </x:c>
      <x:c r="K844" s="34" t="n">
        <x:v>0</x:v>
      </x:c>
      <x:c r="L844" s="34" t="n">
        <x:v>0.2</x:v>
      </x:c>
      <x:c r="M844" s="34" t="n">
        <x:v>0.2</x:v>
      </x:c>
      <x:c r="N844" s="34" t="n">
        <x:v>0</x:v>
      </x:c>
      <x:c r="O844" s="34" t="n">
        <x:v>0</x:v>
      </x:c>
      <x:c r="P844" s="34" t="n">
        <x:v>3.25</x:v>
      </x:c>
      <x:c r="Q844" s="34" t="n">
        <x:v>3.25</x:v>
      </x:c>
      <x:c r="R844" s="34" t="n">
        <x:v>0</x:v>
      </x:c>
      <x:c r="S844" s="40" t="b">
        <x:v>1</x:v>
      </x:c>
      <x:c r="T844" s="34" t="str">
        <x:v>model_interpolation</x:v>
      </x:c>
      <x:c r="U844" s="34" t="str">
        <x:v>Linear interpolation from 2026 to 2030</x:v>
      </x:c>
      <x:c r="V844" s="34" t="str">
        <x:v>CAND-E72109958C3B57</x:v>
      </x:c>
      <x:c r="W844" s="34" t="str">
        <x:v>P2</x:v>
      </x:c>
      <x:c r="X844" s="34" t="str">
        <x:v>PORT-E5F3D5116135</x:v>
      </x:c>
      <x:c r="Y844" s="34" t="n">
        <x:v>1000</x:v>
      </x:c>
      <x:c r="Z844" s="34" t="n">
        <x:v>102.523775</x:v>
      </x:c>
      <x:c r="AA844" s="34" t="n">
        <x:v>28.443983</x:v>
      </x:c>
      <x:c r="AB844" s="34" t="n">
        <x:v>321.408363</x:v>
      </x:c>
      <x:c r="AC844" s="34" t="n">
        <x:v>32387.753</x:v>
      </x:c>
      <x:c r="AD844" s="34" t="n">
        <x:v>100.768233</x:v>
      </x:c>
      <x:c r="AE844" s="40" t="b">
        <x:v>1</x:v>
      </x:c>
      <x:c r="AF844" s="40" t="b">
        <x:v>0</x:v>
      </x:c>
      <x:c r="AG844" s="34" t="str"/>
      <x:c r="AH844" s="34" t="n">
        <x:v>0</x:v>
      </x:c>
      <x:c r="AI844" s="34" t="str">
        <x:v>1.265341119704999e-05</x:v>
      </x:c>
      <x:c r="AJ844" s="40" t="b">
        <x:v>0</x:v>
      </x:c>
      <x:c r="AK844" s="40" t="b">
        <x:v>0</x:v>
      </x:c>
      <x:c r="AL844" s="40" t="b">
        <x:v>1</x:v>
      </x:c>
      <x:c r="AM844" s="40" t="b">
        <x:v>1</x:v>
      </x:c>
      <x:c r="AN844" s="34" t="n">
        <x:v>2036</x:v>
      </x:c>
      <x:c r="AO844" s="34" t="n">
        <x:v>0.004998229999999992</x:v>
      </x:c>
      <x:c r="AP844" s="34" t="n">
        <x:v>0</x:v>
      </x:c>
      <x:c r="AQ844" s="34" t="n">
        <x:v>0</x:v>
      </x:c>
      <x:c r="AR844" s="34" t="n">
        <x:v>2</x:v>
      </x:c>
      <x:c r="AS844" s="34" t="n">
        <x:v>3</x:v>
      </x:c>
      <x:c r="AT844" s="34" t="n">
        <x:v>0.3406543999999999</x:v>
      </x:c>
      <x:c r="AU844" s="34" t="n">
        <x:v>0.65</x:v>
      </x:c>
      <x:c r="AV844" s="34" t="n">
        <x:v>1.3</x:v>
      </x:c>
    </x:row>
    <x:row r="845">
      <x:c r="A845" s="34" t="str">
        <x:v>JFE_STEEL_JP</x:v>
      </x:c>
      <x:c r="B845" s="34" t="str">
        <x:v>JFE Steel</x:v>
      </x:c>
      <x:c r="C845" s="34" t="str">
        <x:v>DISCLOSED_PATH</x:v>
      </x:c>
      <x:c r="D845" s="34" t="str">
        <x:v>P2</x:v>
      </x:c>
      <x:c r="E845" s="34" t="n">
        <x:v>2029</x:v>
      </x:c>
      <x:c r="F845" s="34" t="n">
        <x:v>1</x:v>
      </x:c>
      <x:c r="G845" s="34" t="n">
        <x:v>6.120001</x:v>
      </x:c>
      <x:c r="H845" s="34" t="n">
        <x:v>7.25</x:v>
      </x:c>
      <x:c r="I845" s="34" t="n">
        <x:v>1.129999</x:v>
      </x:c>
      <x:c r="J845" s="34" t="n">
        <x:v>84.414</x:v>
      </x:c>
      <x:c r="K845" s="34" t="n">
        <x:v>0</x:v>
      </x:c>
      <x:c r="L845" s="34" t="n">
        <x:v>0.30000000000000004</x:v>
      </x:c>
      <x:c r="M845" s="34" t="n">
        <x:v>0.3</x:v>
      </x:c>
      <x:c r="N845" s="34" t="n">
        <x:v>0</x:v>
      </x:c>
      <x:c r="O845" s="34" t="n">
        <x:v>3.808</x:v>
      </x:c>
      <x:c r="P845" s="34" t="n">
        <x:v>4.125</x:v>
      </x:c>
      <x:c r="Q845" s="34" t="n">
        <x:v>0.317</x:v>
      </x:c>
      <x:c r="R845" s="34" t="n">
        <x:v>92.315</x:v>
      </x:c>
      <x:c r="S845" s="40" t="b">
        <x:v>1</x:v>
      </x:c>
      <x:c r="T845" s="34" t="str">
        <x:v>model_interpolation</x:v>
      </x:c>
      <x:c r="U845" s="34" t="str">
        <x:v>Linear interpolation from 2026 to 2030</x:v>
      </x:c>
      <x:c r="V845" s="34" t="str">
        <x:v>CAND-E72109958C3B57</x:v>
      </x:c>
      <x:c r="W845" s="34" t="str">
        <x:v>P2</x:v>
      </x:c>
      <x:c r="X845" s="34" t="str">
        <x:v>PORT-E5F3D5116135</x:v>
      </x:c>
      <x:c r="Y845" s="34" t="n">
        <x:v>1000</x:v>
      </x:c>
      <x:c r="Z845" s="34" t="n">
        <x:v>102.523775</x:v>
      </x:c>
      <x:c r="AA845" s="34" t="n">
        <x:v>28.443983</x:v>
      </x:c>
      <x:c r="AB845" s="34" t="n">
        <x:v>321.408363</x:v>
      </x:c>
      <x:c r="AC845" s="34" t="n">
        <x:v>32387.753</x:v>
      </x:c>
      <x:c r="AD845" s="34" t="n">
        <x:v>100.768233</x:v>
      </x:c>
      <x:c r="AE845" s="40" t="b">
        <x:v>1</x:v>
      </x:c>
      <x:c r="AF845" s="40" t="b">
        <x:v>0</x:v>
      </x:c>
      <x:c r="AG845" s="34" t="str"/>
      <x:c r="AH845" s="34" t="n">
        <x:v>0</x:v>
      </x:c>
      <x:c r="AI845" s="34" t="str">
        <x:v>1.265341119704999e-05</x:v>
      </x:c>
      <x:c r="AJ845" s="40" t="b">
        <x:v>0</x:v>
      </x:c>
      <x:c r="AK845" s="40" t="b">
        <x:v>0</x:v>
      </x:c>
      <x:c r="AL845" s="40" t="b">
        <x:v>1</x:v>
      </x:c>
      <x:c r="AM845" s="40" t="b">
        <x:v>1</x:v>
      </x:c>
      <x:c r="AN845" s="34" t="n">
        <x:v>2036</x:v>
      </x:c>
      <x:c r="AO845" s="34" t="n">
        <x:v>0.004998229999999992</x:v>
      </x:c>
      <x:c r="AP845" s="34" t="n">
        <x:v>0</x:v>
      </x:c>
      <x:c r="AQ845" s="34" t="n">
        <x:v>0</x:v>
      </x:c>
      <x:c r="AR845" s="34" t="n">
        <x:v>2</x:v>
      </x:c>
      <x:c r="AS845" s="34" t="n">
        <x:v>3</x:v>
      </x:c>
      <x:c r="AT845" s="34" t="n">
        <x:v>0.3406543999999999</x:v>
      </x:c>
      <x:c r="AU845" s="34" t="n">
        <x:v>0.65</x:v>
      </x:c>
      <x:c r="AV845" s="34" t="n">
        <x:v>1.3</x:v>
      </x:c>
    </x:row>
    <x:row r="846">
      <x:c r="A846" s="34" t="str">
        <x:v>JFE_STEEL_JP</x:v>
      </x:c>
      <x:c r="B846" s="34" t="str">
        <x:v>JFE Steel</x:v>
      </x:c>
      <x:c r="C846" s="34" t="str">
        <x:v>DISCLOSED_PATH</x:v>
      </x:c>
      <x:c r="D846" s="34" t="str">
        <x:v>P2</x:v>
      </x:c>
      <x:c r="E846" s="34" t="n">
        <x:v>2030</x:v>
      </x:c>
      <x:c r="F846" s="34" t="n">
        <x:v>1</x:v>
      </x:c>
      <x:c r="G846" s="34" t="n">
        <x:v>6.120001</x:v>
      </x:c>
      <x:c r="H846" s="34" t="n">
        <x:v>8</x:v>
      </x:c>
      <x:c r="I846" s="34" t="n">
        <x:v>1.879999</x:v>
      </x:c>
      <x:c r="J846" s="34" t="n">
        <x:v>76.5</x:v>
      </x:c>
      <x:c r="K846" s="34" t="n">
        <x:v>0</x:v>
      </x:c>
      <x:c r="L846" s="34" t="n">
        <x:v>0.4</x:v>
      </x:c>
      <x:c r="M846" s="34" t="n">
        <x:v>0.4</x:v>
      </x:c>
      <x:c r="N846" s="34" t="n">
        <x:v>0</x:v>
      </x:c>
      <x:c r="O846" s="34" t="n">
        <x:v>3.808</x:v>
      </x:c>
      <x:c r="P846" s="34" t="n">
        <x:v>5</x:v>
      </x:c>
      <x:c r="Q846" s="34" t="n">
        <x:v>1.192</x:v>
      </x:c>
      <x:c r="R846" s="34" t="n">
        <x:v>76.16</x:v>
      </x:c>
      <x:c r="S846" s="40" t="b">
        <x:v>1</x:v>
      </x:c>
      <x:c r="T846" s="34" t="str">
        <x:v>model_interpolation</x:v>
      </x:c>
      <x:c r="U846" s="34" t="str">
        <x:v>Linear interpolation from 2030 to 2035</x:v>
      </x:c>
      <x:c r="V846" s="34" t="str">
        <x:v>CAND-E72109958C3B57</x:v>
      </x:c>
      <x:c r="W846" s="34" t="str">
        <x:v>P2</x:v>
      </x:c>
      <x:c r="X846" s="34" t="str">
        <x:v>PORT-E5F3D5116135</x:v>
      </x:c>
      <x:c r="Y846" s="34" t="n">
        <x:v>1000</x:v>
      </x:c>
      <x:c r="Z846" s="34" t="n">
        <x:v>102.523775</x:v>
      </x:c>
      <x:c r="AA846" s="34" t="n">
        <x:v>28.443983</x:v>
      </x:c>
      <x:c r="AB846" s="34" t="n">
        <x:v>321.408363</x:v>
      </x:c>
      <x:c r="AC846" s="34" t="n">
        <x:v>32387.753</x:v>
      </x:c>
      <x:c r="AD846" s="34" t="n">
        <x:v>100.768233</x:v>
      </x:c>
      <x:c r="AE846" s="40" t="b">
        <x:v>1</x:v>
      </x:c>
      <x:c r="AF846" s="40" t="b">
        <x:v>0</x:v>
      </x:c>
      <x:c r="AG846" s="34" t="str"/>
      <x:c r="AH846" s="34" t="n">
        <x:v>0</x:v>
      </x:c>
      <x:c r="AI846" s="34" t="str">
        <x:v>1.265341119704999e-05</x:v>
      </x:c>
      <x:c r="AJ846" s="40" t="b">
        <x:v>0</x:v>
      </x:c>
      <x:c r="AK846" s="40" t="b">
        <x:v>0</x:v>
      </x:c>
      <x:c r="AL846" s="40" t="b">
        <x:v>1</x:v>
      </x:c>
      <x:c r="AM846" s="40" t="b">
        <x:v>1</x:v>
      </x:c>
      <x:c r="AN846" s="34" t="n">
        <x:v>2036</x:v>
      </x:c>
      <x:c r="AO846" s="34" t="n">
        <x:v>0.004998229999999992</x:v>
      </x:c>
      <x:c r="AP846" s="34" t="n">
        <x:v>0</x:v>
      </x:c>
      <x:c r="AQ846" s="34" t="n">
        <x:v>0</x:v>
      </x:c>
      <x:c r="AR846" s="34" t="n">
        <x:v>2</x:v>
      </x:c>
      <x:c r="AS846" s="34" t="n">
        <x:v>3</x:v>
      </x:c>
      <x:c r="AT846" s="34" t="n">
        <x:v>0.3406543999999999</x:v>
      </x:c>
      <x:c r="AU846" s="34" t="n">
        <x:v>0.65</x:v>
      </x:c>
      <x:c r="AV846" s="34" t="n">
        <x:v>1.3</x:v>
      </x:c>
    </x:row>
    <x:row r="847">
      <x:c r="A847" s="34" t="str">
        <x:v>JFE_STEEL_JP</x:v>
      </x:c>
      <x:c r="B847" s="34" t="str">
        <x:v>JFE Steel</x:v>
      </x:c>
      <x:c r="C847" s="34" t="str">
        <x:v>DISCLOSED_PATH</x:v>
      </x:c>
      <x:c r="D847" s="34" t="str">
        <x:v>P2</x:v>
      </x:c>
      <x:c r="E847" s="34" t="n">
        <x:v>2031</x:v>
      </x:c>
      <x:c r="F847" s="34" t="n">
        <x:v>1</x:v>
      </x:c>
      <x:c r="G847" s="34" t="n">
        <x:v>6.120001</x:v>
      </x:c>
      <x:c r="H847" s="34" t="n">
        <x:v>8.8</x:v>
      </x:c>
      <x:c r="I847" s="34" t="n">
        <x:v>2.679999</x:v>
      </x:c>
      <x:c r="J847" s="34" t="n">
        <x:v>69.545</x:v>
      </x:c>
      <x:c r="K847" s="34" t="n">
        <x:v>0</x:v>
      </x:c>
      <x:c r="L847" s="34" t="n">
        <x:v>0.56</x:v>
      </x:c>
      <x:c r="M847" s="34" t="n">
        <x:v>0.56</x:v>
      </x:c>
      <x:c r="N847" s="34" t="n">
        <x:v>0</x:v>
      </x:c>
      <x:c r="O847" s="34" t="n">
        <x:v>3.808</x:v>
      </x:c>
      <x:c r="P847" s="34" t="n">
        <x:v>6</x:v>
      </x:c>
      <x:c r="Q847" s="34" t="n">
        <x:v>2.192</x:v>
      </x:c>
      <x:c r="R847" s="34" t="n">
        <x:v>63.467</x:v>
      </x:c>
      <x:c r="S847" s="40" t="b">
        <x:v>1</x:v>
      </x:c>
      <x:c r="T847" s="34" t="str">
        <x:v>model_interpolation</x:v>
      </x:c>
      <x:c r="U847" s="34" t="str">
        <x:v>Linear interpolation from 2030 to 2035</x:v>
      </x:c>
      <x:c r="V847" s="34" t="str">
        <x:v>CAND-E72109958C3B57</x:v>
      </x:c>
      <x:c r="W847" s="34" t="str">
        <x:v>P2</x:v>
      </x:c>
      <x:c r="X847" s="34" t="str">
        <x:v>PORT-E5F3D5116135</x:v>
      </x:c>
      <x:c r="Y847" s="34" t="n">
        <x:v>1000</x:v>
      </x:c>
      <x:c r="Z847" s="34" t="n">
        <x:v>102.523775</x:v>
      </x:c>
      <x:c r="AA847" s="34" t="n">
        <x:v>28.443983</x:v>
      </x:c>
      <x:c r="AB847" s="34" t="n">
        <x:v>321.408363</x:v>
      </x:c>
      <x:c r="AC847" s="34" t="n">
        <x:v>32387.753</x:v>
      </x:c>
      <x:c r="AD847" s="34" t="n">
        <x:v>100.768233</x:v>
      </x:c>
      <x:c r="AE847" s="40" t="b">
        <x:v>1</x:v>
      </x:c>
      <x:c r="AF847" s="40" t="b">
        <x:v>0</x:v>
      </x:c>
      <x:c r="AG847" s="34" t="str"/>
      <x:c r="AH847" s="34" t="n">
        <x:v>0</x:v>
      </x:c>
      <x:c r="AI847" s="34" t="str">
        <x:v>1.265341119704999e-05</x:v>
      </x:c>
      <x:c r="AJ847" s="40" t="b">
        <x:v>0</x:v>
      </x:c>
      <x:c r="AK847" s="40" t="b">
        <x:v>0</x:v>
      </x:c>
      <x:c r="AL847" s="40" t="b">
        <x:v>1</x:v>
      </x:c>
      <x:c r="AM847" s="40" t="b">
        <x:v>1</x:v>
      </x:c>
      <x:c r="AN847" s="34" t="n">
        <x:v>2036</x:v>
      </x:c>
      <x:c r="AO847" s="34" t="n">
        <x:v>0.004998229999999992</x:v>
      </x:c>
      <x:c r="AP847" s="34" t="n">
        <x:v>0</x:v>
      </x:c>
      <x:c r="AQ847" s="34" t="n">
        <x:v>0</x:v>
      </x:c>
      <x:c r="AR847" s="34" t="n">
        <x:v>2</x:v>
      </x:c>
      <x:c r="AS847" s="34" t="n">
        <x:v>3</x:v>
      </x:c>
      <x:c r="AT847" s="34" t="n">
        <x:v>0.3406543999999999</x:v>
      </x:c>
      <x:c r="AU847" s="34" t="n">
        <x:v>0.65</x:v>
      </x:c>
      <x:c r="AV847" s="34" t="n">
        <x:v>1.3</x:v>
      </x:c>
    </x:row>
    <x:row r="848">
      <x:c r="A848" s="34" t="str">
        <x:v>JFE_STEEL_JP</x:v>
      </x:c>
      <x:c r="B848" s="34" t="str">
        <x:v>JFE Steel</x:v>
      </x:c>
      <x:c r="C848" s="34" t="str">
        <x:v>DISCLOSED_PATH</x:v>
      </x:c>
      <x:c r="D848" s="34" t="str">
        <x:v>P2</x:v>
      </x:c>
      <x:c r="E848" s="34" t="n">
        <x:v>2032</x:v>
      </x:c>
      <x:c r="F848" s="34" t="n">
        <x:v>1</x:v>
      </x:c>
      <x:c r="G848" s="34" t="n">
        <x:v>6.120001</x:v>
      </x:c>
      <x:c r="H848" s="34" t="n">
        <x:v>9.6</x:v>
      </x:c>
      <x:c r="I848" s="34" t="n">
        <x:v>3.479999</x:v>
      </x:c>
      <x:c r="J848" s="34" t="n">
        <x:v>63.75</x:v>
      </x:c>
      <x:c r="K848" s="34" t="n">
        <x:v>0</x:v>
      </x:c>
      <x:c r="L848" s="34" t="n">
        <x:v>0.72</x:v>
      </x:c>
      <x:c r="M848" s="34" t="n">
        <x:v>0.72</x:v>
      </x:c>
      <x:c r="N848" s="34" t="n">
        <x:v>0</x:v>
      </x:c>
      <x:c r="O848" s="34" t="n">
        <x:v>3.808</x:v>
      </x:c>
      <x:c r="P848" s="34" t="n">
        <x:v>7</x:v>
      </x:c>
      <x:c r="Q848" s="34" t="n">
        <x:v>3.192</x:v>
      </x:c>
      <x:c r="R848" s="34" t="n">
        <x:v>54.4</x:v>
      </x:c>
      <x:c r="S848" s="40" t="b">
        <x:v>1</x:v>
      </x:c>
      <x:c r="T848" s="34" t="str">
        <x:v>model_interpolation</x:v>
      </x:c>
      <x:c r="U848" s="34" t="str">
        <x:v>Linear interpolation from 2030 to 2035</x:v>
      </x:c>
      <x:c r="V848" s="34" t="str">
        <x:v>CAND-E72109958C3B57</x:v>
      </x:c>
      <x:c r="W848" s="34" t="str">
        <x:v>P2</x:v>
      </x:c>
      <x:c r="X848" s="34" t="str">
        <x:v>PORT-E5F3D5116135</x:v>
      </x:c>
      <x:c r="Y848" s="34" t="n">
        <x:v>1000</x:v>
      </x:c>
      <x:c r="Z848" s="34" t="n">
        <x:v>102.523775</x:v>
      </x:c>
      <x:c r="AA848" s="34" t="n">
        <x:v>28.443983</x:v>
      </x:c>
      <x:c r="AB848" s="34" t="n">
        <x:v>321.408363</x:v>
      </x:c>
      <x:c r="AC848" s="34" t="n">
        <x:v>32387.753</x:v>
      </x:c>
      <x:c r="AD848" s="34" t="n">
        <x:v>100.768233</x:v>
      </x:c>
      <x:c r="AE848" s="40" t="b">
        <x:v>1</x:v>
      </x:c>
      <x:c r="AF848" s="40" t="b">
        <x:v>0</x:v>
      </x:c>
      <x:c r="AG848" s="34" t="str"/>
      <x:c r="AH848" s="34" t="n">
        <x:v>0</x:v>
      </x:c>
      <x:c r="AI848" s="34" t="str">
        <x:v>1.265341119704999e-05</x:v>
      </x:c>
      <x:c r="AJ848" s="40" t="b">
        <x:v>0</x:v>
      </x:c>
      <x:c r="AK848" s="40" t="b">
        <x:v>0</x:v>
      </x:c>
      <x:c r="AL848" s="40" t="b">
        <x:v>1</x:v>
      </x:c>
      <x:c r="AM848" s="40" t="b">
        <x:v>1</x:v>
      </x:c>
      <x:c r="AN848" s="34" t="n">
        <x:v>2036</x:v>
      </x:c>
      <x:c r="AO848" s="34" t="n">
        <x:v>0.004998229999999992</x:v>
      </x:c>
      <x:c r="AP848" s="34" t="n">
        <x:v>0</x:v>
      </x:c>
      <x:c r="AQ848" s="34" t="n">
        <x:v>0</x:v>
      </x:c>
      <x:c r="AR848" s="34" t="n">
        <x:v>2</x:v>
      </x:c>
      <x:c r="AS848" s="34" t="n">
        <x:v>3</x:v>
      </x:c>
      <x:c r="AT848" s="34" t="n">
        <x:v>0.3406543999999999</x:v>
      </x:c>
      <x:c r="AU848" s="34" t="n">
        <x:v>0.65</x:v>
      </x:c>
      <x:c r="AV848" s="34" t="n">
        <x:v>1.3</x:v>
      </x:c>
    </x:row>
    <x:row r="849">
      <x:c r="A849" s="34" t="str">
        <x:v>JFE_STEEL_JP</x:v>
      </x:c>
      <x:c r="B849" s="34" t="str">
        <x:v>JFE Steel</x:v>
      </x:c>
      <x:c r="C849" s="34" t="str">
        <x:v>DISCLOSED_PATH</x:v>
      </x:c>
      <x:c r="D849" s="34" t="str">
        <x:v>P2</x:v>
      </x:c>
      <x:c r="E849" s="34" t="n">
        <x:v>2033</x:v>
      </x:c>
      <x:c r="F849" s="34" t="n">
        <x:v>3</x:v>
      </x:c>
      <x:c r="G849" s="34" t="n">
        <x:v>8.1</x:v>
      </x:c>
      <x:c r="H849" s="34" t="n">
        <x:v>10.4</x:v>
      </x:c>
      <x:c r="I849" s="34" t="n">
        <x:v>2.3</x:v>
      </x:c>
      <x:c r="J849" s="34" t="n">
        <x:v>77.885</x:v>
      </x:c>
      <x:c r="K849" s="34" t="n">
        <x:v>0.495</x:v>
      </x:c>
      <x:c r="L849" s="34" t="n">
        <x:v>0.8799999999999999</x:v>
      </x:c>
      <x:c r="M849" s="34" t="n">
        <x:v>0.385</x:v>
      </x:c>
      <x:c r="N849" s="34" t="n">
        <x:v>56.25</x:v>
      </x:c>
      <x:c r="O849" s="34" t="n">
        <x:v>7.961999</x:v>
      </x:c>
      <x:c r="P849" s="34" t="n">
        <x:v>8</x:v>
      </x:c>
      <x:c r="Q849" s="34" t="n">
        <x:v>0.038001</x:v>
      </x:c>
      <x:c r="R849" s="34" t="n">
        <x:v>99.525</x:v>
      </x:c>
      <x:c r="S849" s="40" t="b">
        <x:v>1</x:v>
      </x:c>
      <x:c r="T849" s="34" t="str">
        <x:v>model_interpolation</x:v>
      </x:c>
      <x:c r="U849" s="34" t="str">
        <x:v>Linear interpolation from 2030 to 2035</x:v>
      </x:c>
      <x:c r="V849" s="34" t="str">
        <x:v>CAND-E72109958C3B57</x:v>
      </x:c>
      <x:c r="W849" s="34" t="str">
        <x:v>P2</x:v>
      </x:c>
      <x:c r="X849" s="34" t="str">
        <x:v>PORT-E5F3D5116135</x:v>
      </x:c>
      <x:c r="Y849" s="34" t="n">
        <x:v>1000</x:v>
      </x:c>
      <x:c r="Z849" s="34" t="n">
        <x:v>102.523775</x:v>
      </x:c>
      <x:c r="AA849" s="34" t="n">
        <x:v>28.443983</x:v>
      </x:c>
      <x:c r="AB849" s="34" t="n">
        <x:v>321.408363</x:v>
      </x:c>
      <x:c r="AC849" s="34" t="n">
        <x:v>32387.753</x:v>
      </x:c>
      <x:c r="AD849" s="34" t="n">
        <x:v>100.768233</x:v>
      </x:c>
      <x:c r="AE849" s="40" t="b">
        <x:v>1</x:v>
      </x:c>
      <x:c r="AF849" s="40" t="b">
        <x:v>0</x:v>
      </x:c>
      <x:c r="AG849" s="34" t="str"/>
      <x:c r="AH849" s="34" t="n">
        <x:v>0</x:v>
      </x:c>
      <x:c r="AI849" s="34" t="str">
        <x:v>1.265341119704999e-05</x:v>
      </x:c>
      <x:c r="AJ849" s="40" t="b">
        <x:v>0</x:v>
      </x:c>
      <x:c r="AK849" s="40" t="b">
        <x:v>0</x:v>
      </x:c>
      <x:c r="AL849" s="40" t="b">
        <x:v>1</x:v>
      </x:c>
      <x:c r="AM849" s="40" t="b">
        <x:v>1</x:v>
      </x:c>
      <x:c r="AN849" s="34" t="n">
        <x:v>2036</x:v>
      </x:c>
      <x:c r="AO849" s="34" t="n">
        <x:v>0.004998229999999992</x:v>
      </x:c>
      <x:c r="AP849" s="34" t="n">
        <x:v>0</x:v>
      </x:c>
      <x:c r="AQ849" s="34" t="n">
        <x:v>0</x:v>
      </x:c>
      <x:c r="AR849" s="34" t="n">
        <x:v>2</x:v>
      </x:c>
      <x:c r="AS849" s="34" t="n">
        <x:v>3</x:v>
      </x:c>
      <x:c r="AT849" s="34" t="n">
        <x:v>0.3406543999999999</x:v>
      </x:c>
      <x:c r="AU849" s="34" t="n">
        <x:v>0.65</x:v>
      </x:c>
      <x:c r="AV849" s="34" t="n">
        <x:v>1.3</x:v>
      </x:c>
    </x:row>
    <x:row r="850">
      <x:c r="A850" s="34" t="str">
        <x:v>JFE_STEEL_JP</x:v>
      </x:c>
      <x:c r="B850" s="34" t="str">
        <x:v>JFE Steel</x:v>
      </x:c>
      <x:c r="C850" s="34" t="str">
        <x:v>DISCLOSED_PATH</x:v>
      </x:c>
      <x:c r="D850" s="34" t="str">
        <x:v>P2</x:v>
      </x:c>
      <x:c r="E850" s="34" t="n">
        <x:v>2034</x:v>
      </x:c>
      <x:c r="F850" s="34" t="n">
        <x:v>3</x:v>
      </x:c>
      <x:c r="G850" s="34" t="n">
        <x:v>8.1</x:v>
      </x:c>
      <x:c r="H850" s="34" t="n">
        <x:v>11.2</x:v>
      </x:c>
      <x:c r="I850" s="34" t="n">
        <x:v>3.1</x:v>
      </x:c>
      <x:c r="J850" s="34" t="n">
        <x:v>72.321</x:v>
      </x:c>
      <x:c r="K850" s="34" t="n">
        <x:v>0.495</x:v>
      </x:c>
      <x:c r="L850" s="34" t="n">
        <x:v>1.04</x:v>
      </x:c>
      <x:c r="M850" s="34" t="n">
        <x:v>0.545</x:v>
      </x:c>
      <x:c r="N850" s="34" t="n">
        <x:v>47.596</x:v>
      </x:c>
      <x:c r="O850" s="34" t="n">
        <x:v>7.961999</x:v>
      </x:c>
      <x:c r="P850" s="34" t="n">
        <x:v>9</x:v>
      </x:c>
      <x:c r="Q850" s="34" t="n">
        <x:v>1.038001</x:v>
      </x:c>
      <x:c r="R850" s="34" t="n">
        <x:v>88.467</x:v>
      </x:c>
      <x:c r="S850" s="40" t="b">
        <x:v>1</x:v>
      </x:c>
      <x:c r="T850" s="34" t="str">
        <x:v>model_interpolation</x:v>
      </x:c>
      <x:c r="U850" s="34" t="str">
        <x:v>Linear interpolation from 2030 to 2035</x:v>
      </x:c>
      <x:c r="V850" s="34" t="str">
        <x:v>CAND-E72109958C3B57</x:v>
      </x:c>
      <x:c r="W850" s="34" t="str">
        <x:v>P2</x:v>
      </x:c>
      <x:c r="X850" s="34" t="str">
        <x:v>PORT-E5F3D5116135</x:v>
      </x:c>
      <x:c r="Y850" s="34" t="n">
        <x:v>1000</x:v>
      </x:c>
      <x:c r="Z850" s="34" t="n">
        <x:v>102.523775</x:v>
      </x:c>
      <x:c r="AA850" s="34" t="n">
        <x:v>28.443983</x:v>
      </x:c>
      <x:c r="AB850" s="34" t="n">
        <x:v>321.408363</x:v>
      </x:c>
      <x:c r="AC850" s="34" t="n">
        <x:v>32387.753</x:v>
      </x:c>
      <x:c r="AD850" s="34" t="n">
        <x:v>100.768233</x:v>
      </x:c>
      <x:c r="AE850" s="40" t="b">
        <x:v>1</x:v>
      </x:c>
      <x:c r="AF850" s="40" t="b">
        <x:v>0</x:v>
      </x:c>
      <x:c r="AG850" s="34" t="str"/>
      <x:c r="AH850" s="34" t="n">
        <x:v>0</x:v>
      </x:c>
      <x:c r="AI850" s="34" t="str">
        <x:v>1.265341119704999e-05</x:v>
      </x:c>
      <x:c r="AJ850" s="40" t="b">
        <x:v>0</x:v>
      </x:c>
      <x:c r="AK850" s="40" t="b">
        <x:v>0</x:v>
      </x:c>
      <x:c r="AL850" s="40" t="b">
        <x:v>1</x:v>
      </x:c>
      <x:c r="AM850" s="40" t="b">
        <x:v>1</x:v>
      </x:c>
      <x:c r="AN850" s="34" t="n">
        <x:v>2036</x:v>
      </x:c>
      <x:c r="AO850" s="34" t="n">
        <x:v>0.004998229999999992</x:v>
      </x:c>
      <x:c r="AP850" s="34" t="n">
        <x:v>0</x:v>
      </x:c>
      <x:c r="AQ850" s="34" t="n">
        <x:v>0</x:v>
      </x:c>
      <x:c r="AR850" s="34" t="n">
        <x:v>2</x:v>
      </x:c>
      <x:c r="AS850" s="34" t="n">
        <x:v>3</x:v>
      </x:c>
      <x:c r="AT850" s="34" t="n">
        <x:v>0.3406543999999999</x:v>
      </x:c>
      <x:c r="AU850" s="34" t="n">
        <x:v>0.65</x:v>
      </x:c>
      <x:c r="AV850" s="34" t="n">
        <x:v>1.3</x:v>
      </x:c>
    </x:row>
    <x:row r="851">
      <x:c r="A851" s="34" t="str">
        <x:v>JFE_STEEL_JP</x:v>
      </x:c>
      <x:c r="B851" s="34" t="str">
        <x:v>JFE Steel</x:v>
      </x:c>
      <x:c r="C851" s="34" t="str">
        <x:v>DISCLOSED_PATH</x:v>
      </x:c>
      <x:c r="D851" s="34" t="str">
        <x:v>P2</x:v>
      </x:c>
      <x:c r="E851" s="34" t="n">
        <x:v>2035</x:v>
      </x:c>
      <x:c r="F851" s="34" t="n">
        <x:v>3</x:v>
      </x:c>
      <x:c r="G851" s="34" t="n">
        <x:v>8.1</x:v>
      </x:c>
      <x:c r="H851" s="34" t="n">
        <x:v>12</x:v>
      </x:c>
      <x:c r="I851" s="34" t="n">
        <x:v>3.9</x:v>
      </x:c>
      <x:c r="J851" s="34" t="n">
        <x:v>67.5</x:v>
      </x:c>
      <x:c r="K851" s="34" t="n">
        <x:v>0.495</x:v>
      </x:c>
      <x:c r="L851" s="34" t="n">
        <x:v>1.2</x:v>
      </x:c>
      <x:c r="M851" s="34" t="n">
        <x:v>0.705</x:v>
      </x:c>
      <x:c r="N851" s="34" t="n">
        <x:v>41.25</x:v>
      </x:c>
      <x:c r="O851" s="34" t="n">
        <x:v>7.961999</x:v>
      </x:c>
      <x:c r="P851" s="34" t="n">
        <x:v>10</x:v>
      </x:c>
      <x:c r="Q851" s="34" t="n">
        <x:v>2.038001</x:v>
      </x:c>
      <x:c r="R851" s="34" t="n">
        <x:v>79.62</x:v>
      </x:c>
      <x:c r="S851" s="40" t="b">
        <x:v>1</x:v>
      </x:c>
      <x:c r="T851" s="34" t="str">
        <x:v>model_interpolation</x:v>
      </x:c>
      <x:c r="U851" s="34" t="str">
        <x:v>Linear interpolation from 2035 to 2040</x:v>
      </x:c>
      <x:c r="V851" s="34" t="str">
        <x:v>CAND-E72109958C3B57</x:v>
      </x:c>
      <x:c r="W851" s="34" t="str">
        <x:v>P2</x:v>
      </x:c>
      <x:c r="X851" s="34" t="str">
        <x:v>PORT-E5F3D5116135</x:v>
      </x:c>
      <x:c r="Y851" s="34" t="n">
        <x:v>1000</x:v>
      </x:c>
      <x:c r="Z851" s="34" t="n">
        <x:v>102.523775</x:v>
      </x:c>
      <x:c r="AA851" s="34" t="n">
        <x:v>28.443983</x:v>
      </x:c>
      <x:c r="AB851" s="34" t="n">
        <x:v>321.408363</x:v>
      </x:c>
      <x:c r="AC851" s="34" t="n">
        <x:v>32387.753</x:v>
      </x:c>
      <x:c r="AD851" s="34" t="n">
        <x:v>100.768233</x:v>
      </x:c>
      <x:c r="AE851" s="40" t="b">
        <x:v>1</x:v>
      </x:c>
      <x:c r="AF851" s="40" t="b">
        <x:v>0</x:v>
      </x:c>
      <x:c r="AG851" s="34" t="str"/>
      <x:c r="AH851" s="34" t="n">
        <x:v>0</x:v>
      </x:c>
      <x:c r="AI851" s="34" t="str">
        <x:v>1.265341119704999e-05</x:v>
      </x:c>
      <x:c r="AJ851" s="40" t="b">
        <x:v>0</x:v>
      </x:c>
      <x:c r="AK851" s="40" t="b">
        <x:v>0</x:v>
      </x:c>
      <x:c r="AL851" s="40" t="b">
        <x:v>1</x:v>
      </x:c>
      <x:c r="AM851" s="40" t="b">
        <x:v>1</x:v>
      </x:c>
      <x:c r="AN851" s="34" t="n">
        <x:v>2036</x:v>
      </x:c>
      <x:c r="AO851" s="34" t="n">
        <x:v>0.004998229999999992</x:v>
      </x:c>
      <x:c r="AP851" s="34" t="n">
        <x:v>0</x:v>
      </x:c>
      <x:c r="AQ851" s="34" t="n">
        <x:v>0</x:v>
      </x:c>
      <x:c r="AR851" s="34" t="n">
        <x:v>2</x:v>
      </x:c>
      <x:c r="AS851" s="34" t="n">
        <x:v>3</x:v>
      </x:c>
      <x:c r="AT851" s="34" t="n">
        <x:v>0.3406543999999999</x:v>
      </x:c>
      <x:c r="AU851" s="34" t="n">
        <x:v>0.65</x:v>
      </x:c>
      <x:c r="AV851" s="34" t="n">
        <x:v>1.3</x:v>
      </x:c>
    </x:row>
    <x:row r="852">
      <x:c r="A852" s="34" t="str">
        <x:v>JFE_STEEL_JP</x:v>
      </x:c>
      <x:c r="B852" s="34" t="str">
        <x:v>JFE Steel</x:v>
      </x:c>
      <x:c r="C852" s="34" t="str">
        <x:v>DISCLOSED_PATH</x:v>
      </x:c>
      <x:c r="D852" s="34" t="str">
        <x:v>P2</x:v>
      </x:c>
      <x:c r="E852" s="34" t="n">
        <x:v>2036</x:v>
      </x:c>
      <x:c r="F852" s="34" t="n">
        <x:v>4</x:v>
      </x:c>
      <x:c r="G852" s="34" t="n">
        <x:v>13.004998</x:v>
      </x:c>
      <x:c r="H852" s="34" t="n">
        <x:v>13</x:v>
      </x:c>
      <x:c r="I852" s="34" t="n">
        <x:v>-0.004998</x:v>
      </x:c>
      <x:c r="J852" s="34" t="n">
        <x:v>100.038</x:v>
      </x:c>
      <x:c r="K852" s="34" t="n">
        <x:v>0.495</x:v>
      </x:c>
      <x:c r="L852" s="34" t="n">
        <x:v>1.4</x:v>
      </x:c>
      <x:c r="M852" s="34" t="n">
        <x:v>0.905</x:v>
      </x:c>
      <x:c r="N852" s="34" t="n">
        <x:v>35.357</x:v>
      </x:c>
      <x:c r="O852" s="34" t="n">
        <x:v>11.013998</x:v>
      </x:c>
      <x:c r="P852" s="34" t="n">
        <x:v>11.4</x:v>
      </x:c>
      <x:c r="Q852" s="34" t="n">
        <x:v>0.386002</x:v>
      </x:c>
      <x:c r="R852" s="34" t="n">
        <x:v>96.614</x:v>
      </x:c>
      <x:c r="S852" s="40" t="b">
        <x:v>0</x:v>
      </x:c>
      <x:c r="T852" s="34" t="str">
        <x:v>model_interpolation</x:v>
      </x:c>
      <x:c r="U852" s="34" t="str">
        <x:v>Linear interpolation from 2035 to 2040</x:v>
      </x:c>
      <x:c r="V852" s="34" t="str">
        <x:v>CAND-E72109958C3B57</x:v>
      </x:c>
      <x:c r="W852" s="34" t="str">
        <x:v>P2</x:v>
      </x:c>
      <x:c r="X852" s="34" t="str">
        <x:v>PORT-E5F3D5116135</x:v>
      </x:c>
      <x:c r="Y852" s="34" t="n">
        <x:v>1000</x:v>
      </x:c>
      <x:c r="Z852" s="34" t="n">
        <x:v>102.523775</x:v>
      </x:c>
      <x:c r="AA852" s="34" t="n">
        <x:v>28.443983</x:v>
      </x:c>
      <x:c r="AB852" s="34" t="n">
        <x:v>321.408363</x:v>
      </x:c>
      <x:c r="AC852" s="34" t="n">
        <x:v>32387.753</x:v>
      </x:c>
      <x:c r="AD852" s="34" t="n">
        <x:v>100.768233</x:v>
      </x:c>
      <x:c r="AE852" s="40" t="b">
        <x:v>1</x:v>
      </x:c>
      <x:c r="AF852" s="40" t="b">
        <x:v>0</x:v>
      </x:c>
      <x:c r="AG852" s="34" t="str"/>
      <x:c r="AH852" s="34" t="n">
        <x:v>0</x:v>
      </x:c>
      <x:c r="AI852" s="34" t="str">
        <x:v>1.265341119704999e-05</x:v>
      </x:c>
      <x:c r="AJ852" s="40" t="b">
        <x:v>0</x:v>
      </x:c>
      <x:c r="AK852" s="40" t="b">
        <x:v>0</x:v>
      </x:c>
      <x:c r="AL852" s="40" t="b">
        <x:v>1</x:v>
      </x:c>
      <x:c r="AM852" s="40" t="b">
        <x:v>1</x:v>
      </x:c>
      <x:c r="AN852" s="34" t="n">
        <x:v>2036</x:v>
      </x:c>
      <x:c r="AO852" s="34" t="n">
        <x:v>0.004998229999999992</x:v>
      </x:c>
      <x:c r="AP852" s="34" t="n">
        <x:v>0</x:v>
      </x:c>
      <x:c r="AQ852" s="34" t="n">
        <x:v>0</x:v>
      </x:c>
      <x:c r="AR852" s="34" t="n">
        <x:v>2</x:v>
      </x:c>
      <x:c r="AS852" s="34" t="n">
        <x:v>3</x:v>
      </x:c>
      <x:c r="AT852" s="34" t="n">
        <x:v>0.3406543999999999</x:v>
      </x:c>
      <x:c r="AU852" s="34" t="n">
        <x:v>0.65</x:v>
      </x:c>
      <x:c r="AV852" s="34" t="n">
        <x:v>1.3</x:v>
      </x:c>
    </x:row>
    <x:row r="853">
      <x:c r="A853" s="34" t="str">
        <x:v>JFE_STEEL_JP</x:v>
      </x:c>
      <x:c r="B853" s="34" t="str">
        <x:v>JFE Steel</x:v>
      </x:c>
      <x:c r="C853" s="34" t="str">
        <x:v>DISCLOSED_PATH</x:v>
      </x:c>
      <x:c r="D853" s="34" t="str">
        <x:v>P2</x:v>
      </x:c>
      <x:c r="E853" s="34" t="n">
        <x:v>2037</x:v>
      </x:c>
      <x:c r="F853" s="34" t="n">
        <x:v>4</x:v>
      </x:c>
      <x:c r="G853" s="34" t="n">
        <x:v>13.004998</x:v>
      </x:c>
      <x:c r="H853" s="34" t="n">
        <x:v>14</x:v>
      </x:c>
      <x:c r="I853" s="34" t="n">
        <x:v>0.995002</x:v>
      </x:c>
      <x:c r="J853" s="34" t="n">
        <x:v>92.893</x:v>
      </x:c>
      <x:c r="K853" s="34" t="n">
        <x:v>0.495</x:v>
      </x:c>
      <x:c r="L853" s="34" t="n">
        <x:v>1.6</x:v>
      </x:c>
      <x:c r="M853" s="34" t="n">
        <x:v>1.105</x:v>
      </x:c>
      <x:c r="N853" s="34" t="n">
        <x:v>30.937</x:v>
      </x:c>
      <x:c r="O853" s="34" t="n">
        <x:v>11.013998</x:v>
      </x:c>
      <x:c r="P853" s="34" t="n">
        <x:v>12.8</x:v>
      </x:c>
      <x:c r="Q853" s="34" t="n">
        <x:v>1.786002</x:v>
      </x:c>
      <x:c r="R853" s="34" t="n">
        <x:v>86.047</x:v>
      </x:c>
      <x:c r="S853" s="40" t="b">
        <x:v>1</x:v>
      </x:c>
      <x:c r="T853" s="34" t="str">
        <x:v>model_interpolation</x:v>
      </x:c>
      <x:c r="U853" s="34" t="str">
        <x:v>Linear interpolation from 2035 to 2040</x:v>
      </x:c>
      <x:c r="V853" s="34" t="str">
        <x:v>CAND-E72109958C3B57</x:v>
      </x:c>
      <x:c r="W853" s="34" t="str">
        <x:v>P2</x:v>
      </x:c>
      <x:c r="X853" s="34" t="str">
        <x:v>PORT-E5F3D5116135</x:v>
      </x:c>
      <x:c r="Y853" s="34" t="n">
        <x:v>1000</x:v>
      </x:c>
      <x:c r="Z853" s="34" t="n">
        <x:v>102.523775</x:v>
      </x:c>
      <x:c r="AA853" s="34" t="n">
        <x:v>28.443983</x:v>
      </x:c>
      <x:c r="AB853" s="34" t="n">
        <x:v>321.408363</x:v>
      </x:c>
      <x:c r="AC853" s="34" t="n">
        <x:v>32387.753</x:v>
      </x:c>
      <x:c r="AD853" s="34" t="n">
        <x:v>100.768233</x:v>
      </x:c>
      <x:c r="AE853" s="40" t="b">
        <x:v>1</x:v>
      </x:c>
      <x:c r="AF853" s="40" t="b">
        <x:v>0</x:v>
      </x:c>
      <x:c r="AG853" s="34" t="str"/>
      <x:c r="AH853" s="34" t="n">
        <x:v>0</x:v>
      </x:c>
      <x:c r="AI853" s="34" t="str">
        <x:v>1.265341119704999e-05</x:v>
      </x:c>
      <x:c r="AJ853" s="40" t="b">
        <x:v>0</x:v>
      </x:c>
      <x:c r="AK853" s="40" t="b">
        <x:v>0</x:v>
      </x:c>
      <x:c r="AL853" s="40" t="b">
        <x:v>1</x:v>
      </x:c>
      <x:c r="AM853" s="40" t="b">
        <x:v>1</x:v>
      </x:c>
      <x:c r="AN853" s="34" t="n">
        <x:v>2036</x:v>
      </x:c>
      <x:c r="AO853" s="34" t="n">
        <x:v>0.004998229999999992</x:v>
      </x:c>
      <x:c r="AP853" s="34" t="n">
        <x:v>0</x:v>
      </x:c>
      <x:c r="AQ853" s="34" t="n">
        <x:v>0</x:v>
      </x:c>
      <x:c r="AR853" s="34" t="n">
        <x:v>2</x:v>
      </x:c>
      <x:c r="AS853" s="34" t="n">
        <x:v>3</x:v>
      </x:c>
      <x:c r="AT853" s="34" t="n">
        <x:v>0.3406543999999999</x:v>
      </x:c>
      <x:c r="AU853" s="34" t="n">
        <x:v>0.65</x:v>
      </x:c>
      <x:c r="AV853" s="34" t="n">
        <x:v>1.3</x:v>
      </x:c>
    </x:row>
    <x:row r="854">
      <x:c r="A854" s="34" t="str">
        <x:v>JFE_STEEL_JP</x:v>
      </x:c>
      <x:c r="B854" s="34" t="str">
        <x:v>JFE Steel</x:v>
      </x:c>
      <x:c r="C854" s="34" t="str">
        <x:v>DISCLOSED_PATH</x:v>
      </x:c>
      <x:c r="D854" s="34" t="str">
        <x:v>P2</x:v>
      </x:c>
      <x:c r="E854" s="34" t="n">
        <x:v>2038</x:v>
      </x:c>
      <x:c r="F854" s="34" t="n">
        <x:v>4</x:v>
      </x:c>
      <x:c r="G854" s="34" t="n">
        <x:v>13.004998</x:v>
      </x:c>
      <x:c r="H854" s="34" t="n">
        <x:v>15</x:v>
      </x:c>
      <x:c r="I854" s="34" t="n">
        <x:v>1.995002</x:v>
      </x:c>
      <x:c r="J854" s="34" t="n">
        <x:v>86.7</x:v>
      </x:c>
      <x:c r="K854" s="34" t="n">
        <x:v>0.495</x:v>
      </x:c>
      <x:c r="L854" s="34" t="n">
        <x:v>1.8</x:v>
      </x:c>
      <x:c r="M854" s="34" t="n">
        <x:v>1.305</x:v>
      </x:c>
      <x:c r="N854" s="34" t="n">
        <x:v>27.5</x:v>
      </x:c>
      <x:c r="O854" s="34" t="n">
        <x:v>11.013998</x:v>
      </x:c>
      <x:c r="P854" s="34" t="n">
        <x:v>14.2</x:v>
      </x:c>
      <x:c r="Q854" s="34" t="n">
        <x:v>3.186002</x:v>
      </x:c>
      <x:c r="R854" s="34" t="n">
        <x:v>77.563</x:v>
      </x:c>
      <x:c r="S854" s="40" t="b">
        <x:v>1</x:v>
      </x:c>
      <x:c r="T854" s="34" t="str">
        <x:v>model_interpolation</x:v>
      </x:c>
      <x:c r="U854" s="34" t="str">
        <x:v>Linear interpolation from 2035 to 2040</x:v>
      </x:c>
      <x:c r="V854" s="34" t="str">
        <x:v>CAND-E72109958C3B57</x:v>
      </x:c>
      <x:c r="W854" s="34" t="str">
        <x:v>P2</x:v>
      </x:c>
      <x:c r="X854" s="34" t="str">
        <x:v>PORT-E5F3D5116135</x:v>
      </x:c>
      <x:c r="Y854" s="34" t="n">
        <x:v>1000</x:v>
      </x:c>
      <x:c r="Z854" s="34" t="n">
        <x:v>102.523775</x:v>
      </x:c>
      <x:c r="AA854" s="34" t="n">
        <x:v>28.443983</x:v>
      </x:c>
      <x:c r="AB854" s="34" t="n">
        <x:v>321.408363</x:v>
      </x:c>
      <x:c r="AC854" s="34" t="n">
        <x:v>32387.753</x:v>
      </x:c>
      <x:c r="AD854" s="34" t="n">
        <x:v>100.768233</x:v>
      </x:c>
      <x:c r="AE854" s="40" t="b">
        <x:v>1</x:v>
      </x:c>
      <x:c r="AF854" s="40" t="b">
        <x:v>0</x:v>
      </x:c>
      <x:c r="AG854" s="34" t="str"/>
      <x:c r="AH854" s="34" t="n">
        <x:v>0</x:v>
      </x:c>
      <x:c r="AI854" s="34" t="str">
        <x:v>1.265341119704999e-05</x:v>
      </x:c>
      <x:c r="AJ854" s="40" t="b">
        <x:v>0</x:v>
      </x:c>
      <x:c r="AK854" s="40" t="b">
        <x:v>0</x:v>
      </x:c>
      <x:c r="AL854" s="40" t="b">
        <x:v>1</x:v>
      </x:c>
      <x:c r="AM854" s="40" t="b">
        <x:v>1</x:v>
      </x:c>
      <x:c r="AN854" s="34" t="n">
        <x:v>2036</x:v>
      </x:c>
      <x:c r="AO854" s="34" t="n">
        <x:v>0.004998229999999992</x:v>
      </x:c>
      <x:c r="AP854" s="34" t="n">
        <x:v>0</x:v>
      </x:c>
      <x:c r="AQ854" s="34" t="n">
        <x:v>0</x:v>
      </x:c>
      <x:c r="AR854" s="34" t="n">
        <x:v>2</x:v>
      </x:c>
      <x:c r="AS854" s="34" t="n">
        <x:v>3</x:v>
      </x:c>
      <x:c r="AT854" s="34" t="n">
        <x:v>0.3406543999999999</x:v>
      </x:c>
      <x:c r="AU854" s="34" t="n">
        <x:v>0.65</x:v>
      </x:c>
      <x:c r="AV854" s="34" t="n">
        <x:v>1.3</x:v>
      </x:c>
    </x:row>
    <x:row r="855">
      <x:c r="A855" s="34" t="str">
        <x:v>JFE_STEEL_JP</x:v>
      </x:c>
      <x:c r="B855" s="34" t="str">
        <x:v>JFE Steel</x:v>
      </x:c>
      <x:c r="C855" s="34" t="str">
        <x:v>DISCLOSED_PATH</x:v>
      </x:c>
      <x:c r="D855" s="34" t="str">
        <x:v>P2</x:v>
      </x:c>
      <x:c r="E855" s="34" t="n">
        <x:v>2039</x:v>
      </x:c>
      <x:c r="F855" s="34" t="n">
        <x:v>4</x:v>
      </x:c>
      <x:c r="G855" s="34" t="n">
        <x:v>13.004998</x:v>
      </x:c>
      <x:c r="H855" s="34" t="n">
        <x:v>16</x:v>
      </x:c>
      <x:c r="I855" s="34" t="n">
        <x:v>2.995002</x:v>
      </x:c>
      <x:c r="J855" s="34" t="n">
        <x:v>81.281</x:v>
      </x:c>
      <x:c r="K855" s="34" t="n">
        <x:v>0.495</x:v>
      </x:c>
      <x:c r="L855" s="34" t="n">
        <x:v>2</x:v>
      </x:c>
      <x:c r="M855" s="34" t="n">
        <x:v>1.505</x:v>
      </x:c>
      <x:c r="N855" s="34" t="n">
        <x:v>24.75</x:v>
      </x:c>
      <x:c r="O855" s="34" t="n">
        <x:v>11.013998</x:v>
      </x:c>
      <x:c r="P855" s="34" t="n">
        <x:v>15.600000000000001</x:v>
      </x:c>
      <x:c r="Q855" s="34" t="n">
        <x:v>4.586002</x:v>
      </x:c>
      <x:c r="R855" s="34" t="n">
        <x:v>70.603</x:v>
      </x:c>
      <x:c r="S855" s="40" t="b">
        <x:v>1</x:v>
      </x:c>
      <x:c r="T855" s="34" t="str">
        <x:v>model_interpolation</x:v>
      </x:c>
      <x:c r="U855" s="34" t="str">
        <x:v>Linear interpolation from 2035 to 2040</x:v>
      </x:c>
      <x:c r="V855" s="34" t="str">
        <x:v>CAND-E72109958C3B57</x:v>
      </x:c>
      <x:c r="W855" s="34" t="str">
        <x:v>P2</x:v>
      </x:c>
      <x:c r="X855" s="34" t="str">
        <x:v>PORT-E5F3D5116135</x:v>
      </x:c>
      <x:c r="Y855" s="34" t="n">
        <x:v>1000</x:v>
      </x:c>
      <x:c r="Z855" s="34" t="n">
        <x:v>102.523775</x:v>
      </x:c>
      <x:c r="AA855" s="34" t="n">
        <x:v>28.443983</x:v>
      </x:c>
      <x:c r="AB855" s="34" t="n">
        <x:v>321.408363</x:v>
      </x:c>
      <x:c r="AC855" s="34" t="n">
        <x:v>32387.753</x:v>
      </x:c>
      <x:c r="AD855" s="34" t="n">
        <x:v>100.768233</x:v>
      </x:c>
      <x:c r="AE855" s="40" t="b">
        <x:v>1</x:v>
      </x:c>
      <x:c r="AF855" s="40" t="b">
        <x:v>0</x:v>
      </x:c>
      <x:c r="AG855" s="34" t="str"/>
      <x:c r="AH855" s="34" t="n">
        <x:v>0</x:v>
      </x:c>
      <x:c r="AI855" s="34" t="str">
        <x:v>1.265341119704999e-05</x:v>
      </x:c>
      <x:c r="AJ855" s="40" t="b">
        <x:v>0</x:v>
      </x:c>
      <x:c r="AK855" s="40" t="b">
        <x:v>0</x:v>
      </x:c>
      <x:c r="AL855" s="40" t="b">
        <x:v>1</x:v>
      </x:c>
      <x:c r="AM855" s="40" t="b">
        <x:v>1</x:v>
      </x:c>
      <x:c r="AN855" s="34" t="n">
        <x:v>2036</x:v>
      </x:c>
      <x:c r="AO855" s="34" t="n">
        <x:v>0.004998229999999992</x:v>
      </x:c>
      <x:c r="AP855" s="34" t="n">
        <x:v>0</x:v>
      </x:c>
      <x:c r="AQ855" s="34" t="n">
        <x:v>0</x:v>
      </x:c>
      <x:c r="AR855" s="34" t="n">
        <x:v>2</x:v>
      </x:c>
      <x:c r="AS855" s="34" t="n">
        <x:v>3</x:v>
      </x:c>
      <x:c r="AT855" s="34" t="n">
        <x:v>0.3406543999999999</x:v>
      </x:c>
      <x:c r="AU855" s="34" t="n">
        <x:v>0.65</x:v>
      </x:c>
      <x:c r="AV855" s="34" t="n">
        <x:v>1.3</x:v>
      </x:c>
    </x:row>
    <x:row r="856">
      <x:c r="A856" s="34" t="str">
        <x:v>JFE_STEEL_JP</x:v>
      </x:c>
      <x:c r="B856" s="34" t="str">
        <x:v>JFE Steel</x:v>
      </x:c>
      <x:c r="C856" s="34" t="str">
        <x:v>DISCLOSED_PATH</x:v>
      </x:c>
      <x:c r="D856" s="34" t="str">
        <x:v>P2</x:v>
      </x:c>
      <x:c r="E856" s="34" t="n">
        <x:v>2040</x:v>
      </x:c>
      <x:c r="F856" s="34" t="n">
        <x:v>4</x:v>
      </x:c>
      <x:c r="G856" s="34" t="n">
        <x:v>13.004998</x:v>
      </x:c>
      <x:c r="H856" s="34" t="n">
        <x:v>17</x:v>
      </x:c>
      <x:c r="I856" s="34" t="n">
        <x:v>3.995002</x:v>
      </x:c>
      <x:c r="J856" s="34" t="n">
        <x:v>76.5</x:v>
      </x:c>
      <x:c r="K856" s="34" t="n">
        <x:v>0.495</x:v>
      </x:c>
      <x:c r="L856" s="34" t="n">
        <x:v>2.2</x:v>
      </x:c>
      <x:c r="M856" s="34" t="n">
        <x:v>1.705</x:v>
      </x:c>
      <x:c r="N856" s="34" t="n">
        <x:v>22.5</x:v>
      </x:c>
      <x:c r="O856" s="34" t="n">
        <x:v>11.013998</x:v>
      </x:c>
      <x:c r="P856" s="34" t="n">
        <x:v>17</x:v>
      </x:c>
      <x:c r="Q856" s="34" t="n">
        <x:v>5.986002</x:v>
      </x:c>
      <x:c r="R856" s="34" t="n">
        <x:v>64.788</x:v>
      </x:c>
      <x:c r="S856" s="40" t="b">
        <x:v>1</x:v>
      </x:c>
      <x:c r="T856" s="34" t="str">
        <x:v>model_estimate</x:v>
      </x:c>
      <x:c r="U856" s="34" t="str">
        <x:v>Illustrative screening envelope; not an official supply forecast</x:v>
      </x:c>
      <x:c r="V856" s="34" t="str">
        <x:v>CAND-E72109958C3B57</x:v>
      </x:c>
      <x:c r="W856" s="34" t="str">
        <x:v>P2</x:v>
      </x:c>
      <x:c r="X856" s="34" t="str">
        <x:v>PORT-E5F3D5116135</x:v>
      </x:c>
      <x:c r="Y856" s="34" t="n">
        <x:v>1000</x:v>
      </x:c>
      <x:c r="Z856" s="34" t="n">
        <x:v>102.523775</x:v>
      </x:c>
      <x:c r="AA856" s="34" t="n">
        <x:v>28.443983</x:v>
      </x:c>
      <x:c r="AB856" s="34" t="n">
        <x:v>321.408363</x:v>
      </x:c>
      <x:c r="AC856" s="34" t="n">
        <x:v>32387.753</x:v>
      </x:c>
      <x:c r="AD856" s="34" t="n">
        <x:v>100.768233</x:v>
      </x:c>
      <x:c r="AE856" s="40" t="b">
        <x:v>1</x:v>
      </x:c>
      <x:c r="AF856" s="40" t="b">
        <x:v>0</x:v>
      </x:c>
      <x:c r="AG856" s="34" t="str"/>
      <x:c r="AH856" s="34" t="n">
        <x:v>0</x:v>
      </x:c>
      <x:c r="AI856" s="34" t="str">
        <x:v>1.265341119704999e-05</x:v>
      </x:c>
      <x:c r="AJ856" s="40" t="b">
        <x:v>0</x:v>
      </x:c>
      <x:c r="AK856" s="40" t="b">
        <x:v>0</x:v>
      </x:c>
      <x:c r="AL856" s="40" t="b">
        <x:v>1</x:v>
      </x:c>
      <x:c r="AM856" s="40" t="b">
        <x:v>1</x:v>
      </x:c>
      <x:c r="AN856" s="34" t="n">
        <x:v>2036</x:v>
      </x:c>
      <x:c r="AO856" s="34" t="n">
        <x:v>0.004998229999999992</x:v>
      </x:c>
      <x:c r="AP856" s="34" t="n">
        <x:v>0</x:v>
      </x:c>
      <x:c r="AQ856" s="34" t="n">
        <x:v>0</x:v>
      </x:c>
      <x:c r="AR856" s="34" t="n">
        <x:v>2</x:v>
      </x:c>
      <x:c r="AS856" s="34" t="n">
        <x:v>3</x:v>
      </x:c>
      <x:c r="AT856" s="34" t="n">
        <x:v>0.3406543999999999</x:v>
      </x:c>
      <x:c r="AU856" s="34" t="n">
        <x:v>0.65</x:v>
      </x:c>
      <x:c r="AV856" s="34" t="n">
        <x:v>1.3</x:v>
      </x:c>
    </x:row>
    <x:row r="857">
      <x:c r="A857" s="34" t="str">
        <x:v>JFE_STEEL_JP</x:v>
      </x:c>
      <x:c r="B857" s="34" t="str">
        <x:v>JFE Steel</x:v>
      </x:c>
      <x:c r="C857" s="34" t="str">
        <x:v>ACCELERATED_15C</x:v>
      </x:c>
      <x:c r="D857" s="34" t="str">
        <x:v>P2</x:v>
      </x:c>
      <x:c r="E857" s="34" t="n">
        <x:v>2026</x:v>
      </x:c>
      <x:c r="F857" s="34" t="n">
        <x:v>0</x:v>
      </x:c>
      <x:c r="G857" s="34" t="n">
        <x:v>0</x:v>
      </x:c>
      <x:c r="H857" s="34" t="n">
        <x:v>5</x:v>
      </x:c>
      <x:c r="I857" s="34" t="n">
        <x:v>5</x:v>
      </x:c>
      <x:c r="J857" s="34" t="n">
        <x:v>0</x:v>
      </x:c>
      <x:c r="K857" s="34" t="n">
        <x:v>0</x:v>
      </x:c>
      <x:c r="L857" s="34" t="n">
        <x:v>0.1</x:v>
      </x:c>
      <x:c r="M857" s="34" t="n">
        <x:v>0.1</x:v>
      </x:c>
      <x:c r="N857" s="34" t="n">
        <x:v>0</x:v>
      </x:c>
      <x:c r="O857" s="34" t="n">
        <x:v>0</x:v>
      </x:c>
      <x:c r="P857" s="34" t="n">
        <x:v>1.5</x:v>
      </x:c>
      <x:c r="Q857" s="34" t="n">
        <x:v>1.5</x:v>
      </x:c>
      <x:c r="R857" s="34" t="n">
        <x:v>0</x:v>
      </x:c>
      <x:c r="S857" s="40" t="b">
        <x:v>1</x:v>
      </x:c>
      <x:c r="T857" s="34" t="str">
        <x:v>model_interpolation</x:v>
      </x:c>
      <x:c r="U857" s="34" t="str">
        <x:v>Linear interpolation from 2026 to 2030</x:v>
      </x:c>
      <x:c r="V857" s="34" t="str">
        <x:v>CAND-E72109958C3B57</x:v>
      </x:c>
      <x:c r="W857" s="34" t="str">
        <x:v>P2</x:v>
      </x:c>
      <x:c r="X857" s="34" t="str">
        <x:v>PORT-E5F3D5116135</x:v>
      </x:c>
      <x:c r="Y857" s="34" t="n">
        <x:v>1000</x:v>
      </x:c>
      <x:c r="Z857" s="34" t="n">
        <x:v>93.638485</x:v>
      </x:c>
      <x:c r="AA857" s="34" t="n">
        <x:v>30.14727</x:v>
      </x:c>
      <x:c r="AB857" s="34" t="n">
        <x:v>321.408363</x:v>
      </x:c>
      <x:c r="AC857" s="34" t="n">
        <x:v>29504.994</x:v>
      </x:c>
      <x:c r="AD857" s="34" t="n">
        <x:v>91.799087</x:v>
      </x:c>
      <x:c r="AE857" s="40" t="b">
        <x:v>1</x:v>
      </x:c>
      <x:c r="AF857" s="40" t="b">
        <x:v>1</x:v>
      </x:c>
      <x:c r="AG857" s="34" t="str"/>
      <x:c r="AH857" s="34" t="n">
        <x:v>0</x:v>
      </x:c>
      <x:c r="AI857" s="34" t="str">
        <x:v>1.265341119704999e-05</x:v>
      </x:c>
      <x:c r="AJ857" s="40" t="b">
        <x:v>1</x:v>
      </x:c>
      <x:c r="AK857" s="40" t="b">
        <x:v>1</x:v>
      </x:c>
      <x:c r="AL857" s="40" t="b">
        <x:v>1</x:v>
      </x:c>
      <x:c r="AM857" s="40" t="b">
        <x:v>1</x:v>
      </x:c>
      <x:c r="AN857" s="34" t="str"/>
      <x:c r="AO857" s="34" t="n">
        <x:v>0</x:v>
      </x:c>
      <x:c r="AP857" s="34" t="n">
        <x:v>0</x:v>
      </x:c>
      <x:c r="AQ857" s="34" t="n">
        <x:v>0</x:v>
      </x:c>
      <x:c r="AR857" s="34" t="n">
        <x:v>2</x:v>
      </x:c>
      <x:c r="AS857" s="34" t="n">
        <x:v>3</x:v>
      </x:c>
      <x:c r="AT857" s="34" t="n">
        <x:v>0.3406543999999999</x:v>
      </x:c>
      <x:c r="AU857" s="34" t="n">
        <x:v>0.65</x:v>
      </x:c>
      <x:c r="AV857" s="34" t="n">
        <x:v>1.3</x:v>
      </x:c>
    </x:row>
    <x:row r="858">
      <x:c r="A858" s="34" t="str">
        <x:v>JFE_STEEL_JP</x:v>
      </x:c>
      <x:c r="B858" s="34" t="str">
        <x:v>JFE Steel</x:v>
      </x:c>
      <x:c r="C858" s="34" t="str">
        <x:v>ACCELERATED_15C</x:v>
      </x:c>
      <x:c r="D858" s="34" t="str">
        <x:v>P2</x:v>
      </x:c>
      <x:c r="E858" s="34" t="n">
        <x:v>2027</x:v>
      </x:c>
      <x:c r="F858" s="34" t="n">
        <x:v>0</x:v>
      </x:c>
      <x:c r="G858" s="34" t="n">
        <x:v>0</x:v>
      </x:c>
      <x:c r="H858" s="34" t="n">
        <x:v>6.25</x:v>
      </x:c>
      <x:c r="I858" s="34" t="n">
        <x:v>6.25</x:v>
      </x:c>
      <x:c r="J858" s="34" t="n">
        <x:v>0</x:v>
      </x:c>
      <x:c r="K858" s="34" t="n">
        <x:v>0</x:v>
      </x:c>
      <x:c r="L858" s="34" t="n">
        <x:v>0.225</x:v>
      </x:c>
      <x:c r="M858" s="34" t="n">
        <x:v>0.225</x:v>
      </x:c>
      <x:c r="N858" s="34" t="n">
        <x:v>0</x:v>
      </x:c>
      <x:c r="O858" s="34" t="n">
        <x:v>0</x:v>
      </x:c>
      <x:c r="P858" s="34" t="n">
        <x:v>2.875</x:v>
      </x:c>
      <x:c r="Q858" s="34" t="n">
        <x:v>2.875</x:v>
      </x:c>
      <x:c r="R858" s="34" t="n">
        <x:v>0</x:v>
      </x:c>
      <x:c r="S858" s="40" t="b">
        <x:v>1</x:v>
      </x:c>
      <x:c r="T858" s="34" t="str">
        <x:v>model_interpolation</x:v>
      </x:c>
      <x:c r="U858" s="34" t="str">
        <x:v>Linear interpolation from 2026 to 2030</x:v>
      </x:c>
      <x:c r="V858" s="34" t="str">
        <x:v>CAND-E72109958C3B57</x:v>
      </x:c>
      <x:c r="W858" s="34" t="str">
        <x:v>P2</x:v>
      </x:c>
      <x:c r="X858" s="34" t="str">
        <x:v>PORT-E5F3D5116135</x:v>
      </x:c>
      <x:c r="Y858" s="34" t="n">
        <x:v>1000</x:v>
      </x:c>
      <x:c r="Z858" s="34" t="n">
        <x:v>93.638485</x:v>
      </x:c>
      <x:c r="AA858" s="34" t="n">
        <x:v>30.14727</x:v>
      </x:c>
      <x:c r="AB858" s="34" t="n">
        <x:v>321.408363</x:v>
      </x:c>
      <x:c r="AC858" s="34" t="n">
        <x:v>29504.994</x:v>
      </x:c>
      <x:c r="AD858" s="34" t="n">
        <x:v>91.799087</x:v>
      </x:c>
      <x:c r="AE858" s="40" t="b">
        <x:v>1</x:v>
      </x:c>
      <x:c r="AF858" s="40" t="b">
        <x:v>1</x:v>
      </x:c>
      <x:c r="AG858" s="34" t="str"/>
      <x:c r="AH858" s="34" t="n">
        <x:v>0</x:v>
      </x:c>
      <x:c r="AI858" s="34" t="str">
        <x:v>1.265341119704999e-05</x:v>
      </x:c>
      <x:c r="AJ858" s="40" t="b">
        <x:v>1</x:v>
      </x:c>
      <x:c r="AK858" s="40" t="b">
        <x:v>1</x:v>
      </x:c>
      <x:c r="AL858" s="40" t="b">
        <x:v>1</x:v>
      </x:c>
      <x:c r="AM858" s="40" t="b">
        <x:v>1</x:v>
      </x:c>
      <x:c r="AN858" s="34" t="str"/>
      <x:c r="AO858" s="34" t="n">
        <x:v>0</x:v>
      </x:c>
      <x:c r="AP858" s="34" t="n">
        <x:v>0</x:v>
      </x:c>
      <x:c r="AQ858" s="34" t="n">
        <x:v>0</x:v>
      </x:c>
      <x:c r="AR858" s="34" t="n">
        <x:v>2</x:v>
      </x:c>
      <x:c r="AS858" s="34" t="n">
        <x:v>3</x:v>
      </x:c>
      <x:c r="AT858" s="34" t="n">
        <x:v>0.3406543999999999</x:v>
      </x:c>
      <x:c r="AU858" s="34" t="n">
        <x:v>0.65</x:v>
      </x:c>
      <x:c r="AV858" s="34" t="n">
        <x:v>1.3</x:v>
      </x:c>
    </x:row>
    <x:row r="859">
      <x:c r="A859" s="34" t="str">
        <x:v>JFE_STEEL_JP</x:v>
      </x:c>
      <x:c r="B859" s="34" t="str">
        <x:v>JFE Steel</x:v>
      </x:c>
      <x:c r="C859" s="34" t="str">
        <x:v>ACCELERATED_15C</x:v>
      </x:c>
      <x:c r="D859" s="34" t="str">
        <x:v>P2</x:v>
      </x:c>
      <x:c r="E859" s="34" t="n">
        <x:v>2028</x:v>
      </x:c>
      <x:c r="F859" s="34" t="n">
        <x:v>0</x:v>
      </x:c>
      <x:c r="G859" s="34" t="n">
        <x:v>0</x:v>
      </x:c>
      <x:c r="H859" s="34" t="n">
        <x:v>7.5</x:v>
      </x:c>
      <x:c r="I859" s="34" t="n">
        <x:v>7.5</x:v>
      </x:c>
      <x:c r="J859" s="34" t="n">
        <x:v>0</x:v>
      </x:c>
      <x:c r="K859" s="34" t="n">
        <x:v>0</x:v>
      </x:c>
      <x:c r="L859" s="34" t="n">
        <x:v>0.35</x:v>
      </x:c>
      <x:c r="M859" s="34" t="n">
        <x:v>0.35</x:v>
      </x:c>
      <x:c r="N859" s="34" t="n">
        <x:v>0</x:v>
      </x:c>
      <x:c r="O859" s="34" t="n">
        <x:v>0</x:v>
      </x:c>
      <x:c r="P859" s="34" t="n">
        <x:v>4.25</x:v>
      </x:c>
      <x:c r="Q859" s="34" t="n">
        <x:v>4.25</x:v>
      </x:c>
      <x:c r="R859" s="34" t="n">
        <x:v>0</x:v>
      </x:c>
      <x:c r="S859" s="40" t="b">
        <x:v>1</x:v>
      </x:c>
      <x:c r="T859" s="34" t="str">
        <x:v>model_interpolation</x:v>
      </x:c>
      <x:c r="U859" s="34" t="str">
        <x:v>Linear interpolation from 2026 to 2030</x:v>
      </x:c>
      <x:c r="V859" s="34" t="str">
        <x:v>CAND-E72109958C3B57</x:v>
      </x:c>
      <x:c r="W859" s="34" t="str">
        <x:v>P2</x:v>
      </x:c>
      <x:c r="X859" s="34" t="str">
        <x:v>PORT-E5F3D5116135</x:v>
      </x:c>
      <x:c r="Y859" s="34" t="n">
        <x:v>1000</x:v>
      </x:c>
      <x:c r="Z859" s="34" t="n">
        <x:v>93.638485</x:v>
      </x:c>
      <x:c r="AA859" s="34" t="n">
        <x:v>30.14727</x:v>
      </x:c>
      <x:c r="AB859" s="34" t="n">
        <x:v>321.408363</x:v>
      </x:c>
      <x:c r="AC859" s="34" t="n">
        <x:v>29504.994</x:v>
      </x:c>
      <x:c r="AD859" s="34" t="n">
        <x:v>91.799087</x:v>
      </x:c>
      <x:c r="AE859" s="40" t="b">
        <x:v>1</x:v>
      </x:c>
      <x:c r="AF859" s="40" t="b">
        <x:v>1</x:v>
      </x:c>
      <x:c r="AG859" s="34" t="str"/>
      <x:c r="AH859" s="34" t="n">
        <x:v>0</x:v>
      </x:c>
      <x:c r="AI859" s="34" t="str">
        <x:v>1.265341119704999e-05</x:v>
      </x:c>
      <x:c r="AJ859" s="40" t="b">
        <x:v>1</x:v>
      </x:c>
      <x:c r="AK859" s="40" t="b">
        <x:v>1</x:v>
      </x:c>
      <x:c r="AL859" s="40" t="b">
        <x:v>1</x:v>
      </x:c>
      <x:c r="AM859" s="40" t="b">
        <x:v>1</x:v>
      </x:c>
      <x:c r="AN859" s="34" t="str"/>
      <x:c r="AO859" s="34" t="n">
        <x:v>0</x:v>
      </x:c>
      <x:c r="AP859" s="34" t="n">
        <x:v>0</x:v>
      </x:c>
      <x:c r="AQ859" s="34" t="n">
        <x:v>0</x:v>
      </x:c>
      <x:c r="AR859" s="34" t="n">
        <x:v>2</x:v>
      </x:c>
      <x:c r="AS859" s="34" t="n">
        <x:v>3</x:v>
      </x:c>
      <x:c r="AT859" s="34" t="n">
        <x:v>0.3406543999999999</x:v>
      </x:c>
      <x:c r="AU859" s="34" t="n">
        <x:v>0.65</x:v>
      </x:c>
      <x:c r="AV859" s="34" t="n">
        <x:v>1.3</x:v>
      </x:c>
    </x:row>
    <x:row r="860">
      <x:c r="A860" s="34" t="str">
        <x:v>JFE_STEEL_JP</x:v>
      </x:c>
      <x:c r="B860" s="34" t="str">
        <x:v>JFE Steel</x:v>
      </x:c>
      <x:c r="C860" s="34" t="str">
        <x:v>ACCELERATED_15C</x:v>
      </x:c>
      <x:c r="D860" s="34" t="str">
        <x:v>P2</x:v>
      </x:c>
      <x:c r="E860" s="34" t="n">
        <x:v>2029</x:v>
      </x:c>
      <x:c r="F860" s="34" t="n">
        <x:v>1</x:v>
      </x:c>
      <x:c r="G860" s="34" t="n">
        <x:v>6.120001</x:v>
      </x:c>
      <x:c r="H860" s="34" t="n">
        <x:v>8.75</x:v>
      </x:c>
      <x:c r="I860" s="34" t="n">
        <x:v>2.629999</x:v>
      </x:c>
      <x:c r="J860" s="34" t="n">
        <x:v>69.943</x:v>
      </x:c>
      <x:c r="K860" s="34" t="n">
        <x:v>0</x:v>
      </x:c>
      <x:c r="L860" s="34" t="n">
        <x:v>0.475</x:v>
      </x:c>
      <x:c r="M860" s="34" t="n">
        <x:v>0.475</x:v>
      </x:c>
      <x:c r="N860" s="34" t="n">
        <x:v>0</x:v>
      </x:c>
      <x:c r="O860" s="34" t="n">
        <x:v>3.808</x:v>
      </x:c>
      <x:c r="P860" s="34" t="n">
        <x:v>5.625</x:v>
      </x:c>
      <x:c r="Q860" s="34" t="n">
        <x:v>1.817</x:v>
      </x:c>
      <x:c r="R860" s="34" t="n">
        <x:v>67.698</x:v>
      </x:c>
      <x:c r="S860" s="40" t="b">
        <x:v>1</x:v>
      </x:c>
      <x:c r="T860" s="34" t="str">
        <x:v>model_interpolation</x:v>
      </x:c>
      <x:c r="U860" s="34" t="str">
        <x:v>Linear interpolation from 2026 to 2030</x:v>
      </x:c>
      <x:c r="V860" s="34" t="str">
        <x:v>CAND-E72109958C3B57</x:v>
      </x:c>
      <x:c r="W860" s="34" t="str">
        <x:v>P2</x:v>
      </x:c>
      <x:c r="X860" s="34" t="str">
        <x:v>PORT-E5F3D5116135</x:v>
      </x:c>
      <x:c r="Y860" s="34" t="n">
        <x:v>1000</x:v>
      </x:c>
      <x:c r="Z860" s="34" t="n">
        <x:v>93.638485</x:v>
      </x:c>
      <x:c r="AA860" s="34" t="n">
        <x:v>30.14727</x:v>
      </x:c>
      <x:c r="AB860" s="34" t="n">
        <x:v>321.408363</x:v>
      </x:c>
      <x:c r="AC860" s="34" t="n">
        <x:v>29504.994</x:v>
      </x:c>
      <x:c r="AD860" s="34" t="n">
        <x:v>91.799087</x:v>
      </x:c>
      <x:c r="AE860" s="40" t="b">
        <x:v>1</x:v>
      </x:c>
      <x:c r="AF860" s="40" t="b">
        <x:v>1</x:v>
      </x:c>
      <x:c r="AG860" s="34" t="str"/>
      <x:c r="AH860" s="34" t="n">
        <x:v>0</x:v>
      </x:c>
      <x:c r="AI860" s="34" t="str">
        <x:v>1.265341119704999e-05</x:v>
      </x:c>
      <x:c r="AJ860" s="40" t="b">
        <x:v>1</x:v>
      </x:c>
      <x:c r="AK860" s="40" t="b">
        <x:v>1</x:v>
      </x:c>
      <x:c r="AL860" s="40" t="b">
        <x:v>1</x:v>
      </x:c>
      <x:c r="AM860" s="40" t="b">
        <x:v>1</x:v>
      </x:c>
      <x:c r="AN860" s="34" t="str"/>
      <x:c r="AO860" s="34" t="n">
        <x:v>0</x:v>
      </x:c>
      <x:c r="AP860" s="34" t="n">
        <x:v>0</x:v>
      </x:c>
      <x:c r="AQ860" s="34" t="n">
        <x:v>0</x:v>
      </x:c>
      <x:c r="AR860" s="34" t="n">
        <x:v>2</x:v>
      </x:c>
      <x:c r="AS860" s="34" t="n">
        <x:v>3</x:v>
      </x:c>
      <x:c r="AT860" s="34" t="n">
        <x:v>0.3406543999999999</x:v>
      </x:c>
      <x:c r="AU860" s="34" t="n">
        <x:v>0.65</x:v>
      </x:c>
      <x:c r="AV860" s="34" t="n">
        <x:v>1.3</x:v>
      </x:c>
    </x:row>
    <x:row r="861">
      <x:c r="A861" s="34" t="str">
        <x:v>JFE_STEEL_JP</x:v>
      </x:c>
      <x:c r="B861" s="34" t="str">
        <x:v>JFE Steel</x:v>
      </x:c>
      <x:c r="C861" s="34" t="str">
        <x:v>ACCELERATED_15C</x:v>
      </x:c>
      <x:c r="D861" s="34" t="str">
        <x:v>P2</x:v>
      </x:c>
      <x:c r="E861" s="34" t="n">
        <x:v>2030</x:v>
      </x:c>
      <x:c r="F861" s="34" t="n">
        <x:v>1</x:v>
      </x:c>
      <x:c r="G861" s="34" t="n">
        <x:v>6.120001</x:v>
      </x:c>
      <x:c r="H861" s="34" t="n">
        <x:v>10</x:v>
      </x:c>
      <x:c r="I861" s="34" t="n">
        <x:v>3.879999</x:v>
      </x:c>
      <x:c r="J861" s="34" t="n">
        <x:v>61.2</x:v>
      </x:c>
      <x:c r="K861" s="34" t="n">
        <x:v>0</x:v>
      </x:c>
      <x:c r="L861" s="34" t="n">
        <x:v>0.6</x:v>
      </x:c>
      <x:c r="M861" s="34" t="n">
        <x:v>0.6</x:v>
      </x:c>
      <x:c r="N861" s="34" t="n">
        <x:v>0</x:v>
      </x:c>
      <x:c r="O861" s="34" t="n">
        <x:v>3.808</x:v>
      </x:c>
      <x:c r="P861" s="34" t="n">
        <x:v>7</x:v>
      </x:c>
      <x:c r="Q861" s="34" t="n">
        <x:v>3.192</x:v>
      </x:c>
      <x:c r="R861" s="34" t="n">
        <x:v>54.4</x:v>
      </x:c>
      <x:c r="S861" s="40" t="b">
        <x:v>1</x:v>
      </x:c>
      <x:c r="T861" s="34" t="str">
        <x:v>model_interpolation</x:v>
      </x:c>
      <x:c r="U861" s="34" t="str">
        <x:v>Linear interpolation from 2030 to 2035</x:v>
      </x:c>
      <x:c r="V861" s="34" t="str">
        <x:v>CAND-E72109958C3B57</x:v>
      </x:c>
      <x:c r="W861" s="34" t="str">
        <x:v>P2</x:v>
      </x:c>
      <x:c r="X861" s="34" t="str">
        <x:v>PORT-E5F3D5116135</x:v>
      </x:c>
      <x:c r="Y861" s="34" t="n">
        <x:v>1000</x:v>
      </x:c>
      <x:c r="Z861" s="34" t="n">
        <x:v>93.638485</x:v>
      </x:c>
      <x:c r="AA861" s="34" t="n">
        <x:v>30.14727</x:v>
      </x:c>
      <x:c r="AB861" s="34" t="n">
        <x:v>321.408363</x:v>
      </x:c>
      <x:c r="AC861" s="34" t="n">
        <x:v>29504.994</x:v>
      </x:c>
      <x:c r="AD861" s="34" t="n">
        <x:v>91.799087</x:v>
      </x:c>
      <x:c r="AE861" s="40" t="b">
        <x:v>1</x:v>
      </x:c>
      <x:c r="AF861" s="40" t="b">
        <x:v>1</x:v>
      </x:c>
      <x:c r="AG861" s="34" t="str"/>
      <x:c r="AH861" s="34" t="n">
        <x:v>0</x:v>
      </x:c>
      <x:c r="AI861" s="34" t="str">
        <x:v>1.265341119704999e-05</x:v>
      </x:c>
      <x:c r="AJ861" s="40" t="b">
        <x:v>1</x:v>
      </x:c>
      <x:c r="AK861" s="40" t="b">
        <x:v>1</x:v>
      </x:c>
      <x:c r="AL861" s="40" t="b">
        <x:v>1</x:v>
      </x:c>
      <x:c r="AM861" s="40" t="b">
        <x:v>1</x:v>
      </x:c>
      <x:c r="AN861" s="34" t="str"/>
      <x:c r="AO861" s="34" t="n">
        <x:v>0</x:v>
      </x:c>
      <x:c r="AP861" s="34" t="n">
        <x:v>0</x:v>
      </x:c>
      <x:c r="AQ861" s="34" t="n">
        <x:v>0</x:v>
      </x:c>
      <x:c r="AR861" s="34" t="n">
        <x:v>2</x:v>
      </x:c>
      <x:c r="AS861" s="34" t="n">
        <x:v>3</x:v>
      </x:c>
      <x:c r="AT861" s="34" t="n">
        <x:v>0.3406543999999999</x:v>
      </x:c>
      <x:c r="AU861" s="34" t="n">
        <x:v>0.65</x:v>
      </x:c>
      <x:c r="AV861" s="34" t="n">
        <x:v>1.3</x:v>
      </x:c>
    </x:row>
    <x:row r="862">
      <x:c r="A862" s="34" t="str">
        <x:v>JFE_STEEL_JP</x:v>
      </x:c>
      <x:c r="B862" s="34" t="str">
        <x:v>JFE Steel</x:v>
      </x:c>
      <x:c r="C862" s="34" t="str">
        <x:v>ACCELERATED_15C</x:v>
      </x:c>
      <x:c r="D862" s="34" t="str">
        <x:v>P2</x:v>
      </x:c>
      <x:c r="E862" s="34" t="n">
        <x:v>2031</x:v>
      </x:c>
      <x:c r="F862" s="34" t="n">
        <x:v>1</x:v>
      </x:c>
      <x:c r="G862" s="34" t="n">
        <x:v>6.120001</x:v>
      </x:c>
      <x:c r="H862" s="34" t="n">
        <x:v>11.2</x:v>
      </x:c>
      <x:c r="I862" s="34" t="n">
        <x:v>5.079999</x:v>
      </x:c>
      <x:c r="J862" s="34" t="n">
        <x:v>54.643</x:v>
      </x:c>
      <x:c r="K862" s="34" t="n">
        <x:v>0</x:v>
      </x:c>
      <x:c r="L862" s="34" t="n">
        <x:v>0.8400000000000001</x:v>
      </x:c>
      <x:c r="M862" s="34" t="n">
        <x:v>0.84</x:v>
      </x:c>
      <x:c r="N862" s="34" t="n">
        <x:v>0</x:v>
      </x:c>
      <x:c r="O862" s="34" t="n">
        <x:v>3.808</x:v>
      </x:c>
      <x:c r="P862" s="34" t="n">
        <x:v>8.4</x:v>
      </x:c>
      <x:c r="Q862" s="34" t="n">
        <x:v>4.592</x:v>
      </x:c>
      <x:c r="R862" s="34" t="n">
        <x:v>45.333</x:v>
      </x:c>
      <x:c r="S862" s="40" t="b">
        <x:v>1</x:v>
      </x:c>
      <x:c r="T862" s="34" t="str">
        <x:v>model_interpolation</x:v>
      </x:c>
      <x:c r="U862" s="34" t="str">
        <x:v>Linear interpolation from 2030 to 2035</x:v>
      </x:c>
      <x:c r="V862" s="34" t="str">
        <x:v>CAND-E72109958C3B57</x:v>
      </x:c>
      <x:c r="W862" s="34" t="str">
        <x:v>P2</x:v>
      </x:c>
      <x:c r="X862" s="34" t="str">
        <x:v>PORT-E5F3D5116135</x:v>
      </x:c>
      <x:c r="Y862" s="34" t="n">
        <x:v>1000</x:v>
      </x:c>
      <x:c r="Z862" s="34" t="n">
        <x:v>93.638485</x:v>
      </x:c>
      <x:c r="AA862" s="34" t="n">
        <x:v>30.14727</x:v>
      </x:c>
      <x:c r="AB862" s="34" t="n">
        <x:v>321.408363</x:v>
      </x:c>
      <x:c r="AC862" s="34" t="n">
        <x:v>29504.994</x:v>
      </x:c>
      <x:c r="AD862" s="34" t="n">
        <x:v>91.799087</x:v>
      </x:c>
      <x:c r="AE862" s="40" t="b">
        <x:v>1</x:v>
      </x:c>
      <x:c r="AF862" s="40" t="b">
        <x:v>1</x:v>
      </x:c>
      <x:c r="AG862" s="34" t="str"/>
      <x:c r="AH862" s="34" t="n">
        <x:v>0</x:v>
      </x:c>
      <x:c r="AI862" s="34" t="str">
        <x:v>1.265341119704999e-05</x:v>
      </x:c>
      <x:c r="AJ862" s="40" t="b">
        <x:v>1</x:v>
      </x:c>
      <x:c r="AK862" s="40" t="b">
        <x:v>1</x:v>
      </x:c>
      <x:c r="AL862" s="40" t="b">
        <x:v>1</x:v>
      </x:c>
      <x:c r="AM862" s="40" t="b">
        <x:v>1</x:v>
      </x:c>
      <x:c r="AN862" s="34" t="str"/>
      <x:c r="AO862" s="34" t="n">
        <x:v>0</x:v>
      </x:c>
      <x:c r="AP862" s="34" t="n">
        <x:v>0</x:v>
      </x:c>
      <x:c r="AQ862" s="34" t="n">
        <x:v>0</x:v>
      </x:c>
      <x:c r="AR862" s="34" t="n">
        <x:v>2</x:v>
      </x:c>
      <x:c r="AS862" s="34" t="n">
        <x:v>3</x:v>
      </x:c>
      <x:c r="AT862" s="34" t="n">
        <x:v>0.3406543999999999</x:v>
      </x:c>
      <x:c r="AU862" s="34" t="n">
        <x:v>0.65</x:v>
      </x:c>
      <x:c r="AV862" s="34" t="n">
        <x:v>1.3</x:v>
      </x:c>
    </x:row>
    <x:row r="863">
      <x:c r="A863" s="34" t="str">
        <x:v>JFE_STEEL_JP</x:v>
      </x:c>
      <x:c r="B863" s="34" t="str">
        <x:v>JFE Steel</x:v>
      </x:c>
      <x:c r="C863" s="34" t="str">
        <x:v>ACCELERATED_15C</x:v>
      </x:c>
      <x:c r="D863" s="34" t="str">
        <x:v>P2</x:v>
      </x:c>
      <x:c r="E863" s="34" t="n">
        <x:v>2032</x:v>
      </x:c>
      <x:c r="F863" s="34" t="n">
        <x:v>1</x:v>
      </x:c>
      <x:c r="G863" s="34" t="n">
        <x:v>6.120001</x:v>
      </x:c>
      <x:c r="H863" s="34" t="n">
        <x:v>12.4</x:v>
      </x:c>
      <x:c r="I863" s="34" t="n">
        <x:v>6.279999</x:v>
      </x:c>
      <x:c r="J863" s="34" t="n">
        <x:v>49.355</x:v>
      </x:c>
      <x:c r="K863" s="34" t="n">
        <x:v>0</x:v>
      </x:c>
      <x:c r="L863" s="34" t="n">
        <x:v>1.08</x:v>
      </x:c>
      <x:c r="M863" s="34" t="n">
        <x:v>1.08</x:v>
      </x:c>
      <x:c r="N863" s="34" t="n">
        <x:v>0</x:v>
      </x:c>
      <x:c r="O863" s="34" t="n">
        <x:v>3.808</x:v>
      </x:c>
      <x:c r="P863" s="34" t="n">
        <x:v>9.8</x:v>
      </x:c>
      <x:c r="Q863" s="34" t="n">
        <x:v>5.992</x:v>
      </x:c>
      <x:c r="R863" s="34" t="n">
        <x:v>38.857</x:v>
      </x:c>
      <x:c r="S863" s="40" t="b">
        <x:v>1</x:v>
      </x:c>
      <x:c r="T863" s="34" t="str">
        <x:v>model_interpolation</x:v>
      </x:c>
      <x:c r="U863" s="34" t="str">
        <x:v>Linear interpolation from 2030 to 2035</x:v>
      </x:c>
      <x:c r="V863" s="34" t="str">
        <x:v>CAND-E72109958C3B57</x:v>
      </x:c>
      <x:c r="W863" s="34" t="str">
        <x:v>P2</x:v>
      </x:c>
      <x:c r="X863" s="34" t="str">
        <x:v>PORT-E5F3D5116135</x:v>
      </x:c>
      <x:c r="Y863" s="34" t="n">
        <x:v>1000</x:v>
      </x:c>
      <x:c r="Z863" s="34" t="n">
        <x:v>93.638485</x:v>
      </x:c>
      <x:c r="AA863" s="34" t="n">
        <x:v>30.14727</x:v>
      </x:c>
      <x:c r="AB863" s="34" t="n">
        <x:v>321.408363</x:v>
      </x:c>
      <x:c r="AC863" s="34" t="n">
        <x:v>29504.994</x:v>
      </x:c>
      <x:c r="AD863" s="34" t="n">
        <x:v>91.799087</x:v>
      </x:c>
      <x:c r="AE863" s="40" t="b">
        <x:v>1</x:v>
      </x:c>
      <x:c r="AF863" s="40" t="b">
        <x:v>1</x:v>
      </x:c>
      <x:c r="AG863" s="34" t="str"/>
      <x:c r="AH863" s="34" t="n">
        <x:v>0</x:v>
      </x:c>
      <x:c r="AI863" s="34" t="str">
        <x:v>1.265341119704999e-05</x:v>
      </x:c>
      <x:c r="AJ863" s="40" t="b">
        <x:v>1</x:v>
      </x:c>
      <x:c r="AK863" s="40" t="b">
        <x:v>1</x:v>
      </x:c>
      <x:c r="AL863" s="40" t="b">
        <x:v>1</x:v>
      </x:c>
      <x:c r="AM863" s="40" t="b">
        <x:v>1</x:v>
      </x:c>
      <x:c r="AN863" s="34" t="str"/>
      <x:c r="AO863" s="34" t="n">
        <x:v>0</x:v>
      </x:c>
      <x:c r="AP863" s="34" t="n">
        <x:v>0</x:v>
      </x:c>
      <x:c r="AQ863" s="34" t="n">
        <x:v>0</x:v>
      </x:c>
      <x:c r="AR863" s="34" t="n">
        <x:v>2</x:v>
      </x:c>
      <x:c r="AS863" s="34" t="n">
        <x:v>3</x:v>
      </x:c>
      <x:c r="AT863" s="34" t="n">
        <x:v>0.3406543999999999</x:v>
      </x:c>
      <x:c r="AU863" s="34" t="n">
        <x:v>0.65</x:v>
      </x:c>
      <x:c r="AV863" s="34" t="n">
        <x:v>1.3</x:v>
      </x:c>
    </x:row>
    <x:row r="864">
      <x:c r="A864" s="34" t="str">
        <x:v>JFE_STEEL_JP</x:v>
      </x:c>
      <x:c r="B864" s="34" t="str">
        <x:v>JFE Steel</x:v>
      </x:c>
      <x:c r="C864" s="34" t="str">
        <x:v>ACCELERATED_15C</x:v>
      </x:c>
      <x:c r="D864" s="34" t="str">
        <x:v>P2</x:v>
      </x:c>
      <x:c r="E864" s="34" t="n">
        <x:v>2033</x:v>
      </x:c>
      <x:c r="F864" s="34" t="n">
        <x:v>3</x:v>
      </x:c>
      <x:c r="G864" s="34" t="n">
        <x:v>8.1</x:v>
      </x:c>
      <x:c r="H864" s="34" t="n">
        <x:v>13.6</x:v>
      </x:c>
      <x:c r="I864" s="34" t="n">
        <x:v>5.5</x:v>
      </x:c>
      <x:c r="J864" s="34" t="n">
        <x:v>59.559</x:v>
      </x:c>
      <x:c r="K864" s="34" t="n">
        <x:v>0.495</x:v>
      </x:c>
      <x:c r="L864" s="34" t="n">
        <x:v>1.32</x:v>
      </x:c>
      <x:c r="M864" s="34" t="n">
        <x:v>0.825</x:v>
      </x:c>
      <x:c r="N864" s="34" t="n">
        <x:v>37.5</x:v>
      </x:c>
      <x:c r="O864" s="34" t="n">
        <x:v>7.961999</x:v>
      </x:c>
      <x:c r="P864" s="34" t="n">
        <x:v>11.2</x:v>
      </x:c>
      <x:c r="Q864" s="34" t="n">
        <x:v>3.238001</x:v>
      </x:c>
      <x:c r="R864" s="34" t="n">
        <x:v>71.089</x:v>
      </x:c>
      <x:c r="S864" s="40" t="b">
        <x:v>1</x:v>
      </x:c>
      <x:c r="T864" s="34" t="str">
        <x:v>model_interpolation</x:v>
      </x:c>
      <x:c r="U864" s="34" t="str">
        <x:v>Linear interpolation from 2030 to 2035</x:v>
      </x:c>
      <x:c r="V864" s="34" t="str">
        <x:v>CAND-E72109958C3B57</x:v>
      </x:c>
      <x:c r="W864" s="34" t="str">
        <x:v>P2</x:v>
      </x:c>
      <x:c r="X864" s="34" t="str">
        <x:v>PORT-E5F3D5116135</x:v>
      </x:c>
      <x:c r="Y864" s="34" t="n">
        <x:v>1000</x:v>
      </x:c>
      <x:c r="Z864" s="34" t="n">
        <x:v>93.638485</x:v>
      </x:c>
      <x:c r="AA864" s="34" t="n">
        <x:v>30.14727</x:v>
      </x:c>
      <x:c r="AB864" s="34" t="n">
        <x:v>321.408363</x:v>
      </x:c>
      <x:c r="AC864" s="34" t="n">
        <x:v>29504.994</x:v>
      </x:c>
      <x:c r="AD864" s="34" t="n">
        <x:v>91.799087</x:v>
      </x:c>
      <x:c r="AE864" s="40" t="b">
        <x:v>1</x:v>
      </x:c>
      <x:c r="AF864" s="40" t="b">
        <x:v>1</x:v>
      </x:c>
      <x:c r="AG864" s="34" t="str"/>
      <x:c r="AH864" s="34" t="n">
        <x:v>0</x:v>
      </x:c>
      <x:c r="AI864" s="34" t="str">
        <x:v>1.265341119704999e-05</x:v>
      </x:c>
      <x:c r="AJ864" s="40" t="b">
        <x:v>1</x:v>
      </x:c>
      <x:c r="AK864" s="40" t="b">
        <x:v>1</x:v>
      </x:c>
      <x:c r="AL864" s="40" t="b">
        <x:v>1</x:v>
      </x:c>
      <x:c r="AM864" s="40" t="b">
        <x:v>1</x:v>
      </x:c>
      <x:c r="AN864" s="34" t="str"/>
      <x:c r="AO864" s="34" t="n">
        <x:v>0</x:v>
      </x:c>
      <x:c r="AP864" s="34" t="n">
        <x:v>0</x:v>
      </x:c>
      <x:c r="AQ864" s="34" t="n">
        <x:v>0</x:v>
      </x:c>
      <x:c r="AR864" s="34" t="n">
        <x:v>2</x:v>
      </x:c>
      <x:c r="AS864" s="34" t="n">
        <x:v>3</x:v>
      </x:c>
      <x:c r="AT864" s="34" t="n">
        <x:v>0.3406543999999999</x:v>
      </x:c>
      <x:c r="AU864" s="34" t="n">
        <x:v>0.65</x:v>
      </x:c>
      <x:c r="AV864" s="34" t="n">
        <x:v>1.3</x:v>
      </x:c>
    </x:row>
    <x:row r="865">
      <x:c r="A865" s="34" t="str">
        <x:v>JFE_STEEL_JP</x:v>
      </x:c>
      <x:c r="B865" s="34" t="str">
        <x:v>JFE Steel</x:v>
      </x:c>
      <x:c r="C865" s="34" t="str">
        <x:v>ACCELERATED_15C</x:v>
      </x:c>
      <x:c r="D865" s="34" t="str">
        <x:v>P2</x:v>
      </x:c>
      <x:c r="E865" s="34" t="n">
        <x:v>2034</x:v>
      </x:c>
      <x:c r="F865" s="34" t="n">
        <x:v>3</x:v>
      </x:c>
      <x:c r="G865" s="34" t="n">
        <x:v>8.1</x:v>
      </x:c>
      <x:c r="H865" s="34" t="n">
        <x:v>14.8</x:v>
      </x:c>
      <x:c r="I865" s="34" t="n">
        <x:v>6.7</x:v>
      </x:c>
      <x:c r="J865" s="34" t="n">
        <x:v>54.73</x:v>
      </x:c>
      <x:c r="K865" s="34" t="n">
        <x:v>0.495</x:v>
      </x:c>
      <x:c r="L865" s="34" t="n">
        <x:v>1.56</x:v>
      </x:c>
      <x:c r="M865" s="34" t="n">
        <x:v>1.065</x:v>
      </x:c>
      <x:c r="N865" s="34" t="n">
        <x:v>31.731</x:v>
      </x:c>
      <x:c r="O865" s="34" t="n">
        <x:v>7.961999</x:v>
      </x:c>
      <x:c r="P865" s="34" t="n">
        <x:v>12.600000000000001</x:v>
      </x:c>
      <x:c r="Q865" s="34" t="n">
        <x:v>4.638001</x:v>
      </x:c>
      <x:c r="R865" s="34" t="n">
        <x:v>63.19</x:v>
      </x:c>
      <x:c r="S865" s="40" t="b">
        <x:v>1</x:v>
      </x:c>
      <x:c r="T865" s="34" t="str">
        <x:v>model_interpolation</x:v>
      </x:c>
      <x:c r="U865" s="34" t="str">
        <x:v>Linear interpolation from 2030 to 2035</x:v>
      </x:c>
      <x:c r="V865" s="34" t="str">
        <x:v>CAND-E72109958C3B57</x:v>
      </x:c>
      <x:c r="W865" s="34" t="str">
        <x:v>P2</x:v>
      </x:c>
      <x:c r="X865" s="34" t="str">
        <x:v>PORT-E5F3D5116135</x:v>
      </x:c>
      <x:c r="Y865" s="34" t="n">
        <x:v>1000</x:v>
      </x:c>
      <x:c r="Z865" s="34" t="n">
        <x:v>93.638485</x:v>
      </x:c>
      <x:c r="AA865" s="34" t="n">
        <x:v>30.14727</x:v>
      </x:c>
      <x:c r="AB865" s="34" t="n">
        <x:v>321.408363</x:v>
      </x:c>
      <x:c r="AC865" s="34" t="n">
        <x:v>29504.994</x:v>
      </x:c>
      <x:c r="AD865" s="34" t="n">
        <x:v>91.799087</x:v>
      </x:c>
      <x:c r="AE865" s="40" t="b">
        <x:v>1</x:v>
      </x:c>
      <x:c r="AF865" s="40" t="b">
        <x:v>1</x:v>
      </x:c>
      <x:c r="AG865" s="34" t="str"/>
      <x:c r="AH865" s="34" t="n">
        <x:v>0</x:v>
      </x:c>
      <x:c r="AI865" s="34" t="str">
        <x:v>1.265341119704999e-05</x:v>
      </x:c>
      <x:c r="AJ865" s="40" t="b">
        <x:v>1</x:v>
      </x:c>
      <x:c r="AK865" s="40" t="b">
        <x:v>1</x:v>
      </x:c>
      <x:c r="AL865" s="40" t="b">
        <x:v>1</x:v>
      </x:c>
      <x:c r="AM865" s="40" t="b">
        <x:v>1</x:v>
      </x:c>
      <x:c r="AN865" s="34" t="str"/>
      <x:c r="AO865" s="34" t="n">
        <x:v>0</x:v>
      </x:c>
      <x:c r="AP865" s="34" t="n">
        <x:v>0</x:v>
      </x:c>
      <x:c r="AQ865" s="34" t="n">
        <x:v>0</x:v>
      </x:c>
      <x:c r="AR865" s="34" t="n">
        <x:v>2</x:v>
      </x:c>
      <x:c r="AS865" s="34" t="n">
        <x:v>3</x:v>
      </x:c>
      <x:c r="AT865" s="34" t="n">
        <x:v>0.3406543999999999</x:v>
      </x:c>
      <x:c r="AU865" s="34" t="n">
        <x:v>0.65</x:v>
      </x:c>
      <x:c r="AV865" s="34" t="n">
        <x:v>1.3</x:v>
      </x:c>
    </x:row>
    <x:row r="866">
      <x:c r="A866" s="34" t="str">
        <x:v>JFE_STEEL_JP</x:v>
      </x:c>
      <x:c r="B866" s="34" t="str">
        <x:v>JFE Steel</x:v>
      </x:c>
      <x:c r="C866" s="34" t="str">
        <x:v>ACCELERATED_15C</x:v>
      </x:c>
      <x:c r="D866" s="34" t="str">
        <x:v>P2</x:v>
      </x:c>
      <x:c r="E866" s="34" t="n">
        <x:v>2035</x:v>
      </x:c>
      <x:c r="F866" s="34" t="n">
        <x:v>3</x:v>
      </x:c>
      <x:c r="G866" s="34" t="n">
        <x:v>8.1</x:v>
      </x:c>
      <x:c r="H866" s="34" t="n">
        <x:v>16</x:v>
      </x:c>
      <x:c r="I866" s="34" t="n">
        <x:v>7.9</x:v>
      </x:c>
      <x:c r="J866" s="34" t="n">
        <x:v>50.625</x:v>
      </x:c>
      <x:c r="K866" s="34" t="n">
        <x:v>0.495</x:v>
      </x:c>
      <x:c r="L866" s="34" t="n">
        <x:v>1.8</x:v>
      </x:c>
      <x:c r="M866" s="34" t="n">
        <x:v>1.305</x:v>
      </x:c>
      <x:c r="N866" s="34" t="n">
        <x:v>27.5</x:v>
      </x:c>
      <x:c r="O866" s="34" t="n">
        <x:v>7.961999</x:v>
      </x:c>
      <x:c r="P866" s="34" t="n">
        <x:v>14</x:v>
      </x:c>
      <x:c r="Q866" s="34" t="n">
        <x:v>6.038001</x:v>
      </x:c>
      <x:c r="R866" s="34" t="n">
        <x:v>56.871</x:v>
      </x:c>
      <x:c r="S866" s="40" t="b">
        <x:v>1</x:v>
      </x:c>
      <x:c r="T866" s="34" t="str">
        <x:v>model_interpolation</x:v>
      </x:c>
      <x:c r="U866" s="34" t="str">
        <x:v>Linear interpolation from 2035 to 2040</x:v>
      </x:c>
      <x:c r="V866" s="34" t="str">
        <x:v>CAND-E72109958C3B57</x:v>
      </x:c>
      <x:c r="W866" s="34" t="str">
        <x:v>P2</x:v>
      </x:c>
      <x:c r="X866" s="34" t="str">
        <x:v>PORT-E5F3D5116135</x:v>
      </x:c>
      <x:c r="Y866" s="34" t="n">
        <x:v>1000</x:v>
      </x:c>
      <x:c r="Z866" s="34" t="n">
        <x:v>93.638485</x:v>
      </x:c>
      <x:c r="AA866" s="34" t="n">
        <x:v>30.14727</x:v>
      </x:c>
      <x:c r="AB866" s="34" t="n">
        <x:v>321.408363</x:v>
      </x:c>
      <x:c r="AC866" s="34" t="n">
        <x:v>29504.994</x:v>
      </x:c>
      <x:c r="AD866" s="34" t="n">
        <x:v>91.799087</x:v>
      </x:c>
      <x:c r="AE866" s="40" t="b">
        <x:v>1</x:v>
      </x:c>
      <x:c r="AF866" s="40" t="b">
        <x:v>1</x:v>
      </x:c>
      <x:c r="AG866" s="34" t="str"/>
      <x:c r="AH866" s="34" t="n">
        <x:v>0</x:v>
      </x:c>
      <x:c r="AI866" s="34" t="str">
        <x:v>1.265341119704999e-05</x:v>
      </x:c>
      <x:c r="AJ866" s="40" t="b">
        <x:v>1</x:v>
      </x:c>
      <x:c r="AK866" s="40" t="b">
        <x:v>1</x:v>
      </x:c>
      <x:c r="AL866" s="40" t="b">
        <x:v>1</x:v>
      </x:c>
      <x:c r="AM866" s="40" t="b">
        <x:v>1</x:v>
      </x:c>
      <x:c r="AN866" s="34" t="str"/>
      <x:c r="AO866" s="34" t="n">
        <x:v>0</x:v>
      </x:c>
      <x:c r="AP866" s="34" t="n">
        <x:v>0</x:v>
      </x:c>
      <x:c r="AQ866" s="34" t="n">
        <x:v>0</x:v>
      </x:c>
      <x:c r="AR866" s="34" t="n">
        <x:v>2</x:v>
      </x:c>
      <x:c r="AS866" s="34" t="n">
        <x:v>3</x:v>
      </x:c>
      <x:c r="AT866" s="34" t="n">
        <x:v>0.3406543999999999</x:v>
      </x:c>
      <x:c r="AU866" s="34" t="n">
        <x:v>0.65</x:v>
      </x:c>
      <x:c r="AV866" s="34" t="n">
        <x:v>1.3</x:v>
      </x:c>
    </x:row>
    <x:row r="867">
      <x:c r="A867" s="34" t="str">
        <x:v>JFE_STEEL_JP</x:v>
      </x:c>
      <x:c r="B867" s="34" t="str">
        <x:v>JFE Steel</x:v>
      </x:c>
      <x:c r="C867" s="34" t="str">
        <x:v>ACCELERATED_15C</x:v>
      </x:c>
      <x:c r="D867" s="34" t="str">
        <x:v>P2</x:v>
      </x:c>
      <x:c r="E867" s="34" t="n">
        <x:v>2036</x:v>
      </x:c>
      <x:c r="F867" s="34" t="n">
        <x:v>4</x:v>
      </x:c>
      <x:c r="G867" s="34" t="n">
        <x:v>13.004998</x:v>
      </x:c>
      <x:c r="H867" s="34" t="n">
        <x:v>17</x:v>
      </x:c>
      <x:c r="I867" s="34" t="n">
        <x:v>3.995002</x:v>
      </x:c>
      <x:c r="J867" s="34" t="n">
        <x:v>76.5</x:v>
      </x:c>
      <x:c r="K867" s="34" t="n">
        <x:v>0.495</x:v>
      </x:c>
      <x:c r="L867" s="34" t="n">
        <x:v>2.04</x:v>
      </x:c>
      <x:c r="M867" s="34" t="n">
        <x:v>1.545</x:v>
      </x:c>
      <x:c r="N867" s="34" t="n">
        <x:v>24.265</x:v>
      </x:c>
      <x:c r="O867" s="34" t="n">
        <x:v>11.013998</x:v>
      </x:c>
      <x:c r="P867" s="34" t="n">
        <x:v>15.6</x:v>
      </x:c>
      <x:c r="Q867" s="34" t="n">
        <x:v>4.586002</x:v>
      </x:c>
      <x:c r="R867" s="34" t="n">
        <x:v>70.603</x:v>
      </x:c>
      <x:c r="S867" s="40" t="b">
        <x:v>1</x:v>
      </x:c>
      <x:c r="T867" s="34" t="str">
        <x:v>model_interpolation</x:v>
      </x:c>
      <x:c r="U867" s="34" t="str">
        <x:v>Linear interpolation from 2035 to 2040</x:v>
      </x:c>
      <x:c r="V867" s="34" t="str">
        <x:v>CAND-E72109958C3B57</x:v>
      </x:c>
      <x:c r="W867" s="34" t="str">
        <x:v>P2</x:v>
      </x:c>
      <x:c r="X867" s="34" t="str">
        <x:v>PORT-E5F3D5116135</x:v>
      </x:c>
      <x:c r="Y867" s="34" t="n">
        <x:v>1000</x:v>
      </x:c>
      <x:c r="Z867" s="34" t="n">
        <x:v>93.638485</x:v>
      </x:c>
      <x:c r="AA867" s="34" t="n">
        <x:v>30.14727</x:v>
      </x:c>
      <x:c r="AB867" s="34" t="n">
        <x:v>321.408363</x:v>
      </x:c>
      <x:c r="AC867" s="34" t="n">
        <x:v>29504.994</x:v>
      </x:c>
      <x:c r="AD867" s="34" t="n">
        <x:v>91.799087</x:v>
      </x:c>
      <x:c r="AE867" s="40" t="b">
        <x:v>1</x:v>
      </x:c>
      <x:c r="AF867" s="40" t="b">
        <x:v>1</x:v>
      </x:c>
      <x:c r="AG867" s="34" t="str"/>
      <x:c r="AH867" s="34" t="n">
        <x:v>0</x:v>
      </x:c>
      <x:c r="AI867" s="34" t="str">
        <x:v>1.265341119704999e-05</x:v>
      </x:c>
      <x:c r="AJ867" s="40" t="b">
        <x:v>1</x:v>
      </x:c>
      <x:c r="AK867" s="40" t="b">
        <x:v>1</x:v>
      </x:c>
      <x:c r="AL867" s="40" t="b">
        <x:v>1</x:v>
      </x:c>
      <x:c r="AM867" s="40" t="b">
        <x:v>1</x:v>
      </x:c>
      <x:c r="AN867" s="34" t="str"/>
      <x:c r="AO867" s="34" t="n">
        <x:v>0</x:v>
      </x:c>
      <x:c r="AP867" s="34" t="n">
        <x:v>0</x:v>
      </x:c>
      <x:c r="AQ867" s="34" t="n">
        <x:v>0</x:v>
      </x:c>
      <x:c r="AR867" s="34" t="n">
        <x:v>2</x:v>
      </x:c>
      <x:c r="AS867" s="34" t="n">
        <x:v>3</x:v>
      </x:c>
      <x:c r="AT867" s="34" t="n">
        <x:v>0.3406543999999999</x:v>
      </x:c>
      <x:c r="AU867" s="34" t="n">
        <x:v>0.65</x:v>
      </x:c>
      <x:c r="AV867" s="34" t="n">
        <x:v>1.3</x:v>
      </x:c>
    </x:row>
    <x:row r="868">
      <x:c r="A868" s="34" t="str">
        <x:v>JFE_STEEL_JP</x:v>
      </x:c>
      <x:c r="B868" s="34" t="str">
        <x:v>JFE Steel</x:v>
      </x:c>
      <x:c r="C868" s="34" t="str">
        <x:v>ACCELERATED_15C</x:v>
      </x:c>
      <x:c r="D868" s="34" t="str">
        <x:v>P2</x:v>
      </x:c>
      <x:c r="E868" s="34" t="n">
        <x:v>2037</x:v>
      </x:c>
      <x:c r="F868" s="34" t="n">
        <x:v>4</x:v>
      </x:c>
      <x:c r="G868" s="34" t="n">
        <x:v>13.004998</x:v>
      </x:c>
      <x:c r="H868" s="34" t="n">
        <x:v>18</x:v>
      </x:c>
      <x:c r="I868" s="34" t="n">
        <x:v>4.995002</x:v>
      </x:c>
      <x:c r="J868" s="34" t="n">
        <x:v>72.25</x:v>
      </x:c>
      <x:c r="K868" s="34" t="n">
        <x:v>0.495</x:v>
      </x:c>
      <x:c r="L868" s="34" t="n">
        <x:v>2.2800000000000002</x:v>
      </x:c>
      <x:c r="M868" s="34" t="n">
        <x:v>1.785</x:v>
      </x:c>
      <x:c r="N868" s="34" t="n">
        <x:v>21.711</x:v>
      </x:c>
      <x:c r="O868" s="34" t="n">
        <x:v>11.013998</x:v>
      </x:c>
      <x:c r="P868" s="34" t="n">
        <x:v>17.2</x:v>
      </x:c>
      <x:c r="Q868" s="34" t="n">
        <x:v>6.186002</x:v>
      </x:c>
      <x:c r="R868" s="34" t="n">
        <x:v>64.035</x:v>
      </x:c>
      <x:c r="S868" s="40" t="b">
        <x:v>1</x:v>
      </x:c>
      <x:c r="T868" s="34" t="str">
        <x:v>model_interpolation</x:v>
      </x:c>
      <x:c r="U868" s="34" t="str">
        <x:v>Linear interpolation from 2035 to 2040</x:v>
      </x:c>
      <x:c r="V868" s="34" t="str">
        <x:v>CAND-E72109958C3B57</x:v>
      </x:c>
      <x:c r="W868" s="34" t="str">
        <x:v>P2</x:v>
      </x:c>
      <x:c r="X868" s="34" t="str">
        <x:v>PORT-E5F3D5116135</x:v>
      </x:c>
      <x:c r="Y868" s="34" t="n">
        <x:v>1000</x:v>
      </x:c>
      <x:c r="Z868" s="34" t="n">
        <x:v>93.638485</x:v>
      </x:c>
      <x:c r="AA868" s="34" t="n">
        <x:v>30.14727</x:v>
      </x:c>
      <x:c r="AB868" s="34" t="n">
        <x:v>321.408363</x:v>
      </x:c>
      <x:c r="AC868" s="34" t="n">
        <x:v>29504.994</x:v>
      </x:c>
      <x:c r="AD868" s="34" t="n">
        <x:v>91.799087</x:v>
      </x:c>
      <x:c r="AE868" s="40" t="b">
        <x:v>1</x:v>
      </x:c>
      <x:c r="AF868" s="40" t="b">
        <x:v>1</x:v>
      </x:c>
      <x:c r="AG868" s="34" t="str"/>
      <x:c r="AH868" s="34" t="n">
        <x:v>0</x:v>
      </x:c>
      <x:c r="AI868" s="34" t="str">
        <x:v>1.265341119704999e-05</x:v>
      </x:c>
      <x:c r="AJ868" s="40" t="b">
        <x:v>1</x:v>
      </x:c>
      <x:c r="AK868" s="40" t="b">
        <x:v>1</x:v>
      </x:c>
      <x:c r="AL868" s="40" t="b">
        <x:v>1</x:v>
      </x:c>
      <x:c r="AM868" s="40" t="b">
        <x:v>1</x:v>
      </x:c>
      <x:c r="AN868" s="34" t="str"/>
      <x:c r="AO868" s="34" t="n">
        <x:v>0</x:v>
      </x:c>
      <x:c r="AP868" s="34" t="n">
        <x:v>0</x:v>
      </x:c>
      <x:c r="AQ868" s="34" t="n">
        <x:v>0</x:v>
      </x:c>
      <x:c r="AR868" s="34" t="n">
        <x:v>2</x:v>
      </x:c>
      <x:c r="AS868" s="34" t="n">
        <x:v>3</x:v>
      </x:c>
      <x:c r="AT868" s="34" t="n">
        <x:v>0.3406543999999999</x:v>
      </x:c>
      <x:c r="AU868" s="34" t="n">
        <x:v>0.65</x:v>
      </x:c>
      <x:c r="AV868" s="34" t="n">
        <x:v>1.3</x:v>
      </x:c>
    </x:row>
    <x:row r="869">
      <x:c r="A869" s="34" t="str">
        <x:v>JFE_STEEL_JP</x:v>
      </x:c>
      <x:c r="B869" s="34" t="str">
        <x:v>JFE Steel</x:v>
      </x:c>
      <x:c r="C869" s="34" t="str">
        <x:v>ACCELERATED_15C</x:v>
      </x:c>
      <x:c r="D869" s="34" t="str">
        <x:v>P2</x:v>
      </x:c>
      <x:c r="E869" s="34" t="n">
        <x:v>2038</x:v>
      </x:c>
      <x:c r="F869" s="34" t="n">
        <x:v>4</x:v>
      </x:c>
      <x:c r="G869" s="34" t="n">
        <x:v>13.004998</x:v>
      </x:c>
      <x:c r="H869" s="34" t="n">
        <x:v>19</x:v>
      </x:c>
      <x:c r="I869" s="34" t="n">
        <x:v>5.995002</x:v>
      </x:c>
      <x:c r="J869" s="34" t="n">
        <x:v>68.447</x:v>
      </x:c>
      <x:c r="K869" s="34" t="n">
        <x:v>0.495</x:v>
      </x:c>
      <x:c r="L869" s="34" t="n">
        <x:v>2.52</x:v>
      </x:c>
      <x:c r="M869" s="34" t="n">
        <x:v>2.025</x:v>
      </x:c>
      <x:c r="N869" s="34" t="n">
        <x:v>19.643</x:v>
      </x:c>
      <x:c r="O869" s="34" t="n">
        <x:v>11.013998</x:v>
      </x:c>
      <x:c r="P869" s="34" t="n">
        <x:v>18.8</x:v>
      </x:c>
      <x:c r="Q869" s="34" t="n">
        <x:v>7.786002</x:v>
      </x:c>
      <x:c r="R869" s="34" t="n">
        <x:v>58.585</x:v>
      </x:c>
      <x:c r="S869" s="40" t="b">
        <x:v>1</x:v>
      </x:c>
      <x:c r="T869" s="34" t="str">
        <x:v>model_interpolation</x:v>
      </x:c>
      <x:c r="U869" s="34" t="str">
        <x:v>Linear interpolation from 2035 to 2040</x:v>
      </x:c>
      <x:c r="V869" s="34" t="str">
        <x:v>CAND-E72109958C3B57</x:v>
      </x:c>
      <x:c r="W869" s="34" t="str">
        <x:v>P2</x:v>
      </x:c>
      <x:c r="X869" s="34" t="str">
        <x:v>PORT-E5F3D5116135</x:v>
      </x:c>
      <x:c r="Y869" s="34" t="n">
        <x:v>1000</x:v>
      </x:c>
      <x:c r="Z869" s="34" t="n">
        <x:v>93.638485</x:v>
      </x:c>
      <x:c r="AA869" s="34" t="n">
        <x:v>30.14727</x:v>
      </x:c>
      <x:c r="AB869" s="34" t="n">
        <x:v>321.408363</x:v>
      </x:c>
      <x:c r="AC869" s="34" t="n">
        <x:v>29504.994</x:v>
      </x:c>
      <x:c r="AD869" s="34" t="n">
        <x:v>91.799087</x:v>
      </x:c>
      <x:c r="AE869" s="40" t="b">
        <x:v>1</x:v>
      </x:c>
      <x:c r="AF869" s="40" t="b">
        <x:v>1</x:v>
      </x:c>
      <x:c r="AG869" s="34" t="str"/>
      <x:c r="AH869" s="34" t="n">
        <x:v>0</x:v>
      </x:c>
      <x:c r="AI869" s="34" t="str">
        <x:v>1.265341119704999e-05</x:v>
      </x:c>
      <x:c r="AJ869" s="40" t="b">
        <x:v>1</x:v>
      </x:c>
      <x:c r="AK869" s="40" t="b">
        <x:v>1</x:v>
      </x:c>
      <x:c r="AL869" s="40" t="b">
        <x:v>1</x:v>
      </x:c>
      <x:c r="AM869" s="40" t="b">
        <x:v>1</x:v>
      </x:c>
      <x:c r="AN869" s="34" t="str"/>
      <x:c r="AO869" s="34" t="n">
        <x:v>0</x:v>
      </x:c>
      <x:c r="AP869" s="34" t="n">
        <x:v>0</x:v>
      </x:c>
      <x:c r="AQ869" s="34" t="n">
        <x:v>0</x:v>
      </x:c>
      <x:c r="AR869" s="34" t="n">
        <x:v>2</x:v>
      </x:c>
      <x:c r="AS869" s="34" t="n">
        <x:v>3</x:v>
      </x:c>
      <x:c r="AT869" s="34" t="n">
        <x:v>0.3406543999999999</x:v>
      </x:c>
      <x:c r="AU869" s="34" t="n">
        <x:v>0.65</x:v>
      </x:c>
      <x:c r="AV869" s="34" t="n">
        <x:v>1.3</x:v>
      </x:c>
    </x:row>
    <x:row r="870">
      <x:c r="A870" s="34" t="str">
        <x:v>JFE_STEEL_JP</x:v>
      </x:c>
      <x:c r="B870" s="34" t="str">
        <x:v>JFE Steel</x:v>
      </x:c>
      <x:c r="C870" s="34" t="str">
        <x:v>ACCELERATED_15C</x:v>
      </x:c>
      <x:c r="D870" s="34" t="str">
        <x:v>P2</x:v>
      </x:c>
      <x:c r="E870" s="34" t="n">
        <x:v>2039</x:v>
      </x:c>
      <x:c r="F870" s="34" t="n">
        <x:v>4</x:v>
      </x:c>
      <x:c r="G870" s="34" t="n">
        <x:v>13.004998</x:v>
      </x:c>
      <x:c r="H870" s="34" t="n">
        <x:v>20</x:v>
      </x:c>
      <x:c r="I870" s="34" t="n">
        <x:v>6.995002</x:v>
      </x:c>
      <x:c r="J870" s="34" t="n">
        <x:v>65.025</x:v>
      </x:c>
      <x:c r="K870" s="34" t="n">
        <x:v>0.495</x:v>
      </x:c>
      <x:c r="L870" s="34" t="n">
        <x:v>2.76</x:v>
      </x:c>
      <x:c r="M870" s="34" t="n">
        <x:v>2.265</x:v>
      </x:c>
      <x:c r="N870" s="34" t="n">
        <x:v>17.935</x:v>
      </x:c>
      <x:c r="O870" s="34" t="n">
        <x:v>11.013998</x:v>
      </x:c>
      <x:c r="P870" s="34" t="n">
        <x:v>20.4</x:v>
      </x:c>
      <x:c r="Q870" s="34" t="n">
        <x:v>9.386002</x:v>
      </x:c>
      <x:c r="R870" s="34" t="n">
        <x:v>53.99</x:v>
      </x:c>
      <x:c r="S870" s="40" t="b">
        <x:v>1</x:v>
      </x:c>
      <x:c r="T870" s="34" t="str">
        <x:v>model_interpolation</x:v>
      </x:c>
      <x:c r="U870" s="34" t="str">
        <x:v>Linear interpolation from 2035 to 2040</x:v>
      </x:c>
      <x:c r="V870" s="34" t="str">
        <x:v>CAND-E72109958C3B57</x:v>
      </x:c>
      <x:c r="W870" s="34" t="str">
        <x:v>P2</x:v>
      </x:c>
      <x:c r="X870" s="34" t="str">
        <x:v>PORT-E5F3D5116135</x:v>
      </x:c>
      <x:c r="Y870" s="34" t="n">
        <x:v>1000</x:v>
      </x:c>
      <x:c r="Z870" s="34" t="n">
        <x:v>93.638485</x:v>
      </x:c>
      <x:c r="AA870" s="34" t="n">
        <x:v>30.14727</x:v>
      </x:c>
      <x:c r="AB870" s="34" t="n">
        <x:v>321.408363</x:v>
      </x:c>
      <x:c r="AC870" s="34" t="n">
        <x:v>29504.994</x:v>
      </x:c>
      <x:c r="AD870" s="34" t="n">
        <x:v>91.799087</x:v>
      </x:c>
      <x:c r="AE870" s="40" t="b">
        <x:v>1</x:v>
      </x:c>
      <x:c r="AF870" s="40" t="b">
        <x:v>1</x:v>
      </x:c>
      <x:c r="AG870" s="34" t="str"/>
      <x:c r="AH870" s="34" t="n">
        <x:v>0</x:v>
      </x:c>
      <x:c r="AI870" s="34" t="str">
        <x:v>1.265341119704999e-05</x:v>
      </x:c>
      <x:c r="AJ870" s="40" t="b">
        <x:v>1</x:v>
      </x:c>
      <x:c r="AK870" s="40" t="b">
        <x:v>1</x:v>
      </x:c>
      <x:c r="AL870" s="40" t="b">
        <x:v>1</x:v>
      </x:c>
      <x:c r="AM870" s="40" t="b">
        <x:v>1</x:v>
      </x:c>
      <x:c r="AN870" s="34" t="str"/>
      <x:c r="AO870" s="34" t="n">
        <x:v>0</x:v>
      </x:c>
      <x:c r="AP870" s="34" t="n">
        <x:v>0</x:v>
      </x:c>
      <x:c r="AQ870" s="34" t="n">
        <x:v>0</x:v>
      </x:c>
      <x:c r="AR870" s="34" t="n">
        <x:v>2</x:v>
      </x:c>
      <x:c r="AS870" s="34" t="n">
        <x:v>3</x:v>
      </x:c>
      <x:c r="AT870" s="34" t="n">
        <x:v>0.3406543999999999</x:v>
      </x:c>
      <x:c r="AU870" s="34" t="n">
        <x:v>0.65</x:v>
      </x:c>
      <x:c r="AV870" s="34" t="n">
        <x:v>1.3</x:v>
      </x:c>
    </x:row>
    <x:row r="871">
      <x:c r="A871" s="34" t="str">
        <x:v>JFE_STEEL_JP</x:v>
      </x:c>
      <x:c r="B871" s="34" t="str">
        <x:v>JFE Steel</x:v>
      </x:c>
      <x:c r="C871" s="34" t="str">
        <x:v>ACCELERATED_15C</x:v>
      </x:c>
      <x:c r="D871" s="34" t="str">
        <x:v>P2</x:v>
      </x:c>
      <x:c r="E871" s="34" t="n">
        <x:v>2040</x:v>
      </x:c>
      <x:c r="F871" s="34" t="n">
        <x:v>4</x:v>
      </x:c>
      <x:c r="G871" s="34" t="n">
        <x:v>13.004998</x:v>
      </x:c>
      <x:c r="H871" s="34" t="n">
        <x:v>21</x:v>
      </x:c>
      <x:c r="I871" s="34" t="n">
        <x:v>7.995002</x:v>
      </x:c>
      <x:c r="J871" s="34" t="n">
        <x:v>61.929</x:v>
      </x:c>
      <x:c r="K871" s="34" t="n">
        <x:v>0.495</x:v>
      </x:c>
      <x:c r="L871" s="34" t="n">
        <x:v>3</x:v>
      </x:c>
      <x:c r="M871" s="34" t="n">
        <x:v>2.505</x:v>
      </x:c>
      <x:c r="N871" s="34" t="n">
        <x:v>16.5</x:v>
      </x:c>
      <x:c r="O871" s="34" t="n">
        <x:v>11.013998</x:v>
      </x:c>
      <x:c r="P871" s="34" t="n">
        <x:v>22</x:v>
      </x:c>
      <x:c r="Q871" s="34" t="n">
        <x:v>10.986002</x:v>
      </x:c>
      <x:c r="R871" s="34" t="n">
        <x:v>50.064</x:v>
      </x:c>
      <x:c r="S871" s="40" t="b">
        <x:v>1</x:v>
      </x:c>
      <x:c r="T871" s="34" t="str">
        <x:v>model_estimate</x:v>
      </x:c>
      <x:c r="U871" s="34" t="str">
        <x:v>Illustrative accelerated envelope; not GCAM or an official supply forecast</x:v>
      </x:c>
      <x:c r="V871" s="34" t="str">
        <x:v>CAND-E72109958C3B57</x:v>
      </x:c>
      <x:c r="W871" s="34" t="str">
        <x:v>P2</x:v>
      </x:c>
      <x:c r="X871" s="34" t="str">
        <x:v>PORT-E5F3D5116135</x:v>
      </x:c>
      <x:c r="Y871" s="34" t="n">
        <x:v>1000</x:v>
      </x:c>
      <x:c r="Z871" s="34" t="n">
        <x:v>93.638485</x:v>
      </x:c>
      <x:c r="AA871" s="34" t="n">
        <x:v>30.14727</x:v>
      </x:c>
      <x:c r="AB871" s="34" t="n">
        <x:v>321.408363</x:v>
      </x:c>
      <x:c r="AC871" s="34" t="n">
        <x:v>29504.994</x:v>
      </x:c>
      <x:c r="AD871" s="34" t="n">
        <x:v>91.799087</x:v>
      </x:c>
      <x:c r="AE871" s="40" t="b">
        <x:v>1</x:v>
      </x:c>
      <x:c r="AF871" s="40" t="b">
        <x:v>1</x:v>
      </x:c>
      <x:c r="AG871" s="34" t="str"/>
      <x:c r="AH871" s="34" t="n">
        <x:v>0</x:v>
      </x:c>
      <x:c r="AI871" s="34" t="str">
        <x:v>1.265341119704999e-05</x:v>
      </x:c>
      <x:c r="AJ871" s="40" t="b">
        <x:v>1</x:v>
      </x:c>
      <x:c r="AK871" s="40" t="b">
        <x:v>1</x:v>
      </x:c>
      <x:c r="AL871" s="40" t="b">
        <x:v>1</x:v>
      </x:c>
      <x:c r="AM871" s="40" t="b">
        <x:v>1</x:v>
      </x:c>
      <x:c r="AN871" s="34" t="str"/>
      <x:c r="AO871" s="34" t="n">
        <x:v>0</x:v>
      </x:c>
      <x:c r="AP871" s="34" t="n">
        <x:v>0</x:v>
      </x:c>
      <x:c r="AQ871" s="34" t="n">
        <x:v>0</x:v>
      </x:c>
      <x:c r="AR871" s="34" t="n">
        <x:v>2</x:v>
      </x:c>
      <x:c r="AS871" s="34" t="n">
        <x:v>3</x:v>
      </x:c>
      <x:c r="AT871" s="34" t="n">
        <x:v>0.3406543999999999</x:v>
      </x:c>
      <x:c r="AU871" s="34" t="n">
        <x:v>0.65</x:v>
      </x:c>
      <x:c r="AV871" s="34" t="n">
        <x:v>1.3</x:v>
      </x:c>
    </x:row>
    <x:row r="872">
      <x:c r="A872" s="34" t="str">
        <x:v>JFE_STEEL_JP</x:v>
      </x:c>
      <x:c r="B872" s="34" t="str">
        <x:v>JFE Steel</x:v>
      </x:c>
      <x:c r="C872" s="34" t="str">
        <x:v>DISCLOSED_PATH</x:v>
      </x:c>
      <x:c r="D872" s="34" t="str">
        <x:v>P3</x:v>
      </x:c>
      <x:c r="E872" s="34" t="n">
        <x:v>2026</x:v>
      </x:c>
      <x:c r="F872" s="34" t="n">
        <x:v>0</x:v>
      </x:c>
      <x:c r="G872" s="34" t="n">
        <x:v>0</x:v>
      </x:c>
      <x:c r="H872" s="34" t="n">
        <x:v>5</x:v>
      </x:c>
      <x:c r="I872" s="34" t="n">
        <x:v>5</x:v>
      </x:c>
      <x:c r="J872" s="34" t="n">
        <x:v>0</x:v>
      </x:c>
      <x:c r="K872" s="34" t="n">
        <x:v>0</x:v>
      </x:c>
      <x:c r="L872" s="34" t="n">
        <x:v>0</x:v>
      </x:c>
      <x:c r="M872" s="34" t="n">
        <x:v>0</x:v>
      </x:c>
      <x:c r="N872" s="34" t="n">
        <x:v>0</x:v>
      </x:c>
      <x:c r="O872" s="34" t="n">
        <x:v>0</x:v>
      </x:c>
      <x:c r="P872" s="34" t="n">
        <x:v>1.5</x:v>
      </x:c>
      <x:c r="Q872" s="34" t="n">
        <x:v>1.5</x:v>
      </x:c>
      <x:c r="R872" s="34" t="n">
        <x:v>0</x:v>
      </x:c>
      <x:c r="S872" s="40" t="b">
        <x:v>1</x:v>
      </x:c>
      <x:c r="T872" s="34" t="str">
        <x:v>model_interpolation</x:v>
      </x:c>
      <x:c r="U872" s="34" t="str">
        <x:v>Linear interpolation from 2026 to 2030</x:v>
      </x:c>
      <x:c r="V872" s="34" t="str">
        <x:v>CAND-E8FAD9BDD034A5</x:v>
      </x:c>
      <x:c r="W872" s="34" t="str">
        <x:v>P3</x:v>
      </x:c>
      <x:c r="X872" s="34" t="str">
        <x:v>PORT-51A2628EF9C2</x:v>
      </x:c>
      <x:c r="Y872" s="34" t="n">
        <x:v>1000</x:v>
      </x:c>
      <x:c r="Z872" s="34" t="n">
        <x:v>124.781017</x:v>
      </x:c>
      <x:c r="AA872" s="34" t="n">
        <x:v>26.08177</x:v>
      </x:c>
      <x:c r="AB872" s="34" t="n">
        <x:v>328.220861</x:v>
      </x:c>
      <x:c r="AC872" s="34" t="n">
        <x:v>40363.359</x:v>
      </x:c>
      <x:c r="AD872" s="34" t="n">
        <x:v>122.976215</x:v>
      </x:c>
      <x:c r="AE872" s="40" t="b">
        <x:v>1</x:v>
      </x:c>
      <x:c r="AF872" s="40" t="b">
        <x:v>1</x:v>
      </x:c>
      <x:c r="AG872" s="34" t="str"/>
      <x:c r="AH872" s="34" t="n">
        <x:v>0</x:v>
      </x:c>
      <x:c r="AI872" s="34" t="str">
        <x:v>1.265341119704999e-05</x:v>
      </x:c>
      <x:c r="AJ872" s="40" t="b">
        <x:v>1</x:v>
      </x:c>
      <x:c r="AK872" s="40" t="b">
        <x:v>1</x:v>
      </x:c>
      <x:c r="AL872" s="40" t="b">
        <x:v>1</x:v>
      </x:c>
      <x:c r="AM872" s="40" t="b">
        <x:v>1</x:v>
      </x:c>
      <x:c r="AN872" s="34" t="str"/>
      <x:c r="AO872" s="34" t="n">
        <x:v>0</x:v>
      </x:c>
      <x:c r="AP872" s="34" t="n">
        <x:v>0</x:v>
      </x:c>
      <x:c r="AQ872" s="34" t="n">
        <x:v>0</x:v>
      </x:c>
      <x:c r="AR872" s="34" t="n">
        <x:v>3</x:v>
      </x:c>
      <x:c r="AS872" s="34" t="n">
        <x:v>3</x:v>
      </x:c>
      <x:c r="AT872" s="34" t="n">
        <x:v>0.41232239999999987</x:v>
      </x:c>
      <x:c r="AU872" s="34" t="n">
        <x:v>0.65</x:v>
      </x:c>
      <x:c r="AV872" s="34" t="n">
        <x:v>1.78</x:v>
      </x:c>
    </x:row>
    <x:row r="873">
      <x:c r="A873" s="34" t="str">
        <x:v>JFE_STEEL_JP</x:v>
      </x:c>
      <x:c r="B873" s="34" t="str">
        <x:v>JFE Steel</x:v>
      </x:c>
      <x:c r="C873" s="34" t="str">
        <x:v>DISCLOSED_PATH</x:v>
      </x:c>
      <x:c r="D873" s="34" t="str">
        <x:v>P3</x:v>
      </x:c>
      <x:c r="E873" s="34" t="n">
        <x:v>2027</x:v>
      </x:c>
      <x:c r="F873" s="34" t="n">
        <x:v>0</x:v>
      </x:c>
      <x:c r="G873" s="34" t="n">
        <x:v>0</x:v>
      </x:c>
      <x:c r="H873" s="34" t="n">
        <x:v>5.75</x:v>
      </x:c>
      <x:c r="I873" s="34" t="n">
        <x:v>5.75</x:v>
      </x:c>
      <x:c r="J873" s="34" t="n">
        <x:v>0</x:v>
      </x:c>
      <x:c r="K873" s="34" t="n">
        <x:v>0</x:v>
      </x:c>
      <x:c r="L873" s="34" t="n">
        <x:v>0.1</x:v>
      </x:c>
      <x:c r="M873" s="34" t="n">
        <x:v>0.1</x:v>
      </x:c>
      <x:c r="N873" s="34" t="n">
        <x:v>0</x:v>
      </x:c>
      <x:c r="O873" s="34" t="n">
        <x:v>0</x:v>
      </x:c>
      <x:c r="P873" s="34" t="n">
        <x:v>2.375</x:v>
      </x:c>
      <x:c r="Q873" s="34" t="n">
        <x:v>2.375</x:v>
      </x:c>
      <x:c r="R873" s="34" t="n">
        <x:v>0</x:v>
      </x:c>
      <x:c r="S873" s="40" t="b">
        <x:v>1</x:v>
      </x:c>
      <x:c r="T873" s="34" t="str">
        <x:v>model_interpolation</x:v>
      </x:c>
      <x:c r="U873" s="34" t="str">
        <x:v>Linear interpolation from 2026 to 2030</x:v>
      </x:c>
      <x:c r="V873" s="34" t="str">
        <x:v>CAND-E8FAD9BDD034A5</x:v>
      </x:c>
      <x:c r="W873" s="34" t="str">
        <x:v>P3</x:v>
      </x:c>
      <x:c r="X873" s="34" t="str">
        <x:v>PORT-51A2628EF9C2</x:v>
      </x:c>
      <x:c r="Y873" s="34" t="n">
        <x:v>1000</x:v>
      </x:c>
      <x:c r="Z873" s="34" t="n">
        <x:v>124.781017</x:v>
      </x:c>
      <x:c r="AA873" s="34" t="n">
        <x:v>26.08177</x:v>
      </x:c>
      <x:c r="AB873" s="34" t="n">
        <x:v>328.220861</x:v>
      </x:c>
      <x:c r="AC873" s="34" t="n">
        <x:v>40363.359</x:v>
      </x:c>
      <x:c r="AD873" s="34" t="n">
        <x:v>122.976215</x:v>
      </x:c>
      <x:c r="AE873" s="40" t="b">
        <x:v>1</x:v>
      </x:c>
      <x:c r="AF873" s="40" t="b">
        <x:v>1</x:v>
      </x:c>
      <x:c r="AG873" s="34" t="str"/>
      <x:c r="AH873" s="34" t="n">
        <x:v>0</x:v>
      </x:c>
      <x:c r="AI873" s="34" t="str">
        <x:v>1.265341119704999e-05</x:v>
      </x:c>
      <x:c r="AJ873" s="40" t="b">
        <x:v>1</x:v>
      </x:c>
      <x:c r="AK873" s="40" t="b">
        <x:v>1</x:v>
      </x:c>
      <x:c r="AL873" s="40" t="b">
        <x:v>1</x:v>
      </x:c>
      <x:c r="AM873" s="40" t="b">
        <x:v>1</x:v>
      </x:c>
      <x:c r="AN873" s="34" t="str"/>
      <x:c r="AO873" s="34" t="n">
        <x:v>0</x:v>
      </x:c>
      <x:c r="AP873" s="34" t="n">
        <x:v>0</x:v>
      </x:c>
      <x:c r="AQ873" s="34" t="n">
        <x:v>0</x:v>
      </x:c>
      <x:c r="AR873" s="34" t="n">
        <x:v>3</x:v>
      </x:c>
      <x:c r="AS873" s="34" t="n">
        <x:v>3</x:v>
      </x:c>
      <x:c r="AT873" s="34" t="n">
        <x:v>0.41232239999999987</x:v>
      </x:c>
      <x:c r="AU873" s="34" t="n">
        <x:v>0.65</x:v>
      </x:c>
      <x:c r="AV873" s="34" t="n">
        <x:v>1.78</x:v>
      </x:c>
    </x:row>
    <x:row r="874">
      <x:c r="A874" s="34" t="str">
        <x:v>JFE_STEEL_JP</x:v>
      </x:c>
      <x:c r="B874" s="34" t="str">
        <x:v>JFE Steel</x:v>
      </x:c>
      <x:c r="C874" s="34" t="str">
        <x:v>DISCLOSED_PATH</x:v>
      </x:c>
      <x:c r="D874" s="34" t="str">
        <x:v>P3</x:v>
      </x:c>
      <x:c r="E874" s="34" t="n">
        <x:v>2028</x:v>
      </x:c>
      <x:c r="F874" s="34" t="n">
        <x:v>0</x:v>
      </x:c>
      <x:c r="G874" s="34" t="n">
        <x:v>0</x:v>
      </x:c>
      <x:c r="H874" s="34" t="n">
        <x:v>6.5</x:v>
      </x:c>
      <x:c r="I874" s="34" t="n">
        <x:v>6.5</x:v>
      </x:c>
      <x:c r="J874" s="34" t="n">
        <x:v>0</x:v>
      </x:c>
      <x:c r="K874" s="34" t="n">
        <x:v>0</x:v>
      </x:c>
      <x:c r="L874" s="34" t="n">
        <x:v>0.2</x:v>
      </x:c>
      <x:c r="M874" s="34" t="n">
        <x:v>0.2</x:v>
      </x:c>
      <x:c r="N874" s="34" t="n">
        <x:v>0</x:v>
      </x:c>
      <x:c r="O874" s="34" t="n">
        <x:v>0</x:v>
      </x:c>
      <x:c r="P874" s="34" t="n">
        <x:v>3.25</x:v>
      </x:c>
      <x:c r="Q874" s="34" t="n">
        <x:v>3.25</x:v>
      </x:c>
      <x:c r="R874" s="34" t="n">
        <x:v>0</x:v>
      </x:c>
      <x:c r="S874" s="40" t="b">
        <x:v>1</x:v>
      </x:c>
      <x:c r="T874" s="34" t="str">
        <x:v>model_interpolation</x:v>
      </x:c>
      <x:c r="U874" s="34" t="str">
        <x:v>Linear interpolation from 2026 to 2030</x:v>
      </x:c>
      <x:c r="V874" s="34" t="str">
        <x:v>CAND-E8FAD9BDD034A5</x:v>
      </x:c>
      <x:c r="W874" s="34" t="str">
        <x:v>P3</x:v>
      </x:c>
      <x:c r="X874" s="34" t="str">
        <x:v>PORT-51A2628EF9C2</x:v>
      </x:c>
      <x:c r="Y874" s="34" t="n">
        <x:v>1000</x:v>
      </x:c>
      <x:c r="Z874" s="34" t="n">
        <x:v>124.781017</x:v>
      </x:c>
      <x:c r="AA874" s="34" t="n">
        <x:v>26.08177</x:v>
      </x:c>
      <x:c r="AB874" s="34" t="n">
        <x:v>328.220861</x:v>
      </x:c>
      <x:c r="AC874" s="34" t="n">
        <x:v>40363.359</x:v>
      </x:c>
      <x:c r="AD874" s="34" t="n">
        <x:v>122.976215</x:v>
      </x:c>
      <x:c r="AE874" s="40" t="b">
        <x:v>1</x:v>
      </x:c>
      <x:c r="AF874" s="40" t="b">
        <x:v>1</x:v>
      </x:c>
      <x:c r="AG874" s="34" t="str"/>
      <x:c r="AH874" s="34" t="n">
        <x:v>0</x:v>
      </x:c>
      <x:c r="AI874" s="34" t="str">
        <x:v>1.265341119704999e-05</x:v>
      </x:c>
      <x:c r="AJ874" s="40" t="b">
        <x:v>1</x:v>
      </x:c>
      <x:c r="AK874" s="40" t="b">
        <x:v>1</x:v>
      </x:c>
      <x:c r="AL874" s="40" t="b">
        <x:v>1</x:v>
      </x:c>
      <x:c r="AM874" s="40" t="b">
        <x:v>1</x:v>
      </x:c>
      <x:c r="AN874" s="34" t="str"/>
      <x:c r="AO874" s="34" t="n">
        <x:v>0</x:v>
      </x:c>
      <x:c r="AP874" s="34" t="n">
        <x:v>0</x:v>
      </x:c>
      <x:c r="AQ874" s="34" t="n">
        <x:v>0</x:v>
      </x:c>
      <x:c r="AR874" s="34" t="n">
        <x:v>3</x:v>
      </x:c>
      <x:c r="AS874" s="34" t="n">
        <x:v>3</x:v>
      </x:c>
      <x:c r="AT874" s="34" t="n">
        <x:v>0.41232239999999987</x:v>
      </x:c>
      <x:c r="AU874" s="34" t="n">
        <x:v>0.65</x:v>
      </x:c>
      <x:c r="AV874" s="34" t="n">
        <x:v>1.78</x:v>
      </x:c>
    </x:row>
    <x:row r="875">
      <x:c r="A875" s="34" t="str">
        <x:v>JFE_STEEL_JP</x:v>
      </x:c>
      <x:c r="B875" s="34" t="str">
        <x:v>JFE Steel</x:v>
      </x:c>
      <x:c r="C875" s="34" t="str">
        <x:v>DISCLOSED_PATH</x:v>
      </x:c>
      <x:c r="D875" s="34" t="str">
        <x:v>P3</x:v>
      </x:c>
      <x:c r="E875" s="34" t="n">
        <x:v>2029</x:v>
      </x:c>
      <x:c r="F875" s="34" t="n">
        <x:v>1</x:v>
      </x:c>
      <x:c r="G875" s="34" t="n">
        <x:v>6.120001</x:v>
      </x:c>
      <x:c r="H875" s="34" t="n">
        <x:v>7.25</x:v>
      </x:c>
      <x:c r="I875" s="34" t="n">
        <x:v>1.129999</x:v>
      </x:c>
      <x:c r="J875" s="34" t="n">
        <x:v>84.414</x:v>
      </x:c>
      <x:c r="K875" s="34" t="n">
        <x:v>0</x:v>
      </x:c>
      <x:c r="L875" s="34" t="n">
        <x:v>0.30000000000000004</x:v>
      </x:c>
      <x:c r="M875" s="34" t="n">
        <x:v>0.3</x:v>
      </x:c>
      <x:c r="N875" s="34" t="n">
        <x:v>0</x:v>
      </x:c>
      <x:c r="O875" s="34" t="n">
        <x:v>3.808</x:v>
      </x:c>
      <x:c r="P875" s="34" t="n">
        <x:v>4.125</x:v>
      </x:c>
      <x:c r="Q875" s="34" t="n">
        <x:v>0.317</x:v>
      </x:c>
      <x:c r="R875" s="34" t="n">
        <x:v>92.315</x:v>
      </x:c>
      <x:c r="S875" s="40" t="b">
        <x:v>1</x:v>
      </x:c>
      <x:c r="T875" s="34" t="str">
        <x:v>model_interpolation</x:v>
      </x:c>
      <x:c r="U875" s="34" t="str">
        <x:v>Linear interpolation from 2026 to 2030</x:v>
      </x:c>
      <x:c r="V875" s="34" t="str">
        <x:v>CAND-E8FAD9BDD034A5</x:v>
      </x:c>
      <x:c r="W875" s="34" t="str">
        <x:v>P3</x:v>
      </x:c>
      <x:c r="X875" s="34" t="str">
        <x:v>PORT-51A2628EF9C2</x:v>
      </x:c>
      <x:c r="Y875" s="34" t="n">
        <x:v>1000</x:v>
      </x:c>
      <x:c r="Z875" s="34" t="n">
        <x:v>124.781017</x:v>
      </x:c>
      <x:c r="AA875" s="34" t="n">
        <x:v>26.08177</x:v>
      </x:c>
      <x:c r="AB875" s="34" t="n">
        <x:v>328.220861</x:v>
      </x:c>
      <x:c r="AC875" s="34" t="n">
        <x:v>40363.359</x:v>
      </x:c>
      <x:c r="AD875" s="34" t="n">
        <x:v>122.976215</x:v>
      </x:c>
      <x:c r="AE875" s="40" t="b">
        <x:v>1</x:v>
      </x:c>
      <x:c r="AF875" s="40" t="b">
        <x:v>1</x:v>
      </x:c>
      <x:c r="AG875" s="34" t="str"/>
      <x:c r="AH875" s="34" t="n">
        <x:v>0</x:v>
      </x:c>
      <x:c r="AI875" s="34" t="str">
        <x:v>1.265341119704999e-05</x:v>
      </x:c>
      <x:c r="AJ875" s="40" t="b">
        <x:v>1</x:v>
      </x:c>
      <x:c r="AK875" s="40" t="b">
        <x:v>1</x:v>
      </x:c>
      <x:c r="AL875" s="40" t="b">
        <x:v>1</x:v>
      </x:c>
      <x:c r="AM875" s="40" t="b">
        <x:v>1</x:v>
      </x:c>
      <x:c r="AN875" s="34" t="str"/>
      <x:c r="AO875" s="34" t="n">
        <x:v>0</x:v>
      </x:c>
      <x:c r="AP875" s="34" t="n">
        <x:v>0</x:v>
      </x:c>
      <x:c r="AQ875" s="34" t="n">
        <x:v>0</x:v>
      </x:c>
      <x:c r="AR875" s="34" t="n">
        <x:v>3</x:v>
      </x:c>
      <x:c r="AS875" s="34" t="n">
        <x:v>3</x:v>
      </x:c>
      <x:c r="AT875" s="34" t="n">
        <x:v>0.41232239999999987</x:v>
      </x:c>
      <x:c r="AU875" s="34" t="n">
        <x:v>0.65</x:v>
      </x:c>
      <x:c r="AV875" s="34" t="n">
        <x:v>1.78</x:v>
      </x:c>
    </x:row>
    <x:row r="876">
      <x:c r="A876" s="34" t="str">
        <x:v>JFE_STEEL_JP</x:v>
      </x:c>
      <x:c r="B876" s="34" t="str">
        <x:v>JFE Steel</x:v>
      </x:c>
      <x:c r="C876" s="34" t="str">
        <x:v>DISCLOSED_PATH</x:v>
      </x:c>
      <x:c r="D876" s="34" t="str">
        <x:v>P3</x:v>
      </x:c>
      <x:c r="E876" s="34" t="n">
        <x:v>2030</x:v>
      </x:c>
      <x:c r="F876" s="34" t="n">
        <x:v>1</x:v>
      </x:c>
      <x:c r="G876" s="34" t="n">
        <x:v>6.120001</x:v>
      </x:c>
      <x:c r="H876" s="34" t="n">
        <x:v>8</x:v>
      </x:c>
      <x:c r="I876" s="34" t="n">
        <x:v>1.879999</x:v>
      </x:c>
      <x:c r="J876" s="34" t="n">
        <x:v>76.5</x:v>
      </x:c>
      <x:c r="K876" s="34" t="n">
        <x:v>0</x:v>
      </x:c>
      <x:c r="L876" s="34" t="n">
        <x:v>0.4</x:v>
      </x:c>
      <x:c r="M876" s="34" t="n">
        <x:v>0.4</x:v>
      </x:c>
      <x:c r="N876" s="34" t="n">
        <x:v>0</x:v>
      </x:c>
      <x:c r="O876" s="34" t="n">
        <x:v>3.808</x:v>
      </x:c>
      <x:c r="P876" s="34" t="n">
        <x:v>5</x:v>
      </x:c>
      <x:c r="Q876" s="34" t="n">
        <x:v>1.192</x:v>
      </x:c>
      <x:c r="R876" s="34" t="n">
        <x:v>76.16</x:v>
      </x:c>
      <x:c r="S876" s="40" t="b">
        <x:v>1</x:v>
      </x:c>
      <x:c r="T876" s="34" t="str">
        <x:v>model_interpolation</x:v>
      </x:c>
      <x:c r="U876" s="34" t="str">
        <x:v>Linear interpolation from 2030 to 2035</x:v>
      </x:c>
      <x:c r="V876" s="34" t="str">
        <x:v>CAND-E8FAD9BDD034A5</x:v>
      </x:c>
      <x:c r="W876" s="34" t="str">
        <x:v>P3</x:v>
      </x:c>
      <x:c r="X876" s="34" t="str">
        <x:v>PORT-51A2628EF9C2</x:v>
      </x:c>
      <x:c r="Y876" s="34" t="n">
        <x:v>1000</x:v>
      </x:c>
      <x:c r="Z876" s="34" t="n">
        <x:v>124.781017</x:v>
      </x:c>
      <x:c r="AA876" s="34" t="n">
        <x:v>26.08177</x:v>
      </x:c>
      <x:c r="AB876" s="34" t="n">
        <x:v>328.220861</x:v>
      </x:c>
      <x:c r="AC876" s="34" t="n">
        <x:v>40363.359</x:v>
      </x:c>
      <x:c r="AD876" s="34" t="n">
        <x:v>122.976215</x:v>
      </x:c>
      <x:c r="AE876" s="40" t="b">
        <x:v>1</x:v>
      </x:c>
      <x:c r="AF876" s="40" t="b">
        <x:v>1</x:v>
      </x:c>
      <x:c r="AG876" s="34" t="str"/>
      <x:c r="AH876" s="34" t="n">
        <x:v>0</x:v>
      </x:c>
      <x:c r="AI876" s="34" t="str">
        <x:v>1.265341119704999e-05</x:v>
      </x:c>
      <x:c r="AJ876" s="40" t="b">
        <x:v>1</x:v>
      </x:c>
      <x:c r="AK876" s="40" t="b">
        <x:v>1</x:v>
      </x:c>
      <x:c r="AL876" s="40" t="b">
        <x:v>1</x:v>
      </x:c>
      <x:c r="AM876" s="40" t="b">
        <x:v>1</x:v>
      </x:c>
      <x:c r="AN876" s="34" t="str"/>
      <x:c r="AO876" s="34" t="n">
        <x:v>0</x:v>
      </x:c>
      <x:c r="AP876" s="34" t="n">
        <x:v>0</x:v>
      </x:c>
      <x:c r="AQ876" s="34" t="n">
        <x:v>0</x:v>
      </x:c>
      <x:c r="AR876" s="34" t="n">
        <x:v>3</x:v>
      </x:c>
      <x:c r="AS876" s="34" t="n">
        <x:v>3</x:v>
      </x:c>
      <x:c r="AT876" s="34" t="n">
        <x:v>0.41232239999999987</x:v>
      </x:c>
      <x:c r="AU876" s="34" t="n">
        <x:v>0.65</x:v>
      </x:c>
      <x:c r="AV876" s="34" t="n">
        <x:v>1.78</x:v>
      </x:c>
    </x:row>
    <x:row r="877">
      <x:c r="A877" s="34" t="str">
        <x:v>JFE_STEEL_JP</x:v>
      </x:c>
      <x:c r="B877" s="34" t="str">
        <x:v>JFE Steel</x:v>
      </x:c>
      <x:c r="C877" s="34" t="str">
        <x:v>DISCLOSED_PATH</x:v>
      </x:c>
      <x:c r="D877" s="34" t="str">
        <x:v>P3</x:v>
      </x:c>
      <x:c r="E877" s="34" t="n">
        <x:v>2031</x:v>
      </x:c>
      <x:c r="F877" s="34" t="n">
        <x:v>1</x:v>
      </x:c>
      <x:c r="G877" s="34" t="n">
        <x:v>6.120001</x:v>
      </x:c>
      <x:c r="H877" s="34" t="n">
        <x:v>8.8</x:v>
      </x:c>
      <x:c r="I877" s="34" t="n">
        <x:v>2.679999</x:v>
      </x:c>
      <x:c r="J877" s="34" t="n">
        <x:v>69.545</x:v>
      </x:c>
      <x:c r="K877" s="34" t="n">
        <x:v>0</x:v>
      </x:c>
      <x:c r="L877" s="34" t="n">
        <x:v>0.56</x:v>
      </x:c>
      <x:c r="M877" s="34" t="n">
        <x:v>0.56</x:v>
      </x:c>
      <x:c r="N877" s="34" t="n">
        <x:v>0</x:v>
      </x:c>
      <x:c r="O877" s="34" t="n">
        <x:v>3.808</x:v>
      </x:c>
      <x:c r="P877" s="34" t="n">
        <x:v>6</x:v>
      </x:c>
      <x:c r="Q877" s="34" t="n">
        <x:v>2.192</x:v>
      </x:c>
      <x:c r="R877" s="34" t="n">
        <x:v>63.467</x:v>
      </x:c>
      <x:c r="S877" s="40" t="b">
        <x:v>1</x:v>
      </x:c>
      <x:c r="T877" s="34" t="str">
        <x:v>model_interpolation</x:v>
      </x:c>
      <x:c r="U877" s="34" t="str">
        <x:v>Linear interpolation from 2030 to 2035</x:v>
      </x:c>
      <x:c r="V877" s="34" t="str">
        <x:v>CAND-E8FAD9BDD034A5</x:v>
      </x:c>
      <x:c r="W877" s="34" t="str">
        <x:v>P3</x:v>
      </x:c>
      <x:c r="X877" s="34" t="str">
        <x:v>PORT-51A2628EF9C2</x:v>
      </x:c>
      <x:c r="Y877" s="34" t="n">
        <x:v>1000</x:v>
      </x:c>
      <x:c r="Z877" s="34" t="n">
        <x:v>124.781017</x:v>
      </x:c>
      <x:c r="AA877" s="34" t="n">
        <x:v>26.08177</x:v>
      </x:c>
      <x:c r="AB877" s="34" t="n">
        <x:v>328.220861</x:v>
      </x:c>
      <x:c r="AC877" s="34" t="n">
        <x:v>40363.359</x:v>
      </x:c>
      <x:c r="AD877" s="34" t="n">
        <x:v>122.976215</x:v>
      </x:c>
      <x:c r="AE877" s="40" t="b">
        <x:v>1</x:v>
      </x:c>
      <x:c r="AF877" s="40" t="b">
        <x:v>1</x:v>
      </x:c>
      <x:c r="AG877" s="34" t="str"/>
      <x:c r="AH877" s="34" t="n">
        <x:v>0</x:v>
      </x:c>
      <x:c r="AI877" s="34" t="str">
        <x:v>1.265341119704999e-05</x:v>
      </x:c>
      <x:c r="AJ877" s="40" t="b">
        <x:v>1</x:v>
      </x:c>
      <x:c r="AK877" s="40" t="b">
        <x:v>1</x:v>
      </x:c>
      <x:c r="AL877" s="40" t="b">
        <x:v>1</x:v>
      </x:c>
      <x:c r="AM877" s="40" t="b">
        <x:v>1</x:v>
      </x:c>
      <x:c r="AN877" s="34" t="str"/>
      <x:c r="AO877" s="34" t="n">
        <x:v>0</x:v>
      </x:c>
      <x:c r="AP877" s="34" t="n">
        <x:v>0</x:v>
      </x:c>
      <x:c r="AQ877" s="34" t="n">
        <x:v>0</x:v>
      </x:c>
      <x:c r="AR877" s="34" t="n">
        <x:v>3</x:v>
      </x:c>
      <x:c r="AS877" s="34" t="n">
        <x:v>3</x:v>
      </x:c>
      <x:c r="AT877" s="34" t="n">
        <x:v>0.41232239999999987</x:v>
      </x:c>
      <x:c r="AU877" s="34" t="n">
        <x:v>0.65</x:v>
      </x:c>
      <x:c r="AV877" s="34" t="n">
        <x:v>1.78</x:v>
      </x:c>
    </x:row>
    <x:row r="878">
      <x:c r="A878" s="34" t="str">
        <x:v>JFE_STEEL_JP</x:v>
      </x:c>
      <x:c r="B878" s="34" t="str">
        <x:v>JFE Steel</x:v>
      </x:c>
      <x:c r="C878" s="34" t="str">
        <x:v>DISCLOSED_PATH</x:v>
      </x:c>
      <x:c r="D878" s="34" t="str">
        <x:v>P3</x:v>
      </x:c>
      <x:c r="E878" s="34" t="n">
        <x:v>2032</x:v>
      </x:c>
      <x:c r="F878" s="34" t="n">
        <x:v>1</x:v>
      </x:c>
      <x:c r="G878" s="34" t="n">
        <x:v>6.120001</x:v>
      </x:c>
      <x:c r="H878" s="34" t="n">
        <x:v>9.6</x:v>
      </x:c>
      <x:c r="I878" s="34" t="n">
        <x:v>3.479999</x:v>
      </x:c>
      <x:c r="J878" s="34" t="n">
        <x:v>63.75</x:v>
      </x:c>
      <x:c r="K878" s="34" t="n">
        <x:v>0</x:v>
      </x:c>
      <x:c r="L878" s="34" t="n">
        <x:v>0.72</x:v>
      </x:c>
      <x:c r="M878" s="34" t="n">
        <x:v>0.72</x:v>
      </x:c>
      <x:c r="N878" s="34" t="n">
        <x:v>0</x:v>
      </x:c>
      <x:c r="O878" s="34" t="n">
        <x:v>3.808</x:v>
      </x:c>
      <x:c r="P878" s="34" t="n">
        <x:v>7</x:v>
      </x:c>
      <x:c r="Q878" s="34" t="n">
        <x:v>3.192</x:v>
      </x:c>
      <x:c r="R878" s="34" t="n">
        <x:v>54.4</x:v>
      </x:c>
      <x:c r="S878" s="40" t="b">
        <x:v>1</x:v>
      </x:c>
      <x:c r="T878" s="34" t="str">
        <x:v>model_interpolation</x:v>
      </x:c>
      <x:c r="U878" s="34" t="str">
        <x:v>Linear interpolation from 2030 to 2035</x:v>
      </x:c>
      <x:c r="V878" s="34" t="str">
        <x:v>CAND-E8FAD9BDD034A5</x:v>
      </x:c>
      <x:c r="W878" s="34" t="str">
        <x:v>P3</x:v>
      </x:c>
      <x:c r="X878" s="34" t="str">
        <x:v>PORT-51A2628EF9C2</x:v>
      </x:c>
      <x:c r="Y878" s="34" t="n">
        <x:v>1000</x:v>
      </x:c>
      <x:c r="Z878" s="34" t="n">
        <x:v>124.781017</x:v>
      </x:c>
      <x:c r="AA878" s="34" t="n">
        <x:v>26.08177</x:v>
      </x:c>
      <x:c r="AB878" s="34" t="n">
        <x:v>328.220861</x:v>
      </x:c>
      <x:c r="AC878" s="34" t="n">
        <x:v>40363.359</x:v>
      </x:c>
      <x:c r="AD878" s="34" t="n">
        <x:v>122.976215</x:v>
      </x:c>
      <x:c r="AE878" s="40" t="b">
        <x:v>1</x:v>
      </x:c>
      <x:c r="AF878" s="40" t="b">
        <x:v>1</x:v>
      </x:c>
      <x:c r="AG878" s="34" t="str"/>
      <x:c r="AH878" s="34" t="n">
        <x:v>0</x:v>
      </x:c>
      <x:c r="AI878" s="34" t="str">
        <x:v>1.265341119704999e-05</x:v>
      </x:c>
      <x:c r="AJ878" s="40" t="b">
        <x:v>1</x:v>
      </x:c>
      <x:c r="AK878" s="40" t="b">
        <x:v>1</x:v>
      </x:c>
      <x:c r="AL878" s="40" t="b">
        <x:v>1</x:v>
      </x:c>
      <x:c r="AM878" s="40" t="b">
        <x:v>1</x:v>
      </x:c>
      <x:c r="AN878" s="34" t="str"/>
      <x:c r="AO878" s="34" t="n">
        <x:v>0</x:v>
      </x:c>
      <x:c r="AP878" s="34" t="n">
        <x:v>0</x:v>
      </x:c>
      <x:c r="AQ878" s="34" t="n">
        <x:v>0</x:v>
      </x:c>
      <x:c r="AR878" s="34" t="n">
        <x:v>3</x:v>
      </x:c>
      <x:c r="AS878" s="34" t="n">
        <x:v>3</x:v>
      </x:c>
      <x:c r="AT878" s="34" t="n">
        <x:v>0.41232239999999987</x:v>
      </x:c>
      <x:c r="AU878" s="34" t="n">
        <x:v>0.65</x:v>
      </x:c>
      <x:c r="AV878" s="34" t="n">
        <x:v>1.78</x:v>
      </x:c>
    </x:row>
    <x:row r="879">
      <x:c r="A879" s="34" t="str">
        <x:v>JFE_STEEL_JP</x:v>
      </x:c>
      <x:c r="B879" s="34" t="str">
        <x:v>JFE Steel</x:v>
      </x:c>
      <x:c r="C879" s="34" t="str">
        <x:v>DISCLOSED_PATH</x:v>
      </x:c>
      <x:c r="D879" s="34" t="str">
        <x:v>P3</x:v>
      </x:c>
      <x:c r="E879" s="34" t="n">
        <x:v>2033</x:v>
      </x:c>
      <x:c r="F879" s="34" t="n">
        <x:v>3</x:v>
      </x:c>
      <x:c r="G879" s="34" t="n">
        <x:v>8.1</x:v>
      </x:c>
      <x:c r="H879" s="34" t="n">
        <x:v>10.4</x:v>
      </x:c>
      <x:c r="I879" s="34" t="n">
        <x:v>2.3</x:v>
      </x:c>
      <x:c r="J879" s="34" t="n">
        <x:v>77.885</x:v>
      </x:c>
      <x:c r="K879" s="34" t="n">
        <x:v>0.495</x:v>
      </x:c>
      <x:c r="L879" s="34" t="n">
        <x:v>0.8799999999999999</x:v>
      </x:c>
      <x:c r="M879" s="34" t="n">
        <x:v>0.385</x:v>
      </x:c>
      <x:c r="N879" s="34" t="n">
        <x:v>56.25</x:v>
      </x:c>
      <x:c r="O879" s="34" t="n">
        <x:v>7.961999</x:v>
      </x:c>
      <x:c r="P879" s="34" t="n">
        <x:v>8</x:v>
      </x:c>
      <x:c r="Q879" s="34" t="n">
        <x:v>0.038001</x:v>
      </x:c>
      <x:c r="R879" s="34" t="n">
        <x:v>99.525</x:v>
      </x:c>
      <x:c r="S879" s="40" t="b">
        <x:v>1</x:v>
      </x:c>
      <x:c r="T879" s="34" t="str">
        <x:v>model_interpolation</x:v>
      </x:c>
      <x:c r="U879" s="34" t="str">
        <x:v>Linear interpolation from 2030 to 2035</x:v>
      </x:c>
      <x:c r="V879" s="34" t="str">
        <x:v>CAND-E8FAD9BDD034A5</x:v>
      </x:c>
      <x:c r="W879" s="34" t="str">
        <x:v>P3</x:v>
      </x:c>
      <x:c r="X879" s="34" t="str">
        <x:v>PORT-51A2628EF9C2</x:v>
      </x:c>
      <x:c r="Y879" s="34" t="n">
        <x:v>1000</x:v>
      </x:c>
      <x:c r="Z879" s="34" t="n">
        <x:v>124.781017</x:v>
      </x:c>
      <x:c r="AA879" s="34" t="n">
        <x:v>26.08177</x:v>
      </x:c>
      <x:c r="AB879" s="34" t="n">
        <x:v>328.220861</x:v>
      </x:c>
      <x:c r="AC879" s="34" t="n">
        <x:v>40363.359</x:v>
      </x:c>
      <x:c r="AD879" s="34" t="n">
        <x:v>122.976215</x:v>
      </x:c>
      <x:c r="AE879" s="40" t="b">
        <x:v>1</x:v>
      </x:c>
      <x:c r="AF879" s="40" t="b">
        <x:v>1</x:v>
      </x:c>
      <x:c r="AG879" s="34" t="str"/>
      <x:c r="AH879" s="34" t="n">
        <x:v>0</x:v>
      </x:c>
      <x:c r="AI879" s="34" t="str">
        <x:v>1.265341119704999e-05</x:v>
      </x:c>
      <x:c r="AJ879" s="40" t="b">
        <x:v>1</x:v>
      </x:c>
      <x:c r="AK879" s="40" t="b">
        <x:v>1</x:v>
      </x:c>
      <x:c r="AL879" s="40" t="b">
        <x:v>1</x:v>
      </x:c>
      <x:c r="AM879" s="40" t="b">
        <x:v>1</x:v>
      </x:c>
      <x:c r="AN879" s="34" t="str"/>
      <x:c r="AO879" s="34" t="n">
        <x:v>0</x:v>
      </x:c>
      <x:c r="AP879" s="34" t="n">
        <x:v>0</x:v>
      </x:c>
      <x:c r="AQ879" s="34" t="n">
        <x:v>0</x:v>
      </x:c>
      <x:c r="AR879" s="34" t="n">
        <x:v>3</x:v>
      </x:c>
      <x:c r="AS879" s="34" t="n">
        <x:v>3</x:v>
      </x:c>
      <x:c r="AT879" s="34" t="n">
        <x:v>0.41232239999999987</x:v>
      </x:c>
      <x:c r="AU879" s="34" t="n">
        <x:v>0.65</x:v>
      </x:c>
      <x:c r="AV879" s="34" t="n">
        <x:v>1.78</x:v>
      </x:c>
    </x:row>
    <x:row r="880">
      <x:c r="A880" s="34" t="str">
        <x:v>JFE_STEEL_JP</x:v>
      </x:c>
      <x:c r="B880" s="34" t="str">
        <x:v>JFE Steel</x:v>
      </x:c>
      <x:c r="C880" s="34" t="str">
        <x:v>DISCLOSED_PATH</x:v>
      </x:c>
      <x:c r="D880" s="34" t="str">
        <x:v>P3</x:v>
      </x:c>
      <x:c r="E880" s="34" t="n">
        <x:v>2034</x:v>
      </x:c>
      <x:c r="F880" s="34" t="n">
        <x:v>3</x:v>
      </x:c>
      <x:c r="G880" s="34" t="n">
        <x:v>8.1</x:v>
      </x:c>
      <x:c r="H880" s="34" t="n">
        <x:v>11.2</x:v>
      </x:c>
      <x:c r="I880" s="34" t="n">
        <x:v>3.1</x:v>
      </x:c>
      <x:c r="J880" s="34" t="n">
        <x:v>72.321</x:v>
      </x:c>
      <x:c r="K880" s="34" t="n">
        <x:v>0.495</x:v>
      </x:c>
      <x:c r="L880" s="34" t="n">
        <x:v>1.04</x:v>
      </x:c>
      <x:c r="M880" s="34" t="n">
        <x:v>0.545</x:v>
      </x:c>
      <x:c r="N880" s="34" t="n">
        <x:v>47.596</x:v>
      </x:c>
      <x:c r="O880" s="34" t="n">
        <x:v>7.961999</x:v>
      </x:c>
      <x:c r="P880" s="34" t="n">
        <x:v>9</x:v>
      </x:c>
      <x:c r="Q880" s="34" t="n">
        <x:v>1.038001</x:v>
      </x:c>
      <x:c r="R880" s="34" t="n">
        <x:v>88.467</x:v>
      </x:c>
      <x:c r="S880" s="40" t="b">
        <x:v>1</x:v>
      </x:c>
      <x:c r="T880" s="34" t="str">
        <x:v>model_interpolation</x:v>
      </x:c>
      <x:c r="U880" s="34" t="str">
        <x:v>Linear interpolation from 2030 to 2035</x:v>
      </x:c>
      <x:c r="V880" s="34" t="str">
        <x:v>CAND-E8FAD9BDD034A5</x:v>
      </x:c>
      <x:c r="W880" s="34" t="str">
        <x:v>P3</x:v>
      </x:c>
      <x:c r="X880" s="34" t="str">
        <x:v>PORT-51A2628EF9C2</x:v>
      </x:c>
      <x:c r="Y880" s="34" t="n">
        <x:v>1000</x:v>
      </x:c>
      <x:c r="Z880" s="34" t="n">
        <x:v>124.781017</x:v>
      </x:c>
      <x:c r="AA880" s="34" t="n">
        <x:v>26.08177</x:v>
      </x:c>
      <x:c r="AB880" s="34" t="n">
        <x:v>328.220861</x:v>
      </x:c>
      <x:c r="AC880" s="34" t="n">
        <x:v>40363.359</x:v>
      </x:c>
      <x:c r="AD880" s="34" t="n">
        <x:v>122.976215</x:v>
      </x:c>
      <x:c r="AE880" s="40" t="b">
        <x:v>1</x:v>
      </x:c>
      <x:c r="AF880" s="40" t="b">
        <x:v>1</x:v>
      </x:c>
      <x:c r="AG880" s="34" t="str"/>
      <x:c r="AH880" s="34" t="n">
        <x:v>0</x:v>
      </x:c>
      <x:c r="AI880" s="34" t="str">
        <x:v>1.265341119704999e-05</x:v>
      </x:c>
      <x:c r="AJ880" s="40" t="b">
        <x:v>1</x:v>
      </x:c>
      <x:c r="AK880" s="40" t="b">
        <x:v>1</x:v>
      </x:c>
      <x:c r="AL880" s="40" t="b">
        <x:v>1</x:v>
      </x:c>
      <x:c r="AM880" s="40" t="b">
        <x:v>1</x:v>
      </x:c>
      <x:c r="AN880" s="34" t="str"/>
      <x:c r="AO880" s="34" t="n">
        <x:v>0</x:v>
      </x:c>
      <x:c r="AP880" s="34" t="n">
        <x:v>0</x:v>
      </x:c>
      <x:c r="AQ880" s="34" t="n">
        <x:v>0</x:v>
      </x:c>
      <x:c r="AR880" s="34" t="n">
        <x:v>3</x:v>
      </x:c>
      <x:c r="AS880" s="34" t="n">
        <x:v>3</x:v>
      </x:c>
      <x:c r="AT880" s="34" t="n">
        <x:v>0.41232239999999987</x:v>
      </x:c>
      <x:c r="AU880" s="34" t="n">
        <x:v>0.65</x:v>
      </x:c>
      <x:c r="AV880" s="34" t="n">
        <x:v>1.78</x:v>
      </x:c>
    </x:row>
    <x:row r="881">
      <x:c r="A881" s="34" t="str">
        <x:v>JFE_STEEL_JP</x:v>
      </x:c>
      <x:c r="B881" s="34" t="str">
        <x:v>JFE Steel</x:v>
      </x:c>
      <x:c r="C881" s="34" t="str">
        <x:v>DISCLOSED_PATH</x:v>
      </x:c>
      <x:c r="D881" s="34" t="str">
        <x:v>P3</x:v>
      </x:c>
      <x:c r="E881" s="34" t="n">
        <x:v>2035</x:v>
      </x:c>
      <x:c r="F881" s="34" t="n">
        <x:v>3</x:v>
      </x:c>
      <x:c r="G881" s="34" t="n">
        <x:v>8.1</x:v>
      </x:c>
      <x:c r="H881" s="34" t="n">
        <x:v>12</x:v>
      </x:c>
      <x:c r="I881" s="34" t="n">
        <x:v>3.9</x:v>
      </x:c>
      <x:c r="J881" s="34" t="n">
        <x:v>67.5</x:v>
      </x:c>
      <x:c r="K881" s="34" t="n">
        <x:v>0.495</x:v>
      </x:c>
      <x:c r="L881" s="34" t="n">
        <x:v>1.2</x:v>
      </x:c>
      <x:c r="M881" s="34" t="n">
        <x:v>0.705</x:v>
      </x:c>
      <x:c r="N881" s="34" t="n">
        <x:v>41.25</x:v>
      </x:c>
      <x:c r="O881" s="34" t="n">
        <x:v>7.961999</x:v>
      </x:c>
      <x:c r="P881" s="34" t="n">
        <x:v>10</x:v>
      </x:c>
      <x:c r="Q881" s="34" t="n">
        <x:v>2.038001</x:v>
      </x:c>
      <x:c r="R881" s="34" t="n">
        <x:v>79.62</x:v>
      </x:c>
      <x:c r="S881" s="40" t="b">
        <x:v>1</x:v>
      </x:c>
      <x:c r="T881" s="34" t="str">
        <x:v>model_interpolation</x:v>
      </x:c>
      <x:c r="U881" s="34" t="str">
        <x:v>Linear interpolation from 2035 to 2040</x:v>
      </x:c>
      <x:c r="V881" s="34" t="str">
        <x:v>CAND-E8FAD9BDD034A5</x:v>
      </x:c>
      <x:c r="W881" s="34" t="str">
        <x:v>P3</x:v>
      </x:c>
      <x:c r="X881" s="34" t="str">
        <x:v>PORT-51A2628EF9C2</x:v>
      </x:c>
      <x:c r="Y881" s="34" t="n">
        <x:v>1000</x:v>
      </x:c>
      <x:c r="Z881" s="34" t="n">
        <x:v>124.781017</x:v>
      </x:c>
      <x:c r="AA881" s="34" t="n">
        <x:v>26.08177</x:v>
      </x:c>
      <x:c r="AB881" s="34" t="n">
        <x:v>328.220861</x:v>
      </x:c>
      <x:c r="AC881" s="34" t="n">
        <x:v>40363.359</x:v>
      </x:c>
      <x:c r="AD881" s="34" t="n">
        <x:v>122.976215</x:v>
      </x:c>
      <x:c r="AE881" s="40" t="b">
        <x:v>1</x:v>
      </x:c>
      <x:c r="AF881" s="40" t="b">
        <x:v>1</x:v>
      </x:c>
      <x:c r="AG881" s="34" t="str"/>
      <x:c r="AH881" s="34" t="n">
        <x:v>0</x:v>
      </x:c>
      <x:c r="AI881" s="34" t="str">
        <x:v>1.265341119704999e-05</x:v>
      </x:c>
      <x:c r="AJ881" s="40" t="b">
        <x:v>1</x:v>
      </x:c>
      <x:c r="AK881" s="40" t="b">
        <x:v>1</x:v>
      </x:c>
      <x:c r="AL881" s="40" t="b">
        <x:v>1</x:v>
      </x:c>
      <x:c r="AM881" s="40" t="b">
        <x:v>1</x:v>
      </x:c>
      <x:c r="AN881" s="34" t="str"/>
      <x:c r="AO881" s="34" t="n">
        <x:v>0</x:v>
      </x:c>
      <x:c r="AP881" s="34" t="n">
        <x:v>0</x:v>
      </x:c>
      <x:c r="AQ881" s="34" t="n">
        <x:v>0</x:v>
      </x:c>
      <x:c r="AR881" s="34" t="n">
        <x:v>3</x:v>
      </x:c>
      <x:c r="AS881" s="34" t="n">
        <x:v>3</x:v>
      </x:c>
      <x:c r="AT881" s="34" t="n">
        <x:v>0.41232239999999987</x:v>
      </x:c>
      <x:c r="AU881" s="34" t="n">
        <x:v>0.65</x:v>
      </x:c>
      <x:c r="AV881" s="34" t="n">
        <x:v>1.78</x:v>
      </x:c>
    </x:row>
    <x:row r="882">
      <x:c r="A882" s="34" t="str">
        <x:v>JFE_STEEL_JP</x:v>
      </x:c>
      <x:c r="B882" s="34" t="str">
        <x:v>JFE Steel</x:v>
      </x:c>
      <x:c r="C882" s="34" t="str">
        <x:v>DISCLOSED_PATH</x:v>
      </x:c>
      <x:c r="D882" s="34" t="str">
        <x:v>P3</x:v>
      </x:c>
      <x:c r="E882" s="34" t="n">
        <x:v>2036</x:v>
      </x:c>
      <x:c r="F882" s="34" t="n">
        <x:v>4</x:v>
      </x:c>
      <x:c r="G882" s="34" t="n">
        <x:v>8.9175</x:v>
      </x:c>
      <x:c r="H882" s="34" t="n">
        <x:v>13</x:v>
      </x:c>
      <x:c r="I882" s="34" t="n">
        <x:v>4.0825</x:v>
      </x:c>
      <x:c r="J882" s="34" t="n">
        <x:v>68.596</x:v>
      </x:c>
      <x:c r="K882" s="34" t="n">
        <x:v>0.79475</x:v>
      </x:c>
      <x:c r="L882" s="34" t="n">
        <x:v>1.4</x:v>
      </x:c>
      <x:c r="M882" s="34" t="n">
        <x:v>0.60525</x:v>
      </x:c>
      <x:c r="N882" s="34" t="n">
        <x:v>56.768</x:v>
      </x:c>
      <x:c r="O882" s="34" t="n">
        <x:v>10.468998</x:v>
      </x:c>
      <x:c r="P882" s="34" t="n">
        <x:v>11.4</x:v>
      </x:c>
      <x:c r="Q882" s="34" t="n">
        <x:v>0.931002</x:v>
      </x:c>
      <x:c r="R882" s="34" t="n">
        <x:v>91.833</x:v>
      </x:c>
      <x:c r="S882" s="40" t="b">
        <x:v>1</x:v>
      </x:c>
      <x:c r="T882" s="34" t="str">
        <x:v>model_interpolation</x:v>
      </x:c>
      <x:c r="U882" s="34" t="str">
        <x:v>Linear interpolation from 2035 to 2040</x:v>
      </x:c>
      <x:c r="V882" s="34" t="str">
        <x:v>CAND-E8FAD9BDD034A5</x:v>
      </x:c>
      <x:c r="W882" s="34" t="str">
        <x:v>P3</x:v>
      </x:c>
      <x:c r="X882" s="34" t="str">
        <x:v>PORT-51A2628EF9C2</x:v>
      </x:c>
      <x:c r="Y882" s="34" t="n">
        <x:v>1000</x:v>
      </x:c>
      <x:c r="Z882" s="34" t="n">
        <x:v>124.781017</x:v>
      </x:c>
      <x:c r="AA882" s="34" t="n">
        <x:v>26.08177</x:v>
      </x:c>
      <x:c r="AB882" s="34" t="n">
        <x:v>328.220861</x:v>
      </x:c>
      <x:c r="AC882" s="34" t="n">
        <x:v>40363.359</x:v>
      </x:c>
      <x:c r="AD882" s="34" t="n">
        <x:v>122.976215</x:v>
      </x:c>
      <x:c r="AE882" s="40" t="b">
        <x:v>1</x:v>
      </x:c>
      <x:c r="AF882" s="40" t="b">
        <x:v>1</x:v>
      </x:c>
      <x:c r="AG882" s="34" t="str"/>
      <x:c r="AH882" s="34" t="n">
        <x:v>0</x:v>
      </x:c>
      <x:c r="AI882" s="34" t="str">
        <x:v>1.265341119704999e-05</x:v>
      </x:c>
      <x:c r="AJ882" s="40" t="b">
        <x:v>1</x:v>
      </x:c>
      <x:c r="AK882" s="40" t="b">
        <x:v>1</x:v>
      </x:c>
      <x:c r="AL882" s="40" t="b">
        <x:v>1</x:v>
      </x:c>
      <x:c r="AM882" s="40" t="b">
        <x:v>1</x:v>
      </x:c>
      <x:c r="AN882" s="34" t="str"/>
      <x:c r="AO882" s="34" t="n">
        <x:v>0</x:v>
      </x:c>
      <x:c r="AP882" s="34" t="n">
        <x:v>0</x:v>
      </x:c>
      <x:c r="AQ882" s="34" t="n">
        <x:v>0</x:v>
      </x:c>
      <x:c r="AR882" s="34" t="n">
        <x:v>3</x:v>
      </x:c>
      <x:c r="AS882" s="34" t="n">
        <x:v>3</x:v>
      </x:c>
      <x:c r="AT882" s="34" t="n">
        <x:v>0.41232239999999987</x:v>
      </x:c>
      <x:c r="AU882" s="34" t="n">
        <x:v>0.65</x:v>
      </x:c>
      <x:c r="AV882" s="34" t="n">
        <x:v>1.78</x:v>
      </x:c>
    </x:row>
    <x:row r="883">
      <x:c r="A883" s="34" t="str">
        <x:v>JFE_STEEL_JP</x:v>
      </x:c>
      <x:c r="B883" s="34" t="str">
        <x:v>JFE Steel</x:v>
      </x:c>
      <x:c r="C883" s="34" t="str">
        <x:v>DISCLOSED_PATH</x:v>
      </x:c>
      <x:c r="D883" s="34" t="str">
        <x:v>P3</x:v>
      </x:c>
      <x:c r="E883" s="34" t="n">
        <x:v>2037</x:v>
      </x:c>
      <x:c r="F883" s="34" t="n">
        <x:v>4</x:v>
      </x:c>
      <x:c r="G883" s="34" t="n">
        <x:v>8.9175</x:v>
      </x:c>
      <x:c r="H883" s="34" t="n">
        <x:v>14</x:v>
      </x:c>
      <x:c r="I883" s="34" t="n">
        <x:v>5.0825</x:v>
      </x:c>
      <x:c r="J883" s="34" t="n">
        <x:v>63.696</x:v>
      </x:c>
      <x:c r="K883" s="34" t="n">
        <x:v>0.79475</x:v>
      </x:c>
      <x:c r="L883" s="34" t="n">
        <x:v>1.6</x:v>
      </x:c>
      <x:c r="M883" s="34" t="n">
        <x:v>0.80525</x:v>
      </x:c>
      <x:c r="N883" s="34" t="n">
        <x:v>49.672</x:v>
      </x:c>
      <x:c r="O883" s="34" t="n">
        <x:v>10.468998</x:v>
      </x:c>
      <x:c r="P883" s="34" t="n">
        <x:v>12.8</x:v>
      </x:c>
      <x:c r="Q883" s="34" t="n">
        <x:v>2.331002</x:v>
      </x:c>
      <x:c r="R883" s="34" t="n">
        <x:v>81.789</x:v>
      </x:c>
      <x:c r="S883" s="40" t="b">
        <x:v>1</x:v>
      </x:c>
      <x:c r="T883" s="34" t="str">
        <x:v>model_interpolation</x:v>
      </x:c>
      <x:c r="U883" s="34" t="str">
        <x:v>Linear interpolation from 2035 to 2040</x:v>
      </x:c>
      <x:c r="V883" s="34" t="str">
        <x:v>CAND-E8FAD9BDD034A5</x:v>
      </x:c>
      <x:c r="W883" s="34" t="str">
        <x:v>P3</x:v>
      </x:c>
      <x:c r="X883" s="34" t="str">
        <x:v>PORT-51A2628EF9C2</x:v>
      </x:c>
      <x:c r="Y883" s="34" t="n">
        <x:v>1000</x:v>
      </x:c>
      <x:c r="Z883" s="34" t="n">
        <x:v>124.781017</x:v>
      </x:c>
      <x:c r="AA883" s="34" t="n">
        <x:v>26.08177</x:v>
      </x:c>
      <x:c r="AB883" s="34" t="n">
        <x:v>328.220861</x:v>
      </x:c>
      <x:c r="AC883" s="34" t="n">
        <x:v>40363.359</x:v>
      </x:c>
      <x:c r="AD883" s="34" t="n">
        <x:v>122.976215</x:v>
      </x:c>
      <x:c r="AE883" s="40" t="b">
        <x:v>1</x:v>
      </x:c>
      <x:c r="AF883" s="40" t="b">
        <x:v>1</x:v>
      </x:c>
      <x:c r="AG883" s="34" t="str"/>
      <x:c r="AH883" s="34" t="n">
        <x:v>0</x:v>
      </x:c>
      <x:c r="AI883" s="34" t="str">
        <x:v>1.265341119704999e-05</x:v>
      </x:c>
      <x:c r="AJ883" s="40" t="b">
        <x:v>1</x:v>
      </x:c>
      <x:c r="AK883" s="40" t="b">
        <x:v>1</x:v>
      </x:c>
      <x:c r="AL883" s="40" t="b">
        <x:v>1</x:v>
      </x:c>
      <x:c r="AM883" s="40" t="b">
        <x:v>1</x:v>
      </x:c>
      <x:c r="AN883" s="34" t="str"/>
      <x:c r="AO883" s="34" t="n">
        <x:v>0</x:v>
      </x:c>
      <x:c r="AP883" s="34" t="n">
        <x:v>0</x:v>
      </x:c>
      <x:c r="AQ883" s="34" t="n">
        <x:v>0</x:v>
      </x:c>
      <x:c r="AR883" s="34" t="n">
        <x:v>3</x:v>
      </x:c>
      <x:c r="AS883" s="34" t="n">
        <x:v>3</x:v>
      </x:c>
      <x:c r="AT883" s="34" t="n">
        <x:v>0.41232239999999987</x:v>
      </x:c>
      <x:c r="AU883" s="34" t="n">
        <x:v>0.65</x:v>
      </x:c>
      <x:c r="AV883" s="34" t="n">
        <x:v>1.78</x:v>
      </x:c>
    </x:row>
    <x:row r="884">
      <x:c r="A884" s="34" t="str">
        <x:v>JFE_STEEL_JP</x:v>
      </x:c>
      <x:c r="B884" s="34" t="str">
        <x:v>JFE Steel</x:v>
      </x:c>
      <x:c r="C884" s="34" t="str">
        <x:v>DISCLOSED_PATH</x:v>
      </x:c>
      <x:c r="D884" s="34" t="str">
        <x:v>P3</x:v>
      </x:c>
      <x:c r="E884" s="34" t="n">
        <x:v>2038</x:v>
      </x:c>
      <x:c r="F884" s="34" t="n">
        <x:v>4</x:v>
      </x:c>
      <x:c r="G884" s="34" t="n">
        <x:v>8.9175</x:v>
      </x:c>
      <x:c r="H884" s="34" t="n">
        <x:v>15</x:v>
      </x:c>
      <x:c r="I884" s="34" t="n">
        <x:v>6.0825</x:v>
      </x:c>
      <x:c r="J884" s="34" t="n">
        <x:v>59.45</x:v>
      </x:c>
      <x:c r="K884" s="34" t="n">
        <x:v>0.79475</x:v>
      </x:c>
      <x:c r="L884" s="34" t="n">
        <x:v>1.8</x:v>
      </x:c>
      <x:c r="M884" s="34" t="n">
        <x:v>1.00525</x:v>
      </x:c>
      <x:c r="N884" s="34" t="n">
        <x:v>44.153</x:v>
      </x:c>
      <x:c r="O884" s="34" t="n">
        <x:v>10.468998</x:v>
      </x:c>
      <x:c r="P884" s="34" t="n">
        <x:v>14.2</x:v>
      </x:c>
      <x:c r="Q884" s="34" t="n">
        <x:v>3.731002</x:v>
      </x:c>
      <x:c r="R884" s="34" t="n">
        <x:v>73.725</x:v>
      </x:c>
      <x:c r="S884" s="40" t="b">
        <x:v>1</x:v>
      </x:c>
      <x:c r="T884" s="34" t="str">
        <x:v>model_interpolation</x:v>
      </x:c>
      <x:c r="U884" s="34" t="str">
        <x:v>Linear interpolation from 2035 to 2040</x:v>
      </x:c>
      <x:c r="V884" s="34" t="str">
        <x:v>CAND-E8FAD9BDD034A5</x:v>
      </x:c>
      <x:c r="W884" s="34" t="str">
        <x:v>P3</x:v>
      </x:c>
      <x:c r="X884" s="34" t="str">
        <x:v>PORT-51A2628EF9C2</x:v>
      </x:c>
      <x:c r="Y884" s="34" t="n">
        <x:v>1000</x:v>
      </x:c>
      <x:c r="Z884" s="34" t="n">
        <x:v>124.781017</x:v>
      </x:c>
      <x:c r="AA884" s="34" t="n">
        <x:v>26.08177</x:v>
      </x:c>
      <x:c r="AB884" s="34" t="n">
        <x:v>328.220861</x:v>
      </x:c>
      <x:c r="AC884" s="34" t="n">
        <x:v>40363.359</x:v>
      </x:c>
      <x:c r="AD884" s="34" t="n">
        <x:v>122.976215</x:v>
      </x:c>
      <x:c r="AE884" s="40" t="b">
        <x:v>1</x:v>
      </x:c>
      <x:c r="AF884" s="40" t="b">
        <x:v>1</x:v>
      </x:c>
      <x:c r="AG884" s="34" t="str"/>
      <x:c r="AH884" s="34" t="n">
        <x:v>0</x:v>
      </x:c>
      <x:c r="AI884" s="34" t="str">
        <x:v>1.265341119704999e-05</x:v>
      </x:c>
      <x:c r="AJ884" s="40" t="b">
        <x:v>1</x:v>
      </x:c>
      <x:c r="AK884" s="40" t="b">
        <x:v>1</x:v>
      </x:c>
      <x:c r="AL884" s="40" t="b">
        <x:v>1</x:v>
      </x:c>
      <x:c r="AM884" s="40" t="b">
        <x:v>1</x:v>
      </x:c>
      <x:c r="AN884" s="34" t="str"/>
      <x:c r="AO884" s="34" t="n">
        <x:v>0</x:v>
      </x:c>
      <x:c r="AP884" s="34" t="n">
        <x:v>0</x:v>
      </x:c>
      <x:c r="AQ884" s="34" t="n">
        <x:v>0</x:v>
      </x:c>
      <x:c r="AR884" s="34" t="n">
        <x:v>3</x:v>
      </x:c>
      <x:c r="AS884" s="34" t="n">
        <x:v>3</x:v>
      </x:c>
      <x:c r="AT884" s="34" t="n">
        <x:v>0.41232239999999987</x:v>
      </x:c>
      <x:c r="AU884" s="34" t="n">
        <x:v>0.65</x:v>
      </x:c>
      <x:c r="AV884" s="34" t="n">
        <x:v>1.78</x:v>
      </x:c>
    </x:row>
    <x:row r="885">
      <x:c r="A885" s="34" t="str">
        <x:v>JFE_STEEL_JP</x:v>
      </x:c>
      <x:c r="B885" s="34" t="str">
        <x:v>JFE Steel</x:v>
      </x:c>
      <x:c r="C885" s="34" t="str">
        <x:v>DISCLOSED_PATH</x:v>
      </x:c>
      <x:c r="D885" s="34" t="str">
        <x:v>P3</x:v>
      </x:c>
      <x:c r="E885" s="34" t="n">
        <x:v>2039</x:v>
      </x:c>
      <x:c r="F885" s="34" t="n">
        <x:v>4</x:v>
      </x:c>
      <x:c r="G885" s="34" t="n">
        <x:v>8.9175</x:v>
      </x:c>
      <x:c r="H885" s="34" t="n">
        <x:v>16</x:v>
      </x:c>
      <x:c r="I885" s="34" t="n">
        <x:v>7.0825</x:v>
      </x:c>
      <x:c r="J885" s="34" t="n">
        <x:v>55.734</x:v>
      </x:c>
      <x:c r="K885" s="34" t="n">
        <x:v>0.79475</x:v>
      </x:c>
      <x:c r="L885" s="34" t="n">
        <x:v>2</x:v>
      </x:c>
      <x:c r="M885" s="34" t="n">
        <x:v>1.20525</x:v>
      </x:c>
      <x:c r="N885" s="34" t="n">
        <x:v>39.737</x:v>
      </x:c>
      <x:c r="O885" s="34" t="n">
        <x:v>10.468998</x:v>
      </x:c>
      <x:c r="P885" s="34" t="n">
        <x:v>15.600000000000001</x:v>
      </x:c>
      <x:c r="Q885" s="34" t="n">
        <x:v>5.131002</x:v>
      </x:c>
      <x:c r="R885" s="34" t="n">
        <x:v>67.109</x:v>
      </x:c>
      <x:c r="S885" s="40" t="b">
        <x:v>1</x:v>
      </x:c>
      <x:c r="T885" s="34" t="str">
        <x:v>model_interpolation</x:v>
      </x:c>
      <x:c r="U885" s="34" t="str">
        <x:v>Linear interpolation from 2035 to 2040</x:v>
      </x:c>
      <x:c r="V885" s="34" t="str">
        <x:v>CAND-E8FAD9BDD034A5</x:v>
      </x:c>
      <x:c r="W885" s="34" t="str">
        <x:v>P3</x:v>
      </x:c>
      <x:c r="X885" s="34" t="str">
        <x:v>PORT-51A2628EF9C2</x:v>
      </x:c>
      <x:c r="Y885" s="34" t="n">
        <x:v>1000</x:v>
      </x:c>
      <x:c r="Z885" s="34" t="n">
        <x:v>124.781017</x:v>
      </x:c>
      <x:c r="AA885" s="34" t="n">
        <x:v>26.08177</x:v>
      </x:c>
      <x:c r="AB885" s="34" t="n">
        <x:v>328.220861</x:v>
      </x:c>
      <x:c r="AC885" s="34" t="n">
        <x:v>40363.359</x:v>
      </x:c>
      <x:c r="AD885" s="34" t="n">
        <x:v>122.976215</x:v>
      </x:c>
      <x:c r="AE885" s="40" t="b">
        <x:v>1</x:v>
      </x:c>
      <x:c r="AF885" s="40" t="b">
        <x:v>1</x:v>
      </x:c>
      <x:c r="AG885" s="34" t="str"/>
      <x:c r="AH885" s="34" t="n">
        <x:v>0</x:v>
      </x:c>
      <x:c r="AI885" s="34" t="str">
        <x:v>1.265341119704999e-05</x:v>
      </x:c>
      <x:c r="AJ885" s="40" t="b">
        <x:v>1</x:v>
      </x:c>
      <x:c r="AK885" s="40" t="b">
        <x:v>1</x:v>
      </x:c>
      <x:c r="AL885" s="40" t="b">
        <x:v>1</x:v>
      </x:c>
      <x:c r="AM885" s="40" t="b">
        <x:v>1</x:v>
      </x:c>
      <x:c r="AN885" s="34" t="str"/>
      <x:c r="AO885" s="34" t="n">
        <x:v>0</x:v>
      </x:c>
      <x:c r="AP885" s="34" t="n">
        <x:v>0</x:v>
      </x:c>
      <x:c r="AQ885" s="34" t="n">
        <x:v>0</x:v>
      </x:c>
      <x:c r="AR885" s="34" t="n">
        <x:v>3</x:v>
      </x:c>
      <x:c r="AS885" s="34" t="n">
        <x:v>3</x:v>
      </x:c>
      <x:c r="AT885" s="34" t="n">
        <x:v>0.41232239999999987</x:v>
      </x:c>
      <x:c r="AU885" s="34" t="n">
        <x:v>0.65</x:v>
      </x:c>
      <x:c r="AV885" s="34" t="n">
        <x:v>1.78</x:v>
      </x:c>
    </x:row>
    <x:row r="886">
      <x:c r="A886" s="34" t="str">
        <x:v>JFE_STEEL_JP</x:v>
      </x:c>
      <x:c r="B886" s="34" t="str">
        <x:v>JFE Steel</x:v>
      </x:c>
      <x:c r="C886" s="34" t="str">
        <x:v>DISCLOSED_PATH</x:v>
      </x:c>
      <x:c r="D886" s="34" t="str">
        <x:v>P3</x:v>
      </x:c>
      <x:c r="E886" s="34" t="n">
        <x:v>2040</x:v>
      </x:c>
      <x:c r="F886" s="34" t="n">
        <x:v>4</x:v>
      </x:c>
      <x:c r="G886" s="34" t="n">
        <x:v>8.9175</x:v>
      </x:c>
      <x:c r="H886" s="34" t="n">
        <x:v>17</x:v>
      </x:c>
      <x:c r="I886" s="34" t="n">
        <x:v>8.0825</x:v>
      </x:c>
      <x:c r="J886" s="34" t="n">
        <x:v>52.456</x:v>
      </x:c>
      <x:c r="K886" s="34" t="n">
        <x:v>0.79475</x:v>
      </x:c>
      <x:c r="L886" s="34" t="n">
        <x:v>2.2</x:v>
      </x:c>
      <x:c r="M886" s="34" t="n">
        <x:v>1.40525</x:v>
      </x:c>
      <x:c r="N886" s="34" t="n">
        <x:v>36.125</x:v>
      </x:c>
      <x:c r="O886" s="34" t="n">
        <x:v>10.468998</x:v>
      </x:c>
      <x:c r="P886" s="34" t="n">
        <x:v>17</x:v>
      </x:c>
      <x:c r="Q886" s="34" t="n">
        <x:v>6.531002</x:v>
      </x:c>
      <x:c r="R886" s="34" t="n">
        <x:v>61.582</x:v>
      </x:c>
      <x:c r="S886" s="40" t="b">
        <x:v>1</x:v>
      </x:c>
      <x:c r="T886" s="34" t="str">
        <x:v>model_estimate</x:v>
      </x:c>
      <x:c r="U886" s="34" t="str">
        <x:v>Illustrative screening envelope; not an official supply forecast</x:v>
      </x:c>
      <x:c r="V886" s="34" t="str">
        <x:v>CAND-E8FAD9BDD034A5</x:v>
      </x:c>
      <x:c r="W886" s="34" t="str">
        <x:v>P3</x:v>
      </x:c>
      <x:c r="X886" s="34" t="str">
        <x:v>PORT-51A2628EF9C2</x:v>
      </x:c>
      <x:c r="Y886" s="34" t="n">
        <x:v>1000</x:v>
      </x:c>
      <x:c r="Z886" s="34" t="n">
        <x:v>124.781017</x:v>
      </x:c>
      <x:c r="AA886" s="34" t="n">
        <x:v>26.08177</x:v>
      </x:c>
      <x:c r="AB886" s="34" t="n">
        <x:v>328.220861</x:v>
      </x:c>
      <x:c r="AC886" s="34" t="n">
        <x:v>40363.359</x:v>
      </x:c>
      <x:c r="AD886" s="34" t="n">
        <x:v>122.976215</x:v>
      </x:c>
      <x:c r="AE886" s="40" t="b">
        <x:v>1</x:v>
      </x:c>
      <x:c r="AF886" s="40" t="b">
        <x:v>1</x:v>
      </x:c>
      <x:c r="AG886" s="34" t="str"/>
      <x:c r="AH886" s="34" t="n">
        <x:v>0</x:v>
      </x:c>
      <x:c r="AI886" s="34" t="str">
        <x:v>1.265341119704999e-05</x:v>
      </x:c>
      <x:c r="AJ886" s="40" t="b">
        <x:v>1</x:v>
      </x:c>
      <x:c r="AK886" s="40" t="b">
        <x:v>1</x:v>
      </x:c>
      <x:c r="AL886" s="40" t="b">
        <x:v>1</x:v>
      </x:c>
      <x:c r="AM886" s="40" t="b">
        <x:v>1</x:v>
      </x:c>
      <x:c r="AN886" s="34" t="str"/>
      <x:c r="AO886" s="34" t="n">
        <x:v>0</x:v>
      </x:c>
      <x:c r="AP886" s="34" t="n">
        <x:v>0</x:v>
      </x:c>
      <x:c r="AQ886" s="34" t="n">
        <x:v>0</x:v>
      </x:c>
      <x:c r="AR886" s="34" t="n">
        <x:v>3</x:v>
      </x:c>
      <x:c r="AS886" s="34" t="n">
        <x:v>3</x:v>
      </x:c>
      <x:c r="AT886" s="34" t="n">
        <x:v>0.41232239999999987</x:v>
      </x:c>
      <x:c r="AU886" s="34" t="n">
        <x:v>0.65</x:v>
      </x:c>
      <x:c r="AV886" s="34" t="n">
        <x:v>1.78</x:v>
      </x:c>
    </x:row>
    <x:row r="887">
      <x:c r="A887" s="34" t="str">
        <x:v>JFE_STEEL_JP</x:v>
      </x:c>
      <x:c r="B887" s="34" t="str">
        <x:v>JFE Steel</x:v>
      </x:c>
      <x:c r="C887" s="34" t="str">
        <x:v>ACCELERATED_15C</x:v>
      </x:c>
      <x:c r="D887" s="34" t="str">
        <x:v>P3</x:v>
      </x:c>
      <x:c r="E887" s="34" t="n">
        <x:v>2026</x:v>
      </x:c>
      <x:c r="F887" s="34" t="n">
        <x:v>0</x:v>
      </x:c>
      <x:c r="G887" s="34" t="n">
        <x:v>0</x:v>
      </x:c>
      <x:c r="H887" s="34" t="n">
        <x:v>5</x:v>
      </x:c>
      <x:c r="I887" s="34" t="n">
        <x:v>5</x:v>
      </x:c>
      <x:c r="J887" s="34" t="n">
        <x:v>0</x:v>
      </x:c>
      <x:c r="K887" s="34" t="n">
        <x:v>0</x:v>
      </x:c>
      <x:c r="L887" s="34" t="n">
        <x:v>0.1</x:v>
      </x:c>
      <x:c r="M887" s="34" t="n">
        <x:v>0.1</x:v>
      </x:c>
      <x:c r="N887" s="34" t="n">
        <x:v>0</x:v>
      </x:c>
      <x:c r="O887" s="34" t="n">
        <x:v>0</x:v>
      </x:c>
      <x:c r="P887" s="34" t="n">
        <x:v>1.5</x:v>
      </x:c>
      <x:c r="Q887" s="34" t="n">
        <x:v>1.5</x:v>
      </x:c>
      <x:c r="R887" s="34" t="n">
        <x:v>0</x:v>
      </x:c>
      <x:c r="S887" s="40" t="b">
        <x:v>1</x:v>
      </x:c>
      <x:c r="T887" s="34" t="str">
        <x:v>model_interpolation</x:v>
      </x:c>
      <x:c r="U887" s="34" t="str">
        <x:v>Linear interpolation from 2026 to 2030</x:v>
      </x:c>
      <x:c r="V887" s="34" t="str">
        <x:v>CAND-E8FAD9BDD034A5</x:v>
      </x:c>
      <x:c r="W887" s="34" t="str">
        <x:v>P3</x:v>
      </x:c>
      <x:c r="X887" s="34" t="str">
        <x:v>PORT-51A2628EF9C2</x:v>
      </x:c>
      <x:c r="Y887" s="34" t="n">
        <x:v>1000</x:v>
      </x:c>
      <x:c r="Z887" s="34" t="n">
        <x:v>115.153615</x:v>
      </x:c>
      <x:c r="AA887" s="34" t="n">
        <x:v>27.431773</x:v>
      </x:c>
      <x:c r="AB887" s="34" t="n">
        <x:v>328.220861</x:v>
      </x:c>
      <x:c r="AC887" s="34" t="n">
        <x:v>37182.414</x:v>
      </x:c>
      <x:c r="AD887" s="34" t="n">
        <x:v>113.284736</x:v>
      </x:c>
      <x:c r="AE887" s="40" t="b">
        <x:v>1</x:v>
      </x:c>
      <x:c r="AF887" s="40" t="b">
        <x:v>1</x:v>
      </x:c>
      <x:c r="AG887" s="34" t="str"/>
      <x:c r="AH887" s="34" t="n">
        <x:v>0</x:v>
      </x:c>
      <x:c r="AI887" s="34" t="str">
        <x:v>1.265341119704999e-05</x:v>
      </x:c>
      <x:c r="AJ887" s="40" t="b">
        <x:v>1</x:v>
      </x:c>
      <x:c r="AK887" s="40" t="b">
        <x:v>1</x:v>
      </x:c>
      <x:c r="AL887" s="40" t="b">
        <x:v>1</x:v>
      </x:c>
      <x:c r="AM887" s="40" t="b">
        <x:v>1</x:v>
      </x:c>
      <x:c r="AN887" s="34" t="str"/>
      <x:c r="AO887" s="34" t="n">
        <x:v>0</x:v>
      </x:c>
      <x:c r="AP887" s="34" t="n">
        <x:v>0</x:v>
      </x:c>
      <x:c r="AQ887" s="34" t="n">
        <x:v>0</x:v>
      </x:c>
      <x:c r="AR887" s="34" t="n">
        <x:v>3</x:v>
      </x:c>
      <x:c r="AS887" s="34" t="n">
        <x:v>3</x:v>
      </x:c>
      <x:c r="AT887" s="34" t="n">
        <x:v>0.41232239999999987</x:v>
      </x:c>
      <x:c r="AU887" s="34" t="n">
        <x:v>0.65</x:v>
      </x:c>
      <x:c r="AV887" s="34" t="n">
        <x:v>1.78</x:v>
      </x:c>
    </x:row>
    <x:row r="888">
      <x:c r="A888" s="34" t="str">
        <x:v>JFE_STEEL_JP</x:v>
      </x:c>
      <x:c r="B888" s="34" t="str">
        <x:v>JFE Steel</x:v>
      </x:c>
      <x:c r="C888" s="34" t="str">
        <x:v>ACCELERATED_15C</x:v>
      </x:c>
      <x:c r="D888" s="34" t="str">
        <x:v>P3</x:v>
      </x:c>
      <x:c r="E888" s="34" t="n">
        <x:v>2027</x:v>
      </x:c>
      <x:c r="F888" s="34" t="n">
        <x:v>0</x:v>
      </x:c>
      <x:c r="G888" s="34" t="n">
        <x:v>0</x:v>
      </x:c>
      <x:c r="H888" s="34" t="n">
        <x:v>6.25</x:v>
      </x:c>
      <x:c r="I888" s="34" t="n">
        <x:v>6.25</x:v>
      </x:c>
      <x:c r="J888" s="34" t="n">
        <x:v>0</x:v>
      </x:c>
      <x:c r="K888" s="34" t="n">
        <x:v>0</x:v>
      </x:c>
      <x:c r="L888" s="34" t="n">
        <x:v>0.225</x:v>
      </x:c>
      <x:c r="M888" s="34" t="n">
        <x:v>0.225</x:v>
      </x:c>
      <x:c r="N888" s="34" t="n">
        <x:v>0</x:v>
      </x:c>
      <x:c r="O888" s="34" t="n">
        <x:v>0</x:v>
      </x:c>
      <x:c r="P888" s="34" t="n">
        <x:v>2.875</x:v>
      </x:c>
      <x:c r="Q888" s="34" t="n">
        <x:v>2.875</x:v>
      </x:c>
      <x:c r="R888" s="34" t="n">
        <x:v>0</x:v>
      </x:c>
      <x:c r="S888" s="40" t="b">
        <x:v>1</x:v>
      </x:c>
      <x:c r="T888" s="34" t="str">
        <x:v>model_interpolation</x:v>
      </x:c>
      <x:c r="U888" s="34" t="str">
        <x:v>Linear interpolation from 2026 to 2030</x:v>
      </x:c>
      <x:c r="V888" s="34" t="str">
        <x:v>CAND-E8FAD9BDD034A5</x:v>
      </x:c>
      <x:c r="W888" s="34" t="str">
        <x:v>P3</x:v>
      </x:c>
      <x:c r="X888" s="34" t="str">
        <x:v>PORT-51A2628EF9C2</x:v>
      </x:c>
      <x:c r="Y888" s="34" t="n">
        <x:v>1000</x:v>
      </x:c>
      <x:c r="Z888" s="34" t="n">
        <x:v>115.153615</x:v>
      </x:c>
      <x:c r="AA888" s="34" t="n">
        <x:v>27.431773</x:v>
      </x:c>
      <x:c r="AB888" s="34" t="n">
        <x:v>328.220861</x:v>
      </x:c>
      <x:c r="AC888" s="34" t="n">
        <x:v>37182.414</x:v>
      </x:c>
      <x:c r="AD888" s="34" t="n">
        <x:v>113.284736</x:v>
      </x:c>
      <x:c r="AE888" s="40" t="b">
        <x:v>1</x:v>
      </x:c>
      <x:c r="AF888" s="40" t="b">
        <x:v>1</x:v>
      </x:c>
      <x:c r="AG888" s="34" t="str"/>
      <x:c r="AH888" s="34" t="n">
        <x:v>0</x:v>
      </x:c>
      <x:c r="AI888" s="34" t="str">
        <x:v>1.265341119704999e-05</x:v>
      </x:c>
      <x:c r="AJ888" s="40" t="b">
        <x:v>1</x:v>
      </x:c>
      <x:c r="AK888" s="40" t="b">
        <x:v>1</x:v>
      </x:c>
      <x:c r="AL888" s="40" t="b">
        <x:v>1</x:v>
      </x:c>
      <x:c r="AM888" s="40" t="b">
        <x:v>1</x:v>
      </x:c>
      <x:c r="AN888" s="34" t="str"/>
      <x:c r="AO888" s="34" t="n">
        <x:v>0</x:v>
      </x:c>
      <x:c r="AP888" s="34" t="n">
        <x:v>0</x:v>
      </x:c>
      <x:c r="AQ888" s="34" t="n">
        <x:v>0</x:v>
      </x:c>
      <x:c r="AR888" s="34" t="n">
        <x:v>3</x:v>
      </x:c>
      <x:c r="AS888" s="34" t="n">
        <x:v>3</x:v>
      </x:c>
      <x:c r="AT888" s="34" t="n">
        <x:v>0.41232239999999987</x:v>
      </x:c>
      <x:c r="AU888" s="34" t="n">
        <x:v>0.65</x:v>
      </x:c>
      <x:c r="AV888" s="34" t="n">
        <x:v>1.78</x:v>
      </x:c>
    </x:row>
    <x:row r="889">
      <x:c r="A889" s="34" t="str">
        <x:v>JFE_STEEL_JP</x:v>
      </x:c>
      <x:c r="B889" s="34" t="str">
        <x:v>JFE Steel</x:v>
      </x:c>
      <x:c r="C889" s="34" t="str">
        <x:v>ACCELERATED_15C</x:v>
      </x:c>
      <x:c r="D889" s="34" t="str">
        <x:v>P3</x:v>
      </x:c>
      <x:c r="E889" s="34" t="n">
        <x:v>2028</x:v>
      </x:c>
      <x:c r="F889" s="34" t="n">
        <x:v>0</x:v>
      </x:c>
      <x:c r="G889" s="34" t="n">
        <x:v>0</x:v>
      </x:c>
      <x:c r="H889" s="34" t="n">
        <x:v>7.5</x:v>
      </x:c>
      <x:c r="I889" s="34" t="n">
        <x:v>7.5</x:v>
      </x:c>
      <x:c r="J889" s="34" t="n">
        <x:v>0</x:v>
      </x:c>
      <x:c r="K889" s="34" t="n">
        <x:v>0</x:v>
      </x:c>
      <x:c r="L889" s="34" t="n">
        <x:v>0.35</x:v>
      </x:c>
      <x:c r="M889" s="34" t="n">
        <x:v>0.35</x:v>
      </x:c>
      <x:c r="N889" s="34" t="n">
        <x:v>0</x:v>
      </x:c>
      <x:c r="O889" s="34" t="n">
        <x:v>0</x:v>
      </x:c>
      <x:c r="P889" s="34" t="n">
        <x:v>4.25</x:v>
      </x:c>
      <x:c r="Q889" s="34" t="n">
        <x:v>4.25</x:v>
      </x:c>
      <x:c r="R889" s="34" t="n">
        <x:v>0</x:v>
      </x:c>
      <x:c r="S889" s="40" t="b">
        <x:v>1</x:v>
      </x:c>
      <x:c r="T889" s="34" t="str">
        <x:v>model_interpolation</x:v>
      </x:c>
      <x:c r="U889" s="34" t="str">
        <x:v>Linear interpolation from 2026 to 2030</x:v>
      </x:c>
      <x:c r="V889" s="34" t="str">
        <x:v>CAND-E8FAD9BDD034A5</x:v>
      </x:c>
      <x:c r="W889" s="34" t="str">
        <x:v>P3</x:v>
      </x:c>
      <x:c r="X889" s="34" t="str">
        <x:v>PORT-51A2628EF9C2</x:v>
      </x:c>
      <x:c r="Y889" s="34" t="n">
        <x:v>1000</x:v>
      </x:c>
      <x:c r="Z889" s="34" t="n">
        <x:v>115.153615</x:v>
      </x:c>
      <x:c r="AA889" s="34" t="n">
        <x:v>27.431773</x:v>
      </x:c>
      <x:c r="AB889" s="34" t="n">
        <x:v>328.220861</x:v>
      </x:c>
      <x:c r="AC889" s="34" t="n">
        <x:v>37182.414</x:v>
      </x:c>
      <x:c r="AD889" s="34" t="n">
        <x:v>113.284736</x:v>
      </x:c>
      <x:c r="AE889" s="40" t="b">
        <x:v>1</x:v>
      </x:c>
      <x:c r="AF889" s="40" t="b">
        <x:v>1</x:v>
      </x:c>
      <x:c r="AG889" s="34" t="str"/>
      <x:c r="AH889" s="34" t="n">
        <x:v>0</x:v>
      </x:c>
      <x:c r="AI889" s="34" t="str">
        <x:v>1.265341119704999e-05</x:v>
      </x:c>
      <x:c r="AJ889" s="40" t="b">
        <x:v>1</x:v>
      </x:c>
      <x:c r="AK889" s="40" t="b">
        <x:v>1</x:v>
      </x:c>
      <x:c r="AL889" s="40" t="b">
        <x:v>1</x:v>
      </x:c>
      <x:c r="AM889" s="40" t="b">
        <x:v>1</x:v>
      </x:c>
      <x:c r="AN889" s="34" t="str"/>
      <x:c r="AO889" s="34" t="n">
        <x:v>0</x:v>
      </x:c>
      <x:c r="AP889" s="34" t="n">
        <x:v>0</x:v>
      </x:c>
      <x:c r="AQ889" s="34" t="n">
        <x:v>0</x:v>
      </x:c>
      <x:c r="AR889" s="34" t="n">
        <x:v>3</x:v>
      </x:c>
      <x:c r="AS889" s="34" t="n">
        <x:v>3</x:v>
      </x:c>
      <x:c r="AT889" s="34" t="n">
        <x:v>0.41232239999999987</x:v>
      </x:c>
      <x:c r="AU889" s="34" t="n">
        <x:v>0.65</x:v>
      </x:c>
      <x:c r="AV889" s="34" t="n">
        <x:v>1.78</x:v>
      </x:c>
    </x:row>
    <x:row r="890">
      <x:c r="A890" s="34" t="str">
        <x:v>JFE_STEEL_JP</x:v>
      </x:c>
      <x:c r="B890" s="34" t="str">
        <x:v>JFE Steel</x:v>
      </x:c>
      <x:c r="C890" s="34" t="str">
        <x:v>ACCELERATED_15C</x:v>
      </x:c>
      <x:c r="D890" s="34" t="str">
        <x:v>P3</x:v>
      </x:c>
      <x:c r="E890" s="34" t="n">
        <x:v>2029</x:v>
      </x:c>
      <x:c r="F890" s="34" t="n">
        <x:v>1</x:v>
      </x:c>
      <x:c r="G890" s="34" t="n">
        <x:v>6.120001</x:v>
      </x:c>
      <x:c r="H890" s="34" t="n">
        <x:v>8.75</x:v>
      </x:c>
      <x:c r="I890" s="34" t="n">
        <x:v>2.629999</x:v>
      </x:c>
      <x:c r="J890" s="34" t="n">
        <x:v>69.943</x:v>
      </x:c>
      <x:c r="K890" s="34" t="n">
        <x:v>0</x:v>
      </x:c>
      <x:c r="L890" s="34" t="n">
        <x:v>0.475</x:v>
      </x:c>
      <x:c r="M890" s="34" t="n">
        <x:v>0.475</x:v>
      </x:c>
      <x:c r="N890" s="34" t="n">
        <x:v>0</x:v>
      </x:c>
      <x:c r="O890" s="34" t="n">
        <x:v>3.808</x:v>
      </x:c>
      <x:c r="P890" s="34" t="n">
        <x:v>5.625</x:v>
      </x:c>
      <x:c r="Q890" s="34" t="n">
        <x:v>1.817</x:v>
      </x:c>
      <x:c r="R890" s="34" t="n">
        <x:v>67.698</x:v>
      </x:c>
      <x:c r="S890" s="40" t="b">
        <x:v>1</x:v>
      </x:c>
      <x:c r="T890" s="34" t="str">
        <x:v>model_interpolation</x:v>
      </x:c>
      <x:c r="U890" s="34" t="str">
        <x:v>Linear interpolation from 2026 to 2030</x:v>
      </x:c>
      <x:c r="V890" s="34" t="str">
        <x:v>CAND-E8FAD9BDD034A5</x:v>
      </x:c>
      <x:c r="W890" s="34" t="str">
        <x:v>P3</x:v>
      </x:c>
      <x:c r="X890" s="34" t="str">
        <x:v>PORT-51A2628EF9C2</x:v>
      </x:c>
      <x:c r="Y890" s="34" t="n">
        <x:v>1000</x:v>
      </x:c>
      <x:c r="Z890" s="34" t="n">
        <x:v>115.153615</x:v>
      </x:c>
      <x:c r="AA890" s="34" t="n">
        <x:v>27.431773</x:v>
      </x:c>
      <x:c r="AB890" s="34" t="n">
        <x:v>328.220861</x:v>
      </x:c>
      <x:c r="AC890" s="34" t="n">
        <x:v>37182.414</x:v>
      </x:c>
      <x:c r="AD890" s="34" t="n">
        <x:v>113.284736</x:v>
      </x:c>
      <x:c r="AE890" s="40" t="b">
        <x:v>1</x:v>
      </x:c>
      <x:c r="AF890" s="40" t="b">
        <x:v>1</x:v>
      </x:c>
      <x:c r="AG890" s="34" t="str"/>
      <x:c r="AH890" s="34" t="n">
        <x:v>0</x:v>
      </x:c>
      <x:c r="AI890" s="34" t="str">
        <x:v>1.265341119704999e-05</x:v>
      </x:c>
      <x:c r="AJ890" s="40" t="b">
        <x:v>1</x:v>
      </x:c>
      <x:c r="AK890" s="40" t="b">
        <x:v>1</x:v>
      </x:c>
      <x:c r="AL890" s="40" t="b">
        <x:v>1</x:v>
      </x:c>
      <x:c r="AM890" s="40" t="b">
        <x:v>1</x:v>
      </x:c>
      <x:c r="AN890" s="34" t="str"/>
      <x:c r="AO890" s="34" t="n">
        <x:v>0</x:v>
      </x:c>
      <x:c r="AP890" s="34" t="n">
        <x:v>0</x:v>
      </x:c>
      <x:c r="AQ890" s="34" t="n">
        <x:v>0</x:v>
      </x:c>
      <x:c r="AR890" s="34" t="n">
        <x:v>3</x:v>
      </x:c>
      <x:c r="AS890" s="34" t="n">
        <x:v>3</x:v>
      </x:c>
      <x:c r="AT890" s="34" t="n">
        <x:v>0.41232239999999987</x:v>
      </x:c>
      <x:c r="AU890" s="34" t="n">
        <x:v>0.65</x:v>
      </x:c>
      <x:c r="AV890" s="34" t="n">
        <x:v>1.78</x:v>
      </x:c>
    </x:row>
    <x:row r="891">
      <x:c r="A891" s="34" t="str">
        <x:v>JFE_STEEL_JP</x:v>
      </x:c>
      <x:c r="B891" s="34" t="str">
        <x:v>JFE Steel</x:v>
      </x:c>
      <x:c r="C891" s="34" t="str">
        <x:v>ACCELERATED_15C</x:v>
      </x:c>
      <x:c r="D891" s="34" t="str">
        <x:v>P3</x:v>
      </x:c>
      <x:c r="E891" s="34" t="n">
        <x:v>2030</x:v>
      </x:c>
      <x:c r="F891" s="34" t="n">
        <x:v>1</x:v>
      </x:c>
      <x:c r="G891" s="34" t="n">
        <x:v>6.120001</x:v>
      </x:c>
      <x:c r="H891" s="34" t="n">
        <x:v>10</x:v>
      </x:c>
      <x:c r="I891" s="34" t="n">
        <x:v>3.879999</x:v>
      </x:c>
      <x:c r="J891" s="34" t="n">
        <x:v>61.2</x:v>
      </x:c>
      <x:c r="K891" s="34" t="n">
        <x:v>0</x:v>
      </x:c>
      <x:c r="L891" s="34" t="n">
        <x:v>0.6</x:v>
      </x:c>
      <x:c r="M891" s="34" t="n">
        <x:v>0.6</x:v>
      </x:c>
      <x:c r="N891" s="34" t="n">
        <x:v>0</x:v>
      </x:c>
      <x:c r="O891" s="34" t="n">
        <x:v>3.808</x:v>
      </x:c>
      <x:c r="P891" s="34" t="n">
        <x:v>7</x:v>
      </x:c>
      <x:c r="Q891" s="34" t="n">
        <x:v>3.192</x:v>
      </x:c>
      <x:c r="R891" s="34" t="n">
        <x:v>54.4</x:v>
      </x:c>
      <x:c r="S891" s="40" t="b">
        <x:v>1</x:v>
      </x:c>
      <x:c r="T891" s="34" t="str">
        <x:v>model_interpolation</x:v>
      </x:c>
      <x:c r="U891" s="34" t="str">
        <x:v>Linear interpolation from 2030 to 2035</x:v>
      </x:c>
      <x:c r="V891" s="34" t="str">
        <x:v>CAND-E8FAD9BDD034A5</x:v>
      </x:c>
      <x:c r="W891" s="34" t="str">
        <x:v>P3</x:v>
      </x:c>
      <x:c r="X891" s="34" t="str">
        <x:v>PORT-51A2628EF9C2</x:v>
      </x:c>
      <x:c r="Y891" s="34" t="n">
        <x:v>1000</x:v>
      </x:c>
      <x:c r="Z891" s="34" t="n">
        <x:v>115.153615</x:v>
      </x:c>
      <x:c r="AA891" s="34" t="n">
        <x:v>27.431773</x:v>
      </x:c>
      <x:c r="AB891" s="34" t="n">
        <x:v>328.220861</x:v>
      </x:c>
      <x:c r="AC891" s="34" t="n">
        <x:v>37182.414</x:v>
      </x:c>
      <x:c r="AD891" s="34" t="n">
        <x:v>113.284736</x:v>
      </x:c>
      <x:c r="AE891" s="40" t="b">
        <x:v>1</x:v>
      </x:c>
      <x:c r="AF891" s="40" t="b">
        <x:v>1</x:v>
      </x:c>
      <x:c r="AG891" s="34" t="str"/>
      <x:c r="AH891" s="34" t="n">
        <x:v>0</x:v>
      </x:c>
      <x:c r="AI891" s="34" t="str">
        <x:v>1.265341119704999e-05</x:v>
      </x:c>
      <x:c r="AJ891" s="40" t="b">
        <x:v>1</x:v>
      </x:c>
      <x:c r="AK891" s="40" t="b">
        <x:v>1</x:v>
      </x:c>
      <x:c r="AL891" s="40" t="b">
        <x:v>1</x:v>
      </x:c>
      <x:c r="AM891" s="40" t="b">
        <x:v>1</x:v>
      </x:c>
      <x:c r="AN891" s="34" t="str"/>
      <x:c r="AO891" s="34" t="n">
        <x:v>0</x:v>
      </x:c>
      <x:c r="AP891" s="34" t="n">
        <x:v>0</x:v>
      </x:c>
      <x:c r="AQ891" s="34" t="n">
        <x:v>0</x:v>
      </x:c>
      <x:c r="AR891" s="34" t="n">
        <x:v>3</x:v>
      </x:c>
      <x:c r="AS891" s="34" t="n">
        <x:v>3</x:v>
      </x:c>
      <x:c r="AT891" s="34" t="n">
        <x:v>0.41232239999999987</x:v>
      </x:c>
      <x:c r="AU891" s="34" t="n">
        <x:v>0.65</x:v>
      </x:c>
      <x:c r="AV891" s="34" t="n">
        <x:v>1.78</x:v>
      </x:c>
    </x:row>
    <x:row r="892">
      <x:c r="A892" s="34" t="str">
        <x:v>JFE_STEEL_JP</x:v>
      </x:c>
      <x:c r="B892" s="34" t="str">
        <x:v>JFE Steel</x:v>
      </x:c>
      <x:c r="C892" s="34" t="str">
        <x:v>ACCELERATED_15C</x:v>
      </x:c>
      <x:c r="D892" s="34" t="str">
        <x:v>P3</x:v>
      </x:c>
      <x:c r="E892" s="34" t="n">
        <x:v>2031</x:v>
      </x:c>
      <x:c r="F892" s="34" t="n">
        <x:v>1</x:v>
      </x:c>
      <x:c r="G892" s="34" t="n">
        <x:v>6.120001</x:v>
      </x:c>
      <x:c r="H892" s="34" t="n">
        <x:v>11.2</x:v>
      </x:c>
      <x:c r="I892" s="34" t="n">
        <x:v>5.079999</x:v>
      </x:c>
      <x:c r="J892" s="34" t="n">
        <x:v>54.643</x:v>
      </x:c>
      <x:c r="K892" s="34" t="n">
        <x:v>0</x:v>
      </x:c>
      <x:c r="L892" s="34" t="n">
        <x:v>0.8400000000000001</x:v>
      </x:c>
      <x:c r="M892" s="34" t="n">
        <x:v>0.84</x:v>
      </x:c>
      <x:c r="N892" s="34" t="n">
        <x:v>0</x:v>
      </x:c>
      <x:c r="O892" s="34" t="n">
        <x:v>3.808</x:v>
      </x:c>
      <x:c r="P892" s="34" t="n">
        <x:v>8.4</x:v>
      </x:c>
      <x:c r="Q892" s="34" t="n">
        <x:v>4.592</x:v>
      </x:c>
      <x:c r="R892" s="34" t="n">
        <x:v>45.333</x:v>
      </x:c>
      <x:c r="S892" s="40" t="b">
        <x:v>1</x:v>
      </x:c>
      <x:c r="T892" s="34" t="str">
        <x:v>model_interpolation</x:v>
      </x:c>
      <x:c r="U892" s="34" t="str">
        <x:v>Linear interpolation from 2030 to 2035</x:v>
      </x:c>
      <x:c r="V892" s="34" t="str">
        <x:v>CAND-E8FAD9BDD034A5</x:v>
      </x:c>
      <x:c r="W892" s="34" t="str">
        <x:v>P3</x:v>
      </x:c>
      <x:c r="X892" s="34" t="str">
        <x:v>PORT-51A2628EF9C2</x:v>
      </x:c>
      <x:c r="Y892" s="34" t="n">
        <x:v>1000</x:v>
      </x:c>
      <x:c r="Z892" s="34" t="n">
        <x:v>115.153615</x:v>
      </x:c>
      <x:c r="AA892" s="34" t="n">
        <x:v>27.431773</x:v>
      </x:c>
      <x:c r="AB892" s="34" t="n">
        <x:v>328.220861</x:v>
      </x:c>
      <x:c r="AC892" s="34" t="n">
        <x:v>37182.414</x:v>
      </x:c>
      <x:c r="AD892" s="34" t="n">
        <x:v>113.284736</x:v>
      </x:c>
      <x:c r="AE892" s="40" t="b">
        <x:v>1</x:v>
      </x:c>
      <x:c r="AF892" s="40" t="b">
        <x:v>1</x:v>
      </x:c>
      <x:c r="AG892" s="34" t="str"/>
      <x:c r="AH892" s="34" t="n">
        <x:v>0</x:v>
      </x:c>
      <x:c r="AI892" s="34" t="str">
        <x:v>1.265341119704999e-05</x:v>
      </x:c>
      <x:c r="AJ892" s="40" t="b">
        <x:v>1</x:v>
      </x:c>
      <x:c r="AK892" s="40" t="b">
        <x:v>1</x:v>
      </x:c>
      <x:c r="AL892" s="40" t="b">
        <x:v>1</x:v>
      </x:c>
      <x:c r="AM892" s="40" t="b">
        <x:v>1</x:v>
      </x:c>
      <x:c r="AN892" s="34" t="str"/>
      <x:c r="AO892" s="34" t="n">
        <x:v>0</x:v>
      </x:c>
      <x:c r="AP892" s="34" t="n">
        <x:v>0</x:v>
      </x:c>
      <x:c r="AQ892" s="34" t="n">
        <x:v>0</x:v>
      </x:c>
      <x:c r="AR892" s="34" t="n">
        <x:v>3</x:v>
      </x:c>
      <x:c r="AS892" s="34" t="n">
        <x:v>3</x:v>
      </x:c>
      <x:c r="AT892" s="34" t="n">
        <x:v>0.41232239999999987</x:v>
      </x:c>
      <x:c r="AU892" s="34" t="n">
        <x:v>0.65</x:v>
      </x:c>
      <x:c r="AV892" s="34" t="n">
        <x:v>1.78</x:v>
      </x:c>
    </x:row>
    <x:row r="893">
      <x:c r="A893" s="34" t="str">
        <x:v>JFE_STEEL_JP</x:v>
      </x:c>
      <x:c r="B893" s="34" t="str">
        <x:v>JFE Steel</x:v>
      </x:c>
      <x:c r="C893" s="34" t="str">
        <x:v>ACCELERATED_15C</x:v>
      </x:c>
      <x:c r="D893" s="34" t="str">
        <x:v>P3</x:v>
      </x:c>
      <x:c r="E893" s="34" t="n">
        <x:v>2032</x:v>
      </x:c>
      <x:c r="F893" s="34" t="n">
        <x:v>1</x:v>
      </x:c>
      <x:c r="G893" s="34" t="n">
        <x:v>6.120001</x:v>
      </x:c>
      <x:c r="H893" s="34" t="n">
        <x:v>12.4</x:v>
      </x:c>
      <x:c r="I893" s="34" t="n">
        <x:v>6.279999</x:v>
      </x:c>
      <x:c r="J893" s="34" t="n">
        <x:v>49.355</x:v>
      </x:c>
      <x:c r="K893" s="34" t="n">
        <x:v>0</x:v>
      </x:c>
      <x:c r="L893" s="34" t="n">
        <x:v>1.08</x:v>
      </x:c>
      <x:c r="M893" s="34" t="n">
        <x:v>1.08</x:v>
      </x:c>
      <x:c r="N893" s="34" t="n">
        <x:v>0</x:v>
      </x:c>
      <x:c r="O893" s="34" t="n">
        <x:v>3.808</x:v>
      </x:c>
      <x:c r="P893" s="34" t="n">
        <x:v>9.8</x:v>
      </x:c>
      <x:c r="Q893" s="34" t="n">
        <x:v>5.992</x:v>
      </x:c>
      <x:c r="R893" s="34" t="n">
        <x:v>38.857</x:v>
      </x:c>
      <x:c r="S893" s="40" t="b">
        <x:v>1</x:v>
      </x:c>
      <x:c r="T893" s="34" t="str">
        <x:v>model_interpolation</x:v>
      </x:c>
      <x:c r="U893" s="34" t="str">
        <x:v>Linear interpolation from 2030 to 2035</x:v>
      </x:c>
      <x:c r="V893" s="34" t="str">
        <x:v>CAND-E8FAD9BDD034A5</x:v>
      </x:c>
      <x:c r="W893" s="34" t="str">
        <x:v>P3</x:v>
      </x:c>
      <x:c r="X893" s="34" t="str">
        <x:v>PORT-51A2628EF9C2</x:v>
      </x:c>
      <x:c r="Y893" s="34" t="n">
        <x:v>1000</x:v>
      </x:c>
      <x:c r="Z893" s="34" t="n">
        <x:v>115.153615</x:v>
      </x:c>
      <x:c r="AA893" s="34" t="n">
        <x:v>27.431773</x:v>
      </x:c>
      <x:c r="AB893" s="34" t="n">
        <x:v>328.220861</x:v>
      </x:c>
      <x:c r="AC893" s="34" t="n">
        <x:v>37182.414</x:v>
      </x:c>
      <x:c r="AD893" s="34" t="n">
        <x:v>113.284736</x:v>
      </x:c>
      <x:c r="AE893" s="40" t="b">
        <x:v>1</x:v>
      </x:c>
      <x:c r="AF893" s="40" t="b">
        <x:v>1</x:v>
      </x:c>
      <x:c r="AG893" s="34" t="str"/>
      <x:c r="AH893" s="34" t="n">
        <x:v>0</x:v>
      </x:c>
      <x:c r="AI893" s="34" t="str">
        <x:v>1.265341119704999e-05</x:v>
      </x:c>
      <x:c r="AJ893" s="40" t="b">
        <x:v>1</x:v>
      </x:c>
      <x:c r="AK893" s="40" t="b">
        <x:v>1</x:v>
      </x:c>
      <x:c r="AL893" s="40" t="b">
        <x:v>1</x:v>
      </x:c>
      <x:c r="AM893" s="40" t="b">
        <x:v>1</x:v>
      </x:c>
      <x:c r="AN893" s="34" t="str"/>
      <x:c r="AO893" s="34" t="n">
        <x:v>0</x:v>
      </x:c>
      <x:c r="AP893" s="34" t="n">
        <x:v>0</x:v>
      </x:c>
      <x:c r="AQ893" s="34" t="n">
        <x:v>0</x:v>
      </x:c>
      <x:c r="AR893" s="34" t="n">
        <x:v>3</x:v>
      </x:c>
      <x:c r="AS893" s="34" t="n">
        <x:v>3</x:v>
      </x:c>
      <x:c r="AT893" s="34" t="n">
        <x:v>0.41232239999999987</x:v>
      </x:c>
      <x:c r="AU893" s="34" t="n">
        <x:v>0.65</x:v>
      </x:c>
      <x:c r="AV893" s="34" t="n">
        <x:v>1.78</x:v>
      </x:c>
    </x:row>
    <x:row r="894">
      <x:c r="A894" s="34" t="str">
        <x:v>JFE_STEEL_JP</x:v>
      </x:c>
      <x:c r="B894" s="34" t="str">
        <x:v>JFE Steel</x:v>
      </x:c>
      <x:c r="C894" s="34" t="str">
        <x:v>ACCELERATED_15C</x:v>
      </x:c>
      <x:c r="D894" s="34" t="str">
        <x:v>P3</x:v>
      </x:c>
      <x:c r="E894" s="34" t="n">
        <x:v>2033</x:v>
      </x:c>
      <x:c r="F894" s="34" t="n">
        <x:v>3</x:v>
      </x:c>
      <x:c r="G894" s="34" t="n">
        <x:v>8.1</x:v>
      </x:c>
      <x:c r="H894" s="34" t="n">
        <x:v>13.6</x:v>
      </x:c>
      <x:c r="I894" s="34" t="n">
        <x:v>5.5</x:v>
      </x:c>
      <x:c r="J894" s="34" t="n">
        <x:v>59.559</x:v>
      </x:c>
      <x:c r="K894" s="34" t="n">
        <x:v>0.495</x:v>
      </x:c>
      <x:c r="L894" s="34" t="n">
        <x:v>1.32</x:v>
      </x:c>
      <x:c r="M894" s="34" t="n">
        <x:v>0.825</x:v>
      </x:c>
      <x:c r="N894" s="34" t="n">
        <x:v>37.5</x:v>
      </x:c>
      <x:c r="O894" s="34" t="n">
        <x:v>7.961999</x:v>
      </x:c>
      <x:c r="P894" s="34" t="n">
        <x:v>11.2</x:v>
      </x:c>
      <x:c r="Q894" s="34" t="n">
        <x:v>3.238001</x:v>
      </x:c>
      <x:c r="R894" s="34" t="n">
        <x:v>71.089</x:v>
      </x:c>
      <x:c r="S894" s="40" t="b">
        <x:v>1</x:v>
      </x:c>
      <x:c r="T894" s="34" t="str">
        <x:v>model_interpolation</x:v>
      </x:c>
      <x:c r="U894" s="34" t="str">
        <x:v>Linear interpolation from 2030 to 2035</x:v>
      </x:c>
      <x:c r="V894" s="34" t="str">
        <x:v>CAND-E8FAD9BDD034A5</x:v>
      </x:c>
      <x:c r="W894" s="34" t="str">
        <x:v>P3</x:v>
      </x:c>
      <x:c r="X894" s="34" t="str">
        <x:v>PORT-51A2628EF9C2</x:v>
      </x:c>
      <x:c r="Y894" s="34" t="n">
        <x:v>1000</x:v>
      </x:c>
      <x:c r="Z894" s="34" t="n">
        <x:v>115.153615</x:v>
      </x:c>
      <x:c r="AA894" s="34" t="n">
        <x:v>27.431773</x:v>
      </x:c>
      <x:c r="AB894" s="34" t="n">
        <x:v>328.220861</x:v>
      </x:c>
      <x:c r="AC894" s="34" t="n">
        <x:v>37182.414</x:v>
      </x:c>
      <x:c r="AD894" s="34" t="n">
        <x:v>113.284736</x:v>
      </x:c>
      <x:c r="AE894" s="40" t="b">
        <x:v>1</x:v>
      </x:c>
      <x:c r="AF894" s="40" t="b">
        <x:v>1</x:v>
      </x:c>
      <x:c r="AG894" s="34" t="str"/>
      <x:c r="AH894" s="34" t="n">
        <x:v>0</x:v>
      </x:c>
      <x:c r="AI894" s="34" t="str">
        <x:v>1.265341119704999e-05</x:v>
      </x:c>
      <x:c r="AJ894" s="40" t="b">
        <x:v>1</x:v>
      </x:c>
      <x:c r="AK894" s="40" t="b">
        <x:v>1</x:v>
      </x:c>
      <x:c r="AL894" s="40" t="b">
        <x:v>1</x:v>
      </x:c>
      <x:c r="AM894" s="40" t="b">
        <x:v>1</x:v>
      </x:c>
      <x:c r="AN894" s="34" t="str"/>
      <x:c r="AO894" s="34" t="n">
        <x:v>0</x:v>
      </x:c>
      <x:c r="AP894" s="34" t="n">
        <x:v>0</x:v>
      </x:c>
      <x:c r="AQ894" s="34" t="n">
        <x:v>0</x:v>
      </x:c>
      <x:c r="AR894" s="34" t="n">
        <x:v>3</x:v>
      </x:c>
      <x:c r="AS894" s="34" t="n">
        <x:v>3</x:v>
      </x:c>
      <x:c r="AT894" s="34" t="n">
        <x:v>0.41232239999999987</x:v>
      </x:c>
      <x:c r="AU894" s="34" t="n">
        <x:v>0.65</x:v>
      </x:c>
      <x:c r="AV894" s="34" t="n">
        <x:v>1.78</x:v>
      </x:c>
    </x:row>
    <x:row r="895">
      <x:c r="A895" s="34" t="str">
        <x:v>JFE_STEEL_JP</x:v>
      </x:c>
      <x:c r="B895" s="34" t="str">
        <x:v>JFE Steel</x:v>
      </x:c>
      <x:c r="C895" s="34" t="str">
        <x:v>ACCELERATED_15C</x:v>
      </x:c>
      <x:c r="D895" s="34" t="str">
        <x:v>P3</x:v>
      </x:c>
      <x:c r="E895" s="34" t="n">
        <x:v>2034</x:v>
      </x:c>
      <x:c r="F895" s="34" t="n">
        <x:v>3</x:v>
      </x:c>
      <x:c r="G895" s="34" t="n">
        <x:v>8.1</x:v>
      </x:c>
      <x:c r="H895" s="34" t="n">
        <x:v>14.8</x:v>
      </x:c>
      <x:c r="I895" s="34" t="n">
        <x:v>6.7</x:v>
      </x:c>
      <x:c r="J895" s="34" t="n">
        <x:v>54.73</x:v>
      </x:c>
      <x:c r="K895" s="34" t="n">
        <x:v>0.495</x:v>
      </x:c>
      <x:c r="L895" s="34" t="n">
        <x:v>1.56</x:v>
      </x:c>
      <x:c r="M895" s="34" t="n">
        <x:v>1.065</x:v>
      </x:c>
      <x:c r="N895" s="34" t="n">
        <x:v>31.731</x:v>
      </x:c>
      <x:c r="O895" s="34" t="n">
        <x:v>7.961999</x:v>
      </x:c>
      <x:c r="P895" s="34" t="n">
        <x:v>12.600000000000001</x:v>
      </x:c>
      <x:c r="Q895" s="34" t="n">
        <x:v>4.638001</x:v>
      </x:c>
      <x:c r="R895" s="34" t="n">
        <x:v>63.19</x:v>
      </x:c>
      <x:c r="S895" s="40" t="b">
        <x:v>1</x:v>
      </x:c>
      <x:c r="T895" s="34" t="str">
        <x:v>model_interpolation</x:v>
      </x:c>
      <x:c r="U895" s="34" t="str">
        <x:v>Linear interpolation from 2030 to 2035</x:v>
      </x:c>
      <x:c r="V895" s="34" t="str">
        <x:v>CAND-E8FAD9BDD034A5</x:v>
      </x:c>
      <x:c r="W895" s="34" t="str">
        <x:v>P3</x:v>
      </x:c>
      <x:c r="X895" s="34" t="str">
        <x:v>PORT-51A2628EF9C2</x:v>
      </x:c>
      <x:c r="Y895" s="34" t="n">
        <x:v>1000</x:v>
      </x:c>
      <x:c r="Z895" s="34" t="n">
        <x:v>115.153615</x:v>
      </x:c>
      <x:c r="AA895" s="34" t="n">
        <x:v>27.431773</x:v>
      </x:c>
      <x:c r="AB895" s="34" t="n">
        <x:v>328.220861</x:v>
      </x:c>
      <x:c r="AC895" s="34" t="n">
        <x:v>37182.414</x:v>
      </x:c>
      <x:c r="AD895" s="34" t="n">
        <x:v>113.284736</x:v>
      </x:c>
      <x:c r="AE895" s="40" t="b">
        <x:v>1</x:v>
      </x:c>
      <x:c r="AF895" s="40" t="b">
        <x:v>1</x:v>
      </x:c>
      <x:c r="AG895" s="34" t="str"/>
      <x:c r="AH895" s="34" t="n">
        <x:v>0</x:v>
      </x:c>
      <x:c r="AI895" s="34" t="str">
        <x:v>1.265341119704999e-05</x:v>
      </x:c>
      <x:c r="AJ895" s="40" t="b">
        <x:v>1</x:v>
      </x:c>
      <x:c r="AK895" s="40" t="b">
        <x:v>1</x:v>
      </x:c>
      <x:c r="AL895" s="40" t="b">
        <x:v>1</x:v>
      </x:c>
      <x:c r="AM895" s="40" t="b">
        <x:v>1</x:v>
      </x:c>
      <x:c r="AN895" s="34" t="str"/>
      <x:c r="AO895" s="34" t="n">
        <x:v>0</x:v>
      </x:c>
      <x:c r="AP895" s="34" t="n">
        <x:v>0</x:v>
      </x:c>
      <x:c r="AQ895" s="34" t="n">
        <x:v>0</x:v>
      </x:c>
      <x:c r="AR895" s="34" t="n">
        <x:v>3</x:v>
      </x:c>
      <x:c r="AS895" s="34" t="n">
        <x:v>3</x:v>
      </x:c>
      <x:c r="AT895" s="34" t="n">
        <x:v>0.41232239999999987</x:v>
      </x:c>
      <x:c r="AU895" s="34" t="n">
        <x:v>0.65</x:v>
      </x:c>
      <x:c r="AV895" s="34" t="n">
        <x:v>1.78</x:v>
      </x:c>
    </x:row>
    <x:row r="896">
      <x:c r="A896" s="34" t="str">
        <x:v>JFE_STEEL_JP</x:v>
      </x:c>
      <x:c r="B896" s="34" t="str">
        <x:v>JFE Steel</x:v>
      </x:c>
      <x:c r="C896" s="34" t="str">
        <x:v>ACCELERATED_15C</x:v>
      </x:c>
      <x:c r="D896" s="34" t="str">
        <x:v>P3</x:v>
      </x:c>
      <x:c r="E896" s="34" t="n">
        <x:v>2035</x:v>
      </x:c>
      <x:c r="F896" s="34" t="n">
        <x:v>3</x:v>
      </x:c>
      <x:c r="G896" s="34" t="n">
        <x:v>8.1</x:v>
      </x:c>
      <x:c r="H896" s="34" t="n">
        <x:v>16</x:v>
      </x:c>
      <x:c r="I896" s="34" t="n">
        <x:v>7.9</x:v>
      </x:c>
      <x:c r="J896" s="34" t="n">
        <x:v>50.625</x:v>
      </x:c>
      <x:c r="K896" s="34" t="n">
        <x:v>0.495</x:v>
      </x:c>
      <x:c r="L896" s="34" t="n">
        <x:v>1.8</x:v>
      </x:c>
      <x:c r="M896" s="34" t="n">
        <x:v>1.305</x:v>
      </x:c>
      <x:c r="N896" s="34" t="n">
        <x:v>27.5</x:v>
      </x:c>
      <x:c r="O896" s="34" t="n">
        <x:v>7.961999</x:v>
      </x:c>
      <x:c r="P896" s="34" t="n">
        <x:v>14</x:v>
      </x:c>
      <x:c r="Q896" s="34" t="n">
        <x:v>6.038001</x:v>
      </x:c>
      <x:c r="R896" s="34" t="n">
        <x:v>56.871</x:v>
      </x:c>
      <x:c r="S896" s="40" t="b">
        <x:v>1</x:v>
      </x:c>
      <x:c r="T896" s="34" t="str">
        <x:v>model_interpolation</x:v>
      </x:c>
      <x:c r="U896" s="34" t="str">
        <x:v>Linear interpolation from 2035 to 2040</x:v>
      </x:c>
      <x:c r="V896" s="34" t="str">
        <x:v>CAND-E8FAD9BDD034A5</x:v>
      </x:c>
      <x:c r="W896" s="34" t="str">
        <x:v>P3</x:v>
      </x:c>
      <x:c r="X896" s="34" t="str">
        <x:v>PORT-51A2628EF9C2</x:v>
      </x:c>
      <x:c r="Y896" s="34" t="n">
        <x:v>1000</x:v>
      </x:c>
      <x:c r="Z896" s="34" t="n">
        <x:v>115.153615</x:v>
      </x:c>
      <x:c r="AA896" s="34" t="n">
        <x:v>27.431773</x:v>
      </x:c>
      <x:c r="AB896" s="34" t="n">
        <x:v>328.220861</x:v>
      </x:c>
      <x:c r="AC896" s="34" t="n">
        <x:v>37182.414</x:v>
      </x:c>
      <x:c r="AD896" s="34" t="n">
        <x:v>113.284736</x:v>
      </x:c>
      <x:c r="AE896" s="40" t="b">
        <x:v>1</x:v>
      </x:c>
      <x:c r="AF896" s="40" t="b">
        <x:v>1</x:v>
      </x:c>
      <x:c r="AG896" s="34" t="str"/>
      <x:c r="AH896" s="34" t="n">
        <x:v>0</x:v>
      </x:c>
      <x:c r="AI896" s="34" t="str">
        <x:v>1.265341119704999e-05</x:v>
      </x:c>
      <x:c r="AJ896" s="40" t="b">
        <x:v>1</x:v>
      </x:c>
      <x:c r="AK896" s="40" t="b">
        <x:v>1</x:v>
      </x:c>
      <x:c r="AL896" s="40" t="b">
        <x:v>1</x:v>
      </x:c>
      <x:c r="AM896" s="40" t="b">
        <x:v>1</x:v>
      </x:c>
      <x:c r="AN896" s="34" t="str"/>
      <x:c r="AO896" s="34" t="n">
        <x:v>0</x:v>
      </x:c>
      <x:c r="AP896" s="34" t="n">
        <x:v>0</x:v>
      </x:c>
      <x:c r="AQ896" s="34" t="n">
        <x:v>0</x:v>
      </x:c>
      <x:c r="AR896" s="34" t="n">
        <x:v>3</x:v>
      </x:c>
      <x:c r="AS896" s="34" t="n">
        <x:v>3</x:v>
      </x:c>
      <x:c r="AT896" s="34" t="n">
        <x:v>0.41232239999999987</x:v>
      </x:c>
      <x:c r="AU896" s="34" t="n">
        <x:v>0.65</x:v>
      </x:c>
      <x:c r="AV896" s="34" t="n">
        <x:v>1.78</x:v>
      </x:c>
    </x:row>
    <x:row r="897">
      <x:c r="A897" s="34" t="str">
        <x:v>JFE_STEEL_JP</x:v>
      </x:c>
      <x:c r="B897" s="34" t="str">
        <x:v>JFE Steel</x:v>
      </x:c>
      <x:c r="C897" s="34" t="str">
        <x:v>ACCELERATED_15C</x:v>
      </x:c>
      <x:c r="D897" s="34" t="str">
        <x:v>P3</x:v>
      </x:c>
      <x:c r="E897" s="34" t="n">
        <x:v>2036</x:v>
      </x:c>
      <x:c r="F897" s="34" t="n">
        <x:v>4</x:v>
      </x:c>
      <x:c r="G897" s="34" t="n">
        <x:v>8.9175</x:v>
      </x:c>
      <x:c r="H897" s="34" t="n">
        <x:v>17</x:v>
      </x:c>
      <x:c r="I897" s="34" t="n">
        <x:v>8.0825</x:v>
      </x:c>
      <x:c r="J897" s="34" t="n">
        <x:v>52.456</x:v>
      </x:c>
      <x:c r="K897" s="34" t="n">
        <x:v>0.79475</x:v>
      </x:c>
      <x:c r="L897" s="34" t="n">
        <x:v>2.04</x:v>
      </x:c>
      <x:c r="M897" s="34" t="n">
        <x:v>1.24525</x:v>
      </x:c>
      <x:c r="N897" s="34" t="n">
        <x:v>38.958</x:v>
      </x:c>
      <x:c r="O897" s="34" t="n">
        <x:v>10.468998</x:v>
      </x:c>
      <x:c r="P897" s="34" t="n">
        <x:v>15.6</x:v>
      </x:c>
      <x:c r="Q897" s="34" t="n">
        <x:v>5.131002</x:v>
      </x:c>
      <x:c r="R897" s="34" t="n">
        <x:v>67.109</x:v>
      </x:c>
      <x:c r="S897" s="40" t="b">
        <x:v>1</x:v>
      </x:c>
      <x:c r="T897" s="34" t="str">
        <x:v>model_interpolation</x:v>
      </x:c>
      <x:c r="U897" s="34" t="str">
        <x:v>Linear interpolation from 2035 to 2040</x:v>
      </x:c>
      <x:c r="V897" s="34" t="str">
        <x:v>CAND-E8FAD9BDD034A5</x:v>
      </x:c>
      <x:c r="W897" s="34" t="str">
        <x:v>P3</x:v>
      </x:c>
      <x:c r="X897" s="34" t="str">
        <x:v>PORT-51A2628EF9C2</x:v>
      </x:c>
      <x:c r="Y897" s="34" t="n">
        <x:v>1000</x:v>
      </x:c>
      <x:c r="Z897" s="34" t="n">
        <x:v>115.153615</x:v>
      </x:c>
      <x:c r="AA897" s="34" t="n">
        <x:v>27.431773</x:v>
      </x:c>
      <x:c r="AB897" s="34" t="n">
        <x:v>328.220861</x:v>
      </x:c>
      <x:c r="AC897" s="34" t="n">
        <x:v>37182.414</x:v>
      </x:c>
      <x:c r="AD897" s="34" t="n">
        <x:v>113.284736</x:v>
      </x:c>
      <x:c r="AE897" s="40" t="b">
        <x:v>1</x:v>
      </x:c>
      <x:c r="AF897" s="40" t="b">
        <x:v>1</x:v>
      </x:c>
      <x:c r="AG897" s="34" t="str"/>
      <x:c r="AH897" s="34" t="n">
        <x:v>0</x:v>
      </x:c>
      <x:c r="AI897" s="34" t="str">
        <x:v>1.265341119704999e-05</x:v>
      </x:c>
      <x:c r="AJ897" s="40" t="b">
        <x:v>1</x:v>
      </x:c>
      <x:c r="AK897" s="40" t="b">
        <x:v>1</x:v>
      </x:c>
      <x:c r="AL897" s="40" t="b">
        <x:v>1</x:v>
      </x:c>
      <x:c r="AM897" s="40" t="b">
        <x:v>1</x:v>
      </x:c>
      <x:c r="AN897" s="34" t="str"/>
      <x:c r="AO897" s="34" t="n">
        <x:v>0</x:v>
      </x:c>
      <x:c r="AP897" s="34" t="n">
        <x:v>0</x:v>
      </x:c>
      <x:c r="AQ897" s="34" t="n">
        <x:v>0</x:v>
      </x:c>
      <x:c r="AR897" s="34" t="n">
        <x:v>3</x:v>
      </x:c>
      <x:c r="AS897" s="34" t="n">
        <x:v>3</x:v>
      </x:c>
      <x:c r="AT897" s="34" t="n">
        <x:v>0.41232239999999987</x:v>
      </x:c>
      <x:c r="AU897" s="34" t="n">
        <x:v>0.65</x:v>
      </x:c>
      <x:c r="AV897" s="34" t="n">
        <x:v>1.78</x:v>
      </x:c>
    </x:row>
    <x:row r="898">
      <x:c r="A898" s="34" t="str">
        <x:v>JFE_STEEL_JP</x:v>
      </x:c>
      <x:c r="B898" s="34" t="str">
        <x:v>JFE Steel</x:v>
      </x:c>
      <x:c r="C898" s="34" t="str">
        <x:v>ACCELERATED_15C</x:v>
      </x:c>
      <x:c r="D898" s="34" t="str">
        <x:v>P3</x:v>
      </x:c>
      <x:c r="E898" s="34" t="n">
        <x:v>2037</x:v>
      </x:c>
      <x:c r="F898" s="34" t="n">
        <x:v>4</x:v>
      </x:c>
      <x:c r="G898" s="34" t="n">
        <x:v>8.9175</x:v>
      </x:c>
      <x:c r="H898" s="34" t="n">
        <x:v>18</x:v>
      </x:c>
      <x:c r="I898" s="34" t="n">
        <x:v>9.0825</x:v>
      </x:c>
      <x:c r="J898" s="34" t="n">
        <x:v>49.542</x:v>
      </x:c>
      <x:c r="K898" s="34" t="n">
        <x:v>0.79475</x:v>
      </x:c>
      <x:c r="L898" s="34" t="n">
        <x:v>2.2800000000000002</x:v>
      </x:c>
      <x:c r="M898" s="34" t="n">
        <x:v>1.48525</x:v>
      </x:c>
      <x:c r="N898" s="34" t="n">
        <x:v>34.857</x:v>
      </x:c>
      <x:c r="O898" s="34" t="n">
        <x:v>10.468998</x:v>
      </x:c>
      <x:c r="P898" s="34" t="n">
        <x:v>17.2</x:v>
      </x:c>
      <x:c r="Q898" s="34" t="n">
        <x:v>6.731002</x:v>
      </x:c>
      <x:c r="R898" s="34" t="n">
        <x:v>60.866</x:v>
      </x:c>
      <x:c r="S898" s="40" t="b">
        <x:v>1</x:v>
      </x:c>
      <x:c r="T898" s="34" t="str">
        <x:v>model_interpolation</x:v>
      </x:c>
      <x:c r="U898" s="34" t="str">
        <x:v>Linear interpolation from 2035 to 2040</x:v>
      </x:c>
      <x:c r="V898" s="34" t="str">
        <x:v>CAND-E8FAD9BDD034A5</x:v>
      </x:c>
      <x:c r="W898" s="34" t="str">
        <x:v>P3</x:v>
      </x:c>
      <x:c r="X898" s="34" t="str">
        <x:v>PORT-51A2628EF9C2</x:v>
      </x:c>
      <x:c r="Y898" s="34" t="n">
        <x:v>1000</x:v>
      </x:c>
      <x:c r="Z898" s="34" t="n">
        <x:v>115.153615</x:v>
      </x:c>
      <x:c r="AA898" s="34" t="n">
        <x:v>27.431773</x:v>
      </x:c>
      <x:c r="AB898" s="34" t="n">
        <x:v>328.220861</x:v>
      </x:c>
      <x:c r="AC898" s="34" t="n">
        <x:v>37182.414</x:v>
      </x:c>
      <x:c r="AD898" s="34" t="n">
        <x:v>113.284736</x:v>
      </x:c>
      <x:c r="AE898" s="40" t="b">
        <x:v>1</x:v>
      </x:c>
      <x:c r="AF898" s="40" t="b">
        <x:v>1</x:v>
      </x:c>
      <x:c r="AG898" s="34" t="str"/>
      <x:c r="AH898" s="34" t="n">
        <x:v>0</x:v>
      </x:c>
      <x:c r="AI898" s="34" t="str">
        <x:v>1.265341119704999e-05</x:v>
      </x:c>
      <x:c r="AJ898" s="40" t="b">
        <x:v>1</x:v>
      </x:c>
      <x:c r="AK898" s="40" t="b">
        <x:v>1</x:v>
      </x:c>
      <x:c r="AL898" s="40" t="b">
        <x:v>1</x:v>
      </x:c>
      <x:c r="AM898" s="40" t="b">
        <x:v>1</x:v>
      </x:c>
      <x:c r="AN898" s="34" t="str"/>
      <x:c r="AO898" s="34" t="n">
        <x:v>0</x:v>
      </x:c>
      <x:c r="AP898" s="34" t="n">
        <x:v>0</x:v>
      </x:c>
      <x:c r="AQ898" s="34" t="n">
        <x:v>0</x:v>
      </x:c>
      <x:c r="AR898" s="34" t="n">
        <x:v>3</x:v>
      </x:c>
      <x:c r="AS898" s="34" t="n">
        <x:v>3</x:v>
      </x:c>
      <x:c r="AT898" s="34" t="n">
        <x:v>0.41232239999999987</x:v>
      </x:c>
      <x:c r="AU898" s="34" t="n">
        <x:v>0.65</x:v>
      </x:c>
      <x:c r="AV898" s="34" t="n">
        <x:v>1.78</x:v>
      </x:c>
    </x:row>
    <x:row r="899">
      <x:c r="A899" s="34" t="str">
        <x:v>JFE_STEEL_JP</x:v>
      </x:c>
      <x:c r="B899" s="34" t="str">
        <x:v>JFE Steel</x:v>
      </x:c>
      <x:c r="C899" s="34" t="str">
        <x:v>ACCELERATED_15C</x:v>
      </x:c>
      <x:c r="D899" s="34" t="str">
        <x:v>P3</x:v>
      </x:c>
      <x:c r="E899" s="34" t="n">
        <x:v>2038</x:v>
      </x:c>
      <x:c r="F899" s="34" t="n">
        <x:v>4</x:v>
      </x:c>
      <x:c r="G899" s="34" t="n">
        <x:v>8.9175</x:v>
      </x:c>
      <x:c r="H899" s="34" t="n">
        <x:v>19</x:v>
      </x:c>
      <x:c r="I899" s="34" t="n">
        <x:v>10.0825</x:v>
      </x:c>
      <x:c r="J899" s="34" t="n">
        <x:v>46.934</x:v>
      </x:c>
      <x:c r="K899" s="34" t="n">
        <x:v>0.79475</x:v>
      </x:c>
      <x:c r="L899" s="34" t="n">
        <x:v>2.52</x:v>
      </x:c>
      <x:c r="M899" s="34" t="n">
        <x:v>1.72525</x:v>
      </x:c>
      <x:c r="N899" s="34" t="n">
        <x:v>31.538</x:v>
      </x:c>
      <x:c r="O899" s="34" t="n">
        <x:v>10.468998</x:v>
      </x:c>
      <x:c r="P899" s="34" t="n">
        <x:v>18.8</x:v>
      </x:c>
      <x:c r="Q899" s="34" t="n">
        <x:v>8.331002</x:v>
      </x:c>
      <x:c r="R899" s="34" t="n">
        <x:v>55.686</x:v>
      </x:c>
      <x:c r="S899" s="40" t="b">
        <x:v>1</x:v>
      </x:c>
      <x:c r="T899" s="34" t="str">
        <x:v>model_interpolation</x:v>
      </x:c>
      <x:c r="U899" s="34" t="str">
        <x:v>Linear interpolation from 2035 to 2040</x:v>
      </x:c>
      <x:c r="V899" s="34" t="str">
        <x:v>CAND-E8FAD9BDD034A5</x:v>
      </x:c>
      <x:c r="W899" s="34" t="str">
        <x:v>P3</x:v>
      </x:c>
      <x:c r="X899" s="34" t="str">
        <x:v>PORT-51A2628EF9C2</x:v>
      </x:c>
      <x:c r="Y899" s="34" t="n">
        <x:v>1000</x:v>
      </x:c>
      <x:c r="Z899" s="34" t="n">
        <x:v>115.153615</x:v>
      </x:c>
      <x:c r="AA899" s="34" t="n">
        <x:v>27.431773</x:v>
      </x:c>
      <x:c r="AB899" s="34" t="n">
        <x:v>328.220861</x:v>
      </x:c>
      <x:c r="AC899" s="34" t="n">
        <x:v>37182.414</x:v>
      </x:c>
      <x:c r="AD899" s="34" t="n">
        <x:v>113.284736</x:v>
      </x:c>
      <x:c r="AE899" s="40" t="b">
        <x:v>1</x:v>
      </x:c>
      <x:c r="AF899" s="40" t="b">
        <x:v>1</x:v>
      </x:c>
      <x:c r="AG899" s="34" t="str"/>
      <x:c r="AH899" s="34" t="n">
        <x:v>0</x:v>
      </x:c>
      <x:c r="AI899" s="34" t="str">
        <x:v>1.265341119704999e-05</x:v>
      </x:c>
      <x:c r="AJ899" s="40" t="b">
        <x:v>1</x:v>
      </x:c>
      <x:c r="AK899" s="40" t="b">
        <x:v>1</x:v>
      </x:c>
      <x:c r="AL899" s="40" t="b">
        <x:v>1</x:v>
      </x:c>
      <x:c r="AM899" s="40" t="b">
        <x:v>1</x:v>
      </x:c>
      <x:c r="AN899" s="34" t="str"/>
      <x:c r="AO899" s="34" t="n">
        <x:v>0</x:v>
      </x:c>
      <x:c r="AP899" s="34" t="n">
        <x:v>0</x:v>
      </x:c>
      <x:c r="AQ899" s="34" t="n">
        <x:v>0</x:v>
      </x:c>
      <x:c r="AR899" s="34" t="n">
        <x:v>3</x:v>
      </x:c>
      <x:c r="AS899" s="34" t="n">
        <x:v>3</x:v>
      </x:c>
      <x:c r="AT899" s="34" t="n">
        <x:v>0.41232239999999987</x:v>
      </x:c>
      <x:c r="AU899" s="34" t="n">
        <x:v>0.65</x:v>
      </x:c>
      <x:c r="AV899" s="34" t="n">
        <x:v>1.78</x:v>
      </x:c>
    </x:row>
    <x:row r="900">
      <x:c r="A900" s="34" t="str">
        <x:v>JFE_STEEL_JP</x:v>
      </x:c>
      <x:c r="B900" s="34" t="str">
        <x:v>JFE Steel</x:v>
      </x:c>
      <x:c r="C900" s="34" t="str">
        <x:v>ACCELERATED_15C</x:v>
      </x:c>
      <x:c r="D900" s="34" t="str">
        <x:v>P3</x:v>
      </x:c>
      <x:c r="E900" s="34" t="n">
        <x:v>2039</x:v>
      </x:c>
      <x:c r="F900" s="34" t="n">
        <x:v>4</x:v>
      </x:c>
      <x:c r="G900" s="34" t="n">
        <x:v>8.9175</x:v>
      </x:c>
      <x:c r="H900" s="34" t="n">
        <x:v>20</x:v>
      </x:c>
      <x:c r="I900" s="34" t="n">
        <x:v>11.0825</x:v>
      </x:c>
      <x:c r="J900" s="34" t="n">
        <x:v>44.587</x:v>
      </x:c>
      <x:c r="K900" s="34" t="n">
        <x:v>0.79475</x:v>
      </x:c>
      <x:c r="L900" s="34" t="n">
        <x:v>2.76</x:v>
      </x:c>
      <x:c r="M900" s="34" t="n">
        <x:v>1.96525</x:v>
      </x:c>
      <x:c r="N900" s="34" t="n">
        <x:v>28.795</x:v>
      </x:c>
      <x:c r="O900" s="34" t="n">
        <x:v>10.468998</x:v>
      </x:c>
      <x:c r="P900" s="34" t="n">
        <x:v>20.4</x:v>
      </x:c>
      <x:c r="Q900" s="34" t="n">
        <x:v>9.931002</x:v>
      </x:c>
      <x:c r="R900" s="34" t="n">
        <x:v>51.319</x:v>
      </x:c>
      <x:c r="S900" s="40" t="b">
        <x:v>1</x:v>
      </x:c>
      <x:c r="T900" s="34" t="str">
        <x:v>model_interpolation</x:v>
      </x:c>
      <x:c r="U900" s="34" t="str">
        <x:v>Linear interpolation from 2035 to 2040</x:v>
      </x:c>
      <x:c r="V900" s="34" t="str">
        <x:v>CAND-E8FAD9BDD034A5</x:v>
      </x:c>
      <x:c r="W900" s="34" t="str">
        <x:v>P3</x:v>
      </x:c>
      <x:c r="X900" s="34" t="str">
        <x:v>PORT-51A2628EF9C2</x:v>
      </x:c>
      <x:c r="Y900" s="34" t="n">
        <x:v>1000</x:v>
      </x:c>
      <x:c r="Z900" s="34" t="n">
        <x:v>115.153615</x:v>
      </x:c>
      <x:c r="AA900" s="34" t="n">
        <x:v>27.431773</x:v>
      </x:c>
      <x:c r="AB900" s="34" t="n">
        <x:v>328.220861</x:v>
      </x:c>
      <x:c r="AC900" s="34" t="n">
        <x:v>37182.414</x:v>
      </x:c>
      <x:c r="AD900" s="34" t="n">
        <x:v>113.284736</x:v>
      </x:c>
      <x:c r="AE900" s="40" t="b">
        <x:v>1</x:v>
      </x:c>
      <x:c r="AF900" s="40" t="b">
        <x:v>1</x:v>
      </x:c>
      <x:c r="AG900" s="34" t="str"/>
      <x:c r="AH900" s="34" t="n">
        <x:v>0</x:v>
      </x:c>
      <x:c r="AI900" s="34" t="str">
        <x:v>1.265341119704999e-05</x:v>
      </x:c>
      <x:c r="AJ900" s="40" t="b">
        <x:v>1</x:v>
      </x:c>
      <x:c r="AK900" s="40" t="b">
        <x:v>1</x:v>
      </x:c>
      <x:c r="AL900" s="40" t="b">
        <x:v>1</x:v>
      </x:c>
      <x:c r="AM900" s="40" t="b">
        <x:v>1</x:v>
      </x:c>
      <x:c r="AN900" s="34" t="str"/>
      <x:c r="AO900" s="34" t="n">
        <x:v>0</x:v>
      </x:c>
      <x:c r="AP900" s="34" t="n">
        <x:v>0</x:v>
      </x:c>
      <x:c r="AQ900" s="34" t="n">
        <x:v>0</x:v>
      </x:c>
      <x:c r="AR900" s="34" t="n">
        <x:v>3</x:v>
      </x:c>
      <x:c r="AS900" s="34" t="n">
        <x:v>3</x:v>
      </x:c>
      <x:c r="AT900" s="34" t="n">
        <x:v>0.41232239999999987</x:v>
      </x:c>
      <x:c r="AU900" s="34" t="n">
        <x:v>0.65</x:v>
      </x:c>
      <x:c r="AV900" s="34" t="n">
        <x:v>1.78</x:v>
      </x:c>
    </x:row>
    <x:row r="901">
      <x:c r="A901" s="34" t="str">
        <x:v>JFE_STEEL_JP</x:v>
      </x:c>
      <x:c r="B901" s="34" t="str">
        <x:v>JFE Steel</x:v>
      </x:c>
      <x:c r="C901" s="34" t="str">
        <x:v>ACCELERATED_15C</x:v>
      </x:c>
      <x:c r="D901" s="34" t="str">
        <x:v>P3</x:v>
      </x:c>
      <x:c r="E901" s="34" t="n">
        <x:v>2040</x:v>
      </x:c>
      <x:c r="F901" s="34" t="n">
        <x:v>4</x:v>
      </x:c>
      <x:c r="G901" s="34" t="n">
        <x:v>8.9175</x:v>
      </x:c>
      <x:c r="H901" s="34" t="n">
        <x:v>21</x:v>
      </x:c>
      <x:c r="I901" s="34" t="n">
        <x:v>12.0825</x:v>
      </x:c>
      <x:c r="J901" s="34" t="n">
        <x:v>42.464</x:v>
      </x:c>
      <x:c r="K901" s="34" t="n">
        <x:v>0.79475</x:v>
      </x:c>
      <x:c r="L901" s="34" t="n">
        <x:v>3</x:v>
      </x:c>
      <x:c r="M901" s="34" t="n">
        <x:v>2.20525</x:v>
      </x:c>
      <x:c r="N901" s="34" t="n">
        <x:v>26.492</x:v>
      </x:c>
      <x:c r="O901" s="34" t="n">
        <x:v>10.468998</x:v>
      </x:c>
      <x:c r="P901" s="34" t="n">
        <x:v>22</x:v>
      </x:c>
      <x:c r="Q901" s="34" t="n">
        <x:v>11.531002</x:v>
      </x:c>
      <x:c r="R901" s="34" t="n">
        <x:v>47.586</x:v>
      </x:c>
      <x:c r="S901" s="40" t="b">
        <x:v>1</x:v>
      </x:c>
      <x:c r="T901" s="34" t="str">
        <x:v>model_estimate</x:v>
      </x:c>
      <x:c r="U901" s="34" t="str">
        <x:v>Illustrative accelerated envelope; not GCAM or an official supply forecast</x:v>
      </x:c>
      <x:c r="V901" s="34" t="str">
        <x:v>CAND-E8FAD9BDD034A5</x:v>
      </x:c>
      <x:c r="W901" s="34" t="str">
        <x:v>P3</x:v>
      </x:c>
      <x:c r="X901" s="34" t="str">
        <x:v>PORT-51A2628EF9C2</x:v>
      </x:c>
      <x:c r="Y901" s="34" t="n">
        <x:v>1000</x:v>
      </x:c>
      <x:c r="Z901" s="34" t="n">
        <x:v>115.153615</x:v>
      </x:c>
      <x:c r="AA901" s="34" t="n">
        <x:v>27.431773</x:v>
      </x:c>
      <x:c r="AB901" s="34" t="n">
        <x:v>328.220861</x:v>
      </x:c>
      <x:c r="AC901" s="34" t="n">
        <x:v>37182.414</x:v>
      </x:c>
      <x:c r="AD901" s="34" t="n">
        <x:v>113.284736</x:v>
      </x:c>
      <x:c r="AE901" s="40" t="b">
        <x:v>1</x:v>
      </x:c>
      <x:c r="AF901" s="40" t="b">
        <x:v>1</x:v>
      </x:c>
      <x:c r="AG901" s="34" t="str"/>
      <x:c r="AH901" s="34" t="n">
        <x:v>0</x:v>
      </x:c>
      <x:c r="AI901" s="34" t="str">
        <x:v>1.265341119704999e-05</x:v>
      </x:c>
      <x:c r="AJ901" s="40" t="b">
        <x:v>1</x:v>
      </x:c>
      <x:c r="AK901" s="40" t="b">
        <x:v>1</x:v>
      </x:c>
      <x:c r="AL901" s="40" t="b">
        <x:v>1</x:v>
      </x:c>
      <x:c r="AM901" s="40" t="b">
        <x:v>1</x:v>
      </x:c>
      <x:c r="AN901" s="34" t="str"/>
      <x:c r="AO901" s="34" t="n">
        <x:v>0</x:v>
      </x:c>
      <x:c r="AP901" s="34" t="n">
        <x:v>0</x:v>
      </x:c>
      <x:c r="AQ901" s="34" t="n">
        <x:v>0</x:v>
      </x:c>
      <x:c r="AR901" s="34" t="n">
        <x:v>3</x:v>
      </x:c>
      <x:c r="AS901" s="34" t="n">
        <x:v>3</x:v>
      </x:c>
      <x:c r="AT901" s="34" t="n">
        <x:v>0.41232239999999987</x:v>
      </x:c>
      <x:c r="AU901" s="34" t="n">
        <x:v>0.65</x:v>
      </x:c>
      <x:c r="AV901" s="34" t="n">
        <x:v>1.78</x:v>
      </x:c>
    </x:row>
    <x:row r="902">
      <x:c r="A902" s="34" t="str">
        <x:v>NIPPON_STEEL_JP</x:v>
      </x:c>
      <x:c r="B902" s="34" t="str">
        <x:v>Nippon Steel</x:v>
      </x:c>
      <x:c r="C902" s="34" t="str">
        <x:v>DISCLOSED_PATH</x:v>
      </x:c>
      <x:c r="D902" s="34" t="str">
        <x:v>P2</x:v>
      </x:c>
      <x:c r="E902" s="34" t="n">
        <x:v>2026</x:v>
      </x:c>
      <x:c r="F902" s="34" t="n">
        <x:v>0</x:v>
      </x:c>
      <x:c r="G902" s="34" t="n">
        <x:v>0</x:v>
      </x:c>
      <x:c r="H902" s="34" t="n">
        <x:v>8</x:v>
      </x:c>
      <x:c r="I902" s="34" t="n">
        <x:v>8</x:v>
      </x:c>
      <x:c r="J902" s="34" t="n">
        <x:v>0</x:v>
      </x:c>
      <x:c r="K902" s="34" t="n">
        <x:v>0</x:v>
      </x:c>
      <x:c r="L902" s="34" t="n">
        <x:v>0</x:v>
      </x:c>
      <x:c r="M902" s="34" t="n">
        <x:v>0</x:v>
      </x:c>
      <x:c r="N902" s="34" t="n">
        <x:v>0</x:v>
      </x:c>
      <x:c r="O902" s="34" t="n">
        <x:v>0</x:v>
      </x:c>
      <x:c r="P902" s="34" t="n">
        <x:v>2</x:v>
      </x:c>
      <x:c r="Q902" s="34" t="n">
        <x:v>2</x:v>
      </x:c>
      <x:c r="R902" s="34" t="n">
        <x:v>0</x:v>
      </x:c>
      <x:c r="S902" s="40" t="b">
        <x:v>1</x:v>
      </x:c>
      <x:c r="T902" s="34" t="str">
        <x:v>model_interpolation</x:v>
      </x:c>
      <x:c r="U902" s="34" t="str">
        <x:v>Linear interpolation from 2026 to 2030</x:v>
      </x:c>
      <x:c r="V902" s="34" t="str">
        <x:v>CAND-EBD30C485CEFDA</x:v>
      </x:c>
      <x:c r="W902" s="34" t="str">
        <x:v>P2</x:v>
      </x:c>
      <x:c r="X902" s="34" t="str">
        <x:v>PORT-9E76B3BFF9FF</x:v>
      </x:c>
      <x:c r="Y902" s="34" t="n">
        <x:v>1000</x:v>
      </x:c>
      <x:c r="Z902" s="34" t="n">
        <x:v>90.065092</x:v>
      </x:c>
      <x:c r="AA902" s="34" t="n">
        <x:v>23.166254</x:v>
      </x:c>
      <x:c r="AB902" s="34" t="n">
        <x:v>456.103943</x:v>
      </x:c>
      <x:c r="AC902" s="34" t="n">
        <x:v>40161.86</x:v>
      </x:c>
      <x:c r="AD902" s="34" t="n">
        <x:v>88.054182</x:v>
      </x:c>
      <x:c r="AE902" s="40" t="b">
        <x:v>1</x:v>
      </x:c>
      <x:c r="AF902" s="40" t="b">
        <x:v>1</x:v>
      </x:c>
      <x:c r="AG902" s="34" t="str"/>
      <x:c r="AH902" s="34" t="n">
        <x:v>0</x:v>
      </x:c>
      <x:c r="AI902" s="34" t="str">
        <x:v>3.446647212967946e-06</x:v>
      </x:c>
      <x:c r="AJ902" s="40" t="b">
        <x:v>1</x:v>
      </x:c>
      <x:c r="AK902" s="40" t="b">
        <x:v>1</x:v>
      </x:c>
      <x:c r="AL902" s="40" t="b">
        <x:v>1</x:v>
      </x:c>
      <x:c r="AM902" s="40" t="b">
        <x:v>1</x:v>
      </x:c>
      <x:c r="AN902" s="34" t="str"/>
      <x:c r="AO902" s="34" t="n">
        <x:v>0</x:v>
      </x:c>
      <x:c r="AP902" s="34" t="n">
        <x:v>0</x:v>
      </x:c>
      <x:c r="AQ902" s="34" t="n">
        <x:v>0</x:v>
      </x:c>
      <x:c r="AR902" s="34" t="n">
        <x:v>2</x:v>
      </x:c>
      <x:c r="AS902" s="34" t="n">
        <x:v>2</x:v>
      </x:c>
      <x:c r="AT902" s="34" t="n">
        <x:v>0.47641018879999986</x:v>
      </x:c>
      <x:c r="AU902" s="34" t="n">
        <x:v>0.65</x:v>
      </x:c>
      <x:c r="AV902" s="34" t="n">
        <x:v>2.16</x:v>
      </x:c>
    </x:row>
    <x:row r="903">
      <x:c r="A903" s="34" t="str">
        <x:v>NIPPON_STEEL_JP</x:v>
      </x:c>
      <x:c r="B903" s="34" t="str">
        <x:v>Nippon Steel</x:v>
      </x:c>
      <x:c r="C903" s="34" t="str">
        <x:v>DISCLOSED_PATH</x:v>
      </x:c>
      <x:c r="D903" s="34" t="str">
        <x:v>P2</x:v>
      </x:c>
      <x:c r="E903" s="34" t="n">
        <x:v>2027</x:v>
      </x:c>
      <x:c r="F903" s="34" t="n">
        <x:v>0</x:v>
      </x:c>
      <x:c r="G903" s="34" t="n">
        <x:v>0</x:v>
      </x:c>
      <x:c r="H903" s="34" t="n">
        <x:v>9</x:v>
      </x:c>
      <x:c r="I903" s="34" t="n">
        <x:v>9</x:v>
      </x:c>
      <x:c r="J903" s="34" t="n">
        <x:v>0</x:v>
      </x:c>
      <x:c r="K903" s="34" t="n">
        <x:v>0</x:v>
      </x:c>
      <x:c r="L903" s="34" t="n">
        <x:v>0.15</x:v>
      </x:c>
      <x:c r="M903" s="34" t="n">
        <x:v>0.15</x:v>
      </x:c>
      <x:c r="N903" s="34" t="n">
        <x:v>0</x:v>
      </x:c>
      <x:c r="O903" s="34" t="n">
        <x:v>0</x:v>
      </x:c>
      <x:c r="P903" s="34" t="n">
        <x:v>3.25</x:v>
      </x:c>
      <x:c r="Q903" s="34" t="n">
        <x:v>3.25</x:v>
      </x:c>
      <x:c r="R903" s="34" t="n">
        <x:v>0</x:v>
      </x:c>
      <x:c r="S903" s="40" t="b">
        <x:v>1</x:v>
      </x:c>
      <x:c r="T903" s="34" t="str">
        <x:v>model_interpolation</x:v>
      </x:c>
      <x:c r="U903" s="34" t="str">
        <x:v>Linear interpolation from 2026 to 2030</x:v>
      </x:c>
      <x:c r="V903" s="34" t="str">
        <x:v>CAND-EBD30C485CEFDA</x:v>
      </x:c>
      <x:c r="W903" s="34" t="str">
        <x:v>P2</x:v>
      </x:c>
      <x:c r="X903" s="34" t="str">
        <x:v>PORT-9E76B3BFF9FF</x:v>
      </x:c>
      <x:c r="Y903" s="34" t="n">
        <x:v>1000</x:v>
      </x:c>
      <x:c r="Z903" s="34" t="n">
        <x:v>90.065092</x:v>
      </x:c>
      <x:c r="AA903" s="34" t="n">
        <x:v>23.166254</x:v>
      </x:c>
      <x:c r="AB903" s="34" t="n">
        <x:v>456.103943</x:v>
      </x:c>
      <x:c r="AC903" s="34" t="n">
        <x:v>40161.86</x:v>
      </x:c>
      <x:c r="AD903" s="34" t="n">
        <x:v>88.054182</x:v>
      </x:c>
      <x:c r="AE903" s="40" t="b">
        <x:v>1</x:v>
      </x:c>
      <x:c r="AF903" s="40" t="b">
        <x:v>1</x:v>
      </x:c>
      <x:c r="AG903" s="34" t="str"/>
      <x:c r="AH903" s="34" t="n">
        <x:v>0</x:v>
      </x:c>
      <x:c r="AI903" s="34" t="str">
        <x:v>3.446647212967946e-06</x:v>
      </x:c>
      <x:c r="AJ903" s="40" t="b">
        <x:v>1</x:v>
      </x:c>
      <x:c r="AK903" s="40" t="b">
        <x:v>1</x:v>
      </x:c>
      <x:c r="AL903" s="40" t="b">
        <x:v>1</x:v>
      </x:c>
      <x:c r="AM903" s="40" t="b">
        <x:v>1</x:v>
      </x:c>
      <x:c r="AN903" s="34" t="str"/>
      <x:c r="AO903" s="34" t="n">
        <x:v>0</x:v>
      </x:c>
      <x:c r="AP903" s="34" t="n">
        <x:v>0</x:v>
      </x:c>
      <x:c r="AQ903" s="34" t="n">
        <x:v>0</x:v>
      </x:c>
      <x:c r="AR903" s="34" t="n">
        <x:v>2</x:v>
      </x:c>
      <x:c r="AS903" s="34" t="n">
        <x:v>2</x:v>
      </x:c>
      <x:c r="AT903" s="34" t="n">
        <x:v>0.47641018879999986</x:v>
      </x:c>
      <x:c r="AU903" s="34" t="n">
        <x:v>0.65</x:v>
      </x:c>
      <x:c r="AV903" s="34" t="n">
        <x:v>2.16</x:v>
      </x:c>
    </x:row>
    <x:row r="904">
      <x:c r="A904" s="34" t="str">
        <x:v>NIPPON_STEEL_JP</x:v>
      </x:c>
      <x:c r="B904" s="34" t="str">
        <x:v>Nippon Steel</x:v>
      </x:c>
      <x:c r="C904" s="34" t="str">
        <x:v>DISCLOSED_PATH</x:v>
      </x:c>
      <x:c r="D904" s="34" t="str">
        <x:v>P2</x:v>
      </x:c>
      <x:c r="E904" s="34" t="n">
        <x:v>2028</x:v>
      </x:c>
      <x:c r="F904" s="34" t="n">
        <x:v>0</x:v>
      </x:c>
      <x:c r="G904" s="34" t="n">
        <x:v>0</x:v>
      </x:c>
      <x:c r="H904" s="34" t="n">
        <x:v>10</x:v>
      </x:c>
      <x:c r="I904" s="34" t="n">
        <x:v>10</x:v>
      </x:c>
      <x:c r="J904" s="34" t="n">
        <x:v>0</x:v>
      </x:c>
      <x:c r="K904" s="34" t="n">
        <x:v>0</x:v>
      </x:c>
      <x:c r="L904" s="34" t="n">
        <x:v>0.3</x:v>
      </x:c>
      <x:c r="M904" s="34" t="n">
        <x:v>0.3</x:v>
      </x:c>
      <x:c r="N904" s="34" t="n">
        <x:v>0</x:v>
      </x:c>
      <x:c r="O904" s="34" t="n">
        <x:v>0</x:v>
      </x:c>
      <x:c r="P904" s="34" t="n">
        <x:v>4.5</x:v>
      </x:c>
      <x:c r="Q904" s="34" t="n">
        <x:v>4.5</x:v>
      </x:c>
      <x:c r="R904" s="34" t="n">
        <x:v>0</x:v>
      </x:c>
      <x:c r="S904" s="40" t="b">
        <x:v>1</x:v>
      </x:c>
      <x:c r="T904" s="34" t="str">
        <x:v>model_interpolation</x:v>
      </x:c>
      <x:c r="U904" s="34" t="str">
        <x:v>Linear interpolation from 2026 to 2030</x:v>
      </x:c>
      <x:c r="V904" s="34" t="str">
        <x:v>CAND-EBD30C485CEFDA</x:v>
      </x:c>
      <x:c r="W904" s="34" t="str">
        <x:v>P2</x:v>
      </x:c>
      <x:c r="X904" s="34" t="str">
        <x:v>PORT-9E76B3BFF9FF</x:v>
      </x:c>
      <x:c r="Y904" s="34" t="n">
        <x:v>1000</x:v>
      </x:c>
      <x:c r="Z904" s="34" t="n">
        <x:v>90.065092</x:v>
      </x:c>
      <x:c r="AA904" s="34" t="n">
        <x:v>23.166254</x:v>
      </x:c>
      <x:c r="AB904" s="34" t="n">
        <x:v>456.103943</x:v>
      </x:c>
      <x:c r="AC904" s="34" t="n">
        <x:v>40161.86</x:v>
      </x:c>
      <x:c r="AD904" s="34" t="n">
        <x:v>88.054182</x:v>
      </x:c>
      <x:c r="AE904" s="40" t="b">
        <x:v>1</x:v>
      </x:c>
      <x:c r="AF904" s="40" t="b">
        <x:v>1</x:v>
      </x:c>
      <x:c r="AG904" s="34" t="str"/>
      <x:c r="AH904" s="34" t="n">
        <x:v>0</x:v>
      </x:c>
      <x:c r="AI904" s="34" t="str">
        <x:v>3.446647212967946e-06</x:v>
      </x:c>
      <x:c r="AJ904" s="40" t="b">
        <x:v>1</x:v>
      </x:c>
      <x:c r="AK904" s="40" t="b">
        <x:v>1</x:v>
      </x:c>
      <x:c r="AL904" s="40" t="b">
        <x:v>1</x:v>
      </x:c>
      <x:c r="AM904" s="40" t="b">
        <x:v>1</x:v>
      </x:c>
      <x:c r="AN904" s="34" t="str"/>
      <x:c r="AO904" s="34" t="n">
        <x:v>0</x:v>
      </x:c>
      <x:c r="AP904" s="34" t="n">
        <x:v>0</x:v>
      </x:c>
      <x:c r="AQ904" s="34" t="n">
        <x:v>0</x:v>
      </x:c>
      <x:c r="AR904" s="34" t="n">
        <x:v>2</x:v>
      </x:c>
      <x:c r="AS904" s="34" t="n">
        <x:v>2</x:v>
      </x:c>
      <x:c r="AT904" s="34" t="n">
        <x:v>0.47641018879999986</x:v>
      </x:c>
      <x:c r="AU904" s="34" t="n">
        <x:v>0.65</x:v>
      </x:c>
      <x:c r="AV904" s="34" t="n">
        <x:v>2.16</x:v>
      </x:c>
    </x:row>
    <x:row r="905">
      <x:c r="A905" s="34" t="str">
        <x:v>NIPPON_STEEL_JP</x:v>
      </x:c>
      <x:c r="B905" s="34" t="str">
        <x:v>Nippon Steel</x:v>
      </x:c>
      <x:c r="C905" s="34" t="str">
        <x:v>DISCLOSED_PATH</x:v>
      </x:c>
      <x:c r="D905" s="34" t="str">
        <x:v>P2</x:v>
      </x:c>
      <x:c r="E905" s="34" t="n">
        <x:v>2029</x:v>
      </x:c>
      <x:c r="F905" s="34" t="n">
        <x:v>1</x:v>
      </x:c>
      <x:c r="G905" s="34" t="n">
        <x:v>8.1</x:v>
      </x:c>
      <x:c r="H905" s="34" t="n">
        <x:v>11</x:v>
      </x:c>
      <x:c r="I905" s="34" t="n">
        <x:v>2.9</x:v>
      </x:c>
      <x:c r="J905" s="34" t="n">
        <x:v>73.636</x:v>
      </x:c>
      <x:c r="K905" s="34" t="n">
        <x:v>0</x:v>
      </x:c>
      <x:c r="L905" s="34" t="n">
        <x:v>0.44999999999999996</x:v>
      </x:c>
      <x:c r="M905" s="34" t="n">
        <x:v>0.45</x:v>
      </x:c>
      <x:c r="N905" s="34" t="n">
        <x:v>0</x:v>
      </x:c>
      <x:c r="O905" s="34" t="n">
        <x:v>5.04</x:v>
      </x:c>
      <x:c r="P905" s="34" t="n">
        <x:v>5.75</x:v>
      </x:c>
      <x:c r="Q905" s="34" t="n">
        <x:v>0.71</x:v>
      </x:c>
      <x:c r="R905" s="34" t="n">
        <x:v>87.652</x:v>
      </x:c>
      <x:c r="S905" s="40" t="b">
        <x:v>1</x:v>
      </x:c>
      <x:c r="T905" s="34" t="str">
        <x:v>model_interpolation</x:v>
      </x:c>
      <x:c r="U905" s="34" t="str">
        <x:v>Linear interpolation from 2026 to 2030</x:v>
      </x:c>
      <x:c r="V905" s="34" t="str">
        <x:v>CAND-EBD30C485CEFDA</x:v>
      </x:c>
      <x:c r="W905" s="34" t="str">
        <x:v>P2</x:v>
      </x:c>
      <x:c r="X905" s="34" t="str">
        <x:v>PORT-9E76B3BFF9FF</x:v>
      </x:c>
      <x:c r="Y905" s="34" t="n">
        <x:v>1000</x:v>
      </x:c>
      <x:c r="Z905" s="34" t="n">
        <x:v>90.065092</x:v>
      </x:c>
      <x:c r="AA905" s="34" t="n">
        <x:v>23.166254</x:v>
      </x:c>
      <x:c r="AB905" s="34" t="n">
        <x:v>456.103943</x:v>
      </x:c>
      <x:c r="AC905" s="34" t="n">
        <x:v>40161.86</x:v>
      </x:c>
      <x:c r="AD905" s="34" t="n">
        <x:v>88.054182</x:v>
      </x:c>
      <x:c r="AE905" s="40" t="b">
        <x:v>1</x:v>
      </x:c>
      <x:c r="AF905" s="40" t="b">
        <x:v>1</x:v>
      </x:c>
      <x:c r="AG905" s="34" t="str"/>
      <x:c r="AH905" s="34" t="n">
        <x:v>0</x:v>
      </x:c>
      <x:c r="AI905" s="34" t="str">
        <x:v>3.446647212967946e-06</x:v>
      </x:c>
      <x:c r="AJ905" s="40" t="b">
        <x:v>1</x:v>
      </x:c>
      <x:c r="AK905" s="40" t="b">
        <x:v>1</x:v>
      </x:c>
      <x:c r="AL905" s="40" t="b">
        <x:v>1</x:v>
      </x:c>
      <x:c r="AM905" s="40" t="b">
        <x:v>1</x:v>
      </x:c>
      <x:c r="AN905" s="34" t="str"/>
      <x:c r="AO905" s="34" t="n">
        <x:v>0</x:v>
      </x:c>
      <x:c r="AP905" s="34" t="n">
        <x:v>0</x:v>
      </x:c>
      <x:c r="AQ905" s="34" t="n">
        <x:v>0</x:v>
      </x:c>
      <x:c r="AR905" s="34" t="n">
        <x:v>2</x:v>
      </x:c>
      <x:c r="AS905" s="34" t="n">
        <x:v>2</x:v>
      </x:c>
      <x:c r="AT905" s="34" t="n">
        <x:v>0.47641018879999986</x:v>
      </x:c>
      <x:c r="AU905" s="34" t="n">
        <x:v>0.65</x:v>
      </x:c>
      <x:c r="AV905" s="34" t="n">
        <x:v>2.16</x:v>
      </x:c>
    </x:row>
    <x:row r="906">
      <x:c r="A906" s="34" t="str">
        <x:v>NIPPON_STEEL_JP</x:v>
      </x:c>
      <x:c r="B906" s="34" t="str">
        <x:v>Nippon Steel</x:v>
      </x:c>
      <x:c r="C906" s="34" t="str">
        <x:v>DISCLOSED_PATH</x:v>
      </x:c>
      <x:c r="D906" s="34" t="str">
        <x:v>P2</x:v>
      </x:c>
      <x:c r="E906" s="34" t="n">
        <x:v>2030</x:v>
      </x:c>
      <x:c r="F906" s="34" t="n">
        <x:v>1</x:v>
      </x:c>
      <x:c r="G906" s="34" t="n">
        <x:v>8.1</x:v>
      </x:c>
      <x:c r="H906" s="34" t="n">
        <x:v>12</x:v>
      </x:c>
      <x:c r="I906" s="34" t="n">
        <x:v>3.9</x:v>
      </x:c>
      <x:c r="J906" s="34" t="n">
        <x:v>67.5</x:v>
      </x:c>
      <x:c r="K906" s="34" t="n">
        <x:v>0</x:v>
      </x:c>
      <x:c r="L906" s="34" t="n">
        <x:v>0.6</x:v>
      </x:c>
      <x:c r="M906" s="34" t="n">
        <x:v>0.6</x:v>
      </x:c>
      <x:c r="N906" s="34" t="n">
        <x:v>0</x:v>
      </x:c>
      <x:c r="O906" s="34" t="n">
        <x:v>5.04</x:v>
      </x:c>
      <x:c r="P906" s="34" t="n">
        <x:v>7</x:v>
      </x:c>
      <x:c r="Q906" s="34" t="n">
        <x:v>1.96</x:v>
      </x:c>
      <x:c r="R906" s="34" t="n">
        <x:v>72</x:v>
      </x:c>
      <x:c r="S906" s="40" t="b">
        <x:v>1</x:v>
      </x:c>
      <x:c r="T906" s="34" t="str">
        <x:v>model_interpolation</x:v>
      </x:c>
      <x:c r="U906" s="34" t="str">
        <x:v>Linear interpolation from 2030 to 2035</x:v>
      </x:c>
      <x:c r="V906" s="34" t="str">
        <x:v>CAND-EBD30C485CEFDA</x:v>
      </x:c>
      <x:c r="W906" s="34" t="str">
        <x:v>P2</x:v>
      </x:c>
      <x:c r="X906" s="34" t="str">
        <x:v>PORT-9E76B3BFF9FF</x:v>
      </x:c>
      <x:c r="Y906" s="34" t="n">
        <x:v>1000</x:v>
      </x:c>
      <x:c r="Z906" s="34" t="n">
        <x:v>90.065092</x:v>
      </x:c>
      <x:c r="AA906" s="34" t="n">
        <x:v>23.166254</x:v>
      </x:c>
      <x:c r="AB906" s="34" t="n">
        <x:v>456.103943</x:v>
      </x:c>
      <x:c r="AC906" s="34" t="n">
        <x:v>40161.86</x:v>
      </x:c>
      <x:c r="AD906" s="34" t="n">
        <x:v>88.054182</x:v>
      </x:c>
      <x:c r="AE906" s="40" t="b">
        <x:v>1</x:v>
      </x:c>
      <x:c r="AF906" s="40" t="b">
        <x:v>1</x:v>
      </x:c>
      <x:c r="AG906" s="34" t="str"/>
      <x:c r="AH906" s="34" t="n">
        <x:v>0</x:v>
      </x:c>
      <x:c r="AI906" s="34" t="str">
        <x:v>3.446647212967946e-06</x:v>
      </x:c>
      <x:c r="AJ906" s="40" t="b">
        <x:v>1</x:v>
      </x:c>
      <x:c r="AK906" s="40" t="b">
        <x:v>1</x:v>
      </x:c>
      <x:c r="AL906" s="40" t="b">
        <x:v>1</x:v>
      </x:c>
      <x:c r="AM906" s="40" t="b">
        <x:v>1</x:v>
      </x:c>
      <x:c r="AN906" s="34" t="str"/>
      <x:c r="AO906" s="34" t="n">
        <x:v>0</x:v>
      </x:c>
      <x:c r="AP906" s="34" t="n">
        <x:v>0</x:v>
      </x:c>
      <x:c r="AQ906" s="34" t="n">
        <x:v>0</x:v>
      </x:c>
      <x:c r="AR906" s="34" t="n">
        <x:v>2</x:v>
      </x:c>
      <x:c r="AS906" s="34" t="n">
        <x:v>2</x:v>
      </x:c>
      <x:c r="AT906" s="34" t="n">
        <x:v>0.47641018879999986</x:v>
      </x:c>
      <x:c r="AU906" s="34" t="n">
        <x:v>0.65</x:v>
      </x:c>
      <x:c r="AV906" s="34" t="n">
        <x:v>2.16</x:v>
      </x:c>
    </x:row>
    <x:row r="907">
      <x:c r="A907" s="34" t="str">
        <x:v>NIPPON_STEEL_JP</x:v>
      </x:c>
      <x:c r="B907" s="34" t="str">
        <x:v>Nippon Steel</x:v>
      </x:c>
      <x:c r="C907" s="34" t="str">
        <x:v>DISCLOSED_PATH</x:v>
      </x:c>
      <x:c r="D907" s="34" t="str">
        <x:v>P2</x:v>
      </x:c>
      <x:c r="E907" s="34" t="n">
        <x:v>2031</x:v>
      </x:c>
      <x:c r="F907" s="34" t="n">
        <x:v>1</x:v>
      </x:c>
      <x:c r="G907" s="34" t="n">
        <x:v>8.1</x:v>
      </x:c>
      <x:c r="H907" s="34" t="n">
        <x:v>13.2</x:v>
      </x:c>
      <x:c r="I907" s="34" t="n">
        <x:v>5.1</x:v>
      </x:c>
      <x:c r="J907" s="34" t="n">
        <x:v>61.364</x:v>
      </x:c>
      <x:c r="K907" s="34" t="n">
        <x:v>0</x:v>
      </x:c>
      <x:c r="L907" s="34" t="n">
        <x:v>0.8400000000000001</x:v>
      </x:c>
      <x:c r="M907" s="34" t="n">
        <x:v>0.84</x:v>
      </x:c>
      <x:c r="N907" s="34" t="n">
        <x:v>0</x:v>
      </x:c>
      <x:c r="O907" s="34" t="n">
        <x:v>5.04</x:v>
      </x:c>
      <x:c r="P907" s="34" t="n">
        <x:v>8.6</x:v>
      </x:c>
      <x:c r="Q907" s="34" t="n">
        <x:v>3.56</x:v>
      </x:c>
      <x:c r="R907" s="34" t="n">
        <x:v>58.605</x:v>
      </x:c>
      <x:c r="S907" s="40" t="b">
        <x:v>1</x:v>
      </x:c>
      <x:c r="T907" s="34" t="str">
        <x:v>model_interpolation</x:v>
      </x:c>
      <x:c r="U907" s="34" t="str">
        <x:v>Linear interpolation from 2030 to 2035</x:v>
      </x:c>
      <x:c r="V907" s="34" t="str">
        <x:v>CAND-EBD30C485CEFDA</x:v>
      </x:c>
      <x:c r="W907" s="34" t="str">
        <x:v>P2</x:v>
      </x:c>
      <x:c r="X907" s="34" t="str">
        <x:v>PORT-9E76B3BFF9FF</x:v>
      </x:c>
      <x:c r="Y907" s="34" t="n">
        <x:v>1000</x:v>
      </x:c>
      <x:c r="Z907" s="34" t="n">
        <x:v>90.065092</x:v>
      </x:c>
      <x:c r="AA907" s="34" t="n">
        <x:v>23.166254</x:v>
      </x:c>
      <x:c r="AB907" s="34" t="n">
        <x:v>456.103943</x:v>
      </x:c>
      <x:c r="AC907" s="34" t="n">
        <x:v>40161.86</x:v>
      </x:c>
      <x:c r="AD907" s="34" t="n">
        <x:v>88.054182</x:v>
      </x:c>
      <x:c r="AE907" s="40" t="b">
        <x:v>1</x:v>
      </x:c>
      <x:c r="AF907" s="40" t="b">
        <x:v>1</x:v>
      </x:c>
      <x:c r="AG907" s="34" t="str"/>
      <x:c r="AH907" s="34" t="n">
        <x:v>0</x:v>
      </x:c>
      <x:c r="AI907" s="34" t="str">
        <x:v>3.446647212967946e-06</x:v>
      </x:c>
      <x:c r="AJ907" s="40" t="b">
        <x:v>1</x:v>
      </x:c>
      <x:c r="AK907" s="40" t="b">
        <x:v>1</x:v>
      </x:c>
      <x:c r="AL907" s="40" t="b">
        <x:v>1</x:v>
      </x:c>
      <x:c r="AM907" s="40" t="b">
        <x:v>1</x:v>
      </x:c>
      <x:c r="AN907" s="34" t="str"/>
      <x:c r="AO907" s="34" t="n">
        <x:v>0</x:v>
      </x:c>
      <x:c r="AP907" s="34" t="n">
        <x:v>0</x:v>
      </x:c>
      <x:c r="AQ907" s="34" t="n">
        <x:v>0</x:v>
      </x:c>
      <x:c r="AR907" s="34" t="n">
        <x:v>2</x:v>
      </x:c>
      <x:c r="AS907" s="34" t="n">
        <x:v>2</x:v>
      </x:c>
      <x:c r="AT907" s="34" t="n">
        <x:v>0.47641018879999986</x:v>
      </x:c>
      <x:c r="AU907" s="34" t="n">
        <x:v>0.65</x:v>
      </x:c>
      <x:c r="AV907" s="34" t="n">
        <x:v>2.16</x:v>
      </x:c>
    </x:row>
    <x:row r="908">
      <x:c r="A908" s="34" t="str">
        <x:v>NIPPON_STEEL_JP</x:v>
      </x:c>
      <x:c r="B908" s="34" t="str">
        <x:v>Nippon Steel</x:v>
      </x:c>
      <x:c r="C908" s="34" t="str">
        <x:v>DISCLOSED_PATH</x:v>
      </x:c>
      <x:c r="D908" s="34" t="str">
        <x:v>P2</x:v>
      </x:c>
      <x:c r="E908" s="34" t="n">
        <x:v>2032</x:v>
      </x:c>
      <x:c r="F908" s="34" t="n">
        <x:v>2</x:v>
      </x:c>
      <x:c r="G908" s="34" t="n">
        <x:v>9.03</x:v>
      </x:c>
      <x:c r="H908" s="34" t="n">
        <x:v>14.4</x:v>
      </x:c>
      <x:c r="I908" s="34" t="n">
        <x:v>5.37</x:v>
      </x:c>
      <x:c r="J908" s="34" t="n">
        <x:v>62.708</x:v>
      </x:c>
      <x:c r="K908" s="34" t="n">
        <x:v>0.341</x:v>
      </x:c>
      <x:c r="L908" s="34" t="n">
        <x:v>1.08</x:v>
      </x:c>
      <x:c r="M908" s="34" t="n">
        <x:v>0.739</x:v>
      </x:c>
      <x:c r="N908" s="34" t="n">
        <x:v>31.574</x:v>
      </x:c>
      <x:c r="O908" s="34" t="n">
        <x:v>7.891999</x:v>
      </x:c>
      <x:c r="P908" s="34" t="n">
        <x:v>10.2</x:v>
      </x:c>
      <x:c r="Q908" s="34" t="n">
        <x:v>2.308001</x:v>
      </x:c>
      <x:c r="R908" s="34" t="n">
        <x:v>77.373</x:v>
      </x:c>
      <x:c r="S908" s="40" t="b">
        <x:v>1</x:v>
      </x:c>
      <x:c r="T908" s="34" t="str">
        <x:v>model_interpolation</x:v>
      </x:c>
      <x:c r="U908" s="34" t="str">
        <x:v>Linear interpolation from 2030 to 2035</x:v>
      </x:c>
      <x:c r="V908" s="34" t="str">
        <x:v>CAND-EBD30C485CEFDA</x:v>
      </x:c>
      <x:c r="W908" s="34" t="str">
        <x:v>P2</x:v>
      </x:c>
      <x:c r="X908" s="34" t="str">
        <x:v>PORT-9E76B3BFF9FF</x:v>
      </x:c>
      <x:c r="Y908" s="34" t="n">
        <x:v>1000</x:v>
      </x:c>
      <x:c r="Z908" s="34" t="n">
        <x:v>90.065092</x:v>
      </x:c>
      <x:c r="AA908" s="34" t="n">
        <x:v>23.166254</x:v>
      </x:c>
      <x:c r="AB908" s="34" t="n">
        <x:v>456.103943</x:v>
      </x:c>
      <x:c r="AC908" s="34" t="n">
        <x:v>40161.86</x:v>
      </x:c>
      <x:c r="AD908" s="34" t="n">
        <x:v>88.054182</x:v>
      </x:c>
      <x:c r="AE908" s="40" t="b">
        <x:v>1</x:v>
      </x:c>
      <x:c r="AF908" s="40" t="b">
        <x:v>1</x:v>
      </x:c>
      <x:c r="AG908" s="34" t="str"/>
      <x:c r="AH908" s="34" t="n">
        <x:v>0</x:v>
      </x:c>
      <x:c r="AI908" s="34" t="str">
        <x:v>3.446647212967946e-06</x:v>
      </x:c>
      <x:c r="AJ908" s="40" t="b">
        <x:v>1</x:v>
      </x:c>
      <x:c r="AK908" s="40" t="b">
        <x:v>1</x:v>
      </x:c>
      <x:c r="AL908" s="40" t="b">
        <x:v>1</x:v>
      </x:c>
      <x:c r="AM908" s="40" t="b">
        <x:v>1</x:v>
      </x:c>
      <x:c r="AN908" s="34" t="str"/>
      <x:c r="AO908" s="34" t="n">
        <x:v>0</x:v>
      </x:c>
      <x:c r="AP908" s="34" t="n">
        <x:v>0</x:v>
      </x:c>
      <x:c r="AQ908" s="34" t="n">
        <x:v>0</x:v>
      </x:c>
      <x:c r="AR908" s="34" t="n">
        <x:v>2</x:v>
      </x:c>
      <x:c r="AS908" s="34" t="n">
        <x:v>2</x:v>
      </x:c>
      <x:c r="AT908" s="34" t="n">
        <x:v>0.47641018879999986</x:v>
      </x:c>
      <x:c r="AU908" s="34" t="n">
        <x:v>0.65</x:v>
      </x:c>
      <x:c r="AV908" s="34" t="n">
        <x:v>2.16</x:v>
      </x:c>
    </x:row>
    <x:row r="909">
      <x:c r="A909" s="34" t="str">
        <x:v>NIPPON_STEEL_JP</x:v>
      </x:c>
      <x:c r="B909" s="34" t="str">
        <x:v>Nippon Steel</x:v>
      </x:c>
      <x:c r="C909" s="34" t="str">
        <x:v>DISCLOSED_PATH</x:v>
      </x:c>
      <x:c r="D909" s="34" t="str">
        <x:v>P2</x:v>
      </x:c>
      <x:c r="E909" s="34" t="n">
        <x:v>2033</x:v>
      </x:c>
      <x:c r="F909" s="34" t="n">
        <x:v>2</x:v>
      </x:c>
      <x:c r="G909" s="34" t="n">
        <x:v>9.03</x:v>
      </x:c>
      <x:c r="H909" s="34" t="n">
        <x:v>15.6</x:v>
      </x:c>
      <x:c r="I909" s="34" t="n">
        <x:v>6.57</x:v>
      </x:c>
      <x:c r="J909" s="34" t="n">
        <x:v>57.885</x:v>
      </x:c>
      <x:c r="K909" s="34" t="n">
        <x:v>0.341</x:v>
      </x:c>
      <x:c r="L909" s="34" t="n">
        <x:v>1.32</x:v>
      </x:c>
      <x:c r="M909" s="34" t="n">
        <x:v>0.979</x:v>
      </x:c>
      <x:c r="N909" s="34" t="n">
        <x:v>25.833</x:v>
      </x:c>
      <x:c r="O909" s="34" t="n">
        <x:v>7.891999</x:v>
      </x:c>
      <x:c r="P909" s="34" t="n">
        <x:v>11.8</x:v>
      </x:c>
      <x:c r="Q909" s="34" t="n">
        <x:v>3.908001</x:v>
      </x:c>
      <x:c r="R909" s="34" t="n">
        <x:v>66.881</x:v>
      </x:c>
      <x:c r="S909" s="40" t="b">
        <x:v>1</x:v>
      </x:c>
      <x:c r="T909" s="34" t="str">
        <x:v>model_interpolation</x:v>
      </x:c>
      <x:c r="U909" s="34" t="str">
        <x:v>Linear interpolation from 2030 to 2035</x:v>
      </x:c>
      <x:c r="V909" s="34" t="str">
        <x:v>CAND-EBD30C485CEFDA</x:v>
      </x:c>
      <x:c r="W909" s="34" t="str">
        <x:v>P2</x:v>
      </x:c>
      <x:c r="X909" s="34" t="str">
        <x:v>PORT-9E76B3BFF9FF</x:v>
      </x:c>
      <x:c r="Y909" s="34" t="n">
        <x:v>1000</x:v>
      </x:c>
      <x:c r="Z909" s="34" t="n">
        <x:v>90.065092</x:v>
      </x:c>
      <x:c r="AA909" s="34" t="n">
        <x:v>23.166254</x:v>
      </x:c>
      <x:c r="AB909" s="34" t="n">
        <x:v>456.103943</x:v>
      </x:c>
      <x:c r="AC909" s="34" t="n">
        <x:v>40161.86</x:v>
      </x:c>
      <x:c r="AD909" s="34" t="n">
        <x:v>88.054182</x:v>
      </x:c>
      <x:c r="AE909" s="40" t="b">
        <x:v>1</x:v>
      </x:c>
      <x:c r="AF909" s="40" t="b">
        <x:v>1</x:v>
      </x:c>
      <x:c r="AG909" s="34" t="str"/>
      <x:c r="AH909" s="34" t="n">
        <x:v>0</x:v>
      </x:c>
      <x:c r="AI909" s="34" t="str">
        <x:v>3.446647212967946e-06</x:v>
      </x:c>
      <x:c r="AJ909" s="40" t="b">
        <x:v>1</x:v>
      </x:c>
      <x:c r="AK909" s="40" t="b">
        <x:v>1</x:v>
      </x:c>
      <x:c r="AL909" s="40" t="b">
        <x:v>1</x:v>
      </x:c>
      <x:c r="AM909" s="40" t="b">
        <x:v>1</x:v>
      </x:c>
      <x:c r="AN909" s="34" t="str"/>
      <x:c r="AO909" s="34" t="n">
        <x:v>0</x:v>
      </x:c>
      <x:c r="AP909" s="34" t="n">
        <x:v>0</x:v>
      </x:c>
      <x:c r="AQ909" s="34" t="n">
        <x:v>0</x:v>
      </x:c>
      <x:c r="AR909" s="34" t="n">
        <x:v>2</x:v>
      </x:c>
      <x:c r="AS909" s="34" t="n">
        <x:v>2</x:v>
      </x:c>
      <x:c r="AT909" s="34" t="n">
        <x:v>0.47641018879999986</x:v>
      </x:c>
      <x:c r="AU909" s="34" t="n">
        <x:v>0.65</x:v>
      </x:c>
      <x:c r="AV909" s="34" t="n">
        <x:v>2.16</x:v>
      </x:c>
    </x:row>
    <x:row r="910">
      <x:c r="A910" s="34" t="str">
        <x:v>NIPPON_STEEL_JP</x:v>
      </x:c>
      <x:c r="B910" s="34" t="str">
        <x:v>Nippon Steel</x:v>
      </x:c>
      <x:c r="C910" s="34" t="str">
        <x:v>DISCLOSED_PATH</x:v>
      </x:c>
      <x:c r="D910" s="34" t="str">
        <x:v>P2</x:v>
      </x:c>
      <x:c r="E910" s="34" t="n">
        <x:v>2034</x:v>
      </x:c>
      <x:c r="F910" s="34" t="n">
        <x:v>3</x:v>
      </x:c>
      <x:c r="G910" s="34" t="n">
        <x:v>15.510001</x:v>
      </x:c>
      <x:c r="H910" s="34" t="n">
        <x:v>16.8</x:v>
      </x:c>
      <x:c r="I910" s="34" t="n">
        <x:v>1.289999</x:v>
      </x:c>
      <x:c r="J910" s="34" t="n">
        <x:v>92.321</x:v>
      </x:c>
      <x:c r="K910" s="34" t="n">
        <x:v>0.341</x:v>
      </x:c>
      <x:c r="L910" s="34" t="n">
        <x:v>1.56</x:v>
      </x:c>
      <x:c r="M910" s="34" t="n">
        <x:v>1.219</x:v>
      </x:c>
      <x:c r="N910" s="34" t="n">
        <x:v>21.859</x:v>
      </x:c>
      <x:c r="O910" s="34" t="n">
        <x:v>11.924</x:v>
      </x:c>
      <x:c r="P910" s="34" t="n">
        <x:v>13.4</x:v>
      </x:c>
      <x:c r="Q910" s="34" t="n">
        <x:v>1.476</x:v>
      </x:c>
      <x:c r="R910" s="34" t="n">
        <x:v>88.985</x:v>
      </x:c>
      <x:c r="S910" s="40" t="b">
        <x:v>1</x:v>
      </x:c>
      <x:c r="T910" s="34" t="str">
        <x:v>model_interpolation</x:v>
      </x:c>
      <x:c r="U910" s="34" t="str">
        <x:v>Linear interpolation from 2030 to 2035</x:v>
      </x:c>
      <x:c r="V910" s="34" t="str">
        <x:v>CAND-EBD30C485CEFDA</x:v>
      </x:c>
      <x:c r="W910" s="34" t="str">
        <x:v>P2</x:v>
      </x:c>
      <x:c r="X910" s="34" t="str">
        <x:v>PORT-9E76B3BFF9FF</x:v>
      </x:c>
      <x:c r="Y910" s="34" t="n">
        <x:v>1000</x:v>
      </x:c>
      <x:c r="Z910" s="34" t="n">
        <x:v>90.065092</x:v>
      </x:c>
      <x:c r="AA910" s="34" t="n">
        <x:v>23.166254</x:v>
      </x:c>
      <x:c r="AB910" s="34" t="n">
        <x:v>456.103943</x:v>
      </x:c>
      <x:c r="AC910" s="34" t="n">
        <x:v>40161.86</x:v>
      </x:c>
      <x:c r="AD910" s="34" t="n">
        <x:v>88.054182</x:v>
      </x:c>
      <x:c r="AE910" s="40" t="b">
        <x:v>1</x:v>
      </x:c>
      <x:c r="AF910" s="40" t="b">
        <x:v>1</x:v>
      </x:c>
      <x:c r="AG910" s="34" t="str"/>
      <x:c r="AH910" s="34" t="n">
        <x:v>0</x:v>
      </x:c>
      <x:c r="AI910" s="34" t="str">
        <x:v>3.446647212967946e-06</x:v>
      </x:c>
      <x:c r="AJ910" s="40" t="b">
        <x:v>1</x:v>
      </x:c>
      <x:c r="AK910" s="40" t="b">
        <x:v>1</x:v>
      </x:c>
      <x:c r="AL910" s="40" t="b">
        <x:v>1</x:v>
      </x:c>
      <x:c r="AM910" s="40" t="b">
        <x:v>1</x:v>
      </x:c>
      <x:c r="AN910" s="34" t="str"/>
      <x:c r="AO910" s="34" t="n">
        <x:v>0</x:v>
      </x:c>
      <x:c r="AP910" s="34" t="n">
        <x:v>0</x:v>
      </x:c>
      <x:c r="AQ910" s="34" t="n">
        <x:v>0</x:v>
      </x:c>
      <x:c r="AR910" s="34" t="n">
        <x:v>2</x:v>
      </x:c>
      <x:c r="AS910" s="34" t="n">
        <x:v>2</x:v>
      </x:c>
      <x:c r="AT910" s="34" t="n">
        <x:v>0.47641018879999986</x:v>
      </x:c>
      <x:c r="AU910" s="34" t="n">
        <x:v>0.65</x:v>
      </x:c>
      <x:c r="AV910" s="34" t="n">
        <x:v>2.16</x:v>
      </x:c>
    </x:row>
    <x:row r="911">
      <x:c r="A911" s="34" t="str">
        <x:v>NIPPON_STEEL_JP</x:v>
      </x:c>
      <x:c r="B911" s="34" t="str">
        <x:v>Nippon Steel</x:v>
      </x:c>
      <x:c r="C911" s="34" t="str">
        <x:v>DISCLOSED_PATH</x:v>
      </x:c>
      <x:c r="D911" s="34" t="str">
        <x:v>P2</x:v>
      </x:c>
      <x:c r="E911" s="34" t="n">
        <x:v>2035</x:v>
      </x:c>
      <x:c r="F911" s="34" t="n">
        <x:v>3</x:v>
      </x:c>
      <x:c r="G911" s="34" t="n">
        <x:v>15.510001</x:v>
      </x:c>
      <x:c r="H911" s="34" t="n">
        <x:v>18</x:v>
      </x:c>
      <x:c r="I911" s="34" t="n">
        <x:v>2.489999</x:v>
      </x:c>
      <x:c r="J911" s="34" t="n">
        <x:v>86.167</x:v>
      </x:c>
      <x:c r="K911" s="34" t="n">
        <x:v>0.341</x:v>
      </x:c>
      <x:c r="L911" s="34" t="n">
        <x:v>1.8</x:v>
      </x:c>
      <x:c r="M911" s="34" t="n">
        <x:v>1.459</x:v>
      </x:c>
      <x:c r="N911" s="34" t="n">
        <x:v>18.944</x:v>
      </x:c>
      <x:c r="O911" s="34" t="n">
        <x:v>11.924</x:v>
      </x:c>
      <x:c r="P911" s="34" t="n">
        <x:v>15</x:v>
      </x:c>
      <x:c r="Q911" s="34" t="n">
        <x:v>3.076</x:v>
      </x:c>
      <x:c r="R911" s="34" t="n">
        <x:v>79.493</x:v>
      </x:c>
      <x:c r="S911" s="40" t="b">
        <x:v>1</x:v>
      </x:c>
      <x:c r="T911" s="34" t="str">
        <x:v>model_interpolation</x:v>
      </x:c>
      <x:c r="U911" s="34" t="str">
        <x:v>Linear interpolation from 2035 to 2040</x:v>
      </x:c>
      <x:c r="V911" s="34" t="str">
        <x:v>CAND-EBD30C485CEFDA</x:v>
      </x:c>
      <x:c r="W911" s="34" t="str">
        <x:v>P2</x:v>
      </x:c>
      <x:c r="X911" s="34" t="str">
        <x:v>PORT-9E76B3BFF9FF</x:v>
      </x:c>
      <x:c r="Y911" s="34" t="n">
        <x:v>1000</x:v>
      </x:c>
      <x:c r="Z911" s="34" t="n">
        <x:v>90.065092</x:v>
      </x:c>
      <x:c r="AA911" s="34" t="n">
        <x:v>23.166254</x:v>
      </x:c>
      <x:c r="AB911" s="34" t="n">
        <x:v>456.103943</x:v>
      </x:c>
      <x:c r="AC911" s="34" t="n">
        <x:v>40161.86</x:v>
      </x:c>
      <x:c r="AD911" s="34" t="n">
        <x:v>88.054182</x:v>
      </x:c>
      <x:c r="AE911" s="40" t="b">
        <x:v>1</x:v>
      </x:c>
      <x:c r="AF911" s="40" t="b">
        <x:v>1</x:v>
      </x:c>
      <x:c r="AG911" s="34" t="str"/>
      <x:c r="AH911" s="34" t="n">
        <x:v>0</x:v>
      </x:c>
      <x:c r="AI911" s="34" t="str">
        <x:v>3.446647212967946e-06</x:v>
      </x:c>
      <x:c r="AJ911" s="40" t="b">
        <x:v>1</x:v>
      </x:c>
      <x:c r="AK911" s="40" t="b">
        <x:v>1</x:v>
      </x:c>
      <x:c r="AL911" s="40" t="b">
        <x:v>1</x:v>
      </x:c>
      <x:c r="AM911" s="40" t="b">
        <x:v>1</x:v>
      </x:c>
      <x:c r="AN911" s="34" t="str"/>
      <x:c r="AO911" s="34" t="n">
        <x:v>0</x:v>
      </x:c>
      <x:c r="AP911" s="34" t="n">
        <x:v>0</x:v>
      </x:c>
      <x:c r="AQ911" s="34" t="n">
        <x:v>0</x:v>
      </x:c>
      <x:c r="AR911" s="34" t="n">
        <x:v>2</x:v>
      </x:c>
      <x:c r="AS911" s="34" t="n">
        <x:v>2</x:v>
      </x:c>
      <x:c r="AT911" s="34" t="n">
        <x:v>0.47641018879999986</x:v>
      </x:c>
      <x:c r="AU911" s="34" t="n">
        <x:v>0.65</x:v>
      </x:c>
      <x:c r="AV911" s="34" t="n">
        <x:v>2.16</x:v>
      </x:c>
    </x:row>
    <x:row r="912">
      <x:c r="A912" s="34" t="str">
        <x:v>NIPPON_STEEL_JP</x:v>
      </x:c>
      <x:c r="B912" s="34" t="str">
        <x:v>Nippon Steel</x:v>
      </x:c>
      <x:c r="C912" s="34" t="str">
        <x:v>DISCLOSED_PATH</x:v>
      </x:c>
      <x:c r="D912" s="34" t="str">
        <x:v>P2</x:v>
      </x:c>
      <x:c r="E912" s="34" t="n">
        <x:v>2036</x:v>
      </x:c>
      <x:c r="F912" s="34" t="n">
        <x:v>4</x:v>
      </x:c>
      <x:c r="G912" s="34" t="n">
        <x:v>16.350001</x:v>
      </x:c>
      <x:c r="H912" s="34" t="n">
        <x:v>19.4</x:v>
      </x:c>
      <x:c r="I912" s="34" t="n">
        <x:v>3.049999</x:v>
      </x:c>
      <x:c r="J912" s="34" t="n">
        <x:v>84.278</x:v>
      </x:c>
      <x:c r="K912" s="34" t="n">
        <x:v>0.649</x:v>
      </x:c>
      <x:c r="L912" s="34" t="n">
        <x:v>2.08</x:v>
      </x:c>
      <x:c r="M912" s="34" t="n">
        <x:v>1.431</x:v>
      </x:c>
      <x:c r="N912" s="34" t="n">
        <x:v>31.202</x:v>
      </x:c>
      <x:c r="O912" s="34" t="n">
        <x:v>14.5</x:v>
      </x:c>
      <x:c r="P912" s="34" t="n">
        <x:v>17</x:v>
      </x:c>
      <x:c r="Q912" s="34" t="n">
        <x:v>2.5</x:v>
      </x:c>
      <x:c r="R912" s="34" t="n">
        <x:v>85.294</x:v>
      </x:c>
      <x:c r="S912" s="40" t="b">
        <x:v>1</x:v>
      </x:c>
      <x:c r="T912" s="34" t="str">
        <x:v>model_interpolation</x:v>
      </x:c>
      <x:c r="U912" s="34" t="str">
        <x:v>Linear interpolation from 2035 to 2040</x:v>
      </x:c>
      <x:c r="V912" s="34" t="str">
        <x:v>CAND-EBD30C485CEFDA</x:v>
      </x:c>
      <x:c r="W912" s="34" t="str">
        <x:v>P2</x:v>
      </x:c>
      <x:c r="X912" s="34" t="str">
        <x:v>PORT-9E76B3BFF9FF</x:v>
      </x:c>
      <x:c r="Y912" s="34" t="n">
        <x:v>1000</x:v>
      </x:c>
      <x:c r="Z912" s="34" t="n">
        <x:v>90.065092</x:v>
      </x:c>
      <x:c r="AA912" s="34" t="n">
        <x:v>23.166254</x:v>
      </x:c>
      <x:c r="AB912" s="34" t="n">
        <x:v>456.103943</x:v>
      </x:c>
      <x:c r="AC912" s="34" t="n">
        <x:v>40161.86</x:v>
      </x:c>
      <x:c r="AD912" s="34" t="n">
        <x:v>88.054182</x:v>
      </x:c>
      <x:c r="AE912" s="40" t="b">
        <x:v>1</x:v>
      </x:c>
      <x:c r="AF912" s="40" t="b">
        <x:v>1</x:v>
      </x:c>
      <x:c r="AG912" s="34" t="str"/>
      <x:c r="AH912" s="34" t="n">
        <x:v>0</x:v>
      </x:c>
      <x:c r="AI912" s="34" t="str">
        <x:v>3.446647212967946e-06</x:v>
      </x:c>
      <x:c r="AJ912" s="40" t="b">
        <x:v>1</x:v>
      </x:c>
      <x:c r="AK912" s="40" t="b">
        <x:v>1</x:v>
      </x:c>
      <x:c r="AL912" s="40" t="b">
        <x:v>1</x:v>
      </x:c>
      <x:c r="AM912" s="40" t="b">
        <x:v>1</x:v>
      </x:c>
      <x:c r="AN912" s="34" t="str"/>
      <x:c r="AO912" s="34" t="n">
        <x:v>0</x:v>
      </x:c>
      <x:c r="AP912" s="34" t="n">
        <x:v>0</x:v>
      </x:c>
      <x:c r="AQ912" s="34" t="n">
        <x:v>0</x:v>
      </x:c>
      <x:c r="AR912" s="34" t="n">
        <x:v>2</x:v>
      </x:c>
      <x:c r="AS912" s="34" t="n">
        <x:v>2</x:v>
      </x:c>
      <x:c r="AT912" s="34" t="n">
        <x:v>0.47641018879999986</x:v>
      </x:c>
      <x:c r="AU912" s="34" t="n">
        <x:v>0.65</x:v>
      </x:c>
      <x:c r="AV912" s="34" t="n">
        <x:v>2.16</x:v>
      </x:c>
    </x:row>
    <x:row r="913">
      <x:c r="A913" s="34" t="str">
        <x:v>NIPPON_STEEL_JP</x:v>
      </x:c>
      <x:c r="B913" s="34" t="str">
        <x:v>Nippon Steel</x:v>
      </x:c>
      <x:c r="C913" s="34" t="str">
        <x:v>DISCLOSED_PATH</x:v>
      </x:c>
      <x:c r="D913" s="34" t="str">
        <x:v>P2</x:v>
      </x:c>
      <x:c r="E913" s="34" t="n">
        <x:v>2037</x:v>
      </x:c>
      <x:c r="F913" s="34" t="n">
        <x:v>4</x:v>
      </x:c>
      <x:c r="G913" s="34" t="n">
        <x:v>16.350001</x:v>
      </x:c>
      <x:c r="H913" s="34" t="n">
        <x:v>20.8</x:v>
      </x:c>
      <x:c r="I913" s="34" t="n">
        <x:v>4.449999</x:v>
      </x:c>
      <x:c r="J913" s="34" t="n">
        <x:v>78.606</x:v>
      </x:c>
      <x:c r="K913" s="34" t="n">
        <x:v>0.649</x:v>
      </x:c>
      <x:c r="L913" s="34" t="n">
        <x:v>2.3600000000000003</x:v>
      </x:c>
      <x:c r="M913" s="34" t="n">
        <x:v>1.711</x:v>
      </x:c>
      <x:c r="N913" s="34" t="n">
        <x:v>27.5</x:v>
      </x:c>
      <x:c r="O913" s="34" t="n">
        <x:v>14.5</x:v>
      </x:c>
      <x:c r="P913" s="34" t="n">
        <x:v>19</x:v>
      </x:c>
      <x:c r="Q913" s="34" t="n">
        <x:v>4.5</x:v>
      </x:c>
      <x:c r="R913" s="34" t="n">
        <x:v>76.316</x:v>
      </x:c>
      <x:c r="S913" s="40" t="b">
        <x:v>1</x:v>
      </x:c>
      <x:c r="T913" s="34" t="str">
        <x:v>model_interpolation</x:v>
      </x:c>
      <x:c r="U913" s="34" t="str">
        <x:v>Linear interpolation from 2035 to 2040</x:v>
      </x:c>
      <x:c r="V913" s="34" t="str">
        <x:v>CAND-EBD30C485CEFDA</x:v>
      </x:c>
      <x:c r="W913" s="34" t="str">
        <x:v>P2</x:v>
      </x:c>
      <x:c r="X913" s="34" t="str">
        <x:v>PORT-9E76B3BFF9FF</x:v>
      </x:c>
      <x:c r="Y913" s="34" t="n">
        <x:v>1000</x:v>
      </x:c>
      <x:c r="Z913" s="34" t="n">
        <x:v>90.065092</x:v>
      </x:c>
      <x:c r="AA913" s="34" t="n">
        <x:v>23.166254</x:v>
      </x:c>
      <x:c r="AB913" s="34" t="n">
        <x:v>456.103943</x:v>
      </x:c>
      <x:c r="AC913" s="34" t="n">
        <x:v>40161.86</x:v>
      </x:c>
      <x:c r="AD913" s="34" t="n">
        <x:v>88.054182</x:v>
      </x:c>
      <x:c r="AE913" s="40" t="b">
        <x:v>1</x:v>
      </x:c>
      <x:c r="AF913" s="40" t="b">
        <x:v>1</x:v>
      </x:c>
      <x:c r="AG913" s="34" t="str"/>
      <x:c r="AH913" s="34" t="n">
        <x:v>0</x:v>
      </x:c>
      <x:c r="AI913" s="34" t="str">
        <x:v>3.446647212967946e-06</x:v>
      </x:c>
      <x:c r="AJ913" s="40" t="b">
        <x:v>1</x:v>
      </x:c>
      <x:c r="AK913" s="40" t="b">
        <x:v>1</x:v>
      </x:c>
      <x:c r="AL913" s="40" t="b">
        <x:v>1</x:v>
      </x:c>
      <x:c r="AM913" s="40" t="b">
        <x:v>1</x:v>
      </x:c>
      <x:c r="AN913" s="34" t="str"/>
      <x:c r="AO913" s="34" t="n">
        <x:v>0</x:v>
      </x:c>
      <x:c r="AP913" s="34" t="n">
        <x:v>0</x:v>
      </x:c>
      <x:c r="AQ913" s="34" t="n">
        <x:v>0</x:v>
      </x:c>
      <x:c r="AR913" s="34" t="n">
        <x:v>2</x:v>
      </x:c>
      <x:c r="AS913" s="34" t="n">
        <x:v>2</x:v>
      </x:c>
      <x:c r="AT913" s="34" t="n">
        <x:v>0.47641018879999986</x:v>
      </x:c>
      <x:c r="AU913" s="34" t="n">
        <x:v>0.65</x:v>
      </x:c>
      <x:c r="AV913" s="34" t="n">
        <x:v>2.16</x:v>
      </x:c>
    </x:row>
    <x:row r="914">
      <x:c r="A914" s="34" t="str">
        <x:v>NIPPON_STEEL_JP</x:v>
      </x:c>
      <x:c r="B914" s="34" t="str">
        <x:v>Nippon Steel</x:v>
      </x:c>
      <x:c r="C914" s="34" t="str">
        <x:v>DISCLOSED_PATH</x:v>
      </x:c>
      <x:c r="D914" s="34" t="str">
        <x:v>P2</x:v>
      </x:c>
      <x:c r="E914" s="34" t="n">
        <x:v>2038</x:v>
      </x:c>
      <x:c r="F914" s="34" t="n">
        <x:v>5</x:v>
      </x:c>
      <x:c r="G914" s="34" t="n">
        <x:v>22.020001</x:v>
      </x:c>
      <x:c r="H914" s="34" t="n">
        <x:v>22.2</x:v>
      </x:c>
      <x:c r="I914" s="34" t="n">
        <x:v>0.179999</x:v>
      </x:c>
      <x:c r="J914" s="34" t="n">
        <x:v>99.189</x:v>
      </x:c>
      <x:c r="K914" s="34" t="n">
        <x:v>0.649</x:v>
      </x:c>
      <x:c r="L914" s="34" t="n">
        <x:v>2.64</x:v>
      </x:c>
      <x:c r="M914" s="34" t="n">
        <x:v>1.991</x:v>
      </x:c>
      <x:c r="N914" s="34" t="n">
        <x:v>24.583</x:v>
      </x:c>
      <x:c r="O914" s="34" t="n">
        <x:v>18.028</x:v>
      </x:c>
      <x:c r="P914" s="34" t="n">
        <x:v>21</x:v>
      </x:c>
      <x:c r="Q914" s="34" t="n">
        <x:v>2.972</x:v>
      </x:c>
      <x:c r="R914" s="34" t="n">
        <x:v>85.848</x:v>
      </x:c>
      <x:c r="S914" s="40" t="b">
        <x:v>1</x:v>
      </x:c>
      <x:c r="T914" s="34" t="str">
        <x:v>model_interpolation</x:v>
      </x:c>
      <x:c r="U914" s="34" t="str">
        <x:v>Linear interpolation from 2035 to 2040</x:v>
      </x:c>
      <x:c r="V914" s="34" t="str">
        <x:v>CAND-EBD30C485CEFDA</x:v>
      </x:c>
      <x:c r="W914" s="34" t="str">
        <x:v>P2</x:v>
      </x:c>
      <x:c r="X914" s="34" t="str">
        <x:v>PORT-9E76B3BFF9FF</x:v>
      </x:c>
      <x:c r="Y914" s="34" t="n">
        <x:v>1000</x:v>
      </x:c>
      <x:c r="Z914" s="34" t="n">
        <x:v>90.065092</x:v>
      </x:c>
      <x:c r="AA914" s="34" t="n">
        <x:v>23.166254</x:v>
      </x:c>
      <x:c r="AB914" s="34" t="n">
        <x:v>456.103943</x:v>
      </x:c>
      <x:c r="AC914" s="34" t="n">
        <x:v>40161.86</x:v>
      </x:c>
      <x:c r="AD914" s="34" t="n">
        <x:v>88.054182</x:v>
      </x:c>
      <x:c r="AE914" s="40" t="b">
        <x:v>1</x:v>
      </x:c>
      <x:c r="AF914" s="40" t="b">
        <x:v>1</x:v>
      </x:c>
      <x:c r="AG914" s="34" t="str"/>
      <x:c r="AH914" s="34" t="n">
        <x:v>0</x:v>
      </x:c>
      <x:c r="AI914" s="34" t="str">
        <x:v>3.446647212967946e-06</x:v>
      </x:c>
      <x:c r="AJ914" s="40" t="b">
        <x:v>1</x:v>
      </x:c>
      <x:c r="AK914" s="40" t="b">
        <x:v>1</x:v>
      </x:c>
      <x:c r="AL914" s="40" t="b">
        <x:v>1</x:v>
      </x:c>
      <x:c r="AM914" s="40" t="b">
        <x:v>1</x:v>
      </x:c>
      <x:c r="AN914" s="34" t="str"/>
      <x:c r="AO914" s="34" t="n">
        <x:v>0</x:v>
      </x:c>
      <x:c r="AP914" s="34" t="n">
        <x:v>0</x:v>
      </x:c>
      <x:c r="AQ914" s="34" t="n">
        <x:v>0</x:v>
      </x:c>
      <x:c r="AR914" s="34" t="n">
        <x:v>2</x:v>
      </x:c>
      <x:c r="AS914" s="34" t="n">
        <x:v>2</x:v>
      </x:c>
      <x:c r="AT914" s="34" t="n">
        <x:v>0.47641018879999986</x:v>
      </x:c>
      <x:c r="AU914" s="34" t="n">
        <x:v>0.65</x:v>
      </x:c>
      <x:c r="AV914" s="34" t="n">
        <x:v>2.16</x:v>
      </x:c>
    </x:row>
    <x:row r="915">
      <x:c r="A915" s="34" t="str">
        <x:v>NIPPON_STEEL_JP</x:v>
      </x:c>
      <x:c r="B915" s="34" t="str">
        <x:v>Nippon Steel</x:v>
      </x:c>
      <x:c r="C915" s="34" t="str">
        <x:v>DISCLOSED_PATH</x:v>
      </x:c>
      <x:c r="D915" s="34" t="str">
        <x:v>P2</x:v>
      </x:c>
      <x:c r="E915" s="34" t="n">
        <x:v>2039</x:v>
      </x:c>
      <x:c r="F915" s="34" t="n">
        <x:v>5</x:v>
      </x:c>
      <x:c r="G915" s="34" t="n">
        <x:v>22.020001</x:v>
      </x:c>
      <x:c r="H915" s="34" t="n">
        <x:v>23.6</x:v>
      </x:c>
      <x:c r="I915" s="34" t="n">
        <x:v>1.579999</x:v>
      </x:c>
      <x:c r="J915" s="34" t="n">
        <x:v>93.305</x:v>
      </x:c>
      <x:c r="K915" s="34" t="n">
        <x:v>0.649</x:v>
      </x:c>
      <x:c r="L915" s="34" t="n">
        <x:v>2.92</x:v>
      </x:c>
      <x:c r="M915" s="34" t="n">
        <x:v>2.271</x:v>
      </x:c>
      <x:c r="N915" s="34" t="n">
        <x:v>22.226</x:v>
      </x:c>
      <x:c r="O915" s="34" t="n">
        <x:v>18.028</x:v>
      </x:c>
      <x:c r="P915" s="34" t="n">
        <x:v>23</x:v>
      </x:c>
      <x:c r="Q915" s="34" t="n">
        <x:v>4.972</x:v>
      </x:c>
      <x:c r="R915" s="34" t="n">
        <x:v>78.383</x:v>
      </x:c>
      <x:c r="S915" s="40" t="b">
        <x:v>1</x:v>
      </x:c>
      <x:c r="T915" s="34" t="str">
        <x:v>model_interpolation</x:v>
      </x:c>
      <x:c r="U915" s="34" t="str">
        <x:v>Linear interpolation from 2035 to 2040</x:v>
      </x:c>
      <x:c r="V915" s="34" t="str">
        <x:v>CAND-EBD30C485CEFDA</x:v>
      </x:c>
      <x:c r="W915" s="34" t="str">
        <x:v>P2</x:v>
      </x:c>
      <x:c r="X915" s="34" t="str">
        <x:v>PORT-9E76B3BFF9FF</x:v>
      </x:c>
      <x:c r="Y915" s="34" t="n">
        <x:v>1000</x:v>
      </x:c>
      <x:c r="Z915" s="34" t="n">
        <x:v>90.065092</x:v>
      </x:c>
      <x:c r="AA915" s="34" t="n">
        <x:v>23.166254</x:v>
      </x:c>
      <x:c r="AB915" s="34" t="n">
        <x:v>456.103943</x:v>
      </x:c>
      <x:c r="AC915" s="34" t="n">
        <x:v>40161.86</x:v>
      </x:c>
      <x:c r="AD915" s="34" t="n">
        <x:v>88.054182</x:v>
      </x:c>
      <x:c r="AE915" s="40" t="b">
        <x:v>1</x:v>
      </x:c>
      <x:c r="AF915" s="40" t="b">
        <x:v>1</x:v>
      </x:c>
      <x:c r="AG915" s="34" t="str"/>
      <x:c r="AH915" s="34" t="n">
        <x:v>0</x:v>
      </x:c>
      <x:c r="AI915" s="34" t="str">
        <x:v>3.446647212967946e-06</x:v>
      </x:c>
      <x:c r="AJ915" s="40" t="b">
        <x:v>1</x:v>
      </x:c>
      <x:c r="AK915" s="40" t="b">
        <x:v>1</x:v>
      </x:c>
      <x:c r="AL915" s="40" t="b">
        <x:v>1</x:v>
      </x:c>
      <x:c r="AM915" s="40" t="b">
        <x:v>1</x:v>
      </x:c>
      <x:c r="AN915" s="34" t="str"/>
      <x:c r="AO915" s="34" t="n">
        <x:v>0</x:v>
      </x:c>
      <x:c r="AP915" s="34" t="n">
        <x:v>0</x:v>
      </x:c>
      <x:c r="AQ915" s="34" t="n">
        <x:v>0</x:v>
      </x:c>
      <x:c r="AR915" s="34" t="n">
        <x:v>2</x:v>
      </x:c>
      <x:c r="AS915" s="34" t="n">
        <x:v>2</x:v>
      </x:c>
      <x:c r="AT915" s="34" t="n">
        <x:v>0.47641018879999986</x:v>
      </x:c>
      <x:c r="AU915" s="34" t="n">
        <x:v>0.65</x:v>
      </x:c>
      <x:c r="AV915" s="34" t="n">
        <x:v>2.16</x:v>
      </x:c>
    </x:row>
    <x:row r="916">
      <x:c r="A916" s="34" t="str">
        <x:v>NIPPON_STEEL_JP</x:v>
      </x:c>
      <x:c r="B916" s="34" t="str">
        <x:v>Nippon Steel</x:v>
      </x:c>
      <x:c r="C916" s="34" t="str">
        <x:v>DISCLOSED_PATH</x:v>
      </x:c>
      <x:c r="D916" s="34" t="str">
        <x:v>P2</x:v>
      </x:c>
      <x:c r="E916" s="34" t="n">
        <x:v>2040</x:v>
      </x:c>
      <x:c r="F916" s="34" t="n">
        <x:v>5</x:v>
      </x:c>
      <x:c r="G916" s="34" t="n">
        <x:v>22.020001</x:v>
      </x:c>
      <x:c r="H916" s="34" t="n">
        <x:v>25</x:v>
      </x:c>
      <x:c r="I916" s="34" t="n">
        <x:v>2.979999</x:v>
      </x:c>
      <x:c r="J916" s="34" t="n">
        <x:v>88.08</x:v>
      </x:c>
      <x:c r="K916" s="34" t="n">
        <x:v>0.649</x:v>
      </x:c>
      <x:c r="L916" s="34" t="n">
        <x:v>3.2</x:v>
      </x:c>
      <x:c r="M916" s="34" t="n">
        <x:v>2.551</x:v>
      </x:c>
      <x:c r="N916" s="34" t="n">
        <x:v>20.281</x:v>
      </x:c>
      <x:c r="O916" s="34" t="n">
        <x:v>18.028</x:v>
      </x:c>
      <x:c r="P916" s="34" t="n">
        <x:v>25</x:v>
      </x:c>
      <x:c r="Q916" s="34" t="n">
        <x:v>6.972</x:v>
      </x:c>
      <x:c r="R916" s="34" t="n">
        <x:v>72.112</x:v>
      </x:c>
      <x:c r="S916" s="40" t="b">
        <x:v>1</x:v>
      </x:c>
      <x:c r="T916" s="34" t="str">
        <x:v>model_estimate</x:v>
      </x:c>
      <x:c r="U916" s="34" t="str">
        <x:v>Illustrative screening envelope; not an official supply forecast</x:v>
      </x:c>
      <x:c r="V916" s="34" t="str">
        <x:v>CAND-EBD30C485CEFDA</x:v>
      </x:c>
      <x:c r="W916" s="34" t="str">
        <x:v>P2</x:v>
      </x:c>
      <x:c r="X916" s="34" t="str">
        <x:v>PORT-9E76B3BFF9FF</x:v>
      </x:c>
      <x:c r="Y916" s="34" t="n">
        <x:v>1000</x:v>
      </x:c>
      <x:c r="Z916" s="34" t="n">
        <x:v>90.065092</x:v>
      </x:c>
      <x:c r="AA916" s="34" t="n">
        <x:v>23.166254</x:v>
      </x:c>
      <x:c r="AB916" s="34" t="n">
        <x:v>456.103943</x:v>
      </x:c>
      <x:c r="AC916" s="34" t="n">
        <x:v>40161.86</x:v>
      </x:c>
      <x:c r="AD916" s="34" t="n">
        <x:v>88.054182</x:v>
      </x:c>
      <x:c r="AE916" s="40" t="b">
        <x:v>1</x:v>
      </x:c>
      <x:c r="AF916" s="40" t="b">
        <x:v>1</x:v>
      </x:c>
      <x:c r="AG916" s="34" t="str"/>
      <x:c r="AH916" s="34" t="n">
        <x:v>0</x:v>
      </x:c>
      <x:c r="AI916" s="34" t="str">
        <x:v>3.446647212967946e-06</x:v>
      </x:c>
      <x:c r="AJ916" s="40" t="b">
        <x:v>1</x:v>
      </x:c>
      <x:c r="AK916" s="40" t="b">
        <x:v>1</x:v>
      </x:c>
      <x:c r="AL916" s="40" t="b">
        <x:v>1</x:v>
      </x:c>
      <x:c r="AM916" s="40" t="b">
        <x:v>1</x:v>
      </x:c>
      <x:c r="AN916" s="34" t="str"/>
      <x:c r="AO916" s="34" t="n">
        <x:v>0</x:v>
      </x:c>
      <x:c r="AP916" s="34" t="n">
        <x:v>0</x:v>
      </x:c>
      <x:c r="AQ916" s="34" t="n">
        <x:v>0</x:v>
      </x:c>
      <x:c r="AR916" s="34" t="n">
        <x:v>2</x:v>
      </x:c>
      <x:c r="AS916" s="34" t="n">
        <x:v>2</x:v>
      </x:c>
      <x:c r="AT916" s="34" t="n">
        <x:v>0.47641018879999986</x:v>
      </x:c>
      <x:c r="AU916" s="34" t="n">
        <x:v>0.65</x:v>
      </x:c>
      <x:c r="AV916" s="34" t="n">
        <x:v>2.16</x:v>
      </x:c>
    </x:row>
    <x:row r="917">
      <x:c r="A917" s="34" t="str">
        <x:v>NIPPON_STEEL_JP</x:v>
      </x:c>
      <x:c r="B917" s="34" t="str">
        <x:v>Nippon Steel</x:v>
      </x:c>
      <x:c r="C917" s="34" t="str">
        <x:v>ACCELERATED_15C</x:v>
      </x:c>
      <x:c r="D917" s="34" t="str">
        <x:v>P2</x:v>
      </x:c>
      <x:c r="E917" s="34" t="n">
        <x:v>2026</x:v>
      </x:c>
      <x:c r="F917" s="34" t="n">
        <x:v>0</x:v>
      </x:c>
      <x:c r="G917" s="34" t="n">
        <x:v>0</x:v>
      </x:c>
      <x:c r="H917" s="34" t="n">
        <x:v>8</x:v>
      </x:c>
      <x:c r="I917" s="34" t="n">
        <x:v>8</x:v>
      </x:c>
      <x:c r="J917" s="34" t="n">
        <x:v>0</x:v>
      </x:c>
      <x:c r="K917" s="34" t="n">
        <x:v>0</x:v>
      </x:c>
      <x:c r="L917" s="34" t="n">
        <x:v>0.1</x:v>
      </x:c>
      <x:c r="M917" s="34" t="n">
        <x:v>0.1</x:v>
      </x:c>
      <x:c r="N917" s="34" t="n">
        <x:v>0</x:v>
      </x:c>
      <x:c r="O917" s="34" t="n">
        <x:v>0</x:v>
      </x:c>
      <x:c r="P917" s="34" t="n">
        <x:v>2</x:v>
      </x:c>
      <x:c r="Q917" s="34" t="n">
        <x:v>2</x:v>
      </x:c>
      <x:c r="R917" s="34" t="n">
        <x:v>0</x:v>
      </x:c>
      <x:c r="S917" s="40" t="b">
        <x:v>1</x:v>
      </x:c>
      <x:c r="T917" s="34" t="str">
        <x:v>model_interpolation</x:v>
      </x:c>
      <x:c r="U917" s="34" t="str">
        <x:v>Linear interpolation from 2026 to 2030</x:v>
      </x:c>
      <x:c r="V917" s="34" t="str">
        <x:v>CAND-EBD30C485CEFDA</x:v>
      </x:c>
      <x:c r="W917" s="34" t="str">
        <x:v>P2</x:v>
      </x:c>
      <x:c r="X917" s="34" t="str">
        <x:v>PORT-9E76B3BFF9FF</x:v>
      </x:c>
      <x:c r="Y917" s="34" t="n">
        <x:v>1000</x:v>
      </x:c>
      <x:c r="Z917" s="34" t="n">
        <x:v>80.124994</x:v>
      </x:c>
      <x:c r="AA917" s="34" t="n">
        <x:v>24.920518</x:v>
      </x:c>
      <x:c r="AB917" s="34" t="n">
        <x:v>456.103943</x:v>
      </x:c>
      <x:c r="AC917" s="34" t="n">
        <x:v>35619.4</x:v>
      </x:c>
      <x:c r="AD917" s="34" t="n">
        <x:v>78.094918</x:v>
      </x:c>
      <x:c r="AE917" s="40" t="b">
        <x:v>1</x:v>
      </x:c>
      <x:c r="AF917" s="40" t="b">
        <x:v>1</x:v>
      </x:c>
      <x:c r="AG917" s="34" t="str"/>
      <x:c r="AH917" s="34" t="n">
        <x:v>0</x:v>
      </x:c>
      <x:c r="AI917" s="34" t="str">
        <x:v>3.446647212967946e-06</x:v>
      </x:c>
      <x:c r="AJ917" s="40" t="b">
        <x:v>1</x:v>
      </x:c>
      <x:c r="AK917" s="40" t="b">
        <x:v>1</x:v>
      </x:c>
      <x:c r="AL917" s="40" t="b">
        <x:v>1</x:v>
      </x:c>
      <x:c r="AM917" s="40" t="b">
        <x:v>1</x:v>
      </x:c>
      <x:c r="AN917" s="34" t="str"/>
      <x:c r="AO917" s="34" t="n">
        <x:v>0</x:v>
      </x:c>
      <x:c r="AP917" s="34" t="n">
        <x:v>0</x:v>
      </x:c>
      <x:c r="AQ917" s="34" t="n">
        <x:v>0</x:v>
      </x:c>
      <x:c r="AR917" s="34" t="n">
        <x:v>2</x:v>
      </x:c>
      <x:c r="AS917" s="34" t="n">
        <x:v>2</x:v>
      </x:c>
      <x:c r="AT917" s="34" t="n">
        <x:v>0.47641018879999986</x:v>
      </x:c>
      <x:c r="AU917" s="34" t="n">
        <x:v>0.65</x:v>
      </x:c>
      <x:c r="AV917" s="34" t="n">
        <x:v>2.16</x:v>
      </x:c>
    </x:row>
    <x:row r="918">
      <x:c r="A918" s="34" t="str">
        <x:v>NIPPON_STEEL_JP</x:v>
      </x:c>
      <x:c r="B918" s="34" t="str">
        <x:v>Nippon Steel</x:v>
      </x:c>
      <x:c r="C918" s="34" t="str">
        <x:v>ACCELERATED_15C</x:v>
      </x:c>
      <x:c r="D918" s="34" t="str">
        <x:v>P2</x:v>
      </x:c>
      <x:c r="E918" s="34" t="n">
        <x:v>2027</x:v>
      </x:c>
      <x:c r="F918" s="34" t="n">
        <x:v>0</x:v>
      </x:c>
      <x:c r="G918" s="34" t="n">
        <x:v>0</x:v>
      </x:c>
      <x:c r="H918" s="34" t="n">
        <x:v>9.75</x:v>
      </x:c>
      <x:c r="I918" s="34" t="n">
        <x:v>9.75</x:v>
      </x:c>
      <x:c r="J918" s="34" t="n">
        <x:v>0</x:v>
      </x:c>
      <x:c r="K918" s="34" t="n">
        <x:v>0</x:v>
      </x:c>
      <x:c r="L918" s="34" t="n">
        <x:v>0.30000000000000004</x:v>
      </x:c>
      <x:c r="M918" s="34" t="n">
        <x:v>0.3</x:v>
      </x:c>
      <x:c r="N918" s="34" t="n">
        <x:v>0</x:v>
      </x:c>
      <x:c r="O918" s="34" t="n">
        <x:v>0</x:v>
      </x:c>
      <x:c r="P918" s="34" t="n">
        <x:v>4</x:v>
      </x:c>
      <x:c r="Q918" s="34" t="n">
        <x:v>4</x:v>
      </x:c>
      <x:c r="R918" s="34" t="n">
        <x:v>0</x:v>
      </x:c>
      <x:c r="S918" s="40" t="b">
        <x:v>1</x:v>
      </x:c>
      <x:c r="T918" s="34" t="str">
        <x:v>model_interpolation</x:v>
      </x:c>
      <x:c r="U918" s="34" t="str">
        <x:v>Linear interpolation from 2026 to 2030</x:v>
      </x:c>
      <x:c r="V918" s="34" t="str">
        <x:v>CAND-EBD30C485CEFDA</x:v>
      </x:c>
      <x:c r="W918" s="34" t="str">
        <x:v>P2</x:v>
      </x:c>
      <x:c r="X918" s="34" t="str">
        <x:v>PORT-9E76B3BFF9FF</x:v>
      </x:c>
      <x:c r="Y918" s="34" t="n">
        <x:v>1000</x:v>
      </x:c>
      <x:c r="Z918" s="34" t="n">
        <x:v>80.124994</x:v>
      </x:c>
      <x:c r="AA918" s="34" t="n">
        <x:v>24.920518</x:v>
      </x:c>
      <x:c r="AB918" s="34" t="n">
        <x:v>456.103943</x:v>
      </x:c>
      <x:c r="AC918" s="34" t="n">
        <x:v>35619.4</x:v>
      </x:c>
      <x:c r="AD918" s="34" t="n">
        <x:v>78.094918</x:v>
      </x:c>
      <x:c r="AE918" s="40" t="b">
        <x:v>1</x:v>
      </x:c>
      <x:c r="AF918" s="40" t="b">
        <x:v>1</x:v>
      </x:c>
      <x:c r="AG918" s="34" t="str"/>
      <x:c r="AH918" s="34" t="n">
        <x:v>0</x:v>
      </x:c>
      <x:c r="AI918" s="34" t="str">
        <x:v>3.446647212967946e-06</x:v>
      </x:c>
      <x:c r="AJ918" s="40" t="b">
        <x:v>1</x:v>
      </x:c>
      <x:c r="AK918" s="40" t="b">
        <x:v>1</x:v>
      </x:c>
      <x:c r="AL918" s="40" t="b">
        <x:v>1</x:v>
      </x:c>
      <x:c r="AM918" s="40" t="b">
        <x:v>1</x:v>
      </x:c>
      <x:c r="AN918" s="34" t="str"/>
      <x:c r="AO918" s="34" t="n">
        <x:v>0</x:v>
      </x:c>
      <x:c r="AP918" s="34" t="n">
        <x:v>0</x:v>
      </x:c>
      <x:c r="AQ918" s="34" t="n">
        <x:v>0</x:v>
      </x:c>
      <x:c r="AR918" s="34" t="n">
        <x:v>2</x:v>
      </x:c>
      <x:c r="AS918" s="34" t="n">
        <x:v>2</x:v>
      </x:c>
      <x:c r="AT918" s="34" t="n">
        <x:v>0.47641018879999986</x:v>
      </x:c>
      <x:c r="AU918" s="34" t="n">
        <x:v>0.65</x:v>
      </x:c>
      <x:c r="AV918" s="34" t="n">
        <x:v>2.16</x:v>
      </x:c>
    </x:row>
    <x:row r="919">
      <x:c r="A919" s="34" t="str">
        <x:v>NIPPON_STEEL_JP</x:v>
      </x:c>
      <x:c r="B919" s="34" t="str">
        <x:v>Nippon Steel</x:v>
      </x:c>
      <x:c r="C919" s="34" t="str">
        <x:v>ACCELERATED_15C</x:v>
      </x:c>
      <x:c r="D919" s="34" t="str">
        <x:v>P2</x:v>
      </x:c>
      <x:c r="E919" s="34" t="n">
        <x:v>2028</x:v>
      </x:c>
      <x:c r="F919" s="34" t="n">
        <x:v>0</x:v>
      </x:c>
      <x:c r="G919" s="34" t="n">
        <x:v>0</x:v>
      </x:c>
      <x:c r="H919" s="34" t="n">
        <x:v>11.5</x:v>
      </x:c>
      <x:c r="I919" s="34" t="n">
        <x:v>11.5</x:v>
      </x:c>
      <x:c r="J919" s="34" t="n">
        <x:v>0</x:v>
      </x:c>
      <x:c r="K919" s="34" t="n">
        <x:v>0</x:v>
      </x:c>
      <x:c r="L919" s="34" t="n">
        <x:v>0.5</x:v>
      </x:c>
      <x:c r="M919" s="34" t="n">
        <x:v>0.5</x:v>
      </x:c>
      <x:c r="N919" s="34" t="n">
        <x:v>0</x:v>
      </x:c>
      <x:c r="O919" s="34" t="n">
        <x:v>0</x:v>
      </x:c>
      <x:c r="P919" s="34" t="n">
        <x:v>6</x:v>
      </x:c>
      <x:c r="Q919" s="34" t="n">
        <x:v>6</x:v>
      </x:c>
      <x:c r="R919" s="34" t="n">
        <x:v>0</x:v>
      </x:c>
      <x:c r="S919" s="40" t="b">
        <x:v>1</x:v>
      </x:c>
      <x:c r="T919" s="34" t="str">
        <x:v>model_interpolation</x:v>
      </x:c>
      <x:c r="U919" s="34" t="str">
        <x:v>Linear interpolation from 2026 to 2030</x:v>
      </x:c>
      <x:c r="V919" s="34" t="str">
        <x:v>CAND-EBD30C485CEFDA</x:v>
      </x:c>
      <x:c r="W919" s="34" t="str">
        <x:v>P2</x:v>
      </x:c>
      <x:c r="X919" s="34" t="str">
        <x:v>PORT-9E76B3BFF9FF</x:v>
      </x:c>
      <x:c r="Y919" s="34" t="n">
        <x:v>1000</x:v>
      </x:c>
      <x:c r="Z919" s="34" t="n">
        <x:v>80.124994</x:v>
      </x:c>
      <x:c r="AA919" s="34" t="n">
        <x:v>24.920518</x:v>
      </x:c>
      <x:c r="AB919" s="34" t="n">
        <x:v>456.103943</x:v>
      </x:c>
      <x:c r="AC919" s="34" t="n">
        <x:v>35619.4</x:v>
      </x:c>
      <x:c r="AD919" s="34" t="n">
        <x:v>78.094918</x:v>
      </x:c>
      <x:c r="AE919" s="40" t="b">
        <x:v>1</x:v>
      </x:c>
      <x:c r="AF919" s="40" t="b">
        <x:v>1</x:v>
      </x:c>
      <x:c r="AG919" s="34" t="str"/>
      <x:c r="AH919" s="34" t="n">
        <x:v>0</x:v>
      </x:c>
      <x:c r="AI919" s="34" t="str">
        <x:v>3.446647212967946e-06</x:v>
      </x:c>
      <x:c r="AJ919" s="40" t="b">
        <x:v>1</x:v>
      </x:c>
      <x:c r="AK919" s="40" t="b">
        <x:v>1</x:v>
      </x:c>
      <x:c r="AL919" s="40" t="b">
        <x:v>1</x:v>
      </x:c>
      <x:c r="AM919" s="40" t="b">
        <x:v>1</x:v>
      </x:c>
      <x:c r="AN919" s="34" t="str"/>
      <x:c r="AO919" s="34" t="n">
        <x:v>0</x:v>
      </x:c>
      <x:c r="AP919" s="34" t="n">
        <x:v>0</x:v>
      </x:c>
      <x:c r="AQ919" s="34" t="n">
        <x:v>0</x:v>
      </x:c>
      <x:c r="AR919" s="34" t="n">
        <x:v>2</x:v>
      </x:c>
      <x:c r="AS919" s="34" t="n">
        <x:v>2</x:v>
      </x:c>
      <x:c r="AT919" s="34" t="n">
        <x:v>0.47641018879999986</x:v>
      </x:c>
      <x:c r="AU919" s="34" t="n">
        <x:v>0.65</x:v>
      </x:c>
      <x:c r="AV919" s="34" t="n">
        <x:v>2.16</x:v>
      </x:c>
    </x:row>
    <x:row r="920">
      <x:c r="A920" s="34" t="str">
        <x:v>NIPPON_STEEL_JP</x:v>
      </x:c>
      <x:c r="B920" s="34" t="str">
        <x:v>Nippon Steel</x:v>
      </x:c>
      <x:c r="C920" s="34" t="str">
        <x:v>ACCELERATED_15C</x:v>
      </x:c>
      <x:c r="D920" s="34" t="str">
        <x:v>P2</x:v>
      </x:c>
      <x:c r="E920" s="34" t="n">
        <x:v>2029</x:v>
      </x:c>
      <x:c r="F920" s="34" t="n">
        <x:v>1</x:v>
      </x:c>
      <x:c r="G920" s="34" t="n">
        <x:v>8.1</x:v>
      </x:c>
      <x:c r="H920" s="34" t="n">
        <x:v>13.25</x:v>
      </x:c>
      <x:c r="I920" s="34" t="n">
        <x:v>5.15</x:v>
      </x:c>
      <x:c r="J920" s="34" t="n">
        <x:v>61.132</x:v>
      </x:c>
      <x:c r="K920" s="34" t="n">
        <x:v>0</x:v>
      </x:c>
      <x:c r="L920" s="34" t="n">
        <x:v>0.7000000000000001</x:v>
      </x:c>
      <x:c r="M920" s="34" t="n">
        <x:v>0.7</x:v>
      </x:c>
      <x:c r="N920" s="34" t="n">
        <x:v>0</x:v>
      </x:c>
      <x:c r="O920" s="34" t="n">
        <x:v>5.04</x:v>
      </x:c>
      <x:c r="P920" s="34" t="n">
        <x:v>8</x:v>
      </x:c>
      <x:c r="Q920" s="34" t="n">
        <x:v>2.96</x:v>
      </x:c>
      <x:c r="R920" s="34" t="n">
        <x:v>63</x:v>
      </x:c>
      <x:c r="S920" s="40" t="b">
        <x:v>1</x:v>
      </x:c>
      <x:c r="T920" s="34" t="str">
        <x:v>model_interpolation</x:v>
      </x:c>
      <x:c r="U920" s="34" t="str">
        <x:v>Linear interpolation from 2026 to 2030</x:v>
      </x:c>
      <x:c r="V920" s="34" t="str">
        <x:v>CAND-EBD30C485CEFDA</x:v>
      </x:c>
      <x:c r="W920" s="34" t="str">
        <x:v>P2</x:v>
      </x:c>
      <x:c r="X920" s="34" t="str">
        <x:v>PORT-9E76B3BFF9FF</x:v>
      </x:c>
      <x:c r="Y920" s="34" t="n">
        <x:v>1000</x:v>
      </x:c>
      <x:c r="Z920" s="34" t="n">
        <x:v>80.124994</x:v>
      </x:c>
      <x:c r="AA920" s="34" t="n">
        <x:v>24.920518</x:v>
      </x:c>
      <x:c r="AB920" s="34" t="n">
        <x:v>456.103943</x:v>
      </x:c>
      <x:c r="AC920" s="34" t="n">
        <x:v>35619.4</x:v>
      </x:c>
      <x:c r="AD920" s="34" t="n">
        <x:v>78.094918</x:v>
      </x:c>
      <x:c r="AE920" s="40" t="b">
        <x:v>1</x:v>
      </x:c>
      <x:c r="AF920" s="40" t="b">
        <x:v>1</x:v>
      </x:c>
      <x:c r="AG920" s="34" t="str"/>
      <x:c r="AH920" s="34" t="n">
        <x:v>0</x:v>
      </x:c>
      <x:c r="AI920" s="34" t="str">
        <x:v>3.446647212967946e-06</x:v>
      </x:c>
      <x:c r="AJ920" s="40" t="b">
        <x:v>1</x:v>
      </x:c>
      <x:c r="AK920" s="40" t="b">
        <x:v>1</x:v>
      </x:c>
      <x:c r="AL920" s="40" t="b">
        <x:v>1</x:v>
      </x:c>
      <x:c r="AM920" s="40" t="b">
        <x:v>1</x:v>
      </x:c>
      <x:c r="AN920" s="34" t="str"/>
      <x:c r="AO920" s="34" t="n">
        <x:v>0</x:v>
      </x:c>
      <x:c r="AP920" s="34" t="n">
        <x:v>0</x:v>
      </x:c>
      <x:c r="AQ920" s="34" t="n">
        <x:v>0</x:v>
      </x:c>
      <x:c r="AR920" s="34" t="n">
        <x:v>2</x:v>
      </x:c>
      <x:c r="AS920" s="34" t="n">
        <x:v>2</x:v>
      </x:c>
      <x:c r="AT920" s="34" t="n">
        <x:v>0.47641018879999986</x:v>
      </x:c>
      <x:c r="AU920" s="34" t="n">
        <x:v>0.65</x:v>
      </x:c>
      <x:c r="AV920" s="34" t="n">
        <x:v>2.16</x:v>
      </x:c>
    </x:row>
    <x:row r="921">
      <x:c r="A921" s="34" t="str">
        <x:v>NIPPON_STEEL_JP</x:v>
      </x:c>
      <x:c r="B921" s="34" t="str">
        <x:v>Nippon Steel</x:v>
      </x:c>
      <x:c r="C921" s="34" t="str">
        <x:v>ACCELERATED_15C</x:v>
      </x:c>
      <x:c r="D921" s="34" t="str">
        <x:v>P2</x:v>
      </x:c>
      <x:c r="E921" s="34" t="n">
        <x:v>2030</x:v>
      </x:c>
      <x:c r="F921" s="34" t="n">
        <x:v>1</x:v>
      </x:c>
      <x:c r="G921" s="34" t="n">
        <x:v>8.1</x:v>
      </x:c>
      <x:c r="H921" s="34" t="n">
        <x:v>15</x:v>
      </x:c>
      <x:c r="I921" s="34" t="n">
        <x:v>6.9</x:v>
      </x:c>
      <x:c r="J921" s="34" t="n">
        <x:v>54</x:v>
      </x:c>
      <x:c r="K921" s="34" t="n">
        <x:v>0</x:v>
      </x:c>
      <x:c r="L921" s="34" t="n">
        <x:v>0.9</x:v>
      </x:c>
      <x:c r="M921" s="34" t="n">
        <x:v>0.9</x:v>
      </x:c>
      <x:c r="N921" s="34" t="n">
        <x:v>0</x:v>
      </x:c>
      <x:c r="O921" s="34" t="n">
        <x:v>5.04</x:v>
      </x:c>
      <x:c r="P921" s="34" t="n">
        <x:v>10</x:v>
      </x:c>
      <x:c r="Q921" s="34" t="n">
        <x:v>4.96</x:v>
      </x:c>
      <x:c r="R921" s="34" t="n">
        <x:v>50.4</x:v>
      </x:c>
      <x:c r="S921" s="40" t="b">
        <x:v>1</x:v>
      </x:c>
      <x:c r="T921" s="34" t="str">
        <x:v>model_interpolation</x:v>
      </x:c>
      <x:c r="U921" s="34" t="str">
        <x:v>Linear interpolation from 2030 to 2035</x:v>
      </x:c>
      <x:c r="V921" s="34" t="str">
        <x:v>CAND-EBD30C485CEFDA</x:v>
      </x:c>
      <x:c r="W921" s="34" t="str">
        <x:v>P2</x:v>
      </x:c>
      <x:c r="X921" s="34" t="str">
        <x:v>PORT-9E76B3BFF9FF</x:v>
      </x:c>
      <x:c r="Y921" s="34" t="n">
        <x:v>1000</x:v>
      </x:c>
      <x:c r="Z921" s="34" t="n">
        <x:v>80.124994</x:v>
      </x:c>
      <x:c r="AA921" s="34" t="n">
        <x:v>24.920518</x:v>
      </x:c>
      <x:c r="AB921" s="34" t="n">
        <x:v>456.103943</x:v>
      </x:c>
      <x:c r="AC921" s="34" t="n">
        <x:v>35619.4</x:v>
      </x:c>
      <x:c r="AD921" s="34" t="n">
        <x:v>78.094918</x:v>
      </x:c>
      <x:c r="AE921" s="40" t="b">
        <x:v>1</x:v>
      </x:c>
      <x:c r="AF921" s="40" t="b">
        <x:v>1</x:v>
      </x:c>
      <x:c r="AG921" s="34" t="str"/>
      <x:c r="AH921" s="34" t="n">
        <x:v>0</x:v>
      </x:c>
      <x:c r="AI921" s="34" t="str">
        <x:v>3.446647212967946e-06</x:v>
      </x:c>
      <x:c r="AJ921" s="40" t="b">
        <x:v>1</x:v>
      </x:c>
      <x:c r="AK921" s="40" t="b">
        <x:v>1</x:v>
      </x:c>
      <x:c r="AL921" s="40" t="b">
        <x:v>1</x:v>
      </x:c>
      <x:c r="AM921" s="40" t="b">
        <x:v>1</x:v>
      </x:c>
      <x:c r="AN921" s="34" t="str"/>
      <x:c r="AO921" s="34" t="n">
        <x:v>0</x:v>
      </x:c>
      <x:c r="AP921" s="34" t="n">
        <x:v>0</x:v>
      </x:c>
      <x:c r="AQ921" s="34" t="n">
        <x:v>0</x:v>
      </x:c>
      <x:c r="AR921" s="34" t="n">
        <x:v>2</x:v>
      </x:c>
      <x:c r="AS921" s="34" t="n">
        <x:v>2</x:v>
      </x:c>
      <x:c r="AT921" s="34" t="n">
        <x:v>0.47641018879999986</x:v>
      </x:c>
      <x:c r="AU921" s="34" t="n">
        <x:v>0.65</x:v>
      </x:c>
      <x:c r="AV921" s="34" t="n">
        <x:v>2.16</x:v>
      </x:c>
    </x:row>
    <x:row r="922">
      <x:c r="A922" s="34" t="str">
        <x:v>NIPPON_STEEL_JP</x:v>
      </x:c>
      <x:c r="B922" s="34" t="str">
        <x:v>Nippon Steel</x:v>
      </x:c>
      <x:c r="C922" s="34" t="str">
        <x:v>ACCELERATED_15C</x:v>
      </x:c>
      <x:c r="D922" s="34" t="str">
        <x:v>P2</x:v>
      </x:c>
      <x:c r="E922" s="34" t="n">
        <x:v>2031</x:v>
      </x:c>
      <x:c r="F922" s="34" t="n">
        <x:v>1</x:v>
      </x:c>
      <x:c r="G922" s="34" t="n">
        <x:v>8.1</x:v>
      </x:c>
      <x:c r="H922" s="34" t="n">
        <x:v>16.6</x:v>
      </x:c>
      <x:c r="I922" s="34" t="n">
        <x:v>8.5</x:v>
      </x:c>
      <x:c r="J922" s="34" t="n">
        <x:v>48.795</x:v>
      </x:c>
      <x:c r="K922" s="34" t="n">
        <x:v>0</x:v>
      </x:c>
      <x:c r="L922" s="34" t="n">
        <x:v>1.2200000000000002</x:v>
      </x:c>
      <x:c r="M922" s="34" t="n">
        <x:v>1.22</x:v>
      </x:c>
      <x:c r="N922" s="34" t="n">
        <x:v>0</x:v>
      </x:c>
      <x:c r="O922" s="34" t="n">
        <x:v>5.04</x:v>
      </x:c>
      <x:c r="P922" s="34" t="n">
        <x:v>12</x:v>
      </x:c>
      <x:c r="Q922" s="34" t="n">
        <x:v>6.96</x:v>
      </x:c>
      <x:c r="R922" s="34" t="n">
        <x:v>42</x:v>
      </x:c>
      <x:c r="S922" s="40" t="b">
        <x:v>1</x:v>
      </x:c>
      <x:c r="T922" s="34" t="str">
        <x:v>model_interpolation</x:v>
      </x:c>
      <x:c r="U922" s="34" t="str">
        <x:v>Linear interpolation from 2030 to 2035</x:v>
      </x:c>
      <x:c r="V922" s="34" t="str">
        <x:v>CAND-EBD30C485CEFDA</x:v>
      </x:c>
      <x:c r="W922" s="34" t="str">
        <x:v>P2</x:v>
      </x:c>
      <x:c r="X922" s="34" t="str">
        <x:v>PORT-9E76B3BFF9FF</x:v>
      </x:c>
      <x:c r="Y922" s="34" t="n">
        <x:v>1000</x:v>
      </x:c>
      <x:c r="Z922" s="34" t="n">
        <x:v>80.124994</x:v>
      </x:c>
      <x:c r="AA922" s="34" t="n">
        <x:v>24.920518</x:v>
      </x:c>
      <x:c r="AB922" s="34" t="n">
        <x:v>456.103943</x:v>
      </x:c>
      <x:c r="AC922" s="34" t="n">
        <x:v>35619.4</x:v>
      </x:c>
      <x:c r="AD922" s="34" t="n">
        <x:v>78.094918</x:v>
      </x:c>
      <x:c r="AE922" s="40" t="b">
        <x:v>1</x:v>
      </x:c>
      <x:c r="AF922" s="40" t="b">
        <x:v>1</x:v>
      </x:c>
      <x:c r="AG922" s="34" t="str"/>
      <x:c r="AH922" s="34" t="n">
        <x:v>0</x:v>
      </x:c>
      <x:c r="AI922" s="34" t="str">
        <x:v>3.446647212967946e-06</x:v>
      </x:c>
      <x:c r="AJ922" s="40" t="b">
        <x:v>1</x:v>
      </x:c>
      <x:c r="AK922" s="40" t="b">
        <x:v>1</x:v>
      </x:c>
      <x:c r="AL922" s="40" t="b">
        <x:v>1</x:v>
      </x:c>
      <x:c r="AM922" s="40" t="b">
        <x:v>1</x:v>
      </x:c>
      <x:c r="AN922" s="34" t="str"/>
      <x:c r="AO922" s="34" t="n">
        <x:v>0</x:v>
      </x:c>
      <x:c r="AP922" s="34" t="n">
        <x:v>0</x:v>
      </x:c>
      <x:c r="AQ922" s="34" t="n">
        <x:v>0</x:v>
      </x:c>
      <x:c r="AR922" s="34" t="n">
        <x:v>2</x:v>
      </x:c>
      <x:c r="AS922" s="34" t="n">
        <x:v>2</x:v>
      </x:c>
      <x:c r="AT922" s="34" t="n">
        <x:v>0.47641018879999986</x:v>
      </x:c>
      <x:c r="AU922" s="34" t="n">
        <x:v>0.65</x:v>
      </x:c>
      <x:c r="AV922" s="34" t="n">
        <x:v>2.16</x:v>
      </x:c>
    </x:row>
    <x:row r="923">
      <x:c r="A923" s="34" t="str">
        <x:v>NIPPON_STEEL_JP</x:v>
      </x:c>
      <x:c r="B923" s="34" t="str">
        <x:v>Nippon Steel</x:v>
      </x:c>
      <x:c r="C923" s="34" t="str">
        <x:v>ACCELERATED_15C</x:v>
      </x:c>
      <x:c r="D923" s="34" t="str">
        <x:v>P2</x:v>
      </x:c>
      <x:c r="E923" s="34" t="n">
        <x:v>2032</x:v>
      </x:c>
      <x:c r="F923" s="34" t="n">
        <x:v>2</x:v>
      </x:c>
      <x:c r="G923" s="34" t="n">
        <x:v>9.03</x:v>
      </x:c>
      <x:c r="H923" s="34" t="n">
        <x:v>18.2</x:v>
      </x:c>
      <x:c r="I923" s="34" t="n">
        <x:v>9.17</x:v>
      </x:c>
      <x:c r="J923" s="34" t="n">
        <x:v>49.615</x:v>
      </x:c>
      <x:c r="K923" s="34" t="n">
        <x:v>0.341</x:v>
      </x:c>
      <x:c r="L923" s="34" t="n">
        <x:v>1.54</x:v>
      </x:c>
      <x:c r="M923" s="34" t="n">
        <x:v>1.199</x:v>
      </x:c>
      <x:c r="N923" s="34" t="n">
        <x:v>22.143</x:v>
      </x:c>
      <x:c r="O923" s="34" t="n">
        <x:v>7.891999</x:v>
      </x:c>
      <x:c r="P923" s="34" t="n">
        <x:v>14</x:v>
      </x:c>
      <x:c r="Q923" s="34" t="n">
        <x:v>6.108001</x:v>
      </x:c>
      <x:c r="R923" s="34" t="n">
        <x:v>56.371</x:v>
      </x:c>
      <x:c r="S923" s="40" t="b">
        <x:v>1</x:v>
      </x:c>
      <x:c r="T923" s="34" t="str">
        <x:v>model_interpolation</x:v>
      </x:c>
      <x:c r="U923" s="34" t="str">
        <x:v>Linear interpolation from 2030 to 2035</x:v>
      </x:c>
      <x:c r="V923" s="34" t="str">
        <x:v>CAND-EBD30C485CEFDA</x:v>
      </x:c>
      <x:c r="W923" s="34" t="str">
        <x:v>P2</x:v>
      </x:c>
      <x:c r="X923" s="34" t="str">
        <x:v>PORT-9E76B3BFF9FF</x:v>
      </x:c>
      <x:c r="Y923" s="34" t="n">
        <x:v>1000</x:v>
      </x:c>
      <x:c r="Z923" s="34" t="n">
        <x:v>80.124994</x:v>
      </x:c>
      <x:c r="AA923" s="34" t="n">
        <x:v>24.920518</x:v>
      </x:c>
      <x:c r="AB923" s="34" t="n">
        <x:v>456.103943</x:v>
      </x:c>
      <x:c r="AC923" s="34" t="n">
        <x:v>35619.4</x:v>
      </x:c>
      <x:c r="AD923" s="34" t="n">
        <x:v>78.094918</x:v>
      </x:c>
      <x:c r="AE923" s="40" t="b">
        <x:v>1</x:v>
      </x:c>
      <x:c r="AF923" s="40" t="b">
        <x:v>1</x:v>
      </x:c>
      <x:c r="AG923" s="34" t="str"/>
      <x:c r="AH923" s="34" t="n">
        <x:v>0</x:v>
      </x:c>
      <x:c r="AI923" s="34" t="str">
        <x:v>3.446647212967946e-06</x:v>
      </x:c>
      <x:c r="AJ923" s="40" t="b">
        <x:v>1</x:v>
      </x:c>
      <x:c r="AK923" s="40" t="b">
        <x:v>1</x:v>
      </x:c>
      <x:c r="AL923" s="40" t="b">
        <x:v>1</x:v>
      </x:c>
      <x:c r="AM923" s="40" t="b">
        <x:v>1</x:v>
      </x:c>
      <x:c r="AN923" s="34" t="str"/>
      <x:c r="AO923" s="34" t="n">
        <x:v>0</x:v>
      </x:c>
      <x:c r="AP923" s="34" t="n">
        <x:v>0</x:v>
      </x:c>
      <x:c r="AQ923" s="34" t="n">
        <x:v>0</x:v>
      </x:c>
      <x:c r="AR923" s="34" t="n">
        <x:v>2</x:v>
      </x:c>
      <x:c r="AS923" s="34" t="n">
        <x:v>2</x:v>
      </x:c>
      <x:c r="AT923" s="34" t="n">
        <x:v>0.47641018879999986</x:v>
      </x:c>
      <x:c r="AU923" s="34" t="n">
        <x:v>0.65</x:v>
      </x:c>
      <x:c r="AV923" s="34" t="n">
        <x:v>2.16</x:v>
      </x:c>
    </x:row>
    <x:row r="924">
      <x:c r="A924" s="34" t="str">
        <x:v>NIPPON_STEEL_JP</x:v>
      </x:c>
      <x:c r="B924" s="34" t="str">
        <x:v>Nippon Steel</x:v>
      </x:c>
      <x:c r="C924" s="34" t="str">
        <x:v>ACCELERATED_15C</x:v>
      </x:c>
      <x:c r="D924" s="34" t="str">
        <x:v>P2</x:v>
      </x:c>
      <x:c r="E924" s="34" t="n">
        <x:v>2033</x:v>
      </x:c>
      <x:c r="F924" s="34" t="n">
        <x:v>2</x:v>
      </x:c>
      <x:c r="G924" s="34" t="n">
        <x:v>9.03</x:v>
      </x:c>
      <x:c r="H924" s="34" t="n">
        <x:v>19.8</x:v>
      </x:c>
      <x:c r="I924" s="34" t="n">
        <x:v>10.77</x:v>
      </x:c>
      <x:c r="J924" s="34" t="n">
        <x:v>45.606</x:v>
      </x:c>
      <x:c r="K924" s="34" t="n">
        <x:v>0.341</x:v>
      </x:c>
      <x:c r="L924" s="34" t="n">
        <x:v>1.8599999999999999</x:v>
      </x:c>
      <x:c r="M924" s="34" t="n">
        <x:v>1.519</x:v>
      </x:c>
      <x:c r="N924" s="34" t="n">
        <x:v>18.333</x:v>
      </x:c>
      <x:c r="O924" s="34" t="n">
        <x:v>7.891999</x:v>
      </x:c>
      <x:c r="P924" s="34" t="n">
        <x:v>16</x:v>
      </x:c>
      <x:c r="Q924" s="34" t="n">
        <x:v>8.108001</x:v>
      </x:c>
      <x:c r="R924" s="34" t="n">
        <x:v>49.325</x:v>
      </x:c>
      <x:c r="S924" s="40" t="b">
        <x:v>1</x:v>
      </x:c>
      <x:c r="T924" s="34" t="str">
        <x:v>model_interpolation</x:v>
      </x:c>
      <x:c r="U924" s="34" t="str">
        <x:v>Linear interpolation from 2030 to 2035</x:v>
      </x:c>
      <x:c r="V924" s="34" t="str">
        <x:v>CAND-EBD30C485CEFDA</x:v>
      </x:c>
      <x:c r="W924" s="34" t="str">
        <x:v>P2</x:v>
      </x:c>
      <x:c r="X924" s="34" t="str">
        <x:v>PORT-9E76B3BFF9FF</x:v>
      </x:c>
      <x:c r="Y924" s="34" t="n">
        <x:v>1000</x:v>
      </x:c>
      <x:c r="Z924" s="34" t="n">
        <x:v>80.124994</x:v>
      </x:c>
      <x:c r="AA924" s="34" t="n">
        <x:v>24.920518</x:v>
      </x:c>
      <x:c r="AB924" s="34" t="n">
        <x:v>456.103943</x:v>
      </x:c>
      <x:c r="AC924" s="34" t="n">
        <x:v>35619.4</x:v>
      </x:c>
      <x:c r="AD924" s="34" t="n">
        <x:v>78.094918</x:v>
      </x:c>
      <x:c r="AE924" s="40" t="b">
        <x:v>1</x:v>
      </x:c>
      <x:c r="AF924" s="40" t="b">
        <x:v>1</x:v>
      </x:c>
      <x:c r="AG924" s="34" t="str"/>
      <x:c r="AH924" s="34" t="n">
        <x:v>0</x:v>
      </x:c>
      <x:c r="AI924" s="34" t="str">
        <x:v>3.446647212967946e-06</x:v>
      </x:c>
      <x:c r="AJ924" s="40" t="b">
        <x:v>1</x:v>
      </x:c>
      <x:c r="AK924" s="40" t="b">
        <x:v>1</x:v>
      </x:c>
      <x:c r="AL924" s="40" t="b">
        <x:v>1</x:v>
      </x:c>
      <x:c r="AM924" s="40" t="b">
        <x:v>1</x:v>
      </x:c>
      <x:c r="AN924" s="34" t="str"/>
      <x:c r="AO924" s="34" t="n">
        <x:v>0</x:v>
      </x:c>
      <x:c r="AP924" s="34" t="n">
        <x:v>0</x:v>
      </x:c>
      <x:c r="AQ924" s="34" t="n">
        <x:v>0</x:v>
      </x:c>
      <x:c r="AR924" s="34" t="n">
        <x:v>2</x:v>
      </x:c>
      <x:c r="AS924" s="34" t="n">
        <x:v>2</x:v>
      </x:c>
      <x:c r="AT924" s="34" t="n">
        <x:v>0.47641018879999986</x:v>
      </x:c>
      <x:c r="AU924" s="34" t="n">
        <x:v>0.65</x:v>
      </x:c>
      <x:c r="AV924" s="34" t="n">
        <x:v>2.16</x:v>
      </x:c>
    </x:row>
    <x:row r="925">
      <x:c r="A925" s="34" t="str">
        <x:v>NIPPON_STEEL_JP</x:v>
      </x:c>
      <x:c r="B925" s="34" t="str">
        <x:v>Nippon Steel</x:v>
      </x:c>
      <x:c r="C925" s="34" t="str">
        <x:v>ACCELERATED_15C</x:v>
      </x:c>
      <x:c r="D925" s="34" t="str">
        <x:v>P2</x:v>
      </x:c>
      <x:c r="E925" s="34" t="n">
        <x:v>2034</x:v>
      </x:c>
      <x:c r="F925" s="34" t="n">
        <x:v>3</x:v>
      </x:c>
      <x:c r="G925" s="34" t="n">
        <x:v>15.510001</x:v>
      </x:c>
      <x:c r="H925" s="34" t="n">
        <x:v>21.4</x:v>
      </x:c>
      <x:c r="I925" s="34" t="n">
        <x:v>5.889999</x:v>
      </x:c>
      <x:c r="J925" s="34" t="n">
        <x:v>72.477</x:v>
      </x:c>
      <x:c r="K925" s="34" t="n">
        <x:v>0.341</x:v>
      </x:c>
      <x:c r="L925" s="34" t="n">
        <x:v>2.18</x:v>
      </x:c>
      <x:c r="M925" s="34" t="n">
        <x:v>1.839</x:v>
      </x:c>
      <x:c r="N925" s="34" t="n">
        <x:v>15.642</x:v>
      </x:c>
      <x:c r="O925" s="34" t="n">
        <x:v>11.924</x:v>
      </x:c>
      <x:c r="P925" s="34" t="n">
        <x:v>18</x:v>
      </x:c>
      <x:c r="Q925" s="34" t="n">
        <x:v>6.076</x:v>
      </x:c>
      <x:c r="R925" s="34" t="n">
        <x:v>66.244</x:v>
      </x:c>
      <x:c r="S925" s="40" t="b">
        <x:v>1</x:v>
      </x:c>
      <x:c r="T925" s="34" t="str">
        <x:v>model_interpolation</x:v>
      </x:c>
      <x:c r="U925" s="34" t="str">
        <x:v>Linear interpolation from 2030 to 2035</x:v>
      </x:c>
      <x:c r="V925" s="34" t="str">
        <x:v>CAND-EBD30C485CEFDA</x:v>
      </x:c>
      <x:c r="W925" s="34" t="str">
        <x:v>P2</x:v>
      </x:c>
      <x:c r="X925" s="34" t="str">
        <x:v>PORT-9E76B3BFF9FF</x:v>
      </x:c>
      <x:c r="Y925" s="34" t="n">
        <x:v>1000</x:v>
      </x:c>
      <x:c r="Z925" s="34" t="n">
        <x:v>80.124994</x:v>
      </x:c>
      <x:c r="AA925" s="34" t="n">
        <x:v>24.920518</x:v>
      </x:c>
      <x:c r="AB925" s="34" t="n">
        <x:v>456.103943</x:v>
      </x:c>
      <x:c r="AC925" s="34" t="n">
        <x:v>35619.4</x:v>
      </x:c>
      <x:c r="AD925" s="34" t="n">
        <x:v>78.094918</x:v>
      </x:c>
      <x:c r="AE925" s="40" t="b">
        <x:v>1</x:v>
      </x:c>
      <x:c r="AF925" s="40" t="b">
        <x:v>1</x:v>
      </x:c>
      <x:c r="AG925" s="34" t="str"/>
      <x:c r="AH925" s="34" t="n">
        <x:v>0</x:v>
      </x:c>
      <x:c r="AI925" s="34" t="str">
        <x:v>3.446647212967946e-06</x:v>
      </x:c>
      <x:c r="AJ925" s="40" t="b">
        <x:v>1</x:v>
      </x:c>
      <x:c r="AK925" s="40" t="b">
        <x:v>1</x:v>
      </x:c>
      <x:c r="AL925" s="40" t="b">
        <x:v>1</x:v>
      </x:c>
      <x:c r="AM925" s="40" t="b">
        <x:v>1</x:v>
      </x:c>
      <x:c r="AN925" s="34" t="str"/>
      <x:c r="AO925" s="34" t="n">
        <x:v>0</x:v>
      </x:c>
      <x:c r="AP925" s="34" t="n">
        <x:v>0</x:v>
      </x:c>
      <x:c r="AQ925" s="34" t="n">
        <x:v>0</x:v>
      </x:c>
      <x:c r="AR925" s="34" t="n">
        <x:v>2</x:v>
      </x:c>
      <x:c r="AS925" s="34" t="n">
        <x:v>2</x:v>
      </x:c>
      <x:c r="AT925" s="34" t="n">
        <x:v>0.47641018879999986</x:v>
      </x:c>
      <x:c r="AU925" s="34" t="n">
        <x:v>0.65</x:v>
      </x:c>
      <x:c r="AV925" s="34" t="n">
        <x:v>2.16</x:v>
      </x:c>
    </x:row>
    <x:row r="926">
      <x:c r="A926" s="34" t="str">
        <x:v>NIPPON_STEEL_JP</x:v>
      </x:c>
      <x:c r="B926" s="34" t="str">
        <x:v>Nippon Steel</x:v>
      </x:c>
      <x:c r="C926" s="34" t="str">
        <x:v>ACCELERATED_15C</x:v>
      </x:c>
      <x:c r="D926" s="34" t="str">
        <x:v>P2</x:v>
      </x:c>
      <x:c r="E926" s="34" t="n">
        <x:v>2035</x:v>
      </x:c>
      <x:c r="F926" s="34" t="n">
        <x:v>3</x:v>
      </x:c>
      <x:c r="G926" s="34" t="n">
        <x:v>15.510001</x:v>
      </x:c>
      <x:c r="H926" s="34" t="n">
        <x:v>23</x:v>
      </x:c>
      <x:c r="I926" s="34" t="n">
        <x:v>7.489999</x:v>
      </x:c>
      <x:c r="J926" s="34" t="n">
        <x:v>67.435</x:v>
      </x:c>
      <x:c r="K926" s="34" t="n">
        <x:v>0.341</x:v>
      </x:c>
      <x:c r="L926" s="34" t="n">
        <x:v>2.5</x:v>
      </x:c>
      <x:c r="M926" s="34" t="n">
        <x:v>2.159</x:v>
      </x:c>
      <x:c r="N926" s="34" t="n">
        <x:v>13.64</x:v>
      </x:c>
      <x:c r="O926" s="34" t="n">
        <x:v>11.924</x:v>
      </x:c>
      <x:c r="P926" s="34" t="n">
        <x:v>20</x:v>
      </x:c>
      <x:c r="Q926" s="34" t="n">
        <x:v>8.076</x:v>
      </x:c>
      <x:c r="R926" s="34" t="n">
        <x:v>59.62</x:v>
      </x:c>
      <x:c r="S926" s="40" t="b">
        <x:v>1</x:v>
      </x:c>
      <x:c r="T926" s="34" t="str">
        <x:v>model_interpolation</x:v>
      </x:c>
      <x:c r="U926" s="34" t="str">
        <x:v>Linear interpolation from 2035 to 2040</x:v>
      </x:c>
      <x:c r="V926" s="34" t="str">
        <x:v>CAND-EBD30C485CEFDA</x:v>
      </x:c>
      <x:c r="W926" s="34" t="str">
        <x:v>P2</x:v>
      </x:c>
      <x:c r="X926" s="34" t="str">
        <x:v>PORT-9E76B3BFF9FF</x:v>
      </x:c>
      <x:c r="Y926" s="34" t="n">
        <x:v>1000</x:v>
      </x:c>
      <x:c r="Z926" s="34" t="n">
        <x:v>80.124994</x:v>
      </x:c>
      <x:c r="AA926" s="34" t="n">
        <x:v>24.920518</x:v>
      </x:c>
      <x:c r="AB926" s="34" t="n">
        <x:v>456.103943</x:v>
      </x:c>
      <x:c r="AC926" s="34" t="n">
        <x:v>35619.4</x:v>
      </x:c>
      <x:c r="AD926" s="34" t="n">
        <x:v>78.094918</x:v>
      </x:c>
      <x:c r="AE926" s="40" t="b">
        <x:v>1</x:v>
      </x:c>
      <x:c r="AF926" s="40" t="b">
        <x:v>1</x:v>
      </x:c>
      <x:c r="AG926" s="34" t="str"/>
      <x:c r="AH926" s="34" t="n">
        <x:v>0</x:v>
      </x:c>
      <x:c r="AI926" s="34" t="str">
        <x:v>3.446647212967946e-06</x:v>
      </x:c>
      <x:c r="AJ926" s="40" t="b">
        <x:v>1</x:v>
      </x:c>
      <x:c r="AK926" s="40" t="b">
        <x:v>1</x:v>
      </x:c>
      <x:c r="AL926" s="40" t="b">
        <x:v>1</x:v>
      </x:c>
      <x:c r="AM926" s="40" t="b">
        <x:v>1</x:v>
      </x:c>
      <x:c r="AN926" s="34" t="str"/>
      <x:c r="AO926" s="34" t="n">
        <x:v>0</x:v>
      </x:c>
      <x:c r="AP926" s="34" t="n">
        <x:v>0</x:v>
      </x:c>
      <x:c r="AQ926" s="34" t="n">
        <x:v>0</x:v>
      </x:c>
      <x:c r="AR926" s="34" t="n">
        <x:v>2</x:v>
      </x:c>
      <x:c r="AS926" s="34" t="n">
        <x:v>2</x:v>
      </x:c>
      <x:c r="AT926" s="34" t="n">
        <x:v>0.47641018879999986</x:v>
      </x:c>
      <x:c r="AU926" s="34" t="n">
        <x:v>0.65</x:v>
      </x:c>
      <x:c r="AV926" s="34" t="n">
        <x:v>2.16</x:v>
      </x:c>
    </x:row>
    <x:row r="927">
      <x:c r="A927" s="34" t="str">
        <x:v>NIPPON_STEEL_JP</x:v>
      </x:c>
      <x:c r="B927" s="34" t="str">
        <x:v>Nippon Steel</x:v>
      </x:c>
      <x:c r="C927" s="34" t="str">
        <x:v>ACCELERATED_15C</x:v>
      </x:c>
      <x:c r="D927" s="34" t="str">
        <x:v>P2</x:v>
      </x:c>
      <x:c r="E927" s="34" t="n">
        <x:v>2036</x:v>
      </x:c>
      <x:c r="F927" s="34" t="n">
        <x:v>4</x:v>
      </x:c>
      <x:c r="G927" s="34" t="n">
        <x:v>16.350001</x:v>
      </x:c>
      <x:c r="H927" s="34" t="n">
        <x:v>24.4</x:v>
      </x:c>
      <x:c r="I927" s="34" t="n">
        <x:v>8.049999</x:v>
      </x:c>
      <x:c r="J927" s="34" t="n">
        <x:v>67.008</x:v>
      </x:c>
      <x:c r="K927" s="34" t="n">
        <x:v>0.649</x:v>
      </x:c>
      <x:c r="L927" s="34" t="n">
        <x:v>2.9</x:v>
      </x:c>
      <x:c r="M927" s="34" t="n">
        <x:v>2.251</x:v>
      </x:c>
      <x:c r="N927" s="34" t="n">
        <x:v>22.379</x:v>
      </x:c>
      <x:c r="O927" s="34" t="n">
        <x:v>14.5</x:v>
      </x:c>
      <x:c r="P927" s="34" t="n">
        <x:v>22.4</x:v>
      </x:c>
      <x:c r="Q927" s="34" t="n">
        <x:v>7.9</x:v>
      </x:c>
      <x:c r="R927" s="34" t="n">
        <x:v>64.732</x:v>
      </x:c>
      <x:c r="S927" s="40" t="b">
        <x:v>1</x:v>
      </x:c>
      <x:c r="T927" s="34" t="str">
        <x:v>model_interpolation</x:v>
      </x:c>
      <x:c r="U927" s="34" t="str">
        <x:v>Linear interpolation from 2035 to 2040</x:v>
      </x:c>
      <x:c r="V927" s="34" t="str">
        <x:v>CAND-EBD30C485CEFDA</x:v>
      </x:c>
      <x:c r="W927" s="34" t="str">
        <x:v>P2</x:v>
      </x:c>
      <x:c r="X927" s="34" t="str">
        <x:v>PORT-9E76B3BFF9FF</x:v>
      </x:c>
      <x:c r="Y927" s="34" t="n">
        <x:v>1000</x:v>
      </x:c>
      <x:c r="Z927" s="34" t="n">
        <x:v>80.124994</x:v>
      </x:c>
      <x:c r="AA927" s="34" t="n">
        <x:v>24.920518</x:v>
      </x:c>
      <x:c r="AB927" s="34" t="n">
        <x:v>456.103943</x:v>
      </x:c>
      <x:c r="AC927" s="34" t="n">
        <x:v>35619.4</x:v>
      </x:c>
      <x:c r="AD927" s="34" t="n">
        <x:v>78.094918</x:v>
      </x:c>
      <x:c r="AE927" s="40" t="b">
        <x:v>1</x:v>
      </x:c>
      <x:c r="AF927" s="40" t="b">
        <x:v>1</x:v>
      </x:c>
      <x:c r="AG927" s="34" t="str"/>
      <x:c r="AH927" s="34" t="n">
        <x:v>0</x:v>
      </x:c>
      <x:c r="AI927" s="34" t="str">
        <x:v>3.446647212967946e-06</x:v>
      </x:c>
      <x:c r="AJ927" s="40" t="b">
        <x:v>1</x:v>
      </x:c>
      <x:c r="AK927" s="40" t="b">
        <x:v>1</x:v>
      </x:c>
      <x:c r="AL927" s="40" t="b">
        <x:v>1</x:v>
      </x:c>
      <x:c r="AM927" s="40" t="b">
        <x:v>1</x:v>
      </x:c>
      <x:c r="AN927" s="34" t="str"/>
      <x:c r="AO927" s="34" t="n">
        <x:v>0</x:v>
      </x:c>
      <x:c r="AP927" s="34" t="n">
        <x:v>0</x:v>
      </x:c>
      <x:c r="AQ927" s="34" t="n">
        <x:v>0</x:v>
      </x:c>
      <x:c r="AR927" s="34" t="n">
        <x:v>2</x:v>
      </x:c>
      <x:c r="AS927" s="34" t="n">
        <x:v>2</x:v>
      </x:c>
      <x:c r="AT927" s="34" t="n">
        <x:v>0.47641018879999986</x:v>
      </x:c>
      <x:c r="AU927" s="34" t="n">
        <x:v>0.65</x:v>
      </x:c>
      <x:c r="AV927" s="34" t="n">
        <x:v>2.16</x:v>
      </x:c>
    </x:row>
    <x:row r="928">
      <x:c r="A928" s="34" t="str">
        <x:v>NIPPON_STEEL_JP</x:v>
      </x:c>
      <x:c r="B928" s="34" t="str">
        <x:v>Nippon Steel</x:v>
      </x:c>
      <x:c r="C928" s="34" t="str">
        <x:v>ACCELERATED_15C</x:v>
      </x:c>
      <x:c r="D928" s="34" t="str">
        <x:v>P2</x:v>
      </x:c>
      <x:c r="E928" s="34" t="n">
        <x:v>2037</x:v>
      </x:c>
      <x:c r="F928" s="34" t="n">
        <x:v>4</x:v>
      </x:c>
      <x:c r="G928" s="34" t="n">
        <x:v>16.350001</x:v>
      </x:c>
      <x:c r="H928" s="34" t="n">
        <x:v>25.8</x:v>
      </x:c>
      <x:c r="I928" s="34" t="n">
        <x:v>9.449999</x:v>
      </x:c>
      <x:c r="J928" s="34" t="n">
        <x:v>63.372</x:v>
      </x:c>
      <x:c r="K928" s="34" t="n">
        <x:v>0.649</x:v>
      </x:c>
      <x:c r="L928" s="34" t="n">
        <x:v>3.3</x:v>
      </x:c>
      <x:c r="M928" s="34" t="n">
        <x:v>2.651</x:v>
      </x:c>
      <x:c r="N928" s="34" t="n">
        <x:v>19.667</x:v>
      </x:c>
      <x:c r="O928" s="34" t="n">
        <x:v>14.5</x:v>
      </x:c>
      <x:c r="P928" s="34" t="n">
        <x:v>24.8</x:v>
      </x:c>
      <x:c r="Q928" s="34" t="n">
        <x:v>10.3</x:v>
      </x:c>
      <x:c r="R928" s="34" t="n">
        <x:v>58.468</x:v>
      </x:c>
      <x:c r="S928" s="40" t="b">
        <x:v>1</x:v>
      </x:c>
      <x:c r="T928" s="34" t="str">
        <x:v>model_interpolation</x:v>
      </x:c>
      <x:c r="U928" s="34" t="str">
        <x:v>Linear interpolation from 2035 to 2040</x:v>
      </x:c>
      <x:c r="V928" s="34" t="str">
        <x:v>CAND-EBD30C485CEFDA</x:v>
      </x:c>
      <x:c r="W928" s="34" t="str">
        <x:v>P2</x:v>
      </x:c>
      <x:c r="X928" s="34" t="str">
        <x:v>PORT-9E76B3BFF9FF</x:v>
      </x:c>
      <x:c r="Y928" s="34" t="n">
        <x:v>1000</x:v>
      </x:c>
      <x:c r="Z928" s="34" t="n">
        <x:v>80.124994</x:v>
      </x:c>
      <x:c r="AA928" s="34" t="n">
        <x:v>24.920518</x:v>
      </x:c>
      <x:c r="AB928" s="34" t="n">
        <x:v>456.103943</x:v>
      </x:c>
      <x:c r="AC928" s="34" t="n">
        <x:v>35619.4</x:v>
      </x:c>
      <x:c r="AD928" s="34" t="n">
        <x:v>78.094918</x:v>
      </x:c>
      <x:c r="AE928" s="40" t="b">
        <x:v>1</x:v>
      </x:c>
      <x:c r="AF928" s="40" t="b">
        <x:v>1</x:v>
      </x:c>
      <x:c r="AG928" s="34" t="str"/>
      <x:c r="AH928" s="34" t="n">
        <x:v>0</x:v>
      </x:c>
      <x:c r="AI928" s="34" t="str">
        <x:v>3.446647212967946e-06</x:v>
      </x:c>
      <x:c r="AJ928" s="40" t="b">
        <x:v>1</x:v>
      </x:c>
      <x:c r="AK928" s="40" t="b">
        <x:v>1</x:v>
      </x:c>
      <x:c r="AL928" s="40" t="b">
        <x:v>1</x:v>
      </x:c>
      <x:c r="AM928" s="40" t="b">
        <x:v>1</x:v>
      </x:c>
      <x:c r="AN928" s="34" t="str"/>
      <x:c r="AO928" s="34" t="n">
        <x:v>0</x:v>
      </x:c>
      <x:c r="AP928" s="34" t="n">
        <x:v>0</x:v>
      </x:c>
      <x:c r="AQ928" s="34" t="n">
        <x:v>0</x:v>
      </x:c>
      <x:c r="AR928" s="34" t="n">
        <x:v>2</x:v>
      </x:c>
      <x:c r="AS928" s="34" t="n">
        <x:v>2</x:v>
      </x:c>
      <x:c r="AT928" s="34" t="n">
        <x:v>0.47641018879999986</x:v>
      </x:c>
      <x:c r="AU928" s="34" t="n">
        <x:v>0.65</x:v>
      </x:c>
      <x:c r="AV928" s="34" t="n">
        <x:v>2.16</x:v>
      </x:c>
    </x:row>
    <x:row r="929">
      <x:c r="A929" s="34" t="str">
        <x:v>NIPPON_STEEL_JP</x:v>
      </x:c>
      <x:c r="B929" s="34" t="str">
        <x:v>Nippon Steel</x:v>
      </x:c>
      <x:c r="C929" s="34" t="str">
        <x:v>ACCELERATED_15C</x:v>
      </x:c>
      <x:c r="D929" s="34" t="str">
        <x:v>P2</x:v>
      </x:c>
      <x:c r="E929" s="34" t="n">
        <x:v>2038</x:v>
      </x:c>
      <x:c r="F929" s="34" t="n">
        <x:v>5</x:v>
      </x:c>
      <x:c r="G929" s="34" t="n">
        <x:v>22.020001</x:v>
      </x:c>
      <x:c r="H929" s="34" t="n">
        <x:v>27.2</x:v>
      </x:c>
      <x:c r="I929" s="34" t="n">
        <x:v>5.179999</x:v>
      </x:c>
      <x:c r="J929" s="34" t="n">
        <x:v>80.956</x:v>
      </x:c>
      <x:c r="K929" s="34" t="n">
        <x:v>0.649</x:v>
      </x:c>
      <x:c r="L929" s="34" t="n">
        <x:v>3.7</x:v>
      </x:c>
      <x:c r="M929" s="34" t="n">
        <x:v>3.051</x:v>
      </x:c>
      <x:c r="N929" s="34" t="n">
        <x:v>17.541</x:v>
      </x:c>
      <x:c r="O929" s="34" t="n">
        <x:v>18.028</x:v>
      </x:c>
      <x:c r="P929" s="34" t="n">
        <x:v>27.2</x:v>
      </x:c>
      <x:c r="Q929" s="34" t="n">
        <x:v>9.172</x:v>
      </x:c>
      <x:c r="R929" s="34" t="n">
        <x:v>66.279</x:v>
      </x:c>
      <x:c r="S929" s="40" t="b">
        <x:v>1</x:v>
      </x:c>
      <x:c r="T929" s="34" t="str">
        <x:v>model_interpolation</x:v>
      </x:c>
      <x:c r="U929" s="34" t="str">
        <x:v>Linear interpolation from 2035 to 2040</x:v>
      </x:c>
      <x:c r="V929" s="34" t="str">
        <x:v>CAND-EBD30C485CEFDA</x:v>
      </x:c>
      <x:c r="W929" s="34" t="str">
        <x:v>P2</x:v>
      </x:c>
      <x:c r="X929" s="34" t="str">
        <x:v>PORT-9E76B3BFF9FF</x:v>
      </x:c>
      <x:c r="Y929" s="34" t="n">
        <x:v>1000</x:v>
      </x:c>
      <x:c r="Z929" s="34" t="n">
        <x:v>80.124994</x:v>
      </x:c>
      <x:c r="AA929" s="34" t="n">
        <x:v>24.920518</x:v>
      </x:c>
      <x:c r="AB929" s="34" t="n">
        <x:v>456.103943</x:v>
      </x:c>
      <x:c r="AC929" s="34" t="n">
        <x:v>35619.4</x:v>
      </x:c>
      <x:c r="AD929" s="34" t="n">
        <x:v>78.094918</x:v>
      </x:c>
      <x:c r="AE929" s="40" t="b">
        <x:v>1</x:v>
      </x:c>
      <x:c r="AF929" s="40" t="b">
        <x:v>1</x:v>
      </x:c>
      <x:c r="AG929" s="34" t="str"/>
      <x:c r="AH929" s="34" t="n">
        <x:v>0</x:v>
      </x:c>
      <x:c r="AI929" s="34" t="str">
        <x:v>3.446647212967946e-06</x:v>
      </x:c>
      <x:c r="AJ929" s="40" t="b">
        <x:v>1</x:v>
      </x:c>
      <x:c r="AK929" s="40" t="b">
        <x:v>1</x:v>
      </x:c>
      <x:c r="AL929" s="40" t="b">
        <x:v>1</x:v>
      </x:c>
      <x:c r="AM929" s="40" t="b">
        <x:v>1</x:v>
      </x:c>
      <x:c r="AN929" s="34" t="str"/>
      <x:c r="AO929" s="34" t="n">
        <x:v>0</x:v>
      </x:c>
      <x:c r="AP929" s="34" t="n">
        <x:v>0</x:v>
      </x:c>
      <x:c r="AQ929" s="34" t="n">
        <x:v>0</x:v>
      </x:c>
      <x:c r="AR929" s="34" t="n">
        <x:v>2</x:v>
      </x:c>
      <x:c r="AS929" s="34" t="n">
        <x:v>2</x:v>
      </x:c>
      <x:c r="AT929" s="34" t="n">
        <x:v>0.47641018879999986</x:v>
      </x:c>
      <x:c r="AU929" s="34" t="n">
        <x:v>0.65</x:v>
      </x:c>
      <x:c r="AV929" s="34" t="n">
        <x:v>2.16</x:v>
      </x:c>
    </x:row>
    <x:row r="930">
      <x:c r="A930" s="34" t="str">
        <x:v>NIPPON_STEEL_JP</x:v>
      </x:c>
      <x:c r="B930" s="34" t="str">
        <x:v>Nippon Steel</x:v>
      </x:c>
      <x:c r="C930" s="34" t="str">
        <x:v>ACCELERATED_15C</x:v>
      </x:c>
      <x:c r="D930" s="34" t="str">
        <x:v>P2</x:v>
      </x:c>
      <x:c r="E930" s="34" t="n">
        <x:v>2039</x:v>
      </x:c>
      <x:c r="F930" s="34" t="n">
        <x:v>5</x:v>
      </x:c>
      <x:c r="G930" s="34" t="n">
        <x:v>22.020001</x:v>
      </x:c>
      <x:c r="H930" s="34" t="n">
        <x:v>28.6</x:v>
      </x:c>
      <x:c r="I930" s="34" t="n">
        <x:v>6.579999</x:v>
      </x:c>
      <x:c r="J930" s="34" t="n">
        <x:v>76.993</x:v>
      </x:c>
      <x:c r="K930" s="34" t="n">
        <x:v>0.649</x:v>
      </x:c>
      <x:c r="L930" s="34" t="n">
        <x:v>4.1</x:v>
      </x:c>
      <x:c r="M930" s="34" t="n">
        <x:v>3.451</x:v>
      </x:c>
      <x:c r="N930" s="34" t="n">
        <x:v>15.829</x:v>
      </x:c>
      <x:c r="O930" s="34" t="n">
        <x:v>18.028</x:v>
      </x:c>
      <x:c r="P930" s="34" t="n">
        <x:v>29.6</x:v>
      </x:c>
      <x:c r="Q930" s="34" t="n">
        <x:v>11.572</x:v>
      </x:c>
      <x:c r="R930" s="34" t="n">
        <x:v>60.905</x:v>
      </x:c>
      <x:c r="S930" s="40" t="b">
        <x:v>1</x:v>
      </x:c>
      <x:c r="T930" s="34" t="str">
        <x:v>model_interpolation</x:v>
      </x:c>
      <x:c r="U930" s="34" t="str">
        <x:v>Linear interpolation from 2035 to 2040</x:v>
      </x:c>
      <x:c r="V930" s="34" t="str">
        <x:v>CAND-EBD30C485CEFDA</x:v>
      </x:c>
      <x:c r="W930" s="34" t="str">
        <x:v>P2</x:v>
      </x:c>
      <x:c r="X930" s="34" t="str">
        <x:v>PORT-9E76B3BFF9FF</x:v>
      </x:c>
      <x:c r="Y930" s="34" t="n">
        <x:v>1000</x:v>
      </x:c>
      <x:c r="Z930" s="34" t="n">
        <x:v>80.124994</x:v>
      </x:c>
      <x:c r="AA930" s="34" t="n">
        <x:v>24.920518</x:v>
      </x:c>
      <x:c r="AB930" s="34" t="n">
        <x:v>456.103943</x:v>
      </x:c>
      <x:c r="AC930" s="34" t="n">
        <x:v>35619.4</x:v>
      </x:c>
      <x:c r="AD930" s="34" t="n">
        <x:v>78.094918</x:v>
      </x:c>
      <x:c r="AE930" s="40" t="b">
        <x:v>1</x:v>
      </x:c>
      <x:c r="AF930" s="40" t="b">
        <x:v>1</x:v>
      </x:c>
      <x:c r="AG930" s="34" t="str"/>
      <x:c r="AH930" s="34" t="n">
        <x:v>0</x:v>
      </x:c>
      <x:c r="AI930" s="34" t="str">
        <x:v>3.446647212967946e-06</x:v>
      </x:c>
      <x:c r="AJ930" s="40" t="b">
        <x:v>1</x:v>
      </x:c>
      <x:c r="AK930" s="40" t="b">
        <x:v>1</x:v>
      </x:c>
      <x:c r="AL930" s="40" t="b">
        <x:v>1</x:v>
      </x:c>
      <x:c r="AM930" s="40" t="b">
        <x:v>1</x:v>
      </x:c>
      <x:c r="AN930" s="34" t="str"/>
      <x:c r="AO930" s="34" t="n">
        <x:v>0</x:v>
      </x:c>
      <x:c r="AP930" s="34" t="n">
        <x:v>0</x:v>
      </x:c>
      <x:c r="AQ930" s="34" t="n">
        <x:v>0</x:v>
      </x:c>
      <x:c r="AR930" s="34" t="n">
        <x:v>2</x:v>
      </x:c>
      <x:c r="AS930" s="34" t="n">
        <x:v>2</x:v>
      </x:c>
      <x:c r="AT930" s="34" t="n">
        <x:v>0.47641018879999986</x:v>
      </x:c>
      <x:c r="AU930" s="34" t="n">
        <x:v>0.65</x:v>
      </x:c>
      <x:c r="AV930" s="34" t="n">
        <x:v>2.16</x:v>
      </x:c>
    </x:row>
    <x:row r="931">
      <x:c r="A931" s="34" t="str">
        <x:v>NIPPON_STEEL_JP</x:v>
      </x:c>
      <x:c r="B931" s="34" t="str">
        <x:v>Nippon Steel</x:v>
      </x:c>
      <x:c r="C931" s="34" t="str">
        <x:v>ACCELERATED_15C</x:v>
      </x:c>
      <x:c r="D931" s="34" t="str">
        <x:v>P2</x:v>
      </x:c>
      <x:c r="E931" s="34" t="n">
        <x:v>2040</x:v>
      </x:c>
      <x:c r="F931" s="34" t="n">
        <x:v>5</x:v>
      </x:c>
      <x:c r="G931" s="34" t="n">
        <x:v>22.020001</x:v>
      </x:c>
      <x:c r="H931" s="34" t="n">
        <x:v>30</x:v>
      </x:c>
      <x:c r="I931" s="34" t="n">
        <x:v>7.979999</x:v>
      </x:c>
      <x:c r="J931" s="34" t="n">
        <x:v>73.4</x:v>
      </x:c>
      <x:c r="K931" s="34" t="n">
        <x:v>0.649</x:v>
      </x:c>
      <x:c r="L931" s="34" t="n">
        <x:v>4.5</x:v>
      </x:c>
      <x:c r="M931" s="34" t="n">
        <x:v>3.851</x:v>
      </x:c>
      <x:c r="N931" s="34" t="n">
        <x:v>14.422</x:v>
      </x:c>
      <x:c r="O931" s="34" t="n">
        <x:v>18.028</x:v>
      </x:c>
      <x:c r="P931" s="34" t="n">
        <x:v>32</x:v>
      </x:c>
      <x:c r="Q931" s="34" t="n">
        <x:v>13.972</x:v>
      </x:c>
      <x:c r="R931" s="34" t="n">
        <x:v>56.337</x:v>
      </x:c>
      <x:c r="S931" s="40" t="b">
        <x:v>1</x:v>
      </x:c>
      <x:c r="T931" s="34" t="str">
        <x:v>model_estimate</x:v>
      </x:c>
      <x:c r="U931" s="34" t="str">
        <x:v>Illustrative accelerated envelope; not GCAM or an official supply forecast</x:v>
      </x:c>
      <x:c r="V931" s="34" t="str">
        <x:v>CAND-EBD30C485CEFDA</x:v>
      </x:c>
      <x:c r="W931" s="34" t="str">
        <x:v>P2</x:v>
      </x:c>
      <x:c r="X931" s="34" t="str">
        <x:v>PORT-9E76B3BFF9FF</x:v>
      </x:c>
      <x:c r="Y931" s="34" t="n">
        <x:v>1000</x:v>
      </x:c>
      <x:c r="Z931" s="34" t="n">
        <x:v>80.124994</x:v>
      </x:c>
      <x:c r="AA931" s="34" t="n">
        <x:v>24.920518</x:v>
      </x:c>
      <x:c r="AB931" s="34" t="n">
        <x:v>456.103943</x:v>
      </x:c>
      <x:c r="AC931" s="34" t="n">
        <x:v>35619.4</x:v>
      </x:c>
      <x:c r="AD931" s="34" t="n">
        <x:v>78.094918</x:v>
      </x:c>
      <x:c r="AE931" s="40" t="b">
        <x:v>1</x:v>
      </x:c>
      <x:c r="AF931" s="40" t="b">
        <x:v>1</x:v>
      </x:c>
      <x:c r="AG931" s="34" t="str"/>
      <x:c r="AH931" s="34" t="n">
        <x:v>0</x:v>
      </x:c>
      <x:c r="AI931" s="34" t="str">
        <x:v>3.446647212967946e-06</x:v>
      </x:c>
      <x:c r="AJ931" s="40" t="b">
        <x:v>1</x:v>
      </x:c>
      <x:c r="AK931" s="40" t="b">
        <x:v>1</x:v>
      </x:c>
      <x:c r="AL931" s="40" t="b">
        <x:v>1</x:v>
      </x:c>
      <x:c r="AM931" s="40" t="b">
        <x:v>1</x:v>
      </x:c>
      <x:c r="AN931" s="34" t="str"/>
      <x:c r="AO931" s="34" t="n">
        <x:v>0</x:v>
      </x:c>
      <x:c r="AP931" s="34" t="n">
        <x:v>0</x:v>
      </x:c>
      <x:c r="AQ931" s="34" t="n">
        <x:v>0</x:v>
      </x:c>
      <x:c r="AR931" s="34" t="n">
        <x:v>2</x:v>
      </x:c>
      <x:c r="AS931" s="34" t="n">
        <x:v>2</x:v>
      </x:c>
      <x:c r="AT931" s="34" t="n">
        <x:v>0.47641018879999986</x:v>
      </x:c>
      <x:c r="AU931" s="34" t="n">
        <x:v>0.65</x:v>
      </x:c>
      <x:c r="AV931" s="34" t="n">
        <x:v>2.16</x:v>
      </x:c>
    </x:row>
    <x:row r="932">
      <x:c r="A932" s="34" t="str">
        <x:v>NIPPON_STEEL_JP</x:v>
      </x:c>
      <x:c r="B932" s="34" t="str">
        <x:v>Nippon Steel</x:v>
      </x:c>
      <x:c r="C932" s="34" t="str">
        <x:v>DISCLOSED_PATH</x:v>
      </x:c>
      <x:c r="D932" s="34" t="str">
        <x:v>P3</x:v>
      </x:c>
      <x:c r="E932" s="34" t="n">
        <x:v>2026</x:v>
      </x:c>
      <x:c r="F932" s="34" t="n">
        <x:v>0</x:v>
      </x:c>
      <x:c r="G932" s="34" t="n">
        <x:v>0</x:v>
      </x:c>
      <x:c r="H932" s="34" t="n">
        <x:v>8</x:v>
      </x:c>
      <x:c r="I932" s="34" t="n">
        <x:v>8</x:v>
      </x:c>
      <x:c r="J932" s="34" t="n">
        <x:v>0</x:v>
      </x:c>
      <x:c r="K932" s="34" t="n">
        <x:v>0</x:v>
      </x:c>
      <x:c r="L932" s="34" t="n">
        <x:v>0</x:v>
      </x:c>
      <x:c r="M932" s="34" t="n">
        <x:v>0</x:v>
      </x:c>
      <x:c r="N932" s="34" t="n">
        <x:v>0</x:v>
      </x:c>
      <x:c r="O932" s="34" t="n">
        <x:v>0</x:v>
      </x:c>
      <x:c r="P932" s="34" t="n">
        <x:v>2</x:v>
      </x:c>
      <x:c r="Q932" s="34" t="n">
        <x:v>2</x:v>
      </x:c>
      <x:c r="R932" s="34" t="n">
        <x:v>0</x:v>
      </x:c>
      <x:c r="S932" s="40" t="b">
        <x:v>1</x:v>
      </x:c>
      <x:c r="T932" s="34" t="str">
        <x:v>model_interpolation</x:v>
      </x:c>
      <x:c r="U932" s="34" t="str">
        <x:v>Linear interpolation from 2026 to 2030</x:v>
      </x:c>
      <x:c r="V932" s="34" t="str">
        <x:v>CAND-EF9F86F64A1C2A</x:v>
      </x:c>
      <x:c r="W932" s="34" t="str">
        <x:v>P3</x:v>
      </x:c>
      <x:c r="X932" s="34" t="str">
        <x:v>PORT-00B029BF7478</x:v>
      </x:c>
      <x:c r="Y932" s="34" t="n">
        <x:v>1000</x:v>
      </x:c>
      <x:c r="Z932" s="34" t="n">
        <x:v>94.32035</x:v>
      </x:c>
      <x:c r="AA932" s="34" t="n">
        <x:v>19.402731</x:v>
      </x:c>
      <x:c r="AB932" s="34" t="n">
        <x:v>459.478949</x:v>
      </x:c>
      <x:c r="AC932" s="34" t="n">
        <x:v>42624.951</x:v>
      </x:c>
      <x:c r="AD932" s="34" t="n">
        <x:v>92.768018</x:v>
      </x:c>
      <x:c r="AE932" s="40" t="b">
        <x:v>1</x:v>
      </x:c>
      <x:c r="AF932" s="40" t="b">
        <x:v>1</x:v>
      </x:c>
      <x:c r="AG932" s="34" t="str"/>
      <x:c r="AH932" s="34" t="n">
        <x:v>0</x:v>
      </x:c>
      <x:c r="AI932" s="34" t="str">
        <x:v>3.446647212967946e-06</x:v>
      </x:c>
      <x:c r="AJ932" s="40" t="b">
        <x:v>1</x:v>
      </x:c>
      <x:c r="AK932" s="40" t="b">
        <x:v>1</x:v>
      </x:c>
      <x:c r="AL932" s="40" t="b">
        <x:v>1</x:v>
      </x:c>
      <x:c r="AM932" s="40" t="b">
        <x:v>1</x:v>
      </x:c>
      <x:c r="AN932" s="34" t="str"/>
      <x:c r="AO932" s="34" t="n">
        <x:v>0</x:v>
      </x:c>
      <x:c r="AP932" s="34" t="n">
        <x:v>0</x:v>
      </x:c>
      <x:c r="AQ932" s="34" t="n">
        <x:v>0</x:v>
      </x:c>
      <x:c r="AR932" s="34" t="n">
        <x:v>2</x:v>
      </x:c>
      <x:c r="AS932" s="34" t="n">
        <x:v>2</x:v>
      </x:c>
      <x:c r="AT932" s="34" t="n">
        <x:v>0.5333221247999997</x:v>
      </x:c>
      <x:c r="AU932" s="34" t="n">
        <x:v>0.65</x:v>
      </x:c>
      <x:c r="AV932" s="34" t="n">
        <x:v>2.6399999999999997</x:v>
      </x:c>
    </x:row>
    <x:row r="933">
      <x:c r="A933" s="34" t="str">
        <x:v>NIPPON_STEEL_JP</x:v>
      </x:c>
      <x:c r="B933" s="34" t="str">
        <x:v>Nippon Steel</x:v>
      </x:c>
      <x:c r="C933" s="34" t="str">
        <x:v>DISCLOSED_PATH</x:v>
      </x:c>
      <x:c r="D933" s="34" t="str">
        <x:v>P3</x:v>
      </x:c>
      <x:c r="E933" s="34" t="n">
        <x:v>2027</x:v>
      </x:c>
      <x:c r="F933" s="34" t="n">
        <x:v>0</x:v>
      </x:c>
      <x:c r="G933" s="34" t="n">
        <x:v>0</x:v>
      </x:c>
      <x:c r="H933" s="34" t="n">
        <x:v>9</x:v>
      </x:c>
      <x:c r="I933" s="34" t="n">
        <x:v>9</x:v>
      </x:c>
      <x:c r="J933" s="34" t="n">
        <x:v>0</x:v>
      </x:c>
      <x:c r="K933" s="34" t="n">
        <x:v>0</x:v>
      </x:c>
      <x:c r="L933" s="34" t="n">
        <x:v>0.15</x:v>
      </x:c>
      <x:c r="M933" s="34" t="n">
        <x:v>0.15</x:v>
      </x:c>
      <x:c r="N933" s="34" t="n">
        <x:v>0</x:v>
      </x:c>
      <x:c r="O933" s="34" t="n">
        <x:v>0</x:v>
      </x:c>
      <x:c r="P933" s="34" t="n">
        <x:v>3.25</x:v>
      </x:c>
      <x:c r="Q933" s="34" t="n">
        <x:v>3.25</x:v>
      </x:c>
      <x:c r="R933" s="34" t="n">
        <x:v>0</x:v>
      </x:c>
      <x:c r="S933" s="40" t="b">
        <x:v>1</x:v>
      </x:c>
      <x:c r="T933" s="34" t="str">
        <x:v>model_interpolation</x:v>
      </x:c>
      <x:c r="U933" s="34" t="str">
        <x:v>Linear interpolation from 2026 to 2030</x:v>
      </x:c>
      <x:c r="V933" s="34" t="str">
        <x:v>CAND-EF9F86F64A1C2A</x:v>
      </x:c>
      <x:c r="W933" s="34" t="str">
        <x:v>P3</x:v>
      </x:c>
      <x:c r="X933" s="34" t="str">
        <x:v>PORT-00B029BF7478</x:v>
      </x:c>
      <x:c r="Y933" s="34" t="n">
        <x:v>1000</x:v>
      </x:c>
      <x:c r="Z933" s="34" t="n">
        <x:v>94.32035</x:v>
      </x:c>
      <x:c r="AA933" s="34" t="n">
        <x:v>19.402731</x:v>
      </x:c>
      <x:c r="AB933" s="34" t="n">
        <x:v>459.478949</x:v>
      </x:c>
      <x:c r="AC933" s="34" t="n">
        <x:v>42624.951</x:v>
      </x:c>
      <x:c r="AD933" s="34" t="n">
        <x:v>92.768018</x:v>
      </x:c>
      <x:c r="AE933" s="40" t="b">
        <x:v>1</x:v>
      </x:c>
      <x:c r="AF933" s="40" t="b">
        <x:v>1</x:v>
      </x:c>
      <x:c r="AG933" s="34" t="str"/>
      <x:c r="AH933" s="34" t="n">
        <x:v>0</x:v>
      </x:c>
      <x:c r="AI933" s="34" t="str">
        <x:v>3.446647212967946e-06</x:v>
      </x:c>
      <x:c r="AJ933" s="40" t="b">
        <x:v>1</x:v>
      </x:c>
      <x:c r="AK933" s="40" t="b">
        <x:v>1</x:v>
      </x:c>
      <x:c r="AL933" s="40" t="b">
        <x:v>1</x:v>
      </x:c>
      <x:c r="AM933" s="40" t="b">
        <x:v>1</x:v>
      </x:c>
      <x:c r="AN933" s="34" t="str"/>
      <x:c r="AO933" s="34" t="n">
        <x:v>0</x:v>
      </x:c>
      <x:c r="AP933" s="34" t="n">
        <x:v>0</x:v>
      </x:c>
      <x:c r="AQ933" s="34" t="n">
        <x:v>0</x:v>
      </x:c>
      <x:c r="AR933" s="34" t="n">
        <x:v>2</x:v>
      </x:c>
      <x:c r="AS933" s="34" t="n">
        <x:v>2</x:v>
      </x:c>
      <x:c r="AT933" s="34" t="n">
        <x:v>0.5333221247999997</x:v>
      </x:c>
      <x:c r="AU933" s="34" t="n">
        <x:v>0.65</x:v>
      </x:c>
      <x:c r="AV933" s="34" t="n">
        <x:v>2.6399999999999997</x:v>
      </x:c>
    </x:row>
    <x:row r="934">
      <x:c r="A934" s="34" t="str">
        <x:v>NIPPON_STEEL_JP</x:v>
      </x:c>
      <x:c r="B934" s="34" t="str">
        <x:v>Nippon Steel</x:v>
      </x:c>
      <x:c r="C934" s="34" t="str">
        <x:v>DISCLOSED_PATH</x:v>
      </x:c>
      <x:c r="D934" s="34" t="str">
        <x:v>P3</x:v>
      </x:c>
      <x:c r="E934" s="34" t="n">
        <x:v>2028</x:v>
      </x:c>
      <x:c r="F934" s="34" t="n">
        <x:v>0</x:v>
      </x:c>
      <x:c r="G934" s="34" t="n">
        <x:v>0</x:v>
      </x:c>
      <x:c r="H934" s="34" t="n">
        <x:v>10</x:v>
      </x:c>
      <x:c r="I934" s="34" t="n">
        <x:v>10</x:v>
      </x:c>
      <x:c r="J934" s="34" t="n">
        <x:v>0</x:v>
      </x:c>
      <x:c r="K934" s="34" t="n">
        <x:v>0</x:v>
      </x:c>
      <x:c r="L934" s="34" t="n">
        <x:v>0.3</x:v>
      </x:c>
      <x:c r="M934" s="34" t="n">
        <x:v>0.3</x:v>
      </x:c>
      <x:c r="N934" s="34" t="n">
        <x:v>0</x:v>
      </x:c>
      <x:c r="O934" s="34" t="n">
        <x:v>0</x:v>
      </x:c>
      <x:c r="P934" s="34" t="n">
        <x:v>4.5</x:v>
      </x:c>
      <x:c r="Q934" s="34" t="n">
        <x:v>4.5</x:v>
      </x:c>
      <x:c r="R934" s="34" t="n">
        <x:v>0</x:v>
      </x:c>
      <x:c r="S934" s="40" t="b">
        <x:v>1</x:v>
      </x:c>
      <x:c r="T934" s="34" t="str">
        <x:v>model_interpolation</x:v>
      </x:c>
      <x:c r="U934" s="34" t="str">
        <x:v>Linear interpolation from 2026 to 2030</x:v>
      </x:c>
      <x:c r="V934" s="34" t="str">
        <x:v>CAND-EF9F86F64A1C2A</x:v>
      </x:c>
      <x:c r="W934" s="34" t="str">
        <x:v>P3</x:v>
      </x:c>
      <x:c r="X934" s="34" t="str">
        <x:v>PORT-00B029BF7478</x:v>
      </x:c>
      <x:c r="Y934" s="34" t="n">
        <x:v>1000</x:v>
      </x:c>
      <x:c r="Z934" s="34" t="n">
        <x:v>94.32035</x:v>
      </x:c>
      <x:c r="AA934" s="34" t="n">
        <x:v>19.402731</x:v>
      </x:c>
      <x:c r="AB934" s="34" t="n">
        <x:v>459.478949</x:v>
      </x:c>
      <x:c r="AC934" s="34" t="n">
        <x:v>42624.951</x:v>
      </x:c>
      <x:c r="AD934" s="34" t="n">
        <x:v>92.768018</x:v>
      </x:c>
      <x:c r="AE934" s="40" t="b">
        <x:v>1</x:v>
      </x:c>
      <x:c r="AF934" s="40" t="b">
        <x:v>1</x:v>
      </x:c>
      <x:c r="AG934" s="34" t="str"/>
      <x:c r="AH934" s="34" t="n">
        <x:v>0</x:v>
      </x:c>
      <x:c r="AI934" s="34" t="str">
        <x:v>3.446647212967946e-06</x:v>
      </x:c>
      <x:c r="AJ934" s="40" t="b">
        <x:v>1</x:v>
      </x:c>
      <x:c r="AK934" s="40" t="b">
        <x:v>1</x:v>
      </x:c>
      <x:c r="AL934" s="40" t="b">
        <x:v>1</x:v>
      </x:c>
      <x:c r="AM934" s="40" t="b">
        <x:v>1</x:v>
      </x:c>
      <x:c r="AN934" s="34" t="str"/>
      <x:c r="AO934" s="34" t="n">
        <x:v>0</x:v>
      </x:c>
      <x:c r="AP934" s="34" t="n">
        <x:v>0</x:v>
      </x:c>
      <x:c r="AQ934" s="34" t="n">
        <x:v>0</x:v>
      </x:c>
      <x:c r="AR934" s="34" t="n">
        <x:v>2</x:v>
      </x:c>
      <x:c r="AS934" s="34" t="n">
        <x:v>2</x:v>
      </x:c>
      <x:c r="AT934" s="34" t="n">
        <x:v>0.5333221247999997</x:v>
      </x:c>
      <x:c r="AU934" s="34" t="n">
        <x:v>0.65</x:v>
      </x:c>
      <x:c r="AV934" s="34" t="n">
        <x:v>2.6399999999999997</x:v>
      </x:c>
    </x:row>
    <x:row r="935">
      <x:c r="A935" s="34" t="str">
        <x:v>NIPPON_STEEL_JP</x:v>
      </x:c>
      <x:c r="B935" s="34" t="str">
        <x:v>Nippon Steel</x:v>
      </x:c>
      <x:c r="C935" s="34" t="str">
        <x:v>DISCLOSED_PATH</x:v>
      </x:c>
      <x:c r="D935" s="34" t="str">
        <x:v>P3</x:v>
      </x:c>
      <x:c r="E935" s="34" t="n">
        <x:v>2029</x:v>
      </x:c>
      <x:c r="F935" s="34" t="n">
        <x:v>1</x:v>
      </x:c>
      <x:c r="G935" s="34" t="n">
        <x:v>8.1</x:v>
      </x:c>
      <x:c r="H935" s="34" t="n">
        <x:v>11</x:v>
      </x:c>
      <x:c r="I935" s="34" t="n">
        <x:v>2.9</x:v>
      </x:c>
      <x:c r="J935" s="34" t="n">
        <x:v>73.636</x:v>
      </x:c>
      <x:c r="K935" s="34" t="n">
        <x:v>0</x:v>
      </x:c>
      <x:c r="L935" s="34" t="n">
        <x:v>0.44999999999999996</x:v>
      </x:c>
      <x:c r="M935" s="34" t="n">
        <x:v>0.45</x:v>
      </x:c>
      <x:c r="N935" s="34" t="n">
        <x:v>0</x:v>
      </x:c>
      <x:c r="O935" s="34" t="n">
        <x:v>5.04</x:v>
      </x:c>
      <x:c r="P935" s="34" t="n">
        <x:v>5.75</x:v>
      </x:c>
      <x:c r="Q935" s="34" t="n">
        <x:v>0.71</x:v>
      </x:c>
      <x:c r="R935" s="34" t="n">
        <x:v>87.652</x:v>
      </x:c>
      <x:c r="S935" s="40" t="b">
        <x:v>1</x:v>
      </x:c>
      <x:c r="T935" s="34" t="str">
        <x:v>model_interpolation</x:v>
      </x:c>
      <x:c r="U935" s="34" t="str">
        <x:v>Linear interpolation from 2026 to 2030</x:v>
      </x:c>
      <x:c r="V935" s="34" t="str">
        <x:v>CAND-EF9F86F64A1C2A</x:v>
      </x:c>
      <x:c r="W935" s="34" t="str">
        <x:v>P3</x:v>
      </x:c>
      <x:c r="X935" s="34" t="str">
        <x:v>PORT-00B029BF7478</x:v>
      </x:c>
      <x:c r="Y935" s="34" t="n">
        <x:v>1000</x:v>
      </x:c>
      <x:c r="Z935" s="34" t="n">
        <x:v>94.32035</x:v>
      </x:c>
      <x:c r="AA935" s="34" t="n">
        <x:v>19.402731</x:v>
      </x:c>
      <x:c r="AB935" s="34" t="n">
        <x:v>459.478949</x:v>
      </x:c>
      <x:c r="AC935" s="34" t="n">
        <x:v>42624.951</x:v>
      </x:c>
      <x:c r="AD935" s="34" t="n">
        <x:v>92.768018</x:v>
      </x:c>
      <x:c r="AE935" s="40" t="b">
        <x:v>1</x:v>
      </x:c>
      <x:c r="AF935" s="40" t="b">
        <x:v>1</x:v>
      </x:c>
      <x:c r="AG935" s="34" t="str"/>
      <x:c r="AH935" s="34" t="n">
        <x:v>0</x:v>
      </x:c>
      <x:c r="AI935" s="34" t="str">
        <x:v>3.446647212967946e-06</x:v>
      </x:c>
      <x:c r="AJ935" s="40" t="b">
        <x:v>1</x:v>
      </x:c>
      <x:c r="AK935" s="40" t="b">
        <x:v>1</x:v>
      </x:c>
      <x:c r="AL935" s="40" t="b">
        <x:v>1</x:v>
      </x:c>
      <x:c r="AM935" s="40" t="b">
        <x:v>1</x:v>
      </x:c>
      <x:c r="AN935" s="34" t="str"/>
      <x:c r="AO935" s="34" t="n">
        <x:v>0</x:v>
      </x:c>
      <x:c r="AP935" s="34" t="n">
        <x:v>0</x:v>
      </x:c>
      <x:c r="AQ935" s="34" t="n">
        <x:v>0</x:v>
      </x:c>
      <x:c r="AR935" s="34" t="n">
        <x:v>2</x:v>
      </x:c>
      <x:c r="AS935" s="34" t="n">
        <x:v>2</x:v>
      </x:c>
      <x:c r="AT935" s="34" t="n">
        <x:v>0.5333221247999997</x:v>
      </x:c>
      <x:c r="AU935" s="34" t="n">
        <x:v>0.65</x:v>
      </x:c>
      <x:c r="AV935" s="34" t="n">
        <x:v>2.6399999999999997</x:v>
      </x:c>
    </x:row>
    <x:row r="936">
      <x:c r="A936" s="34" t="str">
        <x:v>NIPPON_STEEL_JP</x:v>
      </x:c>
      <x:c r="B936" s="34" t="str">
        <x:v>Nippon Steel</x:v>
      </x:c>
      <x:c r="C936" s="34" t="str">
        <x:v>DISCLOSED_PATH</x:v>
      </x:c>
      <x:c r="D936" s="34" t="str">
        <x:v>P3</x:v>
      </x:c>
      <x:c r="E936" s="34" t="n">
        <x:v>2030</x:v>
      </x:c>
      <x:c r="F936" s="34" t="n">
        <x:v>1</x:v>
      </x:c>
      <x:c r="G936" s="34" t="n">
        <x:v>8.1</x:v>
      </x:c>
      <x:c r="H936" s="34" t="n">
        <x:v>12</x:v>
      </x:c>
      <x:c r="I936" s="34" t="n">
        <x:v>3.9</x:v>
      </x:c>
      <x:c r="J936" s="34" t="n">
        <x:v>67.5</x:v>
      </x:c>
      <x:c r="K936" s="34" t="n">
        <x:v>0</x:v>
      </x:c>
      <x:c r="L936" s="34" t="n">
        <x:v>0.6</x:v>
      </x:c>
      <x:c r="M936" s="34" t="n">
        <x:v>0.6</x:v>
      </x:c>
      <x:c r="N936" s="34" t="n">
        <x:v>0</x:v>
      </x:c>
      <x:c r="O936" s="34" t="n">
        <x:v>5.04</x:v>
      </x:c>
      <x:c r="P936" s="34" t="n">
        <x:v>7</x:v>
      </x:c>
      <x:c r="Q936" s="34" t="n">
        <x:v>1.96</x:v>
      </x:c>
      <x:c r="R936" s="34" t="n">
        <x:v>72</x:v>
      </x:c>
      <x:c r="S936" s="40" t="b">
        <x:v>1</x:v>
      </x:c>
      <x:c r="T936" s="34" t="str">
        <x:v>model_interpolation</x:v>
      </x:c>
      <x:c r="U936" s="34" t="str">
        <x:v>Linear interpolation from 2030 to 2035</x:v>
      </x:c>
      <x:c r="V936" s="34" t="str">
        <x:v>CAND-EF9F86F64A1C2A</x:v>
      </x:c>
      <x:c r="W936" s="34" t="str">
        <x:v>P3</x:v>
      </x:c>
      <x:c r="X936" s="34" t="str">
        <x:v>PORT-00B029BF7478</x:v>
      </x:c>
      <x:c r="Y936" s="34" t="n">
        <x:v>1000</x:v>
      </x:c>
      <x:c r="Z936" s="34" t="n">
        <x:v>94.32035</x:v>
      </x:c>
      <x:c r="AA936" s="34" t="n">
        <x:v>19.402731</x:v>
      </x:c>
      <x:c r="AB936" s="34" t="n">
        <x:v>459.478949</x:v>
      </x:c>
      <x:c r="AC936" s="34" t="n">
        <x:v>42624.951</x:v>
      </x:c>
      <x:c r="AD936" s="34" t="n">
        <x:v>92.768018</x:v>
      </x:c>
      <x:c r="AE936" s="40" t="b">
        <x:v>1</x:v>
      </x:c>
      <x:c r="AF936" s="40" t="b">
        <x:v>1</x:v>
      </x:c>
      <x:c r="AG936" s="34" t="str"/>
      <x:c r="AH936" s="34" t="n">
        <x:v>0</x:v>
      </x:c>
      <x:c r="AI936" s="34" t="str">
        <x:v>3.446647212967946e-06</x:v>
      </x:c>
      <x:c r="AJ936" s="40" t="b">
        <x:v>1</x:v>
      </x:c>
      <x:c r="AK936" s="40" t="b">
        <x:v>1</x:v>
      </x:c>
      <x:c r="AL936" s="40" t="b">
        <x:v>1</x:v>
      </x:c>
      <x:c r="AM936" s="40" t="b">
        <x:v>1</x:v>
      </x:c>
      <x:c r="AN936" s="34" t="str"/>
      <x:c r="AO936" s="34" t="n">
        <x:v>0</x:v>
      </x:c>
      <x:c r="AP936" s="34" t="n">
        <x:v>0</x:v>
      </x:c>
      <x:c r="AQ936" s="34" t="n">
        <x:v>0</x:v>
      </x:c>
      <x:c r="AR936" s="34" t="n">
        <x:v>2</x:v>
      </x:c>
      <x:c r="AS936" s="34" t="n">
        <x:v>2</x:v>
      </x:c>
      <x:c r="AT936" s="34" t="n">
        <x:v>0.5333221247999997</x:v>
      </x:c>
      <x:c r="AU936" s="34" t="n">
        <x:v>0.65</x:v>
      </x:c>
      <x:c r="AV936" s="34" t="n">
        <x:v>2.6399999999999997</x:v>
      </x:c>
    </x:row>
    <x:row r="937">
      <x:c r="A937" s="34" t="str">
        <x:v>NIPPON_STEEL_JP</x:v>
      </x:c>
      <x:c r="B937" s="34" t="str">
        <x:v>Nippon Steel</x:v>
      </x:c>
      <x:c r="C937" s="34" t="str">
        <x:v>DISCLOSED_PATH</x:v>
      </x:c>
      <x:c r="D937" s="34" t="str">
        <x:v>P3</x:v>
      </x:c>
      <x:c r="E937" s="34" t="n">
        <x:v>2031</x:v>
      </x:c>
      <x:c r="F937" s="34" t="n">
        <x:v>1</x:v>
      </x:c>
      <x:c r="G937" s="34" t="n">
        <x:v>8.1</x:v>
      </x:c>
      <x:c r="H937" s="34" t="n">
        <x:v>13.2</x:v>
      </x:c>
      <x:c r="I937" s="34" t="n">
        <x:v>5.1</x:v>
      </x:c>
      <x:c r="J937" s="34" t="n">
        <x:v>61.364</x:v>
      </x:c>
      <x:c r="K937" s="34" t="n">
        <x:v>0</x:v>
      </x:c>
      <x:c r="L937" s="34" t="n">
        <x:v>0.8400000000000001</x:v>
      </x:c>
      <x:c r="M937" s="34" t="n">
        <x:v>0.84</x:v>
      </x:c>
      <x:c r="N937" s="34" t="n">
        <x:v>0</x:v>
      </x:c>
      <x:c r="O937" s="34" t="n">
        <x:v>5.04</x:v>
      </x:c>
      <x:c r="P937" s="34" t="n">
        <x:v>8.6</x:v>
      </x:c>
      <x:c r="Q937" s="34" t="n">
        <x:v>3.56</x:v>
      </x:c>
      <x:c r="R937" s="34" t="n">
        <x:v>58.605</x:v>
      </x:c>
      <x:c r="S937" s="40" t="b">
        <x:v>1</x:v>
      </x:c>
      <x:c r="T937" s="34" t="str">
        <x:v>model_interpolation</x:v>
      </x:c>
      <x:c r="U937" s="34" t="str">
        <x:v>Linear interpolation from 2030 to 2035</x:v>
      </x:c>
      <x:c r="V937" s="34" t="str">
        <x:v>CAND-EF9F86F64A1C2A</x:v>
      </x:c>
      <x:c r="W937" s="34" t="str">
        <x:v>P3</x:v>
      </x:c>
      <x:c r="X937" s="34" t="str">
        <x:v>PORT-00B029BF7478</x:v>
      </x:c>
      <x:c r="Y937" s="34" t="n">
        <x:v>1000</x:v>
      </x:c>
      <x:c r="Z937" s="34" t="n">
        <x:v>94.32035</x:v>
      </x:c>
      <x:c r="AA937" s="34" t="n">
        <x:v>19.402731</x:v>
      </x:c>
      <x:c r="AB937" s="34" t="n">
        <x:v>459.478949</x:v>
      </x:c>
      <x:c r="AC937" s="34" t="n">
        <x:v>42624.951</x:v>
      </x:c>
      <x:c r="AD937" s="34" t="n">
        <x:v>92.768018</x:v>
      </x:c>
      <x:c r="AE937" s="40" t="b">
        <x:v>1</x:v>
      </x:c>
      <x:c r="AF937" s="40" t="b">
        <x:v>1</x:v>
      </x:c>
      <x:c r="AG937" s="34" t="str"/>
      <x:c r="AH937" s="34" t="n">
        <x:v>0</x:v>
      </x:c>
      <x:c r="AI937" s="34" t="str">
        <x:v>3.446647212967946e-06</x:v>
      </x:c>
      <x:c r="AJ937" s="40" t="b">
        <x:v>1</x:v>
      </x:c>
      <x:c r="AK937" s="40" t="b">
        <x:v>1</x:v>
      </x:c>
      <x:c r="AL937" s="40" t="b">
        <x:v>1</x:v>
      </x:c>
      <x:c r="AM937" s="40" t="b">
        <x:v>1</x:v>
      </x:c>
      <x:c r="AN937" s="34" t="str"/>
      <x:c r="AO937" s="34" t="n">
        <x:v>0</x:v>
      </x:c>
      <x:c r="AP937" s="34" t="n">
        <x:v>0</x:v>
      </x:c>
      <x:c r="AQ937" s="34" t="n">
        <x:v>0</x:v>
      </x:c>
      <x:c r="AR937" s="34" t="n">
        <x:v>2</x:v>
      </x:c>
      <x:c r="AS937" s="34" t="n">
        <x:v>2</x:v>
      </x:c>
      <x:c r="AT937" s="34" t="n">
        <x:v>0.5333221247999997</x:v>
      </x:c>
      <x:c r="AU937" s="34" t="n">
        <x:v>0.65</x:v>
      </x:c>
      <x:c r="AV937" s="34" t="n">
        <x:v>2.6399999999999997</x:v>
      </x:c>
    </x:row>
    <x:row r="938">
      <x:c r="A938" s="34" t="str">
        <x:v>NIPPON_STEEL_JP</x:v>
      </x:c>
      <x:c r="B938" s="34" t="str">
        <x:v>Nippon Steel</x:v>
      </x:c>
      <x:c r="C938" s="34" t="str">
        <x:v>DISCLOSED_PATH</x:v>
      </x:c>
      <x:c r="D938" s="34" t="str">
        <x:v>P3</x:v>
      </x:c>
      <x:c r="E938" s="34" t="n">
        <x:v>2032</x:v>
      </x:c>
      <x:c r="F938" s="34" t="n">
        <x:v>2</x:v>
      </x:c>
      <x:c r="G938" s="34" t="n">
        <x:v>13.679998</x:v>
      </x:c>
      <x:c r="H938" s="34" t="n">
        <x:v>14.4</x:v>
      </x:c>
      <x:c r="I938" s="34" t="n">
        <x:v>0.720002</x:v>
      </x:c>
      <x:c r="J938" s="34" t="n">
        <x:v>95</x:v>
      </x:c>
      <x:c r="K938" s="34" t="n">
        <x:v>0</x:v>
      </x:c>
      <x:c r="L938" s="34" t="n">
        <x:v>1.08</x:v>
      </x:c>
      <x:c r="M938" s="34" t="n">
        <x:v>1.08</x:v>
      </x:c>
      <x:c r="N938" s="34" t="n">
        <x:v>0</x:v>
      </x:c>
      <x:c r="O938" s="34" t="n">
        <x:v>8.511999</x:v>
      </x:c>
      <x:c r="P938" s="34" t="n">
        <x:v>10.2</x:v>
      </x:c>
      <x:c r="Q938" s="34" t="n">
        <x:v>1.688001</x:v>
      </x:c>
      <x:c r="R938" s="34" t="n">
        <x:v>83.451</x:v>
      </x:c>
      <x:c r="S938" s="40" t="b">
        <x:v>1</x:v>
      </x:c>
      <x:c r="T938" s="34" t="str">
        <x:v>model_interpolation</x:v>
      </x:c>
      <x:c r="U938" s="34" t="str">
        <x:v>Linear interpolation from 2030 to 2035</x:v>
      </x:c>
      <x:c r="V938" s="34" t="str">
        <x:v>CAND-EF9F86F64A1C2A</x:v>
      </x:c>
      <x:c r="W938" s="34" t="str">
        <x:v>P3</x:v>
      </x:c>
      <x:c r="X938" s="34" t="str">
        <x:v>PORT-00B029BF7478</x:v>
      </x:c>
      <x:c r="Y938" s="34" t="n">
        <x:v>1000</x:v>
      </x:c>
      <x:c r="Z938" s="34" t="n">
        <x:v>94.32035</x:v>
      </x:c>
      <x:c r="AA938" s="34" t="n">
        <x:v>19.402731</x:v>
      </x:c>
      <x:c r="AB938" s="34" t="n">
        <x:v>459.478949</x:v>
      </x:c>
      <x:c r="AC938" s="34" t="n">
        <x:v>42624.951</x:v>
      </x:c>
      <x:c r="AD938" s="34" t="n">
        <x:v>92.768018</x:v>
      </x:c>
      <x:c r="AE938" s="40" t="b">
        <x:v>1</x:v>
      </x:c>
      <x:c r="AF938" s="40" t="b">
        <x:v>1</x:v>
      </x:c>
      <x:c r="AG938" s="34" t="str"/>
      <x:c r="AH938" s="34" t="n">
        <x:v>0</x:v>
      </x:c>
      <x:c r="AI938" s="34" t="str">
        <x:v>3.446647212967946e-06</x:v>
      </x:c>
      <x:c r="AJ938" s="40" t="b">
        <x:v>1</x:v>
      </x:c>
      <x:c r="AK938" s="40" t="b">
        <x:v>1</x:v>
      </x:c>
      <x:c r="AL938" s="40" t="b">
        <x:v>1</x:v>
      </x:c>
      <x:c r="AM938" s="40" t="b">
        <x:v>1</x:v>
      </x:c>
      <x:c r="AN938" s="34" t="str"/>
      <x:c r="AO938" s="34" t="n">
        <x:v>0</x:v>
      </x:c>
      <x:c r="AP938" s="34" t="n">
        <x:v>0</x:v>
      </x:c>
      <x:c r="AQ938" s="34" t="n">
        <x:v>0</x:v>
      </x:c>
      <x:c r="AR938" s="34" t="n">
        <x:v>2</x:v>
      </x:c>
      <x:c r="AS938" s="34" t="n">
        <x:v>2</x:v>
      </x:c>
      <x:c r="AT938" s="34" t="n">
        <x:v>0.5333221247999997</x:v>
      </x:c>
      <x:c r="AU938" s="34" t="n">
        <x:v>0.65</x:v>
      </x:c>
      <x:c r="AV938" s="34" t="n">
        <x:v>2.6399999999999997</x:v>
      </x:c>
    </x:row>
    <x:row r="939">
      <x:c r="A939" s="34" t="str">
        <x:v>NIPPON_STEEL_JP</x:v>
      </x:c>
      <x:c r="B939" s="34" t="str">
        <x:v>Nippon Steel</x:v>
      </x:c>
      <x:c r="C939" s="34" t="str">
        <x:v>DISCLOSED_PATH</x:v>
      </x:c>
      <x:c r="D939" s="34" t="str">
        <x:v>P3</x:v>
      </x:c>
      <x:c r="E939" s="34" t="n">
        <x:v>2033</x:v>
      </x:c>
      <x:c r="F939" s="34" t="n">
        <x:v>2</x:v>
      </x:c>
      <x:c r="G939" s="34" t="n">
        <x:v>13.679998</x:v>
      </x:c>
      <x:c r="H939" s="34" t="n">
        <x:v>15.6</x:v>
      </x:c>
      <x:c r="I939" s="34" t="n">
        <x:v>1.920002</x:v>
      </x:c>
      <x:c r="J939" s="34" t="n">
        <x:v>87.692</x:v>
      </x:c>
      <x:c r="K939" s="34" t="n">
        <x:v>0</x:v>
      </x:c>
      <x:c r="L939" s="34" t="n">
        <x:v>1.32</x:v>
      </x:c>
      <x:c r="M939" s="34" t="n">
        <x:v>1.32</x:v>
      </x:c>
      <x:c r="N939" s="34" t="n">
        <x:v>0</x:v>
      </x:c>
      <x:c r="O939" s="34" t="n">
        <x:v>8.511999</x:v>
      </x:c>
      <x:c r="P939" s="34" t="n">
        <x:v>11.8</x:v>
      </x:c>
      <x:c r="Q939" s="34" t="n">
        <x:v>3.288001</x:v>
      </x:c>
      <x:c r="R939" s="34" t="n">
        <x:v>72.136</x:v>
      </x:c>
      <x:c r="S939" s="40" t="b">
        <x:v>1</x:v>
      </x:c>
      <x:c r="T939" s="34" t="str">
        <x:v>model_interpolation</x:v>
      </x:c>
      <x:c r="U939" s="34" t="str">
        <x:v>Linear interpolation from 2030 to 2035</x:v>
      </x:c>
      <x:c r="V939" s="34" t="str">
        <x:v>CAND-EF9F86F64A1C2A</x:v>
      </x:c>
      <x:c r="W939" s="34" t="str">
        <x:v>P3</x:v>
      </x:c>
      <x:c r="X939" s="34" t="str">
        <x:v>PORT-00B029BF7478</x:v>
      </x:c>
      <x:c r="Y939" s="34" t="n">
        <x:v>1000</x:v>
      </x:c>
      <x:c r="Z939" s="34" t="n">
        <x:v>94.32035</x:v>
      </x:c>
      <x:c r="AA939" s="34" t="n">
        <x:v>19.402731</x:v>
      </x:c>
      <x:c r="AB939" s="34" t="n">
        <x:v>459.478949</x:v>
      </x:c>
      <x:c r="AC939" s="34" t="n">
        <x:v>42624.951</x:v>
      </x:c>
      <x:c r="AD939" s="34" t="n">
        <x:v>92.768018</x:v>
      </x:c>
      <x:c r="AE939" s="40" t="b">
        <x:v>1</x:v>
      </x:c>
      <x:c r="AF939" s="40" t="b">
        <x:v>1</x:v>
      </x:c>
      <x:c r="AG939" s="34" t="str"/>
      <x:c r="AH939" s="34" t="n">
        <x:v>0</x:v>
      </x:c>
      <x:c r="AI939" s="34" t="str">
        <x:v>3.446647212967946e-06</x:v>
      </x:c>
      <x:c r="AJ939" s="40" t="b">
        <x:v>1</x:v>
      </x:c>
      <x:c r="AK939" s="40" t="b">
        <x:v>1</x:v>
      </x:c>
      <x:c r="AL939" s="40" t="b">
        <x:v>1</x:v>
      </x:c>
      <x:c r="AM939" s="40" t="b">
        <x:v>1</x:v>
      </x:c>
      <x:c r="AN939" s="34" t="str"/>
      <x:c r="AO939" s="34" t="n">
        <x:v>0</x:v>
      </x:c>
      <x:c r="AP939" s="34" t="n">
        <x:v>0</x:v>
      </x:c>
      <x:c r="AQ939" s="34" t="n">
        <x:v>0</x:v>
      </x:c>
      <x:c r="AR939" s="34" t="n">
        <x:v>2</x:v>
      </x:c>
      <x:c r="AS939" s="34" t="n">
        <x:v>2</x:v>
      </x:c>
      <x:c r="AT939" s="34" t="n">
        <x:v>0.5333221247999997</x:v>
      </x:c>
      <x:c r="AU939" s="34" t="n">
        <x:v>0.65</x:v>
      </x:c>
      <x:c r="AV939" s="34" t="n">
        <x:v>2.6399999999999997</x:v>
      </x:c>
    </x:row>
    <x:row r="940">
      <x:c r="A940" s="34" t="str">
        <x:v>NIPPON_STEEL_JP</x:v>
      </x:c>
      <x:c r="B940" s="34" t="str">
        <x:v>Nippon Steel</x:v>
      </x:c>
      <x:c r="C940" s="34" t="str">
        <x:v>DISCLOSED_PATH</x:v>
      </x:c>
      <x:c r="D940" s="34" t="str">
        <x:v>P3</x:v>
      </x:c>
      <x:c r="E940" s="34" t="n">
        <x:v>2034</x:v>
      </x:c>
      <x:c r="F940" s="34" t="n">
        <x:v>3</x:v>
      </x:c>
      <x:c r="G940" s="34" t="n">
        <x:v>14.759998</x:v>
      </x:c>
      <x:c r="H940" s="34" t="n">
        <x:v>16.8</x:v>
      </x:c>
      <x:c r="I940" s="34" t="n">
        <x:v>2.040002</x:v>
      </x:c>
      <x:c r="J940" s="34" t="n">
        <x:v>87.857</x:v>
      </x:c>
      <x:c r="K940" s="34" t="n">
        <x:v>0.396</x:v>
      </x:c>
      <x:c r="L940" s="34" t="n">
        <x:v>1.56</x:v>
      </x:c>
      <x:c r="M940" s="34" t="n">
        <x:v>1.164</x:v>
      </x:c>
      <x:c r="N940" s="34" t="n">
        <x:v>25.385</x:v>
      </x:c>
      <x:c r="O940" s="34" t="n">
        <x:v>11.823999</x:v>
      </x:c>
      <x:c r="P940" s="34" t="n">
        <x:v>13.4</x:v>
      </x:c>
      <x:c r="Q940" s="34" t="n">
        <x:v>1.576001</x:v>
      </x:c>
      <x:c r="R940" s="34" t="n">
        <x:v>88.239</x:v>
      </x:c>
      <x:c r="S940" s="40" t="b">
        <x:v>1</x:v>
      </x:c>
      <x:c r="T940" s="34" t="str">
        <x:v>model_interpolation</x:v>
      </x:c>
      <x:c r="U940" s="34" t="str">
        <x:v>Linear interpolation from 2030 to 2035</x:v>
      </x:c>
      <x:c r="V940" s="34" t="str">
        <x:v>CAND-EF9F86F64A1C2A</x:v>
      </x:c>
      <x:c r="W940" s="34" t="str">
        <x:v>P3</x:v>
      </x:c>
      <x:c r="X940" s="34" t="str">
        <x:v>PORT-00B029BF7478</x:v>
      </x:c>
      <x:c r="Y940" s="34" t="n">
        <x:v>1000</x:v>
      </x:c>
      <x:c r="Z940" s="34" t="n">
        <x:v>94.32035</x:v>
      </x:c>
      <x:c r="AA940" s="34" t="n">
        <x:v>19.402731</x:v>
      </x:c>
      <x:c r="AB940" s="34" t="n">
        <x:v>459.478949</x:v>
      </x:c>
      <x:c r="AC940" s="34" t="n">
        <x:v>42624.951</x:v>
      </x:c>
      <x:c r="AD940" s="34" t="n">
        <x:v>92.768018</x:v>
      </x:c>
      <x:c r="AE940" s="40" t="b">
        <x:v>1</x:v>
      </x:c>
      <x:c r="AF940" s="40" t="b">
        <x:v>1</x:v>
      </x:c>
      <x:c r="AG940" s="34" t="str"/>
      <x:c r="AH940" s="34" t="n">
        <x:v>0</x:v>
      </x:c>
      <x:c r="AI940" s="34" t="str">
        <x:v>3.446647212967946e-06</x:v>
      </x:c>
      <x:c r="AJ940" s="40" t="b">
        <x:v>1</x:v>
      </x:c>
      <x:c r="AK940" s="40" t="b">
        <x:v>1</x:v>
      </x:c>
      <x:c r="AL940" s="40" t="b">
        <x:v>1</x:v>
      </x:c>
      <x:c r="AM940" s="40" t="b">
        <x:v>1</x:v>
      </x:c>
      <x:c r="AN940" s="34" t="str"/>
      <x:c r="AO940" s="34" t="n">
        <x:v>0</x:v>
      </x:c>
      <x:c r="AP940" s="34" t="n">
        <x:v>0</x:v>
      </x:c>
      <x:c r="AQ940" s="34" t="n">
        <x:v>0</x:v>
      </x:c>
      <x:c r="AR940" s="34" t="n">
        <x:v>2</x:v>
      </x:c>
      <x:c r="AS940" s="34" t="n">
        <x:v>2</x:v>
      </x:c>
      <x:c r="AT940" s="34" t="n">
        <x:v>0.5333221247999997</x:v>
      </x:c>
      <x:c r="AU940" s="34" t="n">
        <x:v>0.65</x:v>
      </x:c>
      <x:c r="AV940" s="34" t="n">
        <x:v>2.6399999999999997</x:v>
      </x:c>
    </x:row>
    <x:row r="941">
      <x:c r="A941" s="34" t="str">
        <x:v>NIPPON_STEEL_JP</x:v>
      </x:c>
      <x:c r="B941" s="34" t="str">
        <x:v>Nippon Steel</x:v>
      </x:c>
      <x:c r="C941" s="34" t="str">
        <x:v>DISCLOSED_PATH</x:v>
      </x:c>
      <x:c r="D941" s="34" t="str">
        <x:v>P3</x:v>
      </x:c>
      <x:c r="E941" s="34" t="n">
        <x:v>2035</x:v>
      </x:c>
      <x:c r="F941" s="34" t="n">
        <x:v>3</x:v>
      </x:c>
      <x:c r="G941" s="34" t="n">
        <x:v>14.759998</x:v>
      </x:c>
      <x:c r="H941" s="34" t="n">
        <x:v>18</x:v>
      </x:c>
      <x:c r="I941" s="34" t="n">
        <x:v>3.240002</x:v>
      </x:c>
      <x:c r="J941" s="34" t="n">
        <x:v>82</x:v>
      </x:c>
      <x:c r="K941" s="34" t="n">
        <x:v>0.396</x:v>
      </x:c>
      <x:c r="L941" s="34" t="n">
        <x:v>1.8</x:v>
      </x:c>
      <x:c r="M941" s="34" t="n">
        <x:v>1.404</x:v>
      </x:c>
      <x:c r="N941" s="34" t="n">
        <x:v>22</x:v>
      </x:c>
      <x:c r="O941" s="34" t="n">
        <x:v>11.823999</x:v>
      </x:c>
      <x:c r="P941" s="34" t="n">
        <x:v>15</x:v>
      </x:c>
      <x:c r="Q941" s="34" t="n">
        <x:v>3.176001</x:v>
      </x:c>
      <x:c r="R941" s="34" t="n">
        <x:v>78.827</x:v>
      </x:c>
      <x:c r="S941" s="40" t="b">
        <x:v>1</x:v>
      </x:c>
      <x:c r="T941" s="34" t="str">
        <x:v>model_interpolation</x:v>
      </x:c>
      <x:c r="U941" s="34" t="str">
        <x:v>Linear interpolation from 2035 to 2040</x:v>
      </x:c>
      <x:c r="V941" s="34" t="str">
        <x:v>CAND-EF9F86F64A1C2A</x:v>
      </x:c>
      <x:c r="W941" s="34" t="str">
        <x:v>P3</x:v>
      </x:c>
      <x:c r="X941" s="34" t="str">
        <x:v>PORT-00B029BF7478</x:v>
      </x:c>
      <x:c r="Y941" s="34" t="n">
        <x:v>1000</x:v>
      </x:c>
      <x:c r="Z941" s="34" t="n">
        <x:v>94.32035</x:v>
      </x:c>
      <x:c r="AA941" s="34" t="n">
        <x:v>19.402731</x:v>
      </x:c>
      <x:c r="AB941" s="34" t="n">
        <x:v>459.478949</x:v>
      </x:c>
      <x:c r="AC941" s="34" t="n">
        <x:v>42624.951</x:v>
      </x:c>
      <x:c r="AD941" s="34" t="n">
        <x:v>92.768018</x:v>
      </x:c>
      <x:c r="AE941" s="40" t="b">
        <x:v>1</x:v>
      </x:c>
      <x:c r="AF941" s="40" t="b">
        <x:v>1</x:v>
      </x:c>
      <x:c r="AG941" s="34" t="str"/>
      <x:c r="AH941" s="34" t="n">
        <x:v>0</x:v>
      </x:c>
      <x:c r="AI941" s="34" t="str">
        <x:v>3.446647212967946e-06</x:v>
      </x:c>
      <x:c r="AJ941" s="40" t="b">
        <x:v>1</x:v>
      </x:c>
      <x:c r="AK941" s="40" t="b">
        <x:v>1</x:v>
      </x:c>
      <x:c r="AL941" s="40" t="b">
        <x:v>1</x:v>
      </x:c>
      <x:c r="AM941" s="40" t="b">
        <x:v>1</x:v>
      </x:c>
      <x:c r="AN941" s="34" t="str"/>
      <x:c r="AO941" s="34" t="n">
        <x:v>0</x:v>
      </x:c>
      <x:c r="AP941" s="34" t="n">
        <x:v>0</x:v>
      </x:c>
      <x:c r="AQ941" s="34" t="n">
        <x:v>0</x:v>
      </x:c>
      <x:c r="AR941" s="34" t="n">
        <x:v>2</x:v>
      </x:c>
      <x:c r="AS941" s="34" t="n">
        <x:v>2</x:v>
      </x:c>
      <x:c r="AT941" s="34" t="n">
        <x:v>0.5333221247999997</x:v>
      </x:c>
      <x:c r="AU941" s="34" t="n">
        <x:v>0.65</x:v>
      </x:c>
      <x:c r="AV941" s="34" t="n">
        <x:v>2.6399999999999997</x:v>
      </x:c>
    </x:row>
    <x:row r="942">
      <x:c r="A942" s="34" t="str">
        <x:v>NIPPON_STEEL_JP</x:v>
      </x:c>
      <x:c r="B942" s="34" t="str">
        <x:v>Nippon Steel</x:v>
      </x:c>
      <x:c r="C942" s="34" t="str">
        <x:v>DISCLOSED_PATH</x:v>
      </x:c>
      <x:c r="D942" s="34" t="str">
        <x:v>P3</x:v>
      </x:c>
      <x:c r="E942" s="34" t="n">
        <x:v>2036</x:v>
      </x:c>
      <x:c r="F942" s="34" t="n">
        <x:v>4</x:v>
      </x:c>
      <x:c r="G942" s="34" t="n">
        <x:v>15.599998</x:v>
      </x:c>
      <x:c r="H942" s="34" t="n">
        <x:v>19.4</x:v>
      </x:c>
      <x:c r="I942" s="34" t="n">
        <x:v>3.800002</x:v>
      </x:c>
      <x:c r="J942" s="34" t="n">
        <x:v>80.412</x:v>
      </x:c>
      <x:c r="K942" s="34" t="n">
        <x:v>0.704</x:v>
      </x:c>
      <x:c r="L942" s="34" t="n">
        <x:v>2.08</x:v>
      </x:c>
      <x:c r="M942" s="34" t="n">
        <x:v>1.376</x:v>
      </x:c>
      <x:c r="N942" s="34" t="n">
        <x:v>33.846</x:v>
      </x:c>
      <x:c r="O942" s="34" t="n">
        <x:v>14.4</x:v>
      </x:c>
      <x:c r="P942" s="34" t="n">
        <x:v>17</x:v>
      </x:c>
      <x:c r="Q942" s="34" t="n">
        <x:v>2.6</x:v>
      </x:c>
      <x:c r="R942" s="34" t="n">
        <x:v>84.706</x:v>
      </x:c>
      <x:c r="S942" s="40" t="b">
        <x:v>1</x:v>
      </x:c>
      <x:c r="T942" s="34" t="str">
        <x:v>model_interpolation</x:v>
      </x:c>
      <x:c r="U942" s="34" t="str">
        <x:v>Linear interpolation from 2035 to 2040</x:v>
      </x:c>
      <x:c r="V942" s="34" t="str">
        <x:v>CAND-EF9F86F64A1C2A</x:v>
      </x:c>
      <x:c r="W942" s="34" t="str">
        <x:v>P3</x:v>
      </x:c>
      <x:c r="X942" s="34" t="str">
        <x:v>PORT-00B029BF7478</x:v>
      </x:c>
      <x:c r="Y942" s="34" t="n">
        <x:v>1000</x:v>
      </x:c>
      <x:c r="Z942" s="34" t="n">
        <x:v>94.32035</x:v>
      </x:c>
      <x:c r="AA942" s="34" t="n">
        <x:v>19.402731</x:v>
      </x:c>
      <x:c r="AB942" s="34" t="n">
        <x:v>459.478949</x:v>
      </x:c>
      <x:c r="AC942" s="34" t="n">
        <x:v>42624.951</x:v>
      </x:c>
      <x:c r="AD942" s="34" t="n">
        <x:v>92.768018</x:v>
      </x:c>
      <x:c r="AE942" s="40" t="b">
        <x:v>1</x:v>
      </x:c>
      <x:c r="AF942" s="40" t="b">
        <x:v>1</x:v>
      </x:c>
      <x:c r="AG942" s="34" t="str"/>
      <x:c r="AH942" s="34" t="n">
        <x:v>0</x:v>
      </x:c>
      <x:c r="AI942" s="34" t="str">
        <x:v>3.446647212967946e-06</x:v>
      </x:c>
      <x:c r="AJ942" s="40" t="b">
        <x:v>1</x:v>
      </x:c>
      <x:c r="AK942" s="40" t="b">
        <x:v>1</x:v>
      </x:c>
      <x:c r="AL942" s="40" t="b">
        <x:v>1</x:v>
      </x:c>
      <x:c r="AM942" s="40" t="b">
        <x:v>1</x:v>
      </x:c>
      <x:c r="AN942" s="34" t="str"/>
      <x:c r="AO942" s="34" t="n">
        <x:v>0</x:v>
      </x:c>
      <x:c r="AP942" s="34" t="n">
        <x:v>0</x:v>
      </x:c>
      <x:c r="AQ942" s="34" t="n">
        <x:v>0</x:v>
      </x:c>
      <x:c r="AR942" s="34" t="n">
        <x:v>2</x:v>
      </x:c>
      <x:c r="AS942" s="34" t="n">
        <x:v>2</x:v>
      </x:c>
      <x:c r="AT942" s="34" t="n">
        <x:v>0.5333221247999997</x:v>
      </x:c>
      <x:c r="AU942" s="34" t="n">
        <x:v>0.65</x:v>
      </x:c>
      <x:c r="AV942" s="34" t="n">
        <x:v>2.6399999999999997</x:v>
      </x:c>
    </x:row>
    <x:row r="943">
      <x:c r="A943" s="34" t="str">
        <x:v>NIPPON_STEEL_JP</x:v>
      </x:c>
      <x:c r="B943" s="34" t="str">
        <x:v>Nippon Steel</x:v>
      </x:c>
      <x:c r="C943" s="34" t="str">
        <x:v>DISCLOSED_PATH</x:v>
      </x:c>
      <x:c r="D943" s="34" t="str">
        <x:v>P3</x:v>
      </x:c>
      <x:c r="E943" s="34" t="n">
        <x:v>2037</x:v>
      </x:c>
      <x:c r="F943" s="34" t="n">
        <x:v>4</x:v>
      </x:c>
      <x:c r="G943" s="34" t="n">
        <x:v>15.599998</x:v>
      </x:c>
      <x:c r="H943" s="34" t="n">
        <x:v>20.8</x:v>
      </x:c>
      <x:c r="I943" s="34" t="n">
        <x:v>5.200002</x:v>
      </x:c>
      <x:c r="J943" s="34" t="n">
        <x:v>75</x:v>
      </x:c>
      <x:c r="K943" s="34" t="n">
        <x:v>0.704</x:v>
      </x:c>
      <x:c r="L943" s="34" t="n">
        <x:v>2.3600000000000003</x:v>
      </x:c>
      <x:c r="M943" s="34" t="n">
        <x:v>1.656</x:v>
      </x:c>
      <x:c r="N943" s="34" t="n">
        <x:v>29.831</x:v>
      </x:c>
      <x:c r="O943" s="34" t="n">
        <x:v>14.4</x:v>
      </x:c>
      <x:c r="P943" s="34" t="n">
        <x:v>19</x:v>
      </x:c>
      <x:c r="Q943" s="34" t="n">
        <x:v>4.6</x:v>
      </x:c>
      <x:c r="R943" s="34" t="n">
        <x:v>75.789</x:v>
      </x:c>
      <x:c r="S943" s="40" t="b">
        <x:v>1</x:v>
      </x:c>
      <x:c r="T943" s="34" t="str">
        <x:v>model_interpolation</x:v>
      </x:c>
      <x:c r="U943" s="34" t="str">
        <x:v>Linear interpolation from 2035 to 2040</x:v>
      </x:c>
      <x:c r="V943" s="34" t="str">
        <x:v>CAND-EF9F86F64A1C2A</x:v>
      </x:c>
      <x:c r="W943" s="34" t="str">
        <x:v>P3</x:v>
      </x:c>
      <x:c r="X943" s="34" t="str">
        <x:v>PORT-00B029BF7478</x:v>
      </x:c>
      <x:c r="Y943" s="34" t="n">
        <x:v>1000</x:v>
      </x:c>
      <x:c r="Z943" s="34" t="n">
        <x:v>94.32035</x:v>
      </x:c>
      <x:c r="AA943" s="34" t="n">
        <x:v>19.402731</x:v>
      </x:c>
      <x:c r="AB943" s="34" t="n">
        <x:v>459.478949</x:v>
      </x:c>
      <x:c r="AC943" s="34" t="n">
        <x:v>42624.951</x:v>
      </x:c>
      <x:c r="AD943" s="34" t="n">
        <x:v>92.768018</x:v>
      </x:c>
      <x:c r="AE943" s="40" t="b">
        <x:v>1</x:v>
      </x:c>
      <x:c r="AF943" s="40" t="b">
        <x:v>1</x:v>
      </x:c>
      <x:c r="AG943" s="34" t="str"/>
      <x:c r="AH943" s="34" t="n">
        <x:v>0</x:v>
      </x:c>
      <x:c r="AI943" s="34" t="str">
        <x:v>3.446647212967946e-06</x:v>
      </x:c>
      <x:c r="AJ943" s="40" t="b">
        <x:v>1</x:v>
      </x:c>
      <x:c r="AK943" s="40" t="b">
        <x:v>1</x:v>
      </x:c>
      <x:c r="AL943" s="40" t="b">
        <x:v>1</x:v>
      </x:c>
      <x:c r="AM943" s="40" t="b">
        <x:v>1</x:v>
      </x:c>
      <x:c r="AN943" s="34" t="str"/>
      <x:c r="AO943" s="34" t="n">
        <x:v>0</x:v>
      </x:c>
      <x:c r="AP943" s="34" t="n">
        <x:v>0</x:v>
      </x:c>
      <x:c r="AQ943" s="34" t="n">
        <x:v>0</x:v>
      </x:c>
      <x:c r="AR943" s="34" t="n">
        <x:v>2</x:v>
      </x:c>
      <x:c r="AS943" s="34" t="n">
        <x:v>2</x:v>
      </x:c>
      <x:c r="AT943" s="34" t="n">
        <x:v>0.5333221247999997</x:v>
      </x:c>
      <x:c r="AU943" s="34" t="n">
        <x:v>0.65</x:v>
      </x:c>
      <x:c r="AV943" s="34" t="n">
        <x:v>2.6399999999999997</x:v>
      </x:c>
    </x:row>
    <x:row r="944">
      <x:c r="A944" s="34" t="str">
        <x:v>NIPPON_STEEL_JP</x:v>
      </x:c>
      <x:c r="B944" s="34" t="str">
        <x:v>Nippon Steel</x:v>
      </x:c>
      <x:c r="C944" s="34" t="str">
        <x:v>DISCLOSED_PATH</x:v>
      </x:c>
      <x:c r="D944" s="34" t="str">
        <x:v>P3</x:v>
      </x:c>
      <x:c r="E944" s="34" t="n">
        <x:v>2038</x:v>
      </x:c>
      <x:c r="F944" s="34" t="n">
        <x:v>5</x:v>
      </x:c>
      <x:c r="G944" s="34" t="n">
        <x:v>16.544998</x:v>
      </x:c>
      <x:c r="H944" s="34" t="n">
        <x:v>22.2</x:v>
      </x:c>
      <x:c r="I944" s="34" t="n">
        <x:v>5.655002</x:v>
      </x:c>
      <x:c r="J944" s="34" t="n">
        <x:v>74.527</x:v>
      </x:c>
      <x:c r="K944" s="34" t="n">
        <x:v>1.0505</x:v>
      </x:c>
      <x:c r="L944" s="34" t="n">
        <x:v>2.64</x:v>
      </x:c>
      <x:c r="M944" s="34" t="n">
        <x:v>1.5895</x:v>
      </x:c>
      <x:c r="N944" s="34" t="n">
        <x:v>39.792</x:v>
      </x:c>
      <x:c r="O944" s="34" t="n">
        <x:v>17.298</x:v>
      </x:c>
      <x:c r="P944" s="34" t="n">
        <x:v>21</x:v>
      </x:c>
      <x:c r="Q944" s="34" t="n">
        <x:v>3.702</x:v>
      </x:c>
      <x:c r="R944" s="34" t="n">
        <x:v>82.371</x:v>
      </x:c>
      <x:c r="S944" s="40" t="b">
        <x:v>1</x:v>
      </x:c>
      <x:c r="T944" s="34" t="str">
        <x:v>model_interpolation</x:v>
      </x:c>
      <x:c r="U944" s="34" t="str">
        <x:v>Linear interpolation from 2035 to 2040</x:v>
      </x:c>
      <x:c r="V944" s="34" t="str">
        <x:v>CAND-EF9F86F64A1C2A</x:v>
      </x:c>
      <x:c r="W944" s="34" t="str">
        <x:v>P3</x:v>
      </x:c>
      <x:c r="X944" s="34" t="str">
        <x:v>PORT-00B029BF7478</x:v>
      </x:c>
      <x:c r="Y944" s="34" t="n">
        <x:v>1000</x:v>
      </x:c>
      <x:c r="Z944" s="34" t="n">
        <x:v>94.32035</x:v>
      </x:c>
      <x:c r="AA944" s="34" t="n">
        <x:v>19.402731</x:v>
      </x:c>
      <x:c r="AB944" s="34" t="n">
        <x:v>459.478949</x:v>
      </x:c>
      <x:c r="AC944" s="34" t="n">
        <x:v>42624.951</x:v>
      </x:c>
      <x:c r="AD944" s="34" t="n">
        <x:v>92.768018</x:v>
      </x:c>
      <x:c r="AE944" s="40" t="b">
        <x:v>1</x:v>
      </x:c>
      <x:c r="AF944" s="40" t="b">
        <x:v>1</x:v>
      </x:c>
      <x:c r="AG944" s="34" t="str"/>
      <x:c r="AH944" s="34" t="n">
        <x:v>0</x:v>
      </x:c>
      <x:c r="AI944" s="34" t="str">
        <x:v>3.446647212967946e-06</x:v>
      </x:c>
      <x:c r="AJ944" s="40" t="b">
        <x:v>1</x:v>
      </x:c>
      <x:c r="AK944" s="40" t="b">
        <x:v>1</x:v>
      </x:c>
      <x:c r="AL944" s="40" t="b">
        <x:v>1</x:v>
      </x:c>
      <x:c r="AM944" s="40" t="b">
        <x:v>1</x:v>
      </x:c>
      <x:c r="AN944" s="34" t="str"/>
      <x:c r="AO944" s="34" t="n">
        <x:v>0</x:v>
      </x:c>
      <x:c r="AP944" s="34" t="n">
        <x:v>0</x:v>
      </x:c>
      <x:c r="AQ944" s="34" t="n">
        <x:v>0</x:v>
      </x:c>
      <x:c r="AR944" s="34" t="n">
        <x:v>2</x:v>
      </x:c>
      <x:c r="AS944" s="34" t="n">
        <x:v>2</x:v>
      </x:c>
      <x:c r="AT944" s="34" t="n">
        <x:v>0.5333221247999997</x:v>
      </x:c>
      <x:c r="AU944" s="34" t="n">
        <x:v>0.65</x:v>
      </x:c>
      <x:c r="AV944" s="34" t="n">
        <x:v>2.6399999999999997</x:v>
      </x:c>
    </x:row>
    <x:row r="945">
      <x:c r="A945" s="34" t="str">
        <x:v>NIPPON_STEEL_JP</x:v>
      </x:c>
      <x:c r="B945" s="34" t="str">
        <x:v>Nippon Steel</x:v>
      </x:c>
      <x:c r="C945" s="34" t="str">
        <x:v>DISCLOSED_PATH</x:v>
      </x:c>
      <x:c r="D945" s="34" t="str">
        <x:v>P3</x:v>
      </x:c>
      <x:c r="E945" s="34" t="n">
        <x:v>2039</x:v>
      </x:c>
      <x:c r="F945" s="34" t="n">
        <x:v>5</x:v>
      </x:c>
      <x:c r="G945" s="34" t="n">
        <x:v>16.544998</x:v>
      </x:c>
      <x:c r="H945" s="34" t="n">
        <x:v>23.6</x:v>
      </x:c>
      <x:c r="I945" s="34" t="n">
        <x:v>7.055002</x:v>
      </x:c>
      <x:c r="J945" s="34" t="n">
        <x:v>70.106</x:v>
      </x:c>
      <x:c r="K945" s="34" t="n">
        <x:v>1.0505</x:v>
      </x:c>
      <x:c r="L945" s="34" t="n">
        <x:v>2.92</x:v>
      </x:c>
      <x:c r="M945" s="34" t="n">
        <x:v>1.8695</x:v>
      </x:c>
      <x:c r="N945" s="34" t="n">
        <x:v>35.976</x:v>
      </x:c>
      <x:c r="O945" s="34" t="n">
        <x:v>17.298</x:v>
      </x:c>
      <x:c r="P945" s="34" t="n">
        <x:v>23</x:v>
      </x:c>
      <x:c r="Q945" s="34" t="n">
        <x:v>5.702</x:v>
      </x:c>
      <x:c r="R945" s="34" t="n">
        <x:v>75.209</x:v>
      </x:c>
      <x:c r="S945" s="40" t="b">
        <x:v>1</x:v>
      </x:c>
      <x:c r="T945" s="34" t="str">
        <x:v>model_interpolation</x:v>
      </x:c>
      <x:c r="U945" s="34" t="str">
        <x:v>Linear interpolation from 2035 to 2040</x:v>
      </x:c>
      <x:c r="V945" s="34" t="str">
        <x:v>CAND-EF9F86F64A1C2A</x:v>
      </x:c>
      <x:c r="W945" s="34" t="str">
        <x:v>P3</x:v>
      </x:c>
      <x:c r="X945" s="34" t="str">
        <x:v>PORT-00B029BF7478</x:v>
      </x:c>
      <x:c r="Y945" s="34" t="n">
        <x:v>1000</x:v>
      </x:c>
      <x:c r="Z945" s="34" t="n">
        <x:v>94.32035</x:v>
      </x:c>
      <x:c r="AA945" s="34" t="n">
        <x:v>19.402731</x:v>
      </x:c>
      <x:c r="AB945" s="34" t="n">
        <x:v>459.478949</x:v>
      </x:c>
      <x:c r="AC945" s="34" t="n">
        <x:v>42624.951</x:v>
      </x:c>
      <x:c r="AD945" s="34" t="n">
        <x:v>92.768018</x:v>
      </x:c>
      <x:c r="AE945" s="40" t="b">
        <x:v>1</x:v>
      </x:c>
      <x:c r="AF945" s="40" t="b">
        <x:v>1</x:v>
      </x:c>
      <x:c r="AG945" s="34" t="str"/>
      <x:c r="AH945" s="34" t="n">
        <x:v>0</x:v>
      </x:c>
      <x:c r="AI945" s="34" t="str">
        <x:v>3.446647212967946e-06</x:v>
      </x:c>
      <x:c r="AJ945" s="40" t="b">
        <x:v>1</x:v>
      </x:c>
      <x:c r="AK945" s="40" t="b">
        <x:v>1</x:v>
      </x:c>
      <x:c r="AL945" s="40" t="b">
        <x:v>1</x:v>
      </x:c>
      <x:c r="AM945" s="40" t="b">
        <x:v>1</x:v>
      </x:c>
      <x:c r="AN945" s="34" t="str"/>
      <x:c r="AO945" s="34" t="n">
        <x:v>0</x:v>
      </x:c>
      <x:c r="AP945" s="34" t="n">
        <x:v>0</x:v>
      </x:c>
      <x:c r="AQ945" s="34" t="n">
        <x:v>0</x:v>
      </x:c>
      <x:c r="AR945" s="34" t="n">
        <x:v>2</x:v>
      </x:c>
      <x:c r="AS945" s="34" t="n">
        <x:v>2</x:v>
      </x:c>
      <x:c r="AT945" s="34" t="n">
        <x:v>0.5333221247999997</x:v>
      </x:c>
      <x:c r="AU945" s="34" t="n">
        <x:v>0.65</x:v>
      </x:c>
      <x:c r="AV945" s="34" t="n">
        <x:v>2.6399999999999997</x:v>
      </x:c>
    </x:row>
    <x:row r="946">
      <x:c r="A946" s="34" t="str">
        <x:v>NIPPON_STEEL_JP</x:v>
      </x:c>
      <x:c r="B946" s="34" t="str">
        <x:v>Nippon Steel</x:v>
      </x:c>
      <x:c r="C946" s="34" t="str">
        <x:v>DISCLOSED_PATH</x:v>
      </x:c>
      <x:c r="D946" s="34" t="str">
        <x:v>P3</x:v>
      </x:c>
      <x:c r="E946" s="34" t="n">
        <x:v>2040</x:v>
      </x:c>
      <x:c r="F946" s="34" t="n">
        <x:v>5</x:v>
      </x:c>
      <x:c r="G946" s="34" t="n">
        <x:v>16.544998</x:v>
      </x:c>
      <x:c r="H946" s="34" t="n">
        <x:v>25</x:v>
      </x:c>
      <x:c r="I946" s="34" t="n">
        <x:v>8.455002</x:v>
      </x:c>
      <x:c r="J946" s="34" t="n">
        <x:v>66.18</x:v>
      </x:c>
      <x:c r="K946" s="34" t="n">
        <x:v>1.0505</x:v>
      </x:c>
      <x:c r="L946" s="34" t="n">
        <x:v>3.2</x:v>
      </x:c>
      <x:c r="M946" s="34" t="n">
        <x:v>2.1495</x:v>
      </x:c>
      <x:c r="N946" s="34" t="n">
        <x:v>32.828</x:v>
      </x:c>
      <x:c r="O946" s="34" t="n">
        <x:v>17.298</x:v>
      </x:c>
      <x:c r="P946" s="34" t="n">
        <x:v>25</x:v>
      </x:c>
      <x:c r="Q946" s="34" t="n">
        <x:v>7.702</x:v>
      </x:c>
      <x:c r="R946" s="34" t="n">
        <x:v>69.192</x:v>
      </x:c>
      <x:c r="S946" s="40" t="b">
        <x:v>1</x:v>
      </x:c>
      <x:c r="T946" s="34" t="str">
        <x:v>model_estimate</x:v>
      </x:c>
      <x:c r="U946" s="34" t="str">
        <x:v>Illustrative screening envelope; not an official supply forecast</x:v>
      </x:c>
      <x:c r="V946" s="34" t="str">
        <x:v>CAND-EF9F86F64A1C2A</x:v>
      </x:c>
      <x:c r="W946" s="34" t="str">
        <x:v>P3</x:v>
      </x:c>
      <x:c r="X946" s="34" t="str">
        <x:v>PORT-00B029BF7478</x:v>
      </x:c>
      <x:c r="Y946" s="34" t="n">
        <x:v>1000</x:v>
      </x:c>
      <x:c r="Z946" s="34" t="n">
        <x:v>94.32035</x:v>
      </x:c>
      <x:c r="AA946" s="34" t="n">
        <x:v>19.402731</x:v>
      </x:c>
      <x:c r="AB946" s="34" t="n">
        <x:v>459.478949</x:v>
      </x:c>
      <x:c r="AC946" s="34" t="n">
        <x:v>42624.951</x:v>
      </x:c>
      <x:c r="AD946" s="34" t="n">
        <x:v>92.768018</x:v>
      </x:c>
      <x:c r="AE946" s="40" t="b">
        <x:v>1</x:v>
      </x:c>
      <x:c r="AF946" s="40" t="b">
        <x:v>1</x:v>
      </x:c>
      <x:c r="AG946" s="34" t="str"/>
      <x:c r="AH946" s="34" t="n">
        <x:v>0</x:v>
      </x:c>
      <x:c r="AI946" s="34" t="str">
        <x:v>3.446647212967946e-06</x:v>
      </x:c>
      <x:c r="AJ946" s="40" t="b">
        <x:v>1</x:v>
      </x:c>
      <x:c r="AK946" s="40" t="b">
        <x:v>1</x:v>
      </x:c>
      <x:c r="AL946" s="40" t="b">
        <x:v>1</x:v>
      </x:c>
      <x:c r="AM946" s="40" t="b">
        <x:v>1</x:v>
      </x:c>
      <x:c r="AN946" s="34" t="str"/>
      <x:c r="AO946" s="34" t="n">
        <x:v>0</x:v>
      </x:c>
      <x:c r="AP946" s="34" t="n">
        <x:v>0</x:v>
      </x:c>
      <x:c r="AQ946" s="34" t="n">
        <x:v>0</x:v>
      </x:c>
      <x:c r="AR946" s="34" t="n">
        <x:v>2</x:v>
      </x:c>
      <x:c r="AS946" s="34" t="n">
        <x:v>2</x:v>
      </x:c>
      <x:c r="AT946" s="34" t="n">
        <x:v>0.5333221247999997</x:v>
      </x:c>
      <x:c r="AU946" s="34" t="n">
        <x:v>0.65</x:v>
      </x:c>
      <x:c r="AV946" s="34" t="n">
        <x:v>2.6399999999999997</x:v>
      </x:c>
    </x:row>
    <x:row r="947">
      <x:c r="A947" s="34" t="str">
        <x:v>NIPPON_STEEL_JP</x:v>
      </x:c>
      <x:c r="B947" s="34" t="str">
        <x:v>Nippon Steel</x:v>
      </x:c>
      <x:c r="C947" s="34" t="str">
        <x:v>ACCELERATED_15C</x:v>
      </x:c>
      <x:c r="D947" s="34" t="str">
        <x:v>P3</x:v>
      </x:c>
      <x:c r="E947" s="34" t="n">
        <x:v>2026</x:v>
      </x:c>
      <x:c r="F947" s="34" t="n">
        <x:v>0</x:v>
      </x:c>
      <x:c r="G947" s="34" t="n">
        <x:v>0</x:v>
      </x:c>
      <x:c r="H947" s="34" t="n">
        <x:v>8</x:v>
      </x:c>
      <x:c r="I947" s="34" t="n">
        <x:v>8</x:v>
      </x:c>
      <x:c r="J947" s="34" t="n">
        <x:v>0</x:v>
      </x:c>
      <x:c r="K947" s="34" t="n">
        <x:v>0</x:v>
      </x:c>
      <x:c r="L947" s="34" t="n">
        <x:v>0.1</x:v>
      </x:c>
      <x:c r="M947" s="34" t="n">
        <x:v>0.1</x:v>
      </x:c>
      <x:c r="N947" s="34" t="n">
        <x:v>0</x:v>
      </x:c>
      <x:c r="O947" s="34" t="n">
        <x:v>0</x:v>
      </x:c>
      <x:c r="P947" s="34" t="n">
        <x:v>2</x:v>
      </x:c>
      <x:c r="Q947" s="34" t="n">
        <x:v>2</x:v>
      </x:c>
      <x:c r="R947" s="34" t="n">
        <x:v>0</x:v>
      </x:c>
      <x:c r="S947" s="40" t="b">
        <x:v>1</x:v>
      </x:c>
      <x:c r="T947" s="34" t="str">
        <x:v>model_interpolation</x:v>
      </x:c>
      <x:c r="U947" s="34" t="str">
        <x:v>Linear interpolation from 2026 to 2030</x:v>
      </x:c>
      <x:c r="V947" s="34" t="str">
        <x:v>CAND-EF9F86F64A1C2A</x:v>
      </x:c>
      <x:c r="W947" s="34" t="str">
        <x:v>P3</x:v>
      </x:c>
      <x:c r="X947" s="34" t="str">
        <x:v>PORT-00B029BF7478</x:v>
      </x:c>
      <x:c r="Y947" s="34" t="n">
        <x:v>1000</x:v>
      </x:c>
      <x:c r="Z947" s="34" t="n">
        <x:v>83.496806</x:v>
      </x:c>
      <x:c r="AA947" s="34" t="n">
        <x:v>20.616214</x:v>
      </x:c>
      <x:c r="AB947" s="34" t="n">
        <x:v>459.478949</x:v>
      </x:c>
      <x:c r="AC947" s="34" t="n">
        <x:v>37612.255</x:v>
      </x:c>
      <x:c r="AD947" s="34" t="n">
        <x:v>81.858493</x:v>
      </x:c>
      <x:c r="AE947" s="40" t="b">
        <x:v>1</x:v>
      </x:c>
      <x:c r="AF947" s="40" t="b">
        <x:v>1</x:v>
      </x:c>
      <x:c r="AG947" s="34" t="str"/>
      <x:c r="AH947" s="34" t="n">
        <x:v>0</x:v>
      </x:c>
      <x:c r="AI947" s="34" t="str">
        <x:v>3.446647212967946e-06</x:v>
      </x:c>
      <x:c r="AJ947" s="40" t="b">
        <x:v>1</x:v>
      </x:c>
      <x:c r="AK947" s="40" t="b">
        <x:v>1</x:v>
      </x:c>
      <x:c r="AL947" s="40" t="b">
        <x:v>1</x:v>
      </x:c>
      <x:c r="AM947" s="40" t="b">
        <x:v>1</x:v>
      </x:c>
      <x:c r="AN947" s="34" t="str"/>
      <x:c r="AO947" s="34" t="n">
        <x:v>0</x:v>
      </x:c>
      <x:c r="AP947" s="34" t="n">
        <x:v>0</x:v>
      </x:c>
      <x:c r="AQ947" s="34" t="n">
        <x:v>0</x:v>
      </x:c>
      <x:c r="AR947" s="34" t="n">
        <x:v>2</x:v>
      </x:c>
      <x:c r="AS947" s="34" t="n">
        <x:v>2</x:v>
      </x:c>
      <x:c r="AT947" s="34" t="n">
        <x:v>0.5333221247999997</x:v>
      </x:c>
      <x:c r="AU947" s="34" t="n">
        <x:v>0.65</x:v>
      </x:c>
      <x:c r="AV947" s="34" t="n">
        <x:v>2.6399999999999997</x:v>
      </x:c>
    </x:row>
    <x:row r="948">
      <x:c r="A948" s="34" t="str">
        <x:v>NIPPON_STEEL_JP</x:v>
      </x:c>
      <x:c r="B948" s="34" t="str">
        <x:v>Nippon Steel</x:v>
      </x:c>
      <x:c r="C948" s="34" t="str">
        <x:v>ACCELERATED_15C</x:v>
      </x:c>
      <x:c r="D948" s="34" t="str">
        <x:v>P3</x:v>
      </x:c>
      <x:c r="E948" s="34" t="n">
        <x:v>2027</x:v>
      </x:c>
      <x:c r="F948" s="34" t="n">
        <x:v>0</x:v>
      </x:c>
      <x:c r="G948" s="34" t="n">
        <x:v>0</x:v>
      </x:c>
      <x:c r="H948" s="34" t="n">
        <x:v>9.75</x:v>
      </x:c>
      <x:c r="I948" s="34" t="n">
        <x:v>9.75</x:v>
      </x:c>
      <x:c r="J948" s="34" t="n">
        <x:v>0</x:v>
      </x:c>
      <x:c r="K948" s="34" t="n">
        <x:v>0</x:v>
      </x:c>
      <x:c r="L948" s="34" t="n">
        <x:v>0.30000000000000004</x:v>
      </x:c>
      <x:c r="M948" s="34" t="n">
        <x:v>0.3</x:v>
      </x:c>
      <x:c r="N948" s="34" t="n">
        <x:v>0</x:v>
      </x:c>
      <x:c r="O948" s="34" t="n">
        <x:v>0</x:v>
      </x:c>
      <x:c r="P948" s="34" t="n">
        <x:v>4</x:v>
      </x:c>
      <x:c r="Q948" s="34" t="n">
        <x:v>4</x:v>
      </x:c>
      <x:c r="R948" s="34" t="n">
        <x:v>0</x:v>
      </x:c>
      <x:c r="S948" s="40" t="b">
        <x:v>1</x:v>
      </x:c>
      <x:c r="T948" s="34" t="str">
        <x:v>model_interpolation</x:v>
      </x:c>
      <x:c r="U948" s="34" t="str">
        <x:v>Linear interpolation from 2026 to 2030</x:v>
      </x:c>
      <x:c r="V948" s="34" t="str">
        <x:v>CAND-EF9F86F64A1C2A</x:v>
      </x:c>
      <x:c r="W948" s="34" t="str">
        <x:v>P3</x:v>
      </x:c>
      <x:c r="X948" s="34" t="str">
        <x:v>PORT-00B029BF7478</x:v>
      </x:c>
      <x:c r="Y948" s="34" t="n">
        <x:v>1000</x:v>
      </x:c>
      <x:c r="Z948" s="34" t="n">
        <x:v>83.496806</x:v>
      </x:c>
      <x:c r="AA948" s="34" t="n">
        <x:v>20.616214</x:v>
      </x:c>
      <x:c r="AB948" s="34" t="n">
        <x:v>459.478949</x:v>
      </x:c>
      <x:c r="AC948" s="34" t="n">
        <x:v>37612.255</x:v>
      </x:c>
      <x:c r="AD948" s="34" t="n">
        <x:v>81.858493</x:v>
      </x:c>
      <x:c r="AE948" s="40" t="b">
        <x:v>1</x:v>
      </x:c>
      <x:c r="AF948" s="40" t="b">
        <x:v>1</x:v>
      </x:c>
      <x:c r="AG948" s="34" t="str"/>
      <x:c r="AH948" s="34" t="n">
        <x:v>0</x:v>
      </x:c>
      <x:c r="AI948" s="34" t="str">
        <x:v>3.446647212967946e-06</x:v>
      </x:c>
      <x:c r="AJ948" s="40" t="b">
        <x:v>1</x:v>
      </x:c>
      <x:c r="AK948" s="40" t="b">
        <x:v>1</x:v>
      </x:c>
      <x:c r="AL948" s="40" t="b">
        <x:v>1</x:v>
      </x:c>
      <x:c r="AM948" s="40" t="b">
        <x:v>1</x:v>
      </x:c>
      <x:c r="AN948" s="34" t="str"/>
      <x:c r="AO948" s="34" t="n">
        <x:v>0</x:v>
      </x:c>
      <x:c r="AP948" s="34" t="n">
        <x:v>0</x:v>
      </x:c>
      <x:c r="AQ948" s="34" t="n">
        <x:v>0</x:v>
      </x:c>
      <x:c r="AR948" s="34" t="n">
        <x:v>2</x:v>
      </x:c>
      <x:c r="AS948" s="34" t="n">
        <x:v>2</x:v>
      </x:c>
      <x:c r="AT948" s="34" t="n">
        <x:v>0.5333221247999997</x:v>
      </x:c>
      <x:c r="AU948" s="34" t="n">
        <x:v>0.65</x:v>
      </x:c>
      <x:c r="AV948" s="34" t="n">
        <x:v>2.6399999999999997</x:v>
      </x:c>
    </x:row>
    <x:row r="949">
      <x:c r="A949" s="34" t="str">
        <x:v>NIPPON_STEEL_JP</x:v>
      </x:c>
      <x:c r="B949" s="34" t="str">
        <x:v>Nippon Steel</x:v>
      </x:c>
      <x:c r="C949" s="34" t="str">
        <x:v>ACCELERATED_15C</x:v>
      </x:c>
      <x:c r="D949" s="34" t="str">
        <x:v>P3</x:v>
      </x:c>
      <x:c r="E949" s="34" t="n">
        <x:v>2028</x:v>
      </x:c>
      <x:c r="F949" s="34" t="n">
        <x:v>0</x:v>
      </x:c>
      <x:c r="G949" s="34" t="n">
        <x:v>0</x:v>
      </x:c>
      <x:c r="H949" s="34" t="n">
        <x:v>11.5</x:v>
      </x:c>
      <x:c r="I949" s="34" t="n">
        <x:v>11.5</x:v>
      </x:c>
      <x:c r="J949" s="34" t="n">
        <x:v>0</x:v>
      </x:c>
      <x:c r="K949" s="34" t="n">
        <x:v>0</x:v>
      </x:c>
      <x:c r="L949" s="34" t="n">
        <x:v>0.5</x:v>
      </x:c>
      <x:c r="M949" s="34" t="n">
        <x:v>0.5</x:v>
      </x:c>
      <x:c r="N949" s="34" t="n">
        <x:v>0</x:v>
      </x:c>
      <x:c r="O949" s="34" t="n">
        <x:v>0</x:v>
      </x:c>
      <x:c r="P949" s="34" t="n">
        <x:v>6</x:v>
      </x:c>
      <x:c r="Q949" s="34" t="n">
        <x:v>6</x:v>
      </x:c>
      <x:c r="R949" s="34" t="n">
        <x:v>0</x:v>
      </x:c>
      <x:c r="S949" s="40" t="b">
        <x:v>1</x:v>
      </x:c>
      <x:c r="T949" s="34" t="str">
        <x:v>model_interpolation</x:v>
      </x:c>
      <x:c r="U949" s="34" t="str">
        <x:v>Linear interpolation from 2026 to 2030</x:v>
      </x:c>
      <x:c r="V949" s="34" t="str">
        <x:v>CAND-EF9F86F64A1C2A</x:v>
      </x:c>
      <x:c r="W949" s="34" t="str">
        <x:v>P3</x:v>
      </x:c>
      <x:c r="X949" s="34" t="str">
        <x:v>PORT-00B029BF7478</x:v>
      </x:c>
      <x:c r="Y949" s="34" t="n">
        <x:v>1000</x:v>
      </x:c>
      <x:c r="Z949" s="34" t="n">
        <x:v>83.496806</x:v>
      </x:c>
      <x:c r="AA949" s="34" t="n">
        <x:v>20.616214</x:v>
      </x:c>
      <x:c r="AB949" s="34" t="n">
        <x:v>459.478949</x:v>
      </x:c>
      <x:c r="AC949" s="34" t="n">
        <x:v>37612.255</x:v>
      </x:c>
      <x:c r="AD949" s="34" t="n">
        <x:v>81.858493</x:v>
      </x:c>
      <x:c r="AE949" s="40" t="b">
        <x:v>1</x:v>
      </x:c>
      <x:c r="AF949" s="40" t="b">
        <x:v>1</x:v>
      </x:c>
      <x:c r="AG949" s="34" t="str"/>
      <x:c r="AH949" s="34" t="n">
        <x:v>0</x:v>
      </x:c>
      <x:c r="AI949" s="34" t="str">
        <x:v>3.446647212967946e-06</x:v>
      </x:c>
      <x:c r="AJ949" s="40" t="b">
        <x:v>1</x:v>
      </x:c>
      <x:c r="AK949" s="40" t="b">
        <x:v>1</x:v>
      </x:c>
      <x:c r="AL949" s="40" t="b">
        <x:v>1</x:v>
      </x:c>
      <x:c r="AM949" s="40" t="b">
        <x:v>1</x:v>
      </x:c>
      <x:c r="AN949" s="34" t="str"/>
      <x:c r="AO949" s="34" t="n">
        <x:v>0</x:v>
      </x:c>
      <x:c r="AP949" s="34" t="n">
        <x:v>0</x:v>
      </x:c>
      <x:c r="AQ949" s="34" t="n">
        <x:v>0</x:v>
      </x:c>
      <x:c r="AR949" s="34" t="n">
        <x:v>2</x:v>
      </x:c>
      <x:c r="AS949" s="34" t="n">
        <x:v>2</x:v>
      </x:c>
      <x:c r="AT949" s="34" t="n">
        <x:v>0.5333221247999997</x:v>
      </x:c>
      <x:c r="AU949" s="34" t="n">
        <x:v>0.65</x:v>
      </x:c>
      <x:c r="AV949" s="34" t="n">
        <x:v>2.6399999999999997</x:v>
      </x:c>
    </x:row>
    <x:row r="950">
      <x:c r="A950" s="34" t="str">
        <x:v>NIPPON_STEEL_JP</x:v>
      </x:c>
      <x:c r="B950" s="34" t="str">
        <x:v>Nippon Steel</x:v>
      </x:c>
      <x:c r="C950" s="34" t="str">
        <x:v>ACCELERATED_15C</x:v>
      </x:c>
      <x:c r="D950" s="34" t="str">
        <x:v>P3</x:v>
      </x:c>
      <x:c r="E950" s="34" t="n">
        <x:v>2029</x:v>
      </x:c>
      <x:c r="F950" s="34" t="n">
        <x:v>1</x:v>
      </x:c>
      <x:c r="G950" s="34" t="n">
        <x:v>8.1</x:v>
      </x:c>
      <x:c r="H950" s="34" t="n">
        <x:v>13.25</x:v>
      </x:c>
      <x:c r="I950" s="34" t="n">
        <x:v>5.15</x:v>
      </x:c>
      <x:c r="J950" s="34" t="n">
        <x:v>61.132</x:v>
      </x:c>
      <x:c r="K950" s="34" t="n">
        <x:v>0</x:v>
      </x:c>
      <x:c r="L950" s="34" t="n">
        <x:v>0.7000000000000001</x:v>
      </x:c>
      <x:c r="M950" s="34" t="n">
        <x:v>0.7</x:v>
      </x:c>
      <x:c r="N950" s="34" t="n">
        <x:v>0</x:v>
      </x:c>
      <x:c r="O950" s="34" t="n">
        <x:v>5.04</x:v>
      </x:c>
      <x:c r="P950" s="34" t="n">
        <x:v>8</x:v>
      </x:c>
      <x:c r="Q950" s="34" t="n">
        <x:v>2.96</x:v>
      </x:c>
      <x:c r="R950" s="34" t="n">
        <x:v>63</x:v>
      </x:c>
      <x:c r="S950" s="40" t="b">
        <x:v>1</x:v>
      </x:c>
      <x:c r="T950" s="34" t="str">
        <x:v>model_interpolation</x:v>
      </x:c>
      <x:c r="U950" s="34" t="str">
        <x:v>Linear interpolation from 2026 to 2030</x:v>
      </x:c>
      <x:c r="V950" s="34" t="str">
        <x:v>CAND-EF9F86F64A1C2A</x:v>
      </x:c>
      <x:c r="W950" s="34" t="str">
        <x:v>P3</x:v>
      </x:c>
      <x:c r="X950" s="34" t="str">
        <x:v>PORT-00B029BF7478</x:v>
      </x:c>
      <x:c r="Y950" s="34" t="n">
        <x:v>1000</x:v>
      </x:c>
      <x:c r="Z950" s="34" t="n">
        <x:v>83.496806</x:v>
      </x:c>
      <x:c r="AA950" s="34" t="n">
        <x:v>20.616214</x:v>
      </x:c>
      <x:c r="AB950" s="34" t="n">
        <x:v>459.478949</x:v>
      </x:c>
      <x:c r="AC950" s="34" t="n">
        <x:v>37612.255</x:v>
      </x:c>
      <x:c r="AD950" s="34" t="n">
        <x:v>81.858493</x:v>
      </x:c>
      <x:c r="AE950" s="40" t="b">
        <x:v>1</x:v>
      </x:c>
      <x:c r="AF950" s="40" t="b">
        <x:v>1</x:v>
      </x:c>
      <x:c r="AG950" s="34" t="str"/>
      <x:c r="AH950" s="34" t="n">
        <x:v>0</x:v>
      </x:c>
      <x:c r="AI950" s="34" t="str">
        <x:v>3.446647212967946e-06</x:v>
      </x:c>
      <x:c r="AJ950" s="40" t="b">
        <x:v>1</x:v>
      </x:c>
      <x:c r="AK950" s="40" t="b">
        <x:v>1</x:v>
      </x:c>
      <x:c r="AL950" s="40" t="b">
        <x:v>1</x:v>
      </x:c>
      <x:c r="AM950" s="40" t="b">
        <x:v>1</x:v>
      </x:c>
      <x:c r="AN950" s="34" t="str"/>
      <x:c r="AO950" s="34" t="n">
        <x:v>0</x:v>
      </x:c>
      <x:c r="AP950" s="34" t="n">
        <x:v>0</x:v>
      </x:c>
      <x:c r="AQ950" s="34" t="n">
        <x:v>0</x:v>
      </x:c>
      <x:c r="AR950" s="34" t="n">
        <x:v>2</x:v>
      </x:c>
      <x:c r="AS950" s="34" t="n">
        <x:v>2</x:v>
      </x:c>
      <x:c r="AT950" s="34" t="n">
        <x:v>0.5333221247999997</x:v>
      </x:c>
      <x:c r="AU950" s="34" t="n">
        <x:v>0.65</x:v>
      </x:c>
      <x:c r="AV950" s="34" t="n">
        <x:v>2.6399999999999997</x:v>
      </x:c>
    </x:row>
    <x:row r="951">
      <x:c r="A951" s="34" t="str">
        <x:v>NIPPON_STEEL_JP</x:v>
      </x:c>
      <x:c r="B951" s="34" t="str">
        <x:v>Nippon Steel</x:v>
      </x:c>
      <x:c r="C951" s="34" t="str">
        <x:v>ACCELERATED_15C</x:v>
      </x:c>
      <x:c r="D951" s="34" t="str">
        <x:v>P3</x:v>
      </x:c>
      <x:c r="E951" s="34" t="n">
        <x:v>2030</x:v>
      </x:c>
      <x:c r="F951" s="34" t="n">
        <x:v>1</x:v>
      </x:c>
      <x:c r="G951" s="34" t="n">
        <x:v>8.1</x:v>
      </x:c>
      <x:c r="H951" s="34" t="n">
        <x:v>15</x:v>
      </x:c>
      <x:c r="I951" s="34" t="n">
        <x:v>6.9</x:v>
      </x:c>
      <x:c r="J951" s="34" t="n">
        <x:v>54</x:v>
      </x:c>
      <x:c r="K951" s="34" t="n">
        <x:v>0</x:v>
      </x:c>
      <x:c r="L951" s="34" t="n">
        <x:v>0.9</x:v>
      </x:c>
      <x:c r="M951" s="34" t="n">
        <x:v>0.9</x:v>
      </x:c>
      <x:c r="N951" s="34" t="n">
        <x:v>0</x:v>
      </x:c>
      <x:c r="O951" s="34" t="n">
        <x:v>5.04</x:v>
      </x:c>
      <x:c r="P951" s="34" t="n">
        <x:v>10</x:v>
      </x:c>
      <x:c r="Q951" s="34" t="n">
        <x:v>4.96</x:v>
      </x:c>
      <x:c r="R951" s="34" t="n">
        <x:v>50.4</x:v>
      </x:c>
      <x:c r="S951" s="40" t="b">
        <x:v>1</x:v>
      </x:c>
      <x:c r="T951" s="34" t="str">
        <x:v>model_interpolation</x:v>
      </x:c>
      <x:c r="U951" s="34" t="str">
        <x:v>Linear interpolation from 2030 to 2035</x:v>
      </x:c>
      <x:c r="V951" s="34" t="str">
        <x:v>CAND-EF9F86F64A1C2A</x:v>
      </x:c>
      <x:c r="W951" s="34" t="str">
        <x:v>P3</x:v>
      </x:c>
      <x:c r="X951" s="34" t="str">
        <x:v>PORT-00B029BF7478</x:v>
      </x:c>
      <x:c r="Y951" s="34" t="n">
        <x:v>1000</x:v>
      </x:c>
      <x:c r="Z951" s="34" t="n">
        <x:v>83.496806</x:v>
      </x:c>
      <x:c r="AA951" s="34" t="n">
        <x:v>20.616214</x:v>
      </x:c>
      <x:c r="AB951" s="34" t="n">
        <x:v>459.478949</x:v>
      </x:c>
      <x:c r="AC951" s="34" t="n">
        <x:v>37612.255</x:v>
      </x:c>
      <x:c r="AD951" s="34" t="n">
        <x:v>81.858493</x:v>
      </x:c>
      <x:c r="AE951" s="40" t="b">
        <x:v>1</x:v>
      </x:c>
      <x:c r="AF951" s="40" t="b">
        <x:v>1</x:v>
      </x:c>
      <x:c r="AG951" s="34" t="str"/>
      <x:c r="AH951" s="34" t="n">
        <x:v>0</x:v>
      </x:c>
      <x:c r="AI951" s="34" t="str">
        <x:v>3.446647212967946e-06</x:v>
      </x:c>
      <x:c r="AJ951" s="40" t="b">
        <x:v>1</x:v>
      </x:c>
      <x:c r="AK951" s="40" t="b">
        <x:v>1</x:v>
      </x:c>
      <x:c r="AL951" s="40" t="b">
        <x:v>1</x:v>
      </x:c>
      <x:c r="AM951" s="40" t="b">
        <x:v>1</x:v>
      </x:c>
      <x:c r="AN951" s="34" t="str"/>
      <x:c r="AO951" s="34" t="n">
        <x:v>0</x:v>
      </x:c>
      <x:c r="AP951" s="34" t="n">
        <x:v>0</x:v>
      </x:c>
      <x:c r="AQ951" s="34" t="n">
        <x:v>0</x:v>
      </x:c>
      <x:c r="AR951" s="34" t="n">
        <x:v>2</x:v>
      </x:c>
      <x:c r="AS951" s="34" t="n">
        <x:v>2</x:v>
      </x:c>
      <x:c r="AT951" s="34" t="n">
        <x:v>0.5333221247999997</x:v>
      </x:c>
      <x:c r="AU951" s="34" t="n">
        <x:v>0.65</x:v>
      </x:c>
      <x:c r="AV951" s="34" t="n">
        <x:v>2.6399999999999997</x:v>
      </x:c>
    </x:row>
    <x:row r="952">
      <x:c r="A952" s="34" t="str">
        <x:v>NIPPON_STEEL_JP</x:v>
      </x:c>
      <x:c r="B952" s="34" t="str">
        <x:v>Nippon Steel</x:v>
      </x:c>
      <x:c r="C952" s="34" t="str">
        <x:v>ACCELERATED_15C</x:v>
      </x:c>
      <x:c r="D952" s="34" t="str">
        <x:v>P3</x:v>
      </x:c>
      <x:c r="E952" s="34" t="n">
        <x:v>2031</x:v>
      </x:c>
      <x:c r="F952" s="34" t="n">
        <x:v>1</x:v>
      </x:c>
      <x:c r="G952" s="34" t="n">
        <x:v>8.1</x:v>
      </x:c>
      <x:c r="H952" s="34" t="n">
        <x:v>16.6</x:v>
      </x:c>
      <x:c r="I952" s="34" t="n">
        <x:v>8.5</x:v>
      </x:c>
      <x:c r="J952" s="34" t="n">
        <x:v>48.795</x:v>
      </x:c>
      <x:c r="K952" s="34" t="n">
        <x:v>0</x:v>
      </x:c>
      <x:c r="L952" s="34" t="n">
        <x:v>1.2200000000000002</x:v>
      </x:c>
      <x:c r="M952" s="34" t="n">
        <x:v>1.22</x:v>
      </x:c>
      <x:c r="N952" s="34" t="n">
        <x:v>0</x:v>
      </x:c>
      <x:c r="O952" s="34" t="n">
        <x:v>5.04</x:v>
      </x:c>
      <x:c r="P952" s="34" t="n">
        <x:v>12</x:v>
      </x:c>
      <x:c r="Q952" s="34" t="n">
        <x:v>6.96</x:v>
      </x:c>
      <x:c r="R952" s="34" t="n">
        <x:v>42</x:v>
      </x:c>
      <x:c r="S952" s="40" t="b">
        <x:v>1</x:v>
      </x:c>
      <x:c r="T952" s="34" t="str">
        <x:v>model_interpolation</x:v>
      </x:c>
      <x:c r="U952" s="34" t="str">
        <x:v>Linear interpolation from 2030 to 2035</x:v>
      </x:c>
      <x:c r="V952" s="34" t="str">
        <x:v>CAND-EF9F86F64A1C2A</x:v>
      </x:c>
      <x:c r="W952" s="34" t="str">
        <x:v>P3</x:v>
      </x:c>
      <x:c r="X952" s="34" t="str">
        <x:v>PORT-00B029BF7478</x:v>
      </x:c>
      <x:c r="Y952" s="34" t="n">
        <x:v>1000</x:v>
      </x:c>
      <x:c r="Z952" s="34" t="n">
        <x:v>83.496806</x:v>
      </x:c>
      <x:c r="AA952" s="34" t="n">
        <x:v>20.616214</x:v>
      </x:c>
      <x:c r="AB952" s="34" t="n">
        <x:v>459.478949</x:v>
      </x:c>
      <x:c r="AC952" s="34" t="n">
        <x:v>37612.255</x:v>
      </x:c>
      <x:c r="AD952" s="34" t="n">
        <x:v>81.858493</x:v>
      </x:c>
      <x:c r="AE952" s="40" t="b">
        <x:v>1</x:v>
      </x:c>
      <x:c r="AF952" s="40" t="b">
        <x:v>1</x:v>
      </x:c>
      <x:c r="AG952" s="34" t="str"/>
      <x:c r="AH952" s="34" t="n">
        <x:v>0</x:v>
      </x:c>
      <x:c r="AI952" s="34" t="str">
        <x:v>3.446647212967946e-06</x:v>
      </x:c>
      <x:c r="AJ952" s="40" t="b">
        <x:v>1</x:v>
      </x:c>
      <x:c r="AK952" s="40" t="b">
        <x:v>1</x:v>
      </x:c>
      <x:c r="AL952" s="40" t="b">
        <x:v>1</x:v>
      </x:c>
      <x:c r="AM952" s="40" t="b">
        <x:v>1</x:v>
      </x:c>
      <x:c r="AN952" s="34" t="str"/>
      <x:c r="AO952" s="34" t="n">
        <x:v>0</x:v>
      </x:c>
      <x:c r="AP952" s="34" t="n">
        <x:v>0</x:v>
      </x:c>
      <x:c r="AQ952" s="34" t="n">
        <x:v>0</x:v>
      </x:c>
      <x:c r="AR952" s="34" t="n">
        <x:v>2</x:v>
      </x:c>
      <x:c r="AS952" s="34" t="n">
        <x:v>2</x:v>
      </x:c>
      <x:c r="AT952" s="34" t="n">
        <x:v>0.5333221247999997</x:v>
      </x:c>
      <x:c r="AU952" s="34" t="n">
        <x:v>0.65</x:v>
      </x:c>
      <x:c r="AV952" s="34" t="n">
        <x:v>2.6399999999999997</x:v>
      </x:c>
    </x:row>
    <x:row r="953">
      <x:c r="A953" s="34" t="str">
        <x:v>NIPPON_STEEL_JP</x:v>
      </x:c>
      <x:c r="B953" s="34" t="str">
        <x:v>Nippon Steel</x:v>
      </x:c>
      <x:c r="C953" s="34" t="str">
        <x:v>ACCELERATED_15C</x:v>
      </x:c>
      <x:c r="D953" s="34" t="str">
        <x:v>P3</x:v>
      </x:c>
      <x:c r="E953" s="34" t="n">
        <x:v>2032</x:v>
      </x:c>
      <x:c r="F953" s="34" t="n">
        <x:v>2</x:v>
      </x:c>
      <x:c r="G953" s="34" t="n">
        <x:v>13.679998</x:v>
      </x:c>
      <x:c r="H953" s="34" t="n">
        <x:v>18.2</x:v>
      </x:c>
      <x:c r="I953" s="34" t="n">
        <x:v>4.520002</x:v>
      </x:c>
      <x:c r="J953" s="34" t="n">
        <x:v>75.165</x:v>
      </x:c>
      <x:c r="K953" s="34" t="n">
        <x:v>0</x:v>
      </x:c>
      <x:c r="L953" s="34" t="n">
        <x:v>1.54</x:v>
      </x:c>
      <x:c r="M953" s="34" t="n">
        <x:v>1.54</x:v>
      </x:c>
      <x:c r="N953" s="34" t="n">
        <x:v>0</x:v>
      </x:c>
      <x:c r="O953" s="34" t="n">
        <x:v>8.511999</x:v>
      </x:c>
      <x:c r="P953" s="34" t="n">
        <x:v>14</x:v>
      </x:c>
      <x:c r="Q953" s="34" t="n">
        <x:v>5.488001</x:v>
      </x:c>
      <x:c r="R953" s="34" t="n">
        <x:v>60.8</x:v>
      </x:c>
      <x:c r="S953" s="40" t="b">
        <x:v>1</x:v>
      </x:c>
      <x:c r="T953" s="34" t="str">
        <x:v>model_interpolation</x:v>
      </x:c>
      <x:c r="U953" s="34" t="str">
        <x:v>Linear interpolation from 2030 to 2035</x:v>
      </x:c>
      <x:c r="V953" s="34" t="str">
        <x:v>CAND-EF9F86F64A1C2A</x:v>
      </x:c>
      <x:c r="W953" s="34" t="str">
        <x:v>P3</x:v>
      </x:c>
      <x:c r="X953" s="34" t="str">
        <x:v>PORT-00B029BF7478</x:v>
      </x:c>
      <x:c r="Y953" s="34" t="n">
        <x:v>1000</x:v>
      </x:c>
      <x:c r="Z953" s="34" t="n">
        <x:v>83.496806</x:v>
      </x:c>
      <x:c r="AA953" s="34" t="n">
        <x:v>20.616214</x:v>
      </x:c>
      <x:c r="AB953" s="34" t="n">
        <x:v>459.478949</x:v>
      </x:c>
      <x:c r="AC953" s="34" t="n">
        <x:v>37612.255</x:v>
      </x:c>
      <x:c r="AD953" s="34" t="n">
        <x:v>81.858493</x:v>
      </x:c>
      <x:c r="AE953" s="40" t="b">
        <x:v>1</x:v>
      </x:c>
      <x:c r="AF953" s="40" t="b">
        <x:v>1</x:v>
      </x:c>
      <x:c r="AG953" s="34" t="str"/>
      <x:c r="AH953" s="34" t="n">
        <x:v>0</x:v>
      </x:c>
      <x:c r="AI953" s="34" t="str">
        <x:v>3.446647212967946e-06</x:v>
      </x:c>
      <x:c r="AJ953" s="40" t="b">
        <x:v>1</x:v>
      </x:c>
      <x:c r="AK953" s="40" t="b">
        <x:v>1</x:v>
      </x:c>
      <x:c r="AL953" s="40" t="b">
        <x:v>1</x:v>
      </x:c>
      <x:c r="AM953" s="40" t="b">
        <x:v>1</x:v>
      </x:c>
      <x:c r="AN953" s="34" t="str"/>
      <x:c r="AO953" s="34" t="n">
        <x:v>0</x:v>
      </x:c>
      <x:c r="AP953" s="34" t="n">
        <x:v>0</x:v>
      </x:c>
      <x:c r="AQ953" s="34" t="n">
        <x:v>0</x:v>
      </x:c>
      <x:c r="AR953" s="34" t="n">
        <x:v>2</x:v>
      </x:c>
      <x:c r="AS953" s="34" t="n">
        <x:v>2</x:v>
      </x:c>
      <x:c r="AT953" s="34" t="n">
        <x:v>0.5333221247999997</x:v>
      </x:c>
      <x:c r="AU953" s="34" t="n">
        <x:v>0.65</x:v>
      </x:c>
      <x:c r="AV953" s="34" t="n">
        <x:v>2.6399999999999997</x:v>
      </x:c>
    </x:row>
    <x:row r="954">
      <x:c r="A954" s="34" t="str">
        <x:v>NIPPON_STEEL_JP</x:v>
      </x:c>
      <x:c r="B954" s="34" t="str">
        <x:v>Nippon Steel</x:v>
      </x:c>
      <x:c r="C954" s="34" t="str">
        <x:v>ACCELERATED_15C</x:v>
      </x:c>
      <x:c r="D954" s="34" t="str">
        <x:v>P3</x:v>
      </x:c>
      <x:c r="E954" s="34" t="n">
        <x:v>2033</x:v>
      </x:c>
      <x:c r="F954" s="34" t="n">
        <x:v>2</x:v>
      </x:c>
      <x:c r="G954" s="34" t="n">
        <x:v>13.679998</x:v>
      </x:c>
      <x:c r="H954" s="34" t="n">
        <x:v>19.8</x:v>
      </x:c>
      <x:c r="I954" s="34" t="n">
        <x:v>6.120002</x:v>
      </x:c>
      <x:c r="J954" s="34" t="n">
        <x:v>69.091</x:v>
      </x:c>
      <x:c r="K954" s="34" t="n">
        <x:v>0</x:v>
      </x:c>
      <x:c r="L954" s="34" t="n">
        <x:v>1.8599999999999999</x:v>
      </x:c>
      <x:c r="M954" s="34" t="n">
        <x:v>1.86</x:v>
      </x:c>
      <x:c r="N954" s="34" t="n">
        <x:v>0</x:v>
      </x:c>
      <x:c r="O954" s="34" t="n">
        <x:v>8.511999</x:v>
      </x:c>
      <x:c r="P954" s="34" t="n">
        <x:v>16</x:v>
      </x:c>
      <x:c r="Q954" s="34" t="n">
        <x:v>7.488001</x:v>
      </x:c>
      <x:c r="R954" s="34" t="n">
        <x:v>53.2</x:v>
      </x:c>
      <x:c r="S954" s="40" t="b">
        <x:v>1</x:v>
      </x:c>
      <x:c r="T954" s="34" t="str">
        <x:v>model_interpolation</x:v>
      </x:c>
      <x:c r="U954" s="34" t="str">
        <x:v>Linear interpolation from 2030 to 2035</x:v>
      </x:c>
      <x:c r="V954" s="34" t="str">
        <x:v>CAND-EF9F86F64A1C2A</x:v>
      </x:c>
      <x:c r="W954" s="34" t="str">
        <x:v>P3</x:v>
      </x:c>
      <x:c r="X954" s="34" t="str">
        <x:v>PORT-00B029BF7478</x:v>
      </x:c>
      <x:c r="Y954" s="34" t="n">
        <x:v>1000</x:v>
      </x:c>
      <x:c r="Z954" s="34" t="n">
        <x:v>83.496806</x:v>
      </x:c>
      <x:c r="AA954" s="34" t="n">
        <x:v>20.616214</x:v>
      </x:c>
      <x:c r="AB954" s="34" t="n">
        <x:v>459.478949</x:v>
      </x:c>
      <x:c r="AC954" s="34" t="n">
        <x:v>37612.255</x:v>
      </x:c>
      <x:c r="AD954" s="34" t="n">
        <x:v>81.858493</x:v>
      </x:c>
      <x:c r="AE954" s="40" t="b">
        <x:v>1</x:v>
      </x:c>
      <x:c r="AF954" s="40" t="b">
        <x:v>1</x:v>
      </x:c>
      <x:c r="AG954" s="34" t="str"/>
      <x:c r="AH954" s="34" t="n">
        <x:v>0</x:v>
      </x:c>
      <x:c r="AI954" s="34" t="str">
        <x:v>3.446647212967946e-06</x:v>
      </x:c>
      <x:c r="AJ954" s="40" t="b">
        <x:v>1</x:v>
      </x:c>
      <x:c r="AK954" s="40" t="b">
        <x:v>1</x:v>
      </x:c>
      <x:c r="AL954" s="40" t="b">
        <x:v>1</x:v>
      </x:c>
      <x:c r="AM954" s="40" t="b">
        <x:v>1</x:v>
      </x:c>
      <x:c r="AN954" s="34" t="str"/>
      <x:c r="AO954" s="34" t="n">
        <x:v>0</x:v>
      </x:c>
      <x:c r="AP954" s="34" t="n">
        <x:v>0</x:v>
      </x:c>
      <x:c r="AQ954" s="34" t="n">
        <x:v>0</x:v>
      </x:c>
      <x:c r="AR954" s="34" t="n">
        <x:v>2</x:v>
      </x:c>
      <x:c r="AS954" s="34" t="n">
        <x:v>2</x:v>
      </x:c>
      <x:c r="AT954" s="34" t="n">
        <x:v>0.5333221247999997</x:v>
      </x:c>
      <x:c r="AU954" s="34" t="n">
        <x:v>0.65</x:v>
      </x:c>
      <x:c r="AV954" s="34" t="n">
        <x:v>2.6399999999999997</x:v>
      </x:c>
    </x:row>
    <x:row r="955">
      <x:c r="A955" s="34" t="str">
        <x:v>NIPPON_STEEL_JP</x:v>
      </x:c>
      <x:c r="B955" s="34" t="str">
        <x:v>Nippon Steel</x:v>
      </x:c>
      <x:c r="C955" s="34" t="str">
        <x:v>ACCELERATED_15C</x:v>
      </x:c>
      <x:c r="D955" s="34" t="str">
        <x:v>P3</x:v>
      </x:c>
      <x:c r="E955" s="34" t="n">
        <x:v>2034</x:v>
      </x:c>
      <x:c r="F955" s="34" t="n">
        <x:v>3</x:v>
      </x:c>
      <x:c r="G955" s="34" t="n">
        <x:v>14.759998</x:v>
      </x:c>
      <x:c r="H955" s="34" t="n">
        <x:v>21.4</x:v>
      </x:c>
      <x:c r="I955" s="34" t="n">
        <x:v>6.640002</x:v>
      </x:c>
      <x:c r="J955" s="34" t="n">
        <x:v>68.972</x:v>
      </x:c>
      <x:c r="K955" s="34" t="n">
        <x:v>0.396</x:v>
      </x:c>
      <x:c r="L955" s="34" t="n">
        <x:v>2.18</x:v>
      </x:c>
      <x:c r="M955" s="34" t="n">
        <x:v>1.784</x:v>
      </x:c>
      <x:c r="N955" s="34" t="n">
        <x:v>18.165</x:v>
      </x:c>
      <x:c r="O955" s="34" t="n">
        <x:v>11.823999</x:v>
      </x:c>
      <x:c r="P955" s="34" t="n">
        <x:v>18</x:v>
      </x:c>
      <x:c r="Q955" s="34" t="n">
        <x:v>6.176001</x:v>
      </x:c>
      <x:c r="R955" s="34" t="n">
        <x:v>65.689</x:v>
      </x:c>
      <x:c r="S955" s="40" t="b">
        <x:v>1</x:v>
      </x:c>
      <x:c r="T955" s="34" t="str">
        <x:v>model_interpolation</x:v>
      </x:c>
      <x:c r="U955" s="34" t="str">
        <x:v>Linear interpolation from 2030 to 2035</x:v>
      </x:c>
      <x:c r="V955" s="34" t="str">
        <x:v>CAND-EF9F86F64A1C2A</x:v>
      </x:c>
      <x:c r="W955" s="34" t="str">
        <x:v>P3</x:v>
      </x:c>
      <x:c r="X955" s="34" t="str">
        <x:v>PORT-00B029BF7478</x:v>
      </x:c>
      <x:c r="Y955" s="34" t="n">
        <x:v>1000</x:v>
      </x:c>
      <x:c r="Z955" s="34" t="n">
        <x:v>83.496806</x:v>
      </x:c>
      <x:c r="AA955" s="34" t="n">
        <x:v>20.616214</x:v>
      </x:c>
      <x:c r="AB955" s="34" t="n">
        <x:v>459.478949</x:v>
      </x:c>
      <x:c r="AC955" s="34" t="n">
        <x:v>37612.255</x:v>
      </x:c>
      <x:c r="AD955" s="34" t="n">
        <x:v>81.858493</x:v>
      </x:c>
      <x:c r="AE955" s="40" t="b">
        <x:v>1</x:v>
      </x:c>
      <x:c r="AF955" s="40" t="b">
        <x:v>1</x:v>
      </x:c>
      <x:c r="AG955" s="34" t="str"/>
      <x:c r="AH955" s="34" t="n">
        <x:v>0</x:v>
      </x:c>
      <x:c r="AI955" s="34" t="str">
        <x:v>3.446647212967946e-06</x:v>
      </x:c>
      <x:c r="AJ955" s="40" t="b">
        <x:v>1</x:v>
      </x:c>
      <x:c r="AK955" s="40" t="b">
        <x:v>1</x:v>
      </x:c>
      <x:c r="AL955" s="40" t="b">
        <x:v>1</x:v>
      </x:c>
      <x:c r="AM955" s="40" t="b">
        <x:v>1</x:v>
      </x:c>
      <x:c r="AN955" s="34" t="str"/>
      <x:c r="AO955" s="34" t="n">
        <x:v>0</x:v>
      </x:c>
      <x:c r="AP955" s="34" t="n">
        <x:v>0</x:v>
      </x:c>
      <x:c r="AQ955" s="34" t="n">
        <x:v>0</x:v>
      </x:c>
      <x:c r="AR955" s="34" t="n">
        <x:v>2</x:v>
      </x:c>
      <x:c r="AS955" s="34" t="n">
        <x:v>2</x:v>
      </x:c>
      <x:c r="AT955" s="34" t="n">
        <x:v>0.5333221247999997</x:v>
      </x:c>
      <x:c r="AU955" s="34" t="n">
        <x:v>0.65</x:v>
      </x:c>
      <x:c r="AV955" s="34" t="n">
        <x:v>2.6399999999999997</x:v>
      </x:c>
    </x:row>
    <x:row r="956">
      <x:c r="A956" s="34" t="str">
        <x:v>NIPPON_STEEL_JP</x:v>
      </x:c>
      <x:c r="B956" s="34" t="str">
        <x:v>Nippon Steel</x:v>
      </x:c>
      <x:c r="C956" s="34" t="str">
        <x:v>ACCELERATED_15C</x:v>
      </x:c>
      <x:c r="D956" s="34" t="str">
        <x:v>P3</x:v>
      </x:c>
      <x:c r="E956" s="34" t="n">
        <x:v>2035</x:v>
      </x:c>
      <x:c r="F956" s="34" t="n">
        <x:v>3</x:v>
      </x:c>
      <x:c r="G956" s="34" t="n">
        <x:v>14.759998</x:v>
      </x:c>
      <x:c r="H956" s="34" t="n">
        <x:v>23</x:v>
      </x:c>
      <x:c r="I956" s="34" t="n">
        <x:v>8.240002</x:v>
      </x:c>
      <x:c r="J956" s="34" t="n">
        <x:v>64.174</x:v>
      </x:c>
      <x:c r="K956" s="34" t="n">
        <x:v>0.396</x:v>
      </x:c>
      <x:c r="L956" s="34" t="n">
        <x:v>2.5</x:v>
      </x:c>
      <x:c r="M956" s="34" t="n">
        <x:v>2.104</x:v>
      </x:c>
      <x:c r="N956" s="34" t="n">
        <x:v>15.84</x:v>
      </x:c>
      <x:c r="O956" s="34" t="n">
        <x:v>11.823999</x:v>
      </x:c>
      <x:c r="P956" s="34" t="n">
        <x:v>20</x:v>
      </x:c>
      <x:c r="Q956" s="34" t="n">
        <x:v>8.176001</x:v>
      </x:c>
      <x:c r="R956" s="34" t="n">
        <x:v>59.12</x:v>
      </x:c>
      <x:c r="S956" s="40" t="b">
        <x:v>1</x:v>
      </x:c>
      <x:c r="T956" s="34" t="str">
        <x:v>model_interpolation</x:v>
      </x:c>
      <x:c r="U956" s="34" t="str">
        <x:v>Linear interpolation from 2035 to 2040</x:v>
      </x:c>
      <x:c r="V956" s="34" t="str">
        <x:v>CAND-EF9F86F64A1C2A</x:v>
      </x:c>
      <x:c r="W956" s="34" t="str">
        <x:v>P3</x:v>
      </x:c>
      <x:c r="X956" s="34" t="str">
        <x:v>PORT-00B029BF7478</x:v>
      </x:c>
      <x:c r="Y956" s="34" t="n">
        <x:v>1000</x:v>
      </x:c>
      <x:c r="Z956" s="34" t="n">
        <x:v>83.496806</x:v>
      </x:c>
      <x:c r="AA956" s="34" t="n">
        <x:v>20.616214</x:v>
      </x:c>
      <x:c r="AB956" s="34" t="n">
        <x:v>459.478949</x:v>
      </x:c>
      <x:c r="AC956" s="34" t="n">
        <x:v>37612.255</x:v>
      </x:c>
      <x:c r="AD956" s="34" t="n">
        <x:v>81.858493</x:v>
      </x:c>
      <x:c r="AE956" s="40" t="b">
        <x:v>1</x:v>
      </x:c>
      <x:c r="AF956" s="40" t="b">
        <x:v>1</x:v>
      </x:c>
      <x:c r="AG956" s="34" t="str"/>
      <x:c r="AH956" s="34" t="n">
        <x:v>0</x:v>
      </x:c>
      <x:c r="AI956" s="34" t="str">
        <x:v>3.446647212967946e-06</x:v>
      </x:c>
      <x:c r="AJ956" s="40" t="b">
        <x:v>1</x:v>
      </x:c>
      <x:c r="AK956" s="40" t="b">
        <x:v>1</x:v>
      </x:c>
      <x:c r="AL956" s="40" t="b">
        <x:v>1</x:v>
      </x:c>
      <x:c r="AM956" s="40" t="b">
        <x:v>1</x:v>
      </x:c>
      <x:c r="AN956" s="34" t="str"/>
      <x:c r="AO956" s="34" t="n">
        <x:v>0</x:v>
      </x:c>
      <x:c r="AP956" s="34" t="n">
        <x:v>0</x:v>
      </x:c>
      <x:c r="AQ956" s="34" t="n">
        <x:v>0</x:v>
      </x:c>
      <x:c r="AR956" s="34" t="n">
        <x:v>2</x:v>
      </x:c>
      <x:c r="AS956" s="34" t="n">
        <x:v>2</x:v>
      </x:c>
      <x:c r="AT956" s="34" t="n">
        <x:v>0.5333221247999997</x:v>
      </x:c>
      <x:c r="AU956" s="34" t="n">
        <x:v>0.65</x:v>
      </x:c>
      <x:c r="AV956" s="34" t="n">
        <x:v>2.6399999999999997</x:v>
      </x:c>
    </x:row>
    <x:row r="957">
      <x:c r="A957" s="34" t="str">
        <x:v>NIPPON_STEEL_JP</x:v>
      </x:c>
      <x:c r="B957" s="34" t="str">
        <x:v>Nippon Steel</x:v>
      </x:c>
      <x:c r="C957" s="34" t="str">
        <x:v>ACCELERATED_15C</x:v>
      </x:c>
      <x:c r="D957" s="34" t="str">
        <x:v>P3</x:v>
      </x:c>
      <x:c r="E957" s="34" t="n">
        <x:v>2036</x:v>
      </x:c>
      <x:c r="F957" s="34" t="n">
        <x:v>4</x:v>
      </x:c>
      <x:c r="G957" s="34" t="n">
        <x:v>15.599998</x:v>
      </x:c>
      <x:c r="H957" s="34" t="n">
        <x:v>24.4</x:v>
      </x:c>
      <x:c r="I957" s="34" t="n">
        <x:v>8.800002</x:v>
      </x:c>
      <x:c r="J957" s="34" t="n">
        <x:v>63.934</x:v>
      </x:c>
      <x:c r="K957" s="34" t="n">
        <x:v>0.704</x:v>
      </x:c>
      <x:c r="L957" s="34" t="n">
        <x:v>2.9</x:v>
      </x:c>
      <x:c r="M957" s="34" t="n">
        <x:v>2.196</x:v>
      </x:c>
      <x:c r="N957" s="34" t="n">
        <x:v>24.276</x:v>
      </x:c>
      <x:c r="O957" s="34" t="n">
        <x:v>14.4</x:v>
      </x:c>
      <x:c r="P957" s="34" t="n">
        <x:v>22.4</x:v>
      </x:c>
      <x:c r="Q957" s="34" t="n">
        <x:v>8</x:v>
      </x:c>
      <x:c r="R957" s="34" t="n">
        <x:v>64.286</x:v>
      </x:c>
      <x:c r="S957" s="40" t="b">
        <x:v>1</x:v>
      </x:c>
      <x:c r="T957" s="34" t="str">
        <x:v>model_interpolation</x:v>
      </x:c>
      <x:c r="U957" s="34" t="str">
        <x:v>Linear interpolation from 2035 to 2040</x:v>
      </x:c>
      <x:c r="V957" s="34" t="str">
        <x:v>CAND-EF9F86F64A1C2A</x:v>
      </x:c>
      <x:c r="W957" s="34" t="str">
        <x:v>P3</x:v>
      </x:c>
      <x:c r="X957" s="34" t="str">
        <x:v>PORT-00B029BF7478</x:v>
      </x:c>
      <x:c r="Y957" s="34" t="n">
        <x:v>1000</x:v>
      </x:c>
      <x:c r="Z957" s="34" t="n">
        <x:v>83.496806</x:v>
      </x:c>
      <x:c r="AA957" s="34" t="n">
        <x:v>20.616214</x:v>
      </x:c>
      <x:c r="AB957" s="34" t="n">
        <x:v>459.478949</x:v>
      </x:c>
      <x:c r="AC957" s="34" t="n">
        <x:v>37612.255</x:v>
      </x:c>
      <x:c r="AD957" s="34" t="n">
        <x:v>81.858493</x:v>
      </x:c>
      <x:c r="AE957" s="40" t="b">
        <x:v>1</x:v>
      </x:c>
      <x:c r="AF957" s="40" t="b">
        <x:v>1</x:v>
      </x:c>
      <x:c r="AG957" s="34" t="str"/>
      <x:c r="AH957" s="34" t="n">
        <x:v>0</x:v>
      </x:c>
      <x:c r="AI957" s="34" t="str">
        <x:v>3.446647212967946e-06</x:v>
      </x:c>
      <x:c r="AJ957" s="40" t="b">
        <x:v>1</x:v>
      </x:c>
      <x:c r="AK957" s="40" t="b">
        <x:v>1</x:v>
      </x:c>
      <x:c r="AL957" s="40" t="b">
        <x:v>1</x:v>
      </x:c>
      <x:c r="AM957" s="40" t="b">
        <x:v>1</x:v>
      </x:c>
      <x:c r="AN957" s="34" t="str"/>
      <x:c r="AO957" s="34" t="n">
        <x:v>0</x:v>
      </x:c>
      <x:c r="AP957" s="34" t="n">
        <x:v>0</x:v>
      </x:c>
      <x:c r="AQ957" s="34" t="n">
        <x:v>0</x:v>
      </x:c>
      <x:c r="AR957" s="34" t="n">
        <x:v>2</x:v>
      </x:c>
      <x:c r="AS957" s="34" t="n">
        <x:v>2</x:v>
      </x:c>
      <x:c r="AT957" s="34" t="n">
        <x:v>0.5333221247999997</x:v>
      </x:c>
      <x:c r="AU957" s="34" t="n">
        <x:v>0.65</x:v>
      </x:c>
      <x:c r="AV957" s="34" t="n">
        <x:v>2.6399999999999997</x:v>
      </x:c>
    </x:row>
    <x:row r="958">
      <x:c r="A958" s="34" t="str">
        <x:v>NIPPON_STEEL_JP</x:v>
      </x:c>
      <x:c r="B958" s="34" t="str">
        <x:v>Nippon Steel</x:v>
      </x:c>
      <x:c r="C958" s="34" t="str">
        <x:v>ACCELERATED_15C</x:v>
      </x:c>
      <x:c r="D958" s="34" t="str">
        <x:v>P3</x:v>
      </x:c>
      <x:c r="E958" s="34" t="n">
        <x:v>2037</x:v>
      </x:c>
      <x:c r="F958" s="34" t="n">
        <x:v>4</x:v>
      </x:c>
      <x:c r="G958" s="34" t="n">
        <x:v>15.599998</x:v>
      </x:c>
      <x:c r="H958" s="34" t="n">
        <x:v>25.8</x:v>
      </x:c>
      <x:c r="I958" s="34" t="n">
        <x:v>10.200002</x:v>
      </x:c>
      <x:c r="J958" s="34" t="n">
        <x:v>60.465</x:v>
      </x:c>
      <x:c r="K958" s="34" t="n">
        <x:v>0.704</x:v>
      </x:c>
      <x:c r="L958" s="34" t="n">
        <x:v>3.3</x:v>
      </x:c>
      <x:c r="M958" s="34" t="n">
        <x:v>2.596</x:v>
      </x:c>
      <x:c r="N958" s="34" t="n">
        <x:v>21.333</x:v>
      </x:c>
      <x:c r="O958" s="34" t="n">
        <x:v>14.4</x:v>
      </x:c>
      <x:c r="P958" s="34" t="n">
        <x:v>24.8</x:v>
      </x:c>
      <x:c r="Q958" s="34" t="n">
        <x:v>10.4</x:v>
      </x:c>
      <x:c r="R958" s="34" t="n">
        <x:v>58.065</x:v>
      </x:c>
      <x:c r="S958" s="40" t="b">
        <x:v>1</x:v>
      </x:c>
      <x:c r="T958" s="34" t="str">
        <x:v>model_interpolation</x:v>
      </x:c>
      <x:c r="U958" s="34" t="str">
        <x:v>Linear interpolation from 2035 to 2040</x:v>
      </x:c>
      <x:c r="V958" s="34" t="str">
        <x:v>CAND-EF9F86F64A1C2A</x:v>
      </x:c>
      <x:c r="W958" s="34" t="str">
        <x:v>P3</x:v>
      </x:c>
      <x:c r="X958" s="34" t="str">
        <x:v>PORT-00B029BF7478</x:v>
      </x:c>
      <x:c r="Y958" s="34" t="n">
        <x:v>1000</x:v>
      </x:c>
      <x:c r="Z958" s="34" t="n">
        <x:v>83.496806</x:v>
      </x:c>
      <x:c r="AA958" s="34" t="n">
        <x:v>20.616214</x:v>
      </x:c>
      <x:c r="AB958" s="34" t="n">
        <x:v>459.478949</x:v>
      </x:c>
      <x:c r="AC958" s="34" t="n">
        <x:v>37612.255</x:v>
      </x:c>
      <x:c r="AD958" s="34" t="n">
        <x:v>81.858493</x:v>
      </x:c>
      <x:c r="AE958" s="40" t="b">
        <x:v>1</x:v>
      </x:c>
      <x:c r="AF958" s="40" t="b">
        <x:v>1</x:v>
      </x:c>
      <x:c r="AG958" s="34" t="str"/>
      <x:c r="AH958" s="34" t="n">
        <x:v>0</x:v>
      </x:c>
      <x:c r="AI958" s="34" t="str">
        <x:v>3.446647212967946e-06</x:v>
      </x:c>
      <x:c r="AJ958" s="40" t="b">
        <x:v>1</x:v>
      </x:c>
      <x:c r="AK958" s="40" t="b">
        <x:v>1</x:v>
      </x:c>
      <x:c r="AL958" s="40" t="b">
        <x:v>1</x:v>
      </x:c>
      <x:c r="AM958" s="40" t="b">
        <x:v>1</x:v>
      </x:c>
      <x:c r="AN958" s="34" t="str"/>
      <x:c r="AO958" s="34" t="n">
        <x:v>0</x:v>
      </x:c>
      <x:c r="AP958" s="34" t="n">
        <x:v>0</x:v>
      </x:c>
      <x:c r="AQ958" s="34" t="n">
        <x:v>0</x:v>
      </x:c>
      <x:c r="AR958" s="34" t="n">
        <x:v>2</x:v>
      </x:c>
      <x:c r="AS958" s="34" t="n">
        <x:v>2</x:v>
      </x:c>
      <x:c r="AT958" s="34" t="n">
        <x:v>0.5333221247999997</x:v>
      </x:c>
      <x:c r="AU958" s="34" t="n">
        <x:v>0.65</x:v>
      </x:c>
      <x:c r="AV958" s="34" t="n">
        <x:v>2.6399999999999997</x:v>
      </x:c>
    </x:row>
    <x:row r="959">
      <x:c r="A959" s="34" t="str">
        <x:v>NIPPON_STEEL_JP</x:v>
      </x:c>
      <x:c r="B959" s="34" t="str">
        <x:v>Nippon Steel</x:v>
      </x:c>
      <x:c r="C959" s="34" t="str">
        <x:v>ACCELERATED_15C</x:v>
      </x:c>
      <x:c r="D959" s="34" t="str">
        <x:v>P3</x:v>
      </x:c>
      <x:c r="E959" s="34" t="n">
        <x:v>2038</x:v>
      </x:c>
      <x:c r="F959" s="34" t="n">
        <x:v>5</x:v>
      </x:c>
      <x:c r="G959" s="34" t="n">
        <x:v>16.544998</x:v>
      </x:c>
      <x:c r="H959" s="34" t="n">
        <x:v>27.2</x:v>
      </x:c>
      <x:c r="I959" s="34" t="n">
        <x:v>10.655002</x:v>
      </x:c>
      <x:c r="J959" s="34" t="n">
        <x:v>60.827</x:v>
      </x:c>
      <x:c r="K959" s="34" t="n">
        <x:v>1.0505</x:v>
      </x:c>
      <x:c r="L959" s="34" t="n">
        <x:v>3.7</x:v>
      </x:c>
      <x:c r="M959" s="34" t="n">
        <x:v>2.6495</x:v>
      </x:c>
      <x:c r="N959" s="34" t="n">
        <x:v>28.392</x:v>
      </x:c>
      <x:c r="O959" s="34" t="n">
        <x:v>17.298</x:v>
      </x:c>
      <x:c r="P959" s="34" t="n">
        <x:v>27.2</x:v>
      </x:c>
      <x:c r="Q959" s="34" t="n">
        <x:v>9.902</x:v>
      </x:c>
      <x:c r="R959" s="34" t="n">
        <x:v>63.596</x:v>
      </x:c>
      <x:c r="S959" s="40" t="b">
        <x:v>1</x:v>
      </x:c>
      <x:c r="T959" s="34" t="str">
        <x:v>model_interpolation</x:v>
      </x:c>
      <x:c r="U959" s="34" t="str">
        <x:v>Linear interpolation from 2035 to 2040</x:v>
      </x:c>
      <x:c r="V959" s="34" t="str">
        <x:v>CAND-EF9F86F64A1C2A</x:v>
      </x:c>
      <x:c r="W959" s="34" t="str">
        <x:v>P3</x:v>
      </x:c>
      <x:c r="X959" s="34" t="str">
        <x:v>PORT-00B029BF7478</x:v>
      </x:c>
      <x:c r="Y959" s="34" t="n">
        <x:v>1000</x:v>
      </x:c>
      <x:c r="Z959" s="34" t="n">
        <x:v>83.496806</x:v>
      </x:c>
      <x:c r="AA959" s="34" t="n">
        <x:v>20.616214</x:v>
      </x:c>
      <x:c r="AB959" s="34" t="n">
        <x:v>459.478949</x:v>
      </x:c>
      <x:c r="AC959" s="34" t="n">
        <x:v>37612.255</x:v>
      </x:c>
      <x:c r="AD959" s="34" t="n">
        <x:v>81.858493</x:v>
      </x:c>
      <x:c r="AE959" s="40" t="b">
        <x:v>1</x:v>
      </x:c>
      <x:c r="AF959" s="40" t="b">
        <x:v>1</x:v>
      </x:c>
      <x:c r="AG959" s="34" t="str"/>
      <x:c r="AH959" s="34" t="n">
        <x:v>0</x:v>
      </x:c>
      <x:c r="AI959" s="34" t="str">
        <x:v>3.446647212967946e-06</x:v>
      </x:c>
      <x:c r="AJ959" s="40" t="b">
        <x:v>1</x:v>
      </x:c>
      <x:c r="AK959" s="40" t="b">
        <x:v>1</x:v>
      </x:c>
      <x:c r="AL959" s="40" t="b">
        <x:v>1</x:v>
      </x:c>
      <x:c r="AM959" s="40" t="b">
        <x:v>1</x:v>
      </x:c>
      <x:c r="AN959" s="34" t="str"/>
      <x:c r="AO959" s="34" t="n">
        <x:v>0</x:v>
      </x:c>
      <x:c r="AP959" s="34" t="n">
        <x:v>0</x:v>
      </x:c>
      <x:c r="AQ959" s="34" t="n">
        <x:v>0</x:v>
      </x:c>
      <x:c r="AR959" s="34" t="n">
        <x:v>2</x:v>
      </x:c>
      <x:c r="AS959" s="34" t="n">
        <x:v>2</x:v>
      </x:c>
      <x:c r="AT959" s="34" t="n">
        <x:v>0.5333221247999997</x:v>
      </x:c>
      <x:c r="AU959" s="34" t="n">
        <x:v>0.65</x:v>
      </x:c>
      <x:c r="AV959" s="34" t="n">
        <x:v>2.6399999999999997</x:v>
      </x:c>
    </x:row>
    <x:row r="960">
      <x:c r="A960" s="34" t="str">
        <x:v>NIPPON_STEEL_JP</x:v>
      </x:c>
      <x:c r="B960" s="34" t="str">
        <x:v>Nippon Steel</x:v>
      </x:c>
      <x:c r="C960" s="34" t="str">
        <x:v>ACCELERATED_15C</x:v>
      </x:c>
      <x:c r="D960" s="34" t="str">
        <x:v>P3</x:v>
      </x:c>
      <x:c r="E960" s="34" t="n">
        <x:v>2039</x:v>
      </x:c>
      <x:c r="F960" s="34" t="n">
        <x:v>5</x:v>
      </x:c>
      <x:c r="G960" s="34" t="n">
        <x:v>16.544998</x:v>
      </x:c>
      <x:c r="H960" s="34" t="n">
        <x:v>28.6</x:v>
      </x:c>
      <x:c r="I960" s="34" t="n">
        <x:v>12.055002</x:v>
      </x:c>
      <x:c r="J960" s="34" t="n">
        <x:v>57.85</x:v>
      </x:c>
      <x:c r="K960" s="34" t="n">
        <x:v>1.0505</x:v>
      </x:c>
      <x:c r="L960" s="34" t="n">
        <x:v>4.1</x:v>
      </x:c>
      <x:c r="M960" s="34" t="n">
        <x:v>3.0495</x:v>
      </x:c>
      <x:c r="N960" s="34" t="n">
        <x:v>25.622</x:v>
      </x:c>
      <x:c r="O960" s="34" t="n">
        <x:v>17.298</x:v>
      </x:c>
      <x:c r="P960" s="34" t="n">
        <x:v>29.6</x:v>
      </x:c>
      <x:c r="Q960" s="34" t="n">
        <x:v>12.302</x:v>
      </x:c>
      <x:c r="R960" s="34" t="n">
        <x:v>58.439</x:v>
      </x:c>
      <x:c r="S960" s="40" t="b">
        <x:v>1</x:v>
      </x:c>
      <x:c r="T960" s="34" t="str">
        <x:v>model_interpolation</x:v>
      </x:c>
      <x:c r="U960" s="34" t="str">
        <x:v>Linear interpolation from 2035 to 2040</x:v>
      </x:c>
      <x:c r="V960" s="34" t="str">
        <x:v>CAND-EF9F86F64A1C2A</x:v>
      </x:c>
      <x:c r="W960" s="34" t="str">
        <x:v>P3</x:v>
      </x:c>
      <x:c r="X960" s="34" t="str">
        <x:v>PORT-00B029BF7478</x:v>
      </x:c>
      <x:c r="Y960" s="34" t="n">
        <x:v>1000</x:v>
      </x:c>
      <x:c r="Z960" s="34" t="n">
        <x:v>83.496806</x:v>
      </x:c>
      <x:c r="AA960" s="34" t="n">
        <x:v>20.616214</x:v>
      </x:c>
      <x:c r="AB960" s="34" t="n">
        <x:v>459.478949</x:v>
      </x:c>
      <x:c r="AC960" s="34" t="n">
        <x:v>37612.255</x:v>
      </x:c>
      <x:c r="AD960" s="34" t="n">
        <x:v>81.858493</x:v>
      </x:c>
      <x:c r="AE960" s="40" t="b">
        <x:v>1</x:v>
      </x:c>
      <x:c r="AF960" s="40" t="b">
        <x:v>1</x:v>
      </x:c>
      <x:c r="AG960" s="34" t="str"/>
      <x:c r="AH960" s="34" t="n">
        <x:v>0</x:v>
      </x:c>
      <x:c r="AI960" s="34" t="str">
        <x:v>3.446647212967946e-06</x:v>
      </x:c>
      <x:c r="AJ960" s="40" t="b">
        <x:v>1</x:v>
      </x:c>
      <x:c r="AK960" s="40" t="b">
        <x:v>1</x:v>
      </x:c>
      <x:c r="AL960" s="40" t="b">
        <x:v>1</x:v>
      </x:c>
      <x:c r="AM960" s="40" t="b">
        <x:v>1</x:v>
      </x:c>
      <x:c r="AN960" s="34" t="str"/>
      <x:c r="AO960" s="34" t="n">
        <x:v>0</x:v>
      </x:c>
      <x:c r="AP960" s="34" t="n">
        <x:v>0</x:v>
      </x:c>
      <x:c r="AQ960" s="34" t="n">
        <x:v>0</x:v>
      </x:c>
      <x:c r="AR960" s="34" t="n">
        <x:v>2</x:v>
      </x:c>
      <x:c r="AS960" s="34" t="n">
        <x:v>2</x:v>
      </x:c>
      <x:c r="AT960" s="34" t="n">
        <x:v>0.5333221247999997</x:v>
      </x:c>
      <x:c r="AU960" s="34" t="n">
        <x:v>0.65</x:v>
      </x:c>
      <x:c r="AV960" s="34" t="n">
        <x:v>2.6399999999999997</x:v>
      </x:c>
    </x:row>
    <x:row r="961">
      <x:c r="A961" s="34" t="str">
        <x:v>NIPPON_STEEL_JP</x:v>
      </x:c>
      <x:c r="B961" s="34" t="str">
        <x:v>Nippon Steel</x:v>
      </x:c>
      <x:c r="C961" s="34" t="str">
        <x:v>ACCELERATED_15C</x:v>
      </x:c>
      <x:c r="D961" s="34" t="str">
        <x:v>P3</x:v>
      </x:c>
      <x:c r="E961" s="34" t="n">
        <x:v>2040</x:v>
      </x:c>
      <x:c r="F961" s="34" t="n">
        <x:v>5</x:v>
      </x:c>
      <x:c r="G961" s="34" t="n">
        <x:v>16.544998</x:v>
      </x:c>
      <x:c r="H961" s="34" t="n">
        <x:v>30</x:v>
      </x:c>
      <x:c r="I961" s="34" t="n">
        <x:v>13.455002</x:v>
      </x:c>
      <x:c r="J961" s="34" t="n">
        <x:v>55.15</x:v>
      </x:c>
      <x:c r="K961" s="34" t="n">
        <x:v>1.0505</x:v>
      </x:c>
      <x:c r="L961" s="34" t="n">
        <x:v>4.5</x:v>
      </x:c>
      <x:c r="M961" s="34" t="n">
        <x:v>3.4495</x:v>
      </x:c>
      <x:c r="N961" s="34" t="n">
        <x:v>23.344</x:v>
      </x:c>
      <x:c r="O961" s="34" t="n">
        <x:v>17.298</x:v>
      </x:c>
      <x:c r="P961" s="34" t="n">
        <x:v>32</x:v>
      </x:c>
      <x:c r="Q961" s="34" t="n">
        <x:v>14.702</x:v>
      </x:c>
      <x:c r="R961" s="34" t="n">
        <x:v>54.056</x:v>
      </x:c>
      <x:c r="S961" s="40" t="b">
        <x:v>1</x:v>
      </x:c>
      <x:c r="T961" s="34" t="str">
        <x:v>model_estimate</x:v>
      </x:c>
      <x:c r="U961" s="34" t="str">
        <x:v>Illustrative accelerated envelope; not GCAM or an official supply forecast</x:v>
      </x:c>
      <x:c r="V961" s="34" t="str">
        <x:v>CAND-EF9F86F64A1C2A</x:v>
      </x:c>
      <x:c r="W961" s="34" t="str">
        <x:v>P3</x:v>
      </x:c>
      <x:c r="X961" s="34" t="str">
        <x:v>PORT-00B029BF7478</x:v>
      </x:c>
      <x:c r="Y961" s="34" t="n">
        <x:v>1000</x:v>
      </x:c>
      <x:c r="Z961" s="34" t="n">
        <x:v>83.496806</x:v>
      </x:c>
      <x:c r="AA961" s="34" t="n">
        <x:v>20.616214</x:v>
      </x:c>
      <x:c r="AB961" s="34" t="n">
        <x:v>459.478949</x:v>
      </x:c>
      <x:c r="AC961" s="34" t="n">
        <x:v>37612.255</x:v>
      </x:c>
      <x:c r="AD961" s="34" t="n">
        <x:v>81.858493</x:v>
      </x:c>
      <x:c r="AE961" s="40" t="b">
        <x:v>1</x:v>
      </x:c>
      <x:c r="AF961" s="40" t="b">
        <x:v>1</x:v>
      </x:c>
      <x:c r="AG961" s="34" t="str"/>
      <x:c r="AH961" s="34" t="n">
        <x:v>0</x:v>
      </x:c>
      <x:c r="AI961" s="34" t="str">
        <x:v>3.446647212967946e-06</x:v>
      </x:c>
      <x:c r="AJ961" s="40" t="b">
        <x:v>1</x:v>
      </x:c>
      <x:c r="AK961" s="40" t="b">
        <x:v>1</x:v>
      </x:c>
      <x:c r="AL961" s="40" t="b">
        <x:v>1</x:v>
      </x:c>
      <x:c r="AM961" s="40" t="b">
        <x:v>1</x:v>
      </x:c>
      <x:c r="AN961" s="34" t="str"/>
      <x:c r="AO961" s="34" t="n">
        <x:v>0</x:v>
      </x:c>
      <x:c r="AP961" s="34" t="n">
        <x:v>0</x:v>
      </x:c>
      <x:c r="AQ961" s="34" t="n">
        <x:v>0</x:v>
      </x:c>
      <x:c r="AR961" s="34" t="n">
        <x:v>2</x:v>
      </x:c>
      <x:c r="AS961" s="34" t="n">
        <x:v>2</x:v>
      </x:c>
      <x:c r="AT961" s="34" t="n">
        <x:v>0.5333221247999997</x:v>
      </x:c>
      <x:c r="AU961" s="34" t="n">
        <x:v>0.65</x:v>
      </x:c>
      <x:c r="AV961" s="34" t="n">
        <x:v>2.6399999999999997</x:v>
      </x:c>
    </x:row>
    <x:row r="962">
      <x:c r="A962" s="34" t="str">
        <x:v>JFE_STEEL_JP</x:v>
      </x:c>
      <x:c r="B962" s="34" t="str">
        <x:v>JFE Steel</x:v>
      </x:c>
      <x:c r="C962" s="34" t="str">
        <x:v>DISCLOSED_PATH</x:v>
      </x:c>
      <x:c r="D962" s="34" t="str">
        <x:v>P2</x:v>
      </x:c>
      <x:c r="E962" s="34" t="n">
        <x:v>2026</x:v>
      </x:c>
      <x:c r="F962" s="34" t="n">
        <x:v>0</x:v>
      </x:c>
      <x:c r="G962" s="34" t="n">
        <x:v>0</x:v>
      </x:c>
      <x:c r="H962" s="34" t="n">
        <x:v>5</x:v>
      </x:c>
      <x:c r="I962" s="34" t="n">
        <x:v>5</x:v>
      </x:c>
      <x:c r="J962" s="34" t="n">
        <x:v>0</x:v>
      </x:c>
      <x:c r="K962" s="34" t="n">
        <x:v>0</x:v>
      </x:c>
      <x:c r="L962" s="34" t="n">
        <x:v>0</x:v>
      </x:c>
      <x:c r="M962" s="34" t="n">
        <x:v>0</x:v>
      </x:c>
      <x:c r="N962" s="34" t="n">
        <x:v>0</x:v>
      </x:c>
      <x:c r="O962" s="34" t="n">
        <x:v>0</x:v>
      </x:c>
      <x:c r="P962" s="34" t="n">
        <x:v>1.5</x:v>
      </x:c>
      <x:c r="Q962" s="34" t="n">
        <x:v>1.5</x:v>
      </x:c>
      <x:c r="R962" s="34" t="n">
        <x:v>0</x:v>
      </x:c>
      <x:c r="S962" s="40" t="b">
        <x:v>1</x:v>
      </x:c>
      <x:c r="T962" s="34" t="str">
        <x:v>model_interpolation</x:v>
      </x:c>
      <x:c r="U962" s="34" t="str">
        <x:v>Linear interpolation from 2026 to 2030</x:v>
      </x:c>
      <x:c r="V962" s="34" t="str">
        <x:v>CAND-F4B6AD5FB08D71</x:v>
      </x:c>
      <x:c r="W962" s="34" t="str">
        <x:v>P2</x:v>
      </x:c>
      <x:c r="X962" s="34" t="str">
        <x:v>PORT-51A2628EF9C2</x:v>
      </x:c>
      <x:c r="Y962" s="34" t="n">
        <x:v>1000</x:v>
      </x:c>
      <x:c r="Z962" s="34" t="n">
        <x:v>129.685059</x:v>
      </x:c>
      <x:c r="AA962" s="34" t="n">
        <x:v>32.792823</x:v>
      </x:c>
      <x:c r="AB962" s="34" t="n">
        <x:v>328.220861</x:v>
      </x:c>
      <x:c r="AC962" s="34" t="n">
        <x:v>41807.514</x:v>
      </x:c>
      <x:c r="AD962" s="34" t="n">
        <x:v>127.376163</x:v>
      </x:c>
      <x:c r="AE962" s="40" t="b">
        <x:v>1</x:v>
      </x:c>
      <x:c r="AF962" s="40" t="b">
        <x:v>1</x:v>
      </x:c>
      <x:c r="AG962" s="34" t="str"/>
      <x:c r="AH962" s="34" t="n">
        <x:v>0</x:v>
      </x:c>
      <x:c r="AI962" s="34" t="str">
        <x:v>1.265341119704999e-05</x:v>
      </x:c>
      <x:c r="AJ962" s="40" t="b">
        <x:v>1</x:v>
      </x:c>
      <x:c r="AK962" s="40" t="b">
        <x:v>1</x:v>
      </x:c>
      <x:c r="AL962" s="40" t="b">
        <x:v>1</x:v>
      </x:c>
      <x:c r="AM962" s="40" t="b">
        <x:v>1</x:v>
      </x:c>
      <x:c r="AN962" s="34" t="str"/>
      <x:c r="AO962" s="34" t="n">
        <x:v>0</x:v>
      </x:c>
      <x:c r="AP962" s="34" t="n">
        <x:v>0</x:v>
      </x:c>
      <x:c r="AQ962" s="34" t="n">
        <x:v>0</x:v>
      </x:c>
      <x:c r="AR962" s="34" t="n">
        <x:v>3</x:v>
      </x:c>
      <x:c r="AS962" s="34" t="n">
        <x:v>3</x:v>
      </x:c>
      <x:c r="AT962" s="34" t="n">
        <x:v>0.41232239999999987</x:v>
      </x:c>
      <x:c r="AU962" s="34" t="n">
        <x:v>0.65</x:v>
      </x:c>
      <x:c r="AV962" s="34" t="n">
        <x:v>1.78</x:v>
      </x:c>
    </x:row>
    <x:row r="963">
      <x:c r="A963" s="34" t="str">
        <x:v>JFE_STEEL_JP</x:v>
      </x:c>
      <x:c r="B963" s="34" t="str">
        <x:v>JFE Steel</x:v>
      </x:c>
      <x:c r="C963" s="34" t="str">
        <x:v>DISCLOSED_PATH</x:v>
      </x:c>
      <x:c r="D963" s="34" t="str">
        <x:v>P2</x:v>
      </x:c>
      <x:c r="E963" s="34" t="n">
        <x:v>2027</x:v>
      </x:c>
      <x:c r="F963" s="34" t="n">
        <x:v>0</x:v>
      </x:c>
      <x:c r="G963" s="34" t="n">
        <x:v>0</x:v>
      </x:c>
      <x:c r="H963" s="34" t="n">
        <x:v>5.75</x:v>
      </x:c>
      <x:c r="I963" s="34" t="n">
        <x:v>5.75</x:v>
      </x:c>
      <x:c r="J963" s="34" t="n">
        <x:v>0</x:v>
      </x:c>
      <x:c r="K963" s="34" t="n">
        <x:v>0</x:v>
      </x:c>
      <x:c r="L963" s="34" t="n">
        <x:v>0.1</x:v>
      </x:c>
      <x:c r="M963" s="34" t="n">
        <x:v>0.1</x:v>
      </x:c>
      <x:c r="N963" s="34" t="n">
        <x:v>0</x:v>
      </x:c>
      <x:c r="O963" s="34" t="n">
        <x:v>0</x:v>
      </x:c>
      <x:c r="P963" s="34" t="n">
        <x:v>2.375</x:v>
      </x:c>
      <x:c r="Q963" s="34" t="n">
        <x:v>2.375</x:v>
      </x:c>
      <x:c r="R963" s="34" t="n">
        <x:v>0</x:v>
      </x:c>
      <x:c r="S963" s="40" t="b">
        <x:v>1</x:v>
      </x:c>
      <x:c r="T963" s="34" t="str">
        <x:v>model_interpolation</x:v>
      </x:c>
      <x:c r="U963" s="34" t="str">
        <x:v>Linear interpolation from 2026 to 2030</x:v>
      </x:c>
      <x:c r="V963" s="34" t="str">
        <x:v>CAND-F4B6AD5FB08D71</x:v>
      </x:c>
      <x:c r="W963" s="34" t="str">
        <x:v>P2</x:v>
      </x:c>
      <x:c r="X963" s="34" t="str">
        <x:v>PORT-51A2628EF9C2</x:v>
      </x:c>
      <x:c r="Y963" s="34" t="n">
        <x:v>1000</x:v>
      </x:c>
      <x:c r="Z963" s="34" t="n">
        <x:v>129.685059</x:v>
      </x:c>
      <x:c r="AA963" s="34" t="n">
        <x:v>32.792823</x:v>
      </x:c>
      <x:c r="AB963" s="34" t="n">
        <x:v>328.220861</x:v>
      </x:c>
      <x:c r="AC963" s="34" t="n">
        <x:v>41807.514</x:v>
      </x:c>
      <x:c r="AD963" s="34" t="n">
        <x:v>127.376163</x:v>
      </x:c>
      <x:c r="AE963" s="40" t="b">
        <x:v>1</x:v>
      </x:c>
      <x:c r="AF963" s="40" t="b">
        <x:v>1</x:v>
      </x:c>
      <x:c r="AG963" s="34" t="str"/>
      <x:c r="AH963" s="34" t="n">
        <x:v>0</x:v>
      </x:c>
      <x:c r="AI963" s="34" t="str">
        <x:v>1.265341119704999e-05</x:v>
      </x:c>
      <x:c r="AJ963" s="40" t="b">
        <x:v>1</x:v>
      </x:c>
      <x:c r="AK963" s="40" t="b">
        <x:v>1</x:v>
      </x:c>
      <x:c r="AL963" s="40" t="b">
        <x:v>1</x:v>
      </x:c>
      <x:c r="AM963" s="40" t="b">
        <x:v>1</x:v>
      </x:c>
      <x:c r="AN963" s="34" t="str"/>
      <x:c r="AO963" s="34" t="n">
        <x:v>0</x:v>
      </x:c>
      <x:c r="AP963" s="34" t="n">
        <x:v>0</x:v>
      </x:c>
      <x:c r="AQ963" s="34" t="n">
        <x:v>0</x:v>
      </x:c>
      <x:c r="AR963" s="34" t="n">
        <x:v>3</x:v>
      </x:c>
      <x:c r="AS963" s="34" t="n">
        <x:v>3</x:v>
      </x:c>
      <x:c r="AT963" s="34" t="n">
        <x:v>0.41232239999999987</x:v>
      </x:c>
      <x:c r="AU963" s="34" t="n">
        <x:v>0.65</x:v>
      </x:c>
      <x:c r="AV963" s="34" t="n">
        <x:v>1.78</x:v>
      </x:c>
    </x:row>
    <x:row r="964">
      <x:c r="A964" s="34" t="str">
        <x:v>JFE_STEEL_JP</x:v>
      </x:c>
      <x:c r="B964" s="34" t="str">
        <x:v>JFE Steel</x:v>
      </x:c>
      <x:c r="C964" s="34" t="str">
        <x:v>DISCLOSED_PATH</x:v>
      </x:c>
      <x:c r="D964" s="34" t="str">
        <x:v>P2</x:v>
      </x:c>
      <x:c r="E964" s="34" t="n">
        <x:v>2028</x:v>
      </x:c>
      <x:c r="F964" s="34" t="n">
        <x:v>0</x:v>
      </x:c>
      <x:c r="G964" s="34" t="n">
        <x:v>0</x:v>
      </x:c>
      <x:c r="H964" s="34" t="n">
        <x:v>6.5</x:v>
      </x:c>
      <x:c r="I964" s="34" t="n">
        <x:v>6.5</x:v>
      </x:c>
      <x:c r="J964" s="34" t="n">
        <x:v>0</x:v>
      </x:c>
      <x:c r="K964" s="34" t="n">
        <x:v>0</x:v>
      </x:c>
      <x:c r="L964" s="34" t="n">
        <x:v>0.2</x:v>
      </x:c>
      <x:c r="M964" s="34" t="n">
        <x:v>0.2</x:v>
      </x:c>
      <x:c r="N964" s="34" t="n">
        <x:v>0</x:v>
      </x:c>
      <x:c r="O964" s="34" t="n">
        <x:v>0</x:v>
      </x:c>
      <x:c r="P964" s="34" t="n">
        <x:v>3.25</x:v>
      </x:c>
      <x:c r="Q964" s="34" t="n">
        <x:v>3.25</x:v>
      </x:c>
      <x:c r="R964" s="34" t="n">
        <x:v>0</x:v>
      </x:c>
      <x:c r="S964" s="40" t="b">
        <x:v>1</x:v>
      </x:c>
      <x:c r="T964" s="34" t="str">
        <x:v>model_interpolation</x:v>
      </x:c>
      <x:c r="U964" s="34" t="str">
        <x:v>Linear interpolation from 2026 to 2030</x:v>
      </x:c>
      <x:c r="V964" s="34" t="str">
        <x:v>CAND-F4B6AD5FB08D71</x:v>
      </x:c>
      <x:c r="W964" s="34" t="str">
        <x:v>P2</x:v>
      </x:c>
      <x:c r="X964" s="34" t="str">
        <x:v>PORT-51A2628EF9C2</x:v>
      </x:c>
      <x:c r="Y964" s="34" t="n">
        <x:v>1000</x:v>
      </x:c>
      <x:c r="Z964" s="34" t="n">
        <x:v>129.685059</x:v>
      </x:c>
      <x:c r="AA964" s="34" t="n">
        <x:v>32.792823</x:v>
      </x:c>
      <x:c r="AB964" s="34" t="n">
        <x:v>328.220861</x:v>
      </x:c>
      <x:c r="AC964" s="34" t="n">
        <x:v>41807.514</x:v>
      </x:c>
      <x:c r="AD964" s="34" t="n">
        <x:v>127.376163</x:v>
      </x:c>
      <x:c r="AE964" s="40" t="b">
        <x:v>1</x:v>
      </x:c>
      <x:c r="AF964" s="40" t="b">
        <x:v>1</x:v>
      </x:c>
      <x:c r="AG964" s="34" t="str"/>
      <x:c r="AH964" s="34" t="n">
        <x:v>0</x:v>
      </x:c>
      <x:c r="AI964" s="34" t="str">
        <x:v>1.265341119704999e-05</x:v>
      </x:c>
      <x:c r="AJ964" s="40" t="b">
        <x:v>1</x:v>
      </x:c>
      <x:c r="AK964" s="40" t="b">
        <x:v>1</x:v>
      </x:c>
      <x:c r="AL964" s="40" t="b">
        <x:v>1</x:v>
      </x:c>
      <x:c r="AM964" s="40" t="b">
        <x:v>1</x:v>
      </x:c>
      <x:c r="AN964" s="34" t="str"/>
      <x:c r="AO964" s="34" t="n">
        <x:v>0</x:v>
      </x:c>
      <x:c r="AP964" s="34" t="n">
        <x:v>0</x:v>
      </x:c>
      <x:c r="AQ964" s="34" t="n">
        <x:v>0</x:v>
      </x:c>
      <x:c r="AR964" s="34" t="n">
        <x:v>3</x:v>
      </x:c>
      <x:c r="AS964" s="34" t="n">
        <x:v>3</x:v>
      </x:c>
      <x:c r="AT964" s="34" t="n">
        <x:v>0.41232239999999987</x:v>
      </x:c>
      <x:c r="AU964" s="34" t="n">
        <x:v>0.65</x:v>
      </x:c>
      <x:c r="AV964" s="34" t="n">
        <x:v>1.78</x:v>
      </x:c>
    </x:row>
    <x:row r="965">
      <x:c r="A965" s="34" t="str">
        <x:v>JFE_STEEL_JP</x:v>
      </x:c>
      <x:c r="B965" s="34" t="str">
        <x:v>JFE Steel</x:v>
      </x:c>
      <x:c r="C965" s="34" t="str">
        <x:v>DISCLOSED_PATH</x:v>
      </x:c>
      <x:c r="D965" s="34" t="str">
        <x:v>P2</x:v>
      </x:c>
      <x:c r="E965" s="34" t="n">
        <x:v>2029</x:v>
      </x:c>
      <x:c r="F965" s="34" t="n">
        <x:v>1</x:v>
      </x:c>
      <x:c r="G965" s="34" t="n">
        <x:v>6.120001</x:v>
      </x:c>
      <x:c r="H965" s="34" t="n">
        <x:v>7.25</x:v>
      </x:c>
      <x:c r="I965" s="34" t="n">
        <x:v>1.129999</x:v>
      </x:c>
      <x:c r="J965" s="34" t="n">
        <x:v>84.414</x:v>
      </x:c>
      <x:c r="K965" s="34" t="n">
        <x:v>0</x:v>
      </x:c>
      <x:c r="L965" s="34" t="n">
        <x:v>0.30000000000000004</x:v>
      </x:c>
      <x:c r="M965" s="34" t="n">
        <x:v>0.3</x:v>
      </x:c>
      <x:c r="N965" s="34" t="n">
        <x:v>0</x:v>
      </x:c>
      <x:c r="O965" s="34" t="n">
        <x:v>3.808</x:v>
      </x:c>
      <x:c r="P965" s="34" t="n">
        <x:v>4.125</x:v>
      </x:c>
      <x:c r="Q965" s="34" t="n">
        <x:v>0.317</x:v>
      </x:c>
      <x:c r="R965" s="34" t="n">
        <x:v>92.315</x:v>
      </x:c>
      <x:c r="S965" s="40" t="b">
        <x:v>1</x:v>
      </x:c>
      <x:c r="T965" s="34" t="str">
        <x:v>model_interpolation</x:v>
      </x:c>
      <x:c r="U965" s="34" t="str">
        <x:v>Linear interpolation from 2026 to 2030</x:v>
      </x:c>
      <x:c r="V965" s="34" t="str">
        <x:v>CAND-F4B6AD5FB08D71</x:v>
      </x:c>
      <x:c r="W965" s="34" t="str">
        <x:v>P2</x:v>
      </x:c>
      <x:c r="X965" s="34" t="str">
        <x:v>PORT-51A2628EF9C2</x:v>
      </x:c>
      <x:c r="Y965" s="34" t="n">
        <x:v>1000</x:v>
      </x:c>
      <x:c r="Z965" s="34" t="n">
        <x:v>129.685059</x:v>
      </x:c>
      <x:c r="AA965" s="34" t="n">
        <x:v>32.792823</x:v>
      </x:c>
      <x:c r="AB965" s="34" t="n">
        <x:v>328.220861</x:v>
      </x:c>
      <x:c r="AC965" s="34" t="n">
        <x:v>41807.514</x:v>
      </x:c>
      <x:c r="AD965" s="34" t="n">
        <x:v>127.376163</x:v>
      </x:c>
      <x:c r="AE965" s="40" t="b">
        <x:v>1</x:v>
      </x:c>
      <x:c r="AF965" s="40" t="b">
        <x:v>1</x:v>
      </x:c>
      <x:c r="AG965" s="34" t="str"/>
      <x:c r="AH965" s="34" t="n">
        <x:v>0</x:v>
      </x:c>
      <x:c r="AI965" s="34" t="str">
        <x:v>1.265341119704999e-05</x:v>
      </x:c>
      <x:c r="AJ965" s="40" t="b">
        <x:v>1</x:v>
      </x:c>
      <x:c r="AK965" s="40" t="b">
        <x:v>1</x:v>
      </x:c>
      <x:c r="AL965" s="40" t="b">
        <x:v>1</x:v>
      </x:c>
      <x:c r="AM965" s="40" t="b">
        <x:v>1</x:v>
      </x:c>
      <x:c r="AN965" s="34" t="str"/>
      <x:c r="AO965" s="34" t="n">
        <x:v>0</x:v>
      </x:c>
      <x:c r="AP965" s="34" t="n">
        <x:v>0</x:v>
      </x:c>
      <x:c r="AQ965" s="34" t="n">
        <x:v>0</x:v>
      </x:c>
      <x:c r="AR965" s="34" t="n">
        <x:v>3</x:v>
      </x:c>
      <x:c r="AS965" s="34" t="n">
        <x:v>3</x:v>
      </x:c>
      <x:c r="AT965" s="34" t="n">
        <x:v>0.41232239999999987</x:v>
      </x:c>
      <x:c r="AU965" s="34" t="n">
        <x:v>0.65</x:v>
      </x:c>
      <x:c r="AV965" s="34" t="n">
        <x:v>1.78</x:v>
      </x:c>
    </x:row>
    <x:row r="966">
      <x:c r="A966" s="34" t="str">
        <x:v>JFE_STEEL_JP</x:v>
      </x:c>
      <x:c r="B966" s="34" t="str">
        <x:v>JFE Steel</x:v>
      </x:c>
      <x:c r="C966" s="34" t="str">
        <x:v>DISCLOSED_PATH</x:v>
      </x:c>
      <x:c r="D966" s="34" t="str">
        <x:v>P2</x:v>
      </x:c>
      <x:c r="E966" s="34" t="n">
        <x:v>2030</x:v>
      </x:c>
      <x:c r="F966" s="34" t="n">
        <x:v>1</x:v>
      </x:c>
      <x:c r="G966" s="34" t="n">
        <x:v>6.120001</x:v>
      </x:c>
      <x:c r="H966" s="34" t="n">
        <x:v>8</x:v>
      </x:c>
      <x:c r="I966" s="34" t="n">
        <x:v>1.879999</x:v>
      </x:c>
      <x:c r="J966" s="34" t="n">
        <x:v>76.5</x:v>
      </x:c>
      <x:c r="K966" s="34" t="n">
        <x:v>0</x:v>
      </x:c>
      <x:c r="L966" s="34" t="n">
        <x:v>0.4</x:v>
      </x:c>
      <x:c r="M966" s="34" t="n">
        <x:v>0.4</x:v>
      </x:c>
      <x:c r="N966" s="34" t="n">
        <x:v>0</x:v>
      </x:c>
      <x:c r="O966" s="34" t="n">
        <x:v>3.808</x:v>
      </x:c>
      <x:c r="P966" s="34" t="n">
        <x:v>5</x:v>
      </x:c>
      <x:c r="Q966" s="34" t="n">
        <x:v>1.192</x:v>
      </x:c>
      <x:c r="R966" s="34" t="n">
        <x:v>76.16</x:v>
      </x:c>
      <x:c r="S966" s="40" t="b">
        <x:v>1</x:v>
      </x:c>
      <x:c r="T966" s="34" t="str">
        <x:v>model_interpolation</x:v>
      </x:c>
      <x:c r="U966" s="34" t="str">
        <x:v>Linear interpolation from 2030 to 2035</x:v>
      </x:c>
      <x:c r="V966" s="34" t="str">
        <x:v>CAND-F4B6AD5FB08D71</x:v>
      </x:c>
      <x:c r="W966" s="34" t="str">
        <x:v>P2</x:v>
      </x:c>
      <x:c r="X966" s="34" t="str">
        <x:v>PORT-51A2628EF9C2</x:v>
      </x:c>
      <x:c r="Y966" s="34" t="n">
        <x:v>1000</x:v>
      </x:c>
      <x:c r="Z966" s="34" t="n">
        <x:v>129.685059</x:v>
      </x:c>
      <x:c r="AA966" s="34" t="n">
        <x:v>32.792823</x:v>
      </x:c>
      <x:c r="AB966" s="34" t="n">
        <x:v>328.220861</x:v>
      </x:c>
      <x:c r="AC966" s="34" t="n">
        <x:v>41807.514</x:v>
      </x:c>
      <x:c r="AD966" s="34" t="n">
        <x:v>127.376163</x:v>
      </x:c>
      <x:c r="AE966" s="40" t="b">
        <x:v>1</x:v>
      </x:c>
      <x:c r="AF966" s="40" t="b">
        <x:v>1</x:v>
      </x:c>
      <x:c r="AG966" s="34" t="str"/>
      <x:c r="AH966" s="34" t="n">
        <x:v>0</x:v>
      </x:c>
      <x:c r="AI966" s="34" t="str">
        <x:v>1.265341119704999e-05</x:v>
      </x:c>
      <x:c r="AJ966" s="40" t="b">
        <x:v>1</x:v>
      </x:c>
      <x:c r="AK966" s="40" t="b">
        <x:v>1</x:v>
      </x:c>
      <x:c r="AL966" s="40" t="b">
        <x:v>1</x:v>
      </x:c>
      <x:c r="AM966" s="40" t="b">
        <x:v>1</x:v>
      </x:c>
      <x:c r="AN966" s="34" t="str"/>
      <x:c r="AO966" s="34" t="n">
        <x:v>0</x:v>
      </x:c>
      <x:c r="AP966" s="34" t="n">
        <x:v>0</x:v>
      </x:c>
      <x:c r="AQ966" s="34" t="n">
        <x:v>0</x:v>
      </x:c>
      <x:c r="AR966" s="34" t="n">
        <x:v>3</x:v>
      </x:c>
      <x:c r="AS966" s="34" t="n">
        <x:v>3</x:v>
      </x:c>
      <x:c r="AT966" s="34" t="n">
        <x:v>0.41232239999999987</x:v>
      </x:c>
      <x:c r="AU966" s="34" t="n">
        <x:v>0.65</x:v>
      </x:c>
      <x:c r="AV966" s="34" t="n">
        <x:v>1.78</x:v>
      </x:c>
    </x:row>
    <x:row r="967">
      <x:c r="A967" s="34" t="str">
        <x:v>JFE_STEEL_JP</x:v>
      </x:c>
      <x:c r="B967" s="34" t="str">
        <x:v>JFE Steel</x:v>
      </x:c>
      <x:c r="C967" s="34" t="str">
        <x:v>DISCLOSED_PATH</x:v>
      </x:c>
      <x:c r="D967" s="34" t="str">
        <x:v>P2</x:v>
      </x:c>
      <x:c r="E967" s="34" t="n">
        <x:v>2031</x:v>
      </x:c>
      <x:c r="F967" s="34" t="n">
        <x:v>1</x:v>
      </x:c>
      <x:c r="G967" s="34" t="n">
        <x:v>6.120001</x:v>
      </x:c>
      <x:c r="H967" s="34" t="n">
        <x:v>8.8</x:v>
      </x:c>
      <x:c r="I967" s="34" t="n">
        <x:v>2.679999</x:v>
      </x:c>
      <x:c r="J967" s="34" t="n">
        <x:v>69.545</x:v>
      </x:c>
      <x:c r="K967" s="34" t="n">
        <x:v>0</x:v>
      </x:c>
      <x:c r="L967" s="34" t="n">
        <x:v>0.56</x:v>
      </x:c>
      <x:c r="M967" s="34" t="n">
        <x:v>0.56</x:v>
      </x:c>
      <x:c r="N967" s="34" t="n">
        <x:v>0</x:v>
      </x:c>
      <x:c r="O967" s="34" t="n">
        <x:v>3.808</x:v>
      </x:c>
      <x:c r="P967" s="34" t="n">
        <x:v>6</x:v>
      </x:c>
      <x:c r="Q967" s="34" t="n">
        <x:v>2.192</x:v>
      </x:c>
      <x:c r="R967" s="34" t="n">
        <x:v>63.467</x:v>
      </x:c>
      <x:c r="S967" s="40" t="b">
        <x:v>1</x:v>
      </x:c>
      <x:c r="T967" s="34" t="str">
        <x:v>model_interpolation</x:v>
      </x:c>
      <x:c r="U967" s="34" t="str">
        <x:v>Linear interpolation from 2030 to 2035</x:v>
      </x:c>
      <x:c r="V967" s="34" t="str">
        <x:v>CAND-F4B6AD5FB08D71</x:v>
      </x:c>
      <x:c r="W967" s="34" t="str">
        <x:v>P2</x:v>
      </x:c>
      <x:c r="X967" s="34" t="str">
        <x:v>PORT-51A2628EF9C2</x:v>
      </x:c>
      <x:c r="Y967" s="34" t="n">
        <x:v>1000</x:v>
      </x:c>
      <x:c r="Z967" s="34" t="n">
        <x:v>129.685059</x:v>
      </x:c>
      <x:c r="AA967" s="34" t="n">
        <x:v>32.792823</x:v>
      </x:c>
      <x:c r="AB967" s="34" t="n">
        <x:v>328.220861</x:v>
      </x:c>
      <x:c r="AC967" s="34" t="n">
        <x:v>41807.514</x:v>
      </x:c>
      <x:c r="AD967" s="34" t="n">
        <x:v>127.376163</x:v>
      </x:c>
      <x:c r="AE967" s="40" t="b">
        <x:v>1</x:v>
      </x:c>
      <x:c r="AF967" s="40" t="b">
        <x:v>1</x:v>
      </x:c>
      <x:c r="AG967" s="34" t="str"/>
      <x:c r="AH967" s="34" t="n">
        <x:v>0</x:v>
      </x:c>
      <x:c r="AI967" s="34" t="str">
        <x:v>1.265341119704999e-05</x:v>
      </x:c>
      <x:c r="AJ967" s="40" t="b">
        <x:v>1</x:v>
      </x:c>
      <x:c r="AK967" s="40" t="b">
        <x:v>1</x:v>
      </x:c>
      <x:c r="AL967" s="40" t="b">
        <x:v>1</x:v>
      </x:c>
      <x:c r="AM967" s="40" t="b">
        <x:v>1</x:v>
      </x:c>
      <x:c r="AN967" s="34" t="str"/>
      <x:c r="AO967" s="34" t="n">
        <x:v>0</x:v>
      </x:c>
      <x:c r="AP967" s="34" t="n">
        <x:v>0</x:v>
      </x:c>
      <x:c r="AQ967" s="34" t="n">
        <x:v>0</x:v>
      </x:c>
      <x:c r="AR967" s="34" t="n">
        <x:v>3</x:v>
      </x:c>
      <x:c r="AS967" s="34" t="n">
        <x:v>3</x:v>
      </x:c>
      <x:c r="AT967" s="34" t="n">
        <x:v>0.41232239999999987</x:v>
      </x:c>
      <x:c r="AU967" s="34" t="n">
        <x:v>0.65</x:v>
      </x:c>
      <x:c r="AV967" s="34" t="n">
        <x:v>1.78</x:v>
      </x:c>
    </x:row>
    <x:row r="968">
      <x:c r="A968" s="34" t="str">
        <x:v>JFE_STEEL_JP</x:v>
      </x:c>
      <x:c r="B968" s="34" t="str">
        <x:v>JFE Steel</x:v>
      </x:c>
      <x:c r="C968" s="34" t="str">
        <x:v>DISCLOSED_PATH</x:v>
      </x:c>
      <x:c r="D968" s="34" t="str">
        <x:v>P2</x:v>
      </x:c>
      <x:c r="E968" s="34" t="n">
        <x:v>2032</x:v>
      </x:c>
      <x:c r="F968" s="34" t="n">
        <x:v>1</x:v>
      </x:c>
      <x:c r="G968" s="34" t="n">
        <x:v>6.120001</x:v>
      </x:c>
      <x:c r="H968" s="34" t="n">
        <x:v>9.6</x:v>
      </x:c>
      <x:c r="I968" s="34" t="n">
        <x:v>3.479999</x:v>
      </x:c>
      <x:c r="J968" s="34" t="n">
        <x:v>63.75</x:v>
      </x:c>
      <x:c r="K968" s="34" t="n">
        <x:v>0</x:v>
      </x:c>
      <x:c r="L968" s="34" t="n">
        <x:v>0.72</x:v>
      </x:c>
      <x:c r="M968" s="34" t="n">
        <x:v>0.72</x:v>
      </x:c>
      <x:c r="N968" s="34" t="n">
        <x:v>0</x:v>
      </x:c>
      <x:c r="O968" s="34" t="n">
        <x:v>3.808</x:v>
      </x:c>
      <x:c r="P968" s="34" t="n">
        <x:v>7</x:v>
      </x:c>
      <x:c r="Q968" s="34" t="n">
        <x:v>3.192</x:v>
      </x:c>
      <x:c r="R968" s="34" t="n">
        <x:v>54.4</x:v>
      </x:c>
      <x:c r="S968" s="40" t="b">
        <x:v>1</x:v>
      </x:c>
      <x:c r="T968" s="34" t="str">
        <x:v>model_interpolation</x:v>
      </x:c>
      <x:c r="U968" s="34" t="str">
        <x:v>Linear interpolation from 2030 to 2035</x:v>
      </x:c>
      <x:c r="V968" s="34" t="str">
        <x:v>CAND-F4B6AD5FB08D71</x:v>
      </x:c>
      <x:c r="W968" s="34" t="str">
        <x:v>P2</x:v>
      </x:c>
      <x:c r="X968" s="34" t="str">
        <x:v>PORT-51A2628EF9C2</x:v>
      </x:c>
      <x:c r="Y968" s="34" t="n">
        <x:v>1000</x:v>
      </x:c>
      <x:c r="Z968" s="34" t="n">
        <x:v>129.685059</x:v>
      </x:c>
      <x:c r="AA968" s="34" t="n">
        <x:v>32.792823</x:v>
      </x:c>
      <x:c r="AB968" s="34" t="n">
        <x:v>328.220861</x:v>
      </x:c>
      <x:c r="AC968" s="34" t="n">
        <x:v>41807.514</x:v>
      </x:c>
      <x:c r="AD968" s="34" t="n">
        <x:v>127.376163</x:v>
      </x:c>
      <x:c r="AE968" s="40" t="b">
        <x:v>1</x:v>
      </x:c>
      <x:c r="AF968" s="40" t="b">
        <x:v>1</x:v>
      </x:c>
      <x:c r="AG968" s="34" t="str"/>
      <x:c r="AH968" s="34" t="n">
        <x:v>0</x:v>
      </x:c>
      <x:c r="AI968" s="34" t="str">
        <x:v>1.265341119704999e-05</x:v>
      </x:c>
      <x:c r="AJ968" s="40" t="b">
        <x:v>1</x:v>
      </x:c>
      <x:c r="AK968" s="40" t="b">
        <x:v>1</x:v>
      </x:c>
      <x:c r="AL968" s="40" t="b">
        <x:v>1</x:v>
      </x:c>
      <x:c r="AM968" s="40" t="b">
        <x:v>1</x:v>
      </x:c>
      <x:c r="AN968" s="34" t="str"/>
      <x:c r="AO968" s="34" t="n">
        <x:v>0</x:v>
      </x:c>
      <x:c r="AP968" s="34" t="n">
        <x:v>0</x:v>
      </x:c>
      <x:c r="AQ968" s="34" t="n">
        <x:v>0</x:v>
      </x:c>
      <x:c r="AR968" s="34" t="n">
        <x:v>3</x:v>
      </x:c>
      <x:c r="AS968" s="34" t="n">
        <x:v>3</x:v>
      </x:c>
      <x:c r="AT968" s="34" t="n">
        <x:v>0.41232239999999987</x:v>
      </x:c>
      <x:c r="AU968" s="34" t="n">
        <x:v>0.65</x:v>
      </x:c>
      <x:c r="AV968" s="34" t="n">
        <x:v>1.78</x:v>
      </x:c>
    </x:row>
    <x:row r="969">
      <x:c r="A969" s="34" t="str">
        <x:v>JFE_STEEL_JP</x:v>
      </x:c>
      <x:c r="B969" s="34" t="str">
        <x:v>JFE Steel</x:v>
      </x:c>
      <x:c r="C969" s="34" t="str">
        <x:v>DISCLOSED_PATH</x:v>
      </x:c>
      <x:c r="D969" s="34" t="str">
        <x:v>P2</x:v>
      </x:c>
      <x:c r="E969" s="34" t="n">
        <x:v>2033</x:v>
      </x:c>
      <x:c r="F969" s="34" t="n">
        <x:v>3</x:v>
      </x:c>
      <x:c r="G969" s="34" t="n">
        <x:v>8.1</x:v>
      </x:c>
      <x:c r="H969" s="34" t="n">
        <x:v>10.4</x:v>
      </x:c>
      <x:c r="I969" s="34" t="n">
        <x:v>2.3</x:v>
      </x:c>
      <x:c r="J969" s="34" t="n">
        <x:v>77.885</x:v>
      </x:c>
      <x:c r="K969" s="34" t="n">
        <x:v>0.495</x:v>
      </x:c>
      <x:c r="L969" s="34" t="n">
        <x:v>0.8799999999999999</x:v>
      </x:c>
      <x:c r="M969" s="34" t="n">
        <x:v>0.385</x:v>
      </x:c>
      <x:c r="N969" s="34" t="n">
        <x:v>56.25</x:v>
      </x:c>
      <x:c r="O969" s="34" t="n">
        <x:v>7.961999</x:v>
      </x:c>
      <x:c r="P969" s="34" t="n">
        <x:v>8</x:v>
      </x:c>
      <x:c r="Q969" s="34" t="n">
        <x:v>0.038001</x:v>
      </x:c>
      <x:c r="R969" s="34" t="n">
        <x:v>99.525</x:v>
      </x:c>
      <x:c r="S969" s="40" t="b">
        <x:v>1</x:v>
      </x:c>
      <x:c r="T969" s="34" t="str">
        <x:v>model_interpolation</x:v>
      </x:c>
      <x:c r="U969" s="34" t="str">
        <x:v>Linear interpolation from 2030 to 2035</x:v>
      </x:c>
      <x:c r="V969" s="34" t="str">
        <x:v>CAND-F4B6AD5FB08D71</x:v>
      </x:c>
      <x:c r="W969" s="34" t="str">
        <x:v>P2</x:v>
      </x:c>
      <x:c r="X969" s="34" t="str">
        <x:v>PORT-51A2628EF9C2</x:v>
      </x:c>
      <x:c r="Y969" s="34" t="n">
        <x:v>1000</x:v>
      </x:c>
      <x:c r="Z969" s="34" t="n">
        <x:v>129.685059</x:v>
      </x:c>
      <x:c r="AA969" s="34" t="n">
        <x:v>32.792823</x:v>
      </x:c>
      <x:c r="AB969" s="34" t="n">
        <x:v>328.220861</x:v>
      </x:c>
      <x:c r="AC969" s="34" t="n">
        <x:v>41807.514</x:v>
      </x:c>
      <x:c r="AD969" s="34" t="n">
        <x:v>127.376163</x:v>
      </x:c>
      <x:c r="AE969" s="40" t="b">
        <x:v>1</x:v>
      </x:c>
      <x:c r="AF969" s="40" t="b">
        <x:v>1</x:v>
      </x:c>
      <x:c r="AG969" s="34" t="str"/>
      <x:c r="AH969" s="34" t="n">
        <x:v>0</x:v>
      </x:c>
      <x:c r="AI969" s="34" t="str">
        <x:v>1.265341119704999e-05</x:v>
      </x:c>
      <x:c r="AJ969" s="40" t="b">
        <x:v>1</x:v>
      </x:c>
      <x:c r="AK969" s="40" t="b">
        <x:v>1</x:v>
      </x:c>
      <x:c r="AL969" s="40" t="b">
        <x:v>1</x:v>
      </x:c>
      <x:c r="AM969" s="40" t="b">
        <x:v>1</x:v>
      </x:c>
      <x:c r="AN969" s="34" t="str"/>
      <x:c r="AO969" s="34" t="n">
        <x:v>0</x:v>
      </x:c>
      <x:c r="AP969" s="34" t="n">
        <x:v>0</x:v>
      </x:c>
      <x:c r="AQ969" s="34" t="n">
        <x:v>0</x:v>
      </x:c>
      <x:c r="AR969" s="34" t="n">
        <x:v>3</x:v>
      </x:c>
      <x:c r="AS969" s="34" t="n">
        <x:v>3</x:v>
      </x:c>
      <x:c r="AT969" s="34" t="n">
        <x:v>0.41232239999999987</x:v>
      </x:c>
      <x:c r="AU969" s="34" t="n">
        <x:v>0.65</x:v>
      </x:c>
      <x:c r="AV969" s="34" t="n">
        <x:v>1.78</x:v>
      </x:c>
    </x:row>
    <x:row r="970">
      <x:c r="A970" s="34" t="str">
        <x:v>JFE_STEEL_JP</x:v>
      </x:c>
      <x:c r="B970" s="34" t="str">
        <x:v>JFE Steel</x:v>
      </x:c>
      <x:c r="C970" s="34" t="str">
        <x:v>DISCLOSED_PATH</x:v>
      </x:c>
      <x:c r="D970" s="34" t="str">
        <x:v>P2</x:v>
      </x:c>
      <x:c r="E970" s="34" t="n">
        <x:v>2034</x:v>
      </x:c>
      <x:c r="F970" s="34" t="n">
        <x:v>3</x:v>
      </x:c>
      <x:c r="G970" s="34" t="n">
        <x:v>8.1</x:v>
      </x:c>
      <x:c r="H970" s="34" t="n">
        <x:v>11.2</x:v>
      </x:c>
      <x:c r="I970" s="34" t="n">
        <x:v>3.1</x:v>
      </x:c>
      <x:c r="J970" s="34" t="n">
        <x:v>72.321</x:v>
      </x:c>
      <x:c r="K970" s="34" t="n">
        <x:v>0.495</x:v>
      </x:c>
      <x:c r="L970" s="34" t="n">
        <x:v>1.04</x:v>
      </x:c>
      <x:c r="M970" s="34" t="n">
        <x:v>0.545</x:v>
      </x:c>
      <x:c r="N970" s="34" t="n">
        <x:v>47.596</x:v>
      </x:c>
      <x:c r="O970" s="34" t="n">
        <x:v>7.961999</x:v>
      </x:c>
      <x:c r="P970" s="34" t="n">
        <x:v>9</x:v>
      </x:c>
      <x:c r="Q970" s="34" t="n">
        <x:v>1.038001</x:v>
      </x:c>
      <x:c r="R970" s="34" t="n">
        <x:v>88.467</x:v>
      </x:c>
      <x:c r="S970" s="40" t="b">
        <x:v>1</x:v>
      </x:c>
      <x:c r="T970" s="34" t="str">
        <x:v>model_interpolation</x:v>
      </x:c>
      <x:c r="U970" s="34" t="str">
        <x:v>Linear interpolation from 2030 to 2035</x:v>
      </x:c>
      <x:c r="V970" s="34" t="str">
        <x:v>CAND-F4B6AD5FB08D71</x:v>
      </x:c>
      <x:c r="W970" s="34" t="str">
        <x:v>P2</x:v>
      </x:c>
      <x:c r="X970" s="34" t="str">
        <x:v>PORT-51A2628EF9C2</x:v>
      </x:c>
      <x:c r="Y970" s="34" t="n">
        <x:v>1000</x:v>
      </x:c>
      <x:c r="Z970" s="34" t="n">
        <x:v>129.685059</x:v>
      </x:c>
      <x:c r="AA970" s="34" t="n">
        <x:v>32.792823</x:v>
      </x:c>
      <x:c r="AB970" s="34" t="n">
        <x:v>328.220861</x:v>
      </x:c>
      <x:c r="AC970" s="34" t="n">
        <x:v>41807.514</x:v>
      </x:c>
      <x:c r="AD970" s="34" t="n">
        <x:v>127.376163</x:v>
      </x:c>
      <x:c r="AE970" s="40" t="b">
        <x:v>1</x:v>
      </x:c>
      <x:c r="AF970" s="40" t="b">
        <x:v>1</x:v>
      </x:c>
      <x:c r="AG970" s="34" t="str"/>
      <x:c r="AH970" s="34" t="n">
        <x:v>0</x:v>
      </x:c>
      <x:c r="AI970" s="34" t="str">
        <x:v>1.265341119704999e-05</x:v>
      </x:c>
      <x:c r="AJ970" s="40" t="b">
        <x:v>1</x:v>
      </x:c>
      <x:c r="AK970" s="40" t="b">
        <x:v>1</x:v>
      </x:c>
      <x:c r="AL970" s="40" t="b">
        <x:v>1</x:v>
      </x:c>
      <x:c r="AM970" s="40" t="b">
        <x:v>1</x:v>
      </x:c>
      <x:c r="AN970" s="34" t="str"/>
      <x:c r="AO970" s="34" t="n">
        <x:v>0</x:v>
      </x:c>
      <x:c r="AP970" s="34" t="n">
        <x:v>0</x:v>
      </x:c>
      <x:c r="AQ970" s="34" t="n">
        <x:v>0</x:v>
      </x:c>
      <x:c r="AR970" s="34" t="n">
        <x:v>3</x:v>
      </x:c>
      <x:c r="AS970" s="34" t="n">
        <x:v>3</x:v>
      </x:c>
      <x:c r="AT970" s="34" t="n">
        <x:v>0.41232239999999987</x:v>
      </x:c>
      <x:c r="AU970" s="34" t="n">
        <x:v>0.65</x:v>
      </x:c>
      <x:c r="AV970" s="34" t="n">
        <x:v>1.78</x:v>
      </x:c>
    </x:row>
    <x:row r="971">
      <x:c r="A971" s="34" t="str">
        <x:v>JFE_STEEL_JP</x:v>
      </x:c>
      <x:c r="B971" s="34" t="str">
        <x:v>JFE Steel</x:v>
      </x:c>
      <x:c r="C971" s="34" t="str">
        <x:v>DISCLOSED_PATH</x:v>
      </x:c>
      <x:c r="D971" s="34" t="str">
        <x:v>P2</x:v>
      </x:c>
      <x:c r="E971" s="34" t="n">
        <x:v>2035</x:v>
      </x:c>
      <x:c r="F971" s="34" t="n">
        <x:v>3</x:v>
      </x:c>
      <x:c r="G971" s="34" t="n">
        <x:v>8.1</x:v>
      </x:c>
      <x:c r="H971" s="34" t="n">
        <x:v>12</x:v>
      </x:c>
      <x:c r="I971" s="34" t="n">
        <x:v>3.9</x:v>
      </x:c>
      <x:c r="J971" s="34" t="n">
        <x:v>67.5</x:v>
      </x:c>
      <x:c r="K971" s="34" t="n">
        <x:v>0.495</x:v>
      </x:c>
      <x:c r="L971" s="34" t="n">
        <x:v>1.2</x:v>
      </x:c>
      <x:c r="M971" s="34" t="n">
        <x:v>0.705</x:v>
      </x:c>
      <x:c r="N971" s="34" t="n">
        <x:v>41.25</x:v>
      </x:c>
      <x:c r="O971" s="34" t="n">
        <x:v>7.961999</x:v>
      </x:c>
      <x:c r="P971" s="34" t="n">
        <x:v>10</x:v>
      </x:c>
      <x:c r="Q971" s="34" t="n">
        <x:v>2.038001</x:v>
      </x:c>
      <x:c r="R971" s="34" t="n">
        <x:v>79.62</x:v>
      </x:c>
      <x:c r="S971" s="40" t="b">
        <x:v>1</x:v>
      </x:c>
      <x:c r="T971" s="34" t="str">
        <x:v>model_interpolation</x:v>
      </x:c>
      <x:c r="U971" s="34" t="str">
        <x:v>Linear interpolation from 2035 to 2040</x:v>
      </x:c>
      <x:c r="V971" s="34" t="str">
        <x:v>CAND-F4B6AD5FB08D71</x:v>
      </x:c>
      <x:c r="W971" s="34" t="str">
        <x:v>P2</x:v>
      </x:c>
      <x:c r="X971" s="34" t="str">
        <x:v>PORT-51A2628EF9C2</x:v>
      </x:c>
      <x:c r="Y971" s="34" t="n">
        <x:v>1000</x:v>
      </x:c>
      <x:c r="Z971" s="34" t="n">
        <x:v>129.685059</x:v>
      </x:c>
      <x:c r="AA971" s="34" t="n">
        <x:v>32.792823</x:v>
      </x:c>
      <x:c r="AB971" s="34" t="n">
        <x:v>328.220861</x:v>
      </x:c>
      <x:c r="AC971" s="34" t="n">
        <x:v>41807.514</x:v>
      </x:c>
      <x:c r="AD971" s="34" t="n">
        <x:v>127.376163</x:v>
      </x:c>
      <x:c r="AE971" s="40" t="b">
        <x:v>1</x:v>
      </x:c>
      <x:c r="AF971" s="40" t="b">
        <x:v>1</x:v>
      </x:c>
      <x:c r="AG971" s="34" t="str"/>
      <x:c r="AH971" s="34" t="n">
        <x:v>0</x:v>
      </x:c>
      <x:c r="AI971" s="34" t="str">
        <x:v>1.265341119704999e-05</x:v>
      </x:c>
      <x:c r="AJ971" s="40" t="b">
        <x:v>1</x:v>
      </x:c>
      <x:c r="AK971" s="40" t="b">
        <x:v>1</x:v>
      </x:c>
      <x:c r="AL971" s="40" t="b">
        <x:v>1</x:v>
      </x:c>
      <x:c r="AM971" s="40" t="b">
        <x:v>1</x:v>
      </x:c>
      <x:c r="AN971" s="34" t="str"/>
      <x:c r="AO971" s="34" t="n">
        <x:v>0</x:v>
      </x:c>
      <x:c r="AP971" s="34" t="n">
        <x:v>0</x:v>
      </x:c>
      <x:c r="AQ971" s="34" t="n">
        <x:v>0</x:v>
      </x:c>
      <x:c r="AR971" s="34" t="n">
        <x:v>3</x:v>
      </x:c>
      <x:c r="AS971" s="34" t="n">
        <x:v>3</x:v>
      </x:c>
      <x:c r="AT971" s="34" t="n">
        <x:v>0.41232239999999987</x:v>
      </x:c>
      <x:c r="AU971" s="34" t="n">
        <x:v>0.65</x:v>
      </x:c>
      <x:c r="AV971" s="34" t="n">
        <x:v>1.78</x:v>
      </x:c>
    </x:row>
    <x:row r="972">
      <x:c r="A972" s="34" t="str">
        <x:v>JFE_STEEL_JP</x:v>
      </x:c>
      <x:c r="B972" s="34" t="str">
        <x:v>JFE Steel</x:v>
      </x:c>
      <x:c r="C972" s="34" t="str">
        <x:v>DISCLOSED_PATH</x:v>
      </x:c>
      <x:c r="D972" s="34" t="str">
        <x:v>P2</x:v>
      </x:c>
      <x:c r="E972" s="34" t="n">
        <x:v>2036</x:v>
      </x:c>
      <x:c r="F972" s="34" t="n">
        <x:v>4</x:v>
      </x:c>
      <x:c r="G972" s="34" t="n">
        <x:v>8.9175</x:v>
      </x:c>
      <x:c r="H972" s="34" t="n">
        <x:v>13</x:v>
      </x:c>
      <x:c r="I972" s="34" t="n">
        <x:v>4.0825</x:v>
      </x:c>
      <x:c r="J972" s="34" t="n">
        <x:v>68.596</x:v>
      </x:c>
      <x:c r="K972" s="34" t="n">
        <x:v>0.79475</x:v>
      </x:c>
      <x:c r="L972" s="34" t="n">
        <x:v>1.4</x:v>
      </x:c>
      <x:c r="M972" s="34" t="n">
        <x:v>0.60525</x:v>
      </x:c>
      <x:c r="N972" s="34" t="n">
        <x:v>56.768</x:v>
      </x:c>
      <x:c r="O972" s="34" t="n">
        <x:v>10.468998</x:v>
      </x:c>
      <x:c r="P972" s="34" t="n">
        <x:v>11.4</x:v>
      </x:c>
      <x:c r="Q972" s="34" t="n">
        <x:v>0.931002</x:v>
      </x:c>
      <x:c r="R972" s="34" t="n">
        <x:v>91.833</x:v>
      </x:c>
      <x:c r="S972" s="40" t="b">
        <x:v>1</x:v>
      </x:c>
      <x:c r="T972" s="34" t="str">
        <x:v>model_interpolation</x:v>
      </x:c>
      <x:c r="U972" s="34" t="str">
        <x:v>Linear interpolation from 2035 to 2040</x:v>
      </x:c>
      <x:c r="V972" s="34" t="str">
        <x:v>CAND-F4B6AD5FB08D71</x:v>
      </x:c>
      <x:c r="W972" s="34" t="str">
        <x:v>P2</x:v>
      </x:c>
      <x:c r="X972" s="34" t="str">
        <x:v>PORT-51A2628EF9C2</x:v>
      </x:c>
      <x:c r="Y972" s="34" t="n">
        <x:v>1000</x:v>
      </x:c>
      <x:c r="Z972" s="34" t="n">
        <x:v>129.685059</x:v>
      </x:c>
      <x:c r="AA972" s="34" t="n">
        <x:v>32.792823</x:v>
      </x:c>
      <x:c r="AB972" s="34" t="n">
        <x:v>328.220861</x:v>
      </x:c>
      <x:c r="AC972" s="34" t="n">
        <x:v>41807.514</x:v>
      </x:c>
      <x:c r="AD972" s="34" t="n">
        <x:v>127.376163</x:v>
      </x:c>
      <x:c r="AE972" s="40" t="b">
        <x:v>1</x:v>
      </x:c>
      <x:c r="AF972" s="40" t="b">
        <x:v>1</x:v>
      </x:c>
      <x:c r="AG972" s="34" t="str"/>
      <x:c r="AH972" s="34" t="n">
        <x:v>0</x:v>
      </x:c>
      <x:c r="AI972" s="34" t="str">
        <x:v>1.265341119704999e-05</x:v>
      </x:c>
      <x:c r="AJ972" s="40" t="b">
        <x:v>1</x:v>
      </x:c>
      <x:c r="AK972" s="40" t="b">
        <x:v>1</x:v>
      </x:c>
      <x:c r="AL972" s="40" t="b">
        <x:v>1</x:v>
      </x:c>
      <x:c r="AM972" s="40" t="b">
        <x:v>1</x:v>
      </x:c>
      <x:c r="AN972" s="34" t="str"/>
      <x:c r="AO972" s="34" t="n">
        <x:v>0</x:v>
      </x:c>
      <x:c r="AP972" s="34" t="n">
        <x:v>0</x:v>
      </x:c>
      <x:c r="AQ972" s="34" t="n">
        <x:v>0</x:v>
      </x:c>
      <x:c r="AR972" s="34" t="n">
        <x:v>3</x:v>
      </x:c>
      <x:c r="AS972" s="34" t="n">
        <x:v>3</x:v>
      </x:c>
      <x:c r="AT972" s="34" t="n">
        <x:v>0.41232239999999987</x:v>
      </x:c>
      <x:c r="AU972" s="34" t="n">
        <x:v>0.65</x:v>
      </x:c>
      <x:c r="AV972" s="34" t="n">
        <x:v>1.78</x:v>
      </x:c>
    </x:row>
    <x:row r="973">
      <x:c r="A973" s="34" t="str">
        <x:v>JFE_STEEL_JP</x:v>
      </x:c>
      <x:c r="B973" s="34" t="str">
        <x:v>JFE Steel</x:v>
      </x:c>
      <x:c r="C973" s="34" t="str">
        <x:v>DISCLOSED_PATH</x:v>
      </x:c>
      <x:c r="D973" s="34" t="str">
        <x:v>P2</x:v>
      </x:c>
      <x:c r="E973" s="34" t="n">
        <x:v>2037</x:v>
      </x:c>
      <x:c r="F973" s="34" t="n">
        <x:v>4</x:v>
      </x:c>
      <x:c r="G973" s="34" t="n">
        <x:v>8.9175</x:v>
      </x:c>
      <x:c r="H973" s="34" t="n">
        <x:v>14</x:v>
      </x:c>
      <x:c r="I973" s="34" t="n">
        <x:v>5.0825</x:v>
      </x:c>
      <x:c r="J973" s="34" t="n">
        <x:v>63.696</x:v>
      </x:c>
      <x:c r="K973" s="34" t="n">
        <x:v>0.79475</x:v>
      </x:c>
      <x:c r="L973" s="34" t="n">
        <x:v>1.6</x:v>
      </x:c>
      <x:c r="M973" s="34" t="n">
        <x:v>0.80525</x:v>
      </x:c>
      <x:c r="N973" s="34" t="n">
        <x:v>49.672</x:v>
      </x:c>
      <x:c r="O973" s="34" t="n">
        <x:v>10.468998</x:v>
      </x:c>
      <x:c r="P973" s="34" t="n">
        <x:v>12.8</x:v>
      </x:c>
      <x:c r="Q973" s="34" t="n">
        <x:v>2.331002</x:v>
      </x:c>
      <x:c r="R973" s="34" t="n">
        <x:v>81.789</x:v>
      </x:c>
      <x:c r="S973" s="40" t="b">
        <x:v>1</x:v>
      </x:c>
      <x:c r="T973" s="34" t="str">
        <x:v>model_interpolation</x:v>
      </x:c>
      <x:c r="U973" s="34" t="str">
        <x:v>Linear interpolation from 2035 to 2040</x:v>
      </x:c>
      <x:c r="V973" s="34" t="str">
        <x:v>CAND-F4B6AD5FB08D71</x:v>
      </x:c>
      <x:c r="W973" s="34" t="str">
        <x:v>P2</x:v>
      </x:c>
      <x:c r="X973" s="34" t="str">
        <x:v>PORT-51A2628EF9C2</x:v>
      </x:c>
      <x:c r="Y973" s="34" t="n">
        <x:v>1000</x:v>
      </x:c>
      <x:c r="Z973" s="34" t="n">
        <x:v>129.685059</x:v>
      </x:c>
      <x:c r="AA973" s="34" t="n">
        <x:v>32.792823</x:v>
      </x:c>
      <x:c r="AB973" s="34" t="n">
        <x:v>328.220861</x:v>
      </x:c>
      <x:c r="AC973" s="34" t="n">
        <x:v>41807.514</x:v>
      </x:c>
      <x:c r="AD973" s="34" t="n">
        <x:v>127.376163</x:v>
      </x:c>
      <x:c r="AE973" s="40" t="b">
        <x:v>1</x:v>
      </x:c>
      <x:c r="AF973" s="40" t="b">
        <x:v>1</x:v>
      </x:c>
      <x:c r="AG973" s="34" t="str"/>
      <x:c r="AH973" s="34" t="n">
        <x:v>0</x:v>
      </x:c>
      <x:c r="AI973" s="34" t="str">
        <x:v>1.265341119704999e-05</x:v>
      </x:c>
      <x:c r="AJ973" s="40" t="b">
        <x:v>1</x:v>
      </x:c>
      <x:c r="AK973" s="40" t="b">
        <x:v>1</x:v>
      </x:c>
      <x:c r="AL973" s="40" t="b">
        <x:v>1</x:v>
      </x:c>
      <x:c r="AM973" s="40" t="b">
        <x:v>1</x:v>
      </x:c>
      <x:c r="AN973" s="34" t="str"/>
      <x:c r="AO973" s="34" t="n">
        <x:v>0</x:v>
      </x:c>
      <x:c r="AP973" s="34" t="n">
        <x:v>0</x:v>
      </x:c>
      <x:c r="AQ973" s="34" t="n">
        <x:v>0</x:v>
      </x:c>
      <x:c r="AR973" s="34" t="n">
        <x:v>3</x:v>
      </x:c>
      <x:c r="AS973" s="34" t="n">
        <x:v>3</x:v>
      </x:c>
      <x:c r="AT973" s="34" t="n">
        <x:v>0.41232239999999987</x:v>
      </x:c>
      <x:c r="AU973" s="34" t="n">
        <x:v>0.65</x:v>
      </x:c>
      <x:c r="AV973" s="34" t="n">
        <x:v>1.78</x:v>
      </x:c>
    </x:row>
    <x:row r="974">
      <x:c r="A974" s="34" t="str">
        <x:v>JFE_STEEL_JP</x:v>
      </x:c>
      <x:c r="B974" s="34" t="str">
        <x:v>JFE Steel</x:v>
      </x:c>
      <x:c r="C974" s="34" t="str">
        <x:v>DISCLOSED_PATH</x:v>
      </x:c>
      <x:c r="D974" s="34" t="str">
        <x:v>P2</x:v>
      </x:c>
      <x:c r="E974" s="34" t="n">
        <x:v>2038</x:v>
      </x:c>
      <x:c r="F974" s="34" t="n">
        <x:v>4</x:v>
      </x:c>
      <x:c r="G974" s="34" t="n">
        <x:v>8.9175</x:v>
      </x:c>
      <x:c r="H974" s="34" t="n">
        <x:v>15</x:v>
      </x:c>
      <x:c r="I974" s="34" t="n">
        <x:v>6.0825</x:v>
      </x:c>
      <x:c r="J974" s="34" t="n">
        <x:v>59.45</x:v>
      </x:c>
      <x:c r="K974" s="34" t="n">
        <x:v>0.79475</x:v>
      </x:c>
      <x:c r="L974" s="34" t="n">
        <x:v>1.8</x:v>
      </x:c>
      <x:c r="M974" s="34" t="n">
        <x:v>1.00525</x:v>
      </x:c>
      <x:c r="N974" s="34" t="n">
        <x:v>44.153</x:v>
      </x:c>
      <x:c r="O974" s="34" t="n">
        <x:v>10.468998</x:v>
      </x:c>
      <x:c r="P974" s="34" t="n">
        <x:v>14.2</x:v>
      </x:c>
      <x:c r="Q974" s="34" t="n">
        <x:v>3.731002</x:v>
      </x:c>
      <x:c r="R974" s="34" t="n">
        <x:v>73.725</x:v>
      </x:c>
      <x:c r="S974" s="40" t="b">
        <x:v>1</x:v>
      </x:c>
      <x:c r="T974" s="34" t="str">
        <x:v>model_interpolation</x:v>
      </x:c>
      <x:c r="U974" s="34" t="str">
        <x:v>Linear interpolation from 2035 to 2040</x:v>
      </x:c>
      <x:c r="V974" s="34" t="str">
        <x:v>CAND-F4B6AD5FB08D71</x:v>
      </x:c>
      <x:c r="W974" s="34" t="str">
        <x:v>P2</x:v>
      </x:c>
      <x:c r="X974" s="34" t="str">
        <x:v>PORT-51A2628EF9C2</x:v>
      </x:c>
      <x:c r="Y974" s="34" t="n">
        <x:v>1000</x:v>
      </x:c>
      <x:c r="Z974" s="34" t="n">
        <x:v>129.685059</x:v>
      </x:c>
      <x:c r="AA974" s="34" t="n">
        <x:v>32.792823</x:v>
      </x:c>
      <x:c r="AB974" s="34" t="n">
        <x:v>328.220861</x:v>
      </x:c>
      <x:c r="AC974" s="34" t="n">
        <x:v>41807.514</x:v>
      </x:c>
      <x:c r="AD974" s="34" t="n">
        <x:v>127.376163</x:v>
      </x:c>
      <x:c r="AE974" s="40" t="b">
        <x:v>1</x:v>
      </x:c>
      <x:c r="AF974" s="40" t="b">
        <x:v>1</x:v>
      </x:c>
      <x:c r="AG974" s="34" t="str"/>
      <x:c r="AH974" s="34" t="n">
        <x:v>0</x:v>
      </x:c>
      <x:c r="AI974" s="34" t="str">
        <x:v>1.265341119704999e-05</x:v>
      </x:c>
      <x:c r="AJ974" s="40" t="b">
        <x:v>1</x:v>
      </x:c>
      <x:c r="AK974" s="40" t="b">
        <x:v>1</x:v>
      </x:c>
      <x:c r="AL974" s="40" t="b">
        <x:v>1</x:v>
      </x:c>
      <x:c r="AM974" s="40" t="b">
        <x:v>1</x:v>
      </x:c>
      <x:c r="AN974" s="34" t="str"/>
      <x:c r="AO974" s="34" t="n">
        <x:v>0</x:v>
      </x:c>
      <x:c r="AP974" s="34" t="n">
        <x:v>0</x:v>
      </x:c>
      <x:c r="AQ974" s="34" t="n">
        <x:v>0</x:v>
      </x:c>
      <x:c r="AR974" s="34" t="n">
        <x:v>3</x:v>
      </x:c>
      <x:c r="AS974" s="34" t="n">
        <x:v>3</x:v>
      </x:c>
      <x:c r="AT974" s="34" t="n">
        <x:v>0.41232239999999987</x:v>
      </x:c>
      <x:c r="AU974" s="34" t="n">
        <x:v>0.65</x:v>
      </x:c>
      <x:c r="AV974" s="34" t="n">
        <x:v>1.78</x:v>
      </x:c>
    </x:row>
    <x:row r="975">
      <x:c r="A975" s="34" t="str">
        <x:v>JFE_STEEL_JP</x:v>
      </x:c>
      <x:c r="B975" s="34" t="str">
        <x:v>JFE Steel</x:v>
      </x:c>
      <x:c r="C975" s="34" t="str">
        <x:v>DISCLOSED_PATH</x:v>
      </x:c>
      <x:c r="D975" s="34" t="str">
        <x:v>P2</x:v>
      </x:c>
      <x:c r="E975" s="34" t="n">
        <x:v>2039</x:v>
      </x:c>
      <x:c r="F975" s="34" t="n">
        <x:v>4</x:v>
      </x:c>
      <x:c r="G975" s="34" t="n">
        <x:v>8.9175</x:v>
      </x:c>
      <x:c r="H975" s="34" t="n">
        <x:v>16</x:v>
      </x:c>
      <x:c r="I975" s="34" t="n">
        <x:v>7.0825</x:v>
      </x:c>
      <x:c r="J975" s="34" t="n">
        <x:v>55.734</x:v>
      </x:c>
      <x:c r="K975" s="34" t="n">
        <x:v>0.79475</x:v>
      </x:c>
      <x:c r="L975" s="34" t="n">
        <x:v>2</x:v>
      </x:c>
      <x:c r="M975" s="34" t="n">
        <x:v>1.20525</x:v>
      </x:c>
      <x:c r="N975" s="34" t="n">
        <x:v>39.737</x:v>
      </x:c>
      <x:c r="O975" s="34" t="n">
        <x:v>10.468998</x:v>
      </x:c>
      <x:c r="P975" s="34" t="n">
        <x:v>15.600000000000001</x:v>
      </x:c>
      <x:c r="Q975" s="34" t="n">
        <x:v>5.131002</x:v>
      </x:c>
      <x:c r="R975" s="34" t="n">
        <x:v>67.109</x:v>
      </x:c>
      <x:c r="S975" s="40" t="b">
        <x:v>1</x:v>
      </x:c>
      <x:c r="T975" s="34" t="str">
        <x:v>model_interpolation</x:v>
      </x:c>
      <x:c r="U975" s="34" t="str">
        <x:v>Linear interpolation from 2035 to 2040</x:v>
      </x:c>
      <x:c r="V975" s="34" t="str">
        <x:v>CAND-F4B6AD5FB08D71</x:v>
      </x:c>
      <x:c r="W975" s="34" t="str">
        <x:v>P2</x:v>
      </x:c>
      <x:c r="X975" s="34" t="str">
        <x:v>PORT-51A2628EF9C2</x:v>
      </x:c>
      <x:c r="Y975" s="34" t="n">
        <x:v>1000</x:v>
      </x:c>
      <x:c r="Z975" s="34" t="n">
        <x:v>129.685059</x:v>
      </x:c>
      <x:c r="AA975" s="34" t="n">
        <x:v>32.792823</x:v>
      </x:c>
      <x:c r="AB975" s="34" t="n">
        <x:v>328.220861</x:v>
      </x:c>
      <x:c r="AC975" s="34" t="n">
        <x:v>41807.514</x:v>
      </x:c>
      <x:c r="AD975" s="34" t="n">
        <x:v>127.376163</x:v>
      </x:c>
      <x:c r="AE975" s="40" t="b">
        <x:v>1</x:v>
      </x:c>
      <x:c r="AF975" s="40" t="b">
        <x:v>1</x:v>
      </x:c>
      <x:c r="AG975" s="34" t="str"/>
      <x:c r="AH975" s="34" t="n">
        <x:v>0</x:v>
      </x:c>
      <x:c r="AI975" s="34" t="str">
        <x:v>1.265341119704999e-05</x:v>
      </x:c>
      <x:c r="AJ975" s="40" t="b">
        <x:v>1</x:v>
      </x:c>
      <x:c r="AK975" s="40" t="b">
        <x:v>1</x:v>
      </x:c>
      <x:c r="AL975" s="40" t="b">
        <x:v>1</x:v>
      </x:c>
      <x:c r="AM975" s="40" t="b">
        <x:v>1</x:v>
      </x:c>
      <x:c r="AN975" s="34" t="str"/>
      <x:c r="AO975" s="34" t="n">
        <x:v>0</x:v>
      </x:c>
      <x:c r="AP975" s="34" t="n">
        <x:v>0</x:v>
      </x:c>
      <x:c r="AQ975" s="34" t="n">
        <x:v>0</x:v>
      </x:c>
      <x:c r="AR975" s="34" t="n">
        <x:v>3</x:v>
      </x:c>
      <x:c r="AS975" s="34" t="n">
        <x:v>3</x:v>
      </x:c>
      <x:c r="AT975" s="34" t="n">
        <x:v>0.41232239999999987</x:v>
      </x:c>
      <x:c r="AU975" s="34" t="n">
        <x:v>0.65</x:v>
      </x:c>
      <x:c r="AV975" s="34" t="n">
        <x:v>1.78</x:v>
      </x:c>
    </x:row>
    <x:row r="976">
      <x:c r="A976" s="34" t="str">
        <x:v>JFE_STEEL_JP</x:v>
      </x:c>
      <x:c r="B976" s="34" t="str">
        <x:v>JFE Steel</x:v>
      </x:c>
      <x:c r="C976" s="34" t="str">
        <x:v>DISCLOSED_PATH</x:v>
      </x:c>
      <x:c r="D976" s="34" t="str">
        <x:v>P2</x:v>
      </x:c>
      <x:c r="E976" s="34" t="n">
        <x:v>2040</x:v>
      </x:c>
      <x:c r="F976" s="34" t="n">
        <x:v>4</x:v>
      </x:c>
      <x:c r="G976" s="34" t="n">
        <x:v>8.9175</x:v>
      </x:c>
      <x:c r="H976" s="34" t="n">
        <x:v>17</x:v>
      </x:c>
      <x:c r="I976" s="34" t="n">
        <x:v>8.0825</x:v>
      </x:c>
      <x:c r="J976" s="34" t="n">
        <x:v>52.456</x:v>
      </x:c>
      <x:c r="K976" s="34" t="n">
        <x:v>0.79475</x:v>
      </x:c>
      <x:c r="L976" s="34" t="n">
        <x:v>2.2</x:v>
      </x:c>
      <x:c r="M976" s="34" t="n">
        <x:v>1.40525</x:v>
      </x:c>
      <x:c r="N976" s="34" t="n">
        <x:v>36.125</x:v>
      </x:c>
      <x:c r="O976" s="34" t="n">
        <x:v>10.468998</x:v>
      </x:c>
      <x:c r="P976" s="34" t="n">
        <x:v>17</x:v>
      </x:c>
      <x:c r="Q976" s="34" t="n">
        <x:v>6.531002</x:v>
      </x:c>
      <x:c r="R976" s="34" t="n">
        <x:v>61.582</x:v>
      </x:c>
      <x:c r="S976" s="40" t="b">
        <x:v>1</x:v>
      </x:c>
      <x:c r="T976" s="34" t="str">
        <x:v>model_estimate</x:v>
      </x:c>
      <x:c r="U976" s="34" t="str">
        <x:v>Illustrative screening envelope; not an official supply forecast</x:v>
      </x:c>
      <x:c r="V976" s="34" t="str">
        <x:v>CAND-F4B6AD5FB08D71</x:v>
      </x:c>
      <x:c r="W976" s="34" t="str">
        <x:v>P2</x:v>
      </x:c>
      <x:c r="X976" s="34" t="str">
        <x:v>PORT-51A2628EF9C2</x:v>
      </x:c>
      <x:c r="Y976" s="34" t="n">
        <x:v>1000</x:v>
      </x:c>
      <x:c r="Z976" s="34" t="n">
        <x:v>129.685059</x:v>
      </x:c>
      <x:c r="AA976" s="34" t="n">
        <x:v>32.792823</x:v>
      </x:c>
      <x:c r="AB976" s="34" t="n">
        <x:v>328.220861</x:v>
      </x:c>
      <x:c r="AC976" s="34" t="n">
        <x:v>41807.514</x:v>
      </x:c>
      <x:c r="AD976" s="34" t="n">
        <x:v>127.376163</x:v>
      </x:c>
      <x:c r="AE976" s="40" t="b">
        <x:v>1</x:v>
      </x:c>
      <x:c r="AF976" s="40" t="b">
        <x:v>1</x:v>
      </x:c>
      <x:c r="AG976" s="34" t="str"/>
      <x:c r="AH976" s="34" t="n">
        <x:v>0</x:v>
      </x:c>
      <x:c r="AI976" s="34" t="str">
        <x:v>1.265341119704999e-05</x:v>
      </x:c>
      <x:c r="AJ976" s="40" t="b">
        <x:v>1</x:v>
      </x:c>
      <x:c r="AK976" s="40" t="b">
        <x:v>1</x:v>
      </x:c>
      <x:c r="AL976" s="40" t="b">
        <x:v>1</x:v>
      </x:c>
      <x:c r="AM976" s="40" t="b">
        <x:v>1</x:v>
      </x:c>
      <x:c r="AN976" s="34" t="str"/>
      <x:c r="AO976" s="34" t="n">
        <x:v>0</x:v>
      </x:c>
      <x:c r="AP976" s="34" t="n">
        <x:v>0</x:v>
      </x:c>
      <x:c r="AQ976" s="34" t="n">
        <x:v>0</x:v>
      </x:c>
      <x:c r="AR976" s="34" t="n">
        <x:v>3</x:v>
      </x:c>
      <x:c r="AS976" s="34" t="n">
        <x:v>3</x:v>
      </x:c>
      <x:c r="AT976" s="34" t="n">
        <x:v>0.41232239999999987</x:v>
      </x:c>
      <x:c r="AU976" s="34" t="n">
        <x:v>0.65</x:v>
      </x:c>
      <x:c r="AV976" s="34" t="n">
        <x:v>1.78</x:v>
      </x:c>
    </x:row>
    <x:row r="977">
      <x:c r="A977" s="34" t="str">
        <x:v>JFE_STEEL_JP</x:v>
      </x:c>
      <x:c r="B977" s="34" t="str">
        <x:v>JFE Steel</x:v>
      </x:c>
      <x:c r="C977" s="34" t="str">
        <x:v>ACCELERATED_15C</x:v>
      </x:c>
      <x:c r="D977" s="34" t="str">
        <x:v>P2</x:v>
      </x:c>
      <x:c r="E977" s="34" t="n">
        <x:v>2026</x:v>
      </x:c>
      <x:c r="F977" s="34" t="n">
        <x:v>0</x:v>
      </x:c>
      <x:c r="G977" s="34" t="n">
        <x:v>0</x:v>
      </x:c>
      <x:c r="H977" s="34" t="n">
        <x:v>5</x:v>
      </x:c>
      <x:c r="I977" s="34" t="n">
        <x:v>5</x:v>
      </x:c>
      <x:c r="J977" s="34" t="n">
        <x:v>0</x:v>
      </x:c>
      <x:c r="K977" s="34" t="n">
        <x:v>0</x:v>
      </x:c>
      <x:c r="L977" s="34" t="n">
        <x:v>0.1</x:v>
      </x:c>
      <x:c r="M977" s="34" t="n">
        <x:v>0.1</x:v>
      </x:c>
      <x:c r="N977" s="34" t="n">
        <x:v>0</x:v>
      </x:c>
      <x:c r="O977" s="34" t="n">
        <x:v>0</x:v>
      </x:c>
      <x:c r="P977" s="34" t="n">
        <x:v>1.5</x:v>
      </x:c>
      <x:c r="Q977" s="34" t="n">
        <x:v>1.5</x:v>
      </x:c>
      <x:c r="R977" s="34" t="n">
        <x:v>0</x:v>
      </x:c>
      <x:c r="S977" s="40" t="b">
        <x:v>1</x:v>
      </x:c>
      <x:c r="T977" s="34" t="str">
        <x:v>model_interpolation</x:v>
      </x:c>
      <x:c r="U977" s="34" t="str">
        <x:v>Linear interpolation from 2026 to 2030</x:v>
      </x:c>
      <x:c r="V977" s="34" t="str">
        <x:v>CAND-F4B6AD5FB08D71</x:v>
      </x:c>
      <x:c r="W977" s="34" t="str">
        <x:v>P2</x:v>
      </x:c>
      <x:c r="X977" s="34" t="str">
        <x:v>PORT-51A2628EF9C2</x:v>
      </x:c>
      <x:c r="Y977" s="34" t="n">
        <x:v>1000</x:v>
      </x:c>
      <x:c r="Z977" s="34" t="n">
        <x:v>122.469982</x:v>
      </x:c>
      <x:c r="AA977" s="34" t="n">
        <x:v>35.295924</x:v>
      </x:c>
      <x:c r="AB977" s="34" t="n">
        <x:v>328.220861</x:v>
      </x:c>
      <x:c r="AC977" s="34" t="n">
        <x:v>39413.198</x:v>
      </x:c>
      <x:c r="AD977" s="34" t="n">
        <x:v>120.081332</x:v>
      </x:c>
      <x:c r="AE977" s="40" t="b">
        <x:v>1</x:v>
      </x:c>
      <x:c r="AF977" s="40" t="b">
        <x:v>1</x:v>
      </x:c>
      <x:c r="AG977" s="34" t="str"/>
      <x:c r="AH977" s="34" t="n">
        <x:v>0</x:v>
      </x:c>
      <x:c r="AI977" s="34" t="str">
        <x:v>1.265341119704999e-05</x:v>
      </x:c>
      <x:c r="AJ977" s="40" t="b">
        <x:v>1</x:v>
      </x:c>
      <x:c r="AK977" s="40" t="b">
        <x:v>1</x:v>
      </x:c>
      <x:c r="AL977" s="40" t="b">
        <x:v>1</x:v>
      </x:c>
      <x:c r="AM977" s="40" t="b">
        <x:v>1</x:v>
      </x:c>
      <x:c r="AN977" s="34" t="str"/>
      <x:c r="AO977" s="34" t="n">
        <x:v>0</x:v>
      </x:c>
      <x:c r="AP977" s="34" t="n">
        <x:v>0</x:v>
      </x:c>
      <x:c r="AQ977" s="34" t="n">
        <x:v>0</x:v>
      </x:c>
      <x:c r="AR977" s="34" t="n">
        <x:v>3</x:v>
      </x:c>
      <x:c r="AS977" s="34" t="n">
        <x:v>3</x:v>
      </x:c>
      <x:c r="AT977" s="34" t="n">
        <x:v>0.41232239999999987</x:v>
      </x:c>
      <x:c r="AU977" s="34" t="n">
        <x:v>0.65</x:v>
      </x:c>
      <x:c r="AV977" s="34" t="n">
        <x:v>1.78</x:v>
      </x:c>
    </x:row>
    <x:row r="978">
      <x:c r="A978" s="34" t="str">
        <x:v>JFE_STEEL_JP</x:v>
      </x:c>
      <x:c r="B978" s="34" t="str">
        <x:v>JFE Steel</x:v>
      </x:c>
      <x:c r="C978" s="34" t="str">
        <x:v>ACCELERATED_15C</x:v>
      </x:c>
      <x:c r="D978" s="34" t="str">
        <x:v>P2</x:v>
      </x:c>
      <x:c r="E978" s="34" t="n">
        <x:v>2027</x:v>
      </x:c>
      <x:c r="F978" s="34" t="n">
        <x:v>0</x:v>
      </x:c>
      <x:c r="G978" s="34" t="n">
        <x:v>0</x:v>
      </x:c>
      <x:c r="H978" s="34" t="n">
        <x:v>6.25</x:v>
      </x:c>
      <x:c r="I978" s="34" t="n">
        <x:v>6.25</x:v>
      </x:c>
      <x:c r="J978" s="34" t="n">
        <x:v>0</x:v>
      </x:c>
      <x:c r="K978" s="34" t="n">
        <x:v>0</x:v>
      </x:c>
      <x:c r="L978" s="34" t="n">
        <x:v>0.225</x:v>
      </x:c>
      <x:c r="M978" s="34" t="n">
        <x:v>0.225</x:v>
      </x:c>
      <x:c r="N978" s="34" t="n">
        <x:v>0</x:v>
      </x:c>
      <x:c r="O978" s="34" t="n">
        <x:v>0</x:v>
      </x:c>
      <x:c r="P978" s="34" t="n">
        <x:v>2.875</x:v>
      </x:c>
      <x:c r="Q978" s="34" t="n">
        <x:v>2.875</x:v>
      </x:c>
      <x:c r="R978" s="34" t="n">
        <x:v>0</x:v>
      </x:c>
      <x:c r="S978" s="40" t="b">
        <x:v>1</x:v>
      </x:c>
      <x:c r="T978" s="34" t="str">
        <x:v>model_interpolation</x:v>
      </x:c>
      <x:c r="U978" s="34" t="str">
        <x:v>Linear interpolation from 2026 to 2030</x:v>
      </x:c>
      <x:c r="V978" s="34" t="str">
        <x:v>CAND-F4B6AD5FB08D71</x:v>
      </x:c>
      <x:c r="W978" s="34" t="str">
        <x:v>P2</x:v>
      </x:c>
      <x:c r="X978" s="34" t="str">
        <x:v>PORT-51A2628EF9C2</x:v>
      </x:c>
      <x:c r="Y978" s="34" t="n">
        <x:v>1000</x:v>
      </x:c>
      <x:c r="Z978" s="34" t="n">
        <x:v>122.469982</x:v>
      </x:c>
      <x:c r="AA978" s="34" t="n">
        <x:v>35.295924</x:v>
      </x:c>
      <x:c r="AB978" s="34" t="n">
        <x:v>328.220861</x:v>
      </x:c>
      <x:c r="AC978" s="34" t="n">
        <x:v>39413.198</x:v>
      </x:c>
      <x:c r="AD978" s="34" t="n">
        <x:v>120.081332</x:v>
      </x:c>
      <x:c r="AE978" s="40" t="b">
        <x:v>1</x:v>
      </x:c>
      <x:c r="AF978" s="40" t="b">
        <x:v>1</x:v>
      </x:c>
      <x:c r="AG978" s="34" t="str"/>
      <x:c r="AH978" s="34" t="n">
        <x:v>0</x:v>
      </x:c>
      <x:c r="AI978" s="34" t="str">
        <x:v>1.265341119704999e-05</x:v>
      </x:c>
      <x:c r="AJ978" s="40" t="b">
        <x:v>1</x:v>
      </x:c>
      <x:c r="AK978" s="40" t="b">
        <x:v>1</x:v>
      </x:c>
      <x:c r="AL978" s="40" t="b">
        <x:v>1</x:v>
      </x:c>
      <x:c r="AM978" s="40" t="b">
        <x:v>1</x:v>
      </x:c>
      <x:c r="AN978" s="34" t="str"/>
      <x:c r="AO978" s="34" t="n">
        <x:v>0</x:v>
      </x:c>
      <x:c r="AP978" s="34" t="n">
        <x:v>0</x:v>
      </x:c>
      <x:c r="AQ978" s="34" t="n">
        <x:v>0</x:v>
      </x:c>
      <x:c r="AR978" s="34" t="n">
        <x:v>3</x:v>
      </x:c>
      <x:c r="AS978" s="34" t="n">
        <x:v>3</x:v>
      </x:c>
      <x:c r="AT978" s="34" t="n">
        <x:v>0.41232239999999987</x:v>
      </x:c>
      <x:c r="AU978" s="34" t="n">
        <x:v>0.65</x:v>
      </x:c>
      <x:c r="AV978" s="34" t="n">
        <x:v>1.78</x:v>
      </x:c>
    </x:row>
    <x:row r="979">
      <x:c r="A979" s="34" t="str">
        <x:v>JFE_STEEL_JP</x:v>
      </x:c>
      <x:c r="B979" s="34" t="str">
        <x:v>JFE Steel</x:v>
      </x:c>
      <x:c r="C979" s="34" t="str">
        <x:v>ACCELERATED_15C</x:v>
      </x:c>
      <x:c r="D979" s="34" t="str">
        <x:v>P2</x:v>
      </x:c>
      <x:c r="E979" s="34" t="n">
        <x:v>2028</x:v>
      </x:c>
      <x:c r="F979" s="34" t="n">
        <x:v>0</x:v>
      </x:c>
      <x:c r="G979" s="34" t="n">
        <x:v>0</x:v>
      </x:c>
      <x:c r="H979" s="34" t="n">
        <x:v>7.5</x:v>
      </x:c>
      <x:c r="I979" s="34" t="n">
        <x:v>7.5</x:v>
      </x:c>
      <x:c r="J979" s="34" t="n">
        <x:v>0</x:v>
      </x:c>
      <x:c r="K979" s="34" t="n">
        <x:v>0</x:v>
      </x:c>
      <x:c r="L979" s="34" t="n">
        <x:v>0.35</x:v>
      </x:c>
      <x:c r="M979" s="34" t="n">
        <x:v>0.35</x:v>
      </x:c>
      <x:c r="N979" s="34" t="n">
        <x:v>0</x:v>
      </x:c>
      <x:c r="O979" s="34" t="n">
        <x:v>0</x:v>
      </x:c>
      <x:c r="P979" s="34" t="n">
        <x:v>4.25</x:v>
      </x:c>
      <x:c r="Q979" s="34" t="n">
        <x:v>4.25</x:v>
      </x:c>
      <x:c r="R979" s="34" t="n">
        <x:v>0</x:v>
      </x:c>
      <x:c r="S979" s="40" t="b">
        <x:v>1</x:v>
      </x:c>
      <x:c r="T979" s="34" t="str">
        <x:v>model_interpolation</x:v>
      </x:c>
      <x:c r="U979" s="34" t="str">
        <x:v>Linear interpolation from 2026 to 2030</x:v>
      </x:c>
      <x:c r="V979" s="34" t="str">
        <x:v>CAND-F4B6AD5FB08D71</x:v>
      </x:c>
      <x:c r="W979" s="34" t="str">
        <x:v>P2</x:v>
      </x:c>
      <x:c r="X979" s="34" t="str">
        <x:v>PORT-51A2628EF9C2</x:v>
      </x:c>
      <x:c r="Y979" s="34" t="n">
        <x:v>1000</x:v>
      </x:c>
      <x:c r="Z979" s="34" t="n">
        <x:v>122.469982</x:v>
      </x:c>
      <x:c r="AA979" s="34" t="n">
        <x:v>35.295924</x:v>
      </x:c>
      <x:c r="AB979" s="34" t="n">
        <x:v>328.220861</x:v>
      </x:c>
      <x:c r="AC979" s="34" t="n">
        <x:v>39413.198</x:v>
      </x:c>
      <x:c r="AD979" s="34" t="n">
        <x:v>120.081332</x:v>
      </x:c>
      <x:c r="AE979" s="40" t="b">
        <x:v>1</x:v>
      </x:c>
      <x:c r="AF979" s="40" t="b">
        <x:v>1</x:v>
      </x:c>
      <x:c r="AG979" s="34" t="str"/>
      <x:c r="AH979" s="34" t="n">
        <x:v>0</x:v>
      </x:c>
      <x:c r="AI979" s="34" t="str">
        <x:v>1.265341119704999e-05</x:v>
      </x:c>
      <x:c r="AJ979" s="40" t="b">
        <x:v>1</x:v>
      </x:c>
      <x:c r="AK979" s="40" t="b">
        <x:v>1</x:v>
      </x:c>
      <x:c r="AL979" s="40" t="b">
        <x:v>1</x:v>
      </x:c>
      <x:c r="AM979" s="40" t="b">
        <x:v>1</x:v>
      </x:c>
      <x:c r="AN979" s="34" t="str"/>
      <x:c r="AO979" s="34" t="n">
        <x:v>0</x:v>
      </x:c>
      <x:c r="AP979" s="34" t="n">
        <x:v>0</x:v>
      </x:c>
      <x:c r="AQ979" s="34" t="n">
        <x:v>0</x:v>
      </x:c>
      <x:c r="AR979" s="34" t="n">
        <x:v>3</x:v>
      </x:c>
      <x:c r="AS979" s="34" t="n">
        <x:v>3</x:v>
      </x:c>
      <x:c r="AT979" s="34" t="n">
        <x:v>0.41232239999999987</x:v>
      </x:c>
      <x:c r="AU979" s="34" t="n">
        <x:v>0.65</x:v>
      </x:c>
      <x:c r="AV979" s="34" t="n">
        <x:v>1.78</x:v>
      </x:c>
    </x:row>
    <x:row r="980">
      <x:c r="A980" s="34" t="str">
        <x:v>JFE_STEEL_JP</x:v>
      </x:c>
      <x:c r="B980" s="34" t="str">
        <x:v>JFE Steel</x:v>
      </x:c>
      <x:c r="C980" s="34" t="str">
        <x:v>ACCELERATED_15C</x:v>
      </x:c>
      <x:c r="D980" s="34" t="str">
        <x:v>P2</x:v>
      </x:c>
      <x:c r="E980" s="34" t="n">
        <x:v>2029</x:v>
      </x:c>
      <x:c r="F980" s="34" t="n">
        <x:v>1</x:v>
      </x:c>
      <x:c r="G980" s="34" t="n">
        <x:v>6.120001</x:v>
      </x:c>
      <x:c r="H980" s="34" t="n">
        <x:v>8.75</x:v>
      </x:c>
      <x:c r="I980" s="34" t="n">
        <x:v>2.629999</x:v>
      </x:c>
      <x:c r="J980" s="34" t="n">
        <x:v>69.943</x:v>
      </x:c>
      <x:c r="K980" s="34" t="n">
        <x:v>0</x:v>
      </x:c>
      <x:c r="L980" s="34" t="n">
        <x:v>0.475</x:v>
      </x:c>
      <x:c r="M980" s="34" t="n">
        <x:v>0.475</x:v>
      </x:c>
      <x:c r="N980" s="34" t="n">
        <x:v>0</x:v>
      </x:c>
      <x:c r="O980" s="34" t="n">
        <x:v>3.808</x:v>
      </x:c>
      <x:c r="P980" s="34" t="n">
        <x:v>5.625</x:v>
      </x:c>
      <x:c r="Q980" s="34" t="n">
        <x:v>1.817</x:v>
      </x:c>
      <x:c r="R980" s="34" t="n">
        <x:v>67.698</x:v>
      </x:c>
      <x:c r="S980" s="40" t="b">
        <x:v>1</x:v>
      </x:c>
      <x:c r="T980" s="34" t="str">
        <x:v>model_interpolation</x:v>
      </x:c>
      <x:c r="U980" s="34" t="str">
        <x:v>Linear interpolation from 2026 to 2030</x:v>
      </x:c>
      <x:c r="V980" s="34" t="str">
        <x:v>CAND-F4B6AD5FB08D71</x:v>
      </x:c>
      <x:c r="W980" s="34" t="str">
        <x:v>P2</x:v>
      </x:c>
      <x:c r="X980" s="34" t="str">
        <x:v>PORT-51A2628EF9C2</x:v>
      </x:c>
      <x:c r="Y980" s="34" t="n">
        <x:v>1000</x:v>
      </x:c>
      <x:c r="Z980" s="34" t="n">
        <x:v>122.469982</x:v>
      </x:c>
      <x:c r="AA980" s="34" t="n">
        <x:v>35.295924</x:v>
      </x:c>
      <x:c r="AB980" s="34" t="n">
        <x:v>328.220861</x:v>
      </x:c>
      <x:c r="AC980" s="34" t="n">
        <x:v>39413.198</x:v>
      </x:c>
      <x:c r="AD980" s="34" t="n">
        <x:v>120.081332</x:v>
      </x:c>
      <x:c r="AE980" s="40" t="b">
        <x:v>1</x:v>
      </x:c>
      <x:c r="AF980" s="40" t="b">
        <x:v>1</x:v>
      </x:c>
      <x:c r="AG980" s="34" t="str"/>
      <x:c r="AH980" s="34" t="n">
        <x:v>0</x:v>
      </x:c>
      <x:c r="AI980" s="34" t="str">
        <x:v>1.265341119704999e-05</x:v>
      </x:c>
      <x:c r="AJ980" s="40" t="b">
        <x:v>1</x:v>
      </x:c>
      <x:c r="AK980" s="40" t="b">
        <x:v>1</x:v>
      </x:c>
      <x:c r="AL980" s="40" t="b">
        <x:v>1</x:v>
      </x:c>
      <x:c r="AM980" s="40" t="b">
        <x:v>1</x:v>
      </x:c>
      <x:c r="AN980" s="34" t="str"/>
      <x:c r="AO980" s="34" t="n">
        <x:v>0</x:v>
      </x:c>
      <x:c r="AP980" s="34" t="n">
        <x:v>0</x:v>
      </x:c>
      <x:c r="AQ980" s="34" t="n">
        <x:v>0</x:v>
      </x:c>
      <x:c r="AR980" s="34" t="n">
        <x:v>3</x:v>
      </x:c>
      <x:c r="AS980" s="34" t="n">
        <x:v>3</x:v>
      </x:c>
      <x:c r="AT980" s="34" t="n">
        <x:v>0.41232239999999987</x:v>
      </x:c>
      <x:c r="AU980" s="34" t="n">
        <x:v>0.65</x:v>
      </x:c>
      <x:c r="AV980" s="34" t="n">
        <x:v>1.78</x:v>
      </x:c>
    </x:row>
    <x:row r="981">
      <x:c r="A981" s="34" t="str">
        <x:v>JFE_STEEL_JP</x:v>
      </x:c>
      <x:c r="B981" s="34" t="str">
        <x:v>JFE Steel</x:v>
      </x:c>
      <x:c r="C981" s="34" t="str">
        <x:v>ACCELERATED_15C</x:v>
      </x:c>
      <x:c r="D981" s="34" t="str">
        <x:v>P2</x:v>
      </x:c>
      <x:c r="E981" s="34" t="n">
        <x:v>2030</x:v>
      </x:c>
      <x:c r="F981" s="34" t="n">
        <x:v>1</x:v>
      </x:c>
      <x:c r="G981" s="34" t="n">
        <x:v>6.120001</x:v>
      </x:c>
      <x:c r="H981" s="34" t="n">
        <x:v>10</x:v>
      </x:c>
      <x:c r="I981" s="34" t="n">
        <x:v>3.879999</x:v>
      </x:c>
      <x:c r="J981" s="34" t="n">
        <x:v>61.2</x:v>
      </x:c>
      <x:c r="K981" s="34" t="n">
        <x:v>0</x:v>
      </x:c>
      <x:c r="L981" s="34" t="n">
        <x:v>0.6</x:v>
      </x:c>
      <x:c r="M981" s="34" t="n">
        <x:v>0.6</x:v>
      </x:c>
      <x:c r="N981" s="34" t="n">
        <x:v>0</x:v>
      </x:c>
      <x:c r="O981" s="34" t="n">
        <x:v>3.808</x:v>
      </x:c>
      <x:c r="P981" s="34" t="n">
        <x:v>7</x:v>
      </x:c>
      <x:c r="Q981" s="34" t="n">
        <x:v>3.192</x:v>
      </x:c>
      <x:c r="R981" s="34" t="n">
        <x:v>54.4</x:v>
      </x:c>
      <x:c r="S981" s="40" t="b">
        <x:v>1</x:v>
      </x:c>
      <x:c r="T981" s="34" t="str">
        <x:v>model_interpolation</x:v>
      </x:c>
      <x:c r="U981" s="34" t="str">
        <x:v>Linear interpolation from 2030 to 2035</x:v>
      </x:c>
      <x:c r="V981" s="34" t="str">
        <x:v>CAND-F4B6AD5FB08D71</x:v>
      </x:c>
      <x:c r="W981" s="34" t="str">
        <x:v>P2</x:v>
      </x:c>
      <x:c r="X981" s="34" t="str">
        <x:v>PORT-51A2628EF9C2</x:v>
      </x:c>
      <x:c r="Y981" s="34" t="n">
        <x:v>1000</x:v>
      </x:c>
      <x:c r="Z981" s="34" t="n">
        <x:v>122.469982</x:v>
      </x:c>
      <x:c r="AA981" s="34" t="n">
        <x:v>35.295924</x:v>
      </x:c>
      <x:c r="AB981" s="34" t="n">
        <x:v>328.220861</x:v>
      </x:c>
      <x:c r="AC981" s="34" t="n">
        <x:v>39413.198</x:v>
      </x:c>
      <x:c r="AD981" s="34" t="n">
        <x:v>120.081332</x:v>
      </x:c>
      <x:c r="AE981" s="40" t="b">
        <x:v>1</x:v>
      </x:c>
      <x:c r="AF981" s="40" t="b">
        <x:v>1</x:v>
      </x:c>
      <x:c r="AG981" s="34" t="str"/>
      <x:c r="AH981" s="34" t="n">
        <x:v>0</x:v>
      </x:c>
      <x:c r="AI981" s="34" t="str">
        <x:v>1.265341119704999e-05</x:v>
      </x:c>
      <x:c r="AJ981" s="40" t="b">
        <x:v>1</x:v>
      </x:c>
      <x:c r="AK981" s="40" t="b">
        <x:v>1</x:v>
      </x:c>
      <x:c r="AL981" s="40" t="b">
        <x:v>1</x:v>
      </x:c>
      <x:c r="AM981" s="40" t="b">
        <x:v>1</x:v>
      </x:c>
      <x:c r="AN981" s="34" t="str"/>
      <x:c r="AO981" s="34" t="n">
        <x:v>0</x:v>
      </x:c>
      <x:c r="AP981" s="34" t="n">
        <x:v>0</x:v>
      </x:c>
      <x:c r="AQ981" s="34" t="n">
        <x:v>0</x:v>
      </x:c>
      <x:c r="AR981" s="34" t="n">
        <x:v>3</x:v>
      </x:c>
      <x:c r="AS981" s="34" t="n">
        <x:v>3</x:v>
      </x:c>
      <x:c r="AT981" s="34" t="n">
        <x:v>0.41232239999999987</x:v>
      </x:c>
      <x:c r="AU981" s="34" t="n">
        <x:v>0.65</x:v>
      </x:c>
      <x:c r="AV981" s="34" t="n">
        <x:v>1.78</x:v>
      </x:c>
    </x:row>
    <x:row r="982">
      <x:c r="A982" s="34" t="str">
        <x:v>JFE_STEEL_JP</x:v>
      </x:c>
      <x:c r="B982" s="34" t="str">
        <x:v>JFE Steel</x:v>
      </x:c>
      <x:c r="C982" s="34" t="str">
        <x:v>ACCELERATED_15C</x:v>
      </x:c>
      <x:c r="D982" s="34" t="str">
        <x:v>P2</x:v>
      </x:c>
      <x:c r="E982" s="34" t="n">
        <x:v>2031</x:v>
      </x:c>
      <x:c r="F982" s="34" t="n">
        <x:v>1</x:v>
      </x:c>
      <x:c r="G982" s="34" t="n">
        <x:v>6.120001</x:v>
      </x:c>
      <x:c r="H982" s="34" t="n">
        <x:v>11.2</x:v>
      </x:c>
      <x:c r="I982" s="34" t="n">
        <x:v>5.079999</x:v>
      </x:c>
      <x:c r="J982" s="34" t="n">
        <x:v>54.643</x:v>
      </x:c>
      <x:c r="K982" s="34" t="n">
        <x:v>0</x:v>
      </x:c>
      <x:c r="L982" s="34" t="n">
        <x:v>0.8400000000000001</x:v>
      </x:c>
      <x:c r="M982" s="34" t="n">
        <x:v>0.84</x:v>
      </x:c>
      <x:c r="N982" s="34" t="n">
        <x:v>0</x:v>
      </x:c>
      <x:c r="O982" s="34" t="n">
        <x:v>3.808</x:v>
      </x:c>
      <x:c r="P982" s="34" t="n">
        <x:v>8.4</x:v>
      </x:c>
      <x:c r="Q982" s="34" t="n">
        <x:v>4.592</x:v>
      </x:c>
      <x:c r="R982" s="34" t="n">
        <x:v>45.333</x:v>
      </x:c>
      <x:c r="S982" s="40" t="b">
        <x:v>1</x:v>
      </x:c>
      <x:c r="T982" s="34" t="str">
        <x:v>model_interpolation</x:v>
      </x:c>
      <x:c r="U982" s="34" t="str">
        <x:v>Linear interpolation from 2030 to 2035</x:v>
      </x:c>
      <x:c r="V982" s="34" t="str">
        <x:v>CAND-F4B6AD5FB08D71</x:v>
      </x:c>
      <x:c r="W982" s="34" t="str">
        <x:v>P2</x:v>
      </x:c>
      <x:c r="X982" s="34" t="str">
        <x:v>PORT-51A2628EF9C2</x:v>
      </x:c>
      <x:c r="Y982" s="34" t="n">
        <x:v>1000</x:v>
      </x:c>
      <x:c r="Z982" s="34" t="n">
        <x:v>122.469982</x:v>
      </x:c>
      <x:c r="AA982" s="34" t="n">
        <x:v>35.295924</x:v>
      </x:c>
      <x:c r="AB982" s="34" t="n">
        <x:v>328.220861</x:v>
      </x:c>
      <x:c r="AC982" s="34" t="n">
        <x:v>39413.198</x:v>
      </x:c>
      <x:c r="AD982" s="34" t="n">
        <x:v>120.081332</x:v>
      </x:c>
      <x:c r="AE982" s="40" t="b">
        <x:v>1</x:v>
      </x:c>
      <x:c r="AF982" s="40" t="b">
        <x:v>1</x:v>
      </x:c>
      <x:c r="AG982" s="34" t="str"/>
      <x:c r="AH982" s="34" t="n">
        <x:v>0</x:v>
      </x:c>
      <x:c r="AI982" s="34" t="str">
        <x:v>1.265341119704999e-05</x:v>
      </x:c>
      <x:c r="AJ982" s="40" t="b">
        <x:v>1</x:v>
      </x:c>
      <x:c r="AK982" s="40" t="b">
        <x:v>1</x:v>
      </x:c>
      <x:c r="AL982" s="40" t="b">
        <x:v>1</x:v>
      </x:c>
      <x:c r="AM982" s="40" t="b">
        <x:v>1</x:v>
      </x:c>
      <x:c r="AN982" s="34" t="str"/>
      <x:c r="AO982" s="34" t="n">
        <x:v>0</x:v>
      </x:c>
      <x:c r="AP982" s="34" t="n">
        <x:v>0</x:v>
      </x:c>
      <x:c r="AQ982" s="34" t="n">
        <x:v>0</x:v>
      </x:c>
      <x:c r="AR982" s="34" t="n">
        <x:v>3</x:v>
      </x:c>
      <x:c r="AS982" s="34" t="n">
        <x:v>3</x:v>
      </x:c>
      <x:c r="AT982" s="34" t="n">
        <x:v>0.41232239999999987</x:v>
      </x:c>
      <x:c r="AU982" s="34" t="n">
        <x:v>0.65</x:v>
      </x:c>
      <x:c r="AV982" s="34" t="n">
        <x:v>1.78</x:v>
      </x:c>
    </x:row>
    <x:row r="983">
      <x:c r="A983" s="34" t="str">
        <x:v>JFE_STEEL_JP</x:v>
      </x:c>
      <x:c r="B983" s="34" t="str">
        <x:v>JFE Steel</x:v>
      </x:c>
      <x:c r="C983" s="34" t="str">
        <x:v>ACCELERATED_15C</x:v>
      </x:c>
      <x:c r="D983" s="34" t="str">
        <x:v>P2</x:v>
      </x:c>
      <x:c r="E983" s="34" t="n">
        <x:v>2032</x:v>
      </x:c>
      <x:c r="F983" s="34" t="n">
        <x:v>1</x:v>
      </x:c>
      <x:c r="G983" s="34" t="n">
        <x:v>6.120001</x:v>
      </x:c>
      <x:c r="H983" s="34" t="n">
        <x:v>12.4</x:v>
      </x:c>
      <x:c r="I983" s="34" t="n">
        <x:v>6.279999</x:v>
      </x:c>
      <x:c r="J983" s="34" t="n">
        <x:v>49.355</x:v>
      </x:c>
      <x:c r="K983" s="34" t="n">
        <x:v>0</x:v>
      </x:c>
      <x:c r="L983" s="34" t="n">
        <x:v>1.08</x:v>
      </x:c>
      <x:c r="M983" s="34" t="n">
        <x:v>1.08</x:v>
      </x:c>
      <x:c r="N983" s="34" t="n">
        <x:v>0</x:v>
      </x:c>
      <x:c r="O983" s="34" t="n">
        <x:v>3.808</x:v>
      </x:c>
      <x:c r="P983" s="34" t="n">
        <x:v>9.8</x:v>
      </x:c>
      <x:c r="Q983" s="34" t="n">
        <x:v>5.992</x:v>
      </x:c>
      <x:c r="R983" s="34" t="n">
        <x:v>38.857</x:v>
      </x:c>
      <x:c r="S983" s="40" t="b">
        <x:v>1</x:v>
      </x:c>
      <x:c r="T983" s="34" t="str">
        <x:v>model_interpolation</x:v>
      </x:c>
      <x:c r="U983" s="34" t="str">
        <x:v>Linear interpolation from 2030 to 2035</x:v>
      </x:c>
      <x:c r="V983" s="34" t="str">
        <x:v>CAND-F4B6AD5FB08D71</x:v>
      </x:c>
      <x:c r="W983" s="34" t="str">
        <x:v>P2</x:v>
      </x:c>
      <x:c r="X983" s="34" t="str">
        <x:v>PORT-51A2628EF9C2</x:v>
      </x:c>
      <x:c r="Y983" s="34" t="n">
        <x:v>1000</x:v>
      </x:c>
      <x:c r="Z983" s="34" t="n">
        <x:v>122.469982</x:v>
      </x:c>
      <x:c r="AA983" s="34" t="n">
        <x:v>35.295924</x:v>
      </x:c>
      <x:c r="AB983" s="34" t="n">
        <x:v>328.220861</x:v>
      </x:c>
      <x:c r="AC983" s="34" t="n">
        <x:v>39413.198</x:v>
      </x:c>
      <x:c r="AD983" s="34" t="n">
        <x:v>120.081332</x:v>
      </x:c>
      <x:c r="AE983" s="40" t="b">
        <x:v>1</x:v>
      </x:c>
      <x:c r="AF983" s="40" t="b">
        <x:v>1</x:v>
      </x:c>
      <x:c r="AG983" s="34" t="str"/>
      <x:c r="AH983" s="34" t="n">
        <x:v>0</x:v>
      </x:c>
      <x:c r="AI983" s="34" t="str">
        <x:v>1.265341119704999e-05</x:v>
      </x:c>
      <x:c r="AJ983" s="40" t="b">
        <x:v>1</x:v>
      </x:c>
      <x:c r="AK983" s="40" t="b">
        <x:v>1</x:v>
      </x:c>
      <x:c r="AL983" s="40" t="b">
        <x:v>1</x:v>
      </x:c>
      <x:c r="AM983" s="40" t="b">
        <x:v>1</x:v>
      </x:c>
      <x:c r="AN983" s="34" t="str"/>
      <x:c r="AO983" s="34" t="n">
        <x:v>0</x:v>
      </x:c>
      <x:c r="AP983" s="34" t="n">
        <x:v>0</x:v>
      </x:c>
      <x:c r="AQ983" s="34" t="n">
        <x:v>0</x:v>
      </x:c>
      <x:c r="AR983" s="34" t="n">
        <x:v>3</x:v>
      </x:c>
      <x:c r="AS983" s="34" t="n">
        <x:v>3</x:v>
      </x:c>
      <x:c r="AT983" s="34" t="n">
        <x:v>0.41232239999999987</x:v>
      </x:c>
      <x:c r="AU983" s="34" t="n">
        <x:v>0.65</x:v>
      </x:c>
      <x:c r="AV983" s="34" t="n">
        <x:v>1.78</x:v>
      </x:c>
    </x:row>
    <x:row r="984">
      <x:c r="A984" s="34" t="str">
        <x:v>JFE_STEEL_JP</x:v>
      </x:c>
      <x:c r="B984" s="34" t="str">
        <x:v>JFE Steel</x:v>
      </x:c>
      <x:c r="C984" s="34" t="str">
        <x:v>ACCELERATED_15C</x:v>
      </x:c>
      <x:c r="D984" s="34" t="str">
        <x:v>P2</x:v>
      </x:c>
      <x:c r="E984" s="34" t="n">
        <x:v>2033</x:v>
      </x:c>
      <x:c r="F984" s="34" t="n">
        <x:v>3</x:v>
      </x:c>
      <x:c r="G984" s="34" t="n">
        <x:v>8.1</x:v>
      </x:c>
      <x:c r="H984" s="34" t="n">
        <x:v>13.6</x:v>
      </x:c>
      <x:c r="I984" s="34" t="n">
        <x:v>5.5</x:v>
      </x:c>
      <x:c r="J984" s="34" t="n">
        <x:v>59.559</x:v>
      </x:c>
      <x:c r="K984" s="34" t="n">
        <x:v>0.495</x:v>
      </x:c>
      <x:c r="L984" s="34" t="n">
        <x:v>1.32</x:v>
      </x:c>
      <x:c r="M984" s="34" t="n">
        <x:v>0.825</x:v>
      </x:c>
      <x:c r="N984" s="34" t="n">
        <x:v>37.5</x:v>
      </x:c>
      <x:c r="O984" s="34" t="n">
        <x:v>7.961999</x:v>
      </x:c>
      <x:c r="P984" s="34" t="n">
        <x:v>11.2</x:v>
      </x:c>
      <x:c r="Q984" s="34" t="n">
        <x:v>3.238001</x:v>
      </x:c>
      <x:c r="R984" s="34" t="n">
        <x:v>71.089</x:v>
      </x:c>
      <x:c r="S984" s="40" t="b">
        <x:v>1</x:v>
      </x:c>
      <x:c r="T984" s="34" t="str">
        <x:v>model_interpolation</x:v>
      </x:c>
      <x:c r="U984" s="34" t="str">
        <x:v>Linear interpolation from 2030 to 2035</x:v>
      </x:c>
      <x:c r="V984" s="34" t="str">
        <x:v>CAND-F4B6AD5FB08D71</x:v>
      </x:c>
      <x:c r="W984" s="34" t="str">
        <x:v>P2</x:v>
      </x:c>
      <x:c r="X984" s="34" t="str">
        <x:v>PORT-51A2628EF9C2</x:v>
      </x:c>
      <x:c r="Y984" s="34" t="n">
        <x:v>1000</x:v>
      </x:c>
      <x:c r="Z984" s="34" t="n">
        <x:v>122.469982</x:v>
      </x:c>
      <x:c r="AA984" s="34" t="n">
        <x:v>35.295924</x:v>
      </x:c>
      <x:c r="AB984" s="34" t="n">
        <x:v>328.220861</x:v>
      </x:c>
      <x:c r="AC984" s="34" t="n">
        <x:v>39413.198</x:v>
      </x:c>
      <x:c r="AD984" s="34" t="n">
        <x:v>120.081332</x:v>
      </x:c>
      <x:c r="AE984" s="40" t="b">
        <x:v>1</x:v>
      </x:c>
      <x:c r="AF984" s="40" t="b">
        <x:v>1</x:v>
      </x:c>
      <x:c r="AG984" s="34" t="str"/>
      <x:c r="AH984" s="34" t="n">
        <x:v>0</x:v>
      </x:c>
      <x:c r="AI984" s="34" t="str">
        <x:v>1.265341119704999e-05</x:v>
      </x:c>
      <x:c r="AJ984" s="40" t="b">
        <x:v>1</x:v>
      </x:c>
      <x:c r="AK984" s="40" t="b">
        <x:v>1</x:v>
      </x:c>
      <x:c r="AL984" s="40" t="b">
        <x:v>1</x:v>
      </x:c>
      <x:c r="AM984" s="40" t="b">
        <x:v>1</x:v>
      </x:c>
      <x:c r="AN984" s="34" t="str"/>
      <x:c r="AO984" s="34" t="n">
        <x:v>0</x:v>
      </x:c>
      <x:c r="AP984" s="34" t="n">
        <x:v>0</x:v>
      </x:c>
      <x:c r="AQ984" s="34" t="n">
        <x:v>0</x:v>
      </x:c>
      <x:c r="AR984" s="34" t="n">
        <x:v>3</x:v>
      </x:c>
      <x:c r="AS984" s="34" t="n">
        <x:v>3</x:v>
      </x:c>
      <x:c r="AT984" s="34" t="n">
        <x:v>0.41232239999999987</x:v>
      </x:c>
      <x:c r="AU984" s="34" t="n">
        <x:v>0.65</x:v>
      </x:c>
      <x:c r="AV984" s="34" t="n">
        <x:v>1.78</x:v>
      </x:c>
    </x:row>
    <x:row r="985">
      <x:c r="A985" s="34" t="str">
        <x:v>JFE_STEEL_JP</x:v>
      </x:c>
      <x:c r="B985" s="34" t="str">
        <x:v>JFE Steel</x:v>
      </x:c>
      <x:c r="C985" s="34" t="str">
        <x:v>ACCELERATED_15C</x:v>
      </x:c>
      <x:c r="D985" s="34" t="str">
        <x:v>P2</x:v>
      </x:c>
      <x:c r="E985" s="34" t="n">
        <x:v>2034</x:v>
      </x:c>
      <x:c r="F985" s="34" t="n">
        <x:v>3</x:v>
      </x:c>
      <x:c r="G985" s="34" t="n">
        <x:v>8.1</x:v>
      </x:c>
      <x:c r="H985" s="34" t="n">
        <x:v>14.8</x:v>
      </x:c>
      <x:c r="I985" s="34" t="n">
        <x:v>6.7</x:v>
      </x:c>
      <x:c r="J985" s="34" t="n">
        <x:v>54.73</x:v>
      </x:c>
      <x:c r="K985" s="34" t="n">
        <x:v>0.495</x:v>
      </x:c>
      <x:c r="L985" s="34" t="n">
        <x:v>1.56</x:v>
      </x:c>
      <x:c r="M985" s="34" t="n">
        <x:v>1.065</x:v>
      </x:c>
      <x:c r="N985" s="34" t="n">
        <x:v>31.731</x:v>
      </x:c>
      <x:c r="O985" s="34" t="n">
        <x:v>7.961999</x:v>
      </x:c>
      <x:c r="P985" s="34" t="n">
        <x:v>12.600000000000001</x:v>
      </x:c>
      <x:c r="Q985" s="34" t="n">
        <x:v>4.638001</x:v>
      </x:c>
      <x:c r="R985" s="34" t="n">
        <x:v>63.19</x:v>
      </x:c>
      <x:c r="S985" s="40" t="b">
        <x:v>1</x:v>
      </x:c>
      <x:c r="T985" s="34" t="str">
        <x:v>model_interpolation</x:v>
      </x:c>
      <x:c r="U985" s="34" t="str">
        <x:v>Linear interpolation from 2030 to 2035</x:v>
      </x:c>
      <x:c r="V985" s="34" t="str">
        <x:v>CAND-F4B6AD5FB08D71</x:v>
      </x:c>
      <x:c r="W985" s="34" t="str">
        <x:v>P2</x:v>
      </x:c>
      <x:c r="X985" s="34" t="str">
        <x:v>PORT-51A2628EF9C2</x:v>
      </x:c>
      <x:c r="Y985" s="34" t="n">
        <x:v>1000</x:v>
      </x:c>
      <x:c r="Z985" s="34" t="n">
        <x:v>122.469982</x:v>
      </x:c>
      <x:c r="AA985" s="34" t="n">
        <x:v>35.295924</x:v>
      </x:c>
      <x:c r="AB985" s="34" t="n">
        <x:v>328.220861</x:v>
      </x:c>
      <x:c r="AC985" s="34" t="n">
        <x:v>39413.198</x:v>
      </x:c>
      <x:c r="AD985" s="34" t="n">
        <x:v>120.081332</x:v>
      </x:c>
      <x:c r="AE985" s="40" t="b">
        <x:v>1</x:v>
      </x:c>
      <x:c r="AF985" s="40" t="b">
        <x:v>1</x:v>
      </x:c>
      <x:c r="AG985" s="34" t="str"/>
      <x:c r="AH985" s="34" t="n">
        <x:v>0</x:v>
      </x:c>
      <x:c r="AI985" s="34" t="str">
        <x:v>1.265341119704999e-05</x:v>
      </x:c>
      <x:c r="AJ985" s="40" t="b">
        <x:v>1</x:v>
      </x:c>
      <x:c r="AK985" s="40" t="b">
        <x:v>1</x:v>
      </x:c>
      <x:c r="AL985" s="40" t="b">
        <x:v>1</x:v>
      </x:c>
      <x:c r="AM985" s="40" t="b">
        <x:v>1</x:v>
      </x:c>
      <x:c r="AN985" s="34" t="str"/>
      <x:c r="AO985" s="34" t="n">
        <x:v>0</x:v>
      </x:c>
      <x:c r="AP985" s="34" t="n">
        <x:v>0</x:v>
      </x:c>
      <x:c r="AQ985" s="34" t="n">
        <x:v>0</x:v>
      </x:c>
      <x:c r="AR985" s="34" t="n">
        <x:v>3</x:v>
      </x:c>
      <x:c r="AS985" s="34" t="n">
        <x:v>3</x:v>
      </x:c>
      <x:c r="AT985" s="34" t="n">
        <x:v>0.41232239999999987</x:v>
      </x:c>
      <x:c r="AU985" s="34" t="n">
        <x:v>0.65</x:v>
      </x:c>
      <x:c r="AV985" s="34" t="n">
        <x:v>1.78</x:v>
      </x:c>
    </x:row>
    <x:row r="986">
      <x:c r="A986" s="34" t="str">
        <x:v>JFE_STEEL_JP</x:v>
      </x:c>
      <x:c r="B986" s="34" t="str">
        <x:v>JFE Steel</x:v>
      </x:c>
      <x:c r="C986" s="34" t="str">
        <x:v>ACCELERATED_15C</x:v>
      </x:c>
      <x:c r="D986" s="34" t="str">
        <x:v>P2</x:v>
      </x:c>
      <x:c r="E986" s="34" t="n">
        <x:v>2035</x:v>
      </x:c>
      <x:c r="F986" s="34" t="n">
        <x:v>3</x:v>
      </x:c>
      <x:c r="G986" s="34" t="n">
        <x:v>8.1</x:v>
      </x:c>
      <x:c r="H986" s="34" t="n">
        <x:v>16</x:v>
      </x:c>
      <x:c r="I986" s="34" t="n">
        <x:v>7.9</x:v>
      </x:c>
      <x:c r="J986" s="34" t="n">
        <x:v>50.625</x:v>
      </x:c>
      <x:c r="K986" s="34" t="n">
        <x:v>0.495</x:v>
      </x:c>
      <x:c r="L986" s="34" t="n">
        <x:v>1.8</x:v>
      </x:c>
      <x:c r="M986" s="34" t="n">
        <x:v>1.305</x:v>
      </x:c>
      <x:c r="N986" s="34" t="n">
        <x:v>27.5</x:v>
      </x:c>
      <x:c r="O986" s="34" t="n">
        <x:v>7.961999</x:v>
      </x:c>
      <x:c r="P986" s="34" t="n">
        <x:v>14</x:v>
      </x:c>
      <x:c r="Q986" s="34" t="n">
        <x:v>6.038001</x:v>
      </x:c>
      <x:c r="R986" s="34" t="n">
        <x:v>56.871</x:v>
      </x:c>
      <x:c r="S986" s="40" t="b">
        <x:v>1</x:v>
      </x:c>
      <x:c r="T986" s="34" t="str">
        <x:v>model_interpolation</x:v>
      </x:c>
      <x:c r="U986" s="34" t="str">
        <x:v>Linear interpolation from 2035 to 2040</x:v>
      </x:c>
      <x:c r="V986" s="34" t="str">
        <x:v>CAND-F4B6AD5FB08D71</x:v>
      </x:c>
      <x:c r="W986" s="34" t="str">
        <x:v>P2</x:v>
      </x:c>
      <x:c r="X986" s="34" t="str">
        <x:v>PORT-51A2628EF9C2</x:v>
      </x:c>
      <x:c r="Y986" s="34" t="n">
        <x:v>1000</x:v>
      </x:c>
      <x:c r="Z986" s="34" t="n">
        <x:v>122.469982</x:v>
      </x:c>
      <x:c r="AA986" s="34" t="n">
        <x:v>35.295924</x:v>
      </x:c>
      <x:c r="AB986" s="34" t="n">
        <x:v>328.220861</x:v>
      </x:c>
      <x:c r="AC986" s="34" t="n">
        <x:v>39413.198</x:v>
      </x:c>
      <x:c r="AD986" s="34" t="n">
        <x:v>120.081332</x:v>
      </x:c>
      <x:c r="AE986" s="40" t="b">
        <x:v>1</x:v>
      </x:c>
      <x:c r="AF986" s="40" t="b">
        <x:v>1</x:v>
      </x:c>
      <x:c r="AG986" s="34" t="str"/>
      <x:c r="AH986" s="34" t="n">
        <x:v>0</x:v>
      </x:c>
      <x:c r="AI986" s="34" t="str">
        <x:v>1.265341119704999e-05</x:v>
      </x:c>
      <x:c r="AJ986" s="40" t="b">
        <x:v>1</x:v>
      </x:c>
      <x:c r="AK986" s="40" t="b">
        <x:v>1</x:v>
      </x:c>
      <x:c r="AL986" s="40" t="b">
        <x:v>1</x:v>
      </x:c>
      <x:c r="AM986" s="40" t="b">
        <x:v>1</x:v>
      </x:c>
      <x:c r="AN986" s="34" t="str"/>
      <x:c r="AO986" s="34" t="n">
        <x:v>0</x:v>
      </x:c>
      <x:c r="AP986" s="34" t="n">
        <x:v>0</x:v>
      </x:c>
      <x:c r="AQ986" s="34" t="n">
        <x:v>0</x:v>
      </x:c>
      <x:c r="AR986" s="34" t="n">
        <x:v>3</x:v>
      </x:c>
      <x:c r="AS986" s="34" t="n">
        <x:v>3</x:v>
      </x:c>
      <x:c r="AT986" s="34" t="n">
        <x:v>0.41232239999999987</x:v>
      </x:c>
      <x:c r="AU986" s="34" t="n">
        <x:v>0.65</x:v>
      </x:c>
      <x:c r="AV986" s="34" t="n">
        <x:v>1.78</x:v>
      </x:c>
    </x:row>
    <x:row r="987">
      <x:c r="A987" s="34" t="str">
        <x:v>JFE_STEEL_JP</x:v>
      </x:c>
      <x:c r="B987" s="34" t="str">
        <x:v>JFE Steel</x:v>
      </x:c>
      <x:c r="C987" s="34" t="str">
        <x:v>ACCELERATED_15C</x:v>
      </x:c>
      <x:c r="D987" s="34" t="str">
        <x:v>P2</x:v>
      </x:c>
      <x:c r="E987" s="34" t="n">
        <x:v>2036</x:v>
      </x:c>
      <x:c r="F987" s="34" t="n">
        <x:v>4</x:v>
      </x:c>
      <x:c r="G987" s="34" t="n">
        <x:v>8.9175</x:v>
      </x:c>
      <x:c r="H987" s="34" t="n">
        <x:v>17</x:v>
      </x:c>
      <x:c r="I987" s="34" t="n">
        <x:v>8.0825</x:v>
      </x:c>
      <x:c r="J987" s="34" t="n">
        <x:v>52.456</x:v>
      </x:c>
      <x:c r="K987" s="34" t="n">
        <x:v>0.79475</x:v>
      </x:c>
      <x:c r="L987" s="34" t="n">
        <x:v>2.04</x:v>
      </x:c>
      <x:c r="M987" s="34" t="n">
        <x:v>1.24525</x:v>
      </x:c>
      <x:c r="N987" s="34" t="n">
        <x:v>38.958</x:v>
      </x:c>
      <x:c r="O987" s="34" t="n">
        <x:v>10.468998</x:v>
      </x:c>
      <x:c r="P987" s="34" t="n">
        <x:v>15.6</x:v>
      </x:c>
      <x:c r="Q987" s="34" t="n">
        <x:v>5.131002</x:v>
      </x:c>
      <x:c r="R987" s="34" t="n">
        <x:v>67.109</x:v>
      </x:c>
      <x:c r="S987" s="40" t="b">
        <x:v>1</x:v>
      </x:c>
      <x:c r="T987" s="34" t="str">
        <x:v>model_interpolation</x:v>
      </x:c>
      <x:c r="U987" s="34" t="str">
        <x:v>Linear interpolation from 2035 to 2040</x:v>
      </x:c>
      <x:c r="V987" s="34" t="str">
        <x:v>CAND-F4B6AD5FB08D71</x:v>
      </x:c>
      <x:c r="W987" s="34" t="str">
        <x:v>P2</x:v>
      </x:c>
      <x:c r="X987" s="34" t="str">
        <x:v>PORT-51A2628EF9C2</x:v>
      </x:c>
      <x:c r="Y987" s="34" t="n">
        <x:v>1000</x:v>
      </x:c>
      <x:c r="Z987" s="34" t="n">
        <x:v>122.469982</x:v>
      </x:c>
      <x:c r="AA987" s="34" t="n">
        <x:v>35.295924</x:v>
      </x:c>
      <x:c r="AB987" s="34" t="n">
        <x:v>328.220861</x:v>
      </x:c>
      <x:c r="AC987" s="34" t="n">
        <x:v>39413.198</x:v>
      </x:c>
      <x:c r="AD987" s="34" t="n">
        <x:v>120.081332</x:v>
      </x:c>
      <x:c r="AE987" s="40" t="b">
        <x:v>1</x:v>
      </x:c>
      <x:c r="AF987" s="40" t="b">
        <x:v>1</x:v>
      </x:c>
      <x:c r="AG987" s="34" t="str"/>
      <x:c r="AH987" s="34" t="n">
        <x:v>0</x:v>
      </x:c>
      <x:c r="AI987" s="34" t="str">
        <x:v>1.265341119704999e-05</x:v>
      </x:c>
      <x:c r="AJ987" s="40" t="b">
        <x:v>1</x:v>
      </x:c>
      <x:c r="AK987" s="40" t="b">
        <x:v>1</x:v>
      </x:c>
      <x:c r="AL987" s="40" t="b">
        <x:v>1</x:v>
      </x:c>
      <x:c r="AM987" s="40" t="b">
        <x:v>1</x:v>
      </x:c>
      <x:c r="AN987" s="34" t="str"/>
      <x:c r="AO987" s="34" t="n">
        <x:v>0</x:v>
      </x:c>
      <x:c r="AP987" s="34" t="n">
        <x:v>0</x:v>
      </x:c>
      <x:c r="AQ987" s="34" t="n">
        <x:v>0</x:v>
      </x:c>
      <x:c r="AR987" s="34" t="n">
        <x:v>3</x:v>
      </x:c>
      <x:c r="AS987" s="34" t="n">
        <x:v>3</x:v>
      </x:c>
      <x:c r="AT987" s="34" t="n">
        <x:v>0.41232239999999987</x:v>
      </x:c>
      <x:c r="AU987" s="34" t="n">
        <x:v>0.65</x:v>
      </x:c>
      <x:c r="AV987" s="34" t="n">
        <x:v>1.78</x:v>
      </x:c>
    </x:row>
    <x:row r="988">
      <x:c r="A988" s="34" t="str">
        <x:v>JFE_STEEL_JP</x:v>
      </x:c>
      <x:c r="B988" s="34" t="str">
        <x:v>JFE Steel</x:v>
      </x:c>
      <x:c r="C988" s="34" t="str">
        <x:v>ACCELERATED_15C</x:v>
      </x:c>
      <x:c r="D988" s="34" t="str">
        <x:v>P2</x:v>
      </x:c>
      <x:c r="E988" s="34" t="n">
        <x:v>2037</x:v>
      </x:c>
      <x:c r="F988" s="34" t="n">
        <x:v>4</x:v>
      </x:c>
      <x:c r="G988" s="34" t="n">
        <x:v>8.9175</x:v>
      </x:c>
      <x:c r="H988" s="34" t="n">
        <x:v>18</x:v>
      </x:c>
      <x:c r="I988" s="34" t="n">
        <x:v>9.0825</x:v>
      </x:c>
      <x:c r="J988" s="34" t="n">
        <x:v>49.542</x:v>
      </x:c>
      <x:c r="K988" s="34" t="n">
        <x:v>0.79475</x:v>
      </x:c>
      <x:c r="L988" s="34" t="n">
        <x:v>2.2800000000000002</x:v>
      </x:c>
      <x:c r="M988" s="34" t="n">
        <x:v>1.48525</x:v>
      </x:c>
      <x:c r="N988" s="34" t="n">
        <x:v>34.857</x:v>
      </x:c>
      <x:c r="O988" s="34" t="n">
        <x:v>10.468998</x:v>
      </x:c>
      <x:c r="P988" s="34" t="n">
        <x:v>17.2</x:v>
      </x:c>
      <x:c r="Q988" s="34" t="n">
        <x:v>6.731002</x:v>
      </x:c>
      <x:c r="R988" s="34" t="n">
        <x:v>60.866</x:v>
      </x:c>
      <x:c r="S988" s="40" t="b">
        <x:v>1</x:v>
      </x:c>
      <x:c r="T988" s="34" t="str">
        <x:v>model_interpolation</x:v>
      </x:c>
      <x:c r="U988" s="34" t="str">
        <x:v>Linear interpolation from 2035 to 2040</x:v>
      </x:c>
      <x:c r="V988" s="34" t="str">
        <x:v>CAND-F4B6AD5FB08D71</x:v>
      </x:c>
      <x:c r="W988" s="34" t="str">
        <x:v>P2</x:v>
      </x:c>
      <x:c r="X988" s="34" t="str">
        <x:v>PORT-51A2628EF9C2</x:v>
      </x:c>
      <x:c r="Y988" s="34" t="n">
        <x:v>1000</x:v>
      </x:c>
      <x:c r="Z988" s="34" t="n">
        <x:v>122.469982</x:v>
      </x:c>
      <x:c r="AA988" s="34" t="n">
        <x:v>35.295924</x:v>
      </x:c>
      <x:c r="AB988" s="34" t="n">
        <x:v>328.220861</x:v>
      </x:c>
      <x:c r="AC988" s="34" t="n">
        <x:v>39413.198</x:v>
      </x:c>
      <x:c r="AD988" s="34" t="n">
        <x:v>120.081332</x:v>
      </x:c>
      <x:c r="AE988" s="40" t="b">
        <x:v>1</x:v>
      </x:c>
      <x:c r="AF988" s="40" t="b">
        <x:v>1</x:v>
      </x:c>
      <x:c r="AG988" s="34" t="str"/>
      <x:c r="AH988" s="34" t="n">
        <x:v>0</x:v>
      </x:c>
      <x:c r="AI988" s="34" t="str">
        <x:v>1.265341119704999e-05</x:v>
      </x:c>
      <x:c r="AJ988" s="40" t="b">
        <x:v>1</x:v>
      </x:c>
      <x:c r="AK988" s="40" t="b">
        <x:v>1</x:v>
      </x:c>
      <x:c r="AL988" s="40" t="b">
        <x:v>1</x:v>
      </x:c>
      <x:c r="AM988" s="40" t="b">
        <x:v>1</x:v>
      </x:c>
      <x:c r="AN988" s="34" t="str"/>
      <x:c r="AO988" s="34" t="n">
        <x:v>0</x:v>
      </x:c>
      <x:c r="AP988" s="34" t="n">
        <x:v>0</x:v>
      </x:c>
      <x:c r="AQ988" s="34" t="n">
        <x:v>0</x:v>
      </x:c>
      <x:c r="AR988" s="34" t="n">
        <x:v>3</x:v>
      </x:c>
      <x:c r="AS988" s="34" t="n">
        <x:v>3</x:v>
      </x:c>
      <x:c r="AT988" s="34" t="n">
        <x:v>0.41232239999999987</x:v>
      </x:c>
      <x:c r="AU988" s="34" t="n">
        <x:v>0.65</x:v>
      </x:c>
      <x:c r="AV988" s="34" t="n">
        <x:v>1.78</x:v>
      </x:c>
    </x:row>
    <x:row r="989">
      <x:c r="A989" s="34" t="str">
        <x:v>JFE_STEEL_JP</x:v>
      </x:c>
      <x:c r="B989" s="34" t="str">
        <x:v>JFE Steel</x:v>
      </x:c>
      <x:c r="C989" s="34" t="str">
        <x:v>ACCELERATED_15C</x:v>
      </x:c>
      <x:c r="D989" s="34" t="str">
        <x:v>P2</x:v>
      </x:c>
      <x:c r="E989" s="34" t="n">
        <x:v>2038</x:v>
      </x:c>
      <x:c r="F989" s="34" t="n">
        <x:v>4</x:v>
      </x:c>
      <x:c r="G989" s="34" t="n">
        <x:v>8.9175</x:v>
      </x:c>
      <x:c r="H989" s="34" t="n">
        <x:v>19</x:v>
      </x:c>
      <x:c r="I989" s="34" t="n">
        <x:v>10.0825</x:v>
      </x:c>
      <x:c r="J989" s="34" t="n">
        <x:v>46.934</x:v>
      </x:c>
      <x:c r="K989" s="34" t="n">
        <x:v>0.79475</x:v>
      </x:c>
      <x:c r="L989" s="34" t="n">
        <x:v>2.52</x:v>
      </x:c>
      <x:c r="M989" s="34" t="n">
        <x:v>1.72525</x:v>
      </x:c>
      <x:c r="N989" s="34" t="n">
        <x:v>31.538</x:v>
      </x:c>
      <x:c r="O989" s="34" t="n">
        <x:v>10.468998</x:v>
      </x:c>
      <x:c r="P989" s="34" t="n">
        <x:v>18.8</x:v>
      </x:c>
      <x:c r="Q989" s="34" t="n">
        <x:v>8.331002</x:v>
      </x:c>
      <x:c r="R989" s="34" t="n">
        <x:v>55.686</x:v>
      </x:c>
      <x:c r="S989" s="40" t="b">
        <x:v>1</x:v>
      </x:c>
      <x:c r="T989" s="34" t="str">
        <x:v>model_interpolation</x:v>
      </x:c>
      <x:c r="U989" s="34" t="str">
        <x:v>Linear interpolation from 2035 to 2040</x:v>
      </x:c>
      <x:c r="V989" s="34" t="str">
        <x:v>CAND-F4B6AD5FB08D71</x:v>
      </x:c>
      <x:c r="W989" s="34" t="str">
        <x:v>P2</x:v>
      </x:c>
      <x:c r="X989" s="34" t="str">
        <x:v>PORT-51A2628EF9C2</x:v>
      </x:c>
      <x:c r="Y989" s="34" t="n">
        <x:v>1000</x:v>
      </x:c>
      <x:c r="Z989" s="34" t="n">
        <x:v>122.469982</x:v>
      </x:c>
      <x:c r="AA989" s="34" t="n">
        <x:v>35.295924</x:v>
      </x:c>
      <x:c r="AB989" s="34" t="n">
        <x:v>328.220861</x:v>
      </x:c>
      <x:c r="AC989" s="34" t="n">
        <x:v>39413.198</x:v>
      </x:c>
      <x:c r="AD989" s="34" t="n">
        <x:v>120.081332</x:v>
      </x:c>
      <x:c r="AE989" s="40" t="b">
        <x:v>1</x:v>
      </x:c>
      <x:c r="AF989" s="40" t="b">
        <x:v>1</x:v>
      </x:c>
      <x:c r="AG989" s="34" t="str"/>
      <x:c r="AH989" s="34" t="n">
        <x:v>0</x:v>
      </x:c>
      <x:c r="AI989" s="34" t="str">
        <x:v>1.265341119704999e-05</x:v>
      </x:c>
      <x:c r="AJ989" s="40" t="b">
        <x:v>1</x:v>
      </x:c>
      <x:c r="AK989" s="40" t="b">
        <x:v>1</x:v>
      </x:c>
      <x:c r="AL989" s="40" t="b">
        <x:v>1</x:v>
      </x:c>
      <x:c r="AM989" s="40" t="b">
        <x:v>1</x:v>
      </x:c>
      <x:c r="AN989" s="34" t="str"/>
      <x:c r="AO989" s="34" t="n">
        <x:v>0</x:v>
      </x:c>
      <x:c r="AP989" s="34" t="n">
        <x:v>0</x:v>
      </x:c>
      <x:c r="AQ989" s="34" t="n">
        <x:v>0</x:v>
      </x:c>
      <x:c r="AR989" s="34" t="n">
        <x:v>3</x:v>
      </x:c>
      <x:c r="AS989" s="34" t="n">
        <x:v>3</x:v>
      </x:c>
      <x:c r="AT989" s="34" t="n">
        <x:v>0.41232239999999987</x:v>
      </x:c>
      <x:c r="AU989" s="34" t="n">
        <x:v>0.65</x:v>
      </x:c>
      <x:c r="AV989" s="34" t="n">
        <x:v>1.78</x:v>
      </x:c>
    </x:row>
    <x:row r="990">
      <x:c r="A990" s="34" t="str">
        <x:v>JFE_STEEL_JP</x:v>
      </x:c>
      <x:c r="B990" s="34" t="str">
        <x:v>JFE Steel</x:v>
      </x:c>
      <x:c r="C990" s="34" t="str">
        <x:v>ACCELERATED_15C</x:v>
      </x:c>
      <x:c r="D990" s="34" t="str">
        <x:v>P2</x:v>
      </x:c>
      <x:c r="E990" s="34" t="n">
        <x:v>2039</x:v>
      </x:c>
      <x:c r="F990" s="34" t="n">
        <x:v>4</x:v>
      </x:c>
      <x:c r="G990" s="34" t="n">
        <x:v>8.9175</x:v>
      </x:c>
      <x:c r="H990" s="34" t="n">
        <x:v>20</x:v>
      </x:c>
      <x:c r="I990" s="34" t="n">
        <x:v>11.0825</x:v>
      </x:c>
      <x:c r="J990" s="34" t="n">
        <x:v>44.587</x:v>
      </x:c>
      <x:c r="K990" s="34" t="n">
        <x:v>0.79475</x:v>
      </x:c>
      <x:c r="L990" s="34" t="n">
        <x:v>2.76</x:v>
      </x:c>
      <x:c r="M990" s="34" t="n">
        <x:v>1.96525</x:v>
      </x:c>
      <x:c r="N990" s="34" t="n">
        <x:v>28.795</x:v>
      </x:c>
      <x:c r="O990" s="34" t="n">
        <x:v>10.468998</x:v>
      </x:c>
      <x:c r="P990" s="34" t="n">
        <x:v>20.4</x:v>
      </x:c>
      <x:c r="Q990" s="34" t="n">
        <x:v>9.931002</x:v>
      </x:c>
      <x:c r="R990" s="34" t="n">
        <x:v>51.319</x:v>
      </x:c>
      <x:c r="S990" s="40" t="b">
        <x:v>1</x:v>
      </x:c>
      <x:c r="T990" s="34" t="str">
        <x:v>model_interpolation</x:v>
      </x:c>
      <x:c r="U990" s="34" t="str">
        <x:v>Linear interpolation from 2035 to 2040</x:v>
      </x:c>
      <x:c r="V990" s="34" t="str">
        <x:v>CAND-F4B6AD5FB08D71</x:v>
      </x:c>
      <x:c r="W990" s="34" t="str">
        <x:v>P2</x:v>
      </x:c>
      <x:c r="X990" s="34" t="str">
        <x:v>PORT-51A2628EF9C2</x:v>
      </x:c>
      <x:c r="Y990" s="34" t="n">
        <x:v>1000</x:v>
      </x:c>
      <x:c r="Z990" s="34" t="n">
        <x:v>122.469982</x:v>
      </x:c>
      <x:c r="AA990" s="34" t="n">
        <x:v>35.295924</x:v>
      </x:c>
      <x:c r="AB990" s="34" t="n">
        <x:v>328.220861</x:v>
      </x:c>
      <x:c r="AC990" s="34" t="n">
        <x:v>39413.198</x:v>
      </x:c>
      <x:c r="AD990" s="34" t="n">
        <x:v>120.081332</x:v>
      </x:c>
      <x:c r="AE990" s="40" t="b">
        <x:v>1</x:v>
      </x:c>
      <x:c r="AF990" s="40" t="b">
        <x:v>1</x:v>
      </x:c>
      <x:c r="AG990" s="34" t="str"/>
      <x:c r="AH990" s="34" t="n">
        <x:v>0</x:v>
      </x:c>
      <x:c r="AI990" s="34" t="str">
        <x:v>1.265341119704999e-05</x:v>
      </x:c>
      <x:c r="AJ990" s="40" t="b">
        <x:v>1</x:v>
      </x:c>
      <x:c r="AK990" s="40" t="b">
        <x:v>1</x:v>
      </x:c>
      <x:c r="AL990" s="40" t="b">
        <x:v>1</x:v>
      </x:c>
      <x:c r="AM990" s="40" t="b">
        <x:v>1</x:v>
      </x:c>
      <x:c r="AN990" s="34" t="str"/>
      <x:c r="AO990" s="34" t="n">
        <x:v>0</x:v>
      </x:c>
      <x:c r="AP990" s="34" t="n">
        <x:v>0</x:v>
      </x:c>
      <x:c r="AQ990" s="34" t="n">
        <x:v>0</x:v>
      </x:c>
      <x:c r="AR990" s="34" t="n">
        <x:v>3</x:v>
      </x:c>
      <x:c r="AS990" s="34" t="n">
        <x:v>3</x:v>
      </x:c>
      <x:c r="AT990" s="34" t="n">
        <x:v>0.41232239999999987</x:v>
      </x:c>
      <x:c r="AU990" s="34" t="n">
        <x:v>0.65</x:v>
      </x:c>
      <x:c r="AV990" s="34" t="n">
        <x:v>1.78</x:v>
      </x:c>
    </x:row>
    <x:row r="991">
      <x:c r="A991" s="34" t="str">
        <x:v>JFE_STEEL_JP</x:v>
      </x:c>
      <x:c r="B991" s="34" t="str">
        <x:v>JFE Steel</x:v>
      </x:c>
      <x:c r="C991" s="34" t="str">
        <x:v>ACCELERATED_15C</x:v>
      </x:c>
      <x:c r="D991" s="34" t="str">
        <x:v>P2</x:v>
      </x:c>
      <x:c r="E991" s="34" t="n">
        <x:v>2040</x:v>
      </x:c>
      <x:c r="F991" s="34" t="n">
        <x:v>4</x:v>
      </x:c>
      <x:c r="G991" s="34" t="n">
        <x:v>8.9175</x:v>
      </x:c>
      <x:c r="H991" s="34" t="n">
        <x:v>21</x:v>
      </x:c>
      <x:c r="I991" s="34" t="n">
        <x:v>12.0825</x:v>
      </x:c>
      <x:c r="J991" s="34" t="n">
        <x:v>42.464</x:v>
      </x:c>
      <x:c r="K991" s="34" t="n">
        <x:v>0.79475</x:v>
      </x:c>
      <x:c r="L991" s="34" t="n">
        <x:v>3</x:v>
      </x:c>
      <x:c r="M991" s="34" t="n">
        <x:v>2.20525</x:v>
      </x:c>
      <x:c r="N991" s="34" t="n">
        <x:v>26.492</x:v>
      </x:c>
      <x:c r="O991" s="34" t="n">
        <x:v>10.468998</x:v>
      </x:c>
      <x:c r="P991" s="34" t="n">
        <x:v>22</x:v>
      </x:c>
      <x:c r="Q991" s="34" t="n">
        <x:v>11.531002</x:v>
      </x:c>
      <x:c r="R991" s="34" t="n">
        <x:v>47.586</x:v>
      </x:c>
      <x:c r="S991" s="40" t="b">
        <x:v>1</x:v>
      </x:c>
      <x:c r="T991" s="34" t="str">
        <x:v>model_estimate</x:v>
      </x:c>
      <x:c r="U991" s="34" t="str">
        <x:v>Illustrative accelerated envelope; not GCAM or an official supply forecast</x:v>
      </x:c>
      <x:c r="V991" s="34" t="str">
        <x:v>CAND-F4B6AD5FB08D71</x:v>
      </x:c>
      <x:c r="W991" s="34" t="str">
        <x:v>P2</x:v>
      </x:c>
      <x:c r="X991" s="34" t="str">
        <x:v>PORT-51A2628EF9C2</x:v>
      </x:c>
      <x:c r="Y991" s="34" t="n">
        <x:v>1000</x:v>
      </x:c>
      <x:c r="Z991" s="34" t="n">
        <x:v>122.469982</x:v>
      </x:c>
      <x:c r="AA991" s="34" t="n">
        <x:v>35.295924</x:v>
      </x:c>
      <x:c r="AB991" s="34" t="n">
        <x:v>328.220861</x:v>
      </x:c>
      <x:c r="AC991" s="34" t="n">
        <x:v>39413.198</x:v>
      </x:c>
      <x:c r="AD991" s="34" t="n">
        <x:v>120.081332</x:v>
      </x:c>
      <x:c r="AE991" s="40" t="b">
        <x:v>1</x:v>
      </x:c>
      <x:c r="AF991" s="40" t="b">
        <x:v>1</x:v>
      </x:c>
      <x:c r="AG991" s="34" t="str"/>
      <x:c r="AH991" s="34" t="n">
        <x:v>0</x:v>
      </x:c>
      <x:c r="AI991" s="34" t="str">
        <x:v>1.265341119704999e-05</x:v>
      </x:c>
      <x:c r="AJ991" s="40" t="b">
        <x:v>1</x:v>
      </x:c>
      <x:c r="AK991" s="40" t="b">
        <x:v>1</x:v>
      </x:c>
      <x:c r="AL991" s="40" t="b">
        <x:v>1</x:v>
      </x:c>
      <x:c r="AM991" s="40" t="b">
        <x:v>1</x:v>
      </x:c>
      <x:c r="AN991" s="34" t="str"/>
      <x:c r="AO991" s="34" t="n">
        <x:v>0</x:v>
      </x:c>
      <x:c r="AP991" s="34" t="n">
        <x:v>0</x:v>
      </x:c>
      <x:c r="AQ991" s="34" t="n">
        <x:v>0</x:v>
      </x:c>
      <x:c r="AR991" s="34" t="n">
        <x:v>3</x:v>
      </x:c>
      <x:c r="AS991" s="34" t="n">
        <x:v>3</x:v>
      </x:c>
      <x:c r="AT991" s="34" t="n">
        <x:v>0.41232239999999987</x:v>
      </x:c>
      <x:c r="AU991" s="34" t="n">
        <x:v>0.65</x:v>
      </x:c>
      <x:c r="AV991" s="34" t="n">
        <x:v>1.78</x:v>
      </x:c>
    </x:row>
    <x:row r="992">
      <x:c r="A992" s="34" t="str">
        <x:v>NIPPON_STEEL_JP</x:v>
      </x:c>
      <x:c r="B992" s="34" t="str">
        <x:v>Nippon Steel</x:v>
      </x:c>
      <x:c r="C992" s="34" t="str">
        <x:v>DISCLOSED_PATH</x:v>
      </x:c>
      <x:c r="D992" s="34" t="str">
        <x:v>P2</x:v>
      </x:c>
      <x:c r="E992" s="34" t="n">
        <x:v>2026</x:v>
      </x:c>
      <x:c r="F992" s="34" t="n">
        <x:v>0</x:v>
      </x:c>
      <x:c r="G992" s="34" t="n">
        <x:v>0</x:v>
      </x:c>
      <x:c r="H992" s="34" t="n">
        <x:v>8</x:v>
      </x:c>
      <x:c r="I992" s="34" t="n">
        <x:v>8</x:v>
      </x:c>
      <x:c r="J992" s="34" t="n">
        <x:v>0</x:v>
      </x:c>
      <x:c r="K992" s="34" t="n">
        <x:v>0</x:v>
      </x:c>
      <x:c r="L992" s="34" t="n">
        <x:v>0</x:v>
      </x:c>
      <x:c r="M992" s="34" t="n">
        <x:v>0</x:v>
      </x:c>
      <x:c r="N992" s="34" t="n">
        <x:v>0</x:v>
      </x:c>
      <x:c r="O992" s="34" t="n">
        <x:v>0</x:v>
      </x:c>
      <x:c r="P992" s="34" t="n">
        <x:v>2</x:v>
      </x:c>
      <x:c r="Q992" s="34" t="n">
        <x:v>2</x:v>
      </x:c>
      <x:c r="R992" s="34" t="n">
        <x:v>0</x:v>
      </x:c>
      <x:c r="S992" s="40" t="b">
        <x:v>1</x:v>
      </x:c>
      <x:c r="T992" s="34" t="str">
        <x:v>model_interpolation</x:v>
      </x:c>
      <x:c r="U992" s="34" t="str">
        <x:v>Linear interpolation from 2026 to 2030</x:v>
      </x:c>
      <x:c r="V992" s="34" t="str">
        <x:v>CAND-F6184286A4322F</x:v>
      </x:c>
      <x:c r="W992" s="34" t="str">
        <x:v>P2</x:v>
      </x:c>
      <x:c r="X992" s="34" t="str">
        <x:v>PORT-6742936593A9</x:v>
      </x:c>
      <x:c r="Y992" s="34" t="n">
        <x:v>1000</x:v>
      </x:c>
      <x:c r="Z992" s="34" t="n">
        <x:v>84.033994</x:v>
      </x:c>
      <x:c r="AA992" s="34" t="n">
        <x:v>22.171311</x:v>
      </x:c>
      <x:c r="AB992" s="34" t="n">
        <x:v>454.753949</x:v>
      </x:c>
      <x:c r="AC992" s="34" t="n">
        <x:v>37375.086</x:v>
      </x:c>
      <x:c r="AD992" s="34" t="n">
        <x:v>82.187491</x:v>
      </x:c>
      <x:c r="AE992" s="40" t="b">
        <x:v>1</x:v>
      </x:c>
      <x:c r="AF992" s="40" t="b">
        <x:v>1</x:v>
      </x:c>
      <x:c r="AG992" s="34" t="str"/>
      <x:c r="AH992" s="34" t="n">
        <x:v>0</x:v>
      </x:c>
      <x:c r="AI992" s="34" t="str">
        <x:v>3.446647212967946e-06</x:v>
      </x:c>
      <x:c r="AJ992" s="40" t="b">
        <x:v>1</x:v>
      </x:c>
      <x:c r="AK992" s="40" t="b">
        <x:v>1</x:v>
      </x:c>
      <x:c r="AL992" s="40" t="b">
        <x:v>1</x:v>
      </x:c>
      <x:c r="AM992" s="40" t="b">
        <x:v>1</x:v>
      </x:c>
      <x:c r="AN992" s="34" t="str"/>
      <x:c r="AO992" s="34" t="n">
        <x:v>0</x:v>
      </x:c>
      <x:c r="AP992" s="34" t="n">
        <x:v>0</x:v>
      </x:c>
      <x:c r="AQ992" s="34" t="n">
        <x:v>0</x:v>
      </x:c>
      <x:c r="AR992" s="34" t="n">
        <x:v>2</x:v>
      </x:c>
      <x:c r="AS992" s="34" t="n">
        <x:v>2</x:v>
      </x:c>
      <x:c r="AT992" s="34" t="n">
        <x:v>0.47641018879999986</x:v>
      </x:c>
      <x:c r="AU992" s="34" t="n">
        <x:v>0.65</x:v>
      </x:c>
      <x:c r="AV992" s="34" t="n">
        <x:v>2.16</x:v>
      </x:c>
    </x:row>
    <x:row r="993">
      <x:c r="A993" s="34" t="str">
        <x:v>NIPPON_STEEL_JP</x:v>
      </x:c>
      <x:c r="B993" s="34" t="str">
        <x:v>Nippon Steel</x:v>
      </x:c>
      <x:c r="C993" s="34" t="str">
        <x:v>DISCLOSED_PATH</x:v>
      </x:c>
      <x:c r="D993" s="34" t="str">
        <x:v>P2</x:v>
      </x:c>
      <x:c r="E993" s="34" t="n">
        <x:v>2027</x:v>
      </x:c>
      <x:c r="F993" s="34" t="n">
        <x:v>0</x:v>
      </x:c>
      <x:c r="G993" s="34" t="n">
        <x:v>0</x:v>
      </x:c>
      <x:c r="H993" s="34" t="n">
        <x:v>9</x:v>
      </x:c>
      <x:c r="I993" s="34" t="n">
        <x:v>9</x:v>
      </x:c>
      <x:c r="J993" s="34" t="n">
        <x:v>0</x:v>
      </x:c>
      <x:c r="K993" s="34" t="n">
        <x:v>0</x:v>
      </x:c>
      <x:c r="L993" s="34" t="n">
        <x:v>0.15</x:v>
      </x:c>
      <x:c r="M993" s="34" t="n">
        <x:v>0.15</x:v>
      </x:c>
      <x:c r="N993" s="34" t="n">
        <x:v>0</x:v>
      </x:c>
      <x:c r="O993" s="34" t="n">
        <x:v>0</x:v>
      </x:c>
      <x:c r="P993" s="34" t="n">
        <x:v>3.25</x:v>
      </x:c>
      <x:c r="Q993" s="34" t="n">
        <x:v>3.25</x:v>
      </x:c>
      <x:c r="R993" s="34" t="n">
        <x:v>0</x:v>
      </x:c>
      <x:c r="S993" s="40" t="b">
        <x:v>1</x:v>
      </x:c>
      <x:c r="T993" s="34" t="str">
        <x:v>model_interpolation</x:v>
      </x:c>
      <x:c r="U993" s="34" t="str">
        <x:v>Linear interpolation from 2026 to 2030</x:v>
      </x:c>
      <x:c r="V993" s="34" t="str">
        <x:v>CAND-F6184286A4322F</x:v>
      </x:c>
      <x:c r="W993" s="34" t="str">
        <x:v>P2</x:v>
      </x:c>
      <x:c r="X993" s="34" t="str">
        <x:v>PORT-6742936593A9</x:v>
      </x:c>
      <x:c r="Y993" s="34" t="n">
        <x:v>1000</x:v>
      </x:c>
      <x:c r="Z993" s="34" t="n">
        <x:v>84.033994</x:v>
      </x:c>
      <x:c r="AA993" s="34" t="n">
        <x:v>22.171311</x:v>
      </x:c>
      <x:c r="AB993" s="34" t="n">
        <x:v>454.753949</x:v>
      </x:c>
      <x:c r="AC993" s="34" t="n">
        <x:v>37375.086</x:v>
      </x:c>
      <x:c r="AD993" s="34" t="n">
        <x:v>82.187491</x:v>
      </x:c>
      <x:c r="AE993" s="40" t="b">
        <x:v>1</x:v>
      </x:c>
      <x:c r="AF993" s="40" t="b">
        <x:v>1</x:v>
      </x:c>
      <x:c r="AG993" s="34" t="str"/>
      <x:c r="AH993" s="34" t="n">
        <x:v>0</x:v>
      </x:c>
      <x:c r="AI993" s="34" t="str">
        <x:v>3.446647212967946e-06</x:v>
      </x:c>
      <x:c r="AJ993" s="40" t="b">
        <x:v>1</x:v>
      </x:c>
      <x:c r="AK993" s="40" t="b">
        <x:v>1</x:v>
      </x:c>
      <x:c r="AL993" s="40" t="b">
        <x:v>1</x:v>
      </x:c>
      <x:c r="AM993" s="40" t="b">
        <x:v>1</x:v>
      </x:c>
      <x:c r="AN993" s="34" t="str"/>
      <x:c r="AO993" s="34" t="n">
        <x:v>0</x:v>
      </x:c>
      <x:c r="AP993" s="34" t="n">
        <x:v>0</x:v>
      </x:c>
      <x:c r="AQ993" s="34" t="n">
        <x:v>0</x:v>
      </x:c>
      <x:c r="AR993" s="34" t="n">
        <x:v>2</x:v>
      </x:c>
      <x:c r="AS993" s="34" t="n">
        <x:v>2</x:v>
      </x:c>
      <x:c r="AT993" s="34" t="n">
        <x:v>0.47641018879999986</x:v>
      </x:c>
      <x:c r="AU993" s="34" t="n">
        <x:v>0.65</x:v>
      </x:c>
      <x:c r="AV993" s="34" t="n">
        <x:v>2.16</x:v>
      </x:c>
    </x:row>
    <x:row r="994">
      <x:c r="A994" s="34" t="str">
        <x:v>NIPPON_STEEL_JP</x:v>
      </x:c>
      <x:c r="B994" s="34" t="str">
        <x:v>Nippon Steel</x:v>
      </x:c>
      <x:c r="C994" s="34" t="str">
        <x:v>DISCLOSED_PATH</x:v>
      </x:c>
      <x:c r="D994" s="34" t="str">
        <x:v>P2</x:v>
      </x:c>
      <x:c r="E994" s="34" t="n">
        <x:v>2028</x:v>
      </x:c>
      <x:c r="F994" s="34" t="n">
        <x:v>0</x:v>
      </x:c>
      <x:c r="G994" s="34" t="n">
        <x:v>0</x:v>
      </x:c>
      <x:c r="H994" s="34" t="n">
        <x:v>10</x:v>
      </x:c>
      <x:c r="I994" s="34" t="n">
        <x:v>10</x:v>
      </x:c>
      <x:c r="J994" s="34" t="n">
        <x:v>0</x:v>
      </x:c>
      <x:c r="K994" s="34" t="n">
        <x:v>0</x:v>
      </x:c>
      <x:c r="L994" s="34" t="n">
        <x:v>0.3</x:v>
      </x:c>
      <x:c r="M994" s="34" t="n">
        <x:v>0.3</x:v>
      </x:c>
      <x:c r="N994" s="34" t="n">
        <x:v>0</x:v>
      </x:c>
      <x:c r="O994" s="34" t="n">
        <x:v>0</x:v>
      </x:c>
      <x:c r="P994" s="34" t="n">
        <x:v>4.5</x:v>
      </x:c>
      <x:c r="Q994" s="34" t="n">
        <x:v>4.5</x:v>
      </x:c>
      <x:c r="R994" s="34" t="n">
        <x:v>0</x:v>
      </x:c>
      <x:c r="S994" s="40" t="b">
        <x:v>1</x:v>
      </x:c>
      <x:c r="T994" s="34" t="str">
        <x:v>model_interpolation</x:v>
      </x:c>
      <x:c r="U994" s="34" t="str">
        <x:v>Linear interpolation from 2026 to 2030</x:v>
      </x:c>
      <x:c r="V994" s="34" t="str">
        <x:v>CAND-F6184286A4322F</x:v>
      </x:c>
      <x:c r="W994" s="34" t="str">
        <x:v>P2</x:v>
      </x:c>
      <x:c r="X994" s="34" t="str">
        <x:v>PORT-6742936593A9</x:v>
      </x:c>
      <x:c r="Y994" s="34" t="n">
        <x:v>1000</x:v>
      </x:c>
      <x:c r="Z994" s="34" t="n">
        <x:v>84.033994</x:v>
      </x:c>
      <x:c r="AA994" s="34" t="n">
        <x:v>22.171311</x:v>
      </x:c>
      <x:c r="AB994" s="34" t="n">
        <x:v>454.753949</x:v>
      </x:c>
      <x:c r="AC994" s="34" t="n">
        <x:v>37375.086</x:v>
      </x:c>
      <x:c r="AD994" s="34" t="n">
        <x:v>82.187491</x:v>
      </x:c>
      <x:c r="AE994" s="40" t="b">
        <x:v>1</x:v>
      </x:c>
      <x:c r="AF994" s="40" t="b">
        <x:v>1</x:v>
      </x:c>
      <x:c r="AG994" s="34" t="str"/>
      <x:c r="AH994" s="34" t="n">
        <x:v>0</x:v>
      </x:c>
      <x:c r="AI994" s="34" t="str">
        <x:v>3.446647212967946e-06</x:v>
      </x:c>
      <x:c r="AJ994" s="40" t="b">
        <x:v>1</x:v>
      </x:c>
      <x:c r="AK994" s="40" t="b">
        <x:v>1</x:v>
      </x:c>
      <x:c r="AL994" s="40" t="b">
        <x:v>1</x:v>
      </x:c>
      <x:c r="AM994" s="40" t="b">
        <x:v>1</x:v>
      </x:c>
      <x:c r="AN994" s="34" t="str"/>
      <x:c r="AO994" s="34" t="n">
        <x:v>0</x:v>
      </x:c>
      <x:c r="AP994" s="34" t="n">
        <x:v>0</x:v>
      </x:c>
      <x:c r="AQ994" s="34" t="n">
        <x:v>0</x:v>
      </x:c>
      <x:c r="AR994" s="34" t="n">
        <x:v>2</x:v>
      </x:c>
      <x:c r="AS994" s="34" t="n">
        <x:v>2</x:v>
      </x:c>
      <x:c r="AT994" s="34" t="n">
        <x:v>0.47641018879999986</x:v>
      </x:c>
      <x:c r="AU994" s="34" t="n">
        <x:v>0.65</x:v>
      </x:c>
      <x:c r="AV994" s="34" t="n">
        <x:v>2.16</x:v>
      </x:c>
    </x:row>
    <x:row r="995">
      <x:c r="A995" s="34" t="str">
        <x:v>NIPPON_STEEL_JP</x:v>
      </x:c>
      <x:c r="B995" s="34" t="str">
        <x:v>Nippon Steel</x:v>
      </x:c>
      <x:c r="C995" s="34" t="str">
        <x:v>DISCLOSED_PATH</x:v>
      </x:c>
      <x:c r="D995" s="34" t="str">
        <x:v>P2</x:v>
      </x:c>
      <x:c r="E995" s="34" t="n">
        <x:v>2029</x:v>
      </x:c>
      <x:c r="F995" s="34" t="n">
        <x:v>1</x:v>
      </x:c>
      <x:c r="G995" s="34" t="n">
        <x:v>8.1</x:v>
      </x:c>
      <x:c r="H995" s="34" t="n">
        <x:v>11</x:v>
      </x:c>
      <x:c r="I995" s="34" t="n">
        <x:v>2.9</x:v>
      </x:c>
      <x:c r="J995" s="34" t="n">
        <x:v>73.636</x:v>
      </x:c>
      <x:c r="K995" s="34" t="n">
        <x:v>0</x:v>
      </x:c>
      <x:c r="L995" s="34" t="n">
        <x:v>0.44999999999999996</x:v>
      </x:c>
      <x:c r="M995" s="34" t="n">
        <x:v>0.45</x:v>
      </x:c>
      <x:c r="N995" s="34" t="n">
        <x:v>0</x:v>
      </x:c>
      <x:c r="O995" s="34" t="n">
        <x:v>5.04</x:v>
      </x:c>
      <x:c r="P995" s="34" t="n">
        <x:v>5.75</x:v>
      </x:c>
      <x:c r="Q995" s="34" t="n">
        <x:v>0.71</x:v>
      </x:c>
      <x:c r="R995" s="34" t="n">
        <x:v>87.652</x:v>
      </x:c>
      <x:c r="S995" s="40" t="b">
        <x:v>1</x:v>
      </x:c>
      <x:c r="T995" s="34" t="str">
        <x:v>model_interpolation</x:v>
      </x:c>
      <x:c r="U995" s="34" t="str">
        <x:v>Linear interpolation from 2026 to 2030</x:v>
      </x:c>
      <x:c r="V995" s="34" t="str">
        <x:v>CAND-F6184286A4322F</x:v>
      </x:c>
      <x:c r="W995" s="34" t="str">
        <x:v>P2</x:v>
      </x:c>
      <x:c r="X995" s="34" t="str">
        <x:v>PORT-6742936593A9</x:v>
      </x:c>
      <x:c r="Y995" s="34" t="n">
        <x:v>1000</x:v>
      </x:c>
      <x:c r="Z995" s="34" t="n">
        <x:v>84.033994</x:v>
      </x:c>
      <x:c r="AA995" s="34" t="n">
        <x:v>22.171311</x:v>
      </x:c>
      <x:c r="AB995" s="34" t="n">
        <x:v>454.753949</x:v>
      </x:c>
      <x:c r="AC995" s="34" t="n">
        <x:v>37375.086</x:v>
      </x:c>
      <x:c r="AD995" s="34" t="n">
        <x:v>82.187491</x:v>
      </x:c>
      <x:c r="AE995" s="40" t="b">
        <x:v>1</x:v>
      </x:c>
      <x:c r="AF995" s="40" t="b">
        <x:v>1</x:v>
      </x:c>
      <x:c r="AG995" s="34" t="str"/>
      <x:c r="AH995" s="34" t="n">
        <x:v>0</x:v>
      </x:c>
      <x:c r="AI995" s="34" t="str">
        <x:v>3.446647212967946e-06</x:v>
      </x:c>
      <x:c r="AJ995" s="40" t="b">
        <x:v>1</x:v>
      </x:c>
      <x:c r="AK995" s="40" t="b">
        <x:v>1</x:v>
      </x:c>
      <x:c r="AL995" s="40" t="b">
        <x:v>1</x:v>
      </x:c>
      <x:c r="AM995" s="40" t="b">
        <x:v>1</x:v>
      </x:c>
      <x:c r="AN995" s="34" t="str"/>
      <x:c r="AO995" s="34" t="n">
        <x:v>0</x:v>
      </x:c>
      <x:c r="AP995" s="34" t="n">
        <x:v>0</x:v>
      </x:c>
      <x:c r="AQ995" s="34" t="n">
        <x:v>0</x:v>
      </x:c>
      <x:c r="AR995" s="34" t="n">
        <x:v>2</x:v>
      </x:c>
      <x:c r="AS995" s="34" t="n">
        <x:v>2</x:v>
      </x:c>
      <x:c r="AT995" s="34" t="n">
        <x:v>0.47641018879999986</x:v>
      </x:c>
      <x:c r="AU995" s="34" t="n">
        <x:v>0.65</x:v>
      </x:c>
      <x:c r="AV995" s="34" t="n">
        <x:v>2.16</x:v>
      </x:c>
    </x:row>
    <x:row r="996">
      <x:c r="A996" s="34" t="str">
        <x:v>NIPPON_STEEL_JP</x:v>
      </x:c>
      <x:c r="B996" s="34" t="str">
        <x:v>Nippon Steel</x:v>
      </x:c>
      <x:c r="C996" s="34" t="str">
        <x:v>DISCLOSED_PATH</x:v>
      </x:c>
      <x:c r="D996" s="34" t="str">
        <x:v>P2</x:v>
      </x:c>
      <x:c r="E996" s="34" t="n">
        <x:v>2030</x:v>
      </x:c>
      <x:c r="F996" s="34" t="n">
        <x:v>1</x:v>
      </x:c>
      <x:c r="G996" s="34" t="n">
        <x:v>8.1</x:v>
      </x:c>
      <x:c r="H996" s="34" t="n">
        <x:v>12</x:v>
      </x:c>
      <x:c r="I996" s="34" t="n">
        <x:v>3.9</x:v>
      </x:c>
      <x:c r="J996" s="34" t="n">
        <x:v>67.5</x:v>
      </x:c>
      <x:c r="K996" s="34" t="n">
        <x:v>0</x:v>
      </x:c>
      <x:c r="L996" s="34" t="n">
        <x:v>0.6</x:v>
      </x:c>
      <x:c r="M996" s="34" t="n">
        <x:v>0.6</x:v>
      </x:c>
      <x:c r="N996" s="34" t="n">
        <x:v>0</x:v>
      </x:c>
      <x:c r="O996" s="34" t="n">
        <x:v>5.04</x:v>
      </x:c>
      <x:c r="P996" s="34" t="n">
        <x:v>7</x:v>
      </x:c>
      <x:c r="Q996" s="34" t="n">
        <x:v>1.96</x:v>
      </x:c>
      <x:c r="R996" s="34" t="n">
        <x:v>72</x:v>
      </x:c>
      <x:c r="S996" s="40" t="b">
        <x:v>1</x:v>
      </x:c>
      <x:c r="T996" s="34" t="str">
        <x:v>model_interpolation</x:v>
      </x:c>
      <x:c r="U996" s="34" t="str">
        <x:v>Linear interpolation from 2030 to 2035</x:v>
      </x:c>
      <x:c r="V996" s="34" t="str">
        <x:v>CAND-F6184286A4322F</x:v>
      </x:c>
      <x:c r="W996" s="34" t="str">
        <x:v>P2</x:v>
      </x:c>
      <x:c r="X996" s="34" t="str">
        <x:v>PORT-6742936593A9</x:v>
      </x:c>
      <x:c r="Y996" s="34" t="n">
        <x:v>1000</x:v>
      </x:c>
      <x:c r="Z996" s="34" t="n">
        <x:v>84.033994</x:v>
      </x:c>
      <x:c r="AA996" s="34" t="n">
        <x:v>22.171311</x:v>
      </x:c>
      <x:c r="AB996" s="34" t="n">
        <x:v>454.753949</x:v>
      </x:c>
      <x:c r="AC996" s="34" t="n">
        <x:v>37375.086</x:v>
      </x:c>
      <x:c r="AD996" s="34" t="n">
        <x:v>82.187491</x:v>
      </x:c>
      <x:c r="AE996" s="40" t="b">
        <x:v>1</x:v>
      </x:c>
      <x:c r="AF996" s="40" t="b">
        <x:v>1</x:v>
      </x:c>
      <x:c r="AG996" s="34" t="str"/>
      <x:c r="AH996" s="34" t="n">
        <x:v>0</x:v>
      </x:c>
      <x:c r="AI996" s="34" t="str">
        <x:v>3.446647212967946e-06</x:v>
      </x:c>
      <x:c r="AJ996" s="40" t="b">
        <x:v>1</x:v>
      </x:c>
      <x:c r="AK996" s="40" t="b">
        <x:v>1</x:v>
      </x:c>
      <x:c r="AL996" s="40" t="b">
        <x:v>1</x:v>
      </x:c>
      <x:c r="AM996" s="40" t="b">
        <x:v>1</x:v>
      </x:c>
      <x:c r="AN996" s="34" t="str"/>
      <x:c r="AO996" s="34" t="n">
        <x:v>0</x:v>
      </x:c>
      <x:c r="AP996" s="34" t="n">
        <x:v>0</x:v>
      </x:c>
      <x:c r="AQ996" s="34" t="n">
        <x:v>0</x:v>
      </x:c>
      <x:c r="AR996" s="34" t="n">
        <x:v>2</x:v>
      </x:c>
      <x:c r="AS996" s="34" t="n">
        <x:v>2</x:v>
      </x:c>
      <x:c r="AT996" s="34" t="n">
        <x:v>0.47641018879999986</x:v>
      </x:c>
      <x:c r="AU996" s="34" t="n">
        <x:v>0.65</x:v>
      </x:c>
      <x:c r="AV996" s="34" t="n">
        <x:v>2.16</x:v>
      </x:c>
    </x:row>
    <x:row r="997">
      <x:c r="A997" s="34" t="str">
        <x:v>NIPPON_STEEL_JP</x:v>
      </x:c>
      <x:c r="B997" s="34" t="str">
        <x:v>Nippon Steel</x:v>
      </x:c>
      <x:c r="C997" s="34" t="str">
        <x:v>DISCLOSED_PATH</x:v>
      </x:c>
      <x:c r="D997" s="34" t="str">
        <x:v>P2</x:v>
      </x:c>
      <x:c r="E997" s="34" t="n">
        <x:v>2031</x:v>
      </x:c>
      <x:c r="F997" s="34" t="n">
        <x:v>1</x:v>
      </x:c>
      <x:c r="G997" s="34" t="n">
        <x:v>8.1</x:v>
      </x:c>
      <x:c r="H997" s="34" t="n">
        <x:v>13.2</x:v>
      </x:c>
      <x:c r="I997" s="34" t="n">
        <x:v>5.1</x:v>
      </x:c>
      <x:c r="J997" s="34" t="n">
        <x:v>61.364</x:v>
      </x:c>
      <x:c r="K997" s="34" t="n">
        <x:v>0</x:v>
      </x:c>
      <x:c r="L997" s="34" t="n">
        <x:v>0.8400000000000001</x:v>
      </x:c>
      <x:c r="M997" s="34" t="n">
        <x:v>0.84</x:v>
      </x:c>
      <x:c r="N997" s="34" t="n">
        <x:v>0</x:v>
      </x:c>
      <x:c r="O997" s="34" t="n">
        <x:v>5.04</x:v>
      </x:c>
      <x:c r="P997" s="34" t="n">
        <x:v>8.6</x:v>
      </x:c>
      <x:c r="Q997" s="34" t="n">
        <x:v>3.56</x:v>
      </x:c>
      <x:c r="R997" s="34" t="n">
        <x:v>58.605</x:v>
      </x:c>
      <x:c r="S997" s="40" t="b">
        <x:v>1</x:v>
      </x:c>
      <x:c r="T997" s="34" t="str">
        <x:v>model_interpolation</x:v>
      </x:c>
      <x:c r="U997" s="34" t="str">
        <x:v>Linear interpolation from 2030 to 2035</x:v>
      </x:c>
      <x:c r="V997" s="34" t="str">
        <x:v>CAND-F6184286A4322F</x:v>
      </x:c>
      <x:c r="W997" s="34" t="str">
        <x:v>P2</x:v>
      </x:c>
      <x:c r="X997" s="34" t="str">
        <x:v>PORT-6742936593A9</x:v>
      </x:c>
      <x:c r="Y997" s="34" t="n">
        <x:v>1000</x:v>
      </x:c>
      <x:c r="Z997" s="34" t="n">
        <x:v>84.033994</x:v>
      </x:c>
      <x:c r="AA997" s="34" t="n">
        <x:v>22.171311</x:v>
      </x:c>
      <x:c r="AB997" s="34" t="n">
        <x:v>454.753949</x:v>
      </x:c>
      <x:c r="AC997" s="34" t="n">
        <x:v>37375.086</x:v>
      </x:c>
      <x:c r="AD997" s="34" t="n">
        <x:v>82.187491</x:v>
      </x:c>
      <x:c r="AE997" s="40" t="b">
        <x:v>1</x:v>
      </x:c>
      <x:c r="AF997" s="40" t="b">
        <x:v>1</x:v>
      </x:c>
      <x:c r="AG997" s="34" t="str"/>
      <x:c r="AH997" s="34" t="n">
        <x:v>0</x:v>
      </x:c>
      <x:c r="AI997" s="34" t="str">
        <x:v>3.446647212967946e-06</x:v>
      </x:c>
      <x:c r="AJ997" s="40" t="b">
        <x:v>1</x:v>
      </x:c>
      <x:c r="AK997" s="40" t="b">
        <x:v>1</x:v>
      </x:c>
      <x:c r="AL997" s="40" t="b">
        <x:v>1</x:v>
      </x:c>
      <x:c r="AM997" s="40" t="b">
        <x:v>1</x:v>
      </x:c>
      <x:c r="AN997" s="34" t="str"/>
      <x:c r="AO997" s="34" t="n">
        <x:v>0</x:v>
      </x:c>
      <x:c r="AP997" s="34" t="n">
        <x:v>0</x:v>
      </x:c>
      <x:c r="AQ997" s="34" t="n">
        <x:v>0</x:v>
      </x:c>
      <x:c r="AR997" s="34" t="n">
        <x:v>2</x:v>
      </x:c>
      <x:c r="AS997" s="34" t="n">
        <x:v>2</x:v>
      </x:c>
      <x:c r="AT997" s="34" t="n">
        <x:v>0.47641018879999986</x:v>
      </x:c>
      <x:c r="AU997" s="34" t="n">
        <x:v>0.65</x:v>
      </x:c>
      <x:c r="AV997" s="34" t="n">
        <x:v>2.16</x:v>
      </x:c>
    </x:row>
    <x:row r="998">
      <x:c r="A998" s="34" t="str">
        <x:v>NIPPON_STEEL_JP</x:v>
      </x:c>
      <x:c r="B998" s="34" t="str">
        <x:v>Nippon Steel</x:v>
      </x:c>
      <x:c r="C998" s="34" t="str">
        <x:v>DISCLOSED_PATH</x:v>
      </x:c>
      <x:c r="D998" s="34" t="str">
        <x:v>P2</x:v>
      </x:c>
      <x:c r="E998" s="34" t="n">
        <x:v>2032</x:v>
      </x:c>
      <x:c r="F998" s="34" t="n">
        <x:v>2</x:v>
      </x:c>
      <x:c r="G998" s="34" t="n">
        <x:v>13.679998</x:v>
      </x:c>
      <x:c r="H998" s="34" t="n">
        <x:v>14.4</x:v>
      </x:c>
      <x:c r="I998" s="34" t="n">
        <x:v>0.720002</x:v>
      </x:c>
      <x:c r="J998" s="34" t="n">
        <x:v>95</x:v>
      </x:c>
      <x:c r="K998" s="34" t="n">
        <x:v>0</x:v>
      </x:c>
      <x:c r="L998" s="34" t="n">
        <x:v>1.08</x:v>
      </x:c>
      <x:c r="M998" s="34" t="n">
        <x:v>1.08</x:v>
      </x:c>
      <x:c r="N998" s="34" t="n">
        <x:v>0</x:v>
      </x:c>
      <x:c r="O998" s="34" t="n">
        <x:v>8.511999</x:v>
      </x:c>
      <x:c r="P998" s="34" t="n">
        <x:v>10.2</x:v>
      </x:c>
      <x:c r="Q998" s="34" t="n">
        <x:v>1.688001</x:v>
      </x:c>
      <x:c r="R998" s="34" t="n">
        <x:v>83.451</x:v>
      </x:c>
      <x:c r="S998" s="40" t="b">
        <x:v>1</x:v>
      </x:c>
      <x:c r="T998" s="34" t="str">
        <x:v>model_interpolation</x:v>
      </x:c>
      <x:c r="U998" s="34" t="str">
        <x:v>Linear interpolation from 2030 to 2035</x:v>
      </x:c>
      <x:c r="V998" s="34" t="str">
        <x:v>CAND-F6184286A4322F</x:v>
      </x:c>
      <x:c r="W998" s="34" t="str">
        <x:v>P2</x:v>
      </x:c>
      <x:c r="X998" s="34" t="str">
        <x:v>PORT-6742936593A9</x:v>
      </x:c>
      <x:c r="Y998" s="34" t="n">
        <x:v>1000</x:v>
      </x:c>
      <x:c r="Z998" s="34" t="n">
        <x:v>84.033994</x:v>
      </x:c>
      <x:c r="AA998" s="34" t="n">
        <x:v>22.171311</x:v>
      </x:c>
      <x:c r="AB998" s="34" t="n">
        <x:v>454.753949</x:v>
      </x:c>
      <x:c r="AC998" s="34" t="n">
        <x:v>37375.086</x:v>
      </x:c>
      <x:c r="AD998" s="34" t="n">
        <x:v>82.187491</x:v>
      </x:c>
      <x:c r="AE998" s="40" t="b">
        <x:v>1</x:v>
      </x:c>
      <x:c r="AF998" s="40" t="b">
        <x:v>1</x:v>
      </x:c>
      <x:c r="AG998" s="34" t="str"/>
      <x:c r="AH998" s="34" t="n">
        <x:v>0</x:v>
      </x:c>
      <x:c r="AI998" s="34" t="str">
        <x:v>3.446647212967946e-06</x:v>
      </x:c>
      <x:c r="AJ998" s="40" t="b">
        <x:v>1</x:v>
      </x:c>
      <x:c r="AK998" s="40" t="b">
        <x:v>1</x:v>
      </x:c>
      <x:c r="AL998" s="40" t="b">
        <x:v>1</x:v>
      </x:c>
      <x:c r="AM998" s="40" t="b">
        <x:v>1</x:v>
      </x:c>
      <x:c r="AN998" s="34" t="str"/>
      <x:c r="AO998" s="34" t="n">
        <x:v>0</x:v>
      </x:c>
      <x:c r="AP998" s="34" t="n">
        <x:v>0</x:v>
      </x:c>
      <x:c r="AQ998" s="34" t="n">
        <x:v>0</x:v>
      </x:c>
      <x:c r="AR998" s="34" t="n">
        <x:v>2</x:v>
      </x:c>
      <x:c r="AS998" s="34" t="n">
        <x:v>2</x:v>
      </x:c>
      <x:c r="AT998" s="34" t="n">
        <x:v>0.47641018879999986</x:v>
      </x:c>
      <x:c r="AU998" s="34" t="n">
        <x:v>0.65</x:v>
      </x:c>
      <x:c r="AV998" s="34" t="n">
        <x:v>2.16</x:v>
      </x:c>
    </x:row>
    <x:row r="999">
      <x:c r="A999" s="34" t="str">
        <x:v>NIPPON_STEEL_JP</x:v>
      </x:c>
      <x:c r="B999" s="34" t="str">
        <x:v>Nippon Steel</x:v>
      </x:c>
      <x:c r="C999" s="34" t="str">
        <x:v>DISCLOSED_PATH</x:v>
      </x:c>
      <x:c r="D999" s="34" t="str">
        <x:v>P2</x:v>
      </x:c>
      <x:c r="E999" s="34" t="n">
        <x:v>2033</x:v>
      </x:c>
      <x:c r="F999" s="34" t="n">
        <x:v>2</x:v>
      </x:c>
      <x:c r="G999" s="34" t="n">
        <x:v>13.679998</x:v>
      </x:c>
      <x:c r="H999" s="34" t="n">
        <x:v>15.6</x:v>
      </x:c>
      <x:c r="I999" s="34" t="n">
        <x:v>1.920002</x:v>
      </x:c>
      <x:c r="J999" s="34" t="n">
        <x:v>87.692</x:v>
      </x:c>
      <x:c r="K999" s="34" t="n">
        <x:v>0</x:v>
      </x:c>
      <x:c r="L999" s="34" t="n">
        <x:v>1.32</x:v>
      </x:c>
      <x:c r="M999" s="34" t="n">
        <x:v>1.32</x:v>
      </x:c>
      <x:c r="N999" s="34" t="n">
        <x:v>0</x:v>
      </x:c>
      <x:c r="O999" s="34" t="n">
        <x:v>8.511999</x:v>
      </x:c>
      <x:c r="P999" s="34" t="n">
        <x:v>11.8</x:v>
      </x:c>
      <x:c r="Q999" s="34" t="n">
        <x:v>3.288001</x:v>
      </x:c>
      <x:c r="R999" s="34" t="n">
        <x:v>72.136</x:v>
      </x:c>
      <x:c r="S999" s="40" t="b">
        <x:v>1</x:v>
      </x:c>
      <x:c r="T999" s="34" t="str">
        <x:v>model_interpolation</x:v>
      </x:c>
      <x:c r="U999" s="34" t="str">
        <x:v>Linear interpolation from 2030 to 2035</x:v>
      </x:c>
      <x:c r="V999" s="34" t="str">
        <x:v>CAND-F6184286A4322F</x:v>
      </x:c>
      <x:c r="W999" s="34" t="str">
        <x:v>P2</x:v>
      </x:c>
      <x:c r="X999" s="34" t="str">
        <x:v>PORT-6742936593A9</x:v>
      </x:c>
      <x:c r="Y999" s="34" t="n">
        <x:v>1000</x:v>
      </x:c>
      <x:c r="Z999" s="34" t="n">
        <x:v>84.033994</x:v>
      </x:c>
      <x:c r="AA999" s="34" t="n">
        <x:v>22.171311</x:v>
      </x:c>
      <x:c r="AB999" s="34" t="n">
        <x:v>454.753949</x:v>
      </x:c>
      <x:c r="AC999" s="34" t="n">
        <x:v>37375.086</x:v>
      </x:c>
      <x:c r="AD999" s="34" t="n">
        <x:v>82.187491</x:v>
      </x:c>
      <x:c r="AE999" s="40" t="b">
        <x:v>1</x:v>
      </x:c>
      <x:c r="AF999" s="40" t="b">
        <x:v>1</x:v>
      </x:c>
      <x:c r="AG999" s="34" t="str"/>
      <x:c r="AH999" s="34" t="n">
        <x:v>0</x:v>
      </x:c>
      <x:c r="AI999" s="34" t="str">
        <x:v>3.446647212967946e-06</x:v>
      </x:c>
      <x:c r="AJ999" s="40" t="b">
        <x:v>1</x:v>
      </x:c>
      <x:c r="AK999" s="40" t="b">
        <x:v>1</x:v>
      </x:c>
      <x:c r="AL999" s="40" t="b">
        <x:v>1</x:v>
      </x:c>
      <x:c r="AM999" s="40" t="b">
        <x:v>1</x:v>
      </x:c>
      <x:c r="AN999" s="34" t="str"/>
      <x:c r="AO999" s="34" t="n">
        <x:v>0</x:v>
      </x:c>
      <x:c r="AP999" s="34" t="n">
        <x:v>0</x:v>
      </x:c>
      <x:c r="AQ999" s="34" t="n">
        <x:v>0</x:v>
      </x:c>
      <x:c r="AR999" s="34" t="n">
        <x:v>2</x:v>
      </x:c>
      <x:c r="AS999" s="34" t="n">
        <x:v>2</x:v>
      </x:c>
      <x:c r="AT999" s="34" t="n">
        <x:v>0.47641018879999986</x:v>
      </x:c>
      <x:c r="AU999" s="34" t="n">
        <x:v>0.65</x:v>
      </x:c>
      <x:c r="AV999" s="34" t="n">
        <x:v>2.16</x:v>
      </x:c>
    </x:row>
    <x:row r="1000">
      <x:c r="A1000" s="34" t="str">
        <x:v>NIPPON_STEEL_JP</x:v>
      </x:c>
      <x:c r="B1000" s="34" t="str">
        <x:v>Nippon Steel</x:v>
      </x:c>
      <x:c r="C1000" s="34" t="str">
        <x:v>DISCLOSED_PATH</x:v>
      </x:c>
      <x:c r="D1000" s="34" t="str">
        <x:v>P2</x:v>
      </x:c>
      <x:c r="E1000" s="34" t="n">
        <x:v>2034</x:v>
      </x:c>
      <x:c r="F1000" s="34" t="n">
        <x:v>3</x:v>
      </x:c>
      <x:c r="G1000" s="34" t="n">
        <x:v>14.759998</x:v>
      </x:c>
      <x:c r="H1000" s="34" t="n">
        <x:v>16.8</x:v>
      </x:c>
      <x:c r="I1000" s="34" t="n">
        <x:v>2.040002</x:v>
      </x:c>
      <x:c r="J1000" s="34" t="n">
        <x:v>87.857</x:v>
      </x:c>
      <x:c r="K1000" s="34" t="n">
        <x:v>0.396</x:v>
      </x:c>
      <x:c r="L1000" s="34" t="n">
        <x:v>1.56</x:v>
      </x:c>
      <x:c r="M1000" s="34" t="n">
        <x:v>1.164</x:v>
      </x:c>
      <x:c r="N1000" s="34" t="n">
        <x:v>25.385</x:v>
      </x:c>
      <x:c r="O1000" s="34" t="n">
        <x:v>11.823999</x:v>
      </x:c>
      <x:c r="P1000" s="34" t="n">
        <x:v>13.4</x:v>
      </x:c>
      <x:c r="Q1000" s="34" t="n">
        <x:v>1.576001</x:v>
      </x:c>
      <x:c r="R1000" s="34" t="n">
        <x:v>88.239</x:v>
      </x:c>
      <x:c r="S1000" s="40" t="b">
        <x:v>1</x:v>
      </x:c>
      <x:c r="T1000" s="34" t="str">
        <x:v>model_interpolation</x:v>
      </x:c>
      <x:c r="U1000" s="34" t="str">
        <x:v>Linear interpolation from 2030 to 2035</x:v>
      </x:c>
      <x:c r="V1000" s="34" t="str">
        <x:v>CAND-F6184286A4322F</x:v>
      </x:c>
      <x:c r="W1000" s="34" t="str">
        <x:v>P2</x:v>
      </x:c>
      <x:c r="X1000" s="34" t="str">
        <x:v>PORT-6742936593A9</x:v>
      </x:c>
      <x:c r="Y1000" s="34" t="n">
        <x:v>1000</x:v>
      </x:c>
      <x:c r="Z1000" s="34" t="n">
        <x:v>84.033994</x:v>
      </x:c>
      <x:c r="AA1000" s="34" t="n">
        <x:v>22.171311</x:v>
      </x:c>
      <x:c r="AB1000" s="34" t="n">
        <x:v>454.753949</x:v>
      </x:c>
      <x:c r="AC1000" s="34" t="n">
        <x:v>37375.086</x:v>
      </x:c>
      <x:c r="AD1000" s="34" t="n">
        <x:v>82.187491</x:v>
      </x:c>
      <x:c r="AE1000" s="40" t="b">
        <x:v>1</x:v>
      </x:c>
      <x:c r="AF1000" s="40" t="b">
        <x:v>1</x:v>
      </x:c>
      <x:c r="AG1000" s="34" t="str"/>
      <x:c r="AH1000" s="34" t="n">
        <x:v>0</x:v>
      </x:c>
      <x:c r="AI1000" s="34" t="str">
        <x:v>3.446647212967946e-06</x:v>
      </x:c>
      <x:c r="AJ1000" s="40" t="b">
        <x:v>1</x:v>
      </x:c>
      <x:c r="AK1000" s="40" t="b">
        <x:v>1</x:v>
      </x:c>
      <x:c r="AL1000" s="40" t="b">
        <x:v>1</x:v>
      </x:c>
      <x:c r="AM1000" s="40" t="b">
        <x:v>1</x:v>
      </x:c>
      <x:c r="AN1000" s="34" t="str"/>
      <x:c r="AO1000" s="34" t="n">
        <x:v>0</x:v>
      </x:c>
      <x:c r="AP1000" s="34" t="n">
        <x:v>0</x:v>
      </x:c>
      <x:c r="AQ1000" s="34" t="n">
        <x:v>0</x:v>
      </x:c>
      <x:c r="AR1000" s="34" t="n">
        <x:v>2</x:v>
      </x:c>
      <x:c r="AS1000" s="34" t="n">
        <x:v>2</x:v>
      </x:c>
      <x:c r="AT1000" s="34" t="n">
        <x:v>0.47641018879999986</x:v>
      </x:c>
      <x:c r="AU1000" s="34" t="n">
        <x:v>0.65</x:v>
      </x:c>
      <x:c r="AV1000" s="34" t="n">
        <x:v>2.16</x:v>
      </x:c>
    </x:row>
    <x:row r="1001">
      <x:c r="A1001" s="34" t="str">
        <x:v>NIPPON_STEEL_JP</x:v>
      </x:c>
      <x:c r="B1001" s="34" t="str">
        <x:v>Nippon Steel</x:v>
      </x:c>
      <x:c r="C1001" s="34" t="str">
        <x:v>DISCLOSED_PATH</x:v>
      </x:c>
      <x:c r="D1001" s="34" t="str">
        <x:v>P2</x:v>
      </x:c>
      <x:c r="E1001" s="34" t="n">
        <x:v>2035</x:v>
      </x:c>
      <x:c r="F1001" s="34" t="n">
        <x:v>3</x:v>
      </x:c>
      <x:c r="G1001" s="34" t="n">
        <x:v>14.759998</x:v>
      </x:c>
      <x:c r="H1001" s="34" t="n">
        <x:v>18</x:v>
      </x:c>
      <x:c r="I1001" s="34" t="n">
        <x:v>3.240002</x:v>
      </x:c>
      <x:c r="J1001" s="34" t="n">
        <x:v>82</x:v>
      </x:c>
      <x:c r="K1001" s="34" t="n">
        <x:v>0.396</x:v>
      </x:c>
      <x:c r="L1001" s="34" t="n">
        <x:v>1.8</x:v>
      </x:c>
      <x:c r="M1001" s="34" t="n">
        <x:v>1.404</x:v>
      </x:c>
      <x:c r="N1001" s="34" t="n">
        <x:v>22</x:v>
      </x:c>
      <x:c r="O1001" s="34" t="n">
        <x:v>11.823999</x:v>
      </x:c>
      <x:c r="P1001" s="34" t="n">
        <x:v>15</x:v>
      </x:c>
      <x:c r="Q1001" s="34" t="n">
        <x:v>3.176001</x:v>
      </x:c>
      <x:c r="R1001" s="34" t="n">
        <x:v>78.827</x:v>
      </x:c>
      <x:c r="S1001" s="40" t="b">
        <x:v>1</x:v>
      </x:c>
      <x:c r="T1001" s="34" t="str">
        <x:v>model_interpolation</x:v>
      </x:c>
      <x:c r="U1001" s="34" t="str">
        <x:v>Linear interpolation from 2035 to 2040</x:v>
      </x:c>
      <x:c r="V1001" s="34" t="str">
        <x:v>CAND-F6184286A4322F</x:v>
      </x:c>
      <x:c r="W1001" s="34" t="str">
        <x:v>P2</x:v>
      </x:c>
      <x:c r="X1001" s="34" t="str">
        <x:v>PORT-6742936593A9</x:v>
      </x:c>
      <x:c r="Y1001" s="34" t="n">
        <x:v>1000</x:v>
      </x:c>
      <x:c r="Z1001" s="34" t="n">
        <x:v>84.033994</x:v>
      </x:c>
      <x:c r="AA1001" s="34" t="n">
        <x:v>22.171311</x:v>
      </x:c>
      <x:c r="AB1001" s="34" t="n">
        <x:v>454.753949</x:v>
      </x:c>
      <x:c r="AC1001" s="34" t="n">
        <x:v>37375.086</x:v>
      </x:c>
      <x:c r="AD1001" s="34" t="n">
        <x:v>82.187491</x:v>
      </x:c>
      <x:c r="AE1001" s="40" t="b">
        <x:v>1</x:v>
      </x:c>
      <x:c r="AF1001" s="40" t="b">
        <x:v>1</x:v>
      </x:c>
      <x:c r="AG1001" s="34" t="str"/>
      <x:c r="AH1001" s="34" t="n">
        <x:v>0</x:v>
      </x:c>
      <x:c r="AI1001" s="34" t="str">
        <x:v>3.446647212967946e-06</x:v>
      </x:c>
      <x:c r="AJ1001" s="40" t="b">
        <x:v>1</x:v>
      </x:c>
      <x:c r="AK1001" s="40" t="b">
        <x:v>1</x:v>
      </x:c>
      <x:c r="AL1001" s="40" t="b">
        <x:v>1</x:v>
      </x:c>
      <x:c r="AM1001" s="40" t="b">
        <x:v>1</x:v>
      </x:c>
      <x:c r="AN1001" s="34" t="str"/>
      <x:c r="AO1001" s="34" t="n">
        <x:v>0</x:v>
      </x:c>
      <x:c r="AP1001" s="34" t="n">
        <x:v>0</x:v>
      </x:c>
      <x:c r="AQ1001" s="34" t="n">
        <x:v>0</x:v>
      </x:c>
      <x:c r="AR1001" s="34" t="n">
        <x:v>2</x:v>
      </x:c>
      <x:c r="AS1001" s="34" t="n">
        <x:v>2</x:v>
      </x:c>
      <x:c r="AT1001" s="34" t="n">
        <x:v>0.47641018879999986</x:v>
      </x:c>
      <x:c r="AU1001" s="34" t="n">
        <x:v>0.65</x:v>
      </x:c>
      <x:c r="AV1001" s="34" t="n">
        <x:v>2.16</x:v>
      </x:c>
    </x:row>
    <x:row r="1002">
      <x:c r="A1002" s="34" t="str">
        <x:v>NIPPON_STEEL_JP</x:v>
      </x:c>
      <x:c r="B1002" s="34" t="str">
        <x:v>Nippon Steel</x:v>
      </x:c>
      <x:c r="C1002" s="34" t="str">
        <x:v>DISCLOSED_PATH</x:v>
      </x:c>
      <x:c r="D1002" s="34" t="str">
        <x:v>P2</x:v>
      </x:c>
      <x:c r="E1002" s="34" t="n">
        <x:v>2036</x:v>
      </x:c>
      <x:c r="F1002" s="34" t="n">
        <x:v>4</x:v>
      </x:c>
      <x:c r="G1002" s="34" t="n">
        <x:v>15.599998</x:v>
      </x:c>
      <x:c r="H1002" s="34" t="n">
        <x:v>19.4</x:v>
      </x:c>
      <x:c r="I1002" s="34" t="n">
        <x:v>3.800002</x:v>
      </x:c>
      <x:c r="J1002" s="34" t="n">
        <x:v>80.412</x:v>
      </x:c>
      <x:c r="K1002" s="34" t="n">
        <x:v>0.704</x:v>
      </x:c>
      <x:c r="L1002" s="34" t="n">
        <x:v>2.08</x:v>
      </x:c>
      <x:c r="M1002" s="34" t="n">
        <x:v>1.376</x:v>
      </x:c>
      <x:c r="N1002" s="34" t="n">
        <x:v>33.846</x:v>
      </x:c>
      <x:c r="O1002" s="34" t="n">
        <x:v>14.4</x:v>
      </x:c>
      <x:c r="P1002" s="34" t="n">
        <x:v>17</x:v>
      </x:c>
      <x:c r="Q1002" s="34" t="n">
        <x:v>2.6</x:v>
      </x:c>
      <x:c r="R1002" s="34" t="n">
        <x:v>84.706</x:v>
      </x:c>
      <x:c r="S1002" s="40" t="b">
        <x:v>1</x:v>
      </x:c>
      <x:c r="T1002" s="34" t="str">
        <x:v>model_interpolation</x:v>
      </x:c>
      <x:c r="U1002" s="34" t="str">
        <x:v>Linear interpolation from 2035 to 2040</x:v>
      </x:c>
      <x:c r="V1002" s="34" t="str">
        <x:v>CAND-F6184286A4322F</x:v>
      </x:c>
      <x:c r="W1002" s="34" t="str">
        <x:v>P2</x:v>
      </x:c>
      <x:c r="X1002" s="34" t="str">
        <x:v>PORT-6742936593A9</x:v>
      </x:c>
      <x:c r="Y1002" s="34" t="n">
        <x:v>1000</x:v>
      </x:c>
      <x:c r="Z1002" s="34" t="n">
        <x:v>84.033994</x:v>
      </x:c>
      <x:c r="AA1002" s="34" t="n">
        <x:v>22.171311</x:v>
      </x:c>
      <x:c r="AB1002" s="34" t="n">
        <x:v>454.753949</x:v>
      </x:c>
      <x:c r="AC1002" s="34" t="n">
        <x:v>37375.086</x:v>
      </x:c>
      <x:c r="AD1002" s="34" t="n">
        <x:v>82.187491</x:v>
      </x:c>
      <x:c r="AE1002" s="40" t="b">
        <x:v>1</x:v>
      </x:c>
      <x:c r="AF1002" s="40" t="b">
        <x:v>1</x:v>
      </x:c>
      <x:c r="AG1002" s="34" t="str"/>
      <x:c r="AH1002" s="34" t="n">
        <x:v>0</x:v>
      </x:c>
      <x:c r="AI1002" s="34" t="str">
        <x:v>3.446647212967946e-06</x:v>
      </x:c>
      <x:c r="AJ1002" s="40" t="b">
        <x:v>1</x:v>
      </x:c>
      <x:c r="AK1002" s="40" t="b">
        <x:v>1</x:v>
      </x:c>
      <x:c r="AL1002" s="40" t="b">
        <x:v>1</x:v>
      </x:c>
      <x:c r="AM1002" s="40" t="b">
        <x:v>1</x:v>
      </x:c>
      <x:c r="AN1002" s="34" t="str"/>
      <x:c r="AO1002" s="34" t="n">
        <x:v>0</x:v>
      </x:c>
      <x:c r="AP1002" s="34" t="n">
        <x:v>0</x:v>
      </x:c>
      <x:c r="AQ1002" s="34" t="n">
        <x:v>0</x:v>
      </x:c>
      <x:c r="AR1002" s="34" t="n">
        <x:v>2</x:v>
      </x:c>
      <x:c r="AS1002" s="34" t="n">
        <x:v>2</x:v>
      </x:c>
      <x:c r="AT1002" s="34" t="n">
        <x:v>0.47641018879999986</x:v>
      </x:c>
      <x:c r="AU1002" s="34" t="n">
        <x:v>0.65</x:v>
      </x:c>
      <x:c r="AV1002" s="34" t="n">
        <x:v>2.16</x:v>
      </x:c>
    </x:row>
    <x:row r="1003">
      <x:c r="A1003" s="34" t="str">
        <x:v>NIPPON_STEEL_JP</x:v>
      </x:c>
      <x:c r="B1003" s="34" t="str">
        <x:v>Nippon Steel</x:v>
      </x:c>
      <x:c r="C1003" s="34" t="str">
        <x:v>DISCLOSED_PATH</x:v>
      </x:c>
      <x:c r="D1003" s="34" t="str">
        <x:v>P2</x:v>
      </x:c>
      <x:c r="E1003" s="34" t="n">
        <x:v>2037</x:v>
      </x:c>
      <x:c r="F1003" s="34" t="n">
        <x:v>4</x:v>
      </x:c>
      <x:c r="G1003" s="34" t="n">
        <x:v>15.599998</x:v>
      </x:c>
      <x:c r="H1003" s="34" t="n">
        <x:v>20.8</x:v>
      </x:c>
      <x:c r="I1003" s="34" t="n">
        <x:v>5.200002</x:v>
      </x:c>
      <x:c r="J1003" s="34" t="n">
        <x:v>75</x:v>
      </x:c>
      <x:c r="K1003" s="34" t="n">
        <x:v>0.704</x:v>
      </x:c>
      <x:c r="L1003" s="34" t="n">
        <x:v>2.3600000000000003</x:v>
      </x:c>
      <x:c r="M1003" s="34" t="n">
        <x:v>1.656</x:v>
      </x:c>
      <x:c r="N1003" s="34" t="n">
        <x:v>29.831</x:v>
      </x:c>
      <x:c r="O1003" s="34" t="n">
        <x:v>14.4</x:v>
      </x:c>
      <x:c r="P1003" s="34" t="n">
        <x:v>19</x:v>
      </x:c>
      <x:c r="Q1003" s="34" t="n">
        <x:v>4.6</x:v>
      </x:c>
      <x:c r="R1003" s="34" t="n">
        <x:v>75.789</x:v>
      </x:c>
      <x:c r="S1003" s="40" t="b">
        <x:v>1</x:v>
      </x:c>
      <x:c r="T1003" s="34" t="str">
        <x:v>model_interpolation</x:v>
      </x:c>
      <x:c r="U1003" s="34" t="str">
        <x:v>Linear interpolation from 2035 to 2040</x:v>
      </x:c>
      <x:c r="V1003" s="34" t="str">
        <x:v>CAND-F6184286A4322F</x:v>
      </x:c>
      <x:c r="W1003" s="34" t="str">
        <x:v>P2</x:v>
      </x:c>
      <x:c r="X1003" s="34" t="str">
        <x:v>PORT-6742936593A9</x:v>
      </x:c>
      <x:c r="Y1003" s="34" t="n">
        <x:v>1000</x:v>
      </x:c>
      <x:c r="Z1003" s="34" t="n">
        <x:v>84.033994</x:v>
      </x:c>
      <x:c r="AA1003" s="34" t="n">
        <x:v>22.171311</x:v>
      </x:c>
      <x:c r="AB1003" s="34" t="n">
        <x:v>454.753949</x:v>
      </x:c>
      <x:c r="AC1003" s="34" t="n">
        <x:v>37375.086</x:v>
      </x:c>
      <x:c r="AD1003" s="34" t="n">
        <x:v>82.187491</x:v>
      </x:c>
      <x:c r="AE1003" s="40" t="b">
        <x:v>1</x:v>
      </x:c>
      <x:c r="AF1003" s="40" t="b">
        <x:v>1</x:v>
      </x:c>
      <x:c r="AG1003" s="34" t="str"/>
      <x:c r="AH1003" s="34" t="n">
        <x:v>0</x:v>
      </x:c>
      <x:c r="AI1003" s="34" t="str">
        <x:v>3.446647212967946e-06</x:v>
      </x:c>
      <x:c r="AJ1003" s="40" t="b">
        <x:v>1</x:v>
      </x:c>
      <x:c r="AK1003" s="40" t="b">
        <x:v>1</x:v>
      </x:c>
      <x:c r="AL1003" s="40" t="b">
        <x:v>1</x:v>
      </x:c>
      <x:c r="AM1003" s="40" t="b">
        <x:v>1</x:v>
      </x:c>
      <x:c r="AN1003" s="34" t="str"/>
      <x:c r="AO1003" s="34" t="n">
        <x:v>0</x:v>
      </x:c>
      <x:c r="AP1003" s="34" t="n">
        <x:v>0</x:v>
      </x:c>
      <x:c r="AQ1003" s="34" t="n">
        <x:v>0</x:v>
      </x:c>
      <x:c r="AR1003" s="34" t="n">
        <x:v>2</x:v>
      </x:c>
      <x:c r="AS1003" s="34" t="n">
        <x:v>2</x:v>
      </x:c>
      <x:c r="AT1003" s="34" t="n">
        <x:v>0.47641018879999986</x:v>
      </x:c>
      <x:c r="AU1003" s="34" t="n">
        <x:v>0.65</x:v>
      </x:c>
      <x:c r="AV1003" s="34" t="n">
        <x:v>2.16</x:v>
      </x:c>
    </x:row>
    <x:row r="1004">
      <x:c r="A1004" s="34" t="str">
        <x:v>NIPPON_STEEL_JP</x:v>
      </x:c>
      <x:c r="B1004" s="34" t="str">
        <x:v>Nippon Steel</x:v>
      </x:c>
      <x:c r="C1004" s="34" t="str">
        <x:v>DISCLOSED_PATH</x:v>
      </x:c>
      <x:c r="D1004" s="34" t="str">
        <x:v>P2</x:v>
      </x:c>
      <x:c r="E1004" s="34" t="n">
        <x:v>2038</x:v>
      </x:c>
      <x:c r="F1004" s="34" t="n">
        <x:v>5</x:v>
      </x:c>
      <x:c r="G1004" s="34" t="n">
        <x:v>21.269998</x:v>
      </x:c>
      <x:c r="H1004" s="34" t="n">
        <x:v>22.2</x:v>
      </x:c>
      <x:c r="I1004" s="34" t="n">
        <x:v>0.930002</x:v>
      </x:c>
      <x:c r="J1004" s="34" t="n">
        <x:v>95.811</x:v>
      </x:c>
      <x:c r="K1004" s="34" t="n">
        <x:v>0.704</x:v>
      </x:c>
      <x:c r="L1004" s="34" t="n">
        <x:v>2.64</x:v>
      </x:c>
      <x:c r="M1004" s="34" t="n">
        <x:v>1.936</x:v>
      </x:c>
      <x:c r="N1004" s="34" t="n">
        <x:v>26.667</x:v>
      </x:c>
      <x:c r="O1004" s="34" t="n">
        <x:v>17.928</x:v>
      </x:c>
      <x:c r="P1004" s="34" t="n">
        <x:v>21</x:v>
      </x:c>
      <x:c r="Q1004" s="34" t="n">
        <x:v>3.072</x:v>
      </x:c>
      <x:c r="R1004" s="34" t="n">
        <x:v>85.371</x:v>
      </x:c>
      <x:c r="S1004" s="40" t="b">
        <x:v>1</x:v>
      </x:c>
      <x:c r="T1004" s="34" t="str">
        <x:v>model_interpolation</x:v>
      </x:c>
      <x:c r="U1004" s="34" t="str">
        <x:v>Linear interpolation from 2035 to 2040</x:v>
      </x:c>
      <x:c r="V1004" s="34" t="str">
        <x:v>CAND-F6184286A4322F</x:v>
      </x:c>
      <x:c r="W1004" s="34" t="str">
        <x:v>P2</x:v>
      </x:c>
      <x:c r="X1004" s="34" t="str">
        <x:v>PORT-6742936593A9</x:v>
      </x:c>
      <x:c r="Y1004" s="34" t="n">
        <x:v>1000</x:v>
      </x:c>
      <x:c r="Z1004" s="34" t="n">
        <x:v>84.033994</x:v>
      </x:c>
      <x:c r="AA1004" s="34" t="n">
        <x:v>22.171311</x:v>
      </x:c>
      <x:c r="AB1004" s="34" t="n">
        <x:v>454.753949</x:v>
      </x:c>
      <x:c r="AC1004" s="34" t="n">
        <x:v>37375.086</x:v>
      </x:c>
      <x:c r="AD1004" s="34" t="n">
        <x:v>82.187491</x:v>
      </x:c>
      <x:c r="AE1004" s="40" t="b">
        <x:v>1</x:v>
      </x:c>
      <x:c r="AF1004" s="40" t="b">
        <x:v>1</x:v>
      </x:c>
      <x:c r="AG1004" s="34" t="str"/>
      <x:c r="AH1004" s="34" t="n">
        <x:v>0</x:v>
      </x:c>
      <x:c r="AI1004" s="34" t="str">
        <x:v>3.446647212967946e-06</x:v>
      </x:c>
      <x:c r="AJ1004" s="40" t="b">
        <x:v>1</x:v>
      </x:c>
      <x:c r="AK1004" s="40" t="b">
        <x:v>1</x:v>
      </x:c>
      <x:c r="AL1004" s="40" t="b">
        <x:v>1</x:v>
      </x:c>
      <x:c r="AM1004" s="40" t="b">
        <x:v>1</x:v>
      </x:c>
      <x:c r="AN1004" s="34" t="str"/>
      <x:c r="AO1004" s="34" t="n">
        <x:v>0</x:v>
      </x:c>
      <x:c r="AP1004" s="34" t="n">
        <x:v>0</x:v>
      </x:c>
      <x:c r="AQ1004" s="34" t="n">
        <x:v>0</x:v>
      </x:c>
      <x:c r="AR1004" s="34" t="n">
        <x:v>2</x:v>
      </x:c>
      <x:c r="AS1004" s="34" t="n">
        <x:v>2</x:v>
      </x:c>
      <x:c r="AT1004" s="34" t="n">
        <x:v>0.47641018879999986</x:v>
      </x:c>
      <x:c r="AU1004" s="34" t="n">
        <x:v>0.65</x:v>
      </x:c>
      <x:c r="AV1004" s="34" t="n">
        <x:v>2.16</x:v>
      </x:c>
    </x:row>
    <x:row r="1005">
      <x:c r="A1005" s="34" t="str">
        <x:v>NIPPON_STEEL_JP</x:v>
      </x:c>
      <x:c r="B1005" s="34" t="str">
        <x:v>Nippon Steel</x:v>
      </x:c>
      <x:c r="C1005" s="34" t="str">
        <x:v>DISCLOSED_PATH</x:v>
      </x:c>
      <x:c r="D1005" s="34" t="str">
        <x:v>P2</x:v>
      </x:c>
      <x:c r="E1005" s="34" t="n">
        <x:v>2039</x:v>
      </x:c>
      <x:c r="F1005" s="34" t="n">
        <x:v>5</x:v>
      </x:c>
      <x:c r="G1005" s="34" t="n">
        <x:v>21.269998</x:v>
      </x:c>
      <x:c r="H1005" s="34" t="n">
        <x:v>23.6</x:v>
      </x:c>
      <x:c r="I1005" s="34" t="n">
        <x:v>2.330002</x:v>
      </x:c>
      <x:c r="J1005" s="34" t="n">
        <x:v>90.127</x:v>
      </x:c>
      <x:c r="K1005" s="34" t="n">
        <x:v>0.704</x:v>
      </x:c>
      <x:c r="L1005" s="34" t="n">
        <x:v>2.92</x:v>
      </x:c>
      <x:c r="M1005" s="34" t="n">
        <x:v>2.216</x:v>
      </x:c>
      <x:c r="N1005" s="34" t="n">
        <x:v>24.11</x:v>
      </x:c>
      <x:c r="O1005" s="34" t="n">
        <x:v>17.928</x:v>
      </x:c>
      <x:c r="P1005" s="34" t="n">
        <x:v>23</x:v>
      </x:c>
      <x:c r="Q1005" s="34" t="n">
        <x:v>5.072</x:v>
      </x:c>
      <x:c r="R1005" s="34" t="n">
        <x:v>77.948</x:v>
      </x:c>
      <x:c r="S1005" s="40" t="b">
        <x:v>1</x:v>
      </x:c>
      <x:c r="T1005" s="34" t="str">
        <x:v>model_interpolation</x:v>
      </x:c>
      <x:c r="U1005" s="34" t="str">
        <x:v>Linear interpolation from 2035 to 2040</x:v>
      </x:c>
      <x:c r="V1005" s="34" t="str">
        <x:v>CAND-F6184286A4322F</x:v>
      </x:c>
      <x:c r="W1005" s="34" t="str">
        <x:v>P2</x:v>
      </x:c>
      <x:c r="X1005" s="34" t="str">
        <x:v>PORT-6742936593A9</x:v>
      </x:c>
      <x:c r="Y1005" s="34" t="n">
        <x:v>1000</x:v>
      </x:c>
      <x:c r="Z1005" s="34" t="n">
        <x:v>84.033994</x:v>
      </x:c>
      <x:c r="AA1005" s="34" t="n">
        <x:v>22.171311</x:v>
      </x:c>
      <x:c r="AB1005" s="34" t="n">
        <x:v>454.753949</x:v>
      </x:c>
      <x:c r="AC1005" s="34" t="n">
        <x:v>37375.086</x:v>
      </x:c>
      <x:c r="AD1005" s="34" t="n">
        <x:v>82.187491</x:v>
      </x:c>
      <x:c r="AE1005" s="40" t="b">
        <x:v>1</x:v>
      </x:c>
      <x:c r="AF1005" s="40" t="b">
        <x:v>1</x:v>
      </x:c>
      <x:c r="AG1005" s="34" t="str"/>
      <x:c r="AH1005" s="34" t="n">
        <x:v>0</x:v>
      </x:c>
      <x:c r="AI1005" s="34" t="str">
        <x:v>3.446647212967946e-06</x:v>
      </x:c>
      <x:c r="AJ1005" s="40" t="b">
        <x:v>1</x:v>
      </x:c>
      <x:c r="AK1005" s="40" t="b">
        <x:v>1</x:v>
      </x:c>
      <x:c r="AL1005" s="40" t="b">
        <x:v>1</x:v>
      </x:c>
      <x:c r="AM1005" s="40" t="b">
        <x:v>1</x:v>
      </x:c>
      <x:c r="AN1005" s="34" t="str"/>
      <x:c r="AO1005" s="34" t="n">
        <x:v>0</x:v>
      </x:c>
      <x:c r="AP1005" s="34" t="n">
        <x:v>0</x:v>
      </x:c>
      <x:c r="AQ1005" s="34" t="n">
        <x:v>0</x:v>
      </x:c>
      <x:c r="AR1005" s="34" t="n">
        <x:v>2</x:v>
      </x:c>
      <x:c r="AS1005" s="34" t="n">
        <x:v>2</x:v>
      </x:c>
      <x:c r="AT1005" s="34" t="n">
        <x:v>0.47641018879999986</x:v>
      </x:c>
      <x:c r="AU1005" s="34" t="n">
        <x:v>0.65</x:v>
      </x:c>
      <x:c r="AV1005" s="34" t="n">
        <x:v>2.16</x:v>
      </x:c>
    </x:row>
    <x:row r="1006">
      <x:c r="A1006" s="34" t="str">
        <x:v>NIPPON_STEEL_JP</x:v>
      </x:c>
      <x:c r="B1006" s="34" t="str">
        <x:v>Nippon Steel</x:v>
      </x:c>
      <x:c r="C1006" s="34" t="str">
        <x:v>DISCLOSED_PATH</x:v>
      </x:c>
      <x:c r="D1006" s="34" t="str">
        <x:v>P2</x:v>
      </x:c>
      <x:c r="E1006" s="34" t="n">
        <x:v>2040</x:v>
      </x:c>
      <x:c r="F1006" s="34" t="n">
        <x:v>5</x:v>
      </x:c>
      <x:c r="G1006" s="34" t="n">
        <x:v>21.269998</x:v>
      </x:c>
      <x:c r="H1006" s="34" t="n">
        <x:v>25</x:v>
      </x:c>
      <x:c r="I1006" s="34" t="n">
        <x:v>3.730002</x:v>
      </x:c>
      <x:c r="J1006" s="34" t="n">
        <x:v>85.08</x:v>
      </x:c>
      <x:c r="K1006" s="34" t="n">
        <x:v>0.704</x:v>
      </x:c>
      <x:c r="L1006" s="34" t="n">
        <x:v>3.2</x:v>
      </x:c>
      <x:c r="M1006" s="34" t="n">
        <x:v>2.496</x:v>
      </x:c>
      <x:c r="N1006" s="34" t="n">
        <x:v>22</x:v>
      </x:c>
      <x:c r="O1006" s="34" t="n">
        <x:v>17.928</x:v>
      </x:c>
      <x:c r="P1006" s="34" t="n">
        <x:v>25</x:v>
      </x:c>
      <x:c r="Q1006" s="34" t="n">
        <x:v>7.072</x:v>
      </x:c>
      <x:c r="R1006" s="34" t="n">
        <x:v>71.712</x:v>
      </x:c>
      <x:c r="S1006" s="40" t="b">
        <x:v>1</x:v>
      </x:c>
      <x:c r="T1006" s="34" t="str">
        <x:v>model_estimate</x:v>
      </x:c>
      <x:c r="U1006" s="34" t="str">
        <x:v>Illustrative screening envelope; not an official supply forecast</x:v>
      </x:c>
      <x:c r="V1006" s="34" t="str">
        <x:v>CAND-F6184286A4322F</x:v>
      </x:c>
      <x:c r="W1006" s="34" t="str">
        <x:v>P2</x:v>
      </x:c>
      <x:c r="X1006" s="34" t="str">
        <x:v>PORT-6742936593A9</x:v>
      </x:c>
      <x:c r="Y1006" s="34" t="n">
        <x:v>1000</x:v>
      </x:c>
      <x:c r="Z1006" s="34" t="n">
        <x:v>84.033994</x:v>
      </x:c>
      <x:c r="AA1006" s="34" t="n">
        <x:v>22.171311</x:v>
      </x:c>
      <x:c r="AB1006" s="34" t="n">
        <x:v>454.753949</x:v>
      </x:c>
      <x:c r="AC1006" s="34" t="n">
        <x:v>37375.086</x:v>
      </x:c>
      <x:c r="AD1006" s="34" t="n">
        <x:v>82.187491</x:v>
      </x:c>
      <x:c r="AE1006" s="40" t="b">
        <x:v>1</x:v>
      </x:c>
      <x:c r="AF1006" s="40" t="b">
        <x:v>1</x:v>
      </x:c>
      <x:c r="AG1006" s="34" t="str"/>
      <x:c r="AH1006" s="34" t="n">
        <x:v>0</x:v>
      </x:c>
      <x:c r="AI1006" s="34" t="str">
        <x:v>3.446647212967946e-06</x:v>
      </x:c>
      <x:c r="AJ1006" s="40" t="b">
        <x:v>1</x:v>
      </x:c>
      <x:c r="AK1006" s="40" t="b">
        <x:v>1</x:v>
      </x:c>
      <x:c r="AL1006" s="40" t="b">
        <x:v>1</x:v>
      </x:c>
      <x:c r="AM1006" s="40" t="b">
        <x:v>1</x:v>
      </x:c>
      <x:c r="AN1006" s="34" t="str"/>
      <x:c r="AO1006" s="34" t="n">
        <x:v>0</x:v>
      </x:c>
      <x:c r="AP1006" s="34" t="n">
        <x:v>0</x:v>
      </x:c>
      <x:c r="AQ1006" s="34" t="n">
        <x:v>0</x:v>
      </x:c>
      <x:c r="AR1006" s="34" t="n">
        <x:v>2</x:v>
      </x:c>
      <x:c r="AS1006" s="34" t="n">
        <x:v>2</x:v>
      </x:c>
      <x:c r="AT1006" s="34" t="n">
        <x:v>0.47641018879999986</x:v>
      </x:c>
      <x:c r="AU1006" s="34" t="n">
        <x:v>0.65</x:v>
      </x:c>
      <x:c r="AV1006" s="34" t="n">
        <x:v>2.16</x:v>
      </x:c>
    </x:row>
    <x:row r="1007">
      <x:c r="A1007" s="34" t="str">
        <x:v>NIPPON_STEEL_JP</x:v>
      </x:c>
      <x:c r="B1007" s="34" t="str">
        <x:v>Nippon Steel</x:v>
      </x:c>
      <x:c r="C1007" s="34" t="str">
        <x:v>ACCELERATED_15C</x:v>
      </x:c>
      <x:c r="D1007" s="34" t="str">
        <x:v>P2</x:v>
      </x:c>
      <x:c r="E1007" s="34" t="n">
        <x:v>2026</x:v>
      </x:c>
      <x:c r="F1007" s="34" t="n">
        <x:v>0</x:v>
      </x:c>
      <x:c r="G1007" s="34" t="n">
        <x:v>0</x:v>
      </x:c>
      <x:c r="H1007" s="34" t="n">
        <x:v>8</x:v>
      </x:c>
      <x:c r="I1007" s="34" t="n">
        <x:v>8</x:v>
      </x:c>
      <x:c r="J1007" s="34" t="n">
        <x:v>0</x:v>
      </x:c>
      <x:c r="K1007" s="34" t="n">
        <x:v>0</x:v>
      </x:c>
      <x:c r="L1007" s="34" t="n">
        <x:v>0.1</x:v>
      </x:c>
      <x:c r="M1007" s="34" t="n">
        <x:v>0.1</x:v>
      </x:c>
      <x:c r="N1007" s="34" t="n">
        <x:v>0</x:v>
      </x:c>
      <x:c r="O1007" s="34" t="n">
        <x:v>0</x:v>
      </x:c>
      <x:c r="P1007" s="34" t="n">
        <x:v>2</x:v>
      </x:c>
      <x:c r="Q1007" s="34" t="n">
        <x:v>2</x:v>
      </x:c>
      <x:c r="R1007" s="34" t="n">
        <x:v>0</x:v>
      </x:c>
      <x:c r="S1007" s="40" t="b">
        <x:v>1</x:v>
      </x:c>
      <x:c r="T1007" s="34" t="str">
        <x:v>model_interpolation</x:v>
      </x:c>
      <x:c r="U1007" s="34" t="str">
        <x:v>Linear interpolation from 2026 to 2030</x:v>
      </x:c>
      <x:c r="V1007" s="34" t="str">
        <x:v>CAND-F6184286A4322F</x:v>
      </x:c>
      <x:c r="W1007" s="34" t="str">
        <x:v>P2</x:v>
      </x:c>
      <x:c r="X1007" s="34" t="str">
        <x:v>PORT-6742936593A9</x:v>
      </x:c>
      <x:c r="Y1007" s="34" t="n">
        <x:v>1000</x:v>
      </x:c>
      <x:c r="Z1007" s="34" t="n">
        <x:v>73.8519</x:v>
      </x:c>
      <x:c r="AA1007" s="34" t="n">
        <x:v>23.844211</x:v>
      </x:c>
      <x:c r="AB1007" s="34" t="n">
        <x:v>454.753949</x:v>
      </x:c>
      <x:c r="AC1007" s="34" t="n">
        <x:v>32776.213</x:v>
      </x:c>
      <x:c r="AD1007" s="34" t="n">
        <x:v>72.074609</x:v>
      </x:c>
      <x:c r="AE1007" s="40" t="b">
        <x:v>1</x:v>
      </x:c>
      <x:c r="AF1007" s="40" t="b">
        <x:v>1</x:v>
      </x:c>
      <x:c r="AG1007" s="34" t="str"/>
      <x:c r="AH1007" s="34" t="n">
        <x:v>0</x:v>
      </x:c>
      <x:c r="AI1007" s="34" t="str">
        <x:v>3.446647212967946e-06</x:v>
      </x:c>
      <x:c r="AJ1007" s="40" t="b">
        <x:v>1</x:v>
      </x:c>
      <x:c r="AK1007" s="40" t="b">
        <x:v>1</x:v>
      </x:c>
      <x:c r="AL1007" s="40" t="b">
        <x:v>1</x:v>
      </x:c>
      <x:c r="AM1007" s="40" t="b">
        <x:v>1</x:v>
      </x:c>
      <x:c r="AN1007" s="34" t="str"/>
      <x:c r="AO1007" s="34" t="n">
        <x:v>0</x:v>
      </x:c>
      <x:c r="AP1007" s="34" t="n">
        <x:v>0</x:v>
      </x:c>
      <x:c r="AQ1007" s="34" t="n">
        <x:v>0</x:v>
      </x:c>
      <x:c r="AR1007" s="34" t="n">
        <x:v>2</x:v>
      </x:c>
      <x:c r="AS1007" s="34" t="n">
        <x:v>2</x:v>
      </x:c>
      <x:c r="AT1007" s="34" t="n">
        <x:v>0.47641018879999986</x:v>
      </x:c>
      <x:c r="AU1007" s="34" t="n">
        <x:v>0.65</x:v>
      </x:c>
      <x:c r="AV1007" s="34" t="n">
        <x:v>2.16</x:v>
      </x:c>
    </x:row>
    <x:row r="1008">
      <x:c r="A1008" s="34" t="str">
        <x:v>NIPPON_STEEL_JP</x:v>
      </x:c>
      <x:c r="B1008" s="34" t="str">
        <x:v>Nippon Steel</x:v>
      </x:c>
      <x:c r="C1008" s="34" t="str">
        <x:v>ACCELERATED_15C</x:v>
      </x:c>
      <x:c r="D1008" s="34" t="str">
        <x:v>P2</x:v>
      </x:c>
      <x:c r="E1008" s="34" t="n">
        <x:v>2027</x:v>
      </x:c>
      <x:c r="F1008" s="34" t="n">
        <x:v>0</x:v>
      </x:c>
      <x:c r="G1008" s="34" t="n">
        <x:v>0</x:v>
      </x:c>
      <x:c r="H1008" s="34" t="n">
        <x:v>9.75</x:v>
      </x:c>
      <x:c r="I1008" s="34" t="n">
        <x:v>9.75</x:v>
      </x:c>
      <x:c r="J1008" s="34" t="n">
        <x:v>0</x:v>
      </x:c>
      <x:c r="K1008" s="34" t="n">
        <x:v>0</x:v>
      </x:c>
      <x:c r="L1008" s="34" t="n">
        <x:v>0.30000000000000004</x:v>
      </x:c>
      <x:c r="M1008" s="34" t="n">
        <x:v>0.3</x:v>
      </x:c>
      <x:c r="N1008" s="34" t="n">
        <x:v>0</x:v>
      </x:c>
      <x:c r="O1008" s="34" t="n">
        <x:v>0</x:v>
      </x:c>
      <x:c r="P1008" s="34" t="n">
        <x:v>4</x:v>
      </x:c>
      <x:c r="Q1008" s="34" t="n">
        <x:v>4</x:v>
      </x:c>
      <x:c r="R1008" s="34" t="n">
        <x:v>0</x:v>
      </x:c>
      <x:c r="S1008" s="40" t="b">
        <x:v>1</x:v>
      </x:c>
      <x:c r="T1008" s="34" t="str">
        <x:v>model_interpolation</x:v>
      </x:c>
      <x:c r="U1008" s="34" t="str">
        <x:v>Linear interpolation from 2026 to 2030</x:v>
      </x:c>
      <x:c r="V1008" s="34" t="str">
        <x:v>CAND-F6184286A4322F</x:v>
      </x:c>
      <x:c r="W1008" s="34" t="str">
        <x:v>P2</x:v>
      </x:c>
      <x:c r="X1008" s="34" t="str">
        <x:v>PORT-6742936593A9</x:v>
      </x:c>
      <x:c r="Y1008" s="34" t="n">
        <x:v>1000</x:v>
      </x:c>
      <x:c r="Z1008" s="34" t="n">
        <x:v>73.8519</x:v>
      </x:c>
      <x:c r="AA1008" s="34" t="n">
        <x:v>23.844211</x:v>
      </x:c>
      <x:c r="AB1008" s="34" t="n">
        <x:v>454.753949</x:v>
      </x:c>
      <x:c r="AC1008" s="34" t="n">
        <x:v>32776.213</x:v>
      </x:c>
      <x:c r="AD1008" s="34" t="n">
        <x:v>72.074609</x:v>
      </x:c>
      <x:c r="AE1008" s="40" t="b">
        <x:v>1</x:v>
      </x:c>
      <x:c r="AF1008" s="40" t="b">
        <x:v>1</x:v>
      </x:c>
      <x:c r="AG1008" s="34" t="str"/>
      <x:c r="AH1008" s="34" t="n">
        <x:v>0</x:v>
      </x:c>
      <x:c r="AI1008" s="34" t="str">
        <x:v>3.446647212967946e-06</x:v>
      </x:c>
      <x:c r="AJ1008" s="40" t="b">
        <x:v>1</x:v>
      </x:c>
      <x:c r="AK1008" s="40" t="b">
        <x:v>1</x:v>
      </x:c>
      <x:c r="AL1008" s="40" t="b">
        <x:v>1</x:v>
      </x:c>
      <x:c r="AM1008" s="40" t="b">
        <x:v>1</x:v>
      </x:c>
      <x:c r="AN1008" s="34" t="str"/>
      <x:c r="AO1008" s="34" t="n">
        <x:v>0</x:v>
      </x:c>
      <x:c r="AP1008" s="34" t="n">
        <x:v>0</x:v>
      </x:c>
      <x:c r="AQ1008" s="34" t="n">
        <x:v>0</x:v>
      </x:c>
      <x:c r="AR1008" s="34" t="n">
        <x:v>2</x:v>
      </x:c>
      <x:c r="AS1008" s="34" t="n">
        <x:v>2</x:v>
      </x:c>
      <x:c r="AT1008" s="34" t="n">
        <x:v>0.47641018879999986</x:v>
      </x:c>
      <x:c r="AU1008" s="34" t="n">
        <x:v>0.65</x:v>
      </x:c>
      <x:c r="AV1008" s="34" t="n">
        <x:v>2.16</x:v>
      </x:c>
    </x:row>
    <x:row r="1009">
      <x:c r="A1009" s="34" t="str">
        <x:v>NIPPON_STEEL_JP</x:v>
      </x:c>
      <x:c r="B1009" s="34" t="str">
        <x:v>Nippon Steel</x:v>
      </x:c>
      <x:c r="C1009" s="34" t="str">
        <x:v>ACCELERATED_15C</x:v>
      </x:c>
      <x:c r="D1009" s="34" t="str">
        <x:v>P2</x:v>
      </x:c>
      <x:c r="E1009" s="34" t="n">
        <x:v>2028</x:v>
      </x:c>
      <x:c r="F1009" s="34" t="n">
        <x:v>0</x:v>
      </x:c>
      <x:c r="G1009" s="34" t="n">
        <x:v>0</x:v>
      </x:c>
      <x:c r="H1009" s="34" t="n">
        <x:v>11.5</x:v>
      </x:c>
      <x:c r="I1009" s="34" t="n">
        <x:v>11.5</x:v>
      </x:c>
      <x:c r="J1009" s="34" t="n">
        <x:v>0</x:v>
      </x:c>
      <x:c r="K1009" s="34" t="n">
        <x:v>0</x:v>
      </x:c>
      <x:c r="L1009" s="34" t="n">
        <x:v>0.5</x:v>
      </x:c>
      <x:c r="M1009" s="34" t="n">
        <x:v>0.5</x:v>
      </x:c>
      <x:c r="N1009" s="34" t="n">
        <x:v>0</x:v>
      </x:c>
      <x:c r="O1009" s="34" t="n">
        <x:v>0</x:v>
      </x:c>
      <x:c r="P1009" s="34" t="n">
        <x:v>6</x:v>
      </x:c>
      <x:c r="Q1009" s="34" t="n">
        <x:v>6</x:v>
      </x:c>
      <x:c r="R1009" s="34" t="n">
        <x:v>0</x:v>
      </x:c>
      <x:c r="S1009" s="40" t="b">
        <x:v>1</x:v>
      </x:c>
      <x:c r="T1009" s="34" t="str">
        <x:v>model_interpolation</x:v>
      </x:c>
      <x:c r="U1009" s="34" t="str">
        <x:v>Linear interpolation from 2026 to 2030</x:v>
      </x:c>
      <x:c r="V1009" s="34" t="str">
        <x:v>CAND-F6184286A4322F</x:v>
      </x:c>
      <x:c r="W1009" s="34" t="str">
        <x:v>P2</x:v>
      </x:c>
      <x:c r="X1009" s="34" t="str">
        <x:v>PORT-6742936593A9</x:v>
      </x:c>
      <x:c r="Y1009" s="34" t="n">
        <x:v>1000</x:v>
      </x:c>
      <x:c r="Z1009" s="34" t="n">
        <x:v>73.8519</x:v>
      </x:c>
      <x:c r="AA1009" s="34" t="n">
        <x:v>23.844211</x:v>
      </x:c>
      <x:c r="AB1009" s="34" t="n">
        <x:v>454.753949</x:v>
      </x:c>
      <x:c r="AC1009" s="34" t="n">
        <x:v>32776.213</x:v>
      </x:c>
      <x:c r="AD1009" s="34" t="n">
        <x:v>72.074609</x:v>
      </x:c>
      <x:c r="AE1009" s="40" t="b">
        <x:v>1</x:v>
      </x:c>
      <x:c r="AF1009" s="40" t="b">
        <x:v>1</x:v>
      </x:c>
      <x:c r="AG1009" s="34" t="str"/>
      <x:c r="AH1009" s="34" t="n">
        <x:v>0</x:v>
      </x:c>
      <x:c r="AI1009" s="34" t="str">
        <x:v>3.446647212967946e-06</x:v>
      </x:c>
      <x:c r="AJ1009" s="40" t="b">
        <x:v>1</x:v>
      </x:c>
      <x:c r="AK1009" s="40" t="b">
        <x:v>1</x:v>
      </x:c>
      <x:c r="AL1009" s="40" t="b">
        <x:v>1</x:v>
      </x:c>
      <x:c r="AM1009" s="40" t="b">
        <x:v>1</x:v>
      </x:c>
      <x:c r="AN1009" s="34" t="str"/>
      <x:c r="AO1009" s="34" t="n">
        <x:v>0</x:v>
      </x:c>
      <x:c r="AP1009" s="34" t="n">
        <x:v>0</x:v>
      </x:c>
      <x:c r="AQ1009" s="34" t="n">
        <x:v>0</x:v>
      </x:c>
      <x:c r="AR1009" s="34" t="n">
        <x:v>2</x:v>
      </x:c>
      <x:c r="AS1009" s="34" t="n">
        <x:v>2</x:v>
      </x:c>
      <x:c r="AT1009" s="34" t="n">
        <x:v>0.47641018879999986</x:v>
      </x:c>
      <x:c r="AU1009" s="34" t="n">
        <x:v>0.65</x:v>
      </x:c>
      <x:c r="AV1009" s="34" t="n">
        <x:v>2.16</x:v>
      </x:c>
    </x:row>
    <x:row r="1010">
      <x:c r="A1010" s="34" t="str">
        <x:v>NIPPON_STEEL_JP</x:v>
      </x:c>
      <x:c r="B1010" s="34" t="str">
        <x:v>Nippon Steel</x:v>
      </x:c>
      <x:c r="C1010" s="34" t="str">
        <x:v>ACCELERATED_15C</x:v>
      </x:c>
      <x:c r="D1010" s="34" t="str">
        <x:v>P2</x:v>
      </x:c>
      <x:c r="E1010" s="34" t="n">
        <x:v>2029</x:v>
      </x:c>
      <x:c r="F1010" s="34" t="n">
        <x:v>1</x:v>
      </x:c>
      <x:c r="G1010" s="34" t="n">
        <x:v>8.1</x:v>
      </x:c>
      <x:c r="H1010" s="34" t="n">
        <x:v>13.25</x:v>
      </x:c>
      <x:c r="I1010" s="34" t="n">
        <x:v>5.15</x:v>
      </x:c>
      <x:c r="J1010" s="34" t="n">
        <x:v>61.132</x:v>
      </x:c>
      <x:c r="K1010" s="34" t="n">
        <x:v>0</x:v>
      </x:c>
      <x:c r="L1010" s="34" t="n">
        <x:v>0.7000000000000001</x:v>
      </x:c>
      <x:c r="M1010" s="34" t="n">
        <x:v>0.7</x:v>
      </x:c>
      <x:c r="N1010" s="34" t="n">
        <x:v>0</x:v>
      </x:c>
      <x:c r="O1010" s="34" t="n">
        <x:v>5.04</x:v>
      </x:c>
      <x:c r="P1010" s="34" t="n">
        <x:v>8</x:v>
      </x:c>
      <x:c r="Q1010" s="34" t="n">
        <x:v>2.96</x:v>
      </x:c>
      <x:c r="R1010" s="34" t="n">
        <x:v>63</x:v>
      </x:c>
      <x:c r="S1010" s="40" t="b">
        <x:v>1</x:v>
      </x:c>
      <x:c r="T1010" s="34" t="str">
        <x:v>model_interpolation</x:v>
      </x:c>
      <x:c r="U1010" s="34" t="str">
        <x:v>Linear interpolation from 2026 to 2030</x:v>
      </x:c>
      <x:c r="V1010" s="34" t="str">
        <x:v>CAND-F6184286A4322F</x:v>
      </x:c>
      <x:c r="W1010" s="34" t="str">
        <x:v>P2</x:v>
      </x:c>
      <x:c r="X1010" s="34" t="str">
        <x:v>PORT-6742936593A9</x:v>
      </x:c>
      <x:c r="Y1010" s="34" t="n">
        <x:v>1000</x:v>
      </x:c>
      <x:c r="Z1010" s="34" t="n">
        <x:v>73.8519</x:v>
      </x:c>
      <x:c r="AA1010" s="34" t="n">
        <x:v>23.844211</x:v>
      </x:c>
      <x:c r="AB1010" s="34" t="n">
        <x:v>454.753949</x:v>
      </x:c>
      <x:c r="AC1010" s="34" t="n">
        <x:v>32776.213</x:v>
      </x:c>
      <x:c r="AD1010" s="34" t="n">
        <x:v>72.074609</x:v>
      </x:c>
      <x:c r="AE1010" s="40" t="b">
        <x:v>1</x:v>
      </x:c>
      <x:c r="AF1010" s="40" t="b">
        <x:v>1</x:v>
      </x:c>
      <x:c r="AG1010" s="34" t="str"/>
      <x:c r="AH1010" s="34" t="n">
        <x:v>0</x:v>
      </x:c>
      <x:c r="AI1010" s="34" t="str">
        <x:v>3.446647212967946e-06</x:v>
      </x:c>
      <x:c r="AJ1010" s="40" t="b">
        <x:v>1</x:v>
      </x:c>
      <x:c r="AK1010" s="40" t="b">
        <x:v>1</x:v>
      </x:c>
      <x:c r="AL1010" s="40" t="b">
        <x:v>1</x:v>
      </x:c>
      <x:c r="AM1010" s="40" t="b">
        <x:v>1</x:v>
      </x:c>
      <x:c r="AN1010" s="34" t="str"/>
      <x:c r="AO1010" s="34" t="n">
        <x:v>0</x:v>
      </x:c>
      <x:c r="AP1010" s="34" t="n">
        <x:v>0</x:v>
      </x:c>
      <x:c r="AQ1010" s="34" t="n">
        <x:v>0</x:v>
      </x:c>
      <x:c r="AR1010" s="34" t="n">
        <x:v>2</x:v>
      </x:c>
      <x:c r="AS1010" s="34" t="n">
        <x:v>2</x:v>
      </x:c>
      <x:c r="AT1010" s="34" t="n">
        <x:v>0.47641018879999986</x:v>
      </x:c>
      <x:c r="AU1010" s="34" t="n">
        <x:v>0.65</x:v>
      </x:c>
      <x:c r="AV1010" s="34" t="n">
        <x:v>2.16</x:v>
      </x:c>
    </x:row>
    <x:row r="1011">
      <x:c r="A1011" s="34" t="str">
        <x:v>NIPPON_STEEL_JP</x:v>
      </x:c>
      <x:c r="B1011" s="34" t="str">
        <x:v>Nippon Steel</x:v>
      </x:c>
      <x:c r="C1011" s="34" t="str">
        <x:v>ACCELERATED_15C</x:v>
      </x:c>
      <x:c r="D1011" s="34" t="str">
        <x:v>P2</x:v>
      </x:c>
      <x:c r="E1011" s="34" t="n">
        <x:v>2030</x:v>
      </x:c>
      <x:c r="F1011" s="34" t="n">
        <x:v>1</x:v>
      </x:c>
      <x:c r="G1011" s="34" t="n">
        <x:v>8.1</x:v>
      </x:c>
      <x:c r="H1011" s="34" t="n">
        <x:v>15</x:v>
      </x:c>
      <x:c r="I1011" s="34" t="n">
        <x:v>6.9</x:v>
      </x:c>
      <x:c r="J1011" s="34" t="n">
        <x:v>54</x:v>
      </x:c>
      <x:c r="K1011" s="34" t="n">
        <x:v>0</x:v>
      </x:c>
      <x:c r="L1011" s="34" t="n">
        <x:v>0.9</x:v>
      </x:c>
      <x:c r="M1011" s="34" t="n">
        <x:v>0.9</x:v>
      </x:c>
      <x:c r="N1011" s="34" t="n">
        <x:v>0</x:v>
      </x:c>
      <x:c r="O1011" s="34" t="n">
        <x:v>5.04</x:v>
      </x:c>
      <x:c r="P1011" s="34" t="n">
        <x:v>10</x:v>
      </x:c>
      <x:c r="Q1011" s="34" t="n">
        <x:v>4.96</x:v>
      </x:c>
      <x:c r="R1011" s="34" t="n">
        <x:v>50.4</x:v>
      </x:c>
      <x:c r="S1011" s="40" t="b">
        <x:v>1</x:v>
      </x:c>
      <x:c r="T1011" s="34" t="str">
        <x:v>model_interpolation</x:v>
      </x:c>
      <x:c r="U1011" s="34" t="str">
        <x:v>Linear interpolation from 2030 to 2035</x:v>
      </x:c>
      <x:c r="V1011" s="34" t="str">
        <x:v>CAND-F6184286A4322F</x:v>
      </x:c>
      <x:c r="W1011" s="34" t="str">
        <x:v>P2</x:v>
      </x:c>
      <x:c r="X1011" s="34" t="str">
        <x:v>PORT-6742936593A9</x:v>
      </x:c>
      <x:c r="Y1011" s="34" t="n">
        <x:v>1000</x:v>
      </x:c>
      <x:c r="Z1011" s="34" t="n">
        <x:v>73.8519</x:v>
      </x:c>
      <x:c r="AA1011" s="34" t="n">
        <x:v>23.844211</x:v>
      </x:c>
      <x:c r="AB1011" s="34" t="n">
        <x:v>454.753949</x:v>
      </x:c>
      <x:c r="AC1011" s="34" t="n">
        <x:v>32776.213</x:v>
      </x:c>
      <x:c r="AD1011" s="34" t="n">
        <x:v>72.074609</x:v>
      </x:c>
      <x:c r="AE1011" s="40" t="b">
        <x:v>1</x:v>
      </x:c>
      <x:c r="AF1011" s="40" t="b">
        <x:v>1</x:v>
      </x:c>
      <x:c r="AG1011" s="34" t="str"/>
      <x:c r="AH1011" s="34" t="n">
        <x:v>0</x:v>
      </x:c>
      <x:c r="AI1011" s="34" t="str">
        <x:v>3.446647212967946e-06</x:v>
      </x:c>
      <x:c r="AJ1011" s="40" t="b">
        <x:v>1</x:v>
      </x:c>
      <x:c r="AK1011" s="40" t="b">
        <x:v>1</x:v>
      </x:c>
      <x:c r="AL1011" s="40" t="b">
        <x:v>1</x:v>
      </x:c>
      <x:c r="AM1011" s="40" t="b">
        <x:v>1</x:v>
      </x:c>
      <x:c r="AN1011" s="34" t="str"/>
      <x:c r="AO1011" s="34" t="n">
        <x:v>0</x:v>
      </x:c>
      <x:c r="AP1011" s="34" t="n">
        <x:v>0</x:v>
      </x:c>
      <x:c r="AQ1011" s="34" t="n">
        <x:v>0</x:v>
      </x:c>
      <x:c r="AR1011" s="34" t="n">
        <x:v>2</x:v>
      </x:c>
      <x:c r="AS1011" s="34" t="n">
        <x:v>2</x:v>
      </x:c>
      <x:c r="AT1011" s="34" t="n">
        <x:v>0.47641018879999986</x:v>
      </x:c>
      <x:c r="AU1011" s="34" t="n">
        <x:v>0.65</x:v>
      </x:c>
      <x:c r="AV1011" s="34" t="n">
        <x:v>2.16</x:v>
      </x:c>
    </x:row>
    <x:row r="1012">
      <x:c r="A1012" s="34" t="str">
        <x:v>NIPPON_STEEL_JP</x:v>
      </x:c>
      <x:c r="B1012" s="34" t="str">
        <x:v>Nippon Steel</x:v>
      </x:c>
      <x:c r="C1012" s="34" t="str">
        <x:v>ACCELERATED_15C</x:v>
      </x:c>
      <x:c r="D1012" s="34" t="str">
        <x:v>P2</x:v>
      </x:c>
      <x:c r="E1012" s="34" t="n">
        <x:v>2031</x:v>
      </x:c>
      <x:c r="F1012" s="34" t="n">
        <x:v>1</x:v>
      </x:c>
      <x:c r="G1012" s="34" t="n">
        <x:v>8.1</x:v>
      </x:c>
      <x:c r="H1012" s="34" t="n">
        <x:v>16.6</x:v>
      </x:c>
      <x:c r="I1012" s="34" t="n">
        <x:v>8.5</x:v>
      </x:c>
      <x:c r="J1012" s="34" t="n">
        <x:v>48.795</x:v>
      </x:c>
      <x:c r="K1012" s="34" t="n">
        <x:v>0</x:v>
      </x:c>
      <x:c r="L1012" s="34" t="n">
        <x:v>1.2200000000000002</x:v>
      </x:c>
      <x:c r="M1012" s="34" t="n">
        <x:v>1.22</x:v>
      </x:c>
      <x:c r="N1012" s="34" t="n">
        <x:v>0</x:v>
      </x:c>
      <x:c r="O1012" s="34" t="n">
        <x:v>5.04</x:v>
      </x:c>
      <x:c r="P1012" s="34" t="n">
        <x:v>12</x:v>
      </x:c>
      <x:c r="Q1012" s="34" t="n">
        <x:v>6.96</x:v>
      </x:c>
      <x:c r="R1012" s="34" t="n">
        <x:v>42</x:v>
      </x:c>
      <x:c r="S1012" s="40" t="b">
        <x:v>1</x:v>
      </x:c>
      <x:c r="T1012" s="34" t="str">
        <x:v>model_interpolation</x:v>
      </x:c>
      <x:c r="U1012" s="34" t="str">
        <x:v>Linear interpolation from 2030 to 2035</x:v>
      </x:c>
      <x:c r="V1012" s="34" t="str">
        <x:v>CAND-F6184286A4322F</x:v>
      </x:c>
      <x:c r="W1012" s="34" t="str">
        <x:v>P2</x:v>
      </x:c>
      <x:c r="X1012" s="34" t="str">
        <x:v>PORT-6742936593A9</x:v>
      </x:c>
      <x:c r="Y1012" s="34" t="n">
        <x:v>1000</x:v>
      </x:c>
      <x:c r="Z1012" s="34" t="n">
        <x:v>73.8519</x:v>
      </x:c>
      <x:c r="AA1012" s="34" t="n">
        <x:v>23.844211</x:v>
      </x:c>
      <x:c r="AB1012" s="34" t="n">
        <x:v>454.753949</x:v>
      </x:c>
      <x:c r="AC1012" s="34" t="n">
        <x:v>32776.213</x:v>
      </x:c>
      <x:c r="AD1012" s="34" t="n">
        <x:v>72.074609</x:v>
      </x:c>
      <x:c r="AE1012" s="40" t="b">
        <x:v>1</x:v>
      </x:c>
      <x:c r="AF1012" s="40" t="b">
        <x:v>1</x:v>
      </x:c>
      <x:c r="AG1012" s="34" t="str"/>
      <x:c r="AH1012" s="34" t="n">
        <x:v>0</x:v>
      </x:c>
      <x:c r="AI1012" s="34" t="str">
        <x:v>3.446647212967946e-06</x:v>
      </x:c>
      <x:c r="AJ1012" s="40" t="b">
        <x:v>1</x:v>
      </x:c>
      <x:c r="AK1012" s="40" t="b">
        <x:v>1</x:v>
      </x:c>
      <x:c r="AL1012" s="40" t="b">
        <x:v>1</x:v>
      </x:c>
      <x:c r="AM1012" s="40" t="b">
        <x:v>1</x:v>
      </x:c>
      <x:c r="AN1012" s="34" t="str"/>
      <x:c r="AO1012" s="34" t="n">
        <x:v>0</x:v>
      </x:c>
      <x:c r="AP1012" s="34" t="n">
        <x:v>0</x:v>
      </x:c>
      <x:c r="AQ1012" s="34" t="n">
        <x:v>0</x:v>
      </x:c>
      <x:c r="AR1012" s="34" t="n">
        <x:v>2</x:v>
      </x:c>
      <x:c r="AS1012" s="34" t="n">
        <x:v>2</x:v>
      </x:c>
      <x:c r="AT1012" s="34" t="n">
        <x:v>0.47641018879999986</x:v>
      </x:c>
      <x:c r="AU1012" s="34" t="n">
        <x:v>0.65</x:v>
      </x:c>
      <x:c r="AV1012" s="34" t="n">
        <x:v>2.16</x:v>
      </x:c>
    </x:row>
    <x:row r="1013">
      <x:c r="A1013" s="34" t="str">
        <x:v>NIPPON_STEEL_JP</x:v>
      </x:c>
      <x:c r="B1013" s="34" t="str">
        <x:v>Nippon Steel</x:v>
      </x:c>
      <x:c r="C1013" s="34" t="str">
        <x:v>ACCELERATED_15C</x:v>
      </x:c>
      <x:c r="D1013" s="34" t="str">
        <x:v>P2</x:v>
      </x:c>
      <x:c r="E1013" s="34" t="n">
        <x:v>2032</x:v>
      </x:c>
      <x:c r="F1013" s="34" t="n">
        <x:v>2</x:v>
      </x:c>
      <x:c r="G1013" s="34" t="n">
        <x:v>13.679998</x:v>
      </x:c>
      <x:c r="H1013" s="34" t="n">
        <x:v>18.2</x:v>
      </x:c>
      <x:c r="I1013" s="34" t="n">
        <x:v>4.520002</x:v>
      </x:c>
      <x:c r="J1013" s="34" t="n">
        <x:v>75.165</x:v>
      </x:c>
      <x:c r="K1013" s="34" t="n">
        <x:v>0</x:v>
      </x:c>
      <x:c r="L1013" s="34" t="n">
        <x:v>1.54</x:v>
      </x:c>
      <x:c r="M1013" s="34" t="n">
        <x:v>1.54</x:v>
      </x:c>
      <x:c r="N1013" s="34" t="n">
        <x:v>0</x:v>
      </x:c>
      <x:c r="O1013" s="34" t="n">
        <x:v>8.511999</x:v>
      </x:c>
      <x:c r="P1013" s="34" t="n">
        <x:v>14</x:v>
      </x:c>
      <x:c r="Q1013" s="34" t="n">
        <x:v>5.488001</x:v>
      </x:c>
      <x:c r="R1013" s="34" t="n">
        <x:v>60.8</x:v>
      </x:c>
      <x:c r="S1013" s="40" t="b">
        <x:v>1</x:v>
      </x:c>
      <x:c r="T1013" s="34" t="str">
        <x:v>model_interpolation</x:v>
      </x:c>
      <x:c r="U1013" s="34" t="str">
        <x:v>Linear interpolation from 2030 to 2035</x:v>
      </x:c>
      <x:c r="V1013" s="34" t="str">
        <x:v>CAND-F6184286A4322F</x:v>
      </x:c>
      <x:c r="W1013" s="34" t="str">
        <x:v>P2</x:v>
      </x:c>
      <x:c r="X1013" s="34" t="str">
        <x:v>PORT-6742936593A9</x:v>
      </x:c>
      <x:c r="Y1013" s="34" t="n">
        <x:v>1000</x:v>
      </x:c>
      <x:c r="Z1013" s="34" t="n">
        <x:v>73.8519</x:v>
      </x:c>
      <x:c r="AA1013" s="34" t="n">
        <x:v>23.844211</x:v>
      </x:c>
      <x:c r="AB1013" s="34" t="n">
        <x:v>454.753949</x:v>
      </x:c>
      <x:c r="AC1013" s="34" t="n">
        <x:v>32776.213</x:v>
      </x:c>
      <x:c r="AD1013" s="34" t="n">
        <x:v>72.074609</x:v>
      </x:c>
      <x:c r="AE1013" s="40" t="b">
        <x:v>1</x:v>
      </x:c>
      <x:c r="AF1013" s="40" t="b">
        <x:v>1</x:v>
      </x:c>
      <x:c r="AG1013" s="34" t="str"/>
      <x:c r="AH1013" s="34" t="n">
        <x:v>0</x:v>
      </x:c>
      <x:c r="AI1013" s="34" t="str">
        <x:v>3.446647212967946e-06</x:v>
      </x:c>
      <x:c r="AJ1013" s="40" t="b">
        <x:v>1</x:v>
      </x:c>
      <x:c r="AK1013" s="40" t="b">
        <x:v>1</x:v>
      </x:c>
      <x:c r="AL1013" s="40" t="b">
        <x:v>1</x:v>
      </x:c>
      <x:c r="AM1013" s="40" t="b">
        <x:v>1</x:v>
      </x:c>
      <x:c r="AN1013" s="34" t="str"/>
      <x:c r="AO1013" s="34" t="n">
        <x:v>0</x:v>
      </x:c>
      <x:c r="AP1013" s="34" t="n">
        <x:v>0</x:v>
      </x:c>
      <x:c r="AQ1013" s="34" t="n">
        <x:v>0</x:v>
      </x:c>
      <x:c r="AR1013" s="34" t="n">
        <x:v>2</x:v>
      </x:c>
      <x:c r="AS1013" s="34" t="n">
        <x:v>2</x:v>
      </x:c>
      <x:c r="AT1013" s="34" t="n">
        <x:v>0.47641018879999986</x:v>
      </x:c>
      <x:c r="AU1013" s="34" t="n">
        <x:v>0.65</x:v>
      </x:c>
      <x:c r="AV1013" s="34" t="n">
        <x:v>2.16</x:v>
      </x:c>
    </x:row>
    <x:row r="1014">
      <x:c r="A1014" s="34" t="str">
        <x:v>NIPPON_STEEL_JP</x:v>
      </x:c>
      <x:c r="B1014" s="34" t="str">
        <x:v>Nippon Steel</x:v>
      </x:c>
      <x:c r="C1014" s="34" t="str">
        <x:v>ACCELERATED_15C</x:v>
      </x:c>
      <x:c r="D1014" s="34" t="str">
        <x:v>P2</x:v>
      </x:c>
      <x:c r="E1014" s="34" t="n">
        <x:v>2033</x:v>
      </x:c>
      <x:c r="F1014" s="34" t="n">
        <x:v>2</x:v>
      </x:c>
      <x:c r="G1014" s="34" t="n">
        <x:v>13.679998</x:v>
      </x:c>
      <x:c r="H1014" s="34" t="n">
        <x:v>19.8</x:v>
      </x:c>
      <x:c r="I1014" s="34" t="n">
        <x:v>6.120002</x:v>
      </x:c>
      <x:c r="J1014" s="34" t="n">
        <x:v>69.091</x:v>
      </x:c>
      <x:c r="K1014" s="34" t="n">
        <x:v>0</x:v>
      </x:c>
      <x:c r="L1014" s="34" t="n">
        <x:v>1.8599999999999999</x:v>
      </x:c>
      <x:c r="M1014" s="34" t="n">
        <x:v>1.86</x:v>
      </x:c>
      <x:c r="N1014" s="34" t="n">
        <x:v>0</x:v>
      </x:c>
      <x:c r="O1014" s="34" t="n">
        <x:v>8.511999</x:v>
      </x:c>
      <x:c r="P1014" s="34" t="n">
        <x:v>16</x:v>
      </x:c>
      <x:c r="Q1014" s="34" t="n">
        <x:v>7.488001</x:v>
      </x:c>
      <x:c r="R1014" s="34" t="n">
        <x:v>53.2</x:v>
      </x:c>
      <x:c r="S1014" s="40" t="b">
        <x:v>1</x:v>
      </x:c>
      <x:c r="T1014" s="34" t="str">
        <x:v>model_interpolation</x:v>
      </x:c>
      <x:c r="U1014" s="34" t="str">
        <x:v>Linear interpolation from 2030 to 2035</x:v>
      </x:c>
      <x:c r="V1014" s="34" t="str">
        <x:v>CAND-F6184286A4322F</x:v>
      </x:c>
      <x:c r="W1014" s="34" t="str">
        <x:v>P2</x:v>
      </x:c>
      <x:c r="X1014" s="34" t="str">
        <x:v>PORT-6742936593A9</x:v>
      </x:c>
      <x:c r="Y1014" s="34" t="n">
        <x:v>1000</x:v>
      </x:c>
      <x:c r="Z1014" s="34" t="n">
        <x:v>73.8519</x:v>
      </x:c>
      <x:c r="AA1014" s="34" t="n">
        <x:v>23.844211</x:v>
      </x:c>
      <x:c r="AB1014" s="34" t="n">
        <x:v>454.753949</x:v>
      </x:c>
      <x:c r="AC1014" s="34" t="n">
        <x:v>32776.213</x:v>
      </x:c>
      <x:c r="AD1014" s="34" t="n">
        <x:v>72.074609</x:v>
      </x:c>
      <x:c r="AE1014" s="40" t="b">
        <x:v>1</x:v>
      </x:c>
      <x:c r="AF1014" s="40" t="b">
        <x:v>1</x:v>
      </x:c>
      <x:c r="AG1014" s="34" t="str"/>
      <x:c r="AH1014" s="34" t="n">
        <x:v>0</x:v>
      </x:c>
      <x:c r="AI1014" s="34" t="str">
        <x:v>3.446647212967946e-06</x:v>
      </x:c>
      <x:c r="AJ1014" s="40" t="b">
        <x:v>1</x:v>
      </x:c>
      <x:c r="AK1014" s="40" t="b">
        <x:v>1</x:v>
      </x:c>
      <x:c r="AL1014" s="40" t="b">
        <x:v>1</x:v>
      </x:c>
      <x:c r="AM1014" s="40" t="b">
        <x:v>1</x:v>
      </x:c>
      <x:c r="AN1014" s="34" t="str"/>
      <x:c r="AO1014" s="34" t="n">
        <x:v>0</x:v>
      </x:c>
      <x:c r="AP1014" s="34" t="n">
        <x:v>0</x:v>
      </x:c>
      <x:c r="AQ1014" s="34" t="n">
        <x:v>0</x:v>
      </x:c>
      <x:c r="AR1014" s="34" t="n">
        <x:v>2</x:v>
      </x:c>
      <x:c r="AS1014" s="34" t="n">
        <x:v>2</x:v>
      </x:c>
      <x:c r="AT1014" s="34" t="n">
        <x:v>0.47641018879999986</x:v>
      </x:c>
      <x:c r="AU1014" s="34" t="n">
        <x:v>0.65</x:v>
      </x:c>
      <x:c r="AV1014" s="34" t="n">
        <x:v>2.16</x:v>
      </x:c>
    </x:row>
    <x:row r="1015">
      <x:c r="A1015" s="34" t="str">
        <x:v>NIPPON_STEEL_JP</x:v>
      </x:c>
      <x:c r="B1015" s="34" t="str">
        <x:v>Nippon Steel</x:v>
      </x:c>
      <x:c r="C1015" s="34" t="str">
        <x:v>ACCELERATED_15C</x:v>
      </x:c>
      <x:c r="D1015" s="34" t="str">
        <x:v>P2</x:v>
      </x:c>
      <x:c r="E1015" s="34" t="n">
        <x:v>2034</x:v>
      </x:c>
      <x:c r="F1015" s="34" t="n">
        <x:v>3</x:v>
      </x:c>
      <x:c r="G1015" s="34" t="n">
        <x:v>14.759998</x:v>
      </x:c>
      <x:c r="H1015" s="34" t="n">
        <x:v>21.4</x:v>
      </x:c>
      <x:c r="I1015" s="34" t="n">
        <x:v>6.640002</x:v>
      </x:c>
      <x:c r="J1015" s="34" t="n">
        <x:v>68.972</x:v>
      </x:c>
      <x:c r="K1015" s="34" t="n">
        <x:v>0.396</x:v>
      </x:c>
      <x:c r="L1015" s="34" t="n">
        <x:v>2.18</x:v>
      </x:c>
      <x:c r="M1015" s="34" t="n">
        <x:v>1.784</x:v>
      </x:c>
      <x:c r="N1015" s="34" t="n">
        <x:v>18.165</x:v>
      </x:c>
      <x:c r="O1015" s="34" t="n">
        <x:v>11.823999</x:v>
      </x:c>
      <x:c r="P1015" s="34" t="n">
        <x:v>18</x:v>
      </x:c>
      <x:c r="Q1015" s="34" t="n">
        <x:v>6.176001</x:v>
      </x:c>
      <x:c r="R1015" s="34" t="n">
        <x:v>65.689</x:v>
      </x:c>
      <x:c r="S1015" s="40" t="b">
        <x:v>1</x:v>
      </x:c>
      <x:c r="T1015" s="34" t="str">
        <x:v>model_interpolation</x:v>
      </x:c>
      <x:c r="U1015" s="34" t="str">
        <x:v>Linear interpolation from 2030 to 2035</x:v>
      </x:c>
      <x:c r="V1015" s="34" t="str">
        <x:v>CAND-F6184286A4322F</x:v>
      </x:c>
      <x:c r="W1015" s="34" t="str">
        <x:v>P2</x:v>
      </x:c>
      <x:c r="X1015" s="34" t="str">
        <x:v>PORT-6742936593A9</x:v>
      </x:c>
      <x:c r="Y1015" s="34" t="n">
        <x:v>1000</x:v>
      </x:c>
      <x:c r="Z1015" s="34" t="n">
        <x:v>73.8519</x:v>
      </x:c>
      <x:c r="AA1015" s="34" t="n">
        <x:v>23.844211</x:v>
      </x:c>
      <x:c r="AB1015" s="34" t="n">
        <x:v>454.753949</x:v>
      </x:c>
      <x:c r="AC1015" s="34" t="n">
        <x:v>32776.213</x:v>
      </x:c>
      <x:c r="AD1015" s="34" t="n">
        <x:v>72.074609</x:v>
      </x:c>
      <x:c r="AE1015" s="40" t="b">
        <x:v>1</x:v>
      </x:c>
      <x:c r="AF1015" s="40" t="b">
        <x:v>1</x:v>
      </x:c>
      <x:c r="AG1015" s="34" t="str"/>
      <x:c r="AH1015" s="34" t="n">
        <x:v>0</x:v>
      </x:c>
      <x:c r="AI1015" s="34" t="str">
        <x:v>3.446647212967946e-06</x:v>
      </x:c>
      <x:c r="AJ1015" s="40" t="b">
        <x:v>1</x:v>
      </x:c>
      <x:c r="AK1015" s="40" t="b">
        <x:v>1</x:v>
      </x:c>
      <x:c r="AL1015" s="40" t="b">
        <x:v>1</x:v>
      </x:c>
      <x:c r="AM1015" s="40" t="b">
        <x:v>1</x:v>
      </x:c>
      <x:c r="AN1015" s="34" t="str"/>
      <x:c r="AO1015" s="34" t="n">
        <x:v>0</x:v>
      </x:c>
      <x:c r="AP1015" s="34" t="n">
        <x:v>0</x:v>
      </x:c>
      <x:c r="AQ1015" s="34" t="n">
        <x:v>0</x:v>
      </x:c>
      <x:c r="AR1015" s="34" t="n">
        <x:v>2</x:v>
      </x:c>
      <x:c r="AS1015" s="34" t="n">
        <x:v>2</x:v>
      </x:c>
      <x:c r="AT1015" s="34" t="n">
        <x:v>0.47641018879999986</x:v>
      </x:c>
      <x:c r="AU1015" s="34" t="n">
        <x:v>0.65</x:v>
      </x:c>
      <x:c r="AV1015" s="34" t="n">
        <x:v>2.16</x:v>
      </x:c>
    </x:row>
    <x:row r="1016">
      <x:c r="A1016" s="34" t="str">
        <x:v>NIPPON_STEEL_JP</x:v>
      </x:c>
      <x:c r="B1016" s="34" t="str">
        <x:v>Nippon Steel</x:v>
      </x:c>
      <x:c r="C1016" s="34" t="str">
        <x:v>ACCELERATED_15C</x:v>
      </x:c>
      <x:c r="D1016" s="34" t="str">
        <x:v>P2</x:v>
      </x:c>
      <x:c r="E1016" s="34" t="n">
        <x:v>2035</x:v>
      </x:c>
      <x:c r="F1016" s="34" t="n">
        <x:v>3</x:v>
      </x:c>
      <x:c r="G1016" s="34" t="n">
        <x:v>14.759998</x:v>
      </x:c>
      <x:c r="H1016" s="34" t="n">
        <x:v>23</x:v>
      </x:c>
      <x:c r="I1016" s="34" t="n">
        <x:v>8.240002</x:v>
      </x:c>
      <x:c r="J1016" s="34" t="n">
        <x:v>64.174</x:v>
      </x:c>
      <x:c r="K1016" s="34" t="n">
        <x:v>0.396</x:v>
      </x:c>
      <x:c r="L1016" s="34" t="n">
        <x:v>2.5</x:v>
      </x:c>
      <x:c r="M1016" s="34" t="n">
        <x:v>2.104</x:v>
      </x:c>
      <x:c r="N1016" s="34" t="n">
        <x:v>15.84</x:v>
      </x:c>
      <x:c r="O1016" s="34" t="n">
        <x:v>11.823999</x:v>
      </x:c>
      <x:c r="P1016" s="34" t="n">
        <x:v>20</x:v>
      </x:c>
      <x:c r="Q1016" s="34" t="n">
        <x:v>8.176001</x:v>
      </x:c>
      <x:c r="R1016" s="34" t="n">
        <x:v>59.12</x:v>
      </x:c>
      <x:c r="S1016" s="40" t="b">
        <x:v>1</x:v>
      </x:c>
      <x:c r="T1016" s="34" t="str">
        <x:v>model_interpolation</x:v>
      </x:c>
      <x:c r="U1016" s="34" t="str">
        <x:v>Linear interpolation from 2035 to 2040</x:v>
      </x:c>
      <x:c r="V1016" s="34" t="str">
        <x:v>CAND-F6184286A4322F</x:v>
      </x:c>
      <x:c r="W1016" s="34" t="str">
        <x:v>P2</x:v>
      </x:c>
      <x:c r="X1016" s="34" t="str">
        <x:v>PORT-6742936593A9</x:v>
      </x:c>
      <x:c r="Y1016" s="34" t="n">
        <x:v>1000</x:v>
      </x:c>
      <x:c r="Z1016" s="34" t="n">
        <x:v>73.8519</x:v>
      </x:c>
      <x:c r="AA1016" s="34" t="n">
        <x:v>23.844211</x:v>
      </x:c>
      <x:c r="AB1016" s="34" t="n">
        <x:v>454.753949</x:v>
      </x:c>
      <x:c r="AC1016" s="34" t="n">
        <x:v>32776.213</x:v>
      </x:c>
      <x:c r="AD1016" s="34" t="n">
        <x:v>72.074609</x:v>
      </x:c>
      <x:c r="AE1016" s="40" t="b">
        <x:v>1</x:v>
      </x:c>
      <x:c r="AF1016" s="40" t="b">
        <x:v>1</x:v>
      </x:c>
      <x:c r="AG1016" s="34" t="str"/>
      <x:c r="AH1016" s="34" t="n">
        <x:v>0</x:v>
      </x:c>
      <x:c r="AI1016" s="34" t="str">
        <x:v>3.446647212967946e-06</x:v>
      </x:c>
      <x:c r="AJ1016" s="40" t="b">
        <x:v>1</x:v>
      </x:c>
      <x:c r="AK1016" s="40" t="b">
        <x:v>1</x:v>
      </x:c>
      <x:c r="AL1016" s="40" t="b">
        <x:v>1</x:v>
      </x:c>
      <x:c r="AM1016" s="40" t="b">
        <x:v>1</x:v>
      </x:c>
      <x:c r="AN1016" s="34" t="str"/>
      <x:c r="AO1016" s="34" t="n">
        <x:v>0</x:v>
      </x:c>
      <x:c r="AP1016" s="34" t="n">
        <x:v>0</x:v>
      </x:c>
      <x:c r="AQ1016" s="34" t="n">
        <x:v>0</x:v>
      </x:c>
      <x:c r="AR1016" s="34" t="n">
        <x:v>2</x:v>
      </x:c>
      <x:c r="AS1016" s="34" t="n">
        <x:v>2</x:v>
      </x:c>
      <x:c r="AT1016" s="34" t="n">
        <x:v>0.47641018879999986</x:v>
      </x:c>
      <x:c r="AU1016" s="34" t="n">
        <x:v>0.65</x:v>
      </x:c>
      <x:c r="AV1016" s="34" t="n">
        <x:v>2.16</x:v>
      </x:c>
    </x:row>
    <x:row r="1017">
      <x:c r="A1017" s="34" t="str">
        <x:v>NIPPON_STEEL_JP</x:v>
      </x:c>
      <x:c r="B1017" s="34" t="str">
        <x:v>Nippon Steel</x:v>
      </x:c>
      <x:c r="C1017" s="34" t="str">
        <x:v>ACCELERATED_15C</x:v>
      </x:c>
      <x:c r="D1017" s="34" t="str">
        <x:v>P2</x:v>
      </x:c>
      <x:c r="E1017" s="34" t="n">
        <x:v>2036</x:v>
      </x:c>
      <x:c r="F1017" s="34" t="n">
        <x:v>4</x:v>
      </x:c>
      <x:c r="G1017" s="34" t="n">
        <x:v>15.599998</x:v>
      </x:c>
      <x:c r="H1017" s="34" t="n">
        <x:v>24.4</x:v>
      </x:c>
      <x:c r="I1017" s="34" t="n">
        <x:v>8.800002</x:v>
      </x:c>
      <x:c r="J1017" s="34" t="n">
        <x:v>63.934</x:v>
      </x:c>
      <x:c r="K1017" s="34" t="n">
        <x:v>0.704</x:v>
      </x:c>
      <x:c r="L1017" s="34" t="n">
        <x:v>2.9</x:v>
      </x:c>
      <x:c r="M1017" s="34" t="n">
        <x:v>2.196</x:v>
      </x:c>
      <x:c r="N1017" s="34" t="n">
        <x:v>24.276</x:v>
      </x:c>
      <x:c r="O1017" s="34" t="n">
        <x:v>14.4</x:v>
      </x:c>
      <x:c r="P1017" s="34" t="n">
        <x:v>22.4</x:v>
      </x:c>
      <x:c r="Q1017" s="34" t="n">
        <x:v>8</x:v>
      </x:c>
      <x:c r="R1017" s="34" t="n">
        <x:v>64.286</x:v>
      </x:c>
      <x:c r="S1017" s="40" t="b">
        <x:v>1</x:v>
      </x:c>
      <x:c r="T1017" s="34" t="str">
        <x:v>model_interpolation</x:v>
      </x:c>
      <x:c r="U1017" s="34" t="str">
        <x:v>Linear interpolation from 2035 to 2040</x:v>
      </x:c>
      <x:c r="V1017" s="34" t="str">
        <x:v>CAND-F6184286A4322F</x:v>
      </x:c>
      <x:c r="W1017" s="34" t="str">
        <x:v>P2</x:v>
      </x:c>
      <x:c r="X1017" s="34" t="str">
        <x:v>PORT-6742936593A9</x:v>
      </x:c>
      <x:c r="Y1017" s="34" t="n">
        <x:v>1000</x:v>
      </x:c>
      <x:c r="Z1017" s="34" t="n">
        <x:v>73.8519</x:v>
      </x:c>
      <x:c r="AA1017" s="34" t="n">
        <x:v>23.844211</x:v>
      </x:c>
      <x:c r="AB1017" s="34" t="n">
        <x:v>454.753949</x:v>
      </x:c>
      <x:c r="AC1017" s="34" t="n">
        <x:v>32776.213</x:v>
      </x:c>
      <x:c r="AD1017" s="34" t="n">
        <x:v>72.074609</x:v>
      </x:c>
      <x:c r="AE1017" s="40" t="b">
        <x:v>1</x:v>
      </x:c>
      <x:c r="AF1017" s="40" t="b">
        <x:v>1</x:v>
      </x:c>
      <x:c r="AG1017" s="34" t="str"/>
      <x:c r="AH1017" s="34" t="n">
        <x:v>0</x:v>
      </x:c>
      <x:c r="AI1017" s="34" t="str">
        <x:v>3.446647212967946e-06</x:v>
      </x:c>
      <x:c r="AJ1017" s="40" t="b">
        <x:v>1</x:v>
      </x:c>
      <x:c r="AK1017" s="40" t="b">
        <x:v>1</x:v>
      </x:c>
      <x:c r="AL1017" s="40" t="b">
        <x:v>1</x:v>
      </x:c>
      <x:c r="AM1017" s="40" t="b">
        <x:v>1</x:v>
      </x:c>
      <x:c r="AN1017" s="34" t="str"/>
      <x:c r="AO1017" s="34" t="n">
        <x:v>0</x:v>
      </x:c>
      <x:c r="AP1017" s="34" t="n">
        <x:v>0</x:v>
      </x:c>
      <x:c r="AQ1017" s="34" t="n">
        <x:v>0</x:v>
      </x:c>
      <x:c r="AR1017" s="34" t="n">
        <x:v>2</x:v>
      </x:c>
      <x:c r="AS1017" s="34" t="n">
        <x:v>2</x:v>
      </x:c>
      <x:c r="AT1017" s="34" t="n">
        <x:v>0.47641018879999986</x:v>
      </x:c>
      <x:c r="AU1017" s="34" t="n">
        <x:v>0.65</x:v>
      </x:c>
      <x:c r="AV1017" s="34" t="n">
        <x:v>2.16</x:v>
      </x:c>
    </x:row>
    <x:row r="1018">
      <x:c r="A1018" s="34" t="str">
        <x:v>NIPPON_STEEL_JP</x:v>
      </x:c>
      <x:c r="B1018" s="34" t="str">
        <x:v>Nippon Steel</x:v>
      </x:c>
      <x:c r="C1018" s="34" t="str">
        <x:v>ACCELERATED_15C</x:v>
      </x:c>
      <x:c r="D1018" s="34" t="str">
        <x:v>P2</x:v>
      </x:c>
      <x:c r="E1018" s="34" t="n">
        <x:v>2037</x:v>
      </x:c>
      <x:c r="F1018" s="34" t="n">
        <x:v>4</x:v>
      </x:c>
      <x:c r="G1018" s="34" t="n">
        <x:v>15.599998</x:v>
      </x:c>
      <x:c r="H1018" s="34" t="n">
        <x:v>25.8</x:v>
      </x:c>
      <x:c r="I1018" s="34" t="n">
        <x:v>10.200002</x:v>
      </x:c>
      <x:c r="J1018" s="34" t="n">
        <x:v>60.465</x:v>
      </x:c>
      <x:c r="K1018" s="34" t="n">
        <x:v>0.704</x:v>
      </x:c>
      <x:c r="L1018" s="34" t="n">
        <x:v>3.3</x:v>
      </x:c>
      <x:c r="M1018" s="34" t="n">
        <x:v>2.596</x:v>
      </x:c>
      <x:c r="N1018" s="34" t="n">
        <x:v>21.333</x:v>
      </x:c>
      <x:c r="O1018" s="34" t="n">
        <x:v>14.4</x:v>
      </x:c>
      <x:c r="P1018" s="34" t="n">
        <x:v>24.8</x:v>
      </x:c>
      <x:c r="Q1018" s="34" t="n">
        <x:v>10.4</x:v>
      </x:c>
      <x:c r="R1018" s="34" t="n">
        <x:v>58.065</x:v>
      </x:c>
      <x:c r="S1018" s="40" t="b">
        <x:v>1</x:v>
      </x:c>
      <x:c r="T1018" s="34" t="str">
        <x:v>model_interpolation</x:v>
      </x:c>
      <x:c r="U1018" s="34" t="str">
        <x:v>Linear interpolation from 2035 to 2040</x:v>
      </x:c>
      <x:c r="V1018" s="34" t="str">
        <x:v>CAND-F6184286A4322F</x:v>
      </x:c>
      <x:c r="W1018" s="34" t="str">
        <x:v>P2</x:v>
      </x:c>
      <x:c r="X1018" s="34" t="str">
        <x:v>PORT-6742936593A9</x:v>
      </x:c>
      <x:c r="Y1018" s="34" t="n">
        <x:v>1000</x:v>
      </x:c>
      <x:c r="Z1018" s="34" t="n">
        <x:v>73.8519</x:v>
      </x:c>
      <x:c r="AA1018" s="34" t="n">
        <x:v>23.844211</x:v>
      </x:c>
      <x:c r="AB1018" s="34" t="n">
        <x:v>454.753949</x:v>
      </x:c>
      <x:c r="AC1018" s="34" t="n">
        <x:v>32776.213</x:v>
      </x:c>
      <x:c r="AD1018" s="34" t="n">
        <x:v>72.074609</x:v>
      </x:c>
      <x:c r="AE1018" s="40" t="b">
        <x:v>1</x:v>
      </x:c>
      <x:c r="AF1018" s="40" t="b">
        <x:v>1</x:v>
      </x:c>
      <x:c r="AG1018" s="34" t="str"/>
      <x:c r="AH1018" s="34" t="n">
        <x:v>0</x:v>
      </x:c>
      <x:c r="AI1018" s="34" t="str">
        <x:v>3.446647212967946e-06</x:v>
      </x:c>
      <x:c r="AJ1018" s="40" t="b">
        <x:v>1</x:v>
      </x:c>
      <x:c r="AK1018" s="40" t="b">
        <x:v>1</x:v>
      </x:c>
      <x:c r="AL1018" s="40" t="b">
        <x:v>1</x:v>
      </x:c>
      <x:c r="AM1018" s="40" t="b">
        <x:v>1</x:v>
      </x:c>
      <x:c r="AN1018" s="34" t="str"/>
      <x:c r="AO1018" s="34" t="n">
        <x:v>0</x:v>
      </x:c>
      <x:c r="AP1018" s="34" t="n">
        <x:v>0</x:v>
      </x:c>
      <x:c r="AQ1018" s="34" t="n">
        <x:v>0</x:v>
      </x:c>
      <x:c r="AR1018" s="34" t="n">
        <x:v>2</x:v>
      </x:c>
      <x:c r="AS1018" s="34" t="n">
        <x:v>2</x:v>
      </x:c>
      <x:c r="AT1018" s="34" t="n">
        <x:v>0.47641018879999986</x:v>
      </x:c>
      <x:c r="AU1018" s="34" t="n">
        <x:v>0.65</x:v>
      </x:c>
      <x:c r="AV1018" s="34" t="n">
        <x:v>2.16</x:v>
      </x:c>
    </x:row>
    <x:row r="1019">
      <x:c r="A1019" s="34" t="str">
        <x:v>NIPPON_STEEL_JP</x:v>
      </x:c>
      <x:c r="B1019" s="34" t="str">
        <x:v>Nippon Steel</x:v>
      </x:c>
      <x:c r="C1019" s="34" t="str">
        <x:v>ACCELERATED_15C</x:v>
      </x:c>
      <x:c r="D1019" s="34" t="str">
        <x:v>P2</x:v>
      </x:c>
      <x:c r="E1019" s="34" t="n">
        <x:v>2038</x:v>
      </x:c>
      <x:c r="F1019" s="34" t="n">
        <x:v>5</x:v>
      </x:c>
      <x:c r="G1019" s="34" t="n">
        <x:v>21.269998</x:v>
      </x:c>
      <x:c r="H1019" s="34" t="n">
        <x:v>27.2</x:v>
      </x:c>
      <x:c r="I1019" s="34" t="n">
        <x:v>5.930002</x:v>
      </x:c>
      <x:c r="J1019" s="34" t="n">
        <x:v>78.199</x:v>
      </x:c>
      <x:c r="K1019" s="34" t="n">
        <x:v>0.704</x:v>
      </x:c>
      <x:c r="L1019" s="34" t="n">
        <x:v>3.7</x:v>
      </x:c>
      <x:c r="M1019" s="34" t="n">
        <x:v>2.996</x:v>
      </x:c>
      <x:c r="N1019" s="34" t="n">
        <x:v>19.027</x:v>
      </x:c>
      <x:c r="O1019" s="34" t="n">
        <x:v>17.928</x:v>
      </x:c>
      <x:c r="P1019" s="34" t="n">
        <x:v>27.2</x:v>
      </x:c>
      <x:c r="Q1019" s="34" t="n">
        <x:v>9.272</x:v>
      </x:c>
      <x:c r="R1019" s="34" t="n">
        <x:v>65.912</x:v>
      </x:c>
      <x:c r="S1019" s="40" t="b">
        <x:v>1</x:v>
      </x:c>
      <x:c r="T1019" s="34" t="str">
        <x:v>model_interpolation</x:v>
      </x:c>
      <x:c r="U1019" s="34" t="str">
        <x:v>Linear interpolation from 2035 to 2040</x:v>
      </x:c>
      <x:c r="V1019" s="34" t="str">
        <x:v>CAND-F6184286A4322F</x:v>
      </x:c>
      <x:c r="W1019" s="34" t="str">
        <x:v>P2</x:v>
      </x:c>
      <x:c r="X1019" s="34" t="str">
        <x:v>PORT-6742936593A9</x:v>
      </x:c>
      <x:c r="Y1019" s="34" t="n">
        <x:v>1000</x:v>
      </x:c>
      <x:c r="Z1019" s="34" t="n">
        <x:v>73.8519</x:v>
      </x:c>
      <x:c r="AA1019" s="34" t="n">
        <x:v>23.844211</x:v>
      </x:c>
      <x:c r="AB1019" s="34" t="n">
        <x:v>454.753949</x:v>
      </x:c>
      <x:c r="AC1019" s="34" t="n">
        <x:v>32776.213</x:v>
      </x:c>
      <x:c r="AD1019" s="34" t="n">
        <x:v>72.074609</x:v>
      </x:c>
      <x:c r="AE1019" s="40" t="b">
        <x:v>1</x:v>
      </x:c>
      <x:c r="AF1019" s="40" t="b">
        <x:v>1</x:v>
      </x:c>
      <x:c r="AG1019" s="34" t="str"/>
      <x:c r="AH1019" s="34" t="n">
        <x:v>0</x:v>
      </x:c>
      <x:c r="AI1019" s="34" t="str">
        <x:v>3.446647212967946e-06</x:v>
      </x:c>
      <x:c r="AJ1019" s="40" t="b">
        <x:v>1</x:v>
      </x:c>
      <x:c r="AK1019" s="40" t="b">
        <x:v>1</x:v>
      </x:c>
      <x:c r="AL1019" s="40" t="b">
        <x:v>1</x:v>
      </x:c>
      <x:c r="AM1019" s="40" t="b">
        <x:v>1</x:v>
      </x:c>
      <x:c r="AN1019" s="34" t="str"/>
      <x:c r="AO1019" s="34" t="n">
        <x:v>0</x:v>
      </x:c>
      <x:c r="AP1019" s="34" t="n">
        <x:v>0</x:v>
      </x:c>
      <x:c r="AQ1019" s="34" t="n">
        <x:v>0</x:v>
      </x:c>
      <x:c r="AR1019" s="34" t="n">
        <x:v>2</x:v>
      </x:c>
      <x:c r="AS1019" s="34" t="n">
        <x:v>2</x:v>
      </x:c>
      <x:c r="AT1019" s="34" t="n">
        <x:v>0.47641018879999986</x:v>
      </x:c>
      <x:c r="AU1019" s="34" t="n">
        <x:v>0.65</x:v>
      </x:c>
      <x:c r="AV1019" s="34" t="n">
        <x:v>2.16</x:v>
      </x:c>
    </x:row>
    <x:row r="1020">
      <x:c r="A1020" s="34" t="str">
        <x:v>NIPPON_STEEL_JP</x:v>
      </x:c>
      <x:c r="B1020" s="34" t="str">
        <x:v>Nippon Steel</x:v>
      </x:c>
      <x:c r="C1020" s="34" t="str">
        <x:v>ACCELERATED_15C</x:v>
      </x:c>
      <x:c r="D1020" s="34" t="str">
        <x:v>P2</x:v>
      </x:c>
      <x:c r="E1020" s="34" t="n">
        <x:v>2039</x:v>
      </x:c>
      <x:c r="F1020" s="34" t="n">
        <x:v>5</x:v>
      </x:c>
      <x:c r="G1020" s="34" t="n">
        <x:v>21.269998</x:v>
      </x:c>
      <x:c r="H1020" s="34" t="n">
        <x:v>28.6</x:v>
      </x:c>
      <x:c r="I1020" s="34" t="n">
        <x:v>7.330002</x:v>
      </x:c>
      <x:c r="J1020" s="34" t="n">
        <x:v>74.371</x:v>
      </x:c>
      <x:c r="K1020" s="34" t="n">
        <x:v>0.704</x:v>
      </x:c>
      <x:c r="L1020" s="34" t="n">
        <x:v>4.1</x:v>
      </x:c>
      <x:c r="M1020" s="34" t="n">
        <x:v>3.396</x:v>
      </x:c>
      <x:c r="N1020" s="34" t="n">
        <x:v>17.171</x:v>
      </x:c>
      <x:c r="O1020" s="34" t="n">
        <x:v>17.928</x:v>
      </x:c>
      <x:c r="P1020" s="34" t="n">
        <x:v>29.6</x:v>
      </x:c>
      <x:c r="Q1020" s="34" t="n">
        <x:v>11.672</x:v>
      </x:c>
      <x:c r="R1020" s="34" t="n">
        <x:v>60.568</x:v>
      </x:c>
      <x:c r="S1020" s="40" t="b">
        <x:v>1</x:v>
      </x:c>
      <x:c r="T1020" s="34" t="str">
        <x:v>model_interpolation</x:v>
      </x:c>
      <x:c r="U1020" s="34" t="str">
        <x:v>Linear interpolation from 2035 to 2040</x:v>
      </x:c>
      <x:c r="V1020" s="34" t="str">
        <x:v>CAND-F6184286A4322F</x:v>
      </x:c>
      <x:c r="W1020" s="34" t="str">
        <x:v>P2</x:v>
      </x:c>
      <x:c r="X1020" s="34" t="str">
        <x:v>PORT-6742936593A9</x:v>
      </x:c>
      <x:c r="Y1020" s="34" t="n">
        <x:v>1000</x:v>
      </x:c>
      <x:c r="Z1020" s="34" t="n">
        <x:v>73.8519</x:v>
      </x:c>
      <x:c r="AA1020" s="34" t="n">
        <x:v>23.844211</x:v>
      </x:c>
      <x:c r="AB1020" s="34" t="n">
        <x:v>454.753949</x:v>
      </x:c>
      <x:c r="AC1020" s="34" t="n">
        <x:v>32776.213</x:v>
      </x:c>
      <x:c r="AD1020" s="34" t="n">
        <x:v>72.074609</x:v>
      </x:c>
      <x:c r="AE1020" s="40" t="b">
        <x:v>1</x:v>
      </x:c>
      <x:c r="AF1020" s="40" t="b">
        <x:v>1</x:v>
      </x:c>
      <x:c r="AG1020" s="34" t="str"/>
      <x:c r="AH1020" s="34" t="n">
        <x:v>0</x:v>
      </x:c>
      <x:c r="AI1020" s="34" t="str">
        <x:v>3.446647212967946e-06</x:v>
      </x:c>
      <x:c r="AJ1020" s="40" t="b">
        <x:v>1</x:v>
      </x:c>
      <x:c r="AK1020" s="40" t="b">
        <x:v>1</x:v>
      </x:c>
      <x:c r="AL1020" s="40" t="b">
        <x:v>1</x:v>
      </x:c>
      <x:c r="AM1020" s="40" t="b">
        <x:v>1</x:v>
      </x:c>
      <x:c r="AN1020" s="34" t="str"/>
      <x:c r="AO1020" s="34" t="n">
        <x:v>0</x:v>
      </x:c>
      <x:c r="AP1020" s="34" t="n">
        <x:v>0</x:v>
      </x:c>
      <x:c r="AQ1020" s="34" t="n">
        <x:v>0</x:v>
      </x:c>
      <x:c r="AR1020" s="34" t="n">
        <x:v>2</x:v>
      </x:c>
      <x:c r="AS1020" s="34" t="n">
        <x:v>2</x:v>
      </x:c>
      <x:c r="AT1020" s="34" t="n">
        <x:v>0.47641018879999986</x:v>
      </x:c>
      <x:c r="AU1020" s="34" t="n">
        <x:v>0.65</x:v>
      </x:c>
      <x:c r="AV1020" s="34" t="n">
        <x:v>2.16</x:v>
      </x:c>
    </x:row>
    <x:row r="1021">
      <x:c r="A1021" s="34" t="str">
        <x:v>NIPPON_STEEL_JP</x:v>
      </x:c>
      <x:c r="B1021" s="34" t="str">
        <x:v>Nippon Steel</x:v>
      </x:c>
      <x:c r="C1021" s="34" t="str">
        <x:v>ACCELERATED_15C</x:v>
      </x:c>
      <x:c r="D1021" s="34" t="str">
        <x:v>P2</x:v>
      </x:c>
      <x:c r="E1021" s="34" t="n">
        <x:v>2040</x:v>
      </x:c>
      <x:c r="F1021" s="34" t="n">
        <x:v>5</x:v>
      </x:c>
      <x:c r="G1021" s="34" t="n">
        <x:v>21.269998</x:v>
      </x:c>
      <x:c r="H1021" s="34" t="n">
        <x:v>30</x:v>
      </x:c>
      <x:c r="I1021" s="34" t="n">
        <x:v>8.730002</x:v>
      </x:c>
      <x:c r="J1021" s="34" t="n">
        <x:v>70.9</x:v>
      </x:c>
      <x:c r="K1021" s="34" t="n">
        <x:v>0.704</x:v>
      </x:c>
      <x:c r="L1021" s="34" t="n">
        <x:v>4.5</x:v>
      </x:c>
      <x:c r="M1021" s="34" t="n">
        <x:v>3.796</x:v>
      </x:c>
      <x:c r="N1021" s="34" t="n">
        <x:v>15.644</x:v>
      </x:c>
      <x:c r="O1021" s="34" t="n">
        <x:v>17.928</x:v>
      </x:c>
      <x:c r="P1021" s="34" t="n">
        <x:v>32</x:v>
      </x:c>
      <x:c r="Q1021" s="34" t="n">
        <x:v>14.072</x:v>
      </x:c>
      <x:c r="R1021" s="34" t="n">
        <x:v>56.025</x:v>
      </x:c>
      <x:c r="S1021" s="40" t="b">
        <x:v>1</x:v>
      </x:c>
      <x:c r="T1021" s="34" t="str">
        <x:v>model_estimate</x:v>
      </x:c>
      <x:c r="U1021" s="34" t="str">
        <x:v>Illustrative accelerated envelope; not GCAM or an official supply forecast</x:v>
      </x:c>
      <x:c r="V1021" s="34" t="str">
        <x:v>CAND-F6184286A4322F</x:v>
      </x:c>
      <x:c r="W1021" s="34" t="str">
        <x:v>P2</x:v>
      </x:c>
      <x:c r="X1021" s="34" t="str">
        <x:v>PORT-6742936593A9</x:v>
      </x:c>
      <x:c r="Y1021" s="34" t="n">
        <x:v>1000</x:v>
      </x:c>
      <x:c r="Z1021" s="34" t="n">
        <x:v>73.8519</x:v>
      </x:c>
      <x:c r="AA1021" s="34" t="n">
        <x:v>23.844211</x:v>
      </x:c>
      <x:c r="AB1021" s="34" t="n">
        <x:v>454.753949</x:v>
      </x:c>
      <x:c r="AC1021" s="34" t="n">
        <x:v>32776.213</x:v>
      </x:c>
      <x:c r="AD1021" s="34" t="n">
        <x:v>72.074609</x:v>
      </x:c>
      <x:c r="AE1021" s="40" t="b">
        <x:v>1</x:v>
      </x:c>
      <x:c r="AF1021" s="40" t="b">
        <x:v>1</x:v>
      </x:c>
      <x:c r="AG1021" s="34" t="str"/>
      <x:c r="AH1021" s="34" t="n">
        <x:v>0</x:v>
      </x:c>
      <x:c r="AI1021" s="34" t="str">
        <x:v>3.446647212967946e-06</x:v>
      </x:c>
      <x:c r="AJ1021" s="40" t="b">
        <x:v>1</x:v>
      </x:c>
      <x:c r="AK1021" s="40" t="b">
        <x:v>1</x:v>
      </x:c>
      <x:c r="AL1021" s="40" t="b">
        <x:v>1</x:v>
      </x:c>
      <x:c r="AM1021" s="40" t="b">
        <x:v>1</x:v>
      </x:c>
      <x:c r="AN1021" s="34" t="str"/>
      <x:c r="AO1021" s="34" t="n">
        <x:v>0</x:v>
      </x:c>
      <x:c r="AP1021" s="34" t="n">
        <x:v>0</x:v>
      </x:c>
      <x:c r="AQ1021" s="34" t="n">
        <x:v>0</x:v>
      </x:c>
      <x:c r="AR1021" s="34" t="n">
        <x:v>2</x:v>
      </x:c>
      <x:c r="AS1021" s="34" t="n">
        <x:v>2</x:v>
      </x:c>
      <x:c r="AT1021" s="34" t="n">
        <x:v>0.47641018879999986</x:v>
      </x:c>
      <x:c r="AU1021" s="34" t="n">
        <x:v>0.65</x:v>
      </x:c>
      <x:c r="AV1021" s="34" t="n">
        <x:v>2.16</x:v>
      </x:c>
    </x:row>
    <x:row r="1022">
      <x:c r="A1022" s="34" t="str">
        <x:v>JFE_STEEL_JP</x:v>
      </x:c>
      <x:c r="B1022" s="34" t="str">
        <x:v>JFE Steel</x:v>
      </x:c>
      <x:c r="C1022" s="34" t="str">
        <x:v>DISCLOSED_PATH</x:v>
      </x:c>
      <x:c r="D1022" s="34" t="str">
        <x:v>P3</x:v>
      </x:c>
      <x:c r="E1022" s="34" t="n">
        <x:v>2026</x:v>
      </x:c>
      <x:c r="F1022" s="34" t="n">
        <x:v>0</x:v>
      </x:c>
      <x:c r="G1022" s="34" t="n">
        <x:v>0</x:v>
      </x:c>
      <x:c r="H1022" s="34" t="n">
        <x:v>5</x:v>
      </x:c>
      <x:c r="I1022" s="34" t="n">
        <x:v>5</x:v>
      </x:c>
      <x:c r="J1022" s="34" t="n">
        <x:v>0</x:v>
      </x:c>
      <x:c r="K1022" s="34" t="n">
        <x:v>0</x:v>
      </x:c>
      <x:c r="L1022" s="34" t="n">
        <x:v>0</x:v>
      </x:c>
      <x:c r="M1022" s="34" t="n">
        <x:v>0</x:v>
      </x:c>
      <x:c r="N1022" s="34" t="n">
        <x:v>0</x:v>
      </x:c>
      <x:c r="O1022" s="34" t="n">
        <x:v>0</x:v>
      </x:c>
      <x:c r="P1022" s="34" t="n">
        <x:v>1.5</x:v>
      </x:c>
      <x:c r="Q1022" s="34" t="n">
        <x:v>1.5</x:v>
      </x:c>
      <x:c r="R1022" s="34" t="n">
        <x:v>0</x:v>
      </x:c>
      <x:c r="S1022" s="40" t="b">
        <x:v>1</x:v>
      </x:c>
      <x:c r="T1022" s="34" t="str">
        <x:v>model_interpolation</x:v>
      </x:c>
      <x:c r="U1022" s="34" t="str">
        <x:v>Linear interpolation from 2026 to 2030</x:v>
      </x:c>
      <x:c r="V1022" s="34" t="str">
        <x:v>CAND-FC0AA3F9FE37C6</x:v>
      </x:c>
      <x:c r="W1022" s="34" t="str">
        <x:v>P3</x:v>
      </x:c>
      <x:c r="X1022" s="34" t="str">
        <x:v>PORT-E5F3D5116135</x:v>
      </x:c>
      <x:c r="Y1022" s="34" t="n">
        <x:v>1000</x:v>
      </x:c>
      <x:c r="Z1022" s="34" t="n">
        <x:v>98.824485</x:v>
      </x:c>
      <x:c r="AA1022" s="34" t="n">
        <x:v>22.717254</x:v>
      </x:c>
      <x:c r="AB1022" s="34" t="n">
        <x:v>321.408363</x:v>
      </x:c>
      <x:c r="AC1022" s="34" t="n">
        <x:v>31315.689</x:v>
      </x:c>
      <x:c r="AD1022" s="34" t="n">
        <x:v>97.432714</x:v>
      </x:c>
      <x:c r="AE1022" s="40" t="b">
        <x:v>1</x:v>
      </x:c>
      <x:c r="AF1022" s="40" t="b">
        <x:v>0</x:v>
      </x:c>
      <x:c r="AG1022" s="34" t="str"/>
      <x:c r="AH1022" s="34" t="n">
        <x:v>0</x:v>
      </x:c>
      <x:c r="AI1022" s="34" t="str">
        <x:v>1.265341119704999e-05</x:v>
      </x:c>
      <x:c r="AJ1022" s="40" t="b">
        <x:v>0</x:v>
      </x:c>
      <x:c r="AK1022" s="40" t="b">
        <x:v>0</x:v>
      </x:c>
      <x:c r="AL1022" s="40" t="b">
        <x:v>1</x:v>
      </x:c>
      <x:c r="AM1022" s="40" t="b">
        <x:v>1</x:v>
      </x:c>
      <x:c r="AN1022" s="34" t="n">
        <x:v>2036</x:v>
      </x:c>
      <x:c r="AO1022" s="34" t="n">
        <x:v>0.004998229999999992</x:v>
      </x:c>
      <x:c r="AP1022" s="34" t="n">
        <x:v>0</x:v>
      </x:c>
      <x:c r="AQ1022" s="34" t="n">
        <x:v>0</x:v>
      </x:c>
      <x:c r="AR1022" s="34" t="n">
        <x:v>2</x:v>
      </x:c>
      <x:c r="AS1022" s="34" t="n">
        <x:v>3</x:v>
      </x:c>
      <x:c r="AT1022" s="34" t="n">
        <x:v>0.3406543999999999</x:v>
      </x:c>
      <x:c r="AU1022" s="34" t="n">
        <x:v>0.65</x:v>
      </x:c>
      <x:c r="AV1022" s="34" t="n">
        <x:v>1.3</x:v>
      </x:c>
    </x:row>
    <x:row r="1023">
      <x:c r="A1023" s="34" t="str">
        <x:v>JFE_STEEL_JP</x:v>
      </x:c>
      <x:c r="B1023" s="34" t="str">
        <x:v>JFE Steel</x:v>
      </x:c>
      <x:c r="C1023" s="34" t="str">
        <x:v>DISCLOSED_PATH</x:v>
      </x:c>
      <x:c r="D1023" s="34" t="str">
        <x:v>P3</x:v>
      </x:c>
      <x:c r="E1023" s="34" t="n">
        <x:v>2027</x:v>
      </x:c>
      <x:c r="F1023" s="34" t="n">
        <x:v>0</x:v>
      </x:c>
      <x:c r="G1023" s="34" t="n">
        <x:v>0</x:v>
      </x:c>
      <x:c r="H1023" s="34" t="n">
        <x:v>5.75</x:v>
      </x:c>
      <x:c r="I1023" s="34" t="n">
        <x:v>5.75</x:v>
      </x:c>
      <x:c r="J1023" s="34" t="n">
        <x:v>0</x:v>
      </x:c>
      <x:c r="K1023" s="34" t="n">
        <x:v>0</x:v>
      </x:c>
      <x:c r="L1023" s="34" t="n">
        <x:v>0.1</x:v>
      </x:c>
      <x:c r="M1023" s="34" t="n">
        <x:v>0.1</x:v>
      </x:c>
      <x:c r="N1023" s="34" t="n">
        <x:v>0</x:v>
      </x:c>
      <x:c r="O1023" s="34" t="n">
        <x:v>0</x:v>
      </x:c>
      <x:c r="P1023" s="34" t="n">
        <x:v>2.375</x:v>
      </x:c>
      <x:c r="Q1023" s="34" t="n">
        <x:v>2.375</x:v>
      </x:c>
      <x:c r="R1023" s="34" t="n">
        <x:v>0</x:v>
      </x:c>
      <x:c r="S1023" s="40" t="b">
        <x:v>1</x:v>
      </x:c>
      <x:c r="T1023" s="34" t="str">
        <x:v>model_interpolation</x:v>
      </x:c>
      <x:c r="U1023" s="34" t="str">
        <x:v>Linear interpolation from 2026 to 2030</x:v>
      </x:c>
      <x:c r="V1023" s="34" t="str">
        <x:v>CAND-FC0AA3F9FE37C6</x:v>
      </x:c>
      <x:c r="W1023" s="34" t="str">
        <x:v>P3</x:v>
      </x:c>
      <x:c r="X1023" s="34" t="str">
        <x:v>PORT-E5F3D5116135</x:v>
      </x:c>
      <x:c r="Y1023" s="34" t="n">
        <x:v>1000</x:v>
      </x:c>
      <x:c r="Z1023" s="34" t="n">
        <x:v>98.824485</x:v>
      </x:c>
      <x:c r="AA1023" s="34" t="n">
        <x:v>22.717254</x:v>
      </x:c>
      <x:c r="AB1023" s="34" t="n">
        <x:v>321.408363</x:v>
      </x:c>
      <x:c r="AC1023" s="34" t="n">
        <x:v>31315.689</x:v>
      </x:c>
      <x:c r="AD1023" s="34" t="n">
        <x:v>97.432714</x:v>
      </x:c>
      <x:c r="AE1023" s="40" t="b">
        <x:v>1</x:v>
      </x:c>
      <x:c r="AF1023" s="40" t="b">
        <x:v>0</x:v>
      </x:c>
      <x:c r="AG1023" s="34" t="str"/>
      <x:c r="AH1023" s="34" t="n">
        <x:v>0</x:v>
      </x:c>
      <x:c r="AI1023" s="34" t="str">
        <x:v>1.265341119704999e-05</x:v>
      </x:c>
      <x:c r="AJ1023" s="40" t="b">
        <x:v>0</x:v>
      </x:c>
      <x:c r="AK1023" s="40" t="b">
        <x:v>0</x:v>
      </x:c>
      <x:c r="AL1023" s="40" t="b">
        <x:v>1</x:v>
      </x:c>
      <x:c r="AM1023" s="40" t="b">
        <x:v>1</x:v>
      </x:c>
      <x:c r="AN1023" s="34" t="n">
        <x:v>2036</x:v>
      </x:c>
      <x:c r="AO1023" s="34" t="n">
        <x:v>0.004998229999999992</x:v>
      </x:c>
      <x:c r="AP1023" s="34" t="n">
        <x:v>0</x:v>
      </x:c>
      <x:c r="AQ1023" s="34" t="n">
        <x:v>0</x:v>
      </x:c>
      <x:c r="AR1023" s="34" t="n">
        <x:v>2</x:v>
      </x:c>
      <x:c r="AS1023" s="34" t="n">
        <x:v>3</x:v>
      </x:c>
      <x:c r="AT1023" s="34" t="n">
        <x:v>0.3406543999999999</x:v>
      </x:c>
      <x:c r="AU1023" s="34" t="n">
        <x:v>0.65</x:v>
      </x:c>
      <x:c r="AV1023" s="34" t="n">
        <x:v>1.3</x:v>
      </x:c>
    </x:row>
    <x:row r="1024">
      <x:c r="A1024" s="34" t="str">
        <x:v>JFE_STEEL_JP</x:v>
      </x:c>
      <x:c r="B1024" s="34" t="str">
        <x:v>JFE Steel</x:v>
      </x:c>
      <x:c r="C1024" s="34" t="str">
        <x:v>DISCLOSED_PATH</x:v>
      </x:c>
      <x:c r="D1024" s="34" t="str">
        <x:v>P3</x:v>
      </x:c>
      <x:c r="E1024" s="34" t="n">
        <x:v>2028</x:v>
      </x:c>
      <x:c r="F1024" s="34" t="n">
        <x:v>0</x:v>
      </x:c>
      <x:c r="G1024" s="34" t="n">
        <x:v>0</x:v>
      </x:c>
      <x:c r="H1024" s="34" t="n">
        <x:v>6.5</x:v>
      </x:c>
      <x:c r="I1024" s="34" t="n">
        <x:v>6.5</x:v>
      </x:c>
      <x:c r="J1024" s="34" t="n">
        <x:v>0</x:v>
      </x:c>
      <x:c r="K1024" s="34" t="n">
        <x:v>0</x:v>
      </x:c>
      <x:c r="L1024" s="34" t="n">
        <x:v>0.2</x:v>
      </x:c>
      <x:c r="M1024" s="34" t="n">
        <x:v>0.2</x:v>
      </x:c>
      <x:c r="N1024" s="34" t="n">
        <x:v>0</x:v>
      </x:c>
      <x:c r="O1024" s="34" t="n">
        <x:v>0</x:v>
      </x:c>
      <x:c r="P1024" s="34" t="n">
        <x:v>3.25</x:v>
      </x:c>
      <x:c r="Q1024" s="34" t="n">
        <x:v>3.25</x:v>
      </x:c>
      <x:c r="R1024" s="34" t="n">
        <x:v>0</x:v>
      </x:c>
      <x:c r="S1024" s="40" t="b">
        <x:v>1</x:v>
      </x:c>
      <x:c r="T1024" s="34" t="str">
        <x:v>model_interpolation</x:v>
      </x:c>
      <x:c r="U1024" s="34" t="str">
        <x:v>Linear interpolation from 2026 to 2030</x:v>
      </x:c>
      <x:c r="V1024" s="34" t="str">
        <x:v>CAND-FC0AA3F9FE37C6</x:v>
      </x:c>
      <x:c r="W1024" s="34" t="str">
        <x:v>P3</x:v>
      </x:c>
      <x:c r="X1024" s="34" t="str">
        <x:v>PORT-E5F3D5116135</x:v>
      </x:c>
      <x:c r="Y1024" s="34" t="n">
        <x:v>1000</x:v>
      </x:c>
      <x:c r="Z1024" s="34" t="n">
        <x:v>98.824485</x:v>
      </x:c>
      <x:c r="AA1024" s="34" t="n">
        <x:v>22.717254</x:v>
      </x:c>
      <x:c r="AB1024" s="34" t="n">
        <x:v>321.408363</x:v>
      </x:c>
      <x:c r="AC1024" s="34" t="n">
        <x:v>31315.689</x:v>
      </x:c>
      <x:c r="AD1024" s="34" t="n">
        <x:v>97.432714</x:v>
      </x:c>
      <x:c r="AE1024" s="40" t="b">
        <x:v>1</x:v>
      </x:c>
      <x:c r="AF1024" s="40" t="b">
        <x:v>0</x:v>
      </x:c>
      <x:c r="AG1024" s="34" t="str"/>
      <x:c r="AH1024" s="34" t="n">
        <x:v>0</x:v>
      </x:c>
      <x:c r="AI1024" s="34" t="str">
        <x:v>1.265341119704999e-05</x:v>
      </x:c>
      <x:c r="AJ1024" s="40" t="b">
        <x:v>0</x:v>
      </x:c>
      <x:c r="AK1024" s="40" t="b">
        <x:v>0</x:v>
      </x:c>
      <x:c r="AL1024" s="40" t="b">
        <x:v>1</x:v>
      </x:c>
      <x:c r="AM1024" s="40" t="b">
        <x:v>1</x:v>
      </x:c>
      <x:c r="AN1024" s="34" t="n">
        <x:v>2036</x:v>
      </x:c>
      <x:c r="AO1024" s="34" t="n">
        <x:v>0.004998229999999992</x:v>
      </x:c>
      <x:c r="AP1024" s="34" t="n">
        <x:v>0</x:v>
      </x:c>
      <x:c r="AQ1024" s="34" t="n">
        <x:v>0</x:v>
      </x:c>
      <x:c r="AR1024" s="34" t="n">
        <x:v>2</x:v>
      </x:c>
      <x:c r="AS1024" s="34" t="n">
        <x:v>3</x:v>
      </x:c>
      <x:c r="AT1024" s="34" t="n">
        <x:v>0.3406543999999999</x:v>
      </x:c>
      <x:c r="AU1024" s="34" t="n">
        <x:v>0.65</x:v>
      </x:c>
      <x:c r="AV1024" s="34" t="n">
        <x:v>1.3</x:v>
      </x:c>
    </x:row>
    <x:row r="1025">
      <x:c r="A1025" s="34" t="str">
        <x:v>JFE_STEEL_JP</x:v>
      </x:c>
      <x:c r="B1025" s="34" t="str">
        <x:v>JFE Steel</x:v>
      </x:c>
      <x:c r="C1025" s="34" t="str">
        <x:v>DISCLOSED_PATH</x:v>
      </x:c>
      <x:c r="D1025" s="34" t="str">
        <x:v>P3</x:v>
      </x:c>
      <x:c r="E1025" s="34" t="n">
        <x:v>2029</x:v>
      </x:c>
      <x:c r="F1025" s="34" t="n">
        <x:v>1</x:v>
      </x:c>
      <x:c r="G1025" s="34" t="n">
        <x:v>6.120001</x:v>
      </x:c>
      <x:c r="H1025" s="34" t="n">
        <x:v>7.25</x:v>
      </x:c>
      <x:c r="I1025" s="34" t="n">
        <x:v>1.129999</x:v>
      </x:c>
      <x:c r="J1025" s="34" t="n">
        <x:v>84.414</x:v>
      </x:c>
      <x:c r="K1025" s="34" t="n">
        <x:v>0</x:v>
      </x:c>
      <x:c r="L1025" s="34" t="n">
        <x:v>0.30000000000000004</x:v>
      </x:c>
      <x:c r="M1025" s="34" t="n">
        <x:v>0.3</x:v>
      </x:c>
      <x:c r="N1025" s="34" t="n">
        <x:v>0</x:v>
      </x:c>
      <x:c r="O1025" s="34" t="n">
        <x:v>3.808</x:v>
      </x:c>
      <x:c r="P1025" s="34" t="n">
        <x:v>4.125</x:v>
      </x:c>
      <x:c r="Q1025" s="34" t="n">
        <x:v>0.317</x:v>
      </x:c>
      <x:c r="R1025" s="34" t="n">
        <x:v>92.315</x:v>
      </x:c>
      <x:c r="S1025" s="40" t="b">
        <x:v>1</x:v>
      </x:c>
      <x:c r="T1025" s="34" t="str">
        <x:v>model_interpolation</x:v>
      </x:c>
      <x:c r="U1025" s="34" t="str">
        <x:v>Linear interpolation from 2026 to 2030</x:v>
      </x:c>
      <x:c r="V1025" s="34" t="str">
        <x:v>CAND-FC0AA3F9FE37C6</x:v>
      </x:c>
      <x:c r="W1025" s="34" t="str">
        <x:v>P3</x:v>
      </x:c>
      <x:c r="X1025" s="34" t="str">
        <x:v>PORT-E5F3D5116135</x:v>
      </x:c>
      <x:c r="Y1025" s="34" t="n">
        <x:v>1000</x:v>
      </x:c>
      <x:c r="Z1025" s="34" t="n">
        <x:v>98.824485</x:v>
      </x:c>
      <x:c r="AA1025" s="34" t="n">
        <x:v>22.717254</x:v>
      </x:c>
      <x:c r="AB1025" s="34" t="n">
        <x:v>321.408363</x:v>
      </x:c>
      <x:c r="AC1025" s="34" t="n">
        <x:v>31315.689</x:v>
      </x:c>
      <x:c r="AD1025" s="34" t="n">
        <x:v>97.432714</x:v>
      </x:c>
      <x:c r="AE1025" s="40" t="b">
        <x:v>1</x:v>
      </x:c>
      <x:c r="AF1025" s="40" t="b">
        <x:v>0</x:v>
      </x:c>
      <x:c r="AG1025" s="34" t="str"/>
      <x:c r="AH1025" s="34" t="n">
        <x:v>0</x:v>
      </x:c>
      <x:c r="AI1025" s="34" t="str">
        <x:v>1.265341119704999e-05</x:v>
      </x:c>
      <x:c r="AJ1025" s="40" t="b">
        <x:v>0</x:v>
      </x:c>
      <x:c r="AK1025" s="40" t="b">
        <x:v>0</x:v>
      </x:c>
      <x:c r="AL1025" s="40" t="b">
        <x:v>1</x:v>
      </x:c>
      <x:c r="AM1025" s="40" t="b">
        <x:v>1</x:v>
      </x:c>
      <x:c r="AN1025" s="34" t="n">
        <x:v>2036</x:v>
      </x:c>
      <x:c r="AO1025" s="34" t="n">
        <x:v>0.004998229999999992</x:v>
      </x:c>
      <x:c r="AP1025" s="34" t="n">
        <x:v>0</x:v>
      </x:c>
      <x:c r="AQ1025" s="34" t="n">
        <x:v>0</x:v>
      </x:c>
      <x:c r="AR1025" s="34" t="n">
        <x:v>2</x:v>
      </x:c>
      <x:c r="AS1025" s="34" t="n">
        <x:v>3</x:v>
      </x:c>
      <x:c r="AT1025" s="34" t="n">
        <x:v>0.3406543999999999</x:v>
      </x:c>
      <x:c r="AU1025" s="34" t="n">
        <x:v>0.65</x:v>
      </x:c>
      <x:c r="AV1025" s="34" t="n">
        <x:v>1.3</x:v>
      </x:c>
    </x:row>
    <x:row r="1026">
      <x:c r="A1026" s="34" t="str">
        <x:v>JFE_STEEL_JP</x:v>
      </x:c>
      <x:c r="B1026" s="34" t="str">
        <x:v>JFE Steel</x:v>
      </x:c>
      <x:c r="C1026" s="34" t="str">
        <x:v>DISCLOSED_PATH</x:v>
      </x:c>
      <x:c r="D1026" s="34" t="str">
        <x:v>P3</x:v>
      </x:c>
      <x:c r="E1026" s="34" t="n">
        <x:v>2030</x:v>
      </x:c>
      <x:c r="F1026" s="34" t="n">
        <x:v>1</x:v>
      </x:c>
      <x:c r="G1026" s="34" t="n">
        <x:v>6.120001</x:v>
      </x:c>
      <x:c r="H1026" s="34" t="n">
        <x:v>8</x:v>
      </x:c>
      <x:c r="I1026" s="34" t="n">
        <x:v>1.879999</x:v>
      </x:c>
      <x:c r="J1026" s="34" t="n">
        <x:v>76.5</x:v>
      </x:c>
      <x:c r="K1026" s="34" t="n">
        <x:v>0</x:v>
      </x:c>
      <x:c r="L1026" s="34" t="n">
        <x:v>0.4</x:v>
      </x:c>
      <x:c r="M1026" s="34" t="n">
        <x:v>0.4</x:v>
      </x:c>
      <x:c r="N1026" s="34" t="n">
        <x:v>0</x:v>
      </x:c>
      <x:c r="O1026" s="34" t="n">
        <x:v>3.808</x:v>
      </x:c>
      <x:c r="P1026" s="34" t="n">
        <x:v>5</x:v>
      </x:c>
      <x:c r="Q1026" s="34" t="n">
        <x:v>1.192</x:v>
      </x:c>
      <x:c r="R1026" s="34" t="n">
        <x:v>76.16</x:v>
      </x:c>
      <x:c r="S1026" s="40" t="b">
        <x:v>1</x:v>
      </x:c>
      <x:c r="T1026" s="34" t="str">
        <x:v>model_interpolation</x:v>
      </x:c>
      <x:c r="U1026" s="34" t="str">
        <x:v>Linear interpolation from 2030 to 2035</x:v>
      </x:c>
      <x:c r="V1026" s="34" t="str">
        <x:v>CAND-FC0AA3F9FE37C6</x:v>
      </x:c>
      <x:c r="W1026" s="34" t="str">
        <x:v>P3</x:v>
      </x:c>
      <x:c r="X1026" s="34" t="str">
        <x:v>PORT-E5F3D5116135</x:v>
      </x:c>
      <x:c r="Y1026" s="34" t="n">
        <x:v>1000</x:v>
      </x:c>
      <x:c r="Z1026" s="34" t="n">
        <x:v>98.824485</x:v>
      </x:c>
      <x:c r="AA1026" s="34" t="n">
        <x:v>22.717254</x:v>
      </x:c>
      <x:c r="AB1026" s="34" t="n">
        <x:v>321.408363</x:v>
      </x:c>
      <x:c r="AC1026" s="34" t="n">
        <x:v>31315.689</x:v>
      </x:c>
      <x:c r="AD1026" s="34" t="n">
        <x:v>97.432714</x:v>
      </x:c>
      <x:c r="AE1026" s="40" t="b">
        <x:v>1</x:v>
      </x:c>
      <x:c r="AF1026" s="40" t="b">
        <x:v>0</x:v>
      </x:c>
      <x:c r="AG1026" s="34" t="str"/>
      <x:c r="AH1026" s="34" t="n">
        <x:v>0</x:v>
      </x:c>
      <x:c r="AI1026" s="34" t="str">
        <x:v>1.265341119704999e-05</x:v>
      </x:c>
      <x:c r="AJ1026" s="40" t="b">
        <x:v>0</x:v>
      </x:c>
      <x:c r="AK1026" s="40" t="b">
        <x:v>0</x:v>
      </x:c>
      <x:c r="AL1026" s="40" t="b">
        <x:v>1</x:v>
      </x:c>
      <x:c r="AM1026" s="40" t="b">
        <x:v>1</x:v>
      </x:c>
      <x:c r="AN1026" s="34" t="n">
        <x:v>2036</x:v>
      </x:c>
      <x:c r="AO1026" s="34" t="n">
        <x:v>0.004998229999999992</x:v>
      </x:c>
      <x:c r="AP1026" s="34" t="n">
        <x:v>0</x:v>
      </x:c>
      <x:c r="AQ1026" s="34" t="n">
        <x:v>0</x:v>
      </x:c>
      <x:c r="AR1026" s="34" t="n">
        <x:v>2</x:v>
      </x:c>
      <x:c r="AS1026" s="34" t="n">
        <x:v>3</x:v>
      </x:c>
      <x:c r="AT1026" s="34" t="n">
        <x:v>0.3406543999999999</x:v>
      </x:c>
      <x:c r="AU1026" s="34" t="n">
        <x:v>0.65</x:v>
      </x:c>
      <x:c r="AV1026" s="34" t="n">
        <x:v>1.3</x:v>
      </x:c>
    </x:row>
    <x:row r="1027">
      <x:c r="A1027" s="34" t="str">
        <x:v>JFE_STEEL_JP</x:v>
      </x:c>
      <x:c r="B1027" s="34" t="str">
        <x:v>JFE Steel</x:v>
      </x:c>
      <x:c r="C1027" s="34" t="str">
        <x:v>DISCLOSED_PATH</x:v>
      </x:c>
      <x:c r="D1027" s="34" t="str">
        <x:v>P3</x:v>
      </x:c>
      <x:c r="E1027" s="34" t="n">
        <x:v>2031</x:v>
      </x:c>
      <x:c r="F1027" s="34" t="n">
        <x:v>1</x:v>
      </x:c>
      <x:c r="G1027" s="34" t="n">
        <x:v>6.120001</x:v>
      </x:c>
      <x:c r="H1027" s="34" t="n">
        <x:v>8.8</x:v>
      </x:c>
      <x:c r="I1027" s="34" t="n">
        <x:v>2.679999</x:v>
      </x:c>
      <x:c r="J1027" s="34" t="n">
        <x:v>69.545</x:v>
      </x:c>
      <x:c r="K1027" s="34" t="n">
        <x:v>0</x:v>
      </x:c>
      <x:c r="L1027" s="34" t="n">
        <x:v>0.56</x:v>
      </x:c>
      <x:c r="M1027" s="34" t="n">
        <x:v>0.56</x:v>
      </x:c>
      <x:c r="N1027" s="34" t="n">
        <x:v>0</x:v>
      </x:c>
      <x:c r="O1027" s="34" t="n">
        <x:v>3.808</x:v>
      </x:c>
      <x:c r="P1027" s="34" t="n">
        <x:v>6</x:v>
      </x:c>
      <x:c r="Q1027" s="34" t="n">
        <x:v>2.192</x:v>
      </x:c>
      <x:c r="R1027" s="34" t="n">
        <x:v>63.467</x:v>
      </x:c>
      <x:c r="S1027" s="40" t="b">
        <x:v>1</x:v>
      </x:c>
      <x:c r="T1027" s="34" t="str">
        <x:v>model_interpolation</x:v>
      </x:c>
      <x:c r="U1027" s="34" t="str">
        <x:v>Linear interpolation from 2030 to 2035</x:v>
      </x:c>
      <x:c r="V1027" s="34" t="str">
        <x:v>CAND-FC0AA3F9FE37C6</x:v>
      </x:c>
      <x:c r="W1027" s="34" t="str">
        <x:v>P3</x:v>
      </x:c>
      <x:c r="X1027" s="34" t="str">
        <x:v>PORT-E5F3D5116135</x:v>
      </x:c>
      <x:c r="Y1027" s="34" t="n">
        <x:v>1000</x:v>
      </x:c>
      <x:c r="Z1027" s="34" t="n">
        <x:v>98.824485</x:v>
      </x:c>
      <x:c r="AA1027" s="34" t="n">
        <x:v>22.717254</x:v>
      </x:c>
      <x:c r="AB1027" s="34" t="n">
        <x:v>321.408363</x:v>
      </x:c>
      <x:c r="AC1027" s="34" t="n">
        <x:v>31315.689</x:v>
      </x:c>
      <x:c r="AD1027" s="34" t="n">
        <x:v>97.432714</x:v>
      </x:c>
      <x:c r="AE1027" s="40" t="b">
        <x:v>1</x:v>
      </x:c>
      <x:c r="AF1027" s="40" t="b">
        <x:v>0</x:v>
      </x:c>
      <x:c r="AG1027" s="34" t="str"/>
      <x:c r="AH1027" s="34" t="n">
        <x:v>0</x:v>
      </x:c>
      <x:c r="AI1027" s="34" t="str">
        <x:v>1.265341119704999e-05</x:v>
      </x:c>
      <x:c r="AJ1027" s="40" t="b">
        <x:v>0</x:v>
      </x:c>
      <x:c r="AK1027" s="40" t="b">
        <x:v>0</x:v>
      </x:c>
      <x:c r="AL1027" s="40" t="b">
        <x:v>1</x:v>
      </x:c>
      <x:c r="AM1027" s="40" t="b">
        <x:v>1</x:v>
      </x:c>
      <x:c r="AN1027" s="34" t="n">
        <x:v>2036</x:v>
      </x:c>
      <x:c r="AO1027" s="34" t="n">
        <x:v>0.004998229999999992</x:v>
      </x:c>
      <x:c r="AP1027" s="34" t="n">
        <x:v>0</x:v>
      </x:c>
      <x:c r="AQ1027" s="34" t="n">
        <x:v>0</x:v>
      </x:c>
      <x:c r="AR1027" s="34" t="n">
        <x:v>2</x:v>
      </x:c>
      <x:c r="AS1027" s="34" t="n">
        <x:v>3</x:v>
      </x:c>
      <x:c r="AT1027" s="34" t="n">
        <x:v>0.3406543999999999</x:v>
      </x:c>
      <x:c r="AU1027" s="34" t="n">
        <x:v>0.65</x:v>
      </x:c>
      <x:c r="AV1027" s="34" t="n">
        <x:v>1.3</x:v>
      </x:c>
    </x:row>
    <x:row r="1028">
      <x:c r="A1028" s="34" t="str">
        <x:v>JFE_STEEL_JP</x:v>
      </x:c>
      <x:c r="B1028" s="34" t="str">
        <x:v>JFE Steel</x:v>
      </x:c>
      <x:c r="C1028" s="34" t="str">
        <x:v>DISCLOSED_PATH</x:v>
      </x:c>
      <x:c r="D1028" s="34" t="str">
        <x:v>P3</x:v>
      </x:c>
      <x:c r="E1028" s="34" t="n">
        <x:v>2032</x:v>
      </x:c>
      <x:c r="F1028" s="34" t="n">
        <x:v>1</x:v>
      </x:c>
      <x:c r="G1028" s="34" t="n">
        <x:v>6.120001</x:v>
      </x:c>
      <x:c r="H1028" s="34" t="n">
        <x:v>9.6</x:v>
      </x:c>
      <x:c r="I1028" s="34" t="n">
        <x:v>3.479999</x:v>
      </x:c>
      <x:c r="J1028" s="34" t="n">
        <x:v>63.75</x:v>
      </x:c>
      <x:c r="K1028" s="34" t="n">
        <x:v>0</x:v>
      </x:c>
      <x:c r="L1028" s="34" t="n">
        <x:v>0.72</x:v>
      </x:c>
      <x:c r="M1028" s="34" t="n">
        <x:v>0.72</x:v>
      </x:c>
      <x:c r="N1028" s="34" t="n">
        <x:v>0</x:v>
      </x:c>
      <x:c r="O1028" s="34" t="n">
        <x:v>3.808</x:v>
      </x:c>
      <x:c r="P1028" s="34" t="n">
        <x:v>7</x:v>
      </x:c>
      <x:c r="Q1028" s="34" t="n">
        <x:v>3.192</x:v>
      </x:c>
      <x:c r="R1028" s="34" t="n">
        <x:v>54.4</x:v>
      </x:c>
      <x:c r="S1028" s="40" t="b">
        <x:v>1</x:v>
      </x:c>
      <x:c r="T1028" s="34" t="str">
        <x:v>model_interpolation</x:v>
      </x:c>
      <x:c r="U1028" s="34" t="str">
        <x:v>Linear interpolation from 2030 to 2035</x:v>
      </x:c>
      <x:c r="V1028" s="34" t="str">
        <x:v>CAND-FC0AA3F9FE37C6</x:v>
      </x:c>
      <x:c r="W1028" s="34" t="str">
        <x:v>P3</x:v>
      </x:c>
      <x:c r="X1028" s="34" t="str">
        <x:v>PORT-E5F3D5116135</x:v>
      </x:c>
      <x:c r="Y1028" s="34" t="n">
        <x:v>1000</x:v>
      </x:c>
      <x:c r="Z1028" s="34" t="n">
        <x:v>98.824485</x:v>
      </x:c>
      <x:c r="AA1028" s="34" t="n">
        <x:v>22.717254</x:v>
      </x:c>
      <x:c r="AB1028" s="34" t="n">
        <x:v>321.408363</x:v>
      </x:c>
      <x:c r="AC1028" s="34" t="n">
        <x:v>31315.689</x:v>
      </x:c>
      <x:c r="AD1028" s="34" t="n">
        <x:v>97.432714</x:v>
      </x:c>
      <x:c r="AE1028" s="40" t="b">
        <x:v>1</x:v>
      </x:c>
      <x:c r="AF1028" s="40" t="b">
        <x:v>0</x:v>
      </x:c>
      <x:c r="AG1028" s="34" t="str"/>
      <x:c r="AH1028" s="34" t="n">
        <x:v>0</x:v>
      </x:c>
      <x:c r="AI1028" s="34" t="str">
        <x:v>1.265341119704999e-05</x:v>
      </x:c>
      <x:c r="AJ1028" s="40" t="b">
        <x:v>0</x:v>
      </x:c>
      <x:c r="AK1028" s="40" t="b">
        <x:v>0</x:v>
      </x:c>
      <x:c r="AL1028" s="40" t="b">
        <x:v>1</x:v>
      </x:c>
      <x:c r="AM1028" s="40" t="b">
        <x:v>1</x:v>
      </x:c>
      <x:c r="AN1028" s="34" t="n">
        <x:v>2036</x:v>
      </x:c>
      <x:c r="AO1028" s="34" t="n">
        <x:v>0.004998229999999992</x:v>
      </x:c>
      <x:c r="AP1028" s="34" t="n">
        <x:v>0</x:v>
      </x:c>
      <x:c r="AQ1028" s="34" t="n">
        <x:v>0</x:v>
      </x:c>
      <x:c r="AR1028" s="34" t="n">
        <x:v>2</x:v>
      </x:c>
      <x:c r="AS1028" s="34" t="n">
        <x:v>3</x:v>
      </x:c>
      <x:c r="AT1028" s="34" t="n">
        <x:v>0.3406543999999999</x:v>
      </x:c>
      <x:c r="AU1028" s="34" t="n">
        <x:v>0.65</x:v>
      </x:c>
      <x:c r="AV1028" s="34" t="n">
        <x:v>1.3</x:v>
      </x:c>
    </x:row>
    <x:row r="1029">
      <x:c r="A1029" s="34" t="str">
        <x:v>JFE_STEEL_JP</x:v>
      </x:c>
      <x:c r="B1029" s="34" t="str">
        <x:v>JFE Steel</x:v>
      </x:c>
      <x:c r="C1029" s="34" t="str">
        <x:v>DISCLOSED_PATH</x:v>
      </x:c>
      <x:c r="D1029" s="34" t="str">
        <x:v>P3</x:v>
      </x:c>
      <x:c r="E1029" s="34" t="n">
        <x:v>2033</x:v>
      </x:c>
      <x:c r="F1029" s="34" t="n">
        <x:v>3</x:v>
      </x:c>
      <x:c r="G1029" s="34" t="n">
        <x:v>8.1</x:v>
      </x:c>
      <x:c r="H1029" s="34" t="n">
        <x:v>10.4</x:v>
      </x:c>
      <x:c r="I1029" s="34" t="n">
        <x:v>2.3</x:v>
      </x:c>
      <x:c r="J1029" s="34" t="n">
        <x:v>77.885</x:v>
      </x:c>
      <x:c r="K1029" s="34" t="n">
        <x:v>0.495</x:v>
      </x:c>
      <x:c r="L1029" s="34" t="n">
        <x:v>0.8799999999999999</x:v>
      </x:c>
      <x:c r="M1029" s="34" t="n">
        <x:v>0.385</x:v>
      </x:c>
      <x:c r="N1029" s="34" t="n">
        <x:v>56.25</x:v>
      </x:c>
      <x:c r="O1029" s="34" t="n">
        <x:v>7.961999</x:v>
      </x:c>
      <x:c r="P1029" s="34" t="n">
        <x:v>8</x:v>
      </x:c>
      <x:c r="Q1029" s="34" t="n">
        <x:v>0.038001</x:v>
      </x:c>
      <x:c r="R1029" s="34" t="n">
        <x:v>99.525</x:v>
      </x:c>
      <x:c r="S1029" s="40" t="b">
        <x:v>1</x:v>
      </x:c>
      <x:c r="T1029" s="34" t="str">
        <x:v>model_interpolation</x:v>
      </x:c>
      <x:c r="U1029" s="34" t="str">
        <x:v>Linear interpolation from 2030 to 2035</x:v>
      </x:c>
      <x:c r="V1029" s="34" t="str">
        <x:v>CAND-FC0AA3F9FE37C6</x:v>
      </x:c>
      <x:c r="W1029" s="34" t="str">
        <x:v>P3</x:v>
      </x:c>
      <x:c r="X1029" s="34" t="str">
        <x:v>PORT-E5F3D5116135</x:v>
      </x:c>
      <x:c r="Y1029" s="34" t="n">
        <x:v>1000</x:v>
      </x:c>
      <x:c r="Z1029" s="34" t="n">
        <x:v>98.824485</x:v>
      </x:c>
      <x:c r="AA1029" s="34" t="n">
        <x:v>22.717254</x:v>
      </x:c>
      <x:c r="AB1029" s="34" t="n">
        <x:v>321.408363</x:v>
      </x:c>
      <x:c r="AC1029" s="34" t="n">
        <x:v>31315.689</x:v>
      </x:c>
      <x:c r="AD1029" s="34" t="n">
        <x:v>97.432714</x:v>
      </x:c>
      <x:c r="AE1029" s="40" t="b">
        <x:v>1</x:v>
      </x:c>
      <x:c r="AF1029" s="40" t="b">
        <x:v>0</x:v>
      </x:c>
      <x:c r="AG1029" s="34" t="str"/>
      <x:c r="AH1029" s="34" t="n">
        <x:v>0</x:v>
      </x:c>
      <x:c r="AI1029" s="34" t="str">
        <x:v>1.265341119704999e-05</x:v>
      </x:c>
      <x:c r="AJ1029" s="40" t="b">
        <x:v>0</x:v>
      </x:c>
      <x:c r="AK1029" s="40" t="b">
        <x:v>0</x:v>
      </x:c>
      <x:c r="AL1029" s="40" t="b">
        <x:v>1</x:v>
      </x:c>
      <x:c r="AM1029" s="40" t="b">
        <x:v>1</x:v>
      </x:c>
      <x:c r="AN1029" s="34" t="n">
        <x:v>2036</x:v>
      </x:c>
      <x:c r="AO1029" s="34" t="n">
        <x:v>0.004998229999999992</x:v>
      </x:c>
      <x:c r="AP1029" s="34" t="n">
        <x:v>0</x:v>
      </x:c>
      <x:c r="AQ1029" s="34" t="n">
        <x:v>0</x:v>
      </x:c>
      <x:c r="AR1029" s="34" t="n">
        <x:v>2</x:v>
      </x:c>
      <x:c r="AS1029" s="34" t="n">
        <x:v>3</x:v>
      </x:c>
      <x:c r="AT1029" s="34" t="n">
        <x:v>0.3406543999999999</x:v>
      </x:c>
      <x:c r="AU1029" s="34" t="n">
        <x:v>0.65</x:v>
      </x:c>
      <x:c r="AV1029" s="34" t="n">
        <x:v>1.3</x:v>
      </x:c>
    </x:row>
    <x:row r="1030">
      <x:c r="A1030" s="34" t="str">
        <x:v>JFE_STEEL_JP</x:v>
      </x:c>
      <x:c r="B1030" s="34" t="str">
        <x:v>JFE Steel</x:v>
      </x:c>
      <x:c r="C1030" s="34" t="str">
        <x:v>DISCLOSED_PATH</x:v>
      </x:c>
      <x:c r="D1030" s="34" t="str">
        <x:v>P3</x:v>
      </x:c>
      <x:c r="E1030" s="34" t="n">
        <x:v>2034</x:v>
      </x:c>
      <x:c r="F1030" s="34" t="n">
        <x:v>3</x:v>
      </x:c>
      <x:c r="G1030" s="34" t="n">
        <x:v>8.1</x:v>
      </x:c>
      <x:c r="H1030" s="34" t="n">
        <x:v>11.2</x:v>
      </x:c>
      <x:c r="I1030" s="34" t="n">
        <x:v>3.1</x:v>
      </x:c>
      <x:c r="J1030" s="34" t="n">
        <x:v>72.321</x:v>
      </x:c>
      <x:c r="K1030" s="34" t="n">
        <x:v>0.495</x:v>
      </x:c>
      <x:c r="L1030" s="34" t="n">
        <x:v>1.04</x:v>
      </x:c>
      <x:c r="M1030" s="34" t="n">
        <x:v>0.545</x:v>
      </x:c>
      <x:c r="N1030" s="34" t="n">
        <x:v>47.596</x:v>
      </x:c>
      <x:c r="O1030" s="34" t="n">
        <x:v>7.961999</x:v>
      </x:c>
      <x:c r="P1030" s="34" t="n">
        <x:v>9</x:v>
      </x:c>
      <x:c r="Q1030" s="34" t="n">
        <x:v>1.038001</x:v>
      </x:c>
      <x:c r="R1030" s="34" t="n">
        <x:v>88.467</x:v>
      </x:c>
      <x:c r="S1030" s="40" t="b">
        <x:v>1</x:v>
      </x:c>
      <x:c r="T1030" s="34" t="str">
        <x:v>model_interpolation</x:v>
      </x:c>
      <x:c r="U1030" s="34" t="str">
        <x:v>Linear interpolation from 2030 to 2035</x:v>
      </x:c>
      <x:c r="V1030" s="34" t="str">
        <x:v>CAND-FC0AA3F9FE37C6</x:v>
      </x:c>
      <x:c r="W1030" s="34" t="str">
        <x:v>P3</x:v>
      </x:c>
      <x:c r="X1030" s="34" t="str">
        <x:v>PORT-E5F3D5116135</x:v>
      </x:c>
      <x:c r="Y1030" s="34" t="n">
        <x:v>1000</x:v>
      </x:c>
      <x:c r="Z1030" s="34" t="n">
        <x:v>98.824485</x:v>
      </x:c>
      <x:c r="AA1030" s="34" t="n">
        <x:v>22.717254</x:v>
      </x:c>
      <x:c r="AB1030" s="34" t="n">
        <x:v>321.408363</x:v>
      </x:c>
      <x:c r="AC1030" s="34" t="n">
        <x:v>31315.689</x:v>
      </x:c>
      <x:c r="AD1030" s="34" t="n">
        <x:v>97.432714</x:v>
      </x:c>
      <x:c r="AE1030" s="40" t="b">
        <x:v>1</x:v>
      </x:c>
      <x:c r="AF1030" s="40" t="b">
        <x:v>0</x:v>
      </x:c>
      <x:c r="AG1030" s="34" t="str"/>
      <x:c r="AH1030" s="34" t="n">
        <x:v>0</x:v>
      </x:c>
      <x:c r="AI1030" s="34" t="str">
        <x:v>1.265341119704999e-05</x:v>
      </x:c>
      <x:c r="AJ1030" s="40" t="b">
        <x:v>0</x:v>
      </x:c>
      <x:c r="AK1030" s="40" t="b">
        <x:v>0</x:v>
      </x:c>
      <x:c r="AL1030" s="40" t="b">
        <x:v>1</x:v>
      </x:c>
      <x:c r="AM1030" s="40" t="b">
        <x:v>1</x:v>
      </x:c>
      <x:c r="AN1030" s="34" t="n">
        <x:v>2036</x:v>
      </x:c>
      <x:c r="AO1030" s="34" t="n">
        <x:v>0.004998229999999992</x:v>
      </x:c>
      <x:c r="AP1030" s="34" t="n">
        <x:v>0</x:v>
      </x:c>
      <x:c r="AQ1030" s="34" t="n">
        <x:v>0</x:v>
      </x:c>
      <x:c r="AR1030" s="34" t="n">
        <x:v>2</x:v>
      </x:c>
      <x:c r="AS1030" s="34" t="n">
        <x:v>3</x:v>
      </x:c>
      <x:c r="AT1030" s="34" t="n">
        <x:v>0.3406543999999999</x:v>
      </x:c>
      <x:c r="AU1030" s="34" t="n">
        <x:v>0.65</x:v>
      </x:c>
      <x:c r="AV1030" s="34" t="n">
        <x:v>1.3</x:v>
      </x:c>
    </x:row>
    <x:row r="1031">
      <x:c r="A1031" s="34" t="str">
        <x:v>JFE_STEEL_JP</x:v>
      </x:c>
      <x:c r="B1031" s="34" t="str">
        <x:v>JFE Steel</x:v>
      </x:c>
      <x:c r="C1031" s="34" t="str">
        <x:v>DISCLOSED_PATH</x:v>
      </x:c>
      <x:c r="D1031" s="34" t="str">
        <x:v>P3</x:v>
      </x:c>
      <x:c r="E1031" s="34" t="n">
        <x:v>2035</x:v>
      </x:c>
      <x:c r="F1031" s="34" t="n">
        <x:v>3</x:v>
      </x:c>
      <x:c r="G1031" s="34" t="n">
        <x:v>8.1</x:v>
      </x:c>
      <x:c r="H1031" s="34" t="n">
        <x:v>12</x:v>
      </x:c>
      <x:c r="I1031" s="34" t="n">
        <x:v>3.9</x:v>
      </x:c>
      <x:c r="J1031" s="34" t="n">
        <x:v>67.5</x:v>
      </x:c>
      <x:c r="K1031" s="34" t="n">
        <x:v>0.495</x:v>
      </x:c>
      <x:c r="L1031" s="34" t="n">
        <x:v>1.2</x:v>
      </x:c>
      <x:c r="M1031" s="34" t="n">
        <x:v>0.705</x:v>
      </x:c>
      <x:c r="N1031" s="34" t="n">
        <x:v>41.25</x:v>
      </x:c>
      <x:c r="O1031" s="34" t="n">
        <x:v>7.961999</x:v>
      </x:c>
      <x:c r="P1031" s="34" t="n">
        <x:v>10</x:v>
      </x:c>
      <x:c r="Q1031" s="34" t="n">
        <x:v>2.038001</x:v>
      </x:c>
      <x:c r="R1031" s="34" t="n">
        <x:v>79.62</x:v>
      </x:c>
      <x:c r="S1031" s="40" t="b">
        <x:v>1</x:v>
      </x:c>
      <x:c r="T1031" s="34" t="str">
        <x:v>model_interpolation</x:v>
      </x:c>
      <x:c r="U1031" s="34" t="str">
        <x:v>Linear interpolation from 2035 to 2040</x:v>
      </x:c>
      <x:c r="V1031" s="34" t="str">
        <x:v>CAND-FC0AA3F9FE37C6</x:v>
      </x:c>
      <x:c r="W1031" s="34" t="str">
        <x:v>P3</x:v>
      </x:c>
      <x:c r="X1031" s="34" t="str">
        <x:v>PORT-E5F3D5116135</x:v>
      </x:c>
      <x:c r="Y1031" s="34" t="n">
        <x:v>1000</x:v>
      </x:c>
      <x:c r="Z1031" s="34" t="n">
        <x:v>98.824485</x:v>
      </x:c>
      <x:c r="AA1031" s="34" t="n">
        <x:v>22.717254</x:v>
      </x:c>
      <x:c r="AB1031" s="34" t="n">
        <x:v>321.408363</x:v>
      </x:c>
      <x:c r="AC1031" s="34" t="n">
        <x:v>31315.689</x:v>
      </x:c>
      <x:c r="AD1031" s="34" t="n">
        <x:v>97.432714</x:v>
      </x:c>
      <x:c r="AE1031" s="40" t="b">
        <x:v>1</x:v>
      </x:c>
      <x:c r="AF1031" s="40" t="b">
        <x:v>0</x:v>
      </x:c>
      <x:c r="AG1031" s="34" t="str"/>
      <x:c r="AH1031" s="34" t="n">
        <x:v>0</x:v>
      </x:c>
      <x:c r="AI1031" s="34" t="str">
        <x:v>1.265341119704999e-05</x:v>
      </x:c>
      <x:c r="AJ1031" s="40" t="b">
        <x:v>0</x:v>
      </x:c>
      <x:c r="AK1031" s="40" t="b">
        <x:v>0</x:v>
      </x:c>
      <x:c r="AL1031" s="40" t="b">
        <x:v>1</x:v>
      </x:c>
      <x:c r="AM1031" s="40" t="b">
        <x:v>1</x:v>
      </x:c>
      <x:c r="AN1031" s="34" t="n">
        <x:v>2036</x:v>
      </x:c>
      <x:c r="AO1031" s="34" t="n">
        <x:v>0.004998229999999992</x:v>
      </x:c>
      <x:c r="AP1031" s="34" t="n">
        <x:v>0</x:v>
      </x:c>
      <x:c r="AQ1031" s="34" t="n">
        <x:v>0</x:v>
      </x:c>
      <x:c r="AR1031" s="34" t="n">
        <x:v>2</x:v>
      </x:c>
      <x:c r="AS1031" s="34" t="n">
        <x:v>3</x:v>
      </x:c>
      <x:c r="AT1031" s="34" t="n">
        <x:v>0.3406543999999999</x:v>
      </x:c>
      <x:c r="AU1031" s="34" t="n">
        <x:v>0.65</x:v>
      </x:c>
      <x:c r="AV1031" s="34" t="n">
        <x:v>1.3</x:v>
      </x:c>
    </x:row>
    <x:row r="1032">
      <x:c r="A1032" s="34" t="str">
        <x:v>JFE_STEEL_JP</x:v>
      </x:c>
      <x:c r="B1032" s="34" t="str">
        <x:v>JFE Steel</x:v>
      </x:c>
      <x:c r="C1032" s="34" t="str">
        <x:v>DISCLOSED_PATH</x:v>
      </x:c>
      <x:c r="D1032" s="34" t="str">
        <x:v>P3</x:v>
      </x:c>
      <x:c r="E1032" s="34" t="n">
        <x:v>2036</x:v>
      </x:c>
      <x:c r="F1032" s="34" t="n">
        <x:v>4</x:v>
      </x:c>
      <x:c r="G1032" s="34" t="n">
        <x:v>13.004998</x:v>
      </x:c>
      <x:c r="H1032" s="34" t="n">
        <x:v>13</x:v>
      </x:c>
      <x:c r="I1032" s="34" t="n">
        <x:v>-0.004998</x:v>
      </x:c>
      <x:c r="J1032" s="34" t="n">
        <x:v>100.038</x:v>
      </x:c>
      <x:c r="K1032" s="34" t="n">
        <x:v>0.495</x:v>
      </x:c>
      <x:c r="L1032" s="34" t="n">
        <x:v>1.4</x:v>
      </x:c>
      <x:c r="M1032" s="34" t="n">
        <x:v>0.905</x:v>
      </x:c>
      <x:c r="N1032" s="34" t="n">
        <x:v>35.357</x:v>
      </x:c>
      <x:c r="O1032" s="34" t="n">
        <x:v>11.013998</x:v>
      </x:c>
      <x:c r="P1032" s="34" t="n">
        <x:v>11.4</x:v>
      </x:c>
      <x:c r="Q1032" s="34" t="n">
        <x:v>0.386002</x:v>
      </x:c>
      <x:c r="R1032" s="34" t="n">
        <x:v>96.614</x:v>
      </x:c>
      <x:c r="S1032" s="40" t="b">
        <x:v>0</x:v>
      </x:c>
      <x:c r="T1032" s="34" t="str">
        <x:v>model_interpolation</x:v>
      </x:c>
      <x:c r="U1032" s="34" t="str">
        <x:v>Linear interpolation from 2035 to 2040</x:v>
      </x:c>
      <x:c r="V1032" s="34" t="str">
        <x:v>CAND-FC0AA3F9FE37C6</x:v>
      </x:c>
      <x:c r="W1032" s="34" t="str">
        <x:v>P3</x:v>
      </x:c>
      <x:c r="X1032" s="34" t="str">
        <x:v>PORT-E5F3D5116135</x:v>
      </x:c>
      <x:c r="Y1032" s="34" t="n">
        <x:v>1000</x:v>
      </x:c>
      <x:c r="Z1032" s="34" t="n">
        <x:v>98.824485</x:v>
      </x:c>
      <x:c r="AA1032" s="34" t="n">
        <x:v>22.717254</x:v>
      </x:c>
      <x:c r="AB1032" s="34" t="n">
        <x:v>321.408363</x:v>
      </x:c>
      <x:c r="AC1032" s="34" t="n">
        <x:v>31315.689</x:v>
      </x:c>
      <x:c r="AD1032" s="34" t="n">
        <x:v>97.432714</x:v>
      </x:c>
      <x:c r="AE1032" s="40" t="b">
        <x:v>1</x:v>
      </x:c>
      <x:c r="AF1032" s="40" t="b">
        <x:v>0</x:v>
      </x:c>
      <x:c r="AG1032" s="34" t="str"/>
      <x:c r="AH1032" s="34" t="n">
        <x:v>0</x:v>
      </x:c>
      <x:c r="AI1032" s="34" t="str">
        <x:v>1.265341119704999e-05</x:v>
      </x:c>
      <x:c r="AJ1032" s="40" t="b">
        <x:v>0</x:v>
      </x:c>
      <x:c r="AK1032" s="40" t="b">
        <x:v>0</x:v>
      </x:c>
      <x:c r="AL1032" s="40" t="b">
        <x:v>1</x:v>
      </x:c>
      <x:c r="AM1032" s="40" t="b">
        <x:v>1</x:v>
      </x:c>
      <x:c r="AN1032" s="34" t="n">
        <x:v>2036</x:v>
      </x:c>
      <x:c r="AO1032" s="34" t="n">
        <x:v>0.004998229999999992</x:v>
      </x:c>
      <x:c r="AP1032" s="34" t="n">
        <x:v>0</x:v>
      </x:c>
      <x:c r="AQ1032" s="34" t="n">
        <x:v>0</x:v>
      </x:c>
      <x:c r="AR1032" s="34" t="n">
        <x:v>2</x:v>
      </x:c>
      <x:c r="AS1032" s="34" t="n">
        <x:v>3</x:v>
      </x:c>
      <x:c r="AT1032" s="34" t="n">
        <x:v>0.3406543999999999</x:v>
      </x:c>
      <x:c r="AU1032" s="34" t="n">
        <x:v>0.65</x:v>
      </x:c>
      <x:c r="AV1032" s="34" t="n">
        <x:v>1.3</x:v>
      </x:c>
    </x:row>
    <x:row r="1033">
      <x:c r="A1033" s="34" t="str">
        <x:v>JFE_STEEL_JP</x:v>
      </x:c>
      <x:c r="B1033" s="34" t="str">
        <x:v>JFE Steel</x:v>
      </x:c>
      <x:c r="C1033" s="34" t="str">
        <x:v>DISCLOSED_PATH</x:v>
      </x:c>
      <x:c r="D1033" s="34" t="str">
        <x:v>P3</x:v>
      </x:c>
      <x:c r="E1033" s="34" t="n">
        <x:v>2037</x:v>
      </x:c>
      <x:c r="F1033" s="34" t="n">
        <x:v>4</x:v>
      </x:c>
      <x:c r="G1033" s="34" t="n">
        <x:v>13.004998</x:v>
      </x:c>
      <x:c r="H1033" s="34" t="n">
        <x:v>14</x:v>
      </x:c>
      <x:c r="I1033" s="34" t="n">
        <x:v>0.995002</x:v>
      </x:c>
      <x:c r="J1033" s="34" t="n">
        <x:v>92.893</x:v>
      </x:c>
      <x:c r="K1033" s="34" t="n">
        <x:v>0.495</x:v>
      </x:c>
      <x:c r="L1033" s="34" t="n">
        <x:v>1.6</x:v>
      </x:c>
      <x:c r="M1033" s="34" t="n">
        <x:v>1.105</x:v>
      </x:c>
      <x:c r="N1033" s="34" t="n">
        <x:v>30.937</x:v>
      </x:c>
      <x:c r="O1033" s="34" t="n">
        <x:v>11.013998</x:v>
      </x:c>
      <x:c r="P1033" s="34" t="n">
        <x:v>12.8</x:v>
      </x:c>
      <x:c r="Q1033" s="34" t="n">
        <x:v>1.786002</x:v>
      </x:c>
      <x:c r="R1033" s="34" t="n">
        <x:v>86.047</x:v>
      </x:c>
      <x:c r="S1033" s="40" t="b">
        <x:v>1</x:v>
      </x:c>
      <x:c r="T1033" s="34" t="str">
        <x:v>model_interpolation</x:v>
      </x:c>
      <x:c r="U1033" s="34" t="str">
        <x:v>Linear interpolation from 2035 to 2040</x:v>
      </x:c>
      <x:c r="V1033" s="34" t="str">
        <x:v>CAND-FC0AA3F9FE37C6</x:v>
      </x:c>
      <x:c r="W1033" s="34" t="str">
        <x:v>P3</x:v>
      </x:c>
      <x:c r="X1033" s="34" t="str">
        <x:v>PORT-E5F3D5116135</x:v>
      </x:c>
      <x:c r="Y1033" s="34" t="n">
        <x:v>1000</x:v>
      </x:c>
      <x:c r="Z1033" s="34" t="n">
        <x:v>98.824485</x:v>
      </x:c>
      <x:c r="AA1033" s="34" t="n">
        <x:v>22.717254</x:v>
      </x:c>
      <x:c r="AB1033" s="34" t="n">
        <x:v>321.408363</x:v>
      </x:c>
      <x:c r="AC1033" s="34" t="n">
        <x:v>31315.689</x:v>
      </x:c>
      <x:c r="AD1033" s="34" t="n">
        <x:v>97.432714</x:v>
      </x:c>
      <x:c r="AE1033" s="40" t="b">
        <x:v>1</x:v>
      </x:c>
      <x:c r="AF1033" s="40" t="b">
        <x:v>0</x:v>
      </x:c>
      <x:c r="AG1033" s="34" t="str"/>
      <x:c r="AH1033" s="34" t="n">
        <x:v>0</x:v>
      </x:c>
      <x:c r="AI1033" s="34" t="str">
        <x:v>1.265341119704999e-05</x:v>
      </x:c>
      <x:c r="AJ1033" s="40" t="b">
        <x:v>0</x:v>
      </x:c>
      <x:c r="AK1033" s="40" t="b">
        <x:v>0</x:v>
      </x:c>
      <x:c r="AL1033" s="40" t="b">
        <x:v>1</x:v>
      </x:c>
      <x:c r="AM1033" s="40" t="b">
        <x:v>1</x:v>
      </x:c>
      <x:c r="AN1033" s="34" t="n">
        <x:v>2036</x:v>
      </x:c>
      <x:c r="AO1033" s="34" t="n">
        <x:v>0.004998229999999992</x:v>
      </x:c>
      <x:c r="AP1033" s="34" t="n">
        <x:v>0</x:v>
      </x:c>
      <x:c r="AQ1033" s="34" t="n">
        <x:v>0</x:v>
      </x:c>
      <x:c r="AR1033" s="34" t="n">
        <x:v>2</x:v>
      </x:c>
      <x:c r="AS1033" s="34" t="n">
        <x:v>3</x:v>
      </x:c>
      <x:c r="AT1033" s="34" t="n">
        <x:v>0.3406543999999999</x:v>
      </x:c>
      <x:c r="AU1033" s="34" t="n">
        <x:v>0.65</x:v>
      </x:c>
      <x:c r="AV1033" s="34" t="n">
        <x:v>1.3</x:v>
      </x:c>
    </x:row>
    <x:row r="1034">
      <x:c r="A1034" s="34" t="str">
        <x:v>JFE_STEEL_JP</x:v>
      </x:c>
      <x:c r="B1034" s="34" t="str">
        <x:v>JFE Steel</x:v>
      </x:c>
      <x:c r="C1034" s="34" t="str">
        <x:v>DISCLOSED_PATH</x:v>
      </x:c>
      <x:c r="D1034" s="34" t="str">
        <x:v>P3</x:v>
      </x:c>
      <x:c r="E1034" s="34" t="n">
        <x:v>2038</x:v>
      </x:c>
      <x:c r="F1034" s="34" t="n">
        <x:v>4</x:v>
      </x:c>
      <x:c r="G1034" s="34" t="n">
        <x:v>13.004998</x:v>
      </x:c>
      <x:c r="H1034" s="34" t="n">
        <x:v>15</x:v>
      </x:c>
      <x:c r="I1034" s="34" t="n">
        <x:v>1.995002</x:v>
      </x:c>
      <x:c r="J1034" s="34" t="n">
        <x:v>86.7</x:v>
      </x:c>
      <x:c r="K1034" s="34" t="n">
        <x:v>0.495</x:v>
      </x:c>
      <x:c r="L1034" s="34" t="n">
        <x:v>1.8</x:v>
      </x:c>
      <x:c r="M1034" s="34" t="n">
        <x:v>1.305</x:v>
      </x:c>
      <x:c r="N1034" s="34" t="n">
        <x:v>27.5</x:v>
      </x:c>
      <x:c r="O1034" s="34" t="n">
        <x:v>11.013998</x:v>
      </x:c>
      <x:c r="P1034" s="34" t="n">
        <x:v>14.2</x:v>
      </x:c>
      <x:c r="Q1034" s="34" t="n">
        <x:v>3.186002</x:v>
      </x:c>
      <x:c r="R1034" s="34" t="n">
        <x:v>77.563</x:v>
      </x:c>
      <x:c r="S1034" s="40" t="b">
        <x:v>1</x:v>
      </x:c>
      <x:c r="T1034" s="34" t="str">
        <x:v>model_interpolation</x:v>
      </x:c>
      <x:c r="U1034" s="34" t="str">
        <x:v>Linear interpolation from 2035 to 2040</x:v>
      </x:c>
      <x:c r="V1034" s="34" t="str">
        <x:v>CAND-FC0AA3F9FE37C6</x:v>
      </x:c>
      <x:c r="W1034" s="34" t="str">
        <x:v>P3</x:v>
      </x:c>
      <x:c r="X1034" s="34" t="str">
        <x:v>PORT-E5F3D5116135</x:v>
      </x:c>
      <x:c r="Y1034" s="34" t="n">
        <x:v>1000</x:v>
      </x:c>
      <x:c r="Z1034" s="34" t="n">
        <x:v>98.824485</x:v>
      </x:c>
      <x:c r="AA1034" s="34" t="n">
        <x:v>22.717254</x:v>
      </x:c>
      <x:c r="AB1034" s="34" t="n">
        <x:v>321.408363</x:v>
      </x:c>
      <x:c r="AC1034" s="34" t="n">
        <x:v>31315.689</x:v>
      </x:c>
      <x:c r="AD1034" s="34" t="n">
        <x:v>97.432714</x:v>
      </x:c>
      <x:c r="AE1034" s="40" t="b">
        <x:v>1</x:v>
      </x:c>
      <x:c r="AF1034" s="40" t="b">
        <x:v>0</x:v>
      </x:c>
      <x:c r="AG1034" s="34" t="str"/>
      <x:c r="AH1034" s="34" t="n">
        <x:v>0</x:v>
      </x:c>
      <x:c r="AI1034" s="34" t="str">
        <x:v>1.265341119704999e-05</x:v>
      </x:c>
      <x:c r="AJ1034" s="40" t="b">
        <x:v>0</x:v>
      </x:c>
      <x:c r="AK1034" s="40" t="b">
        <x:v>0</x:v>
      </x:c>
      <x:c r="AL1034" s="40" t="b">
        <x:v>1</x:v>
      </x:c>
      <x:c r="AM1034" s="40" t="b">
        <x:v>1</x:v>
      </x:c>
      <x:c r="AN1034" s="34" t="n">
        <x:v>2036</x:v>
      </x:c>
      <x:c r="AO1034" s="34" t="n">
        <x:v>0.004998229999999992</x:v>
      </x:c>
      <x:c r="AP1034" s="34" t="n">
        <x:v>0</x:v>
      </x:c>
      <x:c r="AQ1034" s="34" t="n">
        <x:v>0</x:v>
      </x:c>
      <x:c r="AR1034" s="34" t="n">
        <x:v>2</x:v>
      </x:c>
      <x:c r="AS1034" s="34" t="n">
        <x:v>3</x:v>
      </x:c>
      <x:c r="AT1034" s="34" t="n">
        <x:v>0.3406543999999999</x:v>
      </x:c>
      <x:c r="AU1034" s="34" t="n">
        <x:v>0.65</x:v>
      </x:c>
      <x:c r="AV1034" s="34" t="n">
        <x:v>1.3</x:v>
      </x:c>
    </x:row>
    <x:row r="1035">
      <x:c r="A1035" s="34" t="str">
        <x:v>JFE_STEEL_JP</x:v>
      </x:c>
      <x:c r="B1035" s="34" t="str">
        <x:v>JFE Steel</x:v>
      </x:c>
      <x:c r="C1035" s="34" t="str">
        <x:v>DISCLOSED_PATH</x:v>
      </x:c>
      <x:c r="D1035" s="34" t="str">
        <x:v>P3</x:v>
      </x:c>
      <x:c r="E1035" s="34" t="n">
        <x:v>2039</x:v>
      </x:c>
      <x:c r="F1035" s="34" t="n">
        <x:v>4</x:v>
      </x:c>
      <x:c r="G1035" s="34" t="n">
        <x:v>13.004998</x:v>
      </x:c>
      <x:c r="H1035" s="34" t="n">
        <x:v>16</x:v>
      </x:c>
      <x:c r="I1035" s="34" t="n">
        <x:v>2.995002</x:v>
      </x:c>
      <x:c r="J1035" s="34" t="n">
        <x:v>81.281</x:v>
      </x:c>
      <x:c r="K1035" s="34" t="n">
        <x:v>0.495</x:v>
      </x:c>
      <x:c r="L1035" s="34" t="n">
        <x:v>2</x:v>
      </x:c>
      <x:c r="M1035" s="34" t="n">
        <x:v>1.505</x:v>
      </x:c>
      <x:c r="N1035" s="34" t="n">
        <x:v>24.75</x:v>
      </x:c>
      <x:c r="O1035" s="34" t="n">
        <x:v>11.013998</x:v>
      </x:c>
      <x:c r="P1035" s="34" t="n">
        <x:v>15.600000000000001</x:v>
      </x:c>
      <x:c r="Q1035" s="34" t="n">
        <x:v>4.586002</x:v>
      </x:c>
      <x:c r="R1035" s="34" t="n">
        <x:v>70.603</x:v>
      </x:c>
      <x:c r="S1035" s="40" t="b">
        <x:v>1</x:v>
      </x:c>
      <x:c r="T1035" s="34" t="str">
        <x:v>model_interpolation</x:v>
      </x:c>
      <x:c r="U1035" s="34" t="str">
        <x:v>Linear interpolation from 2035 to 2040</x:v>
      </x:c>
      <x:c r="V1035" s="34" t="str">
        <x:v>CAND-FC0AA3F9FE37C6</x:v>
      </x:c>
      <x:c r="W1035" s="34" t="str">
        <x:v>P3</x:v>
      </x:c>
      <x:c r="X1035" s="34" t="str">
        <x:v>PORT-E5F3D5116135</x:v>
      </x:c>
      <x:c r="Y1035" s="34" t="n">
        <x:v>1000</x:v>
      </x:c>
      <x:c r="Z1035" s="34" t="n">
        <x:v>98.824485</x:v>
      </x:c>
      <x:c r="AA1035" s="34" t="n">
        <x:v>22.717254</x:v>
      </x:c>
      <x:c r="AB1035" s="34" t="n">
        <x:v>321.408363</x:v>
      </x:c>
      <x:c r="AC1035" s="34" t="n">
        <x:v>31315.689</x:v>
      </x:c>
      <x:c r="AD1035" s="34" t="n">
        <x:v>97.432714</x:v>
      </x:c>
      <x:c r="AE1035" s="40" t="b">
        <x:v>1</x:v>
      </x:c>
      <x:c r="AF1035" s="40" t="b">
        <x:v>0</x:v>
      </x:c>
      <x:c r="AG1035" s="34" t="str"/>
      <x:c r="AH1035" s="34" t="n">
        <x:v>0</x:v>
      </x:c>
      <x:c r="AI1035" s="34" t="str">
        <x:v>1.265341119704999e-05</x:v>
      </x:c>
      <x:c r="AJ1035" s="40" t="b">
        <x:v>0</x:v>
      </x:c>
      <x:c r="AK1035" s="40" t="b">
        <x:v>0</x:v>
      </x:c>
      <x:c r="AL1035" s="40" t="b">
        <x:v>1</x:v>
      </x:c>
      <x:c r="AM1035" s="40" t="b">
        <x:v>1</x:v>
      </x:c>
      <x:c r="AN1035" s="34" t="n">
        <x:v>2036</x:v>
      </x:c>
      <x:c r="AO1035" s="34" t="n">
        <x:v>0.004998229999999992</x:v>
      </x:c>
      <x:c r="AP1035" s="34" t="n">
        <x:v>0</x:v>
      </x:c>
      <x:c r="AQ1035" s="34" t="n">
        <x:v>0</x:v>
      </x:c>
      <x:c r="AR1035" s="34" t="n">
        <x:v>2</x:v>
      </x:c>
      <x:c r="AS1035" s="34" t="n">
        <x:v>3</x:v>
      </x:c>
      <x:c r="AT1035" s="34" t="n">
        <x:v>0.3406543999999999</x:v>
      </x:c>
      <x:c r="AU1035" s="34" t="n">
        <x:v>0.65</x:v>
      </x:c>
      <x:c r="AV1035" s="34" t="n">
        <x:v>1.3</x:v>
      </x:c>
    </x:row>
    <x:row r="1036">
      <x:c r="A1036" s="34" t="str">
        <x:v>JFE_STEEL_JP</x:v>
      </x:c>
      <x:c r="B1036" s="34" t="str">
        <x:v>JFE Steel</x:v>
      </x:c>
      <x:c r="C1036" s="34" t="str">
        <x:v>DISCLOSED_PATH</x:v>
      </x:c>
      <x:c r="D1036" s="34" t="str">
        <x:v>P3</x:v>
      </x:c>
      <x:c r="E1036" s="34" t="n">
        <x:v>2040</x:v>
      </x:c>
      <x:c r="F1036" s="34" t="n">
        <x:v>4</x:v>
      </x:c>
      <x:c r="G1036" s="34" t="n">
        <x:v>13.004998</x:v>
      </x:c>
      <x:c r="H1036" s="34" t="n">
        <x:v>17</x:v>
      </x:c>
      <x:c r="I1036" s="34" t="n">
        <x:v>3.995002</x:v>
      </x:c>
      <x:c r="J1036" s="34" t="n">
        <x:v>76.5</x:v>
      </x:c>
      <x:c r="K1036" s="34" t="n">
        <x:v>0.495</x:v>
      </x:c>
      <x:c r="L1036" s="34" t="n">
        <x:v>2.2</x:v>
      </x:c>
      <x:c r="M1036" s="34" t="n">
        <x:v>1.705</x:v>
      </x:c>
      <x:c r="N1036" s="34" t="n">
        <x:v>22.5</x:v>
      </x:c>
      <x:c r="O1036" s="34" t="n">
        <x:v>11.013998</x:v>
      </x:c>
      <x:c r="P1036" s="34" t="n">
        <x:v>17</x:v>
      </x:c>
      <x:c r="Q1036" s="34" t="n">
        <x:v>5.986002</x:v>
      </x:c>
      <x:c r="R1036" s="34" t="n">
        <x:v>64.788</x:v>
      </x:c>
      <x:c r="S1036" s="40" t="b">
        <x:v>1</x:v>
      </x:c>
      <x:c r="T1036" s="34" t="str">
        <x:v>model_estimate</x:v>
      </x:c>
      <x:c r="U1036" s="34" t="str">
        <x:v>Illustrative screening envelope; not an official supply forecast</x:v>
      </x:c>
      <x:c r="V1036" s="34" t="str">
        <x:v>CAND-FC0AA3F9FE37C6</x:v>
      </x:c>
      <x:c r="W1036" s="34" t="str">
        <x:v>P3</x:v>
      </x:c>
      <x:c r="X1036" s="34" t="str">
        <x:v>PORT-E5F3D5116135</x:v>
      </x:c>
      <x:c r="Y1036" s="34" t="n">
        <x:v>1000</x:v>
      </x:c>
      <x:c r="Z1036" s="34" t="n">
        <x:v>98.824485</x:v>
      </x:c>
      <x:c r="AA1036" s="34" t="n">
        <x:v>22.717254</x:v>
      </x:c>
      <x:c r="AB1036" s="34" t="n">
        <x:v>321.408363</x:v>
      </x:c>
      <x:c r="AC1036" s="34" t="n">
        <x:v>31315.689</x:v>
      </x:c>
      <x:c r="AD1036" s="34" t="n">
        <x:v>97.432714</x:v>
      </x:c>
      <x:c r="AE1036" s="40" t="b">
        <x:v>1</x:v>
      </x:c>
      <x:c r="AF1036" s="40" t="b">
        <x:v>0</x:v>
      </x:c>
      <x:c r="AG1036" s="34" t="str"/>
      <x:c r="AH1036" s="34" t="n">
        <x:v>0</x:v>
      </x:c>
      <x:c r="AI1036" s="34" t="str">
        <x:v>1.265341119704999e-05</x:v>
      </x:c>
      <x:c r="AJ1036" s="40" t="b">
        <x:v>0</x:v>
      </x:c>
      <x:c r="AK1036" s="40" t="b">
        <x:v>0</x:v>
      </x:c>
      <x:c r="AL1036" s="40" t="b">
        <x:v>1</x:v>
      </x:c>
      <x:c r="AM1036" s="40" t="b">
        <x:v>1</x:v>
      </x:c>
      <x:c r="AN1036" s="34" t="n">
        <x:v>2036</x:v>
      </x:c>
      <x:c r="AO1036" s="34" t="n">
        <x:v>0.004998229999999992</x:v>
      </x:c>
      <x:c r="AP1036" s="34" t="n">
        <x:v>0</x:v>
      </x:c>
      <x:c r="AQ1036" s="34" t="n">
        <x:v>0</x:v>
      </x:c>
      <x:c r="AR1036" s="34" t="n">
        <x:v>2</x:v>
      </x:c>
      <x:c r="AS1036" s="34" t="n">
        <x:v>3</x:v>
      </x:c>
      <x:c r="AT1036" s="34" t="n">
        <x:v>0.3406543999999999</x:v>
      </x:c>
      <x:c r="AU1036" s="34" t="n">
        <x:v>0.65</x:v>
      </x:c>
      <x:c r="AV1036" s="34" t="n">
        <x:v>1.3</x:v>
      </x:c>
    </x:row>
    <x:row r="1037">
      <x:c r="A1037" s="34" t="str">
        <x:v>JFE_STEEL_JP</x:v>
      </x:c>
      <x:c r="B1037" s="34" t="str">
        <x:v>JFE Steel</x:v>
      </x:c>
      <x:c r="C1037" s="34" t="str">
        <x:v>ACCELERATED_15C</x:v>
      </x:c>
      <x:c r="D1037" s="34" t="str">
        <x:v>P3</x:v>
      </x:c>
      <x:c r="E1037" s="34" t="n">
        <x:v>2026</x:v>
      </x:c>
      <x:c r="F1037" s="34" t="n">
        <x:v>0</x:v>
      </x:c>
      <x:c r="G1037" s="34" t="n">
        <x:v>0</x:v>
      </x:c>
      <x:c r="H1037" s="34" t="n">
        <x:v>5</x:v>
      </x:c>
      <x:c r="I1037" s="34" t="n">
        <x:v>5</x:v>
      </x:c>
      <x:c r="J1037" s="34" t="n">
        <x:v>0</x:v>
      </x:c>
      <x:c r="K1037" s="34" t="n">
        <x:v>0</x:v>
      </x:c>
      <x:c r="L1037" s="34" t="n">
        <x:v>0.1</x:v>
      </x:c>
      <x:c r="M1037" s="34" t="n">
        <x:v>0.1</x:v>
      </x:c>
      <x:c r="N1037" s="34" t="n">
        <x:v>0</x:v>
      </x:c>
      <x:c r="O1037" s="34" t="n">
        <x:v>0</x:v>
      </x:c>
      <x:c r="P1037" s="34" t="n">
        <x:v>1.5</x:v>
      </x:c>
      <x:c r="Q1037" s="34" t="n">
        <x:v>1.5</x:v>
      </x:c>
      <x:c r="R1037" s="34" t="n">
        <x:v>0</x:v>
      </x:c>
      <x:c r="S1037" s="40" t="b">
        <x:v>1</x:v>
      </x:c>
      <x:c r="T1037" s="34" t="str">
        <x:v>model_interpolation</x:v>
      </x:c>
      <x:c r="U1037" s="34" t="str">
        <x:v>Linear interpolation from 2026 to 2030</x:v>
      </x:c>
      <x:c r="V1037" s="34" t="str">
        <x:v>CAND-FC0AA3F9FE37C6</x:v>
      </x:c>
      <x:c r="W1037" s="34" t="str">
        <x:v>P3</x:v>
      </x:c>
      <x:c r="X1037" s="34" t="str">
        <x:v>PORT-E5F3D5116135</x:v>
      </x:c>
      <x:c r="Y1037" s="34" t="n">
        <x:v>1000</x:v>
      </x:c>
      <x:c r="Z1037" s="34" t="n">
        <x:v>88.069513</x:v>
      </x:c>
      <x:c r="AA1037" s="34" t="n">
        <x:v>23.623738</x:v>
      </x:c>
      <x:c r="AB1037" s="34" t="n">
        <x:v>321.408363</x:v>
      </x:c>
      <x:c r="AC1037" s="34" t="n">
        <x:v>27857.175</x:v>
      </x:c>
      <x:c r="AD1037" s="34" t="n">
        <x:v>86.672217</x:v>
      </x:c>
      <x:c r="AE1037" s="40" t="b">
        <x:v>1</x:v>
      </x:c>
      <x:c r="AF1037" s="40" t="b">
        <x:v>1</x:v>
      </x:c>
      <x:c r="AG1037" s="34" t="str"/>
      <x:c r="AH1037" s="34" t="n">
        <x:v>0</x:v>
      </x:c>
      <x:c r="AI1037" s="34" t="str">
        <x:v>1.265341119704999e-05</x:v>
      </x:c>
      <x:c r="AJ1037" s="40" t="b">
        <x:v>1</x:v>
      </x:c>
      <x:c r="AK1037" s="40" t="b">
        <x:v>1</x:v>
      </x:c>
      <x:c r="AL1037" s="40" t="b">
        <x:v>1</x:v>
      </x:c>
      <x:c r="AM1037" s="40" t="b">
        <x:v>1</x:v>
      </x:c>
      <x:c r="AN1037" s="34" t="str"/>
      <x:c r="AO1037" s="34" t="n">
        <x:v>0</x:v>
      </x:c>
      <x:c r="AP1037" s="34" t="n">
        <x:v>0</x:v>
      </x:c>
      <x:c r="AQ1037" s="34" t="n">
        <x:v>0</x:v>
      </x:c>
      <x:c r="AR1037" s="34" t="n">
        <x:v>2</x:v>
      </x:c>
      <x:c r="AS1037" s="34" t="n">
        <x:v>3</x:v>
      </x:c>
      <x:c r="AT1037" s="34" t="n">
        <x:v>0.3406543999999999</x:v>
      </x:c>
      <x:c r="AU1037" s="34" t="n">
        <x:v>0.65</x:v>
      </x:c>
      <x:c r="AV1037" s="34" t="n">
        <x:v>1.3</x:v>
      </x:c>
    </x:row>
    <x:row r="1038">
      <x:c r="A1038" s="34" t="str">
        <x:v>JFE_STEEL_JP</x:v>
      </x:c>
      <x:c r="B1038" s="34" t="str">
        <x:v>JFE Steel</x:v>
      </x:c>
      <x:c r="C1038" s="34" t="str">
        <x:v>ACCELERATED_15C</x:v>
      </x:c>
      <x:c r="D1038" s="34" t="str">
        <x:v>P3</x:v>
      </x:c>
      <x:c r="E1038" s="34" t="n">
        <x:v>2027</x:v>
      </x:c>
      <x:c r="F1038" s="34" t="n">
        <x:v>0</x:v>
      </x:c>
      <x:c r="G1038" s="34" t="n">
        <x:v>0</x:v>
      </x:c>
      <x:c r="H1038" s="34" t="n">
        <x:v>6.25</x:v>
      </x:c>
      <x:c r="I1038" s="34" t="n">
        <x:v>6.25</x:v>
      </x:c>
      <x:c r="J1038" s="34" t="n">
        <x:v>0</x:v>
      </x:c>
      <x:c r="K1038" s="34" t="n">
        <x:v>0</x:v>
      </x:c>
      <x:c r="L1038" s="34" t="n">
        <x:v>0.225</x:v>
      </x:c>
      <x:c r="M1038" s="34" t="n">
        <x:v>0.225</x:v>
      </x:c>
      <x:c r="N1038" s="34" t="n">
        <x:v>0</x:v>
      </x:c>
      <x:c r="O1038" s="34" t="n">
        <x:v>0</x:v>
      </x:c>
      <x:c r="P1038" s="34" t="n">
        <x:v>2.875</x:v>
      </x:c>
      <x:c r="Q1038" s="34" t="n">
        <x:v>2.875</x:v>
      </x:c>
      <x:c r="R1038" s="34" t="n">
        <x:v>0</x:v>
      </x:c>
      <x:c r="S1038" s="40" t="b">
        <x:v>1</x:v>
      </x:c>
      <x:c r="T1038" s="34" t="str">
        <x:v>model_interpolation</x:v>
      </x:c>
      <x:c r="U1038" s="34" t="str">
        <x:v>Linear interpolation from 2026 to 2030</x:v>
      </x:c>
      <x:c r="V1038" s="34" t="str">
        <x:v>CAND-FC0AA3F9FE37C6</x:v>
      </x:c>
      <x:c r="W1038" s="34" t="str">
        <x:v>P3</x:v>
      </x:c>
      <x:c r="X1038" s="34" t="str">
        <x:v>PORT-E5F3D5116135</x:v>
      </x:c>
      <x:c r="Y1038" s="34" t="n">
        <x:v>1000</x:v>
      </x:c>
      <x:c r="Z1038" s="34" t="n">
        <x:v>88.069513</x:v>
      </x:c>
      <x:c r="AA1038" s="34" t="n">
        <x:v>23.623738</x:v>
      </x:c>
      <x:c r="AB1038" s="34" t="n">
        <x:v>321.408363</x:v>
      </x:c>
      <x:c r="AC1038" s="34" t="n">
        <x:v>27857.175</x:v>
      </x:c>
      <x:c r="AD1038" s="34" t="n">
        <x:v>86.672217</x:v>
      </x:c>
      <x:c r="AE1038" s="40" t="b">
        <x:v>1</x:v>
      </x:c>
      <x:c r="AF1038" s="40" t="b">
        <x:v>1</x:v>
      </x:c>
      <x:c r="AG1038" s="34" t="str"/>
      <x:c r="AH1038" s="34" t="n">
        <x:v>0</x:v>
      </x:c>
      <x:c r="AI1038" s="34" t="str">
        <x:v>1.265341119704999e-05</x:v>
      </x:c>
      <x:c r="AJ1038" s="40" t="b">
        <x:v>1</x:v>
      </x:c>
      <x:c r="AK1038" s="40" t="b">
        <x:v>1</x:v>
      </x:c>
      <x:c r="AL1038" s="40" t="b">
        <x:v>1</x:v>
      </x:c>
      <x:c r="AM1038" s="40" t="b">
        <x:v>1</x:v>
      </x:c>
      <x:c r="AN1038" s="34" t="str"/>
      <x:c r="AO1038" s="34" t="n">
        <x:v>0</x:v>
      </x:c>
      <x:c r="AP1038" s="34" t="n">
        <x:v>0</x:v>
      </x:c>
      <x:c r="AQ1038" s="34" t="n">
        <x:v>0</x:v>
      </x:c>
      <x:c r="AR1038" s="34" t="n">
        <x:v>2</x:v>
      </x:c>
      <x:c r="AS1038" s="34" t="n">
        <x:v>3</x:v>
      </x:c>
      <x:c r="AT1038" s="34" t="n">
        <x:v>0.3406543999999999</x:v>
      </x:c>
      <x:c r="AU1038" s="34" t="n">
        <x:v>0.65</x:v>
      </x:c>
      <x:c r="AV1038" s="34" t="n">
        <x:v>1.3</x:v>
      </x:c>
    </x:row>
    <x:row r="1039">
      <x:c r="A1039" s="34" t="str">
        <x:v>JFE_STEEL_JP</x:v>
      </x:c>
      <x:c r="B1039" s="34" t="str">
        <x:v>JFE Steel</x:v>
      </x:c>
      <x:c r="C1039" s="34" t="str">
        <x:v>ACCELERATED_15C</x:v>
      </x:c>
      <x:c r="D1039" s="34" t="str">
        <x:v>P3</x:v>
      </x:c>
      <x:c r="E1039" s="34" t="n">
        <x:v>2028</x:v>
      </x:c>
      <x:c r="F1039" s="34" t="n">
        <x:v>0</x:v>
      </x:c>
      <x:c r="G1039" s="34" t="n">
        <x:v>0</x:v>
      </x:c>
      <x:c r="H1039" s="34" t="n">
        <x:v>7.5</x:v>
      </x:c>
      <x:c r="I1039" s="34" t="n">
        <x:v>7.5</x:v>
      </x:c>
      <x:c r="J1039" s="34" t="n">
        <x:v>0</x:v>
      </x:c>
      <x:c r="K1039" s="34" t="n">
        <x:v>0</x:v>
      </x:c>
      <x:c r="L1039" s="34" t="n">
        <x:v>0.35</x:v>
      </x:c>
      <x:c r="M1039" s="34" t="n">
        <x:v>0.35</x:v>
      </x:c>
      <x:c r="N1039" s="34" t="n">
        <x:v>0</x:v>
      </x:c>
      <x:c r="O1039" s="34" t="n">
        <x:v>0</x:v>
      </x:c>
      <x:c r="P1039" s="34" t="n">
        <x:v>4.25</x:v>
      </x:c>
      <x:c r="Q1039" s="34" t="n">
        <x:v>4.25</x:v>
      </x:c>
      <x:c r="R1039" s="34" t="n">
        <x:v>0</x:v>
      </x:c>
      <x:c r="S1039" s="40" t="b">
        <x:v>1</x:v>
      </x:c>
      <x:c r="T1039" s="34" t="str">
        <x:v>model_interpolation</x:v>
      </x:c>
      <x:c r="U1039" s="34" t="str">
        <x:v>Linear interpolation from 2026 to 2030</x:v>
      </x:c>
      <x:c r="V1039" s="34" t="str">
        <x:v>CAND-FC0AA3F9FE37C6</x:v>
      </x:c>
      <x:c r="W1039" s="34" t="str">
        <x:v>P3</x:v>
      </x:c>
      <x:c r="X1039" s="34" t="str">
        <x:v>PORT-E5F3D5116135</x:v>
      </x:c>
      <x:c r="Y1039" s="34" t="n">
        <x:v>1000</x:v>
      </x:c>
      <x:c r="Z1039" s="34" t="n">
        <x:v>88.069513</x:v>
      </x:c>
      <x:c r="AA1039" s="34" t="n">
        <x:v>23.623738</x:v>
      </x:c>
      <x:c r="AB1039" s="34" t="n">
        <x:v>321.408363</x:v>
      </x:c>
      <x:c r="AC1039" s="34" t="n">
        <x:v>27857.175</x:v>
      </x:c>
      <x:c r="AD1039" s="34" t="n">
        <x:v>86.672217</x:v>
      </x:c>
      <x:c r="AE1039" s="40" t="b">
        <x:v>1</x:v>
      </x:c>
      <x:c r="AF1039" s="40" t="b">
        <x:v>1</x:v>
      </x:c>
      <x:c r="AG1039" s="34" t="str"/>
      <x:c r="AH1039" s="34" t="n">
        <x:v>0</x:v>
      </x:c>
      <x:c r="AI1039" s="34" t="str">
        <x:v>1.265341119704999e-05</x:v>
      </x:c>
      <x:c r="AJ1039" s="40" t="b">
        <x:v>1</x:v>
      </x:c>
      <x:c r="AK1039" s="40" t="b">
        <x:v>1</x:v>
      </x:c>
      <x:c r="AL1039" s="40" t="b">
        <x:v>1</x:v>
      </x:c>
      <x:c r="AM1039" s="40" t="b">
        <x:v>1</x:v>
      </x:c>
      <x:c r="AN1039" s="34" t="str"/>
      <x:c r="AO1039" s="34" t="n">
        <x:v>0</x:v>
      </x:c>
      <x:c r="AP1039" s="34" t="n">
        <x:v>0</x:v>
      </x:c>
      <x:c r="AQ1039" s="34" t="n">
        <x:v>0</x:v>
      </x:c>
      <x:c r="AR1039" s="34" t="n">
        <x:v>2</x:v>
      </x:c>
      <x:c r="AS1039" s="34" t="n">
        <x:v>3</x:v>
      </x:c>
      <x:c r="AT1039" s="34" t="n">
        <x:v>0.3406543999999999</x:v>
      </x:c>
      <x:c r="AU1039" s="34" t="n">
        <x:v>0.65</x:v>
      </x:c>
      <x:c r="AV1039" s="34" t="n">
        <x:v>1.3</x:v>
      </x:c>
    </x:row>
    <x:row r="1040">
      <x:c r="A1040" s="34" t="str">
        <x:v>JFE_STEEL_JP</x:v>
      </x:c>
      <x:c r="B1040" s="34" t="str">
        <x:v>JFE Steel</x:v>
      </x:c>
      <x:c r="C1040" s="34" t="str">
        <x:v>ACCELERATED_15C</x:v>
      </x:c>
      <x:c r="D1040" s="34" t="str">
        <x:v>P3</x:v>
      </x:c>
      <x:c r="E1040" s="34" t="n">
        <x:v>2029</x:v>
      </x:c>
      <x:c r="F1040" s="34" t="n">
        <x:v>1</x:v>
      </x:c>
      <x:c r="G1040" s="34" t="n">
        <x:v>6.120001</x:v>
      </x:c>
      <x:c r="H1040" s="34" t="n">
        <x:v>8.75</x:v>
      </x:c>
      <x:c r="I1040" s="34" t="n">
        <x:v>2.629999</x:v>
      </x:c>
      <x:c r="J1040" s="34" t="n">
        <x:v>69.943</x:v>
      </x:c>
      <x:c r="K1040" s="34" t="n">
        <x:v>0</x:v>
      </x:c>
      <x:c r="L1040" s="34" t="n">
        <x:v>0.475</x:v>
      </x:c>
      <x:c r="M1040" s="34" t="n">
        <x:v>0.475</x:v>
      </x:c>
      <x:c r="N1040" s="34" t="n">
        <x:v>0</x:v>
      </x:c>
      <x:c r="O1040" s="34" t="n">
        <x:v>3.808</x:v>
      </x:c>
      <x:c r="P1040" s="34" t="n">
        <x:v>5.625</x:v>
      </x:c>
      <x:c r="Q1040" s="34" t="n">
        <x:v>1.817</x:v>
      </x:c>
      <x:c r="R1040" s="34" t="n">
        <x:v>67.698</x:v>
      </x:c>
      <x:c r="S1040" s="40" t="b">
        <x:v>1</x:v>
      </x:c>
      <x:c r="T1040" s="34" t="str">
        <x:v>model_interpolation</x:v>
      </x:c>
      <x:c r="U1040" s="34" t="str">
        <x:v>Linear interpolation from 2026 to 2030</x:v>
      </x:c>
      <x:c r="V1040" s="34" t="str">
        <x:v>CAND-FC0AA3F9FE37C6</x:v>
      </x:c>
      <x:c r="W1040" s="34" t="str">
        <x:v>P3</x:v>
      </x:c>
      <x:c r="X1040" s="34" t="str">
        <x:v>PORT-E5F3D5116135</x:v>
      </x:c>
      <x:c r="Y1040" s="34" t="n">
        <x:v>1000</x:v>
      </x:c>
      <x:c r="Z1040" s="34" t="n">
        <x:v>88.069513</x:v>
      </x:c>
      <x:c r="AA1040" s="34" t="n">
        <x:v>23.623738</x:v>
      </x:c>
      <x:c r="AB1040" s="34" t="n">
        <x:v>321.408363</x:v>
      </x:c>
      <x:c r="AC1040" s="34" t="n">
        <x:v>27857.175</x:v>
      </x:c>
      <x:c r="AD1040" s="34" t="n">
        <x:v>86.672217</x:v>
      </x:c>
      <x:c r="AE1040" s="40" t="b">
        <x:v>1</x:v>
      </x:c>
      <x:c r="AF1040" s="40" t="b">
        <x:v>1</x:v>
      </x:c>
      <x:c r="AG1040" s="34" t="str"/>
      <x:c r="AH1040" s="34" t="n">
        <x:v>0</x:v>
      </x:c>
      <x:c r="AI1040" s="34" t="str">
        <x:v>1.265341119704999e-05</x:v>
      </x:c>
      <x:c r="AJ1040" s="40" t="b">
        <x:v>1</x:v>
      </x:c>
      <x:c r="AK1040" s="40" t="b">
        <x:v>1</x:v>
      </x:c>
      <x:c r="AL1040" s="40" t="b">
        <x:v>1</x:v>
      </x:c>
      <x:c r="AM1040" s="40" t="b">
        <x:v>1</x:v>
      </x:c>
      <x:c r="AN1040" s="34" t="str"/>
      <x:c r="AO1040" s="34" t="n">
        <x:v>0</x:v>
      </x:c>
      <x:c r="AP1040" s="34" t="n">
        <x:v>0</x:v>
      </x:c>
      <x:c r="AQ1040" s="34" t="n">
        <x:v>0</x:v>
      </x:c>
      <x:c r="AR1040" s="34" t="n">
        <x:v>2</x:v>
      </x:c>
      <x:c r="AS1040" s="34" t="n">
        <x:v>3</x:v>
      </x:c>
      <x:c r="AT1040" s="34" t="n">
        <x:v>0.3406543999999999</x:v>
      </x:c>
      <x:c r="AU1040" s="34" t="n">
        <x:v>0.65</x:v>
      </x:c>
      <x:c r="AV1040" s="34" t="n">
        <x:v>1.3</x:v>
      </x:c>
    </x:row>
    <x:row r="1041">
      <x:c r="A1041" s="34" t="str">
        <x:v>JFE_STEEL_JP</x:v>
      </x:c>
      <x:c r="B1041" s="34" t="str">
        <x:v>JFE Steel</x:v>
      </x:c>
      <x:c r="C1041" s="34" t="str">
        <x:v>ACCELERATED_15C</x:v>
      </x:c>
      <x:c r="D1041" s="34" t="str">
        <x:v>P3</x:v>
      </x:c>
      <x:c r="E1041" s="34" t="n">
        <x:v>2030</x:v>
      </x:c>
      <x:c r="F1041" s="34" t="n">
        <x:v>1</x:v>
      </x:c>
      <x:c r="G1041" s="34" t="n">
        <x:v>6.120001</x:v>
      </x:c>
      <x:c r="H1041" s="34" t="n">
        <x:v>10</x:v>
      </x:c>
      <x:c r="I1041" s="34" t="n">
        <x:v>3.879999</x:v>
      </x:c>
      <x:c r="J1041" s="34" t="n">
        <x:v>61.2</x:v>
      </x:c>
      <x:c r="K1041" s="34" t="n">
        <x:v>0</x:v>
      </x:c>
      <x:c r="L1041" s="34" t="n">
        <x:v>0.6</x:v>
      </x:c>
      <x:c r="M1041" s="34" t="n">
        <x:v>0.6</x:v>
      </x:c>
      <x:c r="N1041" s="34" t="n">
        <x:v>0</x:v>
      </x:c>
      <x:c r="O1041" s="34" t="n">
        <x:v>3.808</x:v>
      </x:c>
      <x:c r="P1041" s="34" t="n">
        <x:v>7</x:v>
      </x:c>
      <x:c r="Q1041" s="34" t="n">
        <x:v>3.192</x:v>
      </x:c>
      <x:c r="R1041" s="34" t="n">
        <x:v>54.4</x:v>
      </x:c>
      <x:c r="S1041" s="40" t="b">
        <x:v>1</x:v>
      </x:c>
      <x:c r="T1041" s="34" t="str">
        <x:v>model_interpolation</x:v>
      </x:c>
      <x:c r="U1041" s="34" t="str">
        <x:v>Linear interpolation from 2030 to 2035</x:v>
      </x:c>
      <x:c r="V1041" s="34" t="str">
        <x:v>CAND-FC0AA3F9FE37C6</x:v>
      </x:c>
      <x:c r="W1041" s="34" t="str">
        <x:v>P3</x:v>
      </x:c>
      <x:c r="X1041" s="34" t="str">
        <x:v>PORT-E5F3D5116135</x:v>
      </x:c>
      <x:c r="Y1041" s="34" t="n">
        <x:v>1000</x:v>
      </x:c>
      <x:c r="Z1041" s="34" t="n">
        <x:v>88.069513</x:v>
      </x:c>
      <x:c r="AA1041" s="34" t="n">
        <x:v>23.623738</x:v>
      </x:c>
      <x:c r="AB1041" s="34" t="n">
        <x:v>321.408363</x:v>
      </x:c>
      <x:c r="AC1041" s="34" t="n">
        <x:v>27857.175</x:v>
      </x:c>
      <x:c r="AD1041" s="34" t="n">
        <x:v>86.672217</x:v>
      </x:c>
      <x:c r="AE1041" s="40" t="b">
        <x:v>1</x:v>
      </x:c>
      <x:c r="AF1041" s="40" t="b">
        <x:v>1</x:v>
      </x:c>
      <x:c r="AG1041" s="34" t="str"/>
      <x:c r="AH1041" s="34" t="n">
        <x:v>0</x:v>
      </x:c>
      <x:c r="AI1041" s="34" t="str">
        <x:v>1.265341119704999e-05</x:v>
      </x:c>
      <x:c r="AJ1041" s="40" t="b">
        <x:v>1</x:v>
      </x:c>
      <x:c r="AK1041" s="40" t="b">
        <x:v>1</x:v>
      </x:c>
      <x:c r="AL1041" s="40" t="b">
        <x:v>1</x:v>
      </x:c>
      <x:c r="AM1041" s="40" t="b">
        <x:v>1</x:v>
      </x:c>
      <x:c r="AN1041" s="34" t="str"/>
      <x:c r="AO1041" s="34" t="n">
        <x:v>0</x:v>
      </x:c>
      <x:c r="AP1041" s="34" t="n">
        <x:v>0</x:v>
      </x:c>
      <x:c r="AQ1041" s="34" t="n">
        <x:v>0</x:v>
      </x:c>
      <x:c r="AR1041" s="34" t="n">
        <x:v>2</x:v>
      </x:c>
      <x:c r="AS1041" s="34" t="n">
        <x:v>3</x:v>
      </x:c>
      <x:c r="AT1041" s="34" t="n">
        <x:v>0.3406543999999999</x:v>
      </x:c>
      <x:c r="AU1041" s="34" t="n">
        <x:v>0.65</x:v>
      </x:c>
      <x:c r="AV1041" s="34" t="n">
        <x:v>1.3</x:v>
      </x:c>
    </x:row>
    <x:row r="1042">
      <x:c r="A1042" s="34" t="str">
        <x:v>JFE_STEEL_JP</x:v>
      </x:c>
      <x:c r="B1042" s="34" t="str">
        <x:v>JFE Steel</x:v>
      </x:c>
      <x:c r="C1042" s="34" t="str">
        <x:v>ACCELERATED_15C</x:v>
      </x:c>
      <x:c r="D1042" s="34" t="str">
        <x:v>P3</x:v>
      </x:c>
      <x:c r="E1042" s="34" t="n">
        <x:v>2031</x:v>
      </x:c>
      <x:c r="F1042" s="34" t="n">
        <x:v>1</x:v>
      </x:c>
      <x:c r="G1042" s="34" t="n">
        <x:v>6.120001</x:v>
      </x:c>
      <x:c r="H1042" s="34" t="n">
        <x:v>11.2</x:v>
      </x:c>
      <x:c r="I1042" s="34" t="n">
        <x:v>5.079999</x:v>
      </x:c>
      <x:c r="J1042" s="34" t="n">
        <x:v>54.643</x:v>
      </x:c>
      <x:c r="K1042" s="34" t="n">
        <x:v>0</x:v>
      </x:c>
      <x:c r="L1042" s="34" t="n">
        <x:v>0.8400000000000001</x:v>
      </x:c>
      <x:c r="M1042" s="34" t="n">
        <x:v>0.84</x:v>
      </x:c>
      <x:c r="N1042" s="34" t="n">
        <x:v>0</x:v>
      </x:c>
      <x:c r="O1042" s="34" t="n">
        <x:v>3.808</x:v>
      </x:c>
      <x:c r="P1042" s="34" t="n">
        <x:v>8.4</x:v>
      </x:c>
      <x:c r="Q1042" s="34" t="n">
        <x:v>4.592</x:v>
      </x:c>
      <x:c r="R1042" s="34" t="n">
        <x:v>45.333</x:v>
      </x:c>
      <x:c r="S1042" s="40" t="b">
        <x:v>1</x:v>
      </x:c>
      <x:c r="T1042" s="34" t="str">
        <x:v>model_interpolation</x:v>
      </x:c>
      <x:c r="U1042" s="34" t="str">
        <x:v>Linear interpolation from 2030 to 2035</x:v>
      </x:c>
      <x:c r="V1042" s="34" t="str">
        <x:v>CAND-FC0AA3F9FE37C6</x:v>
      </x:c>
      <x:c r="W1042" s="34" t="str">
        <x:v>P3</x:v>
      </x:c>
      <x:c r="X1042" s="34" t="str">
        <x:v>PORT-E5F3D5116135</x:v>
      </x:c>
      <x:c r="Y1042" s="34" t="n">
        <x:v>1000</x:v>
      </x:c>
      <x:c r="Z1042" s="34" t="n">
        <x:v>88.069513</x:v>
      </x:c>
      <x:c r="AA1042" s="34" t="n">
        <x:v>23.623738</x:v>
      </x:c>
      <x:c r="AB1042" s="34" t="n">
        <x:v>321.408363</x:v>
      </x:c>
      <x:c r="AC1042" s="34" t="n">
        <x:v>27857.175</x:v>
      </x:c>
      <x:c r="AD1042" s="34" t="n">
        <x:v>86.672217</x:v>
      </x:c>
      <x:c r="AE1042" s="40" t="b">
        <x:v>1</x:v>
      </x:c>
      <x:c r="AF1042" s="40" t="b">
        <x:v>1</x:v>
      </x:c>
      <x:c r="AG1042" s="34" t="str"/>
      <x:c r="AH1042" s="34" t="n">
        <x:v>0</x:v>
      </x:c>
      <x:c r="AI1042" s="34" t="str">
        <x:v>1.265341119704999e-05</x:v>
      </x:c>
      <x:c r="AJ1042" s="40" t="b">
        <x:v>1</x:v>
      </x:c>
      <x:c r="AK1042" s="40" t="b">
        <x:v>1</x:v>
      </x:c>
      <x:c r="AL1042" s="40" t="b">
        <x:v>1</x:v>
      </x:c>
      <x:c r="AM1042" s="40" t="b">
        <x:v>1</x:v>
      </x:c>
      <x:c r="AN1042" s="34" t="str"/>
      <x:c r="AO1042" s="34" t="n">
        <x:v>0</x:v>
      </x:c>
      <x:c r="AP1042" s="34" t="n">
        <x:v>0</x:v>
      </x:c>
      <x:c r="AQ1042" s="34" t="n">
        <x:v>0</x:v>
      </x:c>
      <x:c r="AR1042" s="34" t="n">
        <x:v>2</x:v>
      </x:c>
      <x:c r="AS1042" s="34" t="n">
        <x:v>3</x:v>
      </x:c>
      <x:c r="AT1042" s="34" t="n">
        <x:v>0.3406543999999999</x:v>
      </x:c>
      <x:c r="AU1042" s="34" t="n">
        <x:v>0.65</x:v>
      </x:c>
      <x:c r="AV1042" s="34" t="n">
        <x:v>1.3</x:v>
      </x:c>
    </x:row>
    <x:row r="1043">
      <x:c r="A1043" s="34" t="str">
        <x:v>JFE_STEEL_JP</x:v>
      </x:c>
      <x:c r="B1043" s="34" t="str">
        <x:v>JFE Steel</x:v>
      </x:c>
      <x:c r="C1043" s="34" t="str">
        <x:v>ACCELERATED_15C</x:v>
      </x:c>
      <x:c r="D1043" s="34" t="str">
        <x:v>P3</x:v>
      </x:c>
      <x:c r="E1043" s="34" t="n">
        <x:v>2032</x:v>
      </x:c>
      <x:c r="F1043" s="34" t="n">
        <x:v>1</x:v>
      </x:c>
      <x:c r="G1043" s="34" t="n">
        <x:v>6.120001</x:v>
      </x:c>
      <x:c r="H1043" s="34" t="n">
        <x:v>12.4</x:v>
      </x:c>
      <x:c r="I1043" s="34" t="n">
        <x:v>6.279999</x:v>
      </x:c>
      <x:c r="J1043" s="34" t="n">
        <x:v>49.355</x:v>
      </x:c>
      <x:c r="K1043" s="34" t="n">
        <x:v>0</x:v>
      </x:c>
      <x:c r="L1043" s="34" t="n">
        <x:v>1.08</x:v>
      </x:c>
      <x:c r="M1043" s="34" t="n">
        <x:v>1.08</x:v>
      </x:c>
      <x:c r="N1043" s="34" t="n">
        <x:v>0</x:v>
      </x:c>
      <x:c r="O1043" s="34" t="n">
        <x:v>3.808</x:v>
      </x:c>
      <x:c r="P1043" s="34" t="n">
        <x:v>9.8</x:v>
      </x:c>
      <x:c r="Q1043" s="34" t="n">
        <x:v>5.992</x:v>
      </x:c>
      <x:c r="R1043" s="34" t="n">
        <x:v>38.857</x:v>
      </x:c>
      <x:c r="S1043" s="40" t="b">
        <x:v>1</x:v>
      </x:c>
      <x:c r="T1043" s="34" t="str">
        <x:v>model_interpolation</x:v>
      </x:c>
      <x:c r="U1043" s="34" t="str">
        <x:v>Linear interpolation from 2030 to 2035</x:v>
      </x:c>
      <x:c r="V1043" s="34" t="str">
        <x:v>CAND-FC0AA3F9FE37C6</x:v>
      </x:c>
      <x:c r="W1043" s="34" t="str">
        <x:v>P3</x:v>
      </x:c>
      <x:c r="X1043" s="34" t="str">
        <x:v>PORT-E5F3D5116135</x:v>
      </x:c>
      <x:c r="Y1043" s="34" t="n">
        <x:v>1000</x:v>
      </x:c>
      <x:c r="Z1043" s="34" t="n">
        <x:v>88.069513</x:v>
      </x:c>
      <x:c r="AA1043" s="34" t="n">
        <x:v>23.623738</x:v>
      </x:c>
      <x:c r="AB1043" s="34" t="n">
        <x:v>321.408363</x:v>
      </x:c>
      <x:c r="AC1043" s="34" t="n">
        <x:v>27857.175</x:v>
      </x:c>
      <x:c r="AD1043" s="34" t="n">
        <x:v>86.672217</x:v>
      </x:c>
      <x:c r="AE1043" s="40" t="b">
        <x:v>1</x:v>
      </x:c>
      <x:c r="AF1043" s="40" t="b">
        <x:v>1</x:v>
      </x:c>
      <x:c r="AG1043" s="34" t="str"/>
      <x:c r="AH1043" s="34" t="n">
        <x:v>0</x:v>
      </x:c>
      <x:c r="AI1043" s="34" t="str">
        <x:v>1.265341119704999e-05</x:v>
      </x:c>
      <x:c r="AJ1043" s="40" t="b">
        <x:v>1</x:v>
      </x:c>
      <x:c r="AK1043" s="40" t="b">
        <x:v>1</x:v>
      </x:c>
      <x:c r="AL1043" s="40" t="b">
        <x:v>1</x:v>
      </x:c>
      <x:c r="AM1043" s="40" t="b">
        <x:v>1</x:v>
      </x:c>
      <x:c r="AN1043" s="34" t="str"/>
      <x:c r="AO1043" s="34" t="n">
        <x:v>0</x:v>
      </x:c>
      <x:c r="AP1043" s="34" t="n">
        <x:v>0</x:v>
      </x:c>
      <x:c r="AQ1043" s="34" t="n">
        <x:v>0</x:v>
      </x:c>
      <x:c r="AR1043" s="34" t="n">
        <x:v>2</x:v>
      </x:c>
      <x:c r="AS1043" s="34" t="n">
        <x:v>3</x:v>
      </x:c>
      <x:c r="AT1043" s="34" t="n">
        <x:v>0.3406543999999999</x:v>
      </x:c>
      <x:c r="AU1043" s="34" t="n">
        <x:v>0.65</x:v>
      </x:c>
      <x:c r="AV1043" s="34" t="n">
        <x:v>1.3</x:v>
      </x:c>
    </x:row>
    <x:row r="1044">
      <x:c r="A1044" s="34" t="str">
        <x:v>JFE_STEEL_JP</x:v>
      </x:c>
      <x:c r="B1044" s="34" t="str">
        <x:v>JFE Steel</x:v>
      </x:c>
      <x:c r="C1044" s="34" t="str">
        <x:v>ACCELERATED_15C</x:v>
      </x:c>
      <x:c r="D1044" s="34" t="str">
        <x:v>P3</x:v>
      </x:c>
      <x:c r="E1044" s="34" t="n">
        <x:v>2033</x:v>
      </x:c>
      <x:c r="F1044" s="34" t="n">
        <x:v>3</x:v>
      </x:c>
      <x:c r="G1044" s="34" t="n">
        <x:v>8.1</x:v>
      </x:c>
      <x:c r="H1044" s="34" t="n">
        <x:v>13.6</x:v>
      </x:c>
      <x:c r="I1044" s="34" t="n">
        <x:v>5.5</x:v>
      </x:c>
      <x:c r="J1044" s="34" t="n">
        <x:v>59.559</x:v>
      </x:c>
      <x:c r="K1044" s="34" t="n">
        <x:v>0.495</x:v>
      </x:c>
      <x:c r="L1044" s="34" t="n">
        <x:v>1.32</x:v>
      </x:c>
      <x:c r="M1044" s="34" t="n">
        <x:v>0.825</x:v>
      </x:c>
      <x:c r="N1044" s="34" t="n">
        <x:v>37.5</x:v>
      </x:c>
      <x:c r="O1044" s="34" t="n">
        <x:v>7.961999</x:v>
      </x:c>
      <x:c r="P1044" s="34" t="n">
        <x:v>11.2</x:v>
      </x:c>
      <x:c r="Q1044" s="34" t="n">
        <x:v>3.238001</x:v>
      </x:c>
      <x:c r="R1044" s="34" t="n">
        <x:v>71.089</x:v>
      </x:c>
      <x:c r="S1044" s="40" t="b">
        <x:v>1</x:v>
      </x:c>
      <x:c r="T1044" s="34" t="str">
        <x:v>model_interpolation</x:v>
      </x:c>
      <x:c r="U1044" s="34" t="str">
        <x:v>Linear interpolation from 2030 to 2035</x:v>
      </x:c>
      <x:c r="V1044" s="34" t="str">
        <x:v>CAND-FC0AA3F9FE37C6</x:v>
      </x:c>
      <x:c r="W1044" s="34" t="str">
        <x:v>P3</x:v>
      </x:c>
      <x:c r="X1044" s="34" t="str">
        <x:v>PORT-E5F3D5116135</x:v>
      </x:c>
      <x:c r="Y1044" s="34" t="n">
        <x:v>1000</x:v>
      </x:c>
      <x:c r="Z1044" s="34" t="n">
        <x:v>88.069513</x:v>
      </x:c>
      <x:c r="AA1044" s="34" t="n">
        <x:v>23.623738</x:v>
      </x:c>
      <x:c r="AB1044" s="34" t="n">
        <x:v>321.408363</x:v>
      </x:c>
      <x:c r="AC1044" s="34" t="n">
        <x:v>27857.175</x:v>
      </x:c>
      <x:c r="AD1044" s="34" t="n">
        <x:v>86.672217</x:v>
      </x:c>
      <x:c r="AE1044" s="40" t="b">
        <x:v>1</x:v>
      </x:c>
      <x:c r="AF1044" s="40" t="b">
        <x:v>1</x:v>
      </x:c>
      <x:c r="AG1044" s="34" t="str"/>
      <x:c r="AH1044" s="34" t="n">
        <x:v>0</x:v>
      </x:c>
      <x:c r="AI1044" s="34" t="str">
        <x:v>1.265341119704999e-05</x:v>
      </x:c>
      <x:c r="AJ1044" s="40" t="b">
        <x:v>1</x:v>
      </x:c>
      <x:c r="AK1044" s="40" t="b">
        <x:v>1</x:v>
      </x:c>
      <x:c r="AL1044" s="40" t="b">
        <x:v>1</x:v>
      </x:c>
      <x:c r="AM1044" s="40" t="b">
        <x:v>1</x:v>
      </x:c>
      <x:c r="AN1044" s="34" t="str"/>
      <x:c r="AO1044" s="34" t="n">
        <x:v>0</x:v>
      </x:c>
      <x:c r="AP1044" s="34" t="n">
        <x:v>0</x:v>
      </x:c>
      <x:c r="AQ1044" s="34" t="n">
        <x:v>0</x:v>
      </x:c>
      <x:c r="AR1044" s="34" t="n">
        <x:v>2</x:v>
      </x:c>
      <x:c r="AS1044" s="34" t="n">
        <x:v>3</x:v>
      </x:c>
      <x:c r="AT1044" s="34" t="n">
        <x:v>0.3406543999999999</x:v>
      </x:c>
      <x:c r="AU1044" s="34" t="n">
        <x:v>0.65</x:v>
      </x:c>
      <x:c r="AV1044" s="34" t="n">
        <x:v>1.3</x:v>
      </x:c>
    </x:row>
    <x:row r="1045">
      <x:c r="A1045" s="34" t="str">
        <x:v>JFE_STEEL_JP</x:v>
      </x:c>
      <x:c r="B1045" s="34" t="str">
        <x:v>JFE Steel</x:v>
      </x:c>
      <x:c r="C1045" s="34" t="str">
        <x:v>ACCELERATED_15C</x:v>
      </x:c>
      <x:c r="D1045" s="34" t="str">
        <x:v>P3</x:v>
      </x:c>
      <x:c r="E1045" s="34" t="n">
        <x:v>2034</x:v>
      </x:c>
      <x:c r="F1045" s="34" t="n">
        <x:v>3</x:v>
      </x:c>
      <x:c r="G1045" s="34" t="n">
        <x:v>8.1</x:v>
      </x:c>
      <x:c r="H1045" s="34" t="n">
        <x:v>14.8</x:v>
      </x:c>
      <x:c r="I1045" s="34" t="n">
        <x:v>6.7</x:v>
      </x:c>
      <x:c r="J1045" s="34" t="n">
        <x:v>54.73</x:v>
      </x:c>
      <x:c r="K1045" s="34" t="n">
        <x:v>0.495</x:v>
      </x:c>
      <x:c r="L1045" s="34" t="n">
        <x:v>1.56</x:v>
      </x:c>
      <x:c r="M1045" s="34" t="n">
        <x:v>1.065</x:v>
      </x:c>
      <x:c r="N1045" s="34" t="n">
        <x:v>31.731</x:v>
      </x:c>
      <x:c r="O1045" s="34" t="n">
        <x:v>7.961999</x:v>
      </x:c>
      <x:c r="P1045" s="34" t="n">
        <x:v>12.600000000000001</x:v>
      </x:c>
      <x:c r="Q1045" s="34" t="n">
        <x:v>4.638001</x:v>
      </x:c>
      <x:c r="R1045" s="34" t="n">
        <x:v>63.19</x:v>
      </x:c>
      <x:c r="S1045" s="40" t="b">
        <x:v>1</x:v>
      </x:c>
      <x:c r="T1045" s="34" t="str">
        <x:v>model_interpolation</x:v>
      </x:c>
      <x:c r="U1045" s="34" t="str">
        <x:v>Linear interpolation from 2030 to 2035</x:v>
      </x:c>
      <x:c r="V1045" s="34" t="str">
        <x:v>CAND-FC0AA3F9FE37C6</x:v>
      </x:c>
      <x:c r="W1045" s="34" t="str">
        <x:v>P3</x:v>
      </x:c>
      <x:c r="X1045" s="34" t="str">
        <x:v>PORT-E5F3D5116135</x:v>
      </x:c>
      <x:c r="Y1045" s="34" t="n">
        <x:v>1000</x:v>
      </x:c>
      <x:c r="Z1045" s="34" t="n">
        <x:v>88.069513</x:v>
      </x:c>
      <x:c r="AA1045" s="34" t="n">
        <x:v>23.623738</x:v>
      </x:c>
      <x:c r="AB1045" s="34" t="n">
        <x:v>321.408363</x:v>
      </x:c>
      <x:c r="AC1045" s="34" t="n">
        <x:v>27857.175</x:v>
      </x:c>
      <x:c r="AD1045" s="34" t="n">
        <x:v>86.672217</x:v>
      </x:c>
      <x:c r="AE1045" s="40" t="b">
        <x:v>1</x:v>
      </x:c>
      <x:c r="AF1045" s="40" t="b">
        <x:v>1</x:v>
      </x:c>
      <x:c r="AG1045" s="34" t="str"/>
      <x:c r="AH1045" s="34" t="n">
        <x:v>0</x:v>
      </x:c>
      <x:c r="AI1045" s="34" t="str">
        <x:v>1.265341119704999e-05</x:v>
      </x:c>
      <x:c r="AJ1045" s="40" t="b">
        <x:v>1</x:v>
      </x:c>
      <x:c r="AK1045" s="40" t="b">
        <x:v>1</x:v>
      </x:c>
      <x:c r="AL1045" s="40" t="b">
        <x:v>1</x:v>
      </x:c>
      <x:c r="AM1045" s="40" t="b">
        <x:v>1</x:v>
      </x:c>
      <x:c r="AN1045" s="34" t="str"/>
      <x:c r="AO1045" s="34" t="n">
        <x:v>0</x:v>
      </x:c>
      <x:c r="AP1045" s="34" t="n">
        <x:v>0</x:v>
      </x:c>
      <x:c r="AQ1045" s="34" t="n">
        <x:v>0</x:v>
      </x:c>
      <x:c r="AR1045" s="34" t="n">
        <x:v>2</x:v>
      </x:c>
      <x:c r="AS1045" s="34" t="n">
        <x:v>3</x:v>
      </x:c>
      <x:c r="AT1045" s="34" t="n">
        <x:v>0.3406543999999999</x:v>
      </x:c>
      <x:c r="AU1045" s="34" t="n">
        <x:v>0.65</x:v>
      </x:c>
      <x:c r="AV1045" s="34" t="n">
        <x:v>1.3</x:v>
      </x:c>
    </x:row>
    <x:row r="1046">
      <x:c r="A1046" s="34" t="str">
        <x:v>JFE_STEEL_JP</x:v>
      </x:c>
      <x:c r="B1046" s="34" t="str">
        <x:v>JFE Steel</x:v>
      </x:c>
      <x:c r="C1046" s="34" t="str">
        <x:v>ACCELERATED_15C</x:v>
      </x:c>
      <x:c r="D1046" s="34" t="str">
        <x:v>P3</x:v>
      </x:c>
      <x:c r="E1046" s="34" t="n">
        <x:v>2035</x:v>
      </x:c>
      <x:c r="F1046" s="34" t="n">
        <x:v>3</x:v>
      </x:c>
      <x:c r="G1046" s="34" t="n">
        <x:v>8.1</x:v>
      </x:c>
      <x:c r="H1046" s="34" t="n">
        <x:v>16</x:v>
      </x:c>
      <x:c r="I1046" s="34" t="n">
        <x:v>7.9</x:v>
      </x:c>
      <x:c r="J1046" s="34" t="n">
        <x:v>50.625</x:v>
      </x:c>
      <x:c r="K1046" s="34" t="n">
        <x:v>0.495</x:v>
      </x:c>
      <x:c r="L1046" s="34" t="n">
        <x:v>1.8</x:v>
      </x:c>
      <x:c r="M1046" s="34" t="n">
        <x:v>1.305</x:v>
      </x:c>
      <x:c r="N1046" s="34" t="n">
        <x:v>27.5</x:v>
      </x:c>
      <x:c r="O1046" s="34" t="n">
        <x:v>7.961999</x:v>
      </x:c>
      <x:c r="P1046" s="34" t="n">
        <x:v>14</x:v>
      </x:c>
      <x:c r="Q1046" s="34" t="n">
        <x:v>6.038001</x:v>
      </x:c>
      <x:c r="R1046" s="34" t="n">
        <x:v>56.871</x:v>
      </x:c>
      <x:c r="S1046" s="40" t="b">
        <x:v>1</x:v>
      </x:c>
      <x:c r="T1046" s="34" t="str">
        <x:v>model_interpolation</x:v>
      </x:c>
      <x:c r="U1046" s="34" t="str">
        <x:v>Linear interpolation from 2035 to 2040</x:v>
      </x:c>
      <x:c r="V1046" s="34" t="str">
        <x:v>CAND-FC0AA3F9FE37C6</x:v>
      </x:c>
      <x:c r="W1046" s="34" t="str">
        <x:v>P3</x:v>
      </x:c>
      <x:c r="X1046" s="34" t="str">
        <x:v>PORT-E5F3D5116135</x:v>
      </x:c>
      <x:c r="Y1046" s="34" t="n">
        <x:v>1000</x:v>
      </x:c>
      <x:c r="Z1046" s="34" t="n">
        <x:v>88.069513</x:v>
      </x:c>
      <x:c r="AA1046" s="34" t="n">
        <x:v>23.623738</x:v>
      </x:c>
      <x:c r="AB1046" s="34" t="n">
        <x:v>321.408363</x:v>
      </x:c>
      <x:c r="AC1046" s="34" t="n">
        <x:v>27857.175</x:v>
      </x:c>
      <x:c r="AD1046" s="34" t="n">
        <x:v>86.672217</x:v>
      </x:c>
      <x:c r="AE1046" s="40" t="b">
        <x:v>1</x:v>
      </x:c>
      <x:c r="AF1046" s="40" t="b">
        <x:v>1</x:v>
      </x:c>
      <x:c r="AG1046" s="34" t="str"/>
      <x:c r="AH1046" s="34" t="n">
        <x:v>0</x:v>
      </x:c>
      <x:c r="AI1046" s="34" t="str">
        <x:v>1.265341119704999e-05</x:v>
      </x:c>
      <x:c r="AJ1046" s="40" t="b">
        <x:v>1</x:v>
      </x:c>
      <x:c r="AK1046" s="40" t="b">
        <x:v>1</x:v>
      </x:c>
      <x:c r="AL1046" s="40" t="b">
        <x:v>1</x:v>
      </x:c>
      <x:c r="AM1046" s="40" t="b">
        <x:v>1</x:v>
      </x:c>
      <x:c r="AN1046" s="34" t="str"/>
      <x:c r="AO1046" s="34" t="n">
        <x:v>0</x:v>
      </x:c>
      <x:c r="AP1046" s="34" t="n">
        <x:v>0</x:v>
      </x:c>
      <x:c r="AQ1046" s="34" t="n">
        <x:v>0</x:v>
      </x:c>
      <x:c r="AR1046" s="34" t="n">
        <x:v>2</x:v>
      </x:c>
      <x:c r="AS1046" s="34" t="n">
        <x:v>3</x:v>
      </x:c>
      <x:c r="AT1046" s="34" t="n">
        <x:v>0.3406543999999999</x:v>
      </x:c>
      <x:c r="AU1046" s="34" t="n">
        <x:v>0.65</x:v>
      </x:c>
      <x:c r="AV1046" s="34" t="n">
        <x:v>1.3</x:v>
      </x:c>
    </x:row>
    <x:row r="1047">
      <x:c r="A1047" s="34" t="str">
        <x:v>JFE_STEEL_JP</x:v>
      </x:c>
      <x:c r="B1047" s="34" t="str">
        <x:v>JFE Steel</x:v>
      </x:c>
      <x:c r="C1047" s="34" t="str">
        <x:v>ACCELERATED_15C</x:v>
      </x:c>
      <x:c r="D1047" s="34" t="str">
        <x:v>P3</x:v>
      </x:c>
      <x:c r="E1047" s="34" t="n">
        <x:v>2036</x:v>
      </x:c>
      <x:c r="F1047" s="34" t="n">
        <x:v>4</x:v>
      </x:c>
      <x:c r="G1047" s="34" t="n">
        <x:v>13.004998</x:v>
      </x:c>
      <x:c r="H1047" s="34" t="n">
        <x:v>17</x:v>
      </x:c>
      <x:c r="I1047" s="34" t="n">
        <x:v>3.995002</x:v>
      </x:c>
      <x:c r="J1047" s="34" t="n">
        <x:v>76.5</x:v>
      </x:c>
      <x:c r="K1047" s="34" t="n">
        <x:v>0.495</x:v>
      </x:c>
      <x:c r="L1047" s="34" t="n">
        <x:v>2.04</x:v>
      </x:c>
      <x:c r="M1047" s="34" t="n">
        <x:v>1.545</x:v>
      </x:c>
      <x:c r="N1047" s="34" t="n">
        <x:v>24.265</x:v>
      </x:c>
      <x:c r="O1047" s="34" t="n">
        <x:v>11.013998</x:v>
      </x:c>
      <x:c r="P1047" s="34" t="n">
        <x:v>15.6</x:v>
      </x:c>
      <x:c r="Q1047" s="34" t="n">
        <x:v>4.586002</x:v>
      </x:c>
      <x:c r="R1047" s="34" t="n">
        <x:v>70.603</x:v>
      </x:c>
      <x:c r="S1047" s="40" t="b">
        <x:v>1</x:v>
      </x:c>
      <x:c r="T1047" s="34" t="str">
        <x:v>model_interpolation</x:v>
      </x:c>
      <x:c r="U1047" s="34" t="str">
        <x:v>Linear interpolation from 2035 to 2040</x:v>
      </x:c>
      <x:c r="V1047" s="34" t="str">
        <x:v>CAND-FC0AA3F9FE37C6</x:v>
      </x:c>
      <x:c r="W1047" s="34" t="str">
        <x:v>P3</x:v>
      </x:c>
      <x:c r="X1047" s="34" t="str">
        <x:v>PORT-E5F3D5116135</x:v>
      </x:c>
      <x:c r="Y1047" s="34" t="n">
        <x:v>1000</x:v>
      </x:c>
      <x:c r="Z1047" s="34" t="n">
        <x:v>88.069513</x:v>
      </x:c>
      <x:c r="AA1047" s="34" t="n">
        <x:v>23.623738</x:v>
      </x:c>
      <x:c r="AB1047" s="34" t="n">
        <x:v>321.408363</x:v>
      </x:c>
      <x:c r="AC1047" s="34" t="n">
        <x:v>27857.175</x:v>
      </x:c>
      <x:c r="AD1047" s="34" t="n">
        <x:v>86.672217</x:v>
      </x:c>
      <x:c r="AE1047" s="40" t="b">
        <x:v>1</x:v>
      </x:c>
      <x:c r="AF1047" s="40" t="b">
        <x:v>1</x:v>
      </x:c>
      <x:c r="AG1047" s="34" t="str"/>
      <x:c r="AH1047" s="34" t="n">
        <x:v>0</x:v>
      </x:c>
      <x:c r="AI1047" s="34" t="str">
        <x:v>1.265341119704999e-05</x:v>
      </x:c>
      <x:c r="AJ1047" s="40" t="b">
        <x:v>1</x:v>
      </x:c>
      <x:c r="AK1047" s="40" t="b">
        <x:v>1</x:v>
      </x:c>
      <x:c r="AL1047" s="40" t="b">
        <x:v>1</x:v>
      </x:c>
      <x:c r="AM1047" s="40" t="b">
        <x:v>1</x:v>
      </x:c>
      <x:c r="AN1047" s="34" t="str"/>
      <x:c r="AO1047" s="34" t="n">
        <x:v>0</x:v>
      </x:c>
      <x:c r="AP1047" s="34" t="n">
        <x:v>0</x:v>
      </x:c>
      <x:c r="AQ1047" s="34" t="n">
        <x:v>0</x:v>
      </x:c>
      <x:c r="AR1047" s="34" t="n">
        <x:v>2</x:v>
      </x:c>
      <x:c r="AS1047" s="34" t="n">
        <x:v>3</x:v>
      </x:c>
      <x:c r="AT1047" s="34" t="n">
        <x:v>0.3406543999999999</x:v>
      </x:c>
      <x:c r="AU1047" s="34" t="n">
        <x:v>0.65</x:v>
      </x:c>
      <x:c r="AV1047" s="34" t="n">
        <x:v>1.3</x:v>
      </x:c>
    </x:row>
    <x:row r="1048">
      <x:c r="A1048" s="34" t="str">
        <x:v>JFE_STEEL_JP</x:v>
      </x:c>
      <x:c r="B1048" s="34" t="str">
        <x:v>JFE Steel</x:v>
      </x:c>
      <x:c r="C1048" s="34" t="str">
        <x:v>ACCELERATED_15C</x:v>
      </x:c>
      <x:c r="D1048" s="34" t="str">
        <x:v>P3</x:v>
      </x:c>
      <x:c r="E1048" s="34" t="n">
        <x:v>2037</x:v>
      </x:c>
      <x:c r="F1048" s="34" t="n">
        <x:v>4</x:v>
      </x:c>
      <x:c r="G1048" s="34" t="n">
        <x:v>13.004998</x:v>
      </x:c>
      <x:c r="H1048" s="34" t="n">
        <x:v>18</x:v>
      </x:c>
      <x:c r="I1048" s="34" t="n">
        <x:v>4.995002</x:v>
      </x:c>
      <x:c r="J1048" s="34" t="n">
        <x:v>72.25</x:v>
      </x:c>
      <x:c r="K1048" s="34" t="n">
        <x:v>0.495</x:v>
      </x:c>
      <x:c r="L1048" s="34" t="n">
        <x:v>2.2800000000000002</x:v>
      </x:c>
      <x:c r="M1048" s="34" t="n">
        <x:v>1.785</x:v>
      </x:c>
      <x:c r="N1048" s="34" t="n">
        <x:v>21.711</x:v>
      </x:c>
      <x:c r="O1048" s="34" t="n">
        <x:v>11.013998</x:v>
      </x:c>
      <x:c r="P1048" s="34" t="n">
        <x:v>17.2</x:v>
      </x:c>
      <x:c r="Q1048" s="34" t="n">
        <x:v>6.186002</x:v>
      </x:c>
      <x:c r="R1048" s="34" t="n">
        <x:v>64.035</x:v>
      </x:c>
      <x:c r="S1048" s="40" t="b">
        <x:v>1</x:v>
      </x:c>
      <x:c r="T1048" s="34" t="str">
        <x:v>model_interpolation</x:v>
      </x:c>
      <x:c r="U1048" s="34" t="str">
        <x:v>Linear interpolation from 2035 to 2040</x:v>
      </x:c>
      <x:c r="V1048" s="34" t="str">
        <x:v>CAND-FC0AA3F9FE37C6</x:v>
      </x:c>
      <x:c r="W1048" s="34" t="str">
        <x:v>P3</x:v>
      </x:c>
      <x:c r="X1048" s="34" t="str">
        <x:v>PORT-E5F3D5116135</x:v>
      </x:c>
      <x:c r="Y1048" s="34" t="n">
        <x:v>1000</x:v>
      </x:c>
      <x:c r="Z1048" s="34" t="n">
        <x:v>88.069513</x:v>
      </x:c>
      <x:c r="AA1048" s="34" t="n">
        <x:v>23.623738</x:v>
      </x:c>
      <x:c r="AB1048" s="34" t="n">
        <x:v>321.408363</x:v>
      </x:c>
      <x:c r="AC1048" s="34" t="n">
        <x:v>27857.175</x:v>
      </x:c>
      <x:c r="AD1048" s="34" t="n">
        <x:v>86.672217</x:v>
      </x:c>
      <x:c r="AE1048" s="40" t="b">
        <x:v>1</x:v>
      </x:c>
      <x:c r="AF1048" s="40" t="b">
        <x:v>1</x:v>
      </x:c>
      <x:c r="AG1048" s="34" t="str"/>
      <x:c r="AH1048" s="34" t="n">
        <x:v>0</x:v>
      </x:c>
      <x:c r="AI1048" s="34" t="str">
        <x:v>1.265341119704999e-05</x:v>
      </x:c>
      <x:c r="AJ1048" s="40" t="b">
        <x:v>1</x:v>
      </x:c>
      <x:c r="AK1048" s="40" t="b">
        <x:v>1</x:v>
      </x:c>
      <x:c r="AL1048" s="40" t="b">
        <x:v>1</x:v>
      </x:c>
      <x:c r="AM1048" s="40" t="b">
        <x:v>1</x:v>
      </x:c>
      <x:c r="AN1048" s="34" t="str"/>
      <x:c r="AO1048" s="34" t="n">
        <x:v>0</x:v>
      </x:c>
      <x:c r="AP1048" s="34" t="n">
        <x:v>0</x:v>
      </x:c>
      <x:c r="AQ1048" s="34" t="n">
        <x:v>0</x:v>
      </x:c>
      <x:c r="AR1048" s="34" t="n">
        <x:v>2</x:v>
      </x:c>
      <x:c r="AS1048" s="34" t="n">
        <x:v>3</x:v>
      </x:c>
      <x:c r="AT1048" s="34" t="n">
        <x:v>0.3406543999999999</x:v>
      </x:c>
      <x:c r="AU1048" s="34" t="n">
        <x:v>0.65</x:v>
      </x:c>
      <x:c r="AV1048" s="34" t="n">
        <x:v>1.3</x:v>
      </x:c>
    </x:row>
    <x:row r="1049">
      <x:c r="A1049" s="34" t="str">
        <x:v>JFE_STEEL_JP</x:v>
      </x:c>
      <x:c r="B1049" s="34" t="str">
        <x:v>JFE Steel</x:v>
      </x:c>
      <x:c r="C1049" s="34" t="str">
        <x:v>ACCELERATED_15C</x:v>
      </x:c>
      <x:c r="D1049" s="34" t="str">
        <x:v>P3</x:v>
      </x:c>
      <x:c r="E1049" s="34" t="n">
        <x:v>2038</x:v>
      </x:c>
      <x:c r="F1049" s="34" t="n">
        <x:v>4</x:v>
      </x:c>
      <x:c r="G1049" s="34" t="n">
        <x:v>13.004998</x:v>
      </x:c>
      <x:c r="H1049" s="34" t="n">
        <x:v>19</x:v>
      </x:c>
      <x:c r="I1049" s="34" t="n">
        <x:v>5.995002</x:v>
      </x:c>
      <x:c r="J1049" s="34" t="n">
        <x:v>68.447</x:v>
      </x:c>
      <x:c r="K1049" s="34" t="n">
        <x:v>0.495</x:v>
      </x:c>
      <x:c r="L1049" s="34" t="n">
        <x:v>2.52</x:v>
      </x:c>
      <x:c r="M1049" s="34" t="n">
        <x:v>2.025</x:v>
      </x:c>
      <x:c r="N1049" s="34" t="n">
        <x:v>19.643</x:v>
      </x:c>
      <x:c r="O1049" s="34" t="n">
        <x:v>11.013998</x:v>
      </x:c>
      <x:c r="P1049" s="34" t="n">
        <x:v>18.8</x:v>
      </x:c>
      <x:c r="Q1049" s="34" t="n">
        <x:v>7.786002</x:v>
      </x:c>
      <x:c r="R1049" s="34" t="n">
        <x:v>58.585</x:v>
      </x:c>
      <x:c r="S1049" s="40" t="b">
        <x:v>1</x:v>
      </x:c>
      <x:c r="T1049" s="34" t="str">
        <x:v>model_interpolation</x:v>
      </x:c>
      <x:c r="U1049" s="34" t="str">
        <x:v>Linear interpolation from 2035 to 2040</x:v>
      </x:c>
      <x:c r="V1049" s="34" t="str">
        <x:v>CAND-FC0AA3F9FE37C6</x:v>
      </x:c>
      <x:c r="W1049" s="34" t="str">
        <x:v>P3</x:v>
      </x:c>
      <x:c r="X1049" s="34" t="str">
        <x:v>PORT-E5F3D5116135</x:v>
      </x:c>
      <x:c r="Y1049" s="34" t="n">
        <x:v>1000</x:v>
      </x:c>
      <x:c r="Z1049" s="34" t="n">
        <x:v>88.069513</x:v>
      </x:c>
      <x:c r="AA1049" s="34" t="n">
        <x:v>23.623738</x:v>
      </x:c>
      <x:c r="AB1049" s="34" t="n">
        <x:v>321.408363</x:v>
      </x:c>
      <x:c r="AC1049" s="34" t="n">
        <x:v>27857.175</x:v>
      </x:c>
      <x:c r="AD1049" s="34" t="n">
        <x:v>86.672217</x:v>
      </x:c>
      <x:c r="AE1049" s="40" t="b">
        <x:v>1</x:v>
      </x:c>
      <x:c r="AF1049" s="40" t="b">
        <x:v>1</x:v>
      </x:c>
      <x:c r="AG1049" s="34" t="str"/>
      <x:c r="AH1049" s="34" t="n">
        <x:v>0</x:v>
      </x:c>
      <x:c r="AI1049" s="34" t="str">
        <x:v>1.265341119704999e-05</x:v>
      </x:c>
      <x:c r="AJ1049" s="40" t="b">
        <x:v>1</x:v>
      </x:c>
      <x:c r="AK1049" s="40" t="b">
        <x:v>1</x:v>
      </x:c>
      <x:c r="AL1049" s="40" t="b">
        <x:v>1</x:v>
      </x:c>
      <x:c r="AM1049" s="40" t="b">
        <x:v>1</x:v>
      </x:c>
      <x:c r="AN1049" s="34" t="str"/>
      <x:c r="AO1049" s="34" t="n">
        <x:v>0</x:v>
      </x:c>
      <x:c r="AP1049" s="34" t="n">
        <x:v>0</x:v>
      </x:c>
      <x:c r="AQ1049" s="34" t="n">
        <x:v>0</x:v>
      </x:c>
      <x:c r="AR1049" s="34" t="n">
        <x:v>2</x:v>
      </x:c>
      <x:c r="AS1049" s="34" t="n">
        <x:v>3</x:v>
      </x:c>
      <x:c r="AT1049" s="34" t="n">
        <x:v>0.3406543999999999</x:v>
      </x:c>
      <x:c r="AU1049" s="34" t="n">
        <x:v>0.65</x:v>
      </x:c>
      <x:c r="AV1049" s="34" t="n">
        <x:v>1.3</x:v>
      </x:c>
    </x:row>
    <x:row r="1050">
      <x:c r="A1050" s="34" t="str">
        <x:v>JFE_STEEL_JP</x:v>
      </x:c>
      <x:c r="B1050" s="34" t="str">
        <x:v>JFE Steel</x:v>
      </x:c>
      <x:c r="C1050" s="34" t="str">
        <x:v>ACCELERATED_15C</x:v>
      </x:c>
      <x:c r="D1050" s="34" t="str">
        <x:v>P3</x:v>
      </x:c>
      <x:c r="E1050" s="34" t="n">
        <x:v>2039</x:v>
      </x:c>
      <x:c r="F1050" s="34" t="n">
        <x:v>4</x:v>
      </x:c>
      <x:c r="G1050" s="34" t="n">
        <x:v>13.004998</x:v>
      </x:c>
      <x:c r="H1050" s="34" t="n">
        <x:v>20</x:v>
      </x:c>
      <x:c r="I1050" s="34" t="n">
        <x:v>6.995002</x:v>
      </x:c>
      <x:c r="J1050" s="34" t="n">
        <x:v>65.025</x:v>
      </x:c>
      <x:c r="K1050" s="34" t="n">
        <x:v>0.495</x:v>
      </x:c>
      <x:c r="L1050" s="34" t="n">
        <x:v>2.76</x:v>
      </x:c>
      <x:c r="M1050" s="34" t="n">
        <x:v>2.265</x:v>
      </x:c>
      <x:c r="N1050" s="34" t="n">
        <x:v>17.935</x:v>
      </x:c>
      <x:c r="O1050" s="34" t="n">
        <x:v>11.013998</x:v>
      </x:c>
      <x:c r="P1050" s="34" t="n">
        <x:v>20.4</x:v>
      </x:c>
      <x:c r="Q1050" s="34" t="n">
        <x:v>9.386002</x:v>
      </x:c>
      <x:c r="R1050" s="34" t="n">
        <x:v>53.99</x:v>
      </x:c>
      <x:c r="S1050" s="40" t="b">
        <x:v>1</x:v>
      </x:c>
      <x:c r="T1050" s="34" t="str">
        <x:v>model_interpolation</x:v>
      </x:c>
      <x:c r="U1050" s="34" t="str">
        <x:v>Linear interpolation from 2035 to 2040</x:v>
      </x:c>
      <x:c r="V1050" s="34" t="str">
        <x:v>CAND-FC0AA3F9FE37C6</x:v>
      </x:c>
      <x:c r="W1050" s="34" t="str">
        <x:v>P3</x:v>
      </x:c>
      <x:c r="X1050" s="34" t="str">
        <x:v>PORT-E5F3D5116135</x:v>
      </x:c>
      <x:c r="Y1050" s="34" t="n">
        <x:v>1000</x:v>
      </x:c>
      <x:c r="Z1050" s="34" t="n">
        <x:v>88.069513</x:v>
      </x:c>
      <x:c r="AA1050" s="34" t="n">
        <x:v>23.623738</x:v>
      </x:c>
      <x:c r="AB1050" s="34" t="n">
        <x:v>321.408363</x:v>
      </x:c>
      <x:c r="AC1050" s="34" t="n">
        <x:v>27857.175</x:v>
      </x:c>
      <x:c r="AD1050" s="34" t="n">
        <x:v>86.672217</x:v>
      </x:c>
      <x:c r="AE1050" s="40" t="b">
        <x:v>1</x:v>
      </x:c>
      <x:c r="AF1050" s="40" t="b">
        <x:v>1</x:v>
      </x:c>
      <x:c r="AG1050" s="34" t="str"/>
      <x:c r="AH1050" s="34" t="n">
        <x:v>0</x:v>
      </x:c>
      <x:c r="AI1050" s="34" t="str">
        <x:v>1.265341119704999e-05</x:v>
      </x:c>
      <x:c r="AJ1050" s="40" t="b">
        <x:v>1</x:v>
      </x:c>
      <x:c r="AK1050" s="40" t="b">
        <x:v>1</x:v>
      </x:c>
      <x:c r="AL1050" s="40" t="b">
        <x:v>1</x:v>
      </x:c>
      <x:c r="AM1050" s="40" t="b">
        <x:v>1</x:v>
      </x:c>
      <x:c r="AN1050" s="34" t="str"/>
      <x:c r="AO1050" s="34" t="n">
        <x:v>0</x:v>
      </x:c>
      <x:c r="AP1050" s="34" t="n">
        <x:v>0</x:v>
      </x:c>
      <x:c r="AQ1050" s="34" t="n">
        <x:v>0</x:v>
      </x:c>
      <x:c r="AR1050" s="34" t="n">
        <x:v>2</x:v>
      </x:c>
      <x:c r="AS1050" s="34" t="n">
        <x:v>3</x:v>
      </x:c>
      <x:c r="AT1050" s="34" t="n">
        <x:v>0.3406543999999999</x:v>
      </x:c>
      <x:c r="AU1050" s="34" t="n">
        <x:v>0.65</x:v>
      </x:c>
      <x:c r="AV1050" s="34" t="n">
        <x:v>1.3</x:v>
      </x:c>
    </x:row>
    <x:row r="1051">
      <x:c r="A1051" s="34" t="str">
        <x:v>JFE_STEEL_JP</x:v>
      </x:c>
      <x:c r="B1051" s="34" t="str">
        <x:v>JFE Steel</x:v>
      </x:c>
      <x:c r="C1051" s="34" t="str">
        <x:v>ACCELERATED_15C</x:v>
      </x:c>
      <x:c r="D1051" s="34" t="str">
        <x:v>P3</x:v>
      </x:c>
      <x:c r="E1051" s="34" t="n">
        <x:v>2040</x:v>
      </x:c>
      <x:c r="F1051" s="34" t="n">
        <x:v>4</x:v>
      </x:c>
      <x:c r="G1051" s="34" t="n">
        <x:v>13.004998</x:v>
      </x:c>
      <x:c r="H1051" s="34" t="n">
        <x:v>21</x:v>
      </x:c>
      <x:c r="I1051" s="34" t="n">
        <x:v>7.995002</x:v>
      </x:c>
      <x:c r="J1051" s="34" t="n">
        <x:v>61.929</x:v>
      </x:c>
      <x:c r="K1051" s="34" t="n">
        <x:v>0.495</x:v>
      </x:c>
      <x:c r="L1051" s="34" t="n">
        <x:v>3</x:v>
      </x:c>
      <x:c r="M1051" s="34" t="n">
        <x:v>2.505</x:v>
      </x:c>
      <x:c r="N1051" s="34" t="n">
        <x:v>16.5</x:v>
      </x:c>
      <x:c r="O1051" s="34" t="n">
        <x:v>11.013998</x:v>
      </x:c>
      <x:c r="P1051" s="34" t="n">
        <x:v>22</x:v>
      </x:c>
      <x:c r="Q1051" s="34" t="n">
        <x:v>10.986002</x:v>
      </x:c>
      <x:c r="R1051" s="34" t="n">
        <x:v>50.064</x:v>
      </x:c>
      <x:c r="S1051" s="40" t="b">
        <x:v>1</x:v>
      </x:c>
      <x:c r="T1051" s="34" t="str">
        <x:v>model_estimate</x:v>
      </x:c>
      <x:c r="U1051" s="34" t="str">
        <x:v>Illustrative accelerated envelope; not GCAM or an official supply forecast</x:v>
      </x:c>
      <x:c r="V1051" s="34" t="str">
        <x:v>CAND-FC0AA3F9FE37C6</x:v>
      </x:c>
      <x:c r="W1051" s="34" t="str">
        <x:v>P3</x:v>
      </x:c>
      <x:c r="X1051" s="34" t="str">
        <x:v>PORT-E5F3D5116135</x:v>
      </x:c>
      <x:c r="Y1051" s="34" t="n">
        <x:v>1000</x:v>
      </x:c>
      <x:c r="Z1051" s="34" t="n">
        <x:v>88.069513</x:v>
      </x:c>
      <x:c r="AA1051" s="34" t="n">
        <x:v>23.623738</x:v>
      </x:c>
      <x:c r="AB1051" s="34" t="n">
        <x:v>321.408363</x:v>
      </x:c>
      <x:c r="AC1051" s="34" t="n">
        <x:v>27857.175</x:v>
      </x:c>
      <x:c r="AD1051" s="34" t="n">
        <x:v>86.672217</x:v>
      </x:c>
      <x:c r="AE1051" s="40" t="b">
        <x:v>1</x:v>
      </x:c>
      <x:c r="AF1051" s="40" t="b">
        <x:v>1</x:v>
      </x:c>
      <x:c r="AG1051" s="34" t="str"/>
      <x:c r="AH1051" s="34" t="n">
        <x:v>0</x:v>
      </x:c>
      <x:c r="AI1051" s="34" t="str">
        <x:v>1.265341119704999e-05</x:v>
      </x:c>
      <x:c r="AJ1051" s="40" t="b">
        <x:v>1</x:v>
      </x:c>
      <x:c r="AK1051" s="40" t="b">
        <x:v>1</x:v>
      </x:c>
      <x:c r="AL1051" s="40" t="b">
        <x:v>1</x:v>
      </x:c>
      <x:c r="AM1051" s="40" t="b">
        <x:v>1</x:v>
      </x:c>
      <x:c r="AN1051" s="34" t="str"/>
      <x:c r="AO1051" s="34" t="n">
        <x:v>0</x:v>
      </x:c>
      <x:c r="AP1051" s="34" t="n">
        <x:v>0</x:v>
      </x:c>
      <x:c r="AQ1051" s="34" t="n">
        <x:v>0</x:v>
      </x:c>
      <x:c r="AR1051" s="34" t="n">
        <x:v>2</x:v>
      </x:c>
      <x:c r="AS1051" s="34" t="n">
        <x:v>3</x:v>
      </x:c>
      <x:c r="AT1051" s="34" t="n">
        <x:v>0.3406543999999999</x:v>
      </x:c>
      <x:c r="AU1051" s="34" t="n">
        <x:v>0.65</x:v>
      </x:c>
      <x:c r="AV1051" s="34" t="n">
        <x:v>1.3</x:v>
      </x:c>
    </x:row>
    <x:row r="1052">
      <x:c r="A1052" s="34" t="str">
        <x:v>JFE_STEEL_JP</x:v>
      </x:c>
      <x:c r="B1052" s="34" t="str">
        <x:v>JFE Steel</x:v>
      </x:c>
      <x:c r="C1052" s="34" t="str">
        <x:v>DISCLOSED_PATH</x:v>
      </x:c>
      <x:c r="D1052" s="34" t="str">
        <x:v>P1</x:v>
      </x:c>
      <x:c r="E1052" s="34" t="n">
        <x:v>2026</x:v>
      </x:c>
      <x:c r="F1052" s="34" t="n">
        <x:v>0</x:v>
      </x:c>
      <x:c r="G1052" s="34" t="n">
        <x:v>0</x:v>
      </x:c>
      <x:c r="H1052" s="34" t="n">
        <x:v>5</x:v>
      </x:c>
      <x:c r="I1052" s="34" t="n">
        <x:v>5</x:v>
      </x:c>
      <x:c r="J1052" s="34" t="n">
        <x:v>0</x:v>
      </x:c>
      <x:c r="K1052" s="34" t="n">
        <x:v>0</x:v>
      </x:c>
      <x:c r="L1052" s="34" t="n">
        <x:v>0</x:v>
      </x:c>
      <x:c r="M1052" s="34" t="n">
        <x:v>0</x:v>
      </x:c>
      <x:c r="N1052" s="34" t="n">
        <x:v>0</x:v>
      </x:c>
      <x:c r="O1052" s="34" t="n">
        <x:v>0</x:v>
      </x:c>
      <x:c r="P1052" s="34" t="n">
        <x:v>1.5</x:v>
      </x:c>
      <x:c r="Q1052" s="34" t="n">
        <x:v>1.5</x:v>
      </x:c>
      <x:c r="R1052" s="34" t="n">
        <x:v>0</x:v>
      </x:c>
      <x:c r="S1052" s="40" t="b">
        <x:v>1</x:v>
      </x:c>
      <x:c r="T1052" s="34" t="str">
        <x:v>model_interpolation</x:v>
      </x:c>
      <x:c r="U1052" s="34" t="str">
        <x:v>Linear interpolation from 2026 to 2030</x:v>
      </x:c>
      <x:c r="V1052" s="34" t="str">
        <x:v>CAND-FCDB7C1BD7991A</x:v>
      </x:c>
      <x:c r="W1052" s="34" t="str">
        <x:v>P1</x:v>
      </x:c>
      <x:c r="X1052" s="34" t="str">
        <x:v>PORT-51A2628EF9C2</x:v>
      </x:c>
      <x:c r="Y1052" s="34" t="n">
        <x:v>1000</x:v>
      </x:c>
      <x:c r="Z1052" s="34" t="n">
        <x:v>133.041946</x:v>
      </x:c>
      <x:c r="AA1052" s="34" t="n">
        <x:v>37.909056</x:v>
      </x:c>
      <x:c r="AB1052" s="34" t="n">
        <x:v>328.220861</x:v>
      </x:c>
      <x:c r="AC1052" s="34" t="n">
        <x:v>42800.358</x:v>
      </x:c>
      <x:c r="AD1052" s="34" t="n">
        <x:v>130.401089</x:v>
      </x:c>
      <x:c r="AE1052" s="40" t="b">
        <x:v>1</x:v>
      </x:c>
      <x:c r="AF1052" s="40" t="b">
        <x:v>1</x:v>
      </x:c>
      <x:c r="AG1052" s="34" t="str"/>
      <x:c r="AH1052" s="34" t="n">
        <x:v>0</x:v>
      </x:c>
      <x:c r="AI1052" s="34" t="str">
        <x:v>1.265341119704999e-05</x:v>
      </x:c>
      <x:c r="AJ1052" s="40" t="b">
        <x:v>1</x:v>
      </x:c>
      <x:c r="AK1052" s="40" t="b">
        <x:v>1</x:v>
      </x:c>
      <x:c r="AL1052" s="40" t="b">
        <x:v>1</x:v>
      </x:c>
      <x:c r="AM1052" s="40" t="b">
        <x:v>1</x:v>
      </x:c>
      <x:c r="AN1052" s="34" t="str"/>
      <x:c r="AO1052" s="34" t="n">
        <x:v>0</x:v>
      </x:c>
      <x:c r="AP1052" s="34" t="n">
        <x:v>0</x:v>
      </x:c>
      <x:c r="AQ1052" s="34" t="n">
        <x:v>0</x:v>
      </x:c>
      <x:c r="AR1052" s="34" t="n">
        <x:v>3</x:v>
      </x:c>
      <x:c r="AS1052" s="34" t="n">
        <x:v>3</x:v>
      </x:c>
      <x:c r="AT1052" s="34" t="n">
        <x:v>0.41232239999999987</x:v>
      </x:c>
      <x:c r="AU1052" s="34" t="n">
        <x:v>0.65</x:v>
      </x:c>
      <x:c r="AV1052" s="34" t="n">
        <x:v>1.78</x:v>
      </x:c>
    </x:row>
    <x:row r="1053">
      <x:c r="A1053" s="34" t="str">
        <x:v>JFE_STEEL_JP</x:v>
      </x:c>
      <x:c r="B1053" s="34" t="str">
        <x:v>JFE Steel</x:v>
      </x:c>
      <x:c r="C1053" s="34" t="str">
        <x:v>DISCLOSED_PATH</x:v>
      </x:c>
      <x:c r="D1053" s="34" t="str">
        <x:v>P1</x:v>
      </x:c>
      <x:c r="E1053" s="34" t="n">
        <x:v>2027</x:v>
      </x:c>
      <x:c r="F1053" s="34" t="n">
        <x:v>0</x:v>
      </x:c>
      <x:c r="G1053" s="34" t="n">
        <x:v>0</x:v>
      </x:c>
      <x:c r="H1053" s="34" t="n">
        <x:v>5.75</x:v>
      </x:c>
      <x:c r="I1053" s="34" t="n">
        <x:v>5.75</x:v>
      </x:c>
      <x:c r="J1053" s="34" t="n">
        <x:v>0</x:v>
      </x:c>
      <x:c r="K1053" s="34" t="n">
        <x:v>0</x:v>
      </x:c>
      <x:c r="L1053" s="34" t="n">
        <x:v>0.1</x:v>
      </x:c>
      <x:c r="M1053" s="34" t="n">
        <x:v>0.1</x:v>
      </x:c>
      <x:c r="N1053" s="34" t="n">
        <x:v>0</x:v>
      </x:c>
      <x:c r="O1053" s="34" t="n">
        <x:v>0</x:v>
      </x:c>
      <x:c r="P1053" s="34" t="n">
        <x:v>2.375</x:v>
      </x:c>
      <x:c r="Q1053" s="34" t="n">
        <x:v>2.375</x:v>
      </x:c>
      <x:c r="R1053" s="34" t="n">
        <x:v>0</x:v>
      </x:c>
      <x:c r="S1053" s="40" t="b">
        <x:v>1</x:v>
      </x:c>
      <x:c r="T1053" s="34" t="str">
        <x:v>model_interpolation</x:v>
      </x:c>
      <x:c r="U1053" s="34" t="str">
        <x:v>Linear interpolation from 2026 to 2030</x:v>
      </x:c>
      <x:c r="V1053" s="34" t="str">
        <x:v>CAND-FCDB7C1BD7991A</x:v>
      </x:c>
      <x:c r="W1053" s="34" t="str">
        <x:v>P1</x:v>
      </x:c>
      <x:c r="X1053" s="34" t="str">
        <x:v>PORT-51A2628EF9C2</x:v>
      </x:c>
      <x:c r="Y1053" s="34" t="n">
        <x:v>1000</x:v>
      </x:c>
      <x:c r="Z1053" s="34" t="n">
        <x:v>133.041946</x:v>
      </x:c>
      <x:c r="AA1053" s="34" t="n">
        <x:v>37.909056</x:v>
      </x:c>
      <x:c r="AB1053" s="34" t="n">
        <x:v>328.220861</x:v>
      </x:c>
      <x:c r="AC1053" s="34" t="n">
        <x:v>42800.358</x:v>
      </x:c>
      <x:c r="AD1053" s="34" t="n">
        <x:v>130.401089</x:v>
      </x:c>
      <x:c r="AE1053" s="40" t="b">
        <x:v>1</x:v>
      </x:c>
      <x:c r="AF1053" s="40" t="b">
        <x:v>1</x:v>
      </x:c>
      <x:c r="AG1053" s="34" t="str"/>
      <x:c r="AH1053" s="34" t="n">
        <x:v>0</x:v>
      </x:c>
      <x:c r="AI1053" s="34" t="str">
        <x:v>1.265341119704999e-05</x:v>
      </x:c>
      <x:c r="AJ1053" s="40" t="b">
        <x:v>1</x:v>
      </x:c>
      <x:c r="AK1053" s="40" t="b">
        <x:v>1</x:v>
      </x:c>
      <x:c r="AL1053" s="40" t="b">
        <x:v>1</x:v>
      </x:c>
      <x:c r="AM1053" s="40" t="b">
        <x:v>1</x:v>
      </x:c>
      <x:c r="AN1053" s="34" t="str"/>
      <x:c r="AO1053" s="34" t="n">
        <x:v>0</x:v>
      </x:c>
      <x:c r="AP1053" s="34" t="n">
        <x:v>0</x:v>
      </x:c>
      <x:c r="AQ1053" s="34" t="n">
        <x:v>0</x:v>
      </x:c>
      <x:c r="AR1053" s="34" t="n">
        <x:v>3</x:v>
      </x:c>
      <x:c r="AS1053" s="34" t="n">
        <x:v>3</x:v>
      </x:c>
      <x:c r="AT1053" s="34" t="n">
        <x:v>0.41232239999999987</x:v>
      </x:c>
      <x:c r="AU1053" s="34" t="n">
        <x:v>0.65</x:v>
      </x:c>
      <x:c r="AV1053" s="34" t="n">
        <x:v>1.78</x:v>
      </x:c>
    </x:row>
    <x:row r="1054">
      <x:c r="A1054" s="34" t="str">
        <x:v>JFE_STEEL_JP</x:v>
      </x:c>
      <x:c r="B1054" s="34" t="str">
        <x:v>JFE Steel</x:v>
      </x:c>
      <x:c r="C1054" s="34" t="str">
        <x:v>DISCLOSED_PATH</x:v>
      </x:c>
      <x:c r="D1054" s="34" t="str">
        <x:v>P1</x:v>
      </x:c>
      <x:c r="E1054" s="34" t="n">
        <x:v>2028</x:v>
      </x:c>
      <x:c r="F1054" s="34" t="n">
        <x:v>0</x:v>
      </x:c>
      <x:c r="G1054" s="34" t="n">
        <x:v>0</x:v>
      </x:c>
      <x:c r="H1054" s="34" t="n">
        <x:v>6.5</x:v>
      </x:c>
      <x:c r="I1054" s="34" t="n">
        <x:v>6.5</x:v>
      </x:c>
      <x:c r="J1054" s="34" t="n">
        <x:v>0</x:v>
      </x:c>
      <x:c r="K1054" s="34" t="n">
        <x:v>0</x:v>
      </x:c>
      <x:c r="L1054" s="34" t="n">
        <x:v>0.2</x:v>
      </x:c>
      <x:c r="M1054" s="34" t="n">
        <x:v>0.2</x:v>
      </x:c>
      <x:c r="N1054" s="34" t="n">
        <x:v>0</x:v>
      </x:c>
      <x:c r="O1054" s="34" t="n">
        <x:v>0</x:v>
      </x:c>
      <x:c r="P1054" s="34" t="n">
        <x:v>3.25</x:v>
      </x:c>
      <x:c r="Q1054" s="34" t="n">
        <x:v>3.25</x:v>
      </x:c>
      <x:c r="R1054" s="34" t="n">
        <x:v>0</x:v>
      </x:c>
      <x:c r="S1054" s="40" t="b">
        <x:v>1</x:v>
      </x:c>
      <x:c r="T1054" s="34" t="str">
        <x:v>model_interpolation</x:v>
      </x:c>
      <x:c r="U1054" s="34" t="str">
        <x:v>Linear interpolation from 2026 to 2030</x:v>
      </x:c>
      <x:c r="V1054" s="34" t="str">
        <x:v>CAND-FCDB7C1BD7991A</x:v>
      </x:c>
      <x:c r="W1054" s="34" t="str">
        <x:v>P1</x:v>
      </x:c>
      <x:c r="X1054" s="34" t="str">
        <x:v>PORT-51A2628EF9C2</x:v>
      </x:c>
      <x:c r="Y1054" s="34" t="n">
        <x:v>1000</x:v>
      </x:c>
      <x:c r="Z1054" s="34" t="n">
        <x:v>133.041946</x:v>
      </x:c>
      <x:c r="AA1054" s="34" t="n">
        <x:v>37.909056</x:v>
      </x:c>
      <x:c r="AB1054" s="34" t="n">
        <x:v>328.220861</x:v>
      </x:c>
      <x:c r="AC1054" s="34" t="n">
        <x:v>42800.358</x:v>
      </x:c>
      <x:c r="AD1054" s="34" t="n">
        <x:v>130.401089</x:v>
      </x:c>
      <x:c r="AE1054" s="40" t="b">
        <x:v>1</x:v>
      </x:c>
      <x:c r="AF1054" s="40" t="b">
        <x:v>1</x:v>
      </x:c>
      <x:c r="AG1054" s="34" t="str"/>
      <x:c r="AH1054" s="34" t="n">
        <x:v>0</x:v>
      </x:c>
      <x:c r="AI1054" s="34" t="str">
        <x:v>1.265341119704999e-05</x:v>
      </x:c>
      <x:c r="AJ1054" s="40" t="b">
        <x:v>1</x:v>
      </x:c>
      <x:c r="AK1054" s="40" t="b">
        <x:v>1</x:v>
      </x:c>
      <x:c r="AL1054" s="40" t="b">
        <x:v>1</x:v>
      </x:c>
      <x:c r="AM1054" s="40" t="b">
        <x:v>1</x:v>
      </x:c>
      <x:c r="AN1054" s="34" t="str"/>
      <x:c r="AO1054" s="34" t="n">
        <x:v>0</x:v>
      </x:c>
      <x:c r="AP1054" s="34" t="n">
        <x:v>0</x:v>
      </x:c>
      <x:c r="AQ1054" s="34" t="n">
        <x:v>0</x:v>
      </x:c>
      <x:c r="AR1054" s="34" t="n">
        <x:v>3</x:v>
      </x:c>
      <x:c r="AS1054" s="34" t="n">
        <x:v>3</x:v>
      </x:c>
      <x:c r="AT1054" s="34" t="n">
        <x:v>0.41232239999999987</x:v>
      </x:c>
      <x:c r="AU1054" s="34" t="n">
        <x:v>0.65</x:v>
      </x:c>
      <x:c r="AV1054" s="34" t="n">
        <x:v>1.78</x:v>
      </x:c>
    </x:row>
    <x:row r="1055">
      <x:c r="A1055" s="34" t="str">
        <x:v>JFE_STEEL_JP</x:v>
      </x:c>
      <x:c r="B1055" s="34" t="str">
        <x:v>JFE Steel</x:v>
      </x:c>
      <x:c r="C1055" s="34" t="str">
        <x:v>DISCLOSED_PATH</x:v>
      </x:c>
      <x:c r="D1055" s="34" t="str">
        <x:v>P1</x:v>
      </x:c>
      <x:c r="E1055" s="34" t="n">
        <x:v>2029</x:v>
      </x:c>
      <x:c r="F1055" s="34" t="n">
        <x:v>1</x:v>
      </x:c>
      <x:c r="G1055" s="34" t="n">
        <x:v>6.120001</x:v>
      </x:c>
      <x:c r="H1055" s="34" t="n">
        <x:v>7.25</x:v>
      </x:c>
      <x:c r="I1055" s="34" t="n">
        <x:v>1.129999</x:v>
      </x:c>
      <x:c r="J1055" s="34" t="n">
        <x:v>84.414</x:v>
      </x:c>
      <x:c r="K1055" s="34" t="n">
        <x:v>0</x:v>
      </x:c>
      <x:c r="L1055" s="34" t="n">
        <x:v>0.30000000000000004</x:v>
      </x:c>
      <x:c r="M1055" s="34" t="n">
        <x:v>0.3</x:v>
      </x:c>
      <x:c r="N1055" s="34" t="n">
        <x:v>0</x:v>
      </x:c>
      <x:c r="O1055" s="34" t="n">
        <x:v>3.808</x:v>
      </x:c>
      <x:c r="P1055" s="34" t="n">
        <x:v>4.125</x:v>
      </x:c>
      <x:c r="Q1055" s="34" t="n">
        <x:v>0.317</x:v>
      </x:c>
      <x:c r="R1055" s="34" t="n">
        <x:v>92.315</x:v>
      </x:c>
      <x:c r="S1055" s="40" t="b">
        <x:v>1</x:v>
      </x:c>
      <x:c r="T1055" s="34" t="str">
        <x:v>model_interpolation</x:v>
      </x:c>
      <x:c r="U1055" s="34" t="str">
        <x:v>Linear interpolation from 2026 to 2030</x:v>
      </x:c>
      <x:c r="V1055" s="34" t="str">
        <x:v>CAND-FCDB7C1BD7991A</x:v>
      </x:c>
      <x:c r="W1055" s="34" t="str">
        <x:v>P1</x:v>
      </x:c>
      <x:c r="X1055" s="34" t="str">
        <x:v>PORT-51A2628EF9C2</x:v>
      </x:c>
      <x:c r="Y1055" s="34" t="n">
        <x:v>1000</x:v>
      </x:c>
      <x:c r="Z1055" s="34" t="n">
        <x:v>133.041946</x:v>
      </x:c>
      <x:c r="AA1055" s="34" t="n">
        <x:v>37.909056</x:v>
      </x:c>
      <x:c r="AB1055" s="34" t="n">
        <x:v>328.220861</x:v>
      </x:c>
      <x:c r="AC1055" s="34" t="n">
        <x:v>42800.358</x:v>
      </x:c>
      <x:c r="AD1055" s="34" t="n">
        <x:v>130.401089</x:v>
      </x:c>
      <x:c r="AE1055" s="40" t="b">
        <x:v>1</x:v>
      </x:c>
      <x:c r="AF1055" s="40" t="b">
        <x:v>1</x:v>
      </x:c>
      <x:c r="AG1055" s="34" t="str"/>
      <x:c r="AH1055" s="34" t="n">
        <x:v>0</x:v>
      </x:c>
      <x:c r="AI1055" s="34" t="str">
        <x:v>1.265341119704999e-05</x:v>
      </x:c>
      <x:c r="AJ1055" s="40" t="b">
        <x:v>1</x:v>
      </x:c>
      <x:c r="AK1055" s="40" t="b">
        <x:v>1</x:v>
      </x:c>
      <x:c r="AL1055" s="40" t="b">
        <x:v>1</x:v>
      </x:c>
      <x:c r="AM1055" s="40" t="b">
        <x:v>1</x:v>
      </x:c>
      <x:c r="AN1055" s="34" t="str"/>
      <x:c r="AO1055" s="34" t="n">
        <x:v>0</x:v>
      </x:c>
      <x:c r="AP1055" s="34" t="n">
        <x:v>0</x:v>
      </x:c>
      <x:c r="AQ1055" s="34" t="n">
        <x:v>0</x:v>
      </x:c>
      <x:c r="AR1055" s="34" t="n">
        <x:v>3</x:v>
      </x:c>
      <x:c r="AS1055" s="34" t="n">
        <x:v>3</x:v>
      </x:c>
      <x:c r="AT1055" s="34" t="n">
        <x:v>0.41232239999999987</x:v>
      </x:c>
      <x:c r="AU1055" s="34" t="n">
        <x:v>0.65</x:v>
      </x:c>
      <x:c r="AV1055" s="34" t="n">
        <x:v>1.78</x:v>
      </x:c>
    </x:row>
    <x:row r="1056">
      <x:c r="A1056" s="34" t="str">
        <x:v>JFE_STEEL_JP</x:v>
      </x:c>
      <x:c r="B1056" s="34" t="str">
        <x:v>JFE Steel</x:v>
      </x:c>
      <x:c r="C1056" s="34" t="str">
        <x:v>DISCLOSED_PATH</x:v>
      </x:c>
      <x:c r="D1056" s="34" t="str">
        <x:v>P1</x:v>
      </x:c>
      <x:c r="E1056" s="34" t="n">
        <x:v>2030</x:v>
      </x:c>
      <x:c r="F1056" s="34" t="n">
        <x:v>1</x:v>
      </x:c>
      <x:c r="G1056" s="34" t="n">
        <x:v>6.120001</x:v>
      </x:c>
      <x:c r="H1056" s="34" t="n">
        <x:v>8</x:v>
      </x:c>
      <x:c r="I1056" s="34" t="n">
        <x:v>1.879999</x:v>
      </x:c>
      <x:c r="J1056" s="34" t="n">
        <x:v>76.5</x:v>
      </x:c>
      <x:c r="K1056" s="34" t="n">
        <x:v>0</x:v>
      </x:c>
      <x:c r="L1056" s="34" t="n">
        <x:v>0.4</x:v>
      </x:c>
      <x:c r="M1056" s="34" t="n">
        <x:v>0.4</x:v>
      </x:c>
      <x:c r="N1056" s="34" t="n">
        <x:v>0</x:v>
      </x:c>
      <x:c r="O1056" s="34" t="n">
        <x:v>3.808</x:v>
      </x:c>
      <x:c r="P1056" s="34" t="n">
        <x:v>5</x:v>
      </x:c>
      <x:c r="Q1056" s="34" t="n">
        <x:v>1.192</x:v>
      </x:c>
      <x:c r="R1056" s="34" t="n">
        <x:v>76.16</x:v>
      </x:c>
      <x:c r="S1056" s="40" t="b">
        <x:v>1</x:v>
      </x:c>
      <x:c r="T1056" s="34" t="str">
        <x:v>model_interpolation</x:v>
      </x:c>
      <x:c r="U1056" s="34" t="str">
        <x:v>Linear interpolation from 2030 to 2035</x:v>
      </x:c>
      <x:c r="V1056" s="34" t="str">
        <x:v>CAND-FCDB7C1BD7991A</x:v>
      </x:c>
      <x:c r="W1056" s="34" t="str">
        <x:v>P1</x:v>
      </x:c>
      <x:c r="X1056" s="34" t="str">
        <x:v>PORT-51A2628EF9C2</x:v>
      </x:c>
      <x:c r="Y1056" s="34" t="n">
        <x:v>1000</x:v>
      </x:c>
      <x:c r="Z1056" s="34" t="n">
        <x:v>133.041946</x:v>
      </x:c>
      <x:c r="AA1056" s="34" t="n">
        <x:v>37.909056</x:v>
      </x:c>
      <x:c r="AB1056" s="34" t="n">
        <x:v>328.220861</x:v>
      </x:c>
      <x:c r="AC1056" s="34" t="n">
        <x:v>42800.358</x:v>
      </x:c>
      <x:c r="AD1056" s="34" t="n">
        <x:v>130.401089</x:v>
      </x:c>
      <x:c r="AE1056" s="40" t="b">
        <x:v>1</x:v>
      </x:c>
      <x:c r="AF1056" s="40" t="b">
        <x:v>1</x:v>
      </x:c>
      <x:c r="AG1056" s="34" t="str"/>
      <x:c r="AH1056" s="34" t="n">
        <x:v>0</x:v>
      </x:c>
      <x:c r="AI1056" s="34" t="str">
        <x:v>1.265341119704999e-05</x:v>
      </x:c>
      <x:c r="AJ1056" s="40" t="b">
        <x:v>1</x:v>
      </x:c>
      <x:c r="AK1056" s="40" t="b">
        <x:v>1</x:v>
      </x:c>
      <x:c r="AL1056" s="40" t="b">
        <x:v>1</x:v>
      </x:c>
      <x:c r="AM1056" s="40" t="b">
        <x:v>1</x:v>
      </x:c>
      <x:c r="AN1056" s="34" t="str"/>
      <x:c r="AO1056" s="34" t="n">
        <x:v>0</x:v>
      </x:c>
      <x:c r="AP1056" s="34" t="n">
        <x:v>0</x:v>
      </x:c>
      <x:c r="AQ1056" s="34" t="n">
        <x:v>0</x:v>
      </x:c>
      <x:c r="AR1056" s="34" t="n">
        <x:v>3</x:v>
      </x:c>
      <x:c r="AS1056" s="34" t="n">
        <x:v>3</x:v>
      </x:c>
      <x:c r="AT1056" s="34" t="n">
        <x:v>0.41232239999999987</x:v>
      </x:c>
      <x:c r="AU1056" s="34" t="n">
        <x:v>0.65</x:v>
      </x:c>
      <x:c r="AV1056" s="34" t="n">
        <x:v>1.78</x:v>
      </x:c>
    </x:row>
    <x:row r="1057">
      <x:c r="A1057" s="34" t="str">
        <x:v>JFE_STEEL_JP</x:v>
      </x:c>
      <x:c r="B1057" s="34" t="str">
        <x:v>JFE Steel</x:v>
      </x:c>
      <x:c r="C1057" s="34" t="str">
        <x:v>DISCLOSED_PATH</x:v>
      </x:c>
      <x:c r="D1057" s="34" t="str">
        <x:v>P1</x:v>
      </x:c>
      <x:c r="E1057" s="34" t="n">
        <x:v>2031</x:v>
      </x:c>
      <x:c r="F1057" s="34" t="n">
        <x:v>1</x:v>
      </x:c>
      <x:c r="G1057" s="34" t="n">
        <x:v>6.120001</x:v>
      </x:c>
      <x:c r="H1057" s="34" t="n">
        <x:v>8.8</x:v>
      </x:c>
      <x:c r="I1057" s="34" t="n">
        <x:v>2.679999</x:v>
      </x:c>
      <x:c r="J1057" s="34" t="n">
        <x:v>69.545</x:v>
      </x:c>
      <x:c r="K1057" s="34" t="n">
        <x:v>0</x:v>
      </x:c>
      <x:c r="L1057" s="34" t="n">
        <x:v>0.56</x:v>
      </x:c>
      <x:c r="M1057" s="34" t="n">
        <x:v>0.56</x:v>
      </x:c>
      <x:c r="N1057" s="34" t="n">
        <x:v>0</x:v>
      </x:c>
      <x:c r="O1057" s="34" t="n">
        <x:v>3.808</x:v>
      </x:c>
      <x:c r="P1057" s="34" t="n">
        <x:v>6</x:v>
      </x:c>
      <x:c r="Q1057" s="34" t="n">
        <x:v>2.192</x:v>
      </x:c>
      <x:c r="R1057" s="34" t="n">
        <x:v>63.467</x:v>
      </x:c>
      <x:c r="S1057" s="40" t="b">
        <x:v>1</x:v>
      </x:c>
      <x:c r="T1057" s="34" t="str">
        <x:v>model_interpolation</x:v>
      </x:c>
      <x:c r="U1057" s="34" t="str">
        <x:v>Linear interpolation from 2030 to 2035</x:v>
      </x:c>
      <x:c r="V1057" s="34" t="str">
        <x:v>CAND-FCDB7C1BD7991A</x:v>
      </x:c>
      <x:c r="W1057" s="34" t="str">
        <x:v>P1</x:v>
      </x:c>
      <x:c r="X1057" s="34" t="str">
        <x:v>PORT-51A2628EF9C2</x:v>
      </x:c>
      <x:c r="Y1057" s="34" t="n">
        <x:v>1000</x:v>
      </x:c>
      <x:c r="Z1057" s="34" t="n">
        <x:v>133.041946</x:v>
      </x:c>
      <x:c r="AA1057" s="34" t="n">
        <x:v>37.909056</x:v>
      </x:c>
      <x:c r="AB1057" s="34" t="n">
        <x:v>328.220861</x:v>
      </x:c>
      <x:c r="AC1057" s="34" t="n">
        <x:v>42800.358</x:v>
      </x:c>
      <x:c r="AD1057" s="34" t="n">
        <x:v>130.401089</x:v>
      </x:c>
      <x:c r="AE1057" s="40" t="b">
        <x:v>1</x:v>
      </x:c>
      <x:c r="AF1057" s="40" t="b">
        <x:v>1</x:v>
      </x:c>
      <x:c r="AG1057" s="34" t="str"/>
      <x:c r="AH1057" s="34" t="n">
        <x:v>0</x:v>
      </x:c>
      <x:c r="AI1057" s="34" t="str">
        <x:v>1.265341119704999e-05</x:v>
      </x:c>
      <x:c r="AJ1057" s="40" t="b">
        <x:v>1</x:v>
      </x:c>
      <x:c r="AK1057" s="40" t="b">
        <x:v>1</x:v>
      </x:c>
      <x:c r="AL1057" s="40" t="b">
        <x:v>1</x:v>
      </x:c>
      <x:c r="AM1057" s="40" t="b">
        <x:v>1</x:v>
      </x:c>
      <x:c r="AN1057" s="34" t="str"/>
      <x:c r="AO1057" s="34" t="n">
        <x:v>0</x:v>
      </x:c>
      <x:c r="AP1057" s="34" t="n">
        <x:v>0</x:v>
      </x:c>
      <x:c r="AQ1057" s="34" t="n">
        <x:v>0</x:v>
      </x:c>
      <x:c r="AR1057" s="34" t="n">
        <x:v>3</x:v>
      </x:c>
      <x:c r="AS1057" s="34" t="n">
        <x:v>3</x:v>
      </x:c>
      <x:c r="AT1057" s="34" t="n">
        <x:v>0.41232239999999987</x:v>
      </x:c>
      <x:c r="AU1057" s="34" t="n">
        <x:v>0.65</x:v>
      </x:c>
      <x:c r="AV1057" s="34" t="n">
        <x:v>1.78</x:v>
      </x:c>
    </x:row>
    <x:row r="1058">
      <x:c r="A1058" s="34" t="str">
        <x:v>JFE_STEEL_JP</x:v>
      </x:c>
      <x:c r="B1058" s="34" t="str">
        <x:v>JFE Steel</x:v>
      </x:c>
      <x:c r="C1058" s="34" t="str">
        <x:v>DISCLOSED_PATH</x:v>
      </x:c>
      <x:c r="D1058" s="34" t="str">
        <x:v>P1</x:v>
      </x:c>
      <x:c r="E1058" s="34" t="n">
        <x:v>2032</x:v>
      </x:c>
      <x:c r="F1058" s="34" t="n">
        <x:v>1</x:v>
      </x:c>
      <x:c r="G1058" s="34" t="n">
        <x:v>6.120001</x:v>
      </x:c>
      <x:c r="H1058" s="34" t="n">
        <x:v>9.6</x:v>
      </x:c>
      <x:c r="I1058" s="34" t="n">
        <x:v>3.479999</x:v>
      </x:c>
      <x:c r="J1058" s="34" t="n">
        <x:v>63.75</x:v>
      </x:c>
      <x:c r="K1058" s="34" t="n">
        <x:v>0</x:v>
      </x:c>
      <x:c r="L1058" s="34" t="n">
        <x:v>0.72</x:v>
      </x:c>
      <x:c r="M1058" s="34" t="n">
        <x:v>0.72</x:v>
      </x:c>
      <x:c r="N1058" s="34" t="n">
        <x:v>0</x:v>
      </x:c>
      <x:c r="O1058" s="34" t="n">
        <x:v>3.808</x:v>
      </x:c>
      <x:c r="P1058" s="34" t="n">
        <x:v>7</x:v>
      </x:c>
      <x:c r="Q1058" s="34" t="n">
        <x:v>3.192</x:v>
      </x:c>
      <x:c r="R1058" s="34" t="n">
        <x:v>54.4</x:v>
      </x:c>
      <x:c r="S1058" s="40" t="b">
        <x:v>1</x:v>
      </x:c>
      <x:c r="T1058" s="34" t="str">
        <x:v>model_interpolation</x:v>
      </x:c>
      <x:c r="U1058" s="34" t="str">
        <x:v>Linear interpolation from 2030 to 2035</x:v>
      </x:c>
      <x:c r="V1058" s="34" t="str">
        <x:v>CAND-FCDB7C1BD7991A</x:v>
      </x:c>
      <x:c r="W1058" s="34" t="str">
        <x:v>P1</x:v>
      </x:c>
      <x:c r="X1058" s="34" t="str">
        <x:v>PORT-51A2628EF9C2</x:v>
      </x:c>
      <x:c r="Y1058" s="34" t="n">
        <x:v>1000</x:v>
      </x:c>
      <x:c r="Z1058" s="34" t="n">
        <x:v>133.041946</x:v>
      </x:c>
      <x:c r="AA1058" s="34" t="n">
        <x:v>37.909056</x:v>
      </x:c>
      <x:c r="AB1058" s="34" t="n">
        <x:v>328.220861</x:v>
      </x:c>
      <x:c r="AC1058" s="34" t="n">
        <x:v>42800.358</x:v>
      </x:c>
      <x:c r="AD1058" s="34" t="n">
        <x:v>130.401089</x:v>
      </x:c>
      <x:c r="AE1058" s="40" t="b">
        <x:v>1</x:v>
      </x:c>
      <x:c r="AF1058" s="40" t="b">
        <x:v>1</x:v>
      </x:c>
      <x:c r="AG1058" s="34" t="str"/>
      <x:c r="AH1058" s="34" t="n">
        <x:v>0</x:v>
      </x:c>
      <x:c r="AI1058" s="34" t="str">
        <x:v>1.265341119704999e-05</x:v>
      </x:c>
      <x:c r="AJ1058" s="40" t="b">
        <x:v>1</x:v>
      </x:c>
      <x:c r="AK1058" s="40" t="b">
        <x:v>1</x:v>
      </x:c>
      <x:c r="AL1058" s="40" t="b">
        <x:v>1</x:v>
      </x:c>
      <x:c r="AM1058" s="40" t="b">
        <x:v>1</x:v>
      </x:c>
      <x:c r="AN1058" s="34" t="str"/>
      <x:c r="AO1058" s="34" t="n">
        <x:v>0</x:v>
      </x:c>
      <x:c r="AP1058" s="34" t="n">
        <x:v>0</x:v>
      </x:c>
      <x:c r="AQ1058" s="34" t="n">
        <x:v>0</x:v>
      </x:c>
      <x:c r="AR1058" s="34" t="n">
        <x:v>3</x:v>
      </x:c>
      <x:c r="AS1058" s="34" t="n">
        <x:v>3</x:v>
      </x:c>
      <x:c r="AT1058" s="34" t="n">
        <x:v>0.41232239999999987</x:v>
      </x:c>
      <x:c r="AU1058" s="34" t="n">
        <x:v>0.65</x:v>
      </x:c>
      <x:c r="AV1058" s="34" t="n">
        <x:v>1.78</x:v>
      </x:c>
    </x:row>
    <x:row r="1059">
      <x:c r="A1059" s="34" t="str">
        <x:v>JFE_STEEL_JP</x:v>
      </x:c>
      <x:c r="B1059" s="34" t="str">
        <x:v>JFE Steel</x:v>
      </x:c>
      <x:c r="C1059" s="34" t="str">
        <x:v>DISCLOSED_PATH</x:v>
      </x:c>
      <x:c r="D1059" s="34" t="str">
        <x:v>P1</x:v>
      </x:c>
      <x:c r="E1059" s="34" t="n">
        <x:v>2033</x:v>
      </x:c>
      <x:c r="F1059" s="34" t="n">
        <x:v>3</x:v>
      </x:c>
      <x:c r="G1059" s="34" t="n">
        <x:v>8.1</x:v>
      </x:c>
      <x:c r="H1059" s="34" t="n">
        <x:v>10.4</x:v>
      </x:c>
      <x:c r="I1059" s="34" t="n">
        <x:v>2.3</x:v>
      </x:c>
      <x:c r="J1059" s="34" t="n">
        <x:v>77.885</x:v>
      </x:c>
      <x:c r="K1059" s="34" t="n">
        <x:v>0.495</x:v>
      </x:c>
      <x:c r="L1059" s="34" t="n">
        <x:v>0.8799999999999999</x:v>
      </x:c>
      <x:c r="M1059" s="34" t="n">
        <x:v>0.385</x:v>
      </x:c>
      <x:c r="N1059" s="34" t="n">
        <x:v>56.25</x:v>
      </x:c>
      <x:c r="O1059" s="34" t="n">
        <x:v>7.961999</x:v>
      </x:c>
      <x:c r="P1059" s="34" t="n">
        <x:v>8</x:v>
      </x:c>
      <x:c r="Q1059" s="34" t="n">
        <x:v>0.038001</x:v>
      </x:c>
      <x:c r="R1059" s="34" t="n">
        <x:v>99.525</x:v>
      </x:c>
      <x:c r="S1059" s="40" t="b">
        <x:v>1</x:v>
      </x:c>
      <x:c r="T1059" s="34" t="str">
        <x:v>model_interpolation</x:v>
      </x:c>
      <x:c r="U1059" s="34" t="str">
        <x:v>Linear interpolation from 2030 to 2035</x:v>
      </x:c>
      <x:c r="V1059" s="34" t="str">
        <x:v>CAND-FCDB7C1BD7991A</x:v>
      </x:c>
      <x:c r="W1059" s="34" t="str">
        <x:v>P1</x:v>
      </x:c>
      <x:c r="X1059" s="34" t="str">
        <x:v>PORT-51A2628EF9C2</x:v>
      </x:c>
      <x:c r="Y1059" s="34" t="n">
        <x:v>1000</x:v>
      </x:c>
      <x:c r="Z1059" s="34" t="n">
        <x:v>133.041946</x:v>
      </x:c>
      <x:c r="AA1059" s="34" t="n">
        <x:v>37.909056</x:v>
      </x:c>
      <x:c r="AB1059" s="34" t="n">
        <x:v>328.220861</x:v>
      </x:c>
      <x:c r="AC1059" s="34" t="n">
        <x:v>42800.358</x:v>
      </x:c>
      <x:c r="AD1059" s="34" t="n">
        <x:v>130.401089</x:v>
      </x:c>
      <x:c r="AE1059" s="40" t="b">
        <x:v>1</x:v>
      </x:c>
      <x:c r="AF1059" s="40" t="b">
        <x:v>1</x:v>
      </x:c>
      <x:c r="AG1059" s="34" t="str"/>
      <x:c r="AH1059" s="34" t="n">
        <x:v>0</x:v>
      </x:c>
      <x:c r="AI1059" s="34" t="str">
        <x:v>1.265341119704999e-05</x:v>
      </x:c>
      <x:c r="AJ1059" s="40" t="b">
        <x:v>1</x:v>
      </x:c>
      <x:c r="AK1059" s="40" t="b">
        <x:v>1</x:v>
      </x:c>
      <x:c r="AL1059" s="40" t="b">
        <x:v>1</x:v>
      </x:c>
      <x:c r="AM1059" s="40" t="b">
        <x:v>1</x:v>
      </x:c>
      <x:c r="AN1059" s="34" t="str"/>
      <x:c r="AO1059" s="34" t="n">
        <x:v>0</x:v>
      </x:c>
      <x:c r="AP1059" s="34" t="n">
        <x:v>0</x:v>
      </x:c>
      <x:c r="AQ1059" s="34" t="n">
        <x:v>0</x:v>
      </x:c>
      <x:c r="AR1059" s="34" t="n">
        <x:v>3</x:v>
      </x:c>
      <x:c r="AS1059" s="34" t="n">
        <x:v>3</x:v>
      </x:c>
      <x:c r="AT1059" s="34" t="n">
        <x:v>0.41232239999999987</x:v>
      </x:c>
      <x:c r="AU1059" s="34" t="n">
        <x:v>0.65</x:v>
      </x:c>
      <x:c r="AV1059" s="34" t="n">
        <x:v>1.78</x:v>
      </x:c>
    </x:row>
    <x:row r="1060">
      <x:c r="A1060" s="34" t="str">
        <x:v>JFE_STEEL_JP</x:v>
      </x:c>
      <x:c r="B1060" s="34" t="str">
        <x:v>JFE Steel</x:v>
      </x:c>
      <x:c r="C1060" s="34" t="str">
        <x:v>DISCLOSED_PATH</x:v>
      </x:c>
      <x:c r="D1060" s="34" t="str">
        <x:v>P1</x:v>
      </x:c>
      <x:c r="E1060" s="34" t="n">
        <x:v>2034</x:v>
      </x:c>
      <x:c r="F1060" s="34" t="n">
        <x:v>3</x:v>
      </x:c>
      <x:c r="G1060" s="34" t="n">
        <x:v>8.1</x:v>
      </x:c>
      <x:c r="H1060" s="34" t="n">
        <x:v>11.2</x:v>
      </x:c>
      <x:c r="I1060" s="34" t="n">
        <x:v>3.1</x:v>
      </x:c>
      <x:c r="J1060" s="34" t="n">
        <x:v>72.321</x:v>
      </x:c>
      <x:c r="K1060" s="34" t="n">
        <x:v>0.495</x:v>
      </x:c>
      <x:c r="L1060" s="34" t="n">
        <x:v>1.04</x:v>
      </x:c>
      <x:c r="M1060" s="34" t="n">
        <x:v>0.545</x:v>
      </x:c>
      <x:c r="N1060" s="34" t="n">
        <x:v>47.596</x:v>
      </x:c>
      <x:c r="O1060" s="34" t="n">
        <x:v>7.961999</x:v>
      </x:c>
      <x:c r="P1060" s="34" t="n">
        <x:v>9</x:v>
      </x:c>
      <x:c r="Q1060" s="34" t="n">
        <x:v>1.038001</x:v>
      </x:c>
      <x:c r="R1060" s="34" t="n">
        <x:v>88.467</x:v>
      </x:c>
      <x:c r="S1060" s="40" t="b">
        <x:v>1</x:v>
      </x:c>
      <x:c r="T1060" s="34" t="str">
        <x:v>model_interpolation</x:v>
      </x:c>
      <x:c r="U1060" s="34" t="str">
        <x:v>Linear interpolation from 2030 to 2035</x:v>
      </x:c>
      <x:c r="V1060" s="34" t="str">
        <x:v>CAND-FCDB7C1BD7991A</x:v>
      </x:c>
      <x:c r="W1060" s="34" t="str">
        <x:v>P1</x:v>
      </x:c>
      <x:c r="X1060" s="34" t="str">
        <x:v>PORT-51A2628EF9C2</x:v>
      </x:c>
      <x:c r="Y1060" s="34" t="n">
        <x:v>1000</x:v>
      </x:c>
      <x:c r="Z1060" s="34" t="n">
        <x:v>133.041946</x:v>
      </x:c>
      <x:c r="AA1060" s="34" t="n">
        <x:v>37.909056</x:v>
      </x:c>
      <x:c r="AB1060" s="34" t="n">
        <x:v>328.220861</x:v>
      </x:c>
      <x:c r="AC1060" s="34" t="n">
        <x:v>42800.358</x:v>
      </x:c>
      <x:c r="AD1060" s="34" t="n">
        <x:v>130.401089</x:v>
      </x:c>
      <x:c r="AE1060" s="40" t="b">
        <x:v>1</x:v>
      </x:c>
      <x:c r="AF1060" s="40" t="b">
        <x:v>1</x:v>
      </x:c>
      <x:c r="AG1060" s="34" t="str"/>
      <x:c r="AH1060" s="34" t="n">
        <x:v>0</x:v>
      </x:c>
      <x:c r="AI1060" s="34" t="str">
        <x:v>1.265341119704999e-05</x:v>
      </x:c>
      <x:c r="AJ1060" s="40" t="b">
        <x:v>1</x:v>
      </x:c>
      <x:c r="AK1060" s="40" t="b">
        <x:v>1</x:v>
      </x:c>
      <x:c r="AL1060" s="40" t="b">
        <x:v>1</x:v>
      </x:c>
      <x:c r="AM1060" s="40" t="b">
        <x:v>1</x:v>
      </x:c>
      <x:c r="AN1060" s="34" t="str"/>
      <x:c r="AO1060" s="34" t="n">
        <x:v>0</x:v>
      </x:c>
      <x:c r="AP1060" s="34" t="n">
        <x:v>0</x:v>
      </x:c>
      <x:c r="AQ1060" s="34" t="n">
        <x:v>0</x:v>
      </x:c>
      <x:c r="AR1060" s="34" t="n">
        <x:v>3</x:v>
      </x:c>
      <x:c r="AS1060" s="34" t="n">
        <x:v>3</x:v>
      </x:c>
      <x:c r="AT1060" s="34" t="n">
        <x:v>0.41232239999999987</x:v>
      </x:c>
      <x:c r="AU1060" s="34" t="n">
        <x:v>0.65</x:v>
      </x:c>
      <x:c r="AV1060" s="34" t="n">
        <x:v>1.78</x:v>
      </x:c>
    </x:row>
    <x:row r="1061">
      <x:c r="A1061" s="34" t="str">
        <x:v>JFE_STEEL_JP</x:v>
      </x:c>
      <x:c r="B1061" s="34" t="str">
        <x:v>JFE Steel</x:v>
      </x:c>
      <x:c r="C1061" s="34" t="str">
        <x:v>DISCLOSED_PATH</x:v>
      </x:c>
      <x:c r="D1061" s="34" t="str">
        <x:v>P1</x:v>
      </x:c>
      <x:c r="E1061" s="34" t="n">
        <x:v>2035</x:v>
      </x:c>
      <x:c r="F1061" s="34" t="n">
        <x:v>3</x:v>
      </x:c>
      <x:c r="G1061" s="34" t="n">
        <x:v>8.1</x:v>
      </x:c>
      <x:c r="H1061" s="34" t="n">
        <x:v>12</x:v>
      </x:c>
      <x:c r="I1061" s="34" t="n">
        <x:v>3.9</x:v>
      </x:c>
      <x:c r="J1061" s="34" t="n">
        <x:v>67.5</x:v>
      </x:c>
      <x:c r="K1061" s="34" t="n">
        <x:v>0.495</x:v>
      </x:c>
      <x:c r="L1061" s="34" t="n">
        <x:v>1.2</x:v>
      </x:c>
      <x:c r="M1061" s="34" t="n">
        <x:v>0.705</x:v>
      </x:c>
      <x:c r="N1061" s="34" t="n">
        <x:v>41.25</x:v>
      </x:c>
      <x:c r="O1061" s="34" t="n">
        <x:v>7.961999</x:v>
      </x:c>
      <x:c r="P1061" s="34" t="n">
        <x:v>10</x:v>
      </x:c>
      <x:c r="Q1061" s="34" t="n">
        <x:v>2.038001</x:v>
      </x:c>
      <x:c r="R1061" s="34" t="n">
        <x:v>79.62</x:v>
      </x:c>
      <x:c r="S1061" s="40" t="b">
        <x:v>1</x:v>
      </x:c>
      <x:c r="T1061" s="34" t="str">
        <x:v>model_interpolation</x:v>
      </x:c>
      <x:c r="U1061" s="34" t="str">
        <x:v>Linear interpolation from 2035 to 2040</x:v>
      </x:c>
      <x:c r="V1061" s="34" t="str">
        <x:v>CAND-FCDB7C1BD7991A</x:v>
      </x:c>
      <x:c r="W1061" s="34" t="str">
        <x:v>P1</x:v>
      </x:c>
      <x:c r="X1061" s="34" t="str">
        <x:v>PORT-51A2628EF9C2</x:v>
      </x:c>
      <x:c r="Y1061" s="34" t="n">
        <x:v>1000</x:v>
      </x:c>
      <x:c r="Z1061" s="34" t="n">
        <x:v>133.041946</x:v>
      </x:c>
      <x:c r="AA1061" s="34" t="n">
        <x:v>37.909056</x:v>
      </x:c>
      <x:c r="AB1061" s="34" t="n">
        <x:v>328.220861</x:v>
      </x:c>
      <x:c r="AC1061" s="34" t="n">
        <x:v>42800.358</x:v>
      </x:c>
      <x:c r="AD1061" s="34" t="n">
        <x:v>130.401089</x:v>
      </x:c>
      <x:c r="AE1061" s="40" t="b">
        <x:v>1</x:v>
      </x:c>
      <x:c r="AF1061" s="40" t="b">
        <x:v>1</x:v>
      </x:c>
      <x:c r="AG1061" s="34" t="str"/>
      <x:c r="AH1061" s="34" t="n">
        <x:v>0</x:v>
      </x:c>
      <x:c r="AI1061" s="34" t="str">
        <x:v>1.265341119704999e-05</x:v>
      </x:c>
      <x:c r="AJ1061" s="40" t="b">
        <x:v>1</x:v>
      </x:c>
      <x:c r="AK1061" s="40" t="b">
        <x:v>1</x:v>
      </x:c>
      <x:c r="AL1061" s="40" t="b">
        <x:v>1</x:v>
      </x:c>
      <x:c r="AM1061" s="40" t="b">
        <x:v>1</x:v>
      </x:c>
      <x:c r="AN1061" s="34" t="str"/>
      <x:c r="AO1061" s="34" t="n">
        <x:v>0</x:v>
      </x:c>
      <x:c r="AP1061" s="34" t="n">
        <x:v>0</x:v>
      </x:c>
      <x:c r="AQ1061" s="34" t="n">
        <x:v>0</x:v>
      </x:c>
      <x:c r="AR1061" s="34" t="n">
        <x:v>3</x:v>
      </x:c>
      <x:c r="AS1061" s="34" t="n">
        <x:v>3</x:v>
      </x:c>
      <x:c r="AT1061" s="34" t="n">
        <x:v>0.41232239999999987</x:v>
      </x:c>
      <x:c r="AU1061" s="34" t="n">
        <x:v>0.65</x:v>
      </x:c>
      <x:c r="AV1061" s="34" t="n">
        <x:v>1.78</x:v>
      </x:c>
    </x:row>
    <x:row r="1062">
      <x:c r="A1062" s="34" t="str">
        <x:v>JFE_STEEL_JP</x:v>
      </x:c>
      <x:c r="B1062" s="34" t="str">
        <x:v>JFE Steel</x:v>
      </x:c>
      <x:c r="C1062" s="34" t="str">
        <x:v>DISCLOSED_PATH</x:v>
      </x:c>
      <x:c r="D1062" s="34" t="str">
        <x:v>P1</x:v>
      </x:c>
      <x:c r="E1062" s="34" t="n">
        <x:v>2036</x:v>
      </x:c>
      <x:c r="F1062" s="34" t="n">
        <x:v>4</x:v>
      </x:c>
      <x:c r="G1062" s="34" t="n">
        <x:v>8.9175</x:v>
      </x:c>
      <x:c r="H1062" s="34" t="n">
        <x:v>13</x:v>
      </x:c>
      <x:c r="I1062" s="34" t="n">
        <x:v>4.0825</x:v>
      </x:c>
      <x:c r="J1062" s="34" t="n">
        <x:v>68.596</x:v>
      </x:c>
      <x:c r="K1062" s="34" t="n">
        <x:v>0.79475</x:v>
      </x:c>
      <x:c r="L1062" s="34" t="n">
        <x:v>1.4</x:v>
      </x:c>
      <x:c r="M1062" s="34" t="n">
        <x:v>0.60525</x:v>
      </x:c>
      <x:c r="N1062" s="34" t="n">
        <x:v>56.768</x:v>
      </x:c>
      <x:c r="O1062" s="34" t="n">
        <x:v>10.468998</x:v>
      </x:c>
      <x:c r="P1062" s="34" t="n">
        <x:v>11.4</x:v>
      </x:c>
      <x:c r="Q1062" s="34" t="n">
        <x:v>0.931002</x:v>
      </x:c>
      <x:c r="R1062" s="34" t="n">
        <x:v>91.833</x:v>
      </x:c>
      <x:c r="S1062" s="40" t="b">
        <x:v>1</x:v>
      </x:c>
      <x:c r="T1062" s="34" t="str">
        <x:v>model_interpolation</x:v>
      </x:c>
      <x:c r="U1062" s="34" t="str">
        <x:v>Linear interpolation from 2035 to 2040</x:v>
      </x:c>
      <x:c r="V1062" s="34" t="str">
        <x:v>CAND-FCDB7C1BD7991A</x:v>
      </x:c>
      <x:c r="W1062" s="34" t="str">
        <x:v>P1</x:v>
      </x:c>
      <x:c r="X1062" s="34" t="str">
        <x:v>PORT-51A2628EF9C2</x:v>
      </x:c>
      <x:c r="Y1062" s="34" t="n">
        <x:v>1000</x:v>
      </x:c>
      <x:c r="Z1062" s="34" t="n">
        <x:v>133.041946</x:v>
      </x:c>
      <x:c r="AA1062" s="34" t="n">
        <x:v>37.909056</x:v>
      </x:c>
      <x:c r="AB1062" s="34" t="n">
        <x:v>328.220861</x:v>
      </x:c>
      <x:c r="AC1062" s="34" t="n">
        <x:v>42800.358</x:v>
      </x:c>
      <x:c r="AD1062" s="34" t="n">
        <x:v>130.401089</x:v>
      </x:c>
      <x:c r="AE1062" s="40" t="b">
        <x:v>1</x:v>
      </x:c>
      <x:c r="AF1062" s="40" t="b">
        <x:v>1</x:v>
      </x:c>
      <x:c r="AG1062" s="34" t="str"/>
      <x:c r="AH1062" s="34" t="n">
        <x:v>0</x:v>
      </x:c>
      <x:c r="AI1062" s="34" t="str">
        <x:v>1.265341119704999e-05</x:v>
      </x:c>
      <x:c r="AJ1062" s="40" t="b">
        <x:v>1</x:v>
      </x:c>
      <x:c r="AK1062" s="40" t="b">
        <x:v>1</x:v>
      </x:c>
      <x:c r="AL1062" s="40" t="b">
        <x:v>1</x:v>
      </x:c>
      <x:c r="AM1062" s="40" t="b">
        <x:v>1</x:v>
      </x:c>
      <x:c r="AN1062" s="34" t="str"/>
      <x:c r="AO1062" s="34" t="n">
        <x:v>0</x:v>
      </x:c>
      <x:c r="AP1062" s="34" t="n">
        <x:v>0</x:v>
      </x:c>
      <x:c r="AQ1062" s="34" t="n">
        <x:v>0</x:v>
      </x:c>
      <x:c r="AR1062" s="34" t="n">
        <x:v>3</x:v>
      </x:c>
      <x:c r="AS1062" s="34" t="n">
        <x:v>3</x:v>
      </x:c>
      <x:c r="AT1062" s="34" t="n">
        <x:v>0.41232239999999987</x:v>
      </x:c>
      <x:c r="AU1062" s="34" t="n">
        <x:v>0.65</x:v>
      </x:c>
      <x:c r="AV1062" s="34" t="n">
        <x:v>1.78</x:v>
      </x:c>
    </x:row>
    <x:row r="1063">
      <x:c r="A1063" s="34" t="str">
        <x:v>JFE_STEEL_JP</x:v>
      </x:c>
      <x:c r="B1063" s="34" t="str">
        <x:v>JFE Steel</x:v>
      </x:c>
      <x:c r="C1063" s="34" t="str">
        <x:v>DISCLOSED_PATH</x:v>
      </x:c>
      <x:c r="D1063" s="34" t="str">
        <x:v>P1</x:v>
      </x:c>
      <x:c r="E1063" s="34" t="n">
        <x:v>2037</x:v>
      </x:c>
      <x:c r="F1063" s="34" t="n">
        <x:v>4</x:v>
      </x:c>
      <x:c r="G1063" s="34" t="n">
        <x:v>8.9175</x:v>
      </x:c>
      <x:c r="H1063" s="34" t="n">
        <x:v>14</x:v>
      </x:c>
      <x:c r="I1063" s="34" t="n">
        <x:v>5.0825</x:v>
      </x:c>
      <x:c r="J1063" s="34" t="n">
        <x:v>63.696</x:v>
      </x:c>
      <x:c r="K1063" s="34" t="n">
        <x:v>0.79475</x:v>
      </x:c>
      <x:c r="L1063" s="34" t="n">
        <x:v>1.6</x:v>
      </x:c>
      <x:c r="M1063" s="34" t="n">
        <x:v>0.80525</x:v>
      </x:c>
      <x:c r="N1063" s="34" t="n">
        <x:v>49.672</x:v>
      </x:c>
      <x:c r="O1063" s="34" t="n">
        <x:v>10.468998</x:v>
      </x:c>
      <x:c r="P1063" s="34" t="n">
        <x:v>12.8</x:v>
      </x:c>
      <x:c r="Q1063" s="34" t="n">
        <x:v>2.331002</x:v>
      </x:c>
      <x:c r="R1063" s="34" t="n">
        <x:v>81.789</x:v>
      </x:c>
      <x:c r="S1063" s="40" t="b">
        <x:v>1</x:v>
      </x:c>
      <x:c r="T1063" s="34" t="str">
        <x:v>model_interpolation</x:v>
      </x:c>
      <x:c r="U1063" s="34" t="str">
        <x:v>Linear interpolation from 2035 to 2040</x:v>
      </x:c>
      <x:c r="V1063" s="34" t="str">
        <x:v>CAND-FCDB7C1BD7991A</x:v>
      </x:c>
      <x:c r="W1063" s="34" t="str">
        <x:v>P1</x:v>
      </x:c>
      <x:c r="X1063" s="34" t="str">
        <x:v>PORT-51A2628EF9C2</x:v>
      </x:c>
      <x:c r="Y1063" s="34" t="n">
        <x:v>1000</x:v>
      </x:c>
      <x:c r="Z1063" s="34" t="n">
        <x:v>133.041946</x:v>
      </x:c>
      <x:c r="AA1063" s="34" t="n">
        <x:v>37.909056</x:v>
      </x:c>
      <x:c r="AB1063" s="34" t="n">
        <x:v>328.220861</x:v>
      </x:c>
      <x:c r="AC1063" s="34" t="n">
        <x:v>42800.358</x:v>
      </x:c>
      <x:c r="AD1063" s="34" t="n">
        <x:v>130.401089</x:v>
      </x:c>
      <x:c r="AE1063" s="40" t="b">
        <x:v>1</x:v>
      </x:c>
      <x:c r="AF1063" s="40" t="b">
        <x:v>1</x:v>
      </x:c>
      <x:c r="AG1063" s="34" t="str"/>
      <x:c r="AH1063" s="34" t="n">
        <x:v>0</x:v>
      </x:c>
      <x:c r="AI1063" s="34" t="str">
        <x:v>1.265341119704999e-05</x:v>
      </x:c>
      <x:c r="AJ1063" s="40" t="b">
        <x:v>1</x:v>
      </x:c>
      <x:c r="AK1063" s="40" t="b">
        <x:v>1</x:v>
      </x:c>
      <x:c r="AL1063" s="40" t="b">
        <x:v>1</x:v>
      </x:c>
      <x:c r="AM1063" s="40" t="b">
        <x:v>1</x:v>
      </x:c>
      <x:c r="AN1063" s="34" t="str"/>
      <x:c r="AO1063" s="34" t="n">
        <x:v>0</x:v>
      </x:c>
      <x:c r="AP1063" s="34" t="n">
        <x:v>0</x:v>
      </x:c>
      <x:c r="AQ1063" s="34" t="n">
        <x:v>0</x:v>
      </x:c>
      <x:c r="AR1063" s="34" t="n">
        <x:v>3</x:v>
      </x:c>
      <x:c r="AS1063" s="34" t="n">
        <x:v>3</x:v>
      </x:c>
      <x:c r="AT1063" s="34" t="n">
        <x:v>0.41232239999999987</x:v>
      </x:c>
      <x:c r="AU1063" s="34" t="n">
        <x:v>0.65</x:v>
      </x:c>
      <x:c r="AV1063" s="34" t="n">
        <x:v>1.78</x:v>
      </x:c>
    </x:row>
    <x:row r="1064">
      <x:c r="A1064" s="34" t="str">
        <x:v>JFE_STEEL_JP</x:v>
      </x:c>
      <x:c r="B1064" s="34" t="str">
        <x:v>JFE Steel</x:v>
      </x:c>
      <x:c r="C1064" s="34" t="str">
        <x:v>DISCLOSED_PATH</x:v>
      </x:c>
      <x:c r="D1064" s="34" t="str">
        <x:v>P1</x:v>
      </x:c>
      <x:c r="E1064" s="34" t="n">
        <x:v>2038</x:v>
      </x:c>
      <x:c r="F1064" s="34" t="n">
        <x:v>4</x:v>
      </x:c>
      <x:c r="G1064" s="34" t="n">
        <x:v>8.9175</x:v>
      </x:c>
      <x:c r="H1064" s="34" t="n">
        <x:v>15</x:v>
      </x:c>
      <x:c r="I1064" s="34" t="n">
        <x:v>6.0825</x:v>
      </x:c>
      <x:c r="J1064" s="34" t="n">
        <x:v>59.45</x:v>
      </x:c>
      <x:c r="K1064" s="34" t="n">
        <x:v>0.79475</x:v>
      </x:c>
      <x:c r="L1064" s="34" t="n">
        <x:v>1.8</x:v>
      </x:c>
      <x:c r="M1064" s="34" t="n">
        <x:v>1.00525</x:v>
      </x:c>
      <x:c r="N1064" s="34" t="n">
        <x:v>44.153</x:v>
      </x:c>
      <x:c r="O1064" s="34" t="n">
        <x:v>10.468998</x:v>
      </x:c>
      <x:c r="P1064" s="34" t="n">
        <x:v>14.2</x:v>
      </x:c>
      <x:c r="Q1064" s="34" t="n">
        <x:v>3.731002</x:v>
      </x:c>
      <x:c r="R1064" s="34" t="n">
        <x:v>73.725</x:v>
      </x:c>
      <x:c r="S1064" s="40" t="b">
        <x:v>1</x:v>
      </x:c>
      <x:c r="T1064" s="34" t="str">
        <x:v>model_interpolation</x:v>
      </x:c>
      <x:c r="U1064" s="34" t="str">
        <x:v>Linear interpolation from 2035 to 2040</x:v>
      </x:c>
      <x:c r="V1064" s="34" t="str">
        <x:v>CAND-FCDB7C1BD7991A</x:v>
      </x:c>
      <x:c r="W1064" s="34" t="str">
        <x:v>P1</x:v>
      </x:c>
      <x:c r="X1064" s="34" t="str">
        <x:v>PORT-51A2628EF9C2</x:v>
      </x:c>
      <x:c r="Y1064" s="34" t="n">
        <x:v>1000</x:v>
      </x:c>
      <x:c r="Z1064" s="34" t="n">
        <x:v>133.041946</x:v>
      </x:c>
      <x:c r="AA1064" s="34" t="n">
        <x:v>37.909056</x:v>
      </x:c>
      <x:c r="AB1064" s="34" t="n">
        <x:v>328.220861</x:v>
      </x:c>
      <x:c r="AC1064" s="34" t="n">
        <x:v>42800.358</x:v>
      </x:c>
      <x:c r="AD1064" s="34" t="n">
        <x:v>130.401089</x:v>
      </x:c>
      <x:c r="AE1064" s="40" t="b">
        <x:v>1</x:v>
      </x:c>
      <x:c r="AF1064" s="40" t="b">
        <x:v>1</x:v>
      </x:c>
      <x:c r="AG1064" s="34" t="str"/>
      <x:c r="AH1064" s="34" t="n">
        <x:v>0</x:v>
      </x:c>
      <x:c r="AI1064" s="34" t="str">
        <x:v>1.265341119704999e-05</x:v>
      </x:c>
      <x:c r="AJ1064" s="40" t="b">
        <x:v>1</x:v>
      </x:c>
      <x:c r="AK1064" s="40" t="b">
        <x:v>1</x:v>
      </x:c>
      <x:c r="AL1064" s="40" t="b">
        <x:v>1</x:v>
      </x:c>
      <x:c r="AM1064" s="40" t="b">
        <x:v>1</x:v>
      </x:c>
      <x:c r="AN1064" s="34" t="str"/>
      <x:c r="AO1064" s="34" t="n">
        <x:v>0</x:v>
      </x:c>
      <x:c r="AP1064" s="34" t="n">
        <x:v>0</x:v>
      </x:c>
      <x:c r="AQ1064" s="34" t="n">
        <x:v>0</x:v>
      </x:c>
      <x:c r="AR1064" s="34" t="n">
        <x:v>3</x:v>
      </x:c>
      <x:c r="AS1064" s="34" t="n">
        <x:v>3</x:v>
      </x:c>
      <x:c r="AT1064" s="34" t="n">
        <x:v>0.41232239999999987</x:v>
      </x:c>
      <x:c r="AU1064" s="34" t="n">
        <x:v>0.65</x:v>
      </x:c>
      <x:c r="AV1064" s="34" t="n">
        <x:v>1.78</x:v>
      </x:c>
    </x:row>
    <x:row r="1065">
      <x:c r="A1065" s="34" t="str">
        <x:v>JFE_STEEL_JP</x:v>
      </x:c>
      <x:c r="B1065" s="34" t="str">
        <x:v>JFE Steel</x:v>
      </x:c>
      <x:c r="C1065" s="34" t="str">
        <x:v>DISCLOSED_PATH</x:v>
      </x:c>
      <x:c r="D1065" s="34" t="str">
        <x:v>P1</x:v>
      </x:c>
      <x:c r="E1065" s="34" t="n">
        <x:v>2039</x:v>
      </x:c>
      <x:c r="F1065" s="34" t="n">
        <x:v>4</x:v>
      </x:c>
      <x:c r="G1065" s="34" t="n">
        <x:v>8.9175</x:v>
      </x:c>
      <x:c r="H1065" s="34" t="n">
        <x:v>16</x:v>
      </x:c>
      <x:c r="I1065" s="34" t="n">
        <x:v>7.0825</x:v>
      </x:c>
      <x:c r="J1065" s="34" t="n">
        <x:v>55.734</x:v>
      </x:c>
      <x:c r="K1065" s="34" t="n">
        <x:v>0.79475</x:v>
      </x:c>
      <x:c r="L1065" s="34" t="n">
        <x:v>2</x:v>
      </x:c>
      <x:c r="M1065" s="34" t="n">
        <x:v>1.20525</x:v>
      </x:c>
      <x:c r="N1065" s="34" t="n">
        <x:v>39.737</x:v>
      </x:c>
      <x:c r="O1065" s="34" t="n">
        <x:v>10.468998</x:v>
      </x:c>
      <x:c r="P1065" s="34" t="n">
        <x:v>15.600000000000001</x:v>
      </x:c>
      <x:c r="Q1065" s="34" t="n">
        <x:v>5.131002</x:v>
      </x:c>
      <x:c r="R1065" s="34" t="n">
        <x:v>67.109</x:v>
      </x:c>
      <x:c r="S1065" s="40" t="b">
        <x:v>1</x:v>
      </x:c>
      <x:c r="T1065" s="34" t="str">
        <x:v>model_interpolation</x:v>
      </x:c>
      <x:c r="U1065" s="34" t="str">
        <x:v>Linear interpolation from 2035 to 2040</x:v>
      </x:c>
      <x:c r="V1065" s="34" t="str">
        <x:v>CAND-FCDB7C1BD7991A</x:v>
      </x:c>
      <x:c r="W1065" s="34" t="str">
        <x:v>P1</x:v>
      </x:c>
      <x:c r="X1065" s="34" t="str">
        <x:v>PORT-51A2628EF9C2</x:v>
      </x:c>
      <x:c r="Y1065" s="34" t="n">
        <x:v>1000</x:v>
      </x:c>
      <x:c r="Z1065" s="34" t="n">
        <x:v>133.041946</x:v>
      </x:c>
      <x:c r="AA1065" s="34" t="n">
        <x:v>37.909056</x:v>
      </x:c>
      <x:c r="AB1065" s="34" t="n">
        <x:v>328.220861</x:v>
      </x:c>
      <x:c r="AC1065" s="34" t="n">
        <x:v>42800.358</x:v>
      </x:c>
      <x:c r="AD1065" s="34" t="n">
        <x:v>130.401089</x:v>
      </x:c>
      <x:c r="AE1065" s="40" t="b">
        <x:v>1</x:v>
      </x:c>
      <x:c r="AF1065" s="40" t="b">
        <x:v>1</x:v>
      </x:c>
      <x:c r="AG1065" s="34" t="str"/>
      <x:c r="AH1065" s="34" t="n">
        <x:v>0</x:v>
      </x:c>
      <x:c r="AI1065" s="34" t="str">
        <x:v>1.265341119704999e-05</x:v>
      </x:c>
      <x:c r="AJ1065" s="40" t="b">
        <x:v>1</x:v>
      </x:c>
      <x:c r="AK1065" s="40" t="b">
        <x:v>1</x:v>
      </x:c>
      <x:c r="AL1065" s="40" t="b">
        <x:v>1</x:v>
      </x:c>
      <x:c r="AM1065" s="40" t="b">
        <x:v>1</x:v>
      </x:c>
      <x:c r="AN1065" s="34" t="str"/>
      <x:c r="AO1065" s="34" t="n">
        <x:v>0</x:v>
      </x:c>
      <x:c r="AP1065" s="34" t="n">
        <x:v>0</x:v>
      </x:c>
      <x:c r="AQ1065" s="34" t="n">
        <x:v>0</x:v>
      </x:c>
      <x:c r="AR1065" s="34" t="n">
        <x:v>3</x:v>
      </x:c>
      <x:c r="AS1065" s="34" t="n">
        <x:v>3</x:v>
      </x:c>
      <x:c r="AT1065" s="34" t="n">
        <x:v>0.41232239999999987</x:v>
      </x:c>
      <x:c r="AU1065" s="34" t="n">
        <x:v>0.65</x:v>
      </x:c>
      <x:c r="AV1065" s="34" t="n">
        <x:v>1.78</x:v>
      </x:c>
    </x:row>
    <x:row r="1066">
      <x:c r="A1066" s="34" t="str">
        <x:v>JFE_STEEL_JP</x:v>
      </x:c>
      <x:c r="B1066" s="34" t="str">
        <x:v>JFE Steel</x:v>
      </x:c>
      <x:c r="C1066" s="34" t="str">
        <x:v>DISCLOSED_PATH</x:v>
      </x:c>
      <x:c r="D1066" s="34" t="str">
        <x:v>P1</x:v>
      </x:c>
      <x:c r="E1066" s="34" t="n">
        <x:v>2040</x:v>
      </x:c>
      <x:c r="F1066" s="34" t="n">
        <x:v>4</x:v>
      </x:c>
      <x:c r="G1066" s="34" t="n">
        <x:v>8.9175</x:v>
      </x:c>
      <x:c r="H1066" s="34" t="n">
        <x:v>17</x:v>
      </x:c>
      <x:c r="I1066" s="34" t="n">
        <x:v>8.0825</x:v>
      </x:c>
      <x:c r="J1066" s="34" t="n">
        <x:v>52.456</x:v>
      </x:c>
      <x:c r="K1066" s="34" t="n">
        <x:v>0.79475</x:v>
      </x:c>
      <x:c r="L1066" s="34" t="n">
        <x:v>2.2</x:v>
      </x:c>
      <x:c r="M1066" s="34" t="n">
        <x:v>1.40525</x:v>
      </x:c>
      <x:c r="N1066" s="34" t="n">
        <x:v>36.125</x:v>
      </x:c>
      <x:c r="O1066" s="34" t="n">
        <x:v>10.468998</x:v>
      </x:c>
      <x:c r="P1066" s="34" t="n">
        <x:v>17</x:v>
      </x:c>
      <x:c r="Q1066" s="34" t="n">
        <x:v>6.531002</x:v>
      </x:c>
      <x:c r="R1066" s="34" t="n">
        <x:v>61.582</x:v>
      </x:c>
      <x:c r="S1066" s="40" t="b">
        <x:v>1</x:v>
      </x:c>
      <x:c r="T1066" s="34" t="str">
        <x:v>model_estimate</x:v>
      </x:c>
      <x:c r="U1066" s="34" t="str">
        <x:v>Illustrative screening envelope; not an official supply forecast</x:v>
      </x:c>
      <x:c r="V1066" s="34" t="str">
        <x:v>CAND-FCDB7C1BD7991A</x:v>
      </x:c>
      <x:c r="W1066" s="34" t="str">
        <x:v>P1</x:v>
      </x:c>
      <x:c r="X1066" s="34" t="str">
        <x:v>PORT-51A2628EF9C2</x:v>
      </x:c>
      <x:c r="Y1066" s="34" t="n">
        <x:v>1000</x:v>
      </x:c>
      <x:c r="Z1066" s="34" t="n">
        <x:v>133.041946</x:v>
      </x:c>
      <x:c r="AA1066" s="34" t="n">
        <x:v>37.909056</x:v>
      </x:c>
      <x:c r="AB1066" s="34" t="n">
        <x:v>328.220861</x:v>
      </x:c>
      <x:c r="AC1066" s="34" t="n">
        <x:v>42800.358</x:v>
      </x:c>
      <x:c r="AD1066" s="34" t="n">
        <x:v>130.401089</x:v>
      </x:c>
      <x:c r="AE1066" s="40" t="b">
        <x:v>1</x:v>
      </x:c>
      <x:c r="AF1066" s="40" t="b">
        <x:v>1</x:v>
      </x:c>
      <x:c r="AG1066" s="34" t="str"/>
      <x:c r="AH1066" s="34" t="n">
        <x:v>0</x:v>
      </x:c>
      <x:c r="AI1066" s="34" t="str">
        <x:v>1.265341119704999e-05</x:v>
      </x:c>
      <x:c r="AJ1066" s="40" t="b">
        <x:v>1</x:v>
      </x:c>
      <x:c r="AK1066" s="40" t="b">
        <x:v>1</x:v>
      </x:c>
      <x:c r="AL1066" s="40" t="b">
        <x:v>1</x:v>
      </x:c>
      <x:c r="AM1066" s="40" t="b">
        <x:v>1</x:v>
      </x:c>
      <x:c r="AN1066" s="34" t="str"/>
      <x:c r="AO1066" s="34" t="n">
        <x:v>0</x:v>
      </x:c>
      <x:c r="AP1066" s="34" t="n">
        <x:v>0</x:v>
      </x:c>
      <x:c r="AQ1066" s="34" t="n">
        <x:v>0</x:v>
      </x:c>
      <x:c r="AR1066" s="34" t="n">
        <x:v>3</x:v>
      </x:c>
      <x:c r="AS1066" s="34" t="n">
        <x:v>3</x:v>
      </x:c>
      <x:c r="AT1066" s="34" t="n">
        <x:v>0.41232239999999987</x:v>
      </x:c>
      <x:c r="AU1066" s="34" t="n">
        <x:v>0.65</x:v>
      </x:c>
      <x:c r="AV1066" s="34" t="n">
        <x:v>1.78</x:v>
      </x:c>
    </x:row>
    <x:row r="1067">
      <x:c r="A1067" s="34" t="str">
        <x:v>JFE_STEEL_JP</x:v>
      </x:c>
      <x:c r="B1067" s="34" t="str">
        <x:v>JFE Steel</x:v>
      </x:c>
      <x:c r="C1067" s="34" t="str">
        <x:v>ACCELERATED_15C</x:v>
      </x:c>
      <x:c r="D1067" s="34" t="str">
        <x:v>P1</x:v>
      </x:c>
      <x:c r="E1067" s="34" t="n">
        <x:v>2026</x:v>
      </x:c>
      <x:c r="F1067" s="34" t="n">
        <x:v>0</x:v>
      </x:c>
      <x:c r="G1067" s="34" t="n">
        <x:v>0</x:v>
      </x:c>
      <x:c r="H1067" s="34" t="n">
        <x:v>5</x:v>
      </x:c>
      <x:c r="I1067" s="34" t="n">
        <x:v>5</x:v>
      </x:c>
      <x:c r="J1067" s="34" t="n">
        <x:v>0</x:v>
      </x:c>
      <x:c r="K1067" s="34" t="n">
        <x:v>0</x:v>
      </x:c>
      <x:c r="L1067" s="34" t="n">
        <x:v>0.1</x:v>
      </x:c>
      <x:c r="M1067" s="34" t="n">
        <x:v>0.1</x:v>
      </x:c>
      <x:c r="N1067" s="34" t="n">
        <x:v>0</x:v>
      </x:c>
      <x:c r="O1067" s="34" t="n">
        <x:v>0</x:v>
      </x:c>
      <x:c r="P1067" s="34" t="n">
        <x:v>1.5</x:v>
      </x:c>
      <x:c r="Q1067" s="34" t="n">
        <x:v>1.5</x:v>
      </x:c>
      <x:c r="R1067" s="34" t="n">
        <x:v>0</x:v>
      </x:c>
      <x:c r="S1067" s="40" t="b">
        <x:v>1</x:v>
      </x:c>
      <x:c r="T1067" s="34" t="str">
        <x:v>model_interpolation</x:v>
      </x:c>
      <x:c r="U1067" s="34" t="str">
        <x:v>Linear interpolation from 2026 to 2030</x:v>
      </x:c>
      <x:c r="V1067" s="34" t="str">
        <x:v>CAND-FCDB7C1BD7991A</x:v>
      </x:c>
      <x:c r="W1067" s="34" t="str">
        <x:v>P1</x:v>
      </x:c>
      <x:c r="X1067" s="34" t="str">
        <x:v>PORT-51A2628EF9C2</x:v>
      </x:c>
      <x:c r="Y1067" s="34" t="n">
        <x:v>1000</x:v>
      </x:c>
      <x:c r="Z1067" s="34" t="n">
        <x:v>127.502295</x:v>
      </x:c>
      <x:c r="AA1067" s="34" t="n">
        <x:v>41.478766</x:v>
      </x:c>
      <x:c r="AB1067" s="34" t="n">
        <x:v>328.220861</x:v>
      </x:c>
      <x:c r="AC1067" s="34" t="n">
        <x:v>40930.073</x:v>
      </x:c>
      <x:c r="AD1067" s="34" t="n">
        <x:v>124.702838</x:v>
      </x:c>
      <x:c r="AE1067" s="40" t="b">
        <x:v>1</x:v>
      </x:c>
      <x:c r="AF1067" s="40" t="b">
        <x:v>1</x:v>
      </x:c>
      <x:c r="AG1067" s="34" t="str"/>
      <x:c r="AH1067" s="34" t="n">
        <x:v>0</x:v>
      </x:c>
      <x:c r="AI1067" s="34" t="str">
        <x:v>1.265341119704999e-05</x:v>
      </x:c>
      <x:c r="AJ1067" s="40" t="b">
        <x:v>1</x:v>
      </x:c>
      <x:c r="AK1067" s="40" t="b">
        <x:v>1</x:v>
      </x:c>
      <x:c r="AL1067" s="40" t="b">
        <x:v>1</x:v>
      </x:c>
      <x:c r="AM1067" s="40" t="b">
        <x:v>1</x:v>
      </x:c>
      <x:c r="AN1067" s="34" t="str"/>
      <x:c r="AO1067" s="34" t="n">
        <x:v>0</x:v>
      </x:c>
      <x:c r="AP1067" s="34" t="n">
        <x:v>0</x:v>
      </x:c>
      <x:c r="AQ1067" s="34" t="n">
        <x:v>0</x:v>
      </x:c>
      <x:c r="AR1067" s="34" t="n">
        <x:v>3</x:v>
      </x:c>
      <x:c r="AS1067" s="34" t="n">
        <x:v>3</x:v>
      </x:c>
      <x:c r="AT1067" s="34" t="n">
        <x:v>0.41232239999999987</x:v>
      </x:c>
      <x:c r="AU1067" s="34" t="n">
        <x:v>0.65</x:v>
      </x:c>
      <x:c r="AV1067" s="34" t="n">
        <x:v>1.78</x:v>
      </x:c>
    </x:row>
    <x:row r="1068">
      <x:c r="A1068" s="34" t="str">
        <x:v>JFE_STEEL_JP</x:v>
      </x:c>
      <x:c r="B1068" s="34" t="str">
        <x:v>JFE Steel</x:v>
      </x:c>
      <x:c r="C1068" s="34" t="str">
        <x:v>ACCELERATED_15C</x:v>
      </x:c>
      <x:c r="D1068" s="34" t="str">
        <x:v>P1</x:v>
      </x:c>
      <x:c r="E1068" s="34" t="n">
        <x:v>2027</x:v>
      </x:c>
      <x:c r="F1068" s="34" t="n">
        <x:v>0</x:v>
      </x:c>
      <x:c r="G1068" s="34" t="n">
        <x:v>0</x:v>
      </x:c>
      <x:c r="H1068" s="34" t="n">
        <x:v>6.25</x:v>
      </x:c>
      <x:c r="I1068" s="34" t="n">
        <x:v>6.25</x:v>
      </x:c>
      <x:c r="J1068" s="34" t="n">
        <x:v>0</x:v>
      </x:c>
      <x:c r="K1068" s="34" t="n">
        <x:v>0</x:v>
      </x:c>
      <x:c r="L1068" s="34" t="n">
        <x:v>0.225</x:v>
      </x:c>
      <x:c r="M1068" s="34" t="n">
        <x:v>0.225</x:v>
      </x:c>
      <x:c r="N1068" s="34" t="n">
        <x:v>0</x:v>
      </x:c>
      <x:c r="O1068" s="34" t="n">
        <x:v>0</x:v>
      </x:c>
      <x:c r="P1068" s="34" t="n">
        <x:v>2.875</x:v>
      </x:c>
      <x:c r="Q1068" s="34" t="n">
        <x:v>2.875</x:v>
      </x:c>
      <x:c r="R1068" s="34" t="n">
        <x:v>0</x:v>
      </x:c>
      <x:c r="S1068" s="40" t="b">
        <x:v>1</x:v>
      </x:c>
      <x:c r="T1068" s="34" t="str">
        <x:v>model_interpolation</x:v>
      </x:c>
      <x:c r="U1068" s="34" t="str">
        <x:v>Linear interpolation from 2026 to 2030</x:v>
      </x:c>
      <x:c r="V1068" s="34" t="str">
        <x:v>CAND-FCDB7C1BD7991A</x:v>
      </x:c>
      <x:c r="W1068" s="34" t="str">
        <x:v>P1</x:v>
      </x:c>
      <x:c r="X1068" s="34" t="str">
        <x:v>PORT-51A2628EF9C2</x:v>
      </x:c>
      <x:c r="Y1068" s="34" t="n">
        <x:v>1000</x:v>
      </x:c>
      <x:c r="Z1068" s="34" t="n">
        <x:v>127.502295</x:v>
      </x:c>
      <x:c r="AA1068" s="34" t="n">
        <x:v>41.478766</x:v>
      </x:c>
      <x:c r="AB1068" s="34" t="n">
        <x:v>328.220861</x:v>
      </x:c>
      <x:c r="AC1068" s="34" t="n">
        <x:v>40930.073</x:v>
      </x:c>
      <x:c r="AD1068" s="34" t="n">
        <x:v>124.702838</x:v>
      </x:c>
      <x:c r="AE1068" s="40" t="b">
        <x:v>1</x:v>
      </x:c>
      <x:c r="AF1068" s="40" t="b">
        <x:v>1</x:v>
      </x:c>
      <x:c r="AG1068" s="34" t="str"/>
      <x:c r="AH1068" s="34" t="n">
        <x:v>0</x:v>
      </x:c>
      <x:c r="AI1068" s="34" t="str">
        <x:v>1.265341119704999e-05</x:v>
      </x:c>
      <x:c r="AJ1068" s="40" t="b">
        <x:v>1</x:v>
      </x:c>
      <x:c r="AK1068" s="40" t="b">
        <x:v>1</x:v>
      </x:c>
      <x:c r="AL1068" s="40" t="b">
        <x:v>1</x:v>
      </x:c>
      <x:c r="AM1068" s="40" t="b">
        <x:v>1</x:v>
      </x:c>
      <x:c r="AN1068" s="34" t="str"/>
      <x:c r="AO1068" s="34" t="n">
        <x:v>0</x:v>
      </x:c>
      <x:c r="AP1068" s="34" t="n">
        <x:v>0</x:v>
      </x:c>
      <x:c r="AQ1068" s="34" t="n">
        <x:v>0</x:v>
      </x:c>
      <x:c r="AR1068" s="34" t="n">
        <x:v>3</x:v>
      </x:c>
      <x:c r="AS1068" s="34" t="n">
        <x:v>3</x:v>
      </x:c>
      <x:c r="AT1068" s="34" t="n">
        <x:v>0.41232239999999987</x:v>
      </x:c>
      <x:c r="AU1068" s="34" t="n">
        <x:v>0.65</x:v>
      </x:c>
      <x:c r="AV1068" s="34" t="n">
        <x:v>1.78</x:v>
      </x:c>
    </x:row>
    <x:row r="1069">
      <x:c r="A1069" s="34" t="str">
        <x:v>JFE_STEEL_JP</x:v>
      </x:c>
      <x:c r="B1069" s="34" t="str">
        <x:v>JFE Steel</x:v>
      </x:c>
      <x:c r="C1069" s="34" t="str">
        <x:v>ACCELERATED_15C</x:v>
      </x:c>
      <x:c r="D1069" s="34" t="str">
        <x:v>P1</x:v>
      </x:c>
      <x:c r="E1069" s="34" t="n">
        <x:v>2028</x:v>
      </x:c>
      <x:c r="F1069" s="34" t="n">
        <x:v>0</x:v>
      </x:c>
      <x:c r="G1069" s="34" t="n">
        <x:v>0</x:v>
      </x:c>
      <x:c r="H1069" s="34" t="n">
        <x:v>7.5</x:v>
      </x:c>
      <x:c r="I1069" s="34" t="n">
        <x:v>7.5</x:v>
      </x:c>
      <x:c r="J1069" s="34" t="n">
        <x:v>0</x:v>
      </x:c>
      <x:c r="K1069" s="34" t="n">
        <x:v>0</x:v>
      </x:c>
      <x:c r="L1069" s="34" t="n">
        <x:v>0.35</x:v>
      </x:c>
      <x:c r="M1069" s="34" t="n">
        <x:v>0.35</x:v>
      </x:c>
      <x:c r="N1069" s="34" t="n">
        <x:v>0</x:v>
      </x:c>
      <x:c r="O1069" s="34" t="n">
        <x:v>0</x:v>
      </x:c>
      <x:c r="P1069" s="34" t="n">
        <x:v>4.25</x:v>
      </x:c>
      <x:c r="Q1069" s="34" t="n">
        <x:v>4.25</x:v>
      </x:c>
      <x:c r="R1069" s="34" t="n">
        <x:v>0</x:v>
      </x:c>
      <x:c r="S1069" s="40" t="b">
        <x:v>1</x:v>
      </x:c>
      <x:c r="T1069" s="34" t="str">
        <x:v>model_interpolation</x:v>
      </x:c>
      <x:c r="U1069" s="34" t="str">
        <x:v>Linear interpolation from 2026 to 2030</x:v>
      </x:c>
      <x:c r="V1069" s="34" t="str">
        <x:v>CAND-FCDB7C1BD7991A</x:v>
      </x:c>
      <x:c r="W1069" s="34" t="str">
        <x:v>P1</x:v>
      </x:c>
      <x:c r="X1069" s="34" t="str">
        <x:v>PORT-51A2628EF9C2</x:v>
      </x:c>
      <x:c r="Y1069" s="34" t="n">
        <x:v>1000</x:v>
      </x:c>
      <x:c r="Z1069" s="34" t="n">
        <x:v>127.502295</x:v>
      </x:c>
      <x:c r="AA1069" s="34" t="n">
        <x:v>41.478766</x:v>
      </x:c>
      <x:c r="AB1069" s="34" t="n">
        <x:v>328.220861</x:v>
      </x:c>
      <x:c r="AC1069" s="34" t="n">
        <x:v>40930.073</x:v>
      </x:c>
      <x:c r="AD1069" s="34" t="n">
        <x:v>124.702838</x:v>
      </x:c>
      <x:c r="AE1069" s="40" t="b">
        <x:v>1</x:v>
      </x:c>
      <x:c r="AF1069" s="40" t="b">
        <x:v>1</x:v>
      </x:c>
      <x:c r="AG1069" s="34" t="str"/>
      <x:c r="AH1069" s="34" t="n">
        <x:v>0</x:v>
      </x:c>
      <x:c r="AI1069" s="34" t="str">
        <x:v>1.265341119704999e-05</x:v>
      </x:c>
      <x:c r="AJ1069" s="40" t="b">
        <x:v>1</x:v>
      </x:c>
      <x:c r="AK1069" s="40" t="b">
        <x:v>1</x:v>
      </x:c>
      <x:c r="AL1069" s="40" t="b">
        <x:v>1</x:v>
      </x:c>
      <x:c r="AM1069" s="40" t="b">
        <x:v>1</x:v>
      </x:c>
      <x:c r="AN1069" s="34" t="str"/>
      <x:c r="AO1069" s="34" t="n">
        <x:v>0</x:v>
      </x:c>
      <x:c r="AP1069" s="34" t="n">
        <x:v>0</x:v>
      </x:c>
      <x:c r="AQ1069" s="34" t="n">
        <x:v>0</x:v>
      </x:c>
      <x:c r="AR1069" s="34" t="n">
        <x:v>3</x:v>
      </x:c>
      <x:c r="AS1069" s="34" t="n">
        <x:v>3</x:v>
      </x:c>
      <x:c r="AT1069" s="34" t="n">
        <x:v>0.41232239999999987</x:v>
      </x:c>
      <x:c r="AU1069" s="34" t="n">
        <x:v>0.65</x:v>
      </x:c>
      <x:c r="AV1069" s="34" t="n">
        <x:v>1.78</x:v>
      </x:c>
    </x:row>
    <x:row r="1070">
      <x:c r="A1070" s="34" t="str">
        <x:v>JFE_STEEL_JP</x:v>
      </x:c>
      <x:c r="B1070" s="34" t="str">
        <x:v>JFE Steel</x:v>
      </x:c>
      <x:c r="C1070" s="34" t="str">
        <x:v>ACCELERATED_15C</x:v>
      </x:c>
      <x:c r="D1070" s="34" t="str">
        <x:v>P1</x:v>
      </x:c>
      <x:c r="E1070" s="34" t="n">
        <x:v>2029</x:v>
      </x:c>
      <x:c r="F1070" s="34" t="n">
        <x:v>1</x:v>
      </x:c>
      <x:c r="G1070" s="34" t="n">
        <x:v>6.120001</x:v>
      </x:c>
      <x:c r="H1070" s="34" t="n">
        <x:v>8.75</x:v>
      </x:c>
      <x:c r="I1070" s="34" t="n">
        <x:v>2.629999</x:v>
      </x:c>
      <x:c r="J1070" s="34" t="n">
        <x:v>69.943</x:v>
      </x:c>
      <x:c r="K1070" s="34" t="n">
        <x:v>0</x:v>
      </x:c>
      <x:c r="L1070" s="34" t="n">
        <x:v>0.475</x:v>
      </x:c>
      <x:c r="M1070" s="34" t="n">
        <x:v>0.475</x:v>
      </x:c>
      <x:c r="N1070" s="34" t="n">
        <x:v>0</x:v>
      </x:c>
      <x:c r="O1070" s="34" t="n">
        <x:v>3.808</x:v>
      </x:c>
      <x:c r="P1070" s="34" t="n">
        <x:v>5.625</x:v>
      </x:c>
      <x:c r="Q1070" s="34" t="n">
        <x:v>1.817</x:v>
      </x:c>
      <x:c r="R1070" s="34" t="n">
        <x:v>67.698</x:v>
      </x:c>
      <x:c r="S1070" s="40" t="b">
        <x:v>1</x:v>
      </x:c>
      <x:c r="T1070" s="34" t="str">
        <x:v>model_interpolation</x:v>
      </x:c>
      <x:c r="U1070" s="34" t="str">
        <x:v>Linear interpolation from 2026 to 2030</x:v>
      </x:c>
      <x:c r="V1070" s="34" t="str">
        <x:v>CAND-FCDB7C1BD7991A</x:v>
      </x:c>
      <x:c r="W1070" s="34" t="str">
        <x:v>P1</x:v>
      </x:c>
      <x:c r="X1070" s="34" t="str">
        <x:v>PORT-51A2628EF9C2</x:v>
      </x:c>
      <x:c r="Y1070" s="34" t="n">
        <x:v>1000</x:v>
      </x:c>
      <x:c r="Z1070" s="34" t="n">
        <x:v>127.502295</x:v>
      </x:c>
      <x:c r="AA1070" s="34" t="n">
        <x:v>41.478766</x:v>
      </x:c>
      <x:c r="AB1070" s="34" t="n">
        <x:v>328.220861</x:v>
      </x:c>
      <x:c r="AC1070" s="34" t="n">
        <x:v>40930.073</x:v>
      </x:c>
      <x:c r="AD1070" s="34" t="n">
        <x:v>124.702838</x:v>
      </x:c>
      <x:c r="AE1070" s="40" t="b">
        <x:v>1</x:v>
      </x:c>
      <x:c r="AF1070" s="40" t="b">
        <x:v>1</x:v>
      </x:c>
      <x:c r="AG1070" s="34" t="str"/>
      <x:c r="AH1070" s="34" t="n">
        <x:v>0</x:v>
      </x:c>
      <x:c r="AI1070" s="34" t="str">
        <x:v>1.265341119704999e-05</x:v>
      </x:c>
      <x:c r="AJ1070" s="40" t="b">
        <x:v>1</x:v>
      </x:c>
      <x:c r="AK1070" s="40" t="b">
        <x:v>1</x:v>
      </x:c>
      <x:c r="AL1070" s="40" t="b">
        <x:v>1</x:v>
      </x:c>
      <x:c r="AM1070" s="40" t="b">
        <x:v>1</x:v>
      </x:c>
      <x:c r="AN1070" s="34" t="str"/>
      <x:c r="AO1070" s="34" t="n">
        <x:v>0</x:v>
      </x:c>
      <x:c r="AP1070" s="34" t="n">
        <x:v>0</x:v>
      </x:c>
      <x:c r="AQ1070" s="34" t="n">
        <x:v>0</x:v>
      </x:c>
      <x:c r="AR1070" s="34" t="n">
        <x:v>3</x:v>
      </x:c>
      <x:c r="AS1070" s="34" t="n">
        <x:v>3</x:v>
      </x:c>
      <x:c r="AT1070" s="34" t="n">
        <x:v>0.41232239999999987</x:v>
      </x:c>
      <x:c r="AU1070" s="34" t="n">
        <x:v>0.65</x:v>
      </x:c>
      <x:c r="AV1070" s="34" t="n">
        <x:v>1.78</x:v>
      </x:c>
    </x:row>
    <x:row r="1071">
      <x:c r="A1071" s="34" t="str">
        <x:v>JFE_STEEL_JP</x:v>
      </x:c>
      <x:c r="B1071" s="34" t="str">
        <x:v>JFE Steel</x:v>
      </x:c>
      <x:c r="C1071" s="34" t="str">
        <x:v>ACCELERATED_15C</x:v>
      </x:c>
      <x:c r="D1071" s="34" t="str">
        <x:v>P1</x:v>
      </x:c>
      <x:c r="E1071" s="34" t="n">
        <x:v>2030</x:v>
      </x:c>
      <x:c r="F1071" s="34" t="n">
        <x:v>1</x:v>
      </x:c>
      <x:c r="G1071" s="34" t="n">
        <x:v>6.120001</x:v>
      </x:c>
      <x:c r="H1071" s="34" t="n">
        <x:v>10</x:v>
      </x:c>
      <x:c r="I1071" s="34" t="n">
        <x:v>3.879999</x:v>
      </x:c>
      <x:c r="J1071" s="34" t="n">
        <x:v>61.2</x:v>
      </x:c>
      <x:c r="K1071" s="34" t="n">
        <x:v>0</x:v>
      </x:c>
      <x:c r="L1071" s="34" t="n">
        <x:v>0.6</x:v>
      </x:c>
      <x:c r="M1071" s="34" t="n">
        <x:v>0.6</x:v>
      </x:c>
      <x:c r="N1071" s="34" t="n">
        <x:v>0</x:v>
      </x:c>
      <x:c r="O1071" s="34" t="n">
        <x:v>3.808</x:v>
      </x:c>
      <x:c r="P1071" s="34" t="n">
        <x:v>7</x:v>
      </x:c>
      <x:c r="Q1071" s="34" t="n">
        <x:v>3.192</x:v>
      </x:c>
      <x:c r="R1071" s="34" t="n">
        <x:v>54.4</x:v>
      </x:c>
      <x:c r="S1071" s="40" t="b">
        <x:v>1</x:v>
      </x:c>
      <x:c r="T1071" s="34" t="str">
        <x:v>model_interpolation</x:v>
      </x:c>
      <x:c r="U1071" s="34" t="str">
        <x:v>Linear interpolation from 2030 to 2035</x:v>
      </x:c>
      <x:c r="V1071" s="34" t="str">
        <x:v>CAND-FCDB7C1BD7991A</x:v>
      </x:c>
      <x:c r="W1071" s="34" t="str">
        <x:v>P1</x:v>
      </x:c>
      <x:c r="X1071" s="34" t="str">
        <x:v>PORT-51A2628EF9C2</x:v>
      </x:c>
      <x:c r="Y1071" s="34" t="n">
        <x:v>1000</x:v>
      </x:c>
      <x:c r="Z1071" s="34" t="n">
        <x:v>127.502295</x:v>
      </x:c>
      <x:c r="AA1071" s="34" t="n">
        <x:v>41.478766</x:v>
      </x:c>
      <x:c r="AB1071" s="34" t="n">
        <x:v>328.220861</x:v>
      </x:c>
      <x:c r="AC1071" s="34" t="n">
        <x:v>40930.073</x:v>
      </x:c>
      <x:c r="AD1071" s="34" t="n">
        <x:v>124.702838</x:v>
      </x:c>
      <x:c r="AE1071" s="40" t="b">
        <x:v>1</x:v>
      </x:c>
      <x:c r="AF1071" s="40" t="b">
        <x:v>1</x:v>
      </x:c>
      <x:c r="AG1071" s="34" t="str"/>
      <x:c r="AH1071" s="34" t="n">
        <x:v>0</x:v>
      </x:c>
      <x:c r="AI1071" s="34" t="str">
        <x:v>1.265341119704999e-05</x:v>
      </x:c>
      <x:c r="AJ1071" s="40" t="b">
        <x:v>1</x:v>
      </x:c>
      <x:c r="AK1071" s="40" t="b">
        <x:v>1</x:v>
      </x:c>
      <x:c r="AL1071" s="40" t="b">
        <x:v>1</x:v>
      </x:c>
      <x:c r="AM1071" s="40" t="b">
        <x:v>1</x:v>
      </x:c>
      <x:c r="AN1071" s="34" t="str"/>
      <x:c r="AO1071" s="34" t="n">
        <x:v>0</x:v>
      </x:c>
      <x:c r="AP1071" s="34" t="n">
        <x:v>0</x:v>
      </x:c>
      <x:c r="AQ1071" s="34" t="n">
        <x:v>0</x:v>
      </x:c>
      <x:c r="AR1071" s="34" t="n">
        <x:v>3</x:v>
      </x:c>
      <x:c r="AS1071" s="34" t="n">
        <x:v>3</x:v>
      </x:c>
      <x:c r="AT1071" s="34" t="n">
        <x:v>0.41232239999999987</x:v>
      </x:c>
      <x:c r="AU1071" s="34" t="n">
        <x:v>0.65</x:v>
      </x:c>
      <x:c r="AV1071" s="34" t="n">
        <x:v>1.78</x:v>
      </x:c>
    </x:row>
    <x:row r="1072">
      <x:c r="A1072" s="34" t="str">
        <x:v>JFE_STEEL_JP</x:v>
      </x:c>
      <x:c r="B1072" s="34" t="str">
        <x:v>JFE Steel</x:v>
      </x:c>
      <x:c r="C1072" s="34" t="str">
        <x:v>ACCELERATED_15C</x:v>
      </x:c>
      <x:c r="D1072" s="34" t="str">
        <x:v>P1</x:v>
      </x:c>
      <x:c r="E1072" s="34" t="n">
        <x:v>2031</x:v>
      </x:c>
      <x:c r="F1072" s="34" t="n">
        <x:v>1</x:v>
      </x:c>
      <x:c r="G1072" s="34" t="n">
        <x:v>6.120001</x:v>
      </x:c>
      <x:c r="H1072" s="34" t="n">
        <x:v>11.2</x:v>
      </x:c>
      <x:c r="I1072" s="34" t="n">
        <x:v>5.079999</x:v>
      </x:c>
      <x:c r="J1072" s="34" t="n">
        <x:v>54.643</x:v>
      </x:c>
      <x:c r="K1072" s="34" t="n">
        <x:v>0</x:v>
      </x:c>
      <x:c r="L1072" s="34" t="n">
        <x:v>0.8400000000000001</x:v>
      </x:c>
      <x:c r="M1072" s="34" t="n">
        <x:v>0.84</x:v>
      </x:c>
      <x:c r="N1072" s="34" t="n">
        <x:v>0</x:v>
      </x:c>
      <x:c r="O1072" s="34" t="n">
        <x:v>3.808</x:v>
      </x:c>
      <x:c r="P1072" s="34" t="n">
        <x:v>8.4</x:v>
      </x:c>
      <x:c r="Q1072" s="34" t="n">
        <x:v>4.592</x:v>
      </x:c>
      <x:c r="R1072" s="34" t="n">
        <x:v>45.333</x:v>
      </x:c>
      <x:c r="S1072" s="40" t="b">
        <x:v>1</x:v>
      </x:c>
      <x:c r="T1072" s="34" t="str">
        <x:v>model_interpolation</x:v>
      </x:c>
      <x:c r="U1072" s="34" t="str">
        <x:v>Linear interpolation from 2030 to 2035</x:v>
      </x:c>
      <x:c r="V1072" s="34" t="str">
        <x:v>CAND-FCDB7C1BD7991A</x:v>
      </x:c>
      <x:c r="W1072" s="34" t="str">
        <x:v>P1</x:v>
      </x:c>
      <x:c r="X1072" s="34" t="str">
        <x:v>PORT-51A2628EF9C2</x:v>
      </x:c>
      <x:c r="Y1072" s="34" t="n">
        <x:v>1000</x:v>
      </x:c>
      <x:c r="Z1072" s="34" t="n">
        <x:v>127.502295</x:v>
      </x:c>
      <x:c r="AA1072" s="34" t="n">
        <x:v>41.478766</x:v>
      </x:c>
      <x:c r="AB1072" s="34" t="n">
        <x:v>328.220861</x:v>
      </x:c>
      <x:c r="AC1072" s="34" t="n">
        <x:v>40930.073</x:v>
      </x:c>
      <x:c r="AD1072" s="34" t="n">
        <x:v>124.702838</x:v>
      </x:c>
      <x:c r="AE1072" s="40" t="b">
        <x:v>1</x:v>
      </x:c>
      <x:c r="AF1072" s="40" t="b">
        <x:v>1</x:v>
      </x:c>
      <x:c r="AG1072" s="34" t="str"/>
      <x:c r="AH1072" s="34" t="n">
        <x:v>0</x:v>
      </x:c>
      <x:c r="AI1072" s="34" t="str">
        <x:v>1.265341119704999e-05</x:v>
      </x:c>
      <x:c r="AJ1072" s="40" t="b">
        <x:v>1</x:v>
      </x:c>
      <x:c r="AK1072" s="40" t="b">
        <x:v>1</x:v>
      </x:c>
      <x:c r="AL1072" s="40" t="b">
        <x:v>1</x:v>
      </x:c>
      <x:c r="AM1072" s="40" t="b">
        <x:v>1</x:v>
      </x:c>
      <x:c r="AN1072" s="34" t="str"/>
      <x:c r="AO1072" s="34" t="n">
        <x:v>0</x:v>
      </x:c>
      <x:c r="AP1072" s="34" t="n">
        <x:v>0</x:v>
      </x:c>
      <x:c r="AQ1072" s="34" t="n">
        <x:v>0</x:v>
      </x:c>
      <x:c r="AR1072" s="34" t="n">
        <x:v>3</x:v>
      </x:c>
      <x:c r="AS1072" s="34" t="n">
        <x:v>3</x:v>
      </x:c>
      <x:c r="AT1072" s="34" t="n">
        <x:v>0.41232239999999987</x:v>
      </x:c>
      <x:c r="AU1072" s="34" t="n">
        <x:v>0.65</x:v>
      </x:c>
      <x:c r="AV1072" s="34" t="n">
        <x:v>1.78</x:v>
      </x:c>
    </x:row>
    <x:row r="1073">
      <x:c r="A1073" s="34" t="str">
        <x:v>JFE_STEEL_JP</x:v>
      </x:c>
      <x:c r="B1073" s="34" t="str">
        <x:v>JFE Steel</x:v>
      </x:c>
      <x:c r="C1073" s="34" t="str">
        <x:v>ACCELERATED_15C</x:v>
      </x:c>
      <x:c r="D1073" s="34" t="str">
        <x:v>P1</x:v>
      </x:c>
      <x:c r="E1073" s="34" t="n">
        <x:v>2032</x:v>
      </x:c>
      <x:c r="F1073" s="34" t="n">
        <x:v>1</x:v>
      </x:c>
      <x:c r="G1073" s="34" t="n">
        <x:v>6.120001</x:v>
      </x:c>
      <x:c r="H1073" s="34" t="n">
        <x:v>12.4</x:v>
      </x:c>
      <x:c r="I1073" s="34" t="n">
        <x:v>6.279999</x:v>
      </x:c>
      <x:c r="J1073" s="34" t="n">
        <x:v>49.355</x:v>
      </x:c>
      <x:c r="K1073" s="34" t="n">
        <x:v>0</x:v>
      </x:c>
      <x:c r="L1073" s="34" t="n">
        <x:v>1.08</x:v>
      </x:c>
      <x:c r="M1073" s="34" t="n">
        <x:v>1.08</x:v>
      </x:c>
      <x:c r="N1073" s="34" t="n">
        <x:v>0</x:v>
      </x:c>
      <x:c r="O1073" s="34" t="n">
        <x:v>3.808</x:v>
      </x:c>
      <x:c r="P1073" s="34" t="n">
        <x:v>9.8</x:v>
      </x:c>
      <x:c r="Q1073" s="34" t="n">
        <x:v>5.992</x:v>
      </x:c>
      <x:c r="R1073" s="34" t="n">
        <x:v>38.857</x:v>
      </x:c>
      <x:c r="S1073" s="40" t="b">
        <x:v>1</x:v>
      </x:c>
      <x:c r="T1073" s="34" t="str">
        <x:v>model_interpolation</x:v>
      </x:c>
      <x:c r="U1073" s="34" t="str">
        <x:v>Linear interpolation from 2030 to 2035</x:v>
      </x:c>
      <x:c r="V1073" s="34" t="str">
        <x:v>CAND-FCDB7C1BD7991A</x:v>
      </x:c>
      <x:c r="W1073" s="34" t="str">
        <x:v>P1</x:v>
      </x:c>
      <x:c r="X1073" s="34" t="str">
        <x:v>PORT-51A2628EF9C2</x:v>
      </x:c>
      <x:c r="Y1073" s="34" t="n">
        <x:v>1000</x:v>
      </x:c>
      <x:c r="Z1073" s="34" t="n">
        <x:v>127.502295</x:v>
      </x:c>
      <x:c r="AA1073" s="34" t="n">
        <x:v>41.478766</x:v>
      </x:c>
      <x:c r="AB1073" s="34" t="n">
        <x:v>328.220861</x:v>
      </x:c>
      <x:c r="AC1073" s="34" t="n">
        <x:v>40930.073</x:v>
      </x:c>
      <x:c r="AD1073" s="34" t="n">
        <x:v>124.702838</x:v>
      </x:c>
      <x:c r="AE1073" s="40" t="b">
        <x:v>1</x:v>
      </x:c>
      <x:c r="AF1073" s="40" t="b">
        <x:v>1</x:v>
      </x:c>
      <x:c r="AG1073" s="34" t="str"/>
      <x:c r="AH1073" s="34" t="n">
        <x:v>0</x:v>
      </x:c>
      <x:c r="AI1073" s="34" t="str">
        <x:v>1.265341119704999e-05</x:v>
      </x:c>
      <x:c r="AJ1073" s="40" t="b">
        <x:v>1</x:v>
      </x:c>
      <x:c r="AK1073" s="40" t="b">
        <x:v>1</x:v>
      </x:c>
      <x:c r="AL1073" s="40" t="b">
        <x:v>1</x:v>
      </x:c>
      <x:c r="AM1073" s="40" t="b">
        <x:v>1</x:v>
      </x:c>
      <x:c r="AN1073" s="34" t="str"/>
      <x:c r="AO1073" s="34" t="n">
        <x:v>0</x:v>
      </x:c>
      <x:c r="AP1073" s="34" t="n">
        <x:v>0</x:v>
      </x:c>
      <x:c r="AQ1073" s="34" t="n">
        <x:v>0</x:v>
      </x:c>
      <x:c r="AR1073" s="34" t="n">
        <x:v>3</x:v>
      </x:c>
      <x:c r="AS1073" s="34" t="n">
        <x:v>3</x:v>
      </x:c>
      <x:c r="AT1073" s="34" t="n">
        <x:v>0.41232239999999987</x:v>
      </x:c>
      <x:c r="AU1073" s="34" t="n">
        <x:v>0.65</x:v>
      </x:c>
      <x:c r="AV1073" s="34" t="n">
        <x:v>1.78</x:v>
      </x:c>
    </x:row>
    <x:row r="1074">
      <x:c r="A1074" s="34" t="str">
        <x:v>JFE_STEEL_JP</x:v>
      </x:c>
      <x:c r="B1074" s="34" t="str">
        <x:v>JFE Steel</x:v>
      </x:c>
      <x:c r="C1074" s="34" t="str">
        <x:v>ACCELERATED_15C</x:v>
      </x:c>
      <x:c r="D1074" s="34" t="str">
        <x:v>P1</x:v>
      </x:c>
      <x:c r="E1074" s="34" t="n">
        <x:v>2033</x:v>
      </x:c>
      <x:c r="F1074" s="34" t="n">
        <x:v>3</x:v>
      </x:c>
      <x:c r="G1074" s="34" t="n">
        <x:v>8.1</x:v>
      </x:c>
      <x:c r="H1074" s="34" t="n">
        <x:v>13.6</x:v>
      </x:c>
      <x:c r="I1074" s="34" t="n">
        <x:v>5.5</x:v>
      </x:c>
      <x:c r="J1074" s="34" t="n">
        <x:v>59.559</x:v>
      </x:c>
      <x:c r="K1074" s="34" t="n">
        <x:v>0.495</x:v>
      </x:c>
      <x:c r="L1074" s="34" t="n">
        <x:v>1.32</x:v>
      </x:c>
      <x:c r="M1074" s="34" t="n">
        <x:v>0.825</x:v>
      </x:c>
      <x:c r="N1074" s="34" t="n">
        <x:v>37.5</x:v>
      </x:c>
      <x:c r="O1074" s="34" t="n">
        <x:v>7.961999</x:v>
      </x:c>
      <x:c r="P1074" s="34" t="n">
        <x:v>11.2</x:v>
      </x:c>
      <x:c r="Q1074" s="34" t="n">
        <x:v>3.238001</x:v>
      </x:c>
      <x:c r="R1074" s="34" t="n">
        <x:v>71.089</x:v>
      </x:c>
      <x:c r="S1074" s="40" t="b">
        <x:v>1</x:v>
      </x:c>
      <x:c r="T1074" s="34" t="str">
        <x:v>model_interpolation</x:v>
      </x:c>
      <x:c r="U1074" s="34" t="str">
        <x:v>Linear interpolation from 2030 to 2035</x:v>
      </x:c>
      <x:c r="V1074" s="34" t="str">
        <x:v>CAND-FCDB7C1BD7991A</x:v>
      </x:c>
      <x:c r="W1074" s="34" t="str">
        <x:v>P1</x:v>
      </x:c>
      <x:c r="X1074" s="34" t="str">
        <x:v>PORT-51A2628EF9C2</x:v>
      </x:c>
      <x:c r="Y1074" s="34" t="n">
        <x:v>1000</x:v>
      </x:c>
      <x:c r="Z1074" s="34" t="n">
        <x:v>127.502295</x:v>
      </x:c>
      <x:c r="AA1074" s="34" t="n">
        <x:v>41.478766</x:v>
      </x:c>
      <x:c r="AB1074" s="34" t="n">
        <x:v>328.220861</x:v>
      </x:c>
      <x:c r="AC1074" s="34" t="n">
        <x:v>40930.073</x:v>
      </x:c>
      <x:c r="AD1074" s="34" t="n">
        <x:v>124.702838</x:v>
      </x:c>
      <x:c r="AE1074" s="40" t="b">
        <x:v>1</x:v>
      </x:c>
      <x:c r="AF1074" s="40" t="b">
        <x:v>1</x:v>
      </x:c>
      <x:c r="AG1074" s="34" t="str"/>
      <x:c r="AH1074" s="34" t="n">
        <x:v>0</x:v>
      </x:c>
      <x:c r="AI1074" s="34" t="str">
        <x:v>1.265341119704999e-05</x:v>
      </x:c>
      <x:c r="AJ1074" s="40" t="b">
        <x:v>1</x:v>
      </x:c>
      <x:c r="AK1074" s="40" t="b">
        <x:v>1</x:v>
      </x:c>
      <x:c r="AL1074" s="40" t="b">
        <x:v>1</x:v>
      </x:c>
      <x:c r="AM1074" s="40" t="b">
        <x:v>1</x:v>
      </x:c>
      <x:c r="AN1074" s="34" t="str"/>
      <x:c r="AO1074" s="34" t="n">
        <x:v>0</x:v>
      </x:c>
      <x:c r="AP1074" s="34" t="n">
        <x:v>0</x:v>
      </x:c>
      <x:c r="AQ1074" s="34" t="n">
        <x:v>0</x:v>
      </x:c>
      <x:c r="AR1074" s="34" t="n">
        <x:v>3</x:v>
      </x:c>
      <x:c r="AS1074" s="34" t="n">
        <x:v>3</x:v>
      </x:c>
      <x:c r="AT1074" s="34" t="n">
        <x:v>0.41232239999999987</x:v>
      </x:c>
      <x:c r="AU1074" s="34" t="n">
        <x:v>0.65</x:v>
      </x:c>
      <x:c r="AV1074" s="34" t="n">
        <x:v>1.78</x:v>
      </x:c>
    </x:row>
    <x:row r="1075">
      <x:c r="A1075" s="34" t="str">
        <x:v>JFE_STEEL_JP</x:v>
      </x:c>
      <x:c r="B1075" s="34" t="str">
        <x:v>JFE Steel</x:v>
      </x:c>
      <x:c r="C1075" s="34" t="str">
        <x:v>ACCELERATED_15C</x:v>
      </x:c>
      <x:c r="D1075" s="34" t="str">
        <x:v>P1</x:v>
      </x:c>
      <x:c r="E1075" s="34" t="n">
        <x:v>2034</x:v>
      </x:c>
      <x:c r="F1075" s="34" t="n">
        <x:v>3</x:v>
      </x:c>
      <x:c r="G1075" s="34" t="n">
        <x:v>8.1</x:v>
      </x:c>
      <x:c r="H1075" s="34" t="n">
        <x:v>14.8</x:v>
      </x:c>
      <x:c r="I1075" s="34" t="n">
        <x:v>6.7</x:v>
      </x:c>
      <x:c r="J1075" s="34" t="n">
        <x:v>54.73</x:v>
      </x:c>
      <x:c r="K1075" s="34" t="n">
        <x:v>0.495</x:v>
      </x:c>
      <x:c r="L1075" s="34" t="n">
        <x:v>1.56</x:v>
      </x:c>
      <x:c r="M1075" s="34" t="n">
        <x:v>1.065</x:v>
      </x:c>
      <x:c r="N1075" s="34" t="n">
        <x:v>31.731</x:v>
      </x:c>
      <x:c r="O1075" s="34" t="n">
        <x:v>7.961999</x:v>
      </x:c>
      <x:c r="P1075" s="34" t="n">
        <x:v>12.600000000000001</x:v>
      </x:c>
      <x:c r="Q1075" s="34" t="n">
        <x:v>4.638001</x:v>
      </x:c>
      <x:c r="R1075" s="34" t="n">
        <x:v>63.19</x:v>
      </x:c>
      <x:c r="S1075" s="40" t="b">
        <x:v>1</x:v>
      </x:c>
      <x:c r="T1075" s="34" t="str">
        <x:v>model_interpolation</x:v>
      </x:c>
      <x:c r="U1075" s="34" t="str">
        <x:v>Linear interpolation from 2030 to 2035</x:v>
      </x:c>
      <x:c r="V1075" s="34" t="str">
        <x:v>CAND-FCDB7C1BD7991A</x:v>
      </x:c>
      <x:c r="W1075" s="34" t="str">
        <x:v>P1</x:v>
      </x:c>
      <x:c r="X1075" s="34" t="str">
        <x:v>PORT-51A2628EF9C2</x:v>
      </x:c>
      <x:c r="Y1075" s="34" t="n">
        <x:v>1000</x:v>
      </x:c>
      <x:c r="Z1075" s="34" t="n">
        <x:v>127.502295</x:v>
      </x:c>
      <x:c r="AA1075" s="34" t="n">
        <x:v>41.478766</x:v>
      </x:c>
      <x:c r="AB1075" s="34" t="n">
        <x:v>328.220861</x:v>
      </x:c>
      <x:c r="AC1075" s="34" t="n">
        <x:v>40930.073</x:v>
      </x:c>
      <x:c r="AD1075" s="34" t="n">
        <x:v>124.702838</x:v>
      </x:c>
      <x:c r="AE1075" s="40" t="b">
        <x:v>1</x:v>
      </x:c>
      <x:c r="AF1075" s="40" t="b">
        <x:v>1</x:v>
      </x:c>
      <x:c r="AG1075" s="34" t="str"/>
      <x:c r="AH1075" s="34" t="n">
        <x:v>0</x:v>
      </x:c>
      <x:c r="AI1075" s="34" t="str">
        <x:v>1.265341119704999e-05</x:v>
      </x:c>
      <x:c r="AJ1075" s="40" t="b">
        <x:v>1</x:v>
      </x:c>
      <x:c r="AK1075" s="40" t="b">
        <x:v>1</x:v>
      </x:c>
      <x:c r="AL1075" s="40" t="b">
        <x:v>1</x:v>
      </x:c>
      <x:c r="AM1075" s="40" t="b">
        <x:v>1</x:v>
      </x:c>
      <x:c r="AN1075" s="34" t="str"/>
      <x:c r="AO1075" s="34" t="n">
        <x:v>0</x:v>
      </x:c>
      <x:c r="AP1075" s="34" t="n">
        <x:v>0</x:v>
      </x:c>
      <x:c r="AQ1075" s="34" t="n">
        <x:v>0</x:v>
      </x:c>
      <x:c r="AR1075" s="34" t="n">
        <x:v>3</x:v>
      </x:c>
      <x:c r="AS1075" s="34" t="n">
        <x:v>3</x:v>
      </x:c>
      <x:c r="AT1075" s="34" t="n">
        <x:v>0.41232239999999987</x:v>
      </x:c>
      <x:c r="AU1075" s="34" t="n">
        <x:v>0.65</x:v>
      </x:c>
      <x:c r="AV1075" s="34" t="n">
        <x:v>1.78</x:v>
      </x:c>
    </x:row>
    <x:row r="1076">
      <x:c r="A1076" s="34" t="str">
        <x:v>JFE_STEEL_JP</x:v>
      </x:c>
      <x:c r="B1076" s="34" t="str">
        <x:v>JFE Steel</x:v>
      </x:c>
      <x:c r="C1076" s="34" t="str">
        <x:v>ACCELERATED_15C</x:v>
      </x:c>
      <x:c r="D1076" s="34" t="str">
        <x:v>P1</x:v>
      </x:c>
      <x:c r="E1076" s="34" t="n">
        <x:v>2035</x:v>
      </x:c>
      <x:c r="F1076" s="34" t="n">
        <x:v>3</x:v>
      </x:c>
      <x:c r="G1076" s="34" t="n">
        <x:v>8.1</x:v>
      </x:c>
      <x:c r="H1076" s="34" t="n">
        <x:v>16</x:v>
      </x:c>
      <x:c r="I1076" s="34" t="n">
        <x:v>7.9</x:v>
      </x:c>
      <x:c r="J1076" s="34" t="n">
        <x:v>50.625</x:v>
      </x:c>
      <x:c r="K1076" s="34" t="n">
        <x:v>0.495</x:v>
      </x:c>
      <x:c r="L1076" s="34" t="n">
        <x:v>1.8</x:v>
      </x:c>
      <x:c r="M1076" s="34" t="n">
        <x:v>1.305</x:v>
      </x:c>
      <x:c r="N1076" s="34" t="n">
        <x:v>27.5</x:v>
      </x:c>
      <x:c r="O1076" s="34" t="n">
        <x:v>7.961999</x:v>
      </x:c>
      <x:c r="P1076" s="34" t="n">
        <x:v>14</x:v>
      </x:c>
      <x:c r="Q1076" s="34" t="n">
        <x:v>6.038001</x:v>
      </x:c>
      <x:c r="R1076" s="34" t="n">
        <x:v>56.871</x:v>
      </x:c>
      <x:c r="S1076" s="40" t="b">
        <x:v>1</x:v>
      </x:c>
      <x:c r="T1076" s="34" t="str">
        <x:v>model_interpolation</x:v>
      </x:c>
      <x:c r="U1076" s="34" t="str">
        <x:v>Linear interpolation from 2035 to 2040</x:v>
      </x:c>
      <x:c r="V1076" s="34" t="str">
        <x:v>CAND-FCDB7C1BD7991A</x:v>
      </x:c>
      <x:c r="W1076" s="34" t="str">
        <x:v>P1</x:v>
      </x:c>
      <x:c r="X1076" s="34" t="str">
        <x:v>PORT-51A2628EF9C2</x:v>
      </x:c>
      <x:c r="Y1076" s="34" t="n">
        <x:v>1000</x:v>
      </x:c>
      <x:c r="Z1076" s="34" t="n">
        <x:v>127.502295</x:v>
      </x:c>
      <x:c r="AA1076" s="34" t="n">
        <x:v>41.478766</x:v>
      </x:c>
      <x:c r="AB1076" s="34" t="n">
        <x:v>328.220861</x:v>
      </x:c>
      <x:c r="AC1076" s="34" t="n">
        <x:v>40930.073</x:v>
      </x:c>
      <x:c r="AD1076" s="34" t="n">
        <x:v>124.702838</x:v>
      </x:c>
      <x:c r="AE1076" s="40" t="b">
        <x:v>1</x:v>
      </x:c>
      <x:c r="AF1076" s="40" t="b">
        <x:v>1</x:v>
      </x:c>
      <x:c r="AG1076" s="34" t="str"/>
      <x:c r="AH1076" s="34" t="n">
        <x:v>0</x:v>
      </x:c>
      <x:c r="AI1076" s="34" t="str">
        <x:v>1.265341119704999e-05</x:v>
      </x:c>
      <x:c r="AJ1076" s="40" t="b">
        <x:v>1</x:v>
      </x:c>
      <x:c r="AK1076" s="40" t="b">
        <x:v>1</x:v>
      </x:c>
      <x:c r="AL1076" s="40" t="b">
        <x:v>1</x:v>
      </x:c>
      <x:c r="AM1076" s="40" t="b">
        <x:v>1</x:v>
      </x:c>
      <x:c r="AN1076" s="34" t="str"/>
      <x:c r="AO1076" s="34" t="n">
        <x:v>0</x:v>
      </x:c>
      <x:c r="AP1076" s="34" t="n">
        <x:v>0</x:v>
      </x:c>
      <x:c r="AQ1076" s="34" t="n">
        <x:v>0</x:v>
      </x:c>
      <x:c r="AR1076" s="34" t="n">
        <x:v>3</x:v>
      </x:c>
      <x:c r="AS1076" s="34" t="n">
        <x:v>3</x:v>
      </x:c>
      <x:c r="AT1076" s="34" t="n">
        <x:v>0.41232239999999987</x:v>
      </x:c>
      <x:c r="AU1076" s="34" t="n">
        <x:v>0.65</x:v>
      </x:c>
      <x:c r="AV1076" s="34" t="n">
        <x:v>1.78</x:v>
      </x:c>
    </x:row>
    <x:row r="1077">
      <x:c r="A1077" s="34" t="str">
        <x:v>JFE_STEEL_JP</x:v>
      </x:c>
      <x:c r="B1077" s="34" t="str">
        <x:v>JFE Steel</x:v>
      </x:c>
      <x:c r="C1077" s="34" t="str">
        <x:v>ACCELERATED_15C</x:v>
      </x:c>
      <x:c r="D1077" s="34" t="str">
        <x:v>P1</x:v>
      </x:c>
      <x:c r="E1077" s="34" t="n">
        <x:v>2036</x:v>
      </x:c>
      <x:c r="F1077" s="34" t="n">
        <x:v>4</x:v>
      </x:c>
      <x:c r="G1077" s="34" t="n">
        <x:v>8.9175</x:v>
      </x:c>
      <x:c r="H1077" s="34" t="n">
        <x:v>17</x:v>
      </x:c>
      <x:c r="I1077" s="34" t="n">
        <x:v>8.0825</x:v>
      </x:c>
      <x:c r="J1077" s="34" t="n">
        <x:v>52.456</x:v>
      </x:c>
      <x:c r="K1077" s="34" t="n">
        <x:v>0.79475</x:v>
      </x:c>
      <x:c r="L1077" s="34" t="n">
        <x:v>2.04</x:v>
      </x:c>
      <x:c r="M1077" s="34" t="n">
        <x:v>1.24525</x:v>
      </x:c>
      <x:c r="N1077" s="34" t="n">
        <x:v>38.958</x:v>
      </x:c>
      <x:c r="O1077" s="34" t="n">
        <x:v>10.468998</x:v>
      </x:c>
      <x:c r="P1077" s="34" t="n">
        <x:v>15.6</x:v>
      </x:c>
      <x:c r="Q1077" s="34" t="n">
        <x:v>5.131002</x:v>
      </x:c>
      <x:c r="R1077" s="34" t="n">
        <x:v>67.109</x:v>
      </x:c>
      <x:c r="S1077" s="40" t="b">
        <x:v>1</x:v>
      </x:c>
      <x:c r="T1077" s="34" t="str">
        <x:v>model_interpolation</x:v>
      </x:c>
      <x:c r="U1077" s="34" t="str">
        <x:v>Linear interpolation from 2035 to 2040</x:v>
      </x:c>
      <x:c r="V1077" s="34" t="str">
        <x:v>CAND-FCDB7C1BD7991A</x:v>
      </x:c>
      <x:c r="W1077" s="34" t="str">
        <x:v>P1</x:v>
      </x:c>
      <x:c r="X1077" s="34" t="str">
        <x:v>PORT-51A2628EF9C2</x:v>
      </x:c>
      <x:c r="Y1077" s="34" t="n">
        <x:v>1000</x:v>
      </x:c>
      <x:c r="Z1077" s="34" t="n">
        <x:v>127.502295</x:v>
      </x:c>
      <x:c r="AA1077" s="34" t="n">
        <x:v>41.478766</x:v>
      </x:c>
      <x:c r="AB1077" s="34" t="n">
        <x:v>328.220861</x:v>
      </x:c>
      <x:c r="AC1077" s="34" t="n">
        <x:v>40930.073</x:v>
      </x:c>
      <x:c r="AD1077" s="34" t="n">
        <x:v>124.702838</x:v>
      </x:c>
      <x:c r="AE1077" s="40" t="b">
        <x:v>1</x:v>
      </x:c>
      <x:c r="AF1077" s="40" t="b">
        <x:v>1</x:v>
      </x:c>
      <x:c r="AG1077" s="34" t="str"/>
      <x:c r="AH1077" s="34" t="n">
        <x:v>0</x:v>
      </x:c>
      <x:c r="AI1077" s="34" t="str">
        <x:v>1.265341119704999e-05</x:v>
      </x:c>
      <x:c r="AJ1077" s="40" t="b">
        <x:v>1</x:v>
      </x:c>
      <x:c r="AK1077" s="40" t="b">
        <x:v>1</x:v>
      </x:c>
      <x:c r="AL1077" s="40" t="b">
        <x:v>1</x:v>
      </x:c>
      <x:c r="AM1077" s="40" t="b">
        <x:v>1</x:v>
      </x:c>
      <x:c r="AN1077" s="34" t="str"/>
      <x:c r="AO1077" s="34" t="n">
        <x:v>0</x:v>
      </x:c>
      <x:c r="AP1077" s="34" t="n">
        <x:v>0</x:v>
      </x:c>
      <x:c r="AQ1077" s="34" t="n">
        <x:v>0</x:v>
      </x:c>
      <x:c r="AR1077" s="34" t="n">
        <x:v>3</x:v>
      </x:c>
      <x:c r="AS1077" s="34" t="n">
        <x:v>3</x:v>
      </x:c>
      <x:c r="AT1077" s="34" t="n">
        <x:v>0.41232239999999987</x:v>
      </x:c>
      <x:c r="AU1077" s="34" t="n">
        <x:v>0.65</x:v>
      </x:c>
      <x:c r="AV1077" s="34" t="n">
        <x:v>1.78</x:v>
      </x:c>
    </x:row>
    <x:row r="1078">
      <x:c r="A1078" s="34" t="str">
        <x:v>JFE_STEEL_JP</x:v>
      </x:c>
      <x:c r="B1078" s="34" t="str">
        <x:v>JFE Steel</x:v>
      </x:c>
      <x:c r="C1078" s="34" t="str">
        <x:v>ACCELERATED_15C</x:v>
      </x:c>
      <x:c r="D1078" s="34" t="str">
        <x:v>P1</x:v>
      </x:c>
      <x:c r="E1078" s="34" t="n">
        <x:v>2037</x:v>
      </x:c>
      <x:c r="F1078" s="34" t="n">
        <x:v>4</x:v>
      </x:c>
      <x:c r="G1078" s="34" t="n">
        <x:v>8.9175</x:v>
      </x:c>
      <x:c r="H1078" s="34" t="n">
        <x:v>18</x:v>
      </x:c>
      <x:c r="I1078" s="34" t="n">
        <x:v>9.0825</x:v>
      </x:c>
      <x:c r="J1078" s="34" t="n">
        <x:v>49.542</x:v>
      </x:c>
      <x:c r="K1078" s="34" t="n">
        <x:v>0.79475</x:v>
      </x:c>
      <x:c r="L1078" s="34" t="n">
        <x:v>2.2800000000000002</x:v>
      </x:c>
      <x:c r="M1078" s="34" t="n">
        <x:v>1.48525</x:v>
      </x:c>
      <x:c r="N1078" s="34" t="n">
        <x:v>34.857</x:v>
      </x:c>
      <x:c r="O1078" s="34" t="n">
        <x:v>10.468998</x:v>
      </x:c>
      <x:c r="P1078" s="34" t="n">
        <x:v>17.2</x:v>
      </x:c>
      <x:c r="Q1078" s="34" t="n">
        <x:v>6.731002</x:v>
      </x:c>
      <x:c r="R1078" s="34" t="n">
        <x:v>60.866</x:v>
      </x:c>
      <x:c r="S1078" s="40" t="b">
        <x:v>1</x:v>
      </x:c>
      <x:c r="T1078" s="34" t="str">
        <x:v>model_interpolation</x:v>
      </x:c>
      <x:c r="U1078" s="34" t="str">
        <x:v>Linear interpolation from 2035 to 2040</x:v>
      </x:c>
      <x:c r="V1078" s="34" t="str">
        <x:v>CAND-FCDB7C1BD7991A</x:v>
      </x:c>
      <x:c r="W1078" s="34" t="str">
        <x:v>P1</x:v>
      </x:c>
      <x:c r="X1078" s="34" t="str">
        <x:v>PORT-51A2628EF9C2</x:v>
      </x:c>
      <x:c r="Y1078" s="34" t="n">
        <x:v>1000</x:v>
      </x:c>
      <x:c r="Z1078" s="34" t="n">
        <x:v>127.502295</x:v>
      </x:c>
      <x:c r="AA1078" s="34" t="n">
        <x:v>41.478766</x:v>
      </x:c>
      <x:c r="AB1078" s="34" t="n">
        <x:v>328.220861</x:v>
      </x:c>
      <x:c r="AC1078" s="34" t="n">
        <x:v>40930.073</x:v>
      </x:c>
      <x:c r="AD1078" s="34" t="n">
        <x:v>124.702838</x:v>
      </x:c>
      <x:c r="AE1078" s="40" t="b">
        <x:v>1</x:v>
      </x:c>
      <x:c r="AF1078" s="40" t="b">
        <x:v>1</x:v>
      </x:c>
      <x:c r="AG1078" s="34" t="str"/>
      <x:c r="AH1078" s="34" t="n">
        <x:v>0</x:v>
      </x:c>
      <x:c r="AI1078" s="34" t="str">
        <x:v>1.265341119704999e-05</x:v>
      </x:c>
      <x:c r="AJ1078" s="40" t="b">
        <x:v>1</x:v>
      </x:c>
      <x:c r="AK1078" s="40" t="b">
        <x:v>1</x:v>
      </x:c>
      <x:c r="AL1078" s="40" t="b">
        <x:v>1</x:v>
      </x:c>
      <x:c r="AM1078" s="40" t="b">
        <x:v>1</x:v>
      </x:c>
      <x:c r="AN1078" s="34" t="str"/>
      <x:c r="AO1078" s="34" t="n">
        <x:v>0</x:v>
      </x:c>
      <x:c r="AP1078" s="34" t="n">
        <x:v>0</x:v>
      </x:c>
      <x:c r="AQ1078" s="34" t="n">
        <x:v>0</x:v>
      </x:c>
      <x:c r="AR1078" s="34" t="n">
        <x:v>3</x:v>
      </x:c>
      <x:c r="AS1078" s="34" t="n">
        <x:v>3</x:v>
      </x:c>
      <x:c r="AT1078" s="34" t="n">
        <x:v>0.41232239999999987</x:v>
      </x:c>
      <x:c r="AU1078" s="34" t="n">
        <x:v>0.65</x:v>
      </x:c>
      <x:c r="AV1078" s="34" t="n">
        <x:v>1.78</x:v>
      </x:c>
    </x:row>
    <x:row r="1079">
      <x:c r="A1079" s="34" t="str">
        <x:v>JFE_STEEL_JP</x:v>
      </x:c>
      <x:c r="B1079" s="34" t="str">
        <x:v>JFE Steel</x:v>
      </x:c>
      <x:c r="C1079" s="34" t="str">
        <x:v>ACCELERATED_15C</x:v>
      </x:c>
      <x:c r="D1079" s="34" t="str">
        <x:v>P1</x:v>
      </x:c>
      <x:c r="E1079" s="34" t="n">
        <x:v>2038</x:v>
      </x:c>
      <x:c r="F1079" s="34" t="n">
        <x:v>4</x:v>
      </x:c>
      <x:c r="G1079" s="34" t="n">
        <x:v>8.9175</x:v>
      </x:c>
      <x:c r="H1079" s="34" t="n">
        <x:v>19</x:v>
      </x:c>
      <x:c r="I1079" s="34" t="n">
        <x:v>10.0825</x:v>
      </x:c>
      <x:c r="J1079" s="34" t="n">
        <x:v>46.934</x:v>
      </x:c>
      <x:c r="K1079" s="34" t="n">
        <x:v>0.79475</x:v>
      </x:c>
      <x:c r="L1079" s="34" t="n">
        <x:v>2.52</x:v>
      </x:c>
      <x:c r="M1079" s="34" t="n">
        <x:v>1.72525</x:v>
      </x:c>
      <x:c r="N1079" s="34" t="n">
        <x:v>31.538</x:v>
      </x:c>
      <x:c r="O1079" s="34" t="n">
        <x:v>10.468998</x:v>
      </x:c>
      <x:c r="P1079" s="34" t="n">
        <x:v>18.8</x:v>
      </x:c>
      <x:c r="Q1079" s="34" t="n">
        <x:v>8.331002</x:v>
      </x:c>
      <x:c r="R1079" s="34" t="n">
        <x:v>55.686</x:v>
      </x:c>
      <x:c r="S1079" s="40" t="b">
        <x:v>1</x:v>
      </x:c>
      <x:c r="T1079" s="34" t="str">
        <x:v>model_interpolation</x:v>
      </x:c>
      <x:c r="U1079" s="34" t="str">
        <x:v>Linear interpolation from 2035 to 2040</x:v>
      </x:c>
      <x:c r="V1079" s="34" t="str">
        <x:v>CAND-FCDB7C1BD7991A</x:v>
      </x:c>
      <x:c r="W1079" s="34" t="str">
        <x:v>P1</x:v>
      </x:c>
      <x:c r="X1079" s="34" t="str">
        <x:v>PORT-51A2628EF9C2</x:v>
      </x:c>
      <x:c r="Y1079" s="34" t="n">
        <x:v>1000</x:v>
      </x:c>
      <x:c r="Z1079" s="34" t="n">
        <x:v>127.502295</x:v>
      </x:c>
      <x:c r="AA1079" s="34" t="n">
        <x:v>41.478766</x:v>
      </x:c>
      <x:c r="AB1079" s="34" t="n">
        <x:v>328.220861</x:v>
      </x:c>
      <x:c r="AC1079" s="34" t="n">
        <x:v>40930.073</x:v>
      </x:c>
      <x:c r="AD1079" s="34" t="n">
        <x:v>124.702838</x:v>
      </x:c>
      <x:c r="AE1079" s="40" t="b">
        <x:v>1</x:v>
      </x:c>
      <x:c r="AF1079" s="40" t="b">
        <x:v>1</x:v>
      </x:c>
      <x:c r="AG1079" s="34" t="str"/>
      <x:c r="AH1079" s="34" t="n">
        <x:v>0</x:v>
      </x:c>
      <x:c r="AI1079" s="34" t="str">
        <x:v>1.265341119704999e-05</x:v>
      </x:c>
      <x:c r="AJ1079" s="40" t="b">
        <x:v>1</x:v>
      </x:c>
      <x:c r="AK1079" s="40" t="b">
        <x:v>1</x:v>
      </x:c>
      <x:c r="AL1079" s="40" t="b">
        <x:v>1</x:v>
      </x:c>
      <x:c r="AM1079" s="40" t="b">
        <x:v>1</x:v>
      </x:c>
      <x:c r="AN1079" s="34" t="str"/>
      <x:c r="AO1079" s="34" t="n">
        <x:v>0</x:v>
      </x:c>
      <x:c r="AP1079" s="34" t="n">
        <x:v>0</x:v>
      </x:c>
      <x:c r="AQ1079" s="34" t="n">
        <x:v>0</x:v>
      </x:c>
      <x:c r="AR1079" s="34" t="n">
        <x:v>3</x:v>
      </x:c>
      <x:c r="AS1079" s="34" t="n">
        <x:v>3</x:v>
      </x:c>
      <x:c r="AT1079" s="34" t="n">
        <x:v>0.41232239999999987</x:v>
      </x:c>
      <x:c r="AU1079" s="34" t="n">
        <x:v>0.65</x:v>
      </x:c>
      <x:c r="AV1079" s="34" t="n">
        <x:v>1.78</x:v>
      </x:c>
    </x:row>
    <x:row r="1080">
      <x:c r="A1080" s="34" t="str">
        <x:v>JFE_STEEL_JP</x:v>
      </x:c>
      <x:c r="B1080" s="34" t="str">
        <x:v>JFE Steel</x:v>
      </x:c>
      <x:c r="C1080" s="34" t="str">
        <x:v>ACCELERATED_15C</x:v>
      </x:c>
      <x:c r="D1080" s="34" t="str">
        <x:v>P1</x:v>
      </x:c>
      <x:c r="E1080" s="34" t="n">
        <x:v>2039</x:v>
      </x:c>
      <x:c r="F1080" s="34" t="n">
        <x:v>4</x:v>
      </x:c>
      <x:c r="G1080" s="34" t="n">
        <x:v>8.9175</x:v>
      </x:c>
      <x:c r="H1080" s="34" t="n">
        <x:v>20</x:v>
      </x:c>
      <x:c r="I1080" s="34" t="n">
        <x:v>11.0825</x:v>
      </x:c>
      <x:c r="J1080" s="34" t="n">
        <x:v>44.587</x:v>
      </x:c>
      <x:c r="K1080" s="34" t="n">
        <x:v>0.79475</x:v>
      </x:c>
      <x:c r="L1080" s="34" t="n">
        <x:v>2.76</x:v>
      </x:c>
      <x:c r="M1080" s="34" t="n">
        <x:v>1.96525</x:v>
      </x:c>
      <x:c r="N1080" s="34" t="n">
        <x:v>28.795</x:v>
      </x:c>
      <x:c r="O1080" s="34" t="n">
        <x:v>10.468998</x:v>
      </x:c>
      <x:c r="P1080" s="34" t="n">
        <x:v>20.4</x:v>
      </x:c>
      <x:c r="Q1080" s="34" t="n">
        <x:v>9.931002</x:v>
      </x:c>
      <x:c r="R1080" s="34" t="n">
        <x:v>51.319</x:v>
      </x:c>
      <x:c r="S1080" s="40" t="b">
        <x:v>1</x:v>
      </x:c>
      <x:c r="T1080" s="34" t="str">
        <x:v>model_interpolation</x:v>
      </x:c>
      <x:c r="U1080" s="34" t="str">
        <x:v>Linear interpolation from 2035 to 2040</x:v>
      </x:c>
      <x:c r="V1080" s="34" t="str">
        <x:v>CAND-FCDB7C1BD7991A</x:v>
      </x:c>
      <x:c r="W1080" s="34" t="str">
        <x:v>P1</x:v>
      </x:c>
      <x:c r="X1080" s="34" t="str">
        <x:v>PORT-51A2628EF9C2</x:v>
      </x:c>
      <x:c r="Y1080" s="34" t="n">
        <x:v>1000</x:v>
      </x:c>
      <x:c r="Z1080" s="34" t="n">
        <x:v>127.502295</x:v>
      </x:c>
      <x:c r="AA1080" s="34" t="n">
        <x:v>41.478766</x:v>
      </x:c>
      <x:c r="AB1080" s="34" t="n">
        <x:v>328.220861</x:v>
      </x:c>
      <x:c r="AC1080" s="34" t="n">
        <x:v>40930.073</x:v>
      </x:c>
      <x:c r="AD1080" s="34" t="n">
        <x:v>124.702838</x:v>
      </x:c>
      <x:c r="AE1080" s="40" t="b">
        <x:v>1</x:v>
      </x:c>
      <x:c r="AF1080" s="40" t="b">
        <x:v>1</x:v>
      </x:c>
      <x:c r="AG1080" s="34" t="str"/>
      <x:c r="AH1080" s="34" t="n">
        <x:v>0</x:v>
      </x:c>
      <x:c r="AI1080" s="34" t="str">
        <x:v>1.265341119704999e-05</x:v>
      </x:c>
      <x:c r="AJ1080" s="40" t="b">
        <x:v>1</x:v>
      </x:c>
      <x:c r="AK1080" s="40" t="b">
        <x:v>1</x:v>
      </x:c>
      <x:c r="AL1080" s="40" t="b">
        <x:v>1</x:v>
      </x:c>
      <x:c r="AM1080" s="40" t="b">
        <x:v>1</x:v>
      </x:c>
      <x:c r="AN1080" s="34" t="str"/>
      <x:c r="AO1080" s="34" t="n">
        <x:v>0</x:v>
      </x:c>
      <x:c r="AP1080" s="34" t="n">
        <x:v>0</x:v>
      </x:c>
      <x:c r="AQ1080" s="34" t="n">
        <x:v>0</x:v>
      </x:c>
      <x:c r="AR1080" s="34" t="n">
        <x:v>3</x:v>
      </x:c>
      <x:c r="AS1080" s="34" t="n">
        <x:v>3</x:v>
      </x:c>
      <x:c r="AT1080" s="34" t="n">
        <x:v>0.41232239999999987</x:v>
      </x:c>
      <x:c r="AU1080" s="34" t="n">
        <x:v>0.65</x:v>
      </x:c>
      <x:c r="AV1080" s="34" t="n">
        <x:v>1.78</x:v>
      </x:c>
    </x:row>
    <x:row r="1081">
      <x:c r="A1081" s="34" t="str">
        <x:v>JFE_STEEL_JP</x:v>
      </x:c>
      <x:c r="B1081" s="34" t="str">
        <x:v>JFE Steel</x:v>
      </x:c>
      <x:c r="C1081" s="34" t="str">
        <x:v>ACCELERATED_15C</x:v>
      </x:c>
      <x:c r="D1081" s="34" t="str">
        <x:v>P1</x:v>
      </x:c>
      <x:c r="E1081" s="34" t="n">
        <x:v>2040</x:v>
      </x:c>
      <x:c r="F1081" s="34" t="n">
        <x:v>4</x:v>
      </x:c>
      <x:c r="G1081" s="34" t="n">
        <x:v>8.9175</x:v>
      </x:c>
      <x:c r="H1081" s="34" t="n">
        <x:v>21</x:v>
      </x:c>
      <x:c r="I1081" s="34" t="n">
        <x:v>12.0825</x:v>
      </x:c>
      <x:c r="J1081" s="34" t="n">
        <x:v>42.464</x:v>
      </x:c>
      <x:c r="K1081" s="34" t="n">
        <x:v>0.79475</x:v>
      </x:c>
      <x:c r="L1081" s="34" t="n">
        <x:v>3</x:v>
      </x:c>
      <x:c r="M1081" s="34" t="n">
        <x:v>2.20525</x:v>
      </x:c>
      <x:c r="N1081" s="34" t="n">
        <x:v>26.492</x:v>
      </x:c>
      <x:c r="O1081" s="34" t="n">
        <x:v>10.468998</x:v>
      </x:c>
      <x:c r="P1081" s="34" t="n">
        <x:v>22</x:v>
      </x:c>
      <x:c r="Q1081" s="34" t="n">
        <x:v>11.531002</x:v>
      </x:c>
      <x:c r="R1081" s="34" t="n">
        <x:v>47.586</x:v>
      </x:c>
      <x:c r="S1081" s="40" t="b">
        <x:v>1</x:v>
      </x:c>
      <x:c r="T1081" s="34" t="str">
        <x:v>model_estimate</x:v>
      </x:c>
      <x:c r="U1081" s="34" t="str">
        <x:v>Illustrative accelerated envelope; not GCAM or an official supply forecast</x:v>
      </x:c>
      <x:c r="V1081" s="34" t="str">
        <x:v>CAND-FCDB7C1BD7991A</x:v>
      </x:c>
      <x:c r="W1081" s="34" t="str">
        <x:v>P1</x:v>
      </x:c>
      <x:c r="X1081" s="34" t="str">
        <x:v>PORT-51A2628EF9C2</x:v>
      </x:c>
      <x:c r="Y1081" s="34" t="n">
        <x:v>1000</x:v>
      </x:c>
      <x:c r="Z1081" s="34" t="n">
        <x:v>127.502295</x:v>
      </x:c>
      <x:c r="AA1081" s="34" t="n">
        <x:v>41.478766</x:v>
      </x:c>
      <x:c r="AB1081" s="34" t="n">
        <x:v>328.220861</x:v>
      </x:c>
      <x:c r="AC1081" s="34" t="n">
        <x:v>40930.073</x:v>
      </x:c>
      <x:c r="AD1081" s="34" t="n">
        <x:v>124.702838</x:v>
      </x:c>
      <x:c r="AE1081" s="40" t="b">
        <x:v>1</x:v>
      </x:c>
      <x:c r="AF1081" s="40" t="b">
        <x:v>1</x:v>
      </x:c>
      <x:c r="AG1081" s="34" t="str"/>
      <x:c r="AH1081" s="34" t="n">
        <x:v>0</x:v>
      </x:c>
      <x:c r="AI1081" s="34" t="str">
        <x:v>1.265341119704999e-05</x:v>
      </x:c>
      <x:c r="AJ1081" s="40" t="b">
        <x:v>1</x:v>
      </x:c>
      <x:c r="AK1081" s="40" t="b">
        <x:v>1</x:v>
      </x:c>
      <x:c r="AL1081" s="40" t="b">
        <x:v>1</x:v>
      </x:c>
      <x:c r="AM1081" s="40" t="b">
        <x:v>1</x:v>
      </x:c>
      <x:c r="AN1081" s="34" t="str"/>
      <x:c r="AO1081" s="34" t="n">
        <x:v>0</x:v>
      </x:c>
      <x:c r="AP1081" s="34" t="n">
        <x:v>0</x:v>
      </x:c>
      <x:c r="AQ1081" s="34" t="n">
        <x:v>0</x:v>
      </x:c>
      <x:c r="AR1081" s="34" t="n">
        <x:v>3</x:v>
      </x:c>
      <x:c r="AS1081" s="34" t="n">
        <x:v>3</x:v>
      </x:c>
      <x:c r="AT1081" s="34" t="n">
        <x:v>0.41232239999999987</x:v>
      </x:c>
      <x:c r="AU1081" s="34" t="n">
        <x:v>0.65</x:v>
      </x:c>
      <x:c r="AV1081" s="34" t="n">
        <x:v>1.78</x:v>
      </x:c>
    </x:row>
    <x:row r="1082">
      <x:c r="A1082" s="34" t="str">
        <x:v>NIPPON_STEEL_JP</x:v>
      </x:c>
      <x:c r="B1082" s="34" t="str">
        <x:v>Nippon Steel</x:v>
      </x:c>
      <x:c r="C1082" s="34" t="str">
        <x:v>DISCLOSED_PATH</x:v>
      </x:c>
      <x:c r="D1082" s="34" t="str">
        <x:v>P1</x:v>
      </x:c>
      <x:c r="E1082" s="34" t="n">
        <x:v>2026</x:v>
      </x:c>
      <x:c r="F1082" s="34" t="n">
        <x:v>0</x:v>
      </x:c>
      <x:c r="G1082" s="34" t="n">
        <x:v>0</x:v>
      </x:c>
      <x:c r="H1082" s="34" t="n">
        <x:v>8</x:v>
      </x:c>
      <x:c r="I1082" s="34" t="n">
        <x:v>8</x:v>
      </x:c>
      <x:c r="J1082" s="34" t="n">
        <x:v>0</x:v>
      </x:c>
      <x:c r="K1082" s="34" t="n">
        <x:v>0</x:v>
      </x:c>
      <x:c r="L1082" s="34" t="n">
        <x:v>0</x:v>
      </x:c>
      <x:c r="M1082" s="34" t="n">
        <x:v>0</x:v>
      </x:c>
      <x:c r="N1082" s="34" t="n">
        <x:v>0</x:v>
      </x:c>
      <x:c r="O1082" s="34" t="n">
        <x:v>0</x:v>
      </x:c>
      <x:c r="P1082" s="34" t="n">
        <x:v>2</x:v>
      </x:c>
      <x:c r="Q1082" s="34" t="n">
        <x:v>2</x:v>
      </x:c>
      <x:c r="R1082" s="34" t="n">
        <x:v>0</x:v>
      </x:c>
      <x:c r="S1082" s="40" t="b">
        <x:v>1</x:v>
      </x:c>
      <x:c r="T1082" s="34" t="str">
        <x:v>model_interpolation</x:v>
      </x:c>
      <x:c r="U1082" s="34" t="str">
        <x:v>Linear interpolation from 2026 to 2030</x:v>
      </x:c>
      <x:c r="V1082" s="34" t="str">
        <x:v>CAND-FCEB78D7C5F4C6</x:v>
      </x:c>
      <x:c r="W1082" s="34" t="str">
        <x:v>P1</x:v>
      </x:c>
      <x:c r="X1082" s="34" t="str">
        <x:v>PORT-7DCD4991144C</x:v>
      </x:c>
      <x:c r="Y1082" s="34" t="n">
        <x:v>1000</x:v>
      </x:c>
      <x:c r="Z1082" s="34" t="n">
        <x:v>22.334383</x:v>
      </x:c>
      <x:c r="AA1082" s="34" t="n">
        <x:v>10.761138</x:v>
      </x:c>
      <x:c r="AB1082" s="34" t="n">
        <x:v>313.643967</x:v>
      </x:c>
      <x:c r="AC1082" s="34" t="n">
        <x:v>6683.267</x:v>
      </x:c>
      <x:c r="AD1082" s="34" t="n">
        <x:v>21.30845</x:v>
      </x:c>
      <x:c r="AE1082" s="40" t="b">
        <x:v>1</x:v>
      </x:c>
      <x:c r="AF1082" s="40" t="b">
        <x:v>1</x:v>
      </x:c>
      <x:c r="AG1082" s="34" t="str"/>
      <x:c r="AH1082" s="34" t="n">
        <x:v>0</x:v>
      </x:c>
      <x:c r="AI1082" s="34" t="str">
        <x:v>3.446647212967946e-06</x:v>
      </x:c>
      <x:c r="AJ1082" s="40" t="b">
        <x:v>1</x:v>
      </x:c>
      <x:c r="AK1082" s="40" t="b">
        <x:v>1</x:v>
      </x:c>
      <x:c r="AL1082" s="40" t="b">
        <x:v>1</x:v>
      </x:c>
      <x:c r="AM1082" s="40" t="b">
        <x:v>1</x:v>
      </x:c>
      <x:c r="AN1082" s="34" t="str"/>
      <x:c r="AO1082" s="34" t="n">
        <x:v>0</x:v>
      </x:c>
      <x:c r="AP1082" s="34" t="n">
        <x:v>0</x:v>
      </x:c>
      <x:c r="AQ1082" s="34" t="n">
        <x:v>0</x:v>
      </x:c>
      <x:c r="AR1082" s="34" t="n">
        <x:v>2</x:v>
      </x:c>
      <x:c r="AS1082" s="34" t="n">
        <x:v>2</x:v>
      </x:c>
      <x:c r="AT1082" s="34" t="n">
        <x:v>0.28236113919999994</x:v>
      </x:c>
      <x:c r="AU1082" s="34" t="n">
        <x:v>0.65</x:v>
      </x:c>
      <x:c r="AV1082" s="34" t="n">
        <x:v>0.88</x:v>
      </x:c>
    </x:row>
    <x:row r="1083">
      <x:c r="A1083" s="34" t="str">
        <x:v>NIPPON_STEEL_JP</x:v>
      </x:c>
      <x:c r="B1083" s="34" t="str">
        <x:v>Nippon Steel</x:v>
      </x:c>
      <x:c r="C1083" s="34" t="str">
        <x:v>DISCLOSED_PATH</x:v>
      </x:c>
      <x:c r="D1083" s="34" t="str">
        <x:v>P1</x:v>
      </x:c>
      <x:c r="E1083" s="34" t="n">
        <x:v>2027</x:v>
      </x:c>
      <x:c r="F1083" s="34" t="n">
        <x:v>0</x:v>
      </x:c>
      <x:c r="G1083" s="34" t="n">
        <x:v>0</x:v>
      </x:c>
      <x:c r="H1083" s="34" t="n">
        <x:v>9</x:v>
      </x:c>
      <x:c r="I1083" s="34" t="n">
        <x:v>9</x:v>
      </x:c>
      <x:c r="J1083" s="34" t="n">
        <x:v>0</x:v>
      </x:c>
      <x:c r="K1083" s="34" t="n">
        <x:v>0</x:v>
      </x:c>
      <x:c r="L1083" s="34" t="n">
        <x:v>0.15</x:v>
      </x:c>
      <x:c r="M1083" s="34" t="n">
        <x:v>0.15</x:v>
      </x:c>
      <x:c r="N1083" s="34" t="n">
        <x:v>0</x:v>
      </x:c>
      <x:c r="O1083" s="34" t="n">
        <x:v>0</x:v>
      </x:c>
      <x:c r="P1083" s="34" t="n">
        <x:v>3.25</x:v>
      </x:c>
      <x:c r="Q1083" s="34" t="n">
        <x:v>3.25</x:v>
      </x:c>
      <x:c r="R1083" s="34" t="n">
        <x:v>0</x:v>
      </x:c>
      <x:c r="S1083" s="40" t="b">
        <x:v>1</x:v>
      </x:c>
      <x:c r="T1083" s="34" t="str">
        <x:v>model_interpolation</x:v>
      </x:c>
      <x:c r="U1083" s="34" t="str">
        <x:v>Linear interpolation from 2026 to 2030</x:v>
      </x:c>
      <x:c r="V1083" s="34" t="str">
        <x:v>CAND-FCEB78D7C5F4C6</x:v>
      </x:c>
      <x:c r="W1083" s="34" t="str">
        <x:v>P1</x:v>
      </x:c>
      <x:c r="X1083" s="34" t="str">
        <x:v>PORT-7DCD4991144C</x:v>
      </x:c>
      <x:c r="Y1083" s="34" t="n">
        <x:v>1000</x:v>
      </x:c>
      <x:c r="Z1083" s="34" t="n">
        <x:v>22.334383</x:v>
      </x:c>
      <x:c r="AA1083" s="34" t="n">
        <x:v>10.761138</x:v>
      </x:c>
      <x:c r="AB1083" s="34" t="n">
        <x:v>313.643967</x:v>
      </x:c>
      <x:c r="AC1083" s="34" t="n">
        <x:v>6683.267</x:v>
      </x:c>
      <x:c r="AD1083" s="34" t="n">
        <x:v>21.30845</x:v>
      </x:c>
      <x:c r="AE1083" s="40" t="b">
        <x:v>1</x:v>
      </x:c>
      <x:c r="AF1083" s="40" t="b">
        <x:v>1</x:v>
      </x:c>
      <x:c r="AG1083" s="34" t="str"/>
      <x:c r="AH1083" s="34" t="n">
        <x:v>0</x:v>
      </x:c>
      <x:c r="AI1083" s="34" t="str">
        <x:v>3.446647212967946e-06</x:v>
      </x:c>
      <x:c r="AJ1083" s="40" t="b">
        <x:v>1</x:v>
      </x:c>
      <x:c r="AK1083" s="40" t="b">
        <x:v>1</x:v>
      </x:c>
      <x:c r="AL1083" s="40" t="b">
        <x:v>1</x:v>
      </x:c>
      <x:c r="AM1083" s="40" t="b">
        <x:v>1</x:v>
      </x:c>
      <x:c r="AN1083" s="34" t="str"/>
      <x:c r="AO1083" s="34" t="n">
        <x:v>0</x:v>
      </x:c>
      <x:c r="AP1083" s="34" t="n">
        <x:v>0</x:v>
      </x:c>
      <x:c r="AQ1083" s="34" t="n">
        <x:v>0</x:v>
      </x:c>
      <x:c r="AR1083" s="34" t="n">
        <x:v>2</x:v>
      </x:c>
      <x:c r="AS1083" s="34" t="n">
        <x:v>2</x:v>
      </x:c>
      <x:c r="AT1083" s="34" t="n">
        <x:v>0.28236113919999994</x:v>
      </x:c>
      <x:c r="AU1083" s="34" t="n">
        <x:v>0.65</x:v>
      </x:c>
      <x:c r="AV1083" s="34" t="n">
        <x:v>0.88</x:v>
      </x:c>
    </x:row>
    <x:row r="1084">
      <x:c r="A1084" s="34" t="str">
        <x:v>NIPPON_STEEL_JP</x:v>
      </x:c>
      <x:c r="B1084" s="34" t="str">
        <x:v>Nippon Steel</x:v>
      </x:c>
      <x:c r="C1084" s="34" t="str">
        <x:v>DISCLOSED_PATH</x:v>
      </x:c>
      <x:c r="D1084" s="34" t="str">
        <x:v>P1</x:v>
      </x:c>
      <x:c r="E1084" s="34" t="n">
        <x:v>2028</x:v>
      </x:c>
      <x:c r="F1084" s="34" t="n">
        <x:v>0</x:v>
      </x:c>
      <x:c r="G1084" s="34" t="n">
        <x:v>0</x:v>
      </x:c>
      <x:c r="H1084" s="34" t="n">
        <x:v>10</x:v>
      </x:c>
      <x:c r="I1084" s="34" t="n">
        <x:v>10</x:v>
      </x:c>
      <x:c r="J1084" s="34" t="n">
        <x:v>0</x:v>
      </x:c>
      <x:c r="K1084" s="34" t="n">
        <x:v>0</x:v>
      </x:c>
      <x:c r="L1084" s="34" t="n">
        <x:v>0.3</x:v>
      </x:c>
      <x:c r="M1084" s="34" t="n">
        <x:v>0.3</x:v>
      </x:c>
      <x:c r="N1084" s="34" t="n">
        <x:v>0</x:v>
      </x:c>
      <x:c r="O1084" s="34" t="n">
        <x:v>0</x:v>
      </x:c>
      <x:c r="P1084" s="34" t="n">
        <x:v>4.5</x:v>
      </x:c>
      <x:c r="Q1084" s="34" t="n">
        <x:v>4.5</x:v>
      </x:c>
      <x:c r="R1084" s="34" t="n">
        <x:v>0</x:v>
      </x:c>
      <x:c r="S1084" s="40" t="b">
        <x:v>1</x:v>
      </x:c>
      <x:c r="T1084" s="34" t="str">
        <x:v>model_interpolation</x:v>
      </x:c>
      <x:c r="U1084" s="34" t="str">
        <x:v>Linear interpolation from 2026 to 2030</x:v>
      </x:c>
      <x:c r="V1084" s="34" t="str">
        <x:v>CAND-FCEB78D7C5F4C6</x:v>
      </x:c>
      <x:c r="W1084" s="34" t="str">
        <x:v>P1</x:v>
      </x:c>
      <x:c r="X1084" s="34" t="str">
        <x:v>PORT-7DCD4991144C</x:v>
      </x:c>
      <x:c r="Y1084" s="34" t="n">
        <x:v>1000</x:v>
      </x:c>
      <x:c r="Z1084" s="34" t="n">
        <x:v>22.334383</x:v>
      </x:c>
      <x:c r="AA1084" s="34" t="n">
        <x:v>10.761138</x:v>
      </x:c>
      <x:c r="AB1084" s="34" t="n">
        <x:v>313.643967</x:v>
      </x:c>
      <x:c r="AC1084" s="34" t="n">
        <x:v>6683.267</x:v>
      </x:c>
      <x:c r="AD1084" s="34" t="n">
        <x:v>21.30845</x:v>
      </x:c>
      <x:c r="AE1084" s="40" t="b">
        <x:v>1</x:v>
      </x:c>
      <x:c r="AF1084" s="40" t="b">
        <x:v>1</x:v>
      </x:c>
      <x:c r="AG1084" s="34" t="str"/>
      <x:c r="AH1084" s="34" t="n">
        <x:v>0</x:v>
      </x:c>
      <x:c r="AI1084" s="34" t="str">
        <x:v>3.446647212967946e-06</x:v>
      </x:c>
      <x:c r="AJ1084" s="40" t="b">
        <x:v>1</x:v>
      </x:c>
      <x:c r="AK1084" s="40" t="b">
        <x:v>1</x:v>
      </x:c>
      <x:c r="AL1084" s="40" t="b">
        <x:v>1</x:v>
      </x:c>
      <x:c r="AM1084" s="40" t="b">
        <x:v>1</x:v>
      </x:c>
      <x:c r="AN1084" s="34" t="str"/>
      <x:c r="AO1084" s="34" t="n">
        <x:v>0</x:v>
      </x:c>
      <x:c r="AP1084" s="34" t="n">
        <x:v>0</x:v>
      </x:c>
      <x:c r="AQ1084" s="34" t="n">
        <x:v>0</x:v>
      </x:c>
      <x:c r="AR1084" s="34" t="n">
        <x:v>2</x:v>
      </x:c>
      <x:c r="AS1084" s="34" t="n">
        <x:v>2</x:v>
      </x:c>
      <x:c r="AT1084" s="34" t="n">
        <x:v>0.28236113919999994</x:v>
      </x:c>
      <x:c r="AU1084" s="34" t="n">
        <x:v>0.65</x:v>
      </x:c>
      <x:c r="AV1084" s="34" t="n">
        <x:v>0.88</x:v>
      </x:c>
    </x:row>
    <x:row r="1085">
      <x:c r="A1085" s="34" t="str">
        <x:v>NIPPON_STEEL_JP</x:v>
      </x:c>
      <x:c r="B1085" s="34" t="str">
        <x:v>Nippon Steel</x:v>
      </x:c>
      <x:c r="C1085" s="34" t="str">
        <x:v>DISCLOSED_PATH</x:v>
      </x:c>
      <x:c r="D1085" s="34" t="str">
        <x:v>P1</x:v>
      </x:c>
      <x:c r="E1085" s="34" t="n">
        <x:v>2029</x:v>
      </x:c>
      <x:c r="F1085" s="34" t="n">
        <x:v>1</x:v>
      </x:c>
      <x:c r="G1085" s="34" t="n">
        <x:v>8.1</x:v>
      </x:c>
      <x:c r="H1085" s="34" t="n">
        <x:v>11</x:v>
      </x:c>
      <x:c r="I1085" s="34" t="n">
        <x:v>2.9</x:v>
      </x:c>
      <x:c r="J1085" s="34" t="n">
        <x:v>73.636</x:v>
      </x:c>
      <x:c r="K1085" s="34" t="n">
        <x:v>0</x:v>
      </x:c>
      <x:c r="L1085" s="34" t="n">
        <x:v>0.44999999999999996</x:v>
      </x:c>
      <x:c r="M1085" s="34" t="n">
        <x:v>0.45</x:v>
      </x:c>
      <x:c r="N1085" s="34" t="n">
        <x:v>0</x:v>
      </x:c>
      <x:c r="O1085" s="34" t="n">
        <x:v>5.04</x:v>
      </x:c>
      <x:c r="P1085" s="34" t="n">
        <x:v>5.75</x:v>
      </x:c>
      <x:c r="Q1085" s="34" t="n">
        <x:v>0.71</x:v>
      </x:c>
      <x:c r="R1085" s="34" t="n">
        <x:v>87.652</x:v>
      </x:c>
      <x:c r="S1085" s="40" t="b">
        <x:v>1</x:v>
      </x:c>
      <x:c r="T1085" s="34" t="str">
        <x:v>model_interpolation</x:v>
      </x:c>
      <x:c r="U1085" s="34" t="str">
        <x:v>Linear interpolation from 2026 to 2030</x:v>
      </x:c>
      <x:c r="V1085" s="34" t="str">
        <x:v>CAND-FCEB78D7C5F4C6</x:v>
      </x:c>
      <x:c r="W1085" s="34" t="str">
        <x:v>P1</x:v>
      </x:c>
      <x:c r="X1085" s="34" t="str">
        <x:v>PORT-7DCD4991144C</x:v>
      </x:c>
      <x:c r="Y1085" s="34" t="n">
        <x:v>1000</x:v>
      </x:c>
      <x:c r="Z1085" s="34" t="n">
        <x:v>22.334383</x:v>
      </x:c>
      <x:c r="AA1085" s="34" t="n">
        <x:v>10.761138</x:v>
      </x:c>
      <x:c r="AB1085" s="34" t="n">
        <x:v>313.643967</x:v>
      </x:c>
      <x:c r="AC1085" s="34" t="n">
        <x:v>6683.267</x:v>
      </x:c>
      <x:c r="AD1085" s="34" t="n">
        <x:v>21.30845</x:v>
      </x:c>
      <x:c r="AE1085" s="40" t="b">
        <x:v>1</x:v>
      </x:c>
      <x:c r="AF1085" s="40" t="b">
        <x:v>1</x:v>
      </x:c>
      <x:c r="AG1085" s="34" t="str"/>
      <x:c r="AH1085" s="34" t="n">
        <x:v>0</x:v>
      </x:c>
      <x:c r="AI1085" s="34" t="str">
        <x:v>3.446647212967946e-06</x:v>
      </x:c>
      <x:c r="AJ1085" s="40" t="b">
        <x:v>1</x:v>
      </x:c>
      <x:c r="AK1085" s="40" t="b">
        <x:v>1</x:v>
      </x:c>
      <x:c r="AL1085" s="40" t="b">
        <x:v>1</x:v>
      </x:c>
      <x:c r="AM1085" s="40" t="b">
        <x:v>1</x:v>
      </x:c>
      <x:c r="AN1085" s="34" t="str"/>
      <x:c r="AO1085" s="34" t="n">
        <x:v>0</x:v>
      </x:c>
      <x:c r="AP1085" s="34" t="n">
        <x:v>0</x:v>
      </x:c>
      <x:c r="AQ1085" s="34" t="n">
        <x:v>0</x:v>
      </x:c>
      <x:c r="AR1085" s="34" t="n">
        <x:v>2</x:v>
      </x:c>
      <x:c r="AS1085" s="34" t="n">
        <x:v>2</x:v>
      </x:c>
      <x:c r="AT1085" s="34" t="n">
        <x:v>0.28236113919999994</x:v>
      </x:c>
      <x:c r="AU1085" s="34" t="n">
        <x:v>0.65</x:v>
      </x:c>
      <x:c r="AV1085" s="34" t="n">
        <x:v>0.88</x:v>
      </x:c>
    </x:row>
    <x:row r="1086">
      <x:c r="A1086" s="34" t="str">
        <x:v>NIPPON_STEEL_JP</x:v>
      </x:c>
      <x:c r="B1086" s="34" t="str">
        <x:v>Nippon Steel</x:v>
      </x:c>
      <x:c r="C1086" s="34" t="str">
        <x:v>DISCLOSED_PATH</x:v>
      </x:c>
      <x:c r="D1086" s="34" t="str">
        <x:v>P1</x:v>
      </x:c>
      <x:c r="E1086" s="34" t="n">
        <x:v>2030</x:v>
      </x:c>
      <x:c r="F1086" s="34" t="n">
        <x:v>1</x:v>
      </x:c>
      <x:c r="G1086" s="34" t="n">
        <x:v>8.1</x:v>
      </x:c>
      <x:c r="H1086" s="34" t="n">
        <x:v>12</x:v>
      </x:c>
      <x:c r="I1086" s="34" t="n">
        <x:v>3.9</x:v>
      </x:c>
      <x:c r="J1086" s="34" t="n">
        <x:v>67.5</x:v>
      </x:c>
      <x:c r="K1086" s="34" t="n">
        <x:v>0</x:v>
      </x:c>
      <x:c r="L1086" s="34" t="n">
        <x:v>0.6</x:v>
      </x:c>
      <x:c r="M1086" s="34" t="n">
        <x:v>0.6</x:v>
      </x:c>
      <x:c r="N1086" s="34" t="n">
        <x:v>0</x:v>
      </x:c>
      <x:c r="O1086" s="34" t="n">
        <x:v>5.04</x:v>
      </x:c>
      <x:c r="P1086" s="34" t="n">
        <x:v>7</x:v>
      </x:c>
      <x:c r="Q1086" s="34" t="n">
        <x:v>1.96</x:v>
      </x:c>
      <x:c r="R1086" s="34" t="n">
        <x:v>72</x:v>
      </x:c>
      <x:c r="S1086" s="40" t="b">
        <x:v>1</x:v>
      </x:c>
      <x:c r="T1086" s="34" t="str">
        <x:v>model_interpolation</x:v>
      </x:c>
      <x:c r="U1086" s="34" t="str">
        <x:v>Linear interpolation from 2030 to 2035</x:v>
      </x:c>
      <x:c r="V1086" s="34" t="str">
        <x:v>CAND-FCEB78D7C5F4C6</x:v>
      </x:c>
      <x:c r="W1086" s="34" t="str">
        <x:v>P1</x:v>
      </x:c>
      <x:c r="X1086" s="34" t="str">
        <x:v>PORT-7DCD4991144C</x:v>
      </x:c>
      <x:c r="Y1086" s="34" t="n">
        <x:v>1000</x:v>
      </x:c>
      <x:c r="Z1086" s="34" t="n">
        <x:v>22.334383</x:v>
      </x:c>
      <x:c r="AA1086" s="34" t="n">
        <x:v>10.761138</x:v>
      </x:c>
      <x:c r="AB1086" s="34" t="n">
        <x:v>313.643967</x:v>
      </x:c>
      <x:c r="AC1086" s="34" t="n">
        <x:v>6683.267</x:v>
      </x:c>
      <x:c r="AD1086" s="34" t="n">
        <x:v>21.30845</x:v>
      </x:c>
      <x:c r="AE1086" s="40" t="b">
        <x:v>1</x:v>
      </x:c>
      <x:c r="AF1086" s="40" t="b">
        <x:v>1</x:v>
      </x:c>
      <x:c r="AG1086" s="34" t="str"/>
      <x:c r="AH1086" s="34" t="n">
        <x:v>0</x:v>
      </x:c>
      <x:c r="AI1086" s="34" t="str">
        <x:v>3.446647212967946e-06</x:v>
      </x:c>
      <x:c r="AJ1086" s="40" t="b">
        <x:v>1</x:v>
      </x:c>
      <x:c r="AK1086" s="40" t="b">
        <x:v>1</x:v>
      </x:c>
      <x:c r="AL1086" s="40" t="b">
        <x:v>1</x:v>
      </x:c>
      <x:c r="AM1086" s="40" t="b">
        <x:v>1</x:v>
      </x:c>
      <x:c r="AN1086" s="34" t="str"/>
      <x:c r="AO1086" s="34" t="n">
        <x:v>0</x:v>
      </x:c>
      <x:c r="AP1086" s="34" t="n">
        <x:v>0</x:v>
      </x:c>
      <x:c r="AQ1086" s="34" t="n">
        <x:v>0</x:v>
      </x:c>
      <x:c r="AR1086" s="34" t="n">
        <x:v>2</x:v>
      </x:c>
      <x:c r="AS1086" s="34" t="n">
        <x:v>2</x:v>
      </x:c>
      <x:c r="AT1086" s="34" t="n">
        <x:v>0.28236113919999994</x:v>
      </x:c>
      <x:c r="AU1086" s="34" t="n">
        <x:v>0.65</x:v>
      </x:c>
      <x:c r="AV1086" s="34" t="n">
        <x:v>0.88</x:v>
      </x:c>
    </x:row>
    <x:row r="1087">
      <x:c r="A1087" s="34" t="str">
        <x:v>NIPPON_STEEL_JP</x:v>
      </x:c>
      <x:c r="B1087" s="34" t="str">
        <x:v>Nippon Steel</x:v>
      </x:c>
      <x:c r="C1087" s="34" t="str">
        <x:v>DISCLOSED_PATH</x:v>
      </x:c>
      <x:c r="D1087" s="34" t="str">
        <x:v>P1</x:v>
      </x:c>
      <x:c r="E1087" s="34" t="n">
        <x:v>2031</x:v>
      </x:c>
      <x:c r="F1087" s="34" t="n">
        <x:v>1</x:v>
      </x:c>
      <x:c r="G1087" s="34" t="n">
        <x:v>8.1</x:v>
      </x:c>
      <x:c r="H1087" s="34" t="n">
        <x:v>13.2</x:v>
      </x:c>
      <x:c r="I1087" s="34" t="n">
        <x:v>5.1</x:v>
      </x:c>
      <x:c r="J1087" s="34" t="n">
        <x:v>61.364</x:v>
      </x:c>
      <x:c r="K1087" s="34" t="n">
        <x:v>0</x:v>
      </x:c>
      <x:c r="L1087" s="34" t="n">
        <x:v>0.8400000000000001</x:v>
      </x:c>
      <x:c r="M1087" s="34" t="n">
        <x:v>0.84</x:v>
      </x:c>
      <x:c r="N1087" s="34" t="n">
        <x:v>0</x:v>
      </x:c>
      <x:c r="O1087" s="34" t="n">
        <x:v>5.04</x:v>
      </x:c>
      <x:c r="P1087" s="34" t="n">
        <x:v>8.6</x:v>
      </x:c>
      <x:c r="Q1087" s="34" t="n">
        <x:v>3.56</x:v>
      </x:c>
      <x:c r="R1087" s="34" t="n">
        <x:v>58.605</x:v>
      </x:c>
      <x:c r="S1087" s="40" t="b">
        <x:v>1</x:v>
      </x:c>
      <x:c r="T1087" s="34" t="str">
        <x:v>model_interpolation</x:v>
      </x:c>
      <x:c r="U1087" s="34" t="str">
        <x:v>Linear interpolation from 2030 to 2035</x:v>
      </x:c>
      <x:c r="V1087" s="34" t="str">
        <x:v>CAND-FCEB78D7C5F4C6</x:v>
      </x:c>
      <x:c r="W1087" s="34" t="str">
        <x:v>P1</x:v>
      </x:c>
      <x:c r="X1087" s="34" t="str">
        <x:v>PORT-7DCD4991144C</x:v>
      </x:c>
      <x:c r="Y1087" s="34" t="n">
        <x:v>1000</x:v>
      </x:c>
      <x:c r="Z1087" s="34" t="n">
        <x:v>22.334383</x:v>
      </x:c>
      <x:c r="AA1087" s="34" t="n">
        <x:v>10.761138</x:v>
      </x:c>
      <x:c r="AB1087" s="34" t="n">
        <x:v>313.643967</x:v>
      </x:c>
      <x:c r="AC1087" s="34" t="n">
        <x:v>6683.267</x:v>
      </x:c>
      <x:c r="AD1087" s="34" t="n">
        <x:v>21.30845</x:v>
      </x:c>
      <x:c r="AE1087" s="40" t="b">
        <x:v>1</x:v>
      </x:c>
      <x:c r="AF1087" s="40" t="b">
        <x:v>1</x:v>
      </x:c>
      <x:c r="AG1087" s="34" t="str"/>
      <x:c r="AH1087" s="34" t="n">
        <x:v>0</x:v>
      </x:c>
      <x:c r="AI1087" s="34" t="str">
        <x:v>3.446647212967946e-06</x:v>
      </x:c>
      <x:c r="AJ1087" s="40" t="b">
        <x:v>1</x:v>
      </x:c>
      <x:c r="AK1087" s="40" t="b">
        <x:v>1</x:v>
      </x:c>
      <x:c r="AL1087" s="40" t="b">
        <x:v>1</x:v>
      </x:c>
      <x:c r="AM1087" s="40" t="b">
        <x:v>1</x:v>
      </x:c>
      <x:c r="AN1087" s="34" t="str"/>
      <x:c r="AO1087" s="34" t="n">
        <x:v>0</x:v>
      </x:c>
      <x:c r="AP1087" s="34" t="n">
        <x:v>0</x:v>
      </x:c>
      <x:c r="AQ1087" s="34" t="n">
        <x:v>0</x:v>
      </x:c>
      <x:c r="AR1087" s="34" t="n">
        <x:v>2</x:v>
      </x:c>
      <x:c r="AS1087" s="34" t="n">
        <x:v>2</x:v>
      </x:c>
      <x:c r="AT1087" s="34" t="n">
        <x:v>0.28236113919999994</x:v>
      </x:c>
      <x:c r="AU1087" s="34" t="n">
        <x:v>0.65</x:v>
      </x:c>
      <x:c r="AV1087" s="34" t="n">
        <x:v>0.88</x:v>
      </x:c>
    </x:row>
    <x:row r="1088">
      <x:c r="A1088" s="34" t="str">
        <x:v>NIPPON_STEEL_JP</x:v>
      </x:c>
      <x:c r="B1088" s="34" t="str">
        <x:v>Nippon Steel</x:v>
      </x:c>
      <x:c r="C1088" s="34" t="str">
        <x:v>DISCLOSED_PATH</x:v>
      </x:c>
      <x:c r="D1088" s="34" t="str">
        <x:v>P1</x:v>
      </x:c>
      <x:c r="E1088" s="34" t="n">
        <x:v>2032</x:v>
      </x:c>
      <x:c r="F1088" s="34" t="n">
        <x:v>2</x:v>
      </x:c>
      <x:c r="G1088" s="34" t="n">
        <x:v>9.03</x:v>
      </x:c>
      <x:c r="H1088" s="34" t="n">
        <x:v>14.4</x:v>
      </x:c>
      <x:c r="I1088" s="34" t="n">
        <x:v>5.37</x:v>
      </x:c>
      <x:c r="J1088" s="34" t="n">
        <x:v>62.708</x:v>
      </x:c>
      <x:c r="K1088" s="34" t="n">
        <x:v>0</x:v>
      </x:c>
      <x:c r="L1088" s="34" t="n">
        <x:v>1.08</x:v>
      </x:c>
      <x:c r="M1088" s="34" t="n">
        <x:v>1.08</x:v>
      </x:c>
      <x:c r="N1088" s="34" t="n">
        <x:v>0</x:v>
      </x:c>
      <x:c r="O1088" s="34" t="n">
        <x:v>5.102</x:v>
      </x:c>
      <x:c r="P1088" s="34" t="n">
        <x:v>10.2</x:v>
      </x:c>
      <x:c r="Q1088" s="34" t="n">
        <x:v>5.098</x:v>
      </x:c>
      <x:c r="R1088" s="34" t="n">
        <x:v>50.02</x:v>
      </x:c>
      <x:c r="S1088" s="40" t="b">
        <x:v>1</x:v>
      </x:c>
      <x:c r="T1088" s="34" t="str">
        <x:v>model_interpolation</x:v>
      </x:c>
      <x:c r="U1088" s="34" t="str">
        <x:v>Linear interpolation from 2030 to 2035</x:v>
      </x:c>
      <x:c r="V1088" s="34" t="str">
        <x:v>CAND-FCEB78D7C5F4C6</x:v>
      </x:c>
      <x:c r="W1088" s="34" t="str">
        <x:v>P1</x:v>
      </x:c>
      <x:c r="X1088" s="34" t="str">
        <x:v>PORT-7DCD4991144C</x:v>
      </x:c>
      <x:c r="Y1088" s="34" t="n">
        <x:v>1000</x:v>
      </x:c>
      <x:c r="Z1088" s="34" t="n">
        <x:v>22.334383</x:v>
      </x:c>
      <x:c r="AA1088" s="34" t="n">
        <x:v>10.761138</x:v>
      </x:c>
      <x:c r="AB1088" s="34" t="n">
        <x:v>313.643967</x:v>
      </x:c>
      <x:c r="AC1088" s="34" t="n">
        <x:v>6683.267</x:v>
      </x:c>
      <x:c r="AD1088" s="34" t="n">
        <x:v>21.30845</x:v>
      </x:c>
      <x:c r="AE1088" s="40" t="b">
        <x:v>1</x:v>
      </x:c>
      <x:c r="AF1088" s="40" t="b">
        <x:v>1</x:v>
      </x:c>
      <x:c r="AG1088" s="34" t="str"/>
      <x:c r="AH1088" s="34" t="n">
        <x:v>0</x:v>
      </x:c>
      <x:c r="AI1088" s="34" t="str">
        <x:v>3.446647212967946e-06</x:v>
      </x:c>
      <x:c r="AJ1088" s="40" t="b">
        <x:v>1</x:v>
      </x:c>
      <x:c r="AK1088" s="40" t="b">
        <x:v>1</x:v>
      </x:c>
      <x:c r="AL1088" s="40" t="b">
        <x:v>1</x:v>
      </x:c>
      <x:c r="AM1088" s="40" t="b">
        <x:v>1</x:v>
      </x:c>
      <x:c r="AN1088" s="34" t="str"/>
      <x:c r="AO1088" s="34" t="n">
        <x:v>0</x:v>
      </x:c>
      <x:c r="AP1088" s="34" t="n">
        <x:v>0</x:v>
      </x:c>
      <x:c r="AQ1088" s="34" t="n">
        <x:v>0</x:v>
      </x:c>
      <x:c r="AR1088" s="34" t="n">
        <x:v>2</x:v>
      </x:c>
      <x:c r="AS1088" s="34" t="n">
        <x:v>2</x:v>
      </x:c>
      <x:c r="AT1088" s="34" t="n">
        <x:v>0.28236113919999994</x:v>
      </x:c>
      <x:c r="AU1088" s="34" t="n">
        <x:v>0.65</x:v>
      </x:c>
      <x:c r="AV1088" s="34" t="n">
        <x:v>0.88</x:v>
      </x:c>
    </x:row>
    <x:row r="1089">
      <x:c r="A1089" s="34" t="str">
        <x:v>NIPPON_STEEL_JP</x:v>
      </x:c>
      <x:c r="B1089" s="34" t="str">
        <x:v>Nippon Steel</x:v>
      </x:c>
      <x:c r="C1089" s="34" t="str">
        <x:v>DISCLOSED_PATH</x:v>
      </x:c>
      <x:c r="D1089" s="34" t="str">
        <x:v>P1</x:v>
      </x:c>
      <x:c r="E1089" s="34" t="n">
        <x:v>2033</x:v>
      </x:c>
      <x:c r="F1089" s="34" t="n">
        <x:v>2</x:v>
      </x:c>
      <x:c r="G1089" s="34" t="n">
        <x:v>9.03</x:v>
      </x:c>
      <x:c r="H1089" s="34" t="n">
        <x:v>15.6</x:v>
      </x:c>
      <x:c r="I1089" s="34" t="n">
        <x:v>6.57</x:v>
      </x:c>
      <x:c r="J1089" s="34" t="n">
        <x:v>57.885</x:v>
      </x:c>
      <x:c r="K1089" s="34" t="n">
        <x:v>0</x:v>
      </x:c>
      <x:c r="L1089" s="34" t="n">
        <x:v>1.32</x:v>
      </x:c>
      <x:c r="M1089" s="34" t="n">
        <x:v>1.32</x:v>
      </x:c>
      <x:c r="N1089" s="34" t="n">
        <x:v>0</x:v>
      </x:c>
      <x:c r="O1089" s="34" t="n">
        <x:v>5.102</x:v>
      </x:c>
      <x:c r="P1089" s="34" t="n">
        <x:v>11.8</x:v>
      </x:c>
      <x:c r="Q1089" s="34" t="n">
        <x:v>6.698</x:v>
      </x:c>
      <x:c r="R1089" s="34" t="n">
        <x:v>43.237</x:v>
      </x:c>
      <x:c r="S1089" s="40" t="b">
        <x:v>1</x:v>
      </x:c>
      <x:c r="T1089" s="34" t="str">
        <x:v>model_interpolation</x:v>
      </x:c>
      <x:c r="U1089" s="34" t="str">
        <x:v>Linear interpolation from 2030 to 2035</x:v>
      </x:c>
      <x:c r="V1089" s="34" t="str">
        <x:v>CAND-FCEB78D7C5F4C6</x:v>
      </x:c>
      <x:c r="W1089" s="34" t="str">
        <x:v>P1</x:v>
      </x:c>
      <x:c r="X1089" s="34" t="str">
        <x:v>PORT-7DCD4991144C</x:v>
      </x:c>
      <x:c r="Y1089" s="34" t="n">
        <x:v>1000</x:v>
      </x:c>
      <x:c r="Z1089" s="34" t="n">
        <x:v>22.334383</x:v>
      </x:c>
      <x:c r="AA1089" s="34" t="n">
        <x:v>10.761138</x:v>
      </x:c>
      <x:c r="AB1089" s="34" t="n">
        <x:v>313.643967</x:v>
      </x:c>
      <x:c r="AC1089" s="34" t="n">
        <x:v>6683.267</x:v>
      </x:c>
      <x:c r="AD1089" s="34" t="n">
        <x:v>21.30845</x:v>
      </x:c>
      <x:c r="AE1089" s="40" t="b">
        <x:v>1</x:v>
      </x:c>
      <x:c r="AF1089" s="40" t="b">
        <x:v>1</x:v>
      </x:c>
      <x:c r="AG1089" s="34" t="str"/>
      <x:c r="AH1089" s="34" t="n">
        <x:v>0</x:v>
      </x:c>
      <x:c r="AI1089" s="34" t="str">
        <x:v>3.446647212967946e-06</x:v>
      </x:c>
      <x:c r="AJ1089" s="40" t="b">
        <x:v>1</x:v>
      </x:c>
      <x:c r="AK1089" s="40" t="b">
        <x:v>1</x:v>
      </x:c>
      <x:c r="AL1089" s="40" t="b">
        <x:v>1</x:v>
      </x:c>
      <x:c r="AM1089" s="40" t="b">
        <x:v>1</x:v>
      </x:c>
      <x:c r="AN1089" s="34" t="str"/>
      <x:c r="AO1089" s="34" t="n">
        <x:v>0</x:v>
      </x:c>
      <x:c r="AP1089" s="34" t="n">
        <x:v>0</x:v>
      </x:c>
      <x:c r="AQ1089" s="34" t="n">
        <x:v>0</x:v>
      </x:c>
      <x:c r="AR1089" s="34" t="n">
        <x:v>2</x:v>
      </x:c>
      <x:c r="AS1089" s="34" t="n">
        <x:v>2</x:v>
      </x:c>
      <x:c r="AT1089" s="34" t="n">
        <x:v>0.28236113919999994</x:v>
      </x:c>
      <x:c r="AU1089" s="34" t="n">
        <x:v>0.65</x:v>
      </x:c>
      <x:c r="AV1089" s="34" t="n">
        <x:v>0.88</x:v>
      </x:c>
    </x:row>
    <x:row r="1090">
      <x:c r="A1090" s="34" t="str">
        <x:v>NIPPON_STEEL_JP</x:v>
      </x:c>
      <x:c r="B1090" s="34" t="str">
        <x:v>Nippon Steel</x:v>
      </x:c>
      <x:c r="C1090" s="34" t="str">
        <x:v>DISCLOSED_PATH</x:v>
      </x:c>
      <x:c r="D1090" s="34" t="str">
        <x:v>P1</x:v>
      </x:c>
      <x:c r="E1090" s="34" t="n">
        <x:v>2034</x:v>
      </x:c>
      <x:c r="F1090" s="34" t="n">
        <x:v>3</x:v>
      </x:c>
      <x:c r="G1090" s="34" t="n">
        <x:v>15.510001</x:v>
      </x:c>
      <x:c r="H1090" s="34" t="n">
        <x:v>16.8</x:v>
      </x:c>
      <x:c r="I1090" s="34" t="n">
        <x:v>1.289999</x:v>
      </x:c>
      <x:c r="J1090" s="34" t="n">
        <x:v>92.321</x:v>
      </x:c>
      <x:c r="K1090" s="34" t="n">
        <x:v>0</x:v>
      </x:c>
      <x:c r="L1090" s="34" t="n">
        <x:v>1.56</x:v>
      </x:c>
      <x:c r="M1090" s="34" t="n">
        <x:v>1.56</x:v>
      </x:c>
      <x:c r="N1090" s="34" t="n">
        <x:v>0</x:v>
      </x:c>
      <x:c r="O1090" s="34" t="n">
        <x:v>9.134</x:v>
      </x:c>
      <x:c r="P1090" s="34" t="n">
        <x:v>13.4</x:v>
      </x:c>
      <x:c r="Q1090" s="34" t="n">
        <x:v>4.266</x:v>
      </x:c>
      <x:c r="R1090" s="34" t="n">
        <x:v>68.164</x:v>
      </x:c>
      <x:c r="S1090" s="40" t="b">
        <x:v>1</x:v>
      </x:c>
      <x:c r="T1090" s="34" t="str">
        <x:v>model_interpolation</x:v>
      </x:c>
      <x:c r="U1090" s="34" t="str">
        <x:v>Linear interpolation from 2030 to 2035</x:v>
      </x:c>
      <x:c r="V1090" s="34" t="str">
        <x:v>CAND-FCEB78D7C5F4C6</x:v>
      </x:c>
      <x:c r="W1090" s="34" t="str">
        <x:v>P1</x:v>
      </x:c>
      <x:c r="X1090" s="34" t="str">
        <x:v>PORT-7DCD4991144C</x:v>
      </x:c>
      <x:c r="Y1090" s="34" t="n">
        <x:v>1000</x:v>
      </x:c>
      <x:c r="Z1090" s="34" t="n">
        <x:v>22.334383</x:v>
      </x:c>
      <x:c r="AA1090" s="34" t="n">
        <x:v>10.761138</x:v>
      </x:c>
      <x:c r="AB1090" s="34" t="n">
        <x:v>313.643967</x:v>
      </x:c>
      <x:c r="AC1090" s="34" t="n">
        <x:v>6683.267</x:v>
      </x:c>
      <x:c r="AD1090" s="34" t="n">
        <x:v>21.30845</x:v>
      </x:c>
      <x:c r="AE1090" s="40" t="b">
        <x:v>1</x:v>
      </x:c>
      <x:c r="AF1090" s="40" t="b">
        <x:v>1</x:v>
      </x:c>
      <x:c r="AG1090" s="34" t="str"/>
      <x:c r="AH1090" s="34" t="n">
        <x:v>0</x:v>
      </x:c>
      <x:c r="AI1090" s="34" t="str">
        <x:v>3.446647212967946e-06</x:v>
      </x:c>
      <x:c r="AJ1090" s="40" t="b">
        <x:v>1</x:v>
      </x:c>
      <x:c r="AK1090" s="40" t="b">
        <x:v>1</x:v>
      </x:c>
      <x:c r="AL1090" s="40" t="b">
        <x:v>1</x:v>
      </x:c>
      <x:c r="AM1090" s="40" t="b">
        <x:v>1</x:v>
      </x:c>
      <x:c r="AN1090" s="34" t="str"/>
      <x:c r="AO1090" s="34" t="n">
        <x:v>0</x:v>
      </x:c>
      <x:c r="AP1090" s="34" t="n">
        <x:v>0</x:v>
      </x:c>
      <x:c r="AQ1090" s="34" t="n">
        <x:v>0</x:v>
      </x:c>
      <x:c r="AR1090" s="34" t="n">
        <x:v>2</x:v>
      </x:c>
      <x:c r="AS1090" s="34" t="n">
        <x:v>2</x:v>
      </x:c>
      <x:c r="AT1090" s="34" t="n">
        <x:v>0.28236113919999994</x:v>
      </x:c>
      <x:c r="AU1090" s="34" t="n">
        <x:v>0.65</x:v>
      </x:c>
      <x:c r="AV1090" s="34" t="n">
        <x:v>0.88</x:v>
      </x:c>
    </x:row>
    <x:row r="1091">
      <x:c r="A1091" s="34" t="str">
        <x:v>NIPPON_STEEL_JP</x:v>
      </x:c>
      <x:c r="B1091" s="34" t="str">
        <x:v>Nippon Steel</x:v>
      </x:c>
      <x:c r="C1091" s="34" t="str">
        <x:v>DISCLOSED_PATH</x:v>
      </x:c>
      <x:c r="D1091" s="34" t="str">
        <x:v>P1</x:v>
      </x:c>
      <x:c r="E1091" s="34" t="n">
        <x:v>2035</x:v>
      </x:c>
      <x:c r="F1091" s="34" t="n">
        <x:v>3</x:v>
      </x:c>
      <x:c r="G1091" s="34" t="n">
        <x:v>15.510001</x:v>
      </x:c>
      <x:c r="H1091" s="34" t="n">
        <x:v>18</x:v>
      </x:c>
      <x:c r="I1091" s="34" t="n">
        <x:v>2.489999</x:v>
      </x:c>
      <x:c r="J1091" s="34" t="n">
        <x:v>86.167</x:v>
      </x:c>
      <x:c r="K1091" s="34" t="n">
        <x:v>0</x:v>
      </x:c>
      <x:c r="L1091" s="34" t="n">
        <x:v>1.8</x:v>
      </x:c>
      <x:c r="M1091" s="34" t="n">
        <x:v>1.8</x:v>
      </x:c>
      <x:c r="N1091" s="34" t="n">
        <x:v>0</x:v>
      </x:c>
      <x:c r="O1091" s="34" t="n">
        <x:v>9.134</x:v>
      </x:c>
      <x:c r="P1091" s="34" t="n">
        <x:v>15</x:v>
      </x:c>
      <x:c r="Q1091" s="34" t="n">
        <x:v>5.866</x:v>
      </x:c>
      <x:c r="R1091" s="34" t="n">
        <x:v>60.893</x:v>
      </x:c>
      <x:c r="S1091" s="40" t="b">
        <x:v>1</x:v>
      </x:c>
      <x:c r="T1091" s="34" t="str">
        <x:v>model_interpolation</x:v>
      </x:c>
      <x:c r="U1091" s="34" t="str">
        <x:v>Linear interpolation from 2035 to 2040</x:v>
      </x:c>
      <x:c r="V1091" s="34" t="str">
        <x:v>CAND-FCEB78D7C5F4C6</x:v>
      </x:c>
      <x:c r="W1091" s="34" t="str">
        <x:v>P1</x:v>
      </x:c>
      <x:c r="X1091" s="34" t="str">
        <x:v>PORT-7DCD4991144C</x:v>
      </x:c>
      <x:c r="Y1091" s="34" t="n">
        <x:v>1000</x:v>
      </x:c>
      <x:c r="Z1091" s="34" t="n">
        <x:v>22.334383</x:v>
      </x:c>
      <x:c r="AA1091" s="34" t="n">
        <x:v>10.761138</x:v>
      </x:c>
      <x:c r="AB1091" s="34" t="n">
        <x:v>313.643967</x:v>
      </x:c>
      <x:c r="AC1091" s="34" t="n">
        <x:v>6683.267</x:v>
      </x:c>
      <x:c r="AD1091" s="34" t="n">
        <x:v>21.30845</x:v>
      </x:c>
      <x:c r="AE1091" s="40" t="b">
        <x:v>1</x:v>
      </x:c>
      <x:c r="AF1091" s="40" t="b">
        <x:v>1</x:v>
      </x:c>
      <x:c r="AG1091" s="34" t="str"/>
      <x:c r="AH1091" s="34" t="n">
        <x:v>0</x:v>
      </x:c>
      <x:c r="AI1091" s="34" t="str">
        <x:v>3.446647212967946e-06</x:v>
      </x:c>
      <x:c r="AJ1091" s="40" t="b">
        <x:v>1</x:v>
      </x:c>
      <x:c r="AK1091" s="40" t="b">
        <x:v>1</x:v>
      </x:c>
      <x:c r="AL1091" s="40" t="b">
        <x:v>1</x:v>
      </x:c>
      <x:c r="AM1091" s="40" t="b">
        <x:v>1</x:v>
      </x:c>
      <x:c r="AN1091" s="34" t="str"/>
      <x:c r="AO1091" s="34" t="n">
        <x:v>0</x:v>
      </x:c>
      <x:c r="AP1091" s="34" t="n">
        <x:v>0</x:v>
      </x:c>
      <x:c r="AQ1091" s="34" t="n">
        <x:v>0</x:v>
      </x:c>
      <x:c r="AR1091" s="34" t="n">
        <x:v>2</x:v>
      </x:c>
      <x:c r="AS1091" s="34" t="n">
        <x:v>2</x:v>
      </x:c>
      <x:c r="AT1091" s="34" t="n">
        <x:v>0.28236113919999994</x:v>
      </x:c>
      <x:c r="AU1091" s="34" t="n">
        <x:v>0.65</x:v>
      </x:c>
      <x:c r="AV1091" s="34" t="n">
        <x:v>0.88</x:v>
      </x:c>
    </x:row>
    <x:row r="1092">
      <x:c r="A1092" s="34" t="str">
        <x:v>NIPPON_STEEL_JP</x:v>
      </x:c>
      <x:c r="B1092" s="34" t="str">
        <x:v>Nippon Steel</x:v>
      </x:c>
      <x:c r="C1092" s="34" t="str">
        <x:v>DISCLOSED_PATH</x:v>
      </x:c>
      <x:c r="D1092" s="34" t="str">
        <x:v>P1</x:v>
      </x:c>
      <x:c r="E1092" s="34" t="n">
        <x:v>2036</x:v>
      </x:c>
      <x:c r="F1092" s="34" t="n">
        <x:v>4</x:v>
      </x:c>
      <x:c r="G1092" s="34" t="n">
        <x:v>16.350001</x:v>
      </x:c>
      <x:c r="H1092" s="34" t="n">
        <x:v>19.4</x:v>
      </x:c>
      <x:c r="I1092" s="34" t="n">
        <x:v>3.049999</x:v>
      </x:c>
      <x:c r="J1092" s="34" t="n">
        <x:v>84.278</x:v>
      </x:c>
      <x:c r="K1092" s="34" t="n">
        <x:v>0</x:v>
      </x:c>
      <x:c r="L1092" s="34" t="n">
        <x:v>2.08</x:v>
      </x:c>
      <x:c r="M1092" s="34" t="n">
        <x:v>2.08</x:v>
      </x:c>
      <x:c r="N1092" s="34" t="n">
        <x:v>0</x:v>
      </x:c>
      <x:c r="O1092" s="34" t="n">
        <x:v>9.19</x:v>
      </x:c>
      <x:c r="P1092" s="34" t="n">
        <x:v>17</x:v>
      </x:c>
      <x:c r="Q1092" s="34" t="n">
        <x:v>7.81</x:v>
      </x:c>
      <x:c r="R1092" s="34" t="n">
        <x:v>54.059</x:v>
      </x:c>
      <x:c r="S1092" s="40" t="b">
        <x:v>1</x:v>
      </x:c>
      <x:c r="T1092" s="34" t="str">
        <x:v>model_interpolation</x:v>
      </x:c>
      <x:c r="U1092" s="34" t="str">
        <x:v>Linear interpolation from 2035 to 2040</x:v>
      </x:c>
      <x:c r="V1092" s="34" t="str">
        <x:v>CAND-FCEB78D7C5F4C6</x:v>
      </x:c>
      <x:c r="W1092" s="34" t="str">
        <x:v>P1</x:v>
      </x:c>
      <x:c r="X1092" s="34" t="str">
        <x:v>PORT-7DCD4991144C</x:v>
      </x:c>
      <x:c r="Y1092" s="34" t="n">
        <x:v>1000</x:v>
      </x:c>
      <x:c r="Z1092" s="34" t="n">
        <x:v>22.334383</x:v>
      </x:c>
      <x:c r="AA1092" s="34" t="n">
        <x:v>10.761138</x:v>
      </x:c>
      <x:c r="AB1092" s="34" t="n">
        <x:v>313.643967</x:v>
      </x:c>
      <x:c r="AC1092" s="34" t="n">
        <x:v>6683.267</x:v>
      </x:c>
      <x:c r="AD1092" s="34" t="n">
        <x:v>21.30845</x:v>
      </x:c>
      <x:c r="AE1092" s="40" t="b">
        <x:v>1</x:v>
      </x:c>
      <x:c r="AF1092" s="40" t="b">
        <x:v>1</x:v>
      </x:c>
      <x:c r="AG1092" s="34" t="str"/>
      <x:c r="AH1092" s="34" t="n">
        <x:v>0</x:v>
      </x:c>
      <x:c r="AI1092" s="34" t="str">
        <x:v>3.446647212967946e-06</x:v>
      </x:c>
      <x:c r="AJ1092" s="40" t="b">
        <x:v>1</x:v>
      </x:c>
      <x:c r="AK1092" s="40" t="b">
        <x:v>1</x:v>
      </x:c>
      <x:c r="AL1092" s="40" t="b">
        <x:v>1</x:v>
      </x:c>
      <x:c r="AM1092" s="40" t="b">
        <x:v>1</x:v>
      </x:c>
      <x:c r="AN1092" s="34" t="str"/>
      <x:c r="AO1092" s="34" t="n">
        <x:v>0</x:v>
      </x:c>
      <x:c r="AP1092" s="34" t="n">
        <x:v>0</x:v>
      </x:c>
      <x:c r="AQ1092" s="34" t="n">
        <x:v>0</x:v>
      </x:c>
      <x:c r="AR1092" s="34" t="n">
        <x:v>2</x:v>
      </x:c>
      <x:c r="AS1092" s="34" t="n">
        <x:v>2</x:v>
      </x:c>
      <x:c r="AT1092" s="34" t="n">
        <x:v>0.28236113919999994</x:v>
      </x:c>
      <x:c r="AU1092" s="34" t="n">
        <x:v>0.65</x:v>
      </x:c>
      <x:c r="AV1092" s="34" t="n">
        <x:v>0.88</x:v>
      </x:c>
    </x:row>
    <x:row r="1093">
      <x:c r="A1093" s="34" t="str">
        <x:v>NIPPON_STEEL_JP</x:v>
      </x:c>
      <x:c r="B1093" s="34" t="str">
        <x:v>Nippon Steel</x:v>
      </x:c>
      <x:c r="C1093" s="34" t="str">
        <x:v>DISCLOSED_PATH</x:v>
      </x:c>
      <x:c r="D1093" s="34" t="str">
        <x:v>P1</x:v>
      </x:c>
      <x:c r="E1093" s="34" t="n">
        <x:v>2037</x:v>
      </x:c>
      <x:c r="F1093" s="34" t="n">
        <x:v>4</x:v>
      </x:c>
      <x:c r="G1093" s="34" t="n">
        <x:v>16.350001</x:v>
      </x:c>
      <x:c r="H1093" s="34" t="n">
        <x:v>20.8</x:v>
      </x:c>
      <x:c r="I1093" s="34" t="n">
        <x:v>4.449999</x:v>
      </x:c>
      <x:c r="J1093" s="34" t="n">
        <x:v>78.606</x:v>
      </x:c>
      <x:c r="K1093" s="34" t="n">
        <x:v>0</x:v>
      </x:c>
      <x:c r="L1093" s="34" t="n">
        <x:v>2.3600000000000003</x:v>
      </x:c>
      <x:c r="M1093" s="34" t="n">
        <x:v>2.36</x:v>
      </x:c>
      <x:c r="N1093" s="34" t="n">
        <x:v>0</x:v>
      </x:c>
      <x:c r="O1093" s="34" t="n">
        <x:v>9.19</x:v>
      </x:c>
      <x:c r="P1093" s="34" t="n">
        <x:v>19</x:v>
      </x:c>
      <x:c r="Q1093" s="34" t="n">
        <x:v>9.81</x:v>
      </x:c>
      <x:c r="R1093" s="34" t="n">
        <x:v>48.368</x:v>
      </x:c>
      <x:c r="S1093" s="40" t="b">
        <x:v>1</x:v>
      </x:c>
      <x:c r="T1093" s="34" t="str">
        <x:v>model_interpolation</x:v>
      </x:c>
      <x:c r="U1093" s="34" t="str">
        <x:v>Linear interpolation from 2035 to 2040</x:v>
      </x:c>
      <x:c r="V1093" s="34" t="str">
        <x:v>CAND-FCEB78D7C5F4C6</x:v>
      </x:c>
      <x:c r="W1093" s="34" t="str">
        <x:v>P1</x:v>
      </x:c>
      <x:c r="X1093" s="34" t="str">
        <x:v>PORT-7DCD4991144C</x:v>
      </x:c>
      <x:c r="Y1093" s="34" t="n">
        <x:v>1000</x:v>
      </x:c>
      <x:c r="Z1093" s="34" t="n">
        <x:v>22.334383</x:v>
      </x:c>
      <x:c r="AA1093" s="34" t="n">
        <x:v>10.761138</x:v>
      </x:c>
      <x:c r="AB1093" s="34" t="n">
        <x:v>313.643967</x:v>
      </x:c>
      <x:c r="AC1093" s="34" t="n">
        <x:v>6683.267</x:v>
      </x:c>
      <x:c r="AD1093" s="34" t="n">
        <x:v>21.30845</x:v>
      </x:c>
      <x:c r="AE1093" s="40" t="b">
        <x:v>1</x:v>
      </x:c>
      <x:c r="AF1093" s="40" t="b">
        <x:v>1</x:v>
      </x:c>
      <x:c r="AG1093" s="34" t="str"/>
      <x:c r="AH1093" s="34" t="n">
        <x:v>0</x:v>
      </x:c>
      <x:c r="AI1093" s="34" t="str">
        <x:v>3.446647212967946e-06</x:v>
      </x:c>
      <x:c r="AJ1093" s="40" t="b">
        <x:v>1</x:v>
      </x:c>
      <x:c r="AK1093" s="40" t="b">
        <x:v>1</x:v>
      </x:c>
      <x:c r="AL1093" s="40" t="b">
        <x:v>1</x:v>
      </x:c>
      <x:c r="AM1093" s="40" t="b">
        <x:v>1</x:v>
      </x:c>
      <x:c r="AN1093" s="34" t="str"/>
      <x:c r="AO1093" s="34" t="n">
        <x:v>0</x:v>
      </x:c>
      <x:c r="AP1093" s="34" t="n">
        <x:v>0</x:v>
      </x:c>
      <x:c r="AQ1093" s="34" t="n">
        <x:v>0</x:v>
      </x:c>
      <x:c r="AR1093" s="34" t="n">
        <x:v>2</x:v>
      </x:c>
      <x:c r="AS1093" s="34" t="n">
        <x:v>2</x:v>
      </x:c>
      <x:c r="AT1093" s="34" t="n">
        <x:v>0.28236113919999994</x:v>
      </x:c>
      <x:c r="AU1093" s="34" t="n">
        <x:v>0.65</x:v>
      </x:c>
      <x:c r="AV1093" s="34" t="n">
        <x:v>0.88</x:v>
      </x:c>
    </x:row>
    <x:row r="1094">
      <x:c r="A1094" s="34" t="str">
        <x:v>NIPPON_STEEL_JP</x:v>
      </x:c>
      <x:c r="B1094" s="34" t="str">
        <x:v>Nippon Steel</x:v>
      </x:c>
      <x:c r="C1094" s="34" t="str">
        <x:v>DISCLOSED_PATH</x:v>
      </x:c>
      <x:c r="D1094" s="34" t="str">
        <x:v>P1</x:v>
      </x:c>
      <x:c r="E1094" s="34" t="n">
        <x:v>2038</x:v>
      </x:c>
      <x:c r="F1094" s="34" t="n">
        <x:v>5</x:v>
      </x:c>
      <x:c r="G1094" s="34" t="n">
        <x:v>22.020001</x:v>
      </x:c>
      <x:c r="H1094" s="34" t="n">
        <x:v>22.2</x:v>
      </x:c>
      <x:c r="I1094" s="34" t="n">
        <x:v>0.179999</x:v>
      </x:c>
      <x:c r="J1094" s="34" t="n">
        <x:v>99.189</x:v>
      </x:c>
      <x:c r="K1094" s="34" t="n">
        <x:v>0</x:v>
      </x:c>
      <x:c r="L1094" s="34" t="n">
        <x:v>2.64</x:v>
      </x:c>
      <x:c r="M1094" s="34" t="n">
        <x:v>2.64</x:v>
      </x:c>
      <x:c r="N1094" s="34" t="n">
        <x:v>0</x:v>
      </x:c>
      <x:c r="O1094" s="34" t="n">
        <x:v>12.718</x:v>
      </x:c>
      <x:c r="P1094" s="34" t="n">
        <x:v>21</x:v>
      </x:c>
      <x:c r="Q1094" s="34" t="n">
        <x:v>8.282</x:v>
      </x:c>
      <x:c r="R1094" s="34" t="n">
        <x:v>60.562</x:v>
      </x:c>
      <x:c r="S1094" s="40" t="b">
        <x:v>1</x:v>
      </x:c>
      <x:c r="T1094" s="34" t="str">
        <x:v>model_interpolation</x:v>
      </x:c>
      <x:c r="U1094" s="34" t="str">
        <x:v>Linear interpolation from 2035 to 2040</x:v>
      </x:c>
      <x:c r="V1094" s="34" t="str">
        <x:v>CAND-FCEB78D7C5F4C6</x:v>
      </x:c>
      <x:c r="W1094" s="34" t="str">
        <x:v>P1</x:v>
      </x:c>
      <x:c r="X1094" s="34" t="str">
        <x:v>PORT-7DCD4991144C</x:v>
      </x:c>
      <x:c r="Y1094" s="34" t="n">
        <x:v>1000</x:v>
      </x:c>
      <x:c r="Z1094" s="34" t="n">
        <x:v>22.334383</x:v>
      </x:c>
      <x:c r="AA1094" s="34" t="n">
        <x:v>10.761138</x:v>
      </x:c>
      <x:c r="AB1094" s="34" t="n">
        <x:v>313.643967</x:v>
      </x:c>
      <x:c r="AC1094" s="34" t="n">
        <x:v>6683.267</x:v>
      </x:c>
      <x:c r="AD1094" s="34" t="n">
        <x:v>21.30845</x:v>
      </x:c>
      <x:c r="AE1094" s="40" t="b">
        <x:v>1</x:v>
      </x:c>
      <x:c r="AF1094" s="40" t="b">
        <x:v>1</x:v>
      </x:c>
      <x:c r="AG1094" s="34" t="str"/>
      <x:c r="AH1094" s="34" t="n">
        <x:v>0</x:v>
      </x:c>
      <x:c r="AI1094" s="34" t="str">
        <x:v>3.446647212967946e-06</x:v>
      </x:c>
      <x:c r="AJ1094" s="40" t="b">
        <x:v>1</x:v>
      </x:c>
      <x:c r="AK1094" s="40" t="b">
        <x:v>1</x:v>
      </x:c>
      <x:c r="AL1094" s="40" t="b">
        <x:v>1</x:v>
      </x:c>
      <x:c r="AM1094" s="40" t="b">
        <x:v>1</x:v>
      </x:c>
      <x:c r="AN1094" s="34" t="str"/>
      <x:c r="AO1094" s="34" t="n">
        <x:v>0</x:v>
      </x:c>
      <x:c r="AP1094" s="34" t="n">
        <x:v>0</x:v>
      </x:c>
      <x:c r="AQ1094" s="34" t="n">
        <x:v>0</x:v>
      </x:c>
      <x:c r="AR1094" s="34" t="n">
        <x:v>2</x:v>
      </x:c>
      <x:c r="AS1094" s="34" t="n">
        <x:v>2</x:v>
      </x:c>
      <x:c r="AT1094" s="34" t="n">
        <x:v>0.28236113919999994</x:v>
      </x:c>
      <x:c r="AU1094" s="34" t="n">
        <x:v>0.65</x:v>
      </x:c>
      <x:c r="AV1094" s="34" t="n">
        <x:v>0.88</x:v>
      </x:c>
    </x:row>
    <x:row r="1095">
      <x:c r="A1095" s="34" t="str">
        <x:v>NIPPON_STEEL_JP</x:v>
      </x:c>
      <x:c r="B1095" s="34" t="str">
        <x:v>Nippon Steel</x:v>
      </x:c>
      <x:c r="C1095" s="34" t="str">
        <x:v>DISCLOSED_PATH</x:v>
      </x:c>
      <x:c r="D1095" s="34" t="str">
        <x:v>P1</x:v>
      </x:c>
      <x:c r="E1095" s="34" t="n">
        <x:v>2039</x:v>
      </x:c>
      <x:c r="F1095" s="34" t="n">
        <x:v>5</x:v>
      </x:c>
      <x:c r="G1095" s="34" t="n">
        <x:v>22.020001</x:v>
      </x:c>
      <x:c r="H1095" s="34" t="n">
        <x:v>23.6</x:v>
      </x:c>
      <x:c r="I1095" s="34" t="n">
        <x:v>1.579999</x:v>
      </x:c>
      <x:c r="J1095" s="34" t="n">
        <x:v>93.305</x:v>
      </x:c>
      <x:c r="K1095" s="34" t="n">
        <x:v>0</x:v>
      </x:c>
      <x:c r="L1095" s="34" t="n">
        <x:v>2.92</x:v>
      </x:c>
      <x:c r="M1095" s="34" t="n">
        <x:v>2.92</x:v>
      </x:c>
      <x:c r="N1095" s="34" t="n">
        <x:v>0</x:v>
      </x:c>
      <x:c r="O1095" s="34" t="n">
        <x:v>12.718</x:v>
      </x:c>
      <x:c r="P1095" s="34" t="n">
        <x:v>23</x:v>
      </x:c>
      <x:c r="Q1095" s="34" t="n">
        <x:v>10.282</x:v>
      </x:c>
      <x:c r="R1095" s="34" t="n">
        <x:v>55.296</x:v>
      </x:c>
      <x:c r="S1095" s="40" t="b">
        <x:v>1</x:v>
      </x:c>
      <x:c r="T1095" s="34" t="str">
        <x:v>model_interpolation</x:v>
      </x:c>
      <x:c r="U1095" s="34" t="str">
        <x:v>Linear interpolation from 2035 to 2040</x:v>
      </x:c>
      <x:c r="V1095" s="34" t="str">
        <x:v>CAND-FCEB78D7C5F4C6</x:v>
      </x:c>
      <x:c r="W1095" s="34" t="str">
        <x:v>P1</x:v>
      </x:c>
      <x:c r="X1095" s="34" t="str">
        <x:v>PORT-7DCD4991144C</x:v>
      </x:c>
      <x:c r="Y1095" s="34" t="n">
        <x:v>1000</x:v>
      </x:c>
      <x:c r="Z1095" s="34" t="n">
        <x:v>22.334383</x:v>
      </x:c>
      <x:c r="AA1095" s="34" t="n">
        <x:v>10.761138</x:v>
      </x:c>
      <x:c r="AB1095" s="34" t="n">
        <x:v>313.643967</x:v>
      </x:c>
      <x:c r="AC1095" s="34" t="n">
        <x:v>6683.267</x:v>
      </x:c>
      <x:c r="AD1095" s="34" t="n">
        <x:v>21.30845</x:v>
      </x:c>
      <x:c r="AE1095" s="40" t="b">
        <x:v>1</x:v>
      </x:c>
      <x:c r="AF1095" s="40" t="b">
        <x:v>1</x:v>
      </x:c>
      <x:c r="AG1095" s="34" t="str"/>
      <x:c r="AH1095" s="34" t="n">
        <x:v>0</x:v>
      </x:c>
      <x:c r="AI1095" s="34" t="str">
        <x:v>3.446647212967946e-06</x:v>
      </x:c>
      <x:c r="AJ1095" s="40" t="b">
        <x:v>1</x:v>
      </x:c>
      <x:c r="AK1095" s="40" t="b">
        <x:v>1</x:v>
      </x:c>
      <x:c r="AL1095" s="40" t="b">
        <x:v>1</x:v>
      </x:c>
      <x:c r="AM1095" s="40" t="b">
        <x:v>1</x:v>
      </x:c>
      <x:c r="AN1095" s="34" t="str"/>
      <x:c r="AO1095" s="34" t="n">
        <x:v>0</x:v>
      </x:c>
      <x:c r="AP1095" s="34" t="n">
        <x:v>0</x:v>
      </x:c>
      <x:c r="AQ1095" s="34" t="n">
        <x:v>0</x:v>
      </x:c>
      <x:c r="AR1095" s="34" t="n">
        <x:v>2</x:v>
      </x:c>
      <x:c r="AS1095" s="34" t="n">
        <x:v>2</x:v>
      </x:c>
      <x:c r="AT1095" s="34" t="n">
        <x:v>0.28236113919999994</x:v>
      </x:c>
      <x:c r="AU1095" s="34" t="n">
        <x:v>0.65</x:v>
      </x:c>
      <x:c r="AV1095" s="34" t="n">
        <x:v>0.88</x:v>
      </x:c>
    </x:row>
    <x:row r="1096">
      <x:c r="A1096" s="34" t="str">
        <x:v>NIPPON_STEEL_JP</x:v>
      </x:c>
      <x:c r="B1096" s="34" t="str">
        <x:v>Nippon Steel</x:v>
      </x:c>
      <x:c r="C1096" s="34" t="str">
        <x:v>DISCLOSED_PATH</x:v>
      </x:c>
      <x:c r="D1096" s="34" t="str">
        <x:v>P1</x:v>
      </x:c>
      <x:c r="E1096" s="34" t="n">
        <x:v>2040</x:v>
      </x:c>
      <x:c r="F1096" s="34" t="n">
        <x:v>5</x:v>
      </x:c>
      <x:c r="G1096" s="34" t="n">
        <x:v>22.020001</x:v>
      </x:c>
      <x:c r="H1096" s="34" t="n">
        <x:v>25</x:v>
      </x:c>
      <x:c r="I1096" s="34" t="n">
        <x:v>2.979999</x:v>
      </x:c>
      <x:c r="J1096" s="34" t="n">
        <x:v>88.08</x:v>
      </x:c>
      <x:c r="K1096" s="34" t="n">
        <x:v>0</x:v>
      </x:c>
      <x:c r="L1096" s="34" t="n">
        <x:v>3.2</x:v>
      </x:c>
      <x:c r="M1096" s="34" t="n">
        <x:v>3.2</x:v>
      </x:c>
      <x:c r="N1096" s="34" t="n">
        <x:v>0</x:v>
      </x:c>
      <x:c r="O1096" s="34" t="n">
        <x:v>12.718</x:v>
      </x:c>
      <x:c r="P1096" s="34" t="n">
        <x:v>25</x:v>
      </x:c>
      <x:c r="Q1096" s="34" t="n">
        <x:v>12.282</x:v>
      </x:c>
      <x:c r="R1096" s="34" t="n">
        <x:v>50.872</x:v>
      </x:c>
      <x:c r="S1096" s="40" t="b">
        <x:v>1</x:v>
      </x:c>
      <x:c r="T1096" s="34" t="str">
        <x:v>model_estimate</x:v>
      </x:c>
      <x:c r="U1096" s="34" t="str">
        <x:v>Illustrative screening envelope; not an official supply forecast</x:v>
      </x:c>
      <x:c r="V1096" s="34" t="str">
        <x:v>CAND-FCEB78D7C5F4C6</x:v>
      </x:c>
      <x:c r="W1096" s="34" t="str">
        <x:v>P1</x:v>
      </x:c>
      <x:c r="X1096" s="34" t="str">
        <x:v>PORT-7DCD4991144C</x:v>
      </x:c>
      <x:c r="Y1096" s="34" t="n">
        <x:v>1000</x:v>
      </x:c>
      <x:c r="Z1096" s="34" t="n">
        <x:v>22.334383</x:v>
      </x:c>
      <x:c r="AA1096" s="34" t="n">
        <x:v>10.761138</x:v>
      </x:c>
      <x:c r="AB1096" s="34" t="n">
        <x:v>313.643967</x:v>
      </x:c>
      <x:c r="AC1096" s="34" t="n">
        <x:v>6683.267</x:v>
      </x:c>
      <x:c r="AD1096" s="34" t="n">
        <x:v>21.30845</x:v>
      </x:c>
      <x:c r="AE1096" s="40" t="b">
        <x:v>1</x:v>
      </x:c>
      <x:c r="AF1096" s="40" t="b">
        <x:v>1</x:v>
      </x:c>
      <x:c r="AG1096" s="34" t="str"/>
      <x:c r="AH1096" s="34" t="n">
        <x:v>0</x:v>
      </x:c>
      <x:c r="AI1096" s="34" t="str">
        <x:v>3.446647212967946e-06</x:v>
      </x:c>
      <x:c r="AJ1096" s="40" t="b">
        <x:v>1</x:v>
      </x:c>
      <x:c r="AK1096" s="40" t="b">
        <x:v>1</x:v>
      </x:c>
      <x:c r="AL1096" s="40" t="b">
        <x:v>1</x:v>
      </x:c>
      <x:c r="AM1096" s="40" t="b">
        <x:v>1</x:v>
      </x:c>
      <x:c r="AN1096" s="34" t="str"/>
      <x:c r="AO1096" s="34" t="n">
        <x:v>0</x:v>
      </x:c>
      <x:c r="AP1096" s="34" t="n">
        <x:v>0</x:v>
      </x:c>
      <x:c r="AQ1096" s="34" t="n">
        <x:v>0</x:v>
      </x:c>
      <x:c r="AR1096" s="34" t="n">
        <x:v>2</x:v>
      </x:c>
      <x:c r="AS1096" s="34" t="n">
        <x:v>2</x:v>
      </x:c>
      <x:c r="AT1096" s="34" t="n">
        <x:v>0.28236113919999994</x:v>
      </x:c>
      <x:c r="AU1096" s="34" t="n">
        <x:v>0.65</x:v>
      </x:c>
      <x:c r="AV1096" s="34" t="n">
        <x:v>0.88</x:v>
      </x:c>
    </x:row>
    <x:row r="1097">
      <x:c r="A1097" s="34" t="str">
        <x:v>NIPPON_STEEL_JP</x:v>
      </x:c>
      <x:c r="B1097" s="34" t="str">
        <x:v>Nippon Steel</x:v>
      </x:c>
      <x:c r="C1097" s="34" t="str">
        <x:v>ACCELERATED_15C</x:v>
      </x:c>
      <x:c r="D1097" s="34" t="str">
        <x:v>P1</x:v>
      </x:c>
      <x:c r="E1097" s="34" t="n">
        <x:v>2026</x:v>
      </x:c>
      <x:c r="F1097" s="34" t="n">
        <x:v>0</x:v>
      </x:c>
      <x:c r="G1097" s="34" t="n">
        <x:v>0</x:v>
      </x:c>
      <x:c r="H1097" s="34" t="n">
        <x:v>8</x:v>
      </x:c>
      <x:c r="I1097" s="34" t="n">
        <x:v>8</x:v>
      </x:c>
      <x:c r="J1097" s="34" t="n">
        <x:v>0</x:v>
      </x:c>
      <x:c r="K1097" s="34" t="n">
        <x:v>0</x:v>
      </x:c>
      <x:c r="L1097" s="34" t="n">
        <x:v>0.1</x:v>
      </x:c>
      <x:c r="M1097" s="34" t="n">
        <x:v>0.1</x:v>
      </x:c>
      <x:c r="N1097" s="34" t="n">
        <x:v>0</x:v>
      </x:c>
      <x:c r="O1097" s="34" t="n">
        <x:v>0</x:v>
      </x:c>
      <x:c r="P1097" s="34" t="n">
        <x:v>2</x:v>
      </x:c>
      <x:c r="Q1097" s="34" t="n">
        <x:v>2</x:v>
      </x:c>
      <x:c r="R1097" s="34" t="n">
        <x:v>0</x:v>
      </x:c>
      <x:c r="S1097" s="40" t="b">
        <x:v>1</x:v>
      </x:c>
      <x:c r="T1097" s="34" t="str">
        <x:v>model_interpolation</x:v>
      </x:c>
      <x:c r="U1097" s="34" t="str">
        <x:v>Linear interpolation from 2026 to 2030</x:v>
      </x:c>
      <x:c r="V1097" s="34" t="str">
        <x:v>CAND-FCEB78D7C5F4C6</x:v>
      </x:c>
      <x:c r="W1097" s="34" t="str">
        <x:v>P1</x:v>
      </x:c>
      <x:c r="X1097" s="34" t="str">
        <x:v>PORT-7DCD4991144C</x:v>
      </x:c>
      <x:c r="Y1097" s="34" t="n">
        <x:v>1000</x:v>
      </x:c>
      <x:c r="Z1097" s="34" t="n">
        <x:v>8.549815</x:v>
      </x:c>
      <x:c r="AA1097" s="34" t="n">
        <x:v>11.479382</x:v>
      </x:c>
      <x:c r="AB1097" s="34" t="n">
        <x:v>313.643967</x:v>
      </x:c>
      <x:c r="AC1097" s="34" t="n">
        <x:v>2332.517</x:v>
      </x:c>
      <x:c r="AD1097" s="34" t="n">
        <x:v>7.43683</x:v>
      </x:c>
      <x:c r="AE1097" s="40" t="b">
        <x:v>0</x:v>
      </x:c>
      <x:c r="AF1097" s="40" t="b">
        <x:v>0</x:v>
      </x:c>
      <x:c r="AG1097" s="34" t="n">
        <x:v>2035</x:v>
      </x:c>
      <x:c r="AH1097" s="34" t="n">
        <x:v>14.544997934999998</x:v>
      </x:c>
      <x:c r="AI1097" s="34" t="n">
        <x:v>-14.544997934999998</x:v>
      </x:c>
      <x:c r="AJ1097" s="40" t="b">
        <x:v>1</x:v>
      </x:c>
      <x:c r="AK1097" s="40" t="b">
        <x:v>1</x:v>
      </x:c>
      <x:c r="AL1097" s="40" t="b">
        <x:v>1</x:v>
      </x:c>
      <x:c r="AM1097" s="40" t="b">
        <x:v>1</x:v>
      </x:c>
      <x:c r="AN1097" s="34" t="str"/>
      <x:c r="AO1097" s="34" t="n">
        <x:v>0</x:v>
      </x:c>
      <x:c r="AP1097" s="34" t="n">
        <x:v>0</x:v>
      </x:c>
      <x:c r="AQ1097" s="34" t="n">
        <x:v>0</x:v>
      </x:c>
      <x:c r="AR1097" s="34" t="n">
        <x:v>2</x:v>
      </x:c>
      <x:c r="AS1097" s="34" t="n">
        <x:v>2</x:v>
      </x:c>
      <x:c r="AT1097" s="34" t="n">
        <x:v>0.28236113919999994</x:v>
      </x:c>
      <x:c r="AU1097" s="34" t="n">
        <x:v>0.65</x:v>
      </x:c>
      <x:c r="AV1097" s="34" t="n">
        <x:v>0.88</x:v>
      </x:c>
    </x:row>
    <x:row r="1098">
      <x:c r="A1098" s="34" t="str">
        <x:v>NIPPON_STEEL_JP</x:v>
      </x:c>
      <x:c r="B1098" s="34" t="str">
        <x:v>Nippon Steel</x:v>
      </x:c>
      <x:c r="C1098" s="34" t="str">
        <x:v>ACCELERATED_15C</x:v>
      </x:c>
      <x:c r="D1098" s="34" t="str">
        <x:v>P1</x:v>
      </x:c>
      <x:c r="E1098" s="34" t="n">
        <x:v>2027</x:v>
      </x:c>
      <x:c r="F1098" s="34" t="n">
        <x:v>0</x:v>
      </x:c>
      <x:c r="G1098" s="34" t="n">
        <x:v>0</x:v>
      </x:c>
      <x:c r="H1098" s="34" t="n">
        <x:v>9.75</x:v>
      </x:c>
      <x:c r="I1098" s="34" t="n">
        <x:v>9.75</x:v>
      </x:c>
      <x:c r="J1098" s="34" t="n">
        <x:v>0</x:v>
      </x:c>
      <x:c r="K1098" s="34" t="n">
        <x:v>0</x:v>
      </x:c>
      <x:c r="L1098" s="34" t="n">
        <x:v>0.30000000000000004</x:v>
      </x:c>
      <x:c r="M1098" s="34" t="n">
        <x:v>0.3</x:v>
      </x:c>
      <x:c r="N1098" s="34" t="n">
        <x:v>0</x:v>
      </x:c>
      <x:c r="O1098" s="34" t="n">
        <x:v>0</x:v>
      </x:c>
      <x:c r="P1098" s="34" t="n">
        <x:v>4</x:v>
      </x:c>
      <x:c r="Q1098" s="34" t="n">
        <x:v>4</x:v>
      </x:c>
      <x:c r="R1098" s="34" t="n">
        <x:v>0</x:v>
      </x:c>
      <x:c r="S1098" s="40" t="b">
        <x:v>1</x:v>
      </x:c>
      <x:c r="T1098" s="34" t="str">
        <x:v>model_interpolation</x:v>
      </x:c>
      <x:c r="U1098" s="34" t="str">
        <x:v>Linear interpolation from 2026 to 2030</x:v>
      </x:c>
      <x:c r="V1098" s="34" t="str">
        <x:v>CAND-FCEB78D7C5F4C6</x:v>
      </x:c>
      <x:c r="W1098" s="34" t="str">
        <x:v>P1</x:v>
      </x:c>
      <x:c r="X1098" s="34" t="str">
        <x:v>PORT-7DCD4991144C</x:v>
      </x:c>
      <x:c r="Y1098" s="34" t="n">
        <x:v>1000</x:v>
      </x:c>
      <x:c r="Z1098" s="34" t="n">
        <x:v>8.549815</x:v>
      </x:c>
      <x:c r="AA1098" s="34" t="n">
        <x:v>11.479382</x:v>
      </x:c>
      <x:c r="AB1098" s="34" t="n">
        <x:v>313.643967</x:v>
      </x:c>
      <x:c r="AC1098" s="34" t="n">
        <x:v>2332.517</x:v>
      </x:c>
      <x:c r="AD1098" s="34" t="n">
        <x:v>7.43683</x:v>
      </x:c>
      <x:c r="AE1098" s="40" t="b">
        <x:v>0</x:v>
      </x:c>
      <x:c r="AF1098" s="40" t="b">
        <x:v>0</x:v>
      </x:c>
      <x:c r="AG1098" s="34" t="n">
        <x:v>2035</x:v>
      </x:c>
      <x:c r="AH1098" s="34" t="n">
        <x:v>14.544997934999998</x:v>
      </x:c>
      <x:c r="AI1098" s="34" t="n">
        <x:v>-14.544997934999998</x:v>
      </x:c>
      <x:c r="AJ1098" s="40" t="b">
        <x:v>1</x:v>
      </x:c>
      <x:c r="AK1098" s="40" t="b">
        <x:v>1</x:v>
      </x:c>
      <x:c r="AL1098" s="40" t="b">
        <x:v>1</x:v>
      </x:c>
      <x:c r="AM1098" s="40" t="b">
        <x:v>1</x:v>
      </x:c>
      <x:c r="AN1098" s="34" t="str"/>
      <x:c r="AO1098" s="34" t="n">
        <x:v>0</x:v>
      </x:c>
      <x:c r="AP1098" s="34" t="n">
        <x:v>0</x:v>
      </x:c>
      <x:c r="AQ1098" s="34" t="n">
        <x:v>0</x:v>
      </x:c>
      <x:c r="AR1098" s="34" t="n">
        <x:v>2</x:v>
      </x:c>
      <x:c r="AS1098" s="34" t="n">
        <x:v>2</x:v>
      </x:c>
      <x:c r="AT1098" s="34" t="n">
        <x:v>0.28236113919999994</x:v>
      </x:c>
      <x:c r="AU1098" s="34" t="n">
        <x:v>0.65</x:v>
      </x:c>
      <x:c r="AV1098" s="34" t="n">
        <x:v>0.88</x:v>
      </x:c>
    </x:row>
    <x:row r="1099">
      <x:c r="A1099" s="34" t="str">
        <x:v>NIPPON_STEEL_JP</x:v>
      </x:c>
      <x:c r="B1099" s="34" t="str">
        <x:v>Nippon Steel</x:v>
      </x:c>
      <x:c r="C1099" s="34" t="str">
        <x:v>ACCELERATED_15C</x:v>
      </x:c>
      <x:c r="D1099" s="34" t="str">
        <x:v>P1</x:v>
      </x:c>
      <x:c r="E1099" s="34" t="n">
        <x:v>2028</x:v>
      </x:c>
      <x:c r="F1099" s="34" t="n">
        <x:v>0</x:v>
      </x:c>
      <x:c r="G1099" s="34" t="n">
        <x:v>0</x:v>
      </x:c>
      <x:c r="H1099" s="34" t="n">
        <x:v>11.5</x:v>
      </x:c>
      <x:c r="I1099" s="34" t="n">
        <x:v>11.5</x:v>
      </x:c>
      <x:c r="J1099" s="34" t="n">
        <x:v>0</x:v>
      </x:c>
      <x:c r="K1099" s="34" t="n">
        <x:v>0</x:v>
      </x:c>
      <x:c r="L1099" s="34" t="n">
        <x:v>0.5</x:v>
      </x:c>
      <x:c r="M1099" s="34" t="n">
        <x:v>0.5</x:v>
      </x:c>
      <x:c r="N1099" s="34" t="n">
        <x:v>0</x:v>
      </x:c>
      <x:c r="O1099" s="34" t="n">
        <x:v>0</x:v>
      </x:c>
      <x:c r="P1099" s="34" t="n">
        <x:v>6</x:v>
      </x:c>
      <x:c r="Q1099" s="34" t="n">
        <x:v>6</x:v>
      </x:c>
      <x:c r="R1099" s="34" t="n">
        <x:v>0</x:v>
      </x:c>
      <x:c r="S1099" s="40" t="b">
        <x:v>1</x:v>
      </x:c>
      <x:c r="T1099" s="34" t="str">
        <x:v>model_interpolation</x:v>
      </x:c>
      <x:c r="U1099" s="34" t="str">
        <x:v>Linear interpolation from 2026 to 2030</x:v>
      </x:c>
      <x:c r="V1099" s="34" t="str">
        <x:v>CAND-FCEB78D7C5F4C6</x:v>
      </x:c>
      <x:c r="W1099" s="34" t="str">
        <x:v>P1</x:v>
      </x:c>
      <x:c r="X1099" s="34" t="str">
        <x:v>PORT-7DCD4991144C</x:v>
      </x:c>
      <x:c r="Y1099" s="34" t="n">
        <x:v>1000</x:v>
      </x:c>
      <x:c r="Z1099" s="34" t="n">
        <x:v>8.549815</x:v>
      </x:c>
      <x:c r="AA1099" s="34" t="n">
        <x:v>11.479382</x:v>
      </x:c>
      <x:c r="AB1099" s="34" t="n">
        <x:v>313.643967</x:v>
      </x:c>
      <x:c r="AC1099" s="34" t="n">
        <x:v>2332.517</x:v>
      </x:c>
      <x:c r="AD1099" s="34" t="n">
        <x:v>7.43683</x:v>
      </x:c>
      <x:c r="AE1099" s="40" t="b">
        <x:v>0</x:v>
      </x:c>
      <x:c r="AF1099" s="40" t="b">
        <x:v>0</x:v>
      </x:c>
      <x:c r="AG1099" s="34" t="n">
        <x:v>2035</x:v>
      </x:c>
      <x:c r="AH1099" s="34" t="n">
        <x:v>14.544997934999998</x:v>
      </x:c>
      <x:c r="AI1099" s="34" t="n">
        <x:v>-14.544997934999998</x:v>
      </x:c>
      <x:c r="AJ1099" s="40" t="b">
        <x:v>1</x:v>
      </x:c>
      <x:c r="AK1099" s="40" t="b">
        <x:v>1</x:v>
      </x:c>
      <x:c r="AL1099" s="40" t="b">
        <x:v>1</x:v>
      </x:c>
      <x:c r="AM1099" s="40" t="b">
        <x:v>1</x:v>
      </x:c>
      <x:c r="AN1099" s="34" t="str"/>
      <x:c r="AO1099" s="34" t="n">
        <x:v>0</x:v>
      </x:c>
      <x:c r="AP1099" s="34" t="n">
        <x:v>0</x:v>
      </x:c>
      <x:c r="AQ1099" s="34" t="n">
        <x:v>0</x:v>
      </x:c>
      <x:c r="AR1099" s="34" t="n">
        <x:v>2</x:v>
      </x:c>
      <x:c r="AS1099" s="34" t="n">
        <x:v>2</x:v>
      </x:c>
      <x:c r="AT1099" s="34" t="n">
        <x:v>0.28236113919999994</x:v>
      </x:c>
      <x:c r="AU1099" s="34" t="n">
        <x:v>0.65</x:v>
      </x:c>
      <x:c r="AV1099" s="34" t="n">
        <x:v>0.88</x:v>
      </x:c>
    </x:row>
    <x:row r="1100">
      <x:c r="A1100" s="34" t="str">
        <x:v>NIPPON_STEEL_JP</x:v>
      </x:c>
      <x:c r="B1100" s="34" t="str">
        <x:v>Nippon Steel</x:v>
      </x:c>
      <x:c r="C1100" s="34" t="str">
        <x:v>ACCELERATED_15C</x:v>
      </x:c>
      <x:c r="D1100" s="34" t="str">
        <x:v>P1</x:v>
      </x:c>
      <x:c r="E1100" s="34" t="n">
        <x:v>2029</x:v>
      </x:c>
      <x:c r="F1100" s="34" t="n">
        <x:v>1</x:v>
      </x:c>
      <x:c r="G1100" s="34" t="n">
        <x:v>8.1</x:v>
      </x:c>
      <x:c r="H1100" s="34" t="n">
        <x:v>13.25</x:v>
      </x:c>
      <x:c r="I1100" s="34" t="n">
        <x:v>5.15</x:v>
      </x:c>
      <x:c r="J1100" s="34" t="n">
        <x:v>61.132</x:v>
      </x:c>
      <x:c r="K1100" s="34" t="n">
        <x:v>0</x:v>
      </x:c>
      <x:c r="L1100" s="34" t="n">
        <x:v>0.7000000000000001</x:v>
      </x:c>
      <x:c r="M1100" s="34" t="n">
        <x:v>0.7</x:v>
      </x:c>
      <x:c r="N1100" s="34" t="n">
        <x:v>0</x:v>
      </x:c>
      <x:c r="O1100" s="34" t="n">
        <x:v>5.04</x:v>
      </x:c>
      <x:c r="P1100" s="34" t="n">
        <x:v>8</x:v>
      </x:c>
      <x:c r="Q1100" s="34" t="n">
        <x:v>2.96</x:v>
      </x:c>
      <x:c r="R1100" s="34" t="n">
        <x:v>63</x:v>
      </x:c>
      <x:c r="S1100" s="40" t="b">
        <x:v>1</x:v>
      </x:c>
      <x:c r="T1100" s="34" t="str">
        <x:v>model_interpolation</x:v>
      </x:c>
      <x:c r="U1100" s="34" t="str">
        <x:v>Linear interpolation from 2026 to 2030</x:v>
      </x:c>
      <x:c r="V1100" s="34" t="str">
        <x:v>CAND-FCEB78D7C5F4C6</x:v>
      </x:c>
      <x:c r="W1100" s="34" t="str">
        <x:v>P1</x:v>
      </x:c>
      <x:c r="X1100" s="34" t="str">
        <x:v>PORT-7DCD4991144C</x:v>
      </x:c>
      <x:c r="Y1100" s="34" t="n">
        <x:v>1000</x:v>
      </x:c>
      <x:c r="Z1100" s="34" t="n">
        <x:v>8.549815</x:v>
      </x:c>
      <x:c r="AA1100" s="34" t="n">
        <x:v>11.479382</x:v>
      </x:c>
      <x:c r="AB1100" s="34" t="n">
        <x:v>313.643967</x:v>
      </x:c>
      <x:c r="AC1100" s="34" t="n">
        <x:v>2332.517</x:v>
      </x:c>
      <x:c r="AD1100" s="34" t="n">
        <x:v>7.43683</x:v>
      </x:c>
      <x:c r="AE1100" s="40" t="b">
        <x:v>0</x:v>
      </x:c>
      <x:c r="AF1100" s="40" t="b">
        <x:v>0</x:v>
      </x:c>
      <x:c r="AG1100" s="34" t="n">
        <x:v>2035</x:v>
      </x:c>
      <x:c r="AH1100" s="34" t="n">
        <x:v>14.544997934999998</x:v>
      </x:c>
      <x:c r="AI1100" s="34" t="n">
        <x:v>-14.544997934999998</x:v>
      </x:c>
      <x:c r="AJ1100" s="40" t="b">
        <x:v>1</x:v>
      </x:c>
      <x:c r="AK1100" s="40" t="b">
        <x:v>1</x:v>
      </x:c>
      <x:c r="AL1100" s="40" t="b">
        <x:v>1</x:v>
      </x:c>
      <x:c r="AM1100" s="40" t="b">
        <x:v>1</x:v>
      </x:c>
      <x:c r="AN1100" s="34" t="str"/>
      <x:c r="AO1100" s="34" t="n">
        <x:v>0</x:v>
      </x:c>
      <x:c r="AP1100" s="34" t="n">
        <x:v>0</x:v>
      </x:c>
      <x:c r="AQ1100" s="34" t="n">
        <x:v>0</x:v>
      </x:c>
      <x:c r="AR1100" s="34" t="n">
        <x:v>2</x:v>
      </x:c>
      <x:c r="AS1100" s="34" t="n">
        <x:v>2</x:v>
      </x:c>
      <x:c r="AT1100" s="34" t="n">
        <x:v>0.28236113919999994</x:v>
      </x:c>
      <x:c r="AU1100" s="34" t="n">
        <x:v>0.65</x:v>
      </x:c>
      <x:c r="AV1100" s="34" t="n">
        <x:v>0.88</x:v>
      </x:c>
    </x:row>
    <x:row r="1101">
      <x:c r="A1101" s="34" t="str">
        <x:v>NIPPON_STEEL_JP</x:v>
      </x:c>
      <x:c r="B1101" s="34" t="str">
        <x:v>Nippon Steel</x:v>
      </x:c>
      <x:c r="C1101" s="34" t="str">
        <x:v>ACCELERATED_15C</x:v>
      </x:c>
      <x:c r="D1101" s="34" t="str">
        <x:v>P1</x:v>
      </x:c>
      <x:c r="E1101" s="34" t="n">
        <x:v>2030</x:v>
      </x:c>
      <x:c r="F1101" s="34" t="n">
        <x:v>1</x:v>
      </x:c>
      <x:c r="G1101" s="34" t="n">
        <x:v>8.1</x:v>
      </x:c>
      <x:c r="H1101" s="34" t="n">
        <x:v>15</x:v>
      </x:c>
      <x:c r="I1101" s="34" t="n">
        <x:v>6.9</x:v>
      </x:c>
      <x:c r="J1101" s="34" t="n">
        <x:v>54</x:v>
      </x:c>
      <x:c r="K1101" s="34" t="n">
        <x:v>0</x:v>
      </x:c>
      <x:c r="L1101" s="34" t="n">
        <x:v>0.9</x:v>
      </x:c>
      <x:c r="M1101" s="34" t="n">
        <x:v>0.9</x:v>
      </x:c>
      <x:c r="N1101" s="34" t="n">
        <x:v>0</x:v>
      </x:c>
      <x:c r="O1101" s="34" t="n">
        <x:v>5.04</x:v>
      </x:c>
      <x:c r="P1101" s="34" t="n">
        <x:v>10</x:v>
      </x:c>
      <x:c r="Q1101" s="34" t="n">
        <x:v>4.96</x:v>
      </x:c>
      <x:c r="R1101" s="34" t="n">
        <x:v>50.4</x:v>
      </x:c>
      <x:c r="S1101" s="40" t="b">
        <x:v>1</x:v>
      </x:c>
      <x:c r="T1101" s="34" t="str">
        <x:v>model_interpolation</x:v>
      </x:c>
      <x:c r="U1101" s="34" t="str">
        <x:v>Linear interpolation from 2030 to 2035</x:v>
      </x:c>
      <x:c r="V1101" s="34" t="str">
        <x:v>CAND-FCEB78D7C5F4C6</x:v>
      </x:c>
      <x:c r="W1101" s="34" t="str">
        <x:v>P1</x:v>
      </x:c>
      <x:c r="X1101" s="34" t="str">
        <x:v>PORT-7DCD4991144C</x:v>
      </x:c>
      <x:c r="Y1101" s="34" t="n">
        <x:v>1000</x:v>
      </x:c>
      <x:c r="Z1101" s="34" t="n">
        <x:v>8.549815</x:v>
      </x:c>
      <x:c r="AA1101" s="34" t="n">
        <x:v>11.479382</x:v>
      </x:c>
      <x:c r="AB1101" s="34" t="n">
        <x:v>313.643967</x:v>
      </x:c>
      <x:c r="AC1101" s="34" t="n">
        <x:v>2332.517</x:v>
      </x:c>
      <x:c r="AD1101" s="34" t="n">
        <x:v>7.43683</x:v>
      </x:c>
      <x:c r="AE1101" s="40" t="b">
        <x:v>0</x:v>
      </x:c>
      <x:c r="AF1101" s="40" t="b">
        <x:v>0</x:v>
      </x:c>
      <x:c r="AG1101" s="34" t="n">
        <x:v>2035</x:v>
      </x:c>
      <x:c r="AH1101" s="34" t="n">
        <x:v>14.544997934999998</x:v>
      </x:c>
      <x:c r="AI1101" s="34" t="n">
        <x:v>-14.544997934999998</x:v>
      </x:c>
      <x:c r="AJ1101" s="40" t="b">
        <x:v>1</x:v>
      </x:c>
      <x:c r="AK1101" s="40" t="b">
        <x:v>1</x:v>
      </x:c>
      <x:c r="AL1101" s="40" t="b">
        <x:v>1</x:v>
      </x:c>
      <x:c r="AM1101" s="40" t="b">
        <x:v>1</x:v>
      </x:c>
      <x:c r="AN1101" s="34" t="str"/>
      <x:c r="AO1101" s="34" t="n">
        <x:v>0</x:v>
      </x:c>
      <x:c r="AP1101" s="34" t="n">
        <x:v>0</x:v>
      </x:c>
      <x:c r="AQ1101" s="34" t="n">
        <x:v>0</x:v>
      </x:c>
      <x:c r="AR1101" s="34" t="n">
        <x:v>2</x:v>
      </x:c>
      <x:c r="AS1101" s="34" t="n">
        <x:v>2</x:v>
      </x:c>
      <x:c r="AT1101" s="34" t="n">
        <x:v>0.28236113919999994</x:v>
      </x:c>
      <x:c r="AU1101" s="34" t="n">
        <x:v>0.65</x:v>
      </x:c>
      <x:c r="AV1101" s="34" t="n">
        <x:v>0.88</x:v>
      </x:c>
    </x:row>
    <x:row r="1102">
      <x:c r="A1102" s="34" t="str">
        <x:v>NIPPON_STEEL_JP</x:v>
      </x:c>
      <x:c r="B1102" s="34" t="str">
        <x:v>Nippon Steel</x:v>
      </x:c>
      <x:c r="C1102" s="34" t="str">
        <x:v>ACCELERATED_15C</x:v>
      </x:c>
      <x:c r="D1102" s="34" t="str">
        <x:v>P1</x:v>
      </x:c>
      <x:c r="E1102" s="34" t="n">
        <x:v>2031</x:v>
      </x:c>
      <x:c r="F1102" s="34" t="n">
        <x:v>1</x:v>
      </x:c>
      <x:c r="G1102" s="34" t="n">
        <x:v>8.1</x:v>
      </x:c>
      <x:c r="H1102" s="34" t="n">
        <x:v>16.6</x:v>
      </x:c>
      <x:c r="I1102" s="34" t="n">
        <x:v>8.5</x:v>
      </x:c>
      <x:c r="J1102" s="34" t="n">
        <x:v>48.795</x:v>
      </x:c>
      <x:c r="K1102" s="34" t="n">
        <x:v>0</x:v>
      </x:c>
      <x:c r="L1102" s="34" t="n">
        <x:v>1.2200000000000002</x:v>
      </x:c>
      <x:c r="M1102" s="34" t="n">
        <x:v>1.22</x:v>
      </x:c>
      <x:c r="N1102" s="34" t="n">
        <x:v>0</x:v>
      </x:c>
      <x:c r="O1102" s="34" t="n">
        <x:v>5.04</x:v>
      </x:c>
      <x:c r="P1102" s="34" t="n">
        <x:v>12</x:v>
      </x:c>
      <x:c r="Q1102" s="34" t="n">
        <x:v>6.96</x:v>
      </x:c>
      <x:c r="R1102" s="34" t="n">
        <x:v>42</x:v>
      </x:c>
      <x:c r="S1102" s="40" t="b">
        <x:v>1</x:v>
      </x:c>
      <x:c r="T1102" s="34" t="str">
        <x:v>model_interpolation</x:v>
      </x:c>
      <x:c r="U1102" s="34" t="str">
        <x:v>Linear interpolation from 2030 to 2035</x:v>
      </x:c>
      <x:c r="V1102" s="34" t="str">
        <x:v>CAND-FCEB78D7C5F4C6</x:v>
      </x:c>
      <x:c r="W1102" s="34" t="str">
        <x:v>P1</x:v>
      </x:c>
      <x:c r="X1102" s="34" t="str">
        <x:v>PORT-7DCD4991144C</x:v>
      </x:c>
      <x:c r="Y1102" s="34" t="n">
        <x:v>1000</x:v>
      </x:c>
      <x:c r="Z1102" s="34" t="n">
        <x:v>8.549815</x:v>
      </x:c>
      <x:c r="AA1102" s="34" t="n">
        <x:v>11.479382</x:v>
      </x:c>
      <x:c r="AB1102" s="34" t="n">
        <x:v>313.643967</x:v>
      </x:c>
      <x:c r="AC1102" s="34" t="n">
        <x:v>2332.517</x:v>
      </x:c>
      <x:c r="AD1102" s="34" t="n">
        <x:v>7.43683</x:v>
      </x:c>
      <x:c r="AE1102" s="40" t="b">
        <x:v>0</x:v>
      </x:c>
      <x:c r="AF1102" s="40" t="b">
        <x:v>0</x:v>
      </x:c>
      <x:c r="AG1102" s="34" t="n">
        <x:v>2035</x:v>
      </x:c>
      <x:c r="AH1102" s="34" t="n">
        <x:v>14.544997934999998</x:v>
      </x:c>
      <x:c r="AI1102" s="34" t="n">
        <x:v>-14.544997934999998</x:v>
      </x:c>
      <x:c r="AJ1102" s="40" t="b">
        <x:v>1</x:v>
      </x:c>
      <x:c r="AK1102" s="40" t="b">
        <x:v>1</x:v>
      </x:c>
      <x:c r="AL1102" s="40" t="b">
        <x:v>1</x:v>
      </x:c>
      <x:c r="AM1102" s="40" t="b">
        <x:v>1</x:v>
      </x:c>
      <x:c r="AN1102" s="34" t="str"/>
      <x:c r="AO1102" s="34" t="n">
        <x:v>0</x:v>
      </x:c>
      <x:c r="AP1102" s="34" t="n">
        <x:v>0</x:v>
      </x:c>
      <x:c r="AQ1102" s="34" t="n">
        <x:v>0</x:v>
      </x:c>
      <x:c r="AR1102" s="34" t="n">
        <x:v>2</x:v>
      </x:c>
      <x:c r="AS1102" s="34" t="n">
        <x:v>2</x:v>
      </x:c>
      <x:c r="AT1102" s="34" t="n">
        <x:v>0.28236113919999994</x:v>
      </x:c>
      <x:c r="AU1102" s="34" t="n">
        <x:v>0.65</x:v>
      </x:c>
      <x:c r="AV1102" s="34" t="n">
        <x:v>0.88</x:v>
      </x:c>
    </x:row>
    <x:row r="1103">
      <x:c r="A1103" s="34" t="str">
        <x:v>NIPPON_STEEL_JP</x:v>
      </x:c>
      <x:c r="B1103" s="34" t="str">
        <x:v>Nippon Steel</x:v>
      </x:c>
      <x:c r="C1103" s="34" t="str">
        <x:v>ACCELERATED_15C</x:v>
      </x:c>
      <x:c r="D1103" s="34" t="str">
        <x:v>P1</x:v>
      </x:c>
      <x:c r="E1103" s="34" t="n">
        <x:v>2032</x:v>
      </x:c>
      <x:c r="F1103" s="34" t="n">
        <x:v>2</x:v>
      </x:c>
      <x:c r="G1103" s="34" t="n">
        <x:v>9.03</x:v>
      </x:c>
      <x:c r="H1103" s="34" t="n">
        <x:v>18.2</x:v>
      </x:c>
      <x:c r="I1103" s="34" t="n">
        <x:v>9.17</x:v>
      </x:c>
      <x:c r="J1103" s="34" t="n">
        <x:v>49.615</x:v>
      </x:c>
      <x:c r="K1103" s="34" t="n">
        <x:v>0</x:v>
      </x:c>
      <x:c r="L1103" s="34" t="n">
        <x:v>1.54</x:v>
      </x:c>
      <x:c r="M1103" s="34" t="n">
        <x:v>1.54</x:v>
      </x:c>
      <x:c r="N1103" s="34" t="n">
        <x:v>0</x:v>
      </x:c>
      <x:c r="O1103" s="34" t="n">
        <x:v>5.102</x:v>
      </x:c>
      <x:c r="P1103" s="34" t="n">
        <x:v>14</x:v>
      </x:c>
      <x:c r="Q1103" s="34" t="n">
        <x:v>8.898</x:v>
      </x:c>
      <x:c r="R1103" s="34" t="n">
        <x:v>36.443</x:v>
      </x:c>
      <x:c r="S1103" s="40" t="b">
        <x:v>1</x:v>
      </x:c>
      <x:c r="T1103" s="34" t="str">
        <x:v>model_interpolation</x:v>
      </x:c>
      <x:c r="U1103" s="34" t="str">
        <x:v>Linear interpolation from 2030 to 2035</x:v>
      </x:c>
      <x:c r="V1103" s="34" t="str">
        <x:v>CAND-FCEB78D7C5F4C6</x:v>
      </x:c>
      <x:c r="W1103" s="34" t="str">
        <x:v>P1</x:v>
      </x:c>
      <x:c r="X1103" s="34" t="str">
        <x:v>PORT-7DCD4991144C</x:v>
      </x:c>
      <x:c r="Y1103" s="34" t="n">
        <x:v>1000</x:v>
      </x:c>
      <x:c r="Z1103" s="34" t="n">
        <x:v>8.549815</x:v>
      </x:c>
      <x:c r="AA1103" s="34" t="n">
        <x:v>11.479382</x:v>
      </x:c>
      <x:c r="AB1103" s="34" t="n">
        <x:v>313.643967</x:v>
      </x:c>
      <x:c r="AC1103" s="34" t="n">
        <x:v>2332.517</x:v>
      </x:c>
      <x:c r="AD1103" s="34" t="n">
        <x:v>7.43683</x:v>
      </x:c>
      <x:c r="AE1103" s="40" t="b">
        <x:v>0</x:v>
      </x:c>
      <x:c r="AF1103" s="40" t="b">
        <x:v>0</x:v>
      </x:c>
      <x:c r="AG1103" s="34" t="n">
        <x:v>2035</x:v>
      </x:c>
      <x:c r="AH1103" s="34" t="n">
        <x:v>14.544997934999998</x:v>
      </x:c>
      <x:c r="AI1103" s="34" t="n">
        <x:v>-14.544997934999998</x:v>
      </x:c>
      <x:c r="AJ1103" s="40" t="b">
        <x:v>1</x:v>
      </x:c>
      <x:c r="AK1103" s="40" t="b">
        <x:v>1</x:v>
      </x:c>
      <x:c r="AL1103" s="40" t="b">
        <x:v>1</x:v>
      </x:c>
      <x:c r="AM1103" s="40" t="b">
        <x:v>1</x:v>
      </x:c>
      <x:c r="AN1103" s="34" t="str"/>
      <x:c r="AO1103" s="34" t="n">
        <x:v>0</x:v>
      </x:c>
      <x:c r="AP1103" s="34" t="n">
        <x:v>0</x:v>
      </x:c>
      <x:c r="AQ1103" s="34" t="n">
        <x:v>0</x:v>
      </x:c>
      <x:c r="AR1103" s="34" t="n">
        <x:v>2</x:v>
      </x:c>
      <x:c r="AS1103" s="34" t="n">
        <x:v>2</x:v>
      </x:c>
      <x:c r="AT1103" s="34" t="n">
        <x:v>0.28236113919999994</x:v>
      </x:c>
      <x:c r="AU1103" s="34" t="n">
        <x:v>0.65</x:v>
      </x:c>
      <x:c r="AV1103" s="34" t="n">
        <x:v>0.88</x:v>
      </x:c>
    </x:row>
    <x:row r="1104">
      <x:c r="A1104" s="34" t="str">
        <x:v>NIPPON_STEEL_JP</x:v>
      </x:c>
      <x:c r="B1104" s="34" t="str">
        <x:v>Nippon Steel</x:v>
      </x:c>
      <x:c r="C1104" s="34" t="str">
        <x:v>ACCELERATED_15C</x:v>
      </x:c>
      <x:c r="D1104" s="34" t="str">
        <x:v>P1</x:v>
      </x:c>
      <x:c r="E1104" s="34" t="n">
        <x:v>2033</x:v>
      </x:c>
      <x:c r="F1104" s="34" t="n">
        <x:v>2</x:v>
      </x:c>
      <x:c r="G1104" s="34" t="n">
        <x:v>9.03</x:v>
      </x:c>
      <x:c r="H1104" s="34" t="n">
        <x:v>19.8</x:v>
      </x:c>
      <x:c r="I1104" s="34" t="n">
        <x:v>10.77</x:v>
      </x:c>
      <x:c r="J1104" s="34" t="n">
        <x:v>45.606</x:v>
      </x:c>
      <x:c r="K1104" s="34" t="n">
        <x:v>0</x:v>
      </x:c>
      <x:c r="L1104" s="34" t="n">
        <x:v>1.8599999999999999</x:v>
      </x:c>
      <x:c r="M1104" s="34" t="n">
        <x:v>1.86</x:v>
      </x:c>
      <x:c r="N1104" s="34" t="n">
        <x:v>0</x:v>
      </x:c>
      <x:c r="O1104" s="34" t="n">
        <x:v>5.102</x:v>
      </x:c>
      <x:c r="P1104" s="34" t="n">
        <x:v>16</x:v>
      </x:c>
      <x:c r="Q1104" s="34" t="n">
        <x:v>10.898</x:v>
      </x:c>
      <x:c r="R1104" s="34" t="n">
        <x:v>31.887</x:v>
      </x:c>
      <x:c r="S1104" s="40" t="b">
        <x:v>1</x:v>
      </x:c>
      <x:c r="T1104" s="34" t="str">
        <x:v>model_interpolation</x:v>
      </x:c>
      <x:c r="U1104" s="34" t="str">
        <x:v>Linear interpolation from 2030 to 2035</x:v>
      </x:c>
      <x:c r="V1104" s="34" t="str">
        <x:v>CAND-FCEB78D7C5F4C6</x:v>
      </x:c>
      <x:c r="W1104" s="34" t="str">
        <x:v>P1</x:v>
      </x:c>
      <x:c r="X1104" s="34" t="str">
        <x:v>PORT-7DCD4991144C</x:v>
      </x:c>
      <x:c r="Y1104" s="34" t="n">
        <x:v>1000</x:v>
      </x:c>
      <x:c r="Z1104" s="34" t="n">
        <x:v>8.549815</x:v>
      </x:c>
      <x:c r="AA1104" s="34" t="n">
        <x:v>11.479382</x:v>
      </x:c>
      <x:c r="AB1104" s="34" t="n">
        <x:v>313.643967</x:v>
      </x:c>
      <x:c r="AC1104" s="34" t="n">
        <x:v>2332.517</x:v>
      </x:c>
      <x:c r="AD1104" s="34" t="n">
        <x:v>7.43683</x:v>
      </x:c>
      <x:c r="AE1104" s="40" t="b">
        <x:v>0</x:v>
      </x:c>
      <x:c r="AF1104" s="40" t="b">
        <x:v>0</x:v>
      </x:c>
      <x:c r="AG1104" s="34" t="n">
        <x:v>2035</x:v>
      </x:c>
      <x:c r="AH1104" s="34" t="n">
        <x:v>14.544997934999998</x:v>
      </x:c>
      <x:c r="AI1104" s="34" t="n">
        <x:v>-14.544997934999998</x:v>
      </x:c>
      <x:c r="AJ1104" s="40" t="b">
        <x:v>1</x:v>
      </x:c>
      <x:c r="AK1104" s="40" t="b">
        <x:v>1</x:v>
      </x:c>
      <x:c r="AL1104" s="40" t="b">
        <x:v>1</x:v>
      </x:c>
      <x:c r="AM1104" s="40" t="b">
        <x:v>1</x:v>
      </x:c>
      <x:c r="AN1104" s="34" t="str"/>
      <x:c r="AO1104" s="34" t="n">
        <x:v>0</x:v>
      </x:c>
      <x:c r="AP1104" s="34" t="n">
        <x:v>0</x:v>
      </x:c>
      <x:c r="AQ1104" s="34" t="n">
        <x:v>0</x:v>
      </x:c>
      <x:c r="AR1104" s="34" t="n">
        <x:v>2</x:v>
      </x:c>
      <x:c r="AS1104" s="34" t="n">
        <x:v>2</x:v>
      </x:c>
      <x:c r="AT1104" s="34" t="n">
        <x:v>0.28236113919999994</x:v>
      </x:c>
      <x:c r="AU1104" s="34" t="n">
        <x:v>0.65</x:v>
      </x:c>
      <x:c r="AV1104" s="34" t="n">
        <x:v>0.88</x:v>
      </x:c>
    </x:row>
    <x:row r="1105">
      <x:c r="A1105" s="34" t="str">
        <x:v>NIPPON_STEEL_JP</x:v>
      </x:c>
      <x:c r="B1105" s="34" t="str">
        <x:v>Nippon Steel</x:v>
      </x:c>
      <x:c r="C1105" s="34" t="str">
        <x:v>ACCELERATED_15C</x:v>
      </x:c>
      <x:c r="D1105" s="34" t="str">
        <x:v>P1</x:v>
      </x:c>
      <x:c r="E1105" s="34" t="n">
        <x:v>2034</x:v>
      </x:c>
      <x:c r="F1105" s="34" t="n">
        <x:v>3</x:v>
      </x:c>
      <x:c r="G1105" s="34" t="n">
        <x:v>15.510001</x:v>
      </x:c>
      <x:c r="H1105" s="34" t="n">
        <x:v>21.4</x:v>
      </x:c>
      <x:c r="I1105" s="34" t="n">
        <x:v>5.889999</x:v>
      </x:c>
      <x:c r="J1105" s="34" t="n">
        <x:v>72.477</x:v>
      </x:c>
      <x:c r="K1105" s="34" t="n">
        <x:v>0</x:v>
      </x:c>
      <x:c r="L1105" s="34" t="n">
        <x:v>2.18</x:v>
      </x:c>
      <x:c r="M1105" s="34" t="n">
        <x:v>2.18</x:v>
      </x:c>
      <x:c r="N1105" s="34" t="n">
        <x:v>0</x:v>
      </x:c>
      <x:c r="O1105" s="34" t="n">
        <x:v>9.134</x:v>
      </x:c>
      <x:c r="P1105" s="34" t="n">
        <x:v>18</x:v>
      </x:c>
      <x:c r="Q1105" s="34" t="n">
        <x:v>8.866</x:v>
      </x:c>
      <x:c r="R1105" s="34" t="n">
        <x:v>50.744</x:v>
      </x:c>
      <x:c r="S1105" s="40" t="b">
        <x:v>1</x:v>
      </x:c>
      <x:c r="T1105" s="34" t="str">
        <x:v>model_interpolation</x:v>
      </x:c>
      <x:c r="U1105" s="34" t="str">
        <x:v>Linear interpolation from 2030 to 2035</x:v>
      </x:c>
      <x:c r="V1105" s="34" t="str">
        <x:v>CAND-FCEB78D7C5F4C6</x:v>
      </x:c>
      <x:c r="W1105" s="34" t="str">
        <x:v>P1</x:v>
      </x:c>
      <x:c r="X1105" s="34" t="str">
        <x:v>PORT-7DCD4991144C</x:v>
      </x:c>
      <x:c r="Y1105" s="34" t="n">
        <x:v>1000</x:v>
      </x:c>
      <x:c r="Z1105" s="34" t="n">
        <x:v>8.549815</x:v>
      </x:c>
      <x:c r="AA1105" s="34" t="n">
        <x:v>11.479382</x:v>
      </x:c>
      <x:c r="AB1105" s="34" t="n">
        <x:v>313.643967</x:v>
      </x:c>
      <x:c r="AC1105" s="34" t="n">
        <x:v>2332.517</x:v>
      </x:c>
      <x:c r="AD1105" s="34" t="n">
        <x:v>7.43683</x:v>
      </x:c>
      <x:c r="AE1105" s="40" t="b">
        <x:v>0</x:v>
      </x:c>
      <x:c r="AF1105" s="40" t="b">
        <x:v>0</x:v>
      </x:c>
      <x:c r="AG1105" s="34" t="n">
        <x:v>2035</x:v>
      </x:c>
      <x:c r="AH1105" s="34" t="n">
        <x:v>14.544997934999998</x:v>
      </x:c>
      <x:c r="AI1105" s="34" t="n">
        <x:v>-14.544997934999998</x:v>
      </x:c>
      <x:c r="AJ1105" s="40" t="b">
        <x:v>1</x:v>
      </x:c>
      <x:c r="AK1105" s="40" t="b">
        <x:v>1</x:v>
      </x:c>
      <x:c r="AL1105" s="40" t="b">
        <x:v>1</x:v>
      </x:c>
      <x:c r="AM1105" s="40" t="b">
        <x:v>1</x:v>
      </x:c>
      <x:c r="AN1105" s="34" t="str"/>
      <x:c r="AO1105" s="34" t="n">
        <x:v>0</x:v>
      </x:c>
      <x:c r="AP1105" s="34" t="n">
        <x:v>0</x:v>
      </x:c>
      <x:c r="AQ1105" s="34" t="n">
        <x:v>0</x:v>
      </x:c>
      <x:c r="AR1105" s="34" t="n">
        <x:v>2</x:v>
      </x:c>
      <x:c r="AS1105" s="34" t="n">
        <x:v>2</x:v>
      </x:c>
      <x:c r="AT1105" s="34" t="n">
        <x:v>0.28236113919999994</x:v>
      </x:c>
      <x:c r="AU1105" s="34" t="n">
        <x:v>0.65</x:v>
      </x:c>
      <x:c r="AV1105" s="34" t="n">
        <x:v>0.88</x:v>
      </x:c>
    </x:row>
    <x:row r="1106">
      <x:c r="A1106" s="34" t="str">
        <x:v>NIPPON_STEEL_JP</x:v>
      </x:c>
      <x:c r="B1106" s="34" t="str">
        <x:v>Nippon Steel</x:v>
      </x:c>
      <x:c r="C1106" s="34" t="str">
        <x:v>ACCELERATED_15C</x:v>
      </x:c>
      <x:c r="D1106" s="34" t="str">
        <x:v>P1</x:v>
      </x:c>
      <x:c r="E1106" s="34" t="n">
        <x:v>2035</x:v>
      </x:c>
      <x:c r="F1106" s="34" t="n">
        <x:v>3</x:v>
      </x:c>
      <x:c r="G1106" s="34" t="n">
        <x:v>15.510001</x:v>
      </x:c>
      <x:c r="H1106" s="34" t="n">
        <x:v>23</x:v>
      </x:c>
      <x:c r="I1106" s="34" t="n">
        <x:v>7.489999</x:v>
      </x:c>
      <x:c r="J1106" s="34" t="n">
        <x:v>67.435</x:v>
      </x:c>
      <x:c r="K1106" s="34" t="n">
        <x:v>0</x:v>
      </x:c>
      <x:c r="L1106" s="34" t="n">
        <x:v>2.5</x:v>
      </x:c>
      <x:c r="M1106" s="34" t="n">
        <x:v>2.5</x:v>
      </x:c>
      <x:c r="N1106" s="34" t="n">
        <x:v>0</x:v>
      </x:c>
      <x:c r="O1106" s="34" t="n">
        <x:v>9.134</x:v>
      </x:c>
      <x:c r="P1106" s="34" t="n">
        <x:v>20</x:v>
      </x:c>
      <x:c r="Q1106" s="34" t="n">
        <x:v>10.866</x:v>
      </x:c>
      <x:c r="R1106" s="34" t="n">
        <x:v>45.67</x:v>
      </x:c>
      <x:c r="S1106" s="40" t="b">
        <x:v>1</x:v>
      </x:c>
      <x:c r="T1106" s="34" t="str">
        <x:v>model_interpolation</x:v>
      </x:c>
      <x:c r="U1106" s="34" t="str">
        <x:v>Linear interpolation from 2035 to 2040</x:v>
      </x:c>
      <x:c r="V1106" s="34" t="str">
        <x:v>CAND-FCEB78D7C5F4C6</x:v>
      </x:c>
      <x:c r="W1106" s="34" t="str">
        <x:v>P1</x:v>
      </x:c>
      <x:c r="X1106" s="34" t="str">
        <x:v>PORT-7DCD4991144C</x:v>
      </x:c>
      <x:c r="Y1106" s="34" t="n">
        <x:v>1000</x:v>
      </x:c>
      <x:c r="Z1106" s="34" t="n">
        <x:v>8.549815</x:v>
      </x:c>
      <x:c r="AA1106" s="34" t="n">
        <x:v>11.479382</x:v>
      </x:c>
      <x:c r="AB1106" s="34" t="n">
        <x:v>313.643967</x:v>
      </x:c>
      <x:c r="AC1106" s="34" t="n">
        <x:v>2332.517</x:v>
      </x:c>
      <x:c r="AD1106" s="34" t="n">
        <x:v>7.43683</x:v>
      </x:c>
      <x:c r="AE1106" s="40" t="b">
        <x:v>0</x:v>
      </x:c>
      <x:c r="AF1106" s="40" t="b">
        <x:v>0</x:v>
      </x:c>
      <x:c r="AG1106" s="34" t="n">
        <x:v>2035</x:v>
      </x:c>
      <x:c r="AH1106" s="34" t="n">
        <x:v>14.544997934999998</x:v>
      </x:c>
      <x:c r="AI1106" s="34" t="n">
        <x:v>-14.544997934999998</x:v>
      </x:c>
      <x:c r="AJ1106" s="40" t="b">
        <x:v>1</x:v>
      </x:c>
      <x:c r="AK1106" s="40" t="b">
        <x:v>1</x:v>
      </x:c>
      <x:c r="AL1106" s="40" t="b">
        <x:v>1</x:v>
      </x:c>
      <x:c r="AM1106" s="40" t="b">
        <x:v>1</x:v>
      </x:c>
      <x:c r="AN1106" s="34" t="str"/>
      <x:c r="AO1106" s="34" t="n">
        <x:v>0</x:v>
      </x:c>
      <x:c r="AP1106" s="34" t="n">
        <x:v>0</x:v>
      </x:c>
      <x:c r="AQ1106" s="34" t="n">
        <x:v>0</x:v>
      </x:c>
      <x:c r="AR1106" s="34" t="n">
        <x:v>2</x:v>
      </x:c>
      <x:c r="AS1106" s="34" t="n">
        <x:v>2</x:v>
      </x:c>
      <x:c r="AT1106" s="34" t="n">
        <x:v>0.28236113919999994</x:v>
      </x:c>
      <x:c r="AU1106" s="34" t="n">
        <x:v>0.65</x:v>
      </x:c>
      <x:c r="AV1106" s="34" t="n">
        <x:v>0.88</x:v>
      </x:c>
    </x:row>
    <x:row r="1107">
      <x:c r="A1107" s="34" t="str">
        <x:v>NIPPON_STEEL_JP</x:v>
      </x:c>
      <x:c r="B1107" s="34" t="str">
        <x:v>Nippon Steel</x:v>
      </x:c>
      <x:c r="C1107" s="34" t="str">
        <x:v>ACCELERATED_15C</x:v>
      </x:c>
      <x:c r="D1107" s="34" t="str">
        <x:v>P1</x:v>
      </x:c>
      <x:c r="E1107" s="34" t="n">
        <x:v>2036</x:v>
      </x:c>
      <x:c r="F1107" s="34" t="n">
        <x:v>4</x:v>
      </x:c>
      <x:c r="G1107" s="34" t="n">
        <x:v>16.350001</x:v>
      </x:c>
      <x:c r="H1107" s="34" t="n">
        <x:v>24.4</x:v>
      </x:c>
      <x:c r="I1107" s="34" t="n">
        <x:v>8.049999</x:v>
      </x:c>
      <x:c r="J1107" s="34" t="n">
        <x:v>67.008</x:v>
      </x:c>
      <x:c r="K1107" s="34" t="n">
        <x:v>0</x:v>
      </x:c>
      <x:c r="L1107" s="34" t="n">
        <x:v>2.9</x:v>
      </x:c>
      <x:c r="M1107" s="34" t="n">
        <x:v>2.9</x:v>
      </x:c>
      <x:c r="N1107" s="34" t="n">
        <x:v>0</x:v>
      </x:c>
      <x:c r="O1107" s="34" t="n">
        <x:v>9.19</x:v>
      </x:c>
      <x:c r="P1107" s="34" t="n">
        <x:v>22.4</x:v>
      </x:c>
      <x:c r="Q1107" s="34" t="n">
        <x:v>13.21</x:v>
      </x:c>
      <x:c r="R1107" s="34" t="n">
        <x:v>41.027</x:v>
      </x:c>
      <x:c r="S1107" s="40" t="b">
        <x:v>1</x:v>
      </x:c>
      <x:c r="T1107" s="34" t="str">
        <x:v>model_interpolation</x:v>
      </x:c>
      <x:c r="U1107" s="34" t="str">
        <x:v>Linear interpolation from 2035 to 2040</x:v>
      </x:c>
      <x:c r="V1107" s="34" t="str">
        <x:v>CAND-FCEB78D7C5F4C6</x:v>
      </x:c>
      <x:c r="W1107" s="34" t="str">
        <x:v>P1</x:v>
      </x:c>
      <x:c r="X1107" s="34" t="str">
        <x:v>PORT-7DCD4991144C</x:v>
      </x:c>
      <x:c r="Y1107" s="34" t="n">
        <x:v>1000</x:v>
      </x:c>
      <x:c r="Z1107" s="34" t="n">
        <x:v>8.549815</x:v>
      </x:c>
      <x:c r="AA1107" s="34" t="n">
        <x:v>11.479382</x:v>
      </x:c>
      <x:c r="AB1107" s="34" t="n">
        <x:v>313.643967</x:v>
      </x:c>
      <x:c r="AC1107" s="34" t="n">
        <x:v>2332.517</x:v>
      </x:c>
      <x:c r="AD1107" s="34" t="n">
        <x:v>7.43683</x:v>
      </x:c>
      <x:c r="AE1107" s="40" t="b">
        <x:v>0</x:v>
      </x:c>
      <x:c r="AF1107" s="40" t="b">
        <x:v>0</x:v>
      </x:c>
      <x:c r="AG1107" s="34" t="n">
        <x:v>2035</x:v>
      </x:c>
      <x:c r="AH1107" s="34" t="n">
        <x:v>14.544997934999998</x:v>
      </x:c>
      <x:c r="AI1107" s="34" t="n">
        <x:v>-14.544997934999998</x:v>
      </x:c>
      <x:c r="AJ1107" s="40" t="b">
        <x:v>1</x:v>
      </x:c>
      <x:c r="AK1107" s="40" t="b">
        <x:v>1</x:v>
      </x:c>
      <x:c r="AL1107" s="40" t="b">
        <x:v>1</x:v>
      </x:c>
      <x:c r="AM1107" s="40" t="b">
        <x:v>1</x:v>
      </x:c>
      <x:c r="AN1107" s="34" t="str"/>
      <x:c r="AO1107" s="34" t="n">
        <x:v>0</x:v>
      </x:c>
      <x:c r="AP1107" s="34" t="n">
        <x:v>0</x:v>
      </x:c>
      <x:c r="AQ1107" s="34" t="n">
        <x:v>0</x:v>
      </x:c>
      <x:c r="AR1107" s="34" t="n">
        <x:v>2</x:v>
      </x:c>
      <x:c r="AS1107" s="34" t="n">
        <x:v>2</x:v>
      </x:c>
      <x:c r="AT1107" s="34" t="n">
        <x:v>0.28236113919999994</x:v>
      </x:c>
      <x:c r="AU1107" s="34" t="n">
        <x:v>0.65</x:v>
      </x:c>
      <x:c r="AV1107" s="34" t="n">
        <x:v>0.88</x:v>
      </x:c>
    </x:row>
    <x:row r="1108">
      <x:c r="A1108" s="34" t="str">
        <x:v>NIPPON_STEEL_JP</x:v>
      </x:c>
      <x:c r="B1108" s="34" t="str">
        <x:v>Nippon Steel</x:v>
      </x:c>
      <x:c r="C1108" s="34" t="str">
        <x:v>ACCELERATED_15C</x:v>
      </x:c>
      <x:c r="D1108" s="34" t="str">
        <x:v>P1</x:v>
      </x:c>
      <x:c r="E1108" s="34" t="n">
        <x:v>2037</x:v>
      </x:c>
      <x:c r="F1108" s="34" t="n">
        <x:v>4</x:v>
      </x:c>
      <x:c r="G1108" s="34" t="n">
        <x:v>16.350001</x:v>
      </x:c>
      <x:c r="H1108" s="34" t="n">
        <x:v>25.8</x:v>
      </x:c>
      <x:c r="I1108" s="34" t="n">
        <x:v>9.449999</x:v>
      </x:c>
      <x:c r="J1108" s="34" t="n">
        <x:v>63.372</x:v>
      </x:c>
      <x:c r="K1108" s="34" t="n">
        <x:v>0</x:v>
      </x:c>
      <x:c r="L1108" s="34" t="n">
        <x:v>3.3</x:v>
      </x:c>
      <x:c r="M1108" s="34" t="n">
        <x:v>3.3</x:v>
      </x:c>
      <x:c r="N1108" s="34" t="n">
        <x:v>0</x:v>
      </x:c>
      <x:c r="O1108" s="34" t="n">
        <x:v>9.19</x:v>
      </x:c>
      <x:c r="P1108" s="34" t="n">
        <x:v>24.8</x:v>
      </x:c>
      <x:c r="Q1108" s="34" t="n">
        <x:v>15.61</x:v>
      </x:c>
      <x:c r="R1108" s="34" t="n">
        <x:v>37.056</x:v>
      </x:c>
      <x:c r="S1108" s="40" t="b">
        <x:v>1</x:v>
      </x:c>
      <x:c r="T1108" s="34" t="str">
        <x:v>model_interpolation</x:v>
      </x:c>
      <x:c r="U1108" s="34" t="str">
        <x:v>Linear interpolation from 2035 to 2040</x:v>
      </x:c>
      <x:c r="V1108" s="34" t="str">
        <x:v>CAND-FCEB78D7C5F4C6</x:v>
      </x:c>
      <x:c r="W1108" s="34" t="str">
        <x:v>P1</x:v>
      </x:c>
      <x:c r="X1108" s="34" t="str">
        <x:v>PORT-7DCD4991144C</x:v>
      </x:c>
      <x:c r="Y1108" s="34" t="n">
        <x:v>1000</x:v>
      </x:c>
      <x:c r="Z1108" s="34" t="n">
        <x:v>8.549815</x:v>
      </x:c>
      <x:c r="AA1108" s="34" t="n">
        <x:v>11.479382</x:v>
      </x:c>
      <x:c r="AB1108" s="34" t="n">
        <x:v>313.643967</x:v>
      </x:c>
      <x:c r="AC1108" s="34" t="n">
        <x:v>2332.517</x:v>
      </x:c>
      <x:c r="AD1108" s="34" t="n">
        <x:v>7.43683</x:v>
      </x:c>
      <x:c r="AE1108" s="40" t="b">
        <x:v>0</x:v>
      </x:c>
      <x:c r="AF1108" s="40" t="b">
        <x:v>0</x:v>
      </x:c>
      <x:c r="AG1108" s="34" t="n">
        <x:v>2035</x:v>
      </x:c>
      <x:c r="AH1108" s="34" t="n">
        <x:v>14.544997934999998</x:v>
      </x:c>
      <x:c r="AI1108" s="34" t="n">
        <x:v>-14.544997934999998</x:v>
      </x:c>
      <x:c r="AJ1108" s="40" t="b">
        <x:v>1</x:v>
      </x:c>
      <x:c r="AK1108" s="40" t="b">
        <x:v>1</x:v>
      </x:c>
      <x:c r="AL1108" s="40" t="b">
        <x:v>1</x:v>
      </x:c>
      <x:c r="AM1108" s="40" t="b">
        <x:v>1</x:v>
      </x:c>
      <x:c r="AN1108" s="34" t="str"/>
      <x:c r="AO1108" s="34" t="n">
        <x:v>0</x:v>
      </x:c>
      <x:c r="AP1108" s="34" t="n">
        <x:v>0</x:v>
      </x:c>
      <x:c r="AQ1108" s="34" t="n">
        <x:v>0</x:v>
      </x:c>
      <x:c r="AR1108" s="34" t="n">
        <x:v>2</x:v>
      </x:c>
      <x:c r="AS1108" s="34" t="n">
        <x:v>2</x:v>
      </x:c>
      <x:c r="AT1108" s="34" t="n">
        <x:v>0.28236113919999994</x:v>
      </x:c>
      <x:c r="AU1108" s="34" t="n">
        <x:v>0.65</x:v>
      </x:c>
      <x:c r="AV1108" s="34" t="n">
        <x:v>0.88</x:v>
      </x:c>
    </x:row>
    <x:row r="1109">
      <x:c r="A1109" s="34" t="str">
        <x:v>NIPPON_STEEL_JP</x:v>
      </x:c>
      <x:c r="B1109" s="34" t="str">
        <x:v>Nippon Steel</x:v>
      </x:c>
      <x:c r="C1109" s="34" t="str">
        <x:v>ACCELERATED_15C</x:v>
      </x:c>
      <x:c r="D1109" s="34" t="str">
        <x:v>P1</x:v>
      </x:c>
      <x:c r="E1109" s="34" t="n">
        <x:v>2038</x:v>
      </x:c>
      <x:c r="F1109" s="34" t="n">
        <x:v>5</x:v>
      </x:c>
      <x:c r="G1109" s="34" t="n">
        <x:v>22.020001</x:v>
      </x:c>
      <x:c r="H1109" s="34" t="n">
        <x:v>27.2</x:v>
      </x:c>
      <x:c r="I1109" s="34" t="n">
        <x:v>5.179999</x:v>
      </x:c>
      <x:c r="J1109" s="34" t="n">
        <x:v>80.956</x:v>
      </x:c>
      <x:c r="K1109" s="34" t="n">
        <x:v>0</x:v>
      </x:c>
      <x:c r="L1109" s="34" t="n">
        <x:v>3.7</x:v>
      </x:c>
      <x:c r="M1109" s="34" t="n">
        <x:v>3.7</x:v>
      </x:c>
      <x:c r="N1109" s="34" t="n">
        <x:v>0</x:v>
      </x:c>
      <x:c r="O1109" s="34" t="n">
        <x:v>12.718</x:v>
      </x:c>
      <x:c r="P1109" s="34" t="n">
        <x:v>27.2</x:v>
      </x:c>
      <x:c r="Q1109" s="34" t="n">
        <x:v>14.482</x:v>
      </x:c>
      <x:c r="R1109" s="34" t="n">
        <x:v>46.757</x:v>
      </x:c>
      <x:c r="S1109" s="40" t="b">
        <x:v>1</x:v>
      </x:c>
      <x:c r="T1109" s="34" t="str">
        <x:v>model_interpolation</x:v>
      </x:c>
      <x:c r="U1109" s="34" t="str">
        <x:v>Linear interpolation from 2035 to 2040</x:v>
      </x:c>
      <x:c r="V1109" s="34" t="str">
        <x:v>CAND-FCEB78D7C5F4C6</x:v>
      </x:c>
      <x:c r="W1109" s="34" t="str">
        <x:v>P1</x:v>
      </x:c>
      <x:c r="X1109" s="34" t="str">
        <x:v>PORT-7DCD4991144C</x:v>
      </x:c>
      <x:c r="Y1109" s="34" t="n">
        <x:v>1000</x:v>
      </x:c>
      <x:c r="Z1109" s="34" t="n">
        <x:v>8.549815</x:v>
      </x:c>
      <x:c r="AA1109" s="34" t="n">
        <x:v>11.479382</x:v>
      </x:c>
      <x:c r="AB1109" s="34" t="n">
        <x:v>313.643967</x:v>
      </x:c>
      <x:c r="AC1109" s="34" t="n">
        <x:v>2332.517</x:v>
      </x:c>
      <x:c r="AD1109" s="34" t="n">
        <x:v>7.43683</x:v>
      </x:c>
      <x:c r="AE1109" s="40" t="b">
        <x:v>0</x:v>
      </x:c>
      <x:c r="AF1109" s="40" t="b">
        <x:v>0</x:v>
      </x:c>
      <x:c r="AG1109" s="34" t="n">
        <x:v>2035</x:v>
      </x:c>
      <x:c r="AH1109" s="34" t="n">
        <x:v>14.544997934999998</x:v>
      </x:c>
      <x:c r="AI1109" s="34" t="n">
        <x:v>-14.544997934999998</x:v>
      </x:c>
      <x:c r="AJ1109" s="40" t="b">
        <x:v>1</x:v>
      </x:c>
      <x:c r="AK1109" s="40" t="b">
        <x:v>1</x:v>
      </x:c>
      <x:c r="AL1109" s="40" t="b">
        <x:v>1</x:v>
      </x:c>
      <x:c r="AM1109" s="40" t="b">
        <x:v>1</x:v>
      </x:c>
      <x:c r="AN1109" s="34" t="str"/>
      <x:c r="AO1109" s="34" t="n">
        <x:v>0</x:v>
      </x:c>
      <x:c r="AP1109" s="34" t="n">
        <x:v>0</x:v>
      </x:c>
      <x:c r="AQ1109" s="34" t="n">
        <x:v>0</x:v>
      </x:c>
      <x:c r="AR1109" s="34" t="n">
        <x:v>2</x:v>
      </x:c>
      <x:c r="AS1109" s="34" t="n">
        <x:v>2</x:v>
      </x:c>
      <x:c r="AT1109" s="34" t="n">
        <x:v>0.28236113919999994</x:v>
      </x:c>
      <x:c r="AU1109" s="34" t="n">
        <x:v>0.65</x:v>
      </x:c>
      <x:c r="AV1109" s="34" t="n">
        <x:v>0.88</x:v>
      </x:c>
    </x:row>
    <x:row r="1110">
      <x:c r="A1110" s="34" t="str">
        <x:v>NIPPON_STEEL_JP</x:v>
      </x:c>
      <x:c r="B1110" s="34" t="str">
        <x:v>Nippon Steel</x:v>
      </x:c>
      <x:c r="C1110" s="34" t="str">
        <x:v>ACCELERATED_15C</x:v>
      </x:c>
      <x:c r="D1110" s="34" t="str">
        <x:v>P1</x:v>
      </x:c>
      <x:c r="E1110" s="34" t="n">
        <x:v>2039</x:v>
      </x:c>
      <x:c r="F1110" s="34" t="n">
        <x:v>5</x:v>
      </x:c>
      <x:c r="G1110" s="34" t="n">
        <x:v>22.020001</x:v>
      </x:c>
      <x:c r="H1110" s="34" t="n">
        <x:v>28.6</x:v>
      </x:c>
      <x:c r="I1110" s="34" t="n">
        <x:v>6.579999</x:v>
      </x:c>
      <x:c r="J1110" s="34" t="n">
        <x:v>76.993</x:v>
      </x:c>
      <x:c r="K1110" s="34" t="n">
        <x:v>0</x:v>
      </x:c>
      <x:c r="L1110" s="34" t="n">
        <x:v>4.1</x:v>
      </x:c>
      <x:c r="M1110" s="34" t="n">
        <x:v>4.1</x:v>
      </x:c>
      <x:c r="N1110" s="34" t="n">
        <x:v>0</x:v>
      </x:c>
      <x:c r="O1110" s="34" t="n">
        <x:v>12.718</x:v>
      </x:c>
      <x:c r="P1110" s="34" t="n">
        <x:v>29.6</x:v>
      </x:c>
      <x:c r="Q1110" s="34" t="n">
        <x:v>16.882</x:v>
      </x:c>
      <x:c r="R1110" s="34" t="n">
        <x:v>42.966</x:v>
      </x:c>
      <x:c r="S1110" s="40" t="b">
        <x:v>1</x:v>
      </x:c>
      <x:c r="T1110" s="34" t="str">
        <x:v>model_interpolation</x:v>
      </x:c>
      <x:c r="U1110" s="34" t="str">
        <x:v>Linear interpolation from 2035 to 2040</x:v>
      </x:c>
      <x:c r="V1110" s="34" t="str">
        <x:v>CAND-FCEB78D7C5F4C6</x:v>
      </x:c>
      <x:c r="W1110" s="34" t="str">
        <x:v>P1</x:v>
      </x:c>
      <x:c r="X1110" s="34" t="str">
        <x:v>PORT-7DCD4991144C</x:v>
      </x:c>
      <x:c r="Y1110" s="34" t="n">
        <x:v>1000</x:v>
      </x:c>
      <x:c r="Z1110" s="34" t="n">
        <x:v>8.549815</x:v>
      </x:c>
      <x:c r="AA1110" s="34" t="n">
        <x:v>11.479382</x:v>
      </x:c>
      <x:c r="AB1110" s="34" t="n">
        <x:v>313.643967</x:v>
      </x:c>
      <x:c r="AC1110" s="34" t="n">
        <x:v>2332.517</x:v>
      </x:c>
      <x:c r="AD1110" s="34" t="n">
        <x:v>7.43683</x:v>
      </x:c>
      <x:c r="AE1110" s="40" t="b">
        <x:v>0</x:v>
      </x:c>
      <x:c r="AF1110" s="40" t="b">
        <x:v>0</x:v>
      </x:c>
      <x:c r="AG1110" s="34" t="n">
        <x:v>2035</x:v>
      </x:c>
      <x:c r="AH1110" s="34" t="n">
        <x:v>14.544997934999998</x:v>
      </x:c>
      <x:c r="AI1110" s="34" t="n">
        <x:v>-14.544997934999998</x:v>
      </x:c>
      <x:c r="AJ1110" s="40" t="b">
        <x:v>1</x:v>
      </x:c>
      <x:c r="AK1110" s="40" t="b">
        <x:v>1</x:v>
      </x:c>
      <x:c r="AL1110" s="40" t="b">
        <x:v>1</x:v>
      </x:c>
      <x:c r="AM1110" s="40" t="b">
        <x:v>1</x:v>
      </x:c>
      <x:c r="AN1110" s="34" t="str"/>
      <x:c r="AO1110" s="34" t="n">
        <x:v>0</x:v>
      </x:c>
      <x:c r="AP1110" s="34" t="n">
        <x:v>0</x:v>
      </x:c>
      <x:c r="AQ1110" s="34" t="n">
        <x:v>0</x:v>
      </x:c>
      <x:c r="AR1110" s="34" t="n">
        <x:v>2</x:v>
      </x:c>
      <x:c r="AS1110" s="34" t="n">
        <x:v>2</x:v>
      </x:c>
      <x:c r="AT1110" s="34" t="n">
        <x:v>0.28236113919999994</x:v>
      </x:c>
      <x:c r="AU1110" s="34" t="n">
        <x:v>0.65</x:v>
      </x:c>
      <x:c r="AV1110" s="34" t="n">
        <x:v>0.88</x:v>
      </x:c>
    </x:row>
    <x:row r="1111">
      <x:c r="A1111" s="35" t="str">
        <x:v>NIPPON_STEEL_JP</x:v>
      </x:c>
      <x:c r="B1111" s="35" t="str">
        <x:v>Nippon Steel</x:v>
      </x:c>
      <x:c r="C1111" s="35" t="str">
        <x:v>ACCELERATED_15C</x:v>
      </x:c>
      <x:c r="D1111" s="35" t="str">
        <x:v>P1</x:v>
      </x:c>
      <x:c r="E1111" s="35" t="n">
        <x:v>2040</x:v>
      </x:c>
      <x:c r="F1111" s="35" t="n">
        <x:v>5</x:v>
      </x:c>
      <x:c r="G1111" s="35" t="n">
        <x:v>22.020001</x:v>
      </x:c>
      <x:c r="H1111" s="35" t="n">
        <x:v>30</x:v>
      </x:c>
      <x:c r="I1111" s="35" t="n">
        <x:v>7.979999</x:v>
      </x:c>
      <x:c r="J1111" s="35" t="n">
        <x:v>73.4</x:v>
      </x:c>
      <x:c r="K1111" s="35" t="n">
        <x:v>0</x:v>
      </x:c>
      <x:c r="L1111" s="35" t="n">
        <x:v>4.5</x:v>
      </x:c>
      <x:c r="M1111" s="35" t="n">
        <x:v>4.5</x:v>
      </x:c>
      <x:c r="N1111" s="35" t="n">
        <x:v>0</x:v>
      </x:c>
      <x:c r="O1111" s="35" t="n">
        <x:v>12.718</x:v>
      </x:c>
      <x:c r="P1111" s="35" t="n">
        <x:v>32</x:v>
      </x:c>
      <x:c r="Q1111" s="35" t="n">
        <x:v>19.282</x:v>
      </x:c>
      <x:c r="R1111" s="35" t="n">
        <x:v>39.744</x:v>
      </x:c>
      <x:c r="S1111" s="41" t="b">
        <x:v>1</x:v>
      </x:c>
      <x:c r="T1111" s="35" t="str">
        <x:v>model_estimate</x:v>
      </x:c>
      <x:c r="U1111" s="35" t="str">
        <x:v>Illustrative accelerated envelope; not GCAM or an official supply forecast</x:v>
      </x:c>
      <x:c r="V1111" s="35" t="str">
        <x:v>CAND-FCEB78D7C5F4C6</x:v>
      </x:c>
      <x:c r="W1111" s="35" t="str">
        <x:v>P1</x:v>
      </x:c>
      <x:c r="X1111" s="35" t="str">
        <x:v>PORT-7DCD4991144C</x:v>
      </x:c>
      <x:c r="Y1111" s="35" t="n">
        <x:v>1000</x:v>
      </x:c>
      <x:c r="Z1111" s="35" t="n">
        <x:v>8.549815</x:v>
      </x:c>
      <x:c r="AA1111" s="35" t="n">
        <x:v>11.479382</x:v>
      </x:c>
      <x:c r="AB1111" s="35" t="n">
        <x:v>313.643967</x:v>
      </x:c>
      <x:c r="AC1111" s="35" t="n">
        <x:v>2332.517</x:v>
      </x:c>
      <x:c r="AD1111" s="35" t="n">
        <x:v>7.43683</x:v>
      </x:c>
      <x:c r="AE1111" s="41" t="b">
        <x:v>0</x:v>
      </x:c>
      <x:c r="AF1111" s="41" t="b">
        <x:v>0</x:v>
      </x:c>
      <x:c r="AG1111" s="35" t="n">
        <x:v>2035</x:v>
      </x:c>
      <x:c r="AH1111" s="35" t="n">
        <x:v>14.544997934999998</x:v>
      </x:c>
      <x:c r="AI1111" s="35" t="n">
        <x:v>-14.544997934999998</x:v>
      </x:c>
      <x:c r="AJ1111" s="41" t="b">
        <x:v>1</x:v>
      </x:c>
      <x:c r="AK1111" s="41" t="b">
        <x:v>1</x:v>
      </x:c>
      <x:c r="AL1111" s="41" t="b">
        <x:v>1</x:v>
      </x:c>
      <x:c r="AM1111" s="41" t="b">
        <x:v>1</x:v>
      </x:c>
      <x:c r="AN1111" s="35" t="str"/>
      <x:c r="AO1111" s="35" t="n">
        <x:v>0</x:v>
      </x:c>
      <x:c r="AP1111" s="35" t="n">
        <x:v>0</x:v>
      </x:c>
      <x:c r="AQ1111" s="35" t="n">
        <x:v>0</x:v>
      </x:c>
      <x:c r="AR1111" s="35" t="n">
        <x:v>2</x:v>
      </x:c>
      <x:c r="AS1111" s="35" t="n">
        <x:v>2</x:v>
      </x:c>
      <x:c r="AT1111" s="35" t="n">
        <x:v>0.28236113919999994</x:v>
      </x:c>
      <x:c r="AU1111" s="35" t="n">
        <x:v>0.65</x:v>
      </x:c>
      <x:c r="AV1111" s="35" t="n">
        <x:v>0.88</x:v>
      </x:c>
    </x:row>
  </x:sheetData>
  <x:pageMargins left="0.7" right="0.7" top="0.75" bottom="0.75" header="0.3" footer="0.3"/>
</x:worksheet>
</file>

<file path=xl/worksheets/sheet33.xml><?xml version="1.0" encoding="utf-8"?>
<x:worksheet xmlns:x="http://schemas.openxmlformats.org/spreadsheetml/2006/main">
  <x:sheetViews>
    <x:sheetView showGridLines="0" workbookViewId="0"/>
  </x:sheetViews>
  <x:sheetFormatPr defaultRowHeight="15"/>
  <x:cols>
    <x:col min="1" max="1" width="14" hidden="0" customWidth="1"/>
    <x:col min="2" max="2" width="18" hidden="0" customWidth="1"/>
    <x:col min="3" max="3" width="22" hidden="0" customWidth="1"/>
    <x:col min="4" max="4" width="58" hidden="0" customWidth="1"/>
    <x:col min="5" max="5" width="15" hidden="0" customWidth="1"/>
    <x:col min="6" max="6" width="34" hidden="0" customWidth="1"/>
    <x:col min="7" max="7" width="43" hidden="0" customWidth="1"/>
  </x:cols>
  <x:sheetData>
    <x:row r="1">
      <x:c r="A1" s="49" t="str">
        <x:v>공식 출처·경계 레지스터</x:v>
      </x:c>
      <x:c r="B1" s="49"/>
      <x:c r="C1" s="49"/>
      <x:c r="D1" s="49"/>
      <x:c r="E1" s="49"/>
      <x:c r="F1" s="49"/>
      <x:c r="G1" s="49"/>
    </x:row>
    <x:row r="2">
      <x:c r="A2" s="49"/>
      <x:c r="B2" s="49"/>
      <x:c r="C2" s="49"/>
      <x:c r="D2" s="49"/>
      <x:c r="E2" s="49"/>
      <x:c r="F2" s="49"/>
      <x:c r="G2" s="49"/>
    </x:row>
    <x:row r="4" ht="28" customHeight="1">
      <x:c r="A4" s="29" t="str">
        <x:v>source_id</x:v>
      </x:c>
      <x:c r="B4" s="29" t="str">
        <x:v>company</x:v>
      </x:c>
      <x:c r="C4" s="29" t="str">
        <x:v>topic</x:v>
      </x:c>
      <x:c r="D4" s="29" t="str">
        <x:v>official_url</x:v>
      </x:c>
      <x:c r="E4" s="29" t="str">
        <x:v>accessed</x:v>
      </x:c>
      <x:c r="F4" s="29" t="str">
        <x:v>values used</x:v>
      </x:c>
      <x:c r="G4" s="29" t="str">
        <x:v>boundary / caution</x:v>
      </x:c>
    </x:row>
    <x:row r="5">
      <x:c r="A5" s="34" t="str">
        <x:v>P-ENV</x:v>
      </x:c>
      <x:c r="B5" s="34" t="str">
        <x:v>POSCO</x:v>
      </x:c>
      <x:c r="C5" s="34" t="str">
        <x:v>Scope 1+2</x:v>
      </x:c>
      <x:c r="D5" s="34" t="str">
        <x:v>https://sustainability.posco.com/S91/S91F10/eng/cmspage.do?mmcd=2682093497003371</x:v>
      </x:c>
      <x:c r="E5" s="34" t="str">
        <x:v>2026-08-06</x:v>
      </x:c>
      <x:c r="F5" s="34" t="str">
        <x:v>2025 69.84605Mt</x:v>
      </x:c>
      <x:c r="G5" s="34" t="str">
        <x:v>국내 사업장</x:v>
      </x:c>
    </x:row>
    <x:row r="6">
      <x:c r="A6" s="34" t="str">
        <x:v>P-PROD</x:v>
      </x:c>
      <x:c r="B6" s="34" t="str">
        <x:v>POSCO</x:v>
      </x:c>
      <x:c r="C6" s="34" t="str">
        <x:v>production/revenue</x:v>
      </x:c>
      <x:c r="D6" s="34" t="str">
        <x:v>https://sustainability.posco.com/S91/S91F10/eng/cmspage.do?mmcd=2682093474001805</x:v>
      </x:c>
      <x:c r="E6" s="34" t="str">
        <x:v>2026-08-06</x:v>
      </x:c>
      <x:c r="F6" s="34" t="str">
        <x:v>34.537Mt; 35,010.837bn KRW</x:v>
      </x:c>
      <x:c r="G6" s="34" t="str">
        <x:v>국내 생산·별도 매출</x:v>
      </x:c>
    </x:row>
    <x:row r="7">
      <x:c r="A7" s="34" t="str">
        <x:v>P-CLIM</x:v>
      </x:c>
      <x:c r="B7" s="34" t="str">
        <x:v>POSCO</x:v>
      </x:c>
      <x:c r="C7" s="34" t="str">
        <x:v>targets/projects</x:v>
      </x:c>
      <x:c r="D7" s="34" t="str">
        <x:v>https://sustainability.posco.com/S91/S91F10/eng/cmspage.do?mmcd=2648825310001953</x:v>
      </x:c>
      <x:c r="E7" s="34" t="str">
        <x:v>2026-08-06</x:v>
      </x:c>
      <x:c r="F7" s="34" t="str">
        <x:v>2030 -10%; 2040 -50%; EAF 2.5Mt</x:v>
      </x:c>
      <x:c r="G7" s="34" t="str">
        <x:v>2017–2019 baseline 78.8Mt</x:v>
      </x:c>
    </x:row>
    <x:row r="8">
      <x:c r="A8" s="34" t="str">
        <x:v>P-FIN</x:v>
      </x:c>
      <x:c r="B8" s="34" t="str">
        <x:v>POSCO</x:v>
      </x:c>
      <x:c r="C8" s="34" t="str">
        <x:v>financials</x:v>
      </x:c>
      <x:c r="D8" s="34" t="str">
        <x:v>https://www.posco.co.kr/homepage/docs/eng7/jsp/ir/s91b6000050l.jsp</x:v>
      </x:c>
      <x:c r="E8" s="34" t="str">
        <x:v>2026-08-06</x:v>
      </x:c>
      <x:c r="F8" s="34" t="str">
        <x:v>revenue 35,011; EBITDA 4,230</x:v>
      </x:c>
      <x:c r="G8" s="34" t="str">
        <x:v>standalone</x:v>
      </x:c>
    </x:row>
    <x:row r="9">
      <x:c r="A9" s="34" t="str">
        <x:v>N-IR</x:v>
      </x:c>
      <x:c r="B9" s="34" t="str">
        <x:v>Nippon Steel</x:v>
      </x:c>
      <x:c r="C9" s="34" t="str">
        <x:v>integrated report</x:v>
      </x:c>
      <x:c r="D9" s="34" t="str">
        <x:v>https://www.nipponsteel.com/en/ir/library/pdf/nsc_en_ir_2025_all.pdf</x:v>
      </x:c>
      <x:c r="E9" s="34" t="str">
        <x:v>2026-08-06</x:v>
      </x:c>
      <x:c r="F9" s="34" t="str">
        <x:v>34.30Mt; 72.6Mt; financials</x:v>
      </x:c>
      <x:c r="G9" s="34" t="str">
        <x:v>parent environment vs consolidated finance</x:v>
      </x:c>
    </x:row>
    <x:row r="10">
      <x:c r="A10" s="34" t="str">
        <x:v>N-EAF</x:v>
      </x:c>
      <x:c r="B10" s="34" t="str">
        <x:v>Nippon Steel</x:v>
      </x:c>
      <x:c r="C10" s="34" t="str">
        <x:v>EAF project</x:v>
      </x:c>
      <x:c r="D10" s="34" t="str">
        <x:v>https://www.nipponsteel.com/common/secure/en/news/20250530_200.pdf</x:v>
      </x:c>
      <x:c r="E10" s="34" t="str">
        <x:v>2026-08-06</x:v>
      </x:c>
      <x:c r="F10" s="34" t="str">
        <x:v>868.7bn JPY / 2.9Mt</x:v>
      </x:c>
      <x:c r="G10" s="34" t="str">
        <x:v>three-project full program</x:v>
      </x:c>
    </x:row>
    <x:row r="11">
      <x:c r="A11" s="34" t="str">
        <x:v>J-IR</x:v>
      </x:c>
      <x:c r="B11" s="34" t="str">
        <x:v>JFE</x:v>
      </x:c>
      <x:c r="C11" s="34" t="str">
        <x:v>integrated report</x:v>
      </x:c>
      <x:c r="D11" s="34" t="str">
        <x:v>https://www.jfe-holdings.co.jp/en/common/pdf/investor/library/group-report/2025/all.pdf</x:v>
      </x:c>
      <x:c r="E11" s="34" t="str">
        <x:v>2026-08-06</x:v>
      </x:c>
      <x:c r="F11" s="34" t="str">
        <x:v>21.95Mt; 45.3Mt; financials</x:v>
      </x:c>
      <x:c r="G11" s="34" t="str">
        <x:v>JFE Steel environment vs Holdings finance</x:v>
      </x:c>
    </x:row>
    <x:row r="12">
      <x:c r="A12" s="34" t="str">
        <x:v>J-EAF</x:v>
      </x:c>
      <x:c r="B12" s="34" t="str">
        <x:v>JFE</x:v>
      </x:c>
      <x:c r="C12" s="34" t="str">
        <x:v>Kurashiki EAF</x:v>
      </x:c>
      <x:c r="D12" s="34" t="str">
        <x:v>https://www.jfe-steel.co.jp/en/release/2025/04/250410.html</x:v>
      </x:c>
      <x:c r="E12" s="34" t="str">
        <x:v>2026-08-06</x:v>
      </x:c>
      <x:c r="F12" s="34" t="str">
        <x:v>329.4bn JPY / 2.0Mt</x:v>
      </x:c>
      <x:c r="G12" s="34" t="str">
        <x:v>project scope broader than furnace only</x:v>
      </x:c>
    </x:row>
    <x:row r="13">
      <x:c r="A13" s="34" t="str">
        <x:v>J-RISK</x:v>
      </x:c>
      <x:c r="B13" s="34" t="str">
        <x:v>JFE</x:v>
      </x:c>
      <x:c r="C13" s="34" t="str">
        <x:v>capacity</x:v>
      </x:c>
      <x:c r="D13" s="34" t="str">
        <x:v>https://www.jfe-holdings.co.jp/en/investor/management/risk/</x:v>
      </x:c>
      <x:c r="E13" s="34" t="str">
        <x:v>2026-08-06</x:v>
      </x:c>
      <x:c r="F13" s="34" t="str">
        <x:v>21Mt target by FY2027</x:v>
      </x:c>
      <x:c r="G13" s="34" t="str">
        <x:v>group planning disclosure</x:v>
      </x:c>
    </x:row>
    <x:row r="14">
      <x:c r="A14" s="34" t="str">
        <x:v>K-IR</x:v>
      </x:c>
      <x:c r="B14" s="34" t="str">
        <x:v>Kobe Steel</x:v>
      </x:c>
      <x:c r="C14" s="34" t="str">
        <x:v>integrated report</x:v>
      </x:c>
      <x:c r="D14" s="34" t="str">
        <x:v>https://www.kobelco.co.jp/english/ir/integrated-reports/pdf/integrated-reports2025_e.pdf</x:v>
      </x:c>
      <x:c r="E14" s="34" t="str">
        <x:v>2026-08-06</x:v>
      </x:c>
      <x:c r="F14" s="34" t="str">
        <x:v>5.96Mt; 14.3Mt; financials</x:v>
      </x:c>
      <x:c r="G14" s="34" t="str">
        <x:v>target boundary includes major subsidiaries</x:v>
      </x:c>
    </x:row>
    <x:row r="15">
      <x:c r="A15" s="34" t="str">
        <x:v>GCAM-POL</x:v>
      </x:c>
      <x:c r="B15" s="34" t="str">
        <x:v>JGCRI</x:v>
      </x:c>
      <x:c r="C15" s="34" t="str">
        <x:v>climate constraints</x:v>
      </x:c>
      <x:c r="D15" s="34" t="str">
        <x:v>https://jgcri.github.io/gcam-doc/policies.html</x:v>
      </x:c>
      <x:c r="E15" s="34" t="str">
        <x:v>2026-08-07</x:v>
      </x:c>
      <x:c r="F15" s="34" t="str">
        <x:v>carbon/GHG price and climate constraints</x:v>
      </x:c>
      <x:c r="G15" s="34" t="str">
        <x:v>공식 프레임워크 문서이며 수치 시나리오 export는 아님</x:v>
      </x:c>
    </x:row>
    <x:row r="16">
      <x:c r="A16" s="34" t="str">
        <x:v>GCAM-HEC</x:v>
      </x:c>
      <x:c r="B16" s="34" t="str">
        <x:v>JGCRI</x:v>
      </x:c>
      <x:c r="C16" s="34" t="str">
        <x:v>temperature model</x:v>
      </x:c>
      <x:c r="D16" s="34" t="str">
        <x:v>https://jgcri.github.io/gcam-doc/hector.html</x:v>
      </x:c>
      <x:c r="E16" s="34" t="str">
        <x:v>2026-08-07</x:v>
      </x:c>
      <x:c r="F16" s="34" t="str">
        <x:v>GCAM emissions → Hector temperature</x:v>
      </x:c>
      <x:c r="G16" s="34" t="str">
        <x:v>온도 출력·제약 설명; 회사별 데이터가 아님</x:v>
      </x:c>
    </x:row>
    <x:row r="17">
      <x:c r="A17" s="34" t="str">
        <x:v>GCAM-STL</x:v>
      </x:c>
      <x:c r="B17" s="34" t="str">
        <x:v>JGCRI</x:v>
      </x:c>
      <x:c r="C17" s="34" t="str">
        <x:v>iron and steel</x:v>
      </x:c>
      <x:c r="D17" s="34" t="str">
        <x:v>https://jgcri.github.io/gcam-doc/demand_energy.html</x:v>
      </x:c>
      <x:c r="E17" s="34" t="str">
        <x:v>2026-08-07</x:v>
      </x:c>
      <x:c r="F17" s="34" t="str">
        <x:v>BOF, scrap EAF, DRI-EAF; steel in Mt</x:v>
      </x:c>
      <x:c r="G17" s="34" t="str">
        <x:v>지역 산업모형이며 회사별 설비 배분이 아님</x:v>
      </x:c>
    </x:row>
    <x:row r="18">
      <x:c r="A18" s="34" t="str">
        <x:v>GCAM-EXT</x:v>
      </x:c>
      <x:c r="B18" s="34" t="str">
        <x:v>JGCRI</x:v>
      </x:c>
      <x:c r="C18" s="34" t="str">
        <x:v>database extraction</x:v>
      </x:c>
      <x:c r="D18" s="34" t="str">
        <x:v>https://jgcri.github.io/gcam-doc/dev-guide/analysis.html</x:v>
      </x:c>
      <x:c r="E18" s="34" t="str">
        <x:v>2026-08-07</x:v>
      </x:c>
      <x:c r="F18" s="34" t="str">
        <x:v>ModelInterface / rgcam / gcam_reader</x:v>
      </x:c>
      <x:c r="G18" s="34" t="str">
        <x:v>정확한 DB 버전·query XML·추출 hash가 필요</x:v>
      </x:c>
    </x:row>
    <x:row r="19">
      <x:c r="A19" s="34" t="str">
        <x:v>GCAM-REL</x:v>
      </x:c>
      <x:c r="B19" s="34" t="str">
        <x:v>JGCRI</x:v>
      </x:c>
      <x:c r="C19" s="34" t="str">
        <x:v>official release</x:v>
      </x:c>
      <x:c r="D19" s="34" t="str">
        <x:v>https://github.com/JGCRI/gcam-core/releases/tag/gcam-v9.1</x:v>
      </x:c>
      <x:c r="E19" s="34" t="str">
        <x:v>2026-08-07</x:v>
      </x:c>
      <x:c r="F19" s="34" t="str">
        <x:v>GCAM 9.1; Mac asset SHA256 b009e58a…d0868a</x:v>
      </x:c>
      <x:c r="G19" s="34" t="str">
        <x:v>공식 binary를 검증했으나 프로젝트 target run은 아직 실행 전</x:v>
      </x:c>
    </x:row>
    <x:row r="20">
      <x:c r="A20" s="34" t="str">
        <x:v>GCAM-TGT</x:v>
      </x:c>
      <x:c r="B20" s="34" t="str">
        <x:v>JGCRI</x:v>
      </x:c>
      <x:c r="C20" s="34" t="str">
        <x:v>target finder</x:v>
      </x:c>
      <x:c r="D20" s="34" t="str">
        <x:v>https://jgcri.github.io/gcam-doc/user-guide.html</x:v>
      </x:c>
      <x:c r="E20" s="34" t="str">
        <x:v>2026-08-07</x:v>
      </x:c>
      <x:c r="F20" s="34" t="str">
        <x:v>target-type=temperature; target-value/tolerance</x:v>
      </x:c>
      <x:c r="G20" s="34" t="str">
        <x:v>프로젝트 XML은 공식 schema를 사용한 입력이지 JGCRI 발표 결과가 아님</x:v>
      </x:c>
    </x:row>
    <x:row r="21">
      <x:c r="A21" s="34" t="str">
        <x:v>KR-H2</x:v>
      </x:c>
      <x:c r="B21" s="34" t="str">
        <x:v>Korea</x:v>
      </x:c>
      <x:c r="C21" s="34" t="str">
        <x:v>clean hydrogen</x:v>
      </x:c>
      <x:c r="D21" s="34" t="str">
        <x:v>https://www.pcccr.go.kr/base/board/read?boardManagementNo=10&amp;boardNo=124&amp;menuLevel=2&amp;menuNo=18&amp;page=2</x:v>
      </x:c>
      <x:c r="E21" s="34" t="str">
        <x:v>2026-08-07</x:v>
      </x:c>
      <x:c r="F21" s="34" t="str">
        <x:v>2030 domestic clean H2 1 Mt/year</x:v>
      </x:c>
      <x:c r="G21" s="34" t="str">
        <x:v>국가 목표이며 철강·기업 배분이 아님</x:v>
      </x:c>
    </x:row>
    <x:row r="22">
      <x:c r="A22" s="34" t="str">
        <x:v>KR-GRID</x:v>
      </x:c>
      <x:c r="B22" s="34" t="str">
        <x:v>Korea</x:v>
      </x:c>
      <x:c r="C22" s="34" t="str">
        <x:v>national grid</x:v>
      </x:c>
      <x:c r="D22" s="34" t="str">
        <x:v>https://www.motir.go.kr/kor/article/ATCL3f49a5a8c/170183/view</x:v>
      </x:c>
      <x:c r="E22" s="34" t="str">
        <x:v>2026-08-07</x:v>
      </x:c>
      <x:c r="F22" s="34" t="str">
        <x:v>2038 target demand 129.3 GW; new capacity need 10.3 GW</x:v>
      </x:c>
      <x:c r="G22" s="34" t="str">
        <x:v>전력량 TWh 또는 회사 접속한도가 아님</x:v>
      </x:c>
    </x:row>
    <x:row r="23">
      <x:c r="A23" s="34" t="str">
        <x:v>KR-SCRAP</x:v>
      </x:c>
      <x:c r="B23" s="34" t="str">
        <x:v>Korea</x:v>
      </x:c>
      <x:c r="C23" s="34" t="str">
        <x:v>steel scrap policy</x:v>
      </x:c>
      <x:c r="D23" s="34" t="str">
        <x:v>https://www.2050cnc.go.kr/storage/board/base/2023/02/17/BOARD_ATTACH_1676595021015.pdf</x:v>
      </x:c>
      <x:c r="E23" s="34" t="str">
        <x:v>2026-08-07</x:v>
      </x:c>
      <x:c r="F23" s="34" t="str">
        <x:v>circular-resource recognition and statistics policy</x:v>
      </x:c>
      <x:c r="G23" s="34" t="str">
        <x:v>검증된 정량 공급치는 없음</x:v>
      </x:c>
    </x:row>
    <x:row r="24">
      <x:c r="A24" s="34" t="str">
        <x:v>JP-H2</x:v>
      </x:c>
      <x:c r="B24" s="34" t="str">
        <x:v>Japan</x:v>
      </x:c>
      <x:c r="C24" s="34" t="str">
        <x:v>hydrogen strategy</x:v>
      </x:c>
      <x:c r="D24" s="34" t="str">
        <x:v>https://www.meti.go.jp/policy/energy_environment/global_warming/transition/jcr_climate_transition_bond_framework_spo_eng.pdf</x:v>
      </x:c>
      <x:c r="E24" s="34" t="str">
        <x:v>2026-08-07</x:v>
      </x:c>
      <x:c r="F24" s="34" t="str">
        <x:v>3/12/20 MtH2-eq in 2030/2040/2050</x:v>
      </x:c>
      <x:c r="G24" s="34" t="str">
        <x:v>암모니아의 수소환산량 포함; 기업 배분 아님</x:v>
      </x:c>
    </x:row>
    <x:row r="25">
      <x:c r="A25" s="34" t="str">
        <x:v>JP-GRID</x:v>
      </x:c>
      <x:c r="B25" s="34" t="str">
        <x:v>Japan</x:v>
      </x:c>
      <x:c r="C25" s="34" t="str">
        <x:v>transmission plans</x:v>
      </x:c>
      <x:c r="D25" s="34" t="str">
        <x:v>https://www.occto.or.jp/assets/en/information_disclosure/annual_report/files/2023_annualreport_240131.pdf</x:v>
      </x:c>
      <x:c r="E25" s="34" t="str">
        <x:v>2026-08-07</x:v>
      </x:c>
      <x:c r="F25" s="34" t="str">
        <x:v>30,163 MVA transformers; 1,200 MW converters</x:v>
      </x:c>
      <x:c r="G25" s="34" t="str">
        <x:v>FY2032까지 국가·광역 개발계획; 회사 한도 아님</x:v>
      </x:c>
    </x:row>
    <x:row r="26">
      <x:c r="A26" s="34" t="str">
        <x:v>JP-SCRAP</x:v>
      </x:c>
      <x:c r="B26" s="34" t="str">
        <x:v>Japan</x:v>
      </x:c>
      <x:c r="C26" s="34" t="str">
        <x:v>steel scrap</x:v>
      </x:c>
      <x:c r="D26" s="34" t="str">
        <x:v>https://www.env.go.jp/content/000315009.pdf</x:v>
      </x:c>
      <x:c r="E26" s="34" t="str">
        <x:v>2026-08-07</x:v>
      </x:c>
      <x:c r="F26" s="34" t="str">
        <x:v>2022 generation 43.16 Mt/year</x:v>
      </x:c>
      <x:c r="G26" s="34" t="str">
        <x:v>JISF 기반 국가발생량; 회사 조달량 아님</x:v>
      </x:c>
    </x:row>
    <x:row r="27">
      <x:c r="A27" s="35" t="str">
        <x:v>JP-SCRAP-HG</x:v>
      </x:c>
      <x:c r="B27" s="35" t="str">
        <x:v>Japan</x:v>
      </x:c>
      <x:c r="C27" s="35" t="str">
        <x:v>high-grade scrap</x:v>
      </x:c>
      <x:c r="D27" s="35" t="str">
        <x:v>https://www.env.go.jp/policy/hakusyo/r08/html/hj26010401.html</x:v>
      </x:c>
      <x:c r="E27" s="35" t="str">
        <x:v>2026-08-07</x:v>
      </x:c>
      <x:c r="F27" s="35" t="str">
        <x:v>2030 additional processing capacity 2 Mt/year</x:v>
      </x:c>
      <x:c r="G27" s="35" t="str">
        <x:v>추가 가공능력이며 발생량·회사 배분 아님</x:v>
      </x:c>
    </x:row>
  </x:sheetData>
  <x:mergeCells>
    <x:mergeCell ref="A1:G2"/>
  </x:mergeCells>
  <x:pageMargins left="0.7" right="0.7" top="0.75" bottom="0.75" header="0.3" footer="0.3"/>
</x:worksheet>
</file>

<file path=xl/worksheets/sheet34.xml><?xml version="1.0" encoding="utf-8"?>
<x:worksheet xmlns:x="http://schemas.openxmlformats.org/spreadsheetml/2006/main">
  <x:sheetViews>
    <x:sheetView showGridLines="0" workbookViewId="0"/>
  </x:sheetViews>
  <x:sheetFormatPr defaultRowHeight="15"/>
  <x:cols>
    <x:col min="1" max="1" width="28" hidden="0" customWidth="1"/>
    <x:col min="2" max="2" width="20" hidden="0" customWidth="1"/>
    <x:col min="3" max="3" width="14" hidden="0" customWidth="1"/>
    <x:col min="4" max="4" width="68" hidden="0" customWidth="1"/>
    <x:col min="5" max="5" width="70" hidden="0" customWidth="1"/>
    <x:col min="6" max="6" width="22" hidden="0" customWidth="1"/>
  </x:cols>
  <x:sheetData>
    <x:row r="1">
      <x:c r="A1" s="49" t="str">
        <x:v>CSV 왕복 검증 매니페스트</x:v>
      </x:c>
      <x:c r="B1" s="49"/>
      <x:c r="C1" s="49"/>
      <x:c r="D1" s="49"/>
      <x:c r="E1" s="49"/>
      <x:c r="F1" s="49"/>
    </x:row>
    <x:row r="2">
      <x:c r="A2" s="49"/>
      <x:c r="B2" s="49"/>
      <x:c r="C2" s="49"/>
      <x:c r="D2" s="49"/>
      <x:c r="E2" s="49"/>
      <x:c r="F2" s="49"/>
    </x:row>
    <x:row r="4" ht="28" customHeight="1">
      <x:c r="A4" s="29" t="str">
        <x:v>file</x:v>
      </x:c>
      <x:c r="B4" s="29" t="str">
        <x:v>sheet</x:v>
      </x:c>
      <x:c r="C4" s="29" t="str">
        <x:v>data rows</x:v>
      </x:c>
      <x:c r="D4" s="29" t="str">
        <x:v>source SHA256</x:v>
      </x:c>
      <x:c r="E4" s="29" t="str">
        <x:v>export columns</x:v>
      </x:c>
      <x:c r="F4" s="29" t="str">
        <x:v>status</x:v>
      </x:c>
    </x:row>
    <x:row r="5">
      <x:c r="A5" s="34" t="str">
        <x:v>companies.csv</x:v>
      </x:c>
      <x:c r="B5" s="34" t="str">
        <x:v>Companies</x:v>
      </x:c>
      <x:c r="C5" s="34" t="n">
        <x:v>4</x:v>
      </x:c>
      <x:c r="D5" s="34" t="str">
        <x:v>1647df5784d5d1729a93ebd980ff906e2e521f99319375e762875aad13e91e6b</x:v>
      </x:c>
      <x:c r="E5" s="34" t="str">
        <x:v>company_id, company_name, country_code, country_name, base_year, reporting_boundary, production_mt, scope12_emissions_mtco2, reported_intensity_tco2_per_t, capacity_mtpa, target_2030_mtco2, target_2040_mtco2, reporting_currency, fx_to_krw, capex_cost_index, data_status, source_name, source_url, source_note</x:v>
      </x:c>
      <x:c r="F5" s="34" t="str">
        <x:v>PASS</x:v>
      </x:c>
    </x:row>
    <x:row r="6">
      <x:c r="A6" s="34" t="str">
        <x:v>facilities.csv</x:v>
      </x:c>
      <x:c r="B6" s="34" t="str">
        <x:v>Facilities</x:v>
      </x:c>
      <x:c r="C6" s="34" t="n">
        <x:v>17</x:v>
      </x:c>
      <x:c r="D6" s="34" t="str">
        <x:v>5f305c0c3f353174b4d2a9fa15f97580c18ef419360e268271b8ec1f7011b895</x:v>
      </x:c>
      <x:c r="E6" s="34" t="str">
        <x:v>facility_id, company_id, facility_name, region, capacity_mtpa, utilization_rate, baseline_technology_id, baseline_emissions_tco2_per_t, baseline_electricity_mwh_per_t, baseline_fixed_opex_kkrw_per_t, commission_year, reinvestment_year, data_status, source_note</x:v>
      </x:c>
      <x:c r="F6" s="34" t="str">
        <x:v>PASS</x:v>
      </x:c>
    </x:row>
    <x:row r="7">
      <x:c r="A7" s="34" t="str">
        <x:v>company_financials.csv</x:v>
      </x:c>
      <x:c r="B7" s="34" t="str">
        <x:v>Financials</x:v>
      </x:c>
      <x:c r="C7" s="34" t="n">
        <x:v>4</x:v>
      </x:c>
      <x:c r="D7" s="34" t="str">
        <x:v>f4175ede753ec1226ce45e65cc9d8a93c590a48b6236ac387634865b84ca5afb</x:v>
      </x:c>
      <x:c r="E7" s="34" t="str">
        <x:v>company_id, fiscal_year, revenue_bn_krw, ebitda_bn_krw, annual_capex_bn_krw, reporting_currency, fx_to_krw, data_status, source_note</x:v>
      </x:c>
      <x:c r="F7" s="34" t="str">
        <x:v>PASS</x:v>
      </x:c>
    </x:row>
    <x:row r="8">
      <x:c r="A8" s="34" t="str">
        <x:v>technologies.csv</x:v>
      </x:c>
      <x:c r="B8" s="34" t="str">
        <x:v>Technologies</x:v>
      </x:c>
      <x:c r="C8" s="34" t="n">
        <x:v>6</x:v>
      </x:c>
      <x:c r="D8" s="34" t="str">
        <x:v>0430a8eeb1d0f3f373d278b1f16b8c6dce56cf2087c38f8287f14a7af9131b9d</x:v>
      </x:c>
      <x:c r="E8" s="34" t="str">
        <x:v>technology_id, technology_name, capex_bn_krw_per_mtpa, fixed_opex_kkrw_per_t, electricity_mwh_per_t, hydrogen_t_per_t, emissions_tco2_per_t, available_year, construction_years, lifetime_years, data_status, source_note</x:v>
      </x:c>
      <x:c r="F8" s="34" t="str">
        <x:v>PASS</x:v>
      </x:c>
    </x:row>
    <x:row r="9">
      <x:c r="A9" s="34" t="str">
        <x:v>scenario_anchors.csv</x:v>
      </x:c>
      <x:c r="B9" s="34" t="str">
        <x:v>Scenarios</x:v>
      </x:c>
      <x:c r="C9" s="34" t="n">
        <x:v>32</x:v>
      </x:c>
      <x:c r="D9" s="34" t="str">
        <x:v>95147924d3a879b96c4e0292b1c41db9cc463dcec7db320c7c8320873ec0b54e</x:v>
      </x:c>
      <x:c r="E9" s="34" t="str">
        <x:v>company_id, scenario_id, temperature_label, year, company_carbon_budget_mtco2, electricity_price_krw_per_kwh, carbon_price_krw_per_tco2, electrolyzer_capex_index, data_status, source_note</x:v>
      </x:c>
      <x:c r="F9" s="34" t="str">
        <x:v>PASS</x:v>
      </x:c>
    </x:row>
    <x:row r="10">
      <x:c r="A10" s="34" t="str">
        <x:v>scenario_definitions.csv</x:v>
      </x:c>
      <x:c r="B10" s="34" t="str">
        <x:v>Scenario_Definitions</x:v>
      </x:c>
      <x:c r="C10" s="34" t="n">
        <x:v>4</x:v>
      </x:c>
      <x:c r="D10" s="34" t="str">
        <x:v>8f8f3af83652b50d554cd172fe26bb3e0452459810ff4b0e21396c56306e6694</x:v>
      </x:c>
      <x:c r="E10" s="34" t="str">
        <x:v>scenario_id, scenario_name, scenario_family, climate_target_c, is_active, model_name, model_version, source_url, source_version, extraction_date, geography, integration_status, data_status, source_note</x:v>
      </x:c>
      <x:c r="F10" s="34" t="str">
        <x:v>PASS</x:v>
      </x:c>
    </x:row>
    <x:row r="11">
      <x:c r="A11" s="34" t="str">
        <x:v>plans.csv</x:v>
      </x:c>
      <x:c r="B11" s="34" t="str">
        <x:v>Plans</x:v>
      </x:c>
      <x:c r="C11" s="34" t="n">
        <x:v>11</x:v>
      </x:c>
      <x:c r="D11" s="34" t="str">
        <x:v>9da970ebc74c8423e14df21a7c6d4a1f833d308b645c1f1091f80975a39881f9</x:v>
      </x:c>
      <x:c r="E11" s="34" t="str">
        <x:v>company_id, plan_id, plan_name, schedule_shift_years, min_h2_capacity_share, ppa_share, hydrogen_contract_share, fixed_epc_share, ccfd_share, contract_premium_pct, is_disclosed_plan, data_status, source_note</x:v>
      </x:c>
      <x:c r="F11" s="34" t="str">
        <x:v>PASS</x:v>
      </x:c>
    </x:row>
    <x:row r="12">
      <x:c r="A12" s="34" t="str">
        <x:v>policy_support.csv</x:v>
      </x:c>
      <x:c r="B12" s="34" t="str">
        <x:v>Policy</x:v>
      </x:c>
      <x:c r="C12" s="34" t="n">
        <x:v>16</x:v>
      </x:c>
      <x:c r="D12" s="34" t="str">
        <x:v>75eb9b7f632fecef11e99d6f976f7ce8408e2975401c0a6b73bcc3d10c776a55</x:v>
      </x:c>
      <x:c r="E12" s="34" t="str">
        <x:v>country_code, scenario_id, technology_id, capex_subsidy_pct, ccfd_opex_support_pct, data_status, source_note</x:v>
      </x:c>
      <x:c r="F12" s="34" t="str">
        <x:v>PASS</x:v>
      </x:c>
    </x:row>
    <x:row r="13">
      <x:c r="A13" s="34" t="str">
        <x:v>company_constraints.csv</x:v>
      </x:c>
      <x:c r="B13" s="34" t="str">
        <x:v>Company_Constraints</x:v>
      </x:c>
      <x:c r="C13" s="34" t="n">
        <x:v>4</x:v>
      </x:c>
      <x:c r="D13" s="34" t="str">
        <x:v>ab2077fd7334f019ebb73616f4bd6b449fe8720b54a22ef6c6929be4820711f6</x:v>
      </x:c>
      <x:c r="E13" s="34" t="str">
        <x:v>company_id, max_concurrent_construction_projects, max_portfolio_failure_probability, data_status, source_url, source_note</x:v>
      </x:c>
      <x:c r="F13" s="34" t="str">
        <x:v>PASS</x:v>
      </x:c>
    </x:row>
    <x:row r="14">
      <x:c r="A14" s="34" t="str">
        <x:v>technology_constraints.csv</x:v>
      </x:c>
      <x:c r="B14" s="34" t="str">
        <x:v>Tech_Constraints</x:v>
      </x:c>
      <x:c r="C14" s="34" t="n">
        <x:v>6</x:v>
      </x:c>
      <x:c r="D14" s="34" t="str">
        <x:v>de62285e0e0913eaac1c5bd7ea786926de18c798afbb41905c96265a24bfe426</x:v>
      </x:c>
      <x:c r="E14" s="34" t="str">
        <x:v>technology_id, scrap_input_t_per_t, failure_probability, max_failure_delay_years, data_status, source_url, source_note</x:v>
      </x:c>
      <x:c r="F14" s="34" t="str">
        <x:v>PASS</x:v>
      </x:c>
    </x:row>
    <x:row r="15">
      <x:c r="A15" s="34" t="str">
        <x:v>resource_constraints.csv</x:v>
      </x:c>
      <x:c r="B15" s="34" t="str">
        <x:v>Resource_Constraints</x:v>
      </x:c>
      <x:c r="C15" s="34" t="n">
        <x:v>32</x:v>
      </x:c>
      <x:c r="D15" s="34" t="str">
        <x:v>789db388b280bb1d148926d0c86d0d0c87e43d61439dc11fc6aa86de11a03e2a</x:v>
      </x:c>
      <x:c r="E15" s="34" t="str">
        <x:v>company_id, scenario_id, year, max_scrap_supply_mt, max_hydrogen_supply_mt, max_incremental_grid_twh, data_status, source_url, source_note</x:v>
      </x:c>
      <x:c r="F15" s="34" t="str">
        <x:v>PASS</x:v>
      </x:c>
    </x:row>
    <x:row r="16">
      <x:c r="A16" s="34" t="str">
        <x:v>resource_benchmarks.csv</x:v>
      </x:c>
      <x:c r="B16" s="34" t="str">
        <x:v>Resource_Benchmarks</x:v>
      </x:c>
      <x:c r="C16" s="34" t="n">
        <x:v>11</x:v>
      </x:c>
      <x:c r="D16" s="34" t="str">
        <x:v>ddf7878e7c4ebfe18005cb485afee76d07eb40ab1ae6fc81bcff8e485d6d7338</x:v>
      </x:c>
      <x:c r="E16" s="34" t="str">
        <x:v>benchmark_id, country_code, resource_type, benchmark_year, benchmark_value, unit, geography, scope, source_org, source_title, source_url, source_version, extraction_date, data_status, comparability, source_note</x:v>
      </x:c>
      <x:c r="F16" s="34" t="str">
        <x:v>PASS</x:v>
      </x:c>
    </x:row>
    <x:row r="17">
      <x:c r="A17" s="34" t="str">
        <x:v>transition_projects.csv</x:v>
      </x:c>
      <x:c r="B17" s="34" t="str">
        <x:v>Transition_Projects</x:v>
      </x:c>
      <x:c r="C17" s="34" t="n">
        <x:v>9</x:v>
      </x:c>
      <x:c r="D17" s="34" t="str">
        <x:v>440691cf35f4ef2047c2d682c9a3cdfcf729178c9a74653d28877446e8952b73</x:v>
      </x:c>
      <x:c r="E17" s="34" t="str">
        <x:v>project_id, company_id, related_facility_ids, model_mapping_status, project_name, country_code, project_status, decision_stage, announcement_date, construction_start_date, operation_start_year, operation_start_label, technology_id, capacity_mtpa, capex_native_bn, capex_currency, fx_to_krw, capex_bn_krw, government_support_native_bn, government_support_pct, disclosed_reduction_pct, avoided_emissions_mtco2_pa, scrap_share, hbi_share, data_status, confidence_grade, source_title, source_url, source_version, extraction_date, scope_note</x:v>
      </x:c>
      <x:c r="F17" s="34" t="str">
        <x:v>PASS</x:v>
      </x:c>
    </x:row>
    <x:row r="18">
      <x:c r="A18" s="34" t="str">
        <x:v>technology_cost_evidence.csv</x:v>
      </x:c>
      <x:c r="B18" s="34" t="str">
        <x:v>Technology_Cost_Evidence</x:v>
      </x:c>
      <x:c r="C18" s="34" t="n">
        <x:v>7</x:v>
      </x:c>
      <x:c r="D18" s="34" t="str">
        <x:v>8721ae2de1756db193a6aa997849b3a71ac0b7e364028c97e3950c845d48619a</x:v>
      </x:c>
      <x:c r="E18" s="34" t="str">
        <x:v>evidence_id, project_id, company_id, technology_id, evidence_scope, capacity_mtpa, capex_native_bn, capex_currency, fx_to_krw, capex_bn_krw, normalized_capex_bn_krw_per_mtpa, government_support_bn_krw, gross_or_net, included_assets, comparability, data_status, confidence_grade, source_url, extraction_date, calculation_note</x:v>
      </x:c>
      <x:c r="F18" s="34" t="str">
        <x:v>PASS</x:v>
      </x:c>
    </x:row>
    <x:row r="19">
      <x:c r="A19" s="34" t="str">
        <x:v>data_gap_registry.csv</x:v>
      </x:c>
      <x:c r="B19" s="34" t="str">
        <x:v>Data_Gaps</x:v>
      </x:c>
      <x:c r="C19" s="34" t="n">
        <x:v>11</x:v>
      </x:c>
      <x:c r="D19" s="34" t="str">
        <x:v>b871ac99e9980f0c3e892419d925d4de8403c58f64d6428097e3a42afbf51811</x:v>
      </x:c>
      <x:c r="E19" s="34" t="str">
        <x:v>gap_id, decision_area, current_state, current_evidence, target_state, priority, decision_impact, next_source_class, model_action, data_status, source_note</x:v>
      </x:c>
      <x:c r="F19" s="34" t="str">
        <x:v>PASS</x:v>
      </x:c>
    </x:row>
    <x:row r="20">
      <x:c r="A20" s="34" t="str">
        <x:v>gcam_run_manifest.csv</x:v>
      </x:c>
      <x:c r="B20" s="34" t="str">
        <x:v>GCAM_Run_Manifest</x:v>
      </x:c>
      <x:c r="C20" s="34" t="n">
        <x:v>2</x:v>
      </x:c>
      <x:c r="D20" s="34" t="str">
        <x:v>dffb8d7fa36a4f54c4f6ebaf14e75890ab7b29ec34e9286e33c423fad770354f</x:v>
      </x:c>
      <x:c r="E20" s="34" t="str">
        <x:v>scenario_id, model_name, model_version, release_tag, release_date, release_url, release_asset_name, release_asset_sha256, source_commit, configuration_origin, configuration_origin_sha256, policy_target_file, policy_target_sha256, query_file, query_file_sha256, target_type, target_value, target_unit, geography, run_status, database_file, database_sha256, extraction_date, data_status, source_note</x:v>
      </x:c>
      <x:c r="F20" s="34" t="str">
        <x:v>PASS</x:v>
      </x:c>
    </x:row>
    <x:row r="21">
      <x:c r="A21" s="34" t="str">
        <x:v>gcam_query_manifest.csv</x:v>
      </x:c>
      <x:c r="B21" s="34" t="str">
        <x:v>GCAM_Query_Manifest</x:v>
      </x:c>
      <x:c r="C21" s="34" t="n">
        <x:v>20</x:v>
      </x:c>
      <x:c r="D21" s="34" t="str">
        <x:v>20693bfdc25b8210d3f81774844d25922f3f05933bc88f226e4b45505f967f5b</x:v>
      </x:c>
      <x:c r="E21" s="34" t="str">
        <x:v>scenario_id, required_output_id, official_query_title, target_region, raw_unit, transformation_status, transformation_note, output_file, output_sha256, extraction_status, data_status, source_url, source_note</x:v>
      </x:c>
      <x:c r="F21" s="34" t="str">
        <x:v>PASS</x:v>
      </x:c>
    </x:row>
    <x:row r="22">
      <x:c r="A22" s="34" t="str">
        <x:v>price_process.json</x:v>
      </x:c>
      <x:c r="B22" s="34" t="str">
        <x:v>Price_Process</x:v>
      </x:c>
      <x:c r="C22" s="34" t="n">
        <x:v>17</x:v>
      </x:c>
      <x:c r="D22" s="34" t="str">
        <x:v>906e959fb2e215b58d6d0c9947611c1c4e66b742c800f46d29f7ad5d92883a04</x:v>
      </x:c>
      <x:c r="E22" s="34" t="str">
        <x:v>JSON copied unchanged</x:v>
      </x:c>
      <x:c r="F22" s="34" t="str">
        <x:v>PASS</x:v>
      </x:c>
    </x:row>
    <x:row r="23">
      <x:c r="A23" s="34" t="str">
        <x:v>gcam/policy_target_temperature_1p5.xml</x:v>
      </x:c>
      <x:c r="B23" s="34" t="str">
        <x:v>GCAM_Run_Manifest</x:v>
      </x:c>
      <x:c r="C23" s="34" t="n">
        <x:v>1</x:v>
      </x:c>
      <x:c r="D23" s="34" t="str">
        <x:v>ff1bb76debbd2524a45f2a143d5065eb6b40f5369458776696a895439e0c5501</x:v>
      </x:c>
      <x:c r="E23" s="34" t="str">
        <x:v>XML support file copied unchanged</x:v>
      </x:c>
      <x:c r="F23" s="34" t="str">
        <x:v>PASS</x:v>
      </x:c>
    </x:row>
    <x:row r="24">
      <x:c r="A24" s="35" t="str">
        <x:v>gcam/policy_target_temperature_2p0.xml</x:v>
      </x:c>
      <x:c r="B24" s="35" t="str">
        <x:v>GCAM_Run_Manifest</x:v>
      </x:c>
      <x:c r="C24" s="35" t="n">
        <x:v>1</x:v>
      </x:c>
      <x:c r="D24" s="35" t="str">
        <x:v>1b4b6e00352d22ab0e80d8d6153d7a216f35f549e0f87a129624d5e1b51391cc</x:v>
      </x:c>
      <x:c r="E24" s="35" t="str">
        <x:v>XML support file copied unchanged</x:v>
      </x:c>
      <x:c r="F24" s="35" t="str">
        <x:v>PASS</x:v>
      </x:c>
    </x:row>
  </x:sheetData>
  <x:mergeCells>
    <x:mergeCell ref="A1:F2"/>
  </x:mergeCells>
  <x:pageMargins left="0.7" right="0.7" top="0.75" bottom="0.75" header="0.3" footer="0.3"/>
</x:worksheet>
</file>